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2025\12 GBDS DEC FILES 2025\"/>
    </mc:Choice>
  </mc:AlternateContent>
  <xr:revisionPtr revIDLastSave="0" documentId="13_ncr:1_{D8BAEE6D-FCD3-409E-9D13-6B45700C49B8}" xr6:coauthVersionLast="45" xr6:coauthVersionMax="47" xr10:uidLastSave="{00000000-0000-0000-0000-000000000000}"/>
  <bookViews>
    <workbookView xWindow="-120" yWindow="-120" windowWidth="29040" windowHeight="15840" firstSheet="22" activeTab="29" xr2:uid="{EAA847CC-C244-4239-B005-CBB8C204AC80}"/>
  </bookViews>
  <sheets>
    <sheet name="12-03-2025" sheetId="148" r:id="rId1"/>
    <sheet name="12-04-2025" sheetId="149" r:id="rId2"/>
    <sheet name="12-05-2025" sheetId="150" r:id="rId3"/>
    <sheet name="12-06-2025" sheetId="151" r:id="rId4"/>
    <sheet name="12-11-2025" sheetId="152" r:id="rId5"/>
    <sheet name="12-12-2025" sheetId="153" r:id="rId6"/>
    <sheet name="12-12-2025 (2)" sheetId="154" r:id="rId7"/>
    <sheet name="12-13-2025" sheetId="155" r:id="rId8"/>
    <sheet name="12-15-2025-A" sheetId="156" r:id="rId9"/>
    <sheet name="12-15-2025-B" sheetId="157" r:id="rId10"/>
    <sheet name="12-16-2025" sheetId="158" r:id="rId11"/>
    <sheet name="12-17-2025" sheetId="159" r:id="rId12"/>
    <sheet name="12-17-2025-B" sheetId="160" r:id="rId13"/>
    <sheet name="12-18-2025" sheetId="161" r:id="rId14"/>
    <sheet name="12-19-2025" sheetId="162" r:id="rId15"/>
    <sheet name="12-19-2025 (2)" sheetId="163" r:id="rId16"/>
    <sheet name="12-22-2025" sheetId="164" r:id="rId17"/>
    <sheet name="12-23-2025" sheetId="165" r:id="rId18"/>
    <sheet name="12-24-2025" sheetId="166" r:id="rId19"/>
    <sheet name="12-24-2025-B" sheetId="167" r:id="rId20"/>
    <sheet name="12-26-2025" sheetId="168" r:id="rId21"/>
    <sheet name="12-26-2025-B" sheetId="169" r:id="rId22"/>
    <sheet name="12-27-2025" sheetId="170" r:id="rId23"/>
    <sheet name="12-29-2025" sheetId="171" r:id="rId24"/>
    <sheet name="12-31-2025" sheetId="172" r:id="rId25"/>
    <sheet name="12-31-2025 (2)" sheetId="173" r:id="rId26"/>
    <sheet name="12-31-2025 (4)" sheetId="175" r:id="rId27"/>
    <sheet name="12-31-2025-3beer" sheetId="174" r:id="rId28"/>
    <sheet name="12-31-2025-3nab" sheetId="176" r:id="rId29"/>
    <sheet name="12-31-2025-3nab (2)" sheetId="177" r:id="rId30"/>
  </sheets>
  <definedNames>
    <definedName name="_xlnm.Print_Area" localSheetId="0">'12-03-2025'!$A$1:$V$97</definedName>
    <definedName name="_xlnm.Print_Area" localSheetId="1">'12-04-2025'!$A$1:$V$97</definedName>
    <definedName name="_xlnm.Print_Area" localSheetId="2">'12-05-2025'!$A$1:$V$97</definedName>
    <definedName name="_xlnm.Print_Area" localSheetId="3">'12-06-2025'!$A$1:$V$97</definedName>
    <definedName name="_xlnm.Print_Area" localSheetId="4">'12-11-2025'!$A$1:$V$97</definedName>
    <definedName name="_xlnm.Print_Area" localSheetId="5">'12-12-2025'!$A$1:$V$97</definedName>
    <definedName name="_xlnm.Print_Area" localSheetId="6">'12-12-2025 (2)'!$A$1:$V$97</definedName>
    <definedName name="_xlnm.Print_Area" localSheetId="7">'12-13-2025'!$A$1:$V$97</definedName>
    <definedName name="_xlnm.Print_Area" localSheetId="8">'12-15-2025-A'!$A$1:$V$97</definedName>
    <definedName name="_xlnm.Print_Area" localSheetId="9">'12-15-2025-B'!$A$1:$V$97</definedName>
    <definedName name="_xlnm.Print_Area" localSheetId="10">'12-16-2025'!$A$1:$V$97</definedName>
    <definedName name="_xlnm.Print_Area" localSheetId="11">'12-17-2025'!$A$1:$V$97</definedName>
    <definedName name="_xlnm.Print_Area" localSheetId="12">'12-17-2025-B'!$A$1:$V$97</definedName>
    <definedName name="_xlnm.Print_Area" localSheetId="13">'12-18-2025'!$A$1:$V$97</definedName>
    <definedName name="_xlnm.Print_Area" localSheetId="14">'12-19-2025'!$A$1:$V$97</definedName>
    <definedName name="_xlnm.Print_Area" localSheetId="15">'12-19-2025 (2)'!$A$1:$V$97</definedName>
    <definedName name="_xlnm.Print_Area" localSheetId="16">'12-22-2025'!$A$1:$V$97</definedName>
    <definedName name="_xlnm.Print_Area" localSheetId="17">'12-23-2025'!$A$1:$V$97</definedName>
    <definedName name="_xlnm.Print_Area" localSheetId="18">'12-24-2025'!$A$1:$V$97</definedName>
    <definedName name="_xlnm.Print_Area" localSheetId="19">'12-24-2025-B'!$A$1:$V$97</definedName>
    <definedName name="_xlnm.Print_Area" localSheetId="20">'12-26-2025'!$A$1:$V$97</definedName>
    <definedName name="_xlnm.Print_Area" localSheetId="21">'12-26-2025-B'!$A$1:$V$97</definedName>
    <definedName name="_xlnm.Print_Area" localSheetId="22">'12-27-2025'!$A$1:$V$97</definedName>
    <definedName name="_xlnm.Print_Area" localSheetId="23">'12-29-2025'!$A$1:$V$97</definedName>
    <definedName name="_xlnm.Print_Area" localSheetId="24">'12-31-2025'!$A$1:$V$97</definedName>
    <definedName name="_xlnm.Print_Area" localSheetId="25">'12-31-2025 (2)'!$A$1:$V$97</definedName>
    <definedName name="_xlnm.Print_Area" localSheetId="26">'12-31-2025 (4)'!$A$1:$V$97</definedName>
    <definedName name="_xlnm.Print_Area" localSheetId="27">'12-31-2025-3beer'!$A$1:$V$97</definedName>
    <definedName name="_xlnm.Print_Area" localSheetId="28">'12-31-2025-3nab'!$A$1:$V$97</definedName>
    <definedName name="_xlnm.Print_Area" localSheetId="29">'12-31-2025-3nab (2)'!$A$1:$V$97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9" i="177" l="1"/>
  <c r="W73" i="177"/>
  <c r="P71" i="177"/>
  <c r="H71" i="177"/>
  <c r="Q70" i="177"/>
  <c r="P70" i="177"/>
  <c r="I70" i="177"/>
  <c r="H70" i="177"/>
  <c r="E70" i="177"/>
  <c r="Q69" i="177"/>
  <c r="P69" i="177"/>
  <c r="I69" i="177"/>
  <c r="H69" i="177"/>
  <c r="E69" i="177"/>
  <c r="AD68" i="177"/>
  <c r="AC68" i="177"/>
  <c r="AB68" i="177"/>
  <c r="AE68" i="177" s="1"/>
  <c r="AI68" i="177" s="1"/>
  <c r="Y68" i="177" s="1"/>
  <c r="Z68" i="177"/>
  <c r="X68" i="177"/>
  <c r="W68" i="177"/>
  <c r="Q68" i="177"/>
  <c r="P68" i="177"/>
  <c r="H68" i="177"/>
  <c r="E68" i="177"/>
  <c r="I68" i="177" s="1"/>
  <c r="AD67" i="177"/>
  <c r="AC67" i="177"/>
  <c r="AB67" i="177"/>
  <c r="AE67" i="177" s="1"/>
  <c r="AI67" i="177" s="1"/>
  <c r="Y67" i="177" s="1"/>
  <c r="Z67" i="177"/>
  <c r="X67" i="177"/>
  <c r="Q67" i="177"/>
  <c r="P67" i="177"/>
  <c r="I67" i="177"/>
  <c r="H67" i="177"/>
  <c r="E67" i="177"/>
  <c r="AE66" i="177"/>
  <c r="AI66" i="177" s="1"/>
  <c r="Y66" i="177" s="1"/>
  <c r="AD66" i="177"/>
  <c r="AC66" i="177"/>
  <c r="AB66" i="177"/>
  <c r="Z66" i="177"/>
  <c r="X66" i="177"/>
  <c r="Q66" i="177"/>
  <c r="P66" i="177"/>
  <c r="I66" i="177"/>
  <c r="H66" i="177"/>
  <c r="E66" i="177"/>
  <c r="AD65" i="177"/>
  <c r="AC65" i="177"/>
  <c r="AB65" i="177"/>
  <c r="AE65" i="177" s="1"/>
  <c r="AI65" i="177" s="1"/>
  <c r="Y65" i="177" s="1"/>
  <c r="Z65" i="177"/>
  <c r="X65" i="177"/>
  <c r="Q65" i="177"/>
  <c r="P65" i="177"/>
  <c r="I65" i="177"/>
  <c r="H65" i="177"/>
  <c r="E65" i="177"/>
  <c r="AE64" i="177"/>
  <c r="AI64" i="177" s="1"/>
  <c r="Y64" i="177" s="1"/>
  <c r="AD64" i="177"/>
  <c r="AC64" i="177"/>
  <c r="AB64" i="177"/>
  <c r="Z64" i="177"/>
  <c r="X64" i="177"/>
  <c r="Q64" i="177"/>
  <c r="P64" i="177"/>
  <c r="H64" i="177"/>
  <c r="E64" i="177"/>
  <c r="I64" i="177" s="1"/>
  <c r="AD63" i="177"/>
  <c r="AC63" i="177"/>
  <c r="AB63" i="177"/>
  <c r="AE63" i="177" s="1"/>
  <c r="AI63" i="177" s="1"/>
  <c r="Y63" i="177" s="1"/>
  <c r="Z63" i="177"/>
  <c r="X63" i="177"/>
  <c r="Q63" i="177"/>
  <c r="P63" i="177"/>
  <c r="I63" i="177"/>
  <c r="H63" i="177"/>
  <c r="E63" i="177"/>
  <c r="AD62" i="177"/>
  <c r="AC62" i="177"/>
  <c r="AB62" i="177"/>
  <c r="AE62" i="177" s="1"/>
  <c r="AI62" i="177" s="1"/>
  <c r="Y62" i="177" s="1"/>
  <c r="Z62" i="177"/>
  <c r="X62" i="177"/>
  <c r="Q62" i="177"/>
  <c r="P62" i="177"/>
  <c r="I62" i="177"/>
  <c r="H62" i="177"/>
  <c r="E62" i="177"/>
  <c r="AC61" i="177"/>
  <c r="AE61" i="177" s="1"/>
  <c r="AI61" i="177" s="1"/>
  <c r="Y61" i="177" s="1"/>
  <c r="AB61" i="177"/>
  <c r="X61" i="177"/>
  <c r="Q61" i="177"/>
  <c r="P61" i="177"/>
  <c r="H61" i="177"/>
  <c r="E61" i="177"/>
  <c r="I61" i="177" s="1"/>
  <c r="AE60" i="177"/>
  <c r="AI60" i="177" s="1"/>
  <c r="Y60" i="177" s="1"/>
  <c r="X60" i="177"/>
  <c r="Q60" i="177"/>
  <c r="P60" i="177"/>
  <c r="I60" i="177"/>
  <c r="H60" i="177"/>
  <c r="E60" i="177"/>
  <c r="AC59" i="177"/>
  <c r="AB59" i="177"/>
  <c r="AE59" i="177" s="1"/>
  <c r="AI59" i="177" s="1"/>
  <c r="Y59" i="177" s="1"/>
  <c r="X59" i="177"/>
  <c r="Q59" i="177"/>
  <c r="P59" i="177"/>
  <c r="I59" i="177"/>
  <c r="H59" i="177"/>
  <c r="E59" i="177"/>
  <c r="AE58" i="177"/>
  <c r="AI58" i="177" s="1"/>
  <c r="Y58" i="177" s="1"/>
  <c r="AC58" i="177"/>
  <c r="AB58" i="177"/>
  <c r="X58" i="177"/>
  <c r="Q58" i="177"/>
  <c r="P58" i="177"/>
  <c r="E58" i="177"/>
  <c r="I58" i="177" s="1"/>
  <c r="AC57" i="177"/>
  <c r="AB57" i="177"/>
  <c r="AE57" i="177" s="1"/>
  <c r="AI57" i="177" s="1"/>
  <c r="Y57" i="177" s="1"/>
  <c r="X57" i="177"/>
  <c r="Q57" i="177"/>
  <c r="P57" i="177"/>
  <c r="I57" i="177"/>
  <c r="H57" i="177"/>
  <c r="E57" i="177"/>
  <c r="AD56" i="177"/>
  <c r="AC56" i="177"/>
  <c r="AB56" i="177"/>
  <c r="AE56" i="177" s="1"/>
  <c r="AI56" i="177" s="1"/>
  <c r="Y56" i="177" s="1"/>
  <c r="Z56" i="177"/>
  <c r="X56" i="177"/>
  <c r="Q56" i="177"/>
  <c r="P56" i="177"/>
  <c r="H56" i="177"/>
  <c r="E56" i="177"/>
  <c r="I56" i="177" s="1"/>
  <c r="AE55" i="177"/>
  <c r="AI55" i="177" s="1"/>
  <c r="Y55" i="177" s="1"/>
  <c r="AD55" i="177"/>
  <c r="AC55" i="177"/>
  <c r="AB55" i="177"/>
  <c r="Z55" i="177"/>
  <c r="X55" i="177"/>
  <c r="Q55" i="177"/>
  <c r="P55" i="177"/>
  <c r="I55" i="177"/>
  <c r="H55" i="177"/>
  <c r="E55" i="177"/>
  <c r="AD54" i="177"/>
  <c r="AC54" i="177"/>
  <c r="AB54" i="177"/>
  <c r="AE54" i="177" s="1"/>
  <c r="AI54" i="177" s="1"/>
  <c r="Y54" i="177" s="1"/>
  <c r="Z54" i="177"/>
  <c r="X54" i="177"/>
  <c r="Q54" i="177"/>
  <c r="P54" i="177"/>
  <c r="H54" i="177"/>
  <c r="E54" i="177"/>
  <c r="I54" i="177" s="1"/>
  <c r="AE53" i="177"/>
  <c r="AI53" i="177" s="1"/>
  <c r="Y53" i="177" s="1"/>
  <c r="AD53" i="177"/>
  <c r="AC53" i="177"/>
  <c r="AB53" i="177"/>
  <c r="Z53" i="177"/>
  <c r="X53" i="177"/>
  <c r="Q53" i="177"/>
  <c r="P53" i="177"/>
  <c r="H53" i="177"/>
  <c r="E53" i="177"/>
  <c r="I53" i="177" s="1"/>
  <c r="AE52" i="177"/>
  <c r="AI52" i="177" s="1"/>
  <c r="Y52" i="177" s="1"/>
  <c r="Z52" i="177"/>
  <c r="X52" i="177"/>
  <c r="Q52" i="177"/>
  <c r="P52" i="177"/>
  <c r="I52" i="177"/>
  <c r="H52" i="177"/>
  <c r="E52" i="177"/>
  <c r="AD51" i="177"/>
  <c r="AC51" i="177"/>
  <c r="AB51" i="177"/>
  <c r="AE51" i="177" s="1"/>
  <c r="AI51" i="177" s="1"/>
  <c r="Y51" i="177" s="1"/>
  <c r="Z51" i="177"/>
  <c r="X51" i="177"/>
  <c r="Q51" i="177"/>
  <c r="P51" i="177"/>
  <c r="I51" i="177"/>
  <c r="H51" i="177"/>
  <c r="E51" i="177"/>
  <c r="AD50" i="177"/>
  <c r="AC50" i="177"/>
  <c r="AE50" i="177" s="1"/>
  <c r="AI50" i="177" s="1"/>
  <c r="Y50" i="177" s="1"/>
  <c r="AB50" i="177"/>
  <c r="Z50" i="177"/>
  <c r="X50" i="177"/>
  <c r="Q50" i="177"/>
  <c r="P50" i="177"/>
  <c r="I50" i="177"/>
  <c r="H50" i="177"/>
  <c r="E50" i="177"/>
  <c r="AI49" i="177"/>
  <c r="Y49" i="177" s="1"/>
  <c r="AE49" i="177"/>
  <c r="Z49" i="177"/>
  <c r="X49" i="177"/>
  <c r="Q49" i="177"/>
  <c r="P49" i="177"/>
  <c r="H49" i="177"/>
  <c r="E49" i="177"/>
  <c r="I49" i="177" s="1"/>
  <c r="AI48" i="177"/>
  <c r="Y48" i="177" s="1"/>
  <c r="AE48" i="177"/>
  <c r="Z48" i="177"/>
  <c r="X48" i="177"/>
  <c r="Q48" i="177"/>
  <c r="P48" i="177"/>
  <c r="I48" i="177"/>
  <c r="H48" i="177"/>
  <c r="E48" i="177"/>
  <c r="AI47" i="177"/>
  <c r="Y47" i="177" s="1"/>
  <c r="AE47" i="177"/>
  <c r="Z47" i="177"/>
  <c r="X47" i="177"/>
  <c r="Q47" i="177"/>
  <c r="P47" i="177"/>
  <c r="H47" i="177"/>
  <c r="E47" i="177"/>
  <c r="I47" i="177" s="1"/>
  <c r="AD46" i="177"/>
  <c r="AE46" i="177" s="1"/>
  <c r="AI46" i="177" s="1"/>
  <c r="Y46" i="177" s="1"/>
  <c r="AC46" i="177"/>
  <c r="AB46" i="177"/>
  <c r="Z46" i="177"/>
  <c r="X46" i="177"/>
  <c r="Q46" i="177"/>
  <c r="P46" i="177"/>
  <c r="H46" i="177"/>
  <c r="E46" i="177"/>
  <c r="I46" i="177" s="1"/>
  <c r="AD45" i="177"/>
  <c r="AC45" i="177"/>
  <c r="AE45" i="177" s="1"/>
  <c r="AI45" i="177" s="1"/>
  <c r="Y45" i="177" s="1"/>
  <c r="AB45" i="177"/>
  <c r="Z45" i="177"/>
  <c r="X45" i="177"/>
  <c r="Q45" i="177"/>
  <c r="P45" i="177"/>
  <c r="H45" i="177"/>
  <c r="E45" i="177"/>
  <c r="I45" i="177" s="1"/>
  <c r="AD44" i="177"/>
  <c r="AC44" i="177"/>
  <c r="AB44" i="177"/>
  <c r="AE44" i="177" s="1"/>
  <c r="AI44" i="177" s="1"/>
  <c r="Y44" i="177" s="1"/>
  <c r="Z44" i="177"/>
  <c r="X44" i="177"/>
  <c r="Q44" i="177"/>
  <c r="P44" i="177"/>
  <c r="H44" i="177"/>
  <c r="E44" i="177"/>
  <c r="I44" i="177" s="1"/>
  <c r="AE43" i="177"/>
  <c r="AI43" i="177" s="1"/>
  <c r="Y43" i="177" s="1"/>
  <c r="AD43" i="177"/>
  <c r="AC43" i="177"/>
  <c r="AB43" i="177"/>
  <c r="Z43" i="177"/>
  <c r="X43" i="177"/>
  <c r="Q43" i="177"/>
  <c r="P43" i="177"/>
  <c r="I43" i="177"/>
  <c r="H43" i="177"/>
  <c r="E43" i="177"/>
  <c r="AD42" i="177"/>
  <c r="AC42" i="177"/>
  <c r="AB42" i="177"/>
  <c r="AE42" i="177" s="1"/>
  <c r="AI42" i="177" s="1"/>
  <c r="Y42" i="177" s="1"/>
  <c r="Z42" i="177"/>
  <c r="X42" i="177"/>
  <c r="Q42" i="177"/>
  <c r="P42" i="177"/>
  <c r="H42" i="177"/>
  <c r="E42" i="177"/>
  <c r="I42" i="177" s="1"/>
  <c r="AE41" i="177"/>
  <c r="AI41" i="177" s="1"/>
  <c r="Y41" i="177" s="1"/>
  <c r="AD41" i="177"/>
  <c r="AC41" i="177"/>
  <c r="AB41" i="177"/>
  <c r="Z41" i="177"/>
  <c r="X41" i="177"/>
  <c r="Q41" i="177"/>
  <c r="P41" i="177"/>
  <c r="H41" i="177"/>
  <c r="E41" i="177"/>
  <c r="I41" i="177" s="1"/>
  <c r="AD40" i="177"/>
  <c r="AC40" i="177"/>
  <c r="AB40" i="177"/>
  <c r="AE40" i="177" s="1"/>
  <c r="AI40" i="177" s="1"/>
  <c r="Y40" i="177" s="1"/>
  <c r="Z40" i="177"/>
  <c r="X40" i="177"/>
  <c r="Q40" i="177"/>
  <c r="P40" i="177"/>
  <c r="I40" i="177"/>
  <c r="H40" i="177"/>
  <c r="E40" i="177"/>
  <c r="AE39" i="177"/>
  <c r="AI39" i="177" s="1"/>
  <c r="Y39" i="177" s="1"/>
  <c r="AD39" i="177"/>
  <c r="AC39" i="177"/>
  <c r="AB39" i="177"/>
  <c r="Z39" i="177"/>
  <c r="X39" i="177"/>
  <c r="Q39" i="177"/>
  <c r="P39" i="177"/>
  <c r="I39" i="177"/>
  <c r="H39" i="177"/>
  <c r="E39" i="177"/>
  <c r="AD38" i="177"/>
  <c r="AC38" i="177"/>
  <c r="AB38" i="177"/>
  <c r="AE38" i="177" s="1"/>
  <c r="AI38" i="177" s="1"/>
  <c r="Y38" i="177" s="1"/>
  <c r="Z38" i="177"/>
  <c r="X38" i="177"/>
  <c r="Q38" i="177"/>
  <c r="P38" i="177"/>
  <c r="I38" i="177"/>
  <c r="H38" i="177"/>
  <c r="E38" i="177"/>
  <c r="AD37" i="177"/>
  <c r="AC37" i="177"/>
  <c r="AE37" i="177" s="1"/>
  <c r="AI37" i="177" s="1"/>
  <c r="Y37" i="177" s="1"/>
  <c r="AB37" i="177"/>
  <c r="Z37" i="177"/>
  <c r="X37" i="177"/>
  <c r="Q37" i="177"/>
  <c r="P37" i="177"/>
  <c r="I37" i="177"/>
  <c r="H37" i="177"/>
  <c r="E37" i="177"/>
  <c r="AD36" i="177"/>
  <c r="AC36" i="177"/>
  <c r="AB36" i="177"/>
  <c r="AE36" i="177" s="1"/>
  <c r="AI36" i="177" s="1"/>
  <c r="Y36" i="177" s="1"/>
  <c r="Z36" i="177"/>
  <c r="X36" i="177"/>
  <c r="Q36" i="177"/>
  <c r="P36" i="177"/>
  <c r="I36" i="177"/>
  <c r="H36" i="177"/>
  <c r="E36" i="177"/>
  <c r="AD35" i="177"/>
  <c r="AC35" i="177"/>
  <c r="AE35" i="177" s="1"/>
  <c r="AI35" i="177" s="1"/>
  <c r="Y35" i="177" s="1"/>
  <c r="AB35" i="177"/>
  <c r="Z35" i="177"/>
  <c r="X35" i="177"/>
  <c r="Q35" i="177"/>
  <c r="P35" i="177"/>
  <c r="H35" i="177"/>
  <c r="E35" i="177"/>
  <c r="I35" i="177" s="1"/>
  <c r="AD34" i="177"/>
  <c r="AC34" i="177"/>
  <c r="AB34" i="177"/>
  <c r="AE34" i="177" s="1"/>
  <c r="AI34" i="177" s="1"/>
  <c r="Y34" i="177" s="1"/>
  <c r="Z34" i="177"/>
  <c r="X34" i="177"/>
  <c r="Q34" i="177"/>
  <c r="P34" i="177"/>
  <c r="H34" i="177"/>
  <c r="E34" i="177"/>
  <c r="I34" i="177" s="1"/>
  <c r="AD33" i="177"/>
  <c r="AC33" i="177"/>
  <c r="AB33" i="177"/>
  <c r="AE33" i="177" s="1"/>
  <c r="AI33" i="177" s="1"/>
  <c r="Y33" i="177" s="1"/>
  <c r="Z33" i="177"/>
  <c r="X33" i="177"/>
  <c r="Q33" i="177"/>
  <c r="P33" i="177"/>
  <c r="I33" i="177"/>
  <c r="H33" i="177"/>
  <c r="E33" i="177"/>
  <c r="AD32" i="177"/>
  <c r="AE32" i="177" s="1"/>
  <c r="AI32" i="177" s="1"/>
  <c r="Y32" i="177" s="1"/>
  <c r="AC32" i="177"/>
  <c r="AB32" i="177"/>
  <c r="Z32" i="177"/>
  <c r="X32" i="177"/>
  <c r="Q32" i="177"/>
  <c r="P32" i="177"/>
  <c r="H32" i="177"/>
  <c r="E32" i="177"/>
  <c r="I32" i="177" s="1"/>
  <c r="AE31" i="177"/>
  <c r="AI31" i="177" s="1"/>
  <c r="Y31" i="177" s="1"/>
  <c r="Z31" i="177"/>
  <c r="X31" i="177"/>
  <c r="Q31" i="177"/>
  <c r="P31" i="177"/>
  <c r="H31" i="177"/>
  <c r="E31" i="177"/>
  <c r="I31" i="177" s="1"/>
  <c r="AD30" i="177"/>
  <c r="AC30" i="177"/>
  <c r="AE30" i="177" s="1"/>
  <c r="AI30" i="177" s="1"/>
  <c r="Y30" i="177" s="1"/>
  <c r="AB30" i="177"/>
  <c r="Z30" i="177"/>
  <c r="X30" i="177"/>
  <c r="Q30" i="177"/>
  <c r="P30" i="177"/>
  <c r="I30" i="177"/>
  <c r="H30" i="177"/>
  <c r="E30" i="177"/>
  <c r="AD29" i="177"/>
  <c r="AC29" i="177"/>
  <c r="AB29" i="177"/>
  <c r="AE29" i="177" s="1"/>
  <c r="AI29" i="177" s="1"/>
  <c r="Y29" i="177" s="1"/>
  <c r="Z29" i="177"/>
  <c r="X29" i="177"/>
  <c r="Q29" i="177"/>
  <c r="P29" i="177"/>
  <c r="H29" i="177"/>
  <c r="E29" i="177"/>
  <c r="I29" i="177" s="1"/>
  <c r="AE28" i="177"/>
  <c r="AI28" i="177" s="1"/>
  <c r="Y28" i="177" s="1"/>
  <c r="AD28" i="177"/>
  <c r="AC28" i="177"/>
  <c r="AB28" i="177"/>
  <c r="Z28" i="177"/>
  <c r="X28" i="177"/>
  <c r="Q28" i="177"/>
  <c r="P28" i="177"/>
  <c r="I28" i="177"/>
  <c r="H28" i="177"/>
  <c r="E28" i="177"/>
  <c r="AD27" i="177"/>
  <c r="AC27" i="177"/>
  <c r="AB27" i="177"/>
  <c r="AE27" i="177" s="1"/>
  <c r="AI27" i="177" s="1"/>
  <c r="Y27" i="177" s="1"/>
  <c r="Z27" i="177"/>
  <c r="X27" i="177"/>
  <c r="Q27" i="177"/>
  <c r="P27" i="177"/>
  <c r="H27" i="177"/>
  <c r="E27" i="177"/>
  <c r="I27" i="177" s="1"/>
  <c r="AE26" i="177"/>
  <c r="AI26" i="177" s="1"/>
  <c r="Y26" i="177" s="1"/>
  <c r="AD26" i="177"/>
  <c r="AC26" i="177"/>
  <c r="AB26" i="177"/>
  <c r="Z26" i="177"/>
  <c r="X26" i="177"/>
  <c r="Q26" i="177"/>
  <c r="P26" i="177"/>
  <c r="H26" i="177"/>
  <c r="E26" i="177"/>
  <c r="I26" i="177" s="1"/>
  <c r="AD25" i="177"/>
  <c r="AC25" i="177"/>
  <c r="AB25" i="177"/>
  <c r="AE25" i="177" s="1"/>
  <c r="AI25" i="177" s="1"/>
  <c r="Y25" i="177" s="1"/>
  <c r="Z25" i="177"/>
  <c r="X25" i="177"/>
  <c r="Q25" i="177"/>
  <c r="P25" i="177"/>
  <c r="I25" i="177"/>
  <c r="H25" i="177"/>
  <c r="E25" i="177"/>
  <c r="AE24" i="177"/>
  <c r="AI24" i="177" s="1"/>
  <c r="Y24" i="177" s="1"/>
  <c r="AD24" i="177"/>
  <c r="AC24" i="177"/>
  <c r="AB24" i="177"/>
  <c r="Z24" i="177"/>
  <c r="X24" i="177"/>
  <c r="Q24" i="177"/>
  <c r="P24" i="177"/>
  <c r="I24" i="177"/>
  <c r="H24" i="177"/>
  <c r="E24" i="177"/>
  <c r="AD23" i="177"/>
  <c r="AC23" i="177"/>
  <c r="AB23" i="177"/>
  <c r="AE23" i="177" s="1"/>
  <c r="AI23" i="177" s="1"/>
  <c r="Y23" i="177" s="1"/>
  <c r="Z23" i="177"/>
  <c r="X23" i="177"/>
  <c r="Q23" i="177"/>
  <c r="P23" i="177"/>
  <c r="I23" i="177"/>
  <c r="H23" i="177"/>
  <c r="E23" i="177"/>
  <c r="AE22" i="177"/>
  <c r="AI22" i="177" s="1"/>
  <c r="Y22" i="177" s="1"/>
  <c r="AD22" i="177"/>
  <c r="AC22" i="177"/>
  <c r="AB22" i="177"/>
  <c r="Z22" i="177"/>
  <c r="X22" i="177"/>
  <c r="Q22" i="177"/>
  <c r="P22" i="177"/>
  <c r="I22" i="177"/>
  <c r="H22" i="177"/>
  <c r="E22" i="177"/>
  <c r="AD21" i="177"/>
  <c r="AC21" i="177"/>
  <c r="AB21" i="177"/>
  <c r="AE21" i="177" s="1"/>
  <c r="AI21" i="177" s="1"/>
  <c r="Y21" i="177" s="1"/>
  <c r="Z21" i="177"/>
  <c r="X21" i="177"/>
  <c r="Q21" i="177"/>
  <c r="P21" i="177"/>
  <c r="I21" i="177"/>
  <c r="H21" i="177"/>
  <c r="E21" i="177"/>
  <c r="AD20" i="177"/>
  <c r="AC20" i="177"/>
  <c r="AE20" i="177" s="1"/>
  <c r="AI20" i="177" s="1"/>
  <c r="Y20" i="177" s="1"/>
  <c r="AB20" i="177"/>
  <c r="Z20" i="177"/>
  <c r="X20" i="177"/>
  <c r="Q20" i="177"/>
  <c r="P20" i="177"/>
  <c r="H20" i="177"/>
  <c r="E20" i="177"/>
  <c r="I20" i="177" s="1"/>
  <c r="AD19" i="177"/>
  <c r="AC19" i="177"/>
  <c r="AB19" i="177"/>
  <c r="AE19" i="177" s="1"/>
  <c r="AI19" i="177" s="1"/>
  <c r="Y19" i="177" s="1"/>
  <c r="Z19" i="177"/>
  <c r="X19" i="177"/>
  <c r="Q19" i="177"/>
  <c r="P19" i="177"/>
  <c r="I19" i="177"/>
  <c r="H19" i="177"/>
  <c r="E19" i="177"/>
  <c r="AD18" i="177"/>
  <c r="AC18" i="177"/>
  <c r="AB18" i="177"/>
  <c r="AE18" i="177" s="1"/>
  <c r="AI18" i="177" s="1"/>
  <c r="Y18" i="177" s="1"/>
  <c r="Z18" i="177"/>
  <c r="X18" i="177"/>
  <c r="Q18" i="177"/>
  <c r="P18" i="177"/>
  <c r="I18" i="177"/>
  <c r="H18" i="177"/>
  <c r="E18" i="177"/>
  <c r="AD17" i="177"/>
  <c r="AE17" i="177" s="1"/>
  <c r="AI17" i="177" s="1"/>
  <c r="Y17" i="177" s="1"/>
  <c r="AC17" i="177"/>
  <c r="AB17" i="177"/>
  <c r="Z17" i="177"/>
  <c r="X17" i="177"/>
  <c r="Q17" i="177"/>
  <c r="P17" i="177"/>
  <c r="H17" i="177"/>
  <c r="E17" i="177"/>
  <c r="I17" i="177" s="1"/>
  <c r="AD16" i="177"/>
  <c r="AC16" i="177"/>
  <c r="AE16" i="177" s="1"/>
  <c r="AI16" i="177" s="1"/>
  <c r="Y16" i="177" s="1"/>
  <c r="AB16" i="177"/>
  <c r="Z16" i="177"/>
  <c r="X16" i="177"/>
  <c r="Q16" i="177"/>
  <c r="P16" i="177"/>
  <c r="E16" i="177"/>
  <c r="I16" i="177" s="1"/>
  <c r="AD15" i="177"/>
  <c r="AC15" i="177"/>
  <c r="AE15" i="177" s="1"/>
  <c r="AI15" i="177" s="1"/>
  <c r="Y15" i="177" s="1"/>
  <c r="AB15" i="177"/>
  <c r="Z15" i="177"/>
  <c r="X15" i="177"/>
  <c r="Q15" i="177"/>
  <c r="P15" i="177"/>
  <c r="E15" i="177"/>
  <c r="I15" i="177" s="1"/>
  <c r="AD14" i="177"/>
  <c r="AC14" i="177"/>
  <c r="AB14" i="177"/>
  <c r="AE14" i="177" s="1"/>
  <c r="AI14" i="177" s="1"/>
  <c r="Y14" i="177" s="1"/>
  <c r="Z14" i="177"/>
  <c r="X14" i="177"/>
  <c r="Q14" i="177"/>
  <c r="P14" i="177"/>
  <c r="H14" i="177"/>
  <c r="E14" i="177"/>
  <c r="I14" i="177" s="1"/>
  <c r="AD13" i="177"/>
  <c r="AC13" i="177"/>
  <c r="AB13" i="177"/>
  <c r="AE13" i="177" s="1"/>
  <c r="AI13" i="177" s="1"/>
  <c r="Y13" i="177" s="1"/>
  <c r="Z13" i="177"/>
  <c r="X13" i="177"/>
  <c r="Q13" i="177"/>
  <c r="P13" i="177"/>
  <c r="I13" i="177"/>
  <c r="H13" i="177"/>
  <c r="E13" i="177"/>
  <c r="AD12" i="177"/>
  <c r="AC12" i="177"/>
  <c r="AE12" i="177" s="1"/>
  <c r="AI12" i="177" s="1"/>
  <c r="Y12" i="177" s="1"/>
  <c r="AB12" i="177"/>
  <c r="Z12" i="177"/>
  <c r="T75" i="177" s="1"/>
  <c r="X12" i="177"/>
  <c r="T77" i="177" s="1"/>
  <c r="Q12" i="177"/>
  <c r="P12" i="177"/>
  <c r="I12" i="177"/>
  <c r="H12" i="177"/>
  <c r="E12" i="177"/>
  <c r="O75" i="177" l="1"/>
  <c r="O73" i="177"/>
  <c r="T73" i="177"/>
  <c r="T79" i="177" s="1"/>
  <c r="F73" i="177"/>
  <c r="F75" i="177"/>
  <c r="M79" i="176"/>
  <c r="W73" i="176"/>
  <c r="P71" i="176"/>
  <c r="Q70" i="176"/>
  <c r="P70" i="176"/>
  <c r="I70" i="176"/>
  <c r="H70" i="176"/>
  <c r="E70" i="176"/>
  <c r="Q69" i="176"/>
  <c r="P69" i="176"/>
  <c r="I69" i="176"/>
  <c r="H69" i="176"/>
  <c r="E69" i="176"/>
  <c r="AI68" i="176"/>
  <c r="Y68" i="176" s="1"/>
  <c r="AE68" i="176"/>
  <c r="AD68" i="176"/>
  <c r="AC68" i="176"/>
  <c r="AB68" i="176"/>
  <c r="Z68" i="176"/>
  <c r="X68" i="176"/>
  <c r="W68" i="176"/>
  <c r="Q68" i="176"/>
  <c r="P68" i="176"/>
  <c r="H68" i="176"/>
  <c r="E68" i="176"/>
  <c r="I68" i="176" s="1"/>
  <c r="AD67" i="176"/>
  <c r="AC67" i="176"/>
  <c r="AB67" i="176"/>
  <c r="AE67" i="176" s="1"/>
  <c r="AI67" i="176" s="1"/>
  <c r="Y67" i="176" s="1"/>
  <c r="Z67" i="176"/>
  <c r="X67" i="176"/>
  <c r="Q67" i="176"/>
  <c r="P67" i="176"/>
  <c r="I67" i="176"/>
  <c r="H67" i="176"/>
  <c r="E67" i="176"/>
  <c r="AE66" i="176"/>
  <c r="AI66" i="176" s="1"/>
  <c r="Y66" i="176" s="1"/>
  <c r="AD66" i="176"/>
  <c r="AC66" i="176"/>
  <c r="AB66" i="176"/>
  <c r="Z66" i="176"/>
  <c r="X66" i="176"/>
  <c r="Q66" i="176"/>
  <c r="P66" i="176"/>
  <c r="H66" i="176"/>
  <c r="E66" i="176"/>
  <c r="I66" i="176" s="1"/>
  <c r="AD65" i="176"/>
  <c r="AC65" i="176"/>
  <c r="AB65" i="176"/>
  <c r="AE65" i="176" s="1"/>
  <c r="AI65" i="176" s="1"/>
  <c r="Y65" i="176" s="1"/>
  <c r="Z65" i="176"/>
  <c r="X65" i="176"/>
  <c r="Q65" i="176"/>
  <c r="P65" i="176"/>
  <c r="H65" i="176"/>
  <c r="E65" i="176"/>
  <c r="I65" i="176" s="1"/>
  <c r="AD64" i="176"/>
  <c r="AC64" i="176"/>
  <c r="AB64" i="176"/>
  <c r="AE64" i="176" s="1"/>
  <c r="AI64" i="176" s="1"/>
  <c r="Y64" i="176" s="1"/>
  <c r="Z64" i="176"/>
  <c r="X64" i="176"/>
  <c r="Q64" i="176"/>
  <c r="P64" i="176"/>
  <c r="H64" i="176"/>
  <c r="E64" i="176"/>
  <c r="I64" i="176" s="1"/>
  <c r="AD63" i="176"/>
  <c r="AC63" i="176"/>
  <c r="AB63" i="176"/>
  <c r="AE63" i="176" s="1"/>
  <c r="AI63" i="176" s="1"/>
  <c r="Y63" i="176" s="1"/>
  <c r="Z63" i="176"/>
  <c r="X63" i="176"/>
  <c r="Q63" i="176"/>
  <c r="P63" i="176"/>
  <c r="I63" i="176"/>
  <c r="H63" i="176"/>
  <c r="E63" i="176"/>
  <c r="AE62" i="176"/>
  <c r="AI62" i="176" s="1"/>
  <c r="Y62" i="176" s="1"/>
  <c r="AD62" i="176"/>
  <c r="AC62" i="176"/>
  <c r="AB62" i="176"/>
  <c r="Z62" i="176"/>
  <c r="X62" i="176"/>
  <c r="Q62" i="176"/>
  <c r="P62" i="176"/>
  <c r="I62" i="176"/>
  <c r="H62" i="176"/>
  <c r="E62" i="176"/>
  <c r="AC61" i="176"/>
  <c r="AE61" i="176" s="1"/>
  <c r="AI61" i="176" s="1"/>
  <c r="Y61" i="176" s="1"/>
  <c r="AB61" i="176"/>
  <c r="X61" i="176"/>
  <c r="Q61" i="176"/>
  <c r="P61" i="176"/>
  <c r="H61" i="176"/>
  <c r="E61" i="176"/>
  <c r="I61" i="176" s="1"/>
  <c r="AE60" i="176"/>
  <c r="AI60" i="176" s="1"/>
  <c r="Y60" i="176" s="1"/>
  <c r="X60" i="176"/>
  <c r="Q60" i="176"/>
  <c r="P60" i="176"/>
  <c r="I60" i="176"/>
  <c r="H60" i="176"/>
  <c r="E60" i="176"/>
  <c r="AI59" i="176"/>
  <c r="Y59" i="176" s="1"/>
  <c r="AE59" i="176"/>
  <c r="AC59" i="176"/>
  <c r="AB59" i="176"/>
  <c r="X59" i="176"/>
  <c r="Q59" i="176"/>
  <c r="P59" i="176"/>
  <c r="I59" i="176"/>
  <c r="H59" i="176"/>
  <c r="E59" i="176"/>
  <c r="AE58" i="176"/>
  <c r="AI58" i="176" s="1"/>
  <c r="Y58" i="176" s="1"/>
  <c r="AC58" i="176"/>
  <c r="AB58" i="176"/>
  <c r="X58" i="176"/>
  <c r="Q58" i="176"/>
  <c r="P58" i="176"/>
  <c r="E58" i="176"/>
  <c r="I58" i="176" s="1"/>
  <c r="AC57" i="176"/>
  <c r="AB57" i="176"/>
  <c r="AE57" i="176" s="1"/>
  <c r="AI57" i="176" s="1"/>
  <c r="Y57" i="176" s="1"/>
  <c r="X57" i="176"/>
  <c r="Q57" i="176"/>
  <c r="P57" i="176"/>
  <c r="I57" i="176"/>
  <c r="H57" i="176"/>
  <c r="E57" i="176"/>
  <c r="AI56" i="176"/>
  <c r="Y56" i="176" s="1"/>
  <c r="AE56" i="176"/>
  <c r="AD56" i="176"/>
  <c r="AC56" i="176"/>
  <c r="AB56" i="176"/>
  <c r="Z56" i="176"/>
  <c r="X56" i="176"/>
  <c r="Q56" i="176"/>
  <c r="P56" i="176"/>
  <c r="H56" i="176"/>
  <c r="E56" i="176"/>
  <c r="I56" i="176" s="1"/>
  <c r="AD55" i="176"/>
  <c r="AC55" i="176"/>
  <c r="AE55" i="176" s="1"/>
  <c r="AI55" i="176" s="1"/>
  <c r="Y55" i="176" s="1"/>
  <c r="AB55" i="176"/>
  <c r="Z55" i="176"/>
  <c r="X55" i="176"/>
  <c r="Q55" i="176"/>
  <c r="P55" i="176"/>
  <c r="I55" i="176"/>
  <c r="H55" i="176"/>
  <c r="E55" i="176"/>
  <c r="AD54" i="176"/>
  <c r="AC54" i="176"/>
  <c r="AB54" i="176"/>
  <c r="AE54" i="176" s="1"/>
  <c r="AI54" i="176" s="1"/>
  <c r="Y54" i="176" s="1"/>
  <c r="Z54" i="176"/>
  <c r="X54" i="176"/>
  <c r="Q54" i="176"/>
  <c r="P54" i="176"/>
  <c r="H54" i="176"/>
  <c r="E54" i="176"/>
  <c r="I54" i="176" s="1"/>
  <c r="AE53" i="176"/>
  <c r="AI53" i="176" s="1"/>
  <c r="Y53" i="176" s="1"/>
  <c r="AD53" i="176"/>
  <c r="AC53" i="176"/>
  <c r="AB53" i="176"/>
  <c r="Z53" i="176"/>
  <c r="X53" i="176"/>
  <c r="Q53" i="176"/>
  <c r="P53" i="176"/>
  <c r="I53" i="176"/>
  <c r="H53" i="176"/>
  <c r="E53" i="176"/>
  <c r="AE52" i="176"/>
  <c r="AI52" i="176" s="1"/>
  <c r="Y52" i="176" s="1"/>
  <c r="Z52" i="176"/>
  <c r="X52" i="176"/>
  <c r="Q52" i="176"/>
  <c r="P52" i="176"/>
  <c r="H52" i="176"/>
  <c r="E52" i="176"/>
  <c r="I52" i="176" s="1"/>
  <c r="AD51" i="176"/>
  <c r="AC51" i="176"/>
  <c r="AB51" i="176"/>
  <c r="AE51" i="176" s="1"/>
  <c r="AI51" i="176" s="1"/>
  <c r="Y51" i="176" s="1"/>
  <c r="Z51" i="176"/>
  <c r="X51" i="176"/>
  <c r="Q51" i="176"/>
  <c r="P51" i="176"/>
  <c r="I51" i="176"/>
  <c r="H51" i="176"/>
  <c r="E51" i="176"/>
  <c r="AE50" i="176"/>
  <c r="AI50" i="176" s="1"/>
  <c r="Y50" i="176" s="1"/>
  <c r="AD50" i="176"/>
  <c r="AC50" i="176"/>
  <c r="AB50" i="176"/>
  <c r="Z50" i="176"/>
  <c r="X50" i="176"/>
  <c r="Q50" i="176"/>
  <c r="P50" i="176"/>
  <c r="H50" i="176"/>
  <c r="E50" i="176"/>
  <c r="I50" i="176" s="1"/>
  <c r="AI49" i="176"/>
  <c r="Y49" i="176" s="1"/>
  <c r="AE49" i="176"/>
  <c r="Z49" i="176"/>
  <c r="X49" i="176"/>
  <c r="Q49" i="176"/>
  <c r="P49" i="176"/>
  <c r="H49" i="176"/>
  <c r="E49" i="176"/>
  <c r="I49" i="176" s="1"/>
  <c r="AI48" i="176"/>
  <c r="AE48" i="176"/>
  <c r="Z48" i="176"/>
  <c r="Y48" i="176"/>
  <c r="X48" i="176"/>
  <c r="Q48" i="176"/>
  <c r="P48" i="176"/>
  <c r="I48" i="176"/>
  <c r="H48" i="176"/>
  <c r="E48" i="176"/>
  <c r="AI47" i="176"/>
  <c r="Y47" i="176" s="1"/>
  <c r="AE47" i="176"/>
  <c r="Z47" i="176"/>
  <c r="X47" i="176"/>
  <c r="Q47" i="176"/>
  <c r="P47" i="176"/>
  <c r="H47" i="176"/>
  <c r="E47" i="176"/>
  <c r="I47" i="176" s="1"/>
  <c r="AD46" i="176"/>
  <c r="AE46" i="176" s="1"/>
  <c r="AI46" i="176" s="1"/>
  <c r="Y46" i="176" s="1"/>
  <c r="AC46" i="176"/>
  <c r="AB46" i="176"/>
  <c r="Z46" i="176"/>
  <c r="X46" i="176"/>
  <c r="Q46" i="176"/>
  <c r="P46" i="176"/>
  <c r="I46" i="176"/>
  <c r="H46" i="176"/>
  <c r="E46" i="176"/>
  <c r="AD45" i="176"/>
  <c r="AC45" i="176"/>
  <c r="AB45" i="176"/>
  <c r="AE45" i="176" s="1"/>
  <c r="AI45" i="176" s="1"/>
  <c r="Y45" i="176" s="1"/>
  <c r="Z45" i="176"/>
  <c r="X45" i="176"/>
  <c r="Q45" i="176"/>
  <c r="P45" i="176"/>
  <c r="I45" i="176"/>
  <c r="H45" i="176"/>
  <c r="E45" i="176"/>
  <c r="AI44" i="176"/>
  <c r="Y44" i="176" s="1"/>
  <c r="AE44" i="176"/>
  <c r="AD44" i="176"/>
  <c r="AC44" i="176"/>
  <c r="AB44" i="176"/>
  <c r="Z44" i="176"/>
  <c r="X44" i="176"/>
  <c r="Q44" i="176"/>
  <c r="P44" i="176"/>
  <c r="H44" i="176"/>
  <c r="E44" i="176"/>
  <c r="I44" i="176" s="1"/>
  <c r="AD43" i="176"/>
  <c r="AC43" i="176"/>
  <c r="AE43" i="176" s="1"/>
  <c r="AI43" i="176" s="1"/>
  <c r="Y43" i="176" s="1"/>
  <c r="AB43" i="176"/>
  <c r="Z43" i="176"/>
  <c r="X43" i="176"/>
  <c r="Q43" i="176"/>
  <c r="P43" i="176"/>
  <c r="I43" i="176"/>
  <c r="H43" i="176"/>
  <c r="E43" i="176"/>
  <c r="AD42" i="176"/>
  <c r="AC42" i="176"/>
  <c r="AB42" i="176"/>
  <c r="AE42" i="176" s="1"/>
  <c r="AI42" i="176" s="1"/>
  <c r="Y42" i="176" s="1"/>
  <c r="Z42" i="176"/>
  <c r="X42" i="176"/>
  <c r="Q42" i="176"/>
  <c r="P42" i="176"/>
  <c r="H42" i="176"/>
  <c r="E42" i="176"/>
  <c r="I42" i="176" s="1"/>
  <c r="AE41" i="176"/>
  <c r="AI41" i="176" s="1"/>
  <c r="Y41" i="176" s="1"/>
  <c r="AD41" i="176"/>
  <c r="AC41" i="176"/>
  <c r="AB41" i="176"/>
  <c r="Z41" i="176"/>
  <c r="X41" i="176"/>
  <c r="Q41" i="176"/>
  <c r="P41" i="176"/>
  <c r="I41" i="176"/>
  <c r="H41" i="176"/>
  <c r="E41" i="176"/>
  <c r="AD40" i="176"/>
  <c r="AC40" i="176"/>
  <c r="AB40" i="176"/>
  <c r="AE40" i="176" s="1"/>
  <c r="AI40" i="176" s="1"/>
  <c r="Y40" i="176" s="1"/>
  <c r="Z40" i="176"/>
  <c r="X40" i="176"/>
  <c r="Q40" i="176"/>
  <c r="P40" i="176"/>
  <c r="H40" i="176"/>
  <c r="E40" i="176"/>
  <c r="I40" i="176" s="1"/>
  <c r="AD39" i="176"/>
  <c r="AC39" i="176"/>
  <c r="AB39" i="176"/>
  <c r="AE39" i="176" s="1"/>
  <c r="AI39" i="176" s="1"/>
  <c r="Y39" i="176" s="1"/>
  <c r="Z39" i="176"/>
  <c r="X39" i="176"/>
  <c r="Q39" i="176"/>
  <c r="P39" i="176"/>
  <c r="H39" i="176"/>
  <c r="H71" i="176"/>
  <c r="E39" i="176"/>
  <c r="I39" i="176" s="1"/>
  <c r="AE38" i="176"/>
  <c r="AI38" i="176" s="1"/>
  <c r="Y38" i="176" s="1"/>
  <c r="AD38" i="176"/>
  <c r="AC38" i="176"/>
  <c r="AB38" i="176"/>
  <c r="Z38" i="176"/>
  <c r="X38" i="176"/>
  <c r="Q38" i="176"/>
  <c r="P38" i="176"/>
  <c r="I38" i="176"/>
  <c r="H38" i="176"/>
  <c r="E38" i="176"/>
  <c r="AD37" i="176"/>
  <c r="AC37" i="176"/>
  <c r="AB37" i="176"/>
  <c r="AE37" i="176" s="1"/>
  <c r="AI37" i="176" s="1"/>
  <c r="Y37" i="176" s="1"/>
  <c r="Z37" i="176"/>
  <c r="X37" i="176"/>
  <c r="Q37" i="176"/>
  <c r="P37" i="176"/>
  <c r="H37" i="176"/>
  <c r="E37" i="176"/>
  <c r="I37" i="176" s="1"/>
  <c r="AD36" i="176"/>
  <c r="AC36" i="176"/>
  <c r="AB36" i="176"/>
  <c r="AE36" i="176" s="1"/>
  <c r="AI36" i="176" s="1"/>
  <c r="Y36" i="176" s="1"/>
  <c r="Z36" i="176"/>
  <c r="X36" i="176"/>
  <c r="Q36" i="176"/>
  <c r="P36" i="176"/>
  <c r="H36" i="176"/>
  <c r="E36" i="176"/>
  <c r="I36" i="176" s="1"/>
  <c r="AD35" i="176"/>
  <c r="AE35" i="176" s="1"/>
  <c r="AI35" i="176" s="1"/>
  <c r="Y35" i="176" s="1"/>
  <c r="AC35" i="176"/>
  <c r="AB35" i="176"/>
  <c r="Z35" i="176"/>
  <c r="X35" i="176"/>
  <c r="Q35" i="176"/>
  <c r="P35" i="176"/>
  <c r="I35" i="176"/>
  <c r="H35" i="176"/>
  <c r="E35" i="176"/>
  <c r="AD34" i="176"/>
  <c r="AC34" i="176"/>
  <c r="AB34" i="176"/>
  <c r="AE34" i="176" s="1"/>
  <c r="AI34" i="176" s="1"/>
  <c r="Y34" i="176" s="1"/>
  <c r="Z34" i="176"/>
  <c r="X34" i="176"/>
  <c r="Q34" i="176"/>
  <c r="P34" i="176"/>
  <c r="I34" i="176"/>
  <c r="H34" i="176"/>
  <c r="E34" i="176"/>
  <c r="AI33" i="176"/>
  <c r="Y33" i="176" s="1"/>
  <c r="AE33" i="176"/>
  <c r="AD33" i="176"/>
  <c r="AC33" i="176"/>
  <c r="AB33" i="176"/>
  <c r="Z33" i="176"/>
  <c r="X33" i="176"/>
  <c r="Q33" i="176"/>
  <c r="P33" i="176"/>
  <c r="H33" i="176"/>
  <c r="E33" i="176"/>
  <c r="I33" i="176" s="1"/>
  <c r="AD32" i="176"/>
  <c r="AC32" i="176"/>
  <c r="AE32" i="176" s="1"/>
  <c r="AI32" i="176" s="1"/>
  <c r="Y32" i="176" s="1"/>
  <c r="AB32" i="176"/>
  <c r="Z32" i="176"/>
  <c r="X32" i="176"/>
  <c r="Q32" i="176"/>
  <c r="P32" i="176"/>
  <c r="I32" i="176"/>
  <c r="H32" i="176"/>
  <c r="E32" i="176"/>
  <c r="AI31" i="176"/>
  <c r="AE31" i="176"/>
  <c r="Z31" i="176"/>
  <c r="Y31" i="176"/>
  <c r="X31" i="176"/>
  <c r="Q31" i="176"/>
  <c r="P31" i="176"/>
  <c r="I31" i="176"/>
  <c r="H31" i="176"/>
  <c r="E31" i="176"/>
  <c r="AD30" i="176"/>
  <c r="AC30" i="176"/>
  <c r="AB30" i="176"/>
  <c r="AE30" i="176" s="1"/>
  <c r="AI30" i="176" s="1"/>
  <c r="Y30" i="176" s="1"/>
  <c r="Z30" i="176"/>
  <c r="X30" i="176"/>
  <c r="Q30" i="176"/>
  <c r="P30" i="176"/>
  <c r="H30" i="176"/>
  <c r="E30" i="176"/>
  <c r="I30" i="176" s="1"/>
  <c r="AD29" i="176"/>
  <c r="AC29" i="176"/>
  <c r="AB29" i="176"/>
  <c r="AE29" i="176" s="1"/>
  <c r="AI29" i="176" s="1"/>
  <c r="Y29" i="176" s="1"/>
  <c r="Z29" i="176"/>
  <c r="X29" i="176"/>
  <c r="Q29" i="176"/>
  <c r="P29" i="176"/>
  <c r="H29" i="176"/>
  <c r="E29" i="176"/>
  <c r="I29" i="176" s="1"/>
  <c r="AD28" i="176"/>
  <c r="AC28" i="176"/>
  <c r="AB28" i="176"/>
  <c r="AE28" i="176" s="1"/>
  <c r="AI28" i="176" s="1"/>
  <c r="Y28" i="176" s="1"/>
  <c r="Z28" i="176"/>
  <c r="X28" i="176"/>
  <c r="Q28" i="176"/>
  <c r="P28" i="176"/>
  <c r="I28" i="176"/>
  <c r="H28" i="176"/>
  <c r="E28" i="176"/>
  <c r="AE27" i="176"/>
  <c r="AI27" i="176" s="1"/>
  <c r="Y27" i="176" s="1"/>
  <c r="AD27" i="176"/>
  <c r="AC27" i="176"/>
  <c r="AB27" i="176"/>
  <c r="Z27" i="176"/>
  <c r="X27" i="176"/>
  <c r="Q27" i="176"/>
  <c r="P27" i="176"/>
  <c r="H27" i="176"/>
  <c r="E27" i="176"/>
  <c r="I27" i="176" s="1"/>
  <c r="AD26" i="176"/>
  <c r="AC26" i="176"/>
  <c r="AB26" i="176"/>
  <c r="AE26" i="176" s="1"/>
  <c r="AI26" i="176" s="1"/>
  <c r="Y26" i="176" s="1"/>
  <c r="Z26" i="176"/>
  <c r="X26" i="176"/>
  <c r="Q26" i="176"/>
  <c r="P26" i="176"/>
  <c r="H26" i="176"/>
  <c r="E26" i="176"/>
  <c r="I26" i="176" s="1"/>
  <c r="AD25" i="176"/>
  <c r="AC25" i="176"/>
  <c r="AB25" i="176"/>
  <c r="AE25" i="176" s="1"/>
  <c r="AI25" i="176" s="1"/>
  <c r="Y25" i="176" s="1"/>
  <c r="Z25" i="176"/>
  <c r="X25" i="176"/>
  <c r="Q25" i="176"/>
  <c r="P25" i="176"/>
  <c r="H25" i="176"/>
  <c r="E25" i="176"/>
  <c r="I25" i="176" s="1"/>
  <c r="AD24" i="176"/>
  <c r="AC24" i="176"/>
  <c r="AB24" i="176"/>
  <c r="AE24" i="176" s="1"/>
  <c r="AI24" i="176" s="1"/>
  <c r="Y24" i="176" s="1"/>
  <c r="Z24" i="176"/>
  <c r="X24" i="176"/>
  <c r="Q24" i="176"/>
  <c r="P24" i="176"/>
  <c r="I24" i="176"/>
  <c r="H24" i="176"/>
  <c r="E24" i="176"/>
  <c r="AE23" i="176"/>
  <c r="AI23" i="176" s="1"/>
  <c r="Y23" i="176" s="1"/>
  <c r="AD23" i="176"/>
  <c r="AC23" i="176"/>
  <c r="AB23" i="176"/>
  <c r="Z23" i="176"/>
  <c r="X23" i="176"/>
  <c r="Q23" i="176"/>
  <c r="P23" i="176"/>
  <c r="I23" i="176"/>
  <c r="H23" i="176"/>
  <c r="E23" i="176"/>
  <c r="AD22" i="176"/>
  <c r="AC22" i="176"/>
  <c r="AB22" i="176"/>
  <c r="AE22" i="176" s="1"/>
  <c r="AI22" i="176" s="1"/>
  <c r="Y22" i="176" s="1"/>
  <c r="Z22" i="176"/>
  <c r="X22" i="176"/>
  <c r="Q22" i="176"/>
  <c r="P22" i="176"/>
  <c r="H22" i="176"/>
  <c r="E22" i="176"/>
  <c r="I22" i="176" s="1"/>
  <c r="AD21" i="176"/>
  <c r="AC21" i="176"/>
  <c r="AB21" i="176"/>
  <c r="AE21" i="176" s="1"/>
  <c r="AI21" i="176" s="1"/>
  <c r="Y21" i="176" s="1"/>
  <c r="Z21" i="176"/>
  <c r="X21" i="176"/>
  <c r="Q21" i="176"/>
  <c r="P21" i="176"/>
  <c r="H21" i="176"/>
  <c r="E21" i="176"/>
  <c r="I21" i="176" s="1"/>
  <c r="AD20" i="176"/>
  <c r="AE20" i="176" s="1"/>
  <c r="AI20" i="176" s="1"/>
  <c r="Y20" i="176" s="1"/>
  <c r="AC20" i="176"/>
  <c r="AB20" i="176"/>
  <c r="Z20" i="176"/>
  <c r="X20" i="176"/>
  <c r="Q20" i="176"/>
  <c r="P20" i="176"/>
  <c r="I20" i="176"/>
  <c r="H20" i="176"/>
  <c r="E20" i="176"/>
  <c r="AD19" i="176"/>
  <c r="AC19" i="176"/>
  <c r="AB19" i="176"/>
  <c r="AE19" i="176" s="1"/>
  <c r="AI19" i="176" s="1"/>
  <c r="Y19" i="176" s="1"/>
  <c r="Z19" i="176"/>
  <c r="X19" i="176"/>
  <c r="Q19" i="176"/>
  <c r="P19" i="176"/>
  <c r="I19" i="176"/>
  <c r="H19" i="176"/>
  <c r="E19" i="176"/>
  <c r="AI18" i="176"/>
  <c r="Y18" i="176" s="1"/>
  <c r="AE18" i="176"/>
  <c r="AD18" i="176"/>
  <c r="AC18" i="176"/>
  <c r="AB18" i="176"/>
  <c r="Z18" i="176"/>
  <c r="X18" i="176"/>
  <c r="Q18" i="176"/>
  <c r="P18" i="176"/>
  <c r="H18" i="176"/>
  <c r="E18" i="176"/>
  <c r="I18" i="176" s="1"/>
  <c r="AE17" i="176"/>
  <c r="AI17" i="176" s="1"/>
  <c r="Y17" i="176" s="1"/>
  <c r="AD17" i="176"/>
  <c r="AC17" i="176"/>
  <c r="AB17" i="176"/>
  <c r="Z17" i="176"/>
  <c r="X17" i="176"/>
  <c r="Q17" i="176"/>
  <c r="P17" i="176"/>
  <c r="I17" i="176"/>
  <c r="H17" i="176"/>
  <c r="E17" i="176"/>
  <c r="AD16" i="176"/>
  <c r="AC16" i="176"/>
  <c r="AB16" i="176"/>
  <c r="AE16" i="176" s="1"/>
  <c r="AI16" i="176" s="1"/>
  <c r="Y16" i="176" s="1"/>
  <c r="Z16" i="176"/>
  <c r="X16" i="176"/>
  <c r="Q16" i="176"/>
  <c r="P16" i="176"/>
  <c r="E16" i="176"/>
  <c r="I16" i="176" s="1"/>
  <c r="AD15" i="176"/>
  <c r="AE15" i="176" s="1"/>
  <c r="AI15" i="176" s="1"/>
  <c r="Y15" i="176" s="1"/>
  <c r="AC15" i="176"/>
  <c r="AB15" i="176"/>
  <c r="Z15" i="176"/>
  <c r="X15" i="176"/>
  <c r="Q15" i="176"/>
  <c r="P15" i="176"/>
  <c r="I15" i="176"/>
  <c r="E15" i="176"/>
  <c r="AD14" i="176"/>
  <c r="AC14" i="176"/>
  <c r="AB14" i="176"/>
  <c r="AE14" i="176" s="1"/>
  <c r="AI14" i="176" s="1"/>
  <c r="Y14" i="176" s="1"/>
  <c r="Z14" i="176"/>
  <c r="X14" i="176"/>
  <c r="Q14" i="176"/>
  <c r="O75" i="176" s="1"/>
  <c r="P14" i="176"/>
  <c r="I14" i="176"/>
  <c r="H14" i="176"/>
  <c r="E14" i="176"/>
  <c r="AE13" i="176"/>
  <c r="AI13" i="176" s="1"/>
  <c r="Y13" i="176" s="1"/>
  <c r="AD13" i="176"/>
  <c r="AC13" i="176"/>
  <c r="AB13" i="176"/>
  <c r="Z13" i="176"/>
  <c r="X13" i="176"/>
  <c r="Q13" i="176"/>
  <c r="P13" i="176"/>
  <c r="I13" i="176"/>
  <c r="H13" i="176"/>
  <c r="E13" i="176"/>
  <c r="AD12" i="176"/>
  <c r="AC12" i="176"/>
  <c r="AB12" i="176"/>
  <c r="AE12" i="176" s="1"/>
  <c r="AI12" i="176" s="1"/>
  <c r="Y12" i="176" s="1"/>
  <c r="Z12" i="176"/>
  <c r="X12" i="176"/>
  <c r="Q12" i="176"/>
  <c r="O73" i="176" s="1"/>
  <c r="P12" i="176"/>
  <c r="H12" i="176"/>
  <c r="E12" i="176"/>
  <c r="I12" i="176" s="1"/>
  <c r="M79" i="175"/>
  <c r="W73" i="175"/>
  <c r="P71" i="175"/>
  <c r="H71" i="175"/>
  <c r="Q70" i="175"/>
  <c r="P70" i="175"/>
  <c r="I70" i="175"/>
  <c r="H70" i="175"/>
  <c r="E70" i="175"/>
  <c r="Q69" i="175"/>
  <c r="P69" i="175"/>
  <c r="I69" i="175"/>
  <c r="H69" i="175"/>
  <c r="E69" i="175"/>
  <c r="AD68" i="175"/>
  <c r="AC68" i="175"/>
  <c r="AE68" i="175" s="1"/>
  <c r="AI68" i="175" s="1"/>
  <c r="Y68" i="175" s="1"/>
  <c r="AB68" i="175"/>
  <c r="Z68" i="175"/>
  <c r="X68" i="175"/>
  <c r="W68" i="175"/>
  <c r="Q68" i="175"/>
  <c r="P68" i="175"/>
  <c r="H68" i="175"/>
  <c r="E68" i="175"/>
  <c r="I68" i="175" s="1"/>
  <c r="AD67" i="175"/>
  <c r="AC67" i="175"/>
  <c r="AE67" i="175" s="1"/>
  <c r="AI67" i="175" s="1"/>
  <c r="Y67" i="175" s="1"/>
  <c r="AB67" i="175"/>
  <c r="Z67" i="175"/>
  <c r="X67" i="175"/>
  <c r="Q67" i="175"/>
  <c r="P67" i="175"/>
  <c r="I67" i="175"/>
  <c r="H67" i="175"/>
  <c r="E67" i="175"/>
  <c r="AE66" i="175"/>
  <c r="AI66" i="175" s="1"/>
  <c r="Y66" i="175" s="1"/>
  <c r="AD66" i="175"/>
  <c r="AC66" i="175"/>
  <c r="AB66" i="175"/>
  <c r="Z66" i="175"/>
  <c r="X66" i="175"/>
  <c r="Q66" i="175"/>
  <c r="P66" i="175"/>
  <c r="I66" i="175"/>
  <c r="H66" i="175"/>
  <c r="E66" i="175"/>
  <c r="AD65" i="175"/>
  <c r="AC65" i="175"/>
  <c r="AB65" i="175"/>
  <c r="AE65" i="175" s="1"/>
  <c r="AI65" i="175" s="1"/>
  <c r="Y65" i="175" s="1"/>
  <c r="Z65" i="175"/>
  <c r="X65" i="175"/>
  <c r="Q65" i="175"/>
  <c r="P65" i="175"/>
  <c r="H65" i="175"/>
  <c r="E65" i="175"/>
  <c r="I65" i="175" s="1"/>
  <c r="AD64" i="175"/>
  <c r="AC64" i="175"/>
  <c r="AB64" i="175"/>
  <c r="AE64" i="175" s="1"/>
  <c r="AI64" i="175" s="1"/>
  <c r="Y64" i="175" s="1"/>
  <c r="Z64" i="175"/>
  <c r="X64" i="175"/>
  <c r="Q64" i="175"/>
  <c r="P64" i="175"/>
  <c r="H64" i="175"/>
  <c r="E64" i="175"/>
  <c r="I64" i="175" s="1"/>
  <c r="AD63" i="175"/>
  <c r="AC63" i="175"/>
  <c r="AE63" i="175" s="1"/>
  <c r="AI63" i="175" s="1"/>
  <c r="Y63" i="175" s="1"/>
  <c r="AB63" i="175"/>
  <c r="Z63" i="175"/>
  <c r="X63" i="175"/>
  <c r="Q63" i="175"/>
  <c r="P63" i="175"/>
  <c r="H63" i="175"/>
  <c r="E63" i="175"/>
  <c r="I63" i="175" s="1"/>
  <c r="AD62" i="175"/>
  <c r="AC62" i="175"/>
  <c r="AB62" i="175"/>
  <c r="AE62" i="175" s="1"/>
  <c r="AI62" i="175" s="1"/>
  <c r="Y62" i="175" s="1"/>
  <c r="Z62" i="175"/>
  <c r="X62" i="175"/>
  <c r="Q62" i="175"/>
  <c r="P62" i="175"/>
  <c r="H62" i="175"/>
  <c r="E62" i="175"/>
  <c r="I62" i="175" s="1"/>
  <c r="AC61" i="175"/>
  <c r="AE61" i="175" s="1"/>
  <c r="AI61" i="175" s="1"/>
  <c r="Y61" i="175" s="1"/>
  <c r="AB61" i="175"/>
  <c r="X61" i="175"/>
  <c r="Q61" i="175"/>
  <c r="P61" i="175"/>
  <c r="I61" i="175"/>
  <c r="H61" i="175"/>
  <c r="E61" i="175"/>
  <c r="AE60" i="175"/>
  <c r="AI60" i="175" s="1"/>
  <c r="Y60" i="175" s="1"/>
  <c r="X60" i="175"/>
  <c r="Q60" i="175"/>
  <c r="P60" i="175"/>
  <c r="I60" i="175"/>
  <c r="H60" i="175"/>
  <c r="E60" i="175"/>
  <c r="AC59" i="175"/>
  <c r="AB59" i="175"/>
  <c r="AE59" i="175" s="1"/>
  <c r="AI59" i="175" s="1"/>
  <c r="Y59" i="175" s="1"/>
  <c r="X59" i="175"/>
  <c r="Q59" i="175"/>
  <c r="P59" i="175"/>
  <c r="I59" i="175"/>
  <c r="H59" i="175"/>
  <c r="E59" i="175"/>
  <c r="AC58" i="175"/>
  <c r="AB58" i="175"/>
  <c r="AE58" i="175" s="1"/>
  <c r="AI58" i="175" s="1"/>
  <c r="Y58" i="175" s="1"/>
  <c r="X58" i="175"/>
  <c r="Q58" i="175"/>
  <c r="P58" i="175"/>
  <c r="I58" i="175"/>
  <c r="E58" i="175"/>
  <c r="AC57" i="175"/>
  <c r="AB57" i="175"/>
  <c r="AE57" i="175" s="1"/>
  <c r="AI57" i="175" s="1"/>
  <c r="Y57" i="175" s="1"/>
  <c r="X57" i="175"/>
  <c r="Q57" i="175"/>
  <c r="P57" i="175"/>
  <c r="I57" i="175"/>
  <c r="H57" i="175"/>
  <c r="E57" i="175"/>
  <c r="AD56" i="175"/>
  <c r="AC56" i="175"/>
  <c r="AE56" i="175" s="1"/>
  <c r="AI56" i="175" s="1"/>
  <c r="Y56" i="175" s="1"/>
  <c r="AB56" i="175"/>
  <c r="Z56" i="175"/>
  <c r="X56" i="175"/>
  <c r="Q56" i="175"/>
  <c r="P56" i="175"/>
  <c r="H56" i="175"/>
  <c r="E56" i="175"/>
  <c r="I56" i="175" s="1"/>
  <c r="AE55" i="175"/>
  <c r="AI55" i="175" s="1"/>
  <c r="Y55" i="175" s="1"/>
  <c r="AD55" i="175"/>
  <c r="AC55" i="175"/>
  <c r="AB55" i="175"/>
  <c r="Z55" i="175"/>
  <c r="X55" i="175"/>
  <c r="Q55" i="175"/>
  <c r="P55" i="175"/>
  <c r="H55" i="175"/>
  <c r="E55" i="175"/>
  <c r="I55" i="175" s="1"/>
  <c r="AD54" i="175"/>
  <c r="AC54" i="175"/>
  <c r="AB54" i="175"/>
  <c r="AE54" i="175" s="1"/>
  <c r="AI54" i="175" s="1"/>
  <c r="Y54" i="175" s="1"/>
  <c r="Z54" i="175"/>
  <c r="X54" i="175"/>
  <c r="Q54" i="175"/>
  <c r="P54" i="175"/>
  <c r="I54" i="175"/>
  <c r="H54" i="175"/>
  <c r="E54" i="175"/>
  <c r="AE53" i="175"/>
  <c r="AI53" i="175" s="1"/>
  <c r="Y53" i="175" s="1"/>
  <c r="AD53" i="175"/>
  <c r="AC53" i="175"/>
  <c r="AB53" i="175"/>
  <c r="Z53" i="175"/>
  <c r="X53" i="175"/>
  <c r="Q53" i="175"/>
  <c r="P53" i="175"/>
  <c r="H53" i="175"/>
  <c r="E53" i="175"/>
  <c r="I53" i="175" s="1"/>
  <c r="AE52" i="175"/>
  <c r="AI52" i="175" s="1"/>
  <c r="Y52" i="175" s="1"/>
  <c r="Z52" i="175"/>
  <c r="X52" i="175"/>
  <c r="Q52" i="175"/>
  <c r="P52" i="175"/>
  <c r="H52" i="175"/>
  <c r="E52" i="175"/>
  <c r="I52" i="175" s="1"/>
  <c r="AD51" i="175"/>
  <c r="AC51" i="175"/>
  <c r="AE51" i="175" s="1"/>
  <c r="AI51" i="175" s="1"/>
  <c r="Y51" i="175" s="1"/>
  <c r="AB51" i="175"/>
  <c r="Z51" i="175"/>
  <c r="X51" i="175"/>
  <c r="Q51" i="175"/>
  <c r="P51" i="175"/>
  <c r="I51" i="175"/>
  <c r="H51" i="175"/>
  <c r="E51" i="175"/>
  <c r="AD50" i="175"/>
  <c r="AC50" i="175"/>
  <c r="AE50" i="175" s="1"/>
  <c r="AI50" i="175" s="1"/>
  <c r="Y50" i="175" s="1"/>
  <c r="AB50" i="175"/>
  <c r="Z50" i="175"/>
  <c r="X50" i="175"/>
  <c r="Q50" i="175"/>
  <c r="P50" i="175"/>
  <c r="I50" i="175"/>
  <c r="H50" i="175"/>
  <c r="E50" i="175"/>
  <c r="AI49" i="175"/>
  <c r="Y49" i="175" s="1"/>
  <c r="AE49" i="175"/>
  <c r="Z49" i="175"/>
  <c r="X49" i="175"/>
  <c r="Q49" i="175"/>
  <c r="P49" i="175"/>
  <c r="H49" i="175"/>
  <c r="E49" i="175"/>
  <c r="I49" i="175" s="1"/>
  <c r="AE48" i="175"/>
  <c r="AI48" i="175" s="1"/>
  <c r="Y48" i="175" s="1"/>
  <c r="Z48" i="175"/>
  <c r="X48" i="175"/>
  <c r="Q48" i="175"/>
  <c r="P48" i="175"/>
  <c r="H48" i="175"/>
  <c r="E48" i="175"/>
  <c r="I48" i="175" s="1"/>
  <c r="AI47" i="175"/>
  <c r="Y47" i="175" s="1"/>
  <c r="AE47" i="175"/>
  <c r="Z47" i="175"/>
  <c r="X47" i="175"/>
  <c r="Q47" i="175"/>
  <c r="P47" i="175"/>
  <c r="H47" i="175"/>
  <c r="E47" i="175"/>
  <c r="I47" i="175" s="1"/>
  <c r="AD46" i="175"/>
  <c r="AC46" i="175"/>
  <c r="AB46" i="175"/>
  <c r="AE46" i="175" s="1"/>
  <c r="AI46" i="175" s="1"/>
  <c r="Y46" i="175" s="1"/>
  <c r="Z46" i="175"/>
  <c r="X46" i="175"/>
  <c r="Q46" i="175"/>
  <c r="P46" i="175"/>
  <c r="I46" i="175"/>
  <c r="H46" i="175"/>
  <c r="E46" i="175"/>
  <c r="AD45" i="175"/>
  <c r="AE45" i="175" s="1"/>
  <c r="AI45" i="175" s="1"/>
  <c r="Y45" i="175" s="1"/>
  <c r="AC45" i="175"/>
  <c r="AB45" i="175"/>
  <c r="Z45" i="175"/>
  <c r="X45" i="175"/>
  <c r="Q45" i="175"/>
  <c r="P45" i="175"/>
  <c r="I45" i="175"/>
  <c r="H45" i="175"/>
  <c r="E45" i="175"/>
  <c r="AD44" i="175"/>
  <c r="AC44" i="175"/>
  <c r="AE44" i="175" s="1"/>
  <c r="AI44" i="175" s="1"/>
  <c r="Y44" i="175" s="1"/>
  <c r="AB44" i="175"/>
  <c r="Z44" i="175"/>
  <c r="X44" i="175"/>
  <c r="Q44" i="175"/>
  <c r="P44" i="175"/>
  <c r="H44" i="175"/>
  <c r="E44" i="175"/>
  <c r="I44" i="175" s="1"/>
  <c r="AE43" i="175"/>
  <c r="AI43" i="175" s="1"/>
  <c r="Y43" i="175" s="1"/>
  <c r="AD43" i="175"/>
  <c r="AC43" i="175"/>
  <c r="AB43" i="175"/>
  <c r="Z43" i="175"/>
  <c r="X43" i="175"/>
  <c r="Q43" i="175"/>
  <c r="P43" i="175"/>
  <c r="H43" i="175"/>
  <c r="E43" i="175"/>
  <c r="I43" i="175" s="1"/>
  <c r="AD42" i="175"/>
  <c r="AC42" i="175"/>
  <c r="AB42" i="175"/>
  <c r="AE42" i="175" s="1"/>
  <c r="AI42" i="175" s="1"/>
  <c r="Y42" i="175" s="1"/>
  <c r="Z42" i="175"/>
  <c r="X42" i="175"/>
  <c r="Q42" i="175"/>
  <c r="P42" i="175"/>
  <c r="I42" i="175"/>
  <c r="H42" i="175"/>
  <c r="E42" i="175"/>
  <c r="AE41" i="175"/>
  <c r="AI41" i="175" s="1"/>
  <c r="Y41" i="175" s="1"/>
  <c r="AD41" i="175"/>
  <c r="AC41" i="175"/>
  <c r="AB41" i="175"/>
  <c r="Z41" i="175"/>
  <c r="X41" i="175"/>
  <c r="Q41" i="175"/>
  <c r="P41" i="175"/>
  <c r="H41" i="175"/>
  <c r="E41" i="175"/>
  <c r="I41" i="175" s="1"/>
  <c r="AD40" i="175"/>
  <c r="AC40" i="175"/>
  <c r="AB40" i="175"/>
  <c r="AE40" i="175" s="1"/>
  <c r="AI40" i="175" s="1"/>
  <c r="Y40" i="175" s="1"/>
  <c r="Z40" i="175"/>
  <c r="X40" i="175"/>
  <c r="Q40" i="175"/>
  <c r="P40" i="175"/>
  <c r="H40" i="175"/>
  <c r="E40" i="175"/>
  <c r="I40" i="175" s="1"/>
  <c r="AD39" i="175"/>
  <c r="AC39" i="175"/>
  <c r="AB39" i="175"/>
  <c r="AE39" i="175" s="1"/>
  <c r="AI39" i="175" s="1"/>
  <c r="Y39" i="175" s="1"/>
  <c r="Z39" i="175"/>
  <c r="X39" i="175"/>
  <c r="Q39" i="175"/>
  <c r="P39" i="175"/>
  <c r="H39" i="175"/>
  <c r="E39" i="175"/>
  <c r="I39" i="175" s="1"/>
  <c r="AD38" i="175"/>
  <c r="AC38" i="175"/>
  <c r="AE38" i="175" s="1"/>
  <c r="AI38" i="175" s="1"/>
  <c r="Y38" i="175" s="1"/>
  <c r="AB38" i="175"/>
  <c r="Z38" i="175"/>
  <c r="X38" i="175"/>
  <c r="Q38" i="175"/>
  <c r="P38" i="175"/>
  <c r="I38" i="175"/>
  <c r="H38" i="175"/>
  <c r="E38" i="175"/>
  <c r="AD37" i="175"/>
  <c r="AC37" i="175"/>
  <c r="AE37" i="175" s="1"/>
  <c r="AI37" i="175" s="1"/>
  <c r="Y37" i="175" s="1"/>
  <c r="AB37" i="175"/>
  <c r="Z37" i="175"/>
  <c r="X37" i="175"/>
  <c r="Q37" i="175"/>
  <c r="P37" i="175"/>
  <c r="I37" i="175"/>
  <c r="H37" i="175"/>
  <c r="E37" i="175"/>
  <c r="AD36" i="175"/>
  <c r="AC36" i="175"/>
  <c r="AB36" i="175"/>
  <c r="AE36" i="175" s="1"/>
  <c r="AI36" i="175" s="1"/>
  <c r="Y36" i="175" s="1"/>
  <c r="Z36" i="175"/>
  <c r="X36" i="175"/>
  <c r="Q36" i="175"/>
  <c r="P36" i="175"/>
  <c r="H36" i="175"/>
  <c r="E36" i="175"/>
  <c r="I36" i="175" s="1"/>
  <c r="AD35" i="175"/>
  <c r="AC35" i="175"/>
  <c r="AB35" i="175"/>
  <c r="AE35" i="175" s="1"/>
  <c r="AI35" i="175" s="1"/>
  <c r="Y35" i="175" s="1"/>
  <c r="Z35" i="175"/>
  <c r="X35" i="175"/>
  <c r="Q35" i="175"/>
  <c r="P35" i="175"/>
  <c r="H35" i="175"/>
  <c r="E35" i="175"/>
  <c r="I35" i="175" s="1"/>
  <c r="AD34" i="175"/>
  <c r="AC34" i="175"/>
  <c r="AE34" i="175" s="1"/>
  <c r="AI34" i="175" s="1"/>
  <c r="Y34" i="175" s="1"/>
  <c r="AB34" i="175"/>
  <c r="Z34" i="175"/>
  <c r="X34" i="175"/>
  <c r="Q34" i="175"/>
  <c r="P34" i="175"/>
  <c r="H34" i="175"/>
  <c r="E34" i="175"/>
  <c r="I34" i="175" s="1"/>
  <c r="AE33" i="175"/>
  <c r="AI33" i="175" s="1"/>
  <c r="Y33" i="175" s="1"/>
  <c r="AD33" i="175"/>
  <c r="AC33" i="175"/>
  <c r="AB33" i="175"/>
  <c r="Z33" i="175"/>
  <c r="X33" i="175"/>
  <c r="Q33" i="175"/>
  <c r="P33" i="175"/>
  <c r="H33" i="175"/>
  <c r="E33" i="175"/>
  <c r="I33" i="175" s="1"/>
  <c r="AD32" i="175"/>
  <c r="AE32" i="175" s="1"/>
  <c r="AI32" i="175" s="1"/>
  <c r="Y32" i="175" s="1"/>
  <c r="AC32" i="175"/>
  <c r="AB32" i="175"/>
  <c r="Z32" i="175"/>
  <c r="X32" i="175"/>
  <c r="Q32" i="175"/>
  <c r="P32" i="175"/>
  <c r="H32" i="175"/>
  <c r="E32" i="175"/>
  <c r="I32" i="175" s="1"/>
  <c r="AI31" i="175"/>
  <c r="AE31" i="175"/>
  <c r="Z31" i="175"/>
  <c r="Y31" i="175"/>
  <c r="X31" i="175"/>
  <c r="Q31" i="175"/>
  <c r="P31" i="175"/>
  <c r="I31" i="175"/>
  <c r="H31" i="175"/>
  <c r="E31" i="175"/>
  <c r="AD30" i="175"/>
  <c r="AC30" i="175"/>
  <c r="AB30" i="175"/>
  <c r="AE30" i="175" s="1"/>
  <c r="AI30" i="175" s="1"/>
  <c r="Y30" i="175" s="1"/>
  <c r="Z30" i="175"/>
  <c r="X30" i="175"/>
  <c r="Q30" i="175"/>
  <c r="P30" i="175"/>
  <c r="I30" i="175"/>
  <c r="H30" i="175"/>
  <c r="E30" i="175"/>
  <c r="AD29" i="175"/>
  <c r="AC29" i="175"/>
  <c r="AE29" i="175" s="1"/>
  <c r="AI29" i="175" s="1"/>
  <c r="Y29" i="175" s="1"/>
  <c r="AB29" i="175"/>
  <c r="Z29" i="175"/>
  <c r="X29" i="175"/>
  <c r="Q29" i="175"/>
  <c r="P29" i="175"/>
  <c r="H29" i="175"/>
  <c r="E29" i="175"/>
  <c r="I29" i="175" s="1"/>
  <c r="AE28" i="175"/>
  <c r="AI28" i="175" s="1"/>
  <c r="Y28" i="175" s="1"/>
  <c r="AD28" i="175"/>
  <c r="AC28" i="175"/>
  <c r="AB28" i="175"/>
  <c r="Z28" i="175"/>
  <c r="X28" i="175"/>
  <c r="Q28" i="175"/>
  <c r="P28" i="175"/>
  <c r="H28" i="175"/>
  <c r="E28" i="175"/>
  <c r="I28" i="175" s="1"/>
  <c r="AD27" i="175"/>
  <c r="AC27" i="175"/>
  <c r="AB27" i="175"/>
  <c r="AE27" i="175" s="1"/>
  <c r="AI27" i="175" s="1"/>
  <c r="Y27" i="175" s="1"/>
  <c r="Z27" i="175"/>
  <c r="X27" i="175"/>
  <c r="Q27" i="175"/>
  <c r="P27" i="175"/>
  <c r="I27" i="175"/>
  <c r="H27" i="175"/>
  <c r="E27" i="175"/>
  <c r="AE26" i="175"/>
  <c r="AI26" i="175" s="1"/>
  <c r="Y26" i="175" s="1"/>
  <c r="AD26" i="175"/>
  <c r="AC26" i="175"/>
  <c r="AB26" i="175"/>
  <c r="Z26" i="175"/>
  <c r="X26" i="175"/>
  <c r="Q26" i="175"/>
  <c r="P26" i="175"/>
  <c r="H26" i="175"/>
  <c r="E26" i="175"/>
  <c r="I26" i="175" s="1"/>
  <c r="AD25" i="175"/>
  <c r="AC25" i="175"/>
  <c r="AB25" i="175"/>
  <c r="AE25" i="175" s="1"/>
  <c r="AI25" i="175" s="1"/>
  <c r="Y25" i="175" s="1"/>
  <c r="Z25" i="175"/>
  <c r="X25" i="175"/>
  <c r="Q25" i="175"/>
  <c r="P25" i="175"/>
  <c r="I25" i="175"/>
  <c r="H25" i="175"/>
  <c r="E25" i="175"/>
  <c r="AD24" i="175"/>
  <c r="AC24" i="175"/>
  <c r="AB24" i="175"/>
  <c r="AE24" i="175" s="1"/>
  <c r="AI24" i="175" s="1"/>
  <c r="Y24" i="175" s="1"/>
  <c r="Z24" i="175"/>
  <c r="X24" i="175"/>
  <c r="Q24" i="175"/>
  <c r="P24" i="175"/>
  <c r="I24" i="175"/>
  <c r="H24" i="175"/>
  <c r="E24" i="175"/>
  <c r="AD23" i="175"/>
  <c r="AC23" i="175"/>
  <c r="AE23" i="175" s="1"/>
  <c r="AI23" i="175" s="1"/>
  <c r="Y23" i="175" s="1"/>
  <c r="AB23" i="175"/>
  <c r="Z23" i="175"/>
  <c r="X23" i="175"/>
  <c r="Q23" i="175"/>
  <c r="P23" i="175"/>
  <c r="I23" i="175"/>
  <c r="H23" i="175"/>
  <c r="E23" i="175"/>
  <c r="AD22" i="175"/>
  <c r="AC22" i="175"/>
  <c r="AE22" i="175" s="1"/>
  <c r="AI22" i="175" s="1"/>
  <c r="Y22" i="175" s="1"/>
  <c r="AB22" i="175"/>
  <c r="Z22" i="175"/>
  <c r="X22" i="175"/>
  <c r="Q22" i="175"/>
  <c r="P22" i="175"/>
  <c r="I22" i="175"/>
  <c r="H22" i="175"/>
  <c r="E22" i="175"/>
  <c r="AD21" i="175"/>
  <c r="AC21" i="175"/>
  <c r="AB21" i="175"/>
  <c r="AE21" i="175" s="1"/>
  <c r="AI21" i="175" s="1"/>
  <c r="Y21" i="175" s="1"/>
  <c r="Z21" i="175"/>
  <c r="X21" i="175"/>
  <c r="Q21" i="175"/>
  <c r="P21" i="175"/>
  <c r="H21" i="175"/>
  <c r="E21" i="175"/>
  <c r="I21" i="175" s="1"/>
  <c r="AD20" i="175"/>
  <c r="AC20" i="175"/>
  <c r="AB20" i="175"/>
  <c r="AE20" i="175" s="1"/>
  <c r="AI20" i="175" s="1"/>
  <c r="Y20" i="175" s="1"/>
  <c r="Z20" i="175"/>
  <c r="X20" i="175"/>
  <c r="Q20" i="175"/>
  <c r="P20" i="175"/>
  <c r="H20" i="175"/>
  <c r="E20" i="175"/>
  <c r="I20" i="175" s="1"/>
  <c r="AD19" i="175"/>
  <c r="AC19" i="175"/>
  <c r="AE19" i="175" s="1"/>
  <c r="AI19" i="175" s="1"/>
  <c r="Y19" i="175" s="1"/>
  <c r="AB19" i="175"/>
  <c r="Z19" i="175"/>
  <c r="X19" i="175"/>
  <c r="Q19" i="175"/>
  <c r="P19" i="175"/>
  <c r="H19" i="175"/>
  <c r="E19" i="175"/>
  <c r="I19" i="175" s="1"/>
  <c r="AE18" i="175"/>
  <c r="AI18" i="175" s="1"/>
  <c r="Y18" i="175" s="1"/>
  <c r="AD18" i="175"/>
  <c r="AC18" i="175"/>
  <c r="AB18" i="175"/>
  <c r="Z18" i="175"/>
  <c r="X18" i="175"/>
  <c r="Q18" i="175"/>
  <c r="P18" i="175"/>
  <c r="H18" i="175"/>
  <c r="E18" i="175"/>
  <c r="I18" i="175" s="1"/>
  <c r="AD17" i="175"/>
  <c r="AE17" i="175" s="1"/>
  <c r="AI17" i="175" s="1"/>
  <c r="Y17" i="175" s="1"/>
  <c r="AC17" i="175"/>
  <c r="AB17" i="175"/>
  <c r="Z17" i="175"/>
  <c r="X17" i="175"/>
  <c r="Q17" i="175"/>
  <c r="P17" i="175"/>
  <c r="H17" i="175"/>
  <c r="E17" i="175"/>
  <c r="I17" i="175" s="1"/>
  <c r="AD16" i="175"/>
  <c r="AC16" i="175"/>
  <c r="AB16" i="175"/>
  <c r="AE16" i="175" s="1"/>
  <c r="AI16" i="175" s="1"/>
  <c r="Y16" i="175" s="1"/>
  <c r="Z16" i="175"/>
  <c r="X16" i="175"/>
  <c r="Q16" i="175"/>
  <c r="P16" i="175"/>
  <c r="I16" i="175"/>
  <c r="E16" i="175"/>
  <c r="AD15" i="175"/>
  <c r="AC15" i="175"/>
  <c r="AB15" i="175"/>
  <c r="AE15" i="175" s="1"/>
  <c r="AI15" i="175" s="1"/>
  <c r="Y15" i="175" s="1"/>
  <c r="Z15" i="175"/>
  <c r="X15" i="175"/>
  <c r="Q15" i="175"/>
  <c r="P15" i="175"/>
  <c r="E15" i="175"/>
  <c r="I15" i="175" s="1"/>
  <c r="AD14" i="175"/>
  <c r="AC14" i="175"/>
  <c r="AB14" i="175"/>
  <c r="AE14" i="175" s="1"/>
  <c r="AI14" i="175" s="1"/>
  <c r="Y14" i="175" s="1"/>
  <c r="Z14" i="175"/>
  <c r="X14" i="175"/>
  <c r="Q14" i="175"/>
  <c r="O75" i="175" s="1"/>
  <c r="P14" i="175"/>
  <c r="H14" i="175"/>
  <c r="E14" i="175"/>
  <c r="I14" i="175" s="1"/>
  <c r="AD13" i="175"/>
  <c r="AC13" i="175"/>
  <c r="AE13" i="175" s="1"/>
  <c r="AI13" i="175" s="1"/>
  <c r="Y13" i="175" s="1"/>
  <c r="AB13" i="175"/>
  <c r="Z13" i="175"/>
  <c r="X13" i="175"/>
  <c r="Q13" i="175"/>
  <c r="P13" i="175"/>
  <c r="I13" i="175"/>
  <c r="H13" i="175"/>
  <c r="E13" i="175"/>
  <c r="AD12" i="175"/>
  <c r="AC12" i="175"/>
  <c r="AE12" i="175" s="1"/>
  <c r="AI12" i="175" s="1"/>
  <c r="Y12" i="175" s="1"/>
  <c r="AB12" i="175"/>
  <c r="Z12" i="175"/>
  <c r="T75" i="175" s="1"/>
  <c r="X12" i="175"/>
  <c r="Q12" i="175"/>
  <c r="O73" i="175" s="1"/>
  <c r="P12" i="175"/>
  <c r="I12" i="175"/>
  <c r="H12" i="175"/>
  <c r="E12" i="175"/>
  <c r="F39" i="174"/>
  <c r="M79" i="174"/>
  <c r="W73" i="174"/>
  <c r="P71" i="174"/>
  <c r="H71" i="174"/>
  <c r="Q70" i="174"/>
  <c r="P70" i="174"/>
  <c r="I70" i="174"/>
  <c r="H70" i="174"/>
  <c r="E70" i="174"/>
  <c r="Q69" i="174"/>
  <c r="P69" i="174"/>
  <c r="I69" i="174"/>
  <c r="H69" i="174"/>
  <c r="E69" i="174"/>
  <c r="AD68" i="174"/>
  <c r="AC68" i="174"/>
  <c r="AB68" i="174"/>
  <c r="AE68" i="174" s="1"/>
  <c r="AI68" i="174" s="1"/>
  <c r="Y68" i="174" s="1"/>
  <c r="Z68" i="174"/>
  <c r="X68" i="174"/>
  <c r="W68" i="174"/>
  <c r="Q68" i="174"/>
  <c r="P68" i="174"/>
  <c r="I68" i="174"/>
  <c r="H68" i="174"/>
  <c r="E68" i="174"/>
  <c r="AD67" i="174"/>
  <c r="AC67" i="174"/>
  <c r="AE67" i="174" s="1"/>
  <c r="AI67" i="174" s="1"/>
  <c r="Y67" i="174" s="1"/>
  <c r="AB67" i="174"/>
  <c r="Z67" i="174"/>
  <c r="X67" i="174"/>
  <c r="Q67" i="174"/>
  <c r="P67" i="174"/>
  <c r="I67" i="174"/>
  <c r="H67" i="174"/>
  <c r="E67" i="174"/>
  <c r="AE66" i="174"/>
  <c r="AI66" i="174" s="1"/>
  <c r="Y66" i="174" s="1"/>
  <c r="AD66" i="174"/>
  <c r="AC66" i="174"/>
  <c r="AB66" i="174"/>
  <c r="Z66" i="174"/>
  <c r="X66" i="174"/>
  <c r="Q66" i="174"/>
  <c r="P66" i="174"/>
  <c r="I66" i="174"/>
  <c r="H66" i="174"/>
  <c r="E66" i="174"/>
  <c r="AI65" i="174"/>
  <c r="Y65" i="174" s="1"/>
  <c r="AE65" i="174"/>
  <c r="AD65" i="174"/>
  <c r="AC65" i="174"/>
  <c r="AB65" i="174"/>
  <c r="Z65" i="174"/>
  <c r="X65" i="174"/>
  <c r="Q65" i="174"/>
  <c r="P65" i="174"/>
  <c r="H65" i="174"/>
  <c r="E65" i="174"/>
  <c r="I65" i="174" s="1"/>
  <c r="AD64" i="174"/>
  <c r="AC64" i="174"/>
  <c r="AB64" i="174"/>
  <c r="AE64" i="174" s="1"/>
  <c r="AI64" i="174" s="1"/>
  <c r="Y64" i="174" s="1"/>
  <c r="Z64" i="174"/>
  <c r="X64" i="174"/>
  <c r="Q64" i="174"/>
  <c r="P64" i="174"/>
  <c r="H64" i="174"/>
  <c r="E64" i="174"/>
  <c r="I64" i="174" s="1"/>
  <c r="AD63" i="174"/>
  <c r="AC63" i="174"/>
  <c r="AE63" i="174" s="1"/>
  <c r="AI63" i="174" s="1"/>
  <c r="Y63" i="174" s="1"/>
  <c r="AB63" i="174"/>
  <c r="Z63" i="174"/>
  <c r="X63" i="174"/>
  <c r="Q63" i="174"/>
  <c r="P63" i="174"/>
  <c r="I63" i="174"/>
  <c r="H63" i="174"/>
  <c r="E63" i="174"/>
  <c r="AD62" i="174"/>
  <c r="AC62" i="174"/>
  <c r="AB62" i="174"/>
  <c r="AE62" i="174" s="1"/>
  <c r="AI62" i="174" s="1"/>
  <c r="Y62" i="174" s="1"/>
  <c r="Z62" i="174"/>
  <c r="X62" i="174"/>
  <c r="Q62" i="174"/>
  <c r="P62" i="174"/>
  <c r="I62" i="174"/>
  <c r="H62" i="174"/>
  <c r="E62" i="174"/>
  <c r="AC61" i="174"/>
  <c r="AE61" i="174" s="1"/>
  <c r="AI61" i="174" s="1"/>
  <c r="Y61" i="174" s="1"/>
  <c r="AB61" i="174"/>
  <c r="X61" i="174"/>
  <c r="Q61" i="174"/>
  <c r="P61" i="174"/>
  <c r="I61" i="174"/>
  <c r="H61" i="174"/>
  <c r="E61" i="174"/>
  <c r="AE60" i="174"/>
  <c r="AI60" i="174" s="1"/>
  <c r="Y60" i="174" s="1"/>
  <c r="X60" i="174"/>
  <c r="Q60" i="174"/>
  <c r="P60" i="174"/>
  <c r="I60" i="174"/>
  <c r="H60" i="174"/>
  <c r="E60" i="174"/>
  <c r="AC59" i="174"/>
  <c r="AB59" i="174"/>
  <c r="AE59" i="174" s="1"/>
  <c r="AI59" i="174" s="1"/>
  <c r="Y59" i="174" s="1"/>
  <c r="X59" i="174"/>
  <c r="Q59" i="174"/>
  <c r="P59" i="174"/>
  <c r="I59" i="174"/>
  <c r="H59" i="174"/>
  <c r="E59" i="174"/>
  <c r="AE58" i="174"/>
  <c r="AI58" i="174" s="1"/>
  <c r="Y58" i="174" s="1"/>
  <c r="AC58" i="174"/>
  <c r="AB58" i="174"/>
  <c r="X58" i="174"/>
  <c r="Q58" i="174"/>
  <c r="P58" i="174"/>
  <c r="E58" i="174"/>
  <c r="I58" i="174" s="1"/>
  <c r="AC57" i="174"/>
  <c r="AB57" i="174"/>
  <c r="AE57" i="174" s="1"/>
  <c r="AI57" i="174" s="1"/>
  <c r="Y57" i="174" s="1"/>
  <c r="X57" i="174"/>
  <c r="Q57" i="174"/>
  <c r="P57" i="174"/>
  <c r="I57" i="174"/>
  <c r="H57" i="174"/>
  <c r="E57" i="174"/>
  <c r="AD56" i="174"/>
  <c r="AC56" i="174"/>
  <c r="AB56" i="174"/>
  <c r="AE56" i="174" s="1"/>
  <c r="AI56" i="174" s="1"/>
  <c r="Y56" i="174" s="1"/>
  <c r="Z56" i="174"/>
  <c r="X56" i="174"/>
  <c r="Q56" i="174"/>
  <c r="P56" i="174"/>
  <c r="H56" i="174"/>
  <c r="E56" i="174"/>
  <c r="I56" i="174" s="1"/>
  <c r="AE55" i="174"/>
  <c r="AI55" i="174" s="1"/>
  <c r="Y55" i="174" s="1"/>
  <c r="AD55" i="174"/>
  <c r="AC55" i="174"/>
  <c r="AB55" i="174"/>
  <c r="Z55" i="174"/>
  <c r="X55" i="174"/>
  <c r="Q55" i="174"/>
  <c r="P55" i="174"/>
  <c r="H55" i="174"/>
  <c r="E55" i="174"/>
  <c r="I55" i="174" s="1"/>
  <c r="AD54" i="174"/>
  <c r="AC54" i="174"/>
  <c r="AB54" i="174"/>
  <c r="AE54" i="174" s="1"/>
  <c r="AI54" i="174" s="1"/>
  <c r="Y54" i="174" s="1"/>
  <c r="Z54" i="174"/>
  <c r="X54" i="174"/>
  <c r="Q54" i="174"/>
  <c r="P54" i="174"/>
  <c r="I54" i="174"/>
  <c r="H54" i="174"/>
  <c r="E54" i="174"/>
  <c r="AE53" i="174"/>
  <c r="AI53" i="174" s="1"/>
  <c r="Y53" i="174" s="1"/>
  <c r="AD53" i="174"/>
  <c r="AC53" i="174"/>
  <c r="AB53" i="174"/>
  <c r="Z53" i="174"/>
  <c r="X53" i="174"/>
  <c r="Q53" i="174"/>
  <c r="P53" i="174"/>
  <c r="H53" i="174"/>
  <c r="E53" i="174"/>
  <c r="I53" i="174" s="1"/>
  <c r="AI52" i="174"/>
  <c r="Y52" i="174" s="1"/>
  <c r="AE52" i="174"/>
  <c r="Z52" i="174"/>
  <c r="X52" i="174"/>
  <c r="Q52" i="174"/>
  <c r="P52" i="174"/>
  <c r="I52" i="174"/>
  <c r="H52" i="174"/>
  <c r="E52" i="174"/>
  <c r="AD51" i="174"/>
  <c r="AC51" i="174"/>
  <c r="AB51" i="174"/>
  <c r="AE51" i="174" s="1"/>
  <c r="AI51" i="174" s="1"/>
  <c r="Y51" i="174" s="1"/>
  <c r="Z51" i="174"/>
  <c r="X51" i="174"/>
  <c r="Q51" i="174"/>
  <c r="P51" i="174"/>
  <c r="I51" i="174"/>
  <c r="H51" i="174"/>
  <c r="E51" i="174"/>
  <c r="AD50" i="174"/>
  <c r="AC50" i="174"/>
  <c r="AE50" i="174" s="1"/>
  <c r="AI50" i="174" s="1"/>
  <c r="Y50" i="174" s="1"/>
  <c r="AB50" i="174"/>
  <c r="Z50" i="174"/>
  <c r="X50" i="174"/>
  <c r="Q50" i="174"/>
  <c r="P50" i="174"/>
  <c r="I50" i="174"/>
  <c r="H50" i="174"/>
  <c r="E50" i="174"/>
  <c r="AI49" i="174"/>
  <c r="Y49" i="174" s="1"/>
  <c r="AE49" i="174"/>
  <c r="Z49" i="174"/>
  <c r="X49" i="174"/>
  <c r="Q49" i="174"/>
  <c r="P49" i="174"/>
  <c r="H49" i="174"/>
  <c r="E49" i="174"/>
  <c r="I49" i="174" s="1"/>
  <c r="AE48" i="174"/>
  <c r="AI48" i="174" s="1"/>
  <c r="Y48" i="174" s="1"/>
  <c r="Z48" i="174"/>
  <c r="X48" i="174"/>
  <c r="Q48" i="174"/>
  <c r="P48" i="174"/>
  <c r="I48" i="174"/>
  <c r="H48" i="174"/>
  <c r="E48" i="174"/>
  <c r="AI47" i="174"/>
  <c r="Y47" i="174" s="1"/>
  <c r="AE47" i="174"/>
  <c r="Z47" i="174"/>
  <c r="X47" i="174"/>
  <c r="Q47" i="174"/>
  <c r="P47" i="174"/>
  <c r="H47" i="174"/>
  <c r="E47" i="174"/>
  <c r="I47" i="174" s="1"/>
  <c r="AD46" i="174"/>
  <c r="AC46" i="174"/>
  <c r="AB46" i="174"/>
  <c r="AE46" i="174" s="1"/>
  <c r="AI46" i="174" s="1"/>
  <c r="Y46" i="174" s="1"/>
  <c r="Z46" i="174"/>
  <c r="X46" i="174"/>
  <c r="Q46" i="174"/>
  <c r="P46" i="174"/>
  <c r="I46" i="174"/>
  <c r="H46" i="174"/>
  <c r="E46" i="174"/>
  <c r="AD45" i="174"/>
  <c r="AE45" i="174" s="1"/>
  <c r="AI45" i="174" s="1"/>
  <c r="Y45" i="174" s="1"/>
  <c r="AC45" i="174"/>
  <c r="AB45" i="174"/>
  <c r="Z45" i="174"/>
  <c r="X45" i="174"/>
  <c r="Q45" i="174"/>
  <c r="P45" i="174"/>
  <c r="I45" i="174"/>
  <c r="H45" i="174"/>
  <c r="E45" i="174"/>
  <c r="AD44" i="174"/>
  <c r="AC44" i="174"/>
  <c r="AB44" i="174"/>
  <c r="AE44" i="174" s="1"/>
  <c r="AI44" i="174" s="1"/>
  <c r="Y44" i="174" s="1"/>
  <c r="Z44" i="174"/>
  <c r="X44" i="174"/>
  <c r="Q44" i="174"/>
  <c r="P44" i="174"/>
  <c r="I44" i="174"/>
  <c r="H44" i="174"/>
  <c r="E44" i="174"/>
  <c r="AE43" i="174"/>
  <c r="AI43" i="174" s="1"/>
  <c r="Y43" i="174" s="1"/>
  <c r="AD43" i="174"/>
  <c r="AC43" i="174"/>
  <c r="AB43" i="174"/>
  <c r="Z43" i="174"/>
  <c r="X43" i="174"/>
  <c r="Q43" i="174"/>
  <c r="P43" i="174"/>
  <c r="H43" i="174"/>
  <c r="E43" i="174"/>
  <c r="I43" i="174" s="1"/>
  <c r="AD42" i="174"/>
  <c r="AC42" i="174"/>
  <c r="AB42" i="174"/>
  <c r="AE42" i="174" s="1"/>
  <c r="AI42" i="174" s="1"/>
  <c r="Y42" i="174" s="1"/>
  <c r="Z42" i="174"/>
  <c r="X42" i="174"/>
  <c r="Q42" i="174"/>
  <c r="P42" i="174"/>
  <c r="I42" i="174"/>
  <c r="H42" i="174"/>
  <c r="E42" i="174"/>
  <c r="AE41" i="174"/>
  <c r="AI41" i="174" s="1"/>
  <c r="Y41" i="174" s="1"/>
  <c r="AD41" i="174"/>
  <c r="AC41" i="174"/>
  <c r="AB41" i="174"/>
  <c r="Z41" i="174"/>
  <c r="X41" i="174"/>
  <c r="Q41" i="174"/>
  <c r="P41" i="174"/>
  <c r="H41" i="174"/>
  <c r="E41" i="174"/>
  <c r="I41" i="174" s="1"/>
  <c r="AE40" i="174"/>
  <c r="AI40" i="174" s="1"/>
  <c r="Y40" i="174" s="1"/>
  <c r="AD40" i="174"/>
  <c r="AC40" i="174"/>
  <c r="AB40" i="174"/>
  <c r="Z40" i="174"/>
  <c r="X40" i="174"/>
  <c r="Q40" i="174"/>
  <c r="P40" i="174"/>
  <c r="I40" i="174"/>
  <c r="H40" i="174"/>
  <c r="E40" i="174"/>
  <c r="AD39" i="174"/>
  <c r="AC39" i="174"/>
  <c r="AB39" i="174"/>
  <c r="AE39" i="174" s="1"/>
  <c r="AI39" i="174" s="1"/>
  <c r="Y39" i="174" s="1"/>
  <c r="Z39" i="174"/>
  <c r="X39" i="174"/>
  <c r="Q39" i="174"/>
  <c r="P39" i="174"/>
  <c r="I39" i="174"/>
  <c r="H39" i="174"/>
  <c r="E39" i="174"/>
  <c r="AD38" i="174"/>
  <c r="AC38" i="174"/>
  <c r="AB38" i="174"/>
  <c r="AE38" i="174" s="1"/>
  <c r="AI38" i="174" s="1"/>
  <c r="Y38" i="174" s="1"/>
  <c r="Z38" i="174"/>
  <c r="X38" i="174"/>
  <c r="Q38" i="174"/>
  <c r="P38" i="174"/>
  <c r="I38" i="174"/>
  <c r="H38" i="174"/>
  <c r="E38" i="174"/>
  <c r="AD37" i="174"/>
  <c r="AC37" i="174"/>
  <c r="AE37" i="174" s="1"/>
  <c r="AI37" i="174" s="1"/>
  <c r="Y37" i="174" s="1"/>
  <c r="AB37" i="174"/>
  <c r="Z37" i="174"/>
  <c r="X37" i="174"/>
  <c r="Q37" i="174"/>
  <c r="P37" i="174"/>
  <c r="I37" i="174"/>
  <c r="H37" i="174"/>
  <c r="E37" i="174"/>
  <c r="AE36" i="174"/>
  <c r="AI36" i="174" s="1"/>
  <c r="Y36" i="174" s="1"/>
  <c r="AD36" i="174"/>
  <c r="AC36" i="174"/>
  <c r="AB36" i="174"/>
  <c r="Z36" i="174"/>
  <c r="X36" i="174"/>
  <c r="Q36" i="174"/>
  <c r="P36" i="174"/>
  <c r="H36" i="174"/>
  <c r="E36" i="174"/>
  <c r="I36" i="174" s="1"/>
  <c r="AD35" i="174"/>
  <c r="AC35" i="174"/>
  <c r="AB35" i="174"/>
  <c r="AE35" i="174" s="1"/>
  <c r="AI35" i="174" s="1"/>
  <c r="Y35" i="174" s="1"/>
  <c r="Z35" i="174"/>
  <c r="X35" i="174"/>
  <c r="Q35" i="174"/>
  <c r="P35" i="174"/>
  <c r="H35" i="174"/>
  <c r="E35" i="174"/>
  <c r="I35" i="174" s="1"/>
  <c r="AD34" i="174"/>
  <c r="AC34" i="174"/>
  <c r="AE34" i="174" s="1"/>
  <c r="AI34" i="174" s="1"/>
  <c r="Y34" i="174" s="1"/>
  <c r="AB34" i="174"/>
  <c r="Z34" i="174"/>
  <c r="X34" i="174"/>
  <c r="Q34" i="174"/>
  <c r="P34" i="174"/>
  <c r="H34" i="174"/>
  <c r="E34" i="174"/>
  <c r="I34" i="174" s="1"/>
  <c r="AD33" i="174"/>
  <c r="AC33" i="174"/>
  <c r="AB33" i="174"/>
  <c r="AE33" i="174" s="1"/>
  <c r="AI33" i="174" s="1"/>
  <c r="Y33" i="174" s="1"/>
  <c r="Z33" i="174"/>
  <c r="X33" i="174"/>
  <c r="Q33" i="174"/>
  <c r="P33" i="174"/>
  <c r="I33" i="174"/>
  <c r="H33" i="174"/>
  <c r="E33" i="174"/>
  <c r="AD32" i="174"/>
  <c r="AE32" i="174" s="1"/>
  <c r="AI32" i="174" s="1"/>
  <c r="Y32" i="174" s="1"/>
  <c r="AC32" i="174"/>
  <c r="AB32" i="174"/>
  <c r="Z32" i="174"/>
  <c r="X32" i="174"/>
  <c r="Q32" i="174"/>
  <c r="P32" i="174"/>
  <c r="H32" i="174"/>
  <c r="E32" i="174"/>
  <c r="I32" i="174" s="1"/>
  <c r="AI31" i="174"/>
  <c r="Y31" i="174" s="1"/>
  <c r="AE31" i="174"/>
  <c r="Z31" i="174"/>
  <c r="X31" i="174"/>
  <c r="Q31" i="174"/>
  <c r="P31" i="174"/>
  <c r="I31" i="174"/>
  <c r="H31" i="174"/>
  <c r="E31" i="174"/>
  <c r="AD30" i="174"/>
  <c r="AE30" i="174" s="1"/>
  <c r="AI30" i="174" s="1"/>
  <c r="Y30" i="174" s="1"/>
  <c r="AC30" i="174"/>
  <c r="AB30" i="174"/>
  <c r="Z30" i="174"/>
  <c r="X30" i="174"/>
  <c r="Q30" i="174"/>
  <c r="P30" i="174"/>
  <c r="I30" i="174"/>
  <c r="H30" i="174"/>
  <c r="E30" i="174"/>
  <c r="AD29" i="174"/>
  <c r="AC29" i="174"/>
  <c r="AB29" i="174"/>
  <c r="AE29" i="174" s="1"/>
  <c r="AI29" i="174" s="1"/>
  <c r="Y29" i="174" s="1"/>
  <c r="Z29" i="174"/>
  <c r="X29" i="174"/>
  <c r="Q29" i="174"/>
  <c r="P29" i="174"/>
  <c r="I29" i="174"/>
  <c r="H29" i="174"/>
  <c r="E29" i="174"/>
  <c r="AE28" i="174"/>
  <c r="AI28" i="174" s="1"/>
  <c r="Y28" i="174" s="1"/>
  <c r="AD28" i="174"/>
  <c r="AC28" i="174"/>
  <c r="AB28" i="174"/>
  <c r="Z28" i="174"/>
  <c r="X28" i="174"/>
  <c r="Q28" i="174"/>
  <c r="P28" i="174"/>
  <c r="H28" i="174"/>
  <c r="E28" i="174"/>
  <c r="I28" i="174" s="1"/>
  <c r="AD27" i="174"/>
  <c r="AC27" i="174"/>
  <c r="AB27" i="174"/>
  <c r="AE27" i="174" s="1"/>
  <c r="AI27" i="174" s="1"/>
  <c r="Y27" i="174" s="1"/>
  <c r="Z27" i="174"/>
  <c r="X27" i="174"/>
  <c r="Q27" i="174"/>
  <c r="P27" i="174"/>
  <c r="I27" i="174"/>
  <c r="H27" i="174"/>
  <c r="E27" i="174"/>
  <c r="AD26" i="174"/>
  <c r="AE26" i="174" s="1"/>
  <c r="AI26" i="174" s="1"/>
  <c r="Y26" i="174" s="1"/>
  <c r="AC26" i="174"/>
  <c r="AB26" i="174"/>
  <c r="Z26" i="174"/>
  <c r="X26" i="174"/>
  <c r="Q26" i="174"/>
  <c r="P26" i="174"/>
  <c r="H26" i="174"/>
  <c r="E26" i="174"/>
  <c r="I26" i="174" s="1"/>
  <c r="AE25" i="174"/>
  <c r="AI25" i="174" s="1"/>
  <c r="Y25" i="174" s="1"/>
  <c r="AD25" i="174"/>
  <c r="AC25" i="174"/>
  <c r="AB25" i="174"/>
  <c r="Z25" i="174"/>
  <c r="X25" i="174"/>
  <c r="Q25" i="174"/>
  <c r="P25" i="174"/>
  <c r="I25" i="174"/>
  <c r="H25" i="174"/>
  <c r="E25" i="174"/>
  <c r="AD24" i="174"/>
  <c r="AC24" i="174"/>
  <c r="AB24" i="174"/>
  <c r="AE24" i="174" s="1"/>
  <c r="AI24" i="174" s="1"/>
  <c r="Y24" i="174" s="1"/>
  <c r="Z24" i="174"/>
  <c r="X24" i="174"/>
  <c r="Q24" i="174"/>
  <c r="P24" i="174"/>
  <c r="I24" i="174"/>
  <c r="H24" i="174"/>
  <c r="E24" i="174"/>
  <c r="AI23" i="174"/>
  <c r="AE23" i="174"/>
  <c r="AD23" i="174"/>
  <c r="AC23" i="174"/>
  <c r="AB23" i="174"/>
  <c r="Z23" i="174"/>
  <c r="Y23" i="174"/>
  <c r="X23" i="174"/>
  <c r="Q23" i="174"/>
  <c r="P23" i="174"/>
  <c r="I23" i="174"/>
  <c r="H23" i="174"/>
  <c r="E23" i="174"/>
  <c r="AD22" i="174"/>
  <c r="AC22" i="174"/>
  <c r="AE22" i="174" s="1"/>
  <c r="AI22" i="174" s="1"/>
  <c r="Y22" i="174" s="1"/>
  <c r="AB22" i="174"/>
  <c r="Z22" i="174"/>
  <c r="X22" i="174"/>
  <c r="Q22" i="174"/>
  <c r="P22" i="174"/>
  <c r="I22" i="174"/>
  <c r="H22" i="174"/>
  <c r="E22" i="174"/>
  <c r="AE21" i="174"/>
  <c r="AI21" i="174" s="1"/>
  <c r="Y21" i="174" s="1"/>
  <c r="AD21" i="174"/>
  <c r="AC21" i="174"/>
  <c r="AB21" i="174"/>
  <c r="Z21" i="174"/>
  <c r="X21" i="174"/>
  <c r="Q21" i="174"/>
  <c r="P21" i="174"/>
  <c r="H21" i="174"/>
  <c r="E21" i="174"/>
  <c r="I21" i="174" s="1"/>
  <c r="AD20" i="174"/>
  <c r="AC20" i="174"/>
  <c r="AB20" i="174"/>
  <c r="AE20" i="174" s="1"/>
  <c r="AI20" i="174" s="1"/>
  <c r="Y20" i="174" s="1"/>
  <c r="Z20" i="174"/>
  <c r="X20" i="174"/>
  <c r="Q20" i="174"/>
  <c r="P20" i="174"/>
  <c r="H20" i="174"/>
  <c r="E20" i="174"/>
  <c r="I20" i="174" s="1"/>
  <c r="AD19" i="174"/>
  <c r="AC19" i="174"/>
  <c r="AE19" i="174" s="1"/>
  <c r="AI19" i="174" s="1"/>
  <c r="Y19" i="174" s="1"/>
  <c r="AB19" i="174"/>
  <c r="Z19" i="174"/>
  <c r="X19" i="174"/>
  <c r="Q19" i="174"/>
  <c r="P19" i="174"/>
  <c r="H19" i="174"/>
  <c r="E19" i="174"/>
  <c r="I19" i="174" s="1"/>
  <c r="AD18" i="174"/>
  <c r="AC18" i="174"/>
  <c r="AB18" i="174"/>
  <c r="AE18" i="174" s="1"/>
  <c r="AI18" i="174" s="1"/>
  <c r="Y18" i="174" s="1"/>
  <c r="Z18" i="174"/>
  <c r="X18" i="174"/>
  <c r="Q18" i="174"/>
  <c r="P18" i="174"/>
  <c r="I18" i="174"/>
  <c r="H18" i="174"/>
  <c r="E18" i="174"/>
  <c r="AD17" i="174"/>
  <c r="AE17" i="174" s="1"/>
  <c r="AI17" i="174" s="1"/>
  <c r="Y17" i="174" s="1"/>
  <c r="AC17" i="174"/>
  <c r="AB17" i="174"/>
  <c r="Z17" i="174"/>
  <c r="X17" i="174"/>
  <c r="Q17" i="174"/>
  <c r="P17" i="174"/>
  <c r="H17" i="174"/>
  <c r="E17" i="174"/>
  <c r="I17" i="174" s="1"/>
  <c r="AI16" i="174"/>
  <c r="Y16" i="174" s="1"/>
  <c r="AE16" i="174"/>
  <c r="AD16" i="174"/>
  <c r="AC16" i="174"/>
  <c r="AB16" i="174"/>
  <c r="Z16" i="174"/>
  <c r="X16" i="174"/>
  <c r="Q16" i="174"/>
  <c r="P16" i="174"/>
  <c r="E16" i="174"/>
  <c r="I16" i="174" s="1"/>
  <c r="AD15" i="174"/>
  <c r="AC15" i="174"/>
  <c r="AB15" i="174"/>
  <c r="AE15" i="174" s="1"/>
  <c r="AI15" i="174" s="1"/>
  <c r="Y15" i="174" s="1"/>
  <c r="Z15" i="174"/>
  <c r="X15" i="174"/>
  <c r="Q15" i="174"/>
  <c r="P15" i="174"/>
  <c r="E15" i="174"/>
  <c r="I15" i="174" s="1"/>
  <c r="AD14" i="174"/>
  <c r="AC14" i="174"/>
  <c r="AB14" i="174"/>
  <c r="AE14" i="174" s="1"/>
  <c r="AI14" i="174" s="1"/>
  <c r="Y14" i="174" s="1"/>
  <c r="Z14" i="174"/>
  <c r="X14" i="174"/>
  <c r="Q14" i="174"/>
  <c r="O75" i="174" s="1"/>
  <c r="P14" i="174"/>
  <c r="H14" i="174"/>
  <c r="E14" i="174"/>
  <c r="I14" i="174" s="1"/>
  <c r="AD13" i="174"/>
  <c r="AC13" i="174"/>
  <c r="AB13" i="174"/>
  <c r="AE13" i="174" s="1"/>
  <c r="AI13" i="174" s="1"/>
  <c r="Y13" i="174" s="1"/>
  <c r="Z13" i="174"/>
  <c r="X13" i="174"/>
  <c r="Q13" i="174"/>
  <c r="P13" i="174"/>
  <c r="I13" i="174"/>
  <c r="H13" i="174"/>
  <c r="E13" i="174"/>
  <c r="AD12" i="174"/>
  <c r="AC12" i="174"/>
  <c r="AE12" i="174" s="1"/>
  <c r="AI12" i="174" s="1"/>
  <c r="Y12" i="174" s="1"/>
  <c r="AB12" i="174"/>
  <c r="Z12" i="174"/>
  <c r="X12" i="174"/>
  <c r="Q12" i="174"/>
  <c r="P12" i="174"/>
  <c r="I12" i="174"/>
  <c r="H12" i="174"/>
  <c r="E12" i="174"/>
  <c r="M79" i="173"/>
  <c r="W73" i="173"/>
  <c r="P71" i="173"/>
  <c r="H71" i="173"/>
  <c r="Q70" i="173"/>
  <c r="P70" i="173"/>
  <c r="I70" i="173"/>
  <c r="H70" i="173"/>
  <c r="E70" i="173"/>
  <c r="Q69" i="173"/>
  <c r="P69" i="173"/>
  <c r="I69" i="173"/>
  <c r="H69" i="173"/>
  <c r="E69" i="173"/>
  <c r="AD68" i="173"/>
  <c r="AC68" i="173"/>
  <c r="AB68" i="173"/>
  <c r="AE68" i="173" s="1"/>
  <c r="AI68" i="173" s="1"/>
  <c r="Y68" i="173" s="1"/>
  <c r="Z68" i="173"/>
  <c r="X68" i="173"/>
  <c r="W68" i="173"/>
  <c r="Q68" i="173"/>
  <c r="P68" i="173"/>
  <c r="H68" i="173"/>
  <c r="E68" i="173"/>
  <c r="I68" i="173" s="1"/>
  <c r="AD67" i="173"/>
  <c r="AC67" i="173"/>
  <c r="AE67" i="173" s="1"/>
  <c r="AI67" i="173" s="1"/>
  <c r="Y67" i="173" s="1"/>
  <c r="AB67" i="173"/>
  <c r="Z67" i="173"/>
  <c r="X67" i="173"/>
  <c r="Q67" i="173"/>
  <c r="P67" i="173"/>
  <c r="I67" i="173"/>
  <c r="H67" i="173"/>
  <c r="E67" i="173"/>
  <c r="AE66" i="173"/>
  <c r="AI66" i="173" s="1"/>
  <c r="Y66" i="173" s="1"/>
  <c r="AD66" i="173"/>
  <c r="AC66" i="173"/>
  <c r="AB66" i="173"/>
  <c r="Z66" i="173"/>
  <c r="X66" i="173"/>
  <c r="Q66" i="173"/>
  <c r="P66" i="173"/>
  <c r="I66" i="173"/>
  <c r="H66" i="173"/>
  <c r="E66" i="173"/>
  <c r="AD65" i="173"/>
  <c r="AC65" i="173"/>
  <c r="AB65" i="173"/>
  <c r="AE65" i="173" s="1"/>
  <c r="AI65" i="173" s="1"/>
  <c r="Y65" i="173" s="1"/>
  <c r="Z65" i="173"/>
  <c r="X65" i="173"/>
  <c r="Q65" i="173"/>
  <c r="P65" i="173"/>
  <c r="H65" i="173"/>
  <c r="E65" i="173"/>
  <c r="I65" i="173" s="1"/>
  <c r="AD64" i="173"/>
  <c r="AC64" i="173"/>
  <c r="AB64" i="173"/>
  <c r="AE64" i="173" s="1"/>
  <c r="AI64" i="173" s="1"/>
  <c r="Y64" i="173" s="1"/>
  <c r="Z64" i="173"/>
  <c r="X64" i="173"/>
  <c r="Q64" i="173"/>
  <c r="P64" i="173"/>
  <c r="H64" i="173"/>
  <c r="E64" i="173"/>
  <c r="I64" i="173" s="1"/>
  <c r="AD63" i="173"/>
  <c r="AC63" i="173"/>
  <c r="AE63" i="173" s="1"/>
  <c r="AI63" i="173" s="1"/>
  <c r="Y63" i="173" s="1"/>
  <c r="AB63" i="173"/>
  <c r="Z63" i="173"/>
  <c r="X63" i="173"/>
  <c r="Q63" i="173"/>
  <c r="P63" i="173"/>
  <c r="I63" i="173"/>
  <c r="H63" i="173"/>
  <c r="E63" i="173"/>
  <c r="AD62" i="173"/>
  <c r="AC62" i="173"/>
  <c r="AB62" i="173"/>
  <c r="AE62" i="173" s="1"/>
  <c r="AI62" i="173" s="1"/>
  <c r="Y62" i="173" s="1"/>
  <c r="Z62" i="173"/>
  <c r="X62" i="173"/>
  <c r="Q62" i="173"/>
  <c r="P62" i="173"/>
  <c r="H62" i="173"/>
  <c r="E62" i="173"/>
  <c r="I62" i="173" s="1"/>
  <c r="AE61" i="173"/>
  <c r="AI61" i="173" s="1"/>
  <c r="Y61" i="173" s="1"/>
  <c r="AC61" i="173"/>
  <c r="AB61" i="173"/>
  <c r="X61" i="173"/>
  <c r="Q61" i="173"/>
  <c r="P61" i="173"/>
  <c r="I61" i="173"/>
  <c r="H61" i="173"/>
  <c r="E61" i="173"/>
  <c r="AE60" i="173"/>
  <c r="AI60" i="173" s="1"/>
  <c r="Y60" i="173" s="1"/>
  <c r="X60" i="173"/>
  <c r="Q60" i="173"/>
  <c r="P60" i="173"/>
  <c r="I60" i="173"/>
  <c r="H60" i="173"/>
  <c r="E60" i="173"/>
  <c r="AC59" i="173"/>
  <c r="AB59" i="173"/>
  <c r="AE59" i="173" s="1"/>
  <c r="AI59" i="173" s="1"/>
  <c r="Y59" i="173" s="1"/>
  <c r="X59" i="173"/>
  <c r="Q59" i="173"/>
  <c r="P59" i="173"/>
  <c r="I59" i="173"/>
  <c r="H59" i="173"/>
  <c r="E59" i="173"/>
  <c r="AC58" i="173"/>
  <c r="AE58" i="173" s="1"/>
  <c r="AI58" i="173" s="1"/>
  <c r="Y58" i="173" s="1"/>
  <c r="AB58" i="173"/>
  <c r="X58" i="173"/>
  <c r="Q58" i="173"/>
  <c r="P58" i="173"/>
  <c r="E58" i="173"/>
  <c r="I58" i="173" s="1"/>
  <c r="AC57" i="173"/>
  <c r="AB57" i="173"/>
  <c r="AE57" i="173" s="1"/>
  <c r="AI57" i="173" s="1"/>
  <c r="Y57" i="173" s="1"/>
  <c r="X57" i="173"/>
  <c r="Q57" i="173"/>
  <c r="P57" i="173"/>
  <c r="I57" i="173"/>
  <c r="H57" i="173"/>
  <c r="E57" i="173"/>
  <c r="AD56" i="173"/>
  <c r="AC56" i="173"/>
  <c r="AB56" i="173"/>
  <c r="AE56" i="173" s="1"/>
  <c r="AI56" i="173" s="1"/>
  <c r="Y56" i="173" s="1"/>
  <c r="Z56" i="173"/>
  <c r="X56" i="173"/>
  <c r="Q56" i="173"/>
  <c r="P56" i="173"/>
  <c r="H56" i="173"/>
  <c r="E56" i="173"/>
  <c r="I56" i="173" s="1"/>
  <c r="AD55" i="173"/>
  <c r="AC55" i="173"/>
  <c r="AB55" i="173"/>
  <c r="AE55" i="173" s="1"/>
  <c r="AI55" i="173" s="1"/>
  <c r="Y55" i="173" s="1"/>
  <c r="Z55" i="173"/>
  <c r="X55" i="173"/>
  <c r="Q55" i="173"/>
  <c r="P55" i="173"/>
  <c r="H55" i="173"/>
  <c r="E55" i="173"/>
  <c r="I55" i="173" s="1"/>
  <c r="AE54" i="173"/>
  <c r="AI54" i="173" s="1"/>
  <c r="Y54" i="173" s="1"/>
  <c r="AD54" i="173"/>
  <c r="AC54" i="173"/>
  <c r="AB54" i="173"/>
  <c r="Z54" i="173"/>
  <c r="X54" i="173"/>
  <c r="Q54" i="173"/>
  <c r="P54" i="173"/>
  <c r="I54" i="173"/>
  <c r="H54" i="173"/>
  <c r="E54" i="173"/>
  <c r="AE53" i="173"/>
  <c r="AI53" i="173" s="1"/>
  <c r="Y53" i="173" s="1"/>
  <c r="AD53" i="173"/>
  <c r="AC53" i="173"/>
  <c r="AB53" i="173"/>
  <c r="Z53" i="173"/>
  <c r="X53" i="173"/>
  <c r="Q53" i="173"/>
  <c r="P53" i="173"/>
  <c r="H53" i="173"/>
  <c r="E53" i="173"/>
  <c r="I53" i="173" s="1"/>
  <c r="AE52" i="173"/>
  <c r="AI52" i="173" s="1"/>
  <c r="Y52" i="173" s="1"/>
  <c r="Z52" i="173"/>
  <c r="X52" i="173"/>
  <c r="Q52" i="173"/>
  <c r="P52" i="173"/>
  <c r="I52" i="173"/>
  <c r="H52" i="173"/>
  <c r="E52" i="173"/>
  <c r="AD51" i="173"/>
  <c r="AC51" i="173"/>
  <c r="AE51" i="173" s="1"/>
  <c r="AI51" i="173" s="1"/>
  <c r="Y51" i="173" s="1"/>
  <c r="AB51" i="173"/>
  <c r="Z51" i="173"/>
  <c r="X51" i="173"/>
  <c r="Q51" i="173"/>
  <c r="P51" i="173"/>
  <c r="I51" i="173"/>
  <c r="H51" i="173"/>
  <c r="E51" i="173"/>
  <c r="AD50" i="173"/>
  <c r="AE50" i="173" s="1"/>
  <c r="AI50" i="173" s="1"/>
  <c r="Y50" i="173" s="1"/>
  <c r="AC50" i="173"/>
  <c r="AB50" i="173"/>
  <c r="Z50" i="173"/>
  <c r="X50" i="173"/>
  <c r="Q50" i="173"/>
  <c r="P50" i="173"/>
  <c r="I50" i="173"/>
  <c r="H50" i="173"/>
  <c r="E50" i="173"/>
  <c r="AI49" i="173"/>
  <c r="Y49" i="173" s="1"/>
  <c r="AE49" i="173"/>
  <c r="Z49" i="173"/>
  <c r="X49" i="173"/>
  <c r="Q49" i="173"/>
  <c r="P49" i="173"/>
  <c r="H49" i="173"/>
  <c r="E49" i="173"/>
  <c r="I49" i="173" s="1"/>
  <c r="AE48" i="173"/>
  <c r="AI48" i="173" s="1"/>
  <c r="Y48" i="173" s="1"/>
  <c r="Z48" i="173"/>
  <c r="X48" i="173"/>
  <c r="Q48" i="173"/>
  <c r="P48" i="173"/>
  <c r="H48" i="173"/>
  <c r="E48" i="173"/>
  <c r="I48" i="173" s="1"/>
  <c r="AE47" i="173"/>
  <c r="AI47" i="173" s="1"/>
  <c r="Y47" i="173" s="1"/>
  <c r="Z47" i="173"/>
  <c r="X47" i="173"/>
  <c r="Q47" i="173"/>
  <c r="P47" i="173"/>
  <c r="H47" i="173"/>
  <c r="E47" i="173"/>
  <c r="I47" i="173" s="1"/>
  <c r="AD46" i="173"/>
  <c r="AC46" i="173"/>
  <c r="AB46" i="173"/>
  <c r="AE46" i="173" s="1"/>
  <c r="AI46" i="173" s="1"/>
  <c r="Y46" i="173" s="1"/>
  <c r="Z46" i="173"/>
  <c r="X46" i="173"/>
  <c r="Q46" i="173"/>
  <c r="P46" i="173"/>
  <c r="I46" i="173"/>
  <c r="H46" i="173"/>
  <c r="E46" i="173"/>
  <c r="AD45" i="173"/>
  <c r="AE45" i="173" s="1"/>
  <c r="AI45" i="173" s="1"/>
  <c r="Y45" i="173" s="1"/>
  <c r="AC45" i="173"/>
  <c r="AB45" i="173"/>
  <c r="Z45" i="173"/>
  <c r="X45" i="173"/>
  <c r="Q45" i="173"/>
  <c r="P45" i="173"/>
  <c r="I45" i="173"/>
  <c r="H45" i="173"/>
  <c r="E45" i="173"/>
  <c r="AD44" i="173"/>
  <c r="AC44" i="173"/>
  <c r="AB44" i="173"/>
  <c r="AE44" i="173" s="1"/>
  <c r="AI44" i="173" s="1"/>
  <c r="Y44" i="173" s="1"/>
  <c r="Z44" i="173"/>
  <c r="X44" i="173"/>
  <c r="Q44" i="173"/>
  <c r="P44" i="173"/>
  <c r="H44" i="173"/>
  <c r="E44" i="173"/>
  <c r="I44" i="173" s="1"/>
  <c r="AD43" i="173"/>
  <c r="AC43" i="173"/>
  <c r="AB43" i="173"/>
  <c r="AE43" i="173" s="1"/>
  <c r="AI43" i="173" s="1"/>
  <c r="Y43" i="173" s="1"/>
  <c r="Z43" i="173"/>
  <c r="X43" i="173"/>
  <c r="Q43" i="173"/>
  <c r="P43" i="173"/>
  <c r="H43" i="173"/>
  <c r="E43" i="173"/>
  <c r="I43" i="173" s="1"/>
  <c r="AD42" i="173"/>
  <c r="AC42" i="173"/>
  <c r="AE42" i="173" s="1"/>
  <c r="AI42" i="173" s="1"/>
  <c r="Y42" i="173" s="1"/>
  <c r="AB42" i="173"/>
  <c r="Z42" i="173"/>
  <c r="X42" i="173"/>
  <c r="Q42" i="173"/>
  <c r="P42" i="173"/>
  <c r="I42" i="173"/>
  <c r="H42" i="173"/>
  <c r="E42" i="173"/>
  <c r="AE41" i="173"/>
  <c r="AI41" i="173" s="1"/>
  <c r="Y41" i="173" s="1"/>
  <c r="AD41" i="173"/>
  <c r="AC41" i="173"/>
  <c r="AB41" i="173"/>
  <c r="Z41" i="173"/>
  <c r="X41" i="173"/>
  <c r="Q41" i="173"/>
  <c r="P41" i="173"/>
  <c r="H41" i="173"/>
  <c r="E41" i="173"/>
  <c r="I41" i="173" s="1"/>
  <c r="AE40" i="173"/>
  <c r="AI40" i="173" s="1"/>
  <c r="Y40" i="173" s="1"/>
  <c r="AD40" i="173"/>
  <c r="AC40" i="173"/>
  <c r="AB40" i="173"/>
  <c r="Z40" i="173"/>
  <c r="X40" i="173"/>
  <c r="Q40" i="173"/>
  <c r="P40" i="173"/>
  <c r="H40" i="173"/>
  <c r="E40" i="173"/>
  <c r="I40" i="173" s="1"/>
  <c r="AD39" i="173"/>
  <c r="AC39" i="173"/>
  <c r="AB39" i="173"/>
  <c r="AE39" i="173" s="1"/>
  <c r="AI39" i="173" s="1"/>
  <c r="Y39" i="173" s="1"/>
  <c r="Z39" i="173"/>
  <c r="X39" i="173"/>
  <c r="Q39" i="173"/>
  <c r="P39" i="173"/>
  <c r="H39" i="173"/>
  <c r="E39" i="173"/>
  <c r="I39" i="173" s="1"/>
  <c r="AD38" i="173"/>
  <c r="AC38" i="173"/>
  <c r="AE38" i="173" s="1"/>
  <c r="AI38" i="173" s="1"/>
  <c r="Y38" i="173" s="1"/>
  <c r="AB38" i="173"/>
  <c r="Z38" i="173"/>
  <c r="X38" i="173"/>
  <c r="Q38" i="173"/>
  <c r="P38" i="173"/>
  <c r="I38" i="173"/>
  <c r="H38" i="173"/>
  <c r="E38" i="173"/>
  <c r="AD37" i="173"/>
  <c r="AE37" i="173" s="1"/>
  <c r="AI37" i="173" s="1"/>
  <c r="Y37" i="173" s="1"/>
  <c r="AC37" i="173"/>
  <c r="AB37" i="173"/>
  <c r="Z37" i="173"/>
  <c r="X37" i="173"/>
  <c r="Q37" i="173"/>
  <c r="P37" i="173"/>
  <c r="I37" i="173"/>
  <c r="H37" i="173"/>
  <c r="E37" i="173"/>
  <c r="AD36" i="173"/>
  <c r="AC36" i="173"/>
  <c r="AB36" i="173"/>
  <c r="AE36" i="173" s="1"/>
  <c r="AI36" i="173" s="1"/>
  <c r="Y36" i="173" s="1"/>
  <c r="Z36" i="173"/>
  <c r="X36" i="173"/>
  <c r="Q36" i="173"/>
  <c r="P36" i="173"/>
  <c r="H36" i="173"/>
  <c r="E36" i="173"/>
  <c r="I36" i="173" s="1"/>
  <c r="AD35" i="173"/>
  <c r="AC35" i="173"/>
  <c r="AB35" i="173"/>
  <c r="AE35" i="173" s="1"/>
  <c r="AI35" i="173" s="1"/>
  <c r="Y35" i="173" s="1"/>
  <c r="Z35" i="173"/>
  <c r="X35" i="173"/>
  <c r="Q35" i="173"/>
  <c r="P35" i="173"/>
  <c r="H35" i="173"/>
  <c r="E35" i="173"/>
  <c r="I35" i="173" s="1"/>
  <c r="AD34" i="173"/>
  <c r="AC34" i="173"/>
  <c r="AE34" i="173" s="1"/>
  <c r="AI34" i="173" s="1"/>
  <c r="Y34" i="173" s="1"/>
  <c r="AB34" i="173"/>
  <c r="Z34" i="173"/>
  <c r="X34" i="173"/>
  <c r="Q34" i="173"/>
  <c r="P34" i="173"/>
  <c r="I34" i="173"/>
  <c r="H34" i="173"/>
  <c r="E34" i="173"/>
  <c r="AD33" i="173"/>
  <c r="AC33" i="173"/>
  <c r="AB33" i="173"/>
  <c r="AE33" i="173" s="1"/>
  <c r="AI33" i="173" s="1"/>
  <c r="Y33" i="173" s="1"/>
  <c r="Z33" i="173"/>
  <c r="X33" i="173"/>
  <c r="Q33" i="173"/>
  <c r="P33" i="173"/>
  <c r="H33" i="173"/>
  <c r="E33" i="173"/>
  <c r="I33" i="173" s="1"/>
  <c r="AE32" i="173"/>
  <c r="AI32" i="173" s="1"/>
  <c r="Y32" i="173" s="1"/>
  <c r="AD32" i="173"/>
  <c r="AC32" i="173"/>
  <c r="AB32" i="173"/>
  <c r="Z32" i="173"/>
  <c r="X32" i="173"/>
  <c r="Q32" i="173"/>
  <c r="P32" i="173"/>
  <c r="H32" i="173"/>
  <c r="E32" i="173"/>
  <c r="I32" i="173" s="1"/>
  <c r="AI31" i="173"/>
  <c r="AE31" i="173"/>
  <c r="Z31" i="173"/>
  <c r="Y31" i="173"/>
  <c r="X31" i="173"/>
  <c r="Q31" i="173"/>
  <c r="P31" i="173"/>
  <c r="I31" i="173"/>
  <c r="H31" i="173"/>
  <c r="E31" i="173"/>
  <c r="AD30" i="173"/>
  <c r="AE30" i="173" s="1"/>
  <c r="AI30" i="173" s="1"/>
  <c r="Y30" i="173" s="1"/>
  <c r="AC30" i="173"/>
  <c r="AB30" i="173"/>
  <c r="Z30" i="173"/>
  <c r="X30" i="173"/>
  <c r="Q30" i="173"/>
  <c r="P30" i="173"/>
  <c r="I30" i="173"/>
  <c r="H30" i="173"/>
  <c r="E30" i="173"/>
  <c r="AD29" i="173"/>
  <c r="AC29" i="173"/>
  <c r="AB29" i="173"/>
  <c r="AE29" i="173" s="1"/>
  <c r="AI29" i="173" s="1"/>
  <c r="Y29" i="173" s="1"/>
  <c r="Z29" i="173"/>
  <c r="X29" i="173"/>
  <c r="Q29" i="173"/>
  <c r="P29" i="173"/>
  <c r="H29" i="173"/>
  <c r="E29" i="173"/>
  <c r="I29" i="173" s="1"/>
  <c r="AD28" i="173"/>
  <c r="AC28" i="173"/>
  <c r="AB28" i="173"/>
  <c r="AE28" i="173" s="1"/>
  <c r="AI28" i="173" s="1"/>
  <c r="Y28" i="173" s="1"/>
  <c r="Z28" i="173"/>
  <c r="X28" i="173"/>
  <c r="Q28" i="173"/>
  <c r="P28" i="173"/>
  <c r="H28" i="173"/>
  <c r="E28" i="173"/>
  <c r="I28" i="173" s="1"/>
  <c r="AD27" i="173"/>
  <c r="AC27" i="173"/>
  <c r="AE27" i="173" s="1"/>
  <c r="AI27" i="173" s="1"/>
  <c r="Y27" i="173" s="1"/>
  <c r="AB27" i="173"/>
  <c r="Z27" i="173"/>
  <c r="X27" i="173"/>
  <c r="Q27" i="173"/>
  <c r="P27" i="173"/>
  <c r="I27" i="173"/>
  <c r="H27" i="173"/>
  <c r="E27" i="173"/>
  <c r="AE26" i="173"/>
  <c r="AI26" i="173" s="1"/>
  <c r="Y26" i="173" s="1"/>
  <c r="AD26" i="173"/>
  <c r="AC26" i="173"/>
  <c r="AB26" i="173"/>
  <c r="Z26" i="173"/>
  <c r="X26" i="173"/>
  <c r="Q26" i="173"/>
  <c r="P26" i="173"/>
  <c r="H26" i="173"/>
  <c r="E26" i="173"/>
  <c r="I26" i="173" s="1"/>
  <c r="AE25" i="173"/>
  <c r="AI25" i="173" s="1"/>
  <c r="Y25" i="173" s="1"/>
  <c r="AD25" i="173"/>
  <c r="AC25" i="173"/>
  <c r="AB25" i="173"/>
  <c r="Z25" i="173"/>
  <c r="X25" i="173"/>
  <c r="Q25" i="173"/>
  <c r="P25" i="173"/>
  <c r="H25" i="173"/>
  <c r="E25" i="173"/>
  <c r="I25" i="173" s="1"/>
  <c r="AD24" i="173"/>
  <c r="AC24" i="173"/>
  <c r="AB24" i="173"/>
  <c r="AE24" i="173" s="1"/>
  <c r="AI24" i="173" s="1"/>
  <c r="Y24" i="173" s="1"/>
  <c r="Z24" i="173"/>
  <c r="X24" i="173"/>
  <c r="Q24" i="173"/>
  <c r="P24" i="173"/>
  <c r="H24" i="173"/>
  <c r="E24" i="173"/>
  <c r="I24" i="173" s="1"/>
  <c r="AD23" i="173"/>
  <c r="AC23" i="173"/>
  <c r="AE23" i="173" s="1"/>
  <c r="AI23" i="173" s="1"/>
  <c r="Y23" i="173" s="1"/>
  <c r="AB23" i="173"/>
  <c r="Z23" i="173"/>
  <c r="X23" i="173"/>
  <c r="Q23" i="173"/>
  <c r="P23" i="173"/>
  <c r="I23" i="173"/>
  <c r="H23" i="173"/>
  <c r="E23" i="173"/>
  <c r="AD22" i="173"/>
  <c r="AE22" i="173" s="1"/>
  <c r="AI22" i="173" s="1"/>
  <c r="Y22" i="173" s="1"/>
  <c r="AC22" i="173"/>
  <c r="AB22" i="173"/>
  <c r="Z22" i="173"/>
  <c r="X22" i="173"/>
  <c r="Q22" i="173"/>
  <c r="P22" i="173"/>
  <c r="I22" i="173"/>
  <c r="H22" i="173"/>
  <c r="E22" i="173"/>
  <c r="AD21" i="173"/>
  <c r="AC21" i="173"/>
  <c r="AB21" i="173"/>
  <c r="AE21" i="173" s="1"/>
  <c r="AI21" i="173" s="1"/>
  <c r="Y21" i="173" s="1"/>
  <c r="Z21" i="173"/>
  <c r="X21" i="173"/>
  <c r="Q21" i="173"/>
  <c r="P21" i="173"/>
  <c r="H21" i="173"/>
  <c r="E21" i="173"/>
  <c r="I21" i="173" s="1"/>
  <c r="AD20" i="173"/>
  <c r="AC20" i="173"/>
  <c r="AB20" i="173"/>
  <c r="AE20" i="173" s="1"/>
  <c r="AI20" i="173" s="1"/>
  <c r="Y20" i="173" s="1"/>
  <c r="Z20" i="173"/>
  <c r="X20" i="173"/>
  <c r="Q20" i="173"/>
  <c r="P20" i="173"/>
  <c r="H20" i="173"/>
  <c r="E20" i="173"/>
  <c r="I20" i="173" s="1"/>
  <c r="AD19" i="173"/>
  <c r="AC19" i="173"/>
  <c r="AE19" i="173" s="1"/>
  <c r="AI19" i="173" s="1"/>
  <c r="Y19" i="173" s="1"/>
  <c r="AB19" i="173"/>
  <c r="Z19" i="173"/>
  <c r="X19" i="173"/>
  <c r="Q19" i="173"/>
  <c r="P19" i="173"/>
  <c r="I19" i="173"/>
  <c r="H19" i="173"/>
  <c r="E19" i="173"/>
  <c r="AD18" i="173"/>
  <c r="AC18" i="173"/>
  <c r="AB18" i="173"/>
  <c r="AE18" i="173" s="1"/>
  <c r="AI18" i="173" s="1"/>
  <c r="Y18" i="173" s="1"/>
  <c r="Z18" i="173"/>
  <c r="X18" i="173"/>
  <c r="Q18" i="173"/>
  <c r="P18" i="173"/>
  <c r="H18" i="173"/>
  <c r="E18" i="173"/>
  <c r="I18" i="173" s="1"/>
  <c r="AE17" i="173"/>
  <c r="AI17" i="173" s="1"/>
  <c r="Y17" i="173" s="1"/>
  <c r="AD17" i="173"/>
  <c r="AC17" i="173"/>
  <c r="AB17" i="173"/>
  <c r="Z17" i="173"/>
  <c r="X17" i="173"/>
  <c r="Q17" i="173"/>
  <c r="P17" i="173"/>
  <c r="H17" i="173"/>
  <c r="E17" i="173"/>
  <c r="I17" i="173" s="1"/>
  <c r="AD16" i="173"/>
  <c r="AC16" i="173"/>
  <c r="AB16" i="173"/>
  <c r="AE16" i="173" s="1"/>
  <c r="AI16" i="173" s="1"/>
  <c r="Y16" i="173" s="1"/>
  <c r="Z16" i="173"/>
  <c r="X16" i="173"/>
  <c r="Q16" i="173"/>
  <c r="P16" i="173"/>
  <c r="E16" i="173"/>
  <c r="I16" i="173" s="1"/>
  <c r="AD15" i="173"/>
  <c r="AC15" i="173"/>
  <c r="AB15" i="173"/>
  <c r="AE15" i="173" s="1"/>
  <c r="AI15" i="173" s="1"/>
  <c r="Y15" i="173" s="1"/>
  <c r="Z15" i="173"/>
  <c r="X15" i="173"/>
  <c r="Q15" i="173"/>
  <c r="P15" i="173"/>
  <c r="E15" i="173"/>
  <c r="I15" i="173" s="1"/>
  <c r="AD14" i="173"/>
  <c r="AC14" i="173"/>
  <c r="AB14" i="173"/>
  <c r="AE14" i="173" s="1"/>
  <c r="AI14" i="173" s="1"/>
  <c r="Y14" i="173" s="1"/>
  <c r="Z14" i="173"/>
  <c r="X14" i="173"/>
  <c r="Q14" i="173"/>
  <c r="O75" i="173" s="1"/>
  <c r="P14" i="173"/>
  <c r="H14" i="173"/>
  <c r="E14" i="173"/>
  <c r="I14" i="173" s="1"/>
  <c r="AD13" i="173"/>
  <c r="AC13" i="173"/>
  <c r="AE13" i="173" s="1"/>
  <c r="AI13" i="173" s="1"/>
  <c r="Y13" i="173" s="1"/>
  <c r="AB13" i="173"/>
  <c r="Z13" i="173"/>
  <c r="X13" i="173"/>
  <c r="Q13" i="173"/>
  <c r="P13" i="173"/>
  <c r="I13" i="173"/>
  <c r="H13" i="173"/>
  <c r="E13" i="173"/>
  <c r="AD12" i="173"/>
  <c r="AE12" i="173" s="1"/>
  <c r="AI12" i="173" s="1"/>
  <c r="Y12" i="173" s="1"/>
  <c r="AC12" i="173"/>
  <c r="AB12" i="173"/>
  <c r="Z12" i="173"/>
  <c r="X12" i="173"/>
  <c r="Q12" i="173"/>
  <c r="P12" i="173"/>
  <c r="I12" i="173"/>
  <c r="H12" i="173"/>
  <c r="E12" i="173"/>
  <c r="F77" i="177" l="1"/>
  <c r="T77" i="176"/>
  <c r="T75" i="176"/>
  <c r="T73" i="176"/>
  <c r="F75" i="176"/>
  <c r="F73" i="176"/>
  <c r="T77" i="175"/>
  <c r="F73" i="175"/>
  <c r="F75" i="175"/>
  <c r="T73" i="175"/>
  <c r="T79" i="175" s="1"/>
  <c r="T75" i="174"/>
  <c r="O73" i="174"/>
  <c r="T77" i="174"/>
  <c r="F73" i="174"/>
  <c r="F75" i="174"/>
  <c r="T73" i="174"/>
  <c r="O73" i="173"/>
  <c r="F75" i="173"/>
  <c r="T77" i="173"/>
  <c r="T75" i="173"/>
  <c r="F73" i="173"/>
  <c r="T73" i="173"/>
  <c r="M79" i="172"/>
  <c r="W73" i="172"/>
  <c r="P71" i="172"/>
  <c r="H71" i="172"/>
  <c r="Q70" i="172"/>
  <c r="P70" i="172"/>
  <c r="H70" i="172"/>
  <c r="E70" i="172"/>
  <c r="I70" i="172" s="1"/>
  <c r="Q69" i="172"/>
  <c r="P69" i="172"/>
  <c r="H69" i="172"/>
  <c r="E69" i="172"/>
  <c r="I69" i="172" s="1"/>
  <c r="AD68" i="172"/>
  <c r="AC68" i="172"/>
  <c r="AB68" i="172"/>
  <c r="AE68" i="172" s="1"/>
  <c r="AI68" i="172" s="1"/>
  <c r="Y68" i="172" s="1"/>
  <c r="Z68" i="172"/>
  <c r="X68" i="172"/>
  <c r="W68" i="172"/>
  <c r="Q68" i="172"/>
  <c r="P68" i="172"/>
  <c r="I68" i="172"/>
  <c r="H68" i="172"/>
  <c r="E68" i="172"/>
  <c r="AD67" i="172"/>
  <c r="AC67" i="172"/>
  <c r="AE67" i="172" s="1"/>
  <c r="AI67" i="172" s="1"/>
  <c r="Y67" i="172" s="1"/>
  <c r="AB67" i="172"/>
  <c r="Z67" i="172"/>
  <c r="X67" i="172"/>
  <c r="Q67" i="172"/>
  <c r="P67" i="172"/>
  <c r="H67" i="172"/>
  <c r="E67" i="172"/>
  <c r="I67" i="172" s="1"/>
  <c r="AE66" i="172"/>
  <c r="AI66" i="172" s="1"/>
  <c r="Y66" i="172" s="1"/>
  <c r="AD66" i="172"/>
  <c r="AC66" i="172"/>
  <c r="AB66" i="172"/>
  <c r="Z66" i="172"/>
  <c r="X66" i="172"/>
  <c r="Q66" i="172"/>
  <c r="P66" i="172"/>
  <c r="H66" i="172"/>
  <c r="E66" i="172"/>
  <c r="I66" i="172" s="1"/>
  <c r="AD65" i="172"/>
  <c r="AC65" i="172"/>
  <c r="AB65" i="172"/>
  <c r="AE65" i="172" s="1"/>
  <c r="AI65" i="172" s="1"/>
  <c r="Y65" i="172" s="1"/>
  <c r="Z65" i="172"/>
  <c r="X65" i="172"/>
  <c r="Q65" i="172"/>
  <c r="P65" i="172"/>
  <c r="H65" i="172"/>
  <c r="E65" i="172"/>
  <c r="I65" i="172" s="1"/>
  <c r="AD64" i="172"/>
  <c r="AC64" i="172"/>
  <c r="AB64" i="172"/>
  <c r="AE64" i="172" s="1"/>
  <c r="AI64" i="172" s="1"/>
  <c r="Y64" i="172" s="1"/>
  <c r="Z64" i="172"/>
  <c r="X64" i="172"/>
  <c r="Q64" i="172"/>
  <c r="P64" i="172"/>
  <c r="H64" i="172"/>
  <c r="E64" i="172"/>
  <c r="I64" i="172" s="1"/>
  <c r="AE63" i="172"/>
  <c r="AI63" i="172" s="1"/>
  <c r="Y63" i="172" s="1"/>
  <c r="AD63" i="172"/>
  <c r="AC63" i="172"/>
  <c r="AB63" i="172"/>
  <c r="Z63" i="172"/>
  <c r="X63" i="172"/>
  <c r="Q63" i="172"/>
  <c r="P63" i="172"/>
  <c r="I63" i="172"/>
  <c r="H63" i="172"/>
  <c r="E63" i="172"/>
  <c r="AD62" i="172"/>
  <c r="AC62" i="172"/>
  <c r="AB62" i="172"/>
  <c r="AE62" i="172" s="1"/>
  <c r="AI62" i="172" s="1"/>
  <c r="Y62" i="172" s="1"/>
  <c r="Z62" i="172"/>
  <c r="X62" i="172"/>
  <c r="Q62" i="172"/>
  <c r="P62" i="172"/>
  <c r="I62" i="172"/>
  <c r="H62" i="172"/>
  <c r="E62" i="172"/>
  <c r="AC61" i="172"/>
  <c r="AE61" i="172" s="1"/>
  <c r="AI61" i="172" s="1"/>
  <c r="Y61" i="172" s="1"/>
  <c r="AB61" i="172"/>
  <c r="X61" i="172"/>
  <c r="Q61" i="172"/>
  <c r="P61" i="172"/>
  <c r="I61" i="172"/>
  <c r="H61" i="172"/>
  <c r="E61" i="172"/>
  <c r="AI60" i="172"/>
  <c r="AE60" i="172"/>
  <c r="Y60" i="172"/>
  <c r="X60" i="172"/>
  <c r="Q60" i="172"/>
  <c r="P60" i="172"/>
  <c r="I60" i="172"/>
  <c r="H60" i="172"/>
  <c r="E60" i="172"/>
  <c r="AC59" i="172"/>
  <c r="AB59" i="172"/>
  <c r="AE59" i="172" s="1"/>
  <c r="AI59" i="172" s="1"/>
  <c r="Y59" i="172" s="1"/>
  <c r="X59" i="172"/>
  <c r="Q59" i="172"/>
  <c r="P59" i="172"/>
  <c r="H59" i="172"/>
  <c r="E59" i="172"/>
  <c r="I59" i="172" s="1"/>
  <c r="AE58" i="172"/>
  <c r="AI58" i="172" s="1"/>
  <c r="Y58" i="172" s="1"/>
  <c r="AC58" i="172"/>
  <c r="AB58" i="172"/>
  <c r="X58" i="172"/>
  <c r="Q58" i="172"/>
  <c r="P58" i="172"/>
  <c r="I58" i="172"/>
  <c r="E58" i="172"/>
  <c r="AC57" i="172"/>
  <c r="AE57" i="172" s="1"/>
  <c r="AI57" i="172" s="1"/>
  <c r="Y57" i="172" s="1"/>
  <c r="AB57" i="172"/>
  <c r="X57" i="172"/>
  <c r="Q57" i="172"/>
  <c r="P57" i="172"/>
  <c r="I57" i="172"/>
  <c r="H57" i="172"/>
  <c r="E57" i="172"/>
  <c r="AD56" i="172"/>
  <c r="AC56" i="172"/>
  <c r="AB56" i="172"/>
  <c r="AE56" i="172" s="1"/>
  <c r="AI56" i="172" s="1"/>
  <c r="Y56" i="172" s="1"/>
  <c r="Z56" i="172"/>
  <c r="X56" i="172"/>
  <c r="Q56" i="172"/>
  <c r="P56" i="172"/>
  <c r="H56" i="172"/>
  <c r="E56" i="172"/>
  <c r="I56" i="172" s="1"/>
  <c r="AE55" i="172"/>
  <c r="AI55" i="172" s="1"/>
  <c r="Y55" i="172" s="1"/>
  <c r="AD55" i="172"/>
  <c r="AC55" i="172"/>
  <c r="AB55" i="172"/>
  <c r="Z55" i="172"/>
  <c r="X55" i="172"/>
  <c r="Q55" i="172"/>
  <c r="P55" i="172"/>
  <c r="H55" i="172"/>
  <c r="E55" i="172"/>
  <c r="I55" i="172" s="1"/>
  <c r="AD54" i="172"/>
  <c r="AC54" i="172"/>
  <c r="AB54" i="172"/>
  <c r="AE54" i="172" s="1"/>
  <c r="AI54" i="172" s="1"/>
  <c r="Y54" i="172" s="1"/>
  <c r="Z54" i="172"/>
  <c r="X54" i="172"/>
  <c r="Q54" i="172"/>
  <c r="P54" i="172"/>
  <c r="H54" i="172"/>
  <c r="E54" i="172"/>
  <c r="I54" i="172" s="1"/>
  <c r="AD53" i="172"/>
  <c r="AC53" i="172"/>
  <c r="AB53" i="172"/>
  <c r="AE53" i="172" s="1"/>
  <c r="AI53" i="172" s="1"/>
  <c r="Y53" i="172" s="1"/>
  <c r="Z53" i="172"/>
  <c r="X53" i="172"/>
  <c r="Q53" i="172"/>
  <c r="P53" i="172"/>
  <c r="H53" i="172"/>
  <c r="E53" i="172"/>
  <c r="I53" i="172" s="1"/>
  <c r="AE52" i="172"/>
  <c r="AI52" i="172" s="1"/>
  <c r="Y52" i="172" s="1"/>
  <c r="Z52" i="172"/>
  <c r="X52" i="172"/>
  <c r="Q52" i="172"/>
  <c r="P52" i="172"/>
  <c r="I52" i="172"/>
  <c r="H52" i="172"/>
  <c r="E52" i="172"/>
  <c r="AE51" i="172"/>
  <c r="AI51" i="172" s="1"/>
  <c r="Y51" i="172" s="1"/>
  <c r="AD51" i="172"/>
  <c r="AC51" i="172"/>
  <c r="AB51" i="172"/>
  <c r="Z51" i="172"/>
  <c r="X51" i="172"/>
  <c r="Q51" i="172"/>
  <c r="P51" i="172"/>
  <c r="H51" i="172"/>
  <c r="E51" i="172"/>
  <c r="I51" i="172" s="1"/>
  <c r="AE50" i="172"/>
  <c r="AI50" i="172" s="1"/>
  <c r="Y50" i="172" s="1"/>
  <c r="AD50" i="172"/>
  <c r="AC50" i="172"/>
  <c r="AB50" i="172"/>
  <c r="Z50" i="172"/>
  <c r="X50" i="172"/>
  <c r="Q50" i="172"/>
  <c r="P50" i="172"/>
  <c r="I50" i="172"/>
  <c r="H50" i="172"/>
  <c r="E50" i="172"/>
  <c r="AE49" i="172"/>
  <c r="AI49" i="172" s="1"/>
  <c r="Y49" i="172" s="1"/>
  <c r="Z49" i="172"/>
  <c r="X49" i="172"/>
  <c r="Q49" i="172"/>
  <c r="P49" i="172"/>
  <c r="I49" i="172"/>
  <c r="H49" i="172"/>
  <c r="E49" i="172"/>
  <c r="AE48" i="172"/>
  <c r="AI48" i="172" s="1"/>
  <c r="Y48" i="172" s="1"/>
  <c r="Z48" i="172"/>
  <c r="X48" i="172"/>
  <c r="Q48" i="172"/>
  <c r="P48" i="172"/>
  <c r="I48" i="172"/>
  <c r="H48" i="172"/>
  <c r="E48" i="172"/>
  <c r="AI47" i="172"/>
  <c r="Y47" i="172" s="1"/>
  <c r="AE47" i="172"/>
  <c r="Z47" i="172"/>
  <c r="X47" i="172"/>
  <c r="Q47" i="172"/>
  <c r="P47" i="172"/>
  <c r="I47" i="172"/>
  <c r="H47" i="172"/>
  <c r="E47" i="172"/>
  <c r="AD46" i="172"/>
  <c r="AC46" i="172"/>
  <c r="AB46" i="172"/>
  <c r="AE46" i="172" s="1"/>
  <c r="AI46" i="172" s="1"/>
  <c r="Y46" i="172" s="1"/>
  <c r="Z46" i="172"/>
  <c r="X46" i="172"/>
  <c r="Q46" i="172"/>
  <c r="P46" i="172"/>
  <c r="H46" i="172"/>
  <c r="E46" i="172"/>
  <c r="I46" i="172" s="1"/>
  <c r="AD45" i="172"/>
  <c r="AC45" i="172"/>
  <c r="AB45" i="172"/>
  <c r="AE45" i="172" s="1"/>
  <c r="AI45" i="172" s="1"/>
  <c r="Y45" i="172" s="1"/>
  <c r="Z45" i="172"/>
  <c r="X45" i="172"/>
  <c r="Q45" i="172"/>
  <c r="P45" i="172"/>
  <c r="H45" i="172"/>
  <c r="E45" i="172"/>
  <c r="I45" i="172" s="1"/>
  <c r="AD44" i="172"/>
  <c r="AC44" i="172"/>
  <c r="AB44" i="172"/>
  <c r="AE44" i="172" s="1"/>
  <c r="AI44" i="172" s="1"/>
  <c r="Y44" i="172" s="1"/>
  <c r="Z44" i="172"/>
  <c r="X44" i="172"/>
  <c r="Q44" i="172"/>
  <c r="P44" i="172"/>
  <c r="H44" i="172"/>
  <c r="E44" i="172"/>
  <c r="I44" i="172" s="1"/>
  <c r="AD43" i="172"/>
  <c r="AE43" i="172" s="1"/>
  <c r="AI43" i="172" s="1"/>
  <c r="Y43" i="172" s="1"/>
  <c r="AC43" i="172"/>
  <c r="AB43" i="172"/>
  <c r="Z43" i="172"/>
  <c r="X43" i="172"/>
  <c r="Q43" i="172"/>
  <c r="P43" i="172"/>
  <c r="H43" i="172"/>
  <c r="E43" i="172"/>
  <c r="I43" i="172" s="1"/>
  <c r="AD42" i="172"/>
  <c r="AC42" i="172"/>
  <c r="AB42" i="172"/>
  <c r="AE42" i="172" s="1"/>
  <c r="AI42" i="172" s="1"/>
  <c r="Y42" i="172" s="1"/>
  <c r="Z42" i="172"/>
  <c r="X42" i="172"/>
  <c r="Q42" i="172"/>
  <c r="P42" i="172"/>
  <c r="H42" i="172"/>
  <c r="E42" i="172"/>
  <c r="I42" i="172" s="1"/>
  <c r="AD41" i="172"/>
  <c r="AC41" i="172"/>
  <c r="AB41" i="172"/>
  <c r="AE41" i="172" s="1"/>
  <c r="AI41" i="172" s="1"/>
  <c r="Y41" i="172" s="1"/>
  <c r="Z41" i="172"/>
  <c r="X41" i="172"/>
  <c r="Q41" i="172"/>
  <c r="P41" i="172"/>
  <c r="H41" i="172"/>
  <c r="E41" i="172"/>
  <c r="I41" i="172" s="1"/>
  <c r="AE40" i="172"/>
  <c r="AI40" i="172" s="1"/>
  <c r="Y40" i="172" s="1"/>
  <c r="AD40" i="172"/>
  <c r="AC40" i="172"/>
  <c r="AB40" i="172"/>
  <c r="Z40" i="172"/>
  <c r="X40" i="172"/>
  <c r="Q40" i="172"/>
  <c r="P40" i="172"/>
  <c r="I40" i="172"/>
  <c r="H40" i="172"/>
  <c r="E40" i="172"/>
  <c r="AD39" i="172"/>
  <c r="AC39" i="172"/>
  <c r="AB39" i="172"/>
  <c r="AE39" i="172" s="1"/>
  <c r="AI39" i="172" s="1"/>
  <c r="Y39" i="172" s="1"/>
  <c r="Z39" i="172"/>
  <c r="X39" i="172"/>
  <c r="Q39" i="172"/>
  <c r="P39" i="172"/>
  <c r="I39" i="172"/>
  <c r="H39" i="172"/>
  <c r="E39" i="172"/>
  <c r="AE38" i="172"/>
  <c r="AI38" i="172" s="1"/>
  <c r="Y38" i="172" s="1"/>
  <c r="AD38" i="172"/>
  <c r="AC38" i="172"/>
  <c r="AB38" i="172"/>
  <c r="Z38" i="172"/>
  <c r="X38" i="172"/>
  <c r="Q38" i="172"/>
  <c r="P38" i="172"/>
  <c r="H38" i="172"/>
  <c r="E38" i="172"/>
  <c r="I38" i="172" s="1"/>
  <c r="AE37" i="172"/>
  <c r="AI37" i="172" s="1"/>
  <c r="Y37" i="172" s="1"/>
  <c r="AD37" i="172"/>
  <c r="AC37" i="172"/>
  <c r="AB37" i="172"/>
  <c r="Z37" i="172"/>
  <c r="X37" i="172"/>
  <c r="Q37" i="172"/>
  <c r="P37" i="172"/>
  <c r="I37" i="172"/>
  <c r="H37" i="172"/>
  <c r="E37" i="172"/>
  <c r="AD36" i="172"/>
  <c r="AC36" i="172"/>
  <c r="AB36" i="172"/>
  <c r="AE36" i="172" s="1"/>
  <c r="AI36" i="172" s="1"/>
  <c r="Y36" i="172" s="1"/>
  <c r="Z36" i="172"/>
  <c r="X36" i="172"/>
  <c r="Q36" i="172"/>
  <c r="P36" i="172"/>
  <c r="H36" i="172"/>
  <c r="E36" i="172"/>
  <c r="I36" i="172" s="1"/>
  <c r="AD35" i="172"/>
  <c r="AC35" i="172"/>
  <c r="AB35" i="172"/>
  <c r="AE35" i="172" s="1"/>
  <c r="AI35" i="172" s="1"/>
  <c r="Y35" i="172" s="1"/>
  <c r="Z35" i="172"/>
  <c r="X35" i="172"/>
  <c r="Q35" i="172"/>
  <c r="P35" i="172"/>
  <c r="I35" i="172"/>
  <c r="H35" i="172"/>
  <c r="E35" i="172"/>
  <c r="AE34" i="172"/>
  <c r="AI34" i="172" s="1"/>
  <c r="Y34" i="172" s="1"/>
  <c r="AD34" i="172"/>
  <c r="AC34" i="172"/>
  <c r="AB34" i="172"/>
  <c r="Z34" i="172"/>
  <c r="X34" i="172"/>
  <c r="Q34" i="172"/>
  <c r="P34" i="172"/>
  <c r="I34" i="172"/>
  <c r="H34" i="172"/>
  <c r="E34" i="172"/>
  <c r="AD33" i="172"/>
  <c r="AC33" i="172"/>
  <c r="AB33" i="172"/>
  <c r="AE33" i="172" s="1"/>
  <c r="AI33" i="172" s="1"/>
  <c r="Y33" i="172" s="1"/>
  <c r="Z33" i="172"/>
  <c r="X33" i="172"/>
  <c r="Q33" i="172"/>
  <c r="P33" i="172"/>
  <c r="I33" i="172"/>
  <c r="H33" i="172"/>
  <c r="E33" i="172"/>
  <c r="AD32" i="172"/>
  <c r="AC32" i="172"/>
  <c r="AE32" i="172" s="1"/>
  <c r="AI32" i="172" s="1"/>
  <c r="Y32" i="172" s="1"/>
  <c r="AB32" i="172"/>
  <c r="Z32" i="172"/>
  <c r="X32" i="172"/>
  <c r="Q32" i="172"/>
  <c r="P32" i="172"/>
  <c r="I32" i="172"/>
  <c r="H32" i="172"/>
  <c r="E32" i="172"/>
  <c r="AI31" i="172"/>
  <c r="AE31" i="172"/>
  <c r="Z31" i="172"/>
  <c r="Y31" i="172"/>
  <c r="X31" i="172"/>
  <c r="Q31" i="172"/>
  <c r="P31" i="172"/>
  <c r="I31" i="172"/>
  <c r="H31" i="172"/>
  <c r="E31" i="172"/>
  <c r="AD30" i="172"/>
  <c r="AC30" i="172"/>
  <c r="AB30" i="172"/>
  <c r="AE30" i="172" s="1"/>
  <c r="AI30" i="172" s="1"/>
  <c r="Y30" i="172" s="1"/>
  <c r="Z30" i="172"/>
  <c r="X30" i="172"/>
  <c r="Q30" i="172"/>
  <c r="P30" i="172"/>
  <c r="H30" i="172"/>
  <c r="E30" i="172"/>
  <c r="I30" i="172" s="1"/>
  <c r="AD29" i="172"/>
  <c r="AC29" i="172"/>
  <c r="AB29" i="172"/>
  <c r="AE29" i="172" s="1"/>
  <c r="AI29" i="172" s="1"/>
  <c r="Y29" i="172" s="1"/>
  <c r="Z29" i="172"/>
  <c r="X29" i="172"/>
  <c r="Q29" i="172"/>
  <c r="P29" i="172"/>
  <c r="H29" i="172"/>
  <c r="E29" i="172"/>
  <c r="I29" i="172" s="1"/>
  <c r="AD28" i="172"/>
  <c r="AE28" i="172" s="1"/>
  <c r="AI28" i="172" s="1"/>
  <c r="Y28" i="172" s="1"/>
  <c r="AC28" i="172"/>
  <c r="AB28" i="172"/>
  <c r="Z28" i="172"/>
  <c r="X28" i="172"/>
  <c r="Q28" i="172"/>
  <c r="P28" i="172"/>
  <c r="H28" i="172"/>
  <c r="E28" i="172"/>
  <c r="I28" i="172" s="1"/>
  <c r="AD27" i="172"/>
  <c r="AC27" i="172"/>
  <c r="AB27" i="172"/>
  <c r="AE27" i="172" s="1"/>
  <c r="AI27" i="172" s="1"/>
  <c r="Y27" i="172" s="1"/>
  <c r="Z27" i="172"/>
  <c r="X27" i="172"/>
  <c r="Q27" i="172"/>
  <c r="P27" i="172"/>
  <c r="H27" i="172"/>
  <c r="E27" i="172"/>
  <c r="I27" i="172" s="1"/>
  <c r="AD26" i="172"/>
  <c r="AC26" i="172"/>
  <c r="AB26" i="172"/>
  <c r="AE26" i="172" s="1"/>
  <c r="AI26" i="172" s="1"/>
  <c r="Y26" i="172" s="1"/>
  <c r="Z26" i="172"/>
  <c r="X26" i="172"/>
  <c r="Q26" i="172"/>
  <c r="P26" i="172"/>
  <c r="H26" i="172"/>
  <c r="E26" i="172"/>
  <c r="I26" i="172" s="1"/>
  <c r="AE25" i="172"/>
  <c r="AI25" i="172" s="1"/>
  <c r="Y25" i="172" s="1"/>
  <c r="AD25" i="172"/>
  <c r="AC25" i="172"/>
  <c r="AB25" i="172"/>
  <c r="Z25" i="172"/>
  <c r="X25" i="172"/>
  <c r="Q25" i="172"/>
  <c r="P25" i="172"/>
  <c r="I25" i="172"/>
  <c r="H25" i="172"/>
  <c r="E25" i="172"/>
  <c r="AD24" i="172"/>
  <c r="AC24" i="172"/>
  <c r="AB24" i="172"/>
  <c r="AE24" i="172" s="1"/>
  <c r="AI24" i="172" s="1"/>
  <c r="Y24" i="172" s="1"/>
  <c r="Z24" i="172"/>
  <c r="X24" i="172"/>
  <c r="Q24" i="172"/>
  <c r="P24" i="172"/>
  <c r="I24" i="172"/>
  <c r="H24" i="172"/>
  <c r="E24" i="172"/>
  <c r="AE23" i="172"/>
  <c r="AI23" i="172" s="1"/>
  <c r="Y23" i="172" s="1"/>
  <c r="AD23" i="172"/>
  <c r="AC23" i="172"/>
  <c r="AB23" i="172"/>
  <c r="Z23" i="172"/>
  <c r="X23" i="172"/>
  <c r="Q23" i="172"/>
  <c r="P23" i="172"/>
  <c r="H23" i="172"/>
  <c r="E23" i="172"/>
  <c r="I23" i="172" s="1"/>
  <c r="AE22" i="172"/>
  <c r="AI22" i="172" s="1"/>
  <c r="Y22" i="172" s="1"/>
  <c r="AD22" i="172"/>
  <c r="AC22" i="172"/>
  <c r="AB22" i="172"/>
  <c r="Z22" i="172"/>
  <c r="X22" i="172"/>
  <c r="Q22" i="172"/>
  <c r="P22" i="172"/>
  <c r="I22" i="172"/>
  <c r="H22" i="172"/>
  <c r="E22" i="172"/>
  <c r="AD21" i="172"/>
  <c r="AC21" i="172"/>
  <c r="AB21" i="172"/>
  <c r="AE21" i="172" s="1"/>
  <c r="AI21" i="172" s="1"/>
  <c r="Y21" i="172" s="1"/>
  <c r="Z21" i="172"/>
  <c r="X21" i="172"/>
  <c r="Q21" i="172"/>
  <c r="P21" i="172"/>
  <c r="H21" i="172"/>
  <c r="E21" i="172"/>
  <c r="I21" i="172" s="1"/>
  <c r="AD20" i="172"/>
  <c r="AC20" i="172"/>
  <c r="AB20" i="172"/>
  <c r="AE20" i="172" s="1"/>
  <c r="AI20" i="172" s="1"/>
  <c r="Y20" i="172" s="1"/>
  <c r="Z20" i="172"/>
  <c r="X20" i="172"/>
  <c r="Q20" i="172"/>
  <c r="P20" i="172"/>
  <c r="I20" i="172"/>
  <c r="H20" i="172"/>
  <c r="E20" i="172"/>
  <c r="AE19" i="172"/>
  <c r="AI19" i="172" s="1"/>
  <c r="Y19" i="172" s="1"/>
  <c r="AD19" i="172"/>
  <c r="AC19" i="172"/>
  <c r="AB19" i="172"/>
  <c r="Z19" i="172"/>
  <c r="X19" i="172"/>
  <c r="Q19" i="172"/>
  <c r="P19" i="172"/>
  <c r="I19" i="172"/>
  <c r="H19" i="172"/>
  <c r="E19" i="172"/>
  <c r="AD18" i="172"/>
  <c r="AC18" i="172"/>
  <c r="AB18" i="172"/>
  <c r="AE18" i="172" s="1"/>
  <c r="AI18" i="172" s="1"/>
  <c r="Y18" i="172" s="1"/>
  <c r="Z18" i="172"/>
  <c r="X18" i="172"/>
  <c r="Q18" i="172"/>
  <c r="P18" i="172"/>
  <c r="I18" i="172"/>
  <c r="H18" i="172"/>
  <c r="E18" i="172"/>
  <c r="AD17" i="172"/>
  <c r="AC17" i="172"/>
  <c r="AB17" i="172"/>
  <c r="AE17" i="172" s="1"/>
  <c r="AI17" i="172" s="1"/>
  <c r="Y17" i="172" s="1"/>
  <c r="Z17" i="172"/>
  <c r="X17" i="172"/>
  <c r="Q17" i="172"/>
  <c r="P17" i="172"/>
  <c r="I17" i="172"/>
  <c r="H17" i="172"/>
  <c r="E17" i="172"/>
  <c r="AD16" i="172"/>
  <c r="AC16" i="172"/>
  <c r="AE16" i="172" s="1"/>
  <c r="AI16" i="172" s="1"/>
  <c r="Y16" i="172" s="1"/>
  <c r="AB16" i="172"/>
  <c r="Z16" i="172"/>
  <c r="X16" i="172"/>
  <c r="Q16" i="172"/>
  <c r="P16" i="172"/>
  <c r="I16" i="172"/>
  <c r="E16" i="172"/>
  <c r="AD15" i="172"/>
  <c r="AC15" i="172"/>
  <c r="AB15" i="172"/>
  <c r="AE15" i="172" s="1"/>
  <c r="AI15" i="172" s="1"/>
  <c r="Y15" i="172" s="1"/>
  <c r="Z15" i="172"/>
  <c r="X15" i="172"/>
  <c r="Q15" i="172"/>
  <c r="P15" i="172"/>
  <c r="I15" i="172"/>
  <c r="E15" i="172"/>
  <c r="AD14" i="172"/>
  <c r="AC14" i="172"/>
  <c r="AB14" i="172"/>
  <c r="AE14" i="172" s="1"/>
  <c r="AI14" i="172" s="1"/>
  <c r="Y14" i="172" s="1"/>
  <c r="Z14" i="172"/>
  <c r="X14" i="172"/>
  <c r="Q14" i="172"/>
  <c r="P14" i="172"/>
  <c r="I14" i="172"/>
  <c r="H14" i="172"/>
  <c r="E14" i="172"/>
  <c r="AE13" i="172"/>
  <c r="AI13" i="172" s="1"/>
  <c r="Y13" i="172" s="1"/>
  <c r="AD13" i="172"/>
  <c r="AC13" i="172"/>
  <c r="AB13" i="172"/>
  <c r="Z13" i="172"/>
  <c r="X13" i="172"/>
  <c r="Q13" i="172"/>
  <c r="P13" i="172"/>
  <c r="H13" i="172"/>
  <c r="E13" i="172"/>
  <c r="I13" i="172" s="1"/>
  <c r="AD12" i="172"/>
  <c r="AC12" i="172"/>
  <c r="AB12" i="172"/>
  <c r="AE12" i="172" s="1"/>
  <c r="AI12" i="172" s="1"/>
  <c r="Y12" i="172" s="1"/>
  <c r="Z12" i="172"/>
  <c r="X12" i="172"/>
  <c r="Q12" i="172"/>
  <c r="P12" i="172"/>
  <c r="I12" i="172"/>
  <c r="H12" i="172"/>
  <c r="E12" i="172"/>
  <c r="T79" i="176" l="1"/>
  <c r="F77" i="176"/>
  <c r="F77" i="175"/>
  <c r="T79" i="174"/>
  <c r="F77" i="174"/>
  <c r="T79" i="173"/>
  <c r="F77" i="173"/>
  <c r="T77" i="172"/>
  <c r="T75" i="172"/>
  <c r="O73" i="172"/>
  <c r="O75" i="172"/>
  <c r="F73" i="172"/>
  <c r="T73" i="172"/>
  <c r="F75" i="172"/>
  <c r="M79" i="171"/>
  <c r="W73" i="171"/>
  <c r="P71" i="171"/>
  <c r="H71" i="171"/>
  <c r="Q70" i="171"/>
  <c r="P70" i="171"/>
  <c r="I70" i="171"/>
  <c r="H70" i="171"/>
  <c r="E70" i="171"/>
  <c r="Q69" i="171"/>
  <c r="P69" i="171"/>
  <c r="I69" i="171"/>
  <c r="H69" i="171"/>
  <c r="E69" i="171"/>
  <c r="AE68" i="171"/>
  <c r="AI68" i="171" s="1"/>
  <c r="Y68" i="171" s="1"/>
  <c r="AD68" i="171"/>
  <c r="AC68" i="171"/>
  <c r="AB68" i="171"/>
  <c r="Z68" i="171"/>
  <c r="X68" i="171"/>
  <c r="W68" i="171"/>
  <c r="Q68" i="171"/>
  <c r="P68" i="171"/>
  <c r="H68" i="171"/>
  <c r="E68" i="171"/>
  <c r="I68" i="171" s="1"/>
  <c r="AD67" i="171"/>
  <c r="AC67" i="171"/>
  <c r="AB67" i="171"/>
  <c r="AE67" i="171" s="1"/>
  <c r="AI67" i="171" s="1"/>
  <c r="Y67" i="171" s="1"/>
  <c r="Z67" i="171"/>
  <c r="X67" i="171"/>
  <c r="Q67" i="171"/>
  <c r="P67" i="171"/>
  <c r="I67" i="171"/>
  <c r="H67" i="171"/>
  <c r="E67" i="171"/>
  <c r="AD66" i="171"/>
  <c r="AC66" i="171"/>
  <c r="AE66" i="171" s="1"/>
  <c r="AI66" i="171" s="1"/>
  <c r="Y66" i="171" s="1"/>
  <c r="AB66" i="171"/>
  <c r="Z66" i="171"/>
  <c r="X66" i="171"/>
  <c r="Q66" i="171"/>
  <c r="P66" i="171"/>
  <c r="I66" i="171"/>
  <c r="H66" i="171"/>
  <c r="E66" i="171"/>
  <c r="AE65" i="171"/>
  <c r="AI65" i="171" s="1"/>
  <c r="Y65" i="171" s="1"/>
  <c r="AD65" i="171"/>
  <c r="AC65" i="171"/>
  <c r="AB65" i="171"/>
  <c r="Z65" i="171"/>
  <c r="X65" i="171"/>
  <c r="Q65" i="171"/>
  <c r="P65" i="171"/>
  <c r="H65" i="171"/>
  <c r="E65" i="171"/>
  <c r="I65" i="171" s="1"/>
  <c r="AD64" i="171"/>
  <c r="AC64" i="171"/>
  <c r="AB64" i="171"/>
  <c r="AE64" i="171" s="1"/>
  <c r="AI64" i="171" s="1"/>
  <c r="Y64" i="171" s="1"/>
  <c r="Z64" i="171"/>
  <c r="X64" i="171"/>
  <c r="Q64" i="171"/>
  <c r="P64" i="171"/>
  <c r="H64" i="171"/>
  <c r="E64" i="171"/>
  <c r="I64" i="171" s="1"/>
  <c r="AD63" i="171"/>
  <c r="AC63" i="171"/>
  <c r="AB63" i="171"/>
  <c r="AE63" i="171" s="1"/>
  <c r="AI63" i="171" s="1"/>
  <c r="Y63" i="171" s="1"/>
  <c r="Z63" i="171"/>
  <c r="X63" i="171"/>
  <c r="Q63" i="171"/>
  <c r="P63" i="171"/>
  <c r="H63" i="171"/>
  <c r="E63" i="171"/>
  <c r="I63" i="171" s="1"/>
  <c r="AD62" i="171"/>
  <c r="AE62" i="171" s="1"/>
  <c r="AI62" i="171" s="1"/>
  <c r="Y62" i="171" s="1"/>
  <c r="AC62" i="171"/>
  <c r="AB62" i="171"/>
  <c r="Z62" i="171"/>
  <c r="X62" i="171"/>
  <c r="Q62" i="171"/>
  <c r="P62" i="171"/>
  <c r="I62" i="171"/>
  <c r="H62" i="171"/>
  <c r="E62" i="171"/>
  <c r="AC61" i="171"/>
  <c r="AE61" i="171" s="1"/>
  <c r="AI61" i="171" s="1"/>
  <c r="Y61" i="171" s="1"/>
  <c r="AB61" i="171"/>
  <c r="X61" i="171"/>
  <c r="Q61" i="171"/>
  <c r="P61" i="171"/>
  <c r="H61" i="171"/>
  <c r="E61" i="171"/>
  <c r="I61" i="171" s="1"/>
  <c r="AE60" i="171"/>
  <c r="AI60" i="171" s="1"/>
  <c r="Y60" i="171" s="1"/>
  <c r="X60" i="171"/>
  <c r="Q60" i="171"/>
  <c r="P60" i="171"/>
  <c r="I60" i="171"/>
  <c r="H60" i="171"/>
  <c r="E60" i="171"/>
  <c r="AE59" i="171"/>
  <c r="AI59" i="171" s="1"/>
  <c r="Y59" i="171" s="1"/>
  <c r="AC59" i="171"/>
  <c r="AB59" i="171"/>
  <c r="X59" i="171"/>
  <c r="Q59" i="171"/>
  <c r="P59" i="171"/>
  <c r="I59" i="171"/>
  <c r="H59" i="171"/>
  <c r="E59" i="171"/>
  <c r="AC58" i="171"/>
  <c r="AB58" i="171"/>
  <c r="AE58" i="171" s="1"/>
  <c r="AI58" i="171" s="1"/>
  <c r="Y58" i="171" s="1"/>
  <c r="X58" i="171"/>
  <c r="Q58" i="171"/>
  <c r="P58" i="171"/>
  <c r="E58" i="171"/>
  <c r="I58" i="171" s="1"/>
  <c r="AE57" i="171"/>
  <c r="AI57" i="171" s="1"/>
  <c r="Y57" i="171" s="1"/>
  <c r="AC57" i="171"/>
  <c r="AB57" i="171"/>
  <c r="X57" i="171"/>
  <c r="Q57" i="171"/>
  <c r="P57" i="171"/>
  <c r="I57" i="171"/>
  <c r="H57" i="171"/>
  <c r="E57" i="171"/>
  <c r="AE56" i="171"/>
  <c r="AI56" i="171" s="1"/>
  <c r="Y56" i="171" s="1"/>
  <c r="AD56" i="171"/>
  <c r="AC56" i="171"/>
  <c r="AB56" i="171"/>
  <c r="Z56" i="171"/>
  <c r="X56" i="171"/>
  <c r="Q56" i="171"/>
  <c r="P56" i="171"/>
  <c r="H56" i="171"/>
  <c r="E56" i="171"/>
  <c r="I56" i="171" s="1"/>
  <c r="AE55" i="171"/>
  <c r="AI55" i="171" s="1"/>
  <c r="Y55" i="171" s="1"/>
  <c r="AD55" i="171"/>
  <c r="AC55" i="171"/>
  <c r="AB55" i="171"/>
  <c r="Z55" i="171"/>
  <c r="X55" i="171"/>
  <c r="Q55" i="171"/>
  <c r="P55" i="171"/>
  <c r="H55" i="171"/>
  <c r="E55" i="171"/>
  <c r="I55" i="171" s="1"/>
  <c r="AD54" i="171"/>
  <c r="AC54" i="171"/>
  <c r="AB54" i="171"/>
  <c r="AE54" i="171" s="1"/>
  <c r="AI54" i="171" s="1"/>
  <c r="Y54" i="171" s="1"/>
  <c r="Z54" i="171"/>
  <c r="X54" i="171"/>
  <c r="Q54" i="171"/>
  <c r="P54" i="171"/>
  <c r="H54" i="171"/>
  <c r="E54" i="171"/>
  <c r="I54" i="171" s="1"/>
  <c r="AD53" i="171"/>
  <c r="AE53" i="171" s="1"/>
  <c r="AI53" i="171" s="1"/>
  <c r="Y53" i="171" s="1"/>
  <c r="AC53" i="171"/>
  <c r="AB53" i="171"/>
  <c r="Z53" i="171"/>
  <c r="X53" i="171"/>
  <c r="Q53" i="171"/>
  <c r="P53" i="171"/>
  <c r="I53" i="171"/>
  <c r="H53" i="171"/>
  <c r="E53" i="171"/>
  <c r="AE52" i="171"/>
  <c r="AI52" i="171" s="1"/>
  <c r="Y52" i="171" s="1"/>
  <c r="Z52" i="171"/>
  <c r="X52" i="171"/>
  <c r="Q52" i="171"/>
  <c r="P52" i="171"/>
  <c r="H52" i="171"/>
  <c r="E52" i="171"/>
  <c r="I52" i="171" s="1"/>
  <c r="AD51" i="171"/>
  <c r="AC51" i="171"/>
  <c r="AB51" i="171"/>
  <c r="AE51" i="171" s="1"/>
  <c r="AI51" i="171" s="1"/>
  <c r="Y51" i="171" s="1"/>
  <c r="Z51" i="171"/>
  <c r="X51" i="171"/>
  <c r="Q51" i="171"/>
  <c r="P51" i="171"/>
  <c r="I51" i="171"/>
  <c r="H51" i="171"/>
  <c r="E51" i="171"/>
  <c r="AD50" i="171"/>
  <c r="AC50" i="171"/>
  <c r="AE50" i="171" s="1"/>
  <c r="AI50" i="171" s="1"/>
  <c r="Y50" i="171" s="1"/>
  <c r="AB50" i="171"/>
  <c r="Z50" i="171"/>
  <c r="X50" i="171"/>
  <c r="Q50" i="171"/>
  <c r="P50" i="171"/>
  <c r="I50" i="171"/>
  <c r="H50" i="171"/>
  <c r="E50" i="171"/>
  <c r="AE49" i="171"/>
  <c r="AI49" i="171" s="1"/>
  <c r="Y49" i="171" s="1"/>
  <c r="Z49" i="171"/>
  <c r="X49" i="171"/>
  <c r="Q49" i="171"/>
  <c r="P49" i="171"/>
  <c r="H49" i="171"/>
  <c r="E49" i="171"/>
  <c r="I49" i="171" s="1"/>
  <c r="AE48" i="171"/>
  <c r="AI48" i="171" s="1"/>
  <c r="Y48" i="171" s="1"/>
  <c r="Z48" i="171"/>
  <c r="X48" i="171"/>
  <c r="Q48" i="171"/>
  <c r="P48" i="171"/>
  <c r="I48" i="171"/>
  <c r="H48" i="171"/>
  <c r="E48" i="171"/>
  <c r="AE47" i="171"/>
  <c r="AI47" i="171" s="1"/>
  <c r="Y47" i="171" s="1"/>
  <c r="Z47" i="171"/>
  <c r="X47" i="171"/>
  <c r="Q47" i="171"/>
  <c r="P47" i="171"/>
  <c r="H47" i="171"/>
  <c r="E47" i="171"/>
  <c r="I47" i="171" s="1"/>
  <c r="AD46" i="171"/>
  <c r="AC46" i="171"/>
  <c r="AE46" i="171" s="1"/>
  <c r="AI46" i="171" s="1"/>
  <c r="Y46" i="171" s="1"/>
  <c r="AB46" i="171"/>
  <c r="Z46" i="171"/>
  <c r="X46" i="171"/>
  <c r="Q46" i="171"/>
  <c r="P46" i="171"/>
  <c r="I46" i="171"/>
  <c r="H46" i="171"/>
  <c r="E46" i="171"/>
  <c r="AD45" i="171"/>
  <c r="AC45" i="171"/>
  <c r="AE45" i="171" s="1"/>
  <c r="AI45" i="171" s="1"/>
  <c r="Y45" i="171" s="1"/>
  <c r="AB45" i="171"/>
  <c r="Z45" i="171"/>
  <c r="X45" i="171"/>
  <c r="Q45" i="171"/>
  <c r="P45" i="171"/>
  <c r="I45" i="171"/>
  <c r="H45" i="171"/>
  <c r="E45" i="171"/>
  <c r="AE44" i="171"/>
  <c r="AI44" i="171" s="1"/>
  <c r="Y44" i="171" s="1"/>
  <c r="AD44" i="171"/>
  <c r="AC44" i="171"/>
  <c r="AB44" i="171"/>
  <c r="Z44" i="171"/>
  <c r="X44" i="171"/>
  <c r="Q44" i="171"/>
  <c r="P44" i="171"/>
  <c r="H44" i="171"/>
  <c r="E44" i="171"/>
  <c r="I44" i="171" s="1"/>
  <c r="AE43" i="171"/>
  <c r="AI43" i="171" s="1"/>
  <c r="Y43" i="171" s="1"/>
  <c r="AD43" i="171"/>
  <c r="AC43" i="171"/>
  <c r="AB43" i="171"/>
  <c r="Z43" i="171"/>
  <c r="X43" i="171"/>
  <c r="Q43" i="171"/>
  <c r="P43" i="171"/>
  <c r="H43" i="171"/>
  <c r="E43" i="171"/>
  <c r="I43" i="171" s="1"/>
  <c r="AD42" i="171"/>
  <c r="AC42" i="171"/>
  <c r="AB42" i="171"/>
  <c r="AE42" i="171" s="1"/>
  <c r="AI42" i="171" s="1"/>
  <c r="Y42" i="171" s="1"/>
  <c r="Z42" i="171"/>
  <c r="X42" i="171"/>
  <c r="Q42" i="171"/>
  <c r="P42" i="171"/>
  <c r="H42" i="171"/>
  <c r="E42" i="171"/>
  <c r="I42" i="171" s="1"/>
  <c r="AD41" i="171"/>
  <c r="AE41" i="171" s="1"/>
  <c r="AI41" i="171" s="1"/>
  <c r="Y41" i="171" s="1"/>
  <c r="AC41" i="171"/>
  <c r="AB41" i="171"/>
  <c r="Z41" i="171"/>
  <c r="X41" i="171"/>
  <c r="Q41" i="171"/>
  <c r="P41" i="171"/>
  <c r="I41" i="171"/>
  <c r="H41" i="171"/>
  <c r="E41" i="171"/>
  <c r="AD40" i="171"/>
  <c r="AC40" i="171"/>
  <c r="AB40" i="171"/>
  <c r="AE40" i="171" s="1"/>
  <c r="AI40" i="171" s="1"/>
  <c r="Y40" i="171" s="1"/>
  <c r="Z40" i="171"/>
  <c r="X40" i="171"/>
  <c r="Q40" i="171"/>
  <c r="P40" i="171"/>
  <c r="I40" i="171"/>
  <c r="H40" i="171"/>
  <c r="E40" i="171"/>
  <c r="AD39" i="171"/>
  <c r="AC39" i="171"/>
  <c r="AB39" i="171"/>
  <c r="AE39" i="171" s="1"/>
  <c r="AI39" i="171" s="1"/>
  <c r="Y39" i="171" s="1"/>
  <c r="Z39" i="171"/>
  <c r="X39" i="171"/>
  <c r="Q39" i="171"/>
  <c r="P39" i="171"/>
  <c r="H39" i="171"/>
  <c r="E39" i="171"/>
  <c r="I39" i="171" s="1"/>
  <c r="AD38" i="171"/>
  <c r="AC38" i="171"/>
  <c r="AB38" i="171"/>
  <c r="AE38" i="171" s="1"/>
  <c r="AI38" i="171" s="1"/>
  <c r="Y38" i="171" s="1"/>
  <c r="Z38" i="171"/>
  <c r="X38" i="171"/>
  <c r="Q38" i="171"/>
  <c r="P38" i="171"/>
  <c r="I38" i="171"/>
  <c r="H38" i="171"/>
  <c r="E38" i="171"/>
  <c r="AD37" i="171"/>
  <c r="AC37" i="171"/>
  <c r="AE37" i="171" s="1"/>
  <c r="AI37" i="171" s="1"/>
  <c r="Y37" i="171" s="1"/>
  <c r="AB37" i="171"/>
  <c r="Z37" i="171"/>
  <c r="X37" i="171"/>
  <c r="Q37" i="171"/>
  <c r="P37" i="171"/>
  <c r="I37" i="171"/>
  <c r="H37" i="171"/>
  <c r="E37" i="171"/>
  <c r="AE36" i="171"/>
  <c r="AI36" i="171" s="1"/>
  <c r="Y36" i="171" s="1"/>
  <c r="AD36" i="171"/>
  <c r="AC36" i="171"/>
  <c r="AB36" i="171"/>
  <c r="Z36" i="171"/>
  <c r="X36" i="171"/>
  <c r="Q36" i="171"/>
  <c r="P36" i="171"/>
  <c r="H36" i="171"/>
  <c r="E36" i="171"/>
  <c r="I36" i="171" s="1"/>
  <c r="AD35" i="171"/>
  <c r="AC35" i="171"/>
  <c r="AB35" i="171"/>
  <c r="AE35" i="171" s="1"/>
  <c r="AI35" i="171" s="1"/>
  <c r="Y35" i="171" s="1"/>
  <c r="Z35" i="171"/>
  <c r="X35" i="171"/>
  <c r="Q35" i="171"/>
  <c r="P35" i="171"/>
  <c r="H35" i="171"/>
  <c r="E35" i="171"/>
  <c r="I35" i="171" s="1"/>
  <c r="AD34" i="171"/>
  <c r="AC34" i="171"/>
  <c r="AB34" i="171"/>
  <c r="AE34" i="171" s="1"/>
  <c r="AI34" i="171" s="1"/>
  <c r="Y34" i="171" s="1"/>
  <c r="Z34" i="171"/>
  <c r="X34" i="171"/>
  <c r="Q34" i="171"/>
  <c r="P34" i="171"/>
  <c r="H34" i="171"/>
  <c r="E34" i="171"/>
  <c r="I34" i="171" s="1"/>
  <c r="AD33" i="171"/>
  <c r="AE33" i="171" s="1"/>
  <c r="AI33" i="171" s="1"/>
  <c r="Y33" i="171" s="1"/>
  <c r="AC33" i="171"/>
  <c r="AB33" i="171"/>
  <c r="Z33" i="171"/>
  <c r="X33" i="171"/>
  <c r="Q33" i="171"/>
  <c r="P33" i="171"/>
  <c r="I33" i="171"/>
  <c r="H33" i="171"/>
  <c r="E33" i="171"/>
  <c r="AD32" i="171"/>
  <c r="AE32" i="171" s="1"/>
  <c r="AI32" i="171" s="1"/>
  <c r="Y32" i="171" s="1"/>
  <c r="AC32" i="171"/>
  <c r="AB32" i="171"/>
  <c r="Z32" i="171"/>
  <c r="X32" i="171"/>
  <c r="Q32" i="171"/>
  <c r="P32" i="171"/>
  <c r="I32" i="171"/>
  <c r="H32" i="171"/>
  <c r="E32" i="171"/>
  <c r="AI31" i="171"/>
  <c r="Y31" i="171" s="1"/>
  <c r="AE31" i="171"/>
  <c r="Z31" i="171"/>
  <c r="X31" i="171"/>
  <c r="Q31" i="171"/>
  <c r="P31" i="171"/>
  <c r="I31" i="171"/>
  <c r="H31" i="171"/>
  <c r="E31" i="171"/>
  <c r="AD30" i="171"/>
  <c r="AC30" i="171"/>
  <c r="AE30" i="171" s="1"/>
  <c r="AI30" i="171" s="1"/>
  <c r="Y30" i="171" s="1"/>
  <c r="AB30" i="171"/>
  <c r="Z30" i="171"/>
  <c r="X30" i="171"/>
  <c r="Q30" i="171"/>
  <c r="P30" i="171"/>
  <c r="I30" i="171"/>
  <c r="H30" i="171"/>
  <c r="E30" i="171"/>
  <c r="AE29" i="171"/>
  <c r="AI29" i="171" s="1"/>
  <c r="Y29" i="171" s="1"/>
  <c r="AD29" i="171"/>
  <c r="AC29" i="171"/>
  <c r="AB29" i="171"/>
  <c r="Z29" i="171"/>
  <c r="X29" i="171"/>
  <c r="Q29" i="171"/>
  <c r="P29" i="171"/>
  <c r="I29" i="171"/>
  <c r="H29" i="171"/>
  <c r="E29" i="171"/>
  <c r="AE28" i="171"/>
  <c r="AI28" i="171" s="1"/>
  <c r="Y28" i="171" s="1"/>
  <c r="AD28" i="171"/>
  <c r="AC28" i="171"/>
  <c r="AB28" i="171"/>
  <c r="Z28" i="171"/>
  <c r="X28" i="171"/>
  <c r="Q28" i="171"/>
  <c r="P28" i="171"/>
  <c r="H28" i="171"/>
  <c r="E28" i="171"/>
  <c r="I28" i="171" s="1"/>
  <c r="AD27" i="171"/>
  <c r="AC27" i="171"/>
  <c r="AB27" i="171"/>
  <c r="AE27" i="171" s="1"/>
  <c r="AI27" i="171" s="1"/>
  <c r="Y27" i="171" s="1"/>
  <c r="Z27" i="171"/>
  <c r="X27" i="171"/>
  <c r="Q27" i="171"/>
  <c r="P27" i="171"/>
  <c r="H27" i="171"/>
  <c r="E27" i="171"/>
  <c r="I27" i="171" s="1"/>
  <c r="AD26" i="171"/>
  <c r="AE26" i="171" s="1"/>
  <c r="AI26" i="171" s="1"/>
  <c r="Y26" i="171" s="1"/>
  <c r="AC26" i="171"/>
  <c r="AB26" i="171"/>
  <c r="Z26" i="171"/>
  <c r="X26" i="171"/>
  <c r="Q26" i="171"/>
  <c r="P26" i="171"/>
  <c r="I26" i="171"/>
  <c r="H26" i="171"/>
  <c r="E26" i="171"/>
  <c r="AD25" i="171"/>
  <c r="AC25" i="171"/>
  <c r="AB25" i="171"/>
  <c r="AE25" i="171" s="1"/>
  <c r="AI25" i="171" s="1"/>
  <c r="Y25" i="171" s="1"/>
  <c r="Z25" i="171"/>
  <c r="X25" i="171"/>
  <c r="Q25" i="171"/>
  <c r="P25" i="171"/>
  <c r="I25" i="171"/>
  <c r="H25" i="171"/>
  <c r="E25" i="171"/>
  <c r="AD24" i="171"/>
  <c r="AC24" i="171"/>
  <c r="AB24" i="171"/>
  <c r="AE24" i="171" s="1"/>
  <c r="AI24" i="171" s="1"/>
  <c r="Y24" i="171" s="1"/>
  <c r="Z24" i="171"/>
  <c r="X24" i="171"/>
  <c r="Q24" i="171"/>
  <c r="P24" i="171"/>
  <c r="H24" i="171"/>
  <c r="E24" i="171"/>
  <c r="I24" i="171" s="1"/>
  <c r="AD23" i="171"/>
  <c r="AC23" i="171"/>
  <c r="AB23" i="171"/>
  <c r="AE23" i="171" s="1"/>
  <c r="AI23" i="171" s="1"/>
  <c r="Y23" i="171" s="1"/>
  <c r="Z23" i="171"/>
  <c r="X23" i="171"/>
  <c r="Q23" i="171"/>
  <c r="P23" i="171"/>
  <c r="I23" i="171"/>
  <c r="H23" i="171"/>
  <c r="E23" i="171"/>
  <c r="AD22" i="171"/>
  <c r="AC22" i="171"/>
  <c r="AE22" i="171" s="1"/>
  <c r="AI22" i="171" s="1"/>
  <c r="Y22" i="171" s="1"/>
  <c r="AB22" i="171"/>
  <c r="Z22" i="171"/>
  <c r="X22" i="171"/>
  <c r="Q22" i="171"/>
  <c r="P22" i="171"/>
  <c r="I22" i="171"/>
  <c r="H22" i="171"/>
  <c r="E22" i="171"/>
  <c r="AE21" i="171"/>
  <c r="AI21" i="171" s="1"/>
  <c r="Y21" i="171" s="1"/>
  <c r="AD21" i="171"/>
  <c r="AC21" i="171"/>
  <c r="AB21" i="171"/>
  <c r="Z21" i="171"/>
  <c r="X21" i="171"/>
  <c r="Q21" i="171"/>
  <c r="P21" i="171"/>
  <c r="H21" i="171"/>
  <c r="E21" i="171"/>
  <c r="I21" i="171" s="1"/>
  <c r="AD20" i="171"/>
  <c r="AC20" i="171"/>
  <c r="AB20" i="171"/>
  <c r="AE20" i="171" s="1"/>
  <c r="AI20" i="171" s="1"/>
  <c r="Y20" i="171" s="1"/>
  <c r="Z20" i="171"/>
  <c r="X20" i="171"/>
  <c r="Q20" i="171"/>
  <c r="P20" i="171"/>
  <c r="H20" i="171"/>
  <c r="E20" i="171"/>
  <c r="I20" i="171" s="1"/>
  <c r="AD19" i="171"/>
  <c r="AC19" i="171"/>
  <c r="AB19" i="171"/>
  <c r="AE19" i="171" s="1"/>
  <c r="AI19" i="171" s="1"/>
  <c r="Y19" i="171" s="1"/>
  <c r="Z19" i="171"/>
  <c r="X19" i="171"/>
  <c r="Q19" i="171"/>
  <c r="P19" i="171"/>
  <c r="H19" i="171"/>
  <c r="E19" i="171"/>
  <c r="I19" i="171" s="1"/>
  <c r="AD18" i="171"/>
  <c r="AE18" i="171" s="1"/>
  <c r="AI18" i="171" s="1"/>
  <c r="Y18" i="171" s="1"/>
  <c r="AC18" i="171"/>
  <c r="AB18" i="171"/>
  <c r="Z18" i="171"/>
  <c r="X18" i="171"/>
  <c r="Q18" i="171"/>
  <c r="P18" i="171"/>
  <c r="I18" i="171"/>
  <c r="H18" i="171"/>
  <c r="E18" i="171"/>
  <c r="AD17" i="171"/>
  <c r="AE17" i="171" s="1"/>
  <c r="AI17" i="171" s="1"/>
  <c r="Y17" i="171" s="1"/>
  <c r="AC17" i="171"/>
  <c r="AB17" i="171"/>
  <c r="Z17" i="171"/>
  <c r="X17" i="171"/>
  <c r="Q17" i="171"/>
  <c r="P17" i="171"/>
  <c r="I17" i="171"/>
  <c r="H17" i="171"/>
  <c r="E17" i="171"/>
  <c r="AD16" i="171"/>
  <c r="AC16" i="171"/>
  <c r="AB16" i="171"/>
  <c r="AE16" i="171" s="1"/>
  <c r="AI16" i="171" s="1"/>
  <c r="Y16" i="171" s="1"/>
  <c r="Z16" i="171"/>
  <c r="X16" i="171"/>
  <c r="Q16" i="171"/>
  <c r="P16" i="171"/>
  <c r="E16" i="171"/>
  <c r="I16" i="171" s="1"/>
  <c r="AD15" i="171"/>
  <c r="AC15" i="171"/>
  <c r="AB15" i="171"/>
  <c r="AE15" i="171" s="1"/>
  <c r="AI15" i="171" s="1"/>
  <c r="Y15" i="171" s="1"/>
  <c r="Z15" i="171"/>
  <c r="X15" i="171"/>
  <c r="Q15" i="171"/>
  <c r="P15" i="171"/>
  <c r="E15" i="171"/>
  <c r="I15" i="171" s="1"/>
  <c r="AD14" i="171"/>
  <c r="AC14" i="171"/>
  <c r="AB14" i="171"/>
  <c r="AE14" i="171" s="1"/>
  <c r="AI14" i="171" s="1"/>
  <c r="Y14" i="171" s="1"/>
  <c r="Z14" i="171"/>
  <c r="X14" i="171"/>
  <c r="Q14" i="171"/>
  <c r="O75" i="171" s="1"/>
  <c r="P14" i="171"/>
  <c r="H14" i="171"/>
  <c r="E14" i="171"/>
  <c r="I14" i="171" s="1"/>
  <c r="F75" i="171" s="1"/>
  <c r="AD13" i="171"/>
  <c r="AC13" i="171"/>
  <c r="AB13" i="171"/>
  <c r="AE13" i="171" s="1"/>
  <c r="AI13" i="171" s="1"/>
  <c r="Y13" i="171" s="1"/>
  <c r="Z13" i="171"/>
  <c r="X13" i="171"/>
  <c r="Q13" i="171"/>
  <c r="P13" i="171"/>
  <c r="I13" i="171"/>
  <c r="H13" i="171"/>
  <c r="E13" i="171"/>
  <c r="AD12" i="171"/>
  <c r="AC12" i="171"/>
  <c r="AE12" i="171" s="1"/>
  <c r="AI12" i="171" s="1"/>
  <c r="Y12" i="171" s="1"/>
  <c r="AB12" i="171"/>
  <c r="Z12" i="171"/>
  <c r="X12" i="171"/>
  <c r="Q12" i="171"/>
  <c r="P12" i="171"/>
  <c r="I12" i="171"/>
  <c r="H12" i="171"/>
  <c r="E12" i="171"/>
  <c r="M79" i="170"/>
  <c r="W73" i="170"/>
  <c r="P71" i="170"/>
  <c r="H71" i="170"/>
  <c r="Q70" i="170"/>
  <c r="P70" i="170"/>
  <c r="I70" i="170"/>
  <c r="H70" i="170"/>
  <c r="E70" i="170"/>
  <c r="Q69" i="170"/>
  <c r="P69" i="170"/>
  <c r="I69" i="170"/>
  <c r="H69" i="170"/>
  <c r="E69" i="170"/>
  <c r="AD68" i="170"/>
  <c r="AC68" i="170"/>
  <c r="AB68" i="170"/>
  <c r="AE68" i="170" s="1"/>
  <c r="AI68" i="170" s="1"/>
  <c r="Y68" i="170" s="1"/>
  <c r="Z68" i="170"/>
  <c r="X68" i="170"/>
  <c r="W68" i="170"/>
  <c r="Q68" i="170"/>
  <c r="P68" i="170"/>
  <c r="H68" i="170"/>
  <c r="E68" i="170"/>
  <c r="I68" i="170" s="1"/>
  <c r="AD67" i="170"/>
  <c r="AC67" i="170"/>
  <c r="AB67" i="170"/>
  <c r="AE67" i="170" s="1"/>
  <c r="AI67" i="170" s="1"/>
  <c r="Y67" i="170" s="1"/>
  <c r="Z67" i="170"/>
  <c r="X67" i="170"/>
  <c r="Q67" i="170"/>
  <c r="P67" i="170"/>
  <c r="I67" i="170"/>
  <c r="H67" i="170"/>
  <c r="E67" i="170"/>
  <c r="AD66" i="170"/>
  <c r="AC66" i="170"/>
  <c r="AE66" i="170" s="1"/>
  <c r="AI66" i="170" s="1"/>
  <c r="Y66" i="170" s="1"/>
  <c r="AB66" i="170"/>
  <c r="Z66" i="170"/>
  <c r="X66" i="170"/>
  <c r="Q66" i="170"/>
  <c r="P66" i="170"/>
  <c r="I66" i="170"/>
  <c r="H66" i="170"/>
  <c r="E66" i="170"/>
  <c r="AD65" i="170"/>
  <c r="AC65" i="170"/>
  <c r="AB65" i="170"/>
  <c r="AE65" i="170" s="1"/>
  <c r="AI65" i="170" s="1"/>
  <c r="Y65" i="170" s="1"/>
  <c r="Z65" i="170"/>
  <c r="X65" i="170"/>
  <c r="Q65" i="170"/>
  <c r="P65" i="170"/>
  <c r="H65" i="170"/>
  <c r="E65" i="170"/>
  <c r="I65" i="170" s="1"/>
  <c r="AD64" i="170"/>
  <c r="AC64" i="170"/>
  <c r="AB64" i="170"/>
  <c r="AE64" i="170" s="1"/>
  <c r="AI64" i="170" s="1"/>
  <c r="Y64" i="170" s="1"/>
  <c r="Z64" i="170"/>
  <c r="X64" i="170"/>
  <c r="Q64" i="170"/>
  <c r="P64" i="170"/>
  <c r="H64" i="170"/>
  <c r="E64" i="170"/>
  <c r="I64" i="170" s="1"/>
  <c r="AD63" i="170"/>
  <c r="AC63" i="170"/>
  <c r="AE63" i="170" s="1"/>
  <c r="AI63" i="170" s="1"/>
  <c r="Y63" i="170" s="1"/>
  <c r="AB63" i="170"/>
  <c r="Z63" i="170"/>
  <c r="X63" i="170"/>
  <c r="Q63" i="170"/>
  <c r="P63" i="170"/>
  <c r="H63" i="170"/>
  <c r="E63" i="170"/>
  <c r="I63" i="170" s="1"/>
  <c r="AD62" i="170"/>
  <c r="AC62" i="170"/>
  <c r="AB62" i="170"/>
  <c r="AE62" i="170" s="1"/>
  <c r="AI62" i="170" s="1"/>
  <c r="Y62" i="170" s="1"/>
  <c r="Z62" i="170"/>
  <c r="X62" i="170"/>
  <c r="Q62" i="170"/>
  <c r="P62" i="170"/>
  <c r="I62" i="170"/>
  <c r="H62" i="170"/>
  <c r="E62" i="170"/>
  <c r="AC61" i="170"/>
  <c r="AE61" i="170" s="1"/>
  <c r="AI61" i="170" s="1"/>
  <c r="Y61" i="170" s="1"/>
  <c r="AB61" i="170"/>
  <c r="X61" i="170"/>
  <c r="Q61" i="170"/>
  <c r="P61" i="170"/>
  <c r="I61" i="170"/>
  <c r="H61" i="170"/>
  <c r="E61" i="170"/>
  <c r="AE60" i="170"/>
  <c r="AI60" i="170" s="1"/>
  <c r="Y60" i="170" s="1"/>
  <c r="X60" i="170"/>
  <c r="Q60" i="170"/>
  <c r="P60" i="170"/>
  <c r="I60" i="170"/>
  <c r="H60" i="170"/>
  <c r="E60" i="170"/>
  <c r="AC59" i="170"/>
  <c r="AB59" i="170"/>
  <c r="AE59" i="170" s="1"/>
  <c r="AI59" i="170" s="1"/>
  <c r="Y59" i="170" s="1"/>
  <c r="X59" i="170"/>
  <c r="Q59" i="170"/>
  <c r="P59" i="170"/>
  <c r="I59" i="170"/>
  <c r="H59" i="170"/>
  <c r="E59" i="170"/>
  <c r="AC58" i="170"/>
  <c r="AB58" i="170"/>
  <c r="AE58" i="170" s="1"/>
  <c r="AI58" i="170" s="1"/>
  <c r="Y58" i="170" s="1"/>
  <c r="X58" i="170"/>
  <c r="Q58" i="170"/>
  <c r="P58" i="170"/>
  <c r="E58" i="170"/>
  <c r="I58" i="170" s="1"/>
  <c r="AC57" i="170"/>
  <c r="AB57" i="170"/>
  <c r="AE57" i="170" s="1"/>
  <c r="AI57" i="170" s="1"/>
  <c r="Y57" i="170" s="1"/>
  <c r="X57" i="170"/>
  <c r="Q57" i="170"/>
  <c r="P57" i="170"/>
  <c r="I57" i="170"/>
  <c r="H57" i="170"/>
  <c r="E57" i="170"/>
  <c r="AD56" i="170"/>
  <c r="AC56" i="170"/>
  <c r="AB56" i="170"/>
  <c r="AE56" i="170" s="1"/>
  <c r="AI56" i="170" s="1"/>
  <c r="Y56" i="170" s="1"/>
  <c r="Z56" i="170"/>
  <c r="X56" i="170"/>
  <c r="Q56" i="170"/>
  <c r="P56" i="170"/>
  <c r="H56" i="170"/>
  <c r="E56" i="170"/>
  <c r="I56" i="170" s="1"/>
  <c r="AE55" i="170"/>
  <c r="AI55" i="170" s="1"/>
  <c r="Y55" i="170" s="1"/>
  <c r="AD55" i="170"/>
  <c r="AC55" i="170"/>
  <c r="AB55" i="170"/>
  <c r="Z55" i="170"/>
  <c r="X55" i="170"/>
  <c r="Q55" i="170"/>
  <c r="P55" i="170"/>
  <c r="I55" i="170"/>
  <c r="H55" i="170"/>
  <c r="E55" i="170"/>
  <c r="AD54" i="170"/>
  <c r="AC54" i="170"/>
  <c r="AB54" i="170"/>
  <c r="AE54" i="170" s="1"/>
  <c r="AI54" i="170" s="1"/>
  <c r="Y54" i="170" s="1"/>
  <c r="Z54" i="170"/>
  <c r="X54" i="170"/>
  <c r="Q54" i="170"/>
  <c r="P54" i="170"/>
  <c r="I54" i="170"/>
  <c r="H54" i="170"/>
  <c r="E54" i="170"/>
  <c r="AE53" i="170"/>
  <c r="AI53" i="170" s="1"/>
  <c r="Y53" i="170" s="1"/>
  <c r="AD53" i="170"/>
  <c r="AC53" i="170"/>
  <c r="AB53" i="170"/>
  <c r="Z53" i="170"/>
  <c r="X53" i="170"/>
  <c r="Q53" i="170"/>
  <c r="P53" i="170"/>
  <c r="H53" i="170"/>
  <c r="E53" i="170"/>
  <c r="I53" i="170" s="1"/>
  <c r="AE52" i="170"/>
  <c r="AI52" i="170" s="1"/>
  <c r="Y52" i="170" s="1"/>
  <c r="Z52" i="170"/>
  <c r="X52" i="170"/>
  <c r="Q52" i="170"/>
  <c r="P52" i="170"/>
  <c r="H52" i="170"/>
  <c r="E52" i="170"/>
  <c r="I52" i="170" s="1"/>
  <c r="AD51" i="170"/>
  <c r="AC51" i="170"/>
  <c r="AB51" i="170"/>
  <c r="AE51" i="170" s="1"/>
  <c r="AI51" i="170" s="1"/>
  <c r="Y51" i="170" s="1"/>
  <c r="Z51" i="170"/>
  <c r="X51" i="170"/>
  <c r="Q51" i="170"/>
  <c r="P51" i="170"/>
  <c r="I51" i="170"/>
  <c r="H51" i="170"/>
  <c r="E51" i="170"/>
  <c r="AD50" i="170"/>
  <c r="AC50" i="170"/>
  <c r="AE50" i="170" s="1"/>
  <c r="AI50" i="170" s="1"/>
  <c r="Y50" i="170" s="1"/>
  <c r="AB50" i="170"/>
  <c r="Z50" i="170"/>
  <c r="X50" i="170"/>
  <c r="Q50" i="170"/>
  <c r="P50" i="170"/>
  <c r="I50" i="170"/>
  <c r="H50" i="170"/>
  <c r="E50" i="170"/>
  <c r="AI49" i="170"/>
  <c r="Y49" i="170" s="1"/>
  <c r="AE49" i="170"/>
  <c r="Z49" i="170"/>
  <c r="X49" i="170"/>
  <c r="Q49" i="170"/>
  <c r="P49" i="170"/>
  <c r="H49" i="170"/>
  <c r="E49" i="170"/>
  <c r="I49" i="170" s="1"/>
  <c r="AE48" i="170"/>
  <c r="AI48" i="170" s="1"/>
  <c r="Y48" i="170" s="1"/>
  <c r="Z48" i="170"/>
  <c r="X48" i="170"/>
  <c r="Q48" i="170"/>
  <c r="P48" i="170"/>
  <c r="I48" i="170"/>
  <c r="H48" i="170"/>
  <c r="E48" i="170"/>
  <c r="AE47" i="170"/>
  <c r="AI47" i="170" s="1"/>
  <c r="Y47" i="170" s="1"/>
  <c r="Z47" i="170"/>
  <c r="X47" i="170"/>
  <c r="Q47" i="170"/>
  <c r="P47" i="170"/>
  <c r="H47" i="170"/>
  <c r="E47" i="170"/>
  <c r="I47" i="170" s="1"/>
  <c r="AD46" i="170"/>
  <c r="AE46" i="170" s="1"/>
  <c r="AI46" i="170" s="1"/>
  <c r="Y46" i="170" s="1"/>
  <c r="AC46" i="170"/>
  <c r="AB46" i="170"/>
  <c r="Z46" i="170"/>
  <c r="X46" i="170"/>
  <c r="Q46" i="170"/>
  <c r="P46" i="170"/>
  <c r="I46" i="170"/>
  <c r="H46" i="170"/>
  <c r="E46" i="170"/>
  <c r="AD45" i="170"/>
  <c r="AE45" i="170" s="1"/>
  <c r="AI45" i="170" s="1"/>
  <c r="Y45" i="170" s="1"/>
  <c r="AC45" i="170"/>
  <c r="AB45" i="170"/>
  <c r="Z45" i="170"/>
  <c r="X45" i="170"/>
  <c r="Q45" i="170"/>
  <c r="P45" i="170"/>
  <c r="I45" i="170"/>
  <c r="H45" i="170"/>
  <c r="E45" i="170"/>
  <c r="AD44" i="170"/>
  <c r="AC44" i="170"/>
  <c r="AB44" i="170"/>
  <c r="AE44" i="170" s="1"/>
  <c r="AI44" i="170" s="1"/>
  <c r="Y44" i="170" s="1"/>
  <c r="Z44" i="170"/>
  <c r="X44" i="170"/>
  <c r="Q44" i="170"/>
  <c r="P44" i="170"/>
  <c r="H44" i="170"/>
  <c r="E44" i="170"/>
  <c r="I44" i="170" s="1"/>
  <c r="AE43" i="170"/>
  <c r="AI43" i="170" s="1"/>
  <c r="Y43" i="170" s="1"/>
  <c r="AD43" i="170"/>
  <c r="AC43" i="170"/>
  <c r="AB43" i="170"/>
  <c r="Z43" i="170"/>
  <c r="X43" i="170"/>
  <c r="Q43" i="170"/>
  <c r="P43" i="170"/>
  <c r="I43" i="170"/>
  <c r="H43" i="170"/>
  <c r="E43" i="170"/>
  <c r="AD42" i="170"/>
  <c r="AC42" i="170"/>
  <c r="AB42" i="170"/>
  <c r="AE42" i="170" s="1"/>
  <c r="AI42" i="170" s="1"/>
  <c r="Y42" i="170" s="1"/>
  <c r="Z42" i="170"/>
  <c r="X42" i="170"/>
  <c r="Q42" i="170"/>
  <c r="P42" i="170"/>
  <c r="I42" i="170"/>
  <c r="H42" i="170"/>
  <c r="E42" i="170"/>
  <c r="AE41" i="170"/>
  <c r="AI41" i="170" s="1"/>
  <c r="Y41" i="170" s="1"/>
  <c r="AD41" i="170"/>
  <c r="AC41" i="170"/>
  <c r="AB41" i="170"/>
  <c r="Z41" i="170"/>
  <c r="X41" i="170"/>
  <c r="Q41" i="170"/>
  <c r="P41" i="170"/>
  <c r="H41" i="170"/>
  <c r="E41" i="170"/>
  <c r="I41" i="170" s="1"/>
  <c r="AE40" i="170"/>
  <c r="AI40" i="170" s="1"/>
  <c r="Y40" i="170" s="1"/>
  <c r="AD40" i="170"/>
  <c r="AC40" i="170"/>
  <c r="AB40" i="170"/>
  <c r="Z40" i="170"/>
  <c r="X40" i="170"/>
  <c r="Q40" i="170"/>
  <c r="P40" i="170"/>
  <c r="I40" i="170"/>
  <c r="H40" i="170"/>
  <c r="E40" i="170"/>
  <c r="AD39" i="170"/>
  <c r="AC39" i="170"/>
  <c r="AB39" i="170"/>
  <c r="AE39" i="170" s="1"/>
  <c r="AI39" i="170" s="1"/>
  <c r="Y39" i="170" s="1"/>
  <c r="Z39" i="170"/>
  <c r="X39" i="170"/>
  <c r="Q39" i="170"/>
  <c r="P39" i="170"/>
  <c r="H39" i="170"/>
  <c r="E39" i="170"/>
  <c r="I39" i="170" s="1"/>
  <c r="AD38" i="170"/>
  <c r="AC38" i="170"/>
  <c r="AB38" i="170"/>
  <c r="AE38" i="170" s="1"/>
  <c r="AI38" i="170" s="1"/>
  <c r="Y38" i="170" s="1"/>
  <c r="Z38" i="170"/>
  <c r="X38" i="170"/>
  <c r="Q38" i="170"/>
  <c r="P38" i="170"/>
  <c r="I38" i="170"/>
  <c r="H38" i="170"/>
  <c r="E38" i="170"/>
  <c r="AD37" i="170"/>
  <c r="AC37" i="170"/>
  <c r="AE37" i="170" s="1"/>
  <c r="AI37" i="170" s="1"/>
  <c r="Y37" i="170" s="1"/>
  <c r="AB37" i="170"/>
  <c r="Z37" i="170"/>
  <c r="X37" i="170"/>
  <c r="Q37" i="170"/>
  <c r="P37" i="170"/>
  <c r="I37" i="170"/>
  <c r="H37" i="170"/>
  <c r="E37" i="170"/>
  <c r="AD36" i="170"/>
  <c r="AC36" i="170"/>
  <c r="AB36" i="170"/>
  <c r="AE36" i="170" s="1"/>
  <c r="AI36" i="170" s="1"/>
  <c r="Y36" i="170" s="1"/>
  <c r="Z36" i="170"/>
  <c r="X36" i="170"/>
  <c r="Q36" i="170"/>
  <c r="P36" i="170"/>
  <c r="H36" i="170"/>
  <c r="E36" i="170"/>
  <c r="I36" i="170" s="1"/>
  <c r="AD35" i="170"/>
  <c r="AC35" i="170"/>
  <c r="AB35" i="170"/>
  <c r="AE35" i="170" s="1"/>
  <c r="AI35" i="170" s="1"/>
  <c r="Y35" i="170" s="1"/>
  <c r="Z35" i="170"/>
  <c r="X35" i="170"/>
  <c r="Q35" i="170"/>
  <c r="P35" i="170"/>
  <c r="H35" i="170"/>
  <c r="E35" i="170"/>
  <c r="I35" i="170" s="1"/>
  <c r="AD34" i="170"/>
  <c r="AC34" i="170"/>
  <c r="AE34" i="170" s="1"/>
  <c r="AI34" i="170" s="1"/>
  <c r="Y34" i="170" s="1"/>
  <c r="AB34" i="170"/>
  <c r="Z34" i="170"/>
  <c r="X34" i="170"/>
  <c r="Q34" i="170"/>
  <c r="P34" i="170"/>
  <c r="H34" i="170"/>
  <c r="E34" i="170"/>
  <c r="I34" i="170" s="1"/>
  <c r="AD33" i="170"/>
  <c r="AC33" i="170"/>
  <c r="AB33" i="170"/>
  <c r="AE33" i="170" s="1"/>
  <c r="AI33" i="170" s="1"/>
  <c r="Y33" i="170" s="1"/>
  <c r="Z33" i="170"/>
  <c r="X33" i="170"/>
  <c r="Q33" i="170"/>
  <c r="P33" i="170"/>
  <c r="I33" i="170"/>
  <c r="H33" i="170"/>
  <c r="E33" i="170"/>
  <c r="AD32" i="170"/>
  <c r="AE32" i="170" s="1"/>
  <c r="AI32" i="170" s="1"/>
  <c r="Y32" i="170" s="1"/>
  <c r="AC32" i="170"/>
  <c r="AB32" i="170"/>
  <c r="Z32" i="170"/>
  <c r="X32" i="170"/>
  <c r="Q32" i="170"/>
  <c r="P32" i="170"/>
  <c r="H32" i="170"/>
  <c r="E32" i="170"/>
  <c r="I32" i="170" s="1"/>
  <c r="AI31" i="170"/>
  <c r="AE31" i="170"/>
  <c r="Z31" i="170"/>
  <c r="Y31" i="170"/>
  <c r="X31" i="170"/>
  <c r="Q31" i="170"/>
  <c r="P31" i="170"/>
  <c r="I31" i="170"/>
  <c r="H31" i="170"/>
  <c r="E31" i="170"/>
  <c r="AD30" i="170"/>
  <c r="AE30" i="170" s="1"/>
  <c r="AI30" i="170" s="1"/>
  <c r="Y30" i="170" s="1"/>
  <c r="AC30" i="170"/>
  <c r="AB30" i="170"/>
  <c r="Z30" i="170"/>
  <c r="X30" i="170"/>
  <c r="Q30" i="170"/>
  <c r="P30" i="170"/>
  <c r="I30" i="170"/>
  <c r="H30" i="170"/>
  <c r="E30" i="170"/>
  <c r="AD29" i="170"/>
  <c r="AC29" i="170"/>
  <c r="AB29" i="170"/>
  <c r="AE29" i="170" s="1"/>
  <c r="AI29" i="170" s="1"/>
  <c r="Y29" i="170" s="1"/>
  <c r="Z29" i="170"/>
  <c r="X29" i="170"/>
  <c r="Q29" i="170"/>
  <c r="P29" i="170"/>
  <c r="H29" i="170"/>
  <c r="E29" i="170"/>
  <c r="I29" i="170" s="1"/>
  <c r="AE28" i="170"/>
  <c r="AI28" i="170" s="1"/>
  <c r="Y28" i="170" s="1"/>
  <c r="AD28" i="170"/>
  <c r="AC28" i="170"/>
  <c r="AB28" i="170"/>
  <c r="Z28" i="170"/>
  <c r="X28" i="170"/>
  <c r="Q28" i="170"/>
  <c r="P28" i="170"/>
  <c r="I28" i="170"/>
  <c r="H28" i="170"/>
  <c r="E28" i="170"/>
  <c r="AD27" i="170"/>
  <c r="AC27" i="170"/>
  <c r="AB27" i="170"/>
  <c r="AE27" i="170" s="1"/>
  <c r="AI27" i="170" s="1"/>
  <c r="Y27" i="170" s="1"/>
  <c r="Z27" i="170"/>
  <c r="X27" i="170"/>
  <c r="Q27" i="170"/>
  <c r="P27" i="170"/>
  <c r="I27" i="170"/>
  <c r="H27" i="170"/>
  <c r="E27" i="170"/>
  <c r="AE26" i="170"/>
  <c r="AI26" i="170" s="1"/>
  <c r="Y26" i="170" s="1"/>
  <c r="AD26" i="170"/>
  <c r="AC26" i="170"/>
  <c r="AB26" i="170"/>
  <c r="Z26" i="170"/>
  <c r="X26" i="170"/>
  <c r="Q26" i="170"/>
  <c r="P26" i="170"/>
  <c r="H26" i="170"/>
  <c r="E26" i="170"/>
  <c r="I26" i="170" s="1"/>
  <c r="AE25" i="170"/>
  <c r="AI25" i="170" s="1"/>
  <c r="Y25" i="170" s="1"/>
  <c r="AD25" i="170"/>
  <c r="AC25" i="170"/>
  <c r="AB25" i="170"/>
  <c r="Z25" i="170"/>
  <c r="X25" i="170"/>
  <c r="Q25" i="170"/>
  <c r="P25" i="170"/>
  <c r="I25" i="170"/>
  <c r="H25" i="170"/>
  <c r="E25" i="170"/>
  <c r="AD24" i="170"/>
  <c r="AC24" i="170"/>
  <c r="AB24" i="170"/>
  <c r="AE24" i="170" s="1"/>
  <c r="AI24" i="170" s="1"/>
  <c r="Y24" i="170" s="1"/>
  <c r="Z24" i="170"/>
  <c r="X24" i="170"/>
  <c r="Q24" i="170"/>
  <c r="P24" i="170"/>
  <c r="H24" i="170"/>
  <c r="E24" i="170"/>
  <c r="I24" i="170" s="1"/>
  <c r="AD23" i="170"/>
  <c r="AC23" i="170"/>
  <c r="AB23" i="170"/>
  <c r="AE23" i="170" s="1"/>
  <c r="AI23" i="170" s="1"/>
  <c r="Y23" i="170" s="1"/>
  <c r="Z23" i="170"/>
  <c r="X23" i="170"/>
  <c r="Q23" i="170"/>
  <c r="P23" i="170"/>
  <c r="I23" i="170"/>
  <c r="H23" i="170"/>
  <c r="E23" i="170"/>
  <c r="AD22" i="170"/>
  <c r="AC22" i="170"/>
  <c r="AE22" i="170" s="1"/>
  <c r="AI22" i="170" s="1"/>
  <c r="Y22" i="170" s="1"/>
  <c r="AB22" i="170"/>
  <c r="Z22" i="170"/>
  <c r="X22" i="170"/>
  <c r="Q22" i="170"/>
  <c r="P22" i="170"/>
  <c r="I22" i="170"/>
  <c r="H22" i="170"/>
  <c r="E22" i="170"/>
  <c r="AD21" i="170"/>
  <c r="AC21" i="170"/>
  <c r="AB21" i="170"/>
  <c r="AE21" i="170" s="1"/>
  <c r="AI21" i="170" s="1"/>
  <c r="Y21" i="170" s="1"/>
  <c r="Z21" i="170"/>
  <c r="X21" i="170"/>
  <c r="Q21" i="170"/>
  <c r="P21" i="170"/>
  <c r="H21" i="170"/>
  <c r="E21" i="170"/>
  <c r="I21" i="170" s="1"/>
  <c r="AD20" i="170"/>
  <c r="AC20" i="170"/>
  <c r="AB20" i="170"/>
  <c r="AE20" i="170" s="1"/>
  <c r="AI20" i="170" s="1"/>
  <c r="Y20" i="170" s="1"/>
  <c r="Z20" i="170"/>
  <c r="X20" i="170"/>
  <c r="Q20" i="170"/>
  <c r="P20" i="170"/>
  <c r="H20" i="170"/>
  <c r="E20" i="170"/>
  <c r="I20" i="170" s="1"/>
  <c r="AD19" i="170"/>
  <c r="AC19" i="170"/>
  <c r="AE19" i="170" s="1"/>
  <c r="AI19" i="170" s="1"/>
  <c r="Y19" i="170" s="1"/>
  <c r="AB19" i="170"/>
  <c r="Z19" i="170"/>
  <c r="X19" i="170"/>
  <c r="Q19" i="170"/>
  <c r="P19" i="170"/>
  <c r="H19" i="170"/>
  <c r="E19" i="170"/>
  <c r="I19" i="170" s="1"/>
  <c r="AD18" i="170"/>
  <c r="AC18" i="170"/>
  <c r="AB18" i="170"/>
  <c r="AE18" i="170" s="1"/>
  <c r="AI18" i="170" s="1"/>
  <c r="Y18" i="170" s="1"/>
  <c r="Z18" i="170"/>
  <c r="X18" i="170"/>
  <c r="Q18" i="170"/>
  <c r="P18" i="170"/>
  <c r="I18" i="170"/>
  <c r="H18" i="170"/>
  <c r="E18" i="170"/>
  <c r="AD17" i="170"/>
  <c r="AE17" i="170" s="1"/>
  <c r="AI17" i="170" s="1"/>
  <c r="Y17" i="170" s="1"/>
  <c r="AC17" i="170"/>
  <c r="AB17" i="170"/>
  <c r="Z17" i="170"/>
  <c r="X17" i="170"/>
  <c r="Q17" i="170"/>
  <c r="P17" i="170"/>
  <c r="H17" i="170"/>
  <c r="E17" i="170"/>
  <c r="I17" i="170" s="1"/>
  <c r="AD16" i="170"/>
  <c r="AC16" i="170"/>
  <c r="AB16" i="170"/>
  <c r="AE16" i="170" s="1"/>
  <c r="AI16" i="170" s="1"/>
  <c r="Y16" i="170" s="1"/>
  <c r="Z16" i="170"/>
  <c r="X16" i="170"/>
  <c r="Q16" i="170"/>
  <c r="P16" i="170"/>
  <c r="E16" i="170"/>
  <c r="I16" i="170" s="1"/>
  <c r="AD15" i="170"/>
  <c r="AC15" i="170"/>
  <c r="AB15" i="170"/>
  <c r="AE15" i="170" s="1"/>
  <c r="AI15" i="170" s="1"/>
  <c r="Y15" i="170" s="1"/>
  <c r="Z15" i="170"/>
  <c r="X15" i="170"/>
  <c r="Q15" i="170"/>
  <c r="P15" i="170"/>
  <c r="E15" i="170"/>
  <c r="I15" i="170" s="1"/>
  <c r="AD14" i="170"/>
  <c r="AC14" i="170"/>
  <c r="AB14" i="170"/>
  <c r="AE14" i="170" s="1"/>
  <c r="AI14" i="170" s="1"/>
  <c r="Y14" i="170" s="1"/>
  <c r="Z14" i="170"/>
  <c r="X14" i="170"/>
  <c r="Q14" i="170"/>
  <c r="O75" i="170" s="1"/>
  <c r="P14" i="170"/>
  <c r="H14" i="170"/>
  <c r="E14" i="170"/>
  <c r="I14" i="170" s="1"/>
  <c r="AD13" i="170"/>
  <c r="AC13" i="170"/>
  <c r="AB13" i="170"/>
  <c r="AE13" i="170" s="1"/>
  <c r="AI13" i="170" s="1"/>
  <c r="Y13" i="170" s="1"/>
  <c r="Z13" i="170"/>
  <c r="X13" i="170"/>
  <c r="Q13" i="170"/>
  <c r="P13" i="170"/>
  <c r="I13" i="170"/>
  <c r="H13" i="170"/>
  <c r="E13" i="170"/>
  <c r="AD12" i="170"/>
  <c r="AC12" i="170"/>
  <c r="AE12" i="170" s="1"/>
  <c r="AI12" i="170" s="1"/>
  <c r="Y12" i="170" s="1"/>
  <c r="AB12" i="170"/>
  <c r="Z12" i="170"/>
  <c r="X12" i="170"/>
  <c r="Q12" i="170"/>
  <c r="O73" i="170" s="1"/>
  <c r="P12" i="170"/>
  <c r="I12" i="170"/>
  <c r="H12" i="170"/>
  <c r="E12" i="170"/>
  <c r="T79" i="172" l="1"/>
  <c r="F77" i="172"/>
  <c r="T77" i="171"/>
  <c r="T75" i="171"/>
  <c r="O73" i="171"/>
  <c r="F73" i="171"/>
  <c r="T73" i="171"/>
  <c r="T77" i="170"/>
  <c r="T75" i="170"/>
  <c r="F73" i="170"/>
  <c r="F75" i="170"/>
  <c r="T73" i="170"/>
  <c r="M79" i="169"/>
  <c r="W73" i="169"/>
  <c r="P71" i="169"/>
  <c r="H71" i="169"/>
  <c r="Q70" i="169"/>
  <c r="P70" i="169"/>
  <c r="I70" i="169"/>
  <c r="H70" i="169"/>
  <c r="E70" i="169"/>
  <c r="Q69" i="169"/>
  <c r="P69" i="169"/>
  <c r="I69" i="169"/>
  <c r="H69" i="169"/>
  <c r="E69" i="169"/>
  <c r="AD68" i="169"/>
  <c r="AC68" i="169"/>
  <c r="AB68" i="169"/>
  <c r="AE68" i="169" s="1"/>
  <c r="AI68" i="169" s="1"/>
  <c r="Y68" i="169" s="1"/>
  <c r="Z68" i="169"/>
  <c r="X68" i="169"/>
  <c r="W68" i="169"/>
  <c r="Q68" i="169"/>
  <c r="P68" i="169"/>
  <c r="H68" i="169"/>
  <c r="E68" i="169"/>
  <c r="I68" i="169" s="1"/>
  <c r="AD67" i="169"/>
  <c r="AC67" i="169"/>
  <c r="AE67" i="169" s="1"/>
  <c r="AI67" i="169" s="1"/>
  <c r="Y67" i="169" s="1"/>
  <c r="AB67" i="169"/>
  <c r="Z67" i="169"/>
  <c r="X67" i="169"/>
  <c r="Q67" i="169"/>
  <c r="P67" i="169"/>
  <c r="I67" i="169"/>
  <c r="H67" i="169"/>
  <c r="E67" i="169"/>
  <c r="AD66" i="169"/>
  <c r="AE66" i="169" s="1"/>
  <c r="AI66" i="169" s="1"/>
  <c r="Y66" i="169" s="1"/>
  <c r="AC66" i="169"/>
  <c r="AB66" i="169"/>
  <c r="Z66" i="169"/>
  <c r="X66" i="169"/>
  <c r="Q66" i="169"/>
  <c r="P66" i="169"/>
  <c r="H66" i="169"/>
  <c r="E66" i="169"/>
  <c r="I66" i="169" s="1"/>
  <c r="AD65" i="169"/>
  <c r="AE65" i="169" s="1"/>
  <c r="AI65" i="169" s="1"/>
  <c r="Y65" i="169" s="1"/>
  <c r="AC65" i="169"/>
  <c r="AB65" i="169"/>
  <c r="Z65" i="169"/>
  <c r="X65" i="169"/>
  <c r="Q65" i="169"/>
  <c r="P65" i="169"/>
  <c r="H65" i="169"/>
  <c r="E65" i="169"/>
  <c r="I65" i="169" s="1"/>
  <c r="AD64" i="169"/>
  <c r="AC64" i="169"/>
  <c r="AE64" i="169" s="1"/>
  <c r="AI64" i="169" s="1"/>
  <c r="Y64" i="169" s="1"/>
  <c r="AB64" i="169"/>
  <c r="Z64" i="169"/>
  <c r="X64" i="169"/>
  <c r="Q64" i="169"/>
  <c r="P64" i="169"/>
  <c r="H64" i="169"/>
  <c r="E64" i="169"/>
  <c r="I64" i="169" s="1"/>
  <c r="AD63" i="169"/>
  <c r="AC63" i="169"/>
  <c r="AB63" i="169"/>
  <c r="AE63" i="169" s="1"/>
  <c r="AI63" i="169" s="1"/>
  <c r="Y63" i="169" s="1"/>
  <c r="Z63" i="169"/>
  <c r="X63" i="169"/>
  <c r="Q63" i="169"/>
  <c r="P63" i="169"/>
  <c r="H63" i="169"/>
  <c r="E63" i="169"/>
  <c r="I63" i="169" s="1"/>
  <c r="AD62" i="169"/>
  <c r="AC62" i="169"/>
  <c r="AB62" i="169"/>
  <c r="AE62" i="169" s="1"/>
  <c r="AI62" i="169" s="1"/>
  <c r="Y62" i="169" s="1"/>
  <c r="Z62" i="169"/>
  <c r="X62" i="169"/>
  <c r="Q62" i="169"/>
  <c r="P62" i="169"/>
  <c r="I62" i="169"/>
  <c r="H62" i="169"/>
  <c r="E62" i="169"/>
  <c r="AE61" i="169"/>
  <c r="AI61" i="169" s="1"/>
  <c r="Y61" i="169" s="1"/>
  <c r="AC61" i="169"/>
  <c r="AB61" i="169"/>
  <c r="X61" i="169"/>
  <c r="Q61" i="169"/>
  <c r="P61" i="169"/>
  <c r="H61" i="169"/>
  <c r="E61" i="169"/>
  <c r="I61" i="169" s="1"/>
  <c r="AE60" i="169"/>
  <c r="AI60" i="169" s="1"/>
  <c r="Y60" i="169" s="1"/>
  <c r="X60" i="169"/>
  <c r="Q60" i="169"/>
  <c r="P60" i="169"/>
  <c r="I60" i="169"/>
  <c r="H60" i="169"/>
  <c r="E60" i="169"/>
  <c r="AC59" i="169"/>
  <c r="AB59" i="169"/>
  <c r="AE59" i="169" s="1"/>
  <c r="AI59" i="169" s="1"/>
  <c r="Y59" i="169" s="1"/>
  <c r="X59" i="169"/>
  <c r="Q59" i="169"/>
  <c r="P59" i="169"/>
  <c r="I59" i="169"/>
  <c r="H59" i="169"/>
  <c r="E59" i="169"/>
  <c r="AC58" i="169"/>
  <c r="AE58" i="169" s="1"/>
  <c r="AI58" i="169" s="1"/>
  <c r="Y58" i="169" s="1"/>
  <c r="AB58" i="169"/>
  <c r="X58" i="169"/>
  <c r="Q58" i="169"/>
  <c r="P58" i="169"/>
  <c r="E58" i="169"/>
  <c r="I58" i="169" s="1"/>
  <c r="AC57" i="169"/>
  <c r="AB57" i="169"/>
  <c r="AE57" i="169" s="1"/>
  <c r="AI57" i="169" s="1"/>
  <c r="Y57" i="169" s="1"/>
  <c r="X57" i="169"/>
  <c r="Q57" i="169"/>
  <c r="P57" i="169"/>
  <c r="I57" i="169"/>
  <c r="H57" i="169"/>
  <c r="E57" i="169"/>
  <c r="AD56" i="169"/>
  <c r="AC56" i="169"/>
  <c r="AB56" i="169"/>
  <c r="AE56" i="169" s="1"/>
  <c r="AI56" i="169" s="1"/>
  <c r="Y56" i="169" s="1"/>
  <c r="Z56" i="169"/>
  <c r="X56" i="169"/>
  <c r="Q56" i="169"/>
  <c r="P56" i="169"/>
  <c r="I56" i="169"/>
  <c r="H56" i="169"/>
  <c r="E56" i="169"/>
  <c r="AD55" i="169"/>
  <c r="AC55" i="169"/>
  <c r="AB55" i="169"/>
  <c r="AE55" i="169" s="1"/>
  <c r="AI55" i="169" s="1"/>
  <c r="Y55" i="169" s="1"/>
  <c r="Z55" i="169"/>
  <c r="X55" i="169"/>
  <c r="Q55" i="169"/>
  <c r="P55" i="169"/>
  <c r="I55" i="169"/>
  <c r="H55" i="169"/>
  <c r="E55" i="169"/>
  <c r="AD54" i="169"/>
  <c r="AC54" i="169"/>
  <c r="AB54" i="169"/>
  <c r="AE54" i="169" s="1"/>
  <c r="AI54" i="169" s="1"/>
  <c r="Y54" i="169" s="1"/>
  <c r="Z54" i="169"/>
  <c r="X54" i="169"/>
  <c r="Q54" i="169"/>
  <c r="P54" i="169"/>
  <c r="H54" i="169"/>
  <c r="E54" i="169"/>
  <c r="I54" i="169" s="1"/>
  <c r="AE53" i="169"/>
  <c r="AI53" i="169" s="1"/>
  <c r="Y53" i="169" s="1"/>
  <c r="AD53" i="169"/>
  <c r="AC53" i="169"/>
  <c r="AB53" i="169"/>
  <c r="Z53" i="169"/>
  <c r="X53" i="169"/>
  <c r="Q53" i="169"/>
  <c r="P53" i="169"/>
  <c r="H53" i="169"/>
  <c r="E53" i="169"/>
  <c r="I53" i="169" s="1"/>
  <c r="AE52" i="169"/>
  <c r="AI52" i="169" s="1"/>
  <c r="Y52" i="169" s="1"/>
  <c r="Z52" i="169"/>
  <c r="X52" i="169"/>
  <c r="Q52" i="169"/>
  <c r="P52" i="169"/>
  <c r="H52" i="169"/>
  <c r="E52" i="169"/>
  <c r="I52" i="169" s="1"/>
  <c r="AD51" i="169"/>
  <c r="AC51" i="169"/>
  <c r="AB51" i="169"/>
  <c r="AE51" i="169" s="1"/>
  <c r="AI51" i="169" s="1"/>
  <c r="Y51" i="169" s="1"/>
  <c r="Z51" i="169"/>
  <c r="X51" i="169"/>
  <c r="Q51" i="169"/>
  <c r="P51" i="169"/>
  <c r="I51" i="169"/>
  <c r="H51" i="169"/>
  <c r="E51" i="169"/>
  <c r="AD50" i="169"/>
  <c r="AE50" i="169" s="1"/>
  <c r="AI50" i="169" s="1"/>
  <c r="Y50" i="169" s="1"/>
  <c r="AC50" i="169"/>
  <c r="AB50" i="169"/>
  <c r="Z50" i="169"/>
  <c r="X50" i="169"/>
  <c r="Q50" i="169"/>
  <c r="P50" i="169"/>
  <c r="H50" i="169"/>
  <c r="E50" i="169"/>
  <c r="I50" i="169" s="1"/>
  <c r="AI49" i="169"/>
  <c r="Y49" i="169" s="1"/>
  <c r="AE49" i="169"/>
  <c r="Z49" i="169"/>
  <c r="X49" i="169"/>
  <c r="Q49" i="169"/>
  <c r="P49" i="169"/>
  <c r="H49" i="169"/>
  <c r="E49" i="169"/>
  <c r="I49" i="169" s="1"/>
  <c r="AE48" i="169"/>
  <c r="AI48" i="169" s="1"/>
  <c r="Y48" i="169" s="1"/>
  <c r="Z48" i="169"/>
  <c r="X48" i="169"/>
  <c r="Q48" i="169"/>
  <c r="P48" i="169"/>
  <c r="I48" i="169"/>
  <c r="H48" i="169"/>
  <c r="E48" i="169"/>
  <c r="AE47" i="169"/>
  <c r="AI47" i="169" s="1"/>
  <c r="Y47" i="169" s="1"/>
  <c r="Z47" i="169"/>
  <c r="X47" i="169"/>
  <c r="Q47" i="169"/>
  <c r="P47" i="169"/>
  <c r="H47" i="169"/>
  <c r="E47" i="169"/>
  <c r="I47" i="169" s="1"/>
  <c r="AD46" i="169"/>
  <c r="AC46" i="169"/>
  <c r="AB46" i="169"/>
  <c r="AE46" i="169" s="1"/>
  <c r="AI46" i="169" s="1"/>
  <c r="Y46" i="169" s="1"/>
  <c r="Z46" i="169"/>
  <c r="X46" i="169"/>
  <c r="Q46" i="169"/>
  <c r="P46" i="169"/>
  <c r="I46" i="169"/>
  <c r="H46" i="169"/>
  <c r="E46" i="169"/>
  <c r="AD45" i="169"/>
  <c r="AC45" i="169"/>
  <c r="AB45" i="169"/>
  <c r="AE45" i="169" s="1"/>
  <c r="AI45" i="169" s="1"/>
  <c r="Y45" i="169" s="1"/>
  <c r="Z45" i="169"/>
  <c r="X45" i="169"/>
  <c r="Q45" i="169"/>
  <c r="P45" i="169"/>
  <c r="I45" i="169"/>
  <c r="H45" i="169"/>
  <c r="E45" i="169"/>
  <c r="AD44" i="169"/>
  <c r="AC44" i="169"/>
  <c r="AB44" i="169"/>
  <c r="AE44" i="169" s="1"/>
  <c r="AI44" i="169" s="1"/>
  <c r="Y44" i="169" s="1"/>
  <c r="Z44" i="169"/>
  <c r="X44" i="169"/>
  <c r="Q44" i="169"/>
  <c r="P44" i="169"/>
  <c r="I44" i="169"/>
  <c r="H44" i="169"/>
  <c r="E44" i="169"/>
  <c r="AD43" i="169"/>
  <c r="AC43" i="169"/>
  <c r="AB43" i="169"/>
  <c r="AE43" i="169" s="1"/>
  <c r="AI43" i="169" s="1"/>
  <c r="Y43" i="169" s="1"/>
  <c r="Z43" i="169"/>
  <c r="X43" i="169"/>
  <c r="Q43" i="169"/>
  <c r="P43" i="169"/>
  <c r="I43" i="169"/>
  <c r="H43" i="169"/>
  <c r="E43" i="169"/>
  <c r="AD42" i="169"/>
  <c r="AC42" i="169"/>
  <c r="AB42" i="169"/>
  <c r="AE42" i="169" s="1"/>
  <c r="AI42" i="169" s="1"/>
  <c r="Y42" i="169" s="1"/>
  <c r="Z42" i="169"/>
  <c r="X42" i="169"/>
  <c r="Q42" i="169"/>
  <c r="P42" i="169"/>
  <c r="H42" i="169"/>
  <c r="E42" i="169"/>
  <c r="I42" i="169" s="1"/>
  <c r="AE41" i="169"/>
  <c r="AI41" i="169" s="1"/>
  <c r="Y41" i="169" s="1"/>
  <c r="AD41" i="169"/>
  <c r="AC41" i="169"/>
  <c r="AB41" i="169"/>
  <c r="Z41" i="169"/>
  <c r="X41" i="169"/>
  <c r="Q41" i="169"/>
  <c r="P41" i="169"/>
  <c r="H41" i="169"/>
  <c r="E41" i="169"/>
  <c r="I41" i="169" s="1"/>
  <c r="AD40" i="169"/>
  <c r="AC40" i="169"/>
  <c r="AB40" i="169"/>
  <c r="AE40" i="169" s="1"/>
  <c r="AI40" i="169" s="1"/>
  <c r="Y40" i="169" s="1"/>
  <c r="Z40" i="169"/>
  <c r="X40" i="169"/>
  <c r="Q40" i="169"/>
  <c r="P40" i="169"/>
  <c r="I40" i="169"/>
  <c r="H40" i="169"/>
  <c r="E40" i="169"/>
  <c r="AD39" i="169"/>
  <c r="AC39" i="169"/>
  <c r="AB39" i="169"/>
  <c r="AE39" i="169" s="1"/>
  <c r="AI39" i="169" s="1"/>
  <c r="Y39" i="169" s="1"/>
  <c r="Z39" i="169"/>
  <c r="X39" i="169"/>
  <c r="Q39" i="169"/>
  <c r="P39" i="169"/>
  <c r="H39" i="169"/>
  <c r="E39" i="169"/>
  <c r="I39" i="169" s="1"/>
  <c r="AD38" i="169"/>
  <c r="AC38" i="169"/>
  <c r="AB38" i="169"/>
  <c r="AE38" i="169" s="1"/>
  <c r="AI38" i="169" s="1"/>
  <c r="Y38" i="169" s="1"/>
  <c r="Z38" i="169"/>
  <c r="X38" i="169"/>
  <c r="Q38" i="169"/>
  <c r="P38" i="169"/>
  <c r="I38" i="169"/>
  <c r="H38" i="169"/>
  <c r="E38" i="169"/>
  <c r="AD37" i="169"/>
  <c r="AC37" i="169"/>
  <c r="AE37" i="169" s="1"/>
  <c r="AI37" i="169" s="1"/>
  <c r="Y37" i="169" s="1"/>
  <c r="AB37" i="169"/>
  <c r="Z37" i="169"/>
  <c r="X37" i="169"/>
  <c r="Q37" i="169"/>
  <c r="P37" i="169"/>
  <c r="H37" i="169"/>
  <c r="E37" i="169"/>
  <c r="I37" i="169" s="1"/>
  <c r="AD36" i="169"/>
  <c r="AE36" i="169" s="1"/>
  <c r="AI36" i="169" s="1"/>
  <c r="Y36" i="169" s="1"/>
  <c r="AC36" i="169"/>
  <c r="AB36" i="169"/>
  <c r="Z36" i="169"/>
  <c r="X36" i="169"/>
  <c r="Q36" i="169"/>
  <c r="P36" i="169"/>
  <c r="H36" i="169"/>
  <c r="E36" i="169"/>
  <c r="I36" i="169" s="1"/>
  <c r="AD35" i="169"/>
  <c r="AC35" i="169"/>
  <c r="AE35" i="169" s="1"/>
  <c r="AI35" i="169" s="1"/>
  <c r="Y35" i="169" s="1"/>
  <c r="AB35" i="169"/>
  <c r="Z35" i="169"/>
  <c r="X35" i="169"/>
  <c r="Q35" i="169"/>
  <c r="P35" i="169"/>
  <c r="H35" i="169"/>
  <c r="E35" i="169"/>
  <c r="I35" i="169" s="1"/>
  <c r="AD34" i="169"/>
  <c r="AC34" i="169"/>
  <c r="AB34" i="169"/>
  <c r="AE34" i="169" s="1"/>
  <c r="AI34" i="169" s="1"/>
  <c r="Y34" i="169" s="1"/>
  <c r="Z34" i="169"/>
  <c r="X34" i="169"/>
  <c r="Q34" i="169"/>
  <c r="P34" i="169"/>
  <c r="H34" i="169"/>
  <c r="E34" i="169"/>
  <c r="I34" i="169" s="1"/>
  <c r="AD33" i="169"/>
  <c r="AC33" i="169"/>
  <c r="AB33" i="169"/>
  <c r="AE33" i="169" s="1"/>
  <c r="AI33" i="169" s="1"/>
  <c r="Y33" i="169" s="1"/>
  <c r="Z33" i="169"/>
  <c r="X33" i="169"/>
  <c r="Q33" i="169"/>
  <c r="P33" i="169"/>
  <c r="I33" i="169"/>
  <c r="H33" i="169"/>
  <c r="E33" i="169"/>
  <c r="AE32" i="169"/>
  <c r="AI32" i="169" s="1"/>
  <c r="Y32" i="169" s="1"/>
  <c r="AD32" i="169"/>
  <c r="AC32" i="169"/>
  <c r="AB32" i="169"/>
  <c r="Z32" i="169"/>
  <c r="X32" i="169"/>
  <c r="Q32" i="169"/>
  <c r="P32" i="169"/>
  <c r="H32" i="169"/>
  <c r="E32" i="169"/>
  <c r="I32" i="169" s="1"/>
  <c r="AE31" i="169"/>
  <c r="AI31" i="169" s="1"/>
  <c r="Y31" i="169" s="1"/>
  <c r="Z31" i="169"/>
  <c r="X31" i="169"/>
  <c r="Q31" i="169"/>
  <c r="P31" i="169"/>
  <c r="I31" i="169"/>
  <c r="H31" i="169"/>
  <c r="E31" i="169"/>
  <c r="AD30" i="169"/>
  <c r="AC30" i="169"/>
  <c r="AB30" i="169"/>
  <c r="AE30" i="169" s="1"/>
  <c r="AI30" i="169" s="1"/>
  <c r="Y30" i="169" s="1"/>
  <c r="Z30" i="169"/>
  <c r="X30" i="169"/>
  <c r="Q30" i="169"/>
  <c r="P30" i="169"/>
  <c r="I30" i="169"/>
  <c r="H30" i="169"/>
  <c r="E30" i="169"/>
  <c r="AD29" i="169"/>
  <c r="AC29" i="169"/>
  <c r="AB29" i="169"/>
  <c r="AE29" i="169" s="1"/>
  <c r="AI29" i="169" s="1"/>
  <c r="Y29" i="169" s="1"/>
  <c r="Z29" i="169"/>
  <c r="X29" i="169"/>
  <c r="Q29" i="169"/>
  <c r="P29" i="169"/>
  <c r="I29" i="169"/>
  <c r="H29" i="169"/>
  <c r="E29" i="169"/>
  <c r="AD28" i="169"/>
  <c r="AC28" i="169"/>
  <c r="AB28" i="169"/>
  <c r="AE28" i="169" s="1"/>
  <c r="AI28" i="169" s="1"/>
  <c r="Y28" i="169" s="1"/>
  <c r="Z28" i="169"/>
  <c r="X28" i="169"/>
  <c r="Q28" i="169"/>
  <c r="P28" i="169"/>
  <c r="I28" i="169"/>
  <c r="H28" i="169"/>
  <c r="E28" i="169"/>
  <c r="AD27" i="169"/>
  <c r="AC27" i="169"/>
  <c r="AB27" i="169"/>
  <c r="AE27" i="169" s="1"/>
  <c r="AI27" i="169" s="1"/>
  <c r="Y27" i="169" s="1"/>
  <c r="Z27" i="169"/>
  <c r="X27" i="169"/>
  <c r="Q27" i="169"/>
  <c r="P27" i="169"/>
  <c r="H27" i="169"/>
  <c r="E27" i="169"/>
  <c r="I27" i="169" s="1"/>
  <c r="AE26" i="169"/>
  <c r="AI26" i="169" s="1"/>
  <c r="Y26" i="169" s="1"/>
  <c r="AD26" i="169"/>
  <c r="AC26" i="169"/>
  <c r="AB26" i="169"/>
  <c r="Z26" i="169"/>
  <c r="X26" i="169"/>
  <c r="Q26" i="169"/>
  <c r="P26" i="169"/>
  <c r="H26" i="169"/>
  <c r="E26" i="169"/>
  <c r="I26" i="169" s="1"/>
  <c r="AD25" i="169"/>
  <c r="AC25" i="169"/>
  <c r="AB25" i="169"/>
  <c r="AE25" i="169" s="1"/>
  <c r="AI25" i="169" s="1"/>
  <c r="Y25" i="169" s="1"/>
  <c r="Z25" i="169"/>
  <c r="X25" i="169"/>
  <c r="Q25" i="169"/>
  <c r="P25" i="169"/>
  <c r="I25" i="169"/>
  <c r="H25" i="169"/>
  <c r="E25" i="169"/>
  <c r="AD24" i="169"/>
  <c r="AC24" i="169"/>
  <c r="AB24" i="169"/>
  <c r="AE24" i="169" s="1"/>
  <c r="AI24" i="169" s="1"/>
  <c r="Y24" i="169" s="1"/>
  <c r="Z24" i="169"/>
  <c r="X24" i="169"/>
  <c r="Q24" i="169"/>
  <c r="P24" i="169"/>
  <c r="H24" i="169"/>
  <c r="E24" i="169"/>
  <c r="I24" i="169" s="1"/>
  <c r="AD23" i="169"/>
  <c r="AC23" i="169"/>
  <c r="AB23" i="169"/>
  <c r="AE23" i="169" s="1"/>
  <c r="AI23" i="169" s="1"/>
  <c r="Y23" i="169" s="1"/>
  <c r="Z23" i="169"/>
  <c r="X23" i="169"/>
  <c r="Q23" i="169"/>
  <c r="P23" i="169"/>
  <c r="I23" i="169"/>
  <c r="H23" i="169"/>
  <c r="E23" i="169"/>
  <c r="AD22" i="169"/>
  <c r="AE22" i="169" s="1"/>
  <c r="AI22" i="169" s="1"/>
  <c r="Y22" i="169" s="1"/>
  <c r="AC22" i="169"/>
  <c r="AB22" i="169"/>
  <c r="Z22" i="169"/>
  <c r="X22" i="169"/>
  <c r="Q22" i="169"/>
  <c r="P22" i="169"/>
  <c r="H22" i="169"/>
  <c r="E22" i="169"/>
  <c r="I22" i="169" s="1"/>
  <c r="AD21" i="169"/>
  <c r="AE21" i="169" s="1"/>
  <c r="AI21" i="169" s="1"/>
  <c r="Y21" i="169" s="1"/>
  <c r="AC21" i="169"/>
  <c r="AB21" i="169"/>
  <c r="Z21" i="169"/>
  <c r="X21" i="169"/>
  <c r="Q21" i="169"/>
  <c r="P21" i="169"/>
  <c r="H21" i="169"/>
  <c r="E21" i="169"/>
  <c r="I21" i="169" s="1"/>
  <c r="AD20" i="169"/>
  <c r="AC20" i="169"/>
  <c r="AB20" i="169"/>
  <c r="AE20" i="169" s="1"/>
  <c r="AI20" i="169" s="1"/>
  <c r="Y20" i="169" s="1"/>
  <c r="Z20" i="169"/>
  <c r="X20" i="169"/>
  <c r="Q20" i="169"/>
  <c r="P20" i="169"/>
  <c r="H20" i="169"/>
  <c r="E20" i="169"/>
  <c r="I20" i="169" s="1"/>
  <c r="AD19" i="169"/>
  <c r="AC19" i="169"/>
  <c r="AB19" i="169"/>
  <c r="AE19" i="169" s="1"/>
  <c r="AI19" i="169" s="1"/>
  <c r="Y19" i="169" s="1"/>
  <c r="Z19" i="169"/>
  <c r="X19" i="169"/>
  <c r="Q19" i="169"/>
  <c r="P19" i="169"/>
  <c r="I19" i="169"/>
  <c r="H19" i="169"/>
  <c r="E19" i="169"/>
  <c r="AD18" i="169"/>
  <c r="AC18" i="169"/>
  <c r="AB18" i="169"/>
  <c r="AE18" i="169" s="1"/>
  <c r="AI18" i="169" s="1"/>
  <c r="Y18" i="169" s="1"/>
  <c r="Z18" i="169"/>
  <c r="X18" i="169"/>
  <c r="Q18" i="169"/>
  <c r="P18" i="169"/>
  <c r="I18" i="169"/>
  <c r="H18" i="169"/>
  <c r="E18" i="169"/>
  <c r="AE17" i="169"/>
  <c r="AI17" i="169" s="1"/>
  <c r="Y17" i="169" s="1"/>
  <c r="AD17" i="169"/>
  <c r="AC17" i="169"/>
  <c r="AB17" i="169"/>
  <c r="Z17" i="169"/>
  <c r="X17" i="169"/>
  <c r="Q17" i="169"/>
  <c r="P17" i="169"/>
  <c r="H17" i="169"/>
  <c r="E17" i="169"/>
  <c r="I17" i="169" s="1"/>
  <c r="AE16" i="169"/>
  <c r="AI16" i="169" s="1"/>
  <c r="Y16" i="169" s="1"/>
  <c r="AD16" i="169"/>
  <c r="AC16" i="169"/>
  <c r="AB16" i="169"/>
  <c r="Z16" i="169"/>
  <c r="X16" i="169"/>
  <c r="Q16" i="169"/>
  <c r="P16" i="169"/>
  <c r="E16" i="169"/>
  <c r="I16" i="169" s="1"/>
  <c r="AD15" i="169"/>
  <c r="AC15" i="169"/>
  <c r="AB15" i="169"/>
  <c r="AE15" i="169" s="1"/>
  <c r="AI15" i="169" s="1"/>
  <c r="Y15" i="169" s="1"/>
  <c r="Z15" i="169"/>
  <c r="X15" i="169"/>
  <c r="Q15" i="169"/>
  <c r="P15" i="169"/>
  <c r="E15" i="169"/>
  <c r="I15" i="169" s="1"/>
  <c r="AD14" i="169"/>
  <c r="AC14" i="169"/>
  <c r="AB14" i="169"/>
  <c r="AE14" i="169" s="1"/>
  <c r="AI14" i="169" s="1"/>
  <c r="Y14" i="169" s="1"/>
  <c r="Z14" i="169"/>
  <c r="X14" i="169"/>
  <c r="Q14" i="169"/>
  <c r="O75" i="169" s="1"/>
  <c r="P14" i="169"/>
  <c r="H14" i="169"/>
  <c r="E14" i="169"/>
  <c r="I14" i="169" s="1"/>
  <c r="AD13" i="169"/>
  <c r="AC13" i="169"/>
  <c r="AB13" i="169"/>
  <c r="AE13" i="169" s="1"/>
  <c r="AI13" i="169" s="1"/>
  <c r="Y13" i="169" s="1"/>
  <c r="Z13" i="169"/>
  <c r="X13" i="169"/>
  <c r="Q13" i="169"/>
  <c r="P13" i="169"/>
  <c r="H13" i="169"/>
  <c r="E13" i="169"/>
  <c r="I13" i="169" s="1"/>
  <c r="AD12" i="169"/>
  <c r="AC12" i="169"/>
  <c r="AE12" i="169" s="1"/>
  <c r="AI12" i="169" s="1"/>
  <c r="Y12" i="169" s="1"/>
  <c r="AB12" i="169"/>
  <c r="Z12" i="169"/>
  <c r="X12" i="169"/>
  <c r="Q12" i="169"/>
  <c r="O73" i="169" s="1"/>
  <c r="P12" i="169"/>
  <c r="H12" i="169"/>
  <c r="E12" i="169"/>
  <c r="I12" i="169" s="1"/>
  <c r="T79" i="171" l="1"/>
  <c r="F77" i="171" s="1"/>
  <c r="T79" i="170"/>
  <c r="F77" i="170"/>
  <c r="T75" i="169"/>
  <c r="T77" i="169"/>
  <c r="F75" i="169"/>
  <c r="F73" i="169"/>
  <c r="T73" i="169"/>
  <c r="M79" i="168"/>
  <c r="W73" i="168"/>
  <c r="P71" i="168"/>
  <c r="H71" i="168"/>
  <c r="Q70" i="168"/>
  <c r="P70" i="168"/>
  <c r="I70" i="168"/>
  <c r="H70" i="168"/>
  <c r="E70" i="168"/>
  <c r="Q69" i="168"/>
  <c r="P69" i="168"/>
  <c r="I69" i="168"/>
  <c r="H69" i="168"/>
  <c r="E69" i="168"/>
  <c r="AD68" i="168"/>
  <c r="AC68" i="168"/>
  <c r="AB68" i="168"/>
  <c r="AE68" i="168" s="1"/>
  <c r="AI68" i="168" s="1"/>
  <c r="Y68" i="168" s="1"/>
  <c r="Z68" i="168"/>
  <c r="X68" i="168"/>
  <c r="W68" i="168"/>
  <c r="Q68" i="168"/>
  <c r="P68" i="168"/>
  <c r="H68" i="168"/>
  <c r="E68" i="168"/>
  <c r="I68" i="168" s="1"/>
  <c r="AD67" i="168"/>
  <c r="AC67" i="168"/>
  <c r="AB67" i="168"/>
  <c r="AE67" i="168" s="1"/>
  <c r="AI67" i="168" s="1"/>
  <c r="Y67" i="168" s="1"/>
  <c r="Z67" i="168"/>
  <c r="X67" i="168"/>
  <c r="Q67" i="168"/>
  <c r="P67" i="168"/>
  <c r="I67" i="168"/>
  <c r="H67" i="168"/>
  <c r="E67" i="168"/>
  <c r="AD66" i="168"/>
  <c r="AC66" i="168"/>
  <c r="AE66" i="168" s="1"/>
  <c r="AI66" i="168" s="1"/>
  <c r="Y66" i="168" s="1"/>
  <c r="AB66" i="168"/>
  <c r="Z66" i="168"/>
  <c r="X66" i="168"/>
  <c r="Q66" i="168"/>
  <c r="P66" i="168"/>
  <c r="I66" i="168"/>
  <c r="H66" i="168"/>
  <c r="E66" i="168"/>
  <c r="AI65" i="168"/>
  <c r="Y65" i="168" s="1"/>
  <c r="AE65" i="168"/>
  <c r="AD65" i="168"/>
  <c r="AC65" i="168"/>
  <c r="AB65" i="168"/>
  <c r="Z65" i="168"/>
  <c r="X65" i="168"/>
  <c r="Q65" i="168"/>
  <c r="P65" i="168"/>
  <c r="H65" i="168"/>
  <c r="E65" i="168"/>
  <c r="I65" i="168" s="1"/>
  <c r="AD64" i="168"/>
  <c r="AC64" i="168"/>
  <c r="AB64" i="168"/>
  <c r="AE64" i="168" s="1"/>
  <c r="AI64" i="168" s="1"/>
  <c r="Y64" i="168" s="1"/>
  <c r="Z64" i="168"/>
  <c r="X64" i="168"/>
  <c r="Q64" i="168"/>
  <c r="P64" i="168"/>
  <c r="H64" i="168"/>
  <c r="E64" i="168"/>
  <c r="I64" i="168" s="1"/>
  <c r="AE63" i="168"/>
  <c r="AI63" i="168" s="1"/>
  <c r="Y63" i="168" s="1"/>
  <c r="AD63" i="168"/>
  <c r="AC63" i="168"/>
  <c r="AB63" i="168"/>
  <c r="Z63" i="168"/>
  <c r="X63" i="168"/>
  <c r="Q63" i="168"/>
  <c r="P63" i="168"/>
  <c r="H63" i="168"/>
  <c r="E63" i="168"/>
  <c r="I63" i="168" s="1"/>
  <c r="AD62" i="168"/>
  <c r="AC62" i="168"/>
  <c r="AB62" i="168"/>
  <c r="AE62" i="168" s="1"/>
  <c r="AI62" i="168" s="1"/>
  <c r="Y62" i="168" s="1"/>
  <c r="Z62" i="168"/>
  <c r="X62" i="168"/>
  <c r="Q62" i="168"/>
  <c r="P62" i="168"/>
  <c r="I62" i="168"/>
  <c r="H62" i="168"/>
  <c r="E62" i="168"/>
  <c r="AE61" i="168"/>
  <c r="AI61" i="168" s="1"/>
  <c r="Y61" i="168" s="1"/>
  <c r="AC61" i="168"/>
  <c r="AB61" i="168"/>
  <c r="X61" i="168"/>
  <c r="Q61" i="168"/>
  <c r="P61" i="168"/>
  <c r="I61" i="168"/>
  <c r="H61" i="168"/>
  <c r="E61" i="168"/>
  <c r="AE60" i="168"/>
  <c r="AI60" i="168" s="1"/>
  <c r="Y60" i="168" s="1"/>
  <c r="X60" i="168"/>
  <c r="Q60" i="168"/>
  <c r="P60" i="168"/>
  <c r="I60" i="168"/>
  <c r="H60" i="168"/>
  <c r="E60" i="168"/>
  <c r="AC59" i="168"/>
  <c r="AB59" i="168"/>
  <c r="AE59" i="168" s="1"/>
  <c r="AI59" i="168" s="1"/>
  <c r="Y59" i="168" s="1"/>
  <c r="X59" i="168"/>
  <c r="Q59" i="168"/>
  <c r="P59" i="168"/>
  <c r="I59" i="168"/>
  <c r="H59" i="168"/>
  <c r="E59" i="168"/>
  <c r="AC58" i="168"/>
  <c r="AB58" i="168"/>
  <c r="AE58" i="168" s="1"/>
  <c r="AI58" i="168" s="1"/>
  <c r="Y58" i="168" s="1"/>
  <c r="X58" i="168"/>
  <c r="Q58" i="168"/>
  <c r="P58" i="168"/>
  <c r="I58" i="168"/>
  <c r="E58" i="168"/>
  <c r="AC57" i="168"/>
  <c r="AB57" i="168"/>
  <c r="AE57" i="168" s="1"/>
  <c r="AI57" i="168" s="1"/>
  <c r="Y57" i="168" s="1"/>
  <c r="X57" i="168"/>
  <c r="Q57" i="168"/>
  <c r="P57" i="168"/>
  <c r="I57" i="168"/>
  <c r="H57" i="168"/>
  <c r="E57" i="168"/>
  <c r="AD56" i="168"/>
  <c r="AC56" i="168"/>
  <c r="AB56" i="168"/>
  <c r="AE56" i="168" s="1"/>
  <c r="AI56" i="168" s="1"/>
  <c r="Y56" i="168" s="1"/>
  <c r="Z56" i="168"/>
  <c r="X56" i="168"/>
  <c r="Q56" i="168"/>
  <c r="P56" i="168"/>
  <c r="I56" i="168"/>
  <c r="H56" i="168"/>
  <c r="E56" i="168"/>
  <c r="AD55" i="168"/>
  <c r="AC55" i="168"/>
  <c r="AB55" i="168"/>
  <c r="AE55" i="168" s="1"/>
  <c r="AI55" i="168" s="1"/>
  <c r="Y55" i="168" s="1"/>
  <c r="Z55" i="168"/>
  <c r="X55" i="168"/>
  <c r="Q55" i="168"/>
  <c r="P55" i="168"/>
  <c r="H55" i="168"/>
  <c r="E55" i="168"/>
  <c r="I55" i="168" s="1"/>
  <c r="AD54" i="168"/>
  <c r="AC54" i="168"/>
  <c r="AB54" i="168"/>
  <c r="AE54" i="168" s="1"/>
  <c r="AI54" i="168" s="1"/>
  <c r="Y54" i="168" s="1"/>
  <c r="Z54" i="168"/>
  <c r="X54" i="168"/>
  <c r="Q54" i="168"/>
  <c r="P54" i="168"/>
  <c r="I54" i="168"/>
  <c r="H54" i="168"/>
  <c r="E54" i="168"/>
  <c r="AE53" i="168"/>
  <c r="AI53" i="168" s="1"/>
  <c r="Y53" i="168" s="1"/>
  <c r="AD53" i="168"/>
  <c r="AC53" i="168"/>
  <c r="AB53" i="168"/>
  <c r="Z53" i="168"/>
  <c r="X53" i="168"/>
  <c r="Q53" i="168"/>
  <c r="P53" i="168"/>
  <c r="H53" i="168"/>
  <c r="E53" i="168"/>
  <c r="I53" i="168" s="1"/>
  <c r="AE52" i="168"/>
  <c r="AI52" i="168" s="1"/>
  <c r="Y52" i="168" s="1"/>
  <c r="Z52" i="168"/>
  <c r="X52" i="168"/>
  <c r="Q52" i="168"/>
  <c r="P52" i="168"/>
  <c r="H52" i="168"/>
  <c r="E52" i="168"/>
  <c r="I52" i="168" s="1"/>
  <c r="AD51" i="168"/>
  <c r="AC51" i="168"/>
  <c r="AB51" i="168"/>
  <c r="AE51" i="168" s="1"/>
  <c r="AI51" i="168" s="1"/>
  <c r="Y51" i="168" s="1"/>
  <c r="Z51" i="168"/>
  <c r="X51" i="168"/>
  <c r="Q51" i="168"/>
  <c r="P51" i="168"/>
  <c r="I51" i="168"/>
  <c r="H51" i="168"/>
  <c r="E51" i="168"/>
  <c r="AD50" i="168"/>
  <c r="AC50" i="168"/>
  <c r="AE50" i="168" s="1"/>
  <c r="AI50" i="168" s="1"/>
  <c r="Y50" i="168" s="1"/>
  <c r="AB50" i="168"/>
  <c r="Z50" i="168"/>
  <c r="X50" i="168"/>
  <c r="Q50" i="168"/>
  <c r="P50" i="168"/>
  <c r="I50" i="168"/>
  <c r="H50" i="168"/>
  <c r="E50" i="168"/>
  <c r="AI49" i="168"/>
  <c r="Y49" i="168" s="1"/>
  <c r="AE49" i="168"/>
  <c r="Z49" i="168"/>
  <c r="X49" i="168"/>
  <c r="Q49" i="168"/>
  <c r="P49" i="168"/>
  <c r="H49" i="168"/>
  <c r="E49" i="168"/>
  <c r="I49" i="168" s="1"/>
  <c r="AE48" i="168"/>
  <c r="AI48" i="168" s="1"/>
  <c r="Y48" i="168" s="1"/>
  <c r="Z48" i="168"/>
  <c r="X48" i="168"/>
  <c r="Q48" i="168"/>
  <c r="P48" i="168"/>
  <c r="I48" i="168"/>
  <c r="H48" i="168"/>
  <c r="E48" i="168"/>
  <c r="AE47" i="168"/>
  <c r="AI47" i="168" s="1"/>
  <c r="Y47" i="168" s="1"/>
  <c r="Z47" i="168"/>
  <c r="X47" i="168"/>
  <c r="Q47" i="168"/>
  <c r="P47" i="168"/>
  <c r="I47" i="168"/>
  <c r="H47" i="168"/>
  <c r="E47" i="168"/>
  <c r="AD46" i="168"/>
  <c r="AC46" i="168"/>
  <c r="AE46" i="168" s="1"/>
  <c r="AI46" i="168" s="1"/>
  <c r="Y46" i="168" s="1"/>
  <c r="AB46" i="168"/>
  <c r="Z46" i="168"/>
  <c r="X46" i="168"/>
  <c r="Q46" i="168"/>
  <c r="P46" i="168"/>
  <c r="I46" i="168"/>
  <c r="H46" i="168"/>
  <c r="E46" i="168"/>
  <c r="AD45" i="168"/>
  <c r="AE45" i="168" s="1"/>
  <c r="AI45" i="168" s="1"/>
  <c r="Y45" i="168" s="1"/>
  <c r="AC45" i="168"/>
  <c r="AB45" i="168"/>
  <c r="Z45" i="168"/>
  <c r="X45" i="168"/>
  <c r="Q45" i="168"/>
  <c r="P45" i="168"/>
  <c r="I45" i="168"/>
  <c r="H45" i="168"/>
  <c r="E45" i="168"/>
  <c r="AD44" i="168"/>
  <c r="AC44" i="168"/>
  <c r="AB44" i="168"/>
  <c r="AE44" i="168" s="1"/>
  <c r="AI44" i="168" s="1"/>
  <c r="Y44" i="168" s="1"/>
  <c r="Z44" i="168"/>
  <c r="X44" i="168"/>
  <c r="Q44" i="168"/>
  <c r="P44" i="168"/>
  <c r="I44" i="168"/>
  <c r="H44" i="168"/>
  <c r="E44" i="168"/>
  <c r="AE43" i="168"/>
  <c r="AI43" i="168" s="1"/>
  <c r="Y43" i="168" s="1"/>
  <c r="AD43" i="168"/>
  <c r="AC43" i="168"/>
  <c r="AB43" i="168"/>
  <c r="Z43" i="168"/>
  <c r="X43" i="168"/>
  <c r="Q43" i="168"/>
  <c r="P43" i="168"/>
  <c r="H43" i="168"/>
  <c r="E43" i="168"/>
  <c r="I43" i="168" s="1"/>
  <c r="AD42" i="168"/>
  <c r="AC42" i="168"/>
  <c r="AB42" i="168"/>
  <c r="AE42" i="168" s="1"/>
  <c r="AI42" i="168" s="1"/>
  <c r="Y42" i="168" s="1"/>
  <c r="Z42" i="168"/>
  <c r="X42" i="168"/>
  <c r="Q42" i="168"/>
  <c r="P42" i="168"/>
  <c r="I42" i="168"/>
  <c r="H42" i="168"/>
  <c r="E42" i="168"/>
  <c r="AE41" i="168"/>
  <c r="AI41" i="168" s="1"/>
  <c r="Y41" i="168" s="1"/>
  <c r="AD41" i="168"/>
  <c r="AC41" i="168"/>
  <c r="AB41" i="168"/>
  <c r="Z41" i="168"/>
  <c r="X41" i="168"/>
  <c r="Q41" i="168"/>
  <c r="P41" i="168"/>
  <c r="H41" i="168"/>
  <c r="E41" i="168"/>
  <c r="I41" i="168" s="1"/>
  <c r="AD40" i="168"/>
  <c r="AC40" i="168"/>
  <c r="AB40" i="168"/>
  <c r="AE40" i="168" s="1"/>
  <c r="AI40" i="168" s="1"/>
  <c r="Y40" i="168" s="1"/>
  <c r="Z40" i="168"/>
  <c r="X40" i="168"/>
  <c r="Q40" i="168"/>
  <c r="P40" i="168"/>
  <c r="I40" i="168"/>
  <c r="H40" i="168"/>
  <c r="E40" i="168"/>
  <c r="AD39" i="168"/>
  <c r="AC39" i="168"/>
  <c r="AB39" i="168"/>
  <c r="AE39" i="168" s="1"/>
  <c r="AI39" i="168" s="1"/>
  <c r="Y39" i="168" s="1"/>
  <c r="Z39" i="168"/>
  <c r="X39" i="168"/>
  <c r="Q39" i="168"/>
  <c r="P39" i="168"/>
  <c r="H39" i="168"/>
  <c r="E39" i="168"/>
  <c r="I39" i="168" s="1"/>
  <c r="AD38" i="168"/>
  <c r="AC38" i="168"/>
  <c r="AB38" i="168"/>
  <c r="AE38" i="168" s="1"/>
  <c r="AI38" i="168" s="1"/>
  <c r="Y38" i="168" s="1"/>
  <c r="Z38" i="168"/>
  <c r="X38" i="168"/>
  <c r="Q38" i="168"/>
  <c r="P38" i="168"/>
  <c r="I38" i="168"/>
  <c r="H38" i="168"/>
  <c r="E38" i="168"/>
  <c r="AD37" i="168"/>
  <c r="AC37" i="168"/>
  <c r="AE37" i="168" s="1"/>
  <c r="AI37" i="168" s="1"/>
  <c r="Y37" i="168" s="1"/>
  <c r="AB37" i="168"/>
  <c r="Z37" i="168"/>
  <c r="X37" i="168"/>
  <c r="Q37" i="168"/>
  <c r="P37" i="168"/>
  <c r="I37" i="168"/>
  <c r="H37" i="168"/>
  <c r="E37" i="168"/>
  <c r="AI36" i="168"/>
  <c r="Y36" i="168" s="1"/>
  <c r="AE36" i="168"/>
  <c r="AD36" i="168"/>
  <c r="AC36" i="168"/>
  <c r="AB36" i="168"/>
  <c r="Z36" i="168"/>
  <c r="X36" i="168"/>
  <c r="Q36" i="168"/>
  <c r="P36" i="168"/>
  <c r="H36" i="168"/>
  <c r="E36" i="168"/>
  <c r="I36" i="168" s="1"/>
  <c r="AD35" i="168"/>
  <c r="AC35" i="168"/>
  <c r="AB35" i="168"/>
  <c r="AE35" i="168" s="1"/>
  <c r="AI35" i="168" s="1"/>
  <c r="Y35" i="168" s="1"/>
  <c r="Z35" i="168"/>
  <c r="X35" i="168"/>
  <c r="Q35" i="168"/>
  <c r="P35" i="168"/>
  <c r="H35" i="168"/>
  <c r="E35" i="168"/>
  <c r="I35" i="168" s="1"/>
  <c r="AE34" i="168"/>
  <c r="AI34" i="168" s="1"/>
  <c r="Y34" i="168" s="1"/>
  <c r="AD34" i="168"/>
  <c r="AC34" i="168"/>
  <c r="AB34" i="168"/>
  <c r="Z34" i="168"/>
  <c r="X34" i="168"/>
  <c r="Q34" i="168"/>
  <c r="P34" i="168"/>
  <c r="H34" i="168"/>
  <c r="E34" i="168"/>
  <c r="I34" i="168" s="1"/>
  <c r="AD33" i="168"/>
  <c r="AC33" i="168"/>
  <c r="AB33" i="168"/>
  <c r="AE33" i="168" s="1"/>
  <c r="AI33" i="168" s="1"/>
  <c r="Y33" i="168" s="1"/>
  <c r="Z33" i="168"/>
  <c r="X33" i="168"/>
  <c r="Q33" i="168"/>
  <c r="P33" i="168"/>
  <c r="I33" i="168"/>
  <c r="H33" i="168"/>
  <c r="E33" i="168"/>
  <c r="AE32" i="168"/>
  <c r="AI32" i="168" s="1"/>
  <c r="Y32" i="168" s="1"/>
  <c r="AD32" i="168"/>
  <c r="AC32" i="168"/>
  <c r="AB32" i="168"/>
  <c r="Z32" i="168"/>
  <c r="X32" i="168"/>
  <c r="Q32" i="168"/>
  <c r="P32" i="168"/>
  <c r="H32" i="168"/>
  <c r="E32" i="168"/>
  <c r="I32" i="168" s="1"/>
  <c r="AI31" i="168"/>
  <c r="Y31" i="168" s="1"/>
  <c r="AE31" i="168"/>
  <c r="Z31" i="168"/>
  <c r="X31" i="168"/>
  <c r="Q31" i="168"/>
  <c r="P31" i="168"/>
  <c r="I31" i="168"/>
  <c r="H31" i="168"/>
  <c r="E31" i="168"/>
  <c r="AD30" i="168"/>
  <c r="AE30" i="168" s="1"/>
  <c r="AI30" i="168" s="1"/>
  <c r="Y30" i="168" s="1"/>
  <c r="AC30" i="168"/>
  <c r="AB30" i="168"/>
  <c r="Z30" i="168"/>
  <c r="X30" i="168"/>
  <c r="Q30" i="168"/>
  <c r="P30" i="168"/>
  <c r="I30" i="168"/>
  <c r="H30" i="168"/>
  <c r="E30" i="168"/>
  <c r="AD29" i="168"/>
  <c r="AC29" i="168"/>
  <c r="AB29" i="168"/>
  <c r="AE29" i="168" s="1"/>
  <c r="AI29" i="168" s="1"/>
  <c r="Y29" i="168" s="1"/>
  <c r="Z29" i="168"/>
  <c r="X29" i="168"/>
  <c r="Q29" i="168"/>
  <c r="P29" i="168"/>
  <c r="I29" i="168"/>
  <c r="H29" i="168"/>
  <c r="E29" i="168"/>
  <c r="AE28" i="168"/>
  <c r="AI28" i="168" s="1"/>
  <c r="Y28" i="168" s="1"/>
  <c r="AD28" i="168"/>
  <c r="AC28" i="168"/>
  <c r="AB28" i="168"/>
  <c r="Z28" i="168"/>
  <c r="X28" i="168"/>
  <c r="Q28" i="168"/>
  <c r="P28" i="168"/>
  <c r="H28" i="168"/>
  <c r="E28" i="168"/>
  <c r="I28" i="168" s="1"/>
  <c r="AD27" i="168"/>
  <c r="AC27" i="168"/>
  <c r="AB27" i="168"/>
  <c r="AE27" i="168" s="1"/>
  <c r="AI27" i="168" s="1"/>
  <c r="Y27" i="168" s="1"/>
  <c r="Z27" i="168"/>
  <c r="X27" i="168"/>
  <c r="Q27" i="168"/>
  <c r="P27" i="168"/>
  <c r="I27" i="168"/>
  <c r="H27" i="168"/>
  <c r="E27" i="168"/>
  <c r="AE26" i="168"/>
  <c r="AI26" i="168" s="1"/>
  <c r="Y26" i="168" s="1"/>
  <c r="AD26" i="168"/>
  <c r="AC26" i="168"/>
  <c r="AB26" i="168"/>
  <c r="Z26" i="168"/>
  <c r="X26" i="168"/>
  <c r="Q26" i="168"/>
  <c r="P26" i="168"/>
  <c r="H26" i="168"/>
  <c r="E26" i="168"/>
  <c r="I26" i="168" s="1"/>
  <c r="AD25" i="168"/>
  <c r="AC25" i="168"/>
  <c r="AB25" i="168"/>
  <c r="AE25" i="168" s="1"/>
  <c r="AI25" i="168" s="1"/>
  <c r="Y25" i="168" s="1"/>
  <c r="Z25" i="168"/>
  <c r="X25" i="168"/>
  <c r="Q25" i="168"/>
  <c r="P25" i="168"/>
  <c r="I25" i="168"/>
  <c r="H25" i="168"/>
  <c r="E25" i="168"/>
  <c r="AD24" i="168"/>
  <c r="AC24" i="168"/>
  <c r="AB24" i="168"/>
  <c r="AE24" i="168" s="1"/>
  <c r="AI24" i="168" s="1"/>
  <c r="Y24" i="168" s="1"/>
  <c r="Z24" i="168"/>
  <c r="X24" i="168"/>
  <c r="Q24" i="168"/>
  <c r="P24" i="168"/>
  <c r="H24" i="168"/>
  <c r="E24" i="168"/>
  <c r="I24" i="168" s="1"/>
  <c r="AD23" i="168"/>
  <c r="AC23" i="168"/>
  <c r="AB23" i="168"/>
  <c r="AE23" i="168" s="1"/>
  <c r="AI23" i="168" s="1"/>
  <c r="Y23" i="168" s="1"/>
  <c r="Z23" i="168"/>
  <c r="X23" i="168"/>
  <c r="Q23" i="168"/>
  <c r="P23" i="168"/>
  <c r="I23" i="168"/>
  <c r="H23" i="168"/>
  <c r="E23" i="168"/>
  <c r="AD22" i="168"/>
  <c r="AC22" i="168"/>
  <c r="AE22" i="168" s="1"/>
  <c r="AI22" i="168" s="1"/>
  <c r="Y22" i="168" s="1"/>
  <c r="AB22" i="168"/>
  <c r="Z22" i="168"/>
  <c r="X22" i="168"/>
  <c r="Q22" i="168"/>
  <c r="P22" i="168"/>
  <c r="I22" i="168"/>
  <c r="H22" i="168"/>
  <c r="E22" i="168"/>
  <c r="AI21" i="168"/>
  <c r="Y21" i="168" s="1"/>
  <c r="AE21" i="168"/>
  <c r="AD21" i="168"/>
  <c r="AC21" i="168"/>
  <c r="AB21" i="168"/>
  <c r="Z21" i="168"/>
  <c r="X21" i="168"/>
  <c r="Q21" i="168"/>
  <c r="P21" i="168"/>
  <c r="H21" i="168"/>
  <c r="E21" i="168"/>
  <c r="I21" i="168" s="1"/>
  <c r="AD20" i="168"/>
  <c r="AC20" i="168"/>
  <c r="AB20" i="168"/>
  <c r="AE20" i="168" s="1"/>
  <c r="AI20" i="168" s="1"/>
  <c r="Y20" i="168" s="1"/>
  <c r="Z20" i="168"/>
  <c r="X20" i="168"/>
  <c r="Q20" i="168"/>
  <c r="P20" i="168"/>
  <c r="H20" i="168"/>
  <c r="E20" i="168"/>
  <c r="I20" i="168" s="1"/>
  <c r="AE19" i="168"/>
  <c r="AI19" i="168" s="1"/>
  <c r="Y19" i="168" s="1"/>
  <c r="AD19" i="168"/>
  <c r="AC19" i="168"/>
  <c r="AB19" i="168"/>
  <c r="Z19" i="168"/>
  <c r="X19" i="168"/>
  <c r="Q19" i="168"/>
  <c r="P19" i="168"/>
  <c r="H19" i="168"/>
  <c r="E19" i="168"/>
  <c r="I19" i="168" s="1"/>
  <c r="AD18" i="168"/>
  <c r="AC18" i="168"/>
  <c r="AB18" i="168"/>
  <c r="AE18" i="168" s="1"/>
  <c r="AI18" i="168" s="1"/>
  <c r="Y18" i="168" s="1"/>
  <c r="Z18" i="168"/>
  <c r="X18" i="168"/>
  <c r="Q18" i="168"/>
  <c r="P18" i="168"/>
  <c r="I18" i="168"/>
  <c r="H18" i="168"/>
  <c r="E18" i="168"/>
  <c r="AD17" i="168"/>
  <c r="AE17" i="168" s="1"/>
  <c r="AI17" i="168" s="1"/>
  <c r="Y17" i="168" s="1"/>
  <c r="AC17" i="168"/>
  <c r="AB17" i="168"/>
  <c r="Z17" i="168"/>
  <c r="X17" i="168"/>
  <c r="Q17" i="168"/>
  <c r="P17" i="168"/>
  <c r="H17" i="168"/>
  <c r="E17" i="168"/>
  <c r="I17" i="168" s="1"/>
  <c r="AD16" i="168"/>
  <c r="AC16" i="168"/>
  <c r="AB16" i="168"/>
  <c r="AE16" i="168" s="1"/>
  <c r="AI16" i="168" s="1"/>
  <c r="Y16" i="168" s="1"/>
  <c r="Z16" i="168"/>
  <c r="X16" i="168"/>
  <c r="Q16" i="168"/>
  <c r="P16" i="168"/>
  <c r="I16" i="168"/>
  <c r="E16" i="168"/>
  <c r="AD15" i="168"/>
  <c r="AC15" i="168"/>
  <c r="AB15" i="168"/>
  <c r="AE15" i="168" s="1"/>
  <c r="AI15" i="168" s="1"/>
  <c r="Y15" i="168" s="1"/>
  <c r="Z15" i="168"/>
  <c r="X15" i="168"/>
  <c r="Q15" i="168"/>
  <c r="P15" i="168"/>
  <c r="E15" i="168"/>
  <c r="I15" i="168" s="1"/>
  <c r="AD14" i="168"/>
  <c r="AC14" i="168"/>
  <c r="AB14" i="168"/>
  <c r="AE14" i="168" s="1"/>
  <c r="AI14" i="168" s="1"/>
  <c r="Y14" i="168" s="1"/>
  <c r="Z14" i="168"/>
  <c r="X14" i="168"/>
  <c r="Q14" i="168"/>
  <c r="O75" i="168" s="1"/>
  <c r="P14" i="168"/>
  <c r="H14" i="168"/>
  <c r="E14" i="168"/>
  <c r="I14" i="168" s="1"/>
  <c r="AD13" i="168"/>
  <c r="AC13" i="168"/>
  <c r="AB13" i="168"/>
  <c r="AE13" i="168" s="1"/>
  <c r="AI13" i="168" s="1"/>
  <c r="Y13" i="168" s="1"/>
  <c r="Z13" i="168"/>
  <c r="X13" i="168"/>
  <c r="Q13" i="168"/>
  <c r="P13" i="168"/>
  <c r="I13" i="168"/>
  <c r="H13" i="168"/>
  <c r="E13" i="168"/>
  <c r="AD12" i="168"/>
  <c r="AC12" i="168"/>
  <c r="AE12" i="168" s="1"/>
  <c r="AI12" i="168" s="1"/>
  <c r="Y12" i="168" s="1"/>
  <c r="AB12" i="168"/>
  <c r="Z12" i="168"/>
  <c r="X12" i="168"/>
  <c r="Q12" i="168"/>
  <c r="O73" i="168" s="1"/>
  <c r="P12" i="168"/>
  <c r="I12" i="168"/>
  <c r="H12" i="168"/>
  <c r="E12" i="168"/>
  <c r="M79" i="167"/>
  <c r="W73" i="167"/>
  <c r="P71" i="167"/>
  <c r="H71" i="167"/>
  <c r="Q70" i="167"/>
  <c r="P70" i="167"/>
  <c r="H70" i="167"/>
  <c r="E70" i="167"/>
  <c r="I70" i="167" s="1"/>
  <c r="Q69" i="167"/>
  <c r="P69" i="167"/>
  <c r="H69" i="167"/>
  <c r="E69" i="167"/>
  <c r="I69" i="167" s="1"/>
  <c r="AD68" i="167"/>
  <c r="AC68" i="167"/>
  <c r="AB68" i="167"/>
  <c r="AE68" i="167" s="1"/>
  <c r="AI68" i="167" s="1"/>
  <c r="Y68" i="167" s="1"/>
  <c r="Z68" i="167"/>
  <c r="X68" i="167"/>
  <c r="W68" i="167"/>
  <c r="Q68" i="167"/>
  <c r="P68" i="167"/>
  <c r="I68" i="167"/>
  <c r="H68" i="167"/>
  <c r="E68" i="167"/>
  <c r="AD67" i="167"/>
  <c r="AC67" i="167"/>
  <c r="AB67" i="167"/>
  <c r="AE67" i="167" s="1"/>
  <c r="AI67" i="167" s="1"/>
  <c r="Y67" i="167" s="1"/>
  <c r="Z67" i="167"/>
  <c r="X67" i="167"/>
  <c r="Q67" i="167"/>
  <c r="P67" i="167"/>
  <c r="H67" i="167"/>
  <c r="E67" i="167"/>
  <c r="I67" i="167" s="1"/>
  <c r="AE66" i="167"/>
  <c r="AI66" i="167" s="1"/>
  <c r="Y66" i="167" s="1"/>
  <c r="AD66" i="167"/>
  <c r="AC66" i="167"/>
  <c r="AB66" i="167"/>
  <c r="Z66" i="167"/>
  <c r="X66" i="167"/>
  <c r="Q66" i="167"/>
  <c r="P66" i="167"/>
  <c r="H66" i="167"/>
  <c r="E66" i="167"/>
  <c r="I66" i="167" s="1"/>
  <c r="AD65" i="167"/>
  <c r="AC65" i="167"/>
  <c r="AB65" i="167"/>
  <c r="AE65" i="167" s="1"/>
  <c r="AI65" i="167" s="1"/>
  <c r="Y65" i="167" s="1"/>
  <c r="Z65" i="167"/>
  <c r="X65" i="167"/>
  <c r="Q65" i="167"/>
  <c r="P65" i="167"/>
  <c r="H65" i="167"/>
  <c r="E65" i="167"/>
  <c r="I65" i="167" s="1"/>
  <c r="AD64" i="167"/>
  <c r="AC64" i="167"/>
  <c r="AB64" i="167"/>
  <c r="AE64" i="167" s="1"/>
  <c r="AI64" i="167" s="1"/>
  <c r="Y64" i="167" s="1"/>
  <c r="Z64" i="167"/>
  <c r="X64" i="167"/>
  <c r="Q64" i="167"/>
  <c r="P64" i="167"/>
  <c r="H64" i="167"/>
  <c r="E64" i="167"/>
  <c r="I64" i="167" s="1"/>
  <c r="AD63" i="167"/>
  <c r="AE63" i="167" s="1"/>
  <c r="AI63" i="167" s="1"/>
  <c r="Y63" i="167" s="1"/>
  <c r="AC63" i="167"/>
  <c r="AB63" i="167"/>
  <c r="Z63" i="167"/>
  <c r="X63" i="167"/>
  <c r="Q63" i="167"/>
  <c r="P63" i="167"/>
  <c r="I63" i="167"/>
  <c r="H63" i="167"/>
  <c r="E63" i="167"/>
  <c r="AD62" i="167"/>
  <c r="AC62" i="167"/>
  <c r="AB62" i="167"/>
  <c r="AE62" i="167" s="1"/>
  <c r="AI62" i="167" s="1"/>
  <c r="Y62" i="167" s="1"/>
  <c r="Z62" i="167"/>
  <c r="X62" i="167"/>
  <c r="Q62" i="167"/>
  <c r="P62" i="167"/>
  <c r="I62" i="167"/>
  <c r="H62" i="167"/>
  <c r="E62" i="167"/>
  <c r="AC61" i="167"/>
  <c r="AE61" i="167" s="1"/>
  <c r="AI61" i="167" s="1"/>
  <c r="Y61" i="167" s="1"/>
  <c r="AB61" i="167"/>
  <c r="X61" i="167"/>
  <c r="Q61" i="167"/>
  <c r="P61" i="167"/>
  <c r="I61" i="167"/>
  <c r="H61" i="167"/>
  <c r="E61" i="167"/>
  <c r="AE60" i="167"/>
  <c r="AI60" i="167" s="1"/>
  <c r="Y60" i="167" s="1"/>
  <c r="X60" i="167"/>
  <c r="Q60" i="167"/>
  <c r="P60" i="167"/>
  <c r="I60" i="167"/>
  <c r="H60" i="167"/>
  <c r="E60" i="167"/>
  <c r="AE59" i="167"/>
  <c r="AI59" i="167" s="1"/>
  <c r="Y59" i="167" s="1"/>
  <c r="AC59" i="167"/>
  <c r="AB59" i="167"/>
  <c r="X59" i="167"/>
  <c r="Q59" i="167"/>
  <c r="P59" i="167"/>
  <c r="H59" i="167"/>
  <c r="E59" i="167"/>
  <c r="I59" i="167" s="1"/>
  <c r="AE58" i="167"/>
  <c r="AI58" i="167" s="1"/>
  <c r="Y58" i="167" s="1"/>
  <c r="AC58" i="167"/>
  <c r="AB58" i="167"/>
  <c r="X58" i="167"/>
  <c r="Q58" i="167"/>
  <c r="P58" i="167"/>
  <c r="E58" i="167"/>
  <c r="I58" i="167" s="1"/>
  <c r="AC57" i="167"/>
  <c r="AB57" i="167"/>
  <c r="AE57" i="167" s="1"/>
  <c r="AI57" i="167" s="1"/>
  <c r="Y57" i="167" s="1"/>
  <c r="X57" i="167"/>
  <c r="Q57" i="167"/>
  <c r="P57" i="167"/>
  <c r="I57" i="167"/>
  <c r="H57" i="167"/>
  <c r="E57" i="167"/>
  <c r="AE56" i="167"/>
  <c r="AI56" i="167" s="1"/>
  <c r="Y56" i="167" s="1"/>
  <c r="AD56" i="167"/>
  <c r="AC56" i="167"/>
  <c r="AB56" i="167"/>
  <c r="Z56" i="167"/>
  <c r="X56" i="167"/>
  <c r="Q56" i="167"/>
  <c r="P56" i="167"/>
  <c r="I56" i="167"/>
  <c r="H56" i="167"/>
  <c r="E56" i="167"/>
  <c r="AD55" i="167"/>
  <c r="AC55" i="167"/>
  <c r="AB55" i="167"/>
  <c r="AE55" i="167" s="1"/>
  <c r="AI55" i="167" s="1"/>
  <c r="Y55" i="167" s="1"/>
  <c r="Z55" i="167"/>
  <c r="X55" i="167"/>
  <c r="Q55" i="167"/>
  <c r="P55" i="167"/>
  <c r="I55" i="167"/>
  <c r="H55" i="167"/>
  <c r="E55" i="167"/>
  <c r="AD54" i="167"/>
  <c r="AC54" i="167"/>
  <c r="AB54" i="167"/>
  <c r="AE54" i="167" s="1"/>
  <c r="AI54" i="167" s="1"/>
  <c r="Y54" i="167" s="1"/>
  <c r="Z54" i="167"/>
  <c r="X54" i="167"/>
  <c r="Q54" i="167"/>
  <c r="P54" i="167"/>
  <c r="I54" i="167"/>
  <c r="H54" i="167"/>
  <c r="E54" i="167"/>
  <c r="AD53" i="167"/>
  <c r="AC53" i="167"/>
  <c r="AE53" i="167" s="1"/>
  <c r="AI53" i="167" s="1"/>
  <c r="Y53" i="167" s="1"/>
  <c r="AB53" i="167"/>
  <c r="Z53" i="167"/>
  <c r="X53" i="167"/>
  <c r="Q53" i="167"/>
  <c r="P53" i="167"/>
  <c r="I53" i="167"/>
  <c r="H53" i="167"/>
  <c r="E53" i="167"/>
  <c r="AI52" i="167"/>
  <c r="AE52" i="167"/>
  <c r="Z52" i="167"/>
  <c r="Y52" i="167"/>
  <c r="X52" i="167"/>
  <c r="Q52" i="167"/>
  <c r="P52" i="167"/>
  <c r="I52" i="167"/>
  <c r="H52" i="167"/>
  <c r="E52" i="167"/>
  <c r="AD51" i="167"/>
  <c r="AC51" i="167"/>
  <c r="AB51" i="167"/>
  <c r="AE51" i="167" s="1"/>
  <c r="AI51" i="167" s="1"/>
  <c r="Y51" i="167" s="1"/>
  <c r="Z51" i="167"/>
  <c r="X51" i="167"/>
  <c r="Q51" i="167"/>
  <c r="P51" i="167"/>
  <c r="H51" i="167"/>
  <c r="E51" i="167"/>
  <c r="I51" i="167" s="1"/>
  <c r="AE50" i="167"/>
  <c r="AI50" i="167" s="1"/>
  <c r="Y50" i="167" s="1"/>
  <c r="AD50" i="167"/>
  <c r="AC50" i="167"/>
  <c r="AB50" i="167"/>
  <c r="Z50" i="167"/>
  <c r="X50" i="167"/>
  <c r="Q50" i="167"/>
  <c r="P50" i="167"/>
  <c r="H50" i="167"/>
  <c r="E50" i="167"/>
  <c r="I50" i="167" s="1"/>
  <c r="AI49" i="167"/>
  <c r="Y49" i="167" s="1"/>
  <c r="AE49" i="167"/>
  <c r="Z49" i="167"/>
  <c r="X49" i="167"/>
  <c r="Q49" i="167"/>
  <c r="P49" i="167"/>
  <c r="H49" i="167"/>
  <c r="E49" i="167"/>
  <c r="I49" i="167" s="1"/>
  <c r="AE48" i="167"/>
  <c r="AI48" i="167" s="1"/>
  <c r="Y48" i="167" s="1"/>
  <c r="Z48" i="167"/>
  <c r="X48" i="167"/>
  <c r="Q48" i="167"/>
  <c r="P48" i="167"/>
  <c r="I48" i="167"/>
  <c r="H48" i="167"/>
  <c r="E48" i="167"/>
  <c r="AI47" i="167"/>
  <c r="Y47" i="167" s="1"/>
  <c r="AE47" i="167"/>
  <c r="Z47" i="167"/>
  <c r="X47" i="167"/>
  <c r="Q47" i="167"/>
  <c r="P47" i="167"/>
  <c r="I47" i="167"/>
  <c r="H47" i="167"/>
  <c r="E47" i="167"/>
  <c r="AD46" i="167"/>
  <c r="AC46" i="167"/>
  <c r="AB46" i="167"/>
  <c r="AE46" i="167" s="1"/>
  <c r="AI46" i="167" s="1"/>
  <c r="Y46" i="167" s="1"/>
  <c r="Z46" i="167"/>
  <c r="X46" i="167"/>
  <c r="Q46" i="167"/>
  <c r="P46" i="167"/>
  <c r="I46" i="167"/>
  <c r="H46" i="167"/>
  <c r="E46" i="167"/>
  <c r="AD45" i="167"/>
  <c r="AC45" i="167"/>
  <c r="AB45" i="167"/>
  <c r="AE45" i="167" s="1"/>
  <c r="AI45" i="167" s="1"/>
  <c r="Y45" i="167" s="1"/>
  <c r="Z45" i="167"/>
  <c r="X45" i="167"/>
  <c r="Q45" i="167"/>
  <c r="P45" i="167"/>
  <c r="I45" i="167"/>
  <c r="H45" i="167"/>
  <c r="E45" i="167"/>
  <c r="AE44" i="167"/>
  <c r="AI44" i="167" s="1"/>
  <c r="Y44" i="167" s="1"/>
  <c r="AD44" i="167"/>
  <c r="AC44" i="167"/>
  <c r="AB44" i="167"/>
  <c r="Z44" i="167"/>
  <c r="X44" i="167"/>
  <c r="Q44" i="167"/>
  <c r="P44" i="167"/>
  <c r="I44" i="167"/>
  <c r="H44" i="167"/>
  <c r="E44" i="167"/>
  <c r="AD43" i="167"/>
  <c r="AC43" i="167"/>
  <c r="AB43" i="167"/>
  <c r="AE43" i="167" s="1"/>
  <c r="AI43" i="167" s="1"/>
  <c r="Y43" i="167" s="1"/>
  <c r="Z43" i="167"/>
  <c r="X43" i="167"/>
  <c r="Q43" i="167"/>
  <c r="P43" i="167"/>
  <c r="I43" i="167"/>
  <c r="H43" i="167"/>
  <c r="E43" i="167"/>
  <c r="AD42" i="167"/>
  <c r="AC42" i="167"/>
  <c r="AB42" i="167"/>
  <c r="AE42" i="167" s="1"/>
  <c r="AI42" i="167" s="1"/>
  <c r="Y42" i="167" s="1"/>
  <c r="Z42" i="167"/>
  <c r="X42" i="167"/>
  <c r="Q42" i="167"/>
  <c r="P42" i="167"/>
  <c r="I42" i="167"/>
  <c r="H42" i="167"/>
  <c r="E42" i="167"/>
  <c r="AD41" i="167"/>
  <c r="AC41" i="167"/>
  <c r="AE41" i="167" s="1"/>
  <c r="AI41" i="167" s="1"/>
  <c r="Y41" i="167" s="1"/>
  <c r="AB41" i="167"/>
  <c r="Z41" i="167"/>
  <c r="X41" i="167"/>
  <c r="Q41" i="167"/>
  <c r="P41" i="167"/>
  <c r="I41" i="167"/>
  <c r="H41" i="167"/>
  <c r="E41" i="167"/>
  <c r="AD40" i="167"/>
  <c r="AC40" i="167"/>
  <c r="AB40" i="167"/>
  <c r="AE40" i="167" s="1"/>
  <c r="AI40" i="167" s="1"/>
  <c r="Y40" i="167" s="1"/>
  <c r="Z40" i="167"/>
  <c r="X40" i="167"/>
  <c r="Q40" i="167"/>
  <c r="P40" i="167"/>
  <c r="H40" i="167"/>
  <c r="E40" i="167"/>
  <c r="I40" i="167" s="1"/>
  <c r="AD39" i="167"/>
  <c r="AC39" i="167"/>
  <c r="AB39" i="167"/>
  <c r="AE39" i="167" s="1"/>
  <c r="AI39" i="167" s="1"/>
  <c r="Y39" i="167" s="1"/>
  <c r="Z39" i="167"/>
  <c r="X39" i="167"/>
  <c r="Q39" i="167"/>
  <c r="P39" i="167"/>
  <c r="I39" i="167"/>
  <c r="H39" i="167"/>
  <c r="E39" i="167"/>
  <c r="AD38" i="167"/>
  <c r="AC38" i="167"/>
  <c r="AB38" i="167"/>
  <c r="AE38" i="167" s="1"/>
  <c r="AI38" i="167" s="1"/>
  <c r="Y38" i="167" s="1"/>
  <c r="Z38" i="167"/>
  <c r="X38" i="167"/>
  <c r="Q38" i="167"/>
  <c r="P38" i="167"/>
  <c r="H38" i="167"/>
  <c r="E38" i="167"/>
  <c r="I38" i="167" s="1"/>
  <c r="AE37" i="167"/>
  <c r="AI37" i="167" s="1"/>
  <c r="Y37" i="167" s="1"/>
  <c r="AD37" i="167"/>
  <c r="AC37" i="167"/>
  <c r="AB37" i="167"/>
  <c r="Z37" i="167"/>
  <c r="X37" i="167"/>
  <c r="Q37" i="167"/>
  <c r="P37" i="167"/>
  <c r="H37" i="167"/>
  <c r="E37" i="167"/>
  <c r="I37" i="167" s="1"/>
  <c r="AD36" i="167"/>
  <c r="AC36" i="167"/>
  <c r="AB36" i="167"/>
  <c r="AE36" i="167" s="1"/>
  <c r="AI36" i="167" s="1"/>
  <c r="Y36" i="167" s="1"/>
  <c r="Z36" i="167"/>
  <c r="X36" i="167"/>
  <c r="Q36" i="167"/>
  <c r="P36" i="167"/>
  <c r="H36" i="167"/>
  <c r="E36" i="167"/>
  <c r="I36" i="167" s="1"/>
  <c r="AD35" i="167"/>
  <c r="AC35" i="167"/>
  <c r="AB35" i="167"/>
  <c r="AE35" i="167" s="1"/>
  <c r="AI35" i="167" s="1"/>
  <c r="Y35" i="167" s="1"/>
  <c r="Z35" i="167"/>
  <c r="X35" i="167"/>
  <c r="Q35" i="167"/>
  <c r="P35" i="167"/>
  <c r="H35" i="167"/>
  <c r="E35" i="167"/>
  <c r="I35" i="167" s="1"/>
  <c r="AE34" i="167"/>
  <c r="AI34" i="167" s="1"/>
  <c r="Y34" i="167" s="1"/>
  <c r="AD34" i="167"/>
  <c r="AC34" i="167"/>
  <c r="AB34" i="167"/>
  <c r="Z34" i="167"/>
  <c r="X34" i="167"/>
  <c r="Q34" i="167"/>
  <c r="P34" i="167"/>
  <c r="I34" i="167"/>
  <c r="H34" i="167"/>
  <c r="E34" i="167"/>
  <c r="AD33" i="167"/>
  <c r="AE33" i="167" s="1"/>
  <c r="AI33" i="167" s="1"/>
  <c r="Y33" i="167" s="1"/>
  <c r="AC33" i="167"/>
  <c r="AB33" i="167"/>
  <c r="Z33" i="167"/>
  <c r="X33" i="167"/>
  <c r="Q33" i="167"/>
  <c r="P33" i="167"/>
  <c r="I33" i="167"/>
  <c r="H33" i="167"/>
  <c r="E33" i="167"/>
  <c r="AD32" i="167"/>
  <c r="AC32" i="167"/>
  <c r="AB32" i="167"/>
  <c r="AE32" i="167" s="1"/>
  <c r="AI32" i="167" s="1"/>
  <c r="Y32" i="167" s="1"/>
  <c r="Z32" i="167"/>
  <c r="X32" i="167"/>
  <c r="Q32" i="167"/>
  <c r="P32" i="167"/>
  <c r="H32" i="167"/>
  <c r="E32" i="167"/>
  <c r="I32" i="167" s="1"/>
  <c r="AE31" i="167"/>
  <c r="AI31" i="167" s="1"/>
  <c r="Y31" i="167" s="1"/>
  <c r="Z31" i="167"/>
  <c r="X31" i="167"/>
  <c r="Q31" i="167"/>
  <c r="P31" i="167"/>
  <c r="I31" i="167"/>
  <c r="H31" i="167"/>
  <c r="E31" i="167"/>
  <c r="AD30" i="167"/>
  <c r="AC30" i="167"/>
  <c r="AB30" i="167"/>
  <c r="AE30" i="167" s="1"/>
  <c r="AI30" i="167" s="1"/>
  <c r="Y30" i="167" s="1"/>
  <c r="Z30" i="167"/>
  <c r="X30" i="167"/>
  <c r="Q30" i="167"/>
  <c r="P30" i="167"/>
  <c r="I30" i="167"/>
  <c r="H30" i="167"/>
  <c r="E30" i="167"/>
  <c r="AE29" i="167"/>
  <c r="AI29" i="167" s="1"/>
  <c r="Y29" i="167" s="1"/>
  <c r="AD29" i="167"/>
  <c r="AC29" i="167"/>
  <c r="AB29" i="167"/>
  <c r="Z29" i="167"/>
  <c r="X29" i="167"/>
  <c r="Q29" i="167"/>
  <c r="P29" i="167"/>
  <c r="I29" i="167"/>
  <c r="H29" i="167"/>
  <c r="E29" i="167"/>
  <c r="AD28" i="167"/>
  <c r="AC28" i="167"/>
  <c r="AB28" i="167"/>
  <c r="AE28" i="167" s="1"/>
  <c r="AI28" i="167" s="1"/>
  <c r="Y28" i="167" s="1"/>
  <c r="Z28" i="167"/>
  <c r="X28" i="167"/>
  <c r="Q28" i="167"/>
  <c r="P28" i="167"/>
  <c r="I28" i="167"/>
  <c r="H28" i="167"/>
  <c r="E28" i="167"/>
  <c r="AD27" i="167"/>
  <c r="AC27" i="167"/>
  <c r="AB27" i="167"/>
  <c r="AE27" i="167" s="1"/>
  <c r="AI27" i="167" s="1"/>
  <c r="Y27" i="167" s="1"/>
  <c r="Z27" i="167"/>
  <c r="X27" i="167"/>
  <c r="Q27" i="167"/>
  <c r="P27" i="167"/>
  <c r="I27" i="167"/>
  <c r="H27" i="167"/>
  <c r="E27" i="167"/>
  <c r="AD26" i="167"/>
  <c r="AC26" i="167"/>
  <c r="AE26" i="167" s="1"/>
  <c r="AI26" i="167" s="1"/>
  <c r="Y26" i="167" s="1"/>
  <c r="AB26" i="167"/>
  <c r="Z26" i="167"/>
  <c r="X26" i="167"/>
  <c r="Q26" i="167"/>
  <c r="P26" i="167"/>
  <c r="I26" i="167"/>
  <c r="H26" i="167"/>
  <c r="E26" i="167"/>
  <c r="AD25" i="167"/>
  <c r="AC25" i="167"/>
  <c r="AB25" i="167"/>
  <c r="AE25" i="167" s="1"/>
  <c r="AI25" i="167" s="1"/>
  <c r="Y25" i="167" s="1"/>
  <c r="Z25" i="167"/>
  <c r="X25" i="167"/>
  <c r="Q25" i="167"/>
  <c r="P25" i="167"/>
  <c r="H25" i="167"/>
  <c r="E25" i="167"/>
  <c r="I25" i="167" s="1"/>
  <c r="AD24" i="167"/>
  <c r="AC24" i="167"/>
  <c r="AB24" i="167"/>
  <c r="AE24" i="167" s="1"/>
  <c r="AI24" i="167" s="1"/>
  <c r="Y24" i="167" s="1"/>
  <c r="Z24" i="167"/>
  <c r="X24" i="167"/>
  <c r="Q24" i="167"/>
  <c r="P24" i="167"/>
  <c r="H24" i="167"/>
  <c r="E24" i="167"/>
  <c r="I24" i="167" s="1"/>
  <c r="AD23" i="167"/>
  <c r="AC23" i="167"/>
  <c r="AB23" i="167"/>
  <c r="AE23" i="167" s="1"/>
  <c r="AI23" i="167" s="1"/>
  <c r="Y23" i="167" s="1"/>
  <c r="Z23" i="167"/>
  <c r="X23" i="167"/>
  <c r="Q23" i="167"/>
  <c r="P23" i="167"/>
  <c r="H23" i="167"/>
  <c r="E23" i="167"/>
  <c r="I23" i="167" s="1"/>
  <c r="AE22" i="167"/>
  <c r="AI22" i="167" s="1"/>
  <c r="Y22" i="167" s="1"/>
  <c r="AD22" i="167"/>
  <c r="AC22" i="167"/>
  <c r="AB22" i="167"/>
  <c r="Z22" i="167"/>
  <c r="X22" i="167"/>
  <c r="Q22" i="167"/>
  <c r="P22" i="167"/>
  <c r="H22" i="167"/>
  <c r="E22" i="167"/>
  <c r="I22" i="167" s="1"/>
  <c r="AD21" i="167"/>
  <c r="AE21" i="167" s="1"/>
  <c r="AI21" i="167" s="1"/>
  <c r="Y21" i="167" s="1"/>
  <c r="AC21" i="167"/>
  <c r="AB21" i="167"/>
  <c r="Z21" i="167"/>
  <c r="X21" i="167"/>
  <c r="Q21" i="167"/>
  <c r="P21" i="167"/>
  <c r="H21" i="167"/>
  <c r="E21" i="167"/>
  <c r="I21" i="167" s="1"/>
  <c r="AD20" i="167"/>
  <c r="AC20" i="167"/>
  <c r="AB20" i="167"/>
  <c r="AE20" i="167" s="1"/>
  <c r="AI20" i="167" s="1"/>
  <c r="Y20" i="167" s="1"/>
  <c r="Z20" i="167"/>
  <c r="X20" i="167"/>
  <c r="Q20" i="167"/>
  <c r="P20" i="167"/>
  <c r="H20" i="167"/>
  <c r="E20" i="167"/>
  <c r="I20" i="167" s="1"/>
  <c r="AE19" i="167"/>
  <c r="AI19" i="167" s="1"/>
  <c r="Y19" i="167" s="1"/>
  <c r="AD19" i="167"/>
  <c r="AC19" i="167"/>
  <c r="AB19" i="167"/>
  <c r="Z19" i="167"/>
  <c r="X19" i="167"/>
  <c r="Q19" i="167"/>
  <c r="P19" i="167"/>
  <c r="I19" i="167"/>
  <c r="H19" i="167"/>
  <c r="E19" i="167"/>
  <c r="AD18" i="167"/>
  <c r="AE18" i="167" s="1"/>
  <c r="AI18" i="167" s="1"/>
  <c r="Y18" i="167" s="1"/>
  <c r="AC18" i="167"/>
  <c r="AB18" i="167"/>
  <c r="Z18" i="167"/>
  <c r="X18" i="167"/>
  <c r="Q18" i="167"/>
  <c r="P18" i="167"/>
  <c r="I18" i="167"/>
  <c r="H18" i="167"/>
  <c r="E18" i="167"/>
  <c r="AD17" i="167"/>
  <c r="AC17" i="167"/>
  <c r="AB17" i="167"/>
  <c r="AE17" i="167" s="1"/>
  <c r="AI17" i="167" s="1"/>
  <c r="Y17" i="167" s="1"/>
  <c r="Z17" i="167"/>
  <c r="X17" i="167"/>
  <c r="Q17" i="167"/>
  <c r="P17" i="167"/>
  <c r="H17" i="167"/>
  <c r="E17" i="167"/>
  <c r="I17" i="167" s="1"/>
  <c r="AE16" i="167"/>
  <c r="AI16" i="167" s="1"/>
  <c r="Y16" i="167" s="1"/>
  <c r="AD16" i="167"/>
  <c r="AC16" i="167"/>
  <c r="AB16" i="167"/>
  <c r="Z16" i="167"/>
  <c r="X16" i="167"/>
  <c r="Q16" i="167"/>
  <c r="P16" i="167"/>
  <c r="E16" i="167"/>
  <c r="I16" i="167" s="1"/>
  <c r="AD15" i="167"/>
  <c r="AC15" i="167"/>
  <c r="AB15" i="167"/>
  <c r="AE15" i="167" s="1"/>
  <c r="AI15" i="167" s="1"/>
  <c r="Y15" i="167" s="1"/>
  <c r="Z15" i="167"/>
  <c r="X15" i="167"/>
  <c r="Q15" i="167"/>
  <c r="P15" i="167"/>
  <c r="E15" i="167"/>
  <c r="I15" i="167" s="1"/>
  <c r="AD14" i="167"/>
  <c r="AC14" i="167"/>
  <c r="AB14" i="167"/>
  <c r="AE14" i="167" s="1"/>
  <c r="AI14" i="167" s="1"/>
  <c r="Y14" i="167" s="1"/>
  <c r="Z14" i="167"/>
  <c r="X14" i="167"/>
  <c r="Q14" i="167"/>
  <c r="P14" i="167"/>
  <c r="H14" i="167"/>
  <c r="E14" i="167"/>
  <c r="I14" i="167" s="1"/>
  <c r="AD13" i="167"/>
  <c r="AC13" i="167"/>
  <c r="AB13" i="167"/>
  <c r="AE13" i="167" s="1"/>
  <c r="AI13" i="167" s="1"/>
  <c r="Y13" i="167" s="1"/>
  <c r="Z13" i="167"/>
  <c r="X13" i="167"/>
  <c r="Q13" i="167"/>
  <c r="P13" i="167"/>
  <c r="H13" i="167"/>
  <c r="E13" i="167"/>
  <c r="I13" i="167" s="1"/>
  <c r="AE12" i="167"/>
  <c r="AI12" i="167" s="1"/>
  <c r="Y12" i="167" s="1"/>
  <c r="AD12" i="167"/>
  <c r="AC12" i="167"/>
  <c r="AB12" i="167"/>
  <c r="Z12" i="167"/>
  <c r="X12" i="167"/>
  <c r="Q12" i="167"/>
  <c r="P12" i="167"/>
  <c r="H12" i="167"/>
  <c r="E12" i="167"/>
  <c r="I12" i="167" s="1"/>
  <c r="T79" i="169" l="1"/>
  <c r="F77" i="169" s="1"/>
  <c r="T77" i="168"/>
  <c r="T75" i="168"/>
  <c r="F73" i="168"/>
  <c r="F75" i="168"/>
  <c r="T73" i="168"/>
  <c r="T75" i="167"/>
  <c r="T77" i="167"/>
  <c r="T79" i="167" s="1"/>
  <c r="O75" i="167"/>
  <c r="O73" i="167"/>
  <c r="T73" i="167"/>
  <c r="F75" i="167"/>
  <c r="F73" i="167"/>
  <c r="M79" i="166"/>
  <c r="W73" i="166"/>
  <c r="P71" i="166"/>
  <c r="Q70" i="166"/>
  <c r="P70" i="166"/>
  <c r="H70" i="166"/>
  <c r="E70" i="166"/>
  <c r="I70" i="166" s="1"/>
  <c r="Q69" i="166"/>
  <c r="P69" i="166"/>
  <c r="I69" i="166"/>
  <c r="H69" i="166"/>
  <c r="E69" i="166"/>
  <c r="AD68" i="166"/>
  <c r="AC68" i="166"/>
  <c r="AB68" i="166"/>
  <c r="AE68" i="166" s="1"/>
  <c r="AI68" i="166" s="1"/>
  <c r="Y68" i="166" s="1"/>
  <c r="Z68" i="166"/>
  <c r="X68" i="166"/>
  <c r="W68" i="166"/>
  <c r="Q68" i="166"/>
  <c r="P68" i="166"/>
  <c r="H68" i="166"/>
  <c r="E68" i="166"/>
  <c r="I68" i="166" s="1"/>
  <c r="AI67" i="166"/>
  <c r="Y67" i="166" s="1"/>
  <c r="AE67" i="166"/>
  <c r="AD67" i="166"/>
  <c r="AC67" i="166"/>
  <c r="AB67" i="166"/>
  <c r="Z67" i="166"/>
  <c r="X67" i="166"/>
  <c r="Q67" i="166"/>
  <c r="P67" i="166"/>
  <c r="H67" i="166"/>
  <c r="E67" i="166"/>
  <c r="I67" i="166" s="1"/>
  <c r="AD66" i="166"/>
  <c r="AC66" i="166"/>
  <c r="AB66" i="166"/>
  <c r="AE66" i="166" s="1"/>
  <c r="AI66" i="166" s="1"/>
  <c r="Y66" i="166" s="1"/>
  <c r="Z66" i="166"/>
  <c r="X66" i="166"/>
  <c r="Q66" i="166"/>
  <c r="P66" i="166"/>
  <c r="H66" i="166"/>
  <c r="E66" i="166"/>
  <c r="I66" i="166" s="1"/>
  <c r="AD65" i="166"/>
  <c r="AC65" i="166"/>
  <c r="AB65" i="166"/>
  <c r="AE65" i="166" s="1"/>
  <c r="AI65" i="166" s="1"/>
  <c r="Y65" i="166" s="1"/>
  <c r="Z65" i="166"/>
  <c r="X65" i="166"/>
  <c r="Q65" i="166"/>
  <c r="P65" i="166"/>
  <c r="H65" i="166"/>
  <c r="E65" i="166"/>
  <c r="I65" i="166" s="1"/>
  <c r="AD64" i="166"/>
  <c r="AC64" i="166"/>
  <c r="AE64" i="166" s="1"/>
  <c r="AI64" i="166" s="1"/>
  <c r="Y64" i="166" s="1"/>
  <c r="AB64" i="166"/>
  <c r="Z64" i="166"/>
  <c r="X64" i="166"/>
  <c r="Q64" i="166"/>
  <c r="P64" i="166"/>
  <c r="I64" i="166"/>
  <c r="H64" i="166"/>
  <c r="E64" i="166"/>
  <c r="AD63" i="166"/>
  <c r="AC63" i="166"/>
  <c r="AB63" i="166"/>
  <c r="AE63" i="166" s="1"/>
  <c r="AI63" i="166" s="1"/>
  <c r="Y63" i="166" s="1"/>
  <c r="Z63" i="166"/>
  <c r="X63" i="166"/>
  <c r="Q63" i="166"/>
  <c r="P63" i="166"/>
  <c r="H63" i="166"/>
  <c r="E63" i="166"/>
  <c r="I63" i="166" s="1"/>
  <c r="AI62" i="166"/>
  <c r="Y62" i="166" s="1"/>
  <c r="AE62" i="166"/>
  <c r="AD62" i="166"/>
  <c r="AC62" i="166"/>
  <c r="AB62" i="166"/>
  <c r="Z62" i="166"/>
  <c r="X62" i="166"/>
  <c r="Q62" i="166"/>
  <c r="P62" i="166"/>
  <c r="I62" i="166"/>
  <c r="H62" i="166"/>
  <c r="E62" i="166"/>
  <c r="AC61" i="166"/>
  <c r="AE61" i="166" s="1"/>
  <c r="AI61" i="166" s="1"/>
  <c r="Y61" i="166" s="1"/>
  <c r="AB61" i="166"/>
  <c r="X61" i="166"/>
  <c r="Q61" i="166"/>
  <c r="P61" i="166"/>
  <c r="I61" i="166"/>
  <c r="H61" i="166"/>
  <c r="E61" i="166"/>
  <c r="AE60" i="166"/>
  <c r="AI60" i="166" s="1"/>
  <c r="Y60" i="166" s="1"/>
  <c r="X60" i="166"/>
  <c r="Q60" i="166"/>
  <c r="P60" i="166"/>
  <c r="I60" i="166"/>
  <c r="H60" i="166"/>
  <c r="E60" i="166"/>
  <c r="AC59" i="166"/>
  <c r="AB59" i="166"/>
  <c r="AE59" i="166" s="1"/>
  <c r="AI59" i="166" s="1"/>
  <c r="Y59" i="166" s="1"/>
  <c r="X59" i="166"/>
  <c r="Q59" i="166"/>
  <c r="P59" i="166"/>
  <c r="H59" i="166"/>
  <c r="E59" i="166"/>
  <c r="I59" i="166" s="1"/>
  <c r="AC58" i="166"/>
  <c r="AB58" i="166"/>
  <c r="AE58" i="166" s="1"/>
  <c r="AI58" i="166" s="1"/>
  <c r="Y58" i="166" s="1"/>
  <c r="X58" i="166"/>
  <c r="Q58" i="166"/>
  <c r="P58" i="166"/>
  <c r="E58" i="166"/>
  <c r="I58" i="166" s="1"/>
  <c r="AC57" i="166"/>
  <c r="AB57" i="166"/>
  <c r="AE57" i="166" s="1"/>
  <c r="AI57" i="166" s="1"/>
  <c r="Y57" i="166" s="1"/>
  <c r="X57" i="166"/>
  <c r="Q57" i="166"/>
  <c r="P57" i="166"/>
  <c r="I57" i="166"/>
  <c r="H57" i="166"/>
  <c r="E57" i="166"/>
  <c r="AD56" i="166"/>
  <c r="AC56" i="166"/>
  <c r="AB56" i="166"/>
  <c r="AE56" i="166" s="1"/>
  <c r="AI56" i="166" s="1"/>
  <c r="Y56" i="166" s="1"/>
  <c r="Z56" i="166"/>
  <c r="X56" i="166"/>
  <c r="Q56" i="166"/>
  <c r="P56" i="166"/>
  <c r="H56" i="166"/>
  <c r="E56" i="166"/>
  <c r="I56" i="166" s="1"/>
  <c r="AE55" i="166"/>
  <c r="AI55" i="166" s="1"/>
  <c r="Y55" i="166" s="1"/>
  <c r="AD55" i="166"/>
  <c r="AC55" i="166"/>
  <c r="AB55" i="166"/>
  <c r="Z55" i="166"/>
  <c r="X55" i="166"/>
  <c r="Q55" i="166"/>
  <c r="P55" i="166"/>
  <c r="H55" i="166"/>
  <c r="E55" i="166"/>
  <c r="I55" i="166" s="1"/>
  <c r="AD54" i="166"/>
  <c r="AC54" i="166"/>
  <c r="AB54" i="166"/>
  <c r="AE54" i="166" s="1"/>
  <c r="AI54" i="166" s="1"/>
  <c r="Y54" i="166" s="1"/>
  <c r="Z54" i="166"/>
  <c r="X54" i="166"/>
  <c r="Q54" i="166"/>
  <c r="P54" i="166"/>
  <c r="I54" i="166"/>
  <c r="H54" i="166"/>
  <c r="E54" i="166"/>
  <c r="AD53" i="166"/>
  <c r="AC53" i="166"/>
  <c r="AE53" i="166" s="1"/>
  <c r="AI53" i="166" s="1"/>
  <c r="Y53" i="166" s="1"/>
  <c r="AB53" i="166"/>
  <c r="Z53" i="166"/>
  <c r="X53" i="166"/>
  <c r="Q53" i="166"/>
  <c r="P53" i="166"/>
  <c r="H53" i="166"/>
  <c r="E53" i="166"/>
  <c r="I53" i="166" s="1"/>
  <c r="AI52" i="166"/>
  <c r="Y52" i="166" s="1"/>
  <c r="AE52" i="166"/>
  <c r="Z52" i="166"/>
  <c r="X52" i="166"/>
  <c r="Q52" i="166"/>
  <c r="P52" i="166"/>
  <c r="H52" i="166"/>
  <c r="E52" i="166"/>
  <c r="I52" i="166" s="1"/>
  <c r="AI51" i="166"/>
  <c r="Y51" i="166" s="1"/>
  <c r="AE51" i="166"/>
  <c r="AD51" i="166"/>
  <c r="AC51" i="166"/>
  <c r="AB51" i="166"/>
  <c r="Z51" i="166"/>
  <c r="X51" i="166"/>
  <c r="Q51" i="166"/>
  <c r="P51" i="166"/>
  <c r="H51" i="166"/>
  <c r="E51" i="166"/>
  <c r="I51" i="166" s="1"/>
  <c r="AD50" i="166"/>
  <c r="AC50" i="166"/>
  <c r="AB50" i="166"/>
  <c r="AE50" i="166" s="1"/>
  <c r="AI50" i="166" s="1"/>
  <c r="Y50" i="166" s="1"/>
  <c r="Z50" i="166"/>
  <c r="X50" i="166"/>
  <c r="Q50" i="166"/>
  <c r="P50" i="166"/>
  <c r="H50" i="166"/>
  <c r="E50" i="166"/>
  <c r="I50" i="166" s="1"/>
  <c r="AI49" i="166"/>
  <c r="Y49" i="166" s="1"/>
  <c r="AE49" i="166"/>
  <c r="Z49" i="166"/>
  <c r="X49" i="166"/>
  <c r="Q49" i="166"/>
  <c r="P49" i="166"/>
  <c r="I49" i="166"/>
  <c r="H49" i="166"/>
  <c r="E49" i="166"/>
  <c r="AI48" i="166"/>
  <c r="Y48" i="166" s="1"/>
  <c r="AE48" i="166"/>
  <c r="Z48" i="166"/>
  <c r="X48" i="166"/>
  <c r="Q48" i="166"/>
  <c r="P48" i="166"/>
  <c r="I48" i="166"/>
  <c r="H48" i="166"/>
  <c r="E48" i="166"/>
  <c r="AE47" i="166"/>
  <c r="AI47" i="166" s="1"/>
  <c r="Y47" i="166" s="1"/>
  <c r="Z47" i="166"/>
  <c r="X47" i="166"/>
  <c r="Q47" i="166"/>
  <c r="P47" i="166"/>
  <c r="I47" i="166"/>
  <c r="H47" i="166"/>
  <c r="E47" i="166"/>
  <c r="AD46" i="166"/>
  <c r="AC46" i="166"/>
  <c r="AB46" i="166"/>
  <c r="AE46" i="166" s="1"/>
  <c r="AI46" i="166" s="1"/>
  <c r="Y46" i="166" s="1"/>
  <c r="Z46" i="166"/>
  <c r="X46" i="166"/>
  <c r="Q46" i="166"/>
  <c r="P46" i="166"/>
  <c r="I46" i="166"/>
  <c r="H46" i="166"/>
  <c r="E46" i="166"/>
  <c r="AE45" i="166"/>
  <c r="AI45" i="166" s="1"/>
  <c r="Y45" i="166" s="1"/>
  <c r="AD45" i="166"/>
  <c r="AC45" i="166"/>
  <c r="AB45" i="166"/>
  <c r="Z45" i="166"/>
  <c r="X45" i="166"/>
  <c r="Q45" i="166"/>
  <c r="P45" i="166"/>
  <c r="I45" i="166"/>
  <c r="H45" i="166"/>
  <c r="E45" i="166"/>
  <c r="AD44" i="166"/>
  <c r="AC44" i="166"/>
  <c r="AB44" i="166"/>
  <c r="AE44" i="166" s="1"/>
  <c r="AI44" i="166" s="1"/>
  <c r="Y44" i="166" s="1"/>
  <c r="Z44" i="166"/>
  <c r="X44" i="166"/>
  <c r="Q44" i="166"/>
  <c r="P44" i="166"/>
  <c r="H44" i="166"/>
  <c r="E44" i="166"/>
  <c r="I44" i="166" s="1"/>
  <c r="AE43" i="166"/>
  <c r="AI43" i="166" s="1"/>
  <c r="Y43" i="166" s="1"/>
  <c r="AD43" i="166"/>
  <c r="AC43" i="166"/>
  <c r="AB43" i="166"/>
  <c r="Z43" i="166"/>
  <c r="X43" i="166"/>
  <c r="Q43" i="166"/>
  <c r="P43" i="166"/>
  <c r="H43" i="166"/>
  <c r="E43" i="166"/>
  <c r="I43" i="166" s="1"/>
  <c r="AD42" i="166"/>
  <c r="AC42" i="166"/>
  <c r="AB42" i="166"/>
  <c r="AE42" i="166" s="1"/>
  <c r="AI42" i="166" s="1"/>
  <c r="Y42" i="166" s="1"/>
  <c r="Z42" i="166"/>
  <c r="X42" i="166"/>
  <c r="Q42" i="166"/>
  <c r="P42" i="166"/>
  <c r="I42" i="166"/>
  <c r="H42" i="166"/>
  <c r="E42" i="166"/>
  <c r="AD41" i="166"/>
  <c r="AC41" i="166"/>
  <c r="AE41" i="166" s="1"/>
  <c r="AI41" i="166" s="1"/>
  <c r="Y41" i="166" s="1"/>
  <c r="AB41" i="166"/>
  <c r="Z41" i="166"/>
  <c r="X41" i="166"/>
  <c r="Q41" i="166"/>
  <c r="P41" i="166"/>
  <c r="H41" i="166"/>
  <c r="E41" i="166"/>
  <c r="I41" i="166" s="1"/>
  <c r="AD40" i="166"/>
  <c r="AC40" i="166"/>
  <c r="AB40" i="166"/>
  <c r="AE40" i="166" s="1"/>
  <c r="AI40" i="166" s="1"/>
  <c r="Y40" i="166" s="1"/>
  <c r="Z40" i="166"/>
  <c r="X40" i="166"/>
  <c r="Q40" i="166"/>
  <c r="P40" i="166"/>
  <c r="I40" i="166"/>
  <c r="H40" i="166"/>
  <c r="E40" i="166"/>
  <c r="AD39" i="166"/>
  <c r="AC39" i="166"/>
  <c r="AE39" i="166" s="1"/>
  <c r="AI39" i="166" s="1"/>
  <c r="Y39" i="166" s="1"/>
  <c r="AB39" i="166"/>
  <c r="Z39" i="166"/>
  <c r="X39" i="166"/>
  <c r="Q39" i="166"/>
  <c r="P39" i="166"/>
  <c r="H39" i="166"/>
  <c r="E39" i="166"/>
  <c r="I39" i="166" s="1"/>
  <c r="AI38" i="166"/>
  <c r="Y38" i="166" s="1"/>
  <c r="AE38" i="166"/>
  <c r="AD38" i="166"/>
  <c r="AC38" i="166"/>
  <c r="AB38" i="166"/>
  <c r="Z38" i="166"/>
  <c r="X38" i="166"/>
  <c r="Q38" i="166"/>
  <c r="P38" i="166"/>
  <c r="H38" i="166"/>
  <c r="E38" i="166"/>
  <c r="I38" i="166" s="1"/>
  <c r="AD37" i="166"/>
  <c r="AC37" i="166"/>
  <c r="AB37" i="166"/>
  <c r="AE37" i="166" s="1"/>
  <c r="AI37" i="166" s="1"/>
  <c r="Y37" i="166" s="1"/>
  <c r="Z37" i="166"/>
  <c r="X37" i="166"/>
  <c r="Q37" i="166"/>
  <c r="P37" i="166"/>
  <c r="H37" i="166"/>
  <c r="E37" i="166"/>
  <c r="I37" i="166" s="1"/>
  <c r="AD36" i="166"/>
  <c r="AC36" i="166"/>
  <c r="AB36" i="166"/>
  <c r="AE36" i="166" s="1"/>
  <c r="AI36" i="166" s="1"/>
  <c r="Y36" i="166" s="1"/>
  <c r="Z36" i="166"/>
  <c r="X36" i="166"/>
  <c r="Q36" i="166"/>
  <c r="P36" i="166"/>
  <c r="H36" i="166"/>
  <c r="E36" i="166"/>
  <c r="I36" i="166" s="1"/>
  <c r="AD35" i="166"/>
  <c r="AC35" i="166"/>
  <c r="AE35" i="166" s="1"/>
  <c r="AI35" i="166" s="1"/>
  <c r="Y35" i="166" s="1"/>
  <c r="AB35" i="166"/>
  <c r="Z35" i="166"/>
  <c r="X35" i="166"/>
  <c r="Q35" i="166"/>
  <c r="P35" i="166"/>
  <c r="I35" i="166"/>
  <c r="H35" i="166"/>
  <c r="E35" i="166"/>
  <c r="AD34" i="166"/>
  <c r="AC34" i="166"/>
  <c r="AB34" i="166"/>
  <c r="AE34" i="166" s="1"/>
  <c r="AI34" i="166" s="1"/>
  <c r="Y34" i="166" s="1"/>
  <c r="Z34" i="166"/>
  <c r="X34" i="166"/>
  <c r="Q34" i="166"/>
  <c r="P34" i="166"/>
  <c r="H34" i="166"/>
  <c r="E34" i="166"/>
  <c r="I34" i="166" s="1"/>
  <c r="AI33" i="166"/>
  <c r="Y33" i="166" s="1"/>
  <c r="AE33" i="166"/>
  <c r="AD33" i="166"/>
  <c r="AC33" i="166"/>
  <c r="AB33" i="166"/>
  <c r="Z33" i="166"/>
  <c r="X33" i="166"/>
  <c r="Q33" i="166"/>
  <c r="P33" i="166"/>
  <c r="I33" i="166"/>
  <c r="H33" i="166"/>
  <c r="E33" i="166"/>
  <c r="AD32" i="166"/>
  <c r="AE32" i="166" s="1"/>
  <c r="AI32" i="166" s="1"/>
  <c r="Y32" i="166" s="1"/>
  <c r="AC32" i="166"/>
  <c r="AB32" i="166"/>
  <c r="Z32" i="166"/>
  <c r="X32" i="166"/>
  <c r="Q32" i="166"/>
  <c r="P32" i="166"/>
  <c r="H32" i="166"/>
  <c r="E32" i="166"/>
  <c r="I32" i="166" s="1"/>
  <c r="AE31" i="166"/>
  <c r="AI31" i="166" s="1"/>
  <c r="Y31" i="166" s="1"/>
  <c r="Z31" i="166"/>
  <c r="X31" i="166"/>
  <c r="Q31" i="166"/>
  <c r="P31" i="166"/>
  <c r="I31" i="166"/>
  <c r="H31" i="166"/>
  <c r="E31" i="166"/>
  <c r="AE30" i="166"/>
  <c r="AI30" i="166" s="1"/>
  <c r="Y30" i="166" s="1"/>
  <c r="AD30" i="166"/>
  <c r="AC30" i="166"/>
  <c r="AB30" i="166"/>
  <c r="Z30" i="166"/>
  <c r="X30" i="166"/>
  <c r="Q30" i="166"/>
  <c r="P30" i="166"/>
  <c r="I30" i="166"/>
  <c r="H30" i="166"/>
  <c r="E30" i="166"/>
  <c r="AD29" i="166"/>
  <c r="AC29" i="166"/>
  <c r="AB29" i="166"/>
  <c r="AE29" i="166" s="1"/>
  <c r="AI29" i="166" s="1"/>
  <c r="Y29" i="166" s="1"/>
  <c r="Z29" i="166"/>
  <c r="X29" i="166"/>
  <c r="Q29" i="166"/>
  <c r="P29" i="166"/>
  <c r="H29" i="166"/>
  <c r="E29" i="166"/>
  <c r="I29" i="166" s="1"/>
  <c r="AE28" i="166"/>
  <c r="AI28" i="166" s="1"/>
  <c r="Y28" i="166" s="1"/>
  <c r="AD28" i="166"/>
  <c r="AC28" i="166"/>
  <c r="AB28" i="166"/>
  <c r="Z28" i="166"/>
  <c r="X28" i="166"/>
  <c r="Q28" i="166"/>
  <c r="P28" i="166"/>
  <c r="H28" i="166"/>
  <c r="E28" i="166"/>
  <c r="I28" i="166" s="1"/>
  <c r="AD27" i="166"/>
  <c r="AC27" i="166"/>
  <c r="AB27" i="166"/>
  <c r="AE27" i="166" s="1"/>
  <c r="AI27" i="166" s="1"/>
  <c r="Y27" i="166" s="1"/>
  <c r="Z27" i="166"/>
  <c r="X27" i="166"/>
  <c r="Q27" i="166"/>
  <c r="P27" i="166"/>
  <c r="I27" i="166"/>
  <c r="H27" i="166"/>
  <c r="E27" i="166"/>
  <c r="AD26" i="166"/>
  <c r="AC26" i="166"/>
  <c r="AE26" i="166" s="1"/>
  <c r="AI26" i="166" s="1"/>
  <c r="Y26" i="166" s="1"/>
  <c r="AB26" i="166"/>
  <c r="Z26" i="166"/>
  <c r="X26" i="166"/>
  <c r="Q26" i="166"/>
  <c r="P26" i="166"/>
  <c r="H26" i="166"/>
  <c r="E26" i="166"/>
  <c r="I26" i="166" s="1"/>
  <c r="AD25" i="166"/>
  <c r="AC25" i="166"/>
  <c r="AB25" i="166"/>
  <c r="AE25" i="166" s="1"/>
  <c r="AI25" i="166" s="1"/>
  <c r="Y25" i="166" s="1"/>
  <c r="Z25" i="166"/>
  <c r="X25" i="166"/>
  <c r="Q25" i="166"/>
  <c r="P25" i="166"/>
  <c r="I25" i="166"/>
  <c r="H25" i="166"/>
  <c r="E25" i="166"/>
  <c r="AD24" i="166"/>
  <c r="AC24" i="166"/>
  <c r="AE24" i="166" s="1"/>
  <c r="AI24" i="166" s="1"/>
  <c r="Y24" i="166" s="1"/>
  <c r="AB24" i="166"/>
  <c r="Z24" i="166"/>
  <c r="X24" i="166"/>
  <c r="Q24" i="166"/>
  <c r="P24" i="166"/>
  <c r="H24" i="166"/>
  <c r="E24" i="166"/>
  <c r="I24" i="166" s="1"/>
  <c r="AI23" i="166"/>
  <c r="Y23" i="166" s="1"/>
  <c r="AE23" i="166"/>
  <c r="AD23" i="166"/>
  <c r="AC23" i="166"/>
  <c r="AB23" i="166"/>
  <c r="Z23" i="166"/>
  <c r="X23" i="166"/>
  <c r="Q23" i="166"/>
  <c r="P23" i="166"/>
  <c r="H23" i="166"/>
  <c r="E23" i="166"/>
  <c r="I23" i="166" s="1"/>
  <c r="AD22" i="166"/>
  <c r="AC22" i="166"/>
  <c r="AB22" i="166"/>
  <c r="AE22" i="166" s="1"/>
  <c r="AI22" i="166" s="1"/>
  <c r="Y22" i="166" s="1"/>
  <c r="Z22" i="166"/>
  <c r="X22" i="166"/>
  <c r="Q22" i="166"/>
  <c r="P22" i="166"/>
  <c r="H22" i="166"/>
  <c r="E22" i="166"/>
  <c r="I22" i="166" s="1"/>
  <c r="AD21" i="166"/>
  <c r="AC21" i="166"/>
  <c r="AB21" i="166"/>
  <c r="AE21" i="166" s="1"/>
  <c r="AI21" i="166" s="1"/>
  <c r="Y21" i="166" s="1"/>
  <c r="Z21" i="166"/>
  <c r="X21" i="166"/>
  <c r="Q21" i="166"/>
  <c r="P21" i="166"/>
  <c r="H21" i="166"/>
  <c r="E21" i="166"/>
  <c r="I21" i="166" s="1"/>
  <c r="AD20" i="166"/>
  <c r="AC20" i="166"/>
  <c r="AE20" i="166" s="1"/>
  <c r="AI20" i="166" s="1"/>
  <c r="AB20" i="166"/>
  <c r="Z20" i="166"/>
  <c r="X20" i="166"/>
  <c r="Q20" i="166"/>
  <c r="P20" i="166"/>
  <c r="I20" i="166"/>
  <c r="H20" i="166"/>
  <c r="Y20" i="166"/>
  <c r="E20" i="166"/>
  <c r="AE19" i="166"/>
  <c r="AI19" i="166" s="1"/>
  <c r="Y19" i="166" s="1"/>
  <c r="AD19" i="166"/>
  <c r="AC19" i="166"/>
  <c r="AB19" i="166"/>
  <c r="Z19" i="166"/>
  <c r="X19" i="166"/>
  <c r="Q19" i="166"/>
  <c r="P19" i="166"/>
  <c r="H19" i="166"/>
  <c r="E19" i="166"/>
  <c r="I19" i="166" s="1"/>
  <c r="AD18" i="166"/>
  <c r="AC18" i="166"/>
  <c r="AB18" i="166"/>
  <c r="AE18" i="166" s="1"/>
  <c r="AI18" i="166" s="1"/>
  <c r="Y18" i="166" s="1"/>
  <c r="Z18" i="166"/>
  <c r="X18" i="166"/>
  <c r="Q18" i="166"/>
  <c r="P18" i="166"/>
  <c r="H18" i="166"/>
  <c r="E18" i="166"/>
  <c r="I18" i="166" s="1"/>
  <c r="AE17" i="166"/>
  <c r="AI17" i="166" s="1"/>
  <c r="Y17" i="166" s="1"/>
  <c r="AD17" i="166"/>
  <c r="AC17" i="166"/>
  <c r="AB17" i="166"/>
  <c r="Z17" i="166"/>
  <c r="X17" i="166"/>
  <c r="Q17" i="166"/>
  <c r="P17" i="166"/>
  <c r="H17" i="166"/>
  <c r="E17" i="166"/>
  <c r="I17" i="166" s="1"/>
  <c r="AD16" i="166"/>
  <c r="AC16" i="166"/>
  <c r="AB16" i="166"/>
  <c r="AE16" i="166" s="1"/>
  <c r="AI16" i="166" s="1"/>
  <c r="Y16" i="166" s="1"/>
  <c r="Z16" i="166"/>
  <c r="X16" i="166"/>
  <c r="Q16" i="166"/>
  <c r="P16" i="166"/>
  <c r="I16" i="166"/>
  <c r="E16" i="166"/>
  <c r="AD15" i="166"/>
  <c r="AC15" i="166"/>
  <c r="AB15" i="166"/>
  <c r="AE15" i="166" s="1"/>
  <c r="AI15" i="166" s="1"/>
  <c r="Y15" i="166" s="1"/>
  <c r="Z15" i="166"/>
  <c r="X15" i="166"/>
  <c r="Q15" i="166"/>
  <c r="O75" i="166" s="1"/>
  <c r="P15" i="166"/>
  <c r="I15" i="166"/>
  <c r="E15" i="166"/>
  <c r="AD14" i="166"/>
  <c r="AC14" i="166"/>
  <c r="AB14" i="166"/>
  <c r="AE14" i="166" s="1"/>
  <c r="AI14" i="166" s="1"/>
  <c r="Y14" i="166" s="1"/>
  <c r="Z14" i="166"/>
  <c r="X14" i="166"/>
  <c r="Q14" i="166"/>
  <c r="P14" i="166"/>
  <c r="H14" i="166"/>
  <c r="E14" i="166"/>
  <c r="I14" i="166" s="1"/>
  <c r="AI13" i="166"/>
  <c r="Y13" i="166" s="1"/>
  <c r="AE13" i="166"/>
  <c r="AD13" i="166"/>
  <c r="AC13" i="166"/>
  <c r="AB13" i="166"/>
  <c r="Z13" i="166"/>
  <c r="X13" i="166"/>
  <c r="Q13" i="166"/>
  <c r="P13" i="166"/>
  <c r="H13" i="166"/>
  <c r="E13" i="166"/>
  <c r="I13" i="166" s="1"/>
  <c r="AD12" i="166"/>
  <c r="AC12" i="166"/>
  <c r="AE12" i="166" s="1"/>
  <c r="AI12" i="166" s="1"/>
  <c r="Y12" i="166" s="1"/>
  <c r="AB12" i="166"/>
  <c r="Z12" i="166"/>
  <c r="X12" i="166"/>
  <c r="Q12" i="166"/>
  <c r="P12" i="166"/>
  <c r="H12" i="166"/>
  <c r="E12" i="166"/>
  <c r="I12" i="166" s="1"/>
  <c r="T79" i="168" l="1"/>
  <c r="F77" i="168"/>
  <c r="F77" i="167"/>
  <c r="T75" i="166"/>
  <c r="O73" i="166"/>
  <c r="F73" i="166"/>
  <c r="T77" i="166"/>
  <c r="F75" i="166"/>
  <c r="T73" i="166"/>
  <c r="T79" i="166" s="1"/>
  <c r="H71" i="166"/>
  <c r="F20" i="165"/>
  <c r="H20" i="165" s="1"/>
  <c r="M79" i="165"/>
  <c r="W73" i="165"/>
  <c r="P71" i="165"/>
  <c r="Q70" i="165"/>
  <c r="P70" i="165"/>
  <c r="H70" i="165"/>
  <c r="E70" i="165"/>
  <c r="I70" i="165" s="1"/>
  <c r="Q69" i="165"/>
  <c r="P69" i="165"/>
  <c r="I69" i="165"/>
  <c r="H69" i="165"/>
  <c r="E69" i="165"/>
  <c r="AD68" i="165"/>
  <c r="AC68" i="165"/>
  <c r="AB68" i="165"/>
  <c r="AE68" i="165" s="1"/>
  <c r="AI68" i="165" s="1"/>
  <c r="Y68" i="165" s="1"/>
  <c r="Z68" i="165"/>
  <c r="X68" i="165"/>
  <c r="W68" i="165"/>
  <c r="Q68" i="165"/>
  <c r="P68" i="165"/>
  <c r="H68" i="165"/>
  <c r="E68" i="165"/>
  <c r="I68" i="165" s="1"/>
  <c r="AE67" i="165"/>
  <c r="AI67" i="165" s="1"/>
  <c r="Y67" i="165" s="1"/>
  <c r="AD67" i="165"/>
  <c r="AC67" i="165"/>
  <c r="AB67" i="165"/>
  <c r="Z67" i="165"/>
  <c r="X67" i="165"/>
  <c r="Q67" i="165"/>
  <c r="P67" i="165"/>
  <c r="H67" i="165"/>
  <c r="E67" i="165"/>
  <c r="I67" i="165" s="1"/>
  <c r="AD66" i="165"/>
  <c r="AC66" i="165"/>
  <c r="AB66" i="165"/>
  <c r="AE66" i="165" s="1"/>
  <c r="AI66" i="165" s="1"/>
  <c r="Y66" i="165" s="1"/>
  <c r="Z66" i="165"/>
  <c r="X66" i="165"/>
  <c r="Q66" i="165"/>
  <c r="P66" i="165"/>
  <c r="H66" i="165"/>
  <c r="E66" i="165"/>
  <c r="I66" i="165" s="1"/>
  <c r="AD65" i="165"/>
  <c r="AC65" i="165"/>
  <c r="AB65" i="165"/>
  <c r="AE65" i="165" s="1"/>
  <c r="AI65" i="165" s="1"/>
  <c r="Y65" i="165" s="1"/>
  <c r="Z65" i="165"/>
  <c r="X65" i="165"/>
  <c r="Q65" i="165"/>
  <c r="P65" i="165"/>
  <c r="H65" i="165"/>
  <c r="E65" i="165"/>
  <c r="I65" i="165" s="1"/>
  <c r="AD64" i="165"/>
  <c r="AC64" i="165"/>
  <c r="AB64" i="165"/>
  <c r="AE64" i="165" s="1"/>
  <c r="AI64" i="165" s="1"/>
  <c r="Y64" i="165" s="1"/>
  <c r="Z64" i="165"/>
  <c r="X64" i="165"/>
  <c r="Q64" i="165"/>
  <c r="P64" i="165"/>
  <c r="I64" i="165"/>
  <c r="H64" i="165"/>
  <c r="E64" i="165"/>
  <c r="AD63" i="165"/>
  <c r="AE63" i="165" s="1"/>
  <c r="AI63" i="165" s="1"/>
  <c r="Y63" i="165" s="1"/>
  <c r="AC63" i="165"/>
  <c r="AB63" i="165"/>
  <c r="Z63" i="165"/>
  <c r="X63" i="165"/>
  <c r="Q63" i="165"/>
  <c r="P63" i="165"/>
  <c r="I63" i="165"/>
  <c r="H63" i="165"/>
  <c r="E63" i="165"/>
  <c r="AD62" i="165"/>
  <c r="AC62" i="165"/>
  <c r="AB62" i="165"/>
  <c r="AE62" i="165" s="1"/>
  <c r="AI62" i="165" s="1"/>
  <c r="Y62" i="165" s="1"/>
  <c r="Z62" i="165"/>
  <c r="X62" i="165"/>
  <c r="Q62" i="165"/>
  <c r="P62" i="165"/>
  <c r="H62" i="165"/>
  <c r="E62" i="165"/>
  <c r="I62" i="165" s="1"/>
  <c r="AE61" i="165"/>
  <c r="AI61" i="165" s="1"/>
  <c r="Y61" i="165" s="1"/>
  <c r="AC61" i="165"/>
  <c r="AB61" i="165"/>
  <c r="X61" i="165"/>
  <c r="Q61" i="165"/>
  <c r="P61" i="165"/>
  <c r="I61" i="165"/>
  <c r="H61" i="165"/>
  <c r="E61" i="165"/>
  <c r="AE60" i="165"/>
  <c r="AI60" i="165" s="1"/>
  <c r="Y60" i="165" s="1"/>
  <c r="X60" i="165"/>
  <c r="Q60" i="165"/>
  <c r="P60" i="165"/>
  <c r="I60" i="165"/>
  <c r="H60" i="165"/>
  <c r="E60" i="165"/>
  <c r="AC59" i="165"/>
  <c r="AB59" i="165"/>
  <c r="AE59" i="165" s="1"/>
  <c r="AI59" i="165" s="1"/>
  <c r="Y59" i="165" s="1"/>
  <c r="X59" i="165"/>
  <c r="Q59" i="165"/>
  <c r="P59" i="165"/>
  <c r="H59" i="165"/>
  <c r="E59" i="165"/>
  <c r="I59" i="165" s="1"/>
  <c r="AC58" i="165"/>
  <c r="AE58" i="165" s="1"/>
  <c r="AI58" i="165" s="1"/>
  <c r="Y58" i="165" s="1"/>
  <c r="AB58" i="165"/>
  <c r="X58" i="165"/>
  <c r="Q58" i="165"/>
  <c r="P58" i="165"/>
  <c r="E58" i="165"/>
  <c r="I58" i="165" s="1"/>
  <c r="AC57" i="165"/>
  <c r="AB57" i="165"/>
  <c r="AE57" i="165" s="1"/>
  <c r="AI57" i="165" s="1"/>
  <c r="Y57" i="165" s="1"/>
  <c r="X57" i="165"/>
  <c r="Q57" i="165"/>
  <c r="P57" i="165"/>
  <c r="I57" i="165"/>
  <c r="H57" i="165"/>
  <c r="E57" i="165"/>
  <c r="AD56" i="165"/>
  <c r="AC56" i="165"/>
  <c r="AB56" i="165"/>
  <c r="AE56" i="165" s="1"/>
  <c r="AI56" i="165" s="1"/>
  <c r="Y56" i="165" s="1"/>
  <c r="Z56" i="165"/>
  <c r="X56" i="165"/>
  <c r="Q56" i="165"/>
  <c r="P56" i="165"/>
  <c r="H56" i="165"/>
  <c r="E56" i="165"/>
  <c r="I56" i="165" s="1"/>
  <c r="AD55" i="165"/>
  <c r="AE55" i="165" s="1"/>
  <c r="AI55" i="165" s="1"/>
  <c r="Y55" i="165" s="1"/>
  <c r="AC55" i="165"/>
  <c r="AB55" i="165"/>
  <c r="Z55" i="165"/>
  <c r="X55" i="165"/>
  <c r="Q55" i="165"/>
  <c r="P55" i="165"/>
  <c r="H55" i="165"/>
  <c r="E55" i="165"/>
  <c r="I55" i="165" s="1"/>
  <c r="AD54" i="165"/>
  <c r="AC54" i="165"/>
  <c r="AE54" i="165" s="1"/>
  <c r="AI54" i="165" s="1"/>
  <c r="Y54" i="165" s="1"/>
  <c r="AB54" i="165"/>
  <c r="Z54" i="165"/>
  <c r="X54" i="165"/>
  <c r="Q54" i="165"/>
  <c r="P54" i="165"/>
  <c r="I54" i="165"/>
  <c r="H54" i="165"/>
  <c r="E54" i="165"/>
  <c r="AD53" i="165"/>
  <c r="AC53" i="165"/>
  <c r="AB53" i="165"/>
  <c r="AE53" i="165" s="1"/>
  <c r="AI53" i="165" s="1"/>
  <c r="Y53" i="165" s="1"/>
  <c r="Z53" i="165"/>
  <c r="X53" i="165"/>
  <c r="Q53" i="165"/>
  <c r="P53" i="165"/>
  <c r="H53" i="165"/>
  <c r="E53" i="165"/>
  <c r="I53" i="165" s="1"/>
  <c r="AI52" i="165"/>
  <c r="Y52" i="165" s="1"/>
  <c r="AE52" i="165"/>
  <c r="Z52" i="165"/>
  <c r="X52" i="165"/>
  <c r="Q52" i="165"/>
  <c r="P52" i="165"/>
  <c r="H52" i="165"/>
  <c r="E52" i="165"/>
  <c r="I52" i="165" s="1"/>
  <c r="AE51" i="165"/>
  <c r="AI51" i="165" s="1"/>
  <c r="Y51" i="165" s="1"/>
  <c r="AD51" i="165"/>
  <c r="AC51" i="165"/>
  <c r="AB51" i="165"/>
  <c r="Z51" i="165"/>
  <c r="X51" i="165"/>
  <c r="Q51" i="165"/>
  <c r="P51" i="165"/>
  <c r="H51" i="165"/>
  <c r="E51" i="165"/>
  <c r="I51" i="165" s="1"/>
  <c r="AD50" i="165"/>
  <c r="AC50" i="165"/>
  <c r="AB50" i="165"/>
  <c r="AE50" i="165" s="1"/>
  <c r="AI50" i="165" s="1"/>
  <c r="Y50" i="165" s="1"/>
  <c r="Z50" i="165"/>
  <c r="X50" i="165"/>
  <c r="Q50" i="165"/>
  <c r="P50" i="165"/>
  <c r="H50" i="165"/>
  <c r="E50" i="165"/>
  <c r="I50" i="165" s="1"/>
  <c r="AI49" i="165"/>
  <c r="AE49" i="165"/>
  <c r="Z49" i="165"/>
  <c r="Y49" i="165"/>
  <c r="X49" i="165"/>
  <c r="Q49" i="165"/>
  <c r="P49" i="165"/>
  <c r="I49" i="165"/>
  <c r="H49" i="165"/>
  <c r="E49" i="165"/>
  <c r="AE48" i="165"/>
  <c r="AI48" i="165" s="1"/>
  <c r="Y48" i="165" s="1"/>
  <c r="Z48" i="165"/>
  <c r="X48" i="165"/>
  <c r="Q48" i="165"/>
  <c r="P48" i="165"/>
  <c r="H48" i="165"/>
  <c r="E48" i="165"/>
  <c r="I48" i="165" s="1"/>
  <c r="AE47" i="165"/>
  <c r="AI47" i="165" s="1"/>
  <c r="Y47" i="165" s="1"/>
  <c r="Z47" i="165"/>
  <c r="X47" i="165"/>
  <c r="Q47" i="165"/>
  <c r="P47" i="165"/>
  <c r="I47" i="165"/>
  <c r="H47" i="165"/>
  <c r="E47" i="165"/>
  <c r="AD46" i="165"/>
  <c r="AC46" i="165"/>
  <c r="AB46" i="165"/>
  <c r="AE46" i="165" s="1"/>
  <c r="AI46" i="165" s="1"/>
  <c r="Y46" i="165" s="1"/>
  <c r="Z46" i="165"/>
  <c r="X46" i="165"/>
  <c r="Q46" i="165"/>
  <c r="P46" i="165"/>
  <c r="H46" i="165"/>
  <c r="E46" i="165"/>
  <c r="I46" i="165" s="1"/>
  <c r="AE45" i="165"/>
  <c r="AI45" i="165" s="1"/>
  <c r="Y45" i="165" s="1"/>
  <c r="AD45" i="165"/>
  <c r="AC45" i="165"/>
  <c r="AB45" i="165"/>
  <c r="Z45" i="165"/>
  <c r="X45" i="165"/>
  <c r="Q45" i="165"/>
  <c r="P45" i="165"/>
  <c r="I45" i="165"/>
  <c r="H45" i="165"/>
  <c r="E45" i="165"/>
  <c r="AD44" i="165"/>
  <c r="AC44" i="165"/>
  <c r="AB44" i="165"/>
  <c r="AE44" i="165" s="1"/>
  <c r="AI44" i="165" s="1"/>
  <c r="Y44" i="165" s="1"/>
  <c r="Z44" i="165"/>
  <c r="X44" i="165"/>
  <c r="Q44" i="165"/>
  <c r="P44" i="165"/>
  <c r="H44" i="165"/>
  <c r="E44" i="165"/>
  <c r="I44" i="165" s="1"/>
  <c r="AD43" i="165"/>
  <c r="AE43" i="165" s="1"/>
  <c r="AI43" i="165" s="1"/>
  <c r="Y43" i="165" s="1"/>
  <c r="AC43" i="165"/>
  <c r="AB43" i="165"/>
  <c r="Z43" i="165"/>
  <c r="X43" i="165"/>
  <c r="Q43" i="165"/>
  <c r="P43" i="165"/>
  <c r="H43" i="165"/>
  <c r="E43" i="165"/>
  <c r="I43" i="165" s="1"/>
  <c r="AD42" i="165"/>
  <c r="AC42" i="165"/>
  <c r="AE42" i="165" s="1"/>
  <c r="AI42" i="165" s="1"/>
  <c r="Y42" i="165" s="1"/>
  <c r="AB42" i="165"/>
  <c r="Z42" i="165"/>
  <c r="X42" i="165"/>
  <c r="Q42" i="165"/>
  <c r="P42" i="165"/>
  <c r="I42" i="165"/>
  <c r="H42" i="165"/>
  <c r="E42" i="165"/>
  <c r="AD41" i="165"/>
  <c r="AC41" i="165"/>
  <c r="AB41" i="165"/>
  <c r="AE41" i="165" s="1"/>
  <c r="AI41" i="165" s="1"/>
  <c r="Y41" i="165" s="1"/>
  <c r="Z41" i="165"/>
  <c r="X41" i="165"/>
  <c r="Q41" i="165"/>
  <c r="P41" i="165"/>
  <c r="H41" i="165"/>
  <c r="E41" i="165"/>
  <c r="I41" i="165" s="1"/>
  <c r="AD40" i="165"/>
  <c r="AC40" i="165"/>
  <c r="AB40" i="165"/>
  <c r="AE40" i="165" s="1"/>
  <c r="AI40" i="165" s="1"/>
  <c r="Y40" i="165" s="1"/>
  <c r="Z40" i="165"/>
  <c r="X40" i="165"/>
  <c r="Q40" i="165"/>
  <c r="P40" i="165"/>
  <c r="I40" i="165"/>
  <c r="H40" i="165"/>
  <c r="E40" i="165"/>
  <c r="AD39" i="165"/>
  <c r="AC39" i="165"/>
  <c r="AE39" i="165" s="1"/>
  <c r="AI39" i="165" s="1"/>
  <c r="AB39" i="165"/>
  <c r="Q39" i="165"/>
  <c r="P39" i="165"/>
  <c r="H39" i="165"/>
  <c r="E39" i="165"/>
  <c r="AD38" i="165"/>
  <c r="AC38" i="165"/>
  <c r="AB38" i="165"/>
  <c r="AE38" i="165" s="1"/>
  <c r="AI38" i="165" s="1"/>
  <c r="Y38" i="165" s="1"/>
  <c r="Z38" i="165"/>
  <c r="X38" i="165"/>
  <c r="Q38" i="165"/>
  <c r="P38" i="165"/>
  <c r="H38" i="165"/>
  <c r="E38" i="165"/>
  <c r="I38" i="165" s="1"/>
  <c r="AD37" i="165"/>
  <c r="AC37" i="165"/>
  <c r="AE37" i="165" s="1"/>
  <c r="AI37" i="165" s="1"/>
  <c r="Y37" i="165" s="1"/>
  <c r="AB37" i="165"/>
  <c r="Z37" i="165"/>
  <c r="X37" i="165"/>
  <c r="Q37" i="165"/>
  <c r="P37" i="165"/>
  <c r="H37" i="165"/>
  <c r="E37" i="165"/>
  <c r="I37" i="165" s="1"/>
  <c r="AD36" i="165"/>
  <c r="AC36" i="165"/>
  <c r="AB36" i="165"/>
  <c r="AE36" i="165" s="1"/>
  <c r="AI36" i="165" s="1"/>
  <c r="Y36" i="165" s="1"/>
  <c r="Z36" i="165"/>
  <c r="X36" i="165"/>
  <c r="Q36" i="165"/>
  <c r="P36" i="165"/>
  <c r="I36" i="165"/>
  <c r="H36" i="165"/>
  <c r="E36" i="165"/>
  <c r="AD35" i="165"/>
  <c r="AC35" i="165"/>
  <c r="AB35" i="165"/>
  <c r="AE35" i="165" s="1"/>
  <c r="AI35" i="165" s="1"/>
  <c r="Y35" i="165" s="1"/>
  <c r="Z35" i="165"/>
  <c r="X35" i="165"/>
  <c r="Q35" i="165"/>
  <c r="P35" i="165"/>
  <c r="H35" i="165"/>
  <c r="E35" i="165"/>
  <c r="I35" i="165" s="1"/>
  <c r="AE34" i="165"/>
  <c r="AI34" i="165" s="1"/>
  <c r="Y34" i="165" s="1"/>
  <c r="AD34" i="165"/>
  <c r="AC34" i="165"/>
  <c r="AB34" i="165"/>
  <c r="Z34" i="165"/>
  <c r="X34" i="165"/>
  <c r="Q34" i="165"/>
  <c r="P34" i="165"/>
  <c r="H34" i="165"/>
  <c r="E34" i="165"/>
  <c r="I34" i="165" s="1"/>
  <c r="AD33" i="165"/>
  <c r="AC33" i="165"/>
  <c r="AB33" i="165"/>
  <c r="AE33" i="165" s="1"/>
  <c r="AI33" i="165" s="1"/>
  <c r="Y33" i="165" s="1"/>
  <c r="Z33" i="165"/>
  <c r="X33" i="165"/>
  <c r="Q33" i="165"/>
  <c r="P33" i="165"/>
  <c r="H33" i="165"/>
  <c r="E33" i="165"/>
  <c r="I33" i="165" s="1"/>
  <c r="AD32" i="165"/>
  <c r="AE32" i="165" s="1"/>
  <c r="AI32" i="165" s="1"/>
  <c r="Y32" i="165" s="1"/>
  <c r="AC32" i="165"/>
  <c r="AB32" i="165"/>
  <c r="Z32" i="165"/>
  <c r="X32" i="165"/>
  <c r="Q32" i="165"/>
  <c r="P32" i="165"/>
  <c r="H32" i="165"/>
  <c r="E32" i="165"/>
  <c r="I32" i="165" s="1"/>
  <c r="AE31" i="165"/>
  <c r="AI31" i="165" s="1"/>
  <c r="Y31" i="165" s="1"/>
  <c r="Z31" i="165"/>
  <c r="X31" i="165"/>
  <c r="Q31" i="165"/>
  <c r="P31" i="165"/>
  <c r="H31" i="165"/>
  <c r="E31" i="165"/>
  <c r="I31" i="165" s="1"/>
  <c r="AD30" i="165"/>
  <c r="AC30" i="165"/>
  <c r="AB30" i="165"/>
  <c r="AE30" i="165" s="1"/>
  <c r="AI30" i="165" s="1"/>
  <c r="Y30" i="165" s="1"/>
  <c r="Z30" i="165"/>
  <c r="X30" i="165"/>
  <c r="Q30" i="165"/>
  <c r="P30" i="165"/>
  <c r="I30" i="165"/>
  <c r="H30" i="165"/>
  <c r="E30" i="165"/>
  <c r="AD29" i="165"/>
  <c r="AC29" i="165"/>
  <c r="AE29" i="165" s="1"/>
  <c r="AI29" i="165" s="1"/>
  <c r="Y29" i="165" s="1"/>
  <c r="AB29" i="165"/>
  <c r="Z29" i="165"/>
  <c r="X29" i="165"/>
  <c r="Q29" i="165"/>
  <c r="P29" i="165"/>
  <c r="H29" i="165"/>
  <c r="E29" i="165"/>
  <c r="I29" i="165" s="1"/>
  <c r="AE28" i="165"/>
  <c r="AI28" i="165" s="1"/>
  <c r="Y28" i="165" s="1"/>
  <c r="AD28" i="165"/>
  <c r="AC28" i="165"/>
  <c r="AB28" i="165"/>
  <c r="Z28" i="165"/>
  <c r="X28" i="165"/>
  <c r="Q28" i="165"/>
  <c r="P28" i="165"/>
  <c r="H28" i="165"/>
  <c r="E28" i="165"/>
  <c r="I28" i="165" s="1"/>
  <c r="AD27" i="165"/>
  <c r="AC27" i="165"/>
  <c r="AB27" i="165"/>
  <c r="AE27" i="165" s="1"/>
  <c r="AI27" i="165" s="1"/>
  <c r="Y27" i="165" s="1"/>
  <c r="Z27" i="165"/>
  <c r="X27" i="165"/>
  <c r="Q27" i="165"/>
  <c r="P27" i="165"/>
  <c r="H27" i="165"/>
  <c r="E27" i="165"/>
  <c r="I27" i="165" s="1"/>
  <c r="AD26" i="165"/>
  <c r="AC26" i="165"/>
  <c r="AB26" i="165"/>
  <c r="AE26" i="165" s="1"/>
  <c r="AI26" i="165" s="1"/>
  <c r="Y26" i="165" s="1"/>
  <c r="Z26" i="165"/>
  <c r="X26" i="165"/>
  <c r="Q26" i="165"/>
  <c r="P26" i="165"/>
  <c r="H26" i="165"/>
  <c r="E26" i="165"/>
  <c r="I26" i="165" s="1"/>
  <c r="AD25" i="165"/>
  <c r="AC25" i="165"/>
  <c r="AB25" i="165"/>
  <c r="AE25" i="165" s="1"/>
  <c r="AI25" i="165" s="1"/>
  <c r="Y25" i="165" s="1"/>
  <c r="Z25" i="165"/>
  <c r="X25" i="165"/>
  <c r="Q25" i="165"/>
  <c r="P25" i="165"/>
  <c r="I25" i="165"/>
  <c r="H25" i="165"/>
  <c r="E25" i="165"/>
  <c r="AD24" i="165"/>
  <c r="AE24" i="165" s="1"/>
  <c r="AI24" i="165" s="1"/>
  <c r="Y24" i="165" s="1"/>
  <c r="AC24" i="165"/>
  <c r="AB24" i="165"/>
  <c r="Z24" i="165"/>
  <c r="X24" i="165"/>
  <c r="Q24" i="165"/>
  <c r="P24" i="165"/>
  <c r="H24" i="165"/>
  <c r="E24" i="165"/>
  <c r="I24" i="165" s="1"/>
  <c r="AD23" i="165"/>
  <c r="AC23" i="165"/>
  <c r="AB23" i="165"/>
  <c r="AE23" i="165" s="1"/>
  <c r="AI23" i="165" s="1"/>
  <c r="Y23" i="165" s="1"/>
  <c r="Z23" i="165"/>
  <c r="X23" i="165"/>
  <c r="Q23" i="165"/>
  <c r="P23" i="165"/>
  <c r="H23" i="165"/>
  <c r="E23" i="165"/>
  <c r="I23" i="165" s="1"/>
  <c r="AD22" i="165"/>
  <c r="AC22" i="165"/>
  <c r="AE22" i="165" s="1"/>
  <c r="AI22" i="165" s="1"/>
  <c r="Y22" i="165" s="1"/>
  <c r="AB22" i="165"/>
  <c r="Z22" i="165"/>
  <c r="X22" i="165"/>
  <c r="Q22" i="165"/>
  <c r="P22" i="165"/>
  <c r="H22" i="165"/>
  <c r="E22" i="165"/>
  <c r="I22" i="165" s="1"/>
  <c r="AD21" i="165"/>
  <c r="AC21" i="165"/>
  <c r="AB21" i="165"/>
  <c r="AE21" i="165" s="1"/>
  <c r="AI21" i="165" s="1"/>
  <c r="Y21" i="165" s="1"/>
  <c r="Z21" i="165"/>
  <c r="X21" i="165"/>
  <c r="Q21" i="165"/>
  <c r="P21" i="165"/>
  <c r="I21" i="165"/>
  <c r="H21" i="165"/>
  <c r="E21" i="165"/>
  <c r="AD20" i="165"/>
  <c r="AC20" i="165"/>
  <c r="AB20" i="165"/>
  <c r="AE20" i="165" s="1"/>
  <c r="AI20" i="165" s="1"/>
  <c r="Z20" i="165"/>
  <c r="X20" i="165"/>
  <c r="Q20" i="165"/>
  <c r="P20" i="165"/>
  <c r="E20" i="165"/>
  <c r="AE19" i="165"/>
  <c r="AI19" i="165" s="1"/>
  <c r="Y19" i="165" s="1"/>
  <c r="AD19" i="165"/>
  <c r="AC19" i="165"/>
  <c r="AB19" i="165"/>
  <c r="Z19" i="165"/>
  <c r="X19" i="165"/>
  <c r="Q19" i="165"/>
  <c r="P19" i="165"/>
  <c r="H19" i="165"/>
  <c r="E19" i="165"/>
  <c r="I19" i="165" s="1"/>
  <c r="AD18" i="165"/>
  <c r="AC18" i="165"/>
  <c r="AB18" i="165"/>
  <c r="AE18" i="165" s="1"/>
  <c r="AI18" i="165" s="1"/>
  <c r="Y18" i="165" s="1"/>
  <c r="Z18" i="165"/>
  <c r="X18" i="165"/>
  <c r="Q18" i="165"/>
  <c r="P18" i="165"/>
  <c r="H18" i="165"/>
  <c r="E18" i="165"/>
  <c r="I18" i="165" s="1"/>
  <c r="AD17" i="165"/>
  <c r="AE17" i="165" s="1"/>
  <c r="AI17" i="165" s="1"/>
  <c r="Y17" i="165" s="1"/>
  <c r="AC17" i="165"/>
  <c r="AB17" i="165"/>
  <c r="Z17" i="165"/>
  <c r="X17" i="165"/>
  <c r="Q17" i="165"/>
  <c r="P17" i="165"/>
  <c r="H17" i="165"/>
  <c r="E17" i="165"/>
  <c r="I17" i="165" s="1"/>
  <c r="AD16" i="165"/>
  <c r="AC16" i="165"/>
  <c r="AE16" i="165" s="1"/>
  <c r="AI16" i="165" s="1"/>
  <c r="Y16" i="165" s="1"/>
  <c r="AB16" i="165"/>
  <c r="Z16" i="165"/>
  <c r="X16" i="165"/>
  <c r="Q16" i="165"/>
  <c r="P16" i="165"/>
  <c r="I16" i="165"/>
  <c r="E16" i="165"/>
  <c r="AD15" i="165"/>
  <c r="AC15" i="165"/>
  <c r="AB15" i="165"/>
  <c r="AE15" i="165" s="1"/>
  <c r="AI15" i="165" s="1"/>
  <c r="Y15" i="165" s="1"/>
  <c r="Z15" i="165"/>
  <c r="X15" i="165"/>
  <c r="Q15" i="165"/>
  <c r="P15" i="165"/>
  <c r="E15" i="165"/>
  <c r="I15" i="165" s="1"/>
  <c r="AD14" i="165"/>
  <c r="AE14" i="165" s="1"/>
  <c r="AI14" i="165" s="1"/>
  <c r="Y14" i="165" s="1"/>
  <c r="AC14" i="165"/>
  <c r="AB14" i="165"/>
  <c r="Z14" i="165"/>
  <c r="X14" i="165"/>
  <c r="Q14" i="165"/>
  <c r="P14" i="165"/>
  <c r="I14" i="165"/>
  <c r="H14" i="165"/>
  <c r="E14" i="165"/>
  <c r="AD13" i="165"/>
  <c r="AC13" i="165"/>
  <c r="AB13" i="165"/>
  <c r="AE13" i="165" s="1"/>
  <c r="AI13" i="165" s="1"/>
  <c r="Y13" i="165" s="1"/>
  <c r="Z13" i="165"/>
  <c r="X13" i="165"/>
  <c r="Q13" i="165"/>
  <c r="P13" i="165"/>
  <c r="H13" i="165"/>
  <c r="E13" i="165"/>
  <c r="I13" i="165" s="1"/>
  <c r="AD12" i="165"/>
  <c r="AC12" i="165"/>
  <c r="AE12" i="165" s="1"/>
  <c r="AI12" i="165" s="1"/>
  <c r="Y12" i="165" s="1"/>
  <c r="AB12" i="165"/>
  <c r="Z12" i="165"/>
  <c r="X12" i="165"/>
  <c r="Q12" i="165"/>
  <c r="P12" i="165"/>
  <c r="H12" i="165"/>
  <c r="E12" i="165"/>
  <c r="I12" i="165" s="1"/>
  <c r="F77" i="166" l="1"/>
  <c r="Y20" i="165"/>
  <c r="I20" i="165"/>
  <c r="O73" i="165"/>
  <c r="O75" i="165"/>
  <c r="T77" i="165"/>
  <c r="I39" i="165"/>
  <c r="F75" i="165" s="1"/>
  <c r="Y39" i="165"/>
  <c r="T73" i="165" s="1"/>
  <c r="X39" i="165"/>
  <c r="Z39" i="165"/>
  <c r="T75" i="165" s="1"/>
  <c r="H71" i="165"/>
  <c r="F39" i="164"/>
  <c r="Z39" i="164" s="1"/>
  <c r="M79" i="164"/>
  <c r="W73" i="164"/>
  <c r="P71" i="164"/>
  <c r="H71" i="164"/>
  <c r="Q70" i="164"/>
  <c r="P70" i="164"/>
  <c r="I70" i="164"/>
  <c r="H70" i="164"/>
  <c r="E70" i="164"/>
  <c r="Q69" i="164"/>
  <c r="P69" i="164"/>
  <c r="I69" i="164"/>
  <c r="H69" i="164"/>
  <c r="E69" i="164"/>
  <c r="AD68" i="164"/>
  <c r="AC68" i="164"/>
  <c r="AB68" i="164"/>
  <c r="AE68" i="164" s="1"/>
  <c r="AI68" i="164" s="1"/>
  <c r="Y68" i="164" s="1"/>
  <c r="Z68" i="164"/>
  <c r="X68" i="164"/>
  <c r="W68" i="164"/>
  <c r="Q68" i="164"/>
  <c r="P68" i="164"/>
  <c r="H68" i="164"/>
  <c r="E68" i="164"/>
  <c r="I68" i="164" s="1"/>
  <c r="AD67" i="164"/>
  <c r="AC67" i="164"/>
  <c r="AE67" i="164" s="1"/>
  <c r="AI67" i="164" s="1"/>
  <c r="Y67" i="164" s="1"/>
  <c r="AB67" i="164"/>
  <c r="Z67" i="164"/>
  <c r="X67" i="164"/>
  <c r="Q67" i="164"/>
  <c r="P67" i="164"/>
  <c r="I67" i="164"/>
  <c r="H67" i="164"/>
  <c r="E67" i="164"/>
  <c r="AE66" i="164"/>
  <c r="AI66" i="164" s="1"/>
  <c r="Y66" i="164" s="1"/>
  <c r="AD66" i="164"/>
  <c r="AC66" i="164"/>
  <c r="AB66" i="164"/>
  <c r="Z66" i="164"/>
  <c r="X66" i="164"/>
  <c r="Q66" i="164"/>
  <c r="P66" i="164"/>
  <c r="H66" i="164"/>
  <c r="E66" i="164"/>
  <c r="I66" i="164" s="1"/>
  <c r="AE65" i="164"/>
  <c r="AI65" i="164" s="1"/>
  <c r="Y65" i="164" s="1"/>
  <c r="AD65" i="164"/>
  <c r="AC65" i="164"/>
  <c r="AB65" i="164"/>
  <c r="Z65" i="164"/>
  <c r="X65" i="164"/>
  <c r="Q65" i="164"/>
  <c r="P65" i="164"/>
  <c r="H65" i="164"/>
  <c r="E65" i="164"/>
  <c r="I65" i="164" s="1"/>
  <c r="AD64" i="164"/>
  <c r="AC64" i="164"/>
  <c r="AB64" i="164"/>
  <c r="AE64" i="164" s="1"/>
  <c r="AI64" i="164" s="1"/>
  <c r="Y64" i="164" s="1"/>
  <c r="Z64" i="164"/>
  <c r="X64" i="164"/>
  <c r="Q64" i="164"/>
  <c r="P64" i="164"/>
  <c r="H64" i="164"/>
  <c r="E64" i="164"/>
  <c r="I64" i="164" s="1"/>
  <c r="AD63" i="164"/>
  <c r="AC63" i="164"/>
  <c r="AB63" i="164"/>
  <c r="AE63" i="164" s="1"/>
  <c r="AI63" i="164" s="1"/>
  <c r="Y63" i="164" s="1"/>
  <c r="Z63" i="164"/>
  <c r="X63" i="164"/>
  <c r="Q63" i="164"/>
  <c r="P63" i="164"/>
  <c r="I63" i="164"/>
  <c r="H63" i="164"/>
  <c r="E63" i="164"/>
  <c r="AD62" i="164"/>
  <c r="AC62" i="164"/>
  <c r="AB62" i="164"/>
  <c r="AE62" i="164" s="1"/>
  <c r="AI62" i="164" s="1"/>
  <c r="Y62" i="164" s="1"/>
  <c r="Z62" i="164"/>
  <c r="X62" i="164"/>
  <c r="Q62" i="164"/>
  <c r="P62" i="164"/>
  <c r="I62" i="164"/>
  <c r="H62" i="164"/>
  <c r="E62" i="164"/>
  <c r="AC61" i="164"/>
  <c r="AE61" i="164" s="1"/>
  <c r="AI61" i="164" s="1"/>
  <c r="Y61" i="164" s="1"/>
  <c r="AB61" i="164"/>
  <c r="X61" i="164"/>
  <c r="Q61" i="164"/>
  <c r="P61" i="164"/>
  <c r="I61" i="164"/>
  <c r="H61" i="164"/>
  <c r="E61" i="164"/>
  <c r="AI60" i="164"/>
  <c r="AE60" i="164"/>
  <c r="Y60" i="164"/>
  <c r="X60" i="164"/>
  <c r="Q60" i="164"/>
  <c r="P60" i="164"/>
  <c r="I60" i="164"/>
  <c r="H60" i="164"/>
  <c r="E60" i="164"/>
  <c r="AE59" i="164"/>
  <c r="AI59" i="164" s="1"/>
  <c r="Y59" i="164" s="1"/>
  <c r="AC59" i="164"/>
  <c r="AB59" i="164"/>
  <c r="X59" i="164"/>
  <c r="Q59" i="164"/>
  <c r="P59" i="164"/>
  <c r="I59" i="164"/>
  <c r="H59" i="164"/>
  <c r="E59" i="164"/>
  <c r="AE58" i="164"/>
  <c r="AI58" i="164" s="1"/>
  <c r="Y58" i="164" s="1"/>
  <c r="AC58" i="164"/>
  <c r="AB58" i="164"/>
  <c r="X58" i="164"/>
  <c r="Q58" i="164"/>
  <c r="P58" i="164"/>
  <c r="E58" i="164"/>
  <c r="I58" i="164" s="1"/>
  <c r="AC57" i="164"/>
  <c r="AB57" i="164"/>
  <c r="AE57" i="164" s="1"/>
  <c r="AI57" i="164" s="1"/>
  <c r="Y57" i="164" s="1"/>
  <c r="X57" i="164"/>
  <c r="Q57" i="164"/>
  <c r="P57" i="164"/>
  <c r="I57" i="164"/>
  <c r="H57" i="164"/>
  <c r="E57" i="164"/>
  <c r="AD56" i="164"/>
  <c r="AC56" i="164"/>
  <c r="AB56" i="164"/>
  <c r="AE56" i="164" s="1"/>
  <c r="AI56" i="164" s="1"/>
  <c r="Y56" i="164" s="1"/>
  <c r="Z56" i="164"/>
  <c r="X56" i="164"/>
  <c r="Q56" i="164"/>
  <c r="P56" i="164"/>
  <c r="H56" i="164"/>
  <c r="E56" i="164"/>
  <c r="I56" i="164" s="1"/>
  <c r="AE55" i="164"/>
  <c r="AI55" i="164" s="1"/>
  <c r="Y55" i="164" s="1"/>
  <c r="AD55" i="164"/>
  <c r="AC55" i="164"/>
  <c r="AB55" i="164"/>
  <c r="Z55" i="164"/>
  <c r="X55" i="164"/>
  <c r="Q55" i="164"/>
  <c r="P55" i="164"/>
  <c r="H55" i="164"/>
  <c r="E55" i="164"/>
  <c r="I55" i="164" s="1"/>
  <c r="AD54" i="164"/>
  <c r="AC54" i="164"/>
  <c r="AB54" i="164"/>
  <c r="AE54" i="164" s="1"/>
  <c r="AI54" i="164" s="1"/>
  <c r="Y54" i="164" s="1"/>
  <c r="Z54" i="164"/>
  <c r="X54" i="164"/>
  <c r="Q54" i="164"/>
  <c r="P54" i="164"/>
  <c r="I54" i="164"/>
  <c r="H54" i="164"/>
  <c r="E54" i="164"/>
  <c r="AD53" i="164"/>
  <c r="AE53" i="164" s="1"/>
  <c r="AI53" i="164" s="1"/>
  <c r="Y53" i="164" s="1"/>
  <c r="AC53" i="164"/>
  <c r="AB53" i="164"/>
  <c r="Z53" i="164"/>
  <c r="X53" i="164"/>
  <c r="Q53" i="164"/>
  <c r="P53" i="164"/>
  <c r="I53" i="164"/>
  <c r="H53" i="164"/>
  <c r="E53" i="164"/>
  <c r="AI52" i="164"/>
  <c r="AE52" i="164"/>
  <c r="Z52" i="164"/>
  <c r="Y52" i="164"/>
  <c r="X52" i="164"/>
  <c r="Q52" i="164"/>
  <c r="P52" i="164"/>
  <c r="H52" i="164"/>
  <c r="E52" i="164"/>
  <c r="I52" i="164" s="1"/>
  <c r="AD51" i="164"/>
  <c r="AC51" i="164"/>
  <c r="AB51" i="164"/>
  <c r="AE51" i="164" s="1"/>
  <c r="AI51" i="164" s="1"/>
  <c r="Y51" i="164" s="1"/>
  <c r="Z51" i="164"/>
  <c r="X51" i="164"/>
  <c r="Q51" i="164"/>
  <c r="P51" i="164"/>
  <c r="I51" i="164"/>
  <c r="H51" i="164"/>
  <c r="E51" i="164"/>
  <c r="AE50" i="164"/>
  <c r="AI50" i="164" s="1"/>
  <c r="Y50" i="164" s="1"/>
  <c r="AD50" i="164"/>
  <c r="AC50" i="164"/>
  <c r="AB50" i="164"/>
  <c r="Z50" i="164"/>
  <c r="X50" i="164"/>
  <c r="Q50" i="164"/>
  <c r="P50" i="164"/>
  <c r="H50" i="164"/>
  <c r="E50" i="164"/>
  <c r="I50" i="164" s="1"/>
  <c r="AE49" i="164"/>
  <c r="AI49" i="164" s="1"/>
  <c r="Y49" i="164" s="1"/>
  <c r="Z49" i="164"/>
  <c r="X49" i="164"/>
  <c r="Q49" i="164"/>
  <c r="P49" i="164"/>
  <c r="H49" i="164"/>
  <c r="E49" i="164"/>
  <c r="I49" i="164" s="1"/>
  <c r="AE48" i="164"/>
  <c r="AI48" i="164" s="1"/>
  <c r="Y48" i="164" s="1"/>
  <c r="Z48" i="164"/>
  <c r="X48" i="164"/>
  <c r="Q48" i="164"/>
  <c r="P48" i="164"/>
  <c r="I48" i="164"/>
  <c r="H48" i="164"/>
  <c r="E48" i="164"/>
  <c r="AI47" i="164"/>
  <c r="Y47" i="164" s="1"/>
  <c r="AE47" i="164"/>
  <c r="Z47" i="164"/>
  <c r="X47" i="164"/>
  <c r="Q47" i="164"/>
  <c r="P47" i="164"/>
  <c r="H47" i="164"/>
  <c r="E47" i="164"/>
  <c r="I47" i="164" s="1"/>
  <c r="AD46" i="164"/>
  <c r="AC46" i="164"/>
  <c r="AE46" i="164" s="1"/>
  <c r="AI46" i="164" s="1"/>
  <c r="Y46" i="164" s="1"/>
  <c r="AB46" i="164"/>
  <c r="Z46" i="164"/>
  <c r="X46" i="164"/>
  <c r="Q46" i="164"/>
  <c r="P46" i="164"/>
  <c r="H46" i="164"/>
  <c r="E46" i="164"/>
  <c r="I46" i="164" s="1"/>
  <c r="AD45" i="164"/>
  <c r="AC45" i="164"/>
  <c r="AB45" i="164"/>
  <c r="AE45" i="164" s="1"/>
  <c r="AI45" i="164" s="1"/>
  <c r="Y45" i="164" s="1"/>
  <c r="Z45" i="164"/>
  <c r="X45" i="164"/>
  <c r="Q45" i="164"/>
  <c r="P45" i="164"/>
  <c r="I45" i="164"/>
  <c r="H45" i="164"/>
  <c r="E45" i="164"/>
  <c r="AD44" i="164"/>
  <c r="AC44" i="164"/>
  <c r="AB44" i="164"/>
  <c r="AE44" i="164" s="1"/>
  <c r="AI44" i="164" s="1"/>
  <c r="Y44" i="164" s="1"/>
  <c r="Z44" i="164"/>
  <c r="X44" i="164"/>
  <c r="Q44" i="164"/>
  <c r="P44" i="164"/>
  <c r="H44" i="164"/>
  <c r="E44" i="164"/>
  <c r="I44" i="164" s="1"/>
  <c r="AE43" i="164"/>
  <c r="AI43" i="164" s="1"/>
  <c r="Y43" i="164" s="1"/>
  <c r="AD43" i="164"/>
  <c r="AC43" i="164"/>
  <c r="AB43" i="164"/>
  <c r="Z43" i="164"/>
  <c r="X43" i="164"/>
  <c r="Q43" i="164"/>
  <c r="P43" i="164"/>
  <c r="H43" i="164"/>
  <c r="E43" i="164"/>
  <c r="I43" i="164" s="1"/>
  <c r="AD42" i="164"/>
  <c r="AC42" i="164"/>
  <c r="AB42" i="164"/>
  <c r="AE42" i="164" s="1"/>
  <c r="AI42" i="164" s="1"/>
  <c r="Y42" i="164" s="1"/>
  <c r="Z42" i="164"/>
  <c r="X42" i="164"/>
  <c r="Q42" i="164"/>
  <c r="P42" i="164"/>
  <c r="I42" i="164"/>
  <c r="H42" i="164"/>
  <c r="E42" i="164"/>
  <c r="AD41" i="164"/>
  <c r="AE41" i="164" s="1"/>
  <c r="AI41" i="164" s="1"/>
  <c r="Y41" i="164" s="1"/>
  <c r="AC41" i="164"/>
  <c r="AB41" i="164"/>
  <c r="Z41" i="164"/>
  <c r="X41" i="164"/>
  <c r="Q41" i="164"/>
  <c r="P41" i="164"/>
  <c r="I41" i="164"/>
  <c r="H41" i="164"/>
  <c r="E41" i="164"/>
  <c r="AD40" i="164"/>
  <c r="AC40" i="164"/>
  <c r="AB40" i="164"/>
  <c r="AE40" i="164" s="1"/>
  <c r="AI40" i="164" s="1"/>
  <c r="Y40" i="164" s="1"/>
  <c r="Z40" i="164"/>
  <c r="X40" i="164"/>
  <c r="Q40" i="164"/>
  <c r="P40" i="164"/>
  <c r="I40" i="164"/>
  <c r="H40" i="164"/>
  <c r="E40" i="164"/>
  <c r="AD39" i="164"/>
  <c r="AC39" i="164"/>
  <c r="AB39" i="164"/>
  <c r="AE39" i="164" s="1"/>
  <c r="AI39" i="164" s="1"/>
  <c r="Y39" i="164" s="1"/>
  <c r="X39" i="164"/>
  <c r="Q39" i="164"/>
  <c r="P39" i="164"/>
  <c r="H39" i="164"/>
  <c r="E39" i="164"/>
  <c r="I39" i="164" s="1"/>
  <c r="AD38" i="164"/>
  <c r="AC38" i="164"/>
  <c r="AB38" i="164"/>
  <c r="AE38" i="164" s="1"/>
  <c r="AI38" i="164" s="1"/>
  <c r="Y38" i="164" s="1"/>
  <c r="Z38" i="164"/>
  <c r="X38" i="164"/>
  <c r="Q38" i="164"/>
  <c r="P38" i="164"/>
  <c r="I38" i="164"/>
  <c r="H38" i="164"/>
  <c r="E38" i="164"/>
  <c r="AE37" i="164"/>
  <c r="AI37" i="164" s="1"/>
  <c r="Y37" i="164" s="1"/>
  <c r="AD37" i="164"/>
  <c r="AC37" i="164"/>
  <c r="AB37" i="164"/>
  <c r="Z37" i="164"/>
  <c r="X37" i="164"/>
  <c r="Q37" i="164"/>
  <c r="P37" i="164"/>
  <c r="H37" i="164"/>
  <c r="E37" i="164"/>
  <c r="I37" i="164" s="1"/>
  <c r="AE36" i="164"/>
  <c r="AI36" i="164" s="1"/>
  <c r="Y36" i="164" s="1"/>
  <c r="AD36" i="164"/>
  <c r="AC36" i="164"/>
  <c r="AB36" i="164"/>
  <c r="Z36" i="164"/>
  <c r="X36" i="164"/>
  <c r="Q36" i="164"/>
  <c r="P36" i="164"/>
  <c r="H36" i="164"/>
  <c r="E36" i="164"/>
  <c r="I36" i="164" s="1"/>
  <c r="AD35" i="164"/>
  <c r="AC35" i="164"/>
  <c r="AB35" i="164"/>
  <c r="AE35" i="164" s="1"/>
  <c r="AI35" i="164" s="1"/>
  <c r="Y35" i="164" s="1"/>
  <c r="Z35" i="164"/>
  <c r="X35" i="164"/>
  <c r="Q35" i="164"/>
  <c r="P35" i="164"/>
  <c r="H35" i="164"/>
  <c r="E35" i="164"/>
  <c r="I35" i="164" s="1"/>
  <c r="AD34" i="164"/>
  <c r="AC34" i="164"/>
  <c r="AB34" i="164"/>
  <c r="AE34" i="164" s="1"/>
  <c r="AI34" i="164" s="1"/>
  <c r="Y34" i="164" s="1"/>
  <c r="Z34" i="164"/>
  <c r="X34" i="164"/>
  <c r="Q34" i="164"/>
  <c r="P34" i="164"/>
  <c r="I34" i="164"/>
  <c r="H34" i="164"/>
  <c r="E34" i="164"/>
  <c r="AE33" i="164"/>
  <c r="AI33" i="164" s="1"/>
  <c r="Y33" i="164" s="1"/>
  <c r="AD33" i="164"/>
  <c r="AC33" i="164"/>
  <c r="AB33" i="164"/>
  <c r="Z33" i="164"/>
  <c r="X33" i="164"/>
  <c r="Q33" i="164"/>
  <c r="P33" i="164"/>
  <c r="I33" i="164"/>
  <c r="H33" i="164"/>
  <c r="E33" i="164"/>
  <c r="AD32" i="164"/>
  <c r="AE32" i="164" s="1"/>
  <c r="AI32" i="164" s="1"/>
  <c r="Y32" i="164" s="1"/>
  <c r="AC32" i="164"/>
  <c r="AB32" i="164"/>
  <c r="Z32" i="164"/>
  <c r="X32" i="164"/>
  <c r="Q32" i="164"/>
  <c r="P32" i="164"/>
  <c r="H32" i="164"/>
  <c r="E32" i="164"/>
  <c r="I32" i="164" s="1"/>
  <c r="AI31" i="164"/>
  <c r="Y31" i="164" s="1"/>
  <c r="AE31" i="164"/>
  <c r="Z31" i="164"/>
  <c r="X31" i="164"/>
  <c r="Q31" i="164"/>
  <c r="P31" i="164"/>
  <c r="I31" i="164"/>
  <c r="H31" i="164"/>
  <c r="E31" i="164"/>
  <c r="AD30" i="164"/>
  <c r="AC30" i="164"/>
  <c r="AB30" i="164"/>
  <c r="AE30" i="164" s="1"/>
  <c r="AI30" i="164" s="1"/>
  <c r="Y30" i="164" s="1"/>
  <c r="Z30" i="164"/>
  <c r="X30" i="164"/>
  <c r="Q30" i="164"/>
  <c r="P30" i="164"/>
  <c r="I30" i="164"/>
  <c r="H30" i="164"/>
  <c r="E30" i="164"/>
  <c r="AD29" i="164"/>
  <c r="AC29" i="164"/>
  <c r="AB29" i="164"/>
  <c r="AE29" i="164" s="1"/>
  <c r="AI29" i="164" s="1"/>
  <c r="Y29" i="164" s="1"/>
  <c r="Z29" i="164"/>
  <c r="X29" i="164"/>
  <c r="Q29" i="164"/>
  <c r="P29" i="164"/>
  <c r="H29" i="164"/>
  <c r="E29" i="164"/>
  <c r="I29" i="164" s="1"/>
  <c r="AE28" i="164"/>
  <c r="AI28" i="164" s="1"/>
  <c r="Y28" i="164" s="1"/>
  <c r="AD28" i="164"/>
  <c r="AC28" i="164"/>
  <c r="AB28" i="164"/>
  <c r="Z28" i="164"/>
  <c r="X28" i="164"/>
  <c r="Q28" i="164"/>
  <c r="P28" i="164"/>
  <c r="H28" i="164"/>
  <c r="E28" i="164"/>
  <c r="I28" i="164" s="1"/>
  <c r="AD27" i="164"/>
  <c r="AC27" i="164"/>
  <c r="AB27" i="164"/>
  <c r="AE27" i="164" s="1"/>
  <c r="AI27" i="164" s="1"/>
  <c r="Y27" i="164" s="1"/>
  <c r="Z27" i="164"/>
  <c r="X27" i="164"/>
  <c r="Q27" i="164"/>
  <c r="P27" i="164"/>
  <c r="I27" i="164"/>
  <c r="H27" i="164"/>
  <c r="E27" i="164"/>
  <c r="AD26" i="164"/>
  <c r="AE26" i="164" s="1"/>
  <c r="AI26" i="164" s="1"/>
  <c r="Y26" i="164" s="1"/>
  <c r="AC26" i="164"/>
  <c r="AB26" i="164"/>
  <c r="Z26" i="164"/>
  <c r="X26" i="164"/>
  <c r="Q26" i="164"/>
  <c r="P26" i="164"/>
  <c r="I26" i="164"/>
  <c r="H26" i="164"/>
  <c r="E26" i="164"/>
  <c r="AD25" i="164"/>
  <c r="AC25" i="164"/>
  <c r="AB25" i="164"/>
  <c r="AE25" i="164" s="1"/>
  <c r="AI25" i="164" s="1"/>
  <c r="Y25" i="164" s="1"/>
  <c r="Z25" i="164"/>
  <c r="X25" i="164"/>
  <c r="Q25" i="164"/>
  <c r="P25" i="164"/>
  <c r="H25" i="164"/>
  <c r="E25" i="164"/>
  <c r="I25" i="164" s="1"/>
  <c r="AD24" i="164"/>
  <c r="AC24" i="164"/>
  <c r="AB24" i="164"/>
  <c r="AE24" i="164" s="1"/>
  <c r="AI24" i="164" s="1"/>
  <c r="Y24" i="164" s="1"/>
  <c r="Z24" i="164"/>
  <c r="X24" i="164"/>
  <c r="Q24" i="164"/>
  <c r="P24" i="164"/>
  <c r="H24" i="164"/>
  <c r="E24" i="164"/>
  <c r="I24" i="164" s="1"/>
  <c r="AD23" i="164"/>
  <c r="AE23" i="164" s="1"/>
  <c r="AI23" i="164" s="1"/>
  <c r="Y23" i="164" s="1"/>
  <c r="AC23" i="164"/>
  <c r="AB23" i="164"/>
  <c r="Z23" i="164"/>
  <c r="X23" i="164"/>
  <c r="Q23" i="164"/>
  <c r="P23" i="164"/>
  <c r="H23" i="164"/>
  <c r="E23" i="164"/>
  <c r="I23" i="164" s="1"/>
  <c r="AE22" i="164"/>
  <c r="AI22" i="164" s="1"/>
  <c r="Y22" i="164" s="1"/>
  <c r="AD22" i="164"/>
  <c r="AC22" i="164"/>
  <c r="AB22" i="164"/>
  <c r="Z22" i="164"/>
  <c r="X22" i="164"/>
  <c r="Q22" i="164"/>
  <c r="P22" i="164"/>
  <c r="H22" i="164"/>
  <c r="E22" i="164"/>
  <c r="I22" i="164" s="1"/>
  <c r="AE21" i="164"/>
  <c r="AI21" i="164" s="1"/>
  <c r="Y21" i="164" s="1"/>
  <c r="AD21" i="164"/>
  <c r="AC21" i="164"/>
  <c r="AB21" i="164"/>
  <c r="Z21" i="164"/>
  <c r="X21" i="164"/>
  <c r="Q21" i="164"/>
  <c r="P21" i="164"/>
  <c r="H21" i="164"/>
  <c r="E21" i="164"/>
  <c r="I21" i="164" s="1"/>
  <c r="AD20" i="164"/>
  <c r="AC20" i="164"/>
  <c r="AB20" i="164"/>
  <c r="AE20" i="164" s="1"/>
  <c r="AI20" i="164" s="1"/>
  <c r="Y20" i="164" s="1"/>
  <c r="Z20" i="164"/>
  <c r="X20" i="164"/>
  <c r="Q20" i="164"/>
  <c r="P20" i="164"/>
  <c r="H20" i="164"/>
  <c r="E20" i="164"/>
  <c r="I20" i="164" s="1"/>
  <c r="AD19" i="164"/>
  <c r="AC19" i="164"/>
  <c r="AB19" i="164"/>
  <c r="AE19" i="164" s="1"/>
  <c r="AI19" i="164" s="1"/>
  <c r="Y19" i="164" s="1"/>
  <c r="Z19" i="164"/>
  <c r="X19" i="164"/>
  <c r="Q19" i="164"/>
  <c r="P19" i="164"/>
  <c r="H19" i="164"/>
  <c r="E19" i="164"/>
  <c r="I19" i="164" s="1"/>
  <c r="AE18" i="164"/>
  <c r="AI18" i="164" s="1"/>
  <c r="Y18" i="164" s="1"/>
  <c r="AD18" i="164"/>
  <c r="AC18" i="164"/>
  <c r="AB18" i="164"/>
  <c r="Z18" i="164"/>
  <c r="X18" i="164"/>
  <c r="Q18" i="164"/>
  <c r="P18" i="164"/>
  <c r="I18" i="164"/>
  <c r="H18" i="164"/>
  <c r="E18" i="164"/>
  <c r="AD17" i="164"/>
  <c r="AE17" i="164" s="1"/>
  <c r="AI17" i="164" s="1"/>
  <c r="Y17" i="164" s="1"/>
  <c r="AC17" i="164"/>
  <c r="AB17" i="164"/>
  <c r="Z17" i="164"/>
  <c r="X17" i="164"/>
  <c r="Q17" i="164"/>
  <c r="P17" i="164"/>
  <c r="H17" i="164"/>
  <c r="E17" i="164"/>
  <c r="I17" i="164" s="1"/>
  <c r="AD16" i="164"/>
  <c r="AC16" i="164"/>
  <c r="AE16" i="164" s="1"/>
  <c r="AI16" i="164" s="1"/>
  <c r="Y16" i="164" s="1"/>
  <c r="AB16" i="164"/>
  <c r="Z16" i="164"/>
  <c r="X16" i="164"/>
  <c r="Q16" i="164"/>
  <c r="P16" i="164"/>
  <c r="E16" i="164"/>
  <c r="I16" i="164" s="1"/>
  <c r="AD15" i="164"/>
  <c r="AC15" i="164"/>
  <c r="AB15" i="164"/>
  <c r="AE15" i="164" s="1"/>
  <c r="AI15" i="164" s="1"/>
  <c r="Y15" i="164" s="1"/>
  <c r="Z15" i="164"/>
  <c r="X15" i="164"/>
  <c r="Q15" i="164"/>
  <c r="P15" i="164"/>
  <c r="E15" i="164"/>
  <c r="I15" i="164" s="1"/>
  <c r="AD14" i="164"/>
  <c r="AC14" i="164"/>
  <c r="AB14" i="164"/>
  <c r="AE14" i="164" s="1"/>
  <c r="AI14" i="164" s="1"/>
  <c r="Y14" i="164" s="1"/>
  <c r="Z14" i="164"/>
  <c r="X14" i="164"/>
  <c r="Q14" i="164"/>
  <c r="P14" i="164"/>
  <c r="H14" i="164"/>
  <c r="E14" i="164"/>
  <c r="I14" i="164" s="1"/>
  <c r="AD13" i="164"/>
  <c r="AC13" i="164"/>
  <c r="AB13" i="164"/>
  <c r="AE13" i="164" s="1"/>
  <c r="AI13" i="164" s="1"/>
  <c r="Y13" i="164" s="1"/>
  <c r="Z13" i="164"/>
  <c r="X13" i="164"/>
  <c r="Q13" i="164"/>
  <c r="P13" i="164"/>
  <c r="I13" i="164"/>
  <c r="H13" i="164"/>
  <c r="E13" i="164"/>
  <c r="AE12" i="164"/>
  <c r="AI12" i="164" s="1"/>
  <c r="Y12" i="164" s="1"/>
  <c r="AD12" i="164"/>
  <c r="AC12" i="164"/>
  <c r="AB12" i="164"/>
  <c r="Z12" i="164"/>
  <c r="X12" i="164"/>
  <c r="Q12" i="164"/>
  <c r="P12" i="164"/>
  <c r="H12" i="164"/>
  <c r="E12" i="164"/>
  <c r="I12" i="164" s="1"/>
  <c r="T79" i="165" l="1"/>
  <c r="F73" i="165"/>
  <c r="F77" i="165" s="1"/>
  <c r="T77" i="164"/>
  <c r="T75" i="164"/>
  <c r="O73" i="164"/>
  <c r="O75" i="164"/>
  <c r="T73" i="164"/>
  <c r="F73" i="164"/>
  <c r="F75" i="164"/>
  <c r="M79" i="163"/>
  <c r="W73" i="163"/>
  <c r="P71" i="163"/>
  <c r="H71" i="163"/>
  <c r="Q70" i="163"/>
  <c r="P70" i="163"/>
  <c r="I70" i="163"/>
  <c r="H70" i="163"/>
  <c r="E70" i="163"/>
  <c r="Q69" i="163"/>
  <c r="P69" i="163"/>
  <c r="I69" i="163"/>
  <c r="H69" i="163"/>
  <c r="E69" i="163"/>
  <c r="AD68" i="163"/>
  <c r="AC68" i="163"/>
  <c r="AB68" i="163"/>
  <c r="AE68" i="163" s="1"/>
  <c r="AI68" i="163" s="1"/>
  <c r="Y68" i="163" s="1"/>
  <c r="Z68" i="163"/>
  <c r="X68" i="163"/>
  <c r="W68" i="163"/>
  <c r="Q68" i="163"/>
  <c r="P68" i="163"/>
  <c r="I68" i="163"/>
  <c r="H68" i="163"/>
  <c r="E68" i="163"/>
  <c r="AD67" i="163"/>
  <c r="AC67" i="163"/>
  <c r="AB67" i="163"/>
  <c r="AE67" i="163" s="1"/>
  <c r="AI67" i="163" s="1"/>
  <c r="Y67" i="163" s="1"/>
  <c r="Z67" i="163"/>
  <c r="X67" i="163"/>
  <c r="Q67" i="163"/>
  <c r="P67" i="163"/>
  <c r="H67" i="163"/>
  <c r="E67" i="163"/>
  <c r="I67" i="163" s="1"/>
  <c r="AD66" i="163"/>
  <c r="AE66" i="163" s="1"/>
  <c r="AI66" i="163" s="1"/>
  <c r="Y66" i="163" s="1"/>
  <c r="AC66" i="163"/>
  <c r="AB66" i="163"/>
  <c r="Z66" i="163"/>
  <c r="X66" i="163"/>
  <c r="Q66" i="163"/>
  <c r="P66" i="163"/>
  <c r="H66" i="163"/>
  <c r="E66" i="163"/>
  <c r="I66" i="163" s="1"/>
  <c r="AD65" i="163"/>
  <c r="AC65" i="163"/>
  <c r="AB65" i="163"/>
  <c r="AE65" i="163" s="1"/>
  <c r="AI65" i="163" s="1"/>
  <c r="Y65" i="163" s="1"/>
  <c r="Z65" i="163"/>
  <c r="X65" i="163"/>
  <c r="Q65" i="163"/>
  <c r="P65" i="163"/>
  <c r="H65" i="163"/>
  <c r="E65" i="163"/>
  <c r="I65" i="163" s="1"/>
  <c r="AD64" i="163"/>
  <c r="AC64" i="163"/>
  <c r="AB64" i="163"/>
  <c r="AE64" i="163" s="1"/>
  <c r="AI64" i="163" s="1"/>
  <c r="Y64" i="163" s="1"/>
  <c r="Z64" i="163"/>
  <c r="X64" i="163"/>
  <c r="Q64" i="163"/>
  <c r="P64" i="163"/>
  <c r="H64" i="163"/>
  <c r="E64" i="163"/>
  <c r="I64" i="163" s="1"/>
  <c r="AD63" i="163"/>
  <c r="AE63" i="163" s="1"/>
  <c r="AI63" i="163" s="1"/>
  <c r="Y63" i="163" s="1"/>
  <c r="AC63" i="163"/>
  <c r="AB63" i="163"/>
  <c r="Z63" i="163"/>
  <c r="X63" i="163"/>
  <c r="Q63" i="163"/>
  <c r="P63" i="163"/>
  <c r="I63" i="163"/>
  <c r="H63" i="163"/>
  <c r="E63" i="163"/>
  <c r="AD62" i="163"/>
  <c r="AC62" i="163"/>
  <c r="AB62" i="163"/>
  <c r="AE62" i="163" s="1"/>
  <c r="AI62" i="163" s="1"/>
  <c r="Y62" i="163" s="1"/>
  <c r="Z62" i="163"/>
  <c r="X62" i="163"/>
  <c r="Q62" i="163"/>
  <c r="P62" i="163"/>
  <c r="H62" i="163"/>
  <c r="E62" i="163"/>
  <c r="I62" i="163" s="1"/>
  <c r="AE61" i="163"/>
  <c r="AI61" i="163" s="1"/>
  <c r="Y61" i="163" s="1"/>
  <c r="AC61" i="163"/>
  <c r="AB61" i="163"/>
  <c r="X61" i="163"/>
  <c r="Q61" i="163"/>
  <c r="P61" i="163"/>
  <c r="I61" i="163"/>
  <c r="H61" i="163"/>
  <c r="E61" i="163"/>
  <c r="AE60" i="163"/>
  <c r="AI60" i="163" s="1"/>
  <c r="Y60" i="163" s="1"/>
  <c r="X60" i="163"/>
  <c r="Q60" i="163"/>
  <c r="P60" i="163"/>
  <c r="I60" i="163"/>
  <c r="H60" i="163"/>
  <c r="E60" i="163"/>
  <c r="AC59" i="163"/>
  <c r="AE59" i="163" s="1"/>
  <c r="AI59" i="163" s="1"/>
  <c r="Y59" i="163" s="1"/>
  <c r="AB59" i="163"/>
  <c r="X59" i="163"/>
  <c r="Q59" i="163"/>
  <c r="P59" i="163"/>
  <c r="H59" i="163"/>
  <c r="E59" i="163"/>
  <c r="I59" i="163" s="1"/>
  <c r="AC58" i="163"/>
  <c r="AE58" i="163" s="1"/>
  <c r="AI58" i="163" s="1"/>
  <c r="Y58" i="163" s="1"/>
  <c r="AB58" i="163"/>
  <c r="X58" i="163"/>
  <c r="Q58" i="163"/>
  <c r="P58" i="163"/>
  <c r="E58" i="163"/>
  <c r="I58" i="163" s="1"/>
  <c r="AC57" i="163"/>
  <c r="AB57" i="163"/>
  <c r="AE57" i="163" s="1"/>
  <c r="AI57" i="163" s="1"/>
  <c r="Y57" i="163" s="1"/>
  <c r="X57" i="163"/>
  <c r="Q57" i="163"/>
  <c r="P57" i="163"/>
  <c r="I57" i="163"/>
  <c r="H57" i="163"/>
  <c r="E57" i="163"/>
  <c r="AD56" i="163"/>
  <c r="AC56" i="163"/>
  <c r="AB56" i="163"/>
  <c r="AE56" i="163" s="1"/>
  <c r="AI56" i="163" s="1"/>
  <c r="Y56" i="163" s="1"/>
  <c r="Z56" i="163"/>
  <c r="X56" i="163"/>
  <c r="Q56" i="163"/>
  <c r="P56" i="163"/>
  <c r="I56" i="163"/>
  <c r="H56" i="163"/>
  <c r="E56" i="163"/>
  <c r="AI55" i="163"/>
  <c r="Y55" i="163" s="1"/>
  <c r="AE55" i="163"/>
  <c r="AD55" i="163"/>
  <c r="AC55" i="163"/>
  <c r="AB55" i="163"/>
  <c r="Z55" i="163"/>
  <c r="X55" i="163"/>
  <c r="Q55" i="163"/>
  <c r="P55" i="163"/>
  <c r="I55" i="163"/>
  <c r="H55" i="163"/>
  <c r="E55" i="163"/>
  <c r="AE54" i="163"/>
  <c r="AI54" i="163" s="1"/>
  <c r="Y54" i="163" s="1"/>
  <c r="AD54" i="163"/>
  <c r="AC54" i="163"/>
  <c r="AB54" i="163"/>
  <c r="Z54" i="163"/>
  <c r="X54" i="163"/>
  <c r="Q54" i="163"/>
  <c r="P54" i="163"/>
  <c r="I54" i="163"/>
  <c r="H54" i="163"/>
  <c r="E54" i="163"/>
  <c r="AD53" i="163"/>
  <c r="AC53" i="163"/>
  <c r="AB53" i="163"/>
  <c r="AE53" i="163" s="1"/>
  <c r="AI53" i="163" s="1"/>
  <c r="Y53" i="163" s="1"/>
  <c r="Z53" i="163"/>
  <c r="X53" i="163"/>
  <c r="Q53" i="163"/>
  <c r="P53" i="163"/>
  <c r="I53" i="163"/>
  <c r="H53" i="163"/>
  <c r="E53" i="163"/>
  <c r="AI52" i="163"/>
  <c r="Y52" i="163" s="1"/>
  <c r="AE52" i="163"/>
  <c r="Z52" i="163"/>
  <c r="X52" i="163"/>
  <c r="Q52" i="163"/>
  <c r="P52" i="163"/>
  <c r="I52" i="163"/>
  <c r="H52" i="163"/>
  <c r="E52" i="163"/>
  <c r="AD51" i="163"/>
  <c r="AC51" i="163"/>
  <c r="AB51" i="163"/>
  <c r="AE51" i="163" s="1"/>
  <c r="AI51" i="163" s="1"/>
  <c r="Y51" i="163" s="1"/>
  <c r="Z51" i="163"/>
  <c r="X51" i="163"/>
  <c r="Q51" i="163"/>
  <c r="P51" i="163"/>
  <c r="H51" i="163"/>
  <c r="E51" i="163"/>
  <c r="I51" i="163" s="1"/>
  <c r="AD50" i="163"/>
  <c r="AE50" i="163" s="1"/>
  <c r="AI50" i="163" s="1"/>
  <c r="Y50" i="163" s="1"/>
  <c r="AC50" i="163"/>
  <c r="AB50" i="163"/>
  <c r="Z50" i="163"/>
  <c r="X50" i="163"/>
  <c r="Q50" i="163"/>
  <c r="P50" i="163"/>
  <c r="H50" i="163"/>
  <c r="E50" i="163"/>
  <c r="I50" i="163" s="1"/>
  <c r="AI49" i="163"/>
  <c r="AE49" i="163"/>
  <c r="Z49" i="163"/>
  <c r="Y49" i="163"/>
  <c r="X49" i="163"/>
  <c r="Q49" i="163"/>
  <c r="P49" i="163"/>
  <c r="H49" i="163"/>
  <c r="E49" i="163"/>
  <c r="I49" i="163" s="1"/>
  <c r="AI48" i="163"/>
  <c r="Y48" i="163" s="1"/>
  <c r="AE48" i="163"/>
  <c r="Z48" i="163"/>
  <c r="X48" i="163"/>
  <c r="Q48" i="163"/>
  <c r="P48" i="163"/>
  <c r="H48" i="163"/>
  <c r="E48" i="163"/>
  <c r="I48" i="163" s="1"/>
  <c r="AE47" i="163"/>
  <c r="AI47" i="163" s="1"/>
  <c r="Y47" i="163" s="1"/>
  <c r="Z47" i="163"/>
  <c r="X47" i="163"/>
  <c r="Q47" i="163"/>
  <c r="P47" i="163"/>
  <c r="I47" i="163"/>
  <c r="H47" i="163"/>
  <c r="E47" i="163"/>
  <c r="AD46" i="163"/>
  <c r="AC46" i="163"/>
  <c r="AB46" i="163"/>
  <c r="AE46" i="163" s="1"/>
  <c r="AI46" i="163" s="1"/>
  <c r="Y46" i="163" s="1"/>
  <c r="Z46" i="163"/>
  <c r="X46" i="163"/>
  <c r="Q46" i="163"/>
  <c r="P46" i="163"/>
  <c r="H46" i="163"/>
  <c r="E46" i="163"/>
  <c r="I46" i="163" s="1"/>
  <c r="AE45" i="163"/>
  <c r="AI45" i="163" s="1"/>
  <c r="Y45" i="163" s="1"/>
  <c r="AD45" i="163"/>
  <c r="AC45" i="163"/>
  <c r="AB45" i="163"/>
  <c r="Z45" i="163"/>
  <c r="X45" i="163"/>
  <c r="Q45" i="163"/>
  <c r="P45" i="163"/>
  <c r="I45" i="163"/>
  <c r="H45" i="163"/>
  <c r="E45" i="163"/>
  <c r="AD44" i="163"/>
  <c r="AC44" i="163"/>
  <c r="AB44" i="163"/>
  <c r="AE44" i="163" s="1"/>
  <c r="AI44" i="163" s="1"/>
  <c r="Y44" i="163" s="1"/>
  <c r="Z44" i="163"/>
  <c r="X44" i="163"/>
  <c r="Q44" i="163"/>
  <c r="P44" i="163"/>
  <c r="I44" i="163"/>
  <c r="H44" i="163"/>
  <c r="E44" i="163"/>
  <c r="AI43" i="163"/>
  <c r="Y43" i="163" s="1"/>
  <c r="AE43" i="163"/>
  <c r="AD43" i="163"/>
  <c r="AC43" i="163"/>
  <c r="AB43" i="163"/>
  <c r="Z43" i="163"/>
  <c r="X43" i="163"/>
  <c r="Q43" i="163"/>
  <c r="P43" i="163"/>
  <c r="I43" i="163"/>
  <c r="H43" i="163"/>
  <c r="E43" i="163"/>
  <c r="AE42" i="163"/>
  <c r="AI42" i="163" s="1"/>
  <c r="Y42" i="163" s="1"/>
  <c r="AD42" i="163"/>
  <c r="AC42" i="163"/>
  <c r="AB42" i="163"/>
  <c r="Z42" i="163"/>
  <c r="X42" i="163"/>
  <c r="Q42" i="163"/>
  <c r="P42" i="163"/>
  <c r="I42" i="163"/>
  <c r="H42" i="163"/>
  <c r="E42" i="163"/>
  <c r="AD41" i="163"/>
  <c r="AC41" i="163"/>
  <c r="AB41" i="163"/>
  <c r="AE41" i="163" s="1"/>
  <c r="AI41" i="163" s="1"/>
  <c r="Y41" i="163" s="1"/>
  <c r="Z41" i="163"/>
  <c r="X41" i="163"/>
  <c r="Q41" i="163"/>
  <c r="P41" i="163"/>
  <c r="H41" i="163"/>
  <c r="E41" i="163"/>
  <c r="I41" i="163" s="1"/>
  <c r="AD40" i="163"/>
  <c r="AC40" i="163"/>
  <c r="AB40" i="163"/>
  <c r="AE40" i="163" s="1"/>
  <c r="AI40" i="163" s="1"/>
  <c r="Y40" i="163" s="1"/>
  <c r="Z40" i="163"/>
  <c r="X40" i="163"/>
  <c r="Q40" i="163"/>
  <c r="P40" i="163"/>
  <c r="I40" i="163"/>
  <c r="H40" i="163"/>
  <c r="E40" i="163"/>
  <c r="AD39" i="163"/>
  <c r="AC39" i="163"/>
  <c r="AE39" i="163" s="1"/>
  <c r="AI39" i="163" s="1"/>
  <c r="Y39" i="163" s="1"/>
  <c r="AB39" i="163"/>
  <c r="Z39" i="163"/>
  <c r="X39" i="163"/>
  <c r="Q39" i="163"/>
  <c r="P39" i="163"/>
  <c r="I39" i="163"/>
  <c r="H39" i="163"/>
  <c r="E39" i="163"/>
  <c r="AD38" i="163"/>
  <c r="AC38" i="163"/>
  <c r="AB38" i="163"/>
  <c r="AE38" i="163" s="1"/>
  <c r="AI38" i="163" s="1"/>
  <c r="Y38" i="163" s="1"/>
  <c r="Z38" i="163"/>
  <c r="X38" i="163"/>
  <c r="Q38" i="163"/>
  <c r="P38" i="163"/>
  <c r="H38" i="163"/>
  <c r="E38" i="163"/>
  <c r="I38" i="163" s="1"/>
  <c r="AD37" i="163"/>
  <c r="AE37" i="163" s="1"/>
  <c r="AI37" i="163" s="1"/>
  <c r="Y37" i="163" s="1"/>
  <c r="AC37" i="163"/>
  <c r="AB37" i="163"/>
  <c r="Z37" i="163"/>
  <c r="X37" i="163"/>
  <c r="Q37" i="163"/>
  <c r="P37" i="163"/>
  <c r="H37" i="163"/>
  <c r="E37" i="163"/>
  <c r="I37" i="163" s="1"/>
  <c r="AD36" i="163"/>
  <c r="AC36" i="163"/>
  <c r="AB36" i="163"/>
  <c r="AE36" i="163" s="1"/>
  <c r="AI36" i="163" s="1"/>
  <c r="Y36" i="163" s="1"/>
  <c r="Z36" i="163"/>
  <c r="X36" i="163"/>
  <c r="Q36" i="163"/>
  <c r="P36" i="163"/>
  <c r="H36" i="163"/>
  <c r="E36" i="163"/>
  <c r="I36" i="163" s="1"/>
  <c r="AD35" i="163"/>
  <c r="AC35" i="163"/>
  <c r="AB35" i="163"/>
  <c r="AE35" i="163" s="1"/>
  <c r="AI35" i="163" s="1"/>
  <c r="Y35" i="163" s="1"/>
  <c r="Z35" i="163"/>
  <c r="X35" i="163"/>
  <c r="Q35" i="163"/>
  <c r="P35" i="163"/>
  <c r="H35" i="163"/>
  <c r="E35" i="163"/>
  <c r="I35" i="163" s="1"/>
  <c r="AD34" i="163"/>
  <c r="AE34" i="163" s="1"/>
  <c r="AI34" i="163" s="1"/>
  <c r="Y34" i="163" s="1"/>
  <c r="AC34" i="163"/>
  <c r="AB34" i="163"/>
  <c r="Z34" i="163"/>
  <c r="X34" i="163"/>
  <c r="Q34" i="163"/>
  <c r="P34" i="163"/>
  <c r="I34" i="163"/>
  <c r="H34" i="163"/>
  <c r="E34" i="163"/>
  <c r="AD33" i="163"/>
  <c r="AC33" i="163"/>
  <c r="AB33" i="163"/>
  <c r="AE33" i="163" s="1"/>
  <c r="AI33" i="163" s="1"/>
  <c r="Y33" i="163" s="1"/>
  <c r="Z33" i="163"/>
  <c r="X33" i="163"/>
  <c r="Q33" i="163"/>
  <c r="P33" i="163"/>
  <c r="H33" i="163"/>
  <c r="E33" i="163"/>
  <c r="I33" i="163" s="1"/>
  <c r="AE32" i="163"/>
  <c r="AI32" i="163" s="1"/>
  <c r="Y32" i="163" s="1"/>
  <c r="AD32" i="163"/>
  <c r="AC32" i="163"/>
  <c r="AB32" i="163"/>
  <c r="Z32" i="163"/>
  <c r="X32" i="163"/>
  <c r="Q32" i="163"/>
  <c r="P32" i="163"/>
  <c r="H32" i="163"/>
  <c r="E32" i="163"/>
  <c r="I32" i="163" s="1"/>
  <c r="AE31" i="163"/>
  <c r="AI31" i="163" s="1"/>
  <c r="Y31" i="163" s="1"/>
  <c r="Z31" i="163"/>
  <c r="X31" i="163"/>
  <c r="Q31" i="163"/>
  <c r="P31" i="163"/>
  <c r="H31" i="163"/>
  <c r="E31" i="163"/>
  <c r="I31" i="163" s="1"/>
  <c r="AE30" i="163"/>
  <c r="AI30" i="163" s="1"/>
  <c r="Y30" i="163" s="1"/>
  <c r="AD30" i="163"/>
  <c r="AC30" i="163"/>
  <c r="AB30" i="163"/>
  <c r="Z30" i="163"/>
  <c r="X30" i="163"/>
  <c r="Q30" i="163"/>
  <c r="P30" i="163"/>
  <c r="I30" i="163"/>
  <c r="H30" i="163"/>
  <c r="E30" i="163"/>
  <c r="AD29" i="163"/>
  <c r="AC29" i="163"/>
  <c r="AB29" i="163"/>
  <c r="AE29" i="163" s="1"/>
  <c r="AI29" i="163" s="1"/>
  <c r="Y29" i="163" s="1"/>
  <c r="Z29" i="163"/>
  <c r="X29" i="163"/>
  <c r="Q29" i="163"/>
  <c r="P29" i="163"/>
  <c r="I29" i="163"/>
  <c r="H29" i="163"/>
  <c r="E29" i="163"/>
  <c r="AI28" i="163"/>
  <c r="Y28" i="163" s="1"/>
  <c r="AE28" i="163"/>
  <c r="AD28" i="163"/>
  <c r="AC28" i="163"/>
  <c r="AB28" i="163"/>
  <c r="Z28" i="163"/>
  <c r="X28" i="163"/>
  <c r="Q28" i="163"/>
  <c r="P28" i="163"/>
  <c r="H28" i="163"/>
  <c r="E28" i="163"/>
  <c r="I28" i="163" s="1"/>
  <c r="AE27" i="163"/>
  <c r="AI27" i="163" s="1"/>
  <c r="Y27" i="163" s="1"/>
  <c r="AD27" i="163"/>
  <c r="AC27" i="163"/>
  <c r="AB27" i="163"/>
  <c r="Z27" i="163"/>
  <c r="X27" i="163"/>
  <c r="Q27" i="163"/>
  <c r="P27" i="163"/>
  <c r="I27" i="163"/>
  <c r="H27" i="163"/>
  <c r="E27" i="163"/>
  <c r="AD26" i="163"/>
  <c r="AC26" i="163"/>
  <c r="AB26" i="163"/>
  <c r="AE26" i="163" s="1"/>
  <c r="AI26" i="163" s="1"/>
  <c r="Y26" i="163" s="1"/>
  <c r="Z26" i="163"/>
  <c r="X26" i="163"/>
  <c r="Q26" i="163"/>
  <c r="P26" i="163"/>
  <c r="H26" i="163"/>
  <c r="E26" i="163"/>
  <c r="I26" i="163" s="1"/>
  <c r="AD25" i="163"/>
  <c r="AC25" i="163"/>
  <c r="AB25" i="163"/>
  <c r="AE25" i="163" s="1"/>
  <c r="AI25" i="163" s="1"/>
  <c r="Y25" i="163" s="1"/>
  <c r="Z25" i="163"/>
  <c r="X25" i="163"/>
  <c r="Q25" i="163"/>
  <c r="P25" i="163"/>
  <c r="I25" i="163"/>
  <c r="H25" i="163"/>
  <c r="E25" i="163"/>
  <c r="AD24" i="163"/>
  <c r="AC24" i="163"/>
  <c r="AE24" i="163" s="1"/>
  <c r="AI24" i="163" s="1"/>
  <c r="Y24" i="163" s="1"/>
  <c r="AB24" i="163"/>
  <c r="Z24" i="163"/>
  <c r="X24" i="163"/>
  <c r="Q24" i="163"/>
  <c r="P24" i="163"/>
  <c r="I24" i="163"/>
  <c r="H24" i="163"/>
  <c r="E24" i="163"/>
  <c r="AD23" i="163"/>
  <c r="AC23" i="163"/>
  <c r="AB23" i="163"/>
  <c r="AE23" i="163" s="1"/>
  <c r="AI23" i="163" s="1"/>
  <c r="Y23" i="163" s="1"/>
  <c r="Z23" i="163"/>
  <c r="X23" i="163"/>
  <c r="Q23" i="163"/>
  <c r="P23" i="163"/>
  <c r="H23" i="163"/>
  <c r="E23" i="163"/>
  <c r="I23" i="163" s="1"/>
  <c r="AD22" i="163"/>
  <c r="AE22" i="163" s="1"/>
  <c r="AI22" i="163" s="1"/>
  <c r="Y22" i="163" s="1"/>
  <c r="AC22" i="163"/>
  <c r="AB22" i="163"/>
  <c r="Z22" i="163"/>
  <c r="X22" i="163"/>
  <c r="Q22" i="163"/>
  <c r="P22" i="163"/>
  <c r="H22" i="163"/>
  <c r="E22" i="163"/>
  <c r="I22" i="163" s="1"/>
  <c r="AD21" i="163"/>
  <c r="AC21" i="163"/>
  <c r="AB21" i="163"/>
  <c r="AE21" i="163" s="1"/>
  <c r="AI21" i="163" s="1"/>
  <c r="Y21" i="163" s="1"/>
  <c r="Z21" i="163"/>
  <c r="X21" i="163"/>
  <c r="Q21" i="163"/>
  <c r="P21" i="163"/>
  <c r="H21" i="163"/>
  <c r="E21" i="163"/>
  <c r="I21" i="163" s="1"/>
  <c r="AD20" i="163"/>
  <c r="AC20" i="163"/>
  <c r="AB20" i="163"/>
  <c r="AE20" i="163" s="1"/>
  <c r="AI20" i="163" s="1"/>
  <c r="Y20" i="163" s="1"/>
  <c r="Z20" i="163"/>
  <c r="X20" i="163"/>
  <c r="Q20" i="163"/>
  <c r="P20" i="163"/>
  <c r="H20" i="163"/>
  <c r="E20" i="163"/>
  <c r="I20" i="163" s="1"/>
  <c r="AD19" i="163"/>
  <c r="AE19" i="163" s="1"/>
  <c r="AI19" i="163" s="1"/>
  <c r="Y19" i="163" s="1"/>
  <c r="AC19" i="163"/>
  <c r="AB19" i="163"/>
  <c r="Z19" i="163"/>
  <c r="X19" i="163"/>
  <c r="Q19" i="163"/>
  <c r="P19" i="163"/>
  <c r="I19" i="163"/>
  <c r="H19" i="163"/>
  <c r="E19" i="163"/>
  <c r="AD18" i="163"/>
  <c r="AC18" i="163"/>
  <c r="AB18" i="163"/>
  <c r="AE18" i="163" s="1"/>
  <c r="AI18" i="163" s="1"/>
  <c r="Y18" i="163" s="1"/>
  <c r="Z18" i="163"/>
  <c r="X18" i="163"/>
  <c r="Q18" i="163"/>
  <c r="P18" i="163"/>
  <c r="H18" i="163"/>
  <c r="E18" i="163"/>
  <c r="I18" i="163" s="1"/>
  <c r="AE17" i="163"/>
  <c r="AI17" i="163" s="1"/>
  <c r="Y17" i="163" s="1"/>
  <c r="AD17" i="163"/>
  <c r="AC17" i="163"/>
  <c r="AB17" i="163"/>
  <c r="Z17" i="163"/>
  <c r="X17" i="163"/>
  <c r="Q17" i="163"/>
  <c r="P17" i="163"/>
  <c r="H17" i="163"/>
  <c r="E17" i="163"/>
  <c r="I17" i="163" s="1"/>
  <c r="AD16" i="163"/>
  <c r="AC16" i="163"/>
  <c r="AB16" i="163"/>
  <c r="AE16" i="163" s="1"/>
  <c r="AI16" i="163" s="1"/>
  <c r="Y16" i="163" s="1"/>
  <c r="Z16" i="163"/>
  <c r="X16" i="163"/>
  <c r="T77" i="163" s="1"/>
  <c r="Q16" i="163"/>
  <c r="P16" i="163"/>
  <c r="E16" i="163"/>
  <c r="I16" i="163" s="1"/>
  <c r="AD15" i="163"/>
  <c r="AC15" i="163"/>
  <c r="AB15" i="163"/>
  <c r="AE15" i="163" s="1"/>
  <c r="AI15" i="163" s="1"/>
  <c r="Y15" i="163" s="1"/>
  <c r="Z15" i="163"/>
  <c r="T75" i="163" s="1"/>
  <c r="X15" i="163"/>
  <c r="Q15" i="163"/>
  <c r="P15" i="163"/>
  <c r="E15" i="163"/>
  <c r="I15" i="163" s="1"/>
  <c r="AD14" i="163"/>
  <c r="AC14" i="163"/>
  <c r="AE14" i="163" s="1"/>
  <c r="AI14" i="163" s="1"/>
  <c r="Y14" i="163" s="1"/>
  <c r="AB14" i="163"/>
  <c r="Z14" i="163"/>
  <c r="X14" i="163"/>
  <c r="Q14" i="163"/>
  <c r="O75" i="163" s="1"/>
  <c r="P14" i="163"/>
  <c r="I14" i="163"/>
  <c r="H14" i="163"/>
  <c r="E14" i="163"/>
  <c r="AD13" i="163"/>
  <c r="AC13" i="163"/>
  <c r="AB13" i="163"/>
  <c r="AE13" i="163" s="1"/>
  <c r="AI13" i="163" s="1"/>
  <c r="Y13" i="163" s="1"/>
  <c r="Z13" i="163"/>
  <c r="X13" i="163"/>
  <c r="Q13" i="163"/>
  <c r="O73" i="163" s="1"/>
  <c r="P13" i="163"/>
  <c r="H13" i="163"/>
  <c r="E13" i="163"/>
  <c r="I13" i="163" s="1"/>
  <c r="AD12" i="163"/>
  <c r="AE12" i="163" s="1"/>
  <c r="AI12" i="163" s="1"/>
  <c r="Y12" i="163" s="1"/>
  <c r="AC12" i="163"/>
  <c r="AB12" i="163"/>
  <c r="Z12" i="163"/>
  <c r="X12" i="163"/>
  <c r="Q12" i="163"/>
  <c r="P12" i="163"/>
  <c r="H12" i="163"/>
  <c r="E12" i="163"/>
  <c r="I12" i="163" s="1"/>
  <c r="T79" i="164" l="1"/>
  <c r="F77" i="164" s="1"/>
  <c r="T73" i="163"/>
  <c r="F73" i="163"/>
  <c r="F75" i="163"/>
  <c r="T79" i="163"/>
  <c r="M79" i="162"/>
  <c r="W73" i="162"/>
  <c r="P71" i="162"/>
  <c r="H71" i="162"/>
  <c r="Q70" i="162"/>
  <c r="P70" i="162"/>
  <c r="I70" i="162"/>
  <c r="H70" i="162"/>
  <c r="E70" i="162"/>
  <c r="Q69" i="162"/>
  <c r="P69" i="162"/>
  <c r="I69" i="162"/>
  <c r="H69" i="162"/>
  <c r="E69" i="162"/>
  <c r="AD68" i="162"/>
  <c r="AC68" i="162"/>
  <c r="AE68" i="162" s="1"/>
  <c r="AI68" i="162" s="1"/>
  <c r="Y68" i="162" s="1"/>
  <c r="AB68" i="162"/>
  <c r="Z68" i="162"/>
  <c r="X68" i="162"/>
  <c r="W68" i="162"/>
  <c r="Q68" i="162"/>
  <c r="P68" i="162"/>
  <c r="I68" i="162"/>
  <c r="H68" i="162"/>
  <c r="E68" i="162"/>
  <c r="AD67" i="162"/>
  <c r="AC67" i="162"/>
  <c r="AB67" i="162"/>
  <c r="AE67" i="162" s="1"/>
  <c r="AI67" i="162" s="1"/>
  <c r="Y67" i="162" s="1"/>
  <c r="Z67" i="162"/>
  <c r="X67" i="162"/>
  <c r="Q67" i="162"/>
  <c r="P67" i="162"/>
  <c r="I67" i="162"/>
  <c r="H67" i="162"/>
  <c r="E67" i="162"/>
  <c r="AE66" i="162"/>
  <c r="AI66" i="162" s="1"/>
  <c r="Y66" i="162" s="1"/>
  <c r="AD66" i="162"/>
  <c r="AC66" i="162"/>
  <c r="AB66" i="162"/>
  <c r="Z66" i="162"/>
  <c r="X66" i="162"/>
  <c r="Q66" i="162"/>
  <c r="P66" i="162"/>
  <c r="H66" i="162"/>
  <c r="E66" i="162"/>
  <c r="I66" i="162" s="1"/>
  <c r="AE65" i="162"/>
  <c r="AI65" i="162" s="1"/>
  <c r="Y65" i="162" s="1"/>
  <c r="AD65" i="162"/>
  <c r="AC65" i="162"/>
  <c r="AB65" i="162"/>
  <c r="Z65" i="162"/>
  <c r="X65" i="162"/>
  <c r="Q65" i="162"/>
  <c r="P65" i="162"/>
  <c r="H65" i="162"/>
  <c r="E65" i="162"/>
  <c r="I65" i="162" s="1"/>
  <c r="AD64" i="162"/>
  <c r="AC64" i="162"/>
  <c r="AB64" i="162"/>
  <c r="AE64" i="162" s="1"/>
  <c r="AI64" i="162" s="1"/>
  <c r="Y64" i="162" s="1"/>
  <c r="Z64" i="162"/>
  <c r="X64" i="162"/>
  <c r="Q64" i="162"/>
  <c r="P64" i="162"/>
  <c r="H64" i="162"/>
  <c r="E64" i="162"/>
  <c r="I64" i="162" s="1"/>
  <c r="AE63" i="162"/>
  <c r="AI63" i="162" s="1"/>
  <c r="Y63" i="162" s="1"/>
  <c r="AD63" i="162"/>
  <c r="AC63" i="162"/>
  <c r="AB63" i="162"/>
  <c r="Z63" i="162"/>
  <c r="X63" i="162"/>
  <c r="Q63" i="162"/>
  <c r="P63" i="162"/>
  <c r="I63" i="162"/>
  <c r="H63" i="162"/>
  <c r="E63" i="162"/>
  <c r="AD62" i="162"/>
  <c r="AC62" i="162"/>
  <c r="AB62" i="162"/>
  <c r="AE62" i="162" s="1"/>
  <c r="AI62" i="162" s="1"/>
  <c r="Y62" i="162" s="1"/>
  <c r="Z62" i="162"/>
  <c r="X62" i="162"/>
  <c r="Q62" i="162"/>
  <c r="P62" i="162"/>
  <c r="I62" i="162"/>
  <c r="H62" i="162"/>
  <c r="E62" i="162"/>
  <c r="AC61" i="162"/>
  <c r="AE61" i="162" s="1"/>
  <c r="AI61" i="162" s="1"/>
  <c r="Y61" i="162" s="1"/>
  <c r="AB61" i="162"/>
  <c r="X61" i="162"/>
  <c r="Q61" i="162"/>
  <c r="P61" i="162"/>
  <c r="H61" i="162"/>
  <c r="E61" i="162"/>
  <c r="I61" i="162" s="1"/>
  <c r="AE60" i="162"/>
  <c r="AI60" i="162" s="1"/>
  <c r="Y60" i="162" s="1"/>
  <c r="X60" i="162"/>
  <c r="Q60" i="162"/>
  <c r="P60" i="162"/>
  <c r="I60" i="162"/>
  <c r="H60" i="162"/>
  <c r="E60" i="162"/>
  <c r="AC59" i="162"/>
  <c r="AB59" i="162"/>
  <c r="AE59" i="162" s="1"/>
  <c r="AI59" i="162" s="1"/>
  <c r="Y59" i="162" s="1"/>
  <c r="X59" i="162"/>
  <c r="Q59" i="162"/>
  <c r="P59" i="162"/>
  <c r="I59" i="162"/>
  <c r="H59" i="162"/>
  <c r="E59" i="162"/>
  <c r="AE58" i="162"/>
  <c r="AI58" i="162" s="1"/>
  <c r="Y58" i="162" s="1"/>
  <c r="AC58" i="162"/>
  <c r="AB58" i="162"/>
  <c r="X58" i="162"/>
  <c r="Q58" i="162"/>
  <c r="P58" i="162"/>
  <c r="I58" i="162"/>
  <c r="E58" i="162"/>
  <c r="AC57" i="162"/>
  <c r="AB57" i="162"/>
  <c r="AE57" i="162" s="1"/>
  <c r="AI57" i="162" s="1"/>
  <c r="Y57" i="162" s="1"/>
  <c r="X57" i="162"/>
  <c r="Q57" i="162"/>
  <c r="P57" i="162"/>
  <c r="I57" i="162"/>
  <c r="H57" i="162"/>
  <c r="E57" i="162"/>
  <c r="AD56" i="162"/>
  <c r="AC56" i="162"/>
  <c r="AE56" i="162" s="1"/>
  <c r="AI56" i="162" s="1"/>
  <c r="Y56" i="162" s="1"/>
  <c r="AB56" i="162"/>
  <c r="Z56" i="162"/>
  <c r="X56" i="162"/>
  <c r="Q56" i="162"/>
  <c r="P56" i="162"/>
  <c r="H56" i="162"/>
  <c r="E56" i="162"/>
  <c r="I56" i="162" s="1"/>
  <c r="AE55" i="162"/>
  <c r="AI55" i="162" s="1"/>
  <c r="Y55" i="162" s="1"/>
  <c r="AD55" i="162"/>
  <c r="AC55" i="162"/>
  <c r="AB55" i="162"/>
  <c r="Z55" i="162"/>
  <c r="X55" i="162"/>
  <c r="Q55" i="162"/>
  <c r="P55" i="162"/>
  <c r="H55" i="162"/>
  <c r="E55" i="162"/>
  <c r="I55" i="162" s="1"/>
  <c r="AD54" i="162"/>
  <c r="AC54" i="162"/>
  <c r="AB54" i="162"/>
  <c r="AE54" i="162" s="1"/>
  <c r="AI54" i="162" s="1"/>
  <c r="Y54" i="162" s="1"/>
  <c r="Z54" i="162"/>
  <c r="X54" i="162"/>
  <c r="Q54" i="162"/>
  <c r="P54" i="162"/>
  <c r="H54" i="162"/>
  <c r="E54" i="162"/>
  <c r="I54" i="162" s="1"/>
  <c r="AD53" i="162"/>
  <c r="AE53" i="162" s="1"/>
  <c r="AI53" i="162" s="1"/>
  <c r="Y53" i="162" s="1"/>
  <c r="AC53" i="162"/>
  <c r="AB53" i="162"/>
  <c r="Z53" i="162"/>
  <c r="X53" i="162"/>
  <c r="Q53" i="162"/>
  <c r="P53" i="162"/>
  <c r="H53" i="162"/>
  <c r="E53" i="162"/>
  <c r="I53" i="162" s="1"/>
  <c r="AE52" i="162"/>
  <c r="AI52" i="162" s="1"/>
  <c r="Y52" i="162" s="1"/>
  <c r="Z52" i="162"/>
  <c r="X52" i="162"/>
  <c r="Q52" i="162"/>
  <c r="P52" i="162"/>
  <c r="I52" i="162"/>
  <c r="H52" i="162"/>
  <c r="E52" i="162"/>
  <c r="AD51" i="162"/>
  <c r="AC51" i="162"/>
  <c r="AB51" i="162"/>
  <c r="AE51" i="162" s="1"/>
  <c r="AI51" i="162" s="1"/>
  <c r="Y51" i="162" s="1"/>
  <c r="Z51" i="162"/>
  <c r="X51" i="162"/>
  <c r="Q51" i="162"/>
  <c r="P51" i="162"/>
  <c r="I51" i="162"/>
  <c r="H51" i="162"/>
  <c r="E51" i="162"/>
  <c r="AE50" i="162"/>
  <c r="AI50" i="162" s="1"/>
  <c r="Y50" i="162" s="1"/>
  <c r="AD50" i="162"/>
  <c r="AC50" i="162"/>
  <c r="AB50" i="162"/>
  <c r="Z50" i="162"/>
  <c r="X50" i="162"/>
  <c r="Q50" i="162"/>
  <c r="P50" i="162"/>
  <c r="H50" i="162"/>
  <c r="E50" i="162"/>
  <c r="I50" i="162" s="1"/>
  <c r="AE49" i="162"/>
  <c r="AI49" i="162" s="1"/>
  <c r="Y49" i="162" s="1"/>
  <c r="Z49" i="162"/>
  <c r="X49" i="162"/>
  <c r="Q49" i="162"/>
  <c r="P49" i="162"/>
  <c r="H49" i="162"/>
  <c r="E49" i="162"/>
  <c r="I49" i="162" s="1"/>
  <c r="AE48" i="162"/>
  <c r="AI48" i="162" s="1"/>
  <c r="Y48" i="162" s="1"/>
  <c r="Z48" i="162"/>
  <c r="X48" i="162"/>
  <c r="Q48" i="162"/>
  <c r="P48" i="162"/>
  <c r="I48" i="162"/>
  <c r="H48" i="162"/>
  <c r="E48" i="162"/>
  <c r="AI47" i="162"/>
  <c r="Y47" i="162" s="1"/>
  <c r="AE47" i="162"/>
  <c r="Z47" i="162"/>
  <c r="X47" i="162"/>
  <c r="Q47" i="162"/>
  <c r="P47" i="162"/>
  <c r="I47" i="162"/>
  <c r="H47" i="162"/>
  <c r="E47" i="162"/>
  <c r="AD46" i="162"/>
  <c r="AC46" i="162"/>
  <c r="AE46" i="162" s="1"/>
  <c r="AI46" i="162" s="1"/>
  <c r="Y46" i="162" s="1"/>
  <c r="AB46" i="162"/>
  <c r="Z46" i="162"/>
  <c r="X46" i="162"/>
  <c r="Q46" i="162"/>
  <c r="P46" i="162"/>
  <c r="I46" i="162"/>
  <c r="H46" i="162"/>
  <c r="E46" i="162"/>
  <c r="AD45" i="162"/>
  <c r="AC45" i="162"/>
  <c r="AB45" i="162"/>
  <c r="AE45" i="162" s="1"/>
  <c r="AI45" i="162" s="1"/>
  <c r="Y45" i="162" s="1"/>
  <c r="Z45" i="162"/>
  <c r="X45" i="162"/>
  <c r="Q45" i="162"/>
  <c r="P45" i="162"/>
  <c r="I45" i="162"/>
  <c r="H45" i="162"/>
  <c r="E45" i="162"/>
  <c r="AD44" i="162"/>
  <c r="AC44" i="162"/>
  <c r="AE44" i="162" s="1"/>
  <c r="AI44" i="162" s="1"/>
  <c r="Y44" i="162" s="1"/>
  <c r="AB44" i="162"/>
  <c r="Z44" i="162"/>
  <c r="X44" i="162"/>
  <c r="Q44" i="162"/>
  <c r="P44" i="162"/>
  <c r="H44" i="162"/>
  <c r="E44" i="162"/>
  <c r="I44" i="162" s="1"/>
  <c r="AE43" i="162"/>
  <c r="AI43" i="162" s="1"/>
  <c r="Y43" i="162" s="1"/>
  <c r="AD43" i="162"/>
  <c r="AC43" i="162"/>
  <c r="AB43" i="162"/>
  <c r="Z43" i="162"/>
  <c r="X43" i="162"/>
  <c r="Q43" i="162"/>
  <c r="P43" i="162"/>
  <c r="H43" i="162"/>
  <c r="E43" i="162"/>
  <c r="I43" i="162" s="1"/>
  <c r="AD42" i="162"/>
  <c r="AC42" i="162"/>
  <c r="AB42" i="162"/>
  <c r="AE42" i="162" s="1"/>
  <c r="AI42" i="162" s="1"/>
  <c r="Y42" i="162" s="1"/>
  <c r="Z42" i="162"/>
  <c r="X42" i="162"/>
  <c r="Q42" i="162"/>
  <c r="P42" i="162"/>
  <c r="H42" i="162"/>
  <c r="E42" i="162"/>
  <c r="I42" i="162" s="1"/>
  <c r="AD41" i="162"/>
  <c r="AE41" i="162" s="1"/>
  <c r="AI41" i="162" s="1"/>
  <c r="Y41" i="162" s="1"/>
  <c r="AC41" i="162"/>
  <c r="AB41" i="162"/>
  <c r="Z41" i="162"/>
  <c r="X41" i="162"/>
  <c r="Q41" i="162"/>
  <c r="P41" i="162"/>
  <c r="H41" i="162"/>
  <c r="E41" i="162"/>
  <c r="I41" i="162" s="1"/>
  <c r="AD40" i="162"/>
  <c r="AC40" i="162"/>
  <c r="AB40" i="162"/>
  <c r="AE40" i="162" s="1"/>
  <c r="AI40" i="162" s="1"/>
  <c r="Y40" i="162" s="1"/>
  <c r="Z40" i="162"/>
  <c r="X40" i="162"/>
  <c r="Q40" i="162"/>
  <c r="P40" i="162"/>
  <c r="I40" i="162"/>
  <c r="H40" i="162"/>
  <c r="E40" i="162"/>
  <c r="AD39" i="162"/>
  <c r="AC39" i="162"/>
  <c r="AB39" i="162"/>
  <c r="AE39" i="162" s="1"/>
  <c r="AI39" i="162" s="1"/>
  <c r="Y39" i="162" s="1"/>
  <c r="Z39" i="162"/>
  <c r="X39" i="162"/>
  <c r="Q39" i="162"/>
  <c r="P39" i="162"/>
  <c r="I39" i="162"/>
  <c r="H39" i="162"/>
  <c r="E39" i="162"/>
  <c r="AD38" i="162"/>
  <c r="AC38" i="162"/>
  <c r="AB38" i="162"/>
  <c r="AE38" i="162" s="1"/>
  <c r="AI38" i="162" s="1"/>
  <c r="Y38" i="162" s="1"/>
  <c r="Z38" i="162"/>
  <c r="X38" i="162"/>
  <c r="Q38" i="162"/>
  <c r="P38" i="162"/>
  <c r="I38" i="162"/>
  <c r="H38" i="162"/>
  <c r="E38" i="162"/>
  <c r="AE37" i="162"/>
  <c r="AI37" i="162" s="1"/>
  <c r="Y37" i="162" s="1"/>
  <c r="AD37" i="162"/>
  <c r="AC37" i="162"/>
  <c r="AB37" i="162"/>
  <c r="Z37" i="162"/>
  <c r="X37" i="162"/>
  <c r="Q37" i="162"/>
  <c r="P37" i="162"/>
  <c r="H37" i="162"/>
  <c r="E37" i="162"/>
  <c r="I37" i="162" s="1"/>
  <c r="AE36" i="162"/>
  <c r="AI36" i="162" s="1"/>
  <c r="Y36" i="162" s="1"/>
  <c r="AD36" i="162"/>
  <c r="AC36" i="162"/>
  <c r="AB36" i="162"/>
  <c r="Z36" i="162"/>
  <c r="X36" i="162"/>
  <c r="Q36" i="162"/>
  <c r="P36" i="162"/>
  <c r="H36" i="162"/>
  <c r="E36" i="162"/>
  <c r="I36" i="162" s="1"/>
  <c r="AD35" i="162"/>
  <c r="AC35" i="162"/>
  <c r="AB35" i="162"/>
  <c r="AE35" i="162" s="1"/>
  <c r="AI35" i="162" s="1"/>
  <c r="Y35" i="162" s="1"/>
  <c r="Z35" i="162"/>
  <c r="X35" i="162"/>
  <c r="Q35" i="162"/>
  <c r="P35" i="162"/>
  <c r="H35" i="162"/>
  <c r="E35" i="162"/>
  <c r="I35" i="162" s="1"/>
  <c r="AE34" i="162"/>
  <c r="AI34" i="162" s="1"/>
  <c r="Y34" i="162" s="1"/>
  <c r="AD34" i="162"/>
  <c r="AC34" i="162"/>
  <c r="AB34" i="162"/>
  <c r="Z34" i="162"/>
  <c r="X34" i="162"/>
  <c r="Q34" i="162"/>
  <c r="P34" i="162"/>
  <c r="I34" i="162"/>
  <c r="H34" i="162"/>
  <c r="E34" i="162"/>
  <c r="AD33" i="162"/>
  <c r="AC33" i="162"/>
  <c r="AB33" i="162"/>
  <c r="AE33" i="162" s="1"/>
  <c r="AI33" i="162" s="1"/>
  <c r="Y33" i="162" s="1"/>
  <c r="Z33" i="162"/>
  <c r="X33" i="162"/>
  <c r="Q33" i="162"/>
  <c r="P33" i="162"/>
  <c r="I33" i="162"/>
  <c r="H33" i="162"/>
  <c r="E33" i="162"/>
  <c r="AD32" i="162"/>
  <c r="AC32" i="162"/>
  <c r="AB32" i="162"/>
  <c r="AE32" i="162" s="1"/>
  <c r="AI32" i="162" s="1"/>
  <c r="Y32" i="162" s="1"/>
  <c r="Z32" i="162"/>
  <c r="X32" i="162"/>
  <c r="Q32" i="162"/>
  <c r="P32" i="162"/>
  <c r="H32" i="162"/>
  <c r="E32" i="162"/>
  <c r="I32" i="162" s="1"/>
  <c r="AI31" i="162"/>
  <c r="Y31" i="162" s="1"/>
  <c r="AE31" i="162"/>
  <c r="Z31" i="162"/>
  <c r="X31" i="162"/>
  <c r="Q31" i="162"/>
  <c r="P31" i="162"/>
  <c r="I31" i="162"/>
  <c r="H31" i="162"/>
  <c r="E31" i="162"/>
  <c r="AD30" i="162"/>
  <c r="AC30" i="162"/>
  <c r="AB30" i="162"/>
  <c r="AE30" i="162" s="1"/>
  <c r="AI30" i="162" s="1"/>
  <c r="Y30" i="162" s="1"/>
  <c r="Z30" i="162"/>
  <c r="X30" i="162"/>
  <c r="Q30" i="162"/>
  <c r="P30" i="162"/>
  <c r="I30" i="162"/>
  <c r="H30" i="162"/>
  <c r="E30" i="162"/>
  <c r="AD29" i="162"/>
  <c r="AC29" i="162"/>
  <c r="AE29" i="162" s="1"/>
  <c r="AI29" i="162" s="1"/>
  <c r="Y29" i="162" s="1"/>
  <c r="AB29" i="162"/>
  <c r="Z29" i="162"/>
  <c r="X29" i="162"/>
  <c r="Q29" i="162"/>
  <c r="P29" i="162"/>
  <c r="H29" i="162"/>
  <c r="E29" i="162"/>
  <c r="I29" i="162" s="1"/>
  <c r="AE28" i="162"/>
  <c r="AI28" i="162" s="1"/>
  <c r="Y28" i="162" s="1"/>
  <c r="AD28" i="162"/>
  <c r="AC28" i="162"/>
  <c r="AB28" i="162"/>
  <c r="Z28" i="162"/>
  <c r="X28" i="162"/>
  <c r="Q28" i="162"/>
  <c r="P28" i="162"/>
  <c r="H28" i="162"/>
  <c r="E28" i="162"/>
  <c r="I28" i="162" s="1"/>
  <c r="AD27" i="162"/>
  <c r="AC27" i="162"/>
  <c r="AB27" i="162"/>
  <c r="AE27" i="162" s="1"/>
  <c r="AI27" i="162" s="1"/>
  <c r="Y27" i="162" s="1"/>
  <c r="Z27" i="162"/>
  <c r="X27" i="162"/>
  <c r="Q27" i="162"/>
  <c r="P27" i="162"/>
  <c r="H27" i="162"/>
  <c r="E27" i="162"/>
  <c r="I27" i="162" s="1"/>
  <c r="AD26" i="162"/>
  <c r="AE26" i="162" s="1"/>
  <c r="AI26" i="162" s="1"/>
  <c r="Y26" i="162" s="1"/>
  <c r="AC26" i="162"/>
  <c r="AB26" i="162"/>
  <c r="Z26" i="162"/>
  <c r="X26" i="162"/>
  <c r="Q26" i="162"/>
  <c r="P26" i="162"/>
  <c r="H26" i="162"/>
  <c r="E26" i="162"/>
  <c r="I26" i="162" s="1"/>
  <c r="AD25" i="162"/>
  <c r="AC25" i="162"/>
  <c r="AB25" i="162"/>
  <c r="AE25" i="162" s="1"/>
  <c r="AI25" i="162" s="1"/>
  <c r="Y25" i="162" s="1"/>
  <c r="Z25" i="162"/>
  <c r="X25" i="162"/>
  <c r="Q25" i="162"/>
  <c r="P25" i="162"/>
  <c r="I25" i="162"/>
  <c r="H25" i="162"/>
  <c r="E25" i="162"/>
  <c r="AD24" i="162"/>
  <c r="AE24" i="162" s="1"/>
  <c r="AI24" i="162" s="1"/>
  <c r="Y24" i="162" s="1"/>
  <c r="AC24" i="162"/>
  <c r="AB24" i="162"/>
  <c r="Z24" i="162"/>
  <c r="X24" i="162"/>
  <c r="Q24" i="162"/>
  <c r="P24" i="162"/>
  <c r="I24" i="162"/>
  <c r="H24" i="162"/>
  <c r="E24" i="162"/>
  <c r="AD23" i="162"/>
  <c r="AC23" i="162"/>
  <c r="AB23" i="162"/>
  <c r="AE23" i="162" s="1"/>
  <c r="AI23" i="162" s="1"/>
  <c r="Y23" i="162" s="1"/>
  <c r="Z23" i="162"/>
  <c r="X23" i="162"/>
  <c r="Q23" i="162"/>
  <c r="P23" i="162"/>
  <c r="I23" i="162"/>
  <c r="H23" i="162"/>
  <c r="E23" i="162"/>
  <c r="AE22" i="162"/>
  <c r="AI22" i="162" s="1"/>
  <c r="Y22" i="162" s="1"/>
  <c r="AD22" i="162"/>
  <c r="AC22" i="162"/>
  <c r="AB22" i="162"/>
  <c r="Z22" i="162"/>
  <c r="X22" i="162"/>
  <c r="Q22" i="162"/>
  <c r="P22" i="162"/>
  <c r="H22" i="162"/>
  <c r="E22" i="162"/>
  <c r="I22" i="162" s="1"/>
  <c r="AE21" i="162"/>
  <c r="AI21" i="162" s="1"/>
  <c r="Y21" i="162" s="1"/>
  <c r="AD21" i="162"/>
  <c r="AC21" i="162"/>
  <c r="AB21" i="162"/>
  <c r="Z21" i="162"/>
  <c r="X21" i="162"/>
  <c r="Q21" i="162"/>
  <c r="P21" i="162"/>
  <c r="H21" i="162"/>
  <c r="E21" i="162"/>
  <c r="I21" i="162" s="1"/>
  <c r="AD20" i="162"/>
  <c r="AC20" i="162"/>
  <c r="AB20" i="162"/>
  <c r="AE20" i="162" s="1"/>
  <c r="AI20" i="162" s="1"/>
  <c r="Y20" i="162" s="1"/>
  <c r="Z20" i="162"/>
  <c r="X20" i="162"/>
  <c r="Q20" i="162"/>
  <c r="P20" i="162"/>
  <c r="H20" i="162"/>
  <c r="E20" i="162"/>
  <c r="I20" i="162" s="1"/>
  <c r="AE19" i="162"/>
  <c r="AI19" i="162" s="1"/>
  <c r="Y19" i="162" s="1"/>
  <c r="AD19" i="162"/>
  <c r="AC19" i="162"/>
  <c r="AB19" i="162"/>
  <c r="Z19" i="162"/>
  <c r="X19" i="162"/>
  <c r="Q19" i="162"/>
  <c r="P19" i="162"/>
  <c r="I19" i="162"/>
  <c r="H19" i="162"/>
  <c r="E19" i="162"/>
  <c r="AD18" i="162"/>
  <c r="AC18" i="162"/>
  <c r="AB18" i="162"/>
  <c r="AE18" i="162" s="1"/>
  <c r="AI18" i="162" s="1"/>
  <c r="Y18" i="162" s="1"/>
  <c r="Z18" i="162"/>
  <c r="X18" i="162"/>
  <c r="Q18" i="162"/>
  <c r="P18" i="162"/>
  <c r="I18" i="162"/>
  <c r="H18" i="162"/>
  <c r="E18" i="162"/>
  <c r="AD17" i="162"/>
  <c r="AC17" i="162"/>
  <c r="AB17" i="162"/>
  <c r="AE17" i="162" s="1"/>
  <c r="AI17" i="162" s="1"/>
  <c r="Y17" i="162" s="1"/>
  <c r="Z17" i="162"/>
  <c r="X17" i="162"/>
  <c r="Q17" i="162"/>
  <c r="P17" i="162"/>
  <c r="H17" i="162"/>
  <c r="E17" i="162"/>
  <c r="I17" i="162" s="1"/>
  <c r="AD16" i="162"/>
  <c r="AC16" i="162"/>
  <c r="AE16" i="162" s="1"/>
  <c r="AI16" i="162" s="1"/>
  <c r="Y16" i="162" s="1"/>
  <c r="AB16" i="162"/>
  <c r="Z16" i="162"/>
  <c r="X16" i="162"/>
  <c r="Q16" i="162"/>
  <c r="P16" i="162"/>
  <c r="I16" i="162"/>
  <c r="E16" i="162"/>
  <c r="AD15" i="162"/>
  <c r="AC15" i="162"/>
  <c r="AB15" i="162"/>
  <c r="AE15" i="162" s="1"/>
  <c r="AI15" i="162" s="1"/>
  <c r="Y15" i="162" s="1"/>
  <c r="Z15" i="162"/>
  <c r="X15" i="162"/>
  <c r="Q15" i="162"/>
  <c r="P15" i="162"/>
  <c r="E15" i="162"/>
  <c r="I15" i="162" s="1"/>
  <c r="AD14" i="162"/>
  <c r="AE14" i="162" s="1"/>
  <c r="AI14" i="162" s="1"/>
  <c r="Y14" i="162" s="1"/>
  <c r="AC14" i="162"/>
  <c r="AB14" i="162"/>
  <c r="Z14" i="162"/>
  <c r="X14" i="162"/>
  <c r="Q14" i="162"/>
  <c r="O75" i="162" s="1"/>
  <c r="P14" i="162"/>
  <c r="I14" i="162"/>
  <c r="H14" i="162"/>
  <c r="E14" i="162"/>
  <c r="AD13" i="162"/>
  <c r="AC13" i="162"/>
  <c r="AB13" i="162"/>
  <c r="AE13" i="162" s="1"/>
  <c r="AI13" i="162" s="1"/>
  <c r="Y13" i="162" s="1"/>
  <c r="Z13" i="162"/>
  <c r="X13" i="162"/>
  <c r="Q13" i="162"/>
  <c r="P13" i="162"/>
  <c r="I13" i="162"/>
  <c r="H13" i="162"/>
  <c r="E13" i="162"/>
  <c r="AE12" i="162"/>
  <c r="AI12" i="162" s="1"/>
  <c r="Y12" i="162" s="1"/>
  <c r="AD12" i="162"/>
  <c r="AC12" i="162"/>
  <c r="AB12" i="162"/>
  <c r="Z12" i="162"/>
  <c r="T75" i="162" s="1"/>
  <c r="X12" i="162"/>
  <c r="T77" i="162" s="1"/>
  <c r="Q12" i="162"/>
  <c r="P12" i="162"/>
  <c r="H12" i="162"/>
  <c r="E12" i="162"/>
  <c r="I12" i="162" s="1"/>
  <c r="F77" i="163" l="1"/>
  <c r="O73" i="162"/>
  <c r="F75" i="162"/>
  <c r="F73" i="162"/>
  <c r="T73" i="162"/>
  <c r="T79" i="162" s="1"/>
  <c r="M79" i="161"/>
  <c r="W73" i="161"/>
  <c r="P71" i="161"/>
  <c r="H71" i="161"/>
  <c r="Q70" i="161"/>
  <c r="P70" i="161"/>
  <c r="H70" i="161"/>
  <c r="E70" i="161"/>
  <c r="I70" i="161" s="1"/>
  <c r="Q69" i="161"/>
  <c r="P69" i="161"/>
  <c r="H69" i="161"/>
  <c r="E69" i="161"/>
  <c r="I69" i="161" s="1"/>
  <c r="AD68" i="161"/>
  <c r="AC68" i="161"/>
  <c r="AB68" i="161"/>
  <c r="AE68" i="161" s="1"/>
  <c r="AI68" i="161" s="1"/>
  <c r="Y68" i="161" s="1"/>
  <c r="Z68" i="161"/>
  <c r="X68" i="161"/>
  <c r="W68" i="161"/>
  <c r="Q68" i="161"/>
  <c r="P68" i="161"/>
  <c r="H68" i="161"/>
  <c r="E68" i="161"/>
  <c r="I68" i="161" s="1"/>
  <c r="AI67" i="161"/>
  <c r="Y67" i="161" s="1"/>
  <c r="AE67" i="161"/>
  <c r="AD67" i="161"/>
  <c r="AC67" i="161"/>
  <c r="AB67" i="161"/>
  <c r="Z67" i="161"/>
  <c r="X67" i="161"/>
  <c r="Q67" i="161"/>
  <c r="P67" i="161"/>
  <c r="H67" i="161"/>
  <c r="E67" i="161"/>
  <c r="I67" i="161" s="1"/>
  <c r="AE66" i="161"/>
  <c r="AI66" i="161" s="1"/>
  <c r="Y66" i="161" s="1"/>
  <c r="AD66" i="161"/>
  <c r="AC66" i="161"/>
  <c r="AB66" i="161"/>
  <c r="Z66" i="161"/>
  <c r="X66" i="161"/>
  <c r="Q66" i="161"/>
  <c r="P66" i="161"/>
  <c r="H66" i="161"/>
  <c r="E66" i="161"/>
  <c r="I66" i="161" s="1"/>
  <c r="AD65" i="161"/>
  <c r="AC65" i="161"/>
  <c r="AB65" i="161"/>
  <c r="AE65" i="161" s="1"/>
  <c r="AI65" i="161" s="1"/>
  <c r="Y65" i="161" s="1"/>
  <c r="Z65" i="161"/>
  <c r="X65" i="161"/>
  <c r="Q65" i="161"/>
  <c r="P65" i="161"/>
  <c r="H65" i="161"/>
  <c r="E65" i="161"/>
  <c r="I65" i="161" s="1"/>
  <c r="AD64" i="161"/>
  <c r="AC64" i="161"/>
  <c r="AB64" i="161"/>
  <c r="AE64" i="161" s="1"/>
  <c r="AI64" i="161" s="1"/>
  <c r="Y64" i="161" s="1"/>
  <c r="Z64" i="161"/>
  <c r="X64" i="161"/>
  <c r="Q64" i="161"/>
  <c r="P64" i="161"/>
  <c r="H64" i="161"/>
  <c r="E64" i="161"/>
  <c r="I64" i="161" s="1"/>
  <c r="AD63" i="161"/>
  <c r="AC63" i="161"/>
  <c r="AB63" i="161"/>
  <c r="AE63" i="161" s="1"/>
  <c r="AI63" i="161" s="1"/>
  <c r="Y63" i="161" s="1"/>
  <c r="Z63" i="161"/>
  <c r="X63" i="161"/>
  <c r="Q63" i="161"/>
  <c r="P63" i="161"/>
  <c r="H63" i="161"/>
  <c r="E63" i="161"/>
  <c r="I63" i="161" s="1"/>
  <c r="AE62" i="161"/>
  <c r="AI62" i="161" s="1"/>
  <c r="Y62" i="161" s="1"/>
  <c r="AD62" i="161"/>
  <c r="AC62" i="161"/>
  <c r="AB62" i="161"/>
  <c r="Z62" i="161"/>
  <c r="X62" i="161"/>
  <c r="Q62" i="161"/>
  <c r="P62" i="161"/>
  <c r="I62" i="161"/>
  <c r="H62" i="161"/>
  <c r="E62" i="161"/>
  <c r="AC61" i="161"/>
  <c r="AE61" i="161" s="1"/>
  <c r="AI61" i="161" s="1"/>
  <c r="Y61" i="161" s="1"/>
  <c r="AB61" i="161"/>
  <c r="X61" i="161"/>
  <c r="Q61" i="161"/>
  <c r="P61" i="161"/>
  <c r="I61" i="161"/>
  <c r="H61" i="161"/>
  <c r="E61" i="161"/>
  <c r="AI60" i="161"/>
  <c r="Y60" i="161" s="1"/>
  <c r="AE60" i="161"/>
  <c r="X60" i="161"/>
  <c r="Q60" i="161"/>
  <c r="P60" i="161"/>
  <c r="I60" i="161"/>
  <c r="H60" i="161"/>
  <c r="E60" i="161"/>
  <c r="AI59" i="161"/>
  <c r="Y59" i="161" s="1"/>
  <c r="AE59" i="161"/>
  <c r="AC59" i="161"/>
  <c r="AB59" i="161"/>
  <c r="X59" i="161"/>
  <c r="Q59" i="161"/>
  <c r="P59" i="161"/>
  <c r="H59" i="161"/>
  <c r="E59" i="161"/>
  <c r="I59" i="161" s="1"/>
  <c r="AC58" i="161"/>
  <c r="AB58" i="161"/>
  <c r="AE58" i="161" s="1"/>
  <c r="AI58" i="161" s="1"/>
  <c r="Y58" i="161" s="1"/>
  <c r="X58" i="161"/>
  <c r="Q58" i="161"/>
  <c r="P58" i="161"/>
  <c r="E58" i="161"/>
  <c r="I58" i="161" s="1"/>
  <c r="AC57" i="161"/>
  <c r="AB57" i="161"/>
  <c r="AE57" i="161" s="1"/>
  <c r="AI57" i="161" s="1"/>
  <c r="Y57" i="161" s="1"/>
  <c r="X57" i="161"/>
  <c r="Q57" i="161"/>
  <c r="P57" i="161"/>
  <c r="I57" i="161"/>
  <c r="H57" i="161"/>
  <c r="E57" i="161"/>
  <c r="AD56" i="161"/>
  <c r="AC56" i="161"/>
  <c r="AB56" i="161"/>
  <c r="AE56" i="161" s="1"/>
  <c r="AI56" i="161" s="1"/>
  <c r="Y56" i="161" s="1"/>
  <c r="Z56" i="161"/>
  <c r="X56" i="161"/>
  <c r="Q56" i="161"/>
  <c r="P56" i="161"/>
  <c r="H56" i="161"/>
  <c r="E56" i="161"/>
  <c r="I56" i="161" s="1"/>
  <c r="AE55" i="161"/>
  <c r="AI55" i="161" s="1"/>
  <c r="Y55" i="161" s="1"/>
  <c r="AD55" i="161"/>
  <c r="AC55" i="161"/>
  <c r="AB55" i="161"/>
  <c r="Z55" i="161"/>
  <c r="X55" i="161"/>
  <c r="Q55" i="161"/>
  <c r="P55" i="161"/>
  <c r="I55" i="161"/>
  <c r="H55" i="161"/>
  <c r="E55" i="161"/>
  <c r="AD54" i="161"/>
  <c r="AC54" i="161"/>
  <c r="AB54" i="161"/>
  <c r="AE54" i="161" s="1"/>
  <c r="AI54" i="161" s="1"/>
  <c r="Y54" i="161" s="1"/>
  <c r="Z54" i="161"/>
  <c r="X54" i="161"/>
  <c r="Q54" i="161"/>
  <c r="P54" i="161"/>
  <c r="H54" i="161"/>
  <c r="E54" i="161"/>
  <c r="I54" i="161" s="1"/>
  <c r="AD53" i="161"/>
  <c r="AC53" i="161"/>
  <c r="AE53" i="161" s="1"/>
  <c r="AI53" i="161" s="1"/>
  <c r="Y53" i="161" s="1"/>
  <c r="AB53" i="161"/>
  <c r="Z53" i="161"/>
  <c r="X53" i="161"/>
  <c r="Q53" i="161"/>
  <c r="P53" i="161"/>
  <c r="I53" i="161"/>
  <c r="H53" i="161"/>
  <c r="E53" i="161"/>
  <c r="AE52" i="161"/>
  <c r="AI52" i="161" s="1"/>
  <c r="Y52" i="161" s="1"/>
  <c r="Z52" i="161"/>
  <c r="X52" i="161"/>
  <c r="Q52" i="161"/>
  <c r="P52" i="161"/>
  <c r="I52" i="161"/>
  <c r="H52" i="161"/>
  <c r="E52" i="161"/>
  <c r="AD51" i="161"/>
  <c r="AC51" i="161"/>
  <c r="AB51" i="161"/>
  <c r="AE51" i="161" s="1"/>
  <c r="AI51" i="161" s="1"/>
  <c r="Y51" i="161" s="1"/>
  <c r="Z51" i="161"/>
  <c r="X51" i="161"/>
  <c r="Q51" i="161"/>
  <c r="P51" i="161"/>
  <c r="H51" i="161"/>
  <c r="E51" i="161"/>
  <c r="I51" i="161" s="1"/>
  <c r="AE50" i="161"/>
  <c r="AI50" i="161" s="1"/>
  <c r="Y50" i="161" s="1"/>
  <c r="AD50" i="161"/>
  <c r="AC50" i="161"/>
  <c r="AB50" i="161"/>
  <c r="Z50" i="161"/>
  <c r="X50" i="161"/>
  <c r="Q50" i="161"/>
  <c r="P50" i="161"/>
  <c r="H50" i="161"/>
  <c r="E50" i="161"/>
  <c r="I50" i="161" s="1"/>
  <c r="AI49" i="161"/>
  <c r="Y49" i="161" s="1"/>
  <c r="AE49" i="161"/>
  <c r="Z49" i="161"/>
  <c r="X49" i="161"/>
  <c r="Q49" i="161"/>
  <c r="P49" i="161"/>
  <c r="H49" i="161"/>
  <c r="E49" i="161"/>
  <c r="I49" i="161" s="1"/>
  <c r="AE48" i="161"/>
  <c r="AI48" i="161" s="1"/>
  <c r="Y48" i="161" s="1"/>
  <c r="Z48" i="161"/>
  <c r="X48" i="161"/>
  <c r="Q48" i="161"/>
  <c r="P48" i="161"/>
  <c r="I48" i="161"/>
  <c r="H48" i="161"/>
  <c r="E48" i="161"/>
  <c r="AI47" i="161"/>
  <c r="Y47" i="161" s="1"/>
  <c r="AE47" i="161"/>
  <c r="Z47" i="161"/>
  <c r="X47" i="161"/>
  <c r="Q47" i="161"/>
  <c r="P47" i="161"/>
  <c r="H47" i="161"/>
  <c r="E47" i="161"/>
  <c r="I47" i="161" s="1"/>
  <c r="AE46" i="161"/>
  <c r="AI46" i="161" s="1"/>
  <c r="Y46" i="161" s="1"/>
  <c r="AD46" i="161"/>
  <c r="AC46" i="161"/>
  <c r="AB46" i="161"/>
  <c r="Z46" i="161"/>
  <c r="X46" i="161"/>
  <c r="Q46" i="161"/>
  <c r="P46" i="161"/>
  <c r="I46" i="161"/>
  <c r="H46" i="161"/>
  <c r="E46" i="161"/>
  <c r="AD45" i="161"/>
  <c r="AC45" i="161"/>
  <c r="AB45" i="161"/>
  <c r="AE45" i="161" s="1"/>
  <c r="AI45" i="161" s="1"/>
  <c r="Y45" i="161" s="1"/>
  <c r="Z45" i="161"/>
  <c r="X45" i="161"/>
  <c r="Q45" i="161"/>
  <c r="P45" i="161"/>
  <c r="I45" i="161"/>
  <c r="H45" i="161"/>
  <c r="E45" i="161"/>
  <c r="AD44" i="161"/>
  <c r="AC44" i="161"/>
  <c r="AB44" i="161"/>
  <c r="AE44" i="161" s="1"/>
  <c r="AI44" i="161" s="1"/>
  <c r="Y44" i="161" s="1"/>
  <c r="Z44" i="161"/>
  <c r="X44" i="161"/>
  <c r="Q44" i="161"/>
  <c r="P44" i="161"/>
  <c r="H44" i="161"/>
  <c r="E44" i="161"/>
  <c r="I44" i="161" s="1"/>
  <c r="AE43" i="161"/>
  <c r="AI43" i="161" s="1"/>
  <c r="Y43" i="161" s="1"/>
  <c r="AD43" i="161"/>
  <c r="AC43" i="161"/>
  <c r="AB43" i="161"/>
  <c r="Z43" i="161"/>
  <c r="X43" i="161"/>
  <c r="Q43" i="161"/>
  <c r="P43" i="161"/>
  <c r="I43" i="161"/>
  <c r="H43" i="161"/>
  <c r="E43" i="161"/>
  <c r="AD42" i="161"/>
  <c r="AC42" i="161"/>
  <c r="AB42" i="161"/>
  <c r="AE42" i="161" s="1"/>
  <c r="AI42" i="161" s="1"/>
  <c r="Y42" i="161" s="1"/>
  <c r="Z42" i="161"/>
  <c r="X42" i="161"/>
  <c r="Q42" i="161"/>
  <c r="P42" i="161"/>
  <c r="H42" i="161"/>
  <c r="E42" i="161"/>
  <c r="I42" i="161" s="1"/>
  <c r="AD41" i="161"/>
  <c r="AC41" i="161"/>
  <c r="AE41" i="161" s="1"/>
  <c r="AI41" i="161" s="1"/>
  <c r="Y41" i="161" s="1"/>
  <c r="AB41" i="161"/>
  <c r="Z41" i="161"/>
  <c r="X41" i="161"/>
  <c r="Q41" i="161"/>
  <c r="P41" i="161"/>
  <c r="I41" i="161"/>
  <c r="H41" i="161"/>
  <c r="E41" i="161"/>
  <c r="AD40" i="161"/>
  <c r="AC40" i="161"/>
  <c r="AE40" i="161" s="1"/>
  <c r="AI40" i="161" s="1"/>
  <c r="Y40" i="161" s="1"/>
  <c r="AB40" i="161"/>
  <c r="Z40" i="161"/>
  <c r="X40" i="161"/>
  <c r="Q40" i="161"/>
  <c r="P40" i="161"/>
  <c r="I40" i="161"/>
  <c r="H40" i="161"/>
  <c r="E40" i="161"/>
  <c r="AD39" i="161"/>
  <c r="AC39" i="161"/>
  <c r="AB39" i="161"/>
  <c r="AE39" i="161" s="1"/>
  <c r="AI39" i="161" s="1"/>
  <c r="Y39" i="161" s="1"/>
  <c r="Z39" i="161"/>
  <c r="X39" i="161"/>
  <c r="Q39" i="161"/>
  <c r="P39" i="161"/>
  <c r="I39" i="161"/>
  <c r="H39" i="161"/>
  <c r="E39" i="161"/>
  <c r="AD38" i="161"/>
  <c r="AC38" i="161"/>
  <c r="AB38" i="161"/>
  <c r="AE38" i="161" s="1"/>
  <c r="AI38" i="161" s="1"/>
  <c r="Y38" i="161" s="1"/>
  <c r="Z38" i="161"/>
  <c r="X38" i="161"/>
  <c r="Q38" i="161"/>
  <c r="P38" i="161"/>
  <c r="H38" i="161"/>
  <c r="E38" i="161"/>
  <c r="I38" i="161" s="1"/>
  <c r="AE37" i="161"/>
  <c r="AI37" i="161" s="1"/>
  <c r="Y37" i="161" s="1"/>
  <c r="AD37" i="161"/>
  <c r="AC37" i="161"/>
  <c r="AB37" i="161"/>
  <c r="Z37" i="161"/>
  <c r="X37" i="161"/>
  <c r="Q37" i="161"/>
  <c r="P37" i="161"/>
  <c r="H37" i="161"/>
  <c r="E37" i="161"/>
  <c r="I37" i="161" s="1"/>
  <c r="AD36" i="161"/>
  <c r="AC36" i="161"/>
  <c r="AB36" i="161"/>
  <c r="AE36" i="161" s="1"/>
  <c r="AI36" i="161" s="1"/>
  <c r="Y36" i="161" s="1"/>
  <c r="Z36" i="161"/>
  <c r="X36" i="161"/>
  <c r="Q36" i="161"/>
  <c r="P36" i="161"/>
  <c r="H36" i="161"/>
  <c r="E36" i="161"/>
  <c r="I36" i="161" s="1"/>
  <c r="AD35" i="161"/>
  <c r="AC35" i="161"/>
  <c r="AB35" i="161"/>
  <c r="AE35" i="161" s="1"/>
  <c r="AI35" i="161" s="1"/>
  <c r="Y35" i="161" s="1"/>
  <c r="Z35" i="161"/>
  <c r="X35" i="161"/>
  <c r="Q35" i="161"/>
  <c r="P35" i="161"/>
  <c r="H35" i="161"/>
  <c r="E35" i="161"/>
  <c r="I35" i="161" s="1"/>
  <c r="AD34" i="161"/>
  <c r="AC34" i="161"/>
  <c r="AB34" i="161"/>
  <c r="AE34" i="161" s="1"/>
  <c r="AI34" i="161" s="1"/>
  <c r="Y34" i="161" s="1"/>
  <c r="Z34" i="161"/>
  <c r="X34" i="161"/>
  <c r="Q34" i="161"/>
  <c r="P34" i="161"/>
  <c r="I34" i="161"/>
  <c r="H34" i="161"/>
  <c r="E34" i="161"/>
  <c r="AE33" i="161"/>
  <c r="AI33" i="161" s="1"/>
  <c r="Y33" i="161" s="1"/>
  <c r="AD33" i="161"/>
  <c r="AC33" i="161"/>
  <c r="AB33" i="161"/>
  <c r="Z33" i="161"/>
  <c r="X33" i="161"/>
  <c r="Q33" i="161"/>
  <c r="P33" i="161"/>
  <c r="I33" i="161"/>
  <c r="H33" i="161"/>
  <c r="E33" i="161"/>
  <c r="AD32" i="161"/>
  <c r="AC32" i="161"/>
  <c r="AB32" i="161"/>
  <c r="AE32" i="161" s="1"/>
  <c r="AI32" i="161" s="1"/>
  <c r="Y32" i="161" s="1"/>
  <c r="Z32" i="161"/>
  <c r="X32" i="161"/>
  <c r="Q32" i="161"/>
  <c r="P32" i="161"/>
  <c r="H32" i="161"/>
  <c r="E32" i="161"/>
  <c r="I32" i="161" s="1"/>
  <c r="AE31" i="161"/>
  <c r="AI31" i="161" s="1"/>
  <c r="Y31" i="161" s="1"/>
  <c r="Z31" i="161"/>
  <c r="X31" i="161"/>
  <c r="Q31" i="161"/>
  <c r="P31" i="161"/>
  <c r="I31" i="161"/>
  <c r="H31" i="161"/>
  <c r="E31" i="161"/>
  <c r="AD30" i="161"/>
  <c r="AC30" i="161"/>
  <c r="AB30" i="161"/>
  <c r="AE30" i="161" s="1"/>
  <c r="AI30" i="161" s="1"/>
  <c r="Y30" i="161" s="1"/>
  <c r="Z30" i="161"/>
  <c r="X30" i="161"/>
  <c r="Q30" i="161"/>
  <c r="P30" i="161"/>
  <c r="I30" i="161"/>
  <c r="H30" i="161"/>
  <c r="E30" i="161"/>
  <c r="AD29" i="161"/>
  <c r="AC29" i="161"/>
  <c r="AB29" i="161"/>
  <c r="AE29" i="161" s="1"/>
  <c r="AI29" i="161" s="1"/>
  <c r="Y29" i="161" s="1"/>
  <c r="Z29" i="161"/>
  <c r="X29" i="161"/>
  <c r="Q29" i="161"/>
  <c r="P29" i="161"/>
  <c r="H29" i="161"/>
  <c r="E29" i="161"/>
  <c r="I29" i="161" s="1"/>
  <c r="AE28" i="161"/>
  <c r="AI28" i="161" s="1"/>
  <c r="Y28" i="161" s="1"/>
  <c r="AD28" i="161"/>
  <c r="AC28" i="161"/>
  <c r="AB28" i="161"/>
  <c r="Z28" i="161"/>
  <c r="X28" i="161"/>
  <c r="Q28" i="161"/>
  <c r="P28" i="161"/>
  <c r="I28" i="161"/>
  <c r="H28" i="161"/>
  <c r="E28" i="161"/>
  <c r="AD27" i="161"/>
  <c r="AC27" i="161"/>
  <c r="AB27" i="161"/>
  <c r="AE27" i="161" s="1"/>
  <c r="AI27" i="161" s="1"/>
  <c r="Y27" i="161" s="1"/>
  <c r="Z27" i="161"/>
  <c r="X27" i="161"/>
  <c r="Q27" i="161"/>
  <c r="P27" i="161"/>
  <c r="H27" i="161"/>
  <c r="E27" i="161"/>
  <c r="I27" i="161" s="1"/>
  <c r="AD26" i="161"/>
  <c r="AC26" i="161"/>
  <c r="AE26" i="161" s="1"/>
  <c r="AI26" i="161" s="1"/>
  <c r="Y26" i="161" s="1"/>
  <c r="AB26" i="161"/>
  <c r="Z26" i="161"/>
  <c r="X26" i="161"/>
  <c r="Q26" i="161"/>
  <c r="P26" i="161"/>
  <c r="I26" i="161"/>
  <c r="H26" i="161"/>
  <c r="E26" i="161"/>
  <c r="AD25" i="161"/>
  <c r="AC25" i="161"/>
  <c r="AE25" i="161" s="1"/>
  <c r="AI25" i="161" s="1"/>
  <c r="Y25" i="161" s="1"/>
  <c r="AB25" i="161"/>
  <c r="Z25" i="161"/>
  <c r="X25" i="161"/>
  <c r="Q25" i="161"/>
  <c r="P25" i="161"/>
  <c r="I25" i="161"/>
  <c r="H25" i="161"/>
  <c r="E25" i="161"/>
  <c r="AD24" i="161"/>
  <c r="AC24" i="161"/>
  <c r="AB24" i="161"/>
  <c r="AE24" i="161" s="1"/>
  <c r="AI24" i="161" s="1"/>
  <c r="Y24" i="161" s="1"/>
  <c r="Z24" i="161"/>
  <c r="X24" i="161"/>
  <c r="Q24" i="161"/>
  <c r="P24" i="161"/>
  <c r="I24" i="161"/>
  <c r="H24" i="161"/>
  <c r="E24" i="161"/>
  <c r="AD23" i="161"/>
  <c r="AC23" i="161"/>
  <c r="AB23" i="161"/>
  <c r="AE23" i="161" s="1"/>
  <c r="AI23" i="161" s="1"/>
  <c r="Y23" i="161" s="1"/>
  <c r="Z23" i="161"/>
  <c r="X23" i="161"/>
  <c r="Q23" i="161"/>
  <c r="P23" i="161"/>
  <c r="H23" i="161"/>
  <c r="E23" i="161"/>
  <c r="I23" i="161" s="1"/>
  <c r="AE22" i="161"/>
  <c r="AI22" i="161" s="1"/>
  <c r="Y22" i="161" s="1"/>
  <c r="AD22" i="161"/>
  <c r="AC22" i="161"/>
  <c r="AB22" i="161"/>
  <c r="Z22" i="161"/>
  <c r="X22" i="161"/>
  <c r="Q22" i="161"/>
  <c r="P22" i="161"/>
  <c r="H22" i="161"/>
  <c r="E22" i="161"/>
  <c r="I22" i="161" s="1"/>
  <c r="AD21" i="161"/>
  <c r="AC21" i="161"/>
  <c r="AB21" i="161"/>
  <c r="AE21" i="161" s="1"/>
  <c r="AI21" i="161" s="1"/>
  <c r="Y21" i="161" s="1"/>
  <c r="Z21" i="161"/>
  <c r="X21" i="161"/>
  <c r="Q21" i="161"/>
  <c r="P21" i="161"/>
  <c r="H21" i="161"/>
  <c r="E21" i="161"/>
  <c r="I21" i="161" s="1"/>
  <c r="AD20" i="161"/>
  <c r="AC20" i="161"/>
  <c r="AB20" i="161"/>
  <c r="AE20" i="161" s="1"/>
  <c r="AI20" i="161" s="1"/>
  <c r="Y20" i="161" s="1"/>
  <c r="Z20" i="161"/>
  <c r="X20" i="161"/>
  <c r="Q20" i="161"/>
  <c r="P20" i="161"/>
  <c r="H20" i="161"/>
  <c r="E20" i="161"/>
  <c r="I20" i="161" s="1"/>
  <c r="AD19" i="161"/>
  <c r="AC19" i="161"/>
  <c r="AB19" i="161"/>
  <c r="AE19" i="161" s="1"/>
  <c r="AI19" i="161" s="1"/>
  <c r="Y19" i="161" s="1"/>
  <c r="Z19" i="161"/>
  <c r="X19" i="161"/>
  <c r="Q19" i="161"/>
  <c r="P19" i="161"/>
  <c r="I19" i="161"/>
  <c r="H19" i="161"/>
  <c r="E19" i="161"/>
  <c r="AE18" i="161"/>
  <c r="AI18" i="161" s="1"/>
  <c r="Y18" i="161" s="1"/>
  <c r="AD18" i="161"/>
  <c r="AC18" i="161"/>
  <c r="AB18" i="161"/>
  <c r="Z18" i="161"/>
  <c r="X18" i="161"/>
  <c r="Q18" i="161"/>
  <c r="P18" i="161"/>
  <c r="I18" i="161"/>
  <c r="H18" i="161"/>
  <c r="E18" i="161"/>
  <c r="AD17" i="161"/>
  <c r="AC17" i="161"/>
  <c r="AB17" i="161"/>
  <c r="AE17" i="161" s="1"/>
  <c r="AI17" i="161" s="1"/>
  <c r="Y17" i="161" s="1"/>
  <c r="Z17" i="161"/>
  <c r="X17" i="161"/>
  <c r="Q17" i="161"/>
  <c r="P17" i="161"/>
  <c r="H17" i="161"/>
  <c r="E17" i="161"/>
  <c r="I17" i="161" s="1"/>
  <c r="AD16" i="161"/>
  <c r="AC16" i="161"/>
  <c r="AE16" i="161" s="1"/>
  <c r="AI16" i="161" s="1"/>
  <c r="Y16" i="161" s="1"/>
  <c r="AB16" i="161"/>
  <c r="Z16" i="161"/>
  <c r="X16" i="161"/>
  <c r="Q16" i="161"/>
  <c r="P16" i="161"/>
  <c r="E16" i="161"/>
  <c r="I16" i="161" s="1"/>
  <c r="AD15" i="161"/>
  <c r="AC15" i="161"/>
  <c r="AB15" i="161"/>
  <c r="AE15" i="161" s="1"/>
  <c r="AI15" i="161" s="1"/>
  <c r="Y15" i="161" s="1"/>
  <c r="Z15" i="161"/>
  <c r="X15" i="161"/>
  <c r="Q15" i="161"/>
  <c r="P15" i="161"/>
  <c r="E15" i="161"/>
  <c r="I15" i="161" s="1"/>
  <c r="AD14" i="161"/>
  <c r="AC14" i="161"/>
  <c r="AB14" i="161"/>
  <c r="AE14" i="161" s="1"/>
  <c r="AI14" i="161" s="1"/>
  <c r="Y14" i="161" s="1"/>
  <c r="Z14" i="161"/>
  <c r="X14" i="161"/>
  <c r="Q14" i="161"/>
  <c r="O75" i="161" s="1"/>
  <c r="P14" i="161"/>
  <c r="I14" i="161"/>
  <c r="H14" i="161"/>
  <c r="E14" i="161"/>
  <c r="AD13" i="161"/>
  <c r="AC13" i="161"/>
  <c r="AB13" i="161"/>
  <c r="AE13" i="161" s="1"/>
  <c r="AI13" i="161" s="1"/>
  <c r="Y13" i="161" s="1"/>
  <c r="Z13" i="161"/>
  <c r="X13" i="161"/>
  <c r="Q13" i="161"/>
  <c r="P13" i="161"/>
  <c r="H13" i="161"/>
  <c r="E13" i="161"/>
  <c r="I13" i="161" s="1"/>
  <c r="AE12" i="161"/>
  <c r="AI12" i="161" s="1"/>
  <c r="Y12" i="161" s="1"/>
  <c r="AD12" i="161"/>
  <c r="AC12" i="161"/>
  <c r="AB12" i="161"/>
  <c r="Z12" i="161"/>
  <c r="T75" i="161" s="1"/>
  <c r="X12" i="161"/>
  <c r="T77" i="161" s="1"/>
  <c r="Q12" i="161"/>
  <c r="O73" i="161" s="1"/>
  <c r="P12" i="161"/>
  <c r="H12" i="161"/>
  <c r="E12" i="161"/>
  <c r="I12" i="161" s="1"/>
  <c r="F77" i="162" l="1"/>
  <c r="F75" i="161"/>
  <c r="T73" i="161"/>
  <c r="T79" i="161" s="1"/>
  <c r="F73" i="161"/>
  <c r="M79" i="160"/>
  <c r="W73" i="160"/>
  <c r="P71" i="160"/>
  <c r="H71" i="160"/>
  <c r="Q70" i="160"/>
  <c r="P70" i="160"/>
  <c r="I70" i="160"/>
  <c r="H70" i="160"/>
  <c r="E70" i="160"/>
  <c r="Q69" i="160"/>
  <c r="P69" i="160"/>
  <c r="I69" i="160"/>
  <c r="H69" i="160"/>
  <c r="E69" i="160"/>
  <c r="AD68" i="160"/>
  <c r="AC68" i="160"/>
  <c r="AB68" i="160"/>
  <c r="AE68" i="160" s="1"/>
  <c r="AI68" i="160" s="1"/>
  <c r="Y68" i="160" s="1"/>
  <c r="Z68" i="160"/>
  <c r="X68" i="160"/>
  <c r="W68" i="160"/>
  <c r="Q68" i="160"/>
  <c r="P68" i="160"/>
  <c r="H68" i="160"/>
  <c r="E68" i="160"/>
  <c r="I68" i="160" s="1"/>
  <c r="AD67" i="160"/>
  <c r="AE67" i="160" s="1"/>
  <c r="AI67" i="160" s="1"/>
  <c r="Y67" i="160" s="1"/>
  <c r="AC67" i="160"/>
  <c r="AB67" i="160"/>
  <c r="Z67" i="160"/>
  <c r="X67" i="160"/>
  <c r="Q67" i="160"/>
  <c r="P67" i="160"/>
  <c r="I67" i="160"/>
  <c r="H67" i="160"/>
  <c r="E67" i="160"/>
  <c r="AE66" i="160"/>
  <c r="AI66" i="160" s="1"/>
  <c r="Y66" i="160" s="1"/>
  <c r="AD66" i="160"/>
  <c r="AC66" i="160"/>
  <c r="AB66" i="160"/>
  <c r="Z66" i="160"/>
  <c r="X66" i="160"/>
  <c r="Q66" i="160"/>
  <c r="P66" i="160"/>
  <c r="H66" i="160"/>
  <c r="E66" i="160"/>
  <c r="I66" i="160" s="1"/>
  <c r="AE65" i="160"/>
  <c r="AI65" i="160" s="1"/>
  <c r="Y65" i="160" s="1"/>
  <c r="AD65" i="160"/>
  <c r="AC65" i="160"/>
  <c r="AB65" i="160"/>
  <c r="Z65" i="160"/>
  <c r="X65" i="160"/>
  <c r="Q65" i="160"/>
  <c r="P65" i="160"/>
  <c r="H65" i="160"/>
  <c r="E65" i="160"/>
  <c r="I65" i="160" s="1"/>
  <c r="AD64" i="160"/>
  <c r="AC64" i="160"/>
  <c r="AB64" i="160"/>
  <c r="AE64" i="160" s="1"/>
  <c r="AI64" i="160" s="1"/>
  <c r="Y64" i="160" s="1"/>
  <c r="Z64" i="160"/>
  <c r="X64" i="160"/>
  <c r="Q64" i="160"/>
  <c r="P64" i="160"/>
  <c r="I64" i="160"/>
  <c r="H64" i="160"/>
  <c r="E64" i="160"/>
  <c r="AE63" i="160"/>
  <c r="AI63" i="160" s="1"/>
  <c r="Y63" i="160" s="1"/>
  <c r="AD63" i="160"/>
  <c r="AC63" i="160"/>
  <c r="AB63" i="160"/>
  <c r="Z63" i="160"/>
  <c r="X63" i="160"/>
  <c r="Q63" i="160"/>
  <c r="P63" i="160"/>
  <c r="I63" i="160"/>
  <c r="H63" i="160"/>
  <c r="E63" i="160"/>
  <c r="AE62" i="160"/>
  <c r="AI62" i="160" s="1"/>
  <c r="Y62" i="160" s="1"/>
  <c r="AD62" i="160"/>
  <c r="AC62" i="160"/>
  <c r="AB62" i="160"/>
  <c r="Z62" i="160"/>
  <c r="X62" i="160"/>
  <c r="Q62" i="160"/>
  <c r="P62" i="160"/>
  <c r="I62" i="160"/>
  <c r="H62" i="160"/>
  <c r="E62" i="160"/>
  <c r="AC61" i="160"/>
  <c r="AE61" i="160" s="1"/>
  <c r="AI61" i="160" s="1"/>
  <c r="Y61" i="160" s="1"/>
  <c r="AB61" i="160"/>
  <c r="X61" i="160"/>
  <c r="Q61" i="160"/>
  <c r="P61" i="160"/>
  <c r="I61" i="160"/>
  <c r="H61" i="160"/>
  <c r="E61" i="160"/>
  <c r="AE60" i="160"/>
  <c r="AI60" i="160" s="1"/>
  <c r="Y60" i="160" s="1"/>
  <c r="X60" i="160"/>
  <c r="Q60" i="160"/>
  <c r="P60" i="160"/>
  <c r="I60" i="160"/>
  <c r="H60" i="160"/>
  <c r="E60" i="160"/>
  <c r="AC59" i="160"/>
  <c r="AB59" i="160"/>
  <c r="AE59" i="160" s="1"/>
  <c r="AI59" i="160" s="1"/>
  <c r="Y59" i="160" s="1"/>
  <c r="X59" i="160"/>
  <c r="Q59" i="160"/>
  <c r="P59" i="160"/>
  <c r="I59" i="160"/>
  <c r="H59" i="160"/>
  <c r="E59" i="160"/>
  <c r="AE58" i="160"/>
  <c r="AI58" i="160" s="1"/>
  <c r="Y58" i="160" s="1"/>
  <c r="AC58" i="160"/>
  <c r="AB58" i="160"/>
  <c r="X58" i="160"/>
  <c r="Q58" i="160"/>
  <c r="P58" i="160"/>
  <c r="I58" i="160"/>
  <c r="E58" i="160"/>
  <c r="AC57" i="160"/>
  <c r="AB57" i="160"/>
  <c r="AE57" i="160" s="1"/>
  <c r="AI57" i="160" s="1"/>
  <c r="Y57" i="160" s="1"/>
  <c r="X57" i="160"/>
  <c r="Q57" i="160"/>
  <c r="P57" i="160"/>
  <c r="I57" i="160"/>
  <c r="H57" i="160"/>
  <c r="E57" i="160"/>
  <c r="AD56" i="160"/>
  <c r="AC56" i="160"/>
  <c r="AB56" i="160"/>
  <c r="AE56" i="160" s="1"/>
  <c r="AI56" i="160" s="1"/>
  <c r="Y56" i="160" s="1"/>
  <c r="Z56" i="160"/>
  <c r="X56" i="160"/>
  <c r="Q56" i="160"/>
  <c r="P56" i="160"/>
  <c r="H56" i="160"/>
  <c r="E56" i="160"/>
  <c r="I56" i="160" s="1"/>
  <c r="AD55" i="160"/>
  <c r="AC55" i="160"/>
  <c r="AE55" i="160" s="1"/>
  <c r="AI55" i="160" s="1"/>
  <c r="Y55" i="160" s="1"/>
  <c r="AB55" i="160"/>
  <c r="Z55" i="160"/>
  <c r="X55" i="160"/>
  <c r="Q55" i="160"/>
  <c r="P55" i="160"/>
  <c r="H55" i="160"/>
  <c r="E55" i="160"/>
  <c r="I55" i="160" s="1"/>
  <c r="AD54" i="160"/>
  <c r="AC54" i="160"/>
  <c r="AB54" i="160"/>
  <c r="AE54" i="160" s="1"/>
  <c r="AI54" i="160" s="1"/>
  <c r="Y54" i="160" s="1"/>
  <c r="Z54" i="160"/>
  <c r="X54" i="160"/>
  <c r="Q54" i="160"/>
  <c r="P54" i="160"/>
  <c r="I54" i="160"/>
  <c r="H54" i="160"/>
  <c r="E54" i="160"/>
  <c r="AD53" i="160"/>
  <c r="AE53" i="160" s="1"/>
  <c r="AI53" i="160" s="1"/>
  <c r="Y53" i="160" s="1"/>
  <c r="AC53" i="160"/>
  <c r="AB53" i="160"/>
  <c r="Z53" i="160"/>
  <c r="X53" i="160"/>
  <c r="Q53" i="160"/>
  <c r="P53" i="160"/>
  <c r="H53" i="160"/>
  <c r="E53" i="160"/>
  <c r="I53" i="160" s="1"/>
  <c r="AE52" i="160"/>
  <c r="AI52" i="160" s="1"/>
  <c r="Y52" i="160" s="1"/>
  <c r="Z52" i="160"/>
  <c r="X52" i="160"/>
  <c r="Q52" i="160"/>
  <c r="P52" i="160"/>
  <c r="H52" i="160"/>
  <c r="E52" i="160"/>
  <c r="I52" i="160" s="1"/>
  <c r="AD51" i="160"/>
  <c r="AE51" i="160" s="1"/>
  <c r="AI51" i="160" s="1"/>
  <c r="Y51" i="160" s="1"/>
  <c r="AC51" i="160"/>
  <c r="AB51" i="160"/>
  <c r="Z51" i="160"/>
  <c r="X51" i="160"/>
  <c r="Q51" i="160"/>
  <c r="P51" i="160"/>
  <c r="I51" i="160"/>
  <c r="H51" i="160"/>
  <c r="E51" i="160"/>
  <c r="AE50" i="160"/>
  <c r="AI50" i="160" s="1"/>
  <c r="Y50" i="160" s="1"/>
  <c r="AD50" i="160"/>
  <c r="AC50" i="160"/>
  <c r="AB50" i="160"/>
  <c r="Z50" i="160"/>
  <c r="X50" i="160"/>
  <c r="Q50" i="160"/>
  <c r="P50" i="160"/>
  <c r="H50" i="160"/>
  <c r="E50" i="160"/>
  <c r="I50" i="160" s="1"/>
  <c r="AE49" i="160"/>
  <c r="AI49" i="160" s="1"/>
  <c r="Y49" i="160" s="1"/>
  <c r="Z49" i="160"/>
  <c r="X49" i="160"/>
  <c r="Q49" i="160"/>
  <c r="P49" i="160"/>
  <c r="I49" i="160"/>
  <c r="H49" i="160"/>
  <c r="E49" i="160"/>
  <c r="AE48" i="160"/>
  <c r="AI48" i="160" s="1"/>
  <c r="Y48" i="160" s="1"/>
  <c r="Z48" i="160"/>
  <c r="X48" i="160"/>
  <c r="Q48" i="160"/>
  <c r="P48" i="160"/>
  <c r="I48" i="160"/>
  <c r="H48" i="160"/>
  <c r="E48" i="160"/>
  <c r="AI47" i="160"/>
  <c r="Y47" i="160" s="1"/>
  <c r="AE47" i="160"/>
  <c r="Z47" i="160"/>
  <c r="X47" i="160"/>
  <c r="Q47" i="160"/>
  <c r="P47" i="160"/>
  <c r="I47" i="160"/>
  <c r="H47" i="160"/>
  <c r="E47" i="160"/>
  <c r="AD46" i="160"/>
  <c r="AC46" i="160"/>
  <c r="AB46" i="160"/>
  <c r="AE46" i="160" s="1"/>
  <c r="AI46" i="160" s="1"/>
  <c r="Y46" i="160" s="1"/>
  <c r="Z46" i="160"/>
  <c r="X46" i="160"/>
  <c r="Q46" i="160"/>
  <c r="P46" i="160"/>
  <c r="I46" i="160"/>
  <c r="H46" i="160"/>
  <c r="E46" i="160"/>
  <c r="AD45" i="160"/>
  <c r="AC45" i="160"/>
  <c r="AB45" i="160"/>
  <c r="AE45" i="160" s="1"/>
  <c r="AI45" i="160" s="1"/>
  <c r="Y45" i="160" s="1"/>
  <c r="Z45" i="160"/>
  <c r="X45" i="160"/>
  <c r="Q45" i="160"/>
  <c r="P45" i="160"/>
  <c r="H45" i="160"/>
  <c r="E45" i="160"/>
  <c r="I45" i="160" s="1"/>
  <c r="AD44" i="160"/>
  <c r="AC44" i="160"/>
  <c r="AB44" i="160"/>
  <c r="AE44" i="160" s="1"/>
  <c r="AI44" i="160" s="1"/>
  <c r="Y44" i="160" s="1"/>
  <c r="Z44" i="160"/>
  <c r="X44" i="160"/>
  <c r="Q44" i="160"/>
  <c r="P44" i="160"/>
  <c r="H44" i="160"/>
  <c r="E44" i="160"/>
  <c r="I44" i="160" s="1"/>
  <c r="AD43" i="160"/>
  <c r="AC43" i="160"/>
  <c r="AE43" i="160" s="1"/>
  <c r="AI43" i="160" s="1"/>
  <c r="Y43" i="160" s="1"/>
  <c r="AB43" i="160"/>
  <c r="Z43" i="160"/>
  <c r="X43" i="160"/>
  <c r="Q43" i="160"/>
  <c r="P43" i="160"/>
  <c r="H43" i="160"/>
  <c r="E43" i="160"/>
  <c r="I43" i="160" s="1"/>
  <c r="AD42" i="160"/>
  <c r="AC42" i="160"/>
  <c r="AB42" i="160"/>
  <c r="AE42" i="160" s="1"/>
  <c r="AI42" i="160" s="1"/>
  <c r="Y42" i="160" s="1"/>
  <c r="Z42" i="160"/>
  <c r="X42" i="160"/>
  <c r="Q42" i="160"/>
  <c r="P42" i="160"/>
  <c r="I42" i="160"/>
  <c r="H42" i="160"/>
  <c r="E42" i="160"/>
  <c r="AD41" i="160"/>
  <c r="AE41" i="160" s="1"/>
  <c r="AI41" i="160" s="1"/>
  <c r="Y41" i="160" s="1"/>
  <c r="AC41" i="160"/>
  <c r="AB41" i="160"/>
  <c r="Z41" i="160"/>
  <c r="X41" i="160"/>
  <c r="Q41" i="160"/>
  <c r="P41" i="160"/>
  <c r="H41" i="160"/>
  <c r="E41" i="160"/>
  <c r="I41" i="160" s="1"/>
  <c r="AD40" i="160"/>
  <c r="AC40" i="160"/>
  <c r="AB40" i="160"/>
  <c r="AE40" i="160" s="1"/>
  <c r="AI40" i="160" s="1"/>
  <c r="Y40" i="160" s="1"/>
  <c r="Z40" i="160"/>
  <c r="X40" i="160"/>
  <c r="Q40" i="160"/>
  <c r="P40" i="160"/>
  <c r="H40" i="160"/>
  <c r="E40" i="160"/>
  <c r="I40" i="160" s="1"/>
  <c r="AD39" i="160"/>
  <c r="AC39" i="160"/>
  <c r="AB39" i="160"/>
  <c r="AE39" i="160" s="1"/>
  <c r="AI39" i="160" s="1"/>
  <c r="Y39" i="160" s="1"/>
  <c r="Z39" i="160"/>
  <c r="X39" i="160"/>
  <c r="Q39" i="160"/>
  <c r="P39" i="160"/>
  <c r="H39" i="160"/>
  <c r="E39" i="160"/>
  <c r="I39" i="160" s="1"/>
  <c r="AD38" i="160"/>
  <c r="AE38" i="160" s="1"/>
  <c r="AI38" i="160" s="1"/>
  <c r="Y38" i="160" s="1"/>
  <c r="AC38" i="160"/>
  <c r="AB38" i="160"/>
  <c r="Z38" i="160"/>
  <c r="X38" i="160"/>
  <c r="Q38" i="160"/>
  <c r="P38" i="160"/>
  <c r="I38" i="160"/>
  <c r="H38" i="160"/>
  <c r="E38" i="160"/>
  <c r="AE37" i="160"/>
  <c r="AI37" i="160" s="1"/>
  <c r="Y37" i="160" s="1"/>
  <c r="AD37" i="160"/>
  <c r="AC37" i="160"/>
  <c r="AB37" i="160"/>
  <c r="Z37" i="160"/>
  <c r="X37" i="160"/>
  <c r="Q37" i="160"/>
  <c r="P37" i="160"/>
  <c r="H37" i="160"/>
  <c r="E37" i="160"/>
  <c r="I37" i="160" s="1"/>
  <c r="AD36" i="160"/>
  <c r="AC36" i="160"/>
  <c r="AB36" i="160"/>
  <c r="AE36" i="160" s="1"/>
  <c r="AI36" i="160" s="1"/>
  <c r="Y36" i="160" s="1"/>
  <c r="Z36" i="160"/>
  <c r="X36" i="160"/>
  <c r="Q36" i="160"/>
  <c r="P36" i="160"/>
  <c r="H36" i="160"/>
  <c r="E36" i="160"/>
  <c r="I36" i="160" s="1"/>
  <c r="AD35" i="160"/>
  <c r="AC35" i="160"/>
  <c r="AB35" i="160"/>
  <c r="AE35" i="160" s="1"/>
  <c r="AI35" i="160" s="1"/>
  <c r="Y35" i="160" s="1"/>
  <c r="Z35" i="160"/>
  <c r="X35" i="160"/>
  <c r="Q35" i="160"/>
  <c r="P35" i="160"/>
  <c r="I35" i="160"/>
  <c r="H35" i="160"/>
  <c r="E35" i="160"/>
  <c r="AE34" i="160"/>
  <c r="AI34" i="160" s="1"/>
  <c r="Y34" i="160" s="1"/>
  <c r="AD34" i="160"/>
  <c r="AC34" i="160"/>
  <c r="AB34" i="160"/>
  <c r="Z34" i="160"/>
  <c r="X34" i="160"/>
  <c r="Q34" i="160"/>
  <c r="P34" i="160"/>
  <c r="I34" i="160"/>
  <c r="H34" i="160"/>
  <c r="E34" i="160"/>
  <c r="AE33" i="160"/>
  <c r="AI33" i="160" s="1"/>
  <c r="Y33" i="160" s="1"/>
  <c r="AD33" i="160"/>
  <c r="AC33" i="160"/>
  <c r="AB33" i="160"/>
  <c r="Z33" i="160"/>
  <c r="X33" i="160"/>
  <c r="Q33" i="160"/>
  <c r="P33" i="160"/>
  <c r="I33" i="160"/>
  <c r="H33" i="160"/>
  <c r="E33" i="160"/>
  <c r="AD32" i="160"/>
  <c r="AC32" i="160"/>
  <c r="AB32" i="160"/>
  <c r="AE32" i="160" s="1"/>
  <c r="AI32" i="160" s="1"/>
  <c r="Y32" i="160" s="1"/>
  <c r="Z32" i="160"/>
  <c r="X32" i="160"/>
  <c r="Q32" i="160"/>
  <c r="P32" i="160"/>
  <c r="H32" i="160"/>
  <c r="E32" i="160"/>
  <c r="I32" i="160" s="1"/>
  <c r="AI31" i="160"/>
  <c r="AE31" i="160"/>
  <c r="Z31" i="160"/>
  <c r="Y31" i="160"/>
  <c r="X31" i="160"/>
  <c r="Q31" i="160"/>
  <c r="P31" i="160"/>
  <c r="I31" i="160"/>
  <c r="H31" i="160"/>
  <c r="E31" i="160"/>
  <c r="AD30" i="160"/>
  <c r="AC30" i="160"/>
  <c r="AB30" i="160"/>
  <c r="AE30" i="160" s="1"/>
  <c r="AI30" i="160" s="1"/>
  <c r="Y30" i="160" s="1"/>
  <c r="Z30" i="160"/>
  <c r="X30" i="160"/>
  <c r="Q30" i="160"/>
  <c r="P30" i="160"/>
  <c r="H30" i="160"/>
  <c r="E30" i="160"/>
  <c r="I30" i="160" s="1"/>
  <c r="AD29" i="160"/>
  <c r="AC29" i="160"/>
  <c r="AB29" i="160"/>
  <c r="AE29" i="160" s="1"/>
  <c r="AI29" i="160" s="1"/>
  <c r="Y29" i="160" s="1"/>
  <c r="Z29" i="160"/>
  <c r="X29" i="160"/>
  <c r="Q29" i="160"/>
  <c r="P29" i="160"/>
  <c r="H29" i="160"/>
  <c r="E29" i="160"/>
  <c r="I29" i="160" s="1"/>
  <c r="AD28" i="160"/>
  <c r="AC28" i="160"/>
  <c r="AE28" i="160" s="1"/>
  <c r="AI28" i="160" s="1"/>
  <c r="Y28" i="160" s="1"/>
  <c r="AB28" i="160"/>
  <c r="Z28" i="160"/>
  <c r="X28" i="160"/>
  <c r="Q28" i="160"/>
  <c r="P28" i="160"/>
  <c r="H28" i="160"/>
  <c r="E28" i="160"/>
  <c r="I28" i="160" s="1"/>
  <c r="AD27" i="160"/>
  <c r="AC27" i="160"/>
  <c r="AB27" i="160"/>
  <c r="AE27" i="160" s="1"/>
  <c r="AI27" i="160" s="1"/>
  <c r="Y27" i="160" s="1"/>
  <c r="Z27" i="160"/>
  <c r="X27" i="160"/>
  <c r="Q27" i="160"/>
  <c r="P27" i="160"/>
  <c r="I27" i="160"/>
  <c r="H27" i="160"/>
  <c r="E27" i="160"/>
  <c r="AD26" i="160"/>
  <c r="AE26" i="160" s="1"/>
  <c r="AI26" i="160" s="1"/>
  <c r="Y26" i="160" s="1"/>
  <c r="AC26" i="160"/>
  <c r="AB26" i="160"/>
  <c r="Z26" i="160"/>
  <c r="X26" i="160"/>
  <c r="Q26" i="160"/>
  <c r="P26" i="160"/>
  <c r="H26" i="160"/>
  <c r="E26" i="160"/>
  <c r="I26" i="160" s="1"/>
  <c r="AD25" i="160"/>
  <c r="AC25" i="160"/>
  <c r="AB25" i="160"/>
  <c r="AE25" i="160" s="1"/>
  <c r="AI25" i="160" s="1"/>
  <c r="Y25" i="160" s="1"/>
  <c r="Z25" i="160"/>
  <c r="X25" i="160"/>
  <c r="Q25" i="160"/>
  <c r="P25" i="160"/>
  <c r="H25" i="160"/>
  <c r="E25" i="160"/>
  <c r="I25" i="160" s="1"/>
  <c r="AD24" i="160"/>
  <c r="AC24" i="160"/>
  <c r="AB24" i="160"/>
  <c r="AE24" i="160" s="1"/>
  <c r="AI24" i="160" s="1"/>
  <c r="Y24" i="160" s="1"/>
  <c r="Z24" i="160"/>
  <c r="X24" i="160"/>
  <c r="Q24" i="160"/>
  <c r="P24" i="160"/>
  <c r="H24" i="160"/>
  <c r="E24" i="160"/>
  <c r="I24" i="160" s="1"/>
  <c r="AD23" i="160"/>
  <c r="AE23" i="160" s="1"/>
  <c r="AI23" i="160" s="1"/>
  <c r="Y23" i="160" s="1"/>
  <c r="AC23" i="160"/>
  <c r="AB23" i="160"/>
  <c r="Z23" i="160"/>
  <c r="X23" i="160"/>
  <c r="Q23" i="160"/>
  <c r="P23" i="160"/>
  <c r="I23" i="160"/>
  <c r="H23" i="160"/>
  <c r="E23" i="160"/>
  <c r="AE22" i="160"/>
  <c r="AI22" i="160" s="1"/>
  <c r="Y22" i="160" s="1"/>
  <c r="AD22" i="160"/>
  <c r="AC22" i="160"/>
  <c r="AB22" i="160"/>
  <c r="Z22" i="160"/>
  <c r="X22" i="160"/>
  <c r="Q22" i="160"/>
  <c r="P22" i="160"/>
  <c r="H22" i="160"/>
  <c r="E22" i="160"/>
  <c r="I22" i="160" s="1"/>
  <c r="AD21" i="160"/>
  <c r="AC21" i="160"/>
  <c r="AB21" i="160"/>
  <c r="AE21" i="160" s="1"/>
  <c r="AI21" i="160" s="1"/>
  <c r="Y21" i="160" s="1"/>
  <c r="Z21" i="160"/>
  <c r="X21" i="160"/>
  <c r="Q21" i="160"/>
  <c r="P21" i="160"/>
  <c r="H21" i="160"/>
  <c r="E21" i="160"/>
  <c r="I21" i="160" s="1"/>
  <c r="AD20" i="160"/>
  <c r="AC20" i="160"/>
  <c r="AB20" i="160"/>
  <c r="AE20" i="160" s="1"/>
  <c r="AI20" i="160" s="1"/>
  <c r="Y20" i="160" s="1"/>
  <c r="Z20" i="160"/>
  <c r="X20" i="160"/>
  <c r="Q20" i="160"/>
  <c r="P20" i="160"/>
  <c r="I20" i="160"/>
  <c r="H20" i="160"/>
  <c r="E20" i="160"/>
  <c r="AE19" i="160"/>
  <c r="AI19" i="160" s="1"/>
  <c r="Y19" i="160" s="1"/>
  <c r="AD19" i="160"/>
  <c r="AC19" i="160"/>
  <c r="AB19" i="160"/>
  <c r="Z19" i="160"/>
  <c r="X19" i="160"/>
  <c r="Q19" i="160"/>
  <c r="P19" i="160"/>
  <c r="I19" i="160"/>
  <c r="H19" i="160"/>
  <c r="E19" i="160"/>
  <c r="AE18" i="160"/>
  <c r="AI18" i="160" s="1"/>
  <c r="Y18" i="160" s="1"/>
  <c r="AD18" i="160"/>
  <c r="AC18" i="160"/>
  <c r="AB18" i="160"/>
  <c r="Z18" i="160"/>
  <c r="X18" i="160"/>
  <c r="Q18" i="160"/>
  <c r="P18" i="160"/>
  <c r="I18" i="160"/>
  <c r="H18" i="160"/>
  <c r="E18" i="160"/>
  <c r="AD17" i="160"/>
  <c r="AC17" i="160"/>
  <c r="AB17" i="160"/>
  <c r="AE17" i="160" s="1"/>
  <c r="AI17" i="160" s="1"/>
  <c r="Y17" i="160" s="1"/>
  <c r="Z17" i="160"/>
  <c r="X17" i="160"/>
  <c r="Q17" i="160"/>
  <c r="P17" i="160"/>
  <c r="H17" i="160"/>
  <c r="E17" i="160"/>
  <c r="I17" i="160" s="1"/>
  <c r="AD16" i="160"/>
  <c r="AC16" i="160"/>
  <c r="AE16" i="160" s="1"/>
  <c r="AI16" i="160" s="1"/>
  <c r="Y16" i="160" s="1"/>
  <c r="AB16" i="160"/>
  <c r="Z16" i="160"/>
  <c r="X16" i="160"/>
  <c r="Q16" i="160"/>
  <c r="P16" i="160"/>
  <c r="I16" i="160"/>
  <c r="E16" i="160"/>
  <c r="AD15" i="160"/>
  <c r="AC15" i="160"/>
  <c r="AB15" i="160"/>
  <c r="AE15" i="160" s="1"/>
  <c r="AI15" i="160" s="1"/>
  <c r="Y15" i="160" s="1"/>
  <c r="Z15" i="160"/>
  <c r="X15" i="160"/>
  <c r="Q15" i="160"/>
  <c r="P15" i="160"/>
  <c r="E15" i="160"/>
  <c r="I15" i="160" s="1"/>
  <c r="AD14" i="160"/>
  <c r="AC14" i="160"/>
  <c r="AB14" i="160"/>
  <c r="AE14" i="160" s="1"/>
  <c r="AI14" i="160" s="1"/>
  <c r="Y14" i="160" s="1"/>
  <c r="Z14" i="160"/>
  <c r="X14" i="160"/>
  <c r="Q14" i="160"/>
  <c r="O75" i="160" s="1"/>
  <c r="P14" i="160"/>
  <c r="H14" i="160"/>
  <c r="E14" i="160"/>
  <c r="I14" i="160" s="1"/>
  <c r="AD13" i="160"/>
  <c r="AE13" i="160" s="1"/>
  <c r="AI13" i="160" s="1"/>
  <c r="Y13" i="160" s="1"/>
  <c r="AC13" i="160"/>
  <c r="AB13" i="160"/>
  <c r="Z13" i="160"/>
  <c r="X13" i="160"/>
  <c r="Q13" i="160"/>
  <c r="P13" i="160"/>
  <c r="H13" i="160"/>
  <c r="E13" i="160"/>
  <c r="I13" i="160" s="1"/>
  <c r="AE12" i="160"/>
  <c r="AI12" i="160" s="1"/>
  <c r="Y12" i="160" s="1"/>
  <c r="AD12" i="160"/>
  <c r="AC12" i="160"/>
  <c r="AB12" i="160"/>
  <c r="Z12" i="160"/>
  <c r="T75" i="160" s="1"/>
  <c r="X12" i="160"/>
  <c r="T77" i="160" s="1"/>
  <c r="Q12" i="160"/>
  <c r="O73" i="160" s="1"/>
  <c r="P12" i="160"/>
  <c r="H12" i="160"/>
  <c r="E12" i="160"/>
  <c r="I12" i="160" s="1"/>
  <c r="F77" i="161" l="1"/>
  <c r="T79" i="160"/>
  <c r="F75" i="160"/>
  <c r="T73" i="160"/>
  <c r="F73" i="160"/>
  <c r="M79" i="159"/>
  <c r="W73" i="159"/>
  <c r="P71" i="159"/>
  <c r="H71" i="159"/>
  <c r="Q70" i="159"/>
  <c r="P70" i="159"/>
  <c r="H70" i="159"/>
  <c r="E70" i="159"/>
  <c r="I70" i="159" s="1"/>
  <c r="Q69" i="159"/>
  <c r="P69" i="159"/>
  <c r="I69" i="159"/>
  <c r="H69" i="159"/>
  <c r="E69" i="159"/>
  <c r="AD68" i="159"/>
  <c r="AC68" i="159"/>
  <c r="AB68" i="159"/>
  <c r="AE68" i="159" s="1"/>
  <c r="AI68" i="159" s="1"/>
  <c r="Y68" i="159" s="1"/>
  <c r="Z68" i="159"/>
  <c r="X68" i="159"/>
  <c r="W68" i="159"/>
  <c r="Q68" i="159"/>
  <c r="P68" i="159"/>
  <c r="H68" i="159"/>
  <c r="E68" i="159"/>
  <c r="I68" i="159" s="1"/>
  <c r="AD67" i="159"/>
  <c r="AC67" i="159"/>
  <c r="AB67" i="159"/>
  <c r="AE67" i="159" s="1"/>
  <c r="AI67" i="159" s="1"/>
  <c r="Y67" i="159" s="1"/>
  <c r="Z67" i="159"/>
  <c r="X67" i="159"/>
  <c r="Q67" i="159"/>
  <c r="P67" i="159"/>
  <c r="H67" i="159"/>
  <c r="E67" i="159"/>
  <c r="I67" i="159" s="1"/>
  <c r="AD66" i="159"/>
  <c r="AE66" i="159" s="1"/>
  <c r="AI66" i="159" s="1"/>
  <c r="Y66" i="159" s="1"/>
  <c r="AC66" i="159"/>
  <c r="AB66" i="159"/>
  <c r="Z66" i="159"/>
  <c r="X66" i="159"/>
  <c r="Q66" i="159"/>
  <c r="P66" i="159"/>
  <c r="I66" i="159"/>
  <c r="H66" i="159"/>
  <c r="E66" i="159"/>
  <c r="AD65" i="159"/>
  <c r="AC65" i="159"/>
  <c r="AB65" i="159"/>
  <c r="AE65" i="159" s="1"/>
  <c r="AI65" i="159" s="1"/>
  <c r="Y65" i="159" s="1"/>
  <c r="Z65" i="159"/>
  <c r="X65" i="159"/>
  <c r="Q65" i="159"/>
  <c r="P65" i="159"/>
  <c r="I65" i="159"/>
  <c r="H65" i="159"/>
  <c r="E65" i="159"/>
  <c r="AD64" i="159"/>
  <c r="AC64" i="159"/>
  <c r="AB64" i="159"/>
  <c r="AE64" i="159" s="1"/>
  <c r="AI64" i="159" s="1"/>
  <c r="Y64" i="159" s="1"/>
  <c r="Z64" i="159"/>
  <c r="X64" i="159"/>
  <c r="Q64" i="159"/>
  <c r="P64" i="159"/>
  <c r="H64" i="159"/>
  <c r="E64" i="159"/>
  <c r="I64" i="159" s="1"/>
  <c r="AD63" i="159"/>
  <c r="AC63" i="159"/>
  <c r="AB63" i="159"/>
  <c r="AE63" i="159" s="1"/>
  <c r="AI63" i="159" s="1"/>
  <c r="Y63" i="159" s="1"/>
  <c r="Z63" i="159"/>
  <c r="X63" i="159"/>
  <c r="Q63" i="159"/>
  <c r="P63" i="159"/>
  <c r="I63" i="159"/>
  <c r="H63" i="159"/>
  <c r="E63" i="159"/>
  <c r="AD62" i="159"/>
  <c r="AC62" i="159"/>
  <c r="AE62" i="159" s="1"/>
  <c r="AI62" i="159" s="1"/>
  <c r="Y62" i="159" s="1"/>
  <c r="AB62" i="159"/>
  <c r="Z62" i="159"/>
  <c r="X62" i="159"/>
  <c r="Q62" i="159"/>
  <c r="P62" i="159"/>
  <c r="H62" i="159"/>
  <c r="E62" i="159"/>
  <c r="I62" i="159" s="1"/>
  <c r="AE61" i="159"/>
  <c r="AI61" i="159" s="1"/>
  <c r="Y61" i="159" s="1"/>
  <c r="AC61" i="159"/>
  <c r="AB61" i="159"/>
  <c r="X61" i="159"/>
  <c r="Q61" i="159"/>
  <c r="P61" i="159"/>
  <c r="H61" i="159"/>
  <c r="E61" i="159"/>
  <c r="I61" i="159" s="1"/>
  <c r="AI60" i="159"/>
  <c r="AE60" i="159"/>
  <c r="Y60" i="159"/>
  <c r="X60" i="159"/>
  <c r="Q60" i="159"/>
  <c r="P60" i="159"/>
  <c r="I60" i="159"/>
  <c r="H60" i="159"/>
  <c r="E60" i="159"/>
  <c r="AC59" i="159"/>
  <c r="AB59" i="159"/>
  <c r="AE59" i="159" s="1"/>
  <c r="AI59" i="159" s="1"/>
  <c r="Y59" i="159" s="1"/>
  <c r="X59" i="159"/>
  <c r="Q59" i="159"/>
  <c r="P59" i="159"/>
  <c r="H59" i="159"/>
  <c r="E59" i="159"/>
  <c r="I59" i="159" s="1"/>
  <c r="AC58" i="159"/>
  <c r="AE58" i="159" s="1"/>
  <c r="AI58" i="159" s="1"/>
  <c r="Y58" i="159" s="1"/>
  <c r="AB58" i="159"/>
  <c r="X58" i="159"/>
  <c r="Q58" i="159"/>
  <c r="P58" i="159"/>
  <c r="E58" i="159"/>
  <c r="I58" i="159" s="1"/>
  <c r="AC57" i="159"/>
  <c r="AE57" i="159" s="1"/>
  <c r="AI57" i="159" s="1"/>
  <c r="Y57" i="159" s="1"/>
  <c r="AB57" i="159"/>
  <c r="X57" i="159"/>
  <c r="Q57" i="159"/>
  <c r="P57" i="159"/>
  <c r="I57" i="159"/>
  <c r="H57" i="159"/>
  <c r="E57" i="159"/>
  <c r="AD56" i="159"/>
  <c r="AC56" i="159"/>
  <c r="AB56" i="159"/>
  <c r="AE56" i="159" s="1"/>
  <c r="AI56" i="159" s="1"/>
  <c r="Y56" i="159" s="1"/>
  <c r="Z56" i="159"/>
  <c r="X56" i="159"/>
  <c r="Q56" i="159"/>
  <c r="P56" i="159"/>
  <c r="I56" i="159"/>
  <c r="H56" i="159"/>
  <c r="E56" i="159"/>
  <c r="AD55" i="159"/>
  <c r="AC55" i="159"/>
  <c r="AE55" i="159" s="1"/>
  <c r="AI55" i="159" s="1"/>
  <c r="Y55" i="159" s="1"/>
  <c r="AB55" i="159"/>
  <c r="Z55" i="159"/>
  <c r="X55" i="159"/>
  <c r="Q55" i="159"/>
  <c r="P55" i="159"/>
  <c r="H55" i="159"/>
  <c r="E55" i="159"/>
  <c r="I55" i="159" s="1"/>
  <c r="AD54" i="159"/>
  <c r="AC54" i="159"/>
  <c r="AE54" i="159" s="1"/>
  <c r="AI54" i="159" s="1"/>
  <c r="Y54" i="159" s="1"/>
  <c r="AB54" i="159"/>
  <c r="Z54" i="159"/>
  <c r="X54" i="159"/>
  <c r="Q54" i="159"/>
  <c r="P54" i="159"/>
  <c r="H54" i="159"/>
  <c r="E54" i="159"/>
  <c r="I54" i="159" s="1"/>
  <c r="AD53" i="159"/>
  <c r="AC53" i="159"/>
  <c r="AB53" i="159"/>
  <c r="AE53" i="159" s="1"/>
  <c r="AI53" i="159" s="1"/>
  <c r="Y53" i="159" s="1"/>
  <c r="Z53" i="159"/>
  <c r="X53" i="159"/>
  <c r="Q53" i="159"/>
  <c r="P53" i="159"/>
  <c r="H53" i="159"/>
  <c r="E53" i="159"/>
  <c r="I53" i="159" s="1"/>
  <c r="AE52" i="159"/>
  <c r="AI52" i="159" s="1"/>
  <c r="Y52" i="159" s="1"/>
  <c r="Z52" i="159"/>
  <c r="X52" i="159"/>
  <c r="Q52" i="159"/>
  <c r="P52" i="159"/>
  <c r="H52" i="159"/>
  <c r="E52" i="159"/>
  <c r="I52" i="159" s="1"/>
  <c r="AD51" i="159"/>
  <c r="AC51" i="159"/>
  <c r="AB51" i="159"/>
  <c r="AE51" i="159" s="1"/>
  <c r="AI51" i="159" s="1"/>
  <c r="Y51" i="159" s="1"/>
  <c r="Z51" i="159"/>
  <c r="X51" i="159"/>
  <c r="Q51" i="159"/>
  <c r="P51" i="159"/>
  <c r="H51" i="159"/>
  <c r="E51" i="159"/>
  <c r="I51" i="159" s="1"/>
  <c r="AD50" i="159"/>
  <c r="AE50" i="159" s="1"/>
  <c r="AI50" i="159" s="1"/>
  <c r="Y50" i="159" s="1"/>
  <c r="AC50" i="159"/>
  <c r="AB50" i="159"/>
  <c r="Z50" i="159"/>
  <c r="X50" i="159"/>
  <c r="Q50" i="159"/>
  <c r="P50" i="159"/>
  <c r="I50" i="159"/>
  <c r="H50" i="159"/>
  <c r="E50" i="159"/>
  <c r="AE49" i="159"/>
  <c r="AI49" i="159" s="1"/>
  <c r="Y49" i="159" s="1"/>
  <c r="Z49" i="159"/>
  <c r="X49" i="159"/>
  <c r="Q49" i="159"/>
  <c r="P49" i="159"/>
  <c r="H49" i="159"/>
  <c r="E49" i="159"/>
  <c r="I49" i="159" s="1"/>
  <c r="AI48" i="159"/>
  <c r="Y48" i="159" s="1"/>
  <c r="AE48" i="159"/>
  <c r="Z48" i="159"/>
  <c r="X48" i="159"/>
  <c r="Q48" i="159"/>
  <c r="P48" i="159"/>
  <c r="H48" i="159"/>
  <c r="E48" i="159"/>
  <c r="I48" i="159" s="1"/>
  <c r="AE47" i="159"/>
  <c r="AI47" i="159" s="1"/>
  <c r="Y47" i="159" s="1"/>
  <c r="Z47" i="159"/>
  <c r="X47" i="159"/>
  <c r="Q47" i="159"/>
  <c r="P47" i="159"/>
  <c r="H47" i="159"/>
  <c r="E47" i="159"/>
  <c r="I47" i="159" s="1"/>
  <c r="AD46" i="159"/>
  <c r="AC46" i="159"/>
  <c r="AB46" i="159"/>
  <c r="AE46" i="159" s="1"/>
  <c r="AI46" i="159" s="1"/>
  <c r="Y46" i="159" s="1"/>
  <c r="Z46" i="159"/>
  <c r="X46" i="159"/>
  <c r="Q46" i="159"/>
  <c r="P46" i="159"/>
  <c r="H46" i="159"/>
  <c r="E46" i="159"/>
  <c r="I46" i="159" s="1"/>
  <c r="AD45" i="159"/>
  <c r="AC45" i="159"/>
  <c r="AB45" i="159"/>
  <c r="AE45" i="159" s="1"/>
  <c r="AI45" i="159" s="1"/>
  <c r="Y45" i="159" s="1"/>
  <c r="Z45" i="159"/>
  <c r="X45" i="159"/>
  <c r="Q45" i="159"/>
  <c r="P45" i="159"/>
  <c r="I45" i="159"/>
  <c r="H45" i="159"/>
  <c r="E45" i="159"/>
  <c r="AD44" i="159"/>
  <c r="AC44" i="159"/>
  <c r="AB44" i="159"/>
  <c r="AE44" i="159" s="1"/>
  <c r="AI44" i="159" s="1"/>
  <c r="Y44" i="159" s="1"/>
  <c r="Z44" i="159"/>
  <c r="X44" i="159"/>
  <c r="Q44" i="159"/>
  <c r="P44" i="159"/>
  <c r="I44" i="159"/>
  <c r="H44" i="159"/>
  <c r="E44" i="159"/>
  <c r="AD43" i="159"/>
  <c r="AC43" i="159"/>
  <c r="AE43" i="159" s="1"/>
  <c r="AI43" i="159" s="1"/>
  <c r="Y43" i="159" s="1"/>
  <c r="AB43" i="159"/>
  <c r="Z43" i="159"/>
  <c r="X43" i="159"/>
  <c r="Q43" i="159"/>
  <c r="P43" i="159"/>
  <c r="H43" i="159"/>
  <c r="E43" i="159"/>
  <c r="I43" i="159" s="1"/>
  <c r="AD42" i="159"/>
  <c r="AC42" i="159"/>
  <c r="AE42" i="159" s="1"/>
  <c r="AI42" i="159" s="1"/>
  <c r="Y42" i="159" s="1"/>
  <c r="AB42" i="159"/>
  <c r="Z42" i="159"/>
  <c r="X42" i="159"/>
  <c r="Q42" i="159"/>
  <c r="P42" i="159"/>
  <c r="H42" i="159"/>
  <c r="E42" i="159"/>
  <c r="I42" i="159" s="1"/>
  <c r="AD41" i="159"/>
  <c r="AC41" i="159"/>
  <c r="AB41" i="159"/>
  <c r="AE41" i="159" s="1"/>
  <c r="AI41" i="159" s="1"/>
  <c r="Y41" i="159" s="1"/>
  <c r="Z41" i="159"/>
  <c r="X41" i="159"/>
  <c r="Q41" i="159"/>
  <c r="P41" i="159"/>
  <c r="H41" i="159"/>
  <c r="E41" i="159"/>
  <c r="I41" i="159" s="1"/>
  <c r="AE40" i="159"/>
  <c r="AI40" i="159" s="1"/>
  <c r="Y40" i="159" s="1"/>
  <c r="AD40" i="159"/>
  <c r="AC40" i="159"/>
  <c r="AB40" i="159"/>
  <c r="Z40" i="159"/>
  <c r="X40" i="159"/>
  <c r="Q40" i="159"/>
  <c r="P40" i="159"/>
  <c r="H40" i="159"/>
  <c r="E40" i="159"/>
  <c r="I40" i="159" s="1"/>
  <c r="AE39" i="159"/>
  <c r="AI39" i="159" s="1"/>
  <c r="Y39" i="159" s="1"/>
  <c r="AD39" i="159"/>
  <c r="AC39" i="159"/>
  <c r="AB39" i="159"/>
  <c r="Z39" i="159"/>
  <c r="X39" i="159"/>
  <c r="Q39" i="159"/>
  <c r="P39" i="159"/>
  <c r="H39" i="159"/>
  <c r="E39" i="159"/>
  <c r="I39" i="159" s="1"/>
  <c r="AD38" i="159"/>
  <c r="AC38" i="159"/>
  <c r="AB38" i="159"/>
  <c r="AE38" i="159" s="1"/>
  <c r="AI38" i="159" s="1"/>
  <c r="Y38" i="159" s="1"/>
  <c r="Z38" i="159"/>
  <c r="X38" i="159"/>
  <c r="Q38" i="159"/>
  <c r="P38" i="159"/>
  <c r="H38" i="159"/>
  <c r="E38" i="159"/>
  <c r="I38" i="159" s="1"/>
  <c r="AD37" i="159"/>
  <c r="AE37" i="159" s="1"/>
  <c r="AI37" i="159" s="1"/>
  <c r="Y37" i="159" s="1"/>
  <c r="AC37" i="159"/>
  <c r="AB37" i="159"/>
  <c r="Z37" i="159"/>
  <c r="X37" i="159"/>
  <c r="Q37" i="159"/>
  <c r="P37" i="159"/>
  <c r="I37" i="159"/>
  <c r="H37" i="159"/>
  <c r="E37" i="159"/>
  <c r="AD36" i="159"/>
  <c r="AC36" i="159"/>
  <c r="AB36" i="159"/>
  <c r="AE36" i="159" s="1"/>
  <c r="AI36" i="159" s="1"/>
  <c r="Y36" i="159" s="1"/>
  <c r="Z36" i="159"/>
  <c r="X36" i="159"/>
  <c r="Q36" i="159"/>
  <c r="P36" i="159"/>
  <c r="I36" i="159"/>
  <c r="H36" i="159"/>
  <c r="E36" i="159"/>
  <c r="AD35" i="159"/>
  <c r="AC35" i="159"/>
  <c r="AB35" i="159"/>
  <c r="AE35" i="159" s="1"/>
  <c r="AI35" i="159" s="1"/>
  <c r="Y35" i="159" s="1"/>
  <c r="Z35" i="159"/>
  <c r="X35" i="159"/>
  <c r="Q35" i="159"/>
  <c r="P35" i="159"/>
  <c r="H35" i="159"/>
  <c r="E35" i="159"/>
  <c r="I35" i="159" s="1"/>
  <c r="AD34" i="159"/>
  <c r="AC34" i="159"/>
  <c r="AB34" i="159"/>
  <c r="AE34" i="159" s="1"/>
  <c r="AI34" i="159" s="1"/>
  <c r="Y34" i="159" s="1"/>
  <c r="Z34" i="159"/>
  <c r="X34" i="159"/>
  <c r="Q34" i="159"/>
  <c r="P34" i="159"/>
  <c r="I34" i="159"/>
  <c r="H34" i="159"/>
  <c r="E34" i="159"/>
  <c r="AD33" i="159"/>
  <c r="AC33" i="159"/>
  <c r="AE33" i="159" s="1"/>
  <c r="AI33" i="159" s="1"/>
  <c r="Y33" i="159" s="1"/>
  <c r="AB33" i="159"/>
  <c r="Z33" i="159"/>
  <c r="X33" i="159"/>
  <c r="Q33" i="159"/>
  <c r="P33" i="159"/>
  <c r="H33" i="159"/>
  <c r="E33" i="159"/>
  <c r="I33" i="159" s="1"/>
  <c r="AE32" i="159"/>
  <c r="AI32" i="159" s="1"/>
  <c r="Y32" i="159" s="1"/>
  <c r="AD32" i="159"/>
  <c r="AC32" i="159"/>
  <c r="AB32" i="159"/>
  <c r="Z32" i="159"/>
  <c r="X32" i="159"/>
  <c r="Q32" i="159"/>
  <c r="P32" i="159"/>
  <c r="I32" i="159"/>
  <c r="H32" i="159"/>
  <c r="E32" i="159"/>
  <c r="AE31" i="159"/>
  <c r="AI31" i="159" s="1"/>
  <c r="Y31" i="159" s="1"/>
  <c r="Z31" i="159"/>
  <c r="X31" i="159"/>
  <c r="Q31" i="159"/>
  <c r="P31" i="159"/>
  <c r="H31" i="159"/>
  <c r="E31" i="159"/>
  <c r="I31" i="159" s="1"/>
  <c r="AD30" i="159"/>
  <c r="AC30" i="159"/>
  <c r="AB30" i="159"/>
  <c r="AE30" i="159" s="1"/>
  <c r="AI30" i="159" s="1"/>
  <c r="Y30" i="159" s="1"/>
  <c r="Z30" i="159"/>
  <c r="X30" i="159"/>
  <c r="Q30" i="159"/>
  <c r="P30" i="159"/>
  <c r="I30" i="159"/>
  <c r="H30" i="159"/>
  <c r="E30" i="159"/>
  <c r="AD29" i="159"/>
  <c r="AC29" i="159"/>
  <c r="AB29" i="159"/>
  <c r="AE29" i="159" s="1"/>
  <c r="AI29" i="159" s="1"/>
  <c r="Y29" i="159" s="1"/>
  <c r="Z29" i="159"/>
  <c r="X29" i="159"/>
  <c r="Q29" i="159"/>
  <c r="P29" i="159"/>
  <c r="H29" i="159"/>
  <c r="E29" i="159"/>
  <c r="I29" i="159" s="1"/>
  <c r="AD28" i="159"/>
  <c r="AC28" i="159"/>
  <c r="AE28" i="159" s="1"/>
  <c r="AI28" i="159" s="1"/>
  <c r="Y28" i="159" s="1"/>
  <c r="AB28" i="159"/>
  <c r="Z28" i="159"/>
  <c r="X28" i="159"/>
  <c r="Q28" i="159"/>
  <c r="P28" i="159"/>
  <c r="H28" i="159"/>
  <c r="E28" i="159"/>
  <c r="I28" i="159" s="1"/>
  <c r="AD27" i="159"/>
  <c r="AC27" i="159"/>
  <c r="AE27" i="159" s="1"/>
  <c r="AI27" i="159" s="1"/>
  <c r="Y27" i="159" s="1"/>
  <c r="AB27" i="159"/>
  <c r="Z27" i="159"/>
  <c r="X27" i="159"/>
  <c r="Q27" i="159"/>
  <c r="P27" i="159"/>
  <c r="H27" i="159"/>
  <c r="E27" i="159"/>
  <c r="I27" i="159" s="1"/>
  <c r="AD26" i="159"/>
  <c r="AC26" i="159"/>
  <c r="AB26" i="159"/>
  <c r="AE26" i="159" s="1"/>
  <c r="AI26" i="159" s="1"/>
  <c r="Y26" i="159" s="1"/>
  <c r="Z26" i="159"/>
  <c r="X26" i="159"/>
  <c r="Q26" i="159"/>
  <c r="P26" i="159"/>
  <c r="I26" i="159"/>
  <c r="H26" i="159"/>
  <c r="E26" i="159"/>
  <c r="AE25" i="159"/>
  <c r="AI25" i="159" s="1"/>
  <c r="Y25" i="159" s="1"/>
  <c r="AD25" i="159"/>
  <c r="AC25" i="159"/>
  <c r="AB25" i="159"/>
  <c r="Z25" i="159"/>
  <c r="X25" i="159"/>
  <c r="Q25" i="159"/>
  <c r="P25" i="159"/>
  <c r="H25" i="159"/>
  <c r="E25" i="159"/>
  <c r="I25" i="159" s="1"/>
  <c r="AE24" i="159"/>
  <c r="AI24" i="159" s="1"/>
  <c r="Y24" i="159" s="1"/>
  <c r="AD24" i="159"/>
  <c r="AC24" i="159"/>
  <c r="AB24" i="159"/>
  <c r="Z24" i="159"/>
  <c r="X24" i="159"/>
  <c r="Q24" i="159"/>
  <c r="P24" i="159"/>
  <c r="H24" i="159"/>
  <c r="E24" i="159"/>
  <c r="I24" i="159" s="1"/>
  <c r="AD23" i="159"/>
  <c r="AC23" i="159"/>
  <c r="AB23" i="159"/>
  <c r="AE23" i="159" s="1"/>
  <c r="AI23" i="159" s="1"/>
  <c r="Y23" i="159" s="1"/>
  <c r="Z23" i="159"/>
  <c r="X23" i="159"/>
  <c r="Q23" i="159"/>
  <c r="P23" i="159"/>
  <c r="H23" i="159"/>
  <c r="E23" i="159"/>
  <c r="I23" i="159" s="1"/>
  <c r="AD22" i="159"/>
  <c r="AE22" i="159" s="1"/>
  <c r="AI22" i="159" s="1"/>
  <c r="Y22" i="159" s="1"/>
  <c r="AC22" i="159"/>
  <c r="AB22" i="159"/>
  <c r="Z22" i="159"/>
  <c r="X22" i="159"/>
  <c r="Q22" i="159"/>
  <c r="P22" i="159"/>
  <c r="I22" i="159"/>
  <c r="H22" i="159"/>
  <c r="E22" i="159"/>
  <c r="AD21" i="159"/>
  <c r="AC21" i="159"/>
  <c r="AB21" i="159"/>
  <c r="AE21" i="159" s="1"/>
  <c r="AI21" i="159" s="1"/>
  <c r="Y21" i="159" s="1"/>
  <c r="Z21" i="159"/>
  <c r="X21" i="159"/>
  <c r="Q21" i="159"/>
  <c r="P21" i="159"/>
  <c r="I21" i="159"/>
  <c r="H21" i="159"/>
  <c r="E21" i="159"/>
  <c r="AD20" i="159"/>
  <c r="AC20" i="159"/>
  <c r="AB20" i="159"/>
  <c r="AE20" i="159" s="1"/>
  <c r="AI20" i="159" s="1"/>
  <c r="Y20" i="159" s="1"/>
  <c r="Z20" i="159"/>
  <c r="X20" i="159"/>
  <c r="Q20" i="159"/>
  <c r="P20" i="159"/>
  <c r="H20" i="159"/>
  <c r="E20" i="159"/>
  <c r="I20" i="159" s="1"/>
  <c r="AD19" i="159"/>
  <c r="AC19" i="159"/>
  <c r="AB19" i="159"/>
  <c r="AE19" i="159" s="1"/>
  <c r="AI19" i="159" s="1"/>
  <c r="Y19" i="159" s="1"/>
  <c r="Z19" i="159"/>
  <c r="X19" i="159"/>
  <c r="Q19" i="159"/>
  <c r="P19" i="159"/>
  <c r="I19" i="159"/>
  <c r="H19" i="159"/>
  <c r="E19" i="159"/>
  <c r="AD18" i="159"/>
  <c r="AC18" i="159"/>
  <c r="AE18" i="159" s="1"/>
  <c r="AI18" i="159" s="1"/>
  <c r="Y18" i="159" s="1"/>
  <c r="AB18" i="159"/>
  <c r="Z18" i="159"/>
  <c r="X18" i="159"/>
  <c r="Q18" i="159"/>
  <c r="P18" i="159"/>
  <c r="H18" i="159"/>
  <c r="E18" i="159"/>
  <c r="I18" i="159" s="1"/>
  <c r="AE17" i="159"/>
  <c r="AI17" i="159" s="1"/>
  <c r="Y17" i="159" s="1"/>
  <c r="AD17" i="159"/>
  <c r="AC17" i="159"/>
  <c r="AB17" i="159"/>
  <c r="Z17" i="159"/>
  <c r="X17" i="159"/>
  <c r="Q17" i="159"/>
  <c r="P17" i="159"/>
  <c r="I17" i="159"/>
  <c r="H17" i="159"/>
  <c r="E17" i="159"/>
  <c r="AD16" i="159"/>
  <c r="AC16" i="159"/>
  <c r="AB16" i="159"/>
  <c r="AE16" i="159" s="1"/>
  <c r="AI16" i="159" s="1"/>
  <c r="Y16" i="159" s="1"/>
  <c r="Z16" i="159"/>
  <c r="X16" i="159"/>
  <c r="Q16" i="159"/>
  <c r="P16" i="159"/>
  <c r="E16" i="159"/>
  <c r="I16" i="159" s="1"/>
  <c r="AD15" i="159"/>
  <c r="AC15" i="159"/>
  <c r="AB15" i="159"/>
  <c r="AE15" i="159" s="1"/>
  <c r="AI15" i="159" s="1"/>
  <c r="Y15" i="159" s="1"/>
  <c r="Z15" i="159"/>
  <c r="X15" i="159"/>
  <c r="Q15" i="159"/>
  <c r="P15" i="159"/>
  <c r="E15" i="159"/>
  <c r="I15" i="159" s="1"/>
  <c r="AE14" i="159"/>
  <c r="AI14" i="159" s="1"/>
  <c r="Y14" i="159" s="1"/>
  <c r="AD14" i="159"/>
  <c r="AC14" i="159"/>
  <c r="AB14" i="159"/>
  <c r="Z14" i="159"/>
  <c r="X14" i="159"/>
  <c r="Q14" i="159"/>
  <c r="O75" i="159" s="1"/>
  <c r="P14" i="159"/>
  <c r="H14" i="159"/>
  <c r="E14" i="159"/>
  <c r="I14" i="159" s="1"/>
  <c r="AD13" i="159"/>
  <c r="AC13" i="159"/>
  <c r="AB13" i="159"/>
  <c r="AE13" i="159" s="1"/>
  <c r="AI13" i="159" s="1"/>
  <c r="Y13" i="159" s="1"/>
  <c r="Z13" i="159"/>
  <c r="X13" i="159"/>
  <c r="Q13" i="159"/>
  <c r="P13" i="159"/>
  <c r="H13" i="159"/>
  <c r="E13" i="159"/>
  <c r="I13" i="159" s="1"/>
  <c r="AD12" i="159"/>
  <c r="AE12" i="159" s="1"/>
  <c r="AI12" i="159" s="1"/>
  <c r="Y12" i="159" s="1"/>
  <c r="AC12" i="159"/>
  <c r="AB12" i="159"/>
  <c r="Z12" i="159"/>
  <c r="X12" i="159"/>
  <c r="Q12" i="159"/>
  <c r="P12" i="159"/>
  <c r="I12" i="159"/>
  <c r="H12" i="159"/>
  <c r="E12" i="159"/>
  <c r="F77" i="160" l="1"/>
  <c r="T77" i="159"/>
  <c r="T75" i="159"/>
  <c r="T73" i="159"/>
  <c r="F73" i="159"/>
  <c r="F75" i="159"/>
  <c r="O73" i="159"/>
  <c r="M79" i="158"/>
  <c r="W73" i="158"/>
  <c r="P71" i="158"/>
  <c r="H71" i="158"/>
  <c r="Q70" i="158"/>
  <c r="P70" i="158"/>
  <c r="I70" i="158"/>
  <c r="H70" i="158"/>
  <c r="E70" i="158"/>
  <c r="Q69" i="158"/>
  <c r="P69" i="158"/>
  <c r="I69" i="158"/>
  <c r="H69" i="158"/>
  <c r="E69" i="158"/>
  <c r="AD68" i="158"/>
  <c r="AC68" i="158"/>
  <c r="AB68" i="158"/>
  <c r="AE68" i="158" s="1"/>
  <c r="AI68" i="158" s="1"/>
  <c r="Y68" i="158" s="1"/>
  <c r="Z68" i="158"/>
  <c r="X68" i="158"/>
  <c r="W68" i="158"/>
  <c r="Q68" i="158"/>
  <c r="P68" i="158"/>
  <c r="H68" i="158"/>
  <c r="E68" i="158"/>
  <c r="I68" i="158" s="1"/>
  <c r="AD67" i="158"/>
  <c r="AC67" i="158"/>
  <c r="AE67" i="158" s="1"/>
  <c r="AI67" i="158" s="1"/>
  <c r="Y67" i="158" s="1"/>
  <c r="AB67" i="158"/>
  <c r="Z67" i="158"/>
  <c r="X67" i="158"/>
  <c r="Q67" i="158"/>
  <c r="P67" i="158"/>
  <c r="I67" i="158"/>
  <c r="H67" i="158"/>
  <c r="E67" i="158"/>
  <c r="AD66" i="158"/>
  <c r="AE66" i="158" s="1"/>
  <c r="AI66" i="158" s="1"/>
  <c r="Y66" i="158" s="1"/>
  <c r="AC66" i="158"/>
  <c r="AB66" i="158"/>
  <c r="Z66" i="158"/>
  <c r="X66" i="158"/>
  <c r="Q66" i="158"/>
  <c r="P66" i="158"/>
  <c r="I66" i="158"/>
  <c r="H66" i="158"/>
  <c r="E66" i="158"/>
  <c r="AE65" i="158"/>
  <c r="AI65" i="158" s="1"/>
  <c r="Y65" i="158" s="1"/>
  <c r="AD65" i="158"/>
  <c r="AC65" i="158"/>
  <c r="AB65" i="158"/>
  <c r="Z65" i="158"/>
  <c r="X65" i="158"/>
  <c r="Q65" i="158"/>
  <c r="P65" i="158"/>
  <c r="H65" i="158"/>
  <c r="E65" i="158"/>
  <c r="I65" i="158" s="1"/>
  <c r="AD64" i="158"/>
  <c r="AC64" i="158"/>
  <c r="AB64" i="158"/>
  <c r="AE64" i="158" s="1"/>
  <c r="AI64" i="158" s="1"/>
  <c r="Y64" i="158" s="1"/>
  <c r="Z64" i="158"/>
  <c r="X64" i="158"/>
  <c r="Q64" i="158"/>
  <c r="P64" i="158"/>
  <c r="H64" i="158"/>
  <c r="E64" i="158"/>
  <c r="I64" i="158" s="1"/>
  <c r="AD63" i="158"/>
  <c r="AC63" i="158"/>
  <c r="AE63" i="158" s="1"/>
  <c r="AI63" i="158" s="1"/>
  <c r="Y63" i="158" s="1"/>
  <c r="AB63" i="158"/>
  <c r="Z63" i="158"/>
  <c r="X63" i="158"/>
  <c r="Q63" i="158"/>
  <c r="P63" i="158"/>
  <c r="I63" i="158"/>
  <c r="H63" i="158"/>
  <c r="E63" i="158"/>
  <c r="AD62" i="158"/>
  <c r="AC62" i="158"/>
  <c r="AB62" i="158"/>
  <c r="AE62" i="158" s="1"/>
  <c r="AI62" i="158" s="1"/>
  <c r="Y62" i="158" s="1"/>
  <c r="Z62" i="158"/>
  <c r="X62" i="158"/>
  <c r="Q62" i="158"/>
  <c r="P62" i="158"/>
  <c r="I62" i="158"/>
  <c r="H62" i="158"/>
  <c r="E62" i="158"/>
  <c r="AE61" i="158"/>
  <c r="AI61" i="158" s="1"/>
  <c r="Y61" i="158" s="1"/>
  <c r="AC61" i="158"/>
  <c r="AB61" i="158"/>
  <c r="X61" i="158"/>
  <c r="Q61" i="158"/>
  <c r="P61" i="158"/>
  <c r="I61" i="158"/>
  <c r="H61" i="158"/>
  <c r="E61" i="158"/>
  <c r="AE60" i="158"/>
  <c r="AI60" i="158" s="1"/>
  <c r="Y60" i="158" s="1"/>
  <c r="X60" i="158"/>
  <c r="Q60" i="158"/>
  <c r="P60" i="158"/>
  <c r="I60" i="158"/>
  <c r="H60" i="158"/>
  <c r="E60" i="158"/>
  <c r="AC59" i="158"/>
  <c r="AB59" i="158"/>
  <c r="AE59" i="158" s="1"/>
  <c r="AI59" i="158" s="1"/>
  <c r="Y59" i="158" s="1"/>
  <c r="X59" i="158"/>
  <c r="Q59" i="158"/>
  <c r="P59" i="158"/>
  <c r="I59" i="158"/>
  <c r="H59" i="158"/>
  <c r="E59" i="158"/>
  <c r="AC58" i="158"/>
  <c r="AE58" i="158" s="1"/>
  <c r="AI58" i="158" s="1"/>
  <c r="Y58" i="158" s="1"/>
  <c r="AB58" i="158"/>
  <c r="X58" i="158"/>
  <c r="Q58" i="158"/>
  <c r="P58" i="158"/>
  <c r="E58" i="158"/>
  <c r="I58" i="158" s="1"/>
  <c r="AC57" i="158"/>
  <c r="AB57" i="158"/>
  <c r="AE57" i="158" s="1"/>
  <c r="AI57" i="158" s="1"/>
  <c r="Y57" i="158" s="1"/>
  <c r="X57" i="158"/>
  <c r="Q57" i="158"/>
  <c r="P57" i="158"/>
  <c r="I57" i="158"/>
  <c r="H57" i="158"/>
  <c r="E57" i="158"/>
  <c r="AD56" i="158"/>
  <c r="AC56" i="158"/>
  <c r="AB56" i="158"/>
  <c r="AE56" i="158" s="1"/>
  <c r="AI56" i="158" s="1"/>
  <c r="Y56" i="158" s="1"/>
  <c r="Z56" i="158"/>
  <c r="X56" i="158"/>
  <c r="Q56" i="158"/>
  <c r="P56" i="158"/>
  <c r="H56" i="158"/>
  <c r="E56" i="158"/>
  <c r="I56" i="158" s="1"/>
  <c r="AD55" i="158"/>
  <c r="AC55" i="158"/>
  <c r="AB55" i="158"/>
  <c r="AE55" i="158" s="1"/>
  <c r="AI55" i="158" s="1"/>
  <c r="Y55" i="158" s="1"/>
  <c r="Z55" i="158"/>
  <c r="X55" i="158"/>
  <c r="Q55" i="158"/>
  <c r="P55" i="158"/>
  <c r="H55" i="158"/>
  <c r="E55" i="158"/>
  <c r="I55" i="158" s="1"/>
  <c r="AD54" i="158"/>
  <c r="AC54" i="158"/>
  <c r="AE54" i="158" s="1"/>
  <c r="AI54" i="158" s="1"/>
  <c r="Y54" i="158" s="1"/>
  <c r="AB54" i="158"/>
  <c r="Z54" i="158"/>
  <c r="X54" i="158"/>
  <c r="Q54" i="158"/>
  <c r="P54" i="158"/>
  <c r="I54" i="158"/>
  <c r="H54" i="158"/>
  <c r="E54" i="158"/>
  <c r="AD53" i="158"/>
  <c r="AE53" i="158" s="1"/>
  <c r="AI53" i="158" s="1"/>
  <c r="Y53" i="158" s="1"/>
  <c r="AC53" i="158"/>
  <c r="AB53" i="158"/>
  <c r="Z53" i="158"/>
  <c r="X53" i="158"/>
  <c r="Q53" i="158"/>
  <c r="P53" i="158"/>
  <c r="H53" i="158"/>
  <c r="E53" i="158"/>
  <c r="I53" i="158" s="1"/>
  <c r="AE52" i="158"/>
  <c r="AI52" i="158" s="1"/>
  <c r="Y52" i="158" s="1"/>
  <c r="Z52" i="158"/>
  <c r="X52" i="158"/>
  <c r="Q52" i="158"/>
  <c r="P52" i="158"/>
  <c r="H52" i="158"/>
  <c r="E52" i="158"/>
  <c r="I52" i="158" s="1"/>
  <c r="AD51" i="158"/>
  <c r="AC51" i="158"/>
  <c r="AE51" i="158" s="1"/>
  <c r="AI51" i="158" s="1"/>
  <c r="Y51" i="158" s="1"/>
  <c r="AB51" i="158"/>
  <c r="Z51" i="158"/>
  <c r="X51" i="158"/>
  <c r="Q51" i="158"/>
  <c r="P51" i="158"/>
  <c r="I51" i="158"/>
  <c r="H51" i="158"/>
  <c r="E51" i="158"/>
  <c r="AD50" i="158"/>
  <c r="AE50" i="158" s="1"/>
  <c r="AI50" i="158" s="1"/>
  <c r="Y50" i="158" s="1"/>
  <c r="AC50" i="158"/>
  <c r="AB50" i="158"/>
  <c r="Z50" i="158"/>
  <c r="X50" i="158"/>
  <c r="Q50" i="158"/>
  <c r="P50" i="158"/>
  <c r="I50" i="158"/>
  <c r="H50" i="158"/>
  <c r="E50" i="158"/>
  <c r="AE49" i="158"/>
  <c r="AI49" i="158" s="1"/>
  <c r="Y49" i="158" s="1"/>
  <c r="Z49" i="158"/>
  <c r="X49" i="158"/>
  <c r="Q49" i="158"/>
  <c r="P49" i="158"/>
  <c r="H49" i="158"/>
  <c r="E49" i="158"/>
  <c r="I49" i="158" s="1"/>
  <c r="AE48" i="158"/>
  <c r="AI48" i="158" s="1"/>
  <c r="Y48" i="158" s="1"/>
  <c r="Z48" i="158"/>
  <c r="X48" i="158"/>
  <c r="Q48" i="158"/>
  <c r="P48" i="158"/>
  <c r="I48" i="158"/>
  <c r="H48" i="158"/>
  <c r="E48" i="158"/>
  <c r="AE47" i="158"/>
  <c r="AI47" i="158" s="1"/>
  <c r="Y47" i="158" s="1"/>
  <c r="Z47" i="158"/>
  <c r="X47" i="158"/>
  <c r="Q47" i="158"/>
  <c r="P47" i="158"/>
  <c r="H47" i="158"/>
  <c r="E47" i="158"/>
  <c r="I47" i="158" s="1"/>
  <c r="AD46" i="158"/>
  <c r="AC46" i="158"/>
  <c r="AB46" i="158"/>
  <c r="AE46" i="158" s="1"/>
  <c r="AI46" i="158" s="1"/>
  <c r="Y46" i="158" s="1"/>
  <c r="Z46" i="158"/>
  <c r="X46" i="158"/>
  <c r="Q46" i="158"/>
  <c r="P46" i="158"/>
  <c r="I46" i="158"/>
  <c r="H46" i="158"/>
  <c r="E46" i="158"/>
  <c r="AD45" i="158"/>
  <c r="AE45" i="158" s="1"/>
  <c r="AI45" i="158" s="1"/>
  <c r="Y45" i="158" s="1"/>
  <c r="AC45" i="158"/>
  <c r="AB45" i="158"/>
  <c r="Z45" i="158"/>
  <c r="X45" i="158"/>
  <c r="Q45" i="158"/>
  <c r="P45" i="158"/>
  <c r="I45" i="158"/>
  <c r="H45" i="158"/>
  <c r="E45" i="158"/>
  <c r="AD44" i="158"/>
  <c r="AC44" i="158"/>
  <c r="AB44" i="158"/>
  <c r="AE44" i="158" s="1"/>
  <c r="AI44" i="158" s="1"/>
  <c r="Y44" i="158" s="1"/>
  <c r="Z44" i="158"/>
  <c r="X44" i="158"/>
  <c r="Q44" i="158"/>
  <c r="P44" i="158"/>
  <c r="H44" i="158"/>
  <c r="E44" i="158"/>
  <c r="I44" i="158" s="1"/>
  <c r="AD43" i="158"/>
  <c r="AC43" i="158"/>
  <c r="AB43" i="158"/>
  <c r="AE43" i="158" s="1"/>
  <c r="AI43" i="158" s="1"/>
  <c r="Y43" i="158" s="1"/>
  <c r="Z43" i="158"/>
  <c r="X43" i="158"/>
  <c r="Q43" i="158"/>
  <c r="P43" i="158"/>
  <c r="H43" i="158"/>
  <c r="E43" i="158"/>
  <c r="I43" i="158" s="1"/>
  <c r="AD42" i="158"/>
  <c r="AC42" i="158"/>
  <c r="AE42" i="158" s="1"/>
  <c r="AI42" i="158" s="1"/>
  <c r="AB42" i="158"/>
  <c r="X42" i="158"/>
  <c r="Q42" i="158"/>
  <c r="P42" i="158"/>
  <c r="I42" i="158"/>
  <c r="H42" i="158"/>
  <c r="Z42" i="158"/>
  <c r="E42" i="158"/>
  <c r="AE41" i="158"/>
  <c r="AI41" i="158" s="1"/>
  <c r="Y41" i="158" s="1"/>
  <c r="AD41" i="158"/>
  <c r="AC41" i="158"/>
  <c r="AB41" i="158"/>
  <c r="Z41" i="158"/>
  <c r="X41" i="158"/>
  <c r="Q41" i="158"/>
  <c r="P41" i="158"/>
  <c r="H41" i="158"/>
  <c r="E41" i="158"/>
  <c r="I41" i="158" s="1"/>
  <c r="AD40" i="158"/>
  <c r="AC40" i="158"/>
  <c r="AB40" i="158"/>
  <c r="AE40" i="158" s="1"/>
  <c r="AI40" i="158" s="1"/>
  <c r="Y40" i="158" s="1"/>
  <c r="Z40" i="158"/>
  <c r="X40" i="158"/>
  <c r="Q40" i="158"/>
  <c r="P40" i="158"/>
  <c r="H40" i="158"/>
  <c r="E40" i="158"/>
  <c r="I40" i="158" s="1"/>
  <c r="AD39" i="158"/>
  <c r="AC39" i="158"/>
  <c r="AE39" i="158" s="1"/>
  <c r="AI39" i="158" s="1"/>
  <c r="Y39" i="158" s="1"/>
  <c r="AB39" i="158"/>
  <c r="X39" i="158"/>
  <c r="Q39" i="158"/>
  <c r="P39" i="158"/>
  <c r="I39" i="158"/>
  <c r="H39" i="158"/>
  <c r="Z39" i="158"/>
  <c r="E39" i="158"/>
  <c r="AD38" i="158"/>
  <c r="AC38" i="158"/>
  <c r="AB38" i="158"/>
  <c r="AE38" i="158" s="1"/>
  <c r="AI38" i="158" s="1"/>
  <c r="Y38" i="158" s="1"/>
  <c r="Z38" i="158"/>
  <c r="X38" i="158"/>
  <c r="Q38" i="158"/>
  <c r="P38" i="158"/>
  <c r="H38" i="158"/>
  <c r="E38" i="158"/>
  <c r="I38" i="158" s="1"/>
  <c r="AD37" i="158"/>
  <c r="AC37" i="158"/>
  <c r="AB37" i="158"/>
  <c r="AE37" i="158" s="1"/>
  <c r="AI37" i="158" s="1"/>
  <c r="Y37" i="158" s="1"/>
  <c r="Z37" i="158"/>
  <c r="X37" i="158"/>
  <c r="Q37" i="158"/>
  <c r="P37" i="158"/>
  <c r="H37" i="158"/>
  <c r="E37" i="158"/>
  <c r="I37" i="158" s="1"/>
  <c r="AD36" i="158"/>
  <c r="AC36" i="158"/>
  <c r="AE36" i="158" s="1"/>
  <c r="AI36" i="158" s="1"/>
  <c r="Y36" i="158" s="1"/>
  <c r="AB36" i="158"/>
  <c r="Z36" i="158"/>
  <c r="X36" i="158"/>
  <c r="Q36" i="158"/>
  <c r="P36" i="158"/>
  <c r="I36" i="158"/>
  <c r="H36" i="158"/>
  <c r="E36" i="158"/>
  <c r="AD35" i="158"/>
  <c r="AE35" i="158" s="1"/>
  <c r="AI35" i="158" s="1"/>
  <c r="Y35" i="158" s="1"/>
  <c r="AC35" i="158"/>
  <c r="AB35" i="158"/>
  <c r="Z35" i="158"/>
  <c r="X35" i="158"/>
  <c r="Q35" i="158"/>
  <c r="P35" i="158"/>
  <c r="H35" i="158"/>
  <c r="E35" i="158"/>
  <c r="I35" i="158" s="1"/>
  <c r="AE34" i="158"/>
  <c r="AI34" i="158" s="1"/>
  <c r="Y34" i="158" s="1"/>
  <c r="AD34" i="158"/>
  <c r="AC34" i="158"/>
  <c r="AB34" i="158"/>
  <c r="Z34" i="158"/>
  <c r="X34" i="158"/>
  <c r="Q34" i="158"/>
  <c r="P34" i="158"/>
  <c r="H34" i="158"/>
  <c r="E34" i="158"/>
  <c r="I34" i="158" s="1"/>
  <c r="AD33" i="158"/>
  <c r="AC33" i="158"/>
  <c r="AB33" i="158"/>
  <c r="AE33" i="158" s="1"/>
  <c r="AI33" i="158" s="1"/>
  <c r="Y33" i="158" s="1"/>
  <c r="Z33" i="158"/>
  <c r="X33" i="158"/>
  <c r="Q33" i="158"/>
  <c r="P33" i="158"/>
  <c r="H33" i="158"/>
  <c r="E33" i="158"/>
  <c r="I33" i="158" s="1"/>
  <c r="AD32" i="158"/>
  <c r="AC32" i="158"/>
  <c r="AE32" i="158" s="1"/>
  <c r="AI32" i="158" s="1"/>
  <c r="Y32" i="158" s="1"/>
  <c r="AB32" i="158"/>
  <c r="Z32" i="158"/>
  <c r="X32" i="158"/>
  <c r="Q32" i="158"/>
  <c r="P32" i="158"/>
  <c r="I32" i="158"/>
  <c r="H32" i="158"/>
  <c r="E32" i="158"/>
  <c r="AE31" i="158"/>
  <c r="AI31" i="158" s="1"/>
  <c r="Y31" i="158" s="1"/>
  <c r="Z31" i="158"/>
  <c r="X31" i="158"/>
  <c r="Q31" i="158"/>
  <c r="P31" i="158"/>
  <c r="H31" i="158"/>
  <c r="E31" i="158"/>
  <c r="I31" i="158" s="1"/>
  <c r="AD30" i="158"/>
  <c r="AC30" i="158"/>
  <c r="AB30" i="158"/>
  <c r="AE30" i="158" s="1"/>
  <c r="AI30" i="158" s="1"/>
  <c r="Y30" i="158" s="1"/>
  <c r="Z30" i="158"/>
  <c r="X30" i="158"/>
  <c r="Q30" i="158"/>
  <c r="P30" i="158"/>
  <c r="H30" i="158"/>
  <c r="E30" i="158"/>
  <c r="I30" i="158" s="1"/>
  <c r="AD29" i="158"/>
  <c r="AC29" i="158"/>
  <c r="AE29" i="158" s="1"/>
  <c r="AI29" i="158" s="1"/>
  <c r="Y29" i="158" s="1"/>
  <c r="AB29" i="158"/>
  <c r="Z29" i="158"/>
  <c r="X29" i="158"/>
  <c r="Q29" i="158"/>
  <c r="P29" i="158"/>
  <c r="I29" i="158"/>
  <c r="H29" i="158"/>
  <c r="E29" i="158"/>
  <c r="AD28" i="158"/>
  <c r="AC28" i="158"/>
  <c r="AB28" i="158"/>
  <c r="AE28" i="158" s="1"/>
  <c r="AI28" i="158" s="1"/>
  <c r="Y28" i="158" s="1"/>
  <c r="Z28" i="158"/>
  <c r="X28" i="158"/>
  <c r="Q28" i="158"/>
  <c r="P28" i="158"/>
  <c r="I28" i="158"/>
  <c r="H28" i="158"/>
  <c r="E28" i="158"/>
  <c r="AE27" i="158"/>
  <c r="AI27" i="158" s="1"/>
  <c r="Y27" i="158" s="1"/>
  <c r="AD27" i="158"/>
  <c r="AC27" i="158"/>
  <c r="AB27" i="158"/>
  <c r="Z27" i="158"/>
  <c r="X27" i="158"/>
  <c r="Q27" i="158"/>
  <c r="P27" i="158"/>
  <c r="H27" i="158"/>
  <c r="E27" i="158"/>
  <c r="I27" i="158" s="1"/>
  <c r="AD26" i="158"/>
  <c r="AC26" i="158"/>
  <c r="AB26" i="158"/>
  <c r="AE26" i="158" s="1"/>
  <c r="AI26" i="158" s="1"/>
  <c r="Y26" i="158" s="1"/>
  <c r="Z26" i="158"/>
  <c r="X26" i="158"/>
  <c r="Q26" i="158"/>
  <c r="P26" i="158"/>
  <c r="H26" i="158"/>
  <c r="E26" i="158"/>
  <c r="I26" i="158" s="1"/>
  <c r="AD25" i="158"/>
  <c r="AC25" i="158"/>
  <c r="AB25" i="158"/>
  <c r="AE25" i="158" s="1"/>
  <c r="AI25" i="158" s="1"/>
  <c r="Y25" i="158" s="1"/>
  <c r="Z25" i="158"/>
  <c r="X25" i="158"/>
  <c r="Q25" i="158"/>
  <c r="P25" i="158"/>
  <c r="H25" i="158"/>
  <c r="E25" i="158"/>
  <c r="I25" i="158" s="1"/>
  <c r="AD24" i="158"/>
  <c r="AE24" i="158" s="1"/>
  <c r="AI24" i="158" s="1"/>
  <c r="Y24" i="158" s="1"/>
  <c r="AC24" i="158"/>
  <c r="AB24" i="158"/>
  <c r="Z24" i="158"/>
  <c r="X24" i="158"/>
  <c r="Q24" i="158"/>
  <c r="P24" i="158"/>
  <c r="I24" i="158"/>
  <c r="H24" i="158"/>
  <c r="E24" i="158"/>
  <c r="AD23" i="158"/>
  <c r="AC23" i="158"/>
  <c r="AB23" i="158"/>
  <c r="AE23" i="158" s="1"/>
  <c r="AI23" i="158" s="1"/>
  <c r="Y23" i="158" s="1"/>
  <c r="Z23" i="158"/>
  <c r="X23" i="158"/>
  <c r="Q23" i="158"/>
  <c r="P23" i="158"/>
  <c r="H23" i="158"/>
  <c r="E23" i="158"/>
  <c r="I23" i="158" s="1"/>
  <c r="AD22" i="158"/>
  <c r="AC22" i="158"/>
  <c r="AB22" i="158"/>
  <c r="AE22" i="158" s="1"/>
  <c r="AI22" i="158" s="1"/>
  <c r="Y22" i="158" s="1"/>
  <c r="Z22" i="158"/>
  <c r="X22" i="158"/>
  <c r="Q22" i="158"/>
  <c r="P22" i="158"/>
  <c r="H22" i="158"/>
  <c r="E22" i="158"/>
  <c r="I22" i="158" s="1"/>
  <c r="AD21" i="158"/>
  <c r="AC21" i="158"/>
  <c r="AE21" i="158" s="1"/>
  <c r="AI21" i="158" s="1"/>
  <c r="Y21" i="158" s="1"/>
  <c r="AB21" i="158"/>
  <c r="Z21" i="158"/>
  <c r="X21" i="158"/>
  <c r="Q21" i="158"/>
  <c r="P21" i="158"/>
  <c r="I21" i="158"/>
  <c r="H21" i="158"/>
  <c r="E21" i="158"/>
  <c r="AD20" i="158"/>
  <c r="AE20" i="158" s="1"/>
  <c r="AI20" i="158" s="1"/>
  <c r="Y20" i="158" s="1"/>
  <c r="AC20" i="158"/>
  <c r="AB20" i="158"/>
  <c r="Z20" i="158"/>
  <c r="X20" i="158"/>
  <c r="Q20" i="158"/>
  <c r="P20" i="158"/>
  <c r="H20" i="158"/>
  <c r="E20" i="158"/>
  <c r="I20" i="158" s="1"/>
  <c r="AE19" i="158"/>
  <c r="AI19" i="158" s="1"/>
  <c r="Y19" i="158" s="1"/>
  <c r="AD19" i="158"/>
  <c r="AC19" i="158"/>
  <c r="AB19" i="158"/>
  <c r="Z19" i="158"/>
  <c r="X19" i="158"/>
  <c r="Q19" i="158"/>
  <c r="P19" i="158"/>
  <c r="H19" i="158"/>
  <c r="E19" i="158"/>
  <c r="I19" i="158" s="1"/>
  <c r="AD18" i="158"/>
  <c r="AC18" i="158"/>
  <c r="AB18" i="158"/>
  <c r="AE18" i="158" s="1"/>
  <c r="AI18" i="158" s="1"/>
  <c r="Y18" i="158" s="1"/>
  <c r="Z18" i="158"/>
  <c r="X18" i="158"/>
  <c r="Q18" i="158"/>
  <c r="P18" i="158"/>
  <c r="H18" i="158"/>
  <c r="E18" i="158"/>
  <c r="I18" i="158" s="1"/>
  <c r="AD17" i="158"/>
  <c r="AC17" i="158"/>
  <c r="AE17" i="158" s="1"/>
  <c r="AI17" i="158" s="1"/>
  <c r="Y17" i="158" s="1"/>
  <c r="AB17" i="158"/>
  <c r="Z17" i="158"/>
  <c r="X17" i="158"/>
  <c r="Q17" i="158"/>
  <c r="P17" i="158"/>
  <c r="I17" i="158"/>
  <c r="H17" i="158"/>
  <c r="E17" i="158"/>
  <c r="AD16" i="158"/>
  <c r="AE16" i="158" s="1"/>
  <c r="AI16" i="158" s="1"/>
  <c r="Y16" i="158" s="1"/>
  <c r="AC16" i="158"/>
  <c r="AB16" i="158"/>
  <c r="Z16" i="158"/>
  <c r="X16" i="158"/>
  <c r="Q16" i="158"/>
  <c r="P16" i="158"/>
  <c r="I16" i="158"/>
  <c r="E16" i="158"/>
  <c r="AD15" i="158"/>
  <c r="AE15" i="158" s="1"/>
  <c r="AI15" i="158" s="1"/>
  <c r="Y15" i="158" s="1"/>
  <c r="AC15" i="158"/>
  <c r="AB15" i="158"/>
  <c r="Z15" i="158"/>
  <c r="X15" i="158"/>
  <c r="Q15" i="158"/>
  <c r="P15" i="158"/>
  <c r="I15" i="158"/>
  <c r="E15" i="158"/>
  <c r="AD14" i="158"/>
  <c r="AE14" i="158" s="1"/>
  <c r="AI14" i="158" s="1"/>
  <c r="Y14" i="158" s="1"/>
  <c r="AC14" i="158"/>
  <c r="AB14" i="158"/>
  <c r="Z14" i="158"/>
  <c r="X14" i="158"/>
  <c r="Q14" i="158"/>
  <c r="O75" i="158" s="1"/>
  <c r="P14" i="158"/>
  <c r="I14" i="158"/>
  <c r="H14" i="158"/>
  <c r="E14" i="158"/>
  <c r="AD13" i="158"/>
  <c r="AC13" i="158"/>
  <c r="AB13" i="158"/>
  <c r="AE13" i="158" s="1"/>
  <c r="AI13" i="158" s="1"/>
  <c r="Y13" i="158" s="1"/>
  <c r="Z13" i="158"/>
  <c r="X13" i="158"/>
  <c r="Q13" i="158"/>
  <c r="P13" i="158"/>
  <c r="H13" i="158"/>
  <c r="E13" i="158"/>
  <c r="I13" i="158" s="1"/>
  <c r="AD12" i="158"/>
  <c r="AC12" i="158"/>
  <c r="AB12" i="158"/>
  <c r="AE12" i="158" s="1"/>
  <c r="AI12" i="158" s="1"/>
  <c r="Y12" i="158" s="1"/>
  <c r="Z12" i="158"/>
  <c r="X12" i="158"/>
  <c r="Q12" i="158"/>
  <c r="P12" i="158"/>
  <c r="H12" i="158"/>
  <c r="E12" i="158"/>
  <c r="I12" i="158" s="1"/>
  <c r="T79" i="159" l="1"/>
  <c r="F77" i="159"/>
  <c r="O73" i="158"/>
  <c r="F73" i="158"/>
  <c r="T77" i="158"/>
  <c r="T73" i="158"/>
  <c r="F75" i="158"/>
  <c r="T75" i="158"/>
  <c r="Y42" i="158"/>
  <c r="P79" i="157"/>
  <c r="T79" i="158" l="1"/>
  <c r="F77" i="158" s="1"/>
  <c r="F42" i="157"/>
  <c r="F39" i="157"/>
  <c r="Z39" i="157" s="1"/>
  <c r="M79" i="157"/>
  <c r="W73" i="157"/>
  <c r="P71" i="157"/>
  <c r="H71" i="157"/>
  <c r="Q70" i="157"/>
  <c r="P70" i="157"/>
  <c r="I70" i="157"/>
  <c r="H70" i="157"/>
  <c r="E70" i="157"/>
  <c r="Q69" i="157"/>
  <c r="P69" i="157"/>
  <c r="I69" i="157"/>
  <c r="H69" i="157"/>
  <c r="E69" i="157"/>
  <c r="AD68" i="157"/>
  <c r="AC68" i="157"/>
  <c r="AB68" i="157"/>
  <c r="AE68" i="157" s="1"/>
  <c r="AI68" i="157" s="1"/>
  <c r="Y68" i="157" s="1"/>
  <c r="Z68" i="157"/>
  <c r="X68" i="157"/>
  <c r="W68" i="157"/>
  <c r="Q68" i="157"/>
  <c r="P68" i="157"/>
  <c r="H68" i="157"/>
  <c r="E68" i="157"/>
  <c r="I68" i="157" s="1"/>
  <c r="AD67" i="157"/>
  <c r="AC67" i="157"/>
  <c r="AB67" i="157"/>
  <c r="AE67" i="157" s="1"/>
  <c r="AI67" i="157" s="1"/>
  <c r="Y67" i="157" s="1"/>
  <c r="Z67" i="157"/>
  <c r="X67" i="157"/>
  <c r="Q67" i="157"/>
  <c r="P67" i="157"/>
  <c r="I67" i="157"/>
  <c r="H67" i="157"/>
  <c r="E67" i="157"/>
  <c r="AD66" i="157"/>
  <c r="AC66" i="157"/>
  <c r="AE66" i="157" s="1"/>
  <c r="AI66" i="157" s="1"/>
  <c r="Y66" i="157" s="1"/>
  <c r="AB66" i="157"/>
  <c r="Z66" i="157"/>
  <c r="X66" i="157"/>
  <c r="Q66" i="157"/>
  <c r="P66" i="157"/>
  <c r="H66" i="157"/>
  <c r="E66" i="157"/>
  <c r="I66" i="157" s="1"/>
  <c r="AD65" i="157"/>
  <c r="AC65" i="157"/>
  <c r="AE65" i="157" s="1"/>
  <c r="AI65" i="157" s="1"/>
  <c r="Y65" i="157" s="1"/>
  <c r="AB65" i="157"/>
  <c r="Z65" i="157"/>
  <c r="X65" i="157"/>
  <c r="Q65" i="157"/>
  <c r="P65" i="157"/>
  <c r="H65" i="157"/>
  <c r="E65" i="157"/>
  <c r="I65" i="157" s="1"/>
  <c r="AD64" i="157"/>
  <c r="AC64" i="157"/>
  <c r="AE64" i="157" s="1"/>
  <c r="AI64" i="157" s="1"/>
  <c r="Y64" i="157" s="1"/>
  <c r="AB64" i="157"/>
  <c r="Z64" i="157"/>
  <c r="X64" i="157"/>
  <c r="Q64" i="157"/>
  <c r="P64" i="157"/>
  <c r="H64" i="157"/>
  <c r="E64" i="157"/>
  <c r="I64" i="157" s="1"/>
  <c r="AD63" i="157"/>
  <c r="AE63" i="157" s="1"/>
  <c r="AI63" i="157" s="1"/>
  <c r="Y63" i="157" s="1"/>
  <c r="AC63" i="157"/>
  <c r="AB63" i="157"/>
  <c r="Z63" i="157"/>
  <c r="X63" i="157"/>
  <c r="Q63" i="157"/>
  <c r="P63" i="157"/>
  <c r="H63" i="157"/>
  <c r="E63" i="157"/>
  <c r="I63" i="157" s="1"/>
  <c r="AD62" i="157"/>
  <c r="AC62" i="157"/>
  <c r="AB62" i="157"/>
  <c r="AE62" i="157" s="1"/>
  <c r="AI62" i="157" s="1"/>
  <c r="Y62" i="157" s="1"/>
  <c r="Z62" i="157"/>
  <c r="X62" i="157"/>
  <c r="Q62" i="157"/>
  <c r="P62" i="157"/>
  <c r="H62" i="157"/>
  <c r="E62" i="157"/>
  <c r="I62" i="157" s="1"/>
  <c r="AC61" i="157"/>
  <c r="AE61" i="157" s="1"/>
  <c r="AI61" i="157" s="1"/>
  <c r="Y61" i="157" s="1"/>
  <c r="AB61" i="157"/>
  <c r="X61" i="157"/>
  <c r="Q61" i="157"/>
  <c r="P61" i="157"/>
  <c r="I61" i="157"/>
  <c r="H61" i="157"/>
  <c r="E61" i="157"/>
  <c r="AE60" i="157"/>
  <c r="AI60" i="157" s="1"/>
  <c r="Y60" i="157" s="1"/>
  <c r="X60" i="157"/>
  <c r="Q60" i="157"/>
  <c r="P60" i="157"/>
  <c r="I60" i="157"/>
  <c r="H60" i="157"/>
  <c r="E60" i="157"/>
  <c r="AC59" i="157"/>
  <c r="AB59" i="157"/>
  <c r="AE59" i="157" s="1"/>
  <c r="AI59" i="157" s="1"/>
  <c r="Y59" i="157" s="1"/>
  <c r="X59" i="157"/>
  <c r="Q59" i="157"/>
  <c r="P59" i="157"/>
  <c r="I59" i="157"/>
  <c r="H59" i="157"/>
  <c r="E59" i="157"/>
  <c r="AC58" i="157"/>
  <c r="AB58" i="157"/>
  <c r="AE58" i="157" s="1"/>
  <c r="AI58" i="157" s="1"/>
  <c r="Y58" i="157" s="1"/>
  <c r="X58" i="157"/>
  <c r="Q58" i="157"/>
  <c r="P58" i="157"/>
  <c r="E58" i="157"/>
  <c r="I58" i="157" s="1"/>
  <c r="AC57" i="157"/>
  <c r="AB57" i="157"/>
  <c r="AE57" i="157" s="1"/>
  <c r="AI57" i="157" s="1"/>
  <c r="Y57" i="157" s="1"/>
  <c r="X57" i="157"/>
  <c r="Q57" i="157"/>
  <c r="P57" i="157"/>
  <c r="I57" i="157"/>
  <c r="H57" i="157"/>
  <c r="E57" i="157"/>
  <c r="AD56" i="157"/>
  <c r="AC56" i="157"/>
  <c r="AB56" i="157"/>
  <c r="AE56" i="157" s="1"/>
  <c r="AI56" i="157" s="1"/>
  <c r="Y56" i="157" s="1"/>
  <c r="Z56" i="157"/>
  <c r="X56" i="157"/>
  <c r="Q56" i="157"/>
  <c r="P56" i="157"/>
  <c r="I56" i="157"/>
  <c r="H56" i="157"/>
  <c r="E56" i="157"/>
  <c r="AE55" i="157"/>
  <c r="AI55" i="157" s="1"/>
  <c r="Y55" i="157" s="1"/>
  <c r="AD55" i="157"/>
  <c r="AC55" i="157"/>
  <c r="AB55" i="157"/>
  <c r="Z55" i="157"/>
  <c r="X55" i="157"/>
  <c r="Q55" i="157"/>
  <c r="P55" i="157"/>
  <c r="I55" i="157"/>
  <c r="H55" i="157"/>
  <c r="E55" i="157"/>
  <c r="AD54" i="157"/>
  <c r="AC54" i="157"/>
  <c r="AB54" i="157"/>
  <c r="AE54" i="157" s="1"/>
  <c r="AI54" i="157" s="1"/>
  <c r="Y54" i="157" s="1"/>
  <c r="Z54" i="157"/>
  <c r="X54" i="157"/>
  <c r="Q54" i="157"/>
  <c r="P54" i="157"/>
  <c r="I54" i="157"/>
  <c r="H54" i="157"/>
  <c r="E54" i="157"/>
  <c r="AE53" i="157"/>
  <c r="AI53" i="157" s="1"/>
  <c r="Y53" i="157" s="1"/>
  <c r="AD53" i="157"/>
  <c r="AC53" i="157"/>
  <c r="AB53" i="157"/>
  <c r="Z53" i="157"/>
  <c r="X53" i="157"/>
  <c r="Q53" i="157"/>
  <c r="P53" i="157"/>
  <c r="H53" i="157"/>
  <c r="E53" i="157"/>
  <c r="I53" i="157" s="1"/>
  <c r="AI52" i="157"/>
  <c r="Y52" i="157" s="1"/>
  <c r="AE52" i="157"/>
  <c r="Z52" i="157"/>
  <c r="X52" i="157"/>
  <c r="Q52" i="157"/>
  <c r="P52" i="157"/>
  <c r="H52" i="157"/>
  <c r="E52" i="157"/>
  <c r="I52" i="157" s="1"/>
  <c r="AD51" i="157"/>
  <c r="AC51" i="157"/>
  <c r="AB51" i="157"/>
  <c r="AE51" i="157" s="1"/>
  <c r="AI51" i="157" s="1"/>
  <c r="Y51" i="157" s="1"/>
  <c r="Z51" i="157"/>
  <c r="X51" i="157"/>
  <c r="Q51" i="157"/>
  <c r="P51" i="157"/>
  <c r="I51" i="157"/>
  <c r="H51" i="157"/>
  <c r="E51" i="157"/>
  <c r="AD50" i="157"/>
  <c r="AC50" i="157"/>
  <c r="AB50" i="157"/>
  <c r="AE50" i="157" s="1"/>
  <c r="AI50" i="157" s="1"/>
  <c r="Y50" i="157" s="1"/>
  <c r="Z50" i="157"/>
  <c r="X50" i="157"/>
  <c r="Q50" i="157"/>
  <c r="P50" i="157"/>
  <c r="H50" i="157"/>
  <c r="E50" i="157"/>
  <c r="I50" i="157" s="1"/>
  <c r="AI49" i="157"/>
  <c r="Y49" i="157" s="1"/>
  <c r="AE49" i="157"/>
  <c r="Z49" i="157"/>
  <c r="X49" i="157"/>
  <c r="Q49" i="157"/>
  <c r="P49" i="157"/>
  <c r="H49" i="157"/>
  <c r="E49" i="157"/>
  <c r="I49" i="157" s="1"/>
  <c r="AE48" i="157"/>
  <c r="AI48" i="157" s="1"/>
  <c r="Y48" i="157" s="1"/>
  <c r="Z48" i="157"/>
  <c r="X48" i="157"/>
  <c r="Q48" i="157"/>
  <c r="P48" i="157"/>
  <c r="H48" i="157"/>
  <c r="E48" i="157"/>
  <c r="I48" i="157" s="1"/>
  <c r="AE47" i="157"/>
  <c r="AI47" i="157" s="1"/>
  <c r="Y47" i="157" s="1"/>
  <c r="Z47" i="157"/>
  <c r="X47" i="157"/>
  <c r="Q47" i="157"/>
  <c r="P47" i="157"/>
  <c r="I47" i="157"/>
  <c r="H47" i="157"/>
  <c r="E47" i="157"/>
  <c r="AD46" i="157"/>
  <c r="AC46" i="157"/>
  <c r="AB46" i="157"/>
  <c r="AE46" i="157" s="1"/>
  <c r="AI46" i="157" s="1"/>
  <c r="Y46" i="157" s="1"/>
  <c r="Z46" i="157"/>
  <c r="X46" i="157"/>
  <c r="Q46" i="157"/>
  <c r="P46" i="157"/>
  <c r="I46" i="157"/>
  <c r="H46" i="157"/>
  <c r="E46" i="157"/>
  <c r="AE45" i="157"/>
  <c r="AI45" i="157" s="1"/>
  <c r="Y45" i="157" s="1"/>
  <c r="AD45" i="157"/>
  <c r="AC45" i="157"/>
  <c r="AB45" i="157"/>
  <c r="Z45" i="157"/>
  <c r="X45" i="157"/>
  <c r="Q45" i="157"/>
  <c r="P45" i="157"/>
  <c r="I45" i="157"/>
  <c r="H45" i="157"/>
  <c r="E45" i="157"/>
  <c r="AD44" i="157"/>
  <c r="AC44" i="157"/>
  <c r="AB44" i="157"/>
  <c r="AE44" i="157" s="1"/>
  <c r="AI44" i="157" s="1"/>
  <c r="Y44" i="157" s="1"/>
  <c r="Z44" i="157"/>
  <c r="X44" i="157"/>
  <c r="Q44" i="157"/>
  <c r="P44" i="157"/>
  <c r="I44" i="157"/>
  <c r="H44" i="157"/>
  <c r="E44" i="157"/>
  <c r="AE43" i="157"/>
  <c r="AI43" i="157" s="1"/>
  <c r="Y43" i="157" s="1"/>
  <c r="AD43" i="157"/>
  <c r="AC43" i="157"/>
  <c r="AB43" i="157"/>
  <c r="Z43" i="157"/>
  <c r="X43" i="157"/>
  <c r="Q43" i="157"/>
  <c r="P43" i="157"/>
  <c r="I43" i="157"/>
  <c r="H43" i="157"/>
  <c r="E43" i="157"/>
  <c r="AD42" i="157"/>
  <c r="AC42" i="157"/>
  <c r="AB42" i="157"/>
  <c r="AE42" i="157" s="1"/>
  <c r="AI42" i="157" s="1"/>
  <c r="Y42" i="157" s="1"/>
  <c r="Z42" i="157"/>
  <c r="X42" i="157"/>
  <c r="Q42" i="157"/>
  <c r="P42" i="157"/>
  <c r="I42" i="157"/>
  <c r="H42" i="157"/>
  <c r="E42" i="157"/>
  <c r="AE41" i="157"/>
  <c r="AI41" i="157" s="1"/>
  <c r="Y41" i="157" s="1"/>
  <c r="AD41" i="157"/>
  <c r="AC41" i="157"/>
  <c r="AB41" i="157"/>
  <c r="Z41" i="157"/>
  <c r="X41" i="157"/>
  <c r="Q41" i="157"/>
  <c r="P41" i="157"/>
  <c r="H41" i="157"/>
  <c r="E41" i="157"/>
  <c r="I41" i="157" s="1"/>
  <c r="AD40" i="157"/>
  <c r="AC40" i="157"/>
  <c r="AB40" i="157"/>
  <c r="AE40" i="157" s="1"/>
  <c r="AI40" i="157" s="1"/>
  <c r="Y40" i="157" s="1"/>
  <c r="Z40" i="157"/>
  <c r="X40" i="157"/>
  <c r="Q40" i="157"/>
  <c r="P40" i="157"/>
  <c r="I40" i="157"/>
  <c r="H40" i="157"/>
  <c r="E40" i="157"/>
  <c r="AD39" i="157"/>
  <c r="AC39" i="157"/>
  <c r="AB39" i="157"/>
  <c r="AE39" i="157" s="1"/>
  <c r="AI39" i="157" s="1"/>
  <c r="Y39" i="157" s="1"/>
  <c r="Q39" i="157"/>
  <c r="P39" i="157"/>
  <c r="E39" i="157"/>
  <c r="I39" i="157" s="1"/>
  <c r="AD38" i="157"/>
  <c r="AC38" i="157"/>
  <c r="AB38" i="157"/>
  <c r="AE38" i="157" s="1"/>
  <c r="AI38" i="157" s="1"/>
  <c r="Y38" i="157" s="1"/>
  <c r="Z38" i="157"/>
  <c r="X38" i="157"/>
  <c r="Q38" i="157"/>
  <c r="P38" i="157"/>
  <c r="I38" i="157"/>
  <c r="H38" i="157"/>
  <c r="E38" i="157"/>
  <c r="AD37" i="157"/>
  <c r="AC37" i="157"/>
  <c r="AB37" i="157"/>
  <c r="AE37" i="157" s="1"/>
  <c r="AI37" i="157" s="1"/>
  <c r="Y37" i="157" s="1"/>
  <c r="Z37" i="157"/>
  <c r="X37" i="157"/>
  <c r="Q37" i="157"/>
  <c r="P37" i="157"/>
  <c r="H37" i="157"/>
  <c r="E37" i="157"/>
  <c r="I37" i="157" s="1"/>
  <c r="AD36" i="157"/>
  <c r="AC36" i="157"/>
  <c r="AE36" i="157" s="1"/>
  <c r="AI36" i="157" s="1"/>
  <c r="Y36" i="157" s="1"/>
  <c r="AB36" i="157"/>
  <c r="Z36" i="157"/>
  <c r="X36" i="157"/>
  <c r="Q36" i="157"/>
  <c r="P36" i="157"/>
  <c r="H36" i="157"/>
  <c r="E36" i="157"/>
  <c r="I36" i="157" s="1"/>
  <c r="AD35" i="157"/>
  <c r="AC35" i="157"/>
  <c r="AB35" i="157"/>
  <c r="AE35" i="157" s="1"/>
  <c r="AI35" i="157" s="1"/>
  <c r="Y35" i="157" s="1"/>
  <c r="Z35" i="157"/>
  <c r="X35" i="157"/>
  <c r="Q35" i="157"/>
  <c r="P35" i="157"/>
  <c r="H35" i="157"/>
  <c r="E35" i="157"/>
  <c r="I35" i="157" s="1"/>
  <c r="AD34" i="157"/>
  <c r="AE34" i="157" s="1"/>
  <c r="AI34" i="157" s="1"/>
  <c r="Y34" i="157" s="1"/>
  <c r="AC34" i="157"/>
  <c r="AB34" i="157"/>
  <c r="Z34" i="157"/>
  <c r="X34" i="157"/>
  <c r="Q34" i="157"/>
  <c r="P34" i="157"/>
  <c r="H34" i="157"/>
  <c r="E34" i="157"/>
  <c r="I34" i="157" s="1"/>
  <c r="AD33" i="157"/>
  <c r="AC33" i="157"/>
  <c r="AB33" i="157"/>
  <c r="AE33" i="157" s="1"/>
  <c r="AI33" i="157" s="1"/>
  <c r="Y33" i="157" s="1"/>
  <c r="Z33" i="157"/>
  <c r="X33" i="157"/>
  <c r="Q33" i="157"/>
  <c r="P33" i="157"/>
  <c r="H33" i="157"/>
  <c r="E33" i="157"/>
  <c r="I33" i="157" s="1"/>
  <c r="AD32" i="157"/>
  <c r="AE32" i="157" s="1"/>
  <c r="AI32" i="157" s="1"/>
  <c r="Y32" i="157" s="1"/>
  <c r="AC32" i="157"/>
  <c r="AB32" i="157"/>
  <c r="Z32" i="157"/>
  <c r="X32" i="157"/>
  <c r="Q32" i="157"/>
  <c r="P32" i="157"/>
  <c r="H32" i="157"/>
  <c r="E32" i="157"/>
  <c r="I32" i="157" s="1"/>
  <c r="AE31" i="157"/>
  <c r="AI31" i="157" s="1"/>
  <c r="Y31" i="157" s="1"/>
  <c r="Z31" i="157"/>
  <c r="X31" i="157"/>
  <c r="Q31" i="157"/>
  <c r="P31" i="157"/>
  <c r="I31" i="157"/>
  <c r="H31" i="157"/>
  <c r="E31" i="157"/>
  <c r="AE30" i="157"/>
  <c r="AI30" i="157" s="1"/>
  <c r="Y30" i="157" s="1"/>
  <c r="AD30" i="157"/>
  <c r="AC30" i="157"/>
  <c r="AB30" i="157"/>
  <c r="Z30" i="157"/>
  <c r="X30" i="157"/>
  <c r="Q30" i="157"/>
  <c r="P30" i="157"/>
  <c r="I30" i="157"/>
  <c r="H30" i="157"/>
  <c r="E30" i="157"/>
  <c r="AD29" i="157"/>
  <c r="AC29" i="157"/>
  <c r="AB29" i="157"/>
  <c r="AE29" i="157" s="1"/>
  <c r="AI29" i="157" s="1"/>
  <c r="Y29" i="157" s="1"/>
  <c r="Z29" i="157"/>
  <c r="X29" i="157"/>
  <c r="Q29" i="157"/>
  <c r="P29" i="157"/>
  <c r="I29" i="157"/>
  <c r="H29" i="157"/>
  <c r="E29" i="157"/>
  <c r="AE28" i="157"/>
  <c r="AI28" i="157" s="1"/>
  <c r="Y28" i="157" s="1"/>
  <c r="AD28" i="157"/>
  <c r="AC28" i="157"/>
  <c r="AB28" i="157"/>
  <c r="Z28" i="157"/>
  <c r="X28" i="157"/>
  <c r="Q28" i="157"/>
  <c r="P28" i="157"/>
  <c r="I28" i="157"/>
  <c r="H28" i="157"/>
  <c r="E28" i="157"/>
  <c r="AD27" i="157"/>
  <c r="AC27" i="157"/>
  <c r="AB27" i="157"/>
  <c r="AE27" i="157" s="1"/>
  <c r="AI27" i="157" s="1"/>
  <c r="Y27" i="157" s="1"/>
  <c r="Z27" i="157"/>
  <c r="X27" i="157"/>
  <c r="Q27" i="157"/>
  <c r="P27" i="157"/>
  <c r="I27" i="157"/>
  <c r="H27" i="157"/>
  <c r="E27" i="157"/>
  <c r="AE26" i="157"/>
  <c r="AI26" i="157" s="1"/>
  <c r="Y26" i="157" s="1"/>
  <c r="AD26" i="157"/>
  <c r="AC26" i="157"/>
  <c r="AB26" i="157"/>
  <c r="Z26" i="157"/>
  <c r="X26" i="157"/>
  <c r="Q26" i="157"/>
  <c r="P26" i="157"/>
  <c r="H26" i="157"/>
  <c r="E26" i="157"/>
  <c r="I26" i="157" s="1"/>
  <c r="AD25" i="157"/>
  <c r="AC25" i="157"/>
  <c r="AB25" i="157"/>
  <c r="AE25" i="157" s="1"/>
  <c r="AI25" i="157" s="1"/>
  <c r="Y25" i="157" s="1"/>
  <c r="Z25" i="157"/>
  <c r="X25" i="157"/>
  <c r="Q25" i="157"/>
  <c r="P25" i="157"/>
  <c r="I25" i="157"/>
  <c r="H25" i="157"/>
  <c r="E25" i="157"/>
  <c r="AD24" i="157"/>
  <c r="AC24" i="157"/>
  <c r="AB24" i="157"/>
  <c r="AE24" i="157" s="1"/>
  <c r="AI24" i="157" s="1"/>
  <c r="Y24" i="157" s="1"/>
  <c r="Z24" i="157"/>
  <c r="X24" i="157"/>
  <c r="Q24" i="157"/>
  <c r="P24" i="157"/>
  <c r="H24" i="157"/>
  <c r="E24" i="157"/>
  <c r="I24" i="157" s="1"/>
  <c r="AD23" i="157"/>
  <c r="AC23" i="157"/>
  <c r="AB23" i="157"/>
  <c r="AE23" i="157" s="1"/>
  <c r="AI23" i="157" s="1"/>
  <c r="Y23" i="157" s="1"/>
  <c r="Z23" i="157"/>
  <c r="X23" i="157"/>
  <c r="Q23" i="157"/>
  <c r="P23" i="157"/>
  <c r="I23" i="157"/>
  <c r="H23" i="157"/>
  <c r="E23" i="157"/>
  <c r="AD22" i="157"/>
  <c r="AC22" i="157"/>
  <c r="AB22" i="157"/>
  <c r="AE22" i="157" s="1"/>
  <c r="AI22" i="157" s="1"/>
  <c r="Y22" i="157" s="1"/>
  <c r="Z22" i="157"/>
  <c r="X22" i="157"/>
  <c r="Q22" i="157"/>
  <c r="P22" i="157"/>
  <c r="H22" i="157"/>
  <c r="E22" i="157"/>
  <c r="I22" i="157" s="1"/>
  <c r="AD21" i="157"/>
  <c r="AC21" i="157"/>
  <c r="AE21" i="157" s="1"/>
  <c r="AI21" i="157" s="1"/>
  <c r="Y21" i="157" s="1"/>
  <c r="AB21" i="157"/>
  <c r="Z21" i="157"/>
  <c r="X21" i="157"/>
  <c r="Q21" i="157"/>
  <c r="P21" i="157"/>
  <c r="H21" i="157"/>
  <c r="E21" i="157"/>
  <c r="I21" i="157" s="1"/>
  <c r="AD20" i="157"/>
  <c r="AC20" i="157"/>
  <c r="AB20" i="157"/>
  <c r="AE20" i="157" s="1"/>
  <c r="AI20" i="157" s="1"/>
  <c r="Y20" i="157" s="1"/>
  <c r="Z20" i="157"/>
  <c r="X20" i="157"/>
  <c r="Q20" i="157"/>
  <c r="P20" i="157"/>
  <c r="H20" i="157"/>
  <c r="E20" i="157"/>
  <c r="I20" i="157" s="1"/>
  <c r="AD19" i="157"/>
  <c r="AE19" i="157" s="1"/>
  <c r="AI19" i="157" s="1"/>
  <c r="Y19" i="157" s="1"/>
  <c r="AC19" i="157"/>
  <c r="AB19" i="157"/>
  <c r="Z19" i="157"/>
  <c r="X19" i="157"/>
  <c r="Q19" i="157"/>
  <c r="P19" i="157"/>
  <c r="H19" i="157"/>
  <c r="E19" i="157"/>
  <c r="I19" i="157" s="1"/>
  <c r="AD18" i="157"/>
  <c r="AC18" i="157"/>
  <c r="AB18" i="157"/>
  <c r="AE18" i="157" s="1"/>
  <c r="AI18" i="157" s="1"/>
  <c r="Y18" i="157" s="1"/>
  <c r="Z18" i="157"/>
  <c r="X18" i="157"/>
  <c r="Q18" i="157"/>
  <c r="P18" i="157"/>
  <c r="H18" i="157"/>
  <c r="E18" i="157"/>
  <c r="I18" i="157" s="1"/>
  <c r="AD17" i="157"/>
  <c r="AE17" i="157" s="1"/>
  <c r="AI17" i="157" s="1"/>
  <c r="Y17" i="157" s="1"/>
  <c r="AC17" i="157"/>
  <c r="AB17" i="157"/>
  <c r="Z17" i="157"/>
  <c r="X17" i="157"/>
  <c r="Q17" i="157"/>
  <c r="P17" i="157"/>
  <c r="H17" i="157"/>
  <c r="E17" i="157"/>
  <c r="I17" i="157" s="1"/>
  <c r="AE16" i="157"/>
  <c r="AI16" i="157" s="1"/>
  <c r="Y16" i="157" s="1"/>
  <c r="AD16" i="157"/>
  <c r="AC16" i="157"/>
  <c r="AB16" i="157"/>
  <c r="Z16" i="157"/>
  <c r="X16" i="157"/>
  <c r="Q16" i="157"/>
  <c r="P16" i="157"/>
  <c r="E16" i="157"/>
  <c r="I16" i="157" s="1"/>
  <c r="AD15" i="157"/>
  <c r="AC15" i="157"/>
  <c r="AB15" i="157"/>
  <c r="AE15" i="157" s="1"/>
  <c r="AI15" i="157" s="1"/>
  <c r="Y15" i="157" s="1"/>
  <c r="Z15" i="157"/>
  <c r="X15" i="157"/>
  <c r="Q15" i="157"/>
  <c r="P15" i="157"/>
  <c r="E15" i="157"/>
  <c r="I15" i="157" s="1"/>
  <c r="AD14" i="157"/>
  <c r="AC14" i="157"/>
  <c r="AB14" i="157"/>
  <c r="AE14" i="157" s="1"/>
  <c r="AI14" i="157" s="1"/>
  <c r="Y14" i="157" s="1"/>
  <c r="Z14" i="157"/>
  <c r="X14" i="157"/>
  <c r="Q14" i="157"/>
  <c r="O75" i="157" s="1"/>
  <c r="P14" i="157"/>
  <c r="H14" i="157"/>
  <c r="E14" i="157"/>
  <c r="I14" i="157" s="1"/>
  <c r="AD13" i="157"/>
  <c r="AC13" i="157"/>
  <c r="AB13" i="157"/>
  <c r="AE13" i="157" s="1"/>
  <c r="AI13" i="157" s="1"/>
  <c r="Y13" i="157" s="1"/>
  <c r="Z13" i="157"/>
  <c r="X13" i="157"/>
  <c r="Q13" i="157"/>
  <c r="P13" i="157"/>
  <c r="I13" i="157"/>
  <c r="H13" i="157"/>
  <c r="E13" i="157"/>
  <c r="AD12" i="157"/>
  <c r="AC12" i="157"/>
  <c r="AE12" i="157" s="1"/>
  <c r="AI12" i="157" s="1"/>
  <c r="Y12" i="157" s="1"/>
  <c r="AB12" i="157"/>
  <c r="Z12" i="157"/>
  <c r="X12" i="157"/>
  <c r="Q12" i="157"/>
  <c r="P12" i="157"/>
  <c r="H12" i="157"/>
  <c r="E12" i="157"/>
  <c r="I12" i="157" s="1"/>
  <c r="M79" i="156"/>
  <c r="W73" i="156"/>
  <c r="P71" i="156"/>
  <c r="H71" i="156"/>
  <c r="Q70" i="156"/>
  <c r="P70" i="156"/>
  <c r="H70" i="156"/>
  <c r="E70" i="156"/>
  <c r="I70" i="156" s="1"/>
  <c r="Q69" i="156"/>
  <c r="P69" i="156"/>
  <c r="H69" i="156"/>
  <c r="E69" i="156"/>
  <c r="I69" i="156" s="1"/>
  <c r="AD68" i="156"/>
  <c r="AC68" i="156"/>
  <c r="AB68" i="156"/>
  <c r="AE68" i="156" s="1"/>
  <c r="AI68" i="156" s="1"/>
  <c r="Y68" i="156" s="1"/>
  <c r="Z68" i="156"/>
  <c r="X68" i="156"/>
  <c r="W68" i="156"/>
  <c r="Q68" i="156"/>
  <c r="P68" i="156"/>
  <c r="I68" i="156"/>
  <c r="H68" i="156"/>
  <c r="E68" i="156"/>
  <c r="AI67" i="156"/>
  <c r="Y67" i="156" s="1"/>
  <c r="AE67" i="156"/>
  <c r="AD67" i="156"/>
  <c r="AC67" i="156"/>
  <c r="AB67" i="156"/>
  <c r="Z67" i="156"/>
  <c r="X67" i="156"/>
  <c r="Q67" i="156"/>
  <c r="P67" i="156"/>
  <c r="H67" i="156"/>
  <c r="E67" i="156"/>
  <c r="I67" i="156" s="1"/>
  <c r="AD66" i="156"/>
  <c r="AC66" i="156"/>
  <c r="AE66" i="156" s="1"/>
  <c r="AI66" i="156" s="1"/>
  <c r="Y66" i="156" s="1"/>
  <c r="AB66" i="156"/>
  <c r="Z66" i="156"/>
  <c r="X66" i="156"/>
  <c r="Q66" i="156"/>
  <c r="P66" i="156"/>
  <c r="I66" i="156"/>
  <c r="H66" i="156"/>
  <c r="E66" i="156"/>
  <c r="AE65" i="156"/>
  <c r="AI65" i="156" s="1"/>
  <c r="Y65" i="156" s="1"/>
  <c r="AD65" i="156"/>
  <c r="AC65" i="156"/>
  <c r="AB65" i="156"/>
  <c r="Z65" i="156"/>
  <c r="X65" i="156"/>
  <c r="Q65" i="156"/>
  <c r="P65" i="156"/>
  <c r="H65" i="156"/>
  <c r="E65" i="156"/>
  <c r="I65" i="156" s="1"/>
  <c r="AD64" i="156"/>
  <c r="AC64" i="156"/>
  <c r="AB64" i="156"/>
  <c r="AE64" i="156" s="1"/>
  <c r="AI64" i="156" s="1"/>
  <c r="Y64" i="156" s="1"/>
  <c r="Z64" i="156"/>
  <c r="X64" i="156"/>
  <c r="Q64" i="156"/>
  <c r="P64" i="156"/>
  <c r="H64" i="156"/>
  <c r="E64" i="156"/>
  <c r="I64" i="156" s="1"/>
  <c r="AD63" i="156"/>
  <c r="AC63" i="156"/>
  <c r="AE63" i="156" s="1"/>
  <c r="AI63" i="156" s="1"/>
  <c r="Y63" i="156" s="1"/>
  <c r="AB63" i="156"/>
  <c r="Z63" i="156"/>
  <c r="X63" i="156"/>
  <c r="Q63" i="156"/>
  <c r="P63" i="156"/>
  <c r="H63" i="156"/>
  <c r="E63" i="156"/>
  <c r="I63" i="156" s="1"/>
  <c r="AE62" i="156"/>
  <c r="AI62" i="156" s="1"/>
  <c r="Y62" i="156" s="1"/>
  <c r="AD62" i="156"/>
  <c r="AC62" i="156"/>
  <c r="AB62" i="156"/>
  <c r="Z62" i="156"/>
  <c r="X62" i="156"/>
  <c r="Q62" i="156"/>
  <c r="P62" i="156"/>
  <c r="H62" i="156"/>
  <c r="E62" i="156"/>
  <c r="I62" i="156" s="1"/>
  <c r="AC61" i="156"/>
  <c r="AE61" i="156" s="1"/>
  <c r="AI61" i="156" s="1"/>
  <c r="Y61" i="156" s="1"/>
  <c r="AB61" i="156"/>
  <c r="X61" i="156"/>
  <c r="Q61" i="156"/>
  <c r="P61" i="156"/>
  <c r="I61" i="156"/>
  <c r="H61" i="156"/>
  <c r="E61" i="156"/>
  <c r="AI60" i="156"/>
  <c r="AE60" i="156"/>
  <c r="Y60" i="156"/>
  <c r="X60" i="156"/>
  <c r="Q60" i="156"/>
  <c r="P60" i="156"/>
  <c r="I60" i="156"/>
  <c r="H60" i="156"/>
  <c r="E60" i="156"/>
  <c r="AC59" i="156"/>
  <c r="AB59" i="156"/>
  <c r="AE59" i="156" s="1"/>
  <c r="AI59" i="156" s="1"/>
  <c r="Y59" i="156" s="1"/>
  <c r="X59" i="156"/>
  <c r="Q59" i="156"/>
  <c r="P59" i="156"/>
  <c r="H59" i="156"/>
  <c r="E59" i="156"/>
  <c r="I59" i="156" s="1"/>
  <c r="AC58" i="156"/>
  <c r="AB58" i="156"/>
  <c r="AE58" i="156" s="1"/>
  <c r="AI58" i="156" s="1"/>
  <c r="Y58" i="156" s="1"/>
  <c r="X58" i="156"/>
  <c r="Q58" i="156"/>
  <c r="P58" i="156"/>
  <c r="I58" i="156"/>
  <c r="E58" i="156"/>
  <c r="AC57" i="156"/>
  <c r="AB57" i="156"/>
  <c r="AE57" i="156" s="1"/>
  <c r="AI57" i="156" s="1"/>
  <c r="Y57" i="156" s="1"/>
  <c r="X57" i="156"/>
  <c r="Q57" i="156"/>
  <c r="P57" i="156"/>
  <c r="I57" i="156"/>
  <c r="H57" i="156"/>
  <c r="E57" i="156"/>
  <c r="AD56" i="156"/>
  <c r="AC56" i="156"/>
  <c r="AE56" i="156" s="1"/>
  <c r="AI56" i="156" s="1"/>
  <c r="Y56" i="156" s="1"/>
  <c r="AB56" i="156"/>
  <c r="Z56" i="156"/>
  <c r="X56" i="156"/>
  <c r="Q56" i="156"/>
  <c r="P56" i="156"/>
  <c r="H56" i="156"/>
  <c r="E56" i="156"/>
  <c r="I56" i="156" s="1"/>
  <c r="AE55" i="156"/>
  <c r="AI55" i="156" s="1"/>
  <c r="Y55" i="156" s="1"/>
  <c r="AD55" i="156"/>
  <c r="AC55" i="156"/>
  <c r="AB55" i="156"/>
  <c r="Z55" i="156"/>
  <c r="X55" i="156"/>
  <c r="Q55" i="156"/>
  <c r="P55" i="156"/>
  <c r="H55" i="156"/>
  <c r="E55" i="156"/>
  <c r="I55" i="156" s="1"/>
  <c r="AE54" i="156"/>
  <c r="AI54" i="156" s="1"/>
  <c r="Y54" i="156" s="1"/>
  <c r="AD54" i="156"/>
  <c r="AC54" i="156"/>
  <c r="AB54" i="156"/>
  <c r="Z54" i="156"/>
  <c r="X54" i="156"/>
  <c r="Q54" i="156"/>
  <c r="P54" i="156"/>
  <c r="I54" i="156"/>
  <c r="H54" i="156"/>
  <c r="E54" i="156"/>
  <c r="AD53" i="156"/>
  <c r="AC53" i="156"/>
  <c r="AB53" i="156"/>
  <c r="AE53" i="156" s="1"/>
  <c r="AI53" i="156" s="1"/>
  <c r="Y53" i="156" s="1"/>
  <c r="Z53" i="156"/>
  <c r="X53" i="156"/>
  <c r="Q53" i="156"/>
  <c r="P53" i="156"/>
  <c r="H53" i="156"/>
  <c r="E53" i="156"/>
  <c r="I53" i="156" s="1"/>
  <c r="AE52" i="156"/>
  <c r="AI52" i="156" s="1"/>
  <c r="Y52" i="156" s="1"/>
  <c r="Z52" i="156"/>
  <c r="X52" i="156"/>
  <c r="Q52" i="156"/>
  <c r="P52" i="156"/>
  <c r="I52" i="156"/>
  <c r="H52" i="156"/>
  <c r="E52" i="156"/>
  <c r="AD51" i="156"/>
  <c r="AC51" i="156"/>
  <c r="AB51" i="156"/>
  <c r="AE51" i="156" s="1"/>
  <c r="AI51" i="156" s="1"/>
  <c r="Y51" i="156" s="1"/>
  <c r="Z51" i="156"/>
  <c r="X51" i="156"/>
  <c r="Q51" i="156"/>
  <c r="P51" i="156"/>
  <c r="H51" i="156"/>
  <c r="E51" i="156"/>
  <c r="I51" i="156" s="1"/>
  <c r="AD50" i="156"/>
  <c r="AC50" i="156"/>
  <c r="AE50" i="156" s="1"/>
  <c r="AI50" i="156" s="1"/>
  <c r="Y50" i="156" s="1"/>
  <c r="AB50" i="156"/>
  <c r="Z50" i="156"/>
  <c r="X50" i="156"/>
  <c r="Q50" i="156"/>
  <c r="P50" i="156"/>
  <c r="H50" i="156"/>
  <c r="E50" i="156"/>
  <c r="I50" i="156" s="1"/>
  <c r="AE49" i="156"/>
  <c r="AI49" i="156" s="1"/>
  <c r="Y49" i="156" s="1"/>
  <c r="Z49" i="156"/>
  <c r="X49" i="156"/>
  <c r="Q49" i="156"/>
  <c r="P49" i="156"/>
  <c r="H49" i="156"/>
  <c r="E49" i="156"/>
  <c r="I49" i="156" s="1"/>
  <c r="AE48" i="156"/>
  <c r="AI48" i="156" s="1"/>
  <c r="Y48" i="156" s="1"/>
  <c r="Z48" i="156"/>
  <c r="X48" i="156"/>
  <c r="Q48" i="156"/>
  <c r="P48" i="156"/>
  <c r="H48" i="156"/>
  <c r="E48" i="156"/>
  <c r="I48" i="156" s="1"/>
  <c r="AI47" i="156"/>
  <c r="Y47" i="156" s="1"/>
  <c r="AE47" i="156"/>
  <c r="Z47" i="156"/>
  <c r="X47" i="156"/>
  <c r="Q47" i="156"/>
  <c r="P47" i="156"/>
  <c r="H47" i="156"/>
  <c r="E47" i="156"/>
  <c r="I47" i="156" s="1"/>
  <c r="AD46" i="156"/>
  <c r="AC46" i="156"/>
  <c r="AB46" i="156"/>
  <c r="AE46" i="156" s="1"/>
  <c r="AI46" i="156" s="1"/>
  <c r="Y46" i="156" s="1"/>
  <c r="Z46" i="156"/>
  <c r="X46" i="156"/>
  <c r="Q46" i="156"/>
  <c r="P46" i="156"/>
  <c r="I46" i="156"/>
  <c r="H46" i="156"/>
  <c r="E46" i="156"/>
  <c r="AE45" i="156"/>
  <c r="AI45" i="156" s="1"/>
  <c r="Y45" i="156" s="1"/>
  <c r="AD45" i="156"/>
  <c r="AC45" i="156"/>
  <c r="AB45" i="156"/>
  <c r="Z45" i="156"/>
  <c r="X45" i="156"/>
  <c r="Q45" i="156"/>
  <c r="P45" i="156"/>
  <c r="I45" i="156"/>
  <c r="H45" i="156"/>
  <c r="E45" i="156"/>
  <c r="AD44" i="156"/>
  <c r="AC44" i="156"/>
  <c r="AB44" i="156"/>
  <c r="AE44" i="156" s="1"/>
  <c r="AI44" i="156" s="1"/>
  <c r="Y44" i="156" s="1"/>
  <c r="Z44" i="156"/>
  <c r="X44" i="156"/>
  <c r="Q44" i="156"/>
  <c r="P44" i="156"/>
  <c r="H44" i="156"/>
  <c r="E44" i="156"/>
  <c r="I44" i="156" s="1"/>
  <c r="AE43" i="156"/>
  <c r="AI43" i="156" s="1"/>
  <c r="Y43" i="156" s="1"/>
  <c r="AD43" i="156"/>
  <c r="AC43" i="156"/>
  <c r="AB43" i="156"/>
  <c r="Z43" i="156"/>
  <c r="X43" i="156"/>
  <c r="Q43" i="156"/>
  <c r="P43" i="156"/>
  <c r="H43" i="156"/>
  <c r="E43" i="156"/>
  <c r="I43" i="156" s="1"/>
  <c r="AE42" i="156"/>
  <c r="AI42" i="156" s="1"/>
  <c r="Y42" i="156" s="1"/>
  <c r="AD42" i="156"/>
  <c r="AC42" i="156"/>
  <c r="AB42" i="156"/>
  <c r="Z42" i="156"/>
  <c r="X42" i="156"/>
  <c r="Q42" i="156"/>
  <c r="P42" i="156"/>
  <c r="I42" i="156"/>
  <c r="H42" i="156"/>
  <c r="E42" i="156"/>
  <c r="AD41" i="156"/>
  <c r="AC41" i="156"/>
  <c r="AB41" i="156"/>
  <c r="AE41" i="156" s="1"/>
  <c r="AI41" i="156" s="1"/>
  <c r="Y41" i="156" s="1"/>
  <c r="Z41" i="156"/>
  <c r="X41" i="156"/>
  <c r="Q41" i="156"/>
  <c r="P41" i="156"/>
  <c r="H41" i="156"/>
  <c r="E41" i="156"/>
  <c r="I41" i="156" s="1"/>
  <c r="AE40" i="156"/>
  <c r="AI40" i="156" s="1"/>
  <c r="Y40" i="156" s="1"/>
  <c r="AD40" i="156"/>
  <c r="AC40" i="156"/>
  <c r="AB40" i="156"/>
  <c r="Z40" i="156"/>
  <c r="X40" i="156"/>
  <c r="Q40" i="156"/>
  <c r="P40" i="156"/>
  <c r="I40" i="156"/>
  <c r="H40" i="156"/>
  <c r="E40" i="156"/>
  <c r="AD39" i="156"/>
  <c r="AC39" i="156"/>
  <c r="AB39" i="156"/>
  <c r="AE39" i="156" s="1"/>
  <c r="AI39" i="156" s="1"/>
  <c r="Y39" i="156" s="1"/>
  <c r="Z39" i="156"/>
  <c r="X39" i="156"/>
  <c r="Q39" i="156"/>
  <c r="P39" i="156"/>
  <c r="I39" i="156"/>
  <c r="H39" i="156"/>
  <c r="E39" i="156"/>
  <c r="AD38" i="156"/>
  <c r="AC38" i="156"/>
  <c r="AB38" i="156"/>
  <c r="AE38" i="156" s="1"/>
  <c r="AI38" i="156" s="1"/>
  <c r="Y38" i="156" s="1"/>
  <c r="Z38" i="156"/>
  <c r="X38" i="156"/>
  <c r="Q38" i="156"/>
  <c r="P38" i="156"/>
  <c r="H38" i="156"/>
  <c r="E38" i="156"/>
  <c r="I38" i="156" s="1"/>
  <c r="AD37" i="156"/>
  <c r="AC37" i="156"/>
  <c r="AE37" i="156" s="1"/>
  <c r="AI37" i="156" s="1"/>
  <c r="Y37" i="156" s="1"/>
  <c r="AB37" i="156"/>
  <c r="Z37" i="156"/>
  <c r="X37" i="156"/>
  <c r="Q37" i="156"/>
  <c r="P37" i="156"/>
  <c r="I37" i="156"/>
  <c r="H37" i="156"/>
  <c r="E37" i="156"/>
  <c r="AD36" i="156"/>
  <c r="AC36" i="156"/>
  <c r="AE36" i="156" s="1"/>
  <c r="AI36" i="156" s="1"/>
  <c r="Y36" i="156" s="1"/>
  <c r="AB36" i="156"/>
  <c r="Z36" i="156"/>
  <c r="X36" i="156"/>
  <c r="Q36" i="156"/>
  <c r="P36" i="156"/>
  <c r="H36" i="156"/>
  <c r="E36" i="156"/>
  <c r="I36" i="156" s="1"/>
  <c r="AD35" i="156"/>
  <c r="AC35" i="156"/>
  <c r="AB35" i="156"/>
  <c r="AE35" i="156" s="1"/>
  <c r="AI35" i="156" s="1"/>
  <c r="Y35" i="156" s="1"/>
  <c r="Z35" i="156"/>
  <c r="X35" i="156"/>
  <c r="Q35" i="156"/>
  <c r="P35" i="156"/>
  <c r="H35" i="156"/>
  <c r="E35" i="156"/>
  <c r="I35" i="156" s="1"/>
  <c r="AE34" i="156"/>
  <c r="AI34" i="156" s="1"/>
  <c r="Y34" i="156" s="1"/>
  <c r="AD34" i="156"/>
  <c r="AC34" i="156"/>
  <c r="AB34" i="156"/>
  <c r="Z34" i="156"/>
  <c r="X34" i="156"/>
  <c r="Q34" i="156"/>
  <c r="P34" i="156"/>
  <c r="H34" i="156"/>
  <c r="E34" i="156"/>
  <c r="I34" i="156" s="1"/>
  <c r="AE33" i="156"/>
  <c r="AI33" i="156" s="1"/>
  <c r="Y33" i="156" s="1"/>
  <c r="AD33" i="156"/>
  <c r="AC33" i="156"/>
  <c r="AB33" i="156"/>
  <c r="Z33" i="156"/>
  <c r="X33" i="156"/>
  <c r="Q33" i="156"/>
  <c r="P33" i="156"/>
  <c r="H33" i="156"/>
  <c r="E33" i="156"/>
  <c r="I33" i="156" s="1"/>
  <c r="AD32" i="156"/>
  <c r="AC32" i="156"/>
  <c r="AB32" i="156"/>
  <c r="AE32" i="156" s="1"/>
  <c r="AI32" i="156" s="1"/>
  <c r="Y32" i="156" s="1"/>
  <c r="Z32" i="156"/>
  <c r="X32" i="156"/>
  <c r="Q32" i="156"/>
  <c r="P32" i="156"/>
  <c r="H32" i="156"/>
  <c r="E32" i="156"/>
  <c r="I32" i="156" s="1"/>
  <c r="AE31" i="156"/>
  <c r="AI31" i="156" s="1"/>
  <c r="Y31" i="156" s="1"/>
  <c r="Z31" i="156"/>
  <c r="X31" i="156"/>
  <c r="Q31" i="156"/>
  <c r="P31" i="156"/>
  <c r="I31" i="156"/>
  <c r="H31" i="156"/>
  <c r="E31" i="156"/>
  <c r="AD30" i="156"/>
  <c r="AE30" i="156" s="1"/>
  <c r="AI30" i="156" s="1"/>
  <c r="Y30" i="156" s="1"/>
  <c r="AC30" i="156"/>
  <c r="AB30" i="156"/>
  <c r="Z30" i="156"/>
  <c r="X30" i="156"/>
  <c r="Q30" i="156"/>
  <c r="P30" i="156"/>
  <c r="I30" i="156"/>
  <c r="H30" i="156"/>
  <c r="E30" i="156"/>
  <c r="AD29" i="156"/>
  <c r="AC29" i="156"/>
  <c r="AB29" i="156"/>
  <c r="AE29" i="156" s="1"/>
  <c r="AI29" i="156" s="1"/>
  <c r="Y29" i="156" s="1"/>
  <c r="Z29" i="156"/>
  <c r="X29" i="156"/>
  <c r="Q29" i="156"/>
  <c r="P29" i="156"/>
  <c r="I29" i="156"/>
  <c r="H29" i="156"/>
  <c r="E29" i="156"/>
  <c r="AE28" i="156"/>
  <c r="AI28" i="156" s="1"/>
  <c r="Y28" i="156" s="1"/>
  <c r="AD28" i="156"/>
  <c r="AC28" i="156"/>
  <c r="AB28" i="156"/>
  <c r="Z28" i="156"/>
  <c r="X28" i="156"/>
  <c r="Q28" i="156"/>
  <c r="P28" i="156"/>
  <c r="H28" i="156"/>
  <c r="E28" i="156"/>
  <c r="I28" i="156" s="1"/>
  <c r="AE27" i="156"/>
  <c r="AI27" i="156" s="1"/>
  <c r="Y27" i="156" s="1"/>
  <c r="AD27" i="156"/>
  <c r="AC27" i="156"/>
  <c r="AB27" i="156"/>
  <c r="Z27" i="156"/>
  <c r="X27" i="156"/>
  <c r="Q27" i="156"/>
  <c r="P27" i="156"/>
  <c r="I27" i="156"/>
  <c r="H27" i="156"/>
  <c r="E27" i="156"/>
  <c r="AD26" i="156"/>
  <c r="AC26" i="156"/>
  <c r="AB26" i="156"/>
  <c r="AE26" i="156" s="1"/>
  <c r="AI26" i="156" s="1"/>
  <c r="Y26" i="156" s="1"/>
  <c r="Z26" i="156"/>
  <c r="X26" i="156"/>
  <c r="Q26" i="156"/>
  <c r="P26" i="156"/>
  <c r="H26" i="156"/>
  <c r="E26" i="156"/>
  <c r="I26" i="156" s="1"/>
  <c r="AE25" i="156"/>
  <c r="AI25" i="156" s="1"/>
  <c r="Y25" i="156" s="1"/>
  <c r="AD25" i="156"/>
  <c r="AC25" i="156"/>
  <c r="AB25" i="156"/>
  <c r="Z25" i="156"/>
  <c r="X25" i="156"/>
  <c r="Q25" i="156"/>
  <c r="P25" i="156"/>
  <c r="I25" i="156"/>
  <c r="H25" i="156"/>
  <c r="E25" i="156"/>
  <c r="AD24" i="156"/>
  <c r="AC24" i="156"/>
  <c r="AB24" i="156"/>
  <c r="AE24" i="156" s="1"/>
  <c r="AI24" i="156" s="1"/>
  <c r="Y24" i="156" s="1"/>
  <c r="Z24" i="156"/>
  <c r="X24" i="156"/>
  <c r="Q24" i="156"/>
  <c r="P24" i="156"/>
  <c r="I24" i="156"/>
  <c r="H24" i="156"/>
  <c r="E24" i="156"/>
  <c r="AD23" i="156"/>
  <c r="AC23" i="156"/>
  <c r="AB23" i="156"/>
  <c r="AE23" i="156" s="1"/>
  <c r="AI23" i="156" s="1"/>
  <c r="Y23" i="156" s="1"/>
  <c r="Z23" i="156"/>
  <c r="X23" i="156"/>
  <c r="Q23" i="156"/>
  <c r="P23" i="156"/>
  <c r="H23" i="156"/>
  <c r="E23" i="156"/>
  <c r="I23" i="156" s="1"/>
  <c r="AD22" i="156"/>
  <c r="AC22" i="156"/>
  <c r="AE22" i="156" s="1"/>
  <c r="AI22" i="156" s="1"/>
  <c r="Y22" i="156" s="1"/>
  <c r="AB22" i="156"/>
  <c r="Z22" i="156"/>
  <c r="X22" i="156"/>
  <c r="Q22" i="156"/>
  <c r="P22" i="156"/>
  <c r="I22" i="156"/>
  <c r="H22" i="156"/>
  <c r="E22" i="156"/>
  <c r="AD21" i="156"/>
  <c r="AC21" i="156"/>
  <c r="AB21" i="156"/>
  <c r="AE21" i="156" s="1"/>
  <c r="AI21" i="156" s="1"/>
  <c r="Y21" i="156" s="1"/>
  <c r="Z21" i="156"/>
  <c r="X21" i="156"/>
  <c r="Q21" i="156"/>
  <c r="P21" i="156"/>
  <c r="H21" i="156"/>
  <c r="E21" i="156"/>
  <c r="I21" i="156" s="1"/>
  <c r="AD20" i="156"/>
  <c r="AC20" i="156"/>
  <c r="AB20" i="156"/>
  <c r="AE20" i="156" s="1"/>
  <c r="AI20" i="156" s="1"/>
  <c r="Y20" i="156" s="1"/>
  <c r="Z20" i="156"/>
  <c r="X20" i="156"/>
  <c r="Q20" i="156"/>
  <c r="P20" i="156"/>
  <c r="H20" i="156"/>
  <c r="E20" i="156"/>
  <c r="I20" i="156" s="1"/>
  <c r="AD19" i="156"/>
  <c r="AC19" i="156"/>
  <c r="AE19" i="156" s="1"/>
  <c r="AI19" i="156" s="1"/>
  <c r="Y19" i="156" s="1"/>
  <c r="AB19" i="156"/>
  <c r="Z19" i="156"/>
  <c r="X19" i="156"/>
  <c r="Q19" i="156"/>
  <c r="P19" i="156"/>
  <c r="H19" i="156"/>
  <c r="E19" i="156"/>
  <c r="I19" i="156" s="1"/>
  <c r="AD18" i="156"/>
  <c r="AC18" i="156"/>
  <c r="AB18" i="156"/>
  <c r="AE18" i="156" s="1"/>
  <c r="AI18" i="156" s="1"/>
  <c r="Y18" i="156" s="1"/>
  <c r="Z18" i="156"/>
  <c r="X18" i="156"/>
  <c r="Q18" i="156"/>
  <c r="P18" i="156"/>
  <c r="H18" i="156"/>
  <c r="E18" i="156"/>
  <c r="I18" i="156" s="1"/>
  <c r="AD17" i="156"/>
  <c r="AE17" i="156" s="1"/>
  <c r="AI17" i="156" s="1"/>
  <c r="Y17" i="156" s="1"/>
  <c r="AC17" i="156"/>
  <c r="AB17" i="156"/>
  <c r="Z17" i="156"/>
  <c r="X17" i="156"/>
  <c r="Q17" i="156"/>
  <c r="P17" i="156"/>
  <c r="H17" i="156"/>
  <c r="E17" i="156"/>
  <c r="I17" i="156" s="1"/>
  <c r="AD16" i="156"/>
  <c r="AE16" i="156" s="1"/>
  <c r="AI16" i="156" s="1"/>
  <c r="Y16" i="156" s="1"/>
  <c r="AC16" i="156"/>
  <c r="AB16" i="156"/>
  <c r="Z16" i="156"/>
  <c r="X16" i="156"/>
  <c r="Q16" i="156"/>
  <c r="P16" i="156"/>
  <c r="E16" i="156"/>
  <c r="I16" i="156" s="1"/>
  <c r="AD15" i="156"/>
  <c r="AC15" i="156"/>
  <c r="AB15" i="156"/>
  <c r="AE15" i="156" s="1"/>
  <c r="AI15" i="156" s="1"/>
  <c r="Y15" i="156" s="1"/>
  <c r="Z15" i="156"/>
  <c r="X15" i="156"/>
  <c r="Q15" i="156"/>
  <c r="P15" i="156"/>
  <c r="E15" i="156"/>
  <c r="I15" i="156" s="1"/>
  <c r="AD14" i="156"/>
  <c r="AC14" i="156"/>
  <c r="AB14" i="156"/>
  <c r="AE14" i="156" s="1"/>
  <c r="AI14" i="156" s="1"/>
  <c r="Y14" i="156" s="1"/>
  <c r="Z14" i="156"/>
  <c r="X14" i="156"/>
  <c r="Q14" i="156"/>
  <c r="P14" i="156"/>
  <c r="I14" i="156"/>
  <c r="H14" i="156"/>
  <c r="E14" i="156"/>
  <c r="AD13" i="156"/>
  <c r="AC13" i="156"/>
  <c r="AB13" i="156"/>
  <c r="AE13" i="156" s="1"/>
  <c r="AI13" i="156" s="1"/>
  <c r="Y13" i="156" s="1"/>
  <c r="Z13" i="156"/>
  <c r="X13" i="156"/>
  <c r="Q13" i="156"/>
  <c r="P13" i="156"/>
  <c r="H13" i="156"/>
  <c r="E13" i="156"/>
  <c r="I13" i="156" s="1"/>
  <c r="AD12" i="156"/>
  <c r="AC12" i="156"/>
  <c r="AE12" i="156" s="1"/>
  <c r="AI12" i="156" s="1"/>
  <c r="Y12" i="156" s="1"/>
  <c r="AB12" i="156"/>
  <c r="Z12" i="156"/>
  <c r="T75" i="156" s="1"/>
  <c r="X12" i="156"/>
  <c r="T77" i="156" s="1"/>
  <c r="Q12" i="156"/>
  <c r="P12" i="156"/>
  <c r="I12" i="156"/>
  <c r="H12" i="156"/>
  <c r="E12" i="156"/>
  <c r="H39" i="157" l="1"/>
  <c r="X39" i="157"/>
  <c r="T77" i="157"/>
  <c r="T75" i="157"/>
  <c r="O73" i="157"/>
  <c r="F73" i="157"/>
  <c r="F75" i="157"/>
  <c r="T73" i="157"/>
  <c r="O73" i="156"/>
  <c r="O75" i="156"/>
  <c r="F73" i="156"/>
  <c r="F75" i="156"/>
  <c r="T73" i="156"/>
  <c r="T79" i="156" s="1"/>
  <c r="M79" i="155"/>
  <c r="W73" i="155"/>
  <c r="P71" i="155"/>
  <c r="H71" i="155"/>
  <c r="Q70" i="155"/>
  <c r="P70" i="155"/>
  <c r="H70" i="155"/>
  <c r="E70" i="155"/>
  <c r="I70" i="155" s="1"/>
  <c r="Q69" i="155"/>
  <c r="P69" i="155"/>
  <c r="I69" i="155"/>
  <c r="H69" i="155"/>
  <c r="E69" i="155"/>
  <c r="AD68" i="155"/>
  <c r="AC68" i="155"/>
  <c r="AB68" i="155"/>
  <c r="AE68" i="155" s="1"/>
  <c r="AI68" i="155" s="1"/>
  <c r="Y68" i="155" s="1"/>
  <c r="Z68" i="155"/>
  <c r="X68" i="155"/>
  <c r="W68" i="155"/>
  <c r="Q68" i="155"/>
  <c r="P68" i="155"/>
  <c r="H68" i="155"/>
  <c r="E68" i="155"/>
  <c r="I68" i="155" s="1"/>
  <c r="AD67" i="155"/>
  <c r="AC67" i="155"/>
  <c r="AB67" i="155"/>
  <c r="AE67" i="155" s="1"/>
  <c r="AI67" i="155" s="1"/>
  <c r="Y67" i="155" s="1"/>
  <c r="Z67" i="155"/>
  <c r="X67" i="155"/>
  <c r="Q67" i="155"/>
  <c r="P67" i="155"/>
  <c r="H67" i="155"/>
  <c r="E67" i="155"/>
  <c r="I67" i="155" s="1"/>
  <c r="AE66" i="155"/>
  <c r="AI66" i="155" s="1"/>
  <c r="Y66" i="155" s="1"/>
  <c r="AD66" i="155"/>
  <c r="AC66" i="155"/>
  <c r="AB66" i="155"/>
  <c r="Z66" i="155"/>
  <c r="X66" i="155"/>
  <c r="Q66" i="155"/>
  <c r="P66" i="155"/>
  <c r="H66" i="155"/>
  <c r="E66" i="155"/>
  <c r="I66" i="155" s="1"/>
  <c r="AD65" i="155"/>
  <c r="AC65" i="155"/>
  <c r="AB65" i="155"/>
  <c r="AE65" i="155" s="1"/>
  <c r="AI65" i="155" s="1"/>
  <c r="Y65" i="155" s="1"/>
  <c r="Z65" i="155"/>
  <c r="X65" i="155"/>
  <c r="Q65" i="155"/>
  <c r="P65" i="155"/>
  <c r="H65" i="155"/>
  <c r="E65" i="155"/>
  <c r="I65" i="155" s="1"/>
  <c r="AD64" i="155"/>
  <c r="AC64" i="155"/>
  <c r="AB64" i="155"/>
  <c r="AE64" i="155" s="1"/>
  <c r="AI64" i="155" s="1"/>
  <c r="Y64" i="155" s="1"/>
  <c r="Z64" i="155"/>
  <c r="X64" i="155"/>
  <c r="Q64" i="155"/>
  <c r="P64" i="155"/>
  <c r="H64" i="155"/>
  <c r="E64" i="155"/>
  <c r="I64" i="155" s="1"/>
  <c r="AD63" i="155"/>
  <c r="AC63" i="155"/>
  <c r="AE63" i="155" s="1"/>
  <c r="AI63" i="155" s="1"/>
  <c r="Y63" i="155" s="1"/>
  <c r="AB63" i="155"/>
  <c r="Z63" i="155"/>
  <c r="X63" i="155"/>
  <c r="Q63" i="155"/>
  <c r="P63" i="155"/>
  <c r="H63" i="155"/>
  <c r="E63" i="155"/>
  <c r="I63" i="155" s="1"/>
  <c r="AE62" i="155"/>
  <c r="AI62" i="155" s="1"/>
  <c r="Y62" i="155" s="1"/>
  <c r="AD62" i="155"/>
  <c r="AC62" i="155"/>
  <c r="AB62" i="155"/>
  <c r="Z62" i="155"/>
  <c r="X62" i="155"/>
  <c r="Q62" i="155"/>
  <c r="P62" i="155"/>
  <c r="H62" i="155"/>
  <c r="E62" i="155"/>
  <c r="I62" i="155" s="1"/>
  <c r="AC61" i="155"/>
  <c r="AE61" i="155" s="1"/>
  <c r="AI61" i="155" s="1"/>
  <c r="Y61" i="155" s="1"/>
  <c r="AB61" i="155"/>
  <c r="X61" i="155"/>
  <c r="Q61" i="155"/>
  <c r="P61" i="155"/>
  <c r="I61" i="155"/>
  <c r="H61" i="155"/>
  <c r="E61" i="155"/>
  <c r="AE60" i="155"/>
  <c r="AI60" i="155" s="1"/>
  <c r="Y60" i="155" s="1"/>
  <c r="X60" i="155"/>
  <c r="Q60" i="155"/>
  <c r="P60" i="155"/>
  <c r="I60" i="155"/>
  <c r="H60" i="155"/>
  <c r="E60" i="155"/>
  <c r="AC59" i="155"/>
  <c r="AB59" i="155"/>
  <c r="AE59" i="155" s="1"/>
  <c r="AI59" i="155" s="1"/>
  <c r="Y59" i="155" s="1"/>
  <c r="X59" i="155"/>
  <c r="Q59" i="155"/>
  <c r="P59" i="155"/>
  <c r="I59" i="155"/>
  <c r="H59" i="155"/>
  <c r="E59" i="155"/>
  <c r="AC58" i="155"/>
  <c r="AB58" i="155"/>
  <c r="AE58" i="155" s="1"/>
  <c r="AI58" i="155" s="1"/>
  <c r="Y58" i="155" s="1"/>
  <c r="X58" i="155"/>
  <c r="Q58" i="155"/>
  <c r="P58" i="155"/>
  <c r="E58" i="155"/>
  <c r="I58" i="155" s="1"/>
  <c r="AC57" i="155"/>
  <c r="AB57" i="155"/>
  <c r="AE57" i="155" s="1"/>
  <c r="AI57" i="155" s="1"/>
  <c r="Y57" i="155" s="1"/>
  <c r="X57" i="155"/>
  <c r="Q57" i="155"/>
  <c r="P57" i="155"/>
  <c r="I57" i="155"/>
  <c r="H57" i="155"/>
  <c r="E57" i="155"/>
  <c r="AD56" i="155"/>
  <c r="AC56" i="155"/>
  <c r="AB56" i="155"/>
  <c r="AE56" i="155" s="1"/>
  <c r="AI56" i="155" s="1"/>
  <c r="Y56" i="155" s="1"/>
  <c r="Z56" i="155"/>
  <c r="X56" i="155"/>
  <c r="Q56" i="155"/>
  <c r="P56" i="155"/>
  <c r="H56" i="155"/>
  <c r="E56" i="155"/>
  <c r="I56" i="155" s="1"/>
  <c r="AE55" i="155"/>
  <c r="AI55" i="155" s="1"/>
  <c r="Y55" i="155" s="1"/>
  <c r="AD55" i="155"/>
  <c r="AC55" i="155"/>
  <c r="AB55" i="155"/>
  <c r="Z55" i="155"/>
  <c r="X55" i="155"/>
  <c r="Q55" i="155"/>
  <c r="P55" i="155"/>
  <c r="I55" i="155"/>
  <c r="H55" i="155"/>
  <c r="E55" i="155"/>
  <c r="AD54" i="155"/>
  <c r="AC54" i="155"/>
  <c r="AB54" i="155"/>
  <c r="AE54" i="155" s="1"/>
  <c r="AI54" i="155" s="1"/>
  <c r="Y54" i="155" s="1"/>
  <c r="Z54" i="155"/>
  <c r="X54" i="155"/>
  <c r="Q54" i="155"/>
  <c r="P54" i="155"/>
  <c r="I54" i="155"/>
  <c r="H54" i="155"/>
  <c r="E54" i="155"/>
  <c r="AE53" i="155"/>
  <c r="AI53" i="155" s="1"/>
  <c r="Y53" i="155" s="1"/>
  <c r="AD53" i="155"/>
  <c r="AC53" i="155"/>
  <c r="AB53" i="155"/>
  <c r="Z53" i="155"/>
  <c r="X53" i="155"/>
  <c r="Q53" i="155"/>
  <c r="P53" i="155"/>
  <c r="H53" i="155"/>
  <c r="E53" i="155"/>
  <c r="I53" i="155" s="1"/>
  <c r="AI52" i="155"/>
  <c r="Y52" i="155" s="1"/>
  <c r="AE52" i="155"/>
  <c r="Z52" i="155"/>
  <c r="X52" i="155"/>
  <c r="Q52" i="155"/>
  <c r="P52" i="155"/>
  <c r="I52" i="155"/>
  <c r="H52" i="155"/>
  <c r="E52" i="155"/>
  <c r="AD51" i="155"/>
  <c r="AC51" i="155"/>
  <c r="AB51" i="155"/>
  <c r="AE51" i="155" s="1"/>
  <c r="AI51" i="155" s="1"/>
  <c r="Y51" i="155" s="1"/>
  <c r="Z51" i="155"/>
  <c r="X51" i="155"/>
  <c r="Q51" i="155"/>
  <c r="P51" i="155"/>
  <c r="I51" i="155"/>
  <c r="H51" i="155"/>
  <c r="E51" i="155"/>
  <c r="AE50" i="155"/>
  <c r="AI50" i="155" s="1"/>
  <c r="Y50" i="155" s="1"/>
  <c r="AD50" i="155"/>
  <c r="AC50" i="155"/>
  <c r="AB50" i="155"/>
  <c r="Z50" i="155"/>
  <c r="X50" i="155"/>
  <c r="Q50" i="155"/>
  <c r="P50" i="155"/>
  <c r="H50" i="155"/>
  <c r="E50" i="155"/>
  <c r="I50" i="155" s="1"/>
  <c r="AI49" i="155"/>
  <c r="Y49" i="155" s="1"/>
  <c r="AE49" i="155"/>
  <c r="Z49" i="155"/>
  <c r="X49" i="155"/>
  <c r="Q49" i="155"/>
  <c r="P49" i="155"/>
  <c r="H49" i="155"/>
  <c r="E49" i="155"/>
  <c r="I49" i="155" s="1"/>
  <c r="AE48" i="155"/>
  <c r="AI48" i="155" s="1"/>
  <c r="Y48" i="155" s="1"/>
  <c r="Z48" i="155"/>
  <c r="X48" i="155"/>
  <c r="Q48" i="155"/>
  <c r="P48" i="155"/>
  <c r="H48" i="155"/>
  <c r="E48" i="155"/>
  <c r="I48" i="155" s="1"/>
  <c r="AI47" i="155"/>
  <c r="Y47" i="155" s="1"/>
  <c r="AE47" i="155"/>
  <c r="Z47" i="155"/>
  <c r="X47" i="155"/>
  <c r="Q47" i="155"/>
  <c r="P47" i="155"/>
  <c r="I47" i="155"/>
  <c r="H47" i="155"/>
  <c r="E47" i="155"/>
  <c r="AD46" i="155"/>
  <c r="AC46" i="155"/>
  <c r="AB46" i="155"/>
  <c r="AE46" i="155" s="1"/>
  <c r="AI46" i="155" s="1"/>
  <c r="Y46" i="155" s="1"/>
  <c r="Z46" i="155"/>
  <c r="X46" i="155"/>
  <c r="Q46" i="155"/>
  <c r="P46" i="155"/>
  <c r="I46" i="155"/>
  <c r="H46" i="155"/>
  <c r="E46" i="155"/>
  <c r="AE45" i="155"/>
  <c r="AI45" i="155" s="1"/>
  <c r="Y45" i="155" s="1"/>
  <c r="AD45" i="155"/>
  <c r="AC45" i="155"/>
  <c r="AB45" i="155"/>
  <c r="Z45" i="155"/>
  <c r="X45" i="155"/>
  <c r="Q45" i="155"/>
  <c r="P45" i="155"/>
  <c r="I45" i="155"/>
  <c r="H45" i="155"/>
  <c r="E45" i="155"/>
  <c r="AD44" i="155"/>
  <c r="AC44" i="155"/>
  <c r="AB44" i="155"/>
  <c r="AE44" i="155" s="1"/>
  <c r="AI44" i="155" s="1"/>
  <c r="Y44" i="155" s="1"/>
  <c r="Z44" i="155"/>
  <c r="X44" i="155"/>
  <c r="Q44" i="155"/>
  <c r="P44" i="155"/>
  <c r="H44" i="155"/>
  <c r="E44" i="155"/>
  <c r="I44" i="155" s="1"/>
  <c r="AD43" i="155"/>
  <c r="AC43" i="155"/>
  <c r="AE43" i="155" s="1"/>
  <c r="AI43" i="155" s="1"/>
  <c r="Y43" i="155" s="1"/>
  <c r="AB43" i="155"/>
  <c r="Z43" i="155"/>
  <c r="X43" i="155"/>
  <c r="Q43" i="155"/>
  <c r="P43" i="155"/>
  <c r="I43" i="155"/>
  <c r="H43" i="155"/>
  <c r="E43" i="155"/>
  <c r="AD42" i="155"/>
  <c r="AC42" i="155"/>
  <c r="AB42" i="155"/>
  <c r="AE42" i="155" s="1"/>
  <c r="AI42" i="155" s="1"/>
  <c r="Y42" i="155" s="1"/>
  <c r="Z42" i="155"/>
  <c r="X42" i="155"/>
  <c r="Q42" i="155"/>
  <c r="P42" i="155"/>
  <c r="I42" i="155"/>
  <c r="H42" i="155"/>
  <c r="E42" i="155"/>
  <c r="AE41" i="155"/>
  <c r="AI41" i="155" s="1"/>
  <c r="Y41" i="155" s="1"/>
  <c r="AD41" i="155"/>
  <c r="AC41" i="155"/>
  <c r="AB41" i="155"/>
  <c r="Z41" i="155"/>
  <c r="X41" i="155"/>
  <c r="Q41" i="155"/>
  <c r="P41" i="155"/>
  <c r="H41" i="155"/>
  <c r="E41" i="155"/>
  <c r="I41" i="155" s="1"/>
  <c r="AD40" i="155"/>
  <c r="AC40" i="155"/>
  <c r="AB40" i="155"/>
  <c r="AE40" i="155" s="1"/>
  <c r="AI40" i="155" s="1"/>
  <c r="Y40" i="155" s="1"/>
  <c r="Z40" i="155"/>
  <c r="X40" i="155"/>
  <c r="Q40" i="155"/>
  <c r="P40" i="155"/>
  <c r="H40" i="155"/>
  <c r="E40" i="155"/>
  <c r="I40" i="155" s="1"/>
  <c r="AE39" i="155"/>
  <c r="AI39" i="155" s="1"/>
  <c r="Y39" i="155" s="1"/>
  <c r="AD39" i="155"/>
  <c r="AC39" i="155"/>
  <c r="AB39" i="155"/>
  <c r="Z39" i="155"/>
  <c r="X39" i="155"/>
  <c r="Q39" i="155"/>
  <c r="P39" i="155"/>
  <c r="I39" i="155"/>
  <c r="H39" i="155"/>
  <c r="E39" i="155"/>
  <c r="AD38" i="155"/>
  <c r="AC38" i="155"/>
  <c r="AB38" i="155"/>
  <c r="AE38" i="155" s="1"/>
  <c r="AI38" i="155" s="1"/>
  <c r="Y38" i="155" s="1"/>
  <c r="Z38" i="155"/>
  <c r="X38" i="155"/>
  <c r="Q38" i="155"/>
  <c r="P38" i="155"/>
  <c r="I38" i="155"/>
  <c r="H38" i="155"/>
  <c r="E38" i="155"/>
  <c r="AE37" i="155"/>
  <c r="AI37" i="155" s="1"/>
  <c r="Y37" i="155" s="1"/>
  <c r="AD37" i="155"/>
  <c r="AC37" i="155"/>
  <c r="AB37" i="155"/>
  <c r="Z37" i="155"/>
  <c r="X37" i="155"/>
  <c r="Q37" i="155"/>
  <c r="P37" i="155"/>
  <c r="H37" i="155"/>
  <c r="E37" i="155"/>
  <c r="I37" i="155" s="1"/>
  <c r="AD36" i="155"/>
  <c r="AC36" i="155"/>
  <c r="AB36" i="155"/>
  <c r="AE36" i="155" s="1"/>
  <c r="AI36" i="155" s="1"/>
  <c r="Y36" i="155" s="1"/>
  <c r="Z36" i="155"/>
  <c r="X36" i="155"/>
  <c r="Q36" i="155"/>
  <c r="P36" i="155"/>
  <c r="H36" i="155"/>
  <c r="E36" i="155"/>
  <c r="I36" i="155" s="1"/>
  <c r="AD35" i="155"/>
  <c r="AC35" i="155"/>
  <c r="AB35" i="155"/>
  <c r="AE35" i="155" s="1"/>
  <c r="AI35" i="155" s="1"/>
  <c r="Y35" i="155" s="1"/>
  <c r="Z35" i="155"/>
  <c r="X35" i="155"/>
  <c r="Q35" i="155"/>
  <c r="P35" i="155"/>
  <c r="H35" i="155"/>
  <c r="E35" i="155"/>
  <c r="I35" i="155" s="1"/>
  <c r="AD34" i="155"/>
  <c r="AE34" i="155" s="1"/>
  <c r="AI34" i="155" s="1"/>
  <c r="Y34" i="155" s="1"/>
  <c r="AC34" i="155"/>
  <c r="AB34" i="155"/>
  <c r="Z34" i="155"/>
  <c r="X34" i="155"/>
  <c r="Q34" i="155"/>
  <c r="P34" i="155"/>
  <c r="I34" i="155"/>
  <c r="H34" i="155"/>
  <c r="E34" i="155"/>
  <c r="AE33" i="155"/>
  <c r="AI33" i="155" s="1"/>
  <c r="Y33" i="155" s="1"/>
  <c r="AD33" i="155"/>
  <c r="AC33" i="155"/>
  <c r="AB33" i="155"/>
  <c r="Z33" i="155"/>
  <c r="X33" i="155"/>
  <c r="Q33" i="155"/>
  <c r="P33" i="155"/>
  <c r="H33" i="155"/>
  <c r="E33" i="155"/>
  <c r="I33" i="155" s="1"/>
  <c r="AD32" i="155"/>
  <c r="AC32" i="155"/>
  <c r="AB32" i="155"/>
  <c r="AE32" i="155" s="1"/>
  <c r="AI32" i="155" s="1"/>
  <c r="Y32" i="155" s="1"/>
  <c r="Z32" i="155"/>
  <c r="X32" i="155"/>
  <c r="Q32" i="155"/>
  <c r="P32" i="155"/>
  <c r="H32" i="155"/>
  <c r="E32" i="155"/>
  <c r="I32" i="155" s="1"/>
  <c r="AE31" i="155"/>
  <c r="AI31" i="155" s="1"/>
  <c r="Y31" i="155" s="1"/>
  <c r="Z31" i="155"/>
  <c r="X31" i="155"/>
  <c r="Q31" i="155"/>
  <c r="P31" i="155"/>
  <c r="I31" i="155"/>
  <c r="H31" i="155"/>
  <c r="E31" i="155"/>
  <c r="AD30" i="155"/>
  <c r="AC30" i="155"/>
  <c r="AB30" i="155"/>
  <c r="AE30" i="155" s="1"/>
  <c r="AI30" i="155" s="1"/>
  <c r="Y30" i="155" s="1"/>
  <c r="Z30" i="155"/>
  <c r="X30" i="155"/>
  <c r="Q30" i="155"/>
  <c r="P30" i="155"/>
  <c r="I30" i="155"/>
  <c r="H30" i="155"/>
  <c r="E30" i="155"/>
  <c r="AD29" i="155"/>
  <c r="AC29" i="155"/>
  <c r="AB29" i="155"/>
  <c r="AE29" i="155" s="1"/>
  <c r="AI29" i="155" s="1"/>
  <c r="Y29" i="155" s="1"/>
  <c r="Z29" i="155"/>
  <c r="X29" i="155"/>
  <c r="Q29" i="155"/>
  <c r="P29" i="155"/>
  <c r="H29" i="155"/>
  <c r="E29" i="155"/>
  <c r="I29" i="155" s="1"/>
  <c r="AD28" i="155"/>
  <c r="AC28" i="155"/>
  <c r="AE28" i="155" s="1"/>
  <c r="AI28" i="155" s="1"/>
  <c r="Y28" i="155" s="1"/>
  <c r="AB28" i="155"/>
  <c r="Z28" i="155"/>
  <c r="X28" i="155"/>
  <c r="Q28" i="155"/>
  <c r="P28" i="155"/>
  <c r="I28" i="155"/>
  <c r="H28" i="155"/>
  <c r="E28" i="155"/>
  <c r="AD27" i="155"/>
  <c r="AC27" i="155"/>
  <c r="AB27" i="155"/>
  <c r="AE27" i="155" s="1"/>
  <c r="AI27" i="155" s="1"/>
  <c r="Y27" i="155" s="1"/>
  <c r="Z27" i="155"/>
  <c r="X27" i="155"/>
  <c r="Q27" i="155"/>
  <c r="P27" i="155"/>
  <c r="I27" i="155"/>
  <c r="H27" i="155"/>
  <c r="E27" i="155"/>
  <c r="AE26" i="155"/>
  <c r="AI26" i="155" s="1"/>
  <c r="Y26" i="155" s="1"/>
  <c r="AD26" i="155"/>
  <c r="AC26" i="155"/>
  <c r="AB26" i="155"/>
  <c r="Z26" i="155"/>
  <c r="X26" i="155"/>
  <c r="Q26" i="155"/>
  <c r="P26" i="155"/>
  <c r="H26" i="155"/>
  <c r="E26" i="155"/>
  <c r="I26" i="155" s="1"/>
  <c r="AD25" i="155"/>
  <c r="AC25" i="155"/>
  <c r="AB25" i="155"/>
  <c r="AE25" i="155" s="1"/>
  <c r="AI25" i="155" s="1"/>
  <c r="Y25" i="155" s="1"/>
  <c r="Z25" i="155"/>
  <c r="X25" i="155"/>
  <c r="Q25" i="155"/>
  <c r="P25" i="155"/>
  <c r="H25" i="155"/>
  <c r="E25" i="155"/>
  <c r="I25" i="155" s="1"/>
  <c r="AD24" i="155"/>
  <c r="AC24" i="155"/>
  <c r="AE24" i="155" s="1"/>
  <c r="AI24" i="155" s="1"/>
  <c r="Y24" i="155" s="1"/>
  <c r="AB24" i="155"/>
  <c r="Z24" i="155"/>
  <c r="X24" i="155"/>
  <c r="Q24" i="155"/>
  <c r="P24" i="155"/>
  <c r="I24" i="155"/>
  <c r="H24" i="155"/>
  <c r="E24" i="155"/>
  <c r="AD23" i="155"/>
  <c r="AC23" i="155"/>
  <c r="AB23" i="155"/>
  <c r="AE23" i="155" s="1"/>
  <c r="AI23" i="155" s="1"/>
  <c r="Y23" i="155" s="1"/>
  <c r="Z23" i="155"/>
  <c r="X23" i="155"/>
  <c r="Q23" i="155"/>
  <c r="P23" i="155"/>
  <c r="I23" i="155"/>
  <c r="H23" i="155"/>
  <c r="E23" i="155"/>
  <c r="AE22" i="155"/>
  <c r="AI22" i="155" s="1"/>
  <c r="Y22" i="155" s="1"/>
  <c r="AD22" i="155"/>
  <c r="AC22" i="155"/>
  <c r="AB22" i="155"/>
  <c r="Z22" i="155"/>
  <c r="X22" i="155"/>
  <c r="Q22" i="155"/>
  <c r="P22" i="155"/>
  <c r="H22" i="155"/>
  <c r="E22" i="155"/>
  <c r="I22" i="155" s="1"/>
  <c r="AD21" i="155"/>
  <c r="AC21" i="155"/>
  <c r="AB21" i="155"/>
  <c r="AE21" i="155" s="1"/>
  <c r="AI21" i="155" s="1"/>
  <c r="Y21" i="155" s="1"/>
  <c r="Z21" i="155"/>
  <c r="X21" i="155"/>
  <c r="Q21" i="155"/>
  <c r="P21" i="155"/>
  <c r="H21" i="155"/>
  <c r="E21" i="155"/>
  <c r="I21" i="155" s="1"/>
  <c r="AD20" i="155"/>
  <c r="AC20" i="155"/>
  <c r="AE20" i="155" s="1"/>
  <c r="AI20" i="155" s="1"/>
  <c r="Y20" i="155" s="1"/>
  <c r="AB20" i="155"/>
  <c r="Z20" i="155"/>
  <c r="X20" i="155"/>
  <c r="Q20" i="155"/>
  <c r="P20" i="155"/>
  <c r="H20" i="155"/>
  <c r="E20" i="155"/>
  <c r="I20" i="155" s="1"/>
  <c r="AD19" i="155"/>
  <c r="AE19" i="155" s="1"/>
  <c r="AI19" i="155" s="1"/>
  <c r="Y19" i="155" s="1"/>
  <c r="AC19" i="155"/>
  <c r="AB19" i="155"/>
  <c r="Z19" i="155"/>
  <c r="X19" i="155"/>
  <c r="Q19" i="155"/>
  <c r="P19" i="155"/>
  <c r="I19" i="155"/>
  <c r="H19" i="155"/>
  <c r="E19" i="155"/>
  <c r="AE18" i="155"/>
  <c r="AI18" i="155" s="1"/>
  <c r="Y18" i="155" s="1"/>
  <c r="AD18" i="155"/>
  <c r="AC18" i="155"/>
  <c r="AB18" i="155"/>
  <c r="Z18" i="155"/>
  <c r="X18" i="155"/>
  <c r="Q18" i="155"/>
  <c r="P18" i="155"/>
  <c r="H18" i="155"/>
  <c r="E18" i="155"/>
  <c r="I18" i="155" s="1"/>
  <c r="AD17" i="155"/>
  <c r="AC17" i="155"/>
  <c r="AB17" i="155"/>
  <c r="AE17" i="155" s="1"/>
  <c r="AI17" i="155" s="1"/>
  <c r="Y17" i="155" s="1"/>
  <c r="Z17" i="155"/>
  <c r="X17" i="155"/>
  <c r="Q17" i="155"/>
  <c r="P17" i="155"/>
  <c r="H17" i="155"/>
  <c r="E17" i="155"/>
  <c r="I17" i="155" s="1"/>
  <c r="AD16" i="155"/>
  <c r="AC16" i="155"/>
  <c r="AE16" i="155" s="1"/>
  <c r="AI16" i="155" s="1"/>
  <c r="Y16" i="155" s="1"/>
  <c r="AB16" i="155"/>
  <c r="Z16" i="155"/>
  <c r="X16" i="155"/>
  <c r="Q16" i="155"/>
  <c r="P16" i="155"/>
  <c r="E16" i="155"/>
  <c r="I16" i="155" s="1"/>
  <c r="AD15" i="155"/>
  <c r="AC15" i="155"/>
  <c r="AE15" i="155" s="1"/>
  <c r="AI15" i="155" s="1"/>
  <c r="Y15" i="155" s="1"/>
  <c r="AB15" i="155"/>
  <c r="Z15" i="155"/>
  <c r="X15" i="155"/>
  <c r="Q15" i="155"/>
  <c r="P15" i="155"/>
  <c r="E15" i="155"/>
  <c r="I15" i="155" s="1"/>
  <c r="AD14" i="155"/>
  <c r="AC14" i="155"/>
  <c r="AE14" i="155" s="1"/>
  <c r="AI14" i="155" s="1"/>
  <c r="Y14" i="155" s="1"/>
  <c r="AB14" i="155"/>
  <c r="Z14" i="155"/>
  <c r="X14" i="155"/>
  <c r="Q14" i="155"/>
  <c r="O75" i="155" s="1"/>
  <c r="P14" i="155"/>
  <c r="I14" i="155"/>
  <c r="H14" i="155"/>
  <c r="E14" i="155"/>
  <c r="AD13" i="155"/>
  <c r="AC13" i="155"/>
  <c r="AB13" i="155"/>
  <c r="AE13" i="155" s="1"/>
  <c r="AI13" i="155" s="1"/>
  <c r="Y13" i="155" s="1"/>
  <c r="Z13" i="155"/>
  <c r="X13" i="155"/>
  <c r="Q13" i="155"/>
  <c r="P13" i="155"/>
  <c r="I13" i="155"/>
  <c r="H13" i="155"/>
  <c r="E13" i="155"/>
  <c r="AE12" i="155"/>
  <c r="AI12" i="155" s="1"/>
  <c r="Y12" i="155" s="1"/>
  <c r="AD12" i="155"/>
  <c r="AC12" i="155"/>
  <c r="AB12" i="155"/>
  <c r="Z12" i="155"/>
  <c r="T75" i="155" s="1"/>
  <c r="X12" i="155"/>
  <c r="T77" i="155" s="1"/>
  <c r="Q12" i="155"/>
  <c r="O73" i="155" s="1"/>
  <c r="P12" i="155"/>
  <c r="H12" i="155"/>
  <c r="E12" i="155"/>
  <c r="I12" i="155" s="1"/>
  <c r="T79" i="157" l="1"/>
  <c r="F77" i="157" s="1"/>
  <c r="F77" i="156"/>
  <c r="F73" i="155"/>
  <c r="F75" i="155"/>
  <c r="T73" i="155"/>
  <c r="T79" i="155" s="1"/>
  <c r="M79" i="154"/>
  <c r="W73" i="154"/>
  <c r="P71" i="154"/>
  <c r="H71" i="154"/>
  <c r="Q70" i="154"/>
  <c r="P70" i="154"/>
  <c r="H70" i="154"/>
  <c r="E70" i="154"/>
  <c r="I70" i="154" s="1"/>
  <c r="Q69" i="154"/>
  <c r="P69" i="154"/>
  <c r="I69" i="154"/>
  <c r="H69" i="154"/>
  <c r="E69" i="154"/>
  <c r="AE68" i="154"/>
  <c r="AI68" i="154" s="1"/>
  <c r="Y68" i="154" s="1"/>
  <c r="AD68" i="154"/>
  <c r="AC68" i="154"/>
  <c r="AB68" i="154"/>
  <c r="Z68" i="154"/>
  <c r="X68" i="154"/>
  <c r="W68" i="154"/>
  <c r="Q68" i="154"/>
  <c r="P68" i="154"/>
  <c r="I68" i="154"/>
  <c r="H68" i="154"/>
  <c r="E68" i="154"/>
  <c r="AD67" i="154"/>
  <c r="AC67" i="154"/>
  <c r="AE67" i="154" s="1"/>
  <c r="AI67" i="154" s="1"/>
  <c r="Y67" i="154" s="1"/>
  <c r="AB67" i="154"/>
  <c r="Z67" i="154"/>
  <c r="X67" i="154"/>
  <c r="Q67" i="154"/>
  <c r="P67" i="154"/>
  <c r="H67" i="154"/>
  <c r="E67" i="154"/>
  <c r="I67" i="154" s="1"/>
  <c r="AE66" i="154"/>
  <c r="AI66" i="154" s="1"/>
  <c r="Y66" i="154" s="1"/>
  <c r="AD66" i="154"/>
  <c r="AC66" i="154"/>
  <c r="AB66" i="154"/>
  <c r="Z66" i="154"/>
  <c r="X66" i="154"/>
  <c r="Q66" i="154"/>
  <c r="P66" i="154"/>
  <c r="I66" i="154"/>
  <c r="H66" i="154"/>
  <c r="E66" i="154"/>
  <c r="AD65" i="154"/>
  <c r="AC65" i="154"/>
  <c r="AB65" i="154"/>
  <c r="AE65" i="154" s="1"/>
  <c r="AI65" i="154" s="1"/>
  <c r="Y65" i="154" s="1"/>
  <c r="Z65" i="154"/>
  <c r="X65" i="154"/>
  <c r="Q65" i="154"/>
  <c r="P65" i="154"/>
  <c r="H65" i="154"/>
  <c r="E65" i="154"/>
  <c r="I65" i="154" s="1"/>
  <c r="AE64" i="154"/>
  <c r="AI64" i="154" s="1"/>
  <c r="Y64" i="154" s="1"/>
  <c r="AD64" i="154"/>
  <c r="AC64" i="154"/>
  <c r="AB64" i="154"/>
  <c r="Z64" i="154"/>
  <c r="X64" i="154"/>
  <c r="Q64" i="154"/>
  <c r="P64" i="154"/>
  <c r="H64" i="154"/>
  <c r="E64" i="154"/>
  <c r="I64" i="154" s="1"/>
  <c r="AE63" i="154"/>
  <c r="AI63" i="154" s="1"/>
  <c r="Y63" i="154" s="1"/>
  <c r="AD63" i="154"/>
  <c r="AC63" i="154"/>
  <c r="AB63" i="154"/>
  <c r="Z63" i="154"/>
  <c r="X63" i="154"/>
  <c r="Q63" i="154"/>
  <c r="P63" i="154"/>
  <c r="I63" i="154"/>
  <c r="H63" i="154"/>
  <c r="E63" i="154"/>
  <c r="AD62" i="154"/>
  <c r="AC62" i="154"/>
  <c r="AB62" i="154"/>
  <c r="AE62" i="154" s="1"/>
  <c r="AI62" i="154" s="1"/>
  <c r="Y62" i="154" s="1"/>
  <c r="Z62" i="154"/>
  <c r="X62" i="154"/>
  <c r="Q62" i="154"/>
  <c r="P62" i="154"/>
  <c r="H62" i="154"/>
  <c r="E62" i="154"/>
  <c r="I62" i="154" s="1"/>
  <c r="AC61" i="154"/>
  <c r="AE61" i="154" s="1"/>
  <c r="AI61" i="154" s="1"/>
  <c r="Y61" i="154" s="1"/>
  <c r="AB61" i="154"/>
  <c r="X61" i="154"/>
  <c r="Q61" i="154"/>
  <c r="P61" i="154"/>
  <c r="H61" i="154"/>
  <c r="E61" i="154"/>
  <c r="I61" i="154" s="1"/>
  <c r="AI60" i="154"/>
  <c r="Y60" i="154" s="1"/>
  <c r="AE60" i="154"/>
  <c r="X60" i="154"/>
  <c r="Q60" i="154"/>
  <c r="P60" i="154"/>
  <c r="I60" i="154"/>
  <c r="H60" i="154"/>
  <c r="E60" i="154"/>
  <c r="AE59" i="154"/>
  <c r="AI59" i="154" s="1"/>
  <c r="Y59" i="154" s="1"/>
  <c r="AC59" i="154"/>
  <c r="AB59" i="154"/>
  <c r="X59" i="154"/>
  <c r="Q59" i="154"/>
  <c r="P59" i="154"/>
  <c r="H59" i="154"/>
  <c r="E59" i="154"/>
  <c r="I59" i="154" s="1"/>
  <c r="AE58" i="154"/>
  <c r="AI58" i="154" s="1"/>
  <c r="Y58" i="154" s="1"/>
  <c r="AC58" i="154"/>
  <c r="AB58" i="154"/>
  <c r="X58" i="154"/>
  <c r="Q58" i="154"/>
  <c r="P58" i="154"/>
  <c r="I58" i="154"/>
  <c r="E58" i="154"/>
  <c r="AE57" i="154"/>
  <c r="AI57" i="154" s="1"/>
  <c r="Y57" i="154" s="1"/>
  <c r="AC57" i="154"/>
  <c r="AB57" i="154"/>
  <c r="X57" i="154"/>
  <c r="Q57" i="154"/>
  <c r="P57" i="154"/>
  <c r="I57" i="154"/>
  <c r="H57" i="154"/>
  <c r="E57" i="154"/>
  <c r="AE56" i="154"/>
  <c r="AI56" i="154" s="1"/>
  <c r="Y56" i="154" s="1"/>
  <c r="AD56" i="154"/>
  <c r="AC56" i="154"/>
  <c r="AB56" i="154"/>
  <c r="Z56" i="154"/>
  <c r="X56" i="154"/>
  <c r="Q56" i="154"/>
  <c r="P56" i="154"/>
  <c r="H56" i="154"/>
  <c r="E56" i="154"/>
  <c r="I56" i="154" s="1"/>
  <c r="AD55" i="154"/>
  <c r="AC55" i="154"/>
  <c r="AB55" i="154"/>
  <c r="AE55" i="154" s="1"/>
  <c r="AI55" i="154" s="1"/>
  <c r="Y55" i="154" s="1"/>
  <c r="Z55" i="154"/>
  <c r="X55" i="154"/>
  <c r="Q55" i="154"/>
  <c r="P55" i="154"/>
  <c r="H55" i="154"/>
  <c r="E55" i="154"/>
  <c r="I55" i="154" s="1"/>
  <c r="AD54" i="154"/>
  <c r="AE54" i="154" s="1"/>
  <c r="AI54" i="154" s="1"/>
  <c r="Y54" i="154" s="1"/>
  <c r="AC54" i="154"/>
  <c r="AB54" i="154"/>
  <c r="Z54" i="154"/>
  <c r="X54" i="154"/>
  <c r="Q54" i="154"/>
  <c r="P54" i="154"/>
  <c r="H54" i="154"/>
  <c r="E54" i="154"/>
  <c r="I54" i="154" s="1"/>
  <c r="AD53" i="154"/>
  <c r="AC53" i="154"/>
  <c r="AB53" i="154"/>
  <c r="AE53" i="154" s="1"/>
  <c r="AI53" i="154" s="1"/>
  <c r="Y53" i="154" s="1"/>
  <c r="Z53" i="154"/>
  <c r="X53" i="154"/>
  <c r="Q53" i="154"/>
  <c r="P53" i="154"/>
  <c r="I53" i="154"/>
  <c r="H53" i="154"/>
  <c r="E53" i="154"/>
  <c r="AE52" i="154"/>
  <c r="AI52" i="154" s="1"/>
  <c r="Y52" i="154" s="1"/>
  <c r="Z52" i="154"/>
  <c r="X52" i="154"/>
  <c r="Q52" i="154"/>
  <c r="P52" i="154"/>
  <c r="I52" i="154"/>
  <c r="H52" i="154"/>
  <c r="E52" i="154"/>
  <c r="AD51" i="154"/>
  <c r="AC51" i="154"/>
  <c r="AB51" i="154"/>
  <c r="AE51" i="154" s="1"/>
  <c r="AI51" i="154" s="1"/>
  <c r="Y51" i="154" s="1"/>
  <c r="Z51" i="154"/>
  <c r="X51" i="154"/>
  <c r="Q51" i="154"/>
  <c r="P51" i="154"/>
  <c r="H51" i="154"/>
  <c r="E51" i="154"/>
  <c r="I51" i="154" s="1"/>
  <c r="AE50" i="154"/>
  <c r="AI50" i="154" s="1"/>
  <c r="Y50" i="154" s="1"/>
  <c r="AD50" i="154"/>
  <c r="AC50" i="154"/>
  <c r="AB50" i="154"/>
  <c r="Z50" i="154"/>
  <c r="X50" i="154"/>
  <c r="Q50" i="154"/>
  <c r="P50" i="154"/>
  <c r="I50" i="154"/>
  <c r="H50" i="154"/>
  <c r="E50" i="154"/>
  <c r="AE49" i="154"/>
  <c r="AI49" i="154" s="1"/>
  <c r="Y49" i="154" s="1"/>
  <c r="Z49" i="154"/>
  <c r="X49" i="154"/>
  <c r="Q49" i="154"/>
  <c r="P49" i="154"/>
  <c r="H49" i="154"/>
  <c r="E49" i="154"/>
  <c r="I49" i="154" s="1"/>
  <c r="AE48" i="154"/>
  <c r="AI48" i="154" s="1"/>
  <c r="Y48" i="154" s="1"/>
  <c r="Z48" i="154"/>
  <c r="X48" i="154"/>
  <c r="Q48" i="154"/>
  <c r="P48" i="154"/>
  <c r="H48" i="154"/>
  <c r="E48" i="154"/>
  <c r="I48" i="154" s="1"/>
  <c r="AI47" i="154"/>
  <c r="Y47" i="154" s="1"/>
  <c r="AE47" i="154"/>
  <c r="Z47" i="154"/>
  <c r="X47" i="154"/>
  <c r="Q47" i="154"/>
  <c r="P47" i="154"/>
  <c r="I47" i="154"/>
  <c r="H47" i="154"/>
  <c r="E47" i="154"/>
  <c r="AD46" i="154"/>
  <c r="AC46" i="154"/>
  <c r="AB46" i="154"/>
  <c r="AE46" i="154" s="1"/>
  <c r="AI46" i="154" s="1"/>
  <c r="Y46" i="154" s="1"/>
  <c r="Z46" i="154"/>
  <c r="X46" i="154"/>
  <c r="Q46" i="154"/>
  <c r="P46" i="154"/>
  <c r="I46" i="154"/>
  <c r="H46" i="154"/>
  <c r="E46" i="154"/>
  <c r="AD45" i="154"/>
  <c r="AC45" i="154"/>
  <c r="AE45" i="154" s="1"/>
  <c r="AI45" i="154" s="1"/>
  <c r="Y45" i="154" s="1"/>
  <c r="AB45" i="154"/>
  <c r="Z45" i="154"/>
  <c r="X45" i="154"/>
  <c r="Q45" i="154"/>
  <c r="P45" i="154"/>
  <c r="I45" i="154"/>
  <c r="H45" i="154"/>
  <c r="E45" i="154"/>
  <c r="AE44" i="154"/>
  <c r="AI44" i="154" s="1"/>
  <c r="Y44" i="154" s="1"/>
  <c r="AD44" i="154"/>
  <c r="AC44" i="154"/>
  <c r="AB44" i="154"/>
  <c r="Z44" i="154"/>
  <c r="X44" i="154"/>
  <c r="Q44" i="154"/>
  <c r="P44" i="154"/>
  <c r="H44" i="154"/>
  <c r="E44" i="154"/>
  <c r="I44" i="154" s="1"/>
  <c r="AD43" i="154"/>
  <c r="AC43" i="154"/>
  <c r="AB43" i="154"/>
  <c r="AE43" i="154" s="1"/>
  <c r="AI43" i="154" s="1"/>
  <c r="Y43" i="154" s="1"/>
  <c r="Z43" i="154"/>
  <c r="X43" i="154"/>
  <c r="Q43" i="154"/>
  <c r="P43" i="154"/>
  <c r="H43" i="154"/>
  <c r="E43" i="154"/>
  <c r="I43" i="154" s="1"/>
  <c r="AD42" i="154"/>
  <c r="AE42" i="154" s="1"/>
  <c r="AI42" i="154" s="1"/>
  <c r="Y42" i="154" s="1"/>
  <c r="AC42" i="154"/>
  <c r="AB42" i="154"/>
  <c r="Z42" i="154"/>
  <c r="X42" i="154"/>
  <c r="Q42" i="154"/>
  <c r="P42" i="154"/>
  <c r="H42" i="154"/>
  <c r="E42" i="154"/>
  <c r="I42" i="154" s="1"/>
  <c r="AD41" i="154"/>
  <c r="AC41" i="154"/>
  <c r="AB41" i="154"/>
  <c r="AE41" i="154" s="1"/>
  <c r="AI41" i="154" s="1"/>
  <c r="Y41" i="154" s="1"/>
  <c r="Z41" i="154"/>
  <c r="X41" i="154"/>
  <c r="Q41" i="154"/>
  <c r="P41" i="154"/>
  <c r="I41" i="154"/>
  <c r="H41" i="154"/>
  <c r="E41" i="154"/>
  <c r="AD40" i="154"/>
  <c r="AC40" i="154"/>
  <c r="AB40" i="154"/>
  <c r="AE40" i="154" s="1"/>
  <c r="AI40" i="154" s="1"/>
  <c r="Y40" i="154" s="1"/>
  <c r="Z40" i="154"/>
  <c r="X40" i="154"/>
  <c r="Q40" i="154"/>
  <c r="P40" i="154"/>
  <c r="I40" i="154"/>
  <c r="H40" i="154"/>
  <c r="E40" i="154"/>
  <c r="AD39" i="154"/>
  <c r="AC39" i="154"/>
  <c r="AB39" i="154"/>
  <c r="AE39" i="154" s="1"/>
  <c r="AI39" i="154" s="1"/>
  <c r="Y39" i="154" s="1"/>
  <c r="Z39" i="154"/>
  <c r="X39" i="154"/>
  <c r="Q39" i="154"/>
  <c r="P39" i="154"/>
  <c r="I39" i="154"/>
  <c r="H39" i="154"/>
  <c r="E39" i="154"/>
  <c r="AD38" i="154"/>
  <c r="AC38" i="154"/>
  <c r="AB38" i="154"/>
  <c r="AE38" i="154" s="1"/>
  <c r="AI38" i="154" s="1"/>
  <c r="Y38" i="154" s="1"/>
  <c r="Z38" i="154"/>
  <c r="X38" i="154"/>
  <c r="Q38" i="154"/>
  <c r="P38" i="154"/>
  <c r="H38" i="154"/>
  <c r="E38" i="154"/>
  <c r="I38" i="154" s="1"/>
  <c r="AE37" i="154"/>
  <c r="AI37" i="154" s="1"/>
  <c r="Y37" i="154" s="1"/>
  <c r="AD37" i="154"/>
  <c r="AC37" i="154"/>
  <c r="AB37" i="154"/>
  <c r="Z37" i="154"/>
  <c r="X37" i="154"/>
  <c r="Q37" i="154"/>
  <c r="P37" i="154"/>
  <c r="H37" i="154"/>
  <c r="E37" i="154"/>
  <c r="I37" i="154" s="1"/>
  <c r="AD36" i="154"/>
  <c r="AC36" i="154"/>
  <c r="AB36" i="154"/>
  <c r="AE36" i="154" s="1"/>
  <c r="AI36" i="154" s="1"/>
  <c r="Y36" i="154" s="1"/>
  <c r="Z36" i="154"/>
  <c r="X36" i="154"/>
  <c r="Q36" i="154"/>
  <c r="P36" i="154"/>
  <c r="H36" i="154"/>
  <c r="E36" i="154"/>
  <c r="I36" i="154" s="1"/>
  <c r="AE35" i="154"/>
  <c r="AI35" i="154" s="1"/>
  <c r="Y35" i="154" s="1"/>
  <c r="AD35" i="154"/>
  <c r="AC35" i="154"/>
  <c r="AB35" i="154"/>
  <c r="Z35" i="154"/>
  <c r="X35" i="154"/>
  <c r="Q35" i="154"/>
  <c r="P35" i="154"/>
  <c r="H35" i="154"/>
  <c r="E35" i="154"/>
  <c r="I35" i="154" s="1"/>
  <c r="AE34" i="154"/>
  <c r="AI34" i="154" s="1"/>
  <c r="Y34" i="154" s="1"/>
  <c r="AD34" i="154"/>
  <c r="AC34" i="154"/>
  <c r="AB34" i="154"/>
  <c r="Z34" i="154"/>
  <c r="X34" i="154"/>
  <c r="Q34" i="154"/>
  <c r="P34" i="154"/>
  <c r="I34" i="154"/>
  <c r="H34" i="154"/>
  <c r="E34" i="154"/>
  <c r="AD33" i="154"/>
  <c r="AC33" i="154"/>
  <c r="AB33" i="154"/>
  <c r="AE33" i="154" s="1"/>
  <c r="AI33" i="154" s="1"/>
  <c r="Y33" i="154" s="1"/>
  <c r="Z33" i="154"/>
  <c r="X33" i="154"/>
  <c r="Q33" i="154"/>
  <c r="P33" i="154"/>
  <c r="H33" i="154"/>
  <c r="E33" i="154"/>
  <c r="I33" i="154" s="1"/>
  <c r="AD32" i="154"/>
  <c r="AC32" i="154"/>
  <c r="AB32" i="154"/>
  <c r="AE32" i="154" s="1"/>
  <c r="AI32" i="154" s="1"/>
  <c r="Y32" i="154" s="1"/>
  <c r="Z32" i="154"/>
  <c r="X32" i="154"/>
  <c r="Q32" i="154"/>
  <c r="P32" i="154"/>
  <c r="I32" i="154"/>
  <c r="H32" i="154"/>
  <c r="E32" i="154"/>
  <c r="AE31" i="154"/>
  <c r="AI31" i="154" s="1"/>
  <c r="Y31" i="154" s="1"/>
  <c r="Z31" i="154"/>
  <c r="X31" i="154"/>
  <c r="Q31" i="154"/>
  <c r="P31" i="154"/>
  <c r="I31" i="154"/>
  <c r="H31" i="154"/>
  <c r="E31" i="154"/>
  <c r="AD30" i="154"/>
  <c r="AC30" i="154"/>
  <c r="AE30" i="154" s="1"/>
  <c r="AI30" i="154" s="1"/>
  <c r="Y30" i="154" s="1"/>
  <c r="AB30" i="154"/>
  <c r="Z30" i="154"/>
  <c r="X30" i="154"/>
  <c r="Q30" i="154"/>
  <c r="P30" i="154"/>
  <c r="I30" i="154"/>
  <c r="H30" i="154"/>
  <c r="E30" i="154"/>
  <c r="AE29" i="154"/>
  <c r="AI29" i="154" s="1"/>
  <c r="Y29" i="154" s="1"/>
  <c r="AD29" i="154"/>
  <c r="AC29" i="154"/>
  <c r="AB29" i="154"/>
  <c r="Z29" i="154"/>
  <c r="X29" i="154"/>
  <c r="Q29" i="154"/>
  <c r="P29" i="154"/>
  <c r="H29" i="154"/>
  <c r="E29" i="154"/>
  <c r="I29" i="154" s="1"/>
  <c r="AD28" i="154"/>
  <c r="AC28" i="154"/>
  <c r="AB28" i="154"/>
  <c r="AE28" i="154" s="1"/>
  <c r="AI28" i="154" s="1"/>
  <c r="Y28" i="154" s="1"/>
  <c r="Z28" i="154"/>
  <c r="X28" i="154"/>
  <c r="Q28" i="154"/>
  <c r="P28" i="154"/>
  <c r="H28" i="154"/>
  <c r="E28" i="154"/>
  <c r="I28" i="154" s="1"/>
  <c r="AD27" i="154"/>
  <c r="AE27" i="154" s="1"/>
  <c r="AI27" i="154" s="1"/>
  <c r="Y27" i="154" s="1"/>
  <c r="AC27" i="154"/>
  <c r="AB27" i="154"/>
  <c r="Z27" i="154"/>
  <c r="X27" i="154"/>
  <c r="Q27" i="154"/>
  <c r="P27" i="154"/>
  <c r="H27" i="154"/>
  <c r="E27" i="154"/>
  <c r="I27" i="154" s="1"/>
  <c r="AD26" i="154"/>
  <c r="AC26" i="154"/>
  <c r="AB26" i="154"/>
  <c r="AE26" i="154" s="1"/>
  <c r="AI26" i="154" s="1"/>
  <c r="Y26" i="154" s="1"/>
  <c r="Z26" i="154"/>
  <c r="X26" i="154"/>
  <c r="Q26" i="154"/>
  <c r="P26" i="154"/>
  <c r="I26" i="154"/>
  <c r="H26" i="154"/>
  <c r="E26" i="154"/>
  <c r="AD25" i="154"/>
  <c r="AC25" i="154"/>
  <c r="AB25" i="154"/>
  <c r="AE25" i="154" s="1"/>
  <c r="AI25" i="154" s="1"/>
  <c r="Y25" i="154" s="1"/>
  <c r="Z25" i="154"/>
  <c r="X25" i="154"/>
  <c r="Q25" i="154"/>
  <c r="P25" i="154"/>
  <c r="I25" i="154"/>
  <c r="H25" i="154"/>
  <c r="E25" i="154"/>
  <c r="AD24" i="154"/>
  <c r="AC24" i="154"/>
  <c r="AB24" i="154"/>
  <c r="AE24" i="154" s="1"/>
  <c r="AI24" i="154" s="1"/>
  <c r="Y24" i="154" s="1"/>
  <c r="Z24" i="154"/>
  <c r="X24" i="154"/>
  <c r="Q24" i="154"/>
  <c r="P24" i="154"/>
  <c r="I24" i="154"/>
  <c r="H24" i="154"/>
  <c r="E24" i="154"/>
  <c r="AD23" i="154"/>
  <c r="AC23" i="154"/>
  <c r="AE23" i="154" s="1"/>
  <c r="AI23" i="154" s="1"/>
  <c r="Y23" i="154" s="1"/>
  <c r="AB23" i="154"/>
  <c r="Z23" i="154"/>
  <c r="X23" i="154"/>
  <c r="Q23" i="154"/>
  <c r="P23" i="154"/>
  <c r="H23" i="154"/>
  <c r="E23" i="154"/>
  <c r="I23" i="154" s="1"/>
  <c r="AE22" i="154"/>
  <c r="AI22" i="154" s="1"/>
  <c r="Y22" i="154" s="1"/>
  <c r="AD22" i="154"/>
  <c r="AC22" i="154"/>
  <c r="AB22" i="154"/>
  <c r="Z22" i="154"/>
  <c r="X22" i="154"/>
  <c r="Q22" i="154"/>
  <c r="P22" i="154"/>
  <c r="H22" i="154"/>
  <c r="E22" i="154"/>
  <c r="I22" i="154" s="1"/>
  <c r="AD21" i="154"/>
  <c r="AC21" i="154"/>
  <c r="AB21" i="154"/>
  <c r="AE21" i="154" s="1"/>
  <c r="AI21" i="154" s="1"/>
  <c r="Y21" i="154" s="1"/>
  <c r="Z21" i="154"/>
  <c r="X21" i="154"/>
  <c r="Q21" i="154"/>
  <c r="P21" i="154"/>
  <c r="H21" i="154"/>
  <c r="E21" i="154"/>
  <c r="I21" i="154" s="1"/>
  <c r="AE20" i="154"/>
  <c r="AI20" i="154" s="1"/>
  <c r="Y20" i="154" s="1"/>
  <c r="AD20" i="154"/>
  <c r="AC20" i="154"/>
  <c r="AB20" i="154"/>
  <c r="Z20" i="154"/>
  <c r="X20" i="154"/>
  <c r="Q20" i="154"/>
  <c r="P20" i="154"/>
  <c r="H20" i="154"/>
  <c r="E20" i="154"/>
  <c r="I20" i="154" s="1"/>
  <c r="AE19" i="154"/>
  <c r="AI19" i="154" s="1"/>
  <c r="Y19" i="154" s="1"/>
  <c r="AD19" i="154"/>
  <c r="AC19" i="154"/>
  <c r="AB19" i="154"/>
  <c r="Z19" i="154"/>
  <c r="X19" i="154"/>
  <c r="Q19" i="154"/>
  <c r="P19" i="154"/>
  <c r="I19" i="154"/>
  <c r="H19" i="154"/>
  <c r="E19" i="154"/>
  <c r="AD18" i="154"/>
  <c r="AC18" i="154"/>
  <c r="AB18" i="154"/>
  <c r="AE18" i="154" s="1"/>
  <c r="AI18" i="154" s="1"/>
  <c r="Y18" i="154" s="1"/>
  <c r="Z18" i="154"/>
  <c r="X18" i="154"/>
  <c r="Q18" i="154"/>
  <c r="P18" i="154"/>
  <c r="H18" i="154"/>
  <c r="E18" i="154"/>
  <c r="I18" i="154" s="1"/>
  <c r="AD17" i="154"/>
  <c r="AE17" i="154" s="1"/>
  <c r="AI17" i="154" s="1"/>
  <c r="Y17" i="154" s="1"/>
  <c r="AC17" i="154"/>
  <c r="AB17" i="154"/>
  <c r="Z17" i="154"/>
  <c r="X17" i="154"/>
  <c r="Q17" i="154"/>
  <c r="P17" i="154"/>
  <c r="I17" i="154"/>
  <c r="H17" i="154"/>
  <c r="E17" i="154"/>
  <c r="AD16" i="154"/>
  <c r="AC16" i="154"/>
  <c r="AE16" i="154" s="1"/>
  <c r="AI16" i="154" s="1"/>
  <c r="Y16" i="154" s="1"/>
  <c r="AB16" i="154"/>
  <c r="Z16" i="154"/>
  <c r="X16" i="154"/>
  <c r="Q16" i="154"/>
  <c r="P16" i="154"/>
  <c r="I16" i="154"/>
  <c r="E16" i="154"/>
  <c r="AE15" i="154"/>
  <c r="AI15" i="154" s="1"/>
  <c r="Y15" i="154" s="1"/>
  <c r="AD15" i="154"/>
  <c r="AC15" i="154"/>
  <c r="AB15" i="154"/>
  <c r="Z15" i="154"/>
  <c r="X15" i="154"/>
  <c r="T77" i="154" s="1"/>
  <c r="Q15" i="154"/>
  <c r="P15" i="154"/>
  <c r="E15" i="154"/>
  <c r="I15" i="154" s="1"/>
  <c r="AD14" i="154"/>
  <c r="AC14" i="154"/>
  <c r="AE14" i="154" s="1"/>
  <c r="AI14" i="154" s="1"/>
  <c r="Y14" i="154" s="1"/>
  <c r="AB14" i="154"/>
  <c r="Z14" i="154"/>
  <c r="X14" i="154"/>
  <c r="Q14" i="154"/>
  <c r="O75" i="154" s="1"/>
  <c r="P14" i="154"/>
  <c r="I14" i="154"/>
  <c r="H14" i="154"/>
  <c r="E14" i="154"/>
  <c r="AD13" i="154"/>
  <c r="AC13" i="154"/>
  <c r="AB13" i="154"/>
  <c r="AE13" i="154" s="1"/>
  <c r="AI13" i="154" s="1"/>
  <c r="Y13" i="154" s="1"/>
  <c r="Z13" i="154"/>
  <c r="X13" i="154"/>
  <c r="Q13" i="154"/>
  <c r="P13" i="154"/>
  <c r="H13" i="154"/>
  <c r="E13" i="154"/>
  <c r="I13" i="154" s="1"/>
  <c r="AE12" i="154"/>
  <c r="AI12" i="154" s="1"/>
  <c r="Y12" i="154" s="1"/>
  <c r="AD12" i="154"/>
  <c r="AC12" i="154"/>
  <c r="AB12" i="154"/>
  <c r="Z12" i="154"/>
  <c r="T75" i="154" s="1"/>
  <c r="X12" i="154"/>
  <c r="Q12" i="154"/>
  <c r="O73" i="154" s="1"/>
  <c r="P12" i="154"/>
  <c r="H12" i="154"/>
  <c r="E12" i="154"/>
  <c r="I12" i="154" s="1"/>
  <c r="F77" i="155" l="1"/>
  <c r="F75" i="154"/>
  <c r="F73" i="154"/>
  <c r="T73" i="154"/>
  <c r="T79" i="154" s="1"/>
  <c r="M79" i="153"/>
  <c r="W73" i="153"/>
  <c r="P71" i="153"/>
  <c r="H71" i="153"/>
  <c r="Q70" i="153"/>
  <c r="P70" i="153"/>
  <c r="H70" i="153"/>
  <c r="E70" i="153"/>
  <c r="I70" i="153" s="1"/>
  <c r="Q69" i="153"/>
  <c r="P69" i="153"/>
  <c r="H69" i="153"/>
  <c r="E69" i="153"/>
  <c r="I69" i="153" s="1"/>
  <c r="AD68" i="153"/>
  <c r="AC68" i="153"/>
  <c r="AB68" i="153"/>
  <c r="AE68" i="153" s="1"/>
  <c r="AI68" i="153" s="1"/>
  <c r="Y68" i="153" s="1"/>
  <c r="Z68" i="153"/>
  <c r="X68" i="153"/>
  <c r="W68" i="153"/>
  <c r="Q68" i="153"/>
  <c r="P68" i="153"/>
  <c r="H68" i="153"/>
  <c r="E68" i="153"/>
  <c r="I68" i="153" s="1"/>
  <c r="AE67" i="153"/>
  <c r="AI67" i="153" s="1"/>
  <c r="Y67" i="153" s="1"/>
  <c r="AD67" i="153"/>
  <c r="AC67" i="153"/>
  <c r="AB67" i="153"/>
  <c r="Z67" i="153"/>
  <c r="X67" i="153"/>
  <c r="Q67" i="153"/>
  <c r="P67" i="153"/>
  <c r="H67" i="153"/>
  <c r="E67" i="153"/>
  <c r="I67" i="153" s="1"/>
  <c r="AE66" i="153"/>
  <c r="AI66" i="153" s="1"/>
  <c r="Y66" i="153" s="1"/>
  <c r="AD66" i="153"/>
  <c r="AC66" i="153"/>
  <c r="AB66" i="153"/>
  <c r="Z66" i="153"/>
  <c r="X66" i="153"/>
  <c r="Q66" i="153"/>
  <c r="P66" i="153"/>
  <c r="H66" i="153"/>
  <c r="E66" i="153"/>
  <c r="I66" i="153" s="1"/>
  <c r="AD65" i="153"/>
  <c r="AC65" i="153"/>
  <c r="AB65" i="153"/>
  <c r="AE65" i="153" s="1"/>
  <c r="AI65" i="153" s="1"/>
  <c r="Y65" i="153" s="1"/>
  <c r="Z65" i="153"/>
  <c r="X65" i="153"/>
  <c r="Q65" i="153"/>
  <c r="P65" i="153"/>
  <c r="H65" i="153"/>
  <c r="E65" i="153"/>
  <c r="I65" i="153" s="1"/>
  <c r="AD64" i="153"/>
  <c r="AC64" i="153"/>
  <c r="AB64" i="153"/>
  <c r="AE64" i="153" s="1"/>
  <c r="AI64" i="153" s="1"/>
  <c r="Y64" i="153" s="1"/>
  <c r="Z64" i="153"/>
  <c r="X64" i="153"/>
  <c r="Q64" i="153"/>
  <c r="P64" i="153"/>
  <c r="H64" i="153"/>
  <c r="E64" i="153"/>
  <c r="I64" i="153" s="1"/>
  <c r="AE63" i="153"/>
  <c r="AI63" i="153" s="1"/>
  <c r="Y63" i="153" s="1"/>
  <c r="AD63" i="153"/>
  <c r="AC63" i="153"/>
  <c r="AB63" i="153"/>
  <c r="Z63" i="153"/>
  <c r="X63" i="153"/>
  <c r="Q63" i="153"/>
  <c r="P63" i="153"/>
  <c r="I63" i="153"/>
  <c r="H63" i="153"/>
  <c r="E63" i="153"/>
  <c r="AD62" i="153"/>
  <c r="AC62" i="153"/>
  <c r="AB62" i="153"/>
  <c r="AE62" i="153" s="1"/>
  <c r="AI62" i="153" s="1"/>
  <c r="Y62" i="153" s="1"/>
  <c r="Z62" i="153"/>
  <c r="X62" i="153"/>
  <c r="Q62" i="153"/>
  <c r="P62" i="153"/>
  <c r="H62" i="153"/>
  <c r="E62" i="153"/>
  <c r="I62" i="153" s="1"/>
  <c r="AI61" i="153"/>
  <c r="Y61" i="153" s="1"/>
  <c r="AE61" i="153"/>
  <c r="AC61" i="153"/>
  <c r="AB61" i="153"/>
  <c r="X61" i="153"/>
  <c r="Q61" i="153"/>
  <c r="P61" i="153"/>
  <c r="I61" i="153"/>
  <c r="H61" i="153"/>
  <c r="E61" i="153"/>
  <c r="AI60" i="153"/>
  <c r="AE60" i="153"/>
  <c r="Y60" i="153"/>
  <c r="X60" i="153"/>
  <c r="Q60" i="153"/>
  <c r="P60" i="153"/>
  <c r="I60" i="153"/>
  <c r="H60" i="153"/>
  <c r="E60" i="153"/>
  <c r="AC59" i="153"/>
  <c r="AB59" i="153"/>
  <c r="AE59" i="153" s="1"/>
  <c r="AI59" i="153" s="1"/>
  <c r="Y59" i="153" s="1"/>
  <c r="X59" i="153"/>
  <c r="Q59" i="153"/>
  <c r="P59" i="153"/>
  <c r="H59" i="153"/>
  <c r="E59" i="153"/>
  <c r="I59" i="153" s="1"/>
  <c r="AI58" i="153"/>
  <c r="Y58" i="153" s="1"/>
  <c r="AE58" i="153"/>
  <c r="AC58" i="153"/>
  <c r="AB58" i="153"/>
  <c r="X58" i="153"/>
  <c r="Q58" i="153"/>
  <c r="P58" i="153"/>
  <c r="I58" i="153"/>
  <c r="E58" i="153"/>
  <c r="AC57" i="153"/>
  <c r="AB57" i="153"/>
  <c r="AE57" i="153" s="1"/>
  <c r="AI57" i="153" s="1"/>
  <c r="Y57" i="153" s="1"/>
  <c r="X57" i="153"/>
  <c r="Q57" i="153"/>
  <c r="P57" i="153"/>
  <c r="I57" i="153"/>
  <c r="H57" i="153"/>
  <c r="E57" i="153"/>
  <c r="AD56" i="153"/>
  <c r="AC56" i="153"/>
  <c r="AE56" i="153" s="1"/>
  <c r="AI56" i="153" s="1"/>
  <c r="Y56" i="153" s="1"/>
  <c r="AB56" i="153"/>
  <c r="Z56" i="153"/>
  <c r="X56" i="153"/>
  <c r="Q56" i="153"/>
  <c r="P56" i="153"/>
  <c r="H56" i="153"/>
  <c r="E56" i="153"/>
  <c r="I56" i="153" s="1"/>
  <c r="AD55" i="153"/>
  <c r="AC55" i="153"/>
  <c r="AB55" i="153"/>
  <c r="AE55" i="153" s="1"/>
  <c r="AI55" i="153" s="1"/>
  <c r="Y55" i="153" s="1"/>
  <c r="Z55" i="153"/>
  <c r="X55" i="153"/>
  <c r="Q55" i="153"/>
  <c r="P55" i="153"/>
  <c r="H55" i="153"/>
  <c r="E55" i="153"/>
  <c r="I55" i="153" s="1"/>
  <c r="AE54" i="153"/>
  <c r="AI54" i="153" s="1"/>
  <c r="Y54" i="153" s="1"/>
  <c r="AD54" i="153"/>
  <c r="AC54" i="153"/>
  <c r="AB54" i="153"/>
  <c r="Z54" i="153"/>
  <c r="X54" i="153"/>
  <c r="Q54" i="153"/>
  <c r="P54" i="153"/>
  <c r="H54" i="153"/>
  <c r="E54" i="153"/>
  <c r="I54" i="153" s="1"/>
  <c r="AD53" i="153"/>
  <c r="AC53" i="153"/>
  <c r="AB53" i="153"/>
  <c r="AE53" i="153" s="1"/>
  <c r="AI53" i="153" s="1"/>
  <c r="Y53" i="153" s="1"/>
  <c r="Z53" i="153"/>
  <c r="X53" i="153"/>
  <c r="Q53" i="153"/>
  <c r="P53" i="153"/>
  <c r="H53" i="153"/>
  <c r="E53" i="153"/>
  <c r="I53" i="153" s="1"/>
  <c r="AE52" i="153"/>
  <c r="AI52" i="153" s="1"/>
  <c r="Y52" i="153" s="1"/>
  <c r="Z52" i="153"/>
  <c r="X52" i="153"/>
  <c r="Q52" i="153"/>
  <c r="P52" i="153"/>
  <c r="I52" i="153"/>
  <c r="H52" i="153"/>
  <c r="E52" i="153"/>
  <c r="AD51" i="153"/>
  <c r="AC51" i="153"/>
  <c r="AB51" i="153"/>
  <c r="AE51" i="153" s="1"/>
  <c r="AI51" i="153" s="1"/>
  <c r="Y51" i="153" s="1"/>
  <c r="Z51" i="153"/>
  <c r="X51" i="153"/>
  <c r="Q51" i="153"/>
  <c r="P51" i="153"/>
  <c r="H51" i="153"/>
  <c r="E51" i="153"/>
  <c r="I51" i="153" s="1"/>
  <c r="AI50" i="153"/>
  <c r="Y50" i="153" s="1"/>
  <c r="AE50" i="153"/>
  <c r="AD50" i="153"/>
  <c r="AC50" i="153"/>
  <c r="AB50" i="153"/>
  <c r="Z50" i="153"/>
  <c r="X50" i="153"/>
  <c r="Q50" i="153"/>
  <c r="P50" i="153"/>
  <c r="H50" i="153"/>
  <c r="E50" i="153"/>
  <c r="I50" i="153" s="1"/>
  <c r="AE49" i="153"/>
  <c r="AI49" i="153" s="1"/>
  <c r="Y49" i="153" s="1"/>
  <c r="Z49" i="153"/>
  <c r="X49" i="153"/>
  <c r="Q49" i="153"/>
  <c r="P49" i="153"/>
  <c r="H49" i="153"/>
  <c r="E49" i="153"/>
  <c r="I49" i="153" s="1"/>
  <c r="AE48" i="153"/>
  <c r="AI48" i="153" s="1"/>
  <c r="Y48" i="153" s="1"/>
  <c r="Z48" i="153"/>
  <c r="X48" i="153"/>
  <c r="Q48" i="153"/>
  <c r="P48" i="153"/>
  <c r="H48" i="153"/>
  <c r="E48" i="153"/>
  <c r="I48" i="153" s="1"/>
  <c r="AI47" i="153"/>
  <c r="Y47" i="153" s="1"/>
  <c r="AE47" i="153"/>
  <c r="Z47" i="153"/>
  <c r="X47" i="153"/>
  <c r="Q47" i="153"/>
  <c r="P47" i="153"/>
  <c r="I47" i="153"/>
  <c r="H47" i="153"/>
  <c r="E47" i="153"/>
  <c r="AD46" i="153"/>
  <c r="AC46" i="153"/>
  <c r="AB46" i="153"/>
  <c r="AE46" i="153" s="1"/>
  <c r="AI46" i="153" s="1"/>
  <c r="Y46" i="153" s="1"/>
  <c r="Z46" i="153"/>
  <c r="X46" i="153"/>
  <c r="Q46" i="153"/>
  <c r="P46" i="153"/>
  <c r="I46" i="153"/>
  <c r="H46" i="153"/>
  <c r="E46" i="153"/>
  <c r="AD45" i="153"/>
  <c r="AC45" i="153"/>
  <c r="AB45" i="153"/>
  <c r="AE45" i="153" s="1"/>
  <c r="AI45" i="153" s="1"/>
  <c r="Y45" i="153" s="1"/>
  <c r="Z45" i="153"/>
  <c r="X45" i="153"/>
  <c r="Q45" i="153"/>
  <c r="P45" i="153"/>
  <c r="I45" i="153"/>
  <c r="H45" i="153"/>
  <c r="E45" i="153"/>
  <c r="AD44" i="153"/>
  <c r="AC44" i="153"/>
  <c r="AE44" i="153" s="1"/>
  <c r="AI44" i="153" s="1"/>
  <c r="Y44" i="153" s="1"/>
  <c r="AB44" i="153"/>
  <c r="Z44" i="153"/>
  <c r="X44" i="153"/>
  <c r="Q44" i="153"/>
  <c r="P44" i="153"/>
  <c r="H44" i="153"/>
  <c r="E44" i="153"/>
  <c r="I44" i="153" s="1"/>
  <c r="AE43" i="153"/>
  <c r="AI43" i="153" s="1"/>
  <c r="Y43" i="153" s="1"/>
  <c r="AD43" i="153"/>
  <c r="AC43" i="153"/>
  <c r="AB43" i="153"/>
  <c r="Z43" i="153"/>
  <c r="X43" i="153"/>
  <c r="Q43" i="153"/>
  <c r="P43" i="153"/>
  <c r="H43" i="153"/>
  <c r="E43" i="153"/>
  <c r="I43" i="153" s="1"/>
  <c r="AE42" i="153"/>
  <c r="AI42" i="153" s="1"/>
  <c r="Y42" i="153" s="1"/>
  <c r="AD42" i="153"/>
  <c r="AC42" i="153"/>
  <c r="AB42" i="153"/>
  <c r="Z42" i="153"/>
  <c r="X42" i="153"/>
  <c r="Q42" i="153"/>
  <c r="P42" i="153"/>
  <c r="H42" i="153"/>
  <c r="E42" i="153"/>
  <c r="I42" i="153" s="1"/>
  <c r="AD41" i="153"/>
  <c r="AC41" i="153"/>
  <c r="AB41" i="153"/>
  <c r="AE41" i="153" s="1"/>
  <c r="AI41" i="153" s="1"/>
  <c r="Y41" i="153" s="1"/>
  <c r="Z41" i="153"/>
  <c r="X41" i="153"/>
  <c r="Q41" i="153"/>
  <c r="P41" i="153"/>
  <c r="H41" i="153"/>
  <c r="E41" i="153"/>
  <c r="I41" i="153" s="1"/>
  <c r="AD40" i="153"/>
  <c r="AC40" i="153"/>
  <c r="AB40" i="153"/>
  <c r="AE40" i="153" s="1"/>
  <c r="AI40" i="153" s="1"/>
  <c r="Y40" i="153" s="1"/>
  <c r="Z40" i="153"/>
  <c r="X40" i="153"/>
  <c r="Q40" i="153"/>
  <c r="P40" i="153"/>
  <c r="I40" i="153"/>
  <c r="H40" i="153"/>
  <c r="E40" i="153"/>
  <c r="AD39" i="153"/>
  <c r="AE39" i="153" s="1"/>
  <c r="AI39" i="153" s="1"/>
  <c r="Y39" i="153" s="1"/>
  <c r="AC39" i="153"/>
  <c r="AB39" i="153"/>
  <c r="Z39" i="153"/>
  <c r="X39" i="153"/>
  <c r="Q39" i="153"/>
  <c r="P39" i="153"/>
  <c r="I39" i="153"/>
  <c r="H39" i="153"/>
  <c r="E39" i="153"/>
  <c r="AD38" i="153"/>
  <c r="AC38" i="153"/>
  <c r="AB38" i="153"/>
  <c r="AE38" i="153" s="1"/>
  <c r="AI38" i="153" s="1"/>
  <c r="Y38" i="153" s="1"/>
  <c r="Z38" i="153"/>
  <c r="X38" i="153"/>
  <c r="Q38" i="153"/>
  <c r="P38" i="153"/>
  <c r="H38" i="153"/>
  <c r="E38" i="153"/>
  <c r="I38" i="153" s="1"/>
  <c r="AI37" i="153"/>
  <c r="Y37" i="153" s="1"/>
  <c r="AE37" i="153"/>
  <c r="AD37" i="153"/>
  <c r="AC37" i="153"/>
  <c r="AB37" i="153"/>
  <c r="Z37" i="153"/>
  <c r="X37" i="153"/>
  <c r="Q37" i="153"/>
  <c r="P37" i="153"/>
  <c r="H37" i="153"/>
  <c r="E37" i="153"/>
  <c r="I37" i="153" s="1"/>
  <c r="AD36" i="153"/>
  <c r="AC36" i="153"/>
  <c r="AE36" i="153" s="1"/>
  <c r="AI36" i="153" s="1"/>
  <c r="Y36" i="153" s="1"/>
  <c r="AB36" i="153"/>
  <c r="Z36" i="153"/>
  <c r="X36" i="153"/>
  <c r="Q36" i="153"/>
  <c r="P36" i="153"/>
  <c r="I36" i="153"/>
  <c r="H36" i="153"/>
  <c r="E36" i="153"/>
  <c r="AD35" i="153"/>
  <c r="AC35" i="153"/>
  <c r="AB35" i="153"/>
  <c r="AE35" i="153" s="1"/>
  <c r="AI35" i="153" s="1"/>
  <c r="Y35" i="153" s="1"/>
  <c r="Z35" i="153"/>
  <c r="X35" i="153"/>
  <c r="Q35" i="153"/>
  <c r="P35" i="153"/>
  <c r="H35" i="153"/>
  <c r="E35" i="153"/>
  <c r="I35" i="153" s="1"/>
  <c r="AE34" i="153"/>
  <c r="AI34" i="153" s="1"/>
  <c r="Y34" i="153" s="1"/>
  <c r="AD34" i="153"/>
  <c r="AC34" i="153"/>
  <c r="AB34" i="153"/>
  <c r="Z34" i="153"/>
  <c r="X34" i="153"/>
  <c r="Q34" i="153"/>
  <c r="P34" i="153"/>
  <c r="I34" i="153"/>
  <c r="H34" i="153"/>
  <c r="E34" i="153"/>
  <c r="AD33" i="153"/>
  <c r="AC33" i="153"/>
  <c r="AB33" i="153"/>
  <c r="AE33" i="153" s="1"/>
  <c r="AI33" i="153" s="1"/>
  <c r="Y33" i="153" s="1"/>
  <c r="Z33" i="153"/>
  <c r="X33" i="153"/>
  <c r="Q33" i="153"/>
  <c r="P33" i="153"/>
  <c r="H33" i="153"/>
  <c r="E33" i="153"/>
  <c r="I33" i="153" s="1"/>
  <c r="AD32" i="153"/>
  <c r="AE32" i="153" s="1"/>
  <c r="AI32" i="153" s="1"/>
  <c r="Y32" i="153" s="1"/>
  <c r="AC32" i="153"/>
  <c r="AB32" i="153"/>
  <c r="Z32" i="153"/>
  <c r="X32" i="153"/>
  <c r="Q32" i="153"/>
  <c r="P32" i="153"/>
  <c r="H32" i="153"/>
  <c r="E32" i="153"/>
  <c r="I32" i="153" s="1"/>
  <c r="AI31" i="153"/>
  <c r="Y31" i="153" s="1"/>
  <c r="AE31" i="153"/>
  <c r="Z31" i="153"/>
  <c r="X31" i="153"/>
  <c r="Q31" i="153"/>
  <c r="P31" i="153"/>
  <c r="I31" i="153"/>
  <c r="H31" i="153"/>
  <c r="E31" i="153"/>
  <c r="AD30" i="153"/>
  <c r="AC30" i="153"/>
  <c r="AB30" i="153"/>
  <c r="AE30" i="153" s="1"/>
  <c r="AI30" i="153" s="1"/>
  <c r="Y30" i="153" s="1"/>
  <c r="Z30" i="153"/>
  <c r="X30" i="153"/>
  <c r="Q30" i="153"/>
  <c r="P30" i="153"/>
  <c r="I30" i="153"/>
  <c r="H30" i="153"/>
  <c r="E30" i="153"/>
  <c r="AD29" i="153"/>
  <c r="AC29" i="153"/>
  <c r="AE29" i="153" s="1"/>
  <c r="AI29" i="153" s="1"/>
  <c r="Y29" i="153" s="1"/>
  <c r="AB29" i="153"/>
  <c r="Z29" i="153"/>
  <c r="X29" i="153"/>
  <c r="Q29" i="153"/>
  <c r="P29" i="153"/>
  <c r="H29" i="153"/>
  <c r="E29" i="153"/>
  <c r="I29" i="153" s="1"/>
  <c r="AE28" i="153"/>
  <c r="AI28" i="153" s="1"/>
  <c r="Y28" i="153" s="1"/>
  <c r="AD28" i="153"/>
  <c r="AC28" i="153"/>
  <c r="AB28" i="153"/>
  <c r="Z28" i="153"/>
  <c r="X28" i="153"/>
  <c r="Q28" i="153"/>
  <c r="P28" i="153"/>
  <c r="H28" i="153"/>
  <c r="E28" i="153"/>
  <c r="I28" i="153" s="1"/>
  <c r="AE27" i="153"/>
  <c r="AI27" i="153" s="1"/>
  <c r="Y27" i="153" s="1"/>
  <c r="AD27" i="153"/>
  <c r="AC27" i="153"/>
  <c r="AB27" i="153"/>
  <c r="Z27" i="153"/>
  <c r="X27" i="153"/>
  <c r="Q27" i="153"/>
  <c r="P27" i="153"/>
  <c r="H27" i="153"/>
  <c r="E27" i="153"/>
  <c r="I27" i="153" s="1"/>
  <c r="AD26" i="153"/>
  <c r="AC26" i="153"/>
  <c r="AB26" i="153"/>
  <c r="AE26" i="153" s="1"/>
  <c r="AI26" i="153" s="1"/>
  <c r="Y26" i="153" s="1"/>
  <c r="Z26" i="153"/>
  <c r="X26" i="153"/>
  <c r="Q26" i="153"/>
  <c r="P26" i="153"/>
  <c r="H26" i="153"/>
  <c r="E26" i="153"/>
  <c r="I26" i="153" s="1"/>
  <c r="AD25" i="153"/>
  <c r="AC25" i="153"/>
  <c r="AB25" i="153"/>
  <c r="AE25" i="153" s="1"/>
  <c r="AI25" i="153" s="1"/>
  <c r="Y25" i="153" s="1"/>
  <c r="Z25" i="153"/>
  <c r="X25" i="153"/>
  <c r="Q25" i="153"/>
  <c r="P25" i="153"/>
  <c r="I25" i="153"/>
  <c r="H25" i="153"/>
  <c r="E25" i="153"/>
  <c r="AD24" i="153"/>
  <c r="AE24" i="153" s="1"/>
  <c r="AI24" i="153" s="1"/>
  <c r="Y24" i="153" s="1"/>
  <c r="AC24" i="153"/>
  <c r="AB24" i="153"/>
  <c r="Z24" i="153"/>
  <c r="X24" i="153"/>
  <c r="Q24" i="153"/>
  <c r="P24" i="153"/>
  <c r="I24" i="153"/>
  <c r="H24" i="153"/>
  <c r="E24" i="153"/>
  <c r="AD23" i="153"/>
  <c r="AC23" i="153"/>
  <c r="AB23" i="153"/>
  <c r="AE23" i="153" s="1"/>
  <c r="AI23" i="153" s="1"/>
  <c r="Y23" i="153" s="1"/>
  <c r="Z23" i="153"/>
  <c r="X23" i="153"/>
  <c r="Q23" i="153"/>
  <c r="P23" i="153"/>
  <c r="H23" i="153"/>
  <c r="E23" i="153"/>
  <c r="I23" i="153" s="1"/>
  <c r="AI22" i="153"/>
  <c r="Y22" i="153" s="1"/>
  <c r="AE22" i="153"/>
  <c r="AD22" i="153"/>
  <c r="AC22" i="153"/>
  <c r="AB22" i="153"/>
  <c r="Z22" i="153"/>
  <c r="X22" i="153"/>
  <c r="Q22" i="153"/>
  <c r="P22" i="153"/>
  <c r="H22" i="153"/>
  <c r="E22" i="153"/>
  <c r="I22" i="153" s="1"/>
  <c r="AD21" i="153"/>
  <c r="AC21" i="153"/>
  <c r="AB21" i="153"/>
  <c r="AE21" i="153" s="1"/>
  <c r="AI21" i="153" s="1"/>
  <c r="Y21" i="153" s="1"/>
  <c r="Z21" i="153"/>
  <c r="X21" i="153"/>
  <c r="Q21" i="153"/>
  <c r="P21" i="153"/>
  <c r="I21" i="153"/>
  <c r="H21" i="153"/>
  <c r="E21" i="153"/>
  <c r="AD20" i="153"/>
  <c r="AC20" i="153"/>
  <c r="AB20" i="153"/>
  <c r="AE20" i="153" s="1"/>
  <c r="AI20" i="153" s="1"/>
  <c r="Y20" i="153" s="1"/>
  <c r="Z20" i="153"/>
  <c r="X20" i="153"/>
  <c r="Q20" i="153"/>
  <c r="P20" i="153"/>
  <c r="H20" i="153"/>
  <c r="E20" i="153"/>
  <c r="I20" i="153" s="1"/>
  <c r="AE19" i="153"/>
  <c r="AI19" i="153" s="1"/>
  <c r="Y19" i="153" s="1"/>
  <c r="AD19" i="153"/>
  <c r="AC19" i="153"/>
  <c r="AB19" i="153"/>
  <c r="Z19" i="153"/>
  <c r="X19" i="153"/>
  <c r="Q19" i="153"/>
  <c r="P19" i="153"/>
  <c r="I19" i="153"/>
  <c r="H19" i="153"/>
  <c r="E19" i="153"/>
  <c r="AD18" i="153"/>
  <c r="AC18" i="153"/>
  <c r="AB18" i="153"/>
  <c r="AE18" i="153" s="1"/>
  <c r="AI18" i="153" s="1"/>
  <c r="Y18" i="153" s="1"/>
  <c r="Z18" i="153"/>
  <c r="X18" i="153"/>
  <c r="Q18" i="153"/>
  <c r="P18" i="153"/>
  <c r="H18" i="153"/>
  <c r="E18" i="153"/>
  <c r="I18" i="153" s="1"/>
  <c r="AI17" i="153"/>
  <c r="Y17" i="153" s="1"/>
  <c r="AE17" i="153"/>
  <c r="AD17" i="153"/>
  <c r="AC17" i="153"/>
  <c r="AB17" i="153"/>
  <c r="Z17" i="153"/>
  <c r="X17" i="153"/>
  <c r="Q17" i="153"/>
  <c r="P17" i="153"/>
  <c r="H17" i="153"/>
  <c r="E17" i="153"/>
  <c r="I17" i="153" s="1"/>
  <c r="AD16" i="153"/>
  <c r="AC16" i="153"/>
  <c r="AB16" i="153"/>
  <c r="AE16" i="153" s="1"/>
  <c r="AI16" i="153" s="1"/>
  <c r="Y16" i="153" s="1"/>
  <c r="Z16" i="153"/>
  <c r="X16" i="153"/>
  <c r="Q16" i="153"/>
  <c r="P16" i="153"/>
  <c r="I16" i="153"/>
  <c r="E16" i="153"/>
  <c r="AD15" i="153"/>
  <c r="AC15" i="153"/>
  <c r="AB15" i="153"/>
  <c r="AE15" i="153" s="1"/>
  <c r="AI15" i="153" s="1"/>
  <c r="Y15" i="153" s="1"/>
  <c r="Z15" i="153"/>
  <c r="X15" i="153"/>
  <c r="Q15" i="153"/>
  <c r="P15" i="153"/>
  <c r="E15" i="153"/>
  <c r="I15" i="153" s="1"/>
  <c r="AD14" i="153"/>
  <c r="AE14" i="153" s="1"/>
  <c r="AI14" i="153" s="1"/>
  <c r="Y14" i="153" s="1"/>
  <c r="AC14" i="153"/>
  <c r="AB14" i="153"/>
  <c r="Z14" i="153"/>
  <c r="X14" i="153"/>
  <c r="Q14" i="153"/>
  <c r="O75" i="153" s="1"/>
  <c r="P14" i="153"/>
  <c r="I14" i="153"/>
  <c r="H14" i="153"/>
  <c r="E14" i="153"/>
  <c r="AD13" i="153"/>
  <c r="AC13" i="153"/>
  <c r="AB13" i="153"/>
  <c r="AE13" i="153" s="1"/>
  <c r="AI13" i="153" s="1"/>
  <c r="Y13" i="153" s="1"/>
  <c r="Z13" i="153"/>
  <c r="X13" i="153"/>
  <c r="Q13" i="153"/>
  <c r="P13" i="153"/>
  <c r="H13" i="153"/>
  <c r="E13" i="153"/>
  <c r="I13" i="153" s="1"/>
  <c r="AI12" i="153"/>
  <c r="Y12" i="153" s="1"/>
  <c r="AE12" i="153"/>
  <c r="AD12" i="153"/>
  <c r="AC12" i="153"/>
  <c r="AB12" i="153"/>
  <c r="Z12" i="153"/>
  <c r="X12" i="153"/>
  <c r="T77" i="153" s="1"/>
  <c r="Q12" i="153"/>
  <c r="P12" i="153"/>
  <c r="H12" i="153"/>
  <c r="E12" i="153"/>
  <c r="I12" i="153" s="1"/>
  <c r="F77" i="154" l="1"/>
  <c r="T75" i="153"/>
  <c r="F73" i="153"/>
  <c r="O73" i="153"/>
  <c r="T73" i="153"/>
  <c r="F75" i="153"/>
  <c r="P77" i="152"/>
  <c r="P79" i="152"/>
  <c r="T79" i="153" l="1"/>
  <c r="F77" i="153"/>
  <c r="M79" i="152"/>
  <c r="W73" i="152"/>
  <c r="P71" i="152"/>
  <c r="H71" i="152"/>
  <c r="Q70" i="152"/>
  <c r="P70" i="152"/>
  <c r="H70" i="152"/>
  <c r="E70" i="152"/>
  <c r="I70" i="152" s="1"/>
  <c r="Q69" i="152"/>
  <c r="P69" i="152"/>
  <c r="H69" i="152"/>
  <c r="E69" i="152"/>
  <c r="I69" i="152" s="1"/>
  <c r="AD68" i="152"/>
  <c r="AC68" i="152"/>
  <c r="AB68" i="152"/>
  <c r="AE68" i="152" s="1"/>
  <c r="AI68" i="152" s="1"/>
  <c r="Y68" i="152" s="1"/>
  <c r="Z68" i="152"/>
  <c r="X68" i="152"/>
  <c r="W68" i="152"/>
  <c r="Q68" i="152"/>
  <c r="P68" i="152"/>
  <c r="I68" i="152"/>
  <c r="H68" i="152"/>
  <c r="E68" i="152"/>
  <c r="AE67" i="152"/>
  <c r="AI67" i="152" s="1"/>
  <c r="Y67" i="152" s="1"/>
  <c r="AD67" i="152"/>
  <c r="AC67" i="152"/>
  <c r="AB67" i="152"/>
  <c r="Z67" i="152"/>
  <c r="X67" i="152"/>
  <c r="Q67" i="152"/>
  <c r="P67" i="152"/>
  <c r="H67" i="152"/>
  <c r="E67" i="152"/>
  <c r="I67" i="152" s="1"/>
  <c r="AD66" i="152"/>
  <c r="AC66" i="152"/>
  <c r="AB66" i="152"/>
  <c r="AE66" i="152" s="1"/>
  <c r="AI66" i="152" s="1"/>
  <c r="Y66" i="152" s="1"/>
  <c r="Z66" i="152"/>
  <c r="X66" i="152"/>
  <c r="Q66" i="152"/>
  <c r="P66" i="152"/>
  <c r="H66" i="152"/>
  <c r="E66" i="152"/>
  <c r="I66" i="152" s="1"/>
  <c r="AD65" i="152"/>
  <c r="AC65" i="152"/>
  <c r="AE65" i="152" s="1"/>
  <c r="AI65" i="152" s="1"/>
  <c r="Y65" i="152" s="1"/>
  <c r="AB65" i="152"/>
  <c r="Z65" i="152"/>
  <c r="X65" i="152"/>
  <c r="Q65" i="152"/>
  <c r="P65" i="152"/>
  <c r="H65" i="152"/>
  <c r="E65" i="152"/>
  <c r="I65" i="152" s="1"/>
  <c r="AD64" i="152"/>
  <c r="AC64" i="152"/>
  <c r="AB64" i="152"/>
  <c r="AE64" i="152" s="1"/>
  <c r="AI64" i="152" s="1"/>
  <c r="Y64" i="152" s="1"/>
  <c r="Z64" i="152"/>
  <c r="X64" i="152"/>
  <c r="Q64" i="152"/>
  <c r="P64" i="152"/>
  <c r="I64" i="152"/>
  <c r="H64" i="152"/>
  <c r="E64" i="152"/>
  <c r="AD63" i="152"/>
  <c r="AC63" i="152"/>
  <c r="AB63" i="152"/>
  <c r="AE63" i="152" s="1"/>
  <c r="AI63" i="152" s="1"/>
  <c r="Y63" i="152" s="1"/>
  <c r="Z63" i="152"/>
  <c r="X63" i="152"/>
  <c r="Q63" i="152"/>
  <c r="P63" i="152"/>
  <c r="H63" i="152"/>
  <c r="E63" i="152"/>
  <c r="I63" i="152" s="1"/>
  <c r="AD62" i="152"/>
  <c r="AC62" i="152"/>
  <c r="AB62" i="152"/>
  <c r="AE62" i="152" s="1"/>
  <c r="AI62" i="152" s="1"/>
  <c r="Y62" i="152" s="1"/>
  <c r="Z62" i="152"/>
  <c r="X62" i="152"/>
  <c r="Q62" i="152"/>
  <c r="P62" i="152"/>
  <c r="H62" i="152"/>
  <c r="E62" i="152"/>
  <c r="I62" i="152" s="1"/>
  <c r="AE61" i="152"/>
  <c r="AI61" i="152" s="1"/>
  <c r="Y61" i="152" s="1"/>
  <c r="AC61" i="152"/>
  <c r="AB61" i="152"/>
  <c r="X61" i="152"/>
  <c r="Q61" i="152"/>
  <c r="P61" i="152"/>
  <c r="I61" i="152"/>
  <c r="H61" i="152"/>
  <c r="E61" i="152"/>
  <c r="AI60" i="152"/>
  <c r="AE60" i="152"/>
  <c r="Y60" i="152"/>
  <c r="X60" i="152"/>
  <c r="Q60" i="152"/>
  <c r="P60" i="152"/>
  <c r="I60" i="152"/>
  <c r="H60" i="152"/>
  <c r="E60" i="152"/>
  <c r="AC59" i="152"/>
  <c r="AB59" i="152"/>
  <c r="AE59" i="152" s="1"/>
  <c r="AI59" i="152" s="1"/>
  <c r="Y59" i="152" s="1"/>
  <c r="X59" i="152"/>
  <c r="Q59" i="152"/>
  <c r="P59" i="152"/>
  <c r="H59" i="152"/>
  <c r="E59" i="152"/>
  <c r="I59" i="152" s="1"/>
  <c r="AC58" i="152"/>
  <c r="AB58" i="152"/>
  <c r="AE58" i="152" s="1"/>
  <c r="AI58" i="152" s="1"/>
  <c r="Y58" i="152" s="1"/>
  <c r="X58" i="152"/>
  <c r="Q58" i="152"/>
  <c r="P58" i="152"/>
  <c r="E58" i="152"/>
  <c r="I58" i="152" s="1"/>
  <c r="AE57" i="152"/>
  <c r="AI57" i="152" s="1"/>
  <c r="Y57" i="152" s="1"/>
  <c r="AC57" i="152"/>
  <c r="AB57" i="152"/>
  <c r="X57" i="152"/>
  <c r="Q57" i="152"/>
  <c r="P57" i="152"/>
  <c r="I57" i="152"/>
  <c r="H57" i="152"/>
  <c r="E57" i="152"/>
  <c r="AD56" i="152"/>
  <c r="AC56" i="152"/>
  <c r="AB56" i="152"/>
  <c r="AE56" i="152" s="1"/>
  <c r="AI56" i="152" s="1"/>
  <c r="Y56" i="152" s="1"/>
  <c r="Z56" i="152"/>
  <c r="X56" i="152"/>
  <c r="Q56" i="152"/>
  <c r="P56" i="152"/>
  <c r="I56" i="152"/>
  <c r="H56" i="152"/>
  <c r="E56" i="152"/>
  <c r="AD55" i="152"/>
  <c r="AC55" i="152"/>
  <c r="AB55" i="152"/>
  <c r="AE55" i="152" s="1"/>
  <c r="AI55" i="152" s="1"/>
  <c r="Y55" i="152" s="1"/>
  <c r="Z55" i="152"/>
  <c r="X55" i="152"/>
  <c r="Q55" i="152"/>
  <c r="P55" i="152"/>
  <c r="H55" i="152"/>
  <c r="E55" i="152"/>
  <c r="I55" i="152" s="1"/>
  <c r="AE54" i="152"/>
  <c r="AI54" i="152" s="1"/>
  <c r="Y54" i="152" s="1"/>
  <c r="AD54" i="152"/>
  <c r="AC54" i="152"/>
  <c r="AB54" i="152"/>
  <c r="Z54" i="152"/>
  <c r="X54" i="152"/>
  <c r="Q54" i="152"/>
  <c r="P54" i="152"/>
  <c r="I54" i="152"/>
  <c r="H54" i="152"/>
  <c r="E54" i="152"/>
  <c r="AD53" i="152"/>
  <c r="AC53" i="152"/>
  <c r="AB53" i="152"/>
  <c r="AE53" i="152" s="1"/>
  <c r="AI53" i="152" s="1"/>
  <c r="Y53" i="152" s="1"/>
  <c r="Z53" i="152"/>
  <c r="X53" i="152"/>
  <c r="Q53" i="152"/>
  <c r="P53" i="152"/>
  <c r="H53" i="152"/>
  <c r="E53" i="152"/>
  <c r="I53" i="152" s="1"/>
  <c r="AI52" i="152"/>
  <c r="Y52" i="152" s="1"/>
  <c r="AE52" i="152"/>
  <c r="Z52" i="152"/>
  <c r="X52" i="152"/>
  <c r="Q52" i="152"/>
  <c r="P52" i="152"/>
  <c r="I52" i="152"/>
  <c r="H52" i="152"/>
  <c r="E52" i="152"/>
  <c r="AE51" i="152"/>
  <c r="AI51" i="152" s="1"/>
  <c r="Y51" i="152" s="1"/>
  <c r="AD51" i="152"/>
  <c r="AC51" i="152"/>
  <c r="AB51" i="152"/>
  <c r="Z51" i="152"/>
  <c r="X51" i="152"/>
  <c r="Q51" i="152"/>
  <c r="P51" i="152"/>
  <c r="H51" i="152"/>
  <c r="E51" i="152"/>
  <c r="I51" i="152" s="1"/>
  <c r="AD50" i="152"/>
  <c r="AC50" i="152"/>
  <c r="AB50" i="152"/>
  <c r="AE50" i="152" s="1"/>
  <c r="AI50" i="152" s="1"/>
  <c r="Y50" i="152" s="1"/>
  <c r="Z50" i="152"/>
  <c r="X50" i="152"/>
  <c r="Q50" i="152"/>
  <c r="P50" i="152"/>
  <c r="H50" i="152"/>
  <c r="E50" i="152"/>
  <c r="I50" i="152" s="1"/>
  <c r="AE49" i="152"/>
  <c r="AI49" i="152" s="1"/>
  <c r="Y49" i="152" s="1"/>
  <c r="Z49" i="152"/>
  <c r="X49" i="152"/>
  <c r="Q49" i="152"/>
  <c r="P49" i="152"/>
  <c r="I49" i="152"/>
  <c r="H49" i="152"/>
  <c r="E49" i="152"/>
  <c r="AE48" i="152"/>
  <c r="AI48" i="152" s="1"/>
  <c r="Y48" i="152" s="1"/>
  <c r="Z48" i="152"/>
  <c r="X48" i="152"/>
  <c r="Q48" i="152"/>
  <c r="P48" i="152"/>
  <c r="H48" i="152"/>
  <c r="E48" i="152"/>
  <c r="I48" i="152" s="1"/>
  <c r="AE47" i="152"/>
  <c r="AI47" i="152" s="1"/>
  <c r="Y47" i="152" s="1"/>
  <c r="Z47" i="152"/>
  <c r="X47" i="152"/>
  <c r="Q47" i="152"/>
  <c r="P47" i="152"/>
  <c r="I47" i="152"/>
  <c r="H47" i="152"/>
  <c r="E47" i="152"/>
  <c r="AD46" i="152"/>
  <c r="AC46" i="152"/>
  <c r="AB46" i="152"/>
  <c r="AE46" i="152" s="1"/>
  <c r="AI46" i="152" s="1"/>
  <c r="Y46" i="152" s="1"/>
  <c r="Z46" i="152"/>
  <c r="X46" i="152"/>
  <c r="Q46" i="152"/>
  <c r="P46" i="152"/>
  <c r="I46" i="152"/>
  <c r="H46" i="152"/>
  <c r="E46" i="152"/>
  <c r="AE45" i="152"/>
  <c r="AI45" i="152" s="1"/>
  <c r="Y45" i="152" s="1"/>
  <c r="AD45" i="152"/>
  <c r="AC45" i="152"/>
  <c r="AB45" i="152"/>
  <c r="Z45" i="152"/>
  <c r="X45" i="152"/>
  <c r="Q45" i="152"/>
  <c r="P45" i="152"/>
  <c r="H45" i="152"/>
  <c r="E45" i="152"/>
  <c r="I45" i="152" s="1"/>
  <c r="AD44" i="152"/>
  <c r="AC44" i="152"/>
  <c r="AB44" i="152"/>
  <c r="AE44" i="152" s="1"/>
  <c r="AI44" i="152" s="1"/>
  <c r="Y44" i="152" s="1"/>
  <c r="Z44" i="152"/>
  <c r="X44" i="152"/>
  <c r="Q44" i="152"/>
  <c r="P44" i="152"/>
  <c r="I44" i="152"/>
  <c r="H44" i="152"/>
  <c r="E44" i="152"/>
  <c r="AD43" i="152"/>
  <c r="AE43" i="152" s="1"/>
  <c r="AI43" i="152" s="1"/>
  <c r="Y43" i="152" s="1"/>
  <c r="AC43" i="152"/>
  <c r="AB43" i="152"/>
  <c r="Z43" i="152"/>
  <c r="X43" i="152"/>
  <c r="Q43" i="152"/>
  <c r="P43" i="152"/>
  <c r="H43" i="152"/>
  <c r="E43" i="152"/>
  <c r="I43" i="152" s="1"/>
  <c r="AE42" i="152"/>
  <c r="AI42" i="152" s="1"/>
  <c r="Y42" i="152" s="1"/>
  <c r="AD42" i="152"/>
  <c r="AC42" i="152"/>
  <c r="AB42" i="152"/>
  <c r="Z42" i="152"/>
  <c r="X42" i="152"/>
  <c r="Q42" i="152"/>
  <c r="P42" i="152"/>
  <c r="I42" i="152"/>
  <c r="H42" i="152"/>
  <c r="E42" i="152"/>
  <c r="AD41" i="152"/>
  <c r="AC41" i="152"/>
  <c r="AB41" i="152"/>
  <c r="AE41" i="152" s="1"/>
  <c r="AI41" i="152" s="1"/>
  <c r="Y41" i="152" s="1"/>
  <c r="Z41" i="152"/>
  <c r="X41" i="152"/>
  <c r="Q41" i="152"/>
  <c r="P41" i="152"/>
  <c r="H41" i="152"/>
  <c r="E41" i="152"/>
  <c r="I41" i="152" s="1"/>
  <c r="AD40" i="152"/>
  <c r="AC40" i="152"/>
  <c r="AE40" i="152" s="1"/>
  <c r="AI40" i="152" s="1"/>
  <c r="Y40" i="152" s="1"/>
  <c r="AB40" i="152"/>
  <c r="Z40" i="152"/>
  <c r="X40" i="152"/>
  <c r="Q40" i="152"/>
  <c r="P40" i="152"/>
  <c r="I40" i="152"/>
  <c r="H40" i="152"/>
  <c r="E40" i="152"/>
  <c r="AD39" i="152"/>
  <c r="AC39" i="152"/>
  <c r="AB39" i="152"/>
  <c r="AE39" i="152" s="1"/>
  <c r="AI39" i="152" s="1"/>
  <c r="Y39" i="152" s="1"/>
  <c r="Z39" i="152"/>
  <c r="X39" i="152"/>
  <c r="Q39" i="152"/>
  <c r="P39" i="152"/>
  <c r="I39" i="152"/>
  <c r="H39" i="152"/>
  <c r="E39" i="152"/>
  <c r="AE38" i="152"/>
  <c r="AI38" i="152" s="1"/>
  <c r="Y38" i="152" s="1"/>
  <c r="AD38" i="152"/>
  <c r="AC38" i="152"/>
  <c r="AB38" i="152"/>
  <c r="Z38" i="152"/>
  <c r="X38" i="152"/>
  <c r="Q38" i="152"/>
  <c r="P38" i="152"/>
  <c r="H38" i="152"/>
  <c r="E38" i="152"/>
  <c r="I38" i="152" s="1"/>
  <c r="AD37" i="152"/>
  <c r="AC37" i="152"/>
  <c r="AB37" i="152"/>
  <c r="AE37" i="152" s="1"/>
  <c r="AI37" i="152" s="1"/>
  <c r="Y37" i="152" s="1"/>
  <c r="Z37" i="152"/>
  <c r="X37" i="152"/>
  <c r="Q37" i="152"/>
  <c r="P37" i="152"/>
  <c r="H37" i="152"/>
  <c r="E37" i="152"/>
  <c r="I37" i="152" s="1"/>
  <c r="AD36" i="152"/>
  <c r="AC36" i="152"/>
  <c r="AE36" i="152" s="1"/>
  <c r="AI36" i="152" s="1"/>
  <c r="Y36" i="152" s="1"/>
  <c r="AB36" i="152"/>
  <c r="Z36" i="152"/>
  <c r="X36" i="152"/>
  <c r="Q36" i="152"/>
  <c r="P36" i="152"/>
  <c r="H36" i="152"/>
  <c r="E36" i="152"/>
  <c r="I36" i="152" s="1"/>
  <c r="AD35" i="152"/>
  <c r="AC35" i="152"/>
  <c r="AB35" i="152"/>
  <c r="AE35" i="152" s="1"/>
  <c r="AI35" i="152" s="1"/>
  <c r="Y35" i="152" s="1"/>
  <c r="Z35" i="152"/>
  <c r="X35" i="152"/>
  <c r="Q35" i="152"/>
  <c r="P35" i="152"/>
  <c r="I35" i="152"/>
  <c r="H35" i="152"/>
  <c r="E35" i="152"/>
  <c r="AD34" i="152"/>
  <c r="AC34" i="152"/>
  <c r="AB34" i="152"/>
  <c r="AE34" i="152" s="1"/>
  <c r="AI34" i="152" s="1"/>
  <c r="Y34" i="152" s="1"/>
  <c r="Z34" i="152"/>
  <c r="X34" i="152"/>
  <c r="Q34" i="152"/>
  <c r="P34" i="152"/>
  <c r="I34" i="152"/>
  <c r="H34" i="152"/>
  <c r="E34" i="152"/>
  <c r="AD33" i="152"/>
  <c r="AC33" i="152"/>
  <c r="AB33" i="152"/>
  <c r="AE33" i="152" s="1"/>
  <c r="AI33" i="152" s="1"/>
  <c r="Y33" i="152" s="1"/>
  <c r="Z33" i="152"/>
  <c r="X33" i="152"/>
  <c r="Q33" i="152"/>
  <c r="P33" i="152"/>
  <c r="H33" i="152"/>
  <c r="E33" i="152"/>
  <c r="I33" i="152" s="1"/>
  <c r="AD32" i="152"/>
  <c r="AC32" i="152"/>
  <c r="AE32" i="152" s="1"/>
  <c r="AI32" i="152" s="1"/>
  <c r="Y32" i="152" s="1"/>
  <c r="AB32" i="152"/>
  <c r="Z32" i="152"/>
  <c r="X32" i="152"/>
  <c r="Q32" i="152"/>
  <c r="P32" i="152"/>
  <c r="I32" i="152"/>
  <c r="H32" i="152"/>
  <c r="E32" i="152"/>
  <c r="AE31" i="152"/>
  <c r="AI31" i="152" s="1"/>
  <c r="Y31" i="152" s="1"/>
  <c r="Z31" i="152"/>
  <c r="X31" i="152"/>
  <c r="Q31" i="152"/>
  <c r="P31" i="152"/>
  <c r="I31" i="152"/>
  <c r="H31" i="152"/>
  <c r="E31" i="152"/>
  <c r="AE30" i="152"/>
  <c r="AI30" i="152" s="1"/>
  <c r="Y30" i="152" s="1"/>
  <c r="AD30" i="152"/>
  <c r="AC30" i="152"/>
  <c r="AB30" i="152"/>
  <c r="Z30" i="152"/>
  <c r="X30" i="152"/>
  <c r="Q30" i="152"/>
  <c r="P30" i="152"/>
  <c r="H30" i="152"/>
  <c r="E30" i="152"/>
  <c r="I30" i="152" s="1"/>
  <c r="AD29" i="152"/>
  <c r="AC29" i="152"/>
  <c r="AB29" i="152"/>
  <c r="AE29" i="152" s="1"/>
  <c r="AI29" i="152" s="1"/>
  <c r="Y29" i="152" s="1"/>
  <c r="Z29" i="152"/>
  <c r="X29" i="152"/>
  <c r="Q29" i="152"/>
  <c r="P29" i="152"/>
  <c r="I29" i="152"/>
  <c r="H29" i="152"/>
  <c r="E29" i="152"/>
  <c r="AD28" i="152"/>
  <c r="AE28" i="152" s="1"/>
  <c r="AI28" i="152" s="1"/>
  <c r="Y28" i="152" s="1"/>
  <c r="AC28" i="152"/>
  <c r="AB28" i="152"/>
  <c r="Z28" i="152"/>
  <c r="X28" i="152"/>
  <c r="Q28" i="152"/>
  <c r="P28" i="152"/>
  <c r="H28" i="152"/>
  <c r="E28" i="152"/>
  <c r="I28" i="152" s="1"/>
  <c r="AE27" i="152"/>
  <c r="AI27" i="152" s="1"/>
  <c r="Y27" i="152" s="1"/>
  <c r="AD27" i="152"/>
  <c r="AC27" i="152"/>
  <c r="AB27" i="152"/>
  <c r="Z27" i="152"/>
  <c r="X27" i="152"/>
  <c r="Q27" i="152"/>
  <c r="P27" i="152"/>
  <c r="I27" i="152"/>
  <c r="H27" i="152"/>
  <c r="E27" i="152"/>
  <c r="AD26" i="152"/>
  <c r="AC26" i="152"/>
  <c r="AB26" i="152"/>
  <c r="AE26" i="152" s="1"/>
  <c r="AI26" i="152" s="1"/>
  <c r="Y26" i="152" s="1"/>
  <c r="Z26" i="152"/>
  <c r="X26" i="152"/>
  <c r="Q26" i="152"/>
  <c r="P26" i="152"/>
  <c r="H26" i="152"/>
  <c r="E26" i="152"/>
  <c r="I26" i="152" s="1"/>
  <c r="AD25" i="152"/>
  <c r="AC25" i="152"/>
  <c r="AE25" i="152" s="1"/>
  <c r="AI25" i="152" s="1"/>
  <c r="Y25" i="152" s="1"/>
  <c r="AB25" i="152"/>
  <c r="Z25" i="152"/>
  <c r="X25" i="152"/>
  <c r="Q25" i="152"/>
  <c r="P25" i="152"/>
  <c r="I25" i="152"/>
  <c r="H25" i="152"/>
  <c r="E25" i="152"/>
  <c r="AD24" i="152"/>
  <c r="AC24" i="152"/>
  <c r="AB24" i="152"/>
  <c r="AE24" i="152" s="1"/>
  <c r="AI24" i="152" s="1"/>
  <c r="Y24" i="152" s="1"/>
  <c r="Z24" i="152"/>
  <c r="X24" i="152"/>
  <c r="Q24" i="152"/>
  <c r="P24" i="152"/>
  <c r="I24" i="152"/>
  <c r="H24" i="152"/>
  <c r="E24" i="152"/>
  <c r="AE23" i="152"/>
  <c r="AI23" i="152" s="1"/>
  <c r="Y23" i="152" s="1"/>
  <c r="AD23" i="152"/>
  <c r="AC23" i="152"/>
  <c r="AB23" i="152"/>
  <c r="Z23" i="152"/>
  <c r="X23" i="152"/>
  <c r="Q23" i="152"/>
  <c r="P23" i="152"/>
  <c r="H23" i="152"/>
  <c r="E23" i="152"/>
  <c r="I23" i="152" s="1"/>
  <c r="AD22" i="152"/>
  <c r="AC22" i="152"/>
  <c r="AB22" i="152"/>
  <c r="AE22" i="152" s="1"/>
  <c r="AI22" i="152" s="1"/>
  <c r="Y22" i="152" s="1"/>
  <c r="Z22" i="152"/>
  <c r="X22" i="152"/>
  <c r="Q22" i="152"/>
  <c r="P22" i="152"/>
  <c r="H22" i="152"/>
  <c r="E22" i="152"/>
  <c r="I22" i="152" s="1"/>
  <c r="AD21" i="152"/>
  <c r="AC21" i="152"/>
  <c r="AE21" i="152" s="1"/>
  <c r="AI21" i="152" s="1"/>
  <c r="Y21" i="152" s="1"/>
  <c r="AB21" i="152"/>
  <c r="Z21" i="152"/>
  <c r="X21" i="152"/>
  <c r="Q21" i="152"/>
  <c r="P21" i="152"/>
  <c r="H21" i="152"/>
  <c r="E21" i="152"/>
  <c r="I21" i="152" s="1"/>
  <c r="AD20" i="152"/>
  <c r="AC20" i="152"/>
  <c r="AB20" i="152"/>
  <c r="AE20" i="152" s="1"/>
  <c r="AI20" i="152" s="1"/>
  <c r="Y20" i="152" s="1"/>
  <c r="Z20" i="152"/>
  <c r="X20" i="152"/>
  <c r="Q20" i="152"/>
  <c r="P20" i="152"/>
  <c r="I20" i="152"/>
  <c r="H20" i="152"/>
  <c r="E20" i="152"/>
  <c r="AD19" i="152"/>
  <c r="AC19" i="152"/>
  <c r="AB19" i="152"/>
  <c r="AE19" i="152" s="1"/>
  <c r="AI19" i="152" s="1"/>
  <c r="Y19" i="152" s="1"/>
  <c r="Z19" i="152"/>
  <c r="X19" i="152"/>
  <c r="Q19" i="152"/>
  <c r="P19" i="152"/>
  <c r="I19" i="152"/>
  <c r="H19" i="152"/>
  <c r="E19" i="152"/>
  <c r="AD18" i="152"/>
  <c r="AC18" i="152"/>
  <c r="AB18" i="152"/>
  <c r="AE18" i="152" s="1"/>
  <c r="AI18" i="152" s="1"/>
  <c r="Y18" i="152" s="1"/>
  <c r="Z18" i="152"/>
  <c r="X18" i="152"/>
  <c r="Q18" i="152"/>
  <c r="P18" i="152"/>
  <c r="H18" i="152"/>
  <c r="E18" i="152"/>
  <c r="I18" i="152" s="1"/>
  <c r="AD17" i="152"/>
  <c r="AC17" i="152"/>
  <c r="AE17" i="152" s="1"/>
  <c r="AI17" i="152" s="1"/>
  <c r="Y17" i="152" s="1"/>
  <c r="AB17" i="152"/>
  <c r="Z17" i="152"/>
  <c r="X17" i="152"/>
  <c r="Q17" i="152"/>
  <c r="P17" i="152"/>
  <c r="I17" i="152"/>
  <c r="H17" i="152"/>
  <c r="E17" i="152"/>
  <c r="AD16" i="152"/>
  <c r="AE16" i="152" s="1"/>
  <c r="AI16" i="152" s="1"/>
  <c r="Y16" i="152" s="1"/>
  <c r="AC16" i="152"/>
  <c r="AB16" i="152"/>
  <c r="Z16" i="152"/>
  <c r="T75" i="152" s="1"/>
  <c r="X16" i="152"/>
  <c r="T77" i="152" s="1"/>
  <c r="Q16" i="152"/>
  <c r="P16" i="152"/>
  <c r="E16" i="152"/>
  <c r="I16" i="152" s="1"/>
  <c r="AD15" i="152"/>
  <c r="AC15" i="152"/>
  <c r="AB15" i="152"/>
  <c r="AE15" i="152" s="1"/>
  <c r="AI15" i="152" s="1"/>
  <c r="Y15" i="152" s="1"/>
  <c r="Z15" i="152"/>
  <c r="X15" i="152"/>
  <c r="Q15" i="152"/>
  <c r="P15" i="152"/>
  <c r="I15" i="152"/>
  <c r="E15" i="152"/>
  <c r="AD14" i="152"/>
  <c r="AC14" i="152"/>
  <c r="AB14" i="152"/>
  <c r="AE14" i="152" s="1"/>
  <c r="AI14" i="152" s="1"/>
  <c r="Y14" i="152" s="1"/>
  <c r="Z14" i="152"/>
  <c r="X14" i="152"/>
  <c r="Q14" i="152"/>
  <c r="P14" i="152"/>
  <c r="I14" i="152"/>
  <c r="H14" i="152"/>
  <c r="E14" i="152"/>
  <c r="AE13" i="152"/>
  <c r="AI13" i="152" s="1"/>
  <c r="Y13" i="152" s="1"/>
  <c r="AD13" i="152"/>
  <c r="AC13" i="152"/>
  <c r="AB13" i="152"/>
  <c r="Z13" i="152"/>
  <c r="X13" i="152"/>
  <c r="Q13" i="152"/>
  <c r="P13" i="152"/>
  <c r="H13" i="152"/>
  <c r="E13" i="152"/>
  <c r="I13" i="152" s="1"/>
  <c r="AD12" i="152"/>
  <c r="AC12" i="152"/>
  <c r="AB12" i="152"/>
  <c r="AE12" i="152" s="1"/>
  <c r="AI12" i="152" s="1"/>
  <c r="Y12" i="152" s="1"/>
  <c r="Z12" i="152"/>
  <c r="X12" i="152"/>
  <c r="Q12" i="152"/>
  <c r="P12" i="152"/>
  <c r="H12" i="152"/>
  <c r="E12" i="152"/>
  <c r="I12" i="152" s="1"/>
  <c r="O73" i="152" l="1"/>
  <c r="O75" i="152"/>
  <c r="T79" i="152"/>
  <c r="T73" i="152"/>
  <c r="F75" i="152"/>
  <c r="F73" i="152"/>
  <c r="M79" i="151"/>
  <c r="W73" i="151"/>
  <c r="P71" i="151"/>
  <c r="H71" i="151"/>
  <c r="Q70" i="151"/>
  <c r="P70" i="151"/>
  <c r="H70" i="151"/>
  <c r="E70" i="151"/>
  <c r="I70" i="151" s="1"/>
  <c r="Q69" i="151"/>
  <c r="P69" i="151"/>
  <c r="H69" i="151"/>
  <c r="E69" i="151"/>
  <c r="I69" i="151" s="1"/>
  <c r="AD68" i="151"/>
  <c r="AC68" i="151"/>
  <c r="AB68" i="151"/>
  <c r="AE68" i="151" s="1"/>
  <c r="AI68" i="151" s="1"/>
  <c r="Y68" i="151" s="1"/>
  <c r="Z68" i="151"/>
  <c r="X68" i="151"/>
  <c r="W68" i="151"/>
  <c r="Q68" i="151"/>
  <c r="P68" i="151"/>
  <c r="I68" i="151"/>
  <c r="H68" i="151"/>
  <c r="E68" i="151"/>
  <c r="AE67" i="151"/>
  <c r="AI67" i="151" s="1"/>
  <c r="Y67" i="151" s="1"/>
  <c r="AD67" i="151"/>
  <c r="AC67" i="151"/>
  <c r="AB67" i="151"/>
  <c r="Z67" i="151"/>
  <c r="X67" i="151"/>
  <c r="Q67" i="151"/>
  <c r="P67" i="151"/>
  <c r="H67" i="151"/>
  <c r="E67" i="151"/>
  <c r="I67" i="151" s="1"/>
  <c r="AD66" i="151"/>
  <c r="AC66" i="151"/>
  <c r="AB66" i="151"/>
  <c r="AE66" i="151" s="1"/>
  <c r="AI66" i="151" s="1"/>
  <c r="Y66" i="151" s="1"/>
  <c r="Z66" i="151"/>
  <c r="X66" i="151"/>
  <c r="Q66" i="151"/>
  <c r="P66" i="151"/>
  <c r="H66" i="151"/>
  <c r="E66" i="151"/>
  <c r="I66" i="151" s="1"/>
  <c r="AD65" i="151"/>
  <c r="AE65" i="151" s="1"/>
  <c r="AI65" i="151" s="1"/>
  <c r="Y65" i="151" s="1"/>
  <c r="AC65" i="151"/>
  <c r="AB65" i="151"/>
  <c r="Z65" i="151"/>
  <c r="X65" i="151"/>
  <c r="Q65" i="151"/>
  <c r="P65" i="151"/>
  <c r="H65" i="151"/>
  <c r="E65" i="151"/>
  <c r="I65" i="151" s="1"/>
  <c r="AE64" i="151"/>
  <c r="AI64" i="151" s="1"/>
  <c r="Y64" i="151" s="1"/>
  <c r="AD64" i="151"/>
  <c r="AC64" i="151"/>
  <c r="AB64" i="151"/>
  <c r="Z64" i="151"/>
  <c r="X64" i="151"/>
  <c r="Q64" i="151"/>
  <c r="P64" i="151"/>
  <c r="I64" i="151"/>
  <c r="H64" i="151"/>
  <c r="E64" i="151"/>
  <c r="AD63" i="151"/>
  <c r="AE63" i="151" s="1"/>
  <c r="AI63" i="151" s="1"/>
  <c r="Y63" i="151" s="1"/>
  <c r="AC63" i="151"/>
  <c r="AB63" i="151"/>
  <c r="Z63" i="151"/>
  <c r="X63" i="151"/>
  <c r="Q63" i="151"/>
  <c r="P63" i="151"/>
  <c r="H63" i="151"/>
  <c r="E63" i="151"/>
  <c r="I63" i="151" s="1"/>
  <c r="AD62" i="151"/>
  <c r="AC62" i="151"/>
  <c r="AB62" i="151"/>
  <c r="AE62" i="151" s="1"/>
  <c r="AI62" i="151" s="1"/>
  <c r="Y62" i="151" s="1"/>
  <c r="Z62" i="151"/>
  <c r="X62" i="151"/>
  <c r="Q62" i="151"/>
  <c r="P62" i="151"/>
  <c r="I62" i="151"/>
  <c r="H62" i="151"/>
  <c r="E62" i="151"/>
  <c r="AC61" i="151"/>
  <c r="AB61" i="151"/>
  <c r="AE61" i="151" s="1"/>
  <c r="AI61" i="151" s="1"/>
  <c r="Y61" i="151" s="1"/>
  <c r="X61" i="151"/>
  <c r="Q61" i="151"/>
  <c r="P61" i="151"/>
  <c r="I61" i="151"/>
  <c r="H61" i="151"/>
  <c r="E61" i="151"/>
  <c r="AI60" i="151"/>
  <c r="Y60" i="151" s="1"/>
  <c r="AE60" i="151"/>
  <c r="X60" i="151"/>
  <c r="Q60" i="151"/>
  <c r="P60" i="151"/>
  <c r="H60" i="151"/>
  <c r="E60" i="151"/>
  <c r="I60" i="151" s="1"/>
  <c r="AC59" i="151"/>
  <c r="AB59" i="151"/>
  <c r="AE59" i="151" s="1"/>
  <c r="AI59" i="151" s="1"/>
  <c r="Y59" i="151" s="1"/>
  <c r="X59" i="151"/>
  <c r="Q59" i="151"/>
  <c r="P59" i="151"/>
  <c r="H59" i="151"/>
  <c r="E59" i="151"/>
  <c r="I59" i="151" s="1"/>
  <c r="AC58" i="151"/>
  <c r="AB58" i="151"/>
  <c r="AE58" i="151" s="1"/>
  <c r="AI58" i="151" s="1"/>
  <c r="Y58" i="151" s="1"/>
  <c r="X58" i="151"/>
  <c r="Q58" i="151"/>
  <c r="P58" i="151"/>
  <c r="E58" i="151"/>
  <c r="I58" i="151" s="1"/>
  <c r="AE57" i="151"/>
  <c r="AI57" i="151" s="1"/>
  <c r="Y57" i="151" s="1"/>
  <c r="AC57" i="151"/>
  <c r="AB57" i="151"/>
  <c r="X57" i="151"/>
  <c r="Q57" i="151"/>
  <c r="P57" i="151"/>
  <c r="H57" i="151"/>
  <c r="E57" i="151"/>
  <c r="I57" i="151" s="1"/>
  <c r="AD56" i="151"/>
  <c r="AC56" i="151"/>
  <c r="AB56" i="151"/>
  <c r="AE56" i="151" s="1"/>
  <c r="AI56" i="151" s="1"/>
  <c r="Y56" i="151" s="1"/>
  <c r="Z56" i="151"/>
  <c r="X56" i="151"/>
  <c r="Q56" i="151"/>
  <c r="P56" i="151"/>
  <c r="I56" i="151"/>
  <c r="H56" i="151"/>
  <c r="E56" i="151"/>
  <c r="AD55" i="151"/>
  <c r="AC55" i="151"/>
  <c r="AE55" i="151" s="1"/>
  <c r="AI55" i="151" s="1"/>
  <c r="Y55" i="151" s="1"/>
  <c r="AB55" i="151"/>
  <c r="Z55" i="151"/>
  <c r="X55" i="151"/>
  <c r="Q55" i="151"/>
  <c r="P55" i="151"/>
  <c r="I55" i="151"/>
  <c r="H55" i="151"/>
  <c r="E55" i="151"/>
  <c r="AD54" i="151"/>
  <c r="AC54" i="151"/>
  <c r="AB54" i="151"/>
  <c r="AE54" i="151" s="1"/>
  <c r="AI54" i="151" s="1"/>
  <c r="Y54" i="151" s="1"/>
  <c r="Z54" i="151"/>
  <c r="X54" i="151"/>
  <c r="Q54" i="151"/>
  <c r="P54" i="151"/>
  <c r="I54" i="151"/>
  <c r="H54" i="151"/>
  <c r="E54" i="151"/>
  <c r="AD53" i="151"/>
  <c r="AC53" i="151"/>
  <c r="AB53" i="151"/>
  <c r="AE53" i="151" s="1"/>
  <c r="AI53" i="151" s="1"/>
  <c r="Y53" i="151" s="1"/>
  <c r="Z53" i="151"/>
  <c r="X53" i="151"/>
  <c r="Q53" i="151"/>
  <c r="P53" i="151"/>
  <c r="H53" i="151"/>
  <c r="E53" i="151"/>
  <c r="I53" i="151" s="1"/>
  <c r="AI52" i="151"/>
  <c r="Y52" i="151" s="1"/>
  <c r="AE52" i="151"/>
  <c r="Z52" i="151"/>
  <c r="X52" i="151"/>
  <c r="Q52" i="151"/>
  <c r="P52" i="151"/>
  <c r="I52" i="151"/>
  <c r="H52" i="151"/>
  <c r="E52" i="151"/>
  <c r="AD51" i="151"/>
  <c r="AE51" i="151" s="1"/>
  <c r="AI51" i="151" s="1"/>
  <c r="Y51" i="151" s="1"/>
  <c r="AC51" i="151"/>
  <c r="AB51" i="151"/>
  <c r="Z51" i="151"/>
  <c r="X51" i="151"/>
  <c r="Q51" i="151"/>
  <c r="P51" i="151"/>
  <c r="H51" i="151"/>
  <c r="E51" i="151"/>
  <c r="I51" i="151" s="1"/>
  <c r="AD50" i="151"/>
  <c r="AC50" i="151"/>
  <c r="AB50" i="151"/>
  <c r="AE50" i="151" s="1"/>
  <c r="AI50" i="151" s="1"/>
  <c r="Y50" i="151" s="1"/>
  <c r="Z50" i="151"/>
  <c r="X50" i="151"/>
  <c r="Q50" i="151"/>
  <c r="P50" i="151"/>
  <c r="H50" i="151"/>
  <c r="E50" i="151"/>
  <c r="I50" i="151" s="1"/>
  <c r="AI49" i="151"/>
  <c r="AE49" i="151"/>
  <c r="Z49" i="151"/>
  <c r="Y49" i="151"/>
  <c r="X49" i="151"/>
  <c r="Q49" i="151"/>
  <c r="P49" i="151"/>
  <c r="I49" i="151"/>
  <c r="H49" i="151"/>
  <c r="E49" i="151"/>
  <c r="AE48" i="151"/>
  <c r="AI48" i="151" s="1"/>
  <c r="Y48" i="151" s="1"/>
  <c r="Z48" i="151"/>
  <c r="X48" i="151"/>
  <c r="Q48" i="151"/>
  <c r="P48" i="151"/>
  <c r="H48" i="151"/>
  <c r="E48" i="151"/>
  <c r="I48" i="151" s="1"/>
  <c r="AI47" i="151"/>
  <c r="AE47" i="151"/>
  <c r="Z47" i="151"/>
  <c r="Y47" i="151"/>
  <c r="X47" i="151"/>
  <c r="Q47" i="151"/>
  <c r="P47" i="151"/>
  <c r="I47" i="151"/>
  <c r="H47" i="151"/>
  <c r="E47" i="151"/>
  <c r="AI46" i="151"/>
  <c r="Y46" i="151" s="1"/>
  <c r="AE46" i="151"/>
  <c r="AD46" i="151"/>
  <c r="AC46" i="151"/>
  <c r="AB46" i="151"/>
  <c r="Z46" i="151"/>
  <c r="X46" i="151"/>
  <c r="Q46" i="151"/>
  <c r="P46" i="151"/>
  <c r="I46" i="151"/>
  <c r="H46" i="151"/>
  <c r="E46" i="151"/>
  <c r="AE45" i="151"/>
  <c r="AI45" i="151" s="1"/>
  <c r="Y45" i="151" s="1"/>
  <c r="AD45" i="151"/>
  <c r="AC45" i="151"/>
  <c r="AB45" i="151"/>
  <c r="Z45" i="151"/>
  <c r="X45" i="151"/>
  <c r="Q45" i="151"/>
  <c r="P45" i="151"/>
  <c r="H45" i="151"/>
  <c r="E45" i="151"/>
  <c r="I45" i="151" s="1"/>
  <c r="AD44" i="151"/>
  <c r="AC44" i="151"/>
  <c r="AB44" i="151"/>
  <c r="AE44" i="151" s="1"/>
  <c r="AI44" i="151" s="1"/>
  <c r="Y44" i="151" s="1"/>
  <c r="Z44" i="151"/>
  <c r="X44" i="151"/>
  <c r="Q44" i="151"/>
  <c r="P44" i="151"/>
  <c r="I44" i="151"/>
  <c r="H44" i="151"/>
  <c r="E44" i="151"/>
  <c r="AD43" i="151"/>
  <c r="AC43" i="151"/>
  <c r="AE43" i="151" s="1"/>
  <c r="AI43" i="151" s="1"/>
  <c r="Y43" i="151" s="1"/>
  <c r="AB43" i="151"/>
  <c r="Z43" i="151"/>
  <c r="X43" i="151"/>
  <c r="Q43" i="151"/>
  <c r="P43" i="151"/>
  <c r="I43" i="151"/>
  <c r="H43" i="151"/>
  <c r="E43" i="151"/>
  <c r="AD42" i="151"/>
  <c r="AC42" i="151"/>
  <c r="AB42" i="151"/>
  <c r="AE42" i="151" s="1"/>
  <c r="AI42" i="151" s="1"/>
  <c r="Y42" i="151" s="1"/>
  <c r="Z42" i="151"/>
  <c r="X42" i="151"/>
  <c r="Q42" i="151"/>
  <c r="P42" i="151"/>
  <c r="I42" i="151"/>
  <c r="H42" i="151"/>
  <c r="E42" i="151"/>
  <c r="AD41" i="151"/>
  <c r="AC41" i="151"/>
  <c r="AB41" i="151"/>
  <c r="AE41" i="151" s="1"/>
  <c r="AI41" i="151" s="1"/>
  <c r="Y41" i="151" s="1"/>
  <c r="Z41" i="151"/>
  <c r="X41" i="151"/>
  <c r="Q41" i="151"/>
  <c r="P41" i="151"/>
  <c r="H41" i="151"/>
  <c r="E41" i="151"/>
  <c r="I41" i="151" s="1"/>
  <c r="AD40" i="151"/>
  <c r="AC40" i="151"/>
  <c r="AE40" i="151" s="1"/>
  <c r="AI40" i="151" s="1"/>
  <c r="Y40" i="151" s="1"/>
  <c r="AB40" i="151"/>
  <c r="Z40" i="151"/>
  <c r="X40" i="151"/>
  <c r="Q40" i="151"/>
  <c r="P40" i="151"/>
  <c r="H40" i="151"/>
  <c r="E40" i="151"/>
  <c r="I40" i="151" s="1"/>
  <c r="AD39" i="151"/>
  <c r="AC39" i="151"/>
  <c r="AE39" i="151" s="1"/>
  <c r="AI39" i="151" s="1"/>
  <c r="Y39" i="151" s="1"/>
  <c r="AB39" i="151"/>
  <c r="Z39" i="151"/>
  <c r="X39" i="151"/>
  <c r="Q39" i="151"/>
  <c r="P39" i="151"/>
  <c r="I39" i="151"/>
  <c r="H39" i="151"/>
  <c r="E39" i="151"/>
  <c r="AD38" i="151"/>
  <c r="AE38" i="151" s="1"/>
  <c r="AI38" i="151" s="1"/>
  <c r="Y38" i="151" s="1"/>
  <c r="AC38" i="151"/>
  <c r="AB38" i="151"/>
  <c r="Z38" i="151"/>
  <c r="X38" i="151"/>
  <c r="Q38" i="151"/>
  <c r="P38" i="151"/>
  <c r="H38" i="151"/>
  <c r="E38" i="151"/>
  <c r="I38" i="151" s="1"/>
  <c r="AD37" i="151"/>
  <c r="AC37" i="151"/>
  <c r="AB37" i="151"/>
  <c r="AE37" i="151" s="1"/>
  <c r="AI37" i="151" s="1"/>
  <c r="Y37" i="151" s="1"/>
  <c r="Z37" i="151"/>
  <c r="X37" i="151"/>
  <c r="Q37" i="151"/>
  <c r="P37" i="151"/>
  <c r="H37" i="151"/>
  <c r="E37" i="151"/>
  <c r="I37" i="151" s="1"/>
  <c r="AE36" i="151"/>
  <c r="AI36" i="151" s="1"/>
  <c r="Y36" i="151" s="1"/>
  <c r="AD36" i="151"/>
  <c r="AC36" i="151"/>
  <c r="AB36" i="151"/>
  <c r="Z36" i="151"/>
  <c r="X36" i="151"/>
  <c r="Q36" i="151"/>
  <c r="P36" i="151"/>
  <c r="H36" i="151"/>
  <c r="E36" i="151"/>
  <c r="I36" i="151" s="1"/>
  <c r="AE35" i="151"/>
  <c r="AI35" i="151" s="1"/>
  <c r="Y35" i="151" s="1"/>
  <c r="AD35" i="151"/>
  <c r="AC35" i="151"/>
  <c r="AB35" i="151"/>
  <c r="Z35" i="151"/>
  <c r="X35" i="151"/>
  <c r="Q35" i="151"/>
  <c r="P35" i="151"/>
  <c r="I35" i="151"/>
  <c r="H35" i="151"/>
  <c r="E35" i="151"/>
  <c r="AD34" i="151"/>
  <c r="AE34" i="151" s="1"/>
  <c r="AI34" i="151" s="1"/>
  <c r="Y34" i="151" s="1"/>
  <c r="AC34" i="151"/>
  <c r="AB34" i="151"/>
  <c r="Z34" i="151"/>
  <c r="X34" i="151"/>
  <c r="Q34" i="151"/>
  <c r="P34" i="151"/>
  <c r="H34" i="151"/>
  <c r="E34" i="151"/>
  <c r="I34" i="151" s="1"/>
  <c r="AD33" i="151"/>
  <c r="AC33" i="151"/>
  <c r="AB33" i="151"/>
  <c r="AE33" i="151" s="1"/>
  <c r="AI33" i="151" s="1"/>
  <c r="Y33" i="151" s="1"/>
  <c r="Z33" i="151"/>
  <c r="X33" i="151"/>
  <c r="Q33" i="151"/>
  <c r="P33" i="151"/>
  <c r="I33" i="151"/>
  <c r="H33" i="151"/>
  <c r="E33" i="151"/>
  <c r="AD32" i="151"/>
  <c r="AC32" i="151"/>
  <c r="AB32" i="151"/>
  <c r="AE32" i="151" s="1"/>
  <c r="AI32" i="151" s="1"/>
  <c r="Y32" i="151" s="1"/>
  <c r="Z32" i="151"/>
  <c r="X32" i="151"/>
  <c r="Q32" i="151"/>
  <c r="P32" i="151"/>
  <c r="I32" i="151"/>
  <c r="H32" i="151"/>
  <c r="E32" i="151"/>
  <c r="AI31" i="151"/>
  <c r="Y31" i="151" s="1"/>
  <c r="AE31" i="151"/>
  <c r="Z31" i="151"/>
  <c r="X31" i="151"/>
  <c r="Q31" i="151"/>
  <c r="P31" i="151"/>
  <c r="I31" i="151"/>
  <c r="H31" i="151"/>
  <c r="E31" i="151"/>
  <c r="AE30" i="151"/>
  <c r="AI30" i="151" s="1"/>
  <c r="Y30" i="151" s="1"/>
  <c r="AD30" i="151"/>
  <c r="AC30" i="151"/>
  <c r="AB30" i="151"/>
  <c r="Z30" i="151"/>
  <c r="X30" i="151"/>
  <c r="Q30" i="151"/>
  <c r="P30" i="151"/>
  <c r="H30" i="151"/>
  <c r="E30" i="151"/>
  <c r="I30" i="151" s="1"/>
  <c r="AD29" i="151"/>
  <c r="AC29" i="151"/>
  <c r="AB29" i="151"/>
  <c r="AE29" i="151" s="1"/>
  <c r="AI29" i="151" s="1"/>
  <c r="Y29" i="151" s="1"/>
  <c r="Z29" i="151"/>
  <c r="X29" i="151"/>
  <c r="Q29" i="151"/>
  <c r="P29" i="151"/>
  <c r="I29" i="151"/>
  <c r="H29" i="151"/>
  <c r="E29" i="151"/>
  <c r="AD28" i="151"/>
  <c r="AC28" i="151"/>
  <c r="AE28" i="151" s="1"/>
  <c r="AI28" i="151" s="1"/>
  <c r="Y28" i="151" s="1"/>
  <c r="AB28" i="151"/>
  <c r="Z28" i="151"/>
  <c r="X28" i="151"/>
  <c r="Q28" i="151"/>
  <c r="P28" i="151"/>
  <c r="I28" i="151"/>
  <c r="H28" i="151"/>
  <c r="E28" i="151"/>
  <c r="AD27" i="151"/>
  <c r="AC27" i="151"/>
  <c r="AB27" i="151"/>
  <c r="AE27" i="151" s="1"/>
  <c r="AI27" i="151" s="1"/>
  <c r="Y27" i="151" s="1"/>
  <c r="Z27" i="151"/>
  <c r="X27" i="151"/>
  <c r="Q27" i="151"/>
  <c r="P27" i="151"/>
  <c r="I27" i="151"/>
  <c r="H27" i="151"/>
  <c r="E27" i="151"/>
  <c r="AD26" i="151"/>
  <c r="AC26" i="151"/>
  <c r="AB26" i="151"/>
  <c r="AE26" i="151" s="1"/>
  <c r="AI26" i="151" s="1"/>
  <c r="Y26" i="151" s="1"/>
  <c r="Z26" i="151"/>
  <c r="X26" i="151"/>
  <c r="Q26" i="151"/>
  <c r="P26" i="151"/>
  <c r="H26" i="151"/>
  <c r="E26" i="151"/>
  <c r="I26" i="151" s="1"/>
  <c r="AD25" i="151"/>
  <c r="AC25" i="151"/>
  <c r="AE25" i="151" s="1"/>
  <c r="AI25" i="151" s="1"/>
  <c r="Y25" i="151" s="1"/>
  <c r="AB25" i="151"/>
  <c r="Z25" i="151"/>
  <c r="X25" i="151"/>
  <c r="Q25" i="151"/>
  <c r="P25" i="151"/>
  <c r="H25" i="151"/>
  <c r="E25" i="151"/>
  <c r="I25" i="151" s="1"/>
  <c r="AD24" i="151"/>
  <c r="AC24" i="151"/>
  <c r="AE24" i="151" s="1"/>
  <c r="AI24" i="151" s="1"/>
  <c r="Y24" i="151" s="1"/>
  <c r="AB24" i="151"/>
  <c r="Z24" i="151"/>
  <c r="X24" i="151"/>
  <c r="Q24" i="151"/>
  <c r="P24" i="151"/>
  <c r="I24" i="151"/>
  <c r="H24" i="151"/>
  <c r="E24" i="151"/>
  <c r="AD23" i="151"/>
  <c r="AE23" i="151" s="1"/>
  <c r="AI23" i="151" s="1"/>
  <c r="Y23" i="151" s="1"/>
  <c r="AC23" i="151"/>
  <c r="AB23" i="151"/>
  <c r="Z23" i="151"/>
  <c r="X23" i="151"/>
  <c r="Q23" i="151"/>
  <c r="P23" i="151"/>
  <c r="H23" i="151"/>
  <c r="E23" i="151"/>
  <c r="I23" i="151" s="1"/>
  <c r="AD22" i="151"/>
  <c r="AC22" i="151"/>
  <c r="AB22" i="151"/>
  <c r="AE22" i="151" s="1"/>
  <c r="AI22" i="151" s="1"/>
  <c r="Y22" i="151" s="1"/>
  <c r="Z22" i="151"/>
  <c r="X22" i="151"/>
  <c r="Q22" i="151"/>
  <c r="P22" i="151"/>
  <c r="H22" i="151"/>
  <c r="E22" i="151"/>
  <c r="I22" i="151" s="1"/>
  <c r="AE21" i="151"/>
  <c r="AI21" i="151" s="1"/>
  <c r="Y21" i="151" s="1"/>
  <c r="AD21" i="151"/>
  <c r="AC21" i="151"/>
  <c r="AB21" i="151"/>
  <c r="Z21" i="151"/>
  <c r="X21" i="151"/>
  <c r="Q21" i="151"/>
  <c r="P21" i="151"/>
  <c r="H21" i="151"/>
  <c r="E21" i="151"/>
  <c r="I21" i="151" s="1"/>
  <c r="AE20" i="151"/>
  <c r="AI20" i="151" s="1"/>
  <c r="Y20" i="151" s="1"/>
  <c r="AD20" i="151"/>
  <c r="AC20" i="151"/>
  <c r="AB20" i="151"/>
  <c r="Z20" i="151"/>
  <c r="X20" i="151"/>
  <c r="Q20" i="151"/>
  <c r="P20" i="151"/>
  <c r="I20" i="151"/>
  <c r="H20" i="151"/>
  <c r="E20" i="151"/>
  <c r="AD19" i="151"/>
  <c r="AC19" i="151"/>
  <c r="AB19" i="151"/>
  <c r="AE19" i="151" s="1"/>
  <c r="AI19" i="151" s="1"/>
  <c r="Y19" i="151" s="1"/>
  <c r="Z19" i="151"/>
  <c r="X19" i="151"/>
  <c r="Q19" i="151"/>
  <c r="P19" i="151"/>
  <c r="H19" i="151"/>
  <c r="E19" i="151"/>
  <c r="I19" i="151" s="1"/>
  <c r="AD18" i="151"/>
  <c r="AC18" i="151"/>
  <c r="AB18" i="151"/>
  <c r="AE18" i="151" s="1"/>
  <c r="AI18" i="151" s="1"/>
  <c r="Y18" i="151" s="1"/>
  <c r="Z18" i="151"/>
  <c r="X18" i="151"/>
  <c r="Q18" i="151"/>
  <c r="P18" i="151"/>
  <c r="I18" i="151"/>
  <c r="H18" i="151"/>
  <c r="E18" i="151"/>
  <c r="AD17" i="151"/>
  <c r="AC17" i="151"/>
  <c r="AB17" i="151"/>
  <c r="AE17" i="151" s="1"/>
  <c r="AI17" i="151" s="1"/>
  <c r="Y17" i="151" s="1"/>
  <c r="Z17" i="151"/>
  <c r="X17" i="151"/>
  <c r="Q17" i="151"/>
  <c r="O75" i="151" s="1"/>
  <c r="P17" i="151"/>
  <c r="I17" i="151"/>
  <c r="H17" i="151"/>
  <c r="E17" i="151"/>
  <c r="AE16" i="151"/>
  <c r="AI16" i="151" s="1"/>
  <c r="Y16" i="151" s="1"/>
  <c r="AD16" i="151"/>
  <c r="AC16" i="151"/>
  <c r="AB16" i="151"/>
  <c r="Z16" i="151"/>
  <c r="X16" i="151"/>
  <c r="Q16" i="151"/>
  <c r="P16" i="151"/>
  <c r="E16" i="151"/>
  <c r="I16" i="151" s="1"/>
  <c r="AE15" i="151"/>
  <c r="AI15" i="151" s="1"/>
  <c r="Y15" i="151" s="1"/>
  <c r="AD15" i="151"/>
  <c r="AC15" i="151"/>
  <c r="AB15" i="151"/>
  <c r="Z15" i="151"/>
  <c r="X15" i="151"/>
  <c r="Q15" i="151"/>
  <c r="P15" i="151"/>
  <c r="E15" i="151"/>
  <c r="I15" i="151" s="1"/>
  <c r="AD14" i="151"/>
  <c r="AC14" i="151"/>
  <c r="AE14" i="151" s="1"/>
  <c r="AI14" i="151" s="1"/>
  <c r="Y14" i="151" s="1"/>
  <c r="AB14" i="151"/>
  <c r="Z14" i="151"/>
  <c r="X14" i="151"/>
  <c r="Q14" i="151"/>
  <c r="P14" i="151"/>
  <c r="I14" i="151"/>
  <c r="H14" i="151"/>
  <c r="E14" i="151"/>
  <c r="AD13" i="151"/>
  <c r="AE13" i="151" s="1"/>
  <c r="AI13" i="151" s="1"/>
  <c r="Y13" i="151" s="1"/>
  <c r="AC13" i="151"/>
  <c r="AB13" i="151"/>
  <c r="Z13" i="151"/>
  <c r="X13" i="151"/>
  <c r="Q13" i="151"/>
  <c r="P13" i="151"/>
  <c r="H13" i="151"/>
  <c r="E13" i="151"/>
  <c r="I13" i="151" s="1"/>
  <c r="AD12" i="151"/>
  <c r="AC12" i="151"/>
  <c r="AB12" i="151"/>
  <c r="AE12" i="151" s="1"/>
  <c r="AI12" i="151" s="1"/>
  <c r="Y12" i="151" s="1"/>
  <c r="Z12" i="151"/>
  <c r="T75" i="151" s="1"/>
  <c r="X12" i="151"/>
  <c r="T77" i="151" s="1"/>
  <c r="Q12" i="151"/>
  <c r="P12" i="151"/>
  <c r="H12" i="151"/>
  <c r="E12" i="151"/>
  <c r="I12" i="151" s="1"/>
  <c r="F77" i="152" l="1"/>
  <c r="O73" i="151"/>
  <c r="F75" i="151"/>
  <c r="F73" i="151"/>
  <c r="T73" i="151"/>
  <c r="T79" i="151" s="1"/>
  <c r="M79" i="150"/>
  <c r="T77" i="150"/>
  <c r="W73" i="150"/>
  <c r="P71" i="150"/>
  <c r="H71" i="150"/>
  <c r="Q70" i="150"/>
  <c r="P70" i="150"/>
  <c r="I70" i="150"/>
  <c r="H70" i="150"/>
  <c r="E70" i="150"/>
  <c r="Q69" i="150"/>
  <c r="P69" i="150"/>
  <c r="H69" i="150"/>
  <c r="E69" i="150"/>
  <c r="I69" i="150" s="1"/>
  <c r="AD68" i="150"/>
  <c r="AC68" i="150"/>
  <c r="AB68" i="150"/>
  <c r="AE68" i="150" s="1"/>
  <c r="AI68" i="150" s="1"/>
  <c r="Y68" i="150" s="1"/>
  <c r="Z68" i="150"/>
  <c r="X68" i="150"/>
  <c r="W68" i="150"/>
  <c r="Q68" i="150"/>
  <c r="P68" i="150"/>
  <c r="I68" i="150"/>
  <c r="H68" i="150"/>
  <c r="E68" i="150"/>
  <c r="AD67" i="150"/>
  <c r="AE67" i="150" s="1"/>
  <c r="AI67" i="150" s="1"/>
  <c r="Y67" i="150" s="1"/>
  <c r="AC67" i="150"/>
  <c r="AB67" i="150"/>
  <c r="Z67" i="150"/>
  <c r="X67" i="150"/>
  <c r="Q67" i="150"/>
  <c r="P67" i="150"/>
  <c r="H67" i="150"/>
  <c r="E67" i="150"/>
  <c r="I67" i="150" s="1"/>
  <c r="AD66" i="150"/>
  <c r="AC66" i="150"/>
  <c r="AB66" i="150"/>
  <c r="AE66" i="150" s="1"/>
  <c r="AI66" i="150" s="1"/>
  <c r="Y66" i="150" s="1"/>
  <c r="Z66" i="150"/>
  <c r="X66" i="150"/>
  <c r="Q66" i="150"/>
  <c r="P66" i="150"/>
  <c r="H66" i="150"/>
  <c r="E66" i="150"/>
  <c r="I66" i="150" s="1"/>
  <c r="AD65" i="150"/>
  <c r="AC65" i="150"/>
  <c r="AE65" i="150" s="1"/>
  <c r="AI65" i="150" s="1"/>
  <c r="Y65" i="150" s="1"/>
  <c r="AB65" i="150"/>
  <c r="Z65" i="150"/>
  <c r="X65" i="150"/>
  <c r="Q65" i="150"/>
  <c r="P65" i="150"/>
  <c r="H65" i="150"/>
  <c r="E65" i="150"/>
  <c r="I65" i="150" s="1"/>
  <c r="AD64" i="150"/>
  <c r="AC64" i="150"/>
  <c r="AB64" i="150"/>
  <c r="AE64" i="150" s="1"/>
  <c r="AI64" i="150" s="1"/>
  <c r="Y64" i="150" s="1"/>
  <c r="Z64" i="150"/>
  <c r="X64" i="150"/>
  <c r="Q64" i="150"/>
  <c r="P64" i="150"/>
  <c r="I64" i="150"/>
  <c r="H64" i="150"/>
  <c r="E64" i="150"/>
  <c r="AD63" i="150"/>
  <c r="AC63" i="150"/>
  <c r="AB63" i="150"/>
  <c r="AE63" i="150" s="1"/>
  <c r="AI63" i="150" s="1"/>
  <c r="Y63" i="150" s="1"/>
  <c r="Z63" i="150"/>
  <c r="X63" i="150"/>
  <c r="Q63" i="150"/>
  <c r="P63" i="150"/>
  <c r="H63" i="150"/>
  <c r="E63" i="150"/>
  <c r="I63" i="150" s="1"/>
  <c r="AE62" i="150"/>
  <c r="AI62" i="150" s="1"/>
  <c r="Y62" i="150" s="1"/>
  <c r="AD62" i="150"/>
  <c r="AC62" i="150"/>
  <c r="AB62" i="150"/>
  <c r="Z62" i="150"/>
  <c r="X62" i="150"/>
  <c r="Q62" i="150"/>
  <c r="P62" i="150"/>
  <c r="H62" i="150"/>
  <c r="E62" i="150"/>
  <c r="I62" i="150" s="1"/>
  <c r="AC61" i="150"/>
  <c r="AB61" i="150"/>
  <c r="AE61" i="150" s="1"/>
  <c r="AI61" i="150" s="1"/>
  <c r="Y61" i="150" s="1"/>
  <c r="X61" i="150"/>
  <c r="Q61" i="150"/>
  <c r="P61" i="150"/>
  <c r="H61" i="150"/>
  <c r="E61" i="150"/>
  <c r="I61" i="150" s="1"/>
  <c r="AE60" i="150"/>
  <c r="AI60" i="150" s="1"/>
  <c r="Y60" i="150" s="1"/>
  <c r="X60" i="150"/>
  <c r="Q60" i="150"/>
  <c r="P60" i="150"/>
  <c r="H60" i="150"/>
  <c r="E60" i="150"/>
  <c r="I60" i="150" s="1"/>
  <c r="AC59" i="150"/>
  <c r="AB59" i="150"/>
  <c r="AE59" i="150" s="1"/>
  <c r="AI59" i="150" s="1"/>
  <c r="Y59" i="150" s="1"/>
  <c r="X59" i="150"/>
  <c r="Q59" i="150"/>
  <c r="P59" i="150"/>
  <c r="H59" i="150"/>
  <c r="E59" i="150"/>
  <c r="I59" i="150" s="1"/>
  <c r="AC58" i="150"/>
  <c r="AB58" i="150"/>
  <c r="AE58" i="150" s="1"/>
  <c r="AI58" i="150" s="1"/>
  <c r="Y58" i="150" s="1"/>
  <c r="X58" i="150"/>
  <c r="Q58" i="150"/>
  <c r="P58" i="150"/>
  <c r="E58" i="150"/>
  <c r="I58" i="150" s="1"/>
  <c r="AC57" i="150"/>
  <c r="AB57" i="150"/>
  <c r="AE57" i="150" s="1"/>
  <c r="AI57" i="150" s="1"/>
  <c r="Y57" i="150" s="1"/>
  <c r="X57" i="150"/>
  <c r="Q57" i="150"/>
  <c r="P57" i="150"/>
  <c r="H57" i="150"/>
  <c r="E57" i="150"/>
  <c r="I57" i="150" s="1"/>
  <c r="AD56" i="150"/>
  <c r="AC56" i="150"/>
  <c r="AB56" i="150"/>
  <c r="AE56" i="150" s="1"/>
  <c r="AI56" i="150" s="1"/>
  <c r="Y56" i="150" s="1"/>
  <c r="Z56" i="150"/>
  <c r="X56" i="150"/>
  <c r="Q56" i="150"/>
  <c r="P56" i="150"/>
  <c r="I56" i="150"/>
  <c r="H56" i="150"/>
  <c r="E56" i="150"/>
  <c r="AD55" i="150"/>
  <c r="AC55" i="150"/>
  <c r="AE55" i="150" s="1"/>
  <c r="AI55" i="150" s="1"/>
  <c r="Y55" i="150" s="1"/>
  <c r="AB55" i="150"/>
  <c r="Z55" i="150"/>
  <c r="X55" i="150"/>
  <c r="Q55" i="150"/>
  <c r="P55" i="150"/>
  <c r="H55" i="150"/>
  <c r="E55" i="150"/>
  <c r="I55" i="150" s="1"/>
  <c r="AE54" i="150"/>
  <c r="AI54" i="150" s="1"/>
  <c r="Y54" i="150" s="1"/>
  <c r="AD54" i="150"/>
  <c r="AC54" i="150"/>
  <c r="AB54" i="150"/>
  <c r="Z54" i="150"/>
  <c r="X54" i="150"/>
  <c r="Q54" i="150"/>
  <c r="P54" i="150"/>
  <c r="H54" i="150"/>
  <c r="E54" i="150"/>
  <c r="I54" i="150" s="1"/>
  <c r="AD53" i="150"/>
  <c r="AC53" i="150"/>
  <c r="AB53" i="150"/>
  <c r="AE53" i="150" s="1"/>
  <c r="AI53" i="150" s="1"/>
  <c r="Y53" i="150" s="1"/>
  <c r="Z53" i="150"/>
  <c r="X53" i="150"/>
  <c r="Q53" i="150"/>
  <c r="P53" i="150"/>
  <c r="H53" i="150"/>
  <c r="E53" i="150"/>
  <c r="I53" i="150" s="1"/>
  <c r="AE52" i="150"/>
  <c r="AI52" i="150" s="1"/>
  <c r="Y52" i="150" s="1"/>
  <c r="Z52" i="150"/>
  <c r="X52" i="150"/>
  <c r="Q52" i="150"/>
  <c r="P52" i="150"/>
  <c r="I52" i="150"/>
  <c r="H52" i="150"/>
  <c r="E52" i="150"/>
  <c r="AD51" i="150"/>
  <c r="AE51" i="150" s="1"/>
  <c r="AI51" i="150" s="1"/>
  <c r="Y51" i="150" s="1"/>
  <c r="AC51" i="150"/>
  <c r="AB51" i="150"/>
  <c r="Z51" i="150"/>
  <c r="X51" i="150"/>
  <c r="Q51" i="150"/>
  <c r="P51" i="150"/>
  <c r="H51" i="150"/>
  <c r="E51" i="150"/>
  <c r="I51" i="150" s="1"/>
  <c r="AD50" i="150"/>
  <c r="AC50" i="150"/>
  <c r="AB50" i="150"/>
  <c r="AE50" i="150" s="1"/>
  <c r="AI50" i="150" s="1"/>
  <c r="Y50" i="150" s="1"/>
  <c r="Z50" i="150"/>
  <c r="X50" i="150"/>
  <c r="Q50" i="150"/>
  <c r="P50" i="150"/>
  <c r="H50" i="150"/>
  <c r="E50" i="150"/>
  <c r="I50" i="150" s="1"/>
  <c r="AE49" i="150"/>
  <c r="AI49" i="150" s="1"/>
  <c r="Y49" i="150" s="1"/>
  <c r="Z49" i="150"/>
  <c r="X49" i="150"/>
  <c r="Q49" i="150"/>
  <c r="P49" i="150"/>
  <c r="I49" i="150"/>
  <c r="H49" i="150"/>
  <c r="E49" i="150"/>
  <c r="AE48" i="150"/>
  <c r="AI48" i="150" s="1"/>
  <c r="Y48" i="150" s="1"/>
  <c r="Z48" i="150"/>
  <c r="X48" i="150"/>
  <c r="Q48" i="150"/>
  <c r="P48" i="150"/>
  <c r="H48" i="150"/>
  <c r="E48" i="150"/>
  <c r="I48" i="150" s="1"/>
  <c r="AI47" i="150"/>
  <c r="AE47" i="150"/>
  <c r="Z47" i="150"/>
  <c r="Y47" i="150"/>
  <c r="X47" i="150"/>
  <c r="Q47" i="150"/>
  <c r="P47" i="150"/>
  <c r="H47" i="150"/>
  <c r="E47" i="150"/>
  <c r="I47" i="150" s="1"/>
  <c r="AD46" i="150"/>
  <c r="AC46" i="150"/>
  <c r="AB46" i="150"/>
  <c r="AE46" i="150" s="1"/>
  <c r="AI46" i="150" s="1"/>
  <c r="Y46" i="150" s="1"/>
  <c r="Z46" i="150"/>
  <c r="X46" i="150"/>
  <c r="Q46" i="150"/>
  <c r="P46" i="150"/>
  <c r="I46" i="150"/>
  <c r="H46" i="150"/>
  <c r="E46" i="150"/>
  <c r="AD45" i="150"/>
  <c r="AC45" i="150"/>
  <c r="AB45" i="150"/>
  <c r="AE45" i="150" s="1"/>
  <c r="AI45" i="150" s="1"/>
  <c r="Y45" i="150" s="1"/>
  <c r="Z45" i="150"/>
  <c r="X45" i="150"/>
  <c r="Q45" i="150"/>
  <c r="P45" i="150"/>
  <c r="H45" i="150"/>
  <c r="E45" i="150"/>
  <c r="I45" i="150" s="1"/>
  <c r="AD44" i="150"/>
  <c r="AC44" i="150"/>
  <c r="AB44" i="150"/>
  <c r="AE44" i="150" s="1"/>
  <c r="AI44" i="150" s="1"/>
  <c r="Y44" i="150" s="1"/>
  <c r="Z44" i="150"/>
  <c r="X44" i="150"/>
  <c r="Q44" i="150"/>
  <c r="P44" i="150"/>
  <c r="I44" i="150"/>
  <c r="H44" i="150"/>
  <c r="E44" i="150"/>
  <c r="AD43" i="150"/>
  <c r="AC43" i="150"/>
  <c r="AE43" i="150" s="1"/>
  <c r="AI43" i="150" s="1"/>
  <c r="Y43" i="150" s="1"/>
  <c r="AB43" i="150"/>
  <c r="Z43" i="150"/>
  <c r="X43" i="150"/>
  <c r="Q43" i="150"/>
  <c r="P43" i="150"/>
  <c r="H43" i="150"/>
  <c r="E43" i="150"/>
  <c r="I43" i="150" s="1"/>
  <c r="AE42" i="150"/>
  <c r="AI42" i="150" s="1"/>
  <c r="Y42" i="150" s="1"/>
  <c r="AD42" i="150"/>
  <c r="AC42" i="150"/>
  <c r="AB42" i="150"/>
  <c r="Z42" i="150"/>
  <c r="X42" i="150"/>
  <c r="Q42" i="150"/>
  <c r="P42" i="150"/>
  <c r="H42" i="150"/>
  <c r="E42" i="150"/>
  <c r="I42" i="150" s="1"/>
  <c r="AD41" i="150"/>
  <c r="AC41" i="150"/>
  <c r="AB41" i="150"/>
  <c r="AE41" i="150" s="1"/>
  <c r="AI41" i="150" s="1"/>
  <c r="Y41" i="150" s="1"/>
  <c r="Z41" i="150"/>
  <c r="X41" i="150"/>
  <c r="Q41" i="150"/>
  <c r="P41" i="150"/>
  <c r="H41" i="150"/>
  <c r="E41" i="150"/>
  <c r="I41" i="150" s="1"/>
  <c r="AD40" i="150"/>
  <c r="AC40" i="150"/>
  <c r="AB40" i="150"/>
  <c r="AE40" i="150" s="1"/>
  <c r="AI40" i="150" s="1"/>
  <c r="Y40" i="150" s="1"/>
  <c r="Z40" i="150"/>
  <c r="X40" i="150"/>
  <c r="Q40" i="150"/>
  <c r="P40" i="150"/>
  <c r="H40" i="150"/>
  <c r="E40" i="150"/>
  <c r="I40" i="150" s="1"/>
  <c r="AD39" i="150"/>
  <c r="AC39" i="150"/>
  <c r="AB39" i="150"/>
  <c r="AE39" i="150" s="1"/>
  <c r="AI39" i="150" s="1"/>
  <c r="Y39" i="150" s="1"/>
  <c r="Z39" i="150"/>
  <c r="X39" i="150"/>
  <c r="Q39" i="150"/>
  <c r="P39" i="150"/>
  <c r="I39" i="150"/>
  <c r="H39" i="150"/>
  <c r="E39" i="150"/>
  <c r="AD38" i="150"/>
  <c r="AE38" i="150" s="1"/>
  <c r="AI38" i="150" s="1"/>
  <c r="Y38" i="150" s="1"/>
  <c r="AC38" i="150"/>
  <c r="AB38" i="150"/>
  <c r="Z38" i="150"/>
  <c r="X38" i="150"/>
  <c r="Q38" i="150"/>
  <c r="P38" i="150"/>
  <c r="H38" i="150"/>
  <c r="E38" i="150"/>
  <c r="I38" i="150" s="1"/>
  <c r="AD37" i="150"/>
  <c r="AC37" i="150"/>
  <c r="AB37" i="150"/>
  <c r="AE37" i="150" s="1"/>
  <c r="AI37" i="150" s="1"/>
  <c r="Y37" i="150" s="1"/>
  <c r="Z37" i="150"/>
  <c r="X37" i="150"/>
  <c r="Q37" i="150"/>
  <c r="P37" i="150"/>
  <c r="H37" i="150"/>
  <c r="E37" i="150"/>
  <c r="I37" i="150" s="1"/>
  <c r="AD36" i="150"/>
  <c r="AC36" i="150"/>
  <c r="AE36" i="150" s="1"/>
  <c r="AI36" i="150" s="1"/>
  <c r="Y36" i="150" s="1"/>
  <c r="AB36" i="150"/>
  <c r="Z36" i="150"/>
  <c r="X36" i="150"/>
  <c r="Q36" i="150"/>
  <c r="P36" i="150"/>
  <c r="H36" i="150"/>
  <c r="E36" i="150"/>
  <c r="I36" i="150" s="1"/>
  <c r="AD35" i="150"/>
  <c r="AC35" i="150"/>
  <c r="AB35" i="150"/>
  <c r="AE35" i="150" s="1"/>
  <c r="AI35" i="150" s="1"/>
  <c r="Y35" i="150" s="1"/>
  <c r="Z35" i="150"/>
  <c r="X35" i="150"/>
  <c r="Q35" i="150"/>
  <c r="P35" i="150"/>
  <c r="I35" i="150"/>
  <c r="H35" i="150"/>
  <c r="E35" i="150"/>
  <c r="AD34" i="150"/>
  <c r="AC34" i="150"/>
  <c r="AB34" i="150"/>
  <c r="AE34" i="150" s="1"/>
  <c r="AI34" i="150" s="1"/>
  <c r="Y34" i="150" s="1"/>
  <c r="Z34" i="150"/>
  <c r="X34" i="150"/>
  <c r="Q34" i="150"/>
  <c r="P34" i="150"/>
  <c r="H34" i="150"/>
  <c r="E34" i="150"/>
  <c r="I34" i="150" s="1"/>
  <c r="AE33" i="150"/>
  <c r="AI33" i="150" s="1"/>
  <c r="Y33" i="150" s="1"/>
  <c r="AD33" i="150"/>
  <c r="AC33" i="150"/>
  <c r="AB33" i="150"/>
  <c r="Z33" i="150"/>
  <c r="X33" i="150"/>
  <c r="Q33" i="150"/>
  <c r="P33" i="150"/>
  <c r="H33" i="150"/>
  <c r="E33" i="150"/>
  <c r="I33" i="150" s="1"/>
  <c r="AD32" i="150"/>
  <c r="AC32" i="150"/>
  <c r="AB32" i="150"/>
  <c r="AE32" i="150" s="1"/>
  <c r="AI32" i="150" s="1"/>
  <c r="Y32" i="150" s="1"/>
  <c r="Z32" i="150"/>
  <c r="X32" i="150"/>
  <c r="Q32" i="150"/>
  <c r="P32" i="150"/>
  <c r="H32" i="150"/>
  <c r="E32" i="150"/>
  <c r="I32" i="150" s="1"/>
  <c r="AE31" i="150"/>
  <c r="AI31" i="150" s="1"/>
  <c r="Y31" i="150" s="1"/>
  <c r="Z31" i="150"/>
  <c r="X31" i="150"/>
  <c r="Q31" i="150"/>
  <c r="P31" i="150"/>
  <c r="I31" i="150"/>
  <c r="H31" i="150"/>
  <c r="E31" i="150"/>
  <c r="AD30" i="150"/>
  <c r="AC30" i="150"/>
  <c r="AB30" i="150"/>
  <c r="AE30" i="150" s="1"/>
  <c r="AI30" i="150" s="1"/>
  <c r="Y30" i="150" s="1"/>
  <c r="Z30" i="150"/>
  <c r="X30" i="150"/>
  <c r="Q30" i="150"/>
  <c r="P30" i="150"/>
  <c r="H30" i="150"/>
  <c r="E30" i="150"/>
  <c r="I30" i="150" s="1"/>
  <c r="AD29" i="150"/>
  <c r="AC29" i="150"/>
  <c r="AB29" i="150"/>
  <c r="AE29" i="150" s="1"/>
  <c r="AI29" i="150" s="1"/>
  <c r="Y29" i="150" s="1"/>
  <c r="Z29" i="150"/>
  <c r="X29" i="150"/>
  <c r="Q29" i="150"/>
  <c r="P29" i="150"/>
  <c r="I29" i="150"/>
  <c r="H29" i="150"/>
  <c r="E29" i="150"/>
  <c r="AD28" i="150"/>
  <c r="AC28" i="150"/>
  <c r="AE28" i="150" s="1"/>
  <c r="AI28" i="150" s="1"/>
  <c r="Y28" i="150" s="1"/>
  <c r="AB28" i="150"/>
  <c r="Z28" i="150"/>
  <c r="X28" i="150"/>
  <c r="Q28" i="150"/>
  <c r="P28" i="150"/>
  <c r="H28" i="150"/>
  <c r="E28" i="150"/>
  <c r="I28" i="150" s="1"/>
  <c r="AE27" i="150"/>
  <c r="AI27" i="150" s="1"/>
  <c r="Y27" i="150" s="1"/>
  <c r="AD27" i="150"/>
  <c r="AC27" i="150"/>
  <c r="AB27" i="150"/>
  <c r="Z27" i="150"/>
  <c r="X27" i="150"/>
  <c r="Q27" i="150"/>
  <c r="P27" i="150"/>
  <c r="H27" i="150"/>
  <c r="E27" i="150"/>
  <c r="I27" i="150" s="1"/>
  <c r="AD26" i="150"/>
  <c r="AC26" i="150"/>
  <c r="AB26" i="150"/>
  <c r="AE26" i="150" s="1"/>
  <c r="AI26" i="150" s="1"/>
  <c r="Y26" i="150" s="1"/>
  <c r="Z26" i="150"/>
  <c r="X26" i="150"/>
  <c r="Q26" i="150"/>
  <c r="P26" i="150"/>
  <c r="H26" i="150"/>
  <c r="E26" i="150"/>
  <c r="I26" i="150" s="1"/>
  <c r="AD25" i="150"/>
  <c r="AC25" i="150"/>
  <c r="AB25" i="150"/>
  <c r="AE25" i="150" s="1"/>
  <c r="AI25" i="150" s="1"/>
  <c r="Y25" i="150" s="1"/>
  <c r="Z25" i="150"/>
  <c r="X25" i="150"/>
  <c r="Q25" i="150"/>
  <c r="P25" i="150"/>
  <c r="H25" i="150"/>
  <c r="E25" i="150"/>
  <c r="I25" i="150" s="1"/>
  <c r="AD24" i="150"/>
  <c r="AC24" i="150"/>
  <c r="AB24" i="150"/>
  <c r="AE24" i="150" s="1"/>
  <c r="AI24" i="150" s="1"/>
  <c r="Y24" i="150" s="1"/>
  <c r="Z24" i="150"/>
  <c r="X24" i="150"/>
  <c r="Q24" i="150"/>
  <c r="P24" i="150"/>
  <c r="I24" i="150"/>
  <c r="H24" i="150"/>
  <c r="E24" i="150"/>
  <c r="AD23" i="150"/>
  <c r="AE23" i="150" s="1"/>
  <c r="AI23" i="150" s="1"/>
  <c r="Y23" i="150" s="1"/>
  <c r="AC23" i="150"/>
  <c r="AB23" i="150"/>
  <c r="Z23" i="150"/>
  <c r="X23" i="150"/>
  <c r="Q23" i="150"/>
  <c r="P23" i="150"/>
  <c r="H23" i="150"/>
  <c r="E23" i="150"/>
  <c r="I23" i="150" s="1"/>
  <c r="AD22" i="150"/>
  <c r="AC22" i="150"/>
  <c r="AB22" i="150"/>
  <c r="AE22" i="150" s="1"/>
  <c r="AI22" i="150" s="1"/>
  <c r="Y22" i="150" s="1"/>
  <c r="Z22" i="150"/>
  <c r="X22" i="150"/>
  <c r="Q22" i="150"/>
  <c r="P22" i="150"/>
  <c r="H22" i="150"/>
  <c r="E22" i="150"/>
  <c r="I22" i="150" s="1"/>
  <c r="AD21" i="150"/>
  <c r="AC21" i="150"/>
  <c r="AE21" i="150" s="1"/>
  <c r="AI21" i="150" s="1"/>
  <c r="Y21" i="150" s="1"/>
  <c r="AB21" i="150"/>
  <c r="Z21" i="150"/>
  <c r="X21" i="150"/>
  <c r="Q21" i="150"/>
  <c r="P21" i="150"/>
  <c r="H21" i="150"/>
  <c r="E21" i="150"/>
  <c r="I21" i="150" s="1"/>
  <c r="AD20" i="150"/>
  <c r="AC20" i="150"/>
  <c r="AB20" i="150"/>
  <c r="AE20" i="150" s="1"/>
  <c r="AI20" i="150" s="1"/>
  <c r="Y20" i="150" s="1"/>
  <c r="Z20" i="150"/>
  <c r="X20" i="150"/>
  <c r="Q20" i="150"/>
  <c r="P20" i="150"/>
  <c r="I20" i="150"/>
  <c r="H20" i="150"/>
  <c r="E20" i="150"/>
  <c r="AD19" i="150"/>
  <c r="AC19" i="150"/>
  <c r="AB19" i="150"/>
  <c r="AE19" i="150" s="1"/>
  <c r="AI19" i="150" s="1"/>
  <c r="Y19" i="150" s="1"/>
  <c r="Z19" i="150"/>
  <c r="X19" i="150"/>
  <c r="Q19" i="150"/>
  <c r="P19" i="150"/>
  <c r="H19" i="150"/>
  <c r="E19" i="150"/>
  <c r="I19" i="150" s="1"/>
  <c r="AD18" i="150"/>
  <c r="AC18" i="150"/>
  <c r="AB18" i="150"/>
  <c r="AE18" i="150" s="1"/>
  <c r="AI18" i="150" s="1"/>
  <c r="Y18" i="150" s="1"/>
  <c r="Z18" i="150"/>
  <c r="X18" i="150"/>
  <c r="Q18" i="150"/>
  <c r="P18" i="150"/>
  <c r="H18" i="150"/>
  <c r="E18" i="150"/>
  <c r="I18" i="150" s="1"/>
  <c r="AD17" i="150"/>
  <c r="AC17" i="150"/>
  <c r="AB17" i="150"/>
  <c r="AE17" i="150" s="1"/>
  <c r="AI17" i="150" s="1"/>
  <c r="Y17" i="150" s="1"/>
  <c r="Z17" i="150"/>
  <c r="X17" i="150"/>
  <c r="Q17" i="150"/>
  <c r="P17" i="150"/>
  <c r="H17" i="150"/>
  <c r="E17" i="150"/>
  <c r="I17" i="150" s="1"/>
  <c r="AD16" i="150"/>
  <c r="AE16" i="150" s="1"/>
  <c r="AI16" i="150" s="1"/>
  <c r="Y16" i="150" s="1"/>
  <c r="AC16" i="150"/>
  <c r="AB16" i="150"/>
  <c r="Z16" i="150"/>
  <c r="X16" i="150"/>
  <c r="Q16" i="150"/>
  <c r="O73" i="150" s="1"/>
  <c r="P16" i="150"/>
  <c r="E16" i="150"/>
  <c r="I16" i="150" s="1"/>
  <c r="AD15" i="150"/>
  <c r="AC15" i="150"/>
  <c r="AB15" i="150"/>
  <c r="AE15" i="150" s="1"/>
  <c r="AI15" i="150" s="1"/>
  <c r="Y15" i="150" s="1"/>
  <c r="Z15" i="150"/>
  <c r="X15" i="150"/>
  <c r="Q15" i="150"/>
  <c r="P15" i="150"/>
  <c r="E15" i="150"/>
  <c r="I15" i="150" s="1"/>
  <c r="AD14" i="150"/>
  <c r="AC14" i="150"/>
  <c r="AB14" i="150"/>
  <c r="AE14" i="150" s="1"/>
  <c r="AI14" i="150" s="1"/>
  <c r="Y14" i="150" s="1"/>
  <c r="Z14" i="150"/>
  <c r="X14" i="150"/>
  <c r="Q14" i="150"/>
  <c r="P14" i="150"/>
  <c r="I14" i="150"/>
  <c r="H14" i="150"/>
  <c r="E14" i="150"/>
  <c r="AD13" i="150"/>
  <c r="AE13" i="150" s="1"/>
  <c r="AI13" i="150" s="1"/>
  <c r="Y13" i="150" s="1"/>
  <c r="AC13" i="150"/>
  <c r="AB13" i="150"/>
  <c r="Z13" i="150"/>
  <c r="X13" i="150"/>
  <c r="Q13" i="150"/>
  <c r="P13" i="150"/>
  <c r="H13" i="150"/>
  <c r="E13" i="150"/>
  <c r="I13" i="150" s="1"/>
  <c r="AD12" i="150"/>
  <c r="AC12" i="150"/>
  <c r="AB12" i="150"/>
  <c r="AE12" i="150" s="1"/>
  <c r="AI12" i="150" s="1"/>
  <c r="Y12" i="150" s="1"/>
  <c r="Z12" i="150"/>
  <c r="T75" i="150" s="1"/>
  <c r="X12" i="150"/>
  <c r="Q12" i="150"/>
  <c r="P12" i="150"/>
  <c r="H12" i="150"/>
  <c r="E12" i="150"/>
  <c r="I12" i="150" s="1"/>
  <c r="F73" i="150" s="1"/>
  <c r="F77" i="151" l="1"/>
  <c r="O75" i="150"/>
  <c r="T73" i="150"/>
  <c r="F75" i="150"/>
  <c r="T79" i="150"/>
  <c r="F77" i="150" s="1"/>
  <c r="M79" i="149"/>
  <c r="T77" i="149"/>
  <c r="W73" i="149"/>
  <c r="P71" i="149"/>
  <c r="H71" i="149"/>
  <c r="Q70" i="149"/>
  <c r="P70" i="149"/>
  <c r="I70" i="149"/>
  <c r="H70" i="149"/>
  <c r="E70" i="149"/>
  <c r="Q69" i="149"/>
  <c r="P69" i="149"/>
  <c r="I69" i="149"/>
  <c r="H69" i="149"/>
  <c r="E69" i="149"/>
  <c r="AD68" i="149"/>
  <c r="AC68" i="149"/>
  <c r="AB68" i="149"/>
  <c r="AE68" i="149" s="1"/>
  <c r="AI68" i="149" s="1"/>
  <c r="Y68" i="149" s="1"/>
  <c r="Z68" i="149"/>
  <c r="X68" i="149"/>
  <c r="W68" i="149"/>
  <c r="Q68" i="149"/>
  <c r="P68" i="149"/>
  <c r="H68" i="149"/>
  <c r="E68" i="149"/>
  <c r="I68" i="149" s="1"/>
  <c r="AD67" i="149"/>
  <c r="AC67" i="149"/>
  <c r="AB67" i="149"/>
  <c r="AE67" i="149" s="1"/>
  <c r="AI67" i="149" s="1"/>
  <c r="Y67" i="149" s="1"/>
  <c r="Z67" i="149"/>
  <c r="X67" i="149"/>
  <c r="Q67" i="149"/>
  <c r="P67" i="149"/>
  <c r="I67" i="149"/>
  <c r="H67" i="149"/>
  <c r="E67" i="149"/>
  <c r="AD66" i="149"/>
  <c r="AE66" i="149" s="1"/>
  <c r="AI66" i="149" s="1"/>
  <c r="Y66" i="149" s="1"/>
  <c r="AC66" i="149"/>
  <c r="AB66" i="149"/>
  <c r="Z66" i="149"/>
  <c r="X66" i="149"/>
  <c r="Q66" i="149"/>
  <c r="P66" i="149"/>
  <c r="H66" i="149"/>
  <c r="E66" i="149"/>
  <c r="I66" i="149" s="1"/>
  <c r="AD65" i="149"/>
  <c r="AC65" i="149"/>
  <c r="AB65" i="149"/>
  <c r="AE65" i="149" s="1"/>
  <c r="AI65" i="149" s="1"/>
  <c r="Y65" i="149" s="1"/>
  <c r="Z65" i="149"/>
  <c r="X65" i="149"/>
  <c r="Q65" i="149"/>
  <c r="P65" i="149"/>
  <c r="H65" i="149"/>
  <c r="E65" i="149"/>
  <c r="I65" i="149" s="1"/>
  <c r="AD64" i="149"/>
  <c r="AC64" i="149"/>
  <c r="AE64" i="149" s="1"/>
  <c r="AI64" i="149" s="1"/>
  <c r="Y64" i="149" s="1"/>
  <c r="AB64" i="149"/>
  <c r="Z64" i="149"/>
  <c r="X64" i="149"/>
  <c r="Q64" i="149"/>
  <c r="P64" i="149"/>
  <c r="H64" i="149"/>
  <c r="E64" i="149"/>
  <c r="I64" i="149" s="1"/>
  <c r="AD63" i="149"/>
  <c r="AE63" i="149" s="1"/>
  <c r="AI63" i="149" s="1"/>
  <c r="Y63" i="149" s="1"/>
  <c r="AC63" i="149"/>
  <c r="AB63" i="149"/>
  <c r="Z63" i="149"/>
  <c r="X63" i="149"/>
  <c r="Q63" i="149"/>
  <c r="P63" i="149"/>
  <c r="I63" i="149"/>
  <c r="H63" i="149"/>
  <c r="E63" i="149"/>
  <c r="AD62" i="149"/>
  <c r="AC62" i="149"/>
  <c r="AB62" i="149"/>
  <c r="AE62" i="149" s="1"/>
  <c r="AI62" i="149" s="1"/>
  <c r="Y62" i="149" s="1"/>
  <c r="Z62" i="149"/>
  <c r="X62" i="149"/>
  <c r="Q62" i="149"/>
  <c r="P62" i="149"/>
  <c r="H62" i="149"/>
  <c r="E62" i="149"/>
  <c r="I62" i="149" s="1"/>
  <c r="AE61" i="149"/>
  <c r="AI61" i="149" s="1"/>
  <c r="Y61" i="149" s="1"/>
  <c r="AC61" i="149"/>
  <c r="AB61" i="149"/>
  <c r="X61" i="149"/>
  <c r="Q61" i="149"/>
  <c r="P61" i="149"/>
  <c r="I61" i="149"/>
  <c r="H61" i="149"/>
  <c r="E61" i="149"/>
  <c r="AE60" i="149"/>
  <c r="AI60" i="149" s="1"/>
  <c r="Y60" i="149" s="1"/>
  <c r="X60" i="149"/>
  <c r="Q60" i="149"/>
  <c r="P60" i="149"/>
  <c r="I60" i="149"/>
  <c r="H60" i="149"/>
  <c r="E60" i="149"/>
  <c r="AC59" i="149"/>
  <c r="AB59" i="149"/>
  <c r="AE59" i="149" s="1"/>
  <c r="AI59" i="149" s="1"/>
  <c r="Y59" i="149" s="1"/>
  <c r="X59" i="149"/>
  <c r="Q59" i="149"/>
  <c r="P59" i="149"/>
  <c r="I59" i="149"/>
  <c r="H59" i="149"/>
  <c r="E59" i="149"/>
  <c r="AC58" i="149"/>
  <c r="AE58" i="149" s="1"/>
  <c r="AI58" i="149" s="1"/>
  <c r="Y58" i="149" s="1"/>
  <c r="AB58" i="149"/>
  <c r="X58" i="149"/>
  <c r="Q58" i="149"/>
  <c r="P58" i="149"/>
  <c r="E58" i="149"/>
  <c r="I58" i="149" s="1"/>
  <c r="AC57" i="149"/>
  <c r="AB57" i="149"/>
  <c r="AE57" i="149" s="1"/>
  <c r="AI57" i="149" s="1"/>
  <c r="Y57" i="149" s="1"/>
  <c r="X57" i="149"/>
  <c r="Q57" i="149"/>
  <c r="P57" i="149"/>
  <c r="I57" i="149"/>
  <c r="H57" i="149"/>
  <c r="E57" i="149"/>
  <c r="AD56" i="149"/>
  <c r="AC56" i="149"/>
  <c r="AB56" i="149"/>
  <c r="AE56" i="149" s="1"/>
  <c r="AI56" i="149" s="1"/>
  <c r="Y56" i="149" s="1"/>
  <c r="Z56" i="149"/>
  <c r="X56" i="149"/>
  <c r="Q56" i="149"/>
  <c r="P56" i="149"/>
  <c r="H56" i="149"/>
  <c r="E56" i="149"/>
  <c r="I56" i="149" s="1"/>
  <c r="AD55" i="149"/>
  <c r="AC55" i="149"/>
  <c r="AE55" i="149" s="1"/>
  <c r="AI55" i="149" s="1"/>
  <c r="Y55" i="149" s="1"/>
  <c r="AB55" i="149"/>
  <c r="Z55" i="149"/>
  <c r="X55" i="149"/>
  <c r="Q55" i="149"/>
  <c r="P55" i="149"/>
  <c r="I55" i="149"/>
  <c r="H55" i="149"/>
  <c r="E55" i="149"/>
  <c r="AD54" i="149"/>
  <c r="AC54" i="149"/>
  <c r="AE54" i="149" s="1"/>
  <c r="AI54" i="149" s="1"/>
  <c r="Y54" i="149" s="1"/>
  <c r="AB54" i="149"/>
  <c r="Z54" i="149"/>
  <c r="X54" i="149"/>
  <c r="Q54" i="149"/>
  <c r="P54" i="149"/>
  <c r="I54" i="149"/>
  <c r="H54" i="149"/>
  <c r="E54" i="149"/>
  <c r="AD53" i="149"/>
  <c r="AC53" i="149"/>
  <c r="AB53" i="149"/>
  <c r="AE53" i="149" s="1"/>
  <c r="AI53" i="149" s="1"/>
  <c r="Y53" i="149" s="1"/>
  <c r="Z53" i="149"/>
  <c r="X53" i="149"/>
  <c r="Q53" i="149"/>
  <c r="P53" i="149"/>
  <c r="H53" i="149"/>
  <c r="E53" i="149"/>
  <c r="I53" i="149" s="1"/>
  <c r="AI52" i="149"/>
  <c r="Y52" i="149" s="1"/>
  <c r="AE52" i="149"/>
  <c r="Z52" i="149"/>
  <c r="X52" i="149"/>
  <c r="Q52" i="149"/>
  <c r="P52" i="149"/>
  <c r="H52" i="149"/>
  <c r="E52" i="149"/>
  <c r="I52" i="149" s="1"/>
  <c r="AD51" i="149"/>
  <c r="AC51" i="149"/>
  <c r="AB51" i="149"/>
  <c r="AE51" i="149" s="1"/>
  <c r="AI51" i="149" s="1"/>
  <c r="Y51" i="149" s="1"/>
  <c r="Z51" i="149"/>
  <c r="X51" i="149"/>
  <c r="Q51" i="149"/>
  <c r="P51" i="149"/>
  <c r="H51" i="149"/>
  <c r="E51" i="149"/>
  <c r="I51" i="149" s="1"/>
  <c r="AD50" i="149"/>
  <c r="AE50" i="149" s="1"/>
  <c r="AI50" i="149" s="1"/>
  <c r="Y50" i="149" s="1"/>
  <c r="AC50" i="149"/>
  <c r="AB50" i="149"/>
  <c r="Z50" i="149"/>
  <c r="X50" i="149"/>
  <c r="Q50" i="149"/>
  <c r="P50" i="149"/>
  <c r="H50" i="149"/>
  <c r="E50" i="149"/>
  <c r="I50" i="149" s="1"/>
  <c r="AI49" i="149"/>
  <c r="AE49" i="149"/>
  <c r="Z49" i="149"/>
  <c r="Y49" i="149"/>
  <c r="X49" i="149"/>
  <c r="Q49" i="149"/>
  <c r="P49" i="149"/>
  <c r="H49" i="149"/>
  <c r="E49" i="149"/>
  <c r="I49" i="149" s="1"/>
  <c r="AE48" i="149"/>
  <c r="AI48" i="149" s="1"/>
  <c r="Y48" i="149" s="1"/>
  <c r="Z48" i="149"/>
  <c r="X48" i="149"/>
  <c r="Q48" i="149"/>
  <c r="P48" i="149"/>
  <c r="H48" i="149"/>
  <c r="E48" i="149"/>
  <c r="I48" i="149" s="1"/>
  <c r="AE47" i="149"/>
  <c r="AI47" i="149" s="1"/>
  <c r="Y47" i="149" s="1"/>
  <c r="Z47" i="149"/>
  <c r="X47" i="149"/>
  <c r="Q47" i="149"/>
  <c r="P47" i="149"/>
  <c r="I47" i="149"/>
  <c r="H47" i="149"/>
  <c r="E47" i="149"/>
  <c r="AD46" i="149"/>
  <c r="AC46" i="149"/>
  <c r="AB46" i="149"/>
  <c r="AE46" i="149" s="1"/>
  <c r="AI46" i="149" s="1"/>
  <c r="Y46" i="149" s="1"/>
  <c r="Z46" i="149"/>
  <c r="X46" i="149"/>
  <c r="Q46" i="149"/>
  <c r="P46" i="149"/>
  <c r="I46" i="149"/>
  <c r="H46" i="149"/>
  <c r="E46" i="149"/>
  <c r="AE45" i="149"/>
  <c r="AI45" i="149" s="1"/>
  <c r="Y45" i="149" s="1"/>
  <c r="AD45" i="149"/>
  <c r="AC45" i="149"/>
  <c r="AB45" i="149"/>
  <c r="Z45" i="149"/>
  <c r="X45" i="149"/>
  <c r="Q45" i="149"/>
  <c r="P45" i="149"/>
  <c r="I45" i="149"/>
  <c r="H45" i="149"/>
  <c r="E45" i="149"/>
  <c r="AD44" i="149"/>
  <c r="AC44" i="149"/>
  <c r="AB44" i="149"/>
  <c r="AE44" i="149" s="1"/>
  <c r="AI44" i="149" s="1"/>
  <c r="Y44" i="149" s="1"/>
  <c r="Z44" i="149"/>
  <c r="X44" i="149"/>
  <c r="Q44" i="149"/>
  <c r="P44" i="149"/>
  <c r="H44" i="149"/>
  <c r="E44" i="149"/>
  <c r="I44" i="149" s="1"/>
  <c r="AD43" i="149"/>
  <c r="AC43" i="149"/>
  <c r="AE43" i="149" s="1"/>
  <c r="AI43" i="149" s="1"/>
  <c r="Y43" i="149" s="1"/>
  <c r="AB43" i="149"/>
  <c r="Z43" i="149"/>
  <c r="X43" i="149"/>
  <c r="Q43" i="149"/>
  <c r="P43" i="149"/>
  <c r="H43" i="149"/>
  <c r="E43" i="149"/>
  <c r="I43" i="149" s="1"/>
  <c r="AD42" i="149"/>
  <c r="AC42" i="149"/>
  <c r="AE42" i="149" s="1"/>
  <c r="AI42" i="149" s="1"/>
  <c r="Y42" i="149" s="1"/>
  <c r="AB42" i="149"/>
  <c r="Z42" i="149"/>
  <c r="X42" i="149"/>
  <c r="Q42" i="149"/>
  <c r="P42" i="149"/>
  <c r="I42" i="149"/>
  <c r="H42" i="149"/>
  <c r="E42" i="149"/>
  <c r="AD41" i="149"/>
  <c r="AC41" i="149"/>
  <c r="AB41" i="149"/>
  <c r="AE41" i="149" s="1"/>
  <c r="AI41" i="149" s="1"/>
  <c r="Y41" i="149" s="1"/>
  <c r="Z41" i="149"/>
  <c r="X41" i="149"/>
  <c r="Q41" i="149"/>
  <c r="P41" i="149"/>
  <c r="H41" i="149"/>
  <c r="E41" i="149"/>
  <c r="I41" i="149" s="1"/>
  <c r="AD40" i="149"/>
  <c r="AC40" i="149"/>
  <c r="AB40" i="149"/>
  <c r="AE40" i="149" s="1"/>
  <c r="AI40" i="149" s="1"/>
  <c r="Y40" i="149" s="1"/>
  <c r="Z40" i="149"/>
  <c r="X40" i="149"/>
  <c r="Q40" i="149"/>
  <c r="P40" i="149"/>
  <c r="H40" i="149"/>
  <c r="E40" i="149"/>
  <c r="I40" i="149" s="1"/>
  <c r="AD39" i="149"/>
  <c r="AC39" i="149"/>
  <c r="AB39" i="149"/>
  <c r="AE39" i="149" s="1"/>
  <c r="AI39" i="149" s="1"/>
  <c r="Y39" i="149" s="1"/>
  <c r="Z39" i="149"/>
  <c r="X39" i="149"/>
  <c r="Q39" i="149"/>
  <c r="P39" i="149"/>
  <c r="H39" i="149"/>
  <c r="E39" i="149"/>
  <c r="I39" i="149" s="1"/>
  <c r="AD38" i="149"/>
  <c r="AC38" i="149"/>
  <c r="AE38" i="149" s="1"/>
  <c r="AI38" i="149" s="1"/>
  <c r="Y38" i="149" s="1"/>
  <c r="AB38" i="149"/>
  <c r="Z38" i="149"/>
  <c r="X38" i="149"/>
  <c r="Q38" i="149"/>
  <c r="P38" i="149"/>
  <c r="H38" i="149"/>
  <c r="E38" i="149"/>
  <c r="I38" i="149" s="1"/>
  <c r="AD37" i="149"/>
  <c r="AE37" i="149" s="1"/>
  <c r="AI37" i="149" s="1"/>
  <c r="Y37" i="149" s="1"/>
  <c r="AC37" i="149"/>
  <c r="AB37" i="149"/>
  <c r="Z37" i="149"/>
  <c r="X37" i="149"/>
  <c r="Q37" i="149"/>
  <c r="P37" i="149"/>
  <c r="H37" i="149"/>
  <c r="E37" i="149"/>
  <c r="I37" i="149" s="1"/>
  <c r="AD36" i="149"/>
  <c r="AC36" i="149"/>
  <c r="AB36" i="149"/>
  <c r="AE36" i="149" s="1"/>
  <c r="AI36" i="149" s="1"/>
  <c r="Y36" i="149" s="1"/>
  <c r="Z36" i="149"/>
  <c r="X36" i="149"/>
  <c r="Q36" i="149"/>
  <c r="P36" i="149"/>
  <c r="H36" i="149"/>
  <c r="E36" i="149"/>
  <c r="I36" i="149" s="1"/>
  <c r="AD35" i="149"/>
  <c r="AC35" i="149"/>
  <c r="AE35" i="149" s="1"/>
  <c r="AI35" i="149" s="1"/>
  <c r="Y35" i="149" s="1"/>
  <c r="AB35" i="149"/>
  <c r="Z35" i="149"/>
  <c r="X35" i="149"/>
  <c r="Q35" i="149"/>
  <c r="P35" i="149"/>
  <c r="H35" i="149"/>
  <c r="E35" i="149"/>
  <c r="I35" i="149" s="1"/>
  <c r="AD34" i="149"/>
  <c r="AE34" i="149" s="1"/>
  <c r="AI34" i="149" s="1"/>
  <c r="Y34" i="149" s="1"/>
  <c r="AC34" i="149"/>
  <c r="AB34" i="149"/>
  <c r="Z34" i="149"/>
  <c r="X34" i="149"/>
  <c r="Q34" i="149"/>
  <c r="P34" i="149"/>
  <c r="I34" i="149"/>
  <c r="H34" i="149"/>
  <c r="E34" i="149"/>
  <c r="AD33" i="149"/>
  <c r="AC33" i="149"/>
  <c r="AB33" i="149"/>
  <c r="AE33" i="149" s="1"/>
  <c r="AI33" i="149" s="1"/>
  <c r="Y33" i="149" s="1"/>
  <c r="Z33" i="149"/>
  <c r="X33" i="149"/>
  <c r="Q33" i="149"/>
  <c r="P33" i="149"/>
  <c r="H33" i="149"/>
  <c r="E33" i="149"/>
  <c r="I33" i="149" s="1"/>
  <c r="AE32" i="149"/>
  <c r="AI32" i="149" s="1"/>
  <c r="Y32" i="149" s="1"/>
  <c r="AD32" i="149"/>
  <c r="AC32" i="149"/>
  <c r="AB32" i="149"/>
  <c r="Z32" i="149"/>
  <c r="X32" i="149"/>
  <c r="Q32" i="149"/>
  <c r="P32" i="149"/>
  <c r="H32" i="149"/>
  <c r="E32" i="149"/>
  <c r="I32" i="149" s="1"/>
  <c r="AE31" i="149"/>
  <c r="AI31" i="149" s="1"/>
  <c r="Y31" i="149" s="1"/>
  <c r="Z31" i="149"/>
  <c r="X31" i="149"/>
  <c r="Q31" i="149"/>
  <c r="P31" i="149"/>
  <c r="I31" i="149"/>
  <c r="H31" i="149"/>
  <c r="E31" i="149"/>
  <c r="AE30" i="149"/>
  <c r="AI30" i="149" s="1"/>
  <c r="Y30" i="149" s="1"/>
  <c r="AD30" i="149"/>
  <c r="AC30" i="149"/>
  <c r="AB30" i="149"/>
  <c r="Z30" i="149"/>
  <c r="X30" i="149"/>
  <c r="Q30" i="149"/>
  <c r="P30" i="149"/>
  <c r="I30" i="149"/>
  <c r="H30" i="149"/>
  <c r="E30" i="149"/>
  <c r="AD29" i="149"/>
  <c r="AC29" i="149"/>
  <c r="AB29" i="149"/>
  <c r="AE29" i="149" s="1"/>
  <c r="AI29" i="149" s="1"/>
  <c r="Y29" i="149" s="1"/>
  <c r="Z29" i="149"/>
  <c r="X29" i="149"/>
  <c r="Q29" i="149"/>
  <c r="P29" i="149"/>
  <c r="H29" i="149"/>
  <c r="E29" i="149"/>
  <c r="I29" i="149" s="1"/>
  <c r="AD28" i="149"/>
  <c r="AC28" i="149"/>
  <c r="AE28" i="149" s="1"/>
  <c r="AI28" i="149" s="1"/>
  <c r="Y28" i="149" s="1"/>
  <c r="AB28" i="149"/>
  <c r="Z28" i="149"/>
  <c r="X28" i="149"/>
  <c r="Q28" i="149"/>
  <c r="P28" i="149"/>
  <c r="H28" i="149"/>
  <c r="E28" i="149"/>
  <c r="I28" i="149" s="1"/>
  <c r="AD27" i="149"/>
  <c r="AC27" i="149"/>
  <c r="AE27" i="149" s="1"/>
  <c r="AI27" i="149" s="1"/>
  <c r="Y27" i="149" s="1"/>
  <c r="AB27" i="149"/>
  <c r="Z27" i="149"/>
  <c r="X27" i="149"/>
  <c r="Q27" i="149"/>
  <c r="P27" i="149"/>
  <c r="I27" i="149"/>
  <c r="H27" i="149"/>
  <c r="E27" i="149"/>
  <c r="AD26" i="149"/>
  <c r="AC26" i="149"/>
  <c r="AB26" i="149"/>
  <c r="AE26" i="149" s="1"/>
  <c r="AI26" i="149" s="1"/>
  <c r="Y26" i="149" s="1"/>
  <c r="Z26" i="149"/>
  <c r="X26" i="149"/>
  <c r="Q26" i="149"/>
  <c r="P26" i="149"/>
  <c r="H26" i="149"/>
  <c r="E26" i="149"/>
  <c r="I26" i="149" s="1"/>
  <c r="AD25" i="149"/>
  <c r="AC25" i="149"/>
  <c r="AB25" i="149"/>
  <c r="AE25" i="149" s="1"/>
  <c r="AI25" i="149" s="1"/>
  <c r="Y25" i="149" s="1"/>
  <c r="Z25" i="149"/>
  <c r="X25" i="149"/>
  <c r="Q25" i="149"/>
  <c r="P25" i="149"/>
  <c r="H25" i="149"/>
  <c r="E25" i="149"/>
  <c r="I25" i="149" s="1"/>
  <c r="AD24" i="149"/>
  <c r="AC24" i="149"/>
  <c r="AB24" i="149"/>
  <c r="AE24" i="149" s="1"/>
  <c r="AI24" i="149" s="1"/>
  <c r="Y24" i="149" s="1"/>
  <c r="Z24" i="149"/>
  <c r="X24" i="149"/>
  <c r="Q24" i="149"/>
  <c r="P24" i="149"/>
  <c r="H24" i="149"/>
  <c r="E24" i="149"/>
  <c r="I24" i="149" s="1"/>
  <c r="AD23" i="149"/>
  <c r="AC23" i="149"/>
  <c r="AB23" i="149"/>
  <c r="AE23" i="149" s="1"/>
  <c r="AI23" i="149" s="1"/>
  <c r="Y23" i="149" s="1"/>
  <c r="Z23" i="149"/>
  <c r="X23" i="149"/>
  <c r="Q23" i="149"/>
  <c r="P23" i="149"/>
  <c r="H23" i="149"/>
  <c r="E23" i="149"/>
  <c r="I23" i="149" s="1"/>
  <c r="AD22" i="149"/>
  <c r="AE22" i="149" s="1"/>
  <c r="AI22" i="149" s="1"/>
  <c r="Y22" i="149" s="1"/>
  <c r="AC22" i="149"/>
  <c r="AB22" i="149"/>
  <c r="Z22" i="149"/>
  <c r="X22" i="149"/>
  <c r="Q22" i="149"/>
  <c r="P22" i="149"/>
  <c r="H22" i="149"/>
  <c r="E22" i="149"/>
  <c r="I22" i="149" s="1"/>
  <c r="AD21" i="149"/>
  <c r="AC21" i="149"/>
  <c r="AB21" i="149"/>
  <c r="AE21" i="149" s="1"/>
  <c r="AI21" i="149" s="1"/>
  <c r="Y21" i="149" s="1"/>
  <c r="Z21" i="149"/>
  <c r="T75" i="149" s="1"/>
  <c r="X21" i="149"/>
  <c r="Q21" i="149"/>
  <c r="P21" i="149"/>
  <c r="H21" i="149"/>
  <c r="E21" i="149"/>
  <c r="I21" i="149" s="1"/>
  <c r="AD20" i="149"/>
  <c r="AC20" i="149"/>
  <c r="AE20" i="149" s="1"/>
  <c r="AI20" i="149" s="1"/>
  <c r="Y20" i="149" s="1"/>
  <c r="AB20" i="149"/>
  <c r="Z20" i="149"/>
  <c r="X20" i="149"/>
  <c r="Q20" i="149"/>
  <c r="P20" i="149"/>
  <c r="H20" i="149"/>
  <c r="E20" i="149"/>
  <c r="I20" i="149" s="1"/>
  <c r="AD19" i="149"/>
  <c r="AE19" i="149" s="1"/>
  <c r="AI19" i="149" s="1"/>
  <c r="Y19" i="149" s="1"/>
  <c r="AC19" i="149"/>
  <c r="AB19" i="149"/>
  <c r="Z19" i="149"/>
  <c r="X19" i="149"/>
  <c r="Q19" i="149"/>
  <c r="P19" i="149"/>
  <c r="I19" i="149"/>
  <c r="H19" i="149"/>
  <c r="E19" i="149"/>
  <c r="AD18" i="149"/>
  <c r="AC18" i="149"/>
  <c r="AB18" i="149"/>
  <c r="AE18" i="149" s="1"/>
  <c r="AI18" i="149" s="1"/>
  <c r="Y18" i="149" s="1"/>
  <c r="Z18" i="149"/>
  <c r="X18" i="149"/>
  <c r="Q18" i="149"/>
  <c r="P18" i="149"/>
  <c r="H18" i="149"/>
  <c r="E18" i="149"/>
  <c r="I18" i="149" s="1"/>
  <c r="AE17" i="149"/>
  <c r="AI17" i="149" s="1"/>
  <c r="Y17" i="149" s="1"/>
  <c r="AD17" i="149"/>
  <c r="AC17" i="149"/>
  <c r="AB17" i="149"/>
  <c r="Z17" i="149"/>
  <c r="X17" i="149"/>
  <c r="Q17" i="149"/>
  <c r="P17" i="149"/>
  <c r="H17" i="149"/>
  <c r="E17" i="149"/>
  <c r="I17" i="149" s="1"/>
  <c r="AD16" i="149"/>
  <c r="AC16" i="149"/>
  <c r="AB16" i="149"/>
  <c r="AE16" i="149" s="1"/>
  <c r="AI16" i="149" s="1"/>
  <c r="Y16" i="149" s="1"/>
  <c r="Z16" i="149"/>
  <c r="X16" i="149"/>
  <c r="Q16" i="149"/>
  <c r="P16" i="149"/>
  <c r="E16" i="149"/>
  <c r="I16" i="149" s="1"/>
  <c r="AD15" i="149"/>
  <c r="AC15" i="149"/>
  <c r="AE15" i="149" s="1"/>
  <c r="AI15" i="149" s="1"/>
  <c r="Y15" i="149" s="1"/>
  <c r="AB15" i="149"/>
  <c r="Z15" i="149"/>
  <c r="X15" i="149"/>
  <c r="Q15" i="149"/>
  <c r="P15" i="149"/>
  <c r="E15" i="149"/>
  <c r="I15" i="149" s="1"/>
  <c r="AD14" i="149"/>
  <c r="AC14" i="149"/>
  <c r="AE14" i="149" s="1"/>
  <c r="AI14" i="149" s="1"/>
  <c r="Y14" i="149" s="1"/>
  <c r="AB14" i="149"/>
  <c r="Z14" i="149"/>
  <c r="X14" i="149"/>
  <c r="Q14" i="149"/>
  <c r="P14" i="149"/>
  <c r="H14" i="149"/>
  <c r="E14" i="149"/>
  <c r="I14" i="149" s="1"/>
  <c r="AD13" i="149"/>
  <c r="AC13" i="149"/>
  <c r="AB13" i="149"/>
  <c r="AE13" i="149" s="1"/>
  <c r="AI13" i="149" s="1"/>
  <c r="Y13" i="149" s="1"/>
  <c r="Z13" i="149"/>
  <c r="X13" i="149"/>
  <c r="Q13" i="149"/>
  <c r="P13" i="149"/>
  <c r="H13" i="149"/>
  <c r="E13" i="149"/>
  <c r="I13" i="149" s="1"/>
  <c r="AD12" i="149"/>
  <c r="AE12" i="149" s="1"/>
  <c r="AI12" i="149" s="1"/>
  <c r="Y12" i="149" s="1"/>
  <c r="AC12" i="149"/>
  <c r="AB12" i="149"/>
  <c r="Z12" i="149"/>
  <c r="X12" i="149"/>
  <c r="Q12" i="149"/>
  <c r="P12" i="149"/>
  <c r="H12" i="149"/>
  <c r="E12" i="149"/>
  <c r="I12" i="149" s="1"/>
  <c r="O75" i="149" l="1"/>
  <c r="O73" i="149"/>
  <c r="F75" i="149"/>
  <c r="F73" i="149"/>
  <c r="T73" i="149"/>
  <c r="T79" i="149"/>
  <c r="M79" i="148"/>
  <c r="W73" i="148"/>
  <c r="P71" i="148"/>
  <c r="Q70" i="148"/>
  <c r="P70" i="148"/>
  <c r="H70" i="148"/>
  <c r="E70" i="148"/>
  <c r="I70" i="148" s="1"/>
  <c r="Q69" i="148"/>
  <c r="P69" i="148"/>
  <c r="I69" i="148"/>
  <c r="H69" i="148"/>
  <c r="E69" i="148"/>
  <c r="AD68" i="148"/>
  <c r="AC68" i="148"/>
  <c r="AB68" i="148"/>
  <c r="AE68" i="148" s="1"/>
  <c r="AI68" i="148" s="1"/>
  <c r="Y68" i="148" s="1"/>
  <c r="Z68" i="148"/>
  <c r="X68" i="148"/>
  <c r="W68" i="148"/>
  <c r="Q68" i="148"/>
  <c r="P68" i="148"/>
  <c r="I68" i="148"/>
  <c r="H68" i="148"/>
  <c r="E68" i="148"/>
  <c r="AD67" i="148"/>
  <c r="AC67" i="148"/>
  <c r="AB67" i="148"/>
  <c r="AE67" i="148" s="1"/>
  <c r="AI67" i="148" s="1"/>
  <c r="Y67" i="148" s="1"/>
  <c r="Z67" i="148"/>
  <c r="X67" i="148"/>
  <c r="Q67" i="148"/>
  <c r="P67" i="148"/>
  <c r="H67" i="148"/>
  <c r="E67" i="148"/>
  <c r="I67" i="148" s="1"/>
  <c r="AD66" i="148"/>
  <c r="AC66" i="148"/>
  <c r="AE66" i="148" s="1"/>
  <c r="AI66" i="148" s="1"/>
  <c r="Y66" i="148" s="1"/>
  <c r="AB66" i="148"/>
  <c r="Z66" i="148"/>
  <c r="X66" i="148"/>
  <c r="Q66" i="148"/>
  <c r="P66" i="148"/>
  <c r="I66" i="148"/>
  <c r="H66" i="148"/>
  <c r="E66" i="148"/>
  <c r="AD65" i="148"/>
  <c r="AC65" i="148"/>
  <c r="AB65" i="148"/>
  <c r="AE65" i="148" s="1"/>
  <c r="AI65" i="148" s="1"/>
  <c r="Y65" i="148" s="1"/>
  <c r="Z65" i="148"/>
  <c r="X65" i="148"/>
  <c r="Q65" i="148"/>
  <c r="P65" i="148"/>
  <c r="I65" i="148"/>
  <c r="H65" i="148"/>
  <c r="E65" i="148"/>
  <c r="AD64" i="148"/>
  <c r="AC64" i="148"/>
  <c r="AB64" i="148"/>
  <c r="AE64" i="148" s="1"/>
  <c r="AI64" i="148" s="1"/>
  <c r="Y64" i="148" s="1"/>
  <c r="Z64" i="148"/>
  <c r="X64" i="148"/>
  <c r="Q64" i="148"/>
  <c r="P64" i="148"/>
  <c r="H64" i="148"/>
  <c r="E64" i="148"/>
  <c r="I64" i="148" s="1"/>
  <c r="AD63" i="148"/>
  <c r="AC63" i="148"/>
  <c r="AE63" i="148" s="1"/>
  <c r="AI63" i="148" s="1"/>
  <c r="Y63" i="148" s="1"/>
  <c r="AB63" i="148"/>
  <c r="Z63" i="148"/>
  <c r="X63" i="148"/>
  <c r="Q63" i="148"/>
  <c r="P63" i="148"/>
  <c r="H63" i="148"/>
  <c r="E63" i="148"/>
  <c r="I63" i="148" s="1"/>
  <c r="AD62" i="148"/>
  <c r="AC62" i="148"/>
  <c r="AB62" i="148"/>
  <c r="AE62" i="148" s="1"/>
  <c r="AI62" i="148" s="1"/>
  <c r="Y62" i="148" s="1"/>
  <c r="Z62" i="148"/>
  <c r="X62" i="148"/>
  <c r="Q62" i="148"/>
  <c r="P62" i="148"/>
  <c r="H62" i="148"/>
  <c r="E62" i="148"/>
  <c r="I62" i="148" s="1"/>
  <c r="AC61" i="148"/>
  <c r="AE61" i="148" s="1"/>
  <c r="AI61" i="148" s="1"/>
  <c r="Y61" i="148" s="1"/>
  <c r="AB61" i="148"/>
  <c r="X61" i="148"/>
  <c r="Q61" i="148"/>
  <c r="P61" i="148"/>
  <c r="I61" i="148"/>
  <c r="H61" i="148"/>
  <c r="E61" i="148"/>
  <c r="AI60" i="148"/>
  <c r="Y60" i="148" s="1"/>
  <c r="AE60" i="148"/>
  <c r="X60" i="148"/>
  <c r="Q60" i="148"/>
  <c r="P60" i="148"/>
  <c r="I60" i="148"/>
  <c r="H60" i="148"/>
  <c r="E60" i="148"/>
  <c r="AC59" i="148"/>
  <c r="AE59" i="148" s="1"/>
  <c r="AI59" i="148" s="1"/>
  <c r="Y59" i="148" s="1"/>
  <c r="AB59" i="148"/>
  <c r="X59" i="148"/>
  <c r="Q59" i="148"/>
  <c r="P59" i="148"/>
  <c r="H59" i="148"/>
  <c r="E59" i="148"/>
  <c r="I59" i="148" s="1"/>
  <c r="AE58" i="148"/>
  <c r="AI58" i="148" s="1"/>
  <c r="Y58" i="148" s="1"/>
  <c r="AC58" i="148"/>
  <c r="AB58" i="148"/>
  <c r="X58" i="148"/>
  <c r="Q58" i="148"/>
  <c r="P58" i="148"/>
  <c r="E58" i="148"/>
  <c r="I58" i="148" s="1"/>
  <c r="AC57" i="148"/>
  <c r="AE57" i="148" s="1"/>
  <c r="AI57" i="148" s="1"/>
  <c r="Y57" i="148" s="1"/>
  <c r="AB57" i="148"/>
  <c r="X57" i="148"/>
  <c r="Q57" i="148"/>
  <c r="P57" i="148"/>
  <c r="I57" i="148"/>
  <c r="H57" i="148"/>
  <c r="E57" i="148"/>
  <c r="AD56" i="148"/>
  <c r="AC56" i="148"/>
  <c r="AB56" i="148"/>
  <c r="AE56" i="148" s="1"/>
  <c r="AI56" i="148" s="1"/>
  <c r="Y56" i="148" s="1"/>
  <c r="Z56" i="148"/>
  <c r="X56" i="148"/>
  <c r="Q56" i="148"/>
  <c r="P56" i="148"/>
  <c r="I56" i="148"/>
  <c r="H56" i="148"/>
  <c r="E56" i="148"/>
  <c r="AE55" i="148"/>
  <c r="AI55" i="148" s="1"/>
  <c r="Y55" i="148" s="1"/>
  <c r="AD55" i="148"/>
  <c r="AC55" i="148"/>
  <c r="AB55" i="148"/>
  <c r="Z55" i="148"/>
  <c r="X55" i="148"/>
  <c r="Q55" i="148"/>
  <c r="P55" i="148"/>
  <c r="I55" i="148"/>
  <c r="H55" i="148"/>
  <c r="E55" i="148"/>
  <c r="AD54" i="148"/>
  <c r="AC54" i="148"/>
  <c r="AB54" i="148"/>
  <c r="AE54" i="148" s="1"/>
  <c r="AI54" i="148" s="1"/>
  <c r="Y54" i="148" s="1"/>
  <c r="Z54" i="148"/>
  <c r="X54" i="148"/>
  <c r="Q54" i="148"/>
  <c r="P54" i="148"/>
  <c r="I54" i="148"/>
  <c r="H54" i="148"/>
  <c r="E54" i="148"/>
  <c r="AD53" i="148"/>
  <c r="AC53" i="148"/>
  <c r="AB53" i="148"/>
  <c r="AE53" i="148" s="1"/>
  <c r="AI53" i="148" s="1"/>
  <c r="Y53" i="148" s="1"/>
  <c r="Z53" i="148"/>
  <c r="X53" i="148"/>
  <c r="Q53" i="148"/>
  <c r="P53" i="148"/>
  <c r="I53" i="148"/>
  <c r="H53" i="148"/>
  <c r="E53" i="148"/>
  <c r="AI52" i="148"/>
  <c r="Y52" i="148" s="1"/>
  <c r="AE52" i="148"/>
  <c r="Z52" i="148"/>
  <c r="X52" i="148"/>
  <c r="Q52" i="148"/>
  <c r="P52" i="148"/>
  <c r="I52" i="148"/>
  <c r="H52" i="148"/>
  <c r="E52" i="148"/>
  <c r="AD51" i="148"/>
  <c r="AC51" i="148"/>
  <c r="AB51" i="148"/>
  <c r="AE51" i="148" s="1"/>
  <c r="AI51" i="148" s="1"/>
  <c r="Y51" i="148" s="1"/>
  <c r="Z51" i="148"/>
  <c r="X51" i="148"/>
  <c r="Q51" i="148"/>
  <c r="P51" i="148"/>
  <c r="H51" i="148"/>
  <c r="E51" i="148"/>
  <c r="I51" i="148" s="1"/>
  <c r="AD50" i="148"/>
  <c r="AC50" i="148"/>
  <c r="AE50" i="148" s="1"/>
  <c r="AI50" i="148" s="1"/>
  <c r="Y50" i="148" s="1"/>
  <c r="AB50" i="148"/>
  <c r="Z50" i="148"/>
  <c r="X50" i="148"/>
  <c r="Q50" i="148"/>
  <c r="P50" i="148"/>
  <c r="I50" i="148"/>
  <c r="H50" i="148"/>
  <c r="E50" i="148"/>
  <c r="AE49" i="148"/>
  <c r="AI49" i="148" s="1"/>
  <c r="Y49" i="148" s="1"/>
  <c r="Z49" i="148"/>
  <c r="X49" i="148"/>
  <c r="Q49" i="148"/>
  <c r="P49" i="148"/>
  <c r="H49" i="148"/>
  <c r="E49" i="148"/>
  <c r="I49" i="148" s="1"/>
  <c r="AI48" i="148"/>
  <c r="Y48" i="148" s="1"/>
  <c r="AE48" i="148"/>
  <c r="Z48" i="148"/>
  <c r="X48" i="148"/>
  <c r="Q48" i="148"/>
  <c r="P48" i="148"/>
  <c r="H48" i="148"/>
  <c r="E48" i="148"/>
  <c r="I48" i="148" s="1"/>
  <c r="AI47" i="148"/>
  <c r="Y47" i="148" s="1"/>
  <c r="AE47" i="148"/>
  <c r="Z47" i="148"/>
  <c r="X47" i="148"/>
  <c r="Q47" i="148"/>
  <c r="P47" i="148"/>
  <c r="H47" i="148"/>
  <c r="E47" i="148"/>
  <c r="I47" i="148" s="1"/>
  <c r="AD46" i="148"/>
  <c r="AC46" i="148"/>
  <c r="AB46" i="148"/>
  <c r="AE46" i="148" s="1"/>
  <c r="AI46" i="148" s="1"/>
  <c r="Y46" i="148" s="1"/>
  <c r="Z46" i="148"/>
  <c r="X46" i="148"/>
  <c r="Q46" i="148"/>
  <c r="P46" i="148"/>
  <c r="H46" i="148"/>
  <c r="E46" i="148"/>
  <c r="I46" i="148" s="1"/>
  <c r="AE45" i="148"/>
  <c r="AI45" i="148" s="1"/>
  <c r="Y45" i="148" s="1"/>
  <c r="AD45" i="148"/>
  <c r="AC45" i="148"/>
  <c r="AB45" i="148"/>
  <c r="Z45" i="148"/>
  <c r="X45" i="148"/>
  <c r="Q45" i="148"/>
  <c r="P45" i="148"/>
  <c r="I45" i="148"/>
  <c r="H45" i="148"/>
  <c r="E45" i="148"/>
  <c r="AD44" i="148"/>
  <c r="AC44" i="148"/>
  <c r="AB44" i="148"/>
  <c r="AE44" i="148" s="1"/>
  <c r="AI44" i="148" s="1"/>
  <c r="Y44" i="148" s="1"/>
  <c r="Z44" i="148"/>
  <c r="X44" i="148"/>
  <c r="Q44" i="148"/>
  <c r="P44" i="148"/>
  <c r="I44" i="148"/>
  <c r="H44" i="148"/>
  <c r="E44" i="148"/>
  <c r="AE43" i="148"/>
  <c r="AI43" i="148" s="1"/>
  <c r="Y43" i="148" s="1"/>
  <c r="AD43" i="148"/>
  <c r="AC43" i="148"/>
  <c r="AB43" i="148"/>
  <c r="Z43" i="148"/>
  <c r="X43" i="148"/>
  <c r="Q43" i="148"/>
  <c r="P43" i="148"/>
  <c r="I43" i="148"/>
  <c r="H43" i="148"/>
  <c r="E43" i="148"/>
  <c r="AD42" i="148"/>
  <c r="AC42" i="148"/>
  <c r="AB42" i="148"/>
  <c r="AE42" i="148" s="1"/>
  <c r="AI42" i="148" s="1"/>
  <c r="X42" i="148"/>
  <c r="Q42" i="148"/>
  <c r="P42" i="148"/>
  <c r="I42" i="148"/>
  <c r="H42" i="148"/>
  <c r="Z42" i="148"/>
  <c r="E42" i="148"/>
  <c r="AD41" i="148"/>
  <c r="AC41" i="148"/>
  <c r="AB41" i="148"/>
  <c r="AE41" i="148" s="1"/>
  <c r="AI41" i="148" s="1"/>
  <c r="Y41" i="148" s="1"/>
  <c r="Z41" i="148"/>
  <c r="X41" i="148"/>
  <c r="Q41" i="148"/>
  <c r="P41" i="148"/>
  <c r="I41" i="148"/>
  <c r="H41" i="148"/>
  <c r="E41" i="148"/>
  <c r="AD40" i="148"/>
  <c r="AE40" i="148" s="1"/>
  <c r="AI40" i="148" s="1"/>
  <c r="Y40" i="148" s="1"/>
  <c r="AC40" i="148"/>
  <c r="AB40" i="148"/>
  <c r="Z40" i="148"/>
  <c r="X40" i="148"/>
  <c r="Q40" i="148"/>
  <c r="P40" i="148"/>
  <c r="H40" i="148"/>
  <c r="E40" i="148"/>
  <c r="I40" i="148" s="1"/>
  <c r="AD39" i="148"/>
  <c r="AC39" i="148"/>
  <c r="AE39" i="148" s="1"/>
  <c r="AI39" i="148" s="1"/>
  <c r="AB39" i="148"/>
  <c r="Q39" i="148"/>
  <c r="P39" i="148"/>
  <c r="X39" i="148"/>
  <c r="E39" i="148"/>
  <c r="AD38" i="148"/>
  <c r="AC38" i="148"/>
  <c r="AB38" i="148"/>
  <c r="AE38" i="148" s="1"/>
  <c r="AI38" i="148" s="1"/>
  <c r="Y38" i="148" s="1"/>
  <c r="Z38" i="148"/>
  <c r="X38" i="148"/>
  <c r="Q38" i="148"/>
  <c r="P38" i="148"/>
  <c r="I38" i="148"/>
  <c r="H38" i="148"/>
  <c r="E38" i="148"/>
  <c r="AE37" i="148"/>
  <c r="AI37" i="148" s="1"/>
  <c r="Y37" i="148" s="1"/>
  <c r="AD37" i="148"/>
  <c r="AC37" i="148"/>
  <c r="AB37" i="148"/>
  <c r="Z37" i="148"/>
  <c r="X37" i="148"/>
  <c r="Q37" i="148"/>
  <c r="P37" i="148"/>
  <c r="I37" i="148"/>
  <c r="H37" i="148"/>
  <c r="E37" i="148"/>
  <c r="AD36" i="148"/>
  <c r="AC36" i="148"/>
  <c r="AB36" i="148"/>
  <c r="AE36" i="148" s="1"/>
  <c r="AI36" i="148" s="1"/>
  <c r="Y36" i="148" s="1"/>
  <c r="Z36" i="148"/>
  <c r="X36" i="148"/>
  <c r="Q36" i="148"/>
  <c r="P36" i="148"/>
  <c r="I36" i="148"/>
  <c r="H36" i="148"/>
  <c r="E36" i="148"/>
  <c r="AD35" i="148"/>
  <c r="AC35" i="148"/>
  <c r="AB35" i="148"/>
  <c r="AE35" i="148" s="1"/>
  <c r="AI35" i="148" s="1"/>
  <c r="Y35" i="148" s="1"/>
  <c r="Z35" i="148"/>
  <c r="X35" i="148"/>
  <c r="Q35" i="148"/>
  <c r="P35" i="148"/>
  <c r="I35" i="148"/>
  <c r="H35" i="148"/>
  <c r="E35" i="148"/>
  <c r="AI34" i="148"/>
  <c r="Y34" i="148" s="1"/>
  <c r="AE34" i="148"/>
  <c r="AD34" i="148"/>
  <c r="AC34" i="148"/>
  <c r="AB34" i="148"/>
  <c r="Z34" i="148"/>
  <c r="X34" i="148"/>
  <c r="Q34" i="148"/>
  <c r="P34" i="148"/>
  <c r="I34" i="148"/>
  <c r="H34" i="148"/>
  <c r="E34" i="148"/>
  <c r="AE33" i="148"/>
  <c r="AI33" i="148" s="1"/>
  <c r="Y33" i="148" s="1"/>
  <c r="AD33" i="148"/>
  <c r="AC33" i="148"/>
  <c r="AB33" i="148"/>
  <c r="Z33" i="148"/>
  <c r="X33" i="148"/>
  <c r="Q33" i="148"/>
  <c r="P33" i="148"/>
  <c r="I33" i="148"/>
  <c r="H33" i="148"/>
  <c r="E33" i="148"/>
  <c r="AD32" i="148"/>
  <c r="AC32" i="148"/>
  <c r="AB32" i="148"/>
  <c r="AE32" i="148" s="1"/>
  <c r="AI32" i="148" s="1"/>
  <c r="Y32" i="148" s="1"/>
  <c r="Z32" i="148"/>
  <c r="X32" i="148"/>
  <c r="Q32" i="148"/>
  <c r="P32" i="148"/>
  <c r="H32" i="148"/>
  <c r="E32" i="148"/>
  <c r="I32" i="148" s="1"/>
  <c r="AE31" i="148"/>
  <c r="AI31" i="148" s="1"/>
  <c r="Y31" i="148" s="1"/>
  <c r="Z31" i="148"/>
  <c r="X31" i="148"/>
  <c r="Q31" i="148"/>
  <c r="P31" i="148"/>
  <c r="I31" i="148"/>
  <c r="H31" i="148"/>
  <c r="E31" i="148"/>
  <c r="AD30" i="148"/>
  <c r="AC30" i="148"/>
  <c r="AB30" i="148"/>
  <c r="AE30" i="148" s="1"/>
  <c r="AI30" i="148" s="1"/>
  <c r="Y30" i="148" s="1"/>
  <c r="Z30" i="148"/>
  <c r="X30" i="148"/>
  <c r="Q30" i="148"/>
  <c r="P30" i="148"/>
  <c r="H30" i="148"/>
  <c r="E30" i="148"/>
  <c r="I30" i="148" s="1"/>
  <c r="AD29" i="148"/>
  <c r="AC29" i="148"/>
  <c r="AE29" i="148" s="1"/>
  <c r="AI29" i="148" s="1"/>
  <c r="Y29" i="148" s="1"/>
  <c r="AB29" i="148"/>
  <c r="Z29" i="148"/>
  <c r="X29" i="148"/>
  <c r="Q29" i="148"/>
  <c r="P29" i="148"/>
  <c r="H29" i="148"/>
  <c r="E29" i="148"/>
  <c r="I29" i="148" s="1"/>
  <c r="AD28" i="148"/>
  <c r="AC28" i="148"/>
  <c r="AB28" i="148"/>
  <c r="AE28" i="148" s="1"/>
  <c r="AI28" i="148" s="1"/>
  <c r="Y28" i="148" s="1"/>
  <c r="Z28" i="148"/>
  <c r="X28" i="148"/>
  <c r="Q28" i="148"/>
  <c r="P28" i="148"/>
  <c r="H28" i="148"/>
  <c r="E28" i="148"/>
  <c r="I28" i="148" s="1"/>
  <c r="AD27" i="148"/>
  <c r="AC27" i="148"/>
  <c r="AB27" i="148"/>
  <c r="AE27" i="148" s="1"/>
  <c r="AI27" i="148" s="1"/>
  <c r="Y27" i="148" s="1"/>
  <c r="Z27" i="148"/>
  <c r="X27" i="148"/>
  <c r="Q27" i="148"/>
  <c r="P27" i="148"/>
  <c r="H27" i="148"/>
  <c r="E27" i="148"/>
  <c r="I27" i="148" s="1"/>
  <c r="AD26" i="148"/>
  <c r="AC26" i="148"/>
  <c r="AE26" i="148" s="1"/>
  <c r="AI26" i="148" s="1"/>
  <c r="Y26" i="148" s="1"/>
  <c r="AB26" i="148"/>
  <c r="Z26" i="148"/>
  <c r="X26" i="148"/>
  <c r="Q26" i="148"/>
  <c r="P26" i="148"/>
  <c r="H26" i="148"/>
  <c r="E26" i="148"/>
  <c r="I26" i="148" s="1"/>
  <c r="AD25" i="148"/>
  <c r="AC25" i="148"/>
  <c r="AB25" i="148"/>
  <c r="AE25" i="148" s="1"/>
  <c r="AI25" i="148" s="1"/>
  <c r="Y25" i="148" s="1"/>
  <c r="Z25" i="148"/>
  <c r="X25" i="148"/>
  <c r="Q25" i="148"/>
  <c r="P25" i="148"/>
  <c r="H25" i="148"/>
  <c r="E25" i="148"/>
  <c r="I25" i="148" s="1"/>
  <c r="AE24" i="148"/>
  <c r="AI24" i="148" s="1"/>
  <c r="Y24" i="148" s="1"/>
  <c r="AD24" i="148"/>
  <c r="AC24" i="148"/>
  <c r="AB24" i="148"/>
  <c r="Z24" i="148"/>
  <c r="X24" i="148"/>
  <c r="Q24" i="148"/>
  <c r="P24" i="148"/>
  <c r="H24" i="148"/>
  <c r="E24" i="148"/>
  <c r="I24" i="148" s="1"/>
  <c r="AD23" i="148"/>
  <c r="AC23" i="148"/>
  <c r="AB23" i="148"/>
  <c r="AE23" i="148" s="1"/>
  <c r="AI23" i="148" s="1"/>
  <c r="Y23" i="148" s="1"/>
  <c r="Z23" i="148"/>
  <c r="X23" i="148"/>
  <c r="Q23" i="148"/>
  <c r="P23" i="148"/>
  <c r="H23" i="148"/>
  <c r="E23" i="148"/>
  <c r="I23" i="148" s="1"/>
  <c r="AE22" i="148"/>
  <c r="AI22" i="148" s="1"/>
  <c r="Y22" i="148" s="1"/>
  <c r="AD22" i="148"/>
  <c r="AC22" i="148"/>
  <c r="AB22" i="148"/>
  <c r="Z22" i="148"/>
  <c r="X22" i="148"/>
  <c r="Q22" i="148"/>
  <c r="P22" i="148"/>
  <c r="I22" i="148"/>
  <c r="H22" i="148"/>
  <c r="E22" i="148"/>
  <c r="AD21" i="148"/>
  <c r="AC21" i="148"/>
  <c r="AB21" i="148"/>
  <c r="AE21" i="148" s="1"/>
  <c r="AI21" i="148" s="1"/>
  <c r="Y21" i="148" s="1"/>
  <c r="Z21" i="148"/>
  <c r="X21" i="148"/>
  <c r="Q21" i="148"/>
  <c r="P21" i="148"/>
  <c r="I21" i="148"/>
  <c r="H21" i="148"/>
  <c r="E21" i="148"/>
  <c r="AD20" i="148"/>
  <c r="AC20" i="148"/>
  <c r="AB20" i="148"/>
  <c r="AE20" i="148" s="1"/>
  <c r="AI20" i="148" s="1"/>
  <c r="Y20" i="148" s="1"/>
  <c r="Z20" i="148"/>
  <c r="X20" i="148"/>
  <c r="Q20" i="148"/>
  <c r="P20" i="148"/>
  <c r="I20" i="148"/>
  <c r="H20" i="148"/>
  <c r="E20" i="148"/>
  <c r="AI19" i="148"/>
  <c r="Y19" i="148" s="1"/>
  <c r="AE19" i="148"/>
  <c r="AD19" i="148"/>
  <c r="AC19" i="148"/>
  <c r="AB19" i="148"/>
  <c r="Z19" i="148"/>
  <c r="X19" i="148"/>
  <c r="Q19" i="148"/>
  <c r="P19" i="148"/>
  <c r="I19" i="148"/>
  <c r="H19" i="148"/>
  <c r="E19" i="148"/>
  <c r="AD18" i="148"/>
  <c r="AC18" i="148"/>
  <c r="AE18" i="148" s="1"/>
  <c r="AI18" i="148" s="1"/>
  <c r="Y18" i="148" s="1"/>
  <c r="AB18" i="148"/>
  <c r="Z18" i="148"/>
  <c r="X18" i="148"/>
  <c r="Q18" i="148"/>
  <c r="P18" i="148"/>
  <c r="I18" i="148"/>
  <c r="H18" i="148"/>
  <c r="E18" i="148"/>
  <c r="AD17" i="148"/>
  <c r="AC17" i="148"/>
  <c r="AB17" i="148"/>
  <c r="AE17" i="148" s="1"/>
  <c r="AI17" i="148" s="1"/>
  <c r="Y17" i="148" s="1"/>
  <c r="Z17" i="148"/>
  <c r="X17" i="148"/>
  <c r="Q17" i="148"/>
  <c r="P17" i="148"/>
  <c r="H17" i="148"/>
  <c r="E17" i="148"/>
  <c r="I17" i="148" s="1"/>
  <c r="AD16" i="148"/>
  <c r="AC16" i="148"/>
  <c r="AE16" i="148" s="1"/>
  <c r="AI16" i="148" s="1"/>
  <c r="Y16" i="148" s="1"/>
  <c r="AB16" i="148"/>
  <c r="Z16" i="148"/>
  <c r="X16" i="148"/>
  <c r="Q16" i="148"/>
  <c r="P16" i="148"/>
  <c r="I16" i="148"/>
  <c r="E16" i="148"/>
  <c r="AD15" i="148"/>
  <c r="AC15" i="148"/>
  <c r="AB15" i="148"/>
  <c r="AE15" i="148" s="1"/>
  <c r="AI15" i="148" s="1"/>
  <c r="Y15" i="148" s="1"/>
  <c r="Z15" i="148"/>
  <c r="X15" i="148"/>
  <c r="Q15" i="148"/>
  <c r="P15" i="148"/>
  <c r="E15" i="148"/>
  <c r="I15" i="148" s="1"/>
  <c r="AE14" i="148"/>
  <c r="AI14" i="148" s="1"/>
  <c r="Y14" i="148" s="1"/>
  <c r="AD14" i="148"/>
  <c r="AC14" i="148"/>
  <c r="AB14" i="148"/>
  <c r="Z14" i="148"/>
  <c r="X14" i="148"/>
  <c r="Q14" i="148"/>
  <c r="P14" i="148"/>
  <c r="H14" i="148"/>
  <c r="E14" i="148"/>
  <c r="I14" i="148" s="1"/>
  <c r="AD13" i="148"/>
  <c r="AC13" i="148"/>
  <c r="AB13" i="148"/>
  <c r="AE13" i="148" s="1"/>
  <c r="AI13" i="148" s="1"/>
  <c r="Y13" i="148" s="1"/>
  <c r="Z13" i="148"/>
  <c r="X13" i="148"/>
  <c r="Q13" i="148"/>
  <c r="P13" i="148"/>
  <c r="H13" i="148"/>
  <c r="E13" i="148"/>
  <c r="I13" i="148" s="1"/>
  <c r="AE12" i="148"/>
  <c r="AI12" i="148" s="1"/>
  <c r="Y12" i="148" s="1"/>
  <c r="AD12" i="148"/>
  <c r="AC12" i="148"/>
  <c r="AB12" i="148"/>
  <c r="Z12" i="148"/>
  <c r="X12" i="148"/>
  <c r="Q12" i="148"/>
  <c r="P12" i="148"/>
  <c r="H12" i="148"/>
  <c r="E12" i="148"/>
  <c r="I12" i="148" s="1"/>
  <c r="F77" i="149" l="1"/>
  <c r="T77" i="148"/>
  <c r="O73" i="148"/>
  <c r="O75" i="148"/>
  <c r="Y39" i="148"/>
  <c r="Z39" i="148"/>
  <c r="T75" i="148" s="1"/>
  <c r="H71" i="148"/>
  <c r="Y42" i="148"/>
  <c r="H39" i="148"/>
  <c r="I39" i="148"/>
  <c r="F75" i="148" s="1"/>
  <c r="T73" i="148" l="1"/>
  <c r="T79" i="148"/>
  <c r="F73" i="148"/>
  <c r="F77" i="148" s="1"/>
</calcChain>
</file>

<file path=xl/sharedStrings.xml><?xml version="1.0" encoding="utf-8"?>
<sst xmlns="http://schemas.openxmlformats.org/spreadsheetml/2006/main" count="4230" uniqueCount="135">
  <si>
    <t>DEALER NAME:</t>
  </si>
  <si>
    <t>DOS No.</t>
  </si>
  <si>
    <t>Please Fill up all needed details</t>
  </si>
  <si>
    <t>DRIVER'S NAME:</t>
  </si>
  <si>
    <t>DATE:</t>
  </si>
  <si>
    <t>PLATE NO.;</t>
  </si>
  <si>
    <t>TYPE TRANSACTION</t>
  </si>
  <si>
    <t>CASH</t>
  </si>
  <si>
    <r>
      <t>Always place an "</t>
    </r>
    <r>
      <rPr>
        <b/>
        <sz val="16"/>
        <rFont val="Arial"/>
        <family val="2"/>
      </rPr>
      <t>X</t>
    </r>
    <r>
      <rPr>
        <sz val="16"/>
        <rFont val="Arial"/>
        <family val="2"/>
      </rPr>
      <t>" for Cash or Credit Transaction</t>
    </r>
  </si>
  <si>
    <t>CAN</t>
  </si>
  <si>
    <t>TRIP NUMBER:</t>
  </si>
  <si>
    <t>CREDIT</t>
  </si>
  <si>
    <t>KIRIN</t>
  </si>
  <si>
    <t>500 can</t>
  </si>
  <si>
    <t>SKU</t>
  </si>
  <si>
    <t>Contents Only</t>
  </si>
  <si>
    <t>MTS</t>
  </si>
  <si>
    <t>GROSS AMOUNT</t>
  </si>
  <si>
    <t>FOR DEALER USE</t>
  </si>
  <si>
    <t>FOR WAREHOUSE USE</t>
  </si>
  <si>
    <t>Contents Amt</t>
  </si>
  <si>
    <t>FTH - FD</t>
  </si>
  <si>
    <t>Orignal FTH</t>
  </si>
  <si>
    <t>Subsidy FTH</t>
  </si>
  <si>
    <t>DL PRM</t>
  </si>
  <si>
    <t>Total FTH</t>
  </si>
  <si>
    <t>Func Disc.</t>
  </si>
  <si>
    <t>FTH -FD</t>
  </si>
  <si>
    <t>Order FGs QTY</t>
  </si>
  <si>
    <t>No. of Cases in pallets</t>
  </si>
  <si>
    <t>Order FGs in pallets</t>
  </si>
  <si>
    <t>Order FGs Amount</t>
  </si>
  <si>
    <t>CMT Amount</t>
  </si>
  <si>
    <t>Shell Amount</t>
  </si>
  <si>
    <t>Bottle</t>
  </si>
  <si>
    <t>ACTUAL RETURNS</t>
  </si>
  <si>
    <t>SUBJECT FOR SEGREGATION</t>
  </si>
  <si>
    <t>CMT</t>
  </si>
  <si>
    <t>SHELL</t>
  </si>
  <si>
    <t>BOTTLES</t>
  </si>
  <si>
    <t>Total in  Pallets</t>
  </si>
  <si>
    <t>TOTAL MTs Amount</t>
  </si>
  <si>
    <t>PP 320</t>
  </si>
  <si>
    <t>PP 1000</t>
  </si>
  <si>
    <t>RH 330</t>
  </si>
  <si>
    <t>RH 500</t>
  </si>
  <si>
    <t>RH 1000</t>
  </si>
  <si>
    <t>RH SUPER</t>
  </si>
  <si>
    <t>GE 1000</t>
  </si>
  <si>
    <t>SML 330</t>
  </si>
  <si>
    <t xml:space="preserve">FB APPLE </t>
  </si>
  <si>
    <t>FB LEMON</t>
  </si>
  <si>
    <t>FB LYCHEE</t>
  </si>
  <si>
    <t>PAM 330</t>
  </si>
  <si>
    <t>SD 330</t>
  </si>
  <si>
    <t>PP 330</t>
  </si>
  <si>
    <t>CN 330</t>
  </si>
  <si>
    <t>CERVESA BLANCA</t>
  </si>
  <si>
    <t>CALI 330</t>
  </si>
  <si>
    <t>CICE 330</t>
  </si>
  <si>
    <t>GE 320</t>
  </si>
  <si>
    <t>OKTO 330</t>
  </si>
  <si>
    <t>SMZero</t>
  </si>
  <si>
    <t>RH KING CAN 500</t>
  </si>
  <si>
    <t>PP Can</t>
  </si>
  <si>
    <t>RH Can</t>
  </si>
  <si>
    <t>SML Can</t>
  </si>
  <si>
    <t>PAM Can</t>
  </si>
  <si>
    <t>SD Can</t>
  </si>
  <si>
    <t>CALI Can</t>
  </si>
  <si>
    <t>CICE Can</t>
  </si>
  <si>
    <t>CALI 10</t>
  </si>
  <si>
    <t>FB App Can</t>
  </si>
  <si>
    <t>FB Lem Can</t>
  </si>
  <si>
    <t>FB Lyc Can</t>
  </si>
  <si>
    <t>KIRIN 330</t>
  </si>
  <si>
    <t>KIRIN Can</t>
  </si>
  <si>
    <t>DB30L PP</t>
  </si>
  <si>
    <t>PP DB 15L</t>
  </si>
  <si>
    <t>DB30L SML</t>
  </si>
  <si>
    <t>San Mig Free 330</t>
  </si>
  <si>
    <t>San Mig Free Can 330</t>
  </si>
  <si>
    <t>SMigCol250</t>
  </si>
  <si>
    <t>HS CITRUS MIX CAN</t>
  </si>
  <si>
    <t>CHOCO LAGER CAN</t>
  </si>
  <si>
    <t>CERVESA NEGRA CAN</t>
  </si>
  <si>
    <t>CERVESA BLANCA CAN</t>
  </si>
  <si>
    <t>HT Lemon</t>
  </si>
  <si>
    <t>HT Apple</t>
  </si>
  <si>
    <t>HT Strawberry</t>
  </si>
  <si>
    <t>Provision 1 NAB</t>
  </si>
  <si>
    <t>FD Grapes</t>
  </si>
  <si>
    <t>PAM Can 6's</t>
  </si>
  <si>
    <t>SD Can 330 6's</t>
  </si>
  <si>
    <t>FB Apple Can 330 6's</t>
  </si>
  <si>
    <t>FB Lemon Can 330 6's</t>
  </si>
  <si>
    <t>PP Can 330 6's</t>
  </si>
  <si>
    <t>RH Can 330 6's</t>
  </si>
  <si>
    <t>SML Can 330 6's</t>
  </si>
  <si>
    <t>Provision 2 NAB</t>
  </si>
  <si>
    <t>Provision 3 NAB</t>
  </si>
  <si>
    <t>TOTAL IN PALLETS</t>
  </si>
  <si>
    <t>FGs Amount</t>
  </si>
  <si>
    <t>MTs Amount</t>
  </si>
  <si>
    <t>DISC (FTH-FD)</t>
  </si>
  <si>
    <t>Net Amount (CASH Dealer)</t>
  </si>
  <si>
    <t>PDC DATE</t>
  </si>
  <si>
    <t>Relayed Discount</t>
  </si>
  <si>
    <t>Special Discounts</t>
  </si>
  <si>
    <t>Monitor Relayed discount based on maximum discount per transaction (15% of Contents Amount)</t>
  </si>
  <si>
    <t>PDC Amount (CREDIT Dealer)</t>
  </si>
  <si>
    <t>TWAS &amp; UNAPPLIED</t>
  </si>
  <si>
    <t>TOTAL DISCOUNT</t>
  </si>
  <si>
    <t>PALLETS ON-LOAN</t>
  </si>
  <si>
    <t>AT DEALER</t>
  </si>
  <si>
    <t>LESS; RETURN</t>
  </si>
  <si>
    <t>ADD: ISSUES</t>
  </si>
  <si>
    <t>TOTAL</t>
  </si>
  <si>
    <t>FGS ORDERED:</t>
  </si>
  <si>
    <t>MTS RETURNED:</t>
  </si>
  <si>
    <t>MTS CHECKED BY:</t>
  </si>
  <si>
    <t>BY</t>
  </si>
  <si>
    <t>DEALER (PRINTED NAME &amp; SIGNATURE)</t>
  </si>
  <si>
    <t>CHECKER</t>
  </si>
  <si>
    <t>APPROVED BY:</t>
  </si>
  <si>
    <t>ACKNOWLEDGED BY</t>
  </si>
  <si>
    <t>SALES SUPERVISOR (PRINTED NAME &amp; SIGNATURE)</t>
  </si>
  <si>
    <t>DEALER REPRESENTATIVE</t>
  </si>
  <si>
    <t>CASH Discount</t>
  </si>
  <si>
    <t>CASH DISCOUNT</t>
  </si>
  <si>
    <t>GUILLERMO BEVERAGES DISTRIBUTION SERVICES</t>
  </si>
  <si>
    <t>x</t>
  </si>
  <si>
    <t>JOHN MICHAEL K. FUENTES</t>
  </si>
  <si>
    <t>ROBERTO CHIONG</t>
  </si>
  <si>
    <t>NEILVIN BAGUIO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</si>
</sst>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[$-409]mmmm\ d\,\ yyyy;@"/>
    <numFmt numFmtId="166" formatCode="_(* #,##0_);_(* \(#,##0\);_(* &quot;-&quot;??_);_(@_)"/>
    <numFmt numFmtId="167" formatCode="_(* #,##0_);[Red]_(* \(#,##0\);_(* &quot;-&quot;??_);_(@_)"/>
    <numFmt numFmtId="168" formatCode="_(* #,##0.0_);_(* \(#,##0.0\);_(* &quot;-&quot;??_);_(@_)"/>
    <numFmt numFmtId="169" formatCode="_([$PHP]\ * #,##0.00_);_([$PHP]\ * \(#,##0.00\);_([$PHP]\ * &quot;-&quot;??_);_(@_)"/>
    <numFmt numFmtId="170" formatCode="[$PHP]\ #,##0.00_);\([$PHP]\ #,##0.00\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name val="Arial Rounded MT Bold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 Narrow"/>
      <family val="2"/>
    </font>
    <font>
      <b/>
      <sz val="2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8"/>
      <color indexed="12"/>
      <name val="Arial Rounded MT Bold"/>
      <family val="2"/>
    </font>
    <font>
      <sz val="18"/>
      <name val="Arial"/>
      <family val="2"/>
    </font>
    <font>
      <b/>
      <sz val="8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7.5"/>
      <name val="Arial"/>
      <family val="2"/>
    </font>
    <font>
      <sz val="8"/>
      <color indexed="48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3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313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164" fontId="4" fillId="0" borderId="0" xfId="1" applyFont="1" applyFill="1" applyAlignment="1" applyProtection="1">
      <alignment vertical="center"/>
    </xf>
    <xf numFmtId="0" fontId="5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8" fillId="2" borderId="1" xfId="2" applyFont="1" applyFill="1" applyBorder="1" applyAlignment="1" applyProtection="1">
      <alignment horizontal="center" vertical="center"/>
      <protection locked="0"/>
    </xf>
    <xf numFmtId="0" fontId="11" fillId="0" borderId="0" xfId="2" applyFont="1" applyAlignment="1">
      <alignment vertical="center"/>
    </xf>
    <xf numFmtId="164" fontId="11" fillId="0" borderId="0" xfId="1" applyFont="1" applyFill="1" applyAlignment="1" applyProtection="1">
      <alignment vertical="center"/>
    </xf>
    <xf numFmtId="0" fontId="9" fillId="0" borderId="0" xfId="2" applyFont="1" applyAlignment="1">
      <alignment vertical="center" wrapText="1"/>
    </xf>
    <xf numFmtId="0" fontId="4" fillId="0" borderId="0" xfId="2" applyFont="1" applyAlignment="1">
      <alignment horizontal="right" vertical="center"/>
    </xf>
    <xf numFmtId="0" fontId="13" fillId="2" borderId="1" xfId="2" applyFont="1" applyFill="1" applyBorder="1" applyAlignment="1" applyProtection="1">
      <alignment horizontal="center" vertical="center"/>
      <protection locked="0"/>
    </xf>
    <xf numFmtId="0" fontId="14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164" fontId="15" fillId="0" borderId="0" xfId="1" applyFont="1" applyFill="1" applyAlignment="1" applyProtection="1">
      <alignment horizontal="left" vertical="center"/>
    </xf>
    <xf numFmtId="0" fontId="16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 wrapText="1"/>
    </xf>
    <xf numFmtId="166" fontId="17" fillId="0" borderId="27" xfId="3" applyNumberFormat="1" applyFont="1" applyFill="1" applyBorder="1" applyAlignment="1" applyProtection="1">
      <alignment horizontal="center" vertical="center"/>
    </xf>
    <xf numFmtId="166" fontId="17" fillId="0" borderId="28" xfId="3" applyNumberFormat="1" applyFont="1" applyFill="1" applyBorder="1" applyAlignment="1" applyProtection="1">
      <alignment horizontal="center" vertical="center"/>
    </xf>
    <xf numFmtId="164" fontId="17" fillId="0" borderId="29" xfId="1" applyFont="1" applyFill="1" applyBorder="1" applyAlignment="1" applyProtection="1">
      <alignment horizontal="center" vertical="center"/>
    </xf>
    <xf numFmtId="0" fontId="18" fillId="0" borderId="0" xfId="2" applyFont="1" applyAlignment="1">
      <alignment vertical="center"/>
    </xf>
    <xf numFmtId="166" fontId="17" fillId="0" borderId="29" xfId="3" applyNumberFormat="1" applyFont="1" applyFill="1" applyBorder="1" applyAlignment="1" applyProtection="1">
      <alignment horizontal="center" vertical="center"/>
    </xf>
    <xf numFmtId="0" fontId="12" fillId="0" borderId="36" xfId="2" applyFont="1" applyBorder="1" applyAlignment="1">
      <alignment vertical="center" wrapText="1"/>
    </xf>
    <xf numFmtId="164" fontId="11" fillId="0" borderId="36" xfId="1" applyFont="1" applyFill="1" applyBorder="1" applyAlignment="1" applyProtection="1">
      <alignment vertical="center"/>
    </xf>
    <xf numFmtId="167" fontId="19" fillId="2" borderId="10" xfId="1" applyNumberFormat="1" applyFont="1" applyFill="1" applyBorder="1" applyAlignment="1" applyProtection="1">
      <alignment horizontal="center" vertical="center"/>
      <protection locked="0"/>
    </xf>
    <xf numFmtId="167" fontId="20" fillId="0" borderId="37" xfId="1" applyNumberFormat="1" applyFont="1" applyFill="1" applyBorder="1" applyAlignment="1" applyProtection="1">
      <alignment horizontal="center" vertical="center"/>
    </xf>
    <xf numFmtId="164" fontId="21" fillId="0" borderId="37" xfId="1" applyFont="1" applyFill="1" applyBorder="1" applyAlignment="1" applyProtection="1">
      <alignment horizontal="center" vertical="center"/>
    </xf>
    <xf numFmtId="164" fontId="22" fillId="0" borderId="37" xfId="1" applyFont="1" applyFill="1" applyBorder="1" applyAlignment="1" applyProtection="1">
      <alignment horizontal="center" vertical="center"/>
    </xf>
    <xf numFmtId="164" fontId="20" fillId="0" borderId="37" xfId="1" applyFont="1" applyFill="1" applyBorder="1" applyAlignment="1" applyProtection="1">
      <alignment horizontal="center" vertical="center"/>
    </xf>
    <xf numFmtId="167" fontId="19" fillId="2" borderId="38" xfId="1" applyNumberFormat="1" applyFont="1" applyFill="1" applyBorder="1" applyAlignment="1" applyProtection="1">
      <alignment horizontal="center" vertical="center"/>
      <protection locked="0"/>
    </xf>
    <xf numFmtId="168" fontId="21" fillId="0" borderId="37" xfId="1" applyNumberFormat="1" applyFont="1" applyFill="1" applyBorder="1" applyAlignment="1" applyProtection="1">
      <alignment horizontal="center" vertical="center"/>
    </xf>
    <xf numFmtId="164" fontId="22" fillId="0" borderId="12" xfId="1" applyFont="1" applyFill="1" applyBorder="1" applyAlignment="1" applyProtection="1">
      <alignment horizontal="center" vertical="center"/>
    </xf>
    <xf numFmtId="167" fontId="19" fillId="0" borderId="38" xfId="1" applyNumberFormat="1" applyFont="1" applyFill="1" applyBorder="1" applyAlignment="1" applyProtection="1">
      <alignment horizontal="center" vertical="center"/>
      <protection locked="0"/>
    </xf>
    <xf numFmtId="167" fontId="19" fillId="0" borderId="12" xfId="1" applyNumberFormat="1" applyFont="1" applyFill="1" applyBorder="1" applyAlignment="1" applyProtection="1">
      <alignment horizontal="center" vertical="center"/>
      <protection locked="0"/>
    </xf>
    <xf numFmtId="164" fontId="9" fillId="0" borderId="39" xfId="1" applyFont="1" applyBorder="1" applyAlignment="1">
      <alignment vertical="center"/>
    </xf>
    <xf numFmtId="164" fontId="9" fillId="0" borderId="40" xfId="1" applyFont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41" xfId="2" applyFont="1" applyBorder="1" applyAlignment="1">
      <alignment vertical="center"/>
    </xf>
    <xf numFmtId="0" fontId="9" fillId="3" borderId="42" xfId="2" applyFont="1" applyFill="1" applyBorder="1" applyAlignment="1" applyProtection="1">
      <alignment vertical="center"/>
      <protection locked="0"/>
    </xf>
    <xf numFmtId="43" fontId="9" fillId="0" borderId="41" xfId="2" applyNumberFormat="1" applyFont="1" applyBorder="1" applyAlignment="1">
      <alignment vertical="center"/>
    </xf>
    <xf numFmtId="43" fontId="9" fillId="0" borderId="0" xfId="2" applyNumberFormat="1" applyFont="1" applyAlignment="1">
      <alignment vertical="center"/>
    </xf>
    <xf numFmtId="164" fontId="9" fillId="0" borderId="12" xfId="1" applyFont="1" applyBorder="1" applyAlignment="1">
      <alignment vertical="center"/>
    </xf>
    <xf numFmtId="164" fontId="9" fillId="0" borderId="41" xfId="1" applyFont="1" applyFill="1" applyBorder="1" applyAlignment="1" applyProtection="1">
      <alignment vertical="center"/>
    </xf>
    <xf numFmtId="0" fontId="12" fillId="0" borderId="43" xfId="2" applyFont="1" applyBorder="1" applyAlignment="1">
      <alignment vertical="center" wrapText="1"/>
    </xf>
    <xf numFmtId="164" fontId="11" fillId="0" borderId="43" xfId="1" applyFont="1" applyFill="1" applyBorder="1" applyAlignment="1" applyProtection="1">
      <alignment vertical="center"/>
    </xf>
    <xf numFmtId="167" fontId="19" fillId="2" borderId="22" xfId="1" applyNumberFormat="1" applyFont="1" applyFill="1" applyBorder="1" applyAlignment="1" applyProtection="1">
      <alignment horizontal="center" vertical="center"/>
      <protection locked="0"/>
    </xf>
    <xf numFmtId="167" fontId="20" fillId="0" borderId="43" xfId="1" applyNumberFormat="1" applyFont="1" applyFill="1" applyBorder="1" applyAlignment="1" applyProtection="1">
      <alignment horizontal="center" vertical="center"/>
    </xf>
    <xf numFmtId="39" fontId="21" fillId="0" borderId="43" xfId="1" applyNumberFormat="1" applyFont="1" applyFill="1" applyBorder="1" applyAlignment="1" applyProtection="1">
      <alignment horizontal="center" vertical="center"/>
    </xf>
    <xf numFmtId="164" fontId="22" fillId="0" borderId="43" xfId="1" applyFont="1" applyFill="1" applyBorder="1" applyAlignment="1" applyProtection="1">
      <alignment horizontal="center" vertical="center"/>
    </xf>
    <xf numFmtId="164" fontId="20" fillId="0" borderId="43" xfId="1" applyFont="1" applyFill="1" applyBorder="1" applyAlignment="1" applyProtection="1">
      <alignment horizontal="center" vertical="center"/>
    </xf>
    <xf numFmtId="167" fontId="19" fillId="2" borderId="44" xfId="1" applyNumberFormat="1" applyFont="1" applyFill="1" applyBorder="1" applyAlignment="1" applyProtection="1">
      <alignment horizontal="center" vertical="center"/>
      <protection locked="0"/>
    </xf>
    <xf numFmtId="168" fontId="21" fillId="0" borderId="43" xfId="1" applyNumberFormat="1" applyFont="1" applyFill="1" applyBorder="1" applyAlignment="1" applyProtection="1">
      <alignment horizontal="center" vertical="center"/>
    </xf>
    <xf numFmtId="164" fontId="22" fillId="0" borderId="24" xfId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  <protection locked="0"/>
    </xf>
    <xf numFmtId="167" fontId="19" fillId="0" borderId="24" xfId="1" applyNumberFormat="1" applyFont="1" applyFill="1" applyBorder="1" applyAlignment="1" applyProtection="1">
      <alignment horizontal="center" vertical="center"/>
      <protection locked="0"/>
    </xf>
    <xf numFmtId="164" fontId="9" fillId="0" borderId="22" xfId="1" applyFont="1" applyBorder="1" applyAlignment="1">
      <alignment vertical="center"/>
    </xf>
    <xf numFmtId="164" fontId="9" fillId="0" borderId="23" xfId="1" applyFont="1" applyBorder="1" applyAlignment="1">
      <alignment vertical="center"/>
    </xf>
    <xf numFmtId="0" fontId="9" fillId="0" borderId="24" xfId="2" applyFont="1" applyBorder="1" applyAlignment="1">
      <alignment vertical="center"/>
    </xf>
    <xf numFmtId="0" fontId="9" fillId="3" borderId="25" xfId="2" applyFont="1" applyFill="1" applyBorder="1" applyAlignment="1" applyProtection="1">
      <alignment vertical="center"/>
      <protection locked="0"/>
    </xf>
    <xf numFmtId="43" fontId="9" fillId="0" borderId="24" xfId="2" applyNumberFormat="1" applyFont="1" applyBorder="1" applyAlignment="1">
      <alignment vertical="center"/>
    </xf>
    <xf numFmtId="166" fontId="9" fillId="0" borderId="0" xfId="1" applyNumberFormat="1" applyFont="1" applyAlignment="1">
      <alignment vertical="center"/>
    </xf>
    <xf numFmtId="164" fontId="9" fillId="0" borderId="24" xfId="1" applyFont="1" applyBorder="1" applyAlignment="1">
      <alignment vertical="center"/>
    </xf>
    <xf numFmtId="164" fontId="9" fillId="0" borderId="24" xfId="1" applyFont="1" applyFill="1" applyBorder="1" applyAlignment="1" applyProtection="1">
      <alignment vertical="center"/>
    </xf>
    <xf numFmtId="164" fontId="21" fillId="0" borderId="43" xfId="1" applyFont="1" applyFill="1" applyBorder="1" applyAlignment="1" applyProtection="1">
      <alignment horizontal="center" vertical="center"/>
    </xf>
    <xf numFmtId="167" fontId="20" fillId="4" borderId="44" xfId="1" applyNumberFormat="1" applyFont="1" applyFill="1" applyBorder="1" applyAlignment="1" applyProtection="1">
      <alignment horizontal="center" vertical="center"/>
    </xf>
    <xf numFmtId="167" fontId="19" fillId="4" borderId="44" xfId="1" applyNumberFormat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</xf>
    <xf numFmtId="0" fontId="12" fillId="0" borderId="45" xfId="2" applyFont="1" applyBorder="1" applyAlignment="1">
      <alignment vertical="center" wrapText="1"/>
    </xf>
    <xf numFmtId="164" fontId="11" fillId="0" borderId="45" xfId="1" applyFont="1" applyFill="1" applyBorder="1" applyAlignment="1" applyProtection="1">
      <alignment vertical="center"/>
    </xf>
    <xf numFmtId="167" fontId="19" fillId="2" borderId="46" xfId="1" applyNumberFormat="1" applyFont="1" applyFill="1" applyBorder="1" applyAlignment="1" applyProtection="1">
      <alignment horizontal="center" vertical="center"/>
      <protection locked="0"/>
    </xf>
    <xf numFmtId="167" fontId="20" fillId="0" borderId="45" xfId="1" applyNumberFormat="1" applyFont="1" applyFill="1" applyBorder="1" applyAlignment="1" applyProtection="1">
      <alignment horizontal="center" vertical="center"/>
    </xf>
    <xf numFmtId="164" fontId="21" fillId="0" borderId="45" xfId="1" applyFont="1" applyFill="1" applyBorder="1" applyAlignment="1" applyProtection="1">
      <alignment horizontal="center" vertical="center"/>
    </xf>
    <xf numFmtId="164" fontId="22" fillId="0" borderId="45" xfId="1" applyFont="1" applyFill="1" applyBorder="1" applyAlignment="1" applyProtection="1">
      <alignment horizontal="center" vertical="center"/>
    </xf>
    <xf numFmtId="164" fontId="20" fillId="0" borderId="45" xfId="1" applyFont="1" applyFill="1" applyBorder="1" applyAlignment="1" applyProtection="1">
      <alignment horizontal="center" vertical="center"/>
    </xf>
    <xf numFmtId="167" fontId="20" fillId="4" borderId="47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  <protection locked="0"/>
    </xf>
    <xf numFmtId="167" fontId="19" fillId="4" borderId="47" xfId="1" applyNumberFormat="1" applyFont="1" applyFill="1" applyBorder="1" applyAlignment="1" applyProtection="1">
      <alignment horizontal="center" vertical="center"/>
    </xf>
    <xf numFmtId="168" fontId="21" fillId="0" borderId="45" xfId="1" applyNumberFormat="1" applyFont="1" applyFill="1" applyBorder="1" applyAlignment="1" applyProtection="1">
      <alignment horizontal="center" vertical="center"/>
    </xf>
    <xf numFmtId="164" fontId="22" fillId="0" borderId="48" xfId="1" applyFont="1" applyFill="1" applyBorder="1" applyAlignment="1" applyProtection="1">
      <alignment horizontal="center" vertical="center"/>
    </xf>
    <xf numFmtId="167" fontId="19" fillId="0" borderId="47" xfId="1" applyNumberFormat="1" applyFont="1" applyFill="1" applyBorder="1" applyAlignment="1" applyProtection="1">
      <alignment horizontal="center" vertical="center"/>
      <protection locked="0"/>
    </xf>
    <xf numFmtId="167" fontId="19" fillId="0" borderId="47" xfId="1" applyNumberFormat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  <protection locked="0"/>
    </xf>
    <xf numFmtId="164" fontId="9" fillId="0" borderId="48" xfId="1" applyFont="1" applyFill="1" applyBorder="1" applyAlignment="1" applyProtection="1">
      <alignment vertical="center"/>
    </xf>
    <xf numFmtId="164" fontId="20" fillId="4" borderId="43" xfId="1" applyFont="1" applyFill="1" applyBorder="1" applyAlignment="1" applyProtection="1">
      <alignment horizontal="center" vertical="center"/>
    </xf>
    <xf numFmtId="167" fontId="19" fillId="0" borderId="24" xfId="1" applyNumberFormat="1" applyFont="1" applyFill="1" applyBorder="1" applyAlignment="1" applyProtection="1">
      <alignment horizontal="center" vertical="center"/>
    </xf>
    <xf numFmtId="167" fontId="19" fillId="2" borderId="39" xfId="1" applyNumberFormat="1" applyFont="1" applyFill="1" applyBorder="1" applyAlignment="1" applyProtection="1">
      <alignment horizontal="center" vertical="center"/>
      <protection locked="0"/>
    </xf>
    <xf numFmtId="167" fontId="20" fillId="0" borderId="36" xfId="1" applyNumberFormat="1" applyFont="1" applyFill="1" applyBorder="1" applyAlignment="1" applyProtection="1">
      <alignment horizontal="center" vertical="center"/>
    </xf>
    <xf numFmtId="164" fontId="21" fillId="0" borderId="36" xfId="1" applyFont="1" applyFill="1" applyBorder="1" applyAlignment="1" applyProtection="1">
      <alignment horizontal="center" vertical="center"/>
    </xf>
    <xf numFmtId="164" fontId="22" fillId="0" borderId="36" xfId="1" applyFont="1" applyFill="1" applyBorder="1" applyAlignment="1" applyProtection="1">
      <alignment horizontal="center" vertical="center"/>
    </xf>
    <xf numFmtId="164" fontId="20" fillId="0" borderId="36" xfId="1" applyFont="1" applyFill="1" applyBorder="1" applyAlignment="1" applyProtection="1">
      <alignment horizontal="center" vertical="center"/>
    </xf>
    <xf numFmtId="167" fontId="20" fillId="4" borderId="49" xfId="1" applyNumberFormat="1" applyFont="1" applyFill="1" applyBorder="1" applyAlignment="1" applyProtection="1">
      <alignment horizontal="center" vertical="center"/>
    </xf>
    <xf numFmtId="167" fontId="19" fillId="2" borderId="49" xfId="1" applyNumberFormat="1" applyFont="1" applyFill="1" applyBorder="1" applyAlignment="1" applyProtection="1">
      <alignment horizontal="center" vertical="center"/>
      <protection locked="0"/>
    </xf>
    <xf numFmtId="167" fontId="19" fillId="4" borderId="49" xfId="1" applyNumberFormat="1" applyFont="1" applyFill="1" applyBorder="1" applyAlignment="1" applyProtection="1">
      <alignment horizontal="center" vertical="center"/>
    </xf>
    <xf numFmtId="168" fontId="21" fillId="0" borderId="36" xfId="1" applyNumberFormat="1" applyFont="1" applyFill="1" applyBorder="1" applyAlignment="1" applyProtection="1">
      <alignment horizontal="center" vertical="center"/>
    </xf>
    <xf numFmtId="164" fontId="22" fillId="0" borderId="41" xfId="1" applyFont="1" applyFill="1" applyBorder="1" applyAlignment="1" applyProtection="1">
      <alignment horizontal="center" vertical="center"/>
    </xf>
    <xf numFmtId="167" fontId="19" fillId="0" borderId="49" xfId="1" applyNumberFormat="1" applyFont="1" applyFill="1" applyBorder="1" applyAlignment="1" applyProtection="1">
      <alignment horizontal="center" vertical="center"/>
      <protection locked="0"/>
    </xf>
    <xf numFmtId="167" fontId="19" fillId="0" borderId="49" xfId="1" applyNumberFormat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  <protection locked="0"/>
    </xf>
    <xf numFmtId="164" fontId="23" fillId="0" borderId="45" xfId="1" applyFont="1" applyFill="1" applyBorder="1" applyAlignment="1" applyProtection="1">
      <alignment vertical="center"/>
    </xf>
    <xf numFmtId="164" fontId="20" fillId="4" borderId="45" xfId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</xf>
    <xf numFmtId="164" fontId="20" fillId="4" borderId="36" xfId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</xf>
    <xf numFmtId="164" fontId="23" fillId="0" borderId="43" xfId="1" applyFont="1" applyFill="1" applyBorder="1" applyAlignment="1" applyProtection="1">
      <alignment vertical="center"/>
    </xf>
    <xf numFmtId="0" fontId="12" fillId="0" borderId="50" xfId="2" applyFont="1" applyBorder="1" applyAlignment="1">
      <alignment vertical="center" wrapText="1"/>
    </xf>
    <xf numFmtId="164" fontId="11" fillId="0" borderId="50" xfId="1" applyFont="1" applyFill="1" applyBorder="1" applyAlignment="1" applyProtection="1">
      <alignment vertical="center"/>
    </xf>
    <xf numFmtId="164" fontId="9" fillId="0" borderId="3" xfId="1" applyFont="1" applyFill="1" applyBorder="1" applyAlignment="1" applyProtection="1">
      <alignment vertical="center"/>
    </xf>
    <xf numFmtId="0" fontId="12" fillId="0" borderId="51" xfId="2" applyFont="1" applyBorder="1" applyAlignment="1">
      <alignment vertical="center" wrapText="1"/>
    </xf>
    <xf numFmtId="164" fontId="11" fillId="0" borderId="51" xfId="1" applyFont="1" applyFill="1" applyBorder="1" applyAlignment="1" applyProtection="1">
      <alignment vertical="center"/>
    </xf>
    <xf numFmtId="164" fontId="9" fillId="0" borderId="35" xfId="1" applyFont="1" applyFill="1" applyBorder="1" applyAlignment="1" applyProtection="1">
      <alignment vertical="center"/>
    </xf>
    <xf numFmtId="164" fontId="23" fillId="0" borderId="51" xfId="1" applyFont="1" applyFill="1" applyBorder="1" applyAlignment="1" applyProtection="1">
      <alignment vertical="center"/>
    </xf>
    <xf numFmtId="0" fontId="12" fillId="0" borderId="52" xfId="2" applyFont="1" applyBorder="1" applyAlignment="1">
      <alignment vertical="center" wrapText="1"/>
    </xf>
    <xf numFmtId="164" fontId="11" fillId="0" borderId="52" xfId="1" applyFont="1" applyFill="1" applyBorder="1" applyAlignment="1" applyProtection="1">
      <alignment vertical="center"/>
    </xf>
    <xf numFmtId="167" fontId="19" fillId="2" borderId="30" xfId="1" applyNumberFormat="1" applyFont="1" applyFill="1" applyBorder="1" applyAlignment="1" applyProtection="1">
      <alignment horizontal="center" vertical="center"/>
      <protection locked="0"/>
    </xf>
    <xf numFmtId="167" fontId="20" fillId="0" borderId="52" xfId="1" applyNumberFormat="1" applyFont="1" applyFill="1" applyBorder="1" applyAlignment="1" applyProtection="1">
      <alignment horizontal="center" vertical="center"/>
    </xf>
    <xf numFmtId="164" fontId="21" fillId="0" borderId="52" xfId="1" applyFont="1" applyFill="1" applyBorder="1" applyAlignment="1" applyProtection="1">
      <alignment horizontal="center" vertical="center"/>
    </xf>
    <xf numFmtId="164" fontId="22" fillId="0" borderId="52" xfId="1" applyFont="1" applyFill="1" applyBorder="1" applyAlignment="1" applyProtection="1">
      <alignment horizontal="center" vertical="center"/>
    </xf>
    <xf numFmtId="164" fontId="20" fillId="4" borderId="52" xfId="1" applyFont="1" applyFill="1" applyBorder="1" applyAlignment="1" applyProtection="1">
      <alignment horizontal="center" vertical="center"/>
    </xf>
    <xf numFmtId="167" fontId="20" fillId="4" borderId="53" xfId="1" applyNumberFormat="1" applyFont="1" applyFill="1" applyBorder="1" applyAlignment="1" applyProtection="1">
      <alignment horizontal="center" vertical="center"/>
    </xf>
    <xf numFmtId="167" fontId="19" fillId="4" borderId="53" xfId="1" applyNumberFormat="1" applyFont="1" applyFill="1" applyBorder="1" applyAlignment="1" applyProtection="1">
      <alignment horizontal="center" vertical="center"/>
    </xf>
    <xf numFmtId="168" fontId="21" fillId="0" borderId="52" xfId="1" applyNumberFormat="1" applyFont="1" applyFill="1" applyBorder="1" applyAlignment="1" applyProtection="1">
      <alignment horizontal="center" vertical="center"/>
    </xf>
    <xf numFmtId="164" fontId="22" fillId="0" borderId="32" xfId="1" applyFont="1" applyFill="1" applyBorder="1" applyAlignment="1" applyProtection="1">
      <alignment horizontal="center" vertical="center"/>
    </xf>
    <xf numFmtId="167" fontId="19" fillId="0" borderId="53" xfId="1" applyNumberFormat="1" applyFont="1" applyFill="1" applyBorder="1" applyAlignment="1" applyProtection="1">
      <alignment horizontal="center" vertical="center"/>
    </xf>
    <xf numFmtId="167" fontId="19" fillId="0" borderId="32" xfId="1" applyNumberFormat="1" applyFont="1" applyFill="1" applyBorder="1" applyAlignment="1" applyProtection="1">
      <alignment horizontal="center" vertical="center"/>
    </xf>
    <xf numFmtId="164" fontId="9" fillId="0" borderId="32" xfId="1" applyFont="1" applyFill="1" applyBorder="1" applyAlignment="1" applyProtection="1">
      <alignment vertical="center"/>
    </xf>
    <xf numFmtId="167" fontId="20" fillId="0" borderId="44" xfId="1" applyNumberFormat="1" applyFont="1" applyFill="1" applyBorder="1" applyAlignment="1" applyProtection="1">
      <alignment horizontal="center" vertical="center"/>
    </xf>
    <xf numFmtId="167" fontId="19" fillId="4" borderId="54" xfId="1" applyNumberFormat="1" applyFont="1" applyFill="1" applyBorder="1" applyAlignment="1" applyProtection="1">
      <alignment horizontal="center" vertical="center"/>
    </xf>
    <xf numFmtId="167" fontId="19" fillId="0" borderId="5" xfId="1" applyNumberFormat="1" applyFont="1" applyFill="1" applyBorder="1" applyAlignment="1" applyProtection="1">
      <alignment horizontal="center" vertical="center"/>
    </xf>
    <xf numFmtId="164" fontId="9" fillId="0" borderId="30" xfId="1" applyFont="1" applyBorder="1" applyAlignment="1">
      <alignment vertical="center"/>
    </xf>
    <xf numFmtId="164" fontId="9" fillId="0" borderId="31" xfId="1" applyFont="1" applyBorder="1" applyAlignment="1">
      <alignment vertical="center"/>
    </xf>
    <xf numFmtId="0" fontId="9" fillId="0" borderId="32" xfId="2" applyFont="1" applyBorder="1" applyAlignment="1">
      <alignment vertical="center"/>
    </xf>
    <xf numFmtId="0" fontId="9" fillId="3" borderId="33" xfId="2" applyFont="1" applyFill="1" applyBorder="1" applyAlignment="1" applyProtection="1">
      <alignment vertical="center"/>
      <protection locked="0"/>
    </xf>
    <xf numFmtId="43" fontId="9" fillId="0" borderId="32" xfId="2" applyNumberFormat="1" applyFont="1" applyBorder="1" applyAlignment="1">
      <alignment vertical="center"/>
    </xf>
    <xf numFmtId="164" fontId="9" fillId="0" borderId="32" xfId="1" applyFont="1" applyBorder="1" applyAlignment="1">
      <alignment vertical="center"/>
    </xf>
    <xf numFmtId="0" fontId="11" fillId="0" borderId="36" xfId="2" applyFont="1" applyBorder="1" applyAlignment="1">
      <alignment vertical="center"/>
    </xf>
    <xf numFmtId="167" fontId="20" fillId="0" borderId="39" xfId="1" applyNumberFormat="1" applyFont="1" applyFill="1" applyBorder="1" applyAlignment="1" applyProtection="1">
      <alignment horizontal="center" vertical="center"/>
    </xf>
    <xf numFmtId="168" fontId="20" fillId="0" borderId="36" xfId="1" applyNumberFormat="1" applyFont="1" applyFill="1" applyBorder="1" applyAlignment="1" applyProtection="1">
      <alignment horizontal="center" vertical="center"/>
    </xf>
    <xf numFmtId="167" fontId="20" fillId="0" borderId="49" xfId="1" applyNumberFormat="1" applyFont="1" applyFill="1" applyBorder="1" applyAlignment="1" applyProtection="1">
      <alignment horizontal="center" vertical="center"/>
    </xf>
    <xf numFmtId="164" fontId="20" fillId="0" borderId="41" xfId="1" applyFont="1" applyFill="1" applyBorder="1" applyAlignment="1" applyProtection="1">
      <alignment horizontal="center" vertical="center"/>
    </xf>
    <xf numFmtId="0" fontId="24" fillId="0" borderId="52" xfId="2" applyFont="1" applyBorder="1" applyAlignment="1">
      <alignment vertical="center"/>
    </xf>
    <xf numFmtId="164" fontId="24" fillId="0" borderId="52" xfId="1" applyFont="1" applyFill="1" applyBorder="1" applyAlignment="1" applyProtection="1">
      <alignment vertical="center"/>
    </xf>
    <xf numFmtId="167" fontId="20" fillId="0" borderId="30" xfId="1" applyNumberFormat="1" applyFont="1" applyFill="1" applyBorder="1" applyAlignment="1" applyProtection="1">
      <alignment horizontal="center" vertical="center"/>
    </xf>
    <xf numFmtId="168" fontId="20" fillId="0" borderId="52" xfId="1" applyNumberFormat="1" applyFont="1" applyFill="1" applyBorder="1" applyAlignment="1" applyProtection="1">
      <alignment horizontal="center" vertical="center"/>
    </xf>
    <xf numFmtId="164" fontId="20" fillId="0" borderId="52" xfId="1" applyFont="1" applyFill="1" applyBorder="1" applyAlignment="1" applyProtection="1">
      <alignment horizontal="center" vertical="center"/>
    </xf>
    <xf numFmtId="167" fontId="20" fillId="0" borderId="53" xfId="1" applyNumberFormat="1" applyFont="1" applyFill="1" applyBorder="1" applyAlignment="1" applyProtection="1">
      <alignment horizontal="center" vertical="center"/>
    </xf>
    <xf numFmtId="164" fontId="20" fillId="0" borderId="32" xfId="1" applyFont="1" applyFill="1" applyBorder="1" applyAlignment="1" applyProtection="1">
      <alignment horizontal="center" vertical="center"/>
    </xf>
    <xf numFmtId="164" fontId="22" fillId="0" borderId="0" xfId="1" applyFont="1" applyFill="1" applyBorder="1" applyAlignment="1" applyProtection="1">
      <alignment horizontal="center" vertical="center"/>
    </xf>
    <xf numFmtId="164" fontId="20" fillId="0" borderId="0" xfId="1" applyFont="1" applyFill="1" applyBorder="1" applyAlignment="1" applyProtection="1">
      <alignment horizontal="center" vertical="center"/>
    </xf>
    <xf numFmtId="164" fontId="20" fillId="4" borderId="0" xfId="1" applyFont="1" applyFill="1" applyBorder="1" applyAlignment="1" applyProtection="1">
      <alignment horizontal="center" vertical="center"/>
    </xf>
    <xf numFmtId="167" fontId="20" fillId="4" borderId="0" xfId="1" applyNumberFormat="1" applyFont="1" applyFill="1" applyBorder="1" applyAlignment="1" applyProtection="1">
      <alignment horizontal="center" vertical="center"/>
    </xf>
    <xf numFmtId="167" fontId="20" fillId="0" borderId="0" xfId="1" applyNumberFormat="1" applyFont="1" applyFill="1" applyBorder="1" applyAlignment="1" applyProtection="1">
      <alignment horizontal="center" vertical="center"/>
    </xf>
    <xf numFmtId="0" fontId="10" fillId="0" borderId="0" xfId="2" applyFont="1" applyAlignment="1">
      <alignment vertical="center"/>
    </xf>
    <xf numFmtId="164" fontId="10" fillId="0" borderId="0" xfId="1" applyFont="1" applyFill="1" applyAlignment="1" applyProtection="1">
      <alignment vertical="center"/>
    </xf>
    <xf numFmtId="0" fontId="24" fillId="0" borderId="0" xfId="2" applyFont="1" applyAlignment="1">
      <alignment vertical="center"/>
    </xf>
    <xf numFmtId="164" fontId="24" fillId="0" borderId="0" xfId="1" applyFont="1" applyFill="1" applyBorder="1" applyAlignment="1" applyProtection="1">
      <alignment vertical="center"/>
    </xf>
    <xf numFmtId="0" fontId="8" fillId="0" borderId="56" xfId="2" applyFont="1" applyBorder="1" applyAlignment="1">
      <alignment vertical="center"/>
    </xf>
    <xf numFmtId="0" fontId="25" fillId="0" borderId="57" xfId="2" applyFont="1" applyBorder="1" applyAlignment="1">
      <alignment vertical="center"/>
    </xf>
    <xf numFmtId="164" fontId="25" fillId="0" borderId="57" xfId="1" applyFont="1" applyFill="1" applyBorder="1" applyAlignment="1" applyProtection="1">
      <alignment vertical="center"/>
    </xf>
    <xf numFmtId="0" fontId="10" fillId="0" borderId="56" xfId="2" applyFont="1" applyBorder="1" applyAlignment="1">
      <alignment vertical="center"/>
    </xf>
    <xf numFmtId="169" fontId="25" fillId="0" borderId="0" xfId="1" applyNumberFormat="1" applyFont="1" applyFill="1" applyAlignment="1" applyProtection="1">
      <alignment vertical="center"/>
    </xf>
    <xf numFmtId="0" fontId="25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169" fontId="25" fillId="0" borderId="0" xfId="1" applyNumberFormat="1" applyFont="1" applyFill="1" applyBorder="1" applyAlignment="1" applyProtection="1">
      <alignment horizontal="center" vertical="center"/>
    </xf>
    <xf numFmtId="164" fontId="25" fillId="0" borderId="0" xfId="1" applyFont="1" applyFill="1" applyBorder="1" applyAlignment="1" applyProtection="1">
      <alignment vertical="center"/>
    </xf>
    <xf numFmtId="0" fontId="13" fillId="0" borderId="0" xfId="2" applyFont="1" applyAlignment="1">
      <alignment horizontal="center" vertical="center"/>
    </xf>
    <xf numFmtId="170" fontId="25" fillId="0" borderId="0" xfId="1" applyNumberFormat="1" applyFont="1" applyFill="1" applyBorder="1" applyAlignment="1" applyProtection="1">
      <alignment horizontal="center" vertical="center"/>
    </xf>
    <xf numFmtId="0" fontId="26" fillId="0" borderId="56" xfId="2" applyFont="1" applyBorder="1" applyAlignment="1">
      <alignment vertical="center" wrapText="1"/>
    </xf>
    <xf numFmtId="169" fontId="12" fillId="0" borderId="0" xfId="1" applyNumberFormat="1" applyFont="1" applyFill="1" applyBorder="1" applyAlignment="1" applyProtection="1">
      <alignment horizontal="right" vertical="center"/>
    </xf>
    <xf numFmtId="169" fontId="25" fillId="0" borderId="0" xfId="1" applyNumberFormat="1" applyFont="1" applyFill="1" applyBorder="1" applyAlignment="1" applyProtection="1">
      <alignment vertical="center"/>
    </xf>
    <xf numFmtId="0" fontId="9" fillId="0" borderId="0" xfId="2" applyFont="1" applyAlignment="1">
      <alignment horizontal="center" vertical="center" wrapText="1"/>
    </xf>
    <xf numFmtId="0" fontId="4" fillId="0" borderId="55" xfId="2" applyFont="1" applyBorder="1" applyAlignment="1">
      <alignment vertical="center"/>
    </xf>
    <xf numFmtId="0" fontId="4" fillId="0" borderId="61" xfId="2" applyFont="1" applyBorder="1" applyAlignment="1">
      <alignment vertical="center"/>
    </xf>
    <xf numFmtId="0" fontId="26" fillId="0" borderId="59" xfId="2" applyFont="1" applyBorder="1" applyAlignment="1">
      <alignment vertical="center"/>
    </xf>
    <xf numFmtId="0" fontId="26" fillId="0" borderId="55" xfId="2" applyFont="1" applyBorder="1" applyAlignment="1">
      <alignment vertical="center"/>
    </xf>
    <xf numFmtId="164" fontId="26" fillId="0" borderId="14" xfId="1" applyFont="1" applyFill="1" applyBorder="1" applyAlignment="1" applyProtection="1">
      <alignment vertical="center"/>
    </xf>
    <xf numFmtId="164" fontId="26" fillId="0" borderId="0" xfId="1" applyFont="1" applyFill="1" applyAlignment="1" applyProtection="1">
      <alignment vertical="center"/>
    </xf>
    <xf numFmtId="0" fontId="26" fillId="0" borderId="14" xfId="2" applyFont="1" applyBorder="1" applyAlignment="1">
      <alignment vertical="center"/>
    </xf>
    <xf numFmtId="0" fontId="26" fillId="0" borderId="0" xfId="2" applyFont="1" applyAlignment="1">
      <alignment vertical="center"/>
    </xf>
    <xf numFmtId="0" fontId="4" fillId="0" borderId="50" xfId="2" applyFont="1" applyBorder="1" applyAlignment="1">
      <alignment vertical="center"/>
    </xf>
    <xf numFmtId="164" fontId="4" fillId="0" borderId="26" xfId="1" applyFont="1" applyFill="1" applyBorder="1" applyAlignment="1" applyProtection="1">
      <alignment vertical="center"/>
    </xf>
    <xf numFmtId="0" fontId="4" fillId="0" borderId="26" xfId="2" applyFont="1" applyBorder="1" applyAlignment="1">
      <alignment vertical="center"/>
    </xf>
    <xf numFmtId="0" fontId="13" fillId="0" borderId="50" xfId="2" applyFont="1" applyBorder="1" applyAlignment="1">
      <alignment vertical="center"/>
    </xf>
    <xf numFmtId="0" fontId="13" fillId="0" borderId="0" xfId="2" applyFont="1" applyAlignment="1">
      <alignment vertical="center"/>
    </xf>
    <xf numFmtId="164" fontId="13" fillId="0" borderId="26" xfId="1" applyFont="1" applyFill="1" applyBorder="1" applyAlignment="1" applyProtection="1">
      <alignment vertical="center"/>
    </xf>
    <xf numFmtId="164" fontId="13" fillId="0" borderId="0" xfId="1" applyFont="1" applyFill="1" applyAlignment="1" applyProtection="1">
      <alignment vertical="center"/>
    </xf>
    <xf numFmtId="0" fontId="13" fillId="0" borderId="26" xfId="2" applyFont="1" applyBorder="1" applyAlignment="1">
      <alignment vertical="center"/>
    </xf>
    <xf numFmtId="0" fontId="13" fillId="0" borderId="62" xfId="2" applyFont="1" applyBorder="1" applyAlignment="1">
      <alignment vertical="center"/>
    </xf>
    <xf numFmtId="0" fontId="13" fillId="0" borderId="4" xfId="2" applyFont="1" applyBorder="1" applyAlignment="1">
      <alignment vertical="center"/>
    </xf>
    <xf numFmtId="0" fontId="13" fillId="0" borderId="63" xfId="2" applyFont="1" applyBorder="1" applyAlignment="1">
      <alignment vertical="center"/>
    </xf>
    <xf numFmtId="0" fontId="4" fillId="0" borderId="60" xfId="2" applyFont="1" applyBorder="1" applyAlignment="1">
      <alignment vertical="center"/>
    </xf>
    <xf numFmtId="164" fontId="4" fillId="0" borderId="34" xfId="1" applyFont="1" applyFill="1" applyBorder="1" applyAlignment="1" applyProtection="1">
      <alignment vertical="center"/>
    </xf>
    <xf numFmtId="0" fontId="4" fillId="0" borderId="34" xfId="2" applyFont="1" applyBorder="1" applyAlignment="1">
      <alignment vertical="center"/>
    </xf>
    <xf numFmtId="167" fontId="19" fillId="2" borderId="44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2" borderId="62" xfId="2" applyFont="1" applyFill="1" applyBorder="1" applyAlignment="1" applyProtection="1">
      <alignment horizontal="center" vertical="center"/>
      <protection locked="0"/>
    </xf>
    <xf numFmtId="0" fontId="13" fillId="2" borderId="4" xfId="2" applyFont="1" applyFill="1" applyBorder="1" applyAlignment="1" applyProtection="1">
      <alignment horizontal="center" vertical="center"/>
      <protection locked="0"/>
    </xf>
    <xf numFmtId="0" fontId="13" fillId="2" borderId="63" xfId="2" applyFont="1" applyFill="1" applyBorder="1" applyAlignment="1" applyProtection="1">
      <alignment horizontal="center" vertical="center"/>
      <protection locked="0"/>
    </xf>
    <xf numFmtId="0" fontId="26" fillId="0" borderId="50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12" fillId="0" borderId="50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3" fillId="2" borderId="2" xfId="2" applyFont="1" applyFill="1" applyBorder="1" applyAlignment="1" applyProtection="1">
      <alignment horizontal="center" vertical="center"/>
      <protection locked="0"/>
    </xf>
    <xf numFmtId="0" fontId="13" fillId="2" borderId="3" xfId="2" applyFont="1" applyFill="1" applyBorder="1" applyAlignment="1" applyProtection="1">
      <alignment horizontal="center" vertical="center"/>
      <protection locked="0"/>
    </xf>
    <xf numFmtId="0" fontId="13" fillId="2" borderId="5" xfId="2" applyFont="1" applyFill="1" applyBorder="1" applyAlignment="1" applyProtection="1">
      <alignment horizontal="center" vertical="center"/>
      <protection locked="0"/>
    </xf>
    <xf numFmtId="0" fontId="12" fillId="0" borderId="59" xfId="2" applyFont="1" applyBorder="1" applyAlignment="1">
      <alignment horizontal="center" vertical="center" wrapText="1"/>
    </xf>
    <xf numFmtId="0" fontId="12" fillId="0" borderId="50" xfId="2" applyFont="1" applyBorder="1" applyAlignment="1">
      <alignment horizontal="center" vertical="center" wrapText="1"/>
    </xf>
    <xf numFmtId="0" fontId="12" fillId="0" borderId="60" xfId="2" applyFont="1" applyBorder="1" applyAlignment="1">
      <alignment horizontal="center" vertical="center" wrapText="1"/>
    </xf>
    <xf numFmtId="0" fontId="8" fillId="2" borderId="2" xfId="2" applyFont="1" applyFill="1" applyBorder="1" applyAlignment="1" applyProtection="1">
      <alignment horizontal="center" vertical="center"/>
      <protection locked="0"/>
    </xf>
    <xf numFmtId="0" fontId="8" fillId="2" borderId="3" xfId="2" applyFont="1" applyFill="1" applyBorder="1" applyAlignment="1" applyProtection="1">
      <alignment horizontal="center" vertical="center"/>
      <protection locked="0"/>
    </xf>
    <xf numFmtId="0" fontId="8" fillId="2" borderId="5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/>
    </xf>
    <xf numFmtId="0" fontId="8" fillId="0" borderId="55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50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0" fontId="8" fillId="0" borderId="60" xfId="2" applyFont="1" applyBorder="1" applyAlignment="1">
      <alignment horizontal="center" vertical="center"/>
    </xf>
    <xf numFmtId="0" fontId="8" fillId="0" borderId="61" xfId="2" applyFont="1" applyBorder="1" applyAlignment="1">
      <alignment horizontal="center" vertical="center"/>
    </xf>
    <xf numFmtId="0" fontId="8" fillId="0" borderId="34" xfId="2" applyFont="1" applyBorder="1" applyAlignment="1">
      <alignment horizontal="center" vertical="center"/>
    </xf>
    <xf numFmtId="0" fontId="12" fillId="0" borderId="59" xfId="2" applyFont="1" applyBorder="1" applyAlignment="1">
      <alignment horizontal="center" vertical="center"/>
    </xf>
    <xf numFmtId="0" fontId="12" fillId="0" borderId="60" xfId="2" applyFont="1" applyBorder="1" applyAlignment="1">
      <alignment horizontal="center" vertical="center"/>
    </xf>
    <xf numFmtId="0" fontId="8" fillId="2" borderId="14" xfId="2" applyFont="1" applyFill="1" applyBorder="1" applyAlignment="1" applyProtection="1">
      <alignment horizontal="center" vertical="center"/>
      <protection locked="0"/>
    </xf>
    <xf numFmtId="0" fontId="8" fillId="2" borderId="26" xfId="2" applyFont="1" applyFill="1" applyBorder="1" applyAlignment="1" applyProtection="1">
      <alignment horizontal="center" vertical="center"/>
      <protection locked="0"/>
    </xf>
    <xf numFmtId="0" fontId="8" fillId="2" borderId="34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 wrapText="1"/>
    </xf>
    <xf numFmtId="0" fontId="8" fillId="0" borderId="50" xfId="2" applyFont="1" applyBorder="1" applyAlignment="1">
      <alignment horizontal="center" vertical="center" wrapText="1"/>
    </xf>
    <xf numFmtId="0" fontId="8" fillId="0" borderId="60" xfId="2" applyFont="1" applyBorder="1" applyAlignment="1">
      <alignment horizontal="center" vertical="center" wrapText="1"/>
    </xf>
    <xf numFmtId="0" fontId="8" fillId="2" borderId="59" xfId="2" applyFont="1" applyFill="1" applyBorder="1" applyAlignment="1" applyProtection="1">
      <alignment horizontal="center" vertical="center"/>
      <protection locked="0"/>
    </xf>
    <xf numFmtId="0" fontId="8" fillId="2" borderId="50" xfId="2" applyFont="1" applyFill="1" applyBorder="1" applyAlignment="1" applyProtection="1">
      <alignment horizontal="center" vertical="center"/>
      <protection locked="0"/>
    </xf>
    <xf numFmtId="0" fontId="8" fillId="2" borderId="60" xfId="2" applyFont="1" applyFill="1" applyBorder="1" applyAlignment="1" applyProtection="1">
      <alignment horizontal="center" vertical="center"/>
      <protection locked="0"/>
    </xf>
    <xf numFmtId="0" fontId="12" fillId="0" borderId="14" xfId="2" applyFont="1" applyBorder="1" applyAlignment="1">
      <alignment horizontal="center" vertical="center" wrapText="1"/>
    </xf>
    <xf numFmtId="0" fontId="12" fillId="0" borderId="26" xfId="2" applyFont="1" applyBorder="1" applyAlignment="1">
      <alignment horizontal="center" vertical="center" wrapText="1"/>
    </xf>
    <xf numFmtId="0" fontId="12" fillId="0" borderId="34" xfId="2" applyFont="1" applyBorder="1" applyAlignment="1">
      <alignment horizontal="center" vertical="center" wrapText="1"/>
    </xf>
    <xf numFmtId="169" fontId="25" fillId="0" borderId="57" xfId="1" applyNumberFormat="1" applyFont="1" applyFill="1" applyBorder="1" applyAlignment="1" applyProtection="1">
      <alignment horizontal="center" vertical="center"/>
    </xf>
    <xf numFmtId="169" fontId="25" fillId="0" borderId="58" xfId="1" applyNumberFormat="1" applyFont="1" applyFill="1" applyBorder="1" applyAlignment="1" applyProtection="1">
      <alignment horizontal="center" vertical="center"/>
    </xf>
    <xf numFmtId="0" fontId="27" fillId="0" borderId="0" xfId="2" applyFont="1" applyAlignment="1">
      <alignment horizontal="center" vertical="center"/>
    </xf>
    <xf numFmtId="169" fontId="25" fillId="3" borderId="56" xfId="1" applyNumberFormat="1" applyFont="1" applyFill="1" applyBorder="1" applyAlignment="1" applyProtection="1">
      <alignment horizontal="center" vertical="center"/>
    </xf>
    <xf numFmtId="169" fontId="25" fillId="3" borderId="58" xfId="1" applyNumberFormat="1" applyFont="1" applyFill="1" applyBorder="1" applyAlignment="1" applyProtection="1">
      <alignment horizontal="center" vertical="center"/>
    </xf>
    <xf numFmtId="170" fontId="25" fillId="0" borderId="57" xfId="1" applyNumberFormat="1" applyFont="1" applyBorder="1" applyAlignment="1">
      <alignment horizontal="center" vertical="center"/>
    </xf>
    <xf numFmtId="170" fontId="25" fillId="0" borderId="58" xfId="1" applyNumberFormat="1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165" fontId="26" fillId="0" borderId="56" xfId="2" applyNumberFormat="1" applyFont="1" applyBorder="1" applyAlignment="1">
      <alignment horizontal="center" vertical="center"/>
    </xf>
    <xf numFmtId="0" fontId="26" fillId="0" borderId="58" xfId="2" applyFont="1" applyBorder="1" applyAlignment="1">
      <alignment horizontal="center" vertical="center"/>
    </xf>
    <xf numFmtId="0" fontId="13" fillId="0" borderId="56" xfId="2" applyFont="1" applyBorder="1" applyAlignment="1">
      <alignment horizontal="center" vertical="center"/>
    </xf>
    <xf numFmtId="0" fontId="13" fillId="0" borderId="57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32" xfId="2" applyFont="1" applyBorder="1" applyAlignment="1">
      <alignment horizontal="center" vertical="center" wrapText="1"/>
    </xf>
    <xf numFmtId="0" fontId="12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2" fillId="5" borderId="55" xfId="2" applyFont="1" applyFill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0" fontId="8" fillId="0" borderId="35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164" fontId="12" fillId="0" borderId="15" xfId="1" applyFont="1" applyFill="1" applyBorder="1" applyAlignment="1" applyProtection="1">
      <alignment horizontal="center" vertical="center" wrapText="1"/>
    </xf>
    <xf numFmtId="164" fontId="12" fillId="0" borderId="5" xfId="1" applyFont="1" applyFill="1" applyBorder="1" applyAlignment="1" applyProtection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8" fillId="0" borderId="30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23" xfId="2" applyFont="1" applyBorder="1" applyAlignment="1">
      <alignment horizontal="center" vertical="center" wrapText="1"/>
    </xf>
    <xf numFmtId="0" fontId="8" fillId="0" borderId="31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8" fillId="0" borderId="33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8" fillId="0" borderId="34" xfId="2" applyFont="1" applyBorder="1" applyAlignment="1">
      <alignment horizontal="center" vertical="center" wrapText="1"/>
    </xf>
    <xf numFmtId="0" fontId="12" fillId="0" borderId="16" xfId="2" applyFont="1" applyBorder="1" applyAlignment="1">
      <alignment horizontal="center" vertical="center" wrapText="1"/>
    </xf>
    <xf numFmtId="0" fontId="12" fillId="0" borderId="17" xfId="2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0" fontId="28" fillId="0" borderId="0" xfId="2" applyFont="1" applyAlignment="1">
      <alignment horizontal="center" vertical="center"/>
    </xf>
    <xf numFmtId="0" fontId="10" fillId="2" borderId="4" xfId="2" applyFont="1" applyFill="1" applyBorder="1" applyAlignment="1" applyProtection="1">
      <alignment horizontal="center" vertical="center"/>
      <protection locked="0"/>
    </xf>
    <xf numFmtId="165" fontId="8" fillId="2" borderId="4" xfId="2" applyNumberFormat="1" applyFont="1" applyFill="1" applyBorder="1" applyAlignment="1" applyProtection="1">
      <alignment horizontal="center" vertical="center"/>
      <protection locked="0"/>
    </xf>
    <xf numFmtId="0" fontId="10" fillId="2" borderId="6" xfId="2" applyFont="1" applyFill="1" applyBorder="1" applyAlignment="1" applyProtection="1">
      <alignment horizontal="center" vertical="center"/>
      <protection locked="0"/>
    </xf>
  </cellXfs>
  <cellStyles count="4">
    <cellStyle name="Comma" xfId="1" builtinId="3"/>
    <cellStyle name="Comma 2" xfId="3" xr:uid="{DA9FC9C0-E097-4EB2-A3A5-8E7516ECA6E7}"/>
    <cellStyle name="Normal" xfId="0" builtinId="0"/>
    <cellStyle name="Normal 2" xfId="2" xr:uid="{87C0751E-310A-4E7A-A08F-FC5D2CB482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426C6-FC2E-4890-8A3F-7210CF77D9C7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F23" sqref="F23"/>
      <selection pane="topRight" activeCell="M16" sqref="M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195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195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216</v>
      </c>
      <c r="N13" s="51"/>
      <c r="O13" s="51"/>
      <c r="P13" s="52" t="str">
        <f t="shared" ref="P13:P68" si="5">IF(M13&amp;N13="","",ROUND(((M13+N13)/G13),1)&amp;" pallets")</f>
        <v>2 pallets</v>
      </c>
      <c r="Q13" s="53">
        <f t="shared" ref="Q13:Q70" si="6">(J13*M13)+(K13*N13)+(O13*L13)</f>
        <v>23976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96</v>
      </c>
      <c r="N15" s="51"/>
      <c r="O15" s="51"/>
      <c r="P15" s="52" t="str">
        <f t="shared" si="5"/>
        <v>1 pallets</v>
      </c>
      <c r="Q15" s="53">
        <f t="shared" si="6"/>
        <v>10656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1512</v>
      </c>
      <c r="N16" s="193"/>
      <c r="O16" s="51"/>
      <c r="P16" s="52" t="str">
        <f t="shared" si="5"/>
        <v>14 pallets</v>
      </c>
      <c r="Q16" s="53">
        <f t="shared" si="6"/>
        <v>167832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0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202464</v>
      </c>
      <c r="P73" s="260"/>
      <c r="Q73" s="261"/>
      <c r="R73" s="152"/>
      <c r="S73" s="159" t="s">
        <v>104</v>
      </c>
      <c r="T73" s="265">
        <f>SUM(Y12:Y68)</f>
        <v>0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0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178488</v>
      </c>
      <c r="P75" s="260"/>
      <c r="Q75" s="261"/>
      <c r="R75" s="152"/>
      <c r="S75" s="159" t="s">
        <v>129</v>
      </c>
      <c r="T75" s="265">
        <f>SUM(Z12:Z70)</f>
        <v>0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-202464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0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132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26F0D-7AA0-49A3-B5FA-822F48D173A9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F23" sqref="F23"/>
      <selection pane="topRight" activeCell="M58" sqref="M58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196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196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324</v>
      </c>
      <c r="N13" s="51">
        <v>108</v>
      </c>
      <c r="O13" s="51"/>
      <c r="P13" s="52" t="str">
        <f t="shared" ref="P13:P68" si="5">IF(M13&amp;N13="","",ROUND(((M13+N13)/G13),1)&amp;" pallets")</f>
        <v>4 pallets</v>
      </c>
      <c r="Q13" s="53">
        <f t="shared" ref="Q13:Q70" si="6">(J13*M13)+(K13*N13)+(O13*L13)</f>
        <v>45036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96</v>
      </c>
      <c r="N15" s="51"/>
      <c r="O15" s="51"/>
      <c r="P15" s="52" t="str">
        <f t="shared" si="5"/>
        <v>1 pallets</v>
      </c>
      <c r="Q15" s="53">
        <f t="shared" si="6"/>
        <v>10656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972</v>
      </c>
      <c r="N16" s="193"/>
      <c r="O16" s="51"/>
      <c r="P16" s="52" t="str">
        <f t="shared" si="5"/>
        <v>9 pallets</v>
      </c>
      <c r="Q16" s="53">
        <f t="shared" si="6"/>
        <v>107892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>
        <v>63</v>
      </c>
      <c r="O19" s="76"/>
      <c r="P19" s="52" t="str">
        <f t="shared" si="5"/>
        <v>1 pallets</v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>
        <v>144</v>
      </c>
      <c r="N57" s="51"/>
      <c r="O57" s="51"/>
      <c r="P57" s="52" t="str">
        <f t="shared" si="5"/>
        <v>2 pallets</v>
      </c>
      <c r="Q57" s="53">
        <f>(J57*M57)+(K57*N57)+(O57*L57)</f>
        <v>11232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6" t="str">
        <f>ROUND((((M12+N12+M30+M57+M58+M59+M60+M61+N57)/72+(M13+N13+M16+M18)/108+(M15+N15)/96+SUM(M14,M19:M29,M31:M32,M50,N14)/63)),1)&amp;" pallets"</f>
        <v>16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0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174816</v>
      </c>
      <c r="P73" s="260"/>
      <c r="Q73" s="261"/>
      <c r="R73" s="152"/>
      <c r="S73" s="159" t="s">
        <v>104</v>
      </c>
      <c r="T73" s="265">
        <f>SUM(Y12:Y68)</f>
        <v>0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0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129780</v>
      </c>
      <c r="P75" s="260"/>
      <c r="Q75" s="261"/>
      <c r="R75" s="152"/>
      <c r="S75" s="159" t="s">
        <v>129</v>
      </c>
      <c r="T75" s="265">
        <f>SUM(Z12:Z70)</f>
        <v>0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-174816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0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132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024E-5C3D-46EB-B407-A904B746F4FD}">
  <sheetPr>
    <tabColor rgb="FF00B050"/>
    <pageSetUpPr fitToPage="1"/>
  </sheetPr>
  <dimension ref="A1:AJ100"/>
  <sheetViews>
    <sheetView showGridLines="0" topLeftCell="A56" zoomScale="85" zoomScaleNormal="85" workbookViewId="0">
      <pane xSplit="2" topLeftCell="F1" activePane="topRight" state="frozen"/>
      <selection activeCell="F23" sqref="F23"/>
      <selection pane="topRight" activeCell="M66" sqref="M6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197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197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/>
      <c r="O13" s="51"/>
      <c r="P13" s="52" t="str">
        <f t="shared" ref="P13:P68" si="5">IF(M13&amp;N13="","",ROUND(((M13+N13)/G13),1)&amp;" pallets")</f>
        <v>1 pallets</v>
      </c>
      <c r="Q13" s="53">
        <f t="shared" ref="Q13:Q70" si="6">(J13*M13)+(K13*N13)+(O13*L13)</f>
        <v>11988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1728</v>
      </c>
      <c r="N16" s="193"/>
      <c r="O16" s="51"/>
      <c r="P16" s="52" t="str">
        <f t="shared" si="5"/>
        <v>16 pallets</v>
      </c>
      <c r="Q16" s="53">
        <f t="shared" si="6"/>
        <v>191808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7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0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203796</v>
      </c>
      <c r="P73" s="260"/>
      <c r="Q73" s="261"/>
      <c r="R73" s="152"/>
      <c r="S73" s="159" t="s">
        <v>104</v>
      </c>
      <c r="T73" s="265">
        <f>SUM(Y12:Y68)</f>
        <v>0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0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191808</v>
      </c>
      <c r="P75" s="260"/>
      <c r="Q75" s="261"/>
      <c r="R75" s="152"/>
      <c r="S75" s="159" t="s">
        <v>129</v>
      </c>
      <c r="T75" s="265">
        <f>SUM(Z12:Z70)</f>
        <v>0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-203796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0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132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C17F-1496-4624-9C20-FD01B5B6B49C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F23" sqref="F23"/>
      <selection pane="topRight" activeCell="M17" sqref="M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198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198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/>
      <c r="O13" s="51"/>
      <c r="P13" s="52" t="str">
        <f t="shared" ref="P13:P68" si="5">IF(M13&amp;N13="","",ROUND(((M13+N13)/G13),1)&amp;" pallets")</f>
        <v>1 pallets</v>
      </c>
      <c r="Q13" s="53">
        <f t="shared" ref="Q13:Q70" si="6">(J13*M13)+(K13*N13)+(O13*L13)</f>
        <v>11988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1404</v>
      </c>
      <c r="N16" s="193"/>
      <c r="O16" s="51"/>
      <c r="P16" s="52" t="str">
        <f t="shared" si="5"/>
        <v>13 pallets</v>
      </c>
      <c r="Q16" s="53">
        <f t="shared" si="6"/>
        <v>155844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>
        <v>108</v>
      </c>
      <c r="N17" s="193"/>
      <c r="O17" s="51"/>
      <c r="P17" s="52" t="str">
        <f t="shared" si="5"/>
        <v>1 pallets</v>
      </c>
      <c r="Q17" s="53">
        <f t="shared" si="6"/>
        <v>11988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8" t="str">
        <f>ROUND((((M12+N12+M30+M57+M58+M59+M60+M61+N57)/72+(M13+N13+M16+M18)/108+(M15+N15)/96+SUM(M14,M19:M29,M31:M32,M50,N14)/63)),1)&amp;" pallets"</f>
        <v>14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0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179820</v>
      </c>
      <c r="P73" s="260"/>
      <c r="Q73" s="261"/>
      <c r="R73" s="152"/>
      <c r="S73" s="159" t="s">
        <v>104</v>
      </c>
      <c r="T73" s="265">
        <f>SUM(Y12:Y68)</f>
        <v>0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0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167832</v>
      </c>
      <c r="P75" s="260"/>
      <c r="Q75" s="261"/>
      <c r="R75" s="152"/>
      <c r="S75" s="159" t="s">
        <v>129</v>
      </c>
      <c r="T75" s="265">
        <f>SUM(Z12:Z70)</f>
        <v>0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-179820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0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132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6DCE-BABB-4F47-BC79-E75C1F9EA6E1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F1" activePane="topRight" state="frozen"/>
      <selection activeCell="F23" sqref="F23"/>
      <selection pane="topRight" activeCell="P79" sqref="P79:Q7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199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199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216</v>
      </c>
      <c r="N13" s="51"/>
      <c r="O13" s="51"/>
      <c r="P13" s="52" t="str">
        <f t="shared" ref="P13:P68" si="5">IF(M13&amp;N13="","",ROUND(((M13+N13)/G13),1)&amp;" pallets")</f>
        <v>2 pallets</v>
      </c>
      <c r="Q13" s="53">
        <f t="shared" ref="Q13:Q70" si="6">(J13*M13)+(K13*N13)+(O13*L13)</f>
        <v>23976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>
        <v>1620</v>
      </c>
      <c r="N16" s="193"/>
      <c r="O16" s="51"/>
      <c r="P16" s="52" t="str">
        <f t="shared" si="5"/>
        <v>15 pallets</v>
      </c>
      <c r="Q16" s="53">
        <f t="shared" si="6"/>
        <v>179820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9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1353132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203796</v>
      </c>
      <c r="P73" s="260"/>
      <c r="Q73" s="261"/>
      <c r="R73" s="152"/>
      <c r="S73" s="159" t="s">
        <v>104</v>
      </c>
      <c r="T73" s="265">
        <f>SUM(Y12:Y68)</f>
        <v>52583.040000000001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1353132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179820</v>
      </c>
      <c r="P75" s="260"/>
      <c r="Q75" s="261"/>
      <c r="R75" s="152"/>
      <c r="S75" s="159" t="s">
        <v>129</v>
      </c>
      <c r="T75" s="265">
        <f>SUM(Z12:Z70)</f>
        <v>3672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283705.95999999996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>
        <f>19040+35379</f>
        <v>54419</v>
      </c>
      <c r="Q77" s="264"/>
      <c r="R77" s="152"/>
      <c r="S77" s="159" t="s">
        <v>108</v>
      </c>
      <c r="T77" s="265">
        <f>IF(SUM(X12:X68)*0.15&gt;P77,P77,SUM(X12:X68)*0.15)</f>
        <v>54419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>
        <f>754956</f>
        <v>754956</v>
      </c>
      <c r="Q79" s="264"/>
      <c r="R79" s="152"/>
      <c r="S79" s="159" t="s">
        <v>112</v>
      </c>
      <c r="T79" s="265">
        <f>T77+T73+T75</f>
        <v>110674.04000000001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132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8C4A3-A040-40E4-BF99-FD8E551D235E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F1" activePane="topRight" state="frozen"/>
      <selection activeCell="F23" sqref="F23"/>
      <selection pane="topRight" activeCell="F16" sqref="F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00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00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216</v>
      </c>
      <c r="N13" s="51"/>
      <c r="O13" s="51"/>
      <c r="P13" s="52" t="str">
        <f t="shared" ref="P13:P68" si="5">IF(M13&amp;N13="","",ROUND(((M13+N13)/G13),1)&amp;" pallets")</f>
        <v>2 pallets</v>
      </c>
      <c r="Q13" s="53">
        <f t="shared" ref="Q13:Q70" si="6">(J13*M13)+(K13*N13)+(O13*L13)</f>
        <v>23976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>
        <v>1620</v>
      </c>
      <c r="N16" s="193"/>
      <c r="O16" s="51"/>
      <c r="P16" s="52" t="str">
        <f t="shared" si="5"/>
        <v>15 pallets</v>
      </c>
      <c r="Q16" s="53">
        <f t="shared" si="6"/>
        <v>179820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0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1353132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203796</v>
      </c>
      <c r="P73" s="260"/>
      <c r="Q73" s="261"/>
      <c r="R73" s="152"/>
      <c r="S73" s="159" t="s">
        <v>104</v>
      </c>
      <c r="T73" s="265">
        <f>SUM(Y12:Y68)</f>
        <v>52583.040000000001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1353132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179820</v>
      </c>
      <c r="P75" s="260"/>
      <c r="Q75" s="261"/>
      <c r="R75" s="152"/>
      <c r="S75" s="159" t="s">
        <v>129</v>
      </c>
      <c r="T75" s="265">
        <f>SUM(Z12:Z70)</f>
        <v>3672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1093080.96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56255.040000000001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132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6256-7F42-4D87-B0A2-828BDB6D7FF4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F23" sqref="F23"/>
      <selection pane="topRight" activeCell="M13" sqref="M13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01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01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216</v>
      </c>
      <c r="N13" s="51"/>
      <c r="O13" s="51"/>
      <c r="P13" s="52" t="str">
        <f t="shared" ref="P13:P68" si="5">IF(M13&amp;N13="","",ROUND(((M13+N13)/G13),1)&amp;" pallets")</f>
        <v>2 pallets</v>
      </c>
      <c r="Q13" s="53">
        <f t="shared" ref="Q13:Q70" si="6">(J13*M13)+(K13*N13)+(O13*L13)</f>
        <v>23976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>
        <v>1620</v>
      </c>
      <c r="N16" s="193"/>
      <c r="O16" s="51"/>
      <c r="P16" s="52" t="str">
        <f t="shared" si="5"/>
        <v>15 pallets</v>
      </c>
      <c r="Q16" s="53">
        <f t="shared" si="6"/>
        <v>179820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1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1353132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203796</v>
      </c>
      <c r="P73" s="260"/>
      <c r="Q73" s="261"/>
      <c r="R73" s="152"/>
      <c r="S73" s="159" t="s">
        <v>104</v>
      </c>
      <c r="T73" s="265">
        <f>SUM(Y12:Y68)</f>
        <v>52583.040000000001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1353132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179820</v>
      </c>
      <c r="P75" s="260"/>
      <c r="Q75" s="261"/>
      <c r="R75" s="152"/>
      <c r="S75" s="159" t="s">
        <v>129</v>
      </c>
      <c r="T75" s="265">
        <f>SUM(Z12:Z70)</f>
        <v>3672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1093080.96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56255.040000000001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132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F3CBA-3A43-4F69-BBA0-E6A031E9E28A}">
  <sheetPr>
    <tabColor rgb="FF00B050"/>
    <pageSetUpPr fitToPage="1"/>
  </sheetPr>
  <dimension ref="A1:AJ100"/>
  <sheetViews>
    <sheetView showGridLines="0" topLeftCell="A6" zoomScale="85" zoomScaleNormal="85" workbookViewId="0">
      <pane xSplit="2" topLeftCell="F1" activePane="topRight" state="frozen"/>
      <selection activeCell="F23" sqref="F23"/>
      <selection pane="topRight" activeCell="F16" sqref="F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02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02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216</v>
      </c>
      <c r="N13" s="51"/>
      <c r="O13" s="51"/>
      <c r="P13" s="52" t="str">
        <f t="shared" ref="P13:P68" si="5">IF(M13&amp;N13="","",ROUND(((M13+N13)/G13),1)&amp;" pallets")</f>
        <v>2 pallets</v>
      </c>
      <c r="Q13" s="53">
        <f t="shared" ref="Q13:Q70" si="6">(J13*M13)+(K13*N13)+(O13*L13)</f>
        <v>23976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>
        <v>1620</v>
      </c>
      <c r="N16" s="193"/>
      <c r="O16" s="51"/>
      <c r="P16" s="52" t="str">
        <f t="shared" si="5"/>
        <v>15 pallets</v>
      </c>
      <c r="Q16" s="53">
        <f t="shared" si="6"/>
        <v>179820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2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1353132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203796</v>
      </c>
      <c r="P73" s="260"/>
      <c r="Q73" s="261"/>
      <c r="R73" s="152"/>
      <c r="S73" s="159" t="s">
        <v>104</v>
      </c>
      <c r="T73" s="265">
        <f>SUM(Y12:Y68)</f>
        <v>52583.040000000001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1353132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179820</v>
      </c>
      <c r="P75" s="260"/>
      <c r="Q75" s="261"/>
      <c r="R75" s="152"/>
      <c r="S75" s="159" t="s">
        <v>129</v>
      </c>
      <c r="T75" s="265">
        <f>SUM(Z12:Z70)</f>
        <v>3672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1093080.96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56255.040000000001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132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E23F-23F4-4BE3-BAA0-65EB03CEE6DF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F1" activePane="topRight" state="frozen"/>
      <selection activeCell="F23" sqref="F23"/>
      <selection pane="topRight" activeCell="M13" sqref="M13:M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03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03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216</v>
      </c>
      <c r="N13" s="51"/>
      <c r="O13" s="51"/>
      <c r="P13" s="52" t="str">
        <f t="shared" ref="P13:P68" si="5">IF(M13&amp;N13="","",ROUND(((M13+N13)/G13),1)&amp;" pallets")</f>
        <v>2 pallets</v>
      </c>
      <c r="Q13" s="53">
        <f t="shared" ref="Q13:Q70" si="6">(J13*M13)+(K13*N13)+(O13*L13)</f>
        <v>23976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192</v>
      </c>
      <c r="N15" s="51"/>
      <c r="O15" s="51"/>
      <c r="P15" s="52" t="str">
        <f t="shared" si="5"/>
        <v>2 pallets</v>
      </c>
      <c r="Q15" s="53">
        <f t="shared" si="6"/>
        <v>21312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1404</v>
      </c>
      <c r="N16" s="193"/>
      <c r="O16" s="51"/>
      <c r="P16" s="52" t="str">
        <f t="shared" si="5"/>
        <v>13 pallets</v>
      </c>
      <c r="Q16" s="53">
        <f t="shared" si="6"/>
        <v>155844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203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0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201132</v>
      </c>
      <c r="P73" s="260"/>
      <c r="Q73" s="261"/>
      <c r="R73" s="152"/>
      <c r="S73" s="159" t="s">
        <v>104</v>
      </c>
      <c r="T73" s="265">
        <f>SUM(Y12:Y68)</f>
        <v>0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0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177156</v>
      </c>
      <c r="P75" s="260"/>
      <c r="Q75" s="261"/>
      <c r="R75" s="152"/>
      <c r="S75" s="159" t="s">
        <v>129</v>
      </c>
      <c r="T75" s="265">
        <f>SUM(Z12:Z70)</f>
        <v>0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-201132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0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132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C76F-6303-47C3-9227-B03CFE1D8D87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F1" activePane="topRight" state="frozen"/>
      <selection activeCell="F23" sqref="F23"/>
      <selection pane="topRight" activeCell="P80" sqref="P80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03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03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>
        <v>72</v>
      </c>
      <c r="N12" s="30"/>
      <c r="O12" s="30"/>
      <c r="P12" s="31" t="str">
        <f>IF(M12&amp;N12="","",ROUND(((M12+N12)/G12),1)&amp;" pallets")</f>
        <v>1 pallets</v>
      </c>
      <c r="Q12" s="32">
        <f>(J12*M12)+(K12*N12)+(O12*L12)</f>
        <v>8640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1296</v>
      </c>
      <c r="N13" s="51">
        <v>324</v>
      </c>
      <c r="O13" s="51"/>
      <c r="P13" s="52" t="str">
        <f t="shared" ref="P13:P68" si="5">IF(M13&amp;N13="","",ROUND(((M13+N13)/G13),1)&amp;" pallets")</f>
        <v>15 pallets</v>
      </c>
      <c r="Q13" s="53">
        <f t="shared" ref="Q13:Q70" si="6">(J13*M13)+(K13*N13)+(O13*L13)</f>
        <v>171072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>
        <v>63</v>
      </c>
      <c r="O14" s="51"/>
      <c r="P14" s="52" t="str">
        <f t="shared" si="5"/>
        <v>1 pallets</v>
      </c>
      <c r="Q14" s="53">
        <f t="shared" si="6"/>
        <v>5292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>
        <v>5</v>
      </c>
      <c r="G34" s="47">
        <v>100</v>
      </c>
      <c r="H34" s="64" t="str">
        <f t="shared" si="11"/>
        <v>0.1 pallets</v>
      </c>
      <c r="I34" s="49">
        <f t="shared" si="4"/>
        <v>5875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5875</v>
      </c>
      <c r="Y34" s="57">
        <f t="shared" si="0"/>
        <v>135.80000000000001</v>
      </c>
      <c r="Z34" s="57">
        <f t="shared" si="8"/>
        <v>10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>
        <v>15</v>
      </c>
      <c r="G35" s="47">
        <v>100</v>
      </c>
      <c r="H35" s="64" t="str">
        <f t="shared" si="11"/>
        <v>0.2 pallets</v>
      </c>
      <c r="I35" s="49">
        <f t="shared" si="4"/>
        <v>17625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17625</v>
      </c>
      <c r="Y35" s="57">
        <f t="shared" si="0"/>
        <v>407.4</v>
      </c>
      <c r="Z35" s="57">
        <f t="shared" si="8"/>
        <v>30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>
        <v>10</v>
      </c>
      <c r="G36" s="47">
        <v>100</v>
      </c>
      <c r="H36" s="64" t="str">
        <f t="shared" si="11"/>
        <v>0.1 pallets</v>
      </c>
      <c r="I36" s="49">
        <f t="shared" si="4"/>
        <v>11750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11750</v>
      </c>
      <c r="Y36" s="57">
        <f t="shared" si="0"/>
        <v>271.60000000000002</v>
      </c>
      <c r="Z36" s="57">
        <f t="shared" si="8"/>
        <v>20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>
        <f>15+25</f>
        <v>40</v>
      </c>
      <c r="G39" s="87">
        <v>100</v>
      </c>
      <c r="H39" s="88" t="str">
        <f t="shared" si="11"/>
        <v>0.4 pallets</v>
      </c>
      <c r="I39" s="89">
        <f t="shared" si="4"/>
        <v>26000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26000</v>
      </c>
      <c r="Y39" s="57">
        <f t="shared" si="0"/>
        <v>1086.4000000000001</v>
      </c>
      <c r="Z39" s="57">
        <f t="shared" si="8"/>
        <v>80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>
        <f>3+1</f>
        <v>4</v>
      </c>
      <c r="G42" s="87">
        <v>100</v>
      </c>
      <c r="H42" s="88" t="str">
        <f t="shared" si="11"/>
        <v>0 pallets</v>
      </c>
      <c r="I42" s="89">
        <f t="shared" si="4"/>
        <v>4408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4408</v>
      </c>
      <c r="Y42" s="57">
        <f t="shared" si="0"/>
        <v>108.64</v>
      </c>
      <c r="Z42" s="57">
        <f t="shared" si="8"/>
        <v>8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17.7 pallets</v>
      </c>
      <c r="I71" s="148"/>
      <c r="J71" s="149"/>
      <c r="K71" s="150"/>
      <c r="L71" s="149"/>
      <c r="M71" s="151"/>
      <c r="N71" s="152"/>
      <c r="O71" s="152"/>
      <c r="P71" s="203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1418790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185004</v>
      </c>
      <c r="P73" s="260"/>
      <c r="Q73" s="261"/>
      <c r="R73" s="152"/>
      <c r="S73" s="159" t="s">
        <v>104</v>
      </c>
      <c r="T73" s="265">
        <f>SUM(Y12:Y68)</f>
        <v>54592.880000000005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1418790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5292</v>
      </c>
      <c r="P75" s="260"/>
      <c r="Q75" s="261"/>
      <c r="R75" s="152"/>
      <c r="S75" s="159" t="s">
        <v>129</v>
      </c>
      <c r="T75" s="265">
        <f>SUM(Z12:Z70)</f>
        <v>3820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974241.12000000011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>
        <f>212364-11232</f>
        <v>201132</v>
      </c>
      <c r="Q79" s="264"/>
      <c r="R79" s="152"/>
      <c r="S79" s="159" t="s">
        <v>112</v>
      </c>
      <c r="T79" s="265">
        <f>T77+T73+T75</f>
        <v>58412.880000000005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132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BBB3-7489-4805-AFA7-31B22FC8B64E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F1" activePane="topRight" state="frozen"/>
      <selection activeCell="F23" sqref="F23"/>
      <selection pane="topRight" activeCell="F40" sqref="F40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04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04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1836</v>
      </c>
      <c r="N13" s="51"/>
      <c r="O13" s="51"/>
      <c r="P13" s="52" t="str">
        <f t="shared" ref="P13:P68" si="5">IF(M13&amp;N13="","",ROUND(((M13+N13)/G13),1)&amp;" pallets")</f>
        <v>17 pallets</v>
      </c>
      <c r="Q13" s="53">
        <f t="shared" ref="Q13:Q70" si="6">(J13*M13)+(K13*N13)+(O13*L13)</f>
        <v>203796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>
        <v>189</v>
      </c>
      <c r="G14" s="47">
        <v>63</v>
      </c>
      <c r="H14" s="64" t="str">
        <f>IF(F14="","",(ROUND((F14/G14),1)&amp;" pallets"))</f>
        <v>3 pallets</v>
      </c>
      <c r="I14" s="49">
        <f t="shared" si="4"/>
        <v>195237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172557</v>
      </c>
      <c r="Y14" s="57">
        <f t="shared" si="0"/>
        <v>5872.2300000000005</v>
      </c>
      <c r="Z14" s="57">
        <f t="shared" si="8"/>
        <v>378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1512</v>
      </c>
      <c r="G16" s="47">
        <v>108</v>
      </c>
      <c r="H16" s="64"/>
      <c r="I16" s="49">
        <f t="shared" si="4"/>
        <v>1114344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946512</v>
      </c>
      <c r="Y16" s="57">
        <f>F16*AI16</f>
        <v>43303.68</v>
      </c>
      <c r="Z16" s="57">
        <f>IF($U$6="x",(F16*2),"")</f>
        <v>3024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>
        <v>12</v>
      </c>
      <c r="G39" s="87">
        <v>100</v>
      </c>
      <c r="H39" s="88" t="str">
        <f t="shared" si="11"/>
        <v>0.1 pallets</v>
      </c>
      <c r="I39" s="89">
        <f t="shared" si="4"/>
        <v>7800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7800</v>
      </c>
      <c r="Y39" s="57">
        <f t="shared" si="0"/>
        <v>325.92</v>
      </c>
      <c r="Z39" s="57">
        <f t="shared" si="8"/>
        <v>24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17.1 pallets</v>
      </c>
      <c r="I71" s="148"/>
      <c r="J71" s="149"/>
      <c r="K71" s="150"/>
      <c r="L71" s="149"/>
      <c r="M71" s="151"/>
      <c r="N71" s="152"/>
      <c r="O71" s="152"/>
      <c r="P71" s="204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1317381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203796</v>
      </c>
      <c r="P73" s="260"/>
      <c r="Q73" s="261"/>
      <c r="R73" s="152"/>
      <c r="S73" s="159" t="s">
        <v>104</v>
      </c>
      <c r="T73" s="265">
        <f>SUM(Y12:Y68)</f>
        <v>49501.83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1317381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0</v>
      </c>
      <c r="P75" s="260"/>
      <c r="Q75" s="261"/>
      <c r="R75" s="152"/>
      <c r="S75" s="159" t="s">
        <v>129</v>
      </c>
      <c r="T75" s="265">
        <f>SUM(Z12:Z70)</f>
        <v>3426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1060657.17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52927.83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132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8BF2-216F-4B73-9BC7-C24AA1B99179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F1" activePane="topRight" state="frozen"/>
      <selection activeCell="F23" sqref="F23"/>
      <selection pane="topRight" activeCell="F17" sqref="F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05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05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1080</v>
      </c>
      <c r="N13" s="51"/>
      <c r="O13" s="51"/>
      <c r="P13" s="52" t="str">
        <f t="shared" ref="P13:P68" si="5">IF(M13&amp;N13="","",ROUND(((M13+N13)/G13),1)&amp;" pallets")</f>
        <v>10 pallets</v>
      </c>
      <c r="Q13" s="53">
        <f t="shared" ref="Q13:Q70" si="6">(J13*M13)+(K13*N13)+(O13*L13)</f>
        <v>119880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5" t="str">
        <f>ROUND((((M12+N12+M30+M57+M58+M59+M60+M61+N57)/72+(M13+N13+M16+M18)/108+(M15+N15)/96+SUM(M14,M19:M29,M31:M32,M50,N14)/63)),1)&amp;" pallets"</f>
        <v>10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1353132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119880</v>
      </c>
      <c r="P73" s="260"/>
      <c r="Q73" s="261"/>
      <c r="R73" s="152"/>
      <c r="S73" s="159" t="s">
        <v>104</v>
      </c>
      <c r="T73" s="265">
        <f>SUM(Y12:Y68)</f>
        <v>52583.040000000001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1353132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0</v>
      </c>
      <c r="P75" s="260"/>
      <c r="Q75" s="261"/>
      <c r="R75" s="152"/>
      <c r="S75" s="159" t="s">
        <v>129</v>
      </c>
      <c r="T75" s="265">
        <f>SUM(Z12:Z70)</f>
        <v>3672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1176996.96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56255.040000000001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132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D608E-ADD4-4C5E-AFB8-82DB108FA7CE}">
  <sheetPr>
    <tabColor rgb="FF00B050"/>
    <pageSetUpPr fitToPage="1"/>
  </sheetPr>
  <dimension ref="A1:AJ100"/>
  <sheetViews>
    <sheetView showGridLines="0" topLeftCell="A9" zoomScale="85" zoomScaleNormal="85" workbookViewId="0">
      <pane xSplit="2" topLeftCell="F1" activePane="topRight" state="frozen"/>
      <selection activeCell="F23" sqref="F23"/>
      <selection pane="topRight" activeCell="M13" sqref="M13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06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06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6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1353132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0</v>
      </c>
      <c r="P73" s="260"/>
      <c r="Q73" s="261"/>
      <c r="R73" s="152"/>
      <c r="S73" s="159" t="s">
        <v>104</v>
      </c>
      <c r="T73" s="265">
        <f>SUM(Y12:Y68)</f>
        <v>52583.040000000001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1353132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0</v>
      </c>
      <c r="P75" s="260"/>
      <c r="Q75" s="261"/>
      <c r="R75" s="152"/>
      <c r="S75" s="159" t="s">
        <v>129</v>
      </c>
      <c r="T75" s="265">
        <f>SUM(Z12:Z70)</f>
        <v>3672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1296876.96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56255.040000000001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132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81151-CBD6-4771-94FB-A00A7D562957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F23" sqref="F23"/>
      <selection pane="topRight" activeCell="M16" sqref="M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07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07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>
        <v>1404</v>
      </c>
      <c r="N16" s="193"/>
      <c r="O16" s="51"/>
      <c r="P16" s="52" t="str">
        <f t="shared" si="5"/>
        <v>13 pallets</v>
      </c>
      <c r="Q16" s="53">
        <f t="shared" si="6"/>
        <v>155844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7" t="str">
        <f>ROUND((((M12+N12+M30+M57+M58+M59+M60+M61+N57)/72+(M13+N13+M16+M18)/108+(M15+N15)/96+SUM(M14,M19:M29,M31:M32,M50,N14)/63)),1)&amp;" pallets"</f>
        <v>13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1353132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155844</v>
      </c>
      <c r="P73" s="260"/>
      <c r="Q73" s="261"/>
      <c r="R73" s="152"/>
      <c r="S73" s="159" t="s">
        <v>104</v>
      </c>
      <c r="T73" s="265">
        <f>SUM(Y12:Y68)</f>
        <v>52583.040000000001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1353132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155844</v>
      </c>
      <c r="P75" s="260"/>
      <c r="Q75" s="261"/>
      <c r="R75" s="152"/>
      <c r="S75" s="159" t="s">
        <v>129</v>
      </c>
      <c r="T75" s="265">
        <f>SUM(Z12:Z70)</f>
        <v>3672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1141032.96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56255.040000000001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132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8C39-FF93-4314-843F-3306576CE7EA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F1" activePane="topRight" state="frozen"/>
      <selection activeCell="F23" sqref="F23"/>
      <selection pane="topRight" activeCell="H68" sqref="H68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08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08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8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1353132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0</v>
      </c>
      <c r="P73" s="260"/>
      <c r="Q73" s="261"/>
      <c r="R73" s="152"/>
      <c r="S73" s="159" t="s">
        <v>104</v>
      </c>
      <c r="T73" s="265">
        <f>SUM(Y12:Y68)</f>
        <v>52583.040000000001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1353132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0</v>
      </c>
      <c r="P75" s="260"/>
      <c r="Q75" s="261"/>
      <c r="R75" s="152"/>
      <c r="S75" s="159" t="s">
        <v>129</v>
      </c>
      <c r="T75" s="265">
        <f>SUM(Z12:Z70)</f>
        <v>3672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1251992.46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>
        <v>44884.5</v>
      </c>
      <c r="Q79" s="264"/>
      <c r="R79" s="152"/>
      <c r="S79" s="159" t="s">
        <v>112</v>
      </c>
      <c r="T79" s="265">
        <f>T77+T73+T75</f>
        <v>56255.040000000001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132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E4C0-D9F6-402B-8F03-D986BC3F6263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F23" sqref="F23"/>
      <selection pane="topRight" activeCell="F16" sqref="F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09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09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>
        <v>216</v>
      </c>
      <c r="O13" s="51"/>
      <c r="P13" s="52" t="str">
        <f t="shared" ref="P13:P68" si="5">IF(M13&amp;N13="","",ROUND(((M13+N13)/G13),1)&amp;" pallets")</f>
        <v>3 pallets</v>
      </c>
      <c r="Q13" s="53">
        <f t="shared" ref="Q13:Q70" si="6">(J13*M13)+(K13*N13)+(O13*L13)</f>
        <v>30132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>
        <v>540</v>
      </c>
      <c r="N16" s="193"/>
      <c r="O16" s="51"/>
      <c r="P16" s="52" t="str">
        <f t="shared" si="5"/>
        <v>5 pallets</v>
      </c>
      <c r="Q16" s="53">
        <f t="shared" si="6"/>
        <v>59940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9" t="str">
        <f>ROUND((((M12+N12+M30+M57+M58+M59+M60+M61+N57)/72+(M13+N13+M16+M18)/108+(M15+N15)/96+SUM(M14,M19:M29,M31:M32,M50,N14)/63)),1)&amp;" pallets"</f>
        <v>8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1353132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90072</v>
      </c>
      <c r="P73" s="260"/>
      <c r="Q73" s="261"/>
      <c r="R73" s="152"/>
      <c r="S73" s="159" t="s">
        <v>104</v>
      </c>
      <c r="T73" s="265">
        <f>SUM(Y12:Y68)</f>
        <v>52583.040000000001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1353132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59940</v>
      </c>
      <c r="P75" s="260"/>
      <c r="Q75" s="261"/>
      <c r="R75" s="152"/>
      <c r="S75" s="159" t="s">
        <v>129</v>
      </c>
      <c r="T75" s="265">
        <f>SUM(Z12:Z70)</f>
        <v>3672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1206804.96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56255.040000000001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132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7D629-8972-4D42-A489-48442FE9B921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F23" sqref="F23"/>
      <selection pane="topRight" activeCell="B9" sqref="B9:B11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10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10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>
        <v>144</v>
      </c>
      <c r="G12" s="26">
        <v>72</v>
      </c>
      <c r="H12" s="27" t="str">
        <f>IF(F12="","",(ROUND((F12/G12),1)&amp;" pallets"))</f>
        <v>2 pallets</v>
      </c>
      <c r="I12" s="28">
        <f>E12*F12</f>
        <v>139968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122688</v>
      </c>
      <c r="Y12" s="36">
        <f t="shared" ref="Y12:Y68" si="0">F12*AI12</f>
        <v>4373.28</v>
      </c>
      <c r="Z12" s="36">
        <f>IF($U$6="x",(F12*2),"")</f>
        <v>288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216</v>
      </c>
      <c r="N13" s="51">
        <v>216</v>
      </c>
      <c r="O13" s="51"/>
      <c r="P13" s="52" t="str">
        <f t="shared" ref="P13:P68" si="5">IF(M13&amp;N13="","",ROUND(((M13+N13)/G13),1)&amp;" pallets")</f>
        <v>4 pallets</v>
      </c>
      <c r="Q13" s="53">
        <f t="shared" ref="Q13:Q70" si="6">(J13*M13)+(K13*N13)+(O13*L13)</f>
        <v>42120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96</v>
      </c>
      <c r="N15" s="51"/>
      <c r="O15" s="51"/>
      <c r="P15" s="52" t="str">
        <f t="shared" si="5"/>
        <v>1 pallets</v>
      </c>
      <c r="Q15" s="53">
        <f t="shared" si="6"/>
        <v>10656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1620</v>
      </c>
      <c r="G16" s="47">
        <v>108</v>
      </c>
      <c r="H16" s="64"/>
      <c r="I16" s="49">
        <f t="shared" si="4"/>
        <v>1193940</v>
      </c>
      <c r="J16" s="50">
        <v>111</v>
      </c>
      <c r="K16" s="65"/>
      <c r="L16" s="50">
        <v>4.5</v>
      </c>
      <c r="M16" s="51">
        <v>972</v>
      </c>
      <c r="N16" s="193"/>
      <c r="O16" s="51"/>
      <c r="P16" s="52" t="str">
        <f t="shared" si="5"/>
        <v>9 pallets</v>
      </c>
      <c r="Q16" s="53">
        <f t="shared" si="6"/>
        <v>107892</v>
      </c>
      <c r="S16" s="54"/>
      <c r="T16" s="67"/>
      <c r="U16" s="55"/>
      <c r="X16" s="56">
        <f t="shared" si="7"/>
        <v>1014120</v>
      </c>
      <c r="Y16" s="57">
        <f>F16*AI16</f>
        <v>46396.800000000003</v>
      </c>
      <c r="Z16" s="57">
        <f>IF($U$6="x",(F16*2),"")</f>
        <v>3240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hidden="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hidden="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hidden="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hidden="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hidden="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hidden="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hidden="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hidden="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hidden="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hidden="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hidden="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hidden="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>
        <v>1</v>
      </c>
      <c r="G33" s="47">
        <v>100</v>
      </c>
      <c r="H33" s="64" t="str">
        <f t="shared" si="11"/>
        <v>0 pallets</v>
      </c>
      <c r="I33" s="49">
        <f t="shared" si="4"/>
        <v>1667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1667</v>
      </c>
      <c r="Y33" s="57">
        <f t="shared" si="0"/>
        <v>29.759999999999998</v>
      </c>
      <c r="Z33" s="57">
        <f t="shared" si="8"/>
        <v>2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>
        <v>1</v>
      </c>
      <c r="G34" s="47">
        <v>100</v>
      </c>
      <c r="H34" s="64" t="str">
        <f t="shared" si="11"/>
        <v>0 pallets</v>
      </c>
      <c r="I34" s="49">
        <f t="shared" si="4"/>
        <v>1175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1175</v>
      </c>
      <c r="Y34" s="57">
        <f t="shared" si="0"/>
        <v>27.16</v>
      </c>
      <c r="Z34" s="57">
        <f t="shared" si="8"/>
        <v>2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>
        <v>1</v>
      </c>
      <c r="G35" s="47">
        <v>100</v>
      </c>
      <c r="H35" s="64" t="str">
        <f t="shared" si="11"/>
        <v>0 pallets</v>
      </c>
      <c r="I35" s="49">
        <f t="shared" si="4"/>
        <v>1175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1175</v>
      </c>
      <c r="Y35" s="57">
        <f t="shared" si="0"/>
        <v>27.16</v>
      </c>
      <c r="Z35" s="57">
        <f t="shared" si="8"/>
        <v>2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>
        <f>20+20</f>
        <v>40</v>
      </c>
      <c r="G39" s="87">
        <v>100</v>
      </c>
      <c r="H39" s="88" t="str">
        <f t="shared" si="11"/>
        <v>0.4 pallets</v>
      </c>
      <c r="I39" s="89">
        <f t="shared" si="4"/>
        <v>26000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26000</v>
      </c>
      <c r="Y39" s="57">
        <f t="shared" si="0"/>
        <v>1086.4000000000001</v>
      </c>
      <c r="Z39" s="57">
        <f t="shared" si="8"/>
        <v>80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17.4 pallets</v>
      </c>
      <c r="I71" s="148"/>
      <c r="J71" s="149"/>
      <c r="K71" s="150"/>
      <c r="L71" s="149"/>
      <c r="M71" s="151"/>
      <c r="N71" s="152"/>
      <c r="O71" s="152"/>
      <c r="P71" s="210" t="str">
        <f>ROUND((((M12+N12+M30+M57+M58+M59+M60+M61+N57)/72+(M13+N13+M16+M18)/108+(M15+N15)/96+SUM(M14,M19:M29,M31:M32,M50,N14)/63)),1)&amp;" pallets"</f>
        <v>14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1363925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160668</v>
      </c>
      <c r="P73" s="260"/>
      <c r="Q73" s="261"/>
      <c r="R73" s="152"/>
      <c r="S73" s="159" t="s">
        <v>104</v>
      </c>
      <c r="T73" s="265">
        <f>SUM(Y12:Y68)</f>
        <v>51940.560000000012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1223957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118548</v>
      </c>
      <c r="P75" s="260"/>
      <c r="Q75" s="261"/>
      <c r="R75" s="152"/>
      <c r="S75" s="159" t="s">
        <v>129</v>
      </c>
      <c r="T75" s="265">
        <f>SUM(Z12:Z70)</f>
        <v>3614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1147702.44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55554.560000000012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132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CC27-9530-475E-A728-2E9F6E8C7E26}">
  <sheetPr>
    <tabColor rgb="FF00B050"/>
    <pageSetUpPr fitToPage="1"/>
  </sheetPr>
  <dimension ref="A1:AJ100"/>
  <sheetViews>
    <sheetView showGridLines="0" topLeftCell="A65" zoomScale="85" zoomScaleNormal="85" workbookViewId="0">
      <pane xSplit="2" topLeftCell="F1" activePane="topRight" state="frozen"/>
      <selection activeCell="F23" sqref="F23"/>
      <selection pane="topRight" activeCell="N14" sqref="N14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11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11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>
        <v>1296</v>
      </c>
      <c r="G13" s="47">
        <v>108</v>
      </c>
      <c r="H13" s="48" t="str">
        <f t="shared" ref="H13" si="3">IF(F13="","",(ROUND((F13/G13),1)&amp;" pallets"))</f>
        <v>12 pallets</v>
      </c>
      <c r="I13" s="49">
        <f t="shared" ref="I13:I70" si="4">E13*F13</f>
        <v>916272</v>
      </c>
      <c r="J13" s="50">
        <v>111</v>
      </c>
      <c r="K13" s="50">
        <v>84</v>
      </c>
      <c r="L13" s="50">
        <v>4.5</v>
      </c>
      <c r="M13" s="51">
        <v>108</v>
      </c>
      <c r="N13" s="51">
        <v>432</v>
      </c>
      <c r="O13" s="51"/>
      <c r="P13" s="52" t="str">
        <f t="shared" ref="P13:P68" si="5">IF(M13&amp;N13="","",ROUND(((M13+N13)/G13),1)&amp;" pallets")</f>
        <v>5 pallets</v>
      </c>
      <c r="Q13" s="53">
        <f t="shared" ref="Q13:Q70" si="6">(J13*M13)+(K13*N13)+(O13*L13)</f>
        <v>48276</v>
      </c>
      <c r="S13" s="54"/>
      <c r="T13" s="54"/>
      <c r="U13" s="55"/>
      <c r="X13" s="56">
        <f t="shared" ref="X13:X68" si="7">F13*C13</f>
        <v>772416</v>
      </c>
      <c r="Y13" s="57">
        <f>F13*AI13</f>
        <v>37117.440000000002</v>
      </c>
      <c r="Z13" s="57">
        <f t="shared" ref="Z13:Z68" si="8">IF($U$6="x",(F13*2),"")</f>
        <v>2592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>
        <v>46</v>
      </c>
      <c r="G14" s="47">
        <v>63</v>
      </c>
      <c r="H14" s="64" t="str">
        <f>IF(F14="","",(ROUND((F14/G14),1)&amp;" pallets"))</f>
        <v>0.7 pallets</v>
      </c>
      <c r="I14" s="49">
        <f t="shared" si="4"/>
        <v>47518</v>
      </c>
      <c r="J14" s="50">
        <v>120</v>
      </c>
      <c r="K14" s="50">
        <v>84</v>
      </c>
      <c r="L14" s="50">
        <v>1.5</v>
      </c>
      <c r="M14" s="51"/>
      <c r="N14" s="51">
        <v>63</v>
      </c>
      <c r="O14" s="51"/>
      <c r="P14" s="52" t="str">
        <f t="shared" si="5"/>
        <v>1 pallets</v>
      </c>
      <c r="Q14" s="53">
        <f t="shared" si="6"/>
        <v>5292</v>
      </c>
      <c r="S14" s="54"/>
      <c r="T14" s="54"/>
      <c r="U14" s="55"/>
      <c r="X14" s="56">
        <f t="shared" si="7"/>
        <v>41998</v>
      </c>
      <c r="Y14" s="57">
        <f t="shared" si="0"/>
        <v>1429.22</v>
      </c>
      <c r="Z14" s="57">
        <f t="shared" si="8"/>
        <v>92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>
        <v>192</v>
      </c>
      <c r="G15" s="47">
        <v>96</v>
      </c>
      <c r="H15" s="64"/>
      <c r="I15" s="49">
        <f t="shared" si="4"/>
        <v>139200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117888</v>
      </c>
      <c r="Y15" s="57">
        <f>F15*AI15</f>
        <v>5587.2000000000007</v>
      </c>
      <c r="Z15" s="57">
        <f t="shared" si="8"/>
        <v>384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1188</v>
      </c>
      <c r="N16" s="193"/>
      <c r="O16" s="51"/>
      <c r="P16" s="52" t="str">
        <f t="shared" si="5"/>
        <v>11 pallets</v>
      </c>
      <c r="Q16" s="53">
        <f t="shared" si="6"/>
        <v>131868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>
        <f>41+15+62</f>
        <v>118</v>
      </c>
      <c r="G20" s="47">
        <v>63</v>
      </c>
      <c r="H20" s="64" t="str">
        <f t="shared" si="11"/>
        <v>1.9 pallets</v>
      </c>
      <c r="I20" s="49">
        <f t="shared" si="4"/>
        <v>112336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98176</v>
      </c>
      <c r="Y20" s="57">
        <f t="shared" si="0"/>
        <v>3666.26</v>
      </c>
      <c r="Z20" s="57">
        <f t="shared" si="8"/>
        <v>236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16.6 pallets</v>
      </c>
      <c r="I71" s="148"/>
      <c r="J71" s="149"/>
      <c r="K71" s="150"/>
      <c r="L71" s="149"/>
      <c r="M71" s="151"/>
      <c r="N71" s="152"/>
      <c r="O71" s="152"/>
      <c r="P71" s="211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1215326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185436</v>
      </c>
      <c r="P73" s="260"/>
      <c r="Q73" s="261"/>
      <c r="R73" s="152"/>
      <c r="S73" s="159" t="s">
        <v>104</v>
      </c>
      <c r="T73" s="265">
        <f>SUM(Y12:Y68)</f>
        <v>47800.12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299054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137160</v>
      </c>
      <c r="P75" s="260"/>
      <c r="Q75" s="261"/>
      <c r="R75" s="152"/>
      <c r="S75" s="159" t="s">
        <v>129</v>
      </c>
      <c r="T75" s="265">
        <f>SUM(Z12:Z70)</f>
        <v>3304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978785.88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51104.12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134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556B4-C0C8-428A-9FE7-99723AE5FAE9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F23" sqref="F23"/>
      <selection pane="topRight" activeCell="F17" sqref="F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12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12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>
        <v>108</v>
      </c>
      <c r="O13" s="51"/>
      <c r="P13" s="52" t="str">
        <f t="shared" ref="P13:P68" si="5">IF(M13&amp;N13="","",ROUND(((M13+N13)/G13),1)&amp;" pallets")</f>
        <v>2 pallets</v>
      </c>
      <c r="Q13" s="53">
        <f t="shared" ref="Q13:Q70" si="6">(J13*M13)+(K13*N13)+(O13*L13)</f>
        <v>21060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>
        <v>63</v>
      </c>
      <c r="O14" s="51"/>
      <c r="P14" s="52" t="str">
        <f t="shared" si="5"/>
        <v>1 pallets</v>
      </c>
      <c r="Q14" s="53">
        <f t="shared" si="6"/>
        <v>5292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96</v>
      </c>
      <c r="N15" s="51">
        <v>96</v>
      </c>
      <c r="O15" s="51"/>
      <c r="P15" s="52" t="str">
        <f t="shared" si="5"/>
        <v>2 pallets</v>
      </c>
      <c r="Q15" s="53">
        <f t="shared" si="6"/>
        <v>18720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>
        <v>648</v>
      </c>
      <c r="N16" s="193"/>
      <c r="O16" s="51"/>
      <c r="P16" s="52" t="str">
        <f t="shared" si="5"/>
        <v>6 pallets</v>
      </c>
      <c r="Q16" s="53">
        <f t="shared" si="6"/>
        <v>71928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12" t="str">
        <f>ROUND((((M12+N12+M30+M57+M58+M59+M60+M61+N57)/72+(M13+N13+M16+M18)/108+(M15+N15)/96+SUM(M14,M19:M29,M31:M32,M50,N14)/63)),1)&amp;" pallets"</f>
        <v>11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1353132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117000</v>
      </c>
      <c r="P73" s="260"/>
      <c r="Q73" s="261"/>
      <c r="R73" s="152"/>
      <c r="S73" s="159" t="s">
        <v>104</v>
      </c>
      <c r="T73" s="265">
        <f>SUM(Y12:Y68)</f>
        <v>52583.040000000001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1353132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95940</v>
      </c>
      <c r="P75" s="260"/>
      <c r="Q75" s="261"/>
      <c r="R75" s="152"/>
      <c r="S75" s="159" t="s">
        <v>129</v>
      </c>
      <c r="T75" s="265">
        <f>SUM(Z12:Z70)</f>
        <v>3672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1179876.96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56255.040000000001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134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A374-73BF-4F86-8008-6DDE70C3883A}">
  <sheetPr>
    <tabColor rgb="FF00B050"/>
    <pageSetUpPr fitToPage="1"/>
  </sheetPr>
  <dimension ref="A1:AJ100"/>
  <sheetViews>
    <sheetView showGridLines="0" topLeftCell="A56" zoomScale="85" zoomScaleNormal="85" workbookViewId="0">
      <pane xSplit="2" topLeftCell="F1" activePane="topRight" state="frozen"/>
      <selection activeCell="F23" sqref="F23"/>
      <selection pane="topRight" activeCell="F17" sqref="F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13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13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864</v>
      </c>
      <c r="N13" s="51"/>
      <c r="O13" s="51"/>
      <c r="P13" s="52" t="str">
        <f t="shared" ref="P13:P68" si="5">IF(M13&amp;N13="","",ROUND(((M13+N13)/G13),1)&amp;" pallets")</f>
        <v>8 pallets</v>
      </c>
      <c r="Q13" s="53">
        <f t="shared" ref="Q13:Q70" si="6">(J13*M13)+(K13*N13)+(O13*L13)</f>
        <v>95904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13" t="str">
        <f>ROUND((((M12+N12+M30+M57+M58+M59+M60+M61+N57)/72+(M13+N13+M16+M18)/108+(M15+N15)/96+SUM(M14,M19:M29,M31:M32,M50,N14)/63)),1)&amp;" pallets"</f>
        <v>8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1353132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95904</v>
      </c>
      <c r="P73" s="260"/>
      <c r="Q73" s="261"/>
      <c r="R73" s="152"/>
      <c r="S73" s="159" t="s">
        <v>104</v>
      </c>
      <c r="T73" s="265">
        <f>SUM(Y12:Y68)</f>
        <v>52583.040000000001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1353132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0</v>
      </c>
      <c r="P75" s="260"/>
      <c r="Q75" s="261"/>
      <c r="R75" s="152"/>
      <c r="S75" s="159" t="s">
        <v>129</v>
      </c>
      <c r="T75" s="265">
        <f>SUM(Z12:Z70)</f>
        <v>3672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1200972.96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56255.040000000001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134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48A2-8B5C-42A0-8274-E4515DE08C4C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F23" sqref="F23"/>
      <selection pane="topRight" activeCell="F27" sqref="F2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13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13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>
        <v>66</v>
      </c>
      <c r="G12" s="26">
        <v>72</v>
      </c>
      <c r="H12" s="27" t="str">
        <f>IF(F12="","",(ROUND((F12/G12),1)&amp;" pallets"))</f>
        <v>0.9 pallets</v>
      </c>
      <c r="I12" s="28">
        <f>E12*F12</f>
        <v>64152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56232</v>
      </c>
      <c r="Y12" s="36">
        <f t="shared" ref="Y12:Y68" si="0">F12*AI12</f>
        <v>2004.4199999999998</v>
      </c>
      <c r="Z12" s="36">
        <f>IF($U$6="x",(F12*2),"")</f>
        <v>132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>
        <v>384</v>
      </c>
      <c r="G15" s="47">
        <v>96</v>
      </c>
      <c r="H15" s="64"/>
      <c r="I15" s="49">
        <f t="shared" si="4"/>
        <v>278400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235776</v>
      </c>
      <c r="Y15" s="57">
        <f>F15*AI15</f>
        <v>11174.400000000001</v>
      </c>
      <c r="Z15" s="57">
        <f t="shared" si="8"/>
        <v>768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1080</v>
      </c>
      <c r="G16" s="47">
        <v>108</v>
      </c>
      <c r="H16" s="64"/>
      <c r="I16" s="49">
        <f t="shared" si="4"/>
        <v>795960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676080</v>
      </c>
      <c r="Y16" s="57">
        <f>F16*AI16</f>
        <v>30931.200000000001</v>
      </c>
      <c r="Z16" s="57">
        <f>IF($U$6="x",(F16*2),"")</f>
        <v>2160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>
        <v>106</v>
      </c>
      <c r="G19" s="71">
        <v>63</v>
      </c>
      <c r="H19" s="72" t="str">
        <f t="shared" si="11"/>
        <v>1.7 pallets</v>
      </c>
      <c r="I19" s="73">
        <f t="shared" si="4"/>
        <v>119250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106530</v>
      </c>
      <c r="Y19" s="57">
        <f>F19*AI19</f>
        <v>3293.42</v>
      </c>
      <c r="Z19" s="57">
        <f t="shared" si="8"/>
        <v>212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>
        <v>4</v>
      </c>
      <c r="G24" s="47">
        <v>63</v>
      </c>
      <c r="H24" s="64" t="str">
        <f t="shared" si="11"/>
        <v>0.1 pallets</v>
      </c>
      <c r="I24" s="49">
        <f t="shared" si="4"/>
        <v>6268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5788</v>
      </c>
      <c r="Y24" s="57">
        <f t="shared" si="0"/>
        <v>124.28</v>
      </c>
      <c r="Z24" s="57">
        <f t="shared" si="8"/>
        <v>8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>
        <v>2</v>
      </c>
      <c r="G26" s="47">
        <v>63</v>
      </c>
      <c r="H26" s="64" t="str">
        <f t="shared" si="11"/>
        <v>0 pallets</v>
      </c>
      <c r="I26" s="49">
        <f t="shared" si="4"/>
        <v>3134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2894</v>
      </c>
      <c r="Y26" s="57">
        <f t="shared" si="0"/>
        <v>62.14</v>
      </c>
      <c r="Z26" s="57">
        <f t="shared" si="8"/>
        <v>4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>
        <v>1</v>
      </c>
      <c r="G27" s="71">
        <v>63</v>
      </c>
      <c r="H27" s="72" t="str">
        <f t="shared" si="11"/>
        <v>0 pallets</v>
      </c>
      <c r="I27" s="73">
        <f t="shared" si="4"/>
        <v>1567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1447</v>
      </c>
      <c r="Y27" s="57">
        <f t="shared" si="0"/>
        <v>31.07</v>
      </c>
      <c r="Z27" s="57">
        <f t="shared" si="8"/>
        <v>2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>
        <v>1</v>
      </c>
      <c r="G37" s="47">
        <v>100</v>
      </c>
      <c r="H37" s="64" t="str">
        <f t="shared" si="11"/>
        <v>0 pallets</v>
      </c>
      <c r="I37" s="49">
        <f t="shared" si="4"/>
        <v>1582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1582</v>
      </c>
      <c r="Y37" s="57">
        <f t="shared" si="0"/>
        <v>27.16</v>
      </c>
      <c r="Z37" s="57">
        <f t="shared" si="8"/>
        <v>2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16.7 pallets</v>
      </c>
      <c r="I71" s="148"/>
      <c r="J71" s="149"/>
      <c r="K71" s="150"/>
      <c r="L71" s="149"/>
      <c r="M71" s="151"/>
      <c r="N71" s="152"/>
      <c r="O71" s="152"/>
      <c r="P71" s="213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1270313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0</v>
      </c>
      <c r="P73" s="260"/>
      <c r="Q73" s="261"/>
      <c r="R73" s="152"/>
      <c r="S73" s="159" t="s">
        <v>104</v>
      </c>
      <c r="T73" s="265">
        <f>SUM(Y12:Y68)</f>
        <v>47648.090000000004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1206161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0</v>
      </c>
      <c r="P75" s="260"/>
      <c r="Q75" s="261"/>
      <c r="R75" s="152"/>
      <c r="S75" s="159" t="s">
        <v>129</v>
      </c>
      <c r="T75" s="265">
        <f>SUM(Z12:Z70)</f>
        <v>3288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1219376.9099999999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50936.090000000004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134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EDEE-ECB0-468F-8C3C-F721D62DB1B4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F23" sqref="F23"/>
      <selection pane="topRight" activeCell="B12" sqref="B12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14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14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>
        <v>1296</v>
      </c>
      <c r="G13" s="47">
        <v>108</v>
      </c>
      <c r="H13" s="48" t="str">
        <f t="shared" ref="H13" si="3">IF(F13="","",(ROUND((F13/G13),1)&amp;" pallets"))</f>
        <v>12 pallets</v>
      </c>
      <c r="I13" s="49">
        <f t="shared" ref="I13:I70" si="4">E13*F13</f>
        <v>916272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772416</v>
      </c>
      <c r="Y13" s="57">
        <f>F13*AI13</f>
        <v>37117.440000000002</v>
      </c>
      <c r="Z13" s="57">
        <f t="shared" ref="Z13:Z68" si="8">IF($U$6="x",(F13*2),"")</f>
        <v>2592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>
        <v>480</v>
      </c>
      <c r="G15" s="47">
        <v>96</v>
      </c>
      <c r="H15" s="64"/>
      <c r="I15" s="49">
        <f t="shared" si="4"/>
        <v>348000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294720</v>
      </c>
      <c r="Y15" s="57">
        <f>F15*AI15</f>
        <v>13968</v>
      </c>
      <c r="Z15" s="57">
        <f t="shared" si="8"/>
        <v>960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>
        <v>2</v>
      </c>
      <c r="G39" s="87">
        <v>100</v>
      </c>
      <c r="H39" s="88" t="str">
        <f t="shared" si="11"/>
        <v>0 pallets</v>
      </c>
      <c r="I39" s="89">
        <f t="shared" si="4"/>
        <v>1300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1300</v>
      </c>
      <c r="Y39" s="57">
        <f t="shared" si="0"/>
        <v>54.32</v>
      </c>
      <c r="Z39" s="57">
        <f t="shared" si="8"/>
        <v>4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>
        <v>3</v>
      </c>
      <c r="G42" s="87">
        <v>100</v>
      </c>
      <c r="H42" s="88" t="str">
        <f t="shared" si="11"/>
        <v>0 pallets</v>
      </c>
      <c r="I42" s="89">
        <f t="shared" si="4"/>
        <v>3306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3306</v>
      </c>
      <c r="Y42" s="57">
        <f t="shared" si="0"/>
        <v>81.48</v>
      </c>
      <c r="Z42" s="57">
        <f t="shared" si="8"/>
        <v>6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17.1 pallets</v>
      </c>
      <c r="I71" s="148"/>
      <c r="J71" s="149"/>
      <c r="K71" s="150"/>
      <c r="L71" s="149"/>
      <c r="M71" s="151"/>
      <c r="N71" s="152"/>
      <c r="O71" s="152"/>
      <c r="P71" s="214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1268878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0</v>
      </c>
      <c r="P73" s="260"/>
      <c r="Q73" s="261"/>
      <c r="R73" s="152"/>
      <c r="S73" s="159" t="s">
        <v>104</v>
      </c>
      <c r="T73" s="265">
        <f>SUM(Y12:Y68)</f>
        <v>51221.240000000005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352606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0</v>
      </c>
      <c r="P75" s="260"/>
      <c r="Q75" s="261"/>
      <c r="R75" s="152"/>
      <c r="S75" s="159" t="s">
        <v>129</v>
      </c>
      <c r="T75" s="265">
        <f>SUM(Z12:Z70)</f>
        <v>3562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1214094.76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54783.240000000005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134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E074D-DFE2-4248-8736-008280902B53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F23" sqref="F23"/>
      <selection pane="topRight" activeCell="F39" sqref="F39:F43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15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15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215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0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0</v>
      </c>
      <c r="P73" s="260"/>
      <c r="Q73" s="261"/>
      <c r="R73" s="152"/>
      <c r="S73" s="159" t="s">
        <v>104</v>
      </c>
      <c r="T73" s="265">
        <f>SUM(Y12:Y68)</f>
        <v>0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0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0</v>
      </c>
      <c r="P75" s="260"/>
      <c r="Q75" s="261"/>
      <c r="R75" s="152"/>
      <c r="S75" s="159" t="s">
        <v>129</v>
      </c>
      <c r="T75" s="265">
        <f>SUM(Z12:Z70)</f>
        <v>0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0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0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134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5CBD4-8586-465D-A50B-96F9CE09790C}">
  <sheetPr>
    <tabColor rgb="FF00B050"/>
    <pageSetUpPr fitToPage="1"/>
  </sheetPr>
  <dimension ref="A1:AJ100"/>
  <sheetViews>
    <sheetView showGridLines="0" topLeftCell="A62" zoomScale="85" zoomScaleNormal="85" workbookViewId="0">
      <pane xSplit="2" topLeftCell="F1" activePane="topRight" state="frozen"/>
      <selection activeCell="F23" sqref="F23"/>
      <selection pane="topRight" activeCell="F15" sqref="F15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15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15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>
        <v>1080</v>
      </c>
      <c r="G13" s="47">
        <v>108</v>
      </c>
      <c r="H13" s="48" t="str">
        <f t="shared" ref="H13" si="3">IF(F13="","",(ROUND((F13/G13),1)&amp;" pallets"))</f>
        <v>10 pallets</v>
      </c>
      <c r="I13" s="49">
        <f t="shared" ref="I13:I70" si="4">E13*F13</f>
        <v>763560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643680</v>
      </c>
      <c r="Y13" s="57">
        <f>F13*AI13</f>
        <v>30931.200000000001</v>
      </c>
      <c r="Z13" s="57">
        <f t="shared" ref="Z13:Z68" si="8">IF($U$6="x",(F13*2),"")</f>
        <v>2160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>
        <v>439</v>
      </c>
      <c r="G14" s="47">
        <v>63</v>
      </c>
      <c r="H14" s="64" t="str">
        <f>IF(F14="","",(ROUND((F14/G14),1)&amp;" pallets"))</f>
        <v>7 pallets</v>
      </c>
      <c r="I14" s="49">
        <f t="shared" si="4"/>
        <v>453487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400807</v>
      </c>
      <c r="Y14" s="57">
        <f t="shared" si="0"/>
        <v>13639.73</v>
      </c>
      <c r="Z14" s="57">
        <f t="shared" si="8"/>
        <v>878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15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1217047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203796</v>
      </c>
      <c r="P73" s="260"/>
      <c r="Q73" s="261"/>
      <c r="R73" s="152"/>
      <c r="S73" s="159" t="s">
        <v>104</v>
      </c>
      <c r="T73" s="265">
        <f>SUM(Y12:Y68)</f>
        <v>44570.93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453487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203796</v>
      </c>
      <c r="P75" s="260"/>
      <c r="Q75" s="261"/>
      <c r="R75" s="152"/>
      <c r="S75" s="159" t="s">
        <v>129</v>
      </c>
      <c r="T75" s="265">
        <f>SUM(Z12:Z70)</f>
        <v>3038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965642.07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47608.93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134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2CFA-630D-4C80-B609-3B5E12D279FA}">
  <sheetPr>
    <tabColor rgb="FF00B050"/>
    <pageSetUpPr fitToPage="1"/>
  </sheetPr>
  <dimension ref="A1:AJ100"/>
  <sheetViews>
    <sheetView showGridLines="0" topLeftCell="A65" zoomScale="85" zoomScaleNormal="85" workbookViewId="0">
      <pane xSplit="2" topLeftCell="F1" activePane="topRight" state="frozen"/>
      <selection activeCell="F23" sqref="F23"/>
      <selection pane="topRight" activeCell="F13" sqref="F13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16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16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>
        <v>1188</v>
      </c>
      <c r="G13" s="47">
        <v>108</v>
      </c>
      <c r="H13" s="48" t="str">
        <f t="shared" ref="H13" si="3">IF(F13="","",(ROUND((F13/G13),1)&amp;" pallets"))</f>
        <v>11 pallets</v>
      </c>
      <c r="I13" s="49">
        <f t="shared" ref="I13:I70" si="4">E13*F13</f>
        <v>839916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708048</v>
      </c>
      <c r="Y13" s="57">
        <f>F13*AI13</f>
        <v>34024.32</v>
      </c>
      <c r="Z13" s="57">
        <f t="shared" ref="Z13:Z68" si="8">IF($U$6="x",(F13*2),"")</f>
        <v>2376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>
        <v>441</v>
      </c>
      <c r="G14" s="47">
        <v>63</v>
      </c>
      <c r="H14" s="64" t="str">
        <f>IF(F14="","",(ROUND((F14/G14),1)&amp;" pallets"))</f>
        <v>7 pallets</v>
      </c>
      <c r="I14" s="49">
        <f t="shared" si="4"/>
        <v>455553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402633</v>
      </c>
      <c r="Y14" s="57">
        <f t="shared" si="0"/>
        <v>13701.87</v>
      </c>
      <c r="Z14" s="57">
        <f t="shared" si="8"/>
        <v>882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>
        <v>864</v>
      </c>
      <c r="G17" s="47">
        <v>108</v>
      </c>
      <c r="H17" s="64" t="str">
        <f t="shared" ref="H17:H68" si="11">IF(F17="","",(ROUND((F17/G17),1)&amp;" pallets"))</f>
        <v>8 pallets</v>
      </c>
      <c r="I17" s="49">
        <f t="shared" si="4"/>
        <v>678240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582336</v>
      </c>
      <c r="Y17" s="57">
        <f t="shared" si="0"/>
        <v>24744.959999999999</v>
      </c>
      <c r="Z17" s="57">
        <f t="shared" si="8"/>
        <v>1728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18 pallets</v>
      </c>
      <c r="I71" s="148"/>
      <c r="J71" s="149"/>
      <c r="K71" s="150"/>
      <c r="L71" s="149"/>
      <c r="M71" s="151"/>
      <c r="N71" s="152"/>
      <c r="O71" s="152"/>
      <c r="P71" s="216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1973709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0</v>
      </c>
      <c r="P73" s="260"/>
      <c r="Q73" s="261"/>
      <c r="R73" s="152"/>
      <c r="S73" s="159" t="s">
        <v>104</v>
      </c>
      <c r="T73" s="265">
        <f>SUM(Y12:Y68)</f>
        <v>72471.149999999994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1133793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0</v>
      </c>
      <c r="P75" s="260"/>
      <c r="Q75" s="261"/>
      <c r="R75" s="152"/>
      <c r="S75" s="159" t="s">
        <v>129</v>
      </c>
      <c r="T75" s="265">
        <f>SUM(Z12:Z70)</f>
        <v>4986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1896251.85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77457.149999999994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134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44D0-E9E5-45B6-9286-99E48C1B538A}">
  <sheetPr>
    <tabColor rgb="FF00B050"/>
    <pageSetUpPr fitToPage="1"/>
  </sheetPr>
  <dimension ref="A1:AJ100"/>
  <sheetViews>
    <sheetView showGridLines="0" topLeftCell="A50" zoomScale="85" zoomScaleNormal="85" workbookViewId="0">
      <pane xSplit="2" topLeftCell="F1" activePane="topRight" state="frozen"/>
      <selection activeCell="F23" sqref="F23"/>
      <selection pane="topRight" activeCell="F61" sqref="F61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17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17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>
        <v>1224</v>
      </c>
      <c r="G57" s="47">
        <v>72</v>
      </c>
      <c r="H57" s="64" t="str">
        <f t="shared" si="11"/>
        <v>17 pallets</v>
      </c>
      <c r="I57" s="49">
        <f t="shared" si="4"/>
        <v>375768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280296</v>
      </c>
      <c r="Y57" s="57">
        <f t="shared" si="0"/>
        <v>31285.439999999999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17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375768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0</v>
      </c>
      <c r="P73" s="260"/>
      <c r="Q73" s="261"/>
      <c r="R73" s="152"/>
      <c r="S73" s="159" t="s">
        <v>104</v>
      </c>
      <c r="T73" s="265">
        <f>SUM(Y12:Y68)</f>
        <v>31285.439999999999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375768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0</v>
      </c>
      <c r="P75" s="260"/>
      <c r="Q75" s="261"/>
      <c r="R75" s="152"/>
      <c r="S75" s="159" t="s">
        <v>129</v>
      </c>
      <c r="T75" s="265">
        <f>SUM(Z12:Z70)</f>
        <v>0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302680.56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>
        <v>2490</v>
      </c>
      <c r="Q77" s="264"/>
      <c r="R77" s="152"/>
      <c r="S77" s="159" t="s">
        <v>108</v>
      </c>
      <c r="T77" s="265">
        <f>IF(SUM(X12:X68)*0.15&gt;P77,P77,SUM(X12:X68)*0.15)</f>
        <v>2490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>
        <v>39312</v>
      </c>
      <c r="Q79" s="264"/>
      <c r="R79" s="152"/>
      <c r="S79" s="159" t="s">
        <v>112</v>
      </c>
      <c r="T79" s="265">
        <f>T77+T73+T75</f>
        <v>33775.440000000002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134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F2:S2"/>
    <mergeCell ref="W2:W4"/>
    <mergeCell ref="F4:M4"/>
    <mergeCell ref="T4:U4"/>
    <mergeCell ref="F6:M6"/>
    <mergeCell ref="W6:W7"/>
    <mergeCell ref="F7:M7"/>
    <mergeCell ref="B9:B11"/>
    <mergeCell ref="C9:C11"/>
    <mergeCell ref="D9:D11"/>
    <mergeCell ref="E9:E11"/>
    <mergeCell ref="F9:Q9"/>
    <mergeCell ref="M10:Q10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7F76-042B-4945-BB40-2BD834737B68}">
  <sheetPr>
    <tabColor rgb="FF00B050"/>
    <pageSetUpPr fitToPage="1"/>
  </sheetPr>
  <dimension ref="A1:AJ100"/>
  <sheetViews>
    <sheetView showGridLines="0" topLeftCell="A4" zoomScale="85" zoomScaleNormal="85" workbookViewId="0">
      <pane xSplit="2" topLeftCell="F1" activePane="topRight" state="frozen"/>
      <selection activeCell="F23" sqref="F23"/>
      <selection pane="topRight" activeCell="P77" sqref="P77:Q7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17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17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1836</v>
      </c>
      <c r="N13" s="51"/>
      <c r="O13" s="51"/>
      <c r="P13" s="52" t="str">
        <f t="shared" ref="P13:P68" si="5">IF(M13&amp;N13="","",ROUND(((M13+N13)/G13),1)&amp;" pallets")</f>
        <v>17 pallets</v>
      </c>
      <c r="Q13" s="53">
        <f t="shared" ref="Q13:Q70" si="6">(J13*M13)+(K13*N13)+(O13*L13)</f>
        <v>203796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217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0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203796</v>
      </c>
      <c r="P73" s="260"/>
      <c r="Q73" s="261"/>
      <c r="R73" s="152"/>
      <c r="S73" s="159" t="s">
        <v>104</v>
      </c>
      <c r="T73" s="265">
        <f>SUM(Y12:Y68)</f>
        <v>0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0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0</v>
      </c>
      <c r="P75" s="260"/>
      <c r="Q75" s="261"/>
      <c r="R75" s="152"/>
      <c r="S75" s="159" t="s">
        <v>129</v>
      </c>
      <c r="T75" s="265">
        <f>SUM(Z12:Z70)</f>
        <v>0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-203796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0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134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F2:S2"/>
    <mergeCell ref="W2:W4"/>
    <mergeCell ref="F4:M4"/>
    <mergeCell ref="T4:U4"/>
    <mergeCell ref="F6:M6"/>
    <mergeCell ref="W6:W7"/>
    <mergeCell ref="F7:M7"/>
    <mergeCell ref="B9:B11"/>
    <mergeCell ref="C9:C11"/>
    <mergeCell ref="D9:D11"/>
    <mergeCell ref="E9:E11"/>
    <mergeCell ref="F9:Q9"/>
    <mergeCell ref="M10:Q10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47A50-1474-4C87-B4BA-5F391FCA04AD}">
  <sheetPr>
    <tabColor rgb="FF00B050"/>
    <pageSetUpPr fitToPage="1"/>
  </sheetPr>
  <dimension ref="A1:AJ100"/>
  <sheetViews>
    <sheetView showGridLines="0" topLeftCell="A4" zoomScale="85" zoomScaleNormal="85" workbookViewId="0">
      <pane xSplit="2" topLeftCell="F1" activePane="topRight" state="frozen"/>
      <selection activeCell="F23" sqref="F23"/>
      <selection pane="topRight" activeCell="F56" sqref="F5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17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17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>
        <v>83</v>
      </c>
      <c r="G14" s="47">
        <v>63</v>
      </c>
      <c r="H14" s="64" t="str">
        <f>IF(F14="","",(ROUND((F14/G14),1)&amp;" pallets"))</f>
        <v>1.3 pallets</v>
      </c>
      <c r="I14" s="49">
        <f t="shared" si="4"/>
        <v>85739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75779</v>
      </c>
      <c r="Y14" s="57">
        <f t="shared" si="0"/>
        <v>2578.81</v>
      </c>
      <c r="Z14" s="57">
        <f t="shared" si="8"/>
        <v>166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>
        <v>14</v>
      </c>
      <c r="G17" s="47">
        <v>108</v>
      </c>
      <c r="H17" s="64" t="str">
        <f t="shared" ref="H17:H68" si="11">IF(F17="","",(ROUND((F17/G17),1)&amp;" pallets"))</f>
        <v>0.1 pallets</v>
      </c>
      <c r="I17" s="49">
        <f t="shared" si="4"/>
        <v>10990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9436</v>
      </c>
      <c r="Y17" s="57">
        <f t="shared" si="0"/>
        <v>400.96000000000004</v>
      </c>
      <c r="Z17" s="57">
        <f t="shared" si="8"/>
        <v>28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>
        <v>20</v>
      </c>
      <c r="G28" s="87">
        <v>63</v>
      </c>
      <c r="H28" s="88" t="str">
        <f t="shared" si="11"/>
        <v>0.3 pallets</v>
      </c>
      <c r="I28" s="89">
        <f t="shared" si="4"/>
        <v>12400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10000</v>
      </c>
      <c r="Y28" s="57">
        <f t="shared" si="0"/>
        <v>621.4</v>
      </c>
      <c r="Z28" s="57">
        <f t="shared" si="8"/>
        <v>40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>
        <v>20</v>
      </c>
      <c r="G34" s="47">
        <v>100</v>
      </c>
      <c r="H34" s="64" t="str">
        <f t="shared" si="11"/>
        <v>0.2 pallets</v>
      </c>
      <c r="I34" s="49">
        <f t="shared" si="4"/>
        <v>23500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23500</v>
      </c>
      <c r="Y34" s="57">
        <f t="shared" si="0"/>
        <v>543.20000000000005</v>
      </c>
      <c r="Z34" s="57">
        <f t="shared" si="8"/>
        <v>40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>
        <v>7</v>
      </c>
      <c r="G36" s="47">
        <v>100</v>
      </c>
      <c r="H36" s="64" t="str">
        <f t="shared" si="11"/>
        <v>0.1 pallets</v>
      </c>
      <c r="I36" s="49">
        <f t="shared" si="4"/>
        <v>8225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8225</v>
      </c>
      <c r="Y36" s="57">
        <f t="shared" si="0"/>
        <v>190.12</v>
      </c>
      <c r="Z36" s="57">
        <f t="shared" si="8"/>
        <v>14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>
        <v>4</v>
      </c>
      <c r="G38" s="71">
        <v>100</v>
      </c>
      <c r="H38" s="72" t="str">
        <f t="shared" si="11"/>
        <v>0 pallets</v>
      </c>
      <c r="I38" s="73">
        <f t="shared" si="4"/>
        <v>6328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6328</v>
      </c>
      <c r="Y38" s="57">
        <f t="shared" si="0"/>
        <v>108.64</v>
      </c>
      <c r="Z38" s="57">
        <f t="shared" si="8"/>
        <v>8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>
        <f>8+25</f>
        <v>33</v>
      </c>
      <c r="G39" s="87">
        <v>100</v>
      </c>
      <c r="H39" s="88" t="str">
        <f t="shared" si="11"/>
        <v>0.3 pallets</v>
      </c>
      <c r="I39" s="89">
        <f t="shared" si="4"/>
        <v>21450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21450</v>
      </c>
      <c r="Y39" s="57">
        <f t="shared" si="0"/>
        <v>896.28</v>
      </c>
      <c r="Z39" s="57">
        <f t="shared" si="8"/>
        <v>66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>
        <v>1</v>
      </c>
      <c r="G45" s="47">
        <v>63</v>
      </c>
      <c r="H45" s="64" t="str">
        <f t="shared" si="11"/>
        <v>0 pallets</v>
      </c>
      <c r="I45" s="49">
        <f t="shared" si="4"/>
        <v>1770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1770</v>
      </c>
      <c r="Y45" s="57">
        <f t="shared" si="0"/>
        <v>28.77</v>
      </c>
      <c r="Z45" s="57">
        <f t="shared" si="8"/>
        <v>2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>
        <v>1</v>
      </c>
      <c r="G51" s="115">
        <v>100</v>
      </c>
      <c r="H51" s="116" t="str">
        <f t="shared" si="11"/>
        <v>0 pallets</v>
      </c>
      <c r="I51" s="117">
        <f t="shared" si="4"/>
        <v>1102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1102</v>
      </c>
      <c r="Y51" s="57">
        <f t="shared" si="0"/>
        <v>27.16</v>
      </c>
      <c r="Z51" s="57">
        <f t="shared" si="8"/>
        <v>2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>
        <v>3</v>
      </c>
      <c r="G56" s="115">
        <v>100</v>
      </c>
      <c r="H56" s="116" t="str">
        <f t="shared" si="11"/>
        <v>0 pallets</v>
      </c>
      <c r="I56" s="117">
        <f t="shared" si="4"/>
        <v>4746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4746</v>
      </c>
      <c r="Y56" s="57">
        <f t="shared" si="0"/>
        <v>81.48</v>
      </c>
      <c r="Z56" s="57">
        <f t="shared" si="8"/>
        <v>6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2.3 pallets</v>
      </c>
      <c r="I71" s="148"/>
      <c r="J71" s="149"/>
      <c r="K71" s="150"/>
      <c r="L71" s="149"/>
      <c r="M71" s="151"/>
      <c r="N71" s="152"/>
      <c r="O71" s="152"/>
      <c r="P71" s="217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176250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0</v>
      </c>
      <c r="P73" s="260"/>
      <c r="Q73" s="261"/>
      <c r="R73" s="152"/>
      <c r="S73" s="159" t="s">
        <v>104</v>
      </c>
      <c r="T73" s="265">
        <f>SUM(Y12:Y68)</f>
        <v>5476.82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176250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0</v>
      </c>
      <c r="P75" s="260"/>
      <c r="Q75" s="261"/>
      <c r="R75" s="152"/>
      <c r="S75" s="159" t="s">
        <v>129</v>
      </c>
      <c r="T75" s="265">
        <f>SUM(Z12:Z70)</f>
        <v>372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170401.18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5848.82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134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F2:S2"/>
    <mergeCell ref="W2:W4"/>
    <mergeCell ref="F4:M4"/>
    <mergeCell ref="T4:U4"/>
    <mergeCell ref="F6:M6"/>
    <mergeCell ref="W6:W7"/>
    <mergeCell ref="F7:M7"/>
    <mergeCell ref="B9:B11"/>
    <mergeCell ref="C9:C11"/>
    <mergeCell ref="D9:D11"/>
    <mergeCell ref="E9:E11"/>
    <mergeCell ref="F9:Q9"/>
    <mergeCell ref="M10:Q10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42E6-73E2-4931-BBFA-198D645A3AB4}">
  <sheetPr>
    <tabColor rgb="FF00B050"/>
    <pageSetUpPr fitToPage="1"/>
  </sheetPr>
  <dimension ref="A1:AJ100"/>
  <sheetViews>
    <sheetView showGridLines="0" topLeftCell="A62" zoomScale="85" zoomScaleNormal="85" workbookViewId="0">
      <pane xSplit="2" topLeftCell="F1" activePane="topRight" state="frozen"/>
      <selection activeCell="F23" sqref="F23"/>
      <selection pane="topRight" activeCell="F58" sqref="F58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17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17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>
        <v>293</v>
      </c>
      <c r="G57" s="47">
        <v>72</v>
      </c>
      <c r="H57" s="64" t="str">
        <f t="shared" si="11"/>
        <v>4.1 pallets</v>
      </c>
      <c r="I57" s="49">
        <f t="shared" si="4"/>
        <v>89951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67097</v>
      </c>
      <c r="Y57" s="57">
        <f t="shared" si="0"/>
        <v>7489.08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4.1 pallets</v>
      </c>
      <c r="I71" s="148"/>
      <c r="J71" s="149"/>
      <c r="K71" s="150"/>
      <c r="L71" s="149"/>
      <c r="M71" s="151"/>
      <c r="N71" s="152"/>
      <c r="O71" s="152"/>
      <c r="P71" s="217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89951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0</v>
      </c>
      <c r="P73" s="260"/>
      <c r="Q73" s="261"/>
      <c r="R73" s="152"/>
      <c r="S73" s="159" t="s">
        <v>104</v>
      </c>
      <c r="T73" s="265">
        <f>SUM(Y12:Y68)</f>
        <v>7489.08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89951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0</v>
      </c>
      <c r="P75" s="260"/>
      <c r="Q75" s="261"/>
      <c r="R75" s="152"/>
      <c r="S75" s="159" t="s">
        <v>129</v>
      </c>
      <c r="T75" s="265">
        <f>SUM(Z12:Z70)</f>
        <v>0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82461.919999999998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7489.08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134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F2:S2"/>
    <mergeCell ref="W2:W4"/>
    <mergeCell ref="F4:M4"/>
    <mergeCell ref="T4:U4"/>
    <mergeCell ref="F6:M6"/>
    <mergeCell ref="W6:W7"/>
    <mergeCell ref="F7:M7"/>
    <mergeCell ref="B9:B11"/>
    <mergeCell ref="C9:C11"/>
    <mergeCell ref="D9:D11"/>
    <mergeCell ref="E9:E11"/>
    <mergeCell ref="F9:Q9"/>
    <mergeCell ref="M10:Q10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96D3-83F7-4E0E-802C-811E0C6516C1}">
  <sheetPr>
    <tabColor rgb="FF00B050"/>
    <pageSetUpPr fitToPage="1"/>
  </sheetPr>
  <dimension ref="A1:AJ100"/>
  <sheetViews>
    <sheetView showGridLines="0" tabSelected="1" topLeftCell="A59" zoomScale="85" zoomScaleNormal="85" workbookViewId="0">
      <pane xSplit="2" topLeftCell="F1" activePane="topRight" state="frozen"/>
      <selection activeCell="F23" sqref="F23"/>
      <selection pane="topRight" activeCell="N15" sqref="N15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9" t="s">
        <v>130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6" t="s">
        <v>1</v>
      </c>
      <c r="U2" s="7"/>
      <c r="W2" s="26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10"/>
      <c r="G4" s="310"/>
      <c r="H4" s="310"/>
      <c r="I4" s="310"/>
      <c r="J4" s="310"/>
      <c r="K4" s="310"/>
      <c r="L4" s="310"/>
      <c r="M4" s="310"/>
      <c r="S4" s="2" t="s">
        <v>4</v>
      </c>
      <c r="T4" s="311"/>
      <c r="U4" s="311"/>
      <c r="W4" s="26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312"/>
      <c r="G6" s="312"/>
      <c r="H6" s="312"/>
      <c r="I6" s="312"/>
      <c r="J6" s="312"/>
      <c r="K6" s="312"/>
      <c r="L6" s="312"/>
      <c r="M6" s="312"/>
      <c r="S6" s="11" t="s">
        <v>6</v>
      </c>
      <c r="T6" s="218" t="s">
        <v>7</v>
      </c>
      <c r="U6" s="12" t="s">
        <v>131</v>
      </c>
      <c r="W6" s="26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312"/>
      <c r="G7" s="312"/>
      <c r="H7" s="312"/>
      <c r="I7" s="312"/>
      <c r="J7" s="312"/>
      <c r="K7" s="312"/>
      <c r="L7" s="312"/>
      <c r="M7" s="312"/>
      <c r="N7" s="14"/>
      <c r="O7" s="14"/>
      <c r="P7" s="14"/>
      <c r="Q7" s="15"/>
      <c r="S7" s="14"/>
      <c r="T7" s="218" t="s">
        <v>11</v>
      </c>
      <c r="U7" s="12"/>
      <c r="W7" s="26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81" t="s">
        <v>14</v>
      </c>
      <c r="C9" s="284" t="s">
        <v>15</v>
      </c>
      <c r="D9" s="284" t="s">
        <v>16</v>
      </c>
      <c r="E9" s="284" t="s">
        <v>17</v>
      </c>
      <c r="F9" s="287" t="s">
        <v>18</v>
      </c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9"/>
      <c r="S9" s="287" t="s">
        <v>19</v>
      </c>
      <c r="T9" s="288"/>
      <c r="U9" s="289"/>
      <c r="X9" s="294" t="s">
        <v>20</v>
      </c>
      <c r="Y9" s="297" t="s">
        <v>21</v>
      </c>
      <c r="Z9" s="297" t="s">
        <v>128</v>
      </c>
      <c r="AA9" s="17"/>
      <c r="AB9" s="274" t="s">
        <v>22</v>
      </c>
      <c r="AC9" s="300" t="s">
        <v>23</v>
      </c>
      <c r="AD9" s="303" t="s">
        <v>24</v>
      </c>
      <c r="AE9" s="274" t="s">
        <v>25</v>
      </c>
      <c r="AG9" s="274" t="s">
        <v>26</v>
      </c>
      <c r="AH9" s="17"/>
      <c r="AI9" s="274" t="s">
        <v>27</v>
      </c>
    </row>
    <row r="10" spans="2:35" s="16" customFormat="1" ht="20.25" customHeight="1" x14ac:dyDescent="0.25">
      <c r="B10" s="282"/>
      <c r="C10" s="285"/>
      <c r="D10" s="285"/>
      <c r="E10" s="285"/>
      <c r="F10" s="291" t="s">
        <v>28</v>
      </c>
      <c r="G10" s="291" t="s">
        <v>29</v>
      </c>
      <c r="H10" s="291" t="s">
        <v>30</v>
      </c>
      <c r="I10" s="292" t="s">
        <v>31</v>
      </c>
      <c r="J10" s="292" t="s">
        <v>32</v>
      </c>
      <c r="K10" s="292" t="s">
        <v>33</v>
      </c>
      <c r="L10" s="292" t="s">
        <v>34</v>
      </c>
      <c r="M10" s="306" t="s">
        <v>35</v>
      </c>
      <c r="N10" s="307"/>
      <c r="O10" s="307"/>
      <c r="P10" s="307"/>
      <c r="Q10" s="308"/>
      <c r="S10" s="277" t="s">
        <v>36</v>
      </c>
      <c r="T10" s="278"/>
      <c r="U10" s="279"/>
      <c r="X10" s="295"/>
      <c r="Y10" s="298"/>
      <c r="Z10" s="298"/>
      <c r="AA10" s="17"/>
      <c r="AB10" s="275"/>
      <c r="AC10" s="301"/>
      <c r="AD10" s="304"/>
      <c r="AE10" s="275"/>
      <c r="AG10" s="275"/>
      <c r="AH10" s="17"/>
      <c r="AI10" s="275"/>
    </row>
    <row r="11" spans="2:35" s="21" customFormat="1" ht="12.75" customHeight="1" thickBot="1" x14ac:dyDescent="0.3">
      <c r="B11" s="283"/>
      <c r="C11" s="286"/>
      <c r="D11" s="286"/>
      <c r="E11" s="286"/>
      <c r="F11" s="286"/>
      <c r="G11" s="286"/>
      <c r="H11" s="286"/>
      <c r="I11" s="293"/>
      <c r="J11" s="293"/>
      <c r="K11" s="293"/>
      <c r="L11" s="293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96"/>
      <c r="Y11" s="299"/>
      <c r="Z11" s="299"/>
      <c r="AA11" s="17"/>
      <c r="AB11" s="276"/>
      <c r="AC11" s="302"/>
      <c r="AD11" s="305"/>
      <c r="AE11" s="276"/>
      <c r="AG11" s="290"/>
      <c r="AH11" s="17"/>
      <c r="AI11" s="27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324</v>
      </c>
      <c r="N13" s="51">
        <v>216</v>
      </c>
      <c r="O13" s="51"/>
      <c r="P13" s="52" t="str">
        <f t="shared" ref="P13:P68" si="5">IF(M13&amp;N13="","",ROUND(((M13+N13)/G13),1)&amp;" pallets")</f>
        <v>5 pallets</v>
      </c>
      <c r="Q13" s="53">
        <f t="shared" ref="Q13:Q70" si="6">(J13*M13)+(K13*N13)+(O13*L13)</f>
        <v>54108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>
        <v>63</v>
      </c>
      <c r="O14" s="51"/>
      <c r="P14" s="52" t="str">
        <f t="shared" si="5"/>
        <v>1 pallets</v>
      </c>
      <c r="Q14" s="53">
        <f t="shared" si="6"/>
        <v>5292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192</v>
      </c>
      <c r="N15" s="51"/>
      <c r="O15" s="51"/>
      <c r="P15" s="52" t="str">
        <f t="shared" si="5"/>
        <v>2 pallets</v>
      </c>
      <c r="Q15" s="53">
        <f t="shared" si="6"/>
        <v>21312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>
        <v>864</v>
      </c>
      <c r="N16" s="193"/>
      <c r="O16" s="51"/>
      <c r="P16" s="52" t="str">
        <f t="shared" si="5"/>
        <v>8 pallets</v>
      </c>
      <c r="Q16" s="53">
        <f t="shared" si="6"/>
        <v>95904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>
        <v>108</v>
      </c>
      <c r="N17" s="193"/>
      <c r="O17" s="51"/>
      <c r="P17" s="52" t="str">
        <f t="shared" si="5"/>
        <v>1 pallets</v>
      </c>
      <c r="Q17" s="53">
        <f t="shared" si="6"/>
        <v>11988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E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80" t="s">
        <v>101</v>
      </c>
      <c r="C71" s="280"/>
      <c r="D71" s="280"/>
      <c r="E71" s="280"/>
      <c r="F71" s="280"/>
      <c r="G71" s="28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18" t="str">
        <f>ROUND((((M12+N12+M30+M57+M58+M59+M60+M61+N57)/72+(M13+N13+M16+M18)/108+(M15+N15)/96+SUM(M14,M19:M29,M31:M32,M50,N14)/63)),1)&amp;" pallets"</f>
        <v>16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60">
        <f>SUM(I12:I70)</f>
        <v>1353132</v>
      </c>
      <c r="G73" s="260"/>
      <c r="H73" s="260"/>
      <c r="I73" s="261"/>
      <c r="J73" s="158"/>
      <c r="K73" s="158"/>
      <c r="L73" s="158"/>
      <c r="M73" s="272" t="s">
        <v>103</v>
      </c>
      <c r="N73" s="273"/>
      <c r="O73" s="260">
        <f>SUM(Q12:Q70)</f>
        <v>188604</v>
      </c>
      <c r="P73" s="260"/>
      <c r="Q73" s="261"/>
      <c r="R73" s="152"/>
      <c r="S73" s="159" t="s">
        <v>104</v>
      </c>
      <c r="T73" s="265">
        <f>SUM(Y12:Y68)</f>
        <v>52583.040000000001</v>
      </c>
      <c r="U73" s="26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60">
        <f>SUM(I14:I72)</f>
        <v>1353132</v>
      </c>
      <c r="G75" s="260"/>
      <c r="H75" s="260"/>
      <c r="I75" s="261"/>
      <c r="J75" s="158"/>
      <c r="K75" s="158"/>
      <c r="L75" s="158"/>
      <c r="M75" s="272" t="s">
        <v>103</v>
      </c>
      <c r="N75" s="273"/>
      <c r="O75" s="260">
        <f>SUM(Q14:Q72)</f>
        <v>134496</v>
      </c>
      <c r="P75" s="260"/>
      <c r="Q75" s="261"/>
      <c r="R75" s="152"/>
      <c r="S75" s="159" t="s">
        <v>129</v>
      </c>
      <c r="T75" s="265">
        <f>SUM(Z12:Z70)</f>
        <v>3672</v>
      </c>
      <c r="U75" s="26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60">
        <f>IF(U7&gt;0,"",(F73-O73-T79-P79))</f>
        <v>1108272.96</v>
      </c>
      <c r="G77" s="260"/>
      <c r="H77" s="260"/>
      <c r="I77" s="261"/>
      <c r="J77" s="164"/>
      <c r="K77" s="164"/>
      <c r="L77" s="164"/>
      <c r="M77" s="262" t="s">
        <v>106</v>
      </c>
      <c r="N77" s="262"/>
      <c r="O77" s="168" t="s">
        <v>107</v>
      </c>
      <c r="P77" s="263"/>
      <c r="Q77" s="264"/>
      <c r="R77" s="152"/>
      <c r="S77" s="159" t="s">
        <v>108</v>
      </c>
      <c r="T77" s="265">
        <f>IF(SUM(X12:X68)*0.15&gt;P77,P77,SUM(X12:X68)*0.15)</f>
        <v>0</v>
      </c>
      <c r="U77" s="266"/>
      <c r="V77" s="160"/>
      <c r="W77" s="26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6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60"/>
      <c r="G79" s="260"/>
      <c r="H79" s="260"/>
      <c r="I79" s="261"/>
      <c r="J79" s="164"/>
      <c r="K79" s="164"/>
      <c r="L79" s="164"/>
      <c r="M79" s="270" t="str">
        <f>IF(U6&gt;0,"",T4+30)</f>
        <v/>
      </c>
      <c r="N79" s="271"/>
      <c r="O79" s="168" t="s">
        <v>111</v>
      </c>
      <c r="P79" s="263"/>
      <c r="Q79" s="264"/>
      <c r="R79" s="152"/>
      <c r="S79" s="159" t="s">
        <v>112</v>
      </c>
      <c r="T79" s="265">
        <f>T77+T73+T75</f>
        <v>56255.040000000001</v>
      </c>
      <c r="U79" s="266"/>
      <c r="V79" s="160"/>
      <c r="W79" s="26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37" t="s">
        <v>113</v>
      </c>
      <c r="C81" s="238"/>
      <c r="D81" s="238"/>
      <c r="E81" s="238"/>
      <c r="F81" s="238"/>
      <c r="G81" s="238"/>
      <c r="H81" s="239"/>
      <c r="I81" s="246" t="s">
        <v>114</v>
      </c>
      <c r="J81" s="171"/>
      <c r="K81" s="171"/>
      <c r="L81" s="171"/>
      <c r="M81" s="248"/>
      <c r="N81" s="251" t="s">
        <v>115</v>
      </c>
      <c r="O81" s="254"/>
      <c r="P81" s="248"/>
      <c r="Q81" s="231" t="s">
        <v>116</v>
      </c>
      <c r="R81" s="257"/>
      <c r="S81" s="228"/>
      <c r="T81" s="231" t="s">
        <v>117</v>
      </c>
      <c r="U81" s="234"/>
    </row>
    <row r="82" spans="2:21" ht="15" customHeight="1" x14ac:dyDescent="0.25">
      <c r="B82" s="240"/>
      <c r="C82" s="241"/>
      <c r="D82" s="241"/>
      <c r="E82" s="241"/>
      <c r="F82" s="241"/>
      <c r="G82" s="241"/>
      <c r="H82" s="242"/>
      <c r="I82" s="225"/>
      <c r="J82" s="2"/>
      <c r="K82" s="2"/>
      <c r="L82" s="2"/>
      <c r="M82" s="249"/>
      <c r="N82" s="252"/>
      <c r="O82" s="255"/>
      <c r="P82" s="249"/>
      <c r="Q82" s="232"/>
      <c r="R82" s="258"/>
      <c r="S82" s="229"/>
      <c r="T82" s="232"/>
      <c r="U82" s="235"/>
    </row>
    <row r="83" spans="2:21" ht="15.75" customHeight="1" thickBot="1" x14ac:dyDescent="0.3">
      <c r="B83" s="243"/>
      <c r="C83" s="244"/>
      <c r="D83" s="244"/>
      <c r="E83" s="244"/>
      <c r="F83" s="244"/>
      <c r="G83" s="244"/>
      <c r="H83" s="245"/>
      <c r="I83" s="247"/>
      <c r="J83" s="172"/>
      <c r="K83" s="172"/>
      <c r="L83" s="172"/>
      <c r="M83" s="250"/>
      <c r="N83" s="253"/>
      <c r="O83" s="256"/>
      <c r="P83" s="250"/>
      <c r="Q83" s="233"/>
      <c r="R83" s="259"/>
      <c r="S83" s="230"/>
      <c r="T83" s="233"/>
      <c r="U83" s="23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19" t="s">
        <v>133</v>
      </c>
      <c r="C88" s="220"/>
      <c r="D88" s="220"/>
      <c r="E88" s="220"/>
      <c r="F88" s="220"/>
      <c r="G88" s="220"/>
      <c r="H88" s="220"/>
      <c r="I88" s="221"/>
      <c r="J88" s="185"/>
      <c r="K88" s="185"/>
      <c r="L88" s="185"/>
      <c r="M88" s="219"/>
      <c r="N88" s="220"/>
      <c r="O88" s="220"/>
      <c r="P88" s="220"/>
      <c r="Q88" s="221"/>
      <c r="R88" s="187"/>
      <c r="S88" s="188"/>
      <c r="T88" s="188"/>
      <c r="U88" s="189"/>
    </row>
    <row r="89" spans="2:21" ht="18" x14ac:dyDescent="0.25">
      <c r="B89" s="222" t="s">
        <v>122</v>
      </c>
      <c r="C89" s="223"/>
      <c r="D89" s="223"/>
      <c r="E89" s="223"/>
      <c r="F89" s="223"/>
      <c r="G89" s="223"/>
      <c r="H89" s="223"/>
      <c r="I89" s="224"/>
      <c r="M89" s="222" t="s">
        <v>122</v>
      </c>
      <c r="N89" s="223"/>
      <c r="O89" s="223"/>
      <c r="P89" s="223"/>
      <c r="Q89" s="224"/>
      <c r="R89" s="225" t="s">
        <v>123</v>
      </c>
      <c r="S89" s="226"/>
      <c r="T89" s="226"/>
      <c r="U89" s="22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19" t="s">
        <v>134</v>
      </c>
      <c r="C93" s="220"/>
      <c r="D93" s="220"/>
      <c r="E93" s="220"/>
      <c r="F93" s="220"/>
      <c r="G93" s="220"/>
      <c r="H93" s="220"/>
      <c r="I93" s="22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22" t="s">
        <v>126</v>
      </c>
      <c r="C94" s="223"/>
      <c r="D94" s="223"/>
      <c r="E94" s="223"/>
      <c r="F94" s="223"/>
      <c r="G94" s="223"/>
      <c r="H94" s="223"/>
      <c r="I94" s="224"/>
      <c r="M94" s="179"/>
      <c r="Q94" s="180"/>
      <c r="R94" s="225" t="s">
        <v>127</v>
      </c>
      <c r="S94" s="226"/>
      <c r="T94" s="226"/>
      <c r="U94" s="22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B71:G71"/>
    <mergeCell ref="F73:I73"/>
    <mergeCell ref="M73:N73"/>
    <mergeCell ref="O73:Q73"/>
    <mergeCell ref="T73:U73"/>
    <mergeCell ref="F75:I75"/>
    <mergeCell ref="M75:N75"/>
    <mergeCell ref="O75:Q75"/>
    <mergeCell ref="T75:U75"/>
    <mergeCell ref="AE9:AE11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B9:B11"/>
    <mergeCell ref="C9:C11"/>
    <mergeCell ref="D9:D11"/>
    <mergeCell ref="E9:E11"/>
    <mergeCell ref="F9:Q9"/>
    <mergeCell ref="S9:U9"/>
    <mergeCell ref="M10:Q10"/>
    <mergeCell ref="S10:U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30</vt:i4>
      </vt:variant>
    </vt:vector>
  </HeadingPairs>
  <TitlesOfParts>
    <vt:vector size="60" baseType="lpstr">
      <vt:lpstr>12-03-2025</vt:lpstr>
      <vt:lpstr>12-04-2025</vt:lpstr>
      <vt:lpstr>12-05-2025</vt:lpstr>
      <vt:lpstr>12-06-2025</vt:lpstr>
      <vt:lpstr>12-11-2025</vt:lpstr>
      <vt:lpstr>12-12-2025</vt:lpstr>
      <vt:lpstr>12-12-2025 (2)</vt:lpstr>
      <vt:lpstr>12-13-2025</vt:lpstr>
      <vt:lpstr>12-15-2025-A</vt:lpstr>
      <vt:lpstr>12-15-2025-B</vt:lpstr>
      <vt:lpstr>12-16-2025</vt:lpstr>
      <vt:lpstr>12-17-2025</vt:lpstr>
      <vt:lpstr>12-17-2025-B</vt:lpstr>
      <vt:lpstr>12-18-2025</vt:lpstr>
      <vt:lpstr>12-19-2025</vt:lpstr>
      <vt:lpstr>12-19-2025 (2)</vt:lpstr>
      <vt:lpstr>12-22-2025</vt:lpstr>
      <vt:lpstr>12-23-2025</vt:lpstr>
      <vt:lpstr>12-24-2025</vt:lpstr>
      <vt:lpstr>12-24-2025-B</vt:lpstr>
      <vt:lpstr>12-26-2025</vt:lpstr>
      <vt:lpstr>12-26-2025-B</vt:lpstr>
      <vt:lpstr>12-27-2025</vt:lpstr>
      <vt:lpstr>12-29-2025</vt:lpstr>
      <vt:lpstr>12-31-2025</vt:lpstr>
      <vt:lpstr>12-31-2025 (2)</vt:lpstr>
      <vt:lpstr>12-31-2025 (4)</vt:lpstr>
      <vt:lpstr>12-31-2025-3beer</vt:lpstr>
      <vt:lpstr>12-31-2025-3nab</vt:lpstr>
      <vt:lpstr>12-31-2025-3nab (2)</vt:lpstr>
      <vt:lpstr>'12-03-2025'!Print_Area</vt:lpstr>
      <vt:lpstr>'12-04-2025'!Print_Area</vt:lpstr>
      <vt:lpstr>'12-05-2025'!Print_Area</vt:lpstr>
      <vt:lpstr>'12-06-2025'!Print_Area</vt:lpstr>
      <vt:lpstr>'12-11-2025'!Print_Area</vt:lpstr>
      <vt:lpstr>'12-12-2025'!Print_Area</vt:lpstr>
      <vt:lpstr>'12-12-2025 (2)'!Print_Area</vt:lpstr>
      <vt:lpstr>'12-13-2025'!Print_Area</vt:lpstr>
      <vt:lpstr>'12-15-2025-A'!Print_Area</vt:lpstr>
      <vt:lpstr>'12-15-2025-B'!Print_Area</vt:lpstr>
      <vt:lpstr>'12-16-2025'!Print_Area</vt:lpstr>
      <vt:lpstr>'12-17-2025'!Print_Area</vt:lpstr>
      <vt:lpstr>'12-17-2025-B'!Print_Area</vt:lpstr>
      <vt:lpstr>'12-18-2025'!Print_Area</vt:lpstr>
      <vt:lpstr>'12-19-2025'!Print_Area</vt:lpstr>
      <vt:lpstr>'12-19-2025 (2)'!Print_Area</vt:lpstr>
      <vt:lpstr>'12-22-2025'!Print_Area</vt:lpstr>
      <vt:lpstr>'12-23-2025'!Print_Area</vt:lpstr>
      <vt:lpstr>'12-24-2025'!Print_Area</vt:lpstr>
      <vt:lpstr>'12-24-2025-B'!Print_Area</vt:lpstr>
      <vt:lpstr>'12-26-2025'!Print_Area</vt:lpstr>
      <vt:lpstr>'12-26-2025-B'!Print_Area</vt:lpstr>
      <vt:lpstr>'12-27-2025'!Print_Area</vt:lpstr>
      <vt:lpstr>'12-29-2025'!Print_Area</vt:lpstr>
      <vt:lpstr>'12-31-2025'!Print_Area</vt:lpstr>
      <vt:lpstr>'12-31-2025 (2)'!Print_Area</vt:lpstr>
      <vt:lpstr>'12-31-2025 (4)'!Print_Area</vt:lpstr>
      <vt:lpstr>'12-31-2025-3beer'!Print_Area</vt:lpstr>
      <vt:lpstr>'12-31-2025-3nab'!Print_Area</vt:lpstr>
      <vt:lpstr>'12-31-2025-3nab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2025-09-25T07:06:23Z</cp:lastPrinted>
  <dcterms:created xsi:type="dcterms:W3CDTF">2025-03-06T18:27:26Z</dcterms:created>
  <dcterms:modified xsi:type="dcterms:W3CDTF">2026-01-08T03:56:24Z</dcterms:modified>
</cp:coreProperties>
</file>