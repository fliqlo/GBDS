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747FC7EE-576C-4EEE-A1C3-9145688B2E38}" xr6:coauthVersionLast="45" xr6:coauthVersionMax="47" xr10:uidLastSave="{00000000-0000-0000-0000-000000000000}"/>
  <bookViews>
    <workbookView xWindow="-120" yWindow="-120" windowWidth="29040" windowHeight="15840" firstSheet="26" activeTab="33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  <sheet name="12-24-2025" sheetId="166" r:id="rId19"/>
    <sheet name="12-24-2025-B" sheetId="167" r:id="rId20"/>
    <sheet name="12-26-2025" sheetId="168" r:id="rId21"/>
    <sheet name="12-26-2025-B" sheetId="169" r:id="rId22"/>
    <sheet name="12-27-2025" sheetId="170" r:id="rId23"/>
    <sheet name="12-29-2025" sheetId="171" r:id="rId24"/>
    <sheet name="12-31-2025" sheetId="172" r:id="rId25"/>
    <sheet name="12-31-2025 (2)" sheetId="173" r:id="rId26"/>
    <sheet name="12-31-2025 (4)" sheetId="175" r:id="rId27"/>
    <sheet name="12-31-2025-3beer" sheetId="174" r:id="rId28"/>
    <sheet name="12-31-2025-3nab" sheetId="176" r:id="rId29"/>
    <sheet name="12-31-2025-3nab (2)" sheetId="177" r:id="rId30"/>
    <sheet name="12-31-2025-3nab (3)" sheetId="178" r:id="rId31"/>
    <sheet name="01-09-2026" sheetId="179" r:id="rId32"/>
    <sheet name="01-09-2026 (2)" sheetId="180" r:id="rId33"/>
    <sheet name="01-20-2026" sheetId="181" r:id="rId34"/>
  </sheets>
  <definedNames>
    <definedName name="_xlnm.Print_Area" localSheetId="31">'01-09-2026'!$A$1:$V$97</definedName>
    <definedName name="_xlnm.Print_Area" localSheetId="32">'01-09-2026 (2)'!$A$1:$V$97</definedName>
    <definedName name="_xlnm.Print_Area" localSheetId="33">'01-20-2026'!$A$1:$V$97</definedName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  <definedName name="_xlnm.Print_Area" localSheetId="18">'12-24-2025'!$A$1:$V$97</definedName>
    <definedName name="_xlnm.Print_Area" localSheetId="19">'12-24-2025-B'!$A$1:$V$97</definedName>
    <definedName name="_xlnm.Print_Area" localSheetId="20">'12-26-2025'!$A$1:$V$97</definedName>
    <definedName name="_xlnm.Print_Area" localSheetId="21">'12-26-2025-B'!$A$1:$V$97</definedName>
    <definedName name="_xlnm.Print_Area" localSheetId="22">'12-27-2025'!$A$1:$V$97</definedName>
    <definedName name="_xlnm.Print_Area" localSheetId="23">'12-29-2025'!$A$1:$V$97</definedName>
    <definedName name="_xlnm.Print_Area" localSheetId="24">'12-31-2025'!$A$1:$V$97</definedName>
    <definedName name="_xlnm.Print_Area" localSheetId="25">'12-31-2025 (2)'!$A$1:$V$97</definedName>
    <definedName name="_xlnm.Print_Area" localSheetId="26">'12-31-2025 (4)'!$A$1:$V$97</definedName>
    <definedName name="_xlnm.Print_Area" localSheetId="27">'12-31-2025-3beer'!$A$1:$V$97</definedName>
    <definedName name="_xlnm.Print_Area" localSheetId="28">'12-31-2025-3nab'!$A$1:$V$97</definedName>
    <definedName name="_xlnm.Print_Area" localSheetId="29">'12-31-2025-3nab (2)'!$A$1:$V$97</definedName>
    <definedName name="_xlnm.Print_Area" localSheetId="30">'12-31-2025-3nab (3)'!$A$1:$V$97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1" l="1"/>
  <c r="W73" i="181"/>
  <c r="P71" i="181"/>
  <c r="H71" i="181"/>
  <c r="Q70" i="181"/>
  <c r="P70" i="181"/>
  <c r="H70" i="181"/>
  <c r="E70" i="181"/>
  <c r="I70" i="181" s="1"/>
  <c r="Q69" i="181"/>
  <c r="P69" i="181"/>
  <c r="I69" i="181"/>
  <c r="H69" i="181"/>
  <c r="E69" i="181"/>
  <c r="AI68" i="181"/>
  <c r="Y68" i="181" s="1"/>
  <c r="AE68" i="181"/>
  <c r="AD68" i="181"/>
  <c r="AC68" i="18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H67" i="181"/>
  <c r="E67" i="181"/>
  <c r="I67" i="181" s="1"/>
  <c r="AE66" i="181"/>
  <c r="AI66" i="181" s="1"/>
  <c r="Y66" i="181" s="1"/>
  <c r="AD66" i="181"/>
  <c r="AC66" i="181"/>
  <c r="AB66" i="181"/>
  <c r="Z66" i="181"/>
  <c r="X66" i="181"/>
  <c r="Q66" i="181"/>
  <c r="P66" i="181"/>
  <c r="I66" i="181"/>
  <c r="H66" i="181"/>
  <c r="E66" i="181"/>
  <c r="AD65" i="181"/>
  <c r="AC65" i="181"/>
  <c r="AB65" i="181"/>
  <c r="AE65" i="181" s="1"/>
  <c r="AI65" i="181" s="1"/>
  <c r="Y65" i="181" s="1"/>
  <c r="Z65" i="181"/>
  <c r="X65" i="181"/>
  <c r="Q65" i="181"/>
  <c r="P65" i="181"/>
  <c r="H65" i="181"/>
  <c r="E65" i="181"/>
  <c r="I65" i="181" s="1"/>
  <c r="AD64" i="181"/>
  <c r="AE64" i="181" s="1"/>
  <c r="AI64" i="181" s="1"/>
  <c r="Y64" i="181" s="1"/>
  <c r="AC64" i="181"/>
  <c r="AB64" i="181"/>
  <c r="Z64" i="181"/>
  <c r="X64" i="181"/>
  <c r="Q64" i="181"/>
  <c r="P64" i="181"/>
  <c r="H64" i="181"/>
  <c r="E64" i="181"/>
  <c r="I64" i="181" s="1"/>
  <c r="AD63" i="181"/>
  <c r="AC63" i="181"/>
  <c r="AE63" i="181" s="1"/>
  <c r="AI63" i="181" s="1"/>
  <c r="Y63" i="181" s="1"/>
  <c r="AB63" i="181"/>
  <c r="Z63" i="181"/>
  <c r="X63" i="181"/>
  <c r="Q63" i="181"/>
  <c r="P63" i="181"/>
  <c r="I63" i="181"/>
  <c r="H63" i="181"/>
  <c r="E63" i="181"/>
  <c r="AE62" i="181"/>
  <c r="AI62" i="181" s="1"/>
  <c r="Y62" i="181" s="1"/>
  <c r="AD62" i="181"/>
  <c r="AC62" i="181"/>
  <c r="AB62" i="181"/>
  <c r="Z62" i="181"/>
  <c r="X62" i="181"/>
  <c r="Q62" i="181"/>
  <c r="P62" i="181"/>
  <c r="I62" i="181"/>
  <c r="H62" i="181"/>
  <c r="E62" i="181"/>
  <c r="AI61" i="181"/>
  <c r="AE61" i="181"/>
  <c r="AC61" i="181"/>
  <c r="AB61" i="181"/>
  <c r="Y61" i="181"/>
  <c r="X61" i="181"/>
  <c r="Q61" i="181"/>
  <c r="P61" i="181"/>
  <c r="I61" i="181"/>
  <c r="H61" i="181"/>
  <c r="E61" i="181"/>
  <c r="AI60" i="181"/>
  <c r="Y60" i="181" s="1"/>
  <c r="AE60" i="181"/>
  <c r="X60" i="181"/>
  <c r="Q60" i="181"/>
  <c r="P60" i="181"/>
  <c r="I60" i="181"/>
  <c r="H60" i="181"/>
  <c r="E60" i="181"/>
  <c r="AI59" i="181"/>
  <c r="Y59" i="181" s="1"/>
  <c r="AE59" i="181"/>
  <c r="AC59" i="181"/>
  <c r="AB59" i="181"/>
  <c r="X59" i="181"/>
  <c r="Q59" i="181"/>
  <c r="P59" i="181"/>
  <c r="H59" i="181"/>
  <c r="E59" i="181"/>
  <c r="I59" i="181" s="1"/>
  <c r="AE58" i="181"/>
  <c r="AI58" i="181" s="1"/>
  <c r="Y58" i="181" s="1"/>
  <c r="AC58" i="181"/>
  <c r="AB58" i="181"/>
  <c r="X58" i="181"/>
  <c r="Q58" i="181"/>
  <c r="P58" i="181"/>
  <c r="E58" i="181"/>
  <c r="I58" i="181" s="1"/>
  <c r="AC57" i="181"/>
  <c r="AE57" i="181" s="1"/>
  <c r="AI57" i="181" s="1"/>
  <c r="Y57" i="181" s="1"/>
  <c r="AB57" i="181"/>
  <c r="X57" i="181"/>
  <c r="Q57" i="181"/>
  <c r="P57" i="181"/>
  <c r="I57" i="181"/>
  <c r="H57" i="181"/>
  <c r="E57" i="181"/>
  <c r="AI56" i="181"/>
  <c r="Y56" i="181" s="1"/>
  <c r="AE56" i="181"/>
  <c r="AD56" i="181"/>
  <c r="AC56" i="181"/>
  <c r="AB56" i="181"/>
  <c r="Z56" i="181"/>
  <c r="X56" i="181"/>
  <c r="Q56" i="181"/>
  <c r="P56" i="181"/>
  <c r="H56" i="181"/>
  <c r="E56" i="181"/>
  <c r="I56" i="181" s="1"/>
  <c r="AD55" i="181"/>
  <c r="AC55" i="181"/>
  <c r="AB55" i="181"/>
  <c r="AE55" i="181" s="1"/>
  <c r="AI55" i="181" s="1"/>
  <c r="Y55" i="181" s="1"/>
  <c r="Z55" i="181"/>
  <c r="X55" i="181"/>
  <c r="Q55" i="181"/>
  <c r="P55" i="181"/>
  <c r="I55" i="181"/>
  <c r="H55" i="181"/>
  <c r="E55" i="18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D53" i="181"/>
  <c r="AC53" i="181"/>
  <c r="AE53" i="181" s="1"/>
  <c r="AI53" i="181" s="1"/>
  <c r="Y53" i="181" s="1"/>
  <c r="AB53" i="181"/>
  <c r="Z53" i="181"/>
  <c r="X53" i="181"/>
  <c r="Q53" i="181"/>
  <c r="P53" i="181"/>
  <c r="I53" i="181"/>
  <c r="H53" i="181"/>
  <c r="E53" i="181"/>
  <c r="AE52" i="181"/>
  <c r="AI52" i="181" s="1"/>
  <c r="Y52" i="181" s="1"/>
  <c r="Z52" i="181"/>
  <c r="X52" i="181"/>
  <c r="Q52" i="181"/>
  <c r="P52" i="181"/>
  <c r="H52" i="181"/>
  <c r="E52" i="181"/>
  <c r="I52" i="181" s="1"/>
  <c r="AD51" i="181"/>
  <c r="AC51" i="181"/>
  <c r="AB51" i="181"/>
  <c r="AE51" i="181" s="1"/>
  <c r="AI51" i="181" s="1"/>
  <c r="Y51" i="181" s="1"/>
  <c r="Z51" i="181"/>
  <c r="X51" i="181"/>
  <c r="Q51" i="181"/>
  <c r="P51" i="181"/>
  <c r="H51" i="181"/>
  <c r="E51" i="181"/>
  <c r="I51" i="181" s="1"/>
  <c r="AE50" i="181"/>
  <c r="AI50" i="181" s="1"/>
  <c r="Y50" i="181" s="1"/>
  <c r="AD50" i="181"/>
  <c r="AC50" i="181"/>
  <c r="AB50" i="181"/>
  <c r="Z50" i="181"/>
  <c r="X50" i="181"/>
  <c r="Q50" i="181"/>
  <c r="P50" i="181"/>
  <c r="I50" i="181"/>
  <c r="H50" i="181"/>
  <c r="E50" i="181"/>
  <c r="AE49" i="181"/>
  <c r="AI49" i="181" s="1"/>
  <c r="Y49" i="181" s="1"/>
  <c r="Z49" i="181"/>
  <c r="X49" i="181"/>
  <c r="Q49" i="181"/>
  <c r="P49" i="181"/>
  <c r="H49" i="181"/>
  <c r="E49" i="181"/>
  <c r="I49" i="181" s="1"/>
  <c r="AI48" i="181"/>
  <c r="AE48" i="181"/>
  <c r="Z48" i="181"/>
  <c r="Y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H47" i="181"/>
  <c r="E47" i="181"/>
  <c r="I47" i="181" s="1"/>
  <c r="AD46" i="181"/>
  <c r="AC46" i="181"/>
  <c r="AB46" i="181"/>
  <c r="AE46" i="181" s="1"/>
  <c r="AI46" i="181" s="1"/>
  <c r="Y46" i="181" s="1"/>
  <c r="Z46" i="181"/>
  <c r="X46" i="181"/>
  <c r="Q46" i="181"/>
  <c r="P46" i="181"/>
  <c r="I46" i="181"/>
  <c r="H46" i="181"/>
  <c r="E46" i="18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I44" i="181"/>
  <c r="Y44" i="181" s="1"/>
  <c r="AE44" i="181"/>
  <c r="AD44" i="181"/>
  <c r="AC44" i="181"/>
  <c r="AB44" i="181"/>
  <c r="Z44" i="181"/>
  <c r="X44" i="181"/>
  <c r="Q44" i="181"/>
  <c r="P44" i="181"/>
  <c r="H44" i="181"/>
  <c r="E44" i="181"/>
  <c r="I44" i="181" s="1"/>
  <c r="AD43" i="181"/>
  <c r="AC43" i="181"/>
  <c r="AB43" i="181"/>
  <c r="AE43" i="181" s="1"/>
  <c r="AI43" i="181" s="1"/>
  <c r="Y43" i="181" s="1"/>
  <c r="Z43" i="181"/>
  <c r="X43" i="181"/>
  <c r="Q43" i="181"/>
  <c r="P43" i="181"/>
  <c r="I43" i="181"/>
  <c r="H43" i="181"/>
  <c r="E43" i="181"/>
  <c r="AD42" i="181"/>
  <c r="AC42" i="181"/>
  <c r="AB42" i="181"/>
  <c r="AE42" i="181" s="1"/>
  <c r="AI42" i="181" s="1"/>
  <c r="Y42" i="181" s="1"/>
  <c r="Z42" i="181"/>
  <c r="X42" i="181"/>
  <c r="Q42" i="181"/>
  <c r="P42" i="181"/>
  <c r="I42" i="181"/>
  <c r="H42" i="181"/>
  <c r="E42" i="181"/>
  <c r="AD41" i="181"/>
  <c r="AC41" i="181"/>
  <c r="AE41" i="181" s="1"/>
  <c r="AI41" i="181" s="1"/>
  <c r="Y41" i="181" s="1"/>
  <c r="AB41" i="181"/>
  <c r="Z41" i="181"/>
  <c r="X41" i="181"/>
  <c r="Q41" i="181"/>
  <c r="P41" i="181"/>
  <c r="I41" i="181"/>
  <c r="H41" i="181"/>
  <c r="E41" i="181"/>
  <c r="AE40" i="181"/>
  <c r="AI40" i="181" s="1"/>
  <c r="Y40" i="181" s="1"/>
  <c r="AD40" i="181"/>
  <c r="AC40" i="181"/>
  <c r="AB40" i="181"/>
  <c r="Z40" i="181"/>
  <c r="X40" i="181"/>
  <c r="Q40" i="181"/>
  <c r="P40" i="181"/>
  <c r="H40" i="181"/>
  <c r="E40" i="181"/>
  <c r="I40" i="181" s="1"/>
  <c r="AD39" i="181"/>
  <c r="AC39" i="181"/>
  <c r="AB39" i="181"/>
  <c r="AE39" i="181" s="1"/>
  <c r="AI39" i="181" s="1"/>
  <c r="Y39" i="181" s="1"/>
  <c r="Z39" i="181"/>
  <c r="X39" i="181"/>
  <c r="Q39" i="181"/>
  <c r="P39" i="181"/>
  <c r="H39" i="181"/>
  <c r="E39" i="181"/>
  <c r="I39" i="181" s="1"/>
  <c r="AD38" i="181"/>
  <c r="AC38" i="181"/>
  <c r="AB38" i="181"/>
  <c r="AE38" i="181" s="1"/>
  <c r="AI38" i="181" s="1"/>
  <c r="Y38" i="181" s="1"/>
  <c r="Z38" i="181"/>
  <c r="X38" i="181"/>
  <c r="Q38" i="181"/>
  <c r="P38" i="181"/>
  <c r="H38" i="181"/>
  <c r="E38" i="181"/>
  <c r="I38" i="181" s="1"/>
  <c r="AE37" i="181"/>
  <c r="AI37" i="181" s="1"/>
  <c r="Y37" i="181" s="1"/>
  <c r="AD37" i="181"/>
  <c r="AC37" i="181"/>
  <c r="AB37" i="181"/>
  <c r="Z37" i="181"/>
  <c r="X37" i="181"/>
  <c r="Q37" i="181"/>
  <c r="P37" i="181"/>
  <c r="I37" i="181"/>
  <c r="H37" i="181"/>
  <c r="E37" i="181"/>
  <c r="AD36" i="181"/>
  <c r="AC36" i="181"/>
  <c r="AB36" i="181"/>
  <c r="AE36" i="181" s="1"/>
  <c r="AI36" i="181" s="1"/>
  <c r="Y36" i="181" s="1"/>
  <c r="Z36" i="181"/>
  <c r="X36" i="181"/>
  <c r="Q36" i="181"/>
  <c r="P36" i="181"/>
  <c r="H36" i="181"/>
  <c r="E36" i="181"/>
  <c r="I36" i="181" s="1"/>
  <c r="AI35" i="181"/>
  <c r="Y35" i="181" s="1"/>
  <c r="AE35" i="181"/>
  <c r="AD35" i="181"/>
  <c r="AC35" i="181"/>
  <c r="AB35" i="181"/>
  <c r="Z35" i="181"/>
  <c r="X35" i="181"/>
  <c r="Q35" i="181"/>
  <c r="P35" i="181"/>
  <c r="H35" i="181"/>
  <c r="E35" i="181"/>
  <c r="I35" i="181" s="1"/>
  <c r="AD34" i="181"/>
  <c r="AC34" i="181"/>
  <c r="AE34" i="181" s="1"/>
  <c r="AI34" i="181" s="1"/>
  <c r="Y34" i="181" s="1"/>
  <c r="AB34" i="181"/>
  <c r="Z34" i="181"/>
  <c r="X34" i="181"/>
  <c r="Q34" i="181"/>
  <c r="P34" i="181"/>
  <c r="I34" i="181"/>
  <c r="H34" i="181"/>
  <c r="E34" i="181"/>
  <c r="AE33" i="181"/>
  <c r="AI33" i="181" s="1"/>
  <c r="Y33" i="181" s="1"/>
  <c r="AD33" i="181"/>
  <c r="AC33" i="181"/>
  <c r="AB33" i="18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I32" i="181"/>
  <c r="H32" i="181"/>
  <c r="E32" i="181"/>
  <c r="AE31" i="181"/>
  <c r="AI31" i="181" s="1"/>
  <c r="Y31" i="181" s="1"/>
  <c r="Z31" i="181"/>
  <c r="X31" i="181"/>
  <c r="Q31" i="181"/>
  <c r="P31" i="181"/>
  <c r="I31" i="181"/>
  <c r="H31" i="181"/>
  <c r="E31" i="18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I29" i="181"/>
  <c r="Y29" i="181" s="1"/>
  <c r="AE29" i="181"/>
  <c r="AD29" i="181"/>
  <c r="AC29" i="181"/>
  <c r="AB29" i="181"/>
  <c r="Z29" i="181"/>
  <c r="X29" i="181"/>
  <c r="Q29" i="181"/>
  <c r="P29" i="181"/>
  <c r="H29" i="181"/>
  <c r="E29" i="181"/>
  <c r="I29" i="181" s="1"/>
  <c r="AD28" i="181"/>
  <c r="AC28" i="181"/>
  <c r="AB28" i="181"/>
  <c r="AE28" i="181" s="1"/>
  <c r="AI28" i="181" s="1"/>
  <c r="Y28" i="181" s="1"/>
  <c r="Z28" i="181"/>
  <c r="X28" i="181"/>
  <c r="Q28" i="181"/>
  <c r="P28" i="181"/>
  <c r="I28" i="181"/>
  <c r="H28" i="181"/>
  <c r="E28" i="181"/>
  <c r="AD27" i="181"/>
  <c r="AC27" i="181"/>
  <c r="AB27" i="181"/>
  <c r="AE27" i="181" s="1"/>
  <c r="AI27" i="181" s="1"/>
  <c r="Y27" i="181" s="1"/>
  <c r="Z27" i="181"/>
  <c r="X27" i="181"/>
  <c r="Q27" i="181"/>
  <c r="P27" i="181"/>
  <c r="I27" i="181"/>
  <c r="H27" i="181"/>
  <c r="E27" i="181"/>
  <c r="AD26" i="181"/>
  <c r="AC26" i="181"/>
  <c r="AE26" i="181" s="1"/>
  <c r="AI26" i="181" s="1"/>
  <c r="Y26" i="181" s="1"/>
  <c r="AB26" i="181"/>
  <c r="Z26" i="181"/>
  <c r="X26" i="181"/>
  <c r="Q26" i="181"/>
  <c r="P26" i="181"/>
  <c r="I26" i="181"/>
  <c r="H26" i="181"/>
  <c r="E26" i="181"/>
  <c r="AE25" i="181"/>
  <c r="AI25" i="181" s="1"/>
  <c r="Y25" i="181" s="1"/>
  <c r="AD25" i="181"/>
  <c r="AC25" i="181"/>
  <c r="AB25" i="181"/>
  <c r="Z25" i="181"/>
  <c r="X25" i="181"/>
  <c r="Q25" i="181"/>
  <c r="P25" i="181"/>
  <c r="H25" i="181"/>
  <c r="E25" i="181"/>
  <c r="I25" i="181" s="1"/>
  <c r="AD24" i="181"/>
  <c r="AC24" i="181"/>
  <c r="AB24" i="181"/>
  <c r="AE24" i="181" s="1"/>
  <c r="AI24" i="181" s="1"/>
  <c r="Y24" i="181" s="1"/>
  <c r="Z24" i="181"/>
  <c r="X24" i="181"/>
  <c r="Q24" i="181"/>
  <c r="P24" i="181"/>
  <c r="H24" i="181"/>
  <c r="E24" i="181"/>
  <c r="I24" i="181" s="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E22" i="181"/>
  <c r="AI22" i="181" s="1"/>
  <c r="Y22" i="181" s="1"/>
  <c r="AD22" i="181"/>
  <c r="AC22" i="181"/>
  <c r="AB22" i="181"/>
  <c r="Z22" i="181"/>
  <c r="X22" i="181"/>
  <c r="Q22" i="181"/>
  <c r="P22" i="181"/>
  <c r="I22" i="181"/>
  <c r="H22" i="181"/>
  <c r="E22" i="181"/>
  <c r="AD21" i="181"/>
  <c r="AC21" i="181"/>
  <c r="AB21" i="181"/>
  <c r="AE21" i="181" s="1"/>
  <c r="AI21" i="181" s="1"/>
  <c r="Y21" i="181" s="1"/>
  <c r="Z21" i="181"/>
  <c r="X21" i="181"/>
  <c r="Q21" i="181"/>
  <c r="P21" i="181"/>
  <c r="H21" i="181"/>
  <c r="E21" i="181"/>
  <c r="I21" i="181" s="1"/>
  <c r="AI20" i="181"/>
  <c r="Y20" i="181" s="1"/>
  <c r="AE20" i="181"/>
  <c r="AD20" i="181"/>
  <c r="AC20" i="181"/>
  <c r="AB20" i="181"/>
  <c r="Z20" i="181"/>
  <c r="X20" i="181"/>
  <c r="Q20" i="181"/>
  <c r="P20" i="181"/>
  <c r="H20" i="181"/>
  <c r="E20" i="181"/>
  <c r="I20" i="181" s="1"/>
  <c r="AD19" i="181"/>
  <c r="AC19" i="181"/>
  <c r="AE19" i="181" s="1"/>
  <c r="AI19" i="181" s="1"/>
  <c r="Y19" i="181" s="1"/>
  <c r="AB19" i="181"/>
  <c r="Z19" i="181"/>
  <c r="X19" i="181"/>
  <c r="Q19" i="181"/>
  <c r="P19" i="181"/>
  <c r="I19" i="181"/>
  <c r="H19" i="181"/>
  <c r="E19" i="181"/>
  <c r="AD18" i="181"/>
  <c r="AE18" i="181" s="1"/>
  <c r="AI18" i="181" s="1"/>
  <c r="Y18" i="181" s="1"/>
  <c r="AC18" i="181"/>
  <c r="AB18" i="181"/>
  <c r="Z18" i="181"/>
  <c r="X18" i="181"/>
  <c r="Q18" i="181"/>
  <c r="P18" i="181"/>
  <c r="H18" i="181"/>
  <c r="E18" i="181"/>
  <c r="I18" i="181" s="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E16" i="181"/>
  <c r="I16" i="181" s="1"/>
  <c r="AD15" i="181"/>
  <c r="AC15" i="181"/>
  <c r="AE15" i="181" s="1"/>
  <c r="AI15" i="181" s="1"/>
  <c r="Y15" i="181" s="1"/>
  <c r="AB15" i="18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H14" i="181"/>
  <c r="E14" i="181"/>
  <c r="I14" i="181" s="1"/>
  <c r="F75" i="181" s="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E12" i="181"/>
  <c r="AI12" i="181" s="1"/>
  <c r="Y12" i="181" s="1"/>
  <c r="AD12" i="181"/>
  <c r="AC12" i="181"/>
  <c r="AB12" i="181"/>
  <c r="Z12" i="181"/>
  <c r="X12" i="181"/>
  <c r="Q12" i="181"/>
  <c r="O73" i="181" s="1"/>
  <c r="P12" i="181"/>
  <c r="I12" i="181"/>
  <c r="H12" i="181"/>
  <c r="E12" i="181"/>
  <c r="T77" i="181" l="1"/>
  <c r="T79" i="181" s="1"/>
  <c r="T75" i="181"/>
  <c r="O75" i="181"/>
  <c r="F73" i="181"/>
  <c r="T73" i="181"/>
  <c r="M79" i="180"/>
  <c r="W73" i="180"/>
  <c r="P71" i="180"/>
  <c r="H71" i="180"/>
  <c r="Q70" i="180"/>
  <c r="P70" i="180"/>
  <c r="I70" i="180"/>
  <c r="H70" i="180"/>
  <c r="E70" i="180"/>
  <c r="Q69" i="180"/>
  <c r="P69" i="180"/>
  <c r="H69" i="180"/>
  <c r="E69" i="180"/>
  <c r="I69" i="180" s="1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I68" i="180"/>
  <c r="H68" i="180"/>
  <c r="E68" i="180"/>
  <c r="AD67" i="180"/>
  <c r="AC67" i="180"/>
  <c r="AB67" i="180"/>
  <c r="AE67" i="180" s="1"/>
  <c r="AI67" i="180" s="1"/>
  <c r="Y67" i="180" s="1"/>
  <c r="Z67" i="180"/>
  <c r="X67" i="180"/>
  <c r="Q67" i="180"/>
  <c r="P67" i="180"/>
  <c r="I67" i="180"/>
  <c r="H67" i="180"/>
  <c r="E67" i="180"/>
  <c r="AE66" i="180"/>
  <c r="AI66" i="180" s="1"/>
  <c r="Y66" i="180" s="1"/>
  <c r="AD66" i="180"/>
  <c r="AC66" i="180"/>
  <c r="AB66" i="180"/>
  <c r="Z66" i="180"/>
  <c r="X66" i="180"/>
  <c r="Q66" i="180"/>
  <c r="P66" i="180"/>
  <c r="H66" i="180"/>
  <c r="E66" i="180"/>
  <c r="I66" i="180" s="1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E64" i="180" s="1"/>
  <c r="AI64" i="180" s="1"/>
  <c r="Y64" i="180" s="1"/>
  <c r="AB64" i="180"/>
  <c r="Z64" i="180"/>
  <c r="X64" i="180"/>
  <c r="Q64" i="180"/>
  <c r="P64" i="180"/>
  <c r="H64" i="180"/>
  <c r="E64" i="180"/>
  <c r="I64" i="180" s="1"/>
  <c r="AD63" i="180"/>
  <c r="AC63" i="180"/>
  <c r="AB63" i="180"/>
  <c r="AE63" i="180" s="1"/>
  <c r="AI63" i="180" s="1"/>
  <c r="Y63" i="180" s="1"/>
  <c r="Z63" i="180"/>
  <c r="X63" i="180"/>
  <c r="Q63" i="180"/>
  <c r="P63" i="180"/>
  <c r="I63" i="180"/>
  <c r="H63" i="180"/>
  <c r="E63" i="180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C61" i="180"/>
  <c r="AE61" i="180" s="1"/>
  <c r="AI61" i="180" s="1"/>
  <c r="Y61" i="180" s="1"/>
  <c r="AB61" i="180"/>
  <c r="X61" i="180"/>
  <c r="Q61" i="180"/>
  <c r="P61" i="180"/>
  <c r="I61" i="180"/>
  <c r="H61" i="180"/>
  <c r="E61" i="180"/>
  <c r="AE60" i="180"/>
  <c r="AI60" i="180" s="1"/>
  <c r="Y60" i="180" s="1"/>
  <c r="X60" i="180"/>
  <c r="Q60" i="180"/>
  <c r="P60" i="180"/>
  <c r="I60" i="180"/>
  <c r="H60" i="180"/>
  <c r="E60" i="180"/>
  <c r="AC59" i="180"/>
  <c r="AB59" i="180"/>
  <c r="AE59" i="180" s="1"/>
  <c r="AI59" i="180" s="1"/>
  <c r="Y59" i="180" s="1"/>
  <c r="X59" i="180"/>
  <c r="Q59" i="180"/>
  <c r="P59" i="180"/>
  <c r="I59" i="180"/>
  <c r="H59" i="180"/>
  <c r="E59" i="180"/>
  <c r="AE58" i="180"/>
  <c r="AI58" i="180" s="1"/>
  <c r="Y58" i="180" s="1"/>
  <c r="AC58" i="180"/>
  <c r="AB58" i="180"/>
  <c r="X58" i="180"/>
  <c r="Q58" i="180"/>
  <c r="P58" i="180"/>
  <c r="E58" i="180"/>
  <c r="I58" i="180" s="1"/>
  <c r="AC57" i="180"/>
  <c r="AB57" i="180"/>
  <c r="AE57" i="180" s="1"/>
  <c r="AI57" i="180" s="1"/>
  <c r="Y57" i="180" s="1"/>
  <c r="X57" i="180"/>
  <c r="Q57" i="180"/>
  <c r="P57" i="180"/>
  <c r="I57" i="180"/>
  <c r="H57" i="180"/>
  <c r="E57" i="180"/>
  <c r="AD56" i="180"/>
  <c r="AC56" i="180"/>
  <c r="AB56" i="180"/>
  <c r="AE56" i="180" s="1"/>
  <c r="AI56" i="180" s="1"/>
  <c r="Y56" i="180" s="1"/>
  <c r="Z56" i="180"/>
  <c r="X56" i="180"/>
  <c r="Q56" i="180"/>
  <c r="P56" i="180"/>
  <c r="H56" i="180"/>
  <c r="E56" i="180"/>
  <c r="I56" i="180" s="1"/>
  <c r="AE55" i="180"/>
  <c r="AI55" i="180" s="1"/>
  <c r="Y55" i="180" s="1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B54" i="180"/>
  <c r="AE54" i="180" s="1"/>
  <c r="AI54" i="180" s="1"/>
  <c r="Y54" i="180" s="1"/>
  <c r="Z54" i="180"/>
  <c r="X54" i="180"/>
  <c r="Q54" i="180"/>
  <c r="P54" i="180"/>
  <c r="H54" i="180"/>
  <c r="E54" i="180"/>
  <c r="I54" i="180" s="1"/>
  <c r="AE53" i="180"/>
  <c r="AI53" i="180" s="1"/>
  <c r="Y53" i="180" s="1"/>
  <c r="AD53" i="180"/>
  <c r="AC53" i="180"/>
  <c r="AB53" i="180"/>
  <c r="Z53" i="180"/>
  <c r="X53" i="180"/>
  <c r="Q53" i="180"/>
  <c r="P53" i="180"/>
  <c r="H53" i="180"/>
  <c r="E53" i="180"/>
  <c r="I53" i="180" s="1"/>
  <c r="AI52" i="180"/>
  <c r="AE52" i="180"/>
  <c r="Z52" i="180"/>
  <c r="Y52" i="180"/>
  <c r="X52" i="180"/>
  <c r="Q52" i="180"/>
  <c r="P52" i="180"/>
  <c r="I52" i="180"/>
  <c r="H52" i="180"/>
  <c r="E52" i="180"/>
  <c r="AD51" i="180"/>
  <c r="AC51" i="180"/>
  <c r="AB51" i="180"/>
  <c r="AE51" i="180" s="1"/>
  <c r="AI51" i="180" s="1"/>
  <c r="Y51" i="180" s="1"/>
  <c r="Z51" i="180"/>
  <c r="X51" i="180"/>
  <c r="Q51" i="180"/>
  <c r="P51" i="180"/>
  <c r="I51" i="180"/>
  <c r="H51" i="180"/>
  <c r="E51" i="180"/>
  <c r="AD50" i="180"/>
  <c r="AC50" i="180"/>
  <c r="AE50" i="180" s="1"/>
  <c r="AI50" i="180" s="1"/>
  <c r="Y50" i="180" s="1"/>
  <c r="AB50" i="180"/>
  <c r="Z50" i="180"/>
  <c r="X50" i="180"/>
  <c r="Q50" i="180"/>
  <c r="P50" i="180"/>
  <c r="H50" i="180"/>
  <c r="E50" i="180"/>
  <c r="I50" i="180" s="1"/>
  <c r="AI49" i="180"/>
  <c r="Y49" i="180" s="1"/>
  <c r="AE49" i="180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I48" i="180"/>
  <c r="H48" i="180"/>
  <c r="E48" i="180"/>
  <c r="AI47" i="180"/>
  <c r="Y47" i="180" s="1"/>
  <c r="AE47" i="180"/>
  <c r="Z47" i="180"/>
  <c r="X47" i="180"/>
  <c r="Q47" i="180"/>
  <c r="P47" i="180"/>
  <c r="I47" i="180"/>
  <c r="H47" i="180"/>
  <c r="E47" i="180"/>
  <c r="AD46" i="180"/>
  <c r="AE46" i="180" s="1"/>
  <c r="AI46" i="180" s="1"/>
  <c r="Y46" i="180" s="1"/>
  <c r="AC46" i="180"/>
  <c r="AB46" i="180"/>
  <c r="Z46" i="180"/>
  <c r="X46" i="180"/>
  <c r="Q46" i="180"/>
  <c r="P46" i="180"/>
  <c r="H46" i="180"/>
  <c r="E46" i="180"/>
  <c r="I46" i="180" s="1"/>
  <c r="AD45" i="180"/>
  <c r="AC45" i="180"/>
  <c r="AB45" i="180"/>
  <c r="AE45" i="180" s="1"/>
  <c r="AI45" i="180" s="1"/>
  <c r="Y45" i="180" s="1"/>
  <c r="Z45" i="180"/>
  <c r="X45" i="180"/>
  <c r="Q45" i="180"/>
  <c r="P45" i="180"/>
  <c r="H45" i="180"/>
  <c r="E45" i="180"/>
  <c r="I45" i="180" s="1"/>
  <c r="AD44" i="180"/>
  <c r="AC44" i="180"/>
  <c r="AB44" i="180"/>
  <c r="AE44" i="180" s="1"/>
  <c r="AI44" i="180" s="1"/>
  <c r="Y44" i="180" s="1"/>
  <c r="Z44" i="180"/>
  <c r="X44" i="180"/>
  <c r="Q44" i="180"/>
  <c r="P44" i="180"/>
  <c r="H44" i="180"/>
  <c r="E44" i="180"/>
  <c r="I44" i="180" s="1"/>
  <c r="AE43" i="180"/>
  <c r="AI43" i="180" s="1"/>
  <c r="Y43" i="180" s="1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E41" i="180"/>
  <c r="AI41" i="180" s="1"/>
  <c r="Y41" i="180" s="1"/>
  <c r="AD41" i="180"/>
  <c r="AC41" i="180"/>
  <c r="AB41" i="180"/>
  <c r="Z41" i="180"/>
  <c r="X41" i="180"/>
  <c r="Q41" i="180"/>
  <c r="P41" i="180"/>
  <c r="H41" i="180"/>
  <c r="E41" i="180"/>
  <c r="I41" i="180" s="1"/>
  <c r="AD40" i="180"/>
  <c r="AC40" i="180"/>
  <c r="AB40" i="180"/>
  <c r="AE40" i="180" s="1"/>
  <c r="AI40" i="180" s="1"/>
  <c r="Y40" i="180" s="1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B38" i="180"/>
  <c r="AE38" i="180" s="1"/>
  <c r="AI38" i="180" s="1"/>
  <c r="Y38" i="180" s="1"/>
  <c r="Z38" i="180"/>
  <c r="X38" i="180"/>
  <c r="Q38" i="180"/>
  <c r="P38" i="180"/>
  <c r="I38" i="180"/>
  <c r="H38" i="180"/>
  <c r="E38" i="180"/>
  <c r="AD37" i="180"/>
  <c r="AC37" i="180"/>
  <c r="AE37" i="180" s="1"/>
  <c r="AI37" i="180" s="1"/>
  <c r="Y37" i="180" s="1"/>
  <c r="AB37" i="180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C35" i="180"/>
  <c r="AE35" i="180" s="1"/>
  <c r="AI35" i="180" s="1"/>
  <c r="Y35" i="180" s="1"/>
  <c r="AB35" i="180"/>
  <c r="Z35" i="180"/>
  <c r="X35" i="180"/>
  <c r="Q35" i="180"/>
  <c r="P35" i="180"/>
  <c r="H35" i="180"/>
  <c r="E35" i="180"/>
  <c r="I35" i="180" s="1"/>
  <c r="AD34" i="180"/>
  <c r="AC34" i="180"/>
  <c r="AB34" i="180"/>
  <c r="AE34" i="180" s="1"/>
  <c r="AI34" i="180" s="1"/>
  <c r="Y34" i="180" s="1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I33" i="180"/>
  <c r="H33" i="180"/>
  <c r="E33" i="180"/>
  <c r="AD32" i="180"/>
  <c r="AC32" i="180"/>
  <c r="AB32" i="180"/>
  <c r="AE32" i="180" s="1"/>
  <c r="AI32" i="180" s="1"/>
  <c r="Y32" i="180" s="1"/>
  <c r="Z32" i="180"/>
  <c r="X32" i="180"/>
  <c r="Q32" i="180"/>
  <c r="P32" i="180"/>
  <c r="H32" i="180"/>
  <c r="E32" i="180"/>
  <c r="I32" i="180" s="1"/>
  <c r="AE31" i="180"/>
  <c r="AI31" i="180" s="1"/>
  <c r="Y31" i="180" s="1"/>
  <c r="Z31" i="180"/>
  <c r="X31" i="180"/>
  <c r="Q31" i="180"/>
  <c r="P31" i="180"/>
  <c r="H31" i="180"/>
  <c r="E31" i="180"/>
  <c r="I31" i="180" s="1"/>
  <c r="AD30" i="180"/>
  <c r="AC30" i="180"/>
  <c r="AB30" i="180"/>
  <c r="AE30" i="180" s="1"/>
  <c r="AI30" i="180" s="1"/>
  <c r="Y30" i="180" s="1"/>
  <c r="Z30" i="180"/>
  <c r="X30" i="180"/>
  <c r="Q30" i="180"/>
  <c r="P30" i="180"/>
  <c r="H30" i="180"/>
  <c r="E30" i="180"/>
  <c r="I30" i="180" s="1"/>
  <c r="AD29" i="180"/>
  <c r="AC29" i="180"/>
  <c r="AB29" i="180"/>
  <c r="AE29" i="180" s="1"/>
  <c r="AI29" i="180" s="1"/>
  <c r="Y29" i="180" s="1"/>
  <c r="Z29" i="180"/>
  <c r="X29" i="180"/>
  <c r="Q29" i="180"/>
  <c r="P29" i="180"/>
  <c r="H29" i="180"/>
  <c r="E29" i="180"/>
  <c r="I29" i="180" s="1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E26" i="180"/>
  <c r="AI26" i="180" s="1"/>
  <c r="Y26" i="180" s="1"/>
  <c r="AD26" i="180"/>
  <c r="AC26" i="180"/>
  <c r="AB26" i="180"/>
  <c r="Z26" i="180"/>
  <c r="X26" i="180"/>
  <c r="Q26" i="180"/>
  <c r="P26" i="180"/>
  <c r="H26" i="180"/>
  <c r="E26" i="180"/>
  <c r="I26" i="180" s="1"/>
  <c r="AD25" i="180"/>
  <c r="AC25" i="180"/>
  <c r="AB25" i="180"/>
  <c r="AE25" i="180" s="1"/>
  <c r="AI25" i="180" s="1"/>
  <c r="Y25" i="180" s="1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B23" i="180"/>
  <c r="AE23" i="180" s="1"/>
  <c r="AI23" i="180" s="1"/>
  <c r="Y23" i="180" s="1"/>
  <c r="Z23" i="180"/>
  <c r="X23" i="180"/>
  <c r="Q23" i="180"/>
  <c r="P23" i="180"/>
  <c r="I23" i="180"/>
  <c r="H23" i="180"/>
  <c r="E23" i="180"/>
  <c r="AD22" i="180"/>
  <c r="AC22" i="180"/>
  <c r="AE22" i="180" s="1"/>
  <c r="AI22" i="180" s="1"/>
  <c r="Y22" i="180" s="1"/>
  <c r="AB22" i="180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C20" i="180"/>
  <c r="AE20" i="180" s="1"/>
  <c r="AI20" i="180" s="1"/>
  <c r="Y20" i="180" s="1"/>
  <c r="AB20" i="180"/>
  <c r="Z20" i="180"/>
  <c r="X20" i="180"/>
  <c r="Q20" i="180"/>
  <c r="P20" i="180"/>
  <c r="H20" i="180"/>
  <c r="E20" i="180"/>
  <c r="I20" i="180" s="1"/>
  <c r="AD19" i="180"/>
  <c r="AC19" i="180"/>
  <c r="AB19" i="180"/>
  <c r="AE19" i="180" s="1"/>
  <c r="AI19" i="180" s="1"/>
  <c r="Y19" i="180" s="1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I18" i="180"/>
  <c r="H18" i="180"/>
  <c r="E18" i="180"/>
  <c r="AD17" i="180"/>
  <c r="AE17" i="180" s="1"/>
  <c r="AI17" i="180" s="1"/>
  <c r="Y17" i="180" s="1"/>
  <c r="AC17" i="180"/>
  <c r="AB17" i="180"/>
  <c r="Z17" i="180"/>
  <c r="X17" i="180"/>
  <c r="Q17" i="180"/>
  <c r="P17" i="180"/>
  <c r="H17" i="180"/>
  <c r="E17" i="180"/>
  <c r="I17" i="180" s="1"/>
  <c r="AD16" i="180"/>
  <c r="AC16" i="180"/>
  <c r="AB16" i="180"/>
  <c r="AE16" i="180" s="1"/>
  <c r="AI16" i="180" s="1"/>
  <c r="Y16" i="180" s="1"/>
  <c r="Z16" i="180"/>
  <c r="X16" i="180"/>
  <c r="Q16" i="180"/>
  <c r="P16" i="180"/>
  <c r="E16" i="180"/>
  <c r="I16" i="180" s="1"/>
  <c r="AD15" i="180"/>
  <c r="AC15" i="180"/>
  <c r="AE15" i="180" s="1"/>
  <c r="AI15" i="180" s="1"/>
  <c r="Y15" i="180" s="1"/>
  <c r="AB15" i="180"/>
  <c r="Z15" i="180"/>
  <c r="X15" i="180"/>
  <c r="Q15" i="180"/>
  <c r="P15" i="180"/>
  <c r="E15" i="180"/>
  <c r="I15" i="180" s="1"/>
  <c r="AD14" i="180"/>
  <c r="AC14" i="180"/>
  <c r="AB14" i="180"/>
  <c r="AE14" i="180" s="1"/>
  <c r="AI14" i="180" s="1"/>
  <c r="Y14" i="180" s="1"/>
  <c r="Z14" i="180"/>
  <c r="X14" i="180"/>
  <c r="Q14" i="180"/>
  <c r="O75" i="180" s="1"/>
  <c r="P14" i="180"/>
  <c r="H14" i="180"/>
  <c r="E14" i="180"/>
  <c r="I14" i="180" s="1"/>
  <c r="AD13" i="180"/>
  <c r="AC13" i="180"/>
  <c r="AB13" i="180"/>
  <c r="AE13" i="180" s="1"/>
  <c r="AI13" i="180" s="1"/>
  <c r="Y13" i="180" s="1"/>
  <c r="Z13" i="180"/>
  <c r="X13" i="180"/>
  <c r="Q13" i="180"/>
  <c r="P13" i="180"/>
  <c r="I13" i="180"/>
  <c r="H13" i="180"/>
  <c r="E13" i="180"/>
  <c r="AD12" i="180"/>
  <c r="AC12" i="180"/>
  <c r="AE12" i="180" s="1"/>
  <c r="AI12" i="180" s="1"/>
  <c r="Y12" i="180" s="1"/>
  <c r="AB12" i="180"/>
  <c r="Z12" i="180"/>
  <c r="X12" i="180"/>
  <c r="T77" i="180" s="1"/>
  <c r="Q12" i="180"/>
  <c r="O73" i="180" s="1"/>
  <c r="P12" i="180"/>
  <c r="H12" i="180"/>
  <c r="E12" i="180"/>
  <c r="I12" i="180" s="1"/>
  <c r="F77" i="181" l="1"/>
  <c r="T75" i="180"/>
  <c r="T79" i="180" s="1"/>
  <c r="T73" i="180"/>
  <c r="F73" i="180"/>
  <c r="F75" i="180"/>
  <c r="M79" i="179"/>
  <c r="W73" i="179"/>
  <c r="P71" i="179"/>
  <c r="H71" i="179"/>
  <c r="Q70" i="179"/>
  <c r="P70" i="179"/>
  <c r="H70" i="179"/>
  <c r="E70" i="179"/>
  <c r="I70" i="179" s="1"/>
  <c r="Q69" i="179"/>
  <c r="P69" i="179"/>
  <c r="H69" i="179"/>
  <c r="E69" i="179"/>
  <c r="I69" i="179" s="1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H67" i="179"/>
  <c r="E67" i="179"/>
  <c r="I67" i="179" s="1"/>
  <c r="AD66" i="179"/>
  <c r="AC66" i="179"/>
  <c r="AE66" i="179" s="1"/>
  <c r="AI66" i="179" s="1"/>
  <c r="Y66" i="179" s="1"/>
  <c r="AB66" i="179"/>
  <c r="Z66" i="179"/>
  <c r="X66" i="179"/>
  <c r="Q66" i="179"/>
  <c r="P66" i="179"/>
  <c r="I66" i="179"/>
  <c r="H66" i="179"/>
  <c r="E66" i="179"/>
  <c r="AE65" i="179"/>
  <c r="AI65" i="179" s="1"/>
  <c r="Y65" i="179" s="1"/>
  <c r="AD65" i="179"/>
  <c r="AC65" i="179"/>
  <c r="AB65" i="179"/>
  <c r="Z65" i="179"/>
  <c r="X65" i="179"/>
  <c r="Q65" i="179"/>
  <c r="P65" i="179"/>
  <c r="H65" i="179"/>
  <c r="E65" i="179"/>
  <c r="I65" i="179" s="1"/>
  <c r="AD64" i="179"/>
  <c r="AC64" i="179"/>
  <c r="AB64" i="179"/>
  <c r="AE64" i="179" s="1"/>
  <c r="AI64" i="179" s="1"/>
  <c r="Y64" i="179" s="1"/>
  <c r="Z64" i="179"/>
  <c r="X64" i="179"/>
  <c r="Q64" i="179"/>
  <c r="P64" i="179"/>
  <c r="H64" i="179"/>
  <c r="E64" i="179"/>
  <c r="I64" i="179" s="1"/>
  <c r="AE63" i="179"/>
  <c r="AI63" i="179" s="1"/>
  <c r="Y63" i="179" s="1"/>
  <c r="AD63" i="179"/>
  <c r="AC63" i="179"/>
  <c r="AB63" i="179"/>
  <c r="Z63" i="179"/>
  <c r="X63" i="179"/>
  <c r="Q63" i="179"/>
  <c r="P63" i="179"/>
  <c r="H63" i="179"/>
  <c r="E63" i="179"/>
  <c r="I63" i="179" s="1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C61" i="179"/>
  <c r="AE61" i="179" s="1"/>
  <c r="AI61" i="179" s="1"/>
  <c r="Y61" i="179" s="1"/>
  <c r="AB61" i="179"/>
  <c r="X61" i="179"/>
  <c r="Q61" i="179"/>
  <c r="P61" i="179"/>
  <c r="I61" i="179"/>
  <c r="H61" i="179"/>
  <c r="E61" i="179"/>
  <c r="AI60" i="179"/>
  <c r="AE60" i="179"/>
  <c r="Y60" i="179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H59" i="179"/>
  <c r="E59" i="179"/>
  <c r="I59" i="179" s="1"/>
  <c r="AC58" i="179"/>
  <c r="AB58" i="179"/>
  <c r="AE58" i="179" s="1"/>
  <c r="AI58" i="179" s="1"/>
  <c r="Y58" i="179" s="1"/>
  <c r="X58" i="179"/>
  <c r="Q58" i="179"/>
  <c r="P58" i="179"/>
  <c r="I58" i="179"/>
  <c r="E58" i="179"/>
  <c r="AC57" i="179"/>
  <c r="AE57" i="179" s="1"/>
  <c r="AI57" i="179" s="1"/>
  <c r="Y57" i="179" s="1"/>
  <c r="AB57" i="179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E55" i="179"/>
  <c r="AI55" i="179" s="1"/>
  <c r="Y55" i="179" s="1"/>
  <c r="AD55" i="179"/>
  <c r="AC55" i="179"/>
  <c r="AB55" i="179"/>
  <c r="Z55" i="179"/>
  <c r="X55" i="179"/>
  <c r="Q55" i="179"/>
  <c r="P55" i="179"/>
  <c r="H55" i="179"/>
  <c r="E55" i="179"/>
  <c r="I55" i="179" s="1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D53" i="179"/>
  <c r="AC53" i="179"/>
  <c r="AE53" i="179" s="1"/>
  <c r="AI53" i="179" s="1"/>
  <c r="Y53" i="179" s="1"/>
  <c r="AB53" i="179"/>
  <c r="Z53" i="179"/>
  <c r="X53" i="179"/>
  <c r="Q53" i="179"/>
  <c r="P53" i="179"/>
  <c r="H53" i="179"/>
  <c r="E53" i="179"/>
  <c r="I53" i="179" s="1"/>
  <c r="AE52" i="179"/>
  <c r="AI52" i="179" s="1"/>
  <c r="Y52" i="179" s="1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H51" i="179"/>
  <c r="E51" i="179"/>
  <c r="I51" i="179" s="1"/>
  <c r="AD50" i="179"/>
  <c r="AC50" i="179"/>
  <c r="AE50" i="179" s="1"/>
  <c r="AI50" i="179" s="1"/>
  <c r="Y50" i="179" s="1"/>
  <c r="AB50" i="179"/>
  <c r="Z50" i="179"/>
  <c r="X50" i="179"/>
  <c r="Q50" i="179"/>
  <c r="P50" i="179"/>
  <c r="I50" i="179"/>
  <c r="H50" i="179"/>
  <c r="E50" i="179"/>
  <c r="AE49" i="179"/>
  <c r="AI49" i="179" s="1"/>
  <c r="Y49" i="179" s="1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C46" i="179"/>
  <c r="AB46" i="179"/>
  <c r="AE46" i="179" s="1"/>
  <c r="AI46" i="179" s="1"/>
  <c r="Y46" i="179" s="1"/>
  <c r="Z46" i="179"/>
  <c r="X46" i="179"/>
  <c r="Q46" i="179"/>
  <c r="P46" i="179"/>
  <c r="I46" i="179"/>
  <c r="H46" i="179"/>
  <c r="E46" i="179"/>
  <c r="AD45" i="179"/>
  <c r="AE45" i="179" s="1"/>
  <c r="AI45" i="179" s="1"/>
  <c r="Y45" i="179" s="1"/>
  <c r="AC45" i="179"/>
  <c r="AB45" i="179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E43" i="179"/>
  <c r="AI43" i="179" s="1"/>
  <c r="Y43" i="179" s="1"/>
  <c r="AD43" i="179"/>
  <c r="AC43" i="179"/>
  <c r="AB43" i="179"/>
  <c r="Z43" i="179"/>
  <c r="X43" i="179"/>
  <c r="Q43" i="179"/>
  <c r="P43" i="179"/>
  <c r="H43" i="179"/>
  <c r="E43" i="179"/>
  <c r="I43" i="179" s="1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D41" i="179"/>
  <c r="AC41" i="179"/>
  <c r="AE41" i="179" s="1"/>
  <c r="AI41" i="179" s="1"/>
  <c r="Y41" i="179" s="1"/>
  <c r="AB41" i="179"/>
  <c r="Z41" i="179"/>
  <c r="X41" i="179"/>
  <c r="Q41" i="179"/>
  <c r="P41" i="179"/>
  <c r="H41" i="179"/>
  <c r="E41" i="179"/>
  <c r="I41" i="179" s="1"/>
  <c r="AE40" i="179"/>
  <c r="AI40" i="179" s="1"/>
  <c r="Y40" i="179" s="1"/>
  <c r="AD40" i="179"/>
  <c r="AC40" i="179"/>
  <c r="AB40" i="179"/>
  <c r="Z40" i="179"/>
  <c r="X40" i="179"/>
  <c r="Q40" i="179"/>
  <c r="P40" i="179"/>
  <c r="I40" i="179"/>
  <c r="H40" i="179"/>
  <c r="E40" i="179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C38" i="179"/>
  <c r="AB38" i="179"/>
  <c r="AE38" i="179" s="1"/>
  <c r="AI38" i="179" s="1"/>
  <c r="Y38" i="179" s="1"/>
  <c r="Z38" i="179"/>
  <c r="X38" i="179"/>
  <c r="Q38" i="179"/>
  <c r="P38" i="179"/>
  <c r="H38" i="179"/>
  <c r="E38" i="179"/>
  <c r="I38" i="179" s="1"/>
  <c r="AD37" i="179"/>
  <c r="AC37" i="179"/>
  <c r="AE37" i="179" s="1"/>
  <c r="AI37" i="179" s="1"/>
  <c r="Y37" i="179" s="1"/>
  <c r="AB37" i="179"/>
  <c r="Z37" i="179"/>
  <c r="X37" i="179"/>
  <c r="Q37" i="179"/>
  <c r="P37" i="179"/>
  <c r="I37" i="179"/>
  <c r="H37" i="179"/>
  <c r="E37" i="179"/>
  <c r="AE36" i="179"/>
  <c r="AI36" i="179" s="1"/>
  <c r="Y36" i="179" s="1"/>
  <c r="AD36" i="179"/>
  <c r="AC36" i="179"/>
  <c r="AB36" i="179"/>
  <c r="Z36" i="179"/>
  <c r="X36" i="179"/>
  <c r="Q36" i="179"/>
  <c r="P36" i="179"/>
  <c r="H36" i="179"/>
  <c r="E36" i="179"/>
  <c r="I36" i="179" s="1"/>
  <c r="AD35" i="179"/>
  <c r="AC35" i="179"/>
  <c r="AB35" i="179"/>
  <c r="AE35" i="179" s="1"/>
  <c r="AI35" i="179" s="1"/>
  <c r="Y35" i="179" s="1"/>
  <c r="Z35" i="179"/>
  <c r="X35" i="179"/>
  <c r="Q35" i="179"/>
  <c r="P35" i="179"/>
  <c r="H35" i="179"/>
  <c r="E35" i="179"/>
  <c r="I35" i="179" s="1"/>
  <c r="AE34" i="179"/>
  <c r="AI34" i="179" s="1"/>
  <c r="Y34" i="179" s="1"/>
  <c r="AD34" i="179"/>
  <c r="AC34" i="179"/>
  <c r="AB34" i="179"/>
  <c r="Z34" i="179"/>
  <c r="X34" i="179"/>
  <c r="Q34" i="179"/>
  <c r="P34" i="179"/>
  <c r="H34" i="179"/>
  <c r="E34" i="179"/>
  <c r="I34" i="179" s="1"/>
  <c r="AD33" i="179"/>
  <c r="AC33" i="179"/>
  <c r="AB33" i="179"/>
  <c r="AE33" i="179" s="1"/>
  <c r="AI33" i="179" s="1"/>
  <c r="Y33" i="179" s="1"/>
  <c r="Z33" i="179"/>
  <c r="X33" i="179"/>
  <c r="Q33" i="179"/>
  <c r="P33" i="179"/>
  <c r="I33" i="179"/>
  <c r="H33" i="179"/>
  <c r="E33" i="179"/>
  <c r="AD32" i="179"/>
  <c r="AC32" i="179"/>
  <c r="AB32" i="179"/>
  <c r="AE32" i="179" s="1"/>
  <c r="AI32" i="179" s="1"/>
  <c r="Y32" i="179" s="1"/>
  <c r="Z32" i="179"/>
  <c r="X32" i="179"/>
  <c r="Q32" i="179"/>
  <c r="P32" i="179"/>
  <c r="H32" i="179"/>
  <c r="E32" i="179"/>
  <c r="I32" i="179" s="1"/>
  <c r="AI31" i="179"/>
  <c r="Y31" i="179" s="1"/>
  <c r="AE31" i="179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E28" i="179"/>
  <c r="AI28" i="179" s="1"/>
  <c r="Y28" i="179" s="1"/>
  <c r="AD28" i="179"/>
  <c r="AC28" i="179"/>
  <c r="AB28" i="179"/>
  <c r="Z28" i="179"/>
  <c r="X28" i="179"/>
  <c r="Q28" i="179"/>
  <c r="P28" i="179"/>
  <c r="H28" i="179"/>
  <c r="E28" i="179"/>
  <c r="I28" i="179" s="1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D26" i="179"/>
  <c r="AC26" i="179"/>
  <c r="AE26" i="179" s="1"/>
  <c r="AI26" i="179" s="1"/>
  <c r="Y26" i="179" s="1"/>
  <c r="AB26" i="179"/>
  <c r="Z26" i="179"/>
  <c r="X26" i="179"/>
  <c r="Q26" i="179"/>
  <c r="P26" i="179"/>
  <c r="H26" i="179"/>
  <c r="E26" i="179"/>
  <c r="I26" i="179" s="1"/>
  <c r="AE25" i="179"/>
  <c r="AI25" i="179" s="1"/>
  <c r="Y25" i="179" s="1"/>
  <c r="AD25" i="179"/>
  <c r="AC25" i="179"/>
  <c r="AB25" i="179"/>
  <c r="Z25" i="179"/>
  <c r="X25" i="179"/>
  <c r="Q25" i="179"/>
  <c r="P25" i="179"/>
  <c r="I25" i="179"/>
  <c r="H25" i="179"/>
  <c r="E25" i="179"/>
  <c r="AD24" i="179"/>
  <c r="AC24" i="179"/>
  <c r="AB24" i="179"/>
  <c r="AE24" i="179" s="1"/>
  <c r="AI24" i="179" s="1"/>
  <c r="Y24" i="179" s="1"/>
  <c r="Z24" i="179"/>
  <c r="X24" i="179"/>
  <c r="Q24" i="179"/>
  <c r="P24" i="179"/>
  <c r="I24" i="179"/>
  <c r="H24" i="179"/>
  <c r="E24" i="179"/>
  <c r="AD23" i="179"/>
  <c r="AC23" i="179"/>
  <c r="AE23" i="179" s="1"/>
  <c r="AI23" i="179" s="1"/>
  <c r="Y23" i="179" s="1"/>
  <c r="AB23" i="179"/>
  <c r="Z23" i="179"/>
  <c r="X23" i="179"/>
  <c r="Q23" i="179"/>
  <c r="P23" i="179"/>
  <c r="H23" i="179"/>
  <c r="E23" i="179"/>
  <c r="I23" i="179" s="1"/>
  <c r="AD22" i="179"/>
  <c r="AC22" i="179"/>
  <c r="AE22" i="179" s="1"/>
  <c r="AI22" i="179" s="1"/>
  <c r="Y22" i="179" s="1"/>
  <c r="AB22" i="179"/>
  <c r="Z22" i="179"/>
  <c r="X22" i="179"/>
  <c r="Q22" i="179"/>
  <c r="P22" i="179"/>
  <c r="I22" i="179"/>
  <c r="H22" i="179"/>
  <c r="E22" i="179"/>
  <c r="AE21" i="179"/>
  <c r="AI21" i="179" s="1"/>
  <c r="Y21" i="179" s="1"/>
  <c r="AD21" i="179"/>
  <c r="AC21" i="179"/>
  <c r="AB21" i="179"/>
  <c r="Z21" i="179"/>
  <c r="X21" i="179"/>
  <c r="Q21" i="179"/>
  <c r="P21" i="179"/>
  <c r="H21" i="179"/>
  <c r="E21" i="179"/>
  <c r="I21" i="179" s="1"/>
  <c r="AD20" i="179"/>
  <c r="AC20" i="179"/>
  <c r="AB20" i="179"/>
  <c r="AE20" i="179" s="1"/>
  <c r="AI20" i="179" s="1"/>
  <c r="Y20" i="179" s="1"/>
  <c r="Z20" i="179"/>
  <c r="X20" i="179"/>
  <c r="Q20" i="179"/>
  <c r="P20" i="179"/>
  <c r="H20" i="179"/>
  <c r="E20" i="179"/>
  <c r="I20" i="179" s="1"/>
  <c r="AE19" i="179"/>
  <c r="AI19" i="179" s="1"/>
  <c r="Y19" i="179" s="1"/>
  <c r="AD19" i="179"/>
  <c r="AC19" i="179"/>
  <c r="AB19" i="179"/>
  <c r="Z19" i="179"/>
  <c r="X19" i="179"/>
  <c r="Q19" i="179"/>
  <c r="P19" i="179"/>
  <c r="H19" i="179"/>
  <c r="E19" i="179"/>
  <c r="I19" i="179" s="1"/>
  <c r="AD18" i="179"/>
  <c r="AC18" i="179"/>
  <c r="AB18" i="179"/>
  <c r="AE18" i="179" s="1"/>
  <c r="AI18" i="179" s="1"/>
  <c r="Y18" i="179" s="1"/>
  <c r="Z18" i="179"/>
  <c r="X18" i="179"/>
  <c r="Q18" i="179"/>
  <c r="P18" i="179"/>
  <c r="I18" i="179"/>
  <c r="H18" i="179"/>
  <c r="E18" i="179"/>
  <c r="AD17" i="179"/>
  <c r="AC17" i="179"/>
  <c r="AB17" i="179"/>
  <c r="AE17" i="179" s="1"/>
  <c r="AI17" i="179" s="1"/>
  <c r="Y17" i="179" s="1"/>
  <c r="Z17" i="179"/>
  <c r="X17" i="179"/>
  <c r="Q17" i="179"/>
  <c r="P17" i="179"/>
  <c r="H17" i="179"/>
  <c r="E17" i="179"/>
  <c r="I17" i="179" s="1"/>
  <c r="AD16" i="179"/>
  <c r="AC16" i="179"/>
  <c r="AE16" i="179" s="1"/>
  <c r="AI16" i="179" s="1"/>
  <c r="Y16" i="179" s="1"/>
  <c r="AB16" i="179"/>
  <c r="Z16" i="179"/>
  <c r="X16" i="179"/>
  <c r="Q16" i="179"/>
  <c r="P16" i="179"/>
  <c r="I16" i="179"/>
  <c r="E16" i="179"/>
  <c r="AD15" i="179"/>
  <c r="AC15" i="179"/>
  <c r="AB15" i="179"/>
  <c r="AE15" i="179" s="1"/>
  <c r="AI15" i="179" s="1"/>
  <c r="Y15" i="179" s="1"/>
  <c r="Z15" i="179"/>
  <c r="X15" i="179"/>
  <c r="Q15" i="179"/>
  <c r="P15" i="179"/>
  <c r="E15" i="179"/>
  <c r="I15" i="179" s="1"/>
  <c r="AD14" i="179"/>
  <c r="AC14" i="179"/>
  <c r="AB14" i="179"/>
  <c r="AE14" i="179" s="1"/>
  <c r="AI14" i="179" s="1"/>
  <c r="Y14" i="179" s="1"/>
  <c r="Z14" i="179"/>
  <c r="X14" i="179"/>
  <c r="Q14" i="179"/>
  <c r="P14" i="179"/>
  <c r="I14" i="179"/>
  <c r="H14" i="179"/>
  <c r="E14" i="179"/>
  <c r="AD13" i="179"/>
  <c r="AC13" i="179"/>
  <c r="AB13" i="179"/>
  <c r="AE13" i="179" s="1"/>
  <c r="AI13" i="179" s="1"/>
  <c r="Y13" i="179" s="1"/>
  <c r="Z13" i="179"/>
  <c r="X13" i="179"/>
  <c r="Q13" i="179"/>
  <c r="P13" i="179"/>
  <c r="H13" i="179"/>
  <c r="E13" i="179"/>
  <c r="I13" i="179" s="1"/>
  <c r="AD12" i="179"/>
  <c r="AC12" i="179"/>
  <c r="AE12" i="179" s="1"/>
  <c r="AI12" i="179" s="1"/>
  <c r="Y12" i="179" s="1"/>
  <c r="AB12" i="179"/>
  <c r="Z12" i="179"/>
  <c r="X12" i="179"/>
  <c r="Q12" i="179"/>
  <c r="P12" i="179"/>
  <c r="I12" i="179"/>
  <c r="H12" i="179"/>
  <c r="E12" i="179"/>
  <c r="F77" i="180" l="1"/>
  <c r="T75" i="179"/>
  <c r="O73" i="179"/>
  <c r="O75" i="179"/>
  <c r="T77" i="179"/>
  <c r="F73" i="179"/>
  <c r="F75" i="179"/>
  <c r="T73" i="179"/>
  <c r="M79" i="178"/>
  <c r="W73" i="178"/>
  <c r="P71" i="178"/>
  <c r="H71" i="178"/>
  <c r="Q70" i="178"/>
  <c r="P70" i="178"/>
  <c r="I70" i="178"/>
  <c r="H70" i="178"/>
  <c r="E70" i="178"/>
  <c r="Q69" i="178"/>
  <c r="P69" i="178"/>
  <c r="I69" i="178"/>
  <c r="H69" i="178"/>
  <c r="E69" i="178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I67" i="178"/>
  <c r="H67" i="178"/>
  <c r="E67" i="178"/>
  <c r="AE66" i="178"/>
  <c r="AI66" i="178" s="1"/>
  <c r="Y66" i="178" s="1"/>
  <c r="AD66" i="178"/>
  <c r="AC66" i="178"/>
  <c r="AB66" i="178"/>
  <c r="Z66" i="178"/>
  <c r="X66" i="178"/>
  <c r="Q66" i="178"/>
  <c r="P66" i="178"/>
  <c r="I66" i="178"/>
  <c r="H66" i="178"/>
  <c r="E66" i="178"/>
  <c r="AD65" i="178"/>
  <c r="AC65" i="178"/>
  <c r="AB65" i="178"/>
  <c r="AE65" i="178" s="1"/>
  <c r="AI65" i="178" s="1"/>
  <c r="Y65" i="178" s="1"/>
  <c r="Z65" i="178"/>
  <c r="X65" i="178"/>
  <c r="Q65" i="178"/>
  <c r="P65" i="178"/>
  <c r="H65" i="178"/>
  <c r="E65" i="178"/>
  <c r="I65" i="178" s="1"/>
  <c r="AD64" i="178"/>
  <c r="AC64" i="178"/>
  <c r="AE64" i="178" s="1"/>
  <c r="AI64" i="178" s="1"/>
  <c r="Y64" i="178" s="1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H62" i="178"/>
  <c r="E62" i="178"/>
  <c r="I62" i="178" s="1"/>
  <c r="AE61" i="178"/>
  <c r="AI61" i="178" s="1"/>
  <c r="Y61" i="178" s="1"/>
  <c r="AC61" i="178"/>
  <c r="AB61" i="178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I60" i="178"/>
  <c r="H60" i="178"/>
  <c r="E60" i="178"/>
  <c r="AC59" i="178"/>
  <c r="AB59" i="178"/>
  <c r="AE59" i="178" s="1"/>
  <c r="AI59" i="178" s="1"/>
  <c r="Y59" i="178" s="1"/>
  <c r="X59" i="178"/>
  <c r="Q59" i="178"/>
  <c r="P59" i="178"/>
  <c r="I59" i="178"/>
  <c r="H59" i="178"/>
  <c r="E59" i="178"/>
  <c r="AE58" i="178"/>
  <c r="AI58" i="178" s="1"/>
  <c r="Y58" i="178" s="1"/>
  <c r="AC58" i="178"/>
  <c r="AB58" i="178"/>
  <c r="X58" i="178"/>
  <c r="Q58" i="178"/>
  <c r="P58" i="178"/>
  <c r="E58" i="178"/>
  <c r="I58" i="178" s="1"/>
  <c r="AC57" i="178"/>
  <c r="AB57" i="178"/>
  <c r="AE57" i="178" s="1"/>
  <c r="AI57" i="178" s="1"/>
  <c r="Y57" i="178" s="1"/>
  <c r="X57" i="178"/>
  <c r="Q57" i="178"/>
  <c r="P57" i="178"/>
  <c r="I57" i="178"/>
  <c r="H57" i="178"/>
  <c r="E57" i="178"/>
  <c r="AD56" i="178"/>
  <c r="AC56" i="178"/>
  <c r="AB56" i="178"/>
  <c r="AE56" i="178" s="1"/>
  <c r="AI56" i="178" s="1"/>
  <c r="Y56" i="178" s="1"/>
  <c r="Z56" i="178"/>
  <c r="X56" i="178"/>
  <c r="Q56" i="178"/>
  <c r="P56" i="178"/>
  <c r="H56" i="178"/>
  <c r="E56" i="178"/>
  <c r="I56" i="178" s="1"/>
  <c r="AD55" i="178"/>
  <c r="AC55" i="178"/>
  <c r="AB55" i="178"/>
  <c r="AE55" i="178" s="1"/>
  <c r="AI55" i="178" s="1"/>
  <c r="Y55" i="178" s="1"/>
  <c r="Z55" i="178"/>
  <c r="X55" i="178"/>
  <c r="Q55" i="178"/>
  <c r="P55" i="178"/>
  <c r="I55" i="178"/>
  <c r="H55" i="178"/>
  <c r="E55" i="178"/>
  <c r="AD54" i="178"/>
  <c r="AC54" i="178"/>
  <c r="AE54" i="178" s="1"/>
  <c r="AI54" i="178" s="1"/>
  <c r="Y54" i="178" s="1"/>
  <c r="AB54" i="178"/>
  <c r="Z54" i="178"/>
  <c r="X54" i="178"/>
  <c r="Q54" i="178"/>
  <c r="P54" i="178"/>
  <c r="H54" i="178"/>
  <c r="E54" i="178"/>
  <c r="I54" i="178" s="1"/>
  <c r="AE53" i="178"/>
  <c r="AI53" i="178" s="1"/>
  <c r="Y53" i="178" s="1"/>
  <c r="AD53" i="178"/>
  <c r="AC53" i="178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I51" i="178"/>
  <c r="H51" i="178"/>
  <c r="E51" i="178"/>
  <c r="AE50" i="178"/>
  <c r="AI50" i="178" s="1"/>
  <c r="Y50" i="178" s="1"/>
  <c r="AD50" i="178"/>
  <c r="AC50" i="178"/>
  <c r="AB50" i="178"/>
  <c r="Z50" i="178"/>
  <c r="X50" i="178"/>
  <c r="Q50" i="178"/>
  <c r="P50" i="178"/>
  <c r="I50" i="178"/>
  <c r="H50" i="178"/>
  <c r="E50" i="178"/>
  <c r="AI49" i="178"/>
  <c r="Y49" i="178" s="1"/>
  <c r="AE49" i="178"/>
  <c r="Z49" i="178"/>
  <c r="X49" i="178"/>
  <c r="Q49" i="178"/>
  <c r="P49" i="178"/>
  <c r="I49" i="178"/>
  <c r="H49" i="178"/>
  <c r="E49" i="178"/>
  <c r="AI48" i="178"/>
  <c r="AE48" i="178"/>
  <c r="Z48" i="178"/>
  <c r="Y48" i="178"/>
  <c r="X48" i="178"/>
  <c r="Q48" i="178"/>
  <c r="P48" i="178"/>
  <c r="H48" i="178"/>
  <c r="E48" i="178"/>
  <c r="I48" i="178" s="1"/>
  <c r="AI47" i="178"/>
  <c r="Y47" i="178" s="1"/>
  <c r="AE47" i="178"/>
  <c r="Z47" i="178"/>
  <c r="X47" i="178"/>
  <c r="Q47" i="178"/>
  <c r="P47" i="178"/>
  <c r="H47" i="178"/>
  <c r="E47" i="178"/>
  <c r="I47" i="178" s="1"/>
  <c r="AD46" i="178"/>
  <c r="AE46" i="178" s="1"/>
  <c r="AI46" i="178" s="1"/>
  <c r="Y46" i="178" s="1"/>
  <c r="AC46" i="178"/>
  <c r="AB46" i="178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I45" i="178"/>
  <c r="H45" i="178"/>
  <c r="E45" i="178"/>
  <c r="AD44" i="178"/>
  <c r="AC44" i="178"/>
  <c r="AB44" i="178"/>
  <c r="AE44" i="178" s="1"/>
  <c r="AI44" i="178" s="1"/>
  <c r="Y44" i="178" s="1"/>
  <c r="Z44" i="178"/>
  <c r="X44" i="178"/>
  <c r="Q44" i="178"/>
  <c r="P44" i="178"/>
  <c r="H44" i="178"/>
  <c r="E44" i="178"/>
  <c r="I44" i="178" s="1"/>
  <c r="AD43" i="178"/>
  <c r="AE43" i="178" s="1"/>
  <c r="AI43" i="178" s="1"/>
  <c r="Y43" i="178" s="1"/>
  <c r="AC43" i="178"/>
  <c r="AB43" i="178"/>
  <c r="Z43" i="178"/>
  <c r="X43" i="178"/>
  <c r="Q43" i="178"/>
  <c r="P43" i="178"/>
  <c r="I43" i="178"/>
  <c r="H43" i="178"/>
  <c r="E43" i="178"/>
  <c r="AD42" i="178"/>
  <c r="AC42" i="178"/>
  <c r="AE42" i="178" s="1"/>
  <c r="AI42" i="178" s="1"/>
  <c r="Y42" i="178" s="1"/>
  <c r="AB42" i="178"/>
  <c r="Z42" i="178"/>
  <c r="X42" i="178"/>
  <c r="Q42" i="178"/>
  <c r="P42" i="178"/>
  <c r="H42" i="178"/>
  <c r="E42" i="178"/>
  <c r="I42" i="178" s="1"/>
  <c r="AE41" i="178"/>
  <c r="AI41" i="178" s="1"/>
  <c r="Y41" i="178" s="1"/>
  <c r="AD41" i="178"/>
  <c r="AC41" i="178"/>
  <c r="AB41" i="178"/>
  <c r="Z41" i="178"/>
  <c r="X41" i="178"/>
  <c r="Q41" i="178"/>
  <c r="P41" i="178"/>
  <c r="H41" i="178"/>
  <c r="E41" i="178"/>
  <c r="I41" i="178" s="1"/>
  <c r="AD40" i="178"/>
  <c r="AC40" i="178"/>
  <c r="AB40" i="178"/>
  <c r="AE40" i="178" s="1"/>
  <c r="AI40" i="178" s="1"/>
  <c r="Y40" i="178" s="1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I38" i="178"/>
  <c r="H38" i="178"/>
  <c r="E38" i="178"/>
  <c r="AE37" i="178"/>
  <c r="AI37" i="178" s="1"/>
  <c r="Y37" i="178" s="1"/>
  <c r="AD37" i="178"/>
  <c r="AC37" i="178"/>
  <c r="AB37" i="178"/>
  <c r="Z37" i="178"/>
  <c r="X37" i="178"/>
  <c r="Q37" i="178"/>
  <c r="P37" i="178"/>
  <c r="I37" i="178"/>
  <c r="H37" i="178"/>
  <c r="E37" i="178"/>
  <c r="AD36" i="178"/>
  <c r="AC36" i="178"/>
  <c r="AB36" i="178"/>
  <c r="AE36" i="178" s="1"/>
  <c r="AI36" i="178" s="1"/>
  <c r="Y36" i="178" s="1"/>
  <c r="Z36" i="178"/>
  <c r="X36" i="178"/>
  <c r="Q36" i="178"/>
  <c r="P36" i="178"/>
  <c r="H36" i="178"/>
  <c r="E36" i="178"/>
  <c r="I36" i="178" s="1"/>
  <c r="AD35" i="178"/>
  <c r="AC35" i="178"/>
  <c r="AE35" i="178" s="1"/>
  <c r="AI35" i="178" s="1"/>
  <c r="Y35" i="178" s="1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I34" i="178"/>
  <c r="H34" i="178"/>
  <c r="E34" i="178"/>
  <c r="AD33" i="178"/>
  <c r="AC33" i="178"/>
  <c r="AB33" i="178"/>
  <c r="AE33" i="178" s="1"/>
  <c r="AI33" i="178" s="1"/>
  <c r="Y33" i="178" s="1"/>
  <c r="Z33" i="178"/>
  <c r="X33" i="178"/>
  <c r="Q33" i="178"/>
  <c r="P33" i="178"/>
  <c r="H33" i="178"/>
  <c r="E33" i="178"/>
  <c r="I33" i="178" s="1"/>
  <c r="AE32" i="178"/>
  <c r="AI32" i="178" s="1"/>
  <c r="Y32" i="178" s="1"/>
  <c r="AD32" i="178"/>
  <c r="AC32" i="178"/>
  <c r="AB32" i="178"/>
  <c r="Z32" i="178"/>
  <c r="X32" i="178"/>
  <c r="Q32" i="178"/>
  <c r="P32" i="178"/>
  <c r="H32" i="178"/>
  <c r="E32" i="178"/>
  <c r="I32" i="178" s="1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I30" i="178"/>
  <c r="H30" i="178"/>
  <c r="E30" i="178"/>
  <c r="AD29" i="178"/>
  <c r="AC29" i="178"/>
  <c r="AB29" i="178"/>
  <c r="AE29" i="178" s="1"/>
  <c r="AI29" i="178" s="1"/>
  <c r="Y29" i="178" s="1"/>
  <c r="Z29" i="178"/>
  <c r="X29" i="178"/>
  <c r="Q29" i="178"/>
  <c r="P29" i="178"/>
  <c r="H29" i="178"/>
  <c r="E29" i="178"/>
  <c r="I29" i="178" s="1"/>
  <c r="AD28" i="178"/>
  <c r="AC28" i="178"/>
  <c r="AB28" i="178"/>
  <c r="AE28" i="178" s="1"/>
  <c r="AI28" i="178" s="1"/>
  <c r="Y28" i="178" s="1"/>
  <c r="Z28" i="178"/>
  <c r="X28" i="178"/>
  <c r="Q28" i="178"/>
  <c r="P28" i="178"/>
  <c r="I28" i="178"/>
  <c r="H28" i="178"/>
  <c r="E28" i="178"/>
  <c r="AD27" i="178"/>
  <c r="AC27" i="178"/>
  <c r="AE27" i="178" s="1"/>
  <c r="AI27" i="178" s="1"/>
  <c r="Y27" i="178" s="1"/>
  <c r="AB27" i="178"/>
  <c r="Z27" i="178"/>
  <c r="X27" i="178"/>
  <c r="Q27" i="178"/>
  <c r="P27" i="178"/>
  <c r="H27" i="178"/>
  <c r="E27" i="178"/>
  <c r="I27" i="178" s="1"/>
  <c r="AE26" i="178"/>
  <c r="AI26" i="178" s="1"/>
  <c r="Y26" i="178" s="1"/>
  <c r="AD26" i="178"/>
  <c r="AC26" i="178"/>
  <c r="AB26" i="178"/>
  <c r="Z26" i="178"/>
  <c r="X26" i="178"/>
  <c r="Q26" i="178"/>
  <c r="P26" i="178"/>
  <c r="I26" i="178"/>
  <c r="H26" i="178"/>
  <c r="E26" i="178"/>
  <c r="AD25" i="178"/>
  <c r="AC25" i="178"/>
  <c r="AB25" i="178"/>
  <c r="AE25" i="178" s="1"/>
  <c r="AI25" i="178" s="1"/>
  <c r="Y25" i="178" s="1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I23" i="178"/>
  <c r="H23" i="178"/>
  <c r="E23" i="178"/>
  <c r="AD22" i="178"/>
  <c r="AE22" i="178" s="1"/>
  <c r="AI22" i="178" s="1"/>
  <c r="Y22" i="178" s="1"/>
  <c r="AC22" i="178"/>
  <c r="AB22" i="178"/>
  <c r="Z22" i="178"/>
  <c r="X22" i="178"/>
  <c r="Q22" i="178"/>
  <c r="P22" i="178"/>
  <c r="I22" i="178"/>
  <c r="H22" i="178"/>
  <c r="E22" i="178"/>
  <c r="AD21" i="178"/>
  <c r="AC21" i="178"/>
  <c r="AB21" i="178"/>
  <c r="AE21" i="178" s="1"/>
  <c r="AI21" i="178" s="1"/>
  <c r="Y21" i="178" s="1"/>
  <c r="Z21" i="178"/>
  <c r="X21" i="178"/>
  <c r="Q21" i="178"/>
  <c r="P21" i="178"/>
  <c r="H21" i="178"/>
  <c r="E21" i="178"/>
  <c r="I21" i="178" s="1"/>
  <c r="AD20" i="178"/>
  <c r="AC20" i="178"/>
  <c r="AE20" i="178" s="1"/>
  <c r="AI20" i="178" s="1"/>
  <c r="Y20" i="178" s="1"/>
  <c r="AB20" i="178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I19" i="178"/>
  <c r="H19" i="178"/>
  <c r="E19" i="178"/>
  <c r="AD18" i="178"/>
  <c r="AC18" i="178"/>
  <c r="AB18" i="178"/>
  <c r="AE18" i="178" s="1"/>
  <c r="AI18" i="178" s="1"/>
  <c r="Y18" i="178" s="1"/>
  <c r="Z18" i="178"/>
  <c r="X18" i="178"/>
  <c r="Q18" i="178"/>
  <c r="P18" i="178"/>
  <c r="H18" i="178"/>
  <c r="E18" i="178"/>
  <c r="I18" i="178" s="1"/>
  <c r="AE17" i="178"/>
  <c r="AI17" i="178" s="1"/>
  <c r="Y17" i="178" s="1"/>
  <c r="AD17" i="178"/>
  <c r="AC17" i="178"/>
  <c r="AB17" i="178"/>
  <c r="Z17" i="178"/>
  <c r="X17" i="178"/>
  <c r="Q17" i="178"/>
  <c r="P17" i="178"/>
  <c r="H17" i="178"/>
  <c r="E17" i="178"/>
  <c r="I17" i="178" s="1"/>
  <c r="AD16" i="178"/>
  <c r="AC16" i="178"/>
  <c r="AB16" i="178"/>
  <c r="AE16" i="178" s="1"/>
  <c r="AI16" i="178" s="1"/>
  <c r="Y16" i="178" s="1"/>
  <c r="Z16" i="178"/>
  <c r="X16" i="178"/>
  <c r="Q16" i="178"/>
  <c r="P16" i="178"/>
  <c r="E16" i="178"/>
  <c r="I16" i="178" s="1"/>
  <c r="AD15" i="178"/>
  <c r="AC15" i="178"/>
  <c r="AE15" i="178" s="1"/>
  <c r="AI15" i="178" s="1"/>
  <c r="Y15" i="178" s="1"/>
  <c r="AB15" i="178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O75" i="178" s="1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X13" i="178"/>
  <c r="Q13" i="178"/>
  <c r="P13" i="178"/>
  <c r="I13" i="178"/>
  <c r="H13" i="178"/>
  <c r="E13" i="178"/>
  <c r="AD12" i="178"/>
  <c r="AE12" i="178" s="1"/>
  <c r="AI12" i="178" s="1"/>
  <c r="Y12" i="178" s="1"/>
  <c r="AC12" i="178"/>
  <c r="AB12" i="178"/>
  <c r="Z12" i="178"/>
  <c r="X12" i="178"/>
  <c r="Q12" i="178"/>
  <c r="P12" i="178"/>
  <c r="I12" i="178"/>
  <c r="H12" i="178"/>
  <c r="E12" i="178"/>
  <c r="T79" i="179" l="1"/>
  <c r="F77" i="179"/>
  <c r="T75" i="178"/>
  <c r="O73" i="178"/>
  <c r="T77" i="178"/>
  <c r="T73" i="178"/>
  <c r="F73" i="178"/>
  <c r="F75" i="178"/>
  <c r="M79" i="177"/>
  <c r="W73" i="177"/>
  <c r="P71" i="177"/>
  <c r="H71" i="177"/>
  <c r="Q70" i="177"/>
  <c r="P70" i="177"/>
  <c r="I70" i="177"/>
  <c r="H70" i="177"/>
  <c r="E70" i="177"/>
  <c r="Q69" i="177"/>
  <c r="P69" i="177"/>
  <c r="I69" i="177"/>
  <c r="H69" i="177"/>
  <c r="E69" i="177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D67" i="177"/>
  <c r="AC67" i="177"/>
  <c r="AB67" i="177"/>
  <c r="AE67" i="177" s="1"/>
  <c r="AI67" i="177" s="1"/>
  <c r="Y67" i="177" s="1"/>
  <c r="Z67" i="177"/>
  <c r="X67" i="177"/>
  <c r="Q67" i="177"/>
  <c r="P67" i="177"/>
  <c r="I67" i="177"/>
  <c r="H67" i="177"/>
  <c r="E67" i="177"/>
  <c r="AE66" i="177"/>
  <c r="AI66" i="177" s="1"/>
  <c r="Y66" i="177" s="1"/>
  <c r="AD66" i="177"/>
  <c r="AC66" i="177"/>
  <c r="AB66" i="177"/>
  <c r="Z66" i="177"/>
  <c r="X66" i="177"/>
  <c r="Q66" i="177"/>
  <c r="P66" i="177"/>
  <c r="I66" i="177"/>
  <c r="H66" i="177"/>
  <c r="E66" i="177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E64" i="177"/>
  <c r="AI64" i="177" s="1"/>
  <c r="Y64" i="177" s="1"/>
  <c r="AD64" i="177"/>
  <c r="AC64" i="177"/>
  <c r="AB64" i="177"/>
  <c r="Z64" i="177"/>
  <c r="X64" i="177"/>
  <c r="Q64" i="177"/>
  <c r="P64" i="177"/>
  <c r="H64" i="177"/>
  <c r="E64" i="177"/>
  <c r="I64" i="177" s="1"/>
  <c r="AD63" i="177"/>
  <c r="AC63" i="177"/>
  <c r="AB63" i="177"/>
  <c r="AE63" i="177" s="1"/>
  <c r="AI63" i="177" s="1"/>
  <c r="Y63" i="177" s="1"/>
  <c r="Z63" i="177"/>
  <c r="X63" i="177"/>
  <c r="Q63" i="177"/>
  <c r="P63" i="177"/>
  <c r="I63" i="177"/>
  <c r="H63" i="177"/>
  <c r="E63" i="177"/>
  <c r="AD62" i="177"/>
  <c r="AC62" i="177"/>
  <c r="AB62" i="177"/>
  <c r="AE62" i="177" s="1"/>
  <c r="AI62" i="177" s="1"/>
  <c r="Y62" i="177" s="1"/>
  <c r="Z62" i="177"/>
  <c r="X62" i="177"/>
  <c r="Q62" i="177"/>
  <c r="P62" i="177"/>
  <c r="I62" i="177"/>
  <c r="H62" i="177"/>
  <c r="E62" i="177"/>
  <c r="AC61" i="177"/>
  <c r="AE61" i="177" s="1"/>
  <c r="AI61" i="177" s="1"/>
  <c r="Y61" i="177" s="1"/>
  <c r="AB61" i="177"/>
  <c r="X61" i="177"/>
  <c r="Q61" i="177"/>
  <c r="P61" i="177"/>
  <c r="H61" i="177"/>
  <c r="E61" i="177"/>
  <c r="I61" i="177" s="1"/>
  <c r="AE60" i="177"/>
  <c r="AI60" i="177" s="1"/>
  <c r="Y60" i="177" s="1"/>
  <c r="X60" i="177"/>
  <c r="Q60" i="177"/>
  <c r="P60" i="177"/>
  <c r="I60" i="177"/>
  <c r="H60" i="177"/>
  <c r="E60" i="177"/>
  <c r="AC59" i="177"/>
  <c r="AB59" i="177"/>
  <c r="AE59" i="177" s="1"/>
  <c r="AI59" i="177" s="1"/>
  <c r="Y59" i="177" s="1"/>
  <c r="X59" i="177"/>
  <c r="Q59" i="177"/>
  <c r="P59" i="177"/>
  <c r="I59" i="177"/>
  <c r="H59" i="177"/>
  <c r="E59" i="177"/>
  <c r="AE58" i="177"/>
  <c r="AI58" i="177" s="1"/>
  <c r="Y58" i="177" s="1"/>
  <c r="AC58" i="177"/>
  <c r="AB58" i="177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I57" i="177"/>
  <c r="H57" i="177"/>
  <c r="E57" i="177"/>
  <c r="AD56" i="177"/>
  <c r="AC56" i="177"/>
  <c r="AB56" i="177"/>
  <c r="AE56" i="177" s="1"/>
  <c r="AI56" i="177" s="1"/>
  <c r="Y56" i="177" s="1"/>
  <c r="Z56" i="177"/>
  <c r="X56" i="177"/>
  <c r="Q56" i="177"/>
  <c r="P56" i="177"/>
  <c r="H56" i="177"/>
  <c r="E56" i="177"/>
  <c r="I56" i="177" s="1"/>
  <c r="AE55" i="177"/>
  <c r="AI55" i="177" s="1"/>
  <c r="Y55" i="177" s="1"/>
  <c r="AD55" i="177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H54" i="177"/>
  <c r="E54" i="177"/>
  <c r="I54" i="177" s="1"/>
  <c r="AE53" i="177"/>
  <c r="AI53" i="177" s="1"/>
  <c r="Y53" i="177" s="1"/>
  <c r="AD53" i="177"/>
  <c r="AC53" i="177"/>
  <c r="AB53" i="177"/>
  <c r="Z53" i="177"/>
  <c r="X53" i="177"/>
  <c r="Q53" i="177"/>
  <c r="P53" i="177"/>
  <c r="H53" i="177"/>
  <c r="E53" i="177"/>
  <c r="I53" i="177" s="1"/>
  <c r="AE52" i="177"/>
  <c r="AI52" i="177" s="1"/>
  <c r="Y52" i="177" s="1"/>
  <c r="Z52" i="177"/>
  <c r="X52" i="177"/>
  <c r="Q52" i="177"/>
  <c r="P52" i="177"/>
  <c r="I52" i="177"/>
  <c r="H52" i="177"/>
  <c r="E52" i="177"/>
  <c r="AD51" i="177"/>
  <c r="AC51" i="177"/>
  <c r="AB51" i="177"/>
  <c r="AE51" i="177" s="1"/>
  <c r="AI51" i="177" s="1"/>
  <c r="Y51" i="177" s="1"/>
  <c r="Z51" i="177"/>
  <c r="X51" i="177"/>
  <c r="Q51" i="177"/>
  <c r="P51" i="177"/>
  <c r="I51" i="177"/>
  <c r="H51" i="177"/>
  <c r="E51" i="177"/>
  <c r="AD50" i="177"/>
  <c r="AC50" i="177"/>
  <c r="AE50" i="177" s="1"/>
  <c r="AI50" i="177" s="1"/>
  <c r="Y50" i="177" s="1"/>
  <c r="AB50" i="177"/>
  <c r="Z50" i="177"/>
  <c r="X50" i="177"/>
  <c r="Q50" i="177"/>
  <c r="P50" i="177"/>
  <c r="I50" i="177"/>
  <c r="H50" i="177"/>
  <c r="E50" i="177"/>
  <c r="AI49" i="177"/>
  <c r="Y49" i="177" s="1"/>
  <c r="AE49" i="177"/>
  <c r="Z49" i="177"/>
  <c r="X49" i="177"/>
  <c r="Q49" i="177"/>
  <c r="P49" i="177"/>
  <c r="H49" i="177"/>
  <c r="E49" i="177"/>
  <c r="I49" i="177" s="1"/>
  <c r="AI48" i="177"/>
  <c r="Y48" i="177" s="1"/>
  <c r="AE48" i="177"/>
  <c r="Z48" i="177"/>
  <c r="X48" i="177"/>
  <c r="Q48" i="177"/>
  <c r="P48" i="177"/>
  <c r="I48" i="177"/>
  <c r="H48" i="177"/>
  <c r="E48" i="177"/>
  <c r="AI47" i="177"/>
  <c r="Y47" i="177" s="1"/>
  <c r="AE47" i="177"/>
  <c r="Z47" i="177"/>
  <c r="X47" i="177"/>
  <c r="Q47" i="177"/>
  <c r="P47" i="177"/>
  <c r="H47" i="177"/>
  <c r="E47" i="177"/>
  <c r="I47" i="177" s="1"/>
  <c r="AD46" i="177"/>
  <c r="AE46" i="177" s="1"/>
  <c r="AI46" i="177" s="1"/>
  <c r="Y46" i="177" s="1"/>
  <c r="AC46" i="177"/>
  <c r="AB46" i="177"/>
  <c r="Z46" i="177"/>
  <c r="X46" i="177"/>
  <c r="Q46" i="177"/>
  <c r="P46" i="177"/>
  <c r="H46" i="177"/>
  <c r="E46" i="177"/>
  <c r="I46" i="177" s="1"/>
  <c r="AD45" i="177"/>
  <c r="AC45" i="177"/>
  <c r="AE45" i="177" s="1"/>
  <c r="AI45" i="177" s="1"/>
  <c r="Y45" i="177" s="1"/>
  <c r="AB45" i="177"/>
  <c r="Z45" i="177"/>
  <c r="X45" i="177"/>
  <c r="Q45" i="177"/>
  <c r="P45" i="177"/>
  <c r="H45" i="177"/>
  <c r="E45" i="177"/>
  <c r="I45" i="177" s="1"/>
  <c r="AD44" i="177"/>
  <c r="AC44" i="177"/>
  <c r="AB44" i="177"/>
  <c r="AE44" i="177" s="1"/>
  <c r="AI44" i="177" s="1"/>
  <c r="Y44" i="177" s="1"/>
  <c r="Z44" i="177"/>
  <c r="X44" i="177"/>
  <c r="Q44" i="177"/>
  <c r="P44" i="177"/>
  <c r="H44" i="177"/>
  <c r="E44" i="177"/>
  <c r="I44" i="177" s="1"/>
  <c r="AE43" i="177"/>
  <c r="AI43" i="177" s="1"/>
  <c r="Y43" i="177" s="1"/>
  <c r="AD43" i="177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H42" i="177"/>
  <c r="E42" i="177"/>
  <c r="I42" i="177" s="1"/>
  <c r="AE41" i="177"/>
  <c r="AI41" i="177" s="1"/>
  <c r="Y41" i="177" s="1"/>
  <c r="AD41" i="177"/>
  <c r="AC41" i="177"/>
  <c r="AB41" i="177"/>
  <c r="Z41" i="177"/>
  <c r="X41" i="177"/>
  <c r="Q41" i="177"/>
  <c r="P41" i="177"/>
  <c r="H41" i="177"/>
  <c r="E41" i="177"/>
  <c r="I41" i="177" s="1"/>
  <c r="AD40" i="177"/>
  <c r="AC40" i="177"/>
  <c r="AB40" i="177"/>
  <c r="AE40" i="177" s="1"/>
  <c r="AI40" i="177" s="1"/>
  <c r="Y40" i="177" s="1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I39" i="177"/>
  <c r="H39" i="177"/>
  <c r="E39" i="177"/>
  <c r="AD38" i="177"/>
  <c r="AC38" i="177"/>
  <c r="AB38" i="177"/>
  <c r="AE38" i="177" s="1"/>
  <c r="AI38" i="177" s="1"/>
  <c r="Y38" i="177" s="1"/>
  <c r="Z38" i="177"/>
  <c r="X38" i="177"/>
  <c r="Q38" i="177"/>
  <c r="P38" i="177"/>
  <c r="I38" i="177"/>
  <c r="H38" i="177"/>
  <c r="E38" i="177"/>
  <c r="AD37" i="177"/>
  <c r="AC37" i="177"/>
  <c r="AE37" i="177" s="1"/>
  <c r="AI37" i="177" s="1"/>
  <c r="Y37" i="177" s="1"/>
  <c r="AB37" i="177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E35" i="177" s="1"/>
  <c r="AI35" i="177" s="1"/>
  <c r="Y35" i="177" s="1"/>
  <c r="AB35" i="177"/>
  <c r="Z35" i="177"/>
  <c r="X35" i="177"/>
  <c r="Q35" i="177"/>
  <c r="P35" i="177"/>
  <c r="H35" i="177"/>
  <c r="E35" i="177"/>
  <c r="I35" i="177" s="1"/>
  <c r="AD34" i="177"/>
  <c r="AC34" i="177"/>
  <c r="AB34" i="177"/>
  <c r="AE34" i="177" s="1"/>
  <c r="AI34" i="177" s="1"/>
  <c r="Y34" i="177" s="1"/>
  <c r="Z34" i="177"/>
  <c r="X34" i="177"/>
  <c r="Q34" i="177"/>
  <c r="P34" i="177"/>
  <c r="H34" i="177"/>
  <c r="E34" i="177"/>
  <c r="I34" i="177" s="1"/>
  <c r="AD33" i="177"/>
  <c r="AC33" i="177"/>
  <c r="AB33" i="177"/>
  <c r="AE33" i="177" s="1"/>
  <c r="AI33" i="177" s="1"/>
  <c r="Y33" i="177" s="1"/>
  <c r="Z33" i="177"/>
  <c r="X33" i="177"/>
  <c r="Q33" i="177"/>
  <c r="P33" i="177"/>
  <c r="I33" i="177"/>
  <c r="H33" i="177"/>
  <c r="E33" i="177"/>
  <c r="AD32" i="177"/>
  <c r="AE32" i="177" s="1"/>
  <c r="AI32" i="177" s="1"/>
  <c r="Y32" i="177" s="1"/>
  <c r="AC32" i="177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C30" i="177"/>
  <c r="AE30" i="177" s="1"/>
  <c r="AI30" i="177" s="1"/>
  <c r="Y30" i="177" s="1"/>
  <c r="AB30" i="177"/>
  <c r="Z30" i="177"/>
  <c r="X30" i="177"/>
  <c r="Q30" i="177"/>
  <c r="P30" i="177"/>
  <c r="I30" i="177"/>
  <c r="H30" i="177"/>
  <c r="E30" i="177"/>
  <c r="AD29" i="177"/>
  <c r="AC29" i="177"/>
  <c r="AB29" i="177"/>
  <c r="AE29" i="177" s="1"/>
  <c r="AI29" i="177" s="1"/>
  <c r="Y29" i="177" s="1"/>
  <c r="Z29" i="177"/>
  <c r="X29" i="177"/>
  <c r="Q29" i="177"/>
  <c r="P29" i="177"/>
  <c r="H29" i="177"/>
  <c r="E29" i="177"/>
  <c r="I29" i="177" s="1"/>
  <c r="AE28" i="177"/>
  <c r="AI28" i="177" s="1"/>
  <c r="Y28" i="177" s="1"/>
  <c r="AD28" i="177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H27" i="177"/>
  <c r="E27" i="177"/>
  <c r="I27" i="177" s="1"/>
  <c r="AE26" i="177"/>
  <c r="AI26" i="177" s="1"/>
  <c r="Y26" i="177" s="1"/>
  <c r="AD26" i="177"/>
  <c r="AC26" i="177"/>
  <c r="AB26" i="177"/>
  <c r="Z26" i="177"/>
  <c r="X26" i="177"/>
  <c r="Q26" i="177"/>
  <c r="P26" i="177"/>
  <c r="H26" i="177"/>
  <c r="E26" i="177"/>
  <c r="I26" i="177" s="1"/>
  <c r="AD25" i="177"/>
  <c r="AC25" i="177"/>
  <c r="AB25" i="177"/>
  <c r="AE25" i="177" s="1"/>
  <c r="AI25" i="177" s="1"/>
  <c r="Y25" i="177" s="1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I24" i="177"/>
  <c r="H24" i="177"/>
  <c r="E24" i="177"/>
  <c r="AD23" i="177"/>
  <c r="AC23" i="177"/>
  <c r="AB23" i="177"/>
  <c r="AE23" i="177" s="1"/>
  <c r="AI23" i="177" s="1"/>
  <c r="Y23" i="177" s="1"/>
  <c r="Z23" i="177"/>
  <c r="X23" i="177"/>
  <c r="Q23" i="177"/>
  <c r="P23" i="177"/>
  <c r="I23" i="177"/>
  <c r="H23" i="177"/>
  <c r="E23" i="177"/>
  <c r="AE22" i="177"/>
  <c r="AI22" i="177" s="1"/>
  <c r="Y22" i="177" s="1"/>
  <c r="AD22" i="177"/>
  <c r="AC22" i="177"/>
  <c r="AB22" i="177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E20" i="177" s="1"/>
  <c r="AI20" i="177" s="1"/>
  <c r="Y20" i="177" s="1"/>
  <c r="AB20" i="177"/>
  <c r="Z20" i="177"/>
  <c r="X20" i="177"/>
  <c r="Q20" i="177"/>
  <c r="P20" i="177"/>
  <c r="H20" i="177"/>
  <c r="E20" i="177"/>
  <c r="I20" i="177" s="1"/>
  <c r="AD19" i="177"/>
  <c r="AC19" i="177"/>
  <c r="AB19" i="177"/>
  <c r="AE19" i="177" s="1"/>
  <c r="AI19" i="177" s="1"/>
  <c r="Y19" i="177" s="1"/>
  <c r="Z19" i="177"/>
  <c r="X19" i="177"/>
  <c r="Q19" i="177"/>
  <c r="P19" i="177"/>
  <c r="I19" i="177"/>
  <c r="H19" i="177"/>
  <c r="E19" i="177"/>
  <c r="AD18" i="177"/>
  <c r="AC18" i="177"/>
  <c r="AB18" i="177"/>
  <c r="AE18" i="177" s="1"/>
  <c r="AI18" i="177" s="1"/>
  <c r="Y18" i="177" s="1"/>
  <c r="Z18" i="177"/>
  <c r="X18" i="177"/>
  <c r="Q18" i="177"/>
  <c r="P18" i="177"/>
  <c r="I18" i="177"/>
  <c r="H18" i="177"/>
  <c r="E18" i="177"/>
  <c r="AD17" i="177"/>
  <c r="AE17" i="177" s="1"/>
  <c r="AI17" i="177" s="1"/>
  <c r="Y17" i="177" s="1"/>
  <c r="AC17" i="177"/>
  <c r="AB17" i="177"/>
  <c r="Z17" i="177"/>
  <c r="X17" i="177"/>
  <c r="Q17" i="177"/>
  <c r="P17" i="177"/>
  <c r="H17" i="177"/>
  <c r="E17" i="177"/>
  <c r="I17" i="177" s="1"/>
  <c r="AD16" i="177"/>
  <c r="AC16" i="177"/>
  <c r="AE16" i="177" s="1"/>
  <c r="AI16" i="177" s="1"/>
  <c r="Y16" i="177" s="1"/>
  <c r="AB16" i="177"/>
  <c r="Z16" i="177"/>
  <c r="X16" i="177"/>
  <c r="Q16" i="177"/>
  <c r="P16" i="177"/>
  <c r="E16" i="177"/>
  <c r="I16" i="177" s="1"/>
  <c r="AD15" i="177"/>
  <c r="AC15" i="177"/>
  <c r="AE15" i="177" s="1"/>
  <c r="AI15" i="177" s="1"/>
  <c r="Y15" i="177" s="1"/>
  <c r="AB15" i="177"/>
  <c r="Z15" i="177"/>
  <c r="X15" i="177"/>
  <c r="Q15" i="177"/>
  <c r="P15" i="177"/>
  <c r="E15" i="177"/>
  <c r="I15" i="177" s="1"/>
  <c r="AD14" i="177"/>
  <c r="AC14" i="177"/>
  <c r="AB14" i="177"/>
  <c r="AE14" i="177" s="1"/>
  <c r="AI14" i="177" s="1"/>
  <c r="Y14" i="177" s="1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E12" i="177" s="1"/>
  <c r="AI12" i="177" s="1"/>
  <c r="Y12" i="177" s="1"/>
  <c r="AB12" i="177"/>
  <c r="Z12" i="177"/>
  <c r="T75" i="177" s="1"/>
  <c r="X12" i="177"/>
  <c r="T77" i="177" s="1"/>
  <c r="Q12" i="177"/>
  <c r="P12" i="177"/>
  <c r="I12" i="177"/>
  <c r="H12" i="177"/>
  <c r="E12" i="177"/>
  <c r="T79" i="178" l="1"/>
  <c r="F77" i="178"/>
  <c r="O75" i="177"/>
  <c r="O73" i="177"/>
  <c r="T73" i="177"/>
  <c r="T79" i="177" s="1"/>
  <c r="F73" i="177"/>
  <c r="F75" i="177"/>
  <c r="M79" i="176"/>
  <c r="W73" i="176"/>
  <c r="P71" i="176"/>
  <c r="Q70" i="176"/>
  <c r="P70" i="176"/>
  <c r="I70" i="176"/>
  <c r="H70" i="176"/>
  <c r="E70" i="176"/>
  <c r="Q69" i="176"/>
  <c r="P69" i="176"/>
  <c r="I69" i="176"/>
  <c r="H69" i="176"/>
  <c r="E69" i="176"/>
  <c r="AI68" i="176"/>
  <c r="Y68" i="176" s="1"/>
  <c r="AE68" i="176"/>
  <c r="AD68" i="176"/>
  <c r="AC68" i="176"/>
  <c r="AB68" i="176"/>
  <c r="Z68" i="176"/>
  <c r="X68" i="176"/>
  <c r="W68" i="176"/>
  <c r="Q68" i="176"/>
  <c r="P68" i="176"/>
  <c r="H68" i="176"/>
  <c r="E68" i="176"/>
  <c r="I68" i="176" s="1"/>
  <c r="AD67" i="176"/>
  <c r="AC67" i="176"/>
  <c r="AB67" i="176"/>
  <c r="AE67" i="176" s="1"/>
  <c r="AI67" i="176" s="1"/>
  <c r="Y67" i="176" s="1"/>
  <c r="Z67" i="176"/>
  <c r="X67" i="176"/>
  <c r="Q67" i="176"/>
  <c r="P67" i="176"/>
  <c r="I67" i="176"/>
  <c r="H67" i="176"/>
  <c r="E67" i="176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B63" i="176"/>
  <c r="AE63" i="176" s="1"/>
  <c r="AI63" i="176" s="1"/>
  <c r="Y63" i="176" s="1"/>
  <c r="Z63" i="176"/>
  <c r="X63" i="176"/>
  <c r="Q63" i="176"/>
  <c r="P63" i="176"/>
  <c r="I63" i="176"/>
  <c r="H63" i="176"/>
  <c r="E63" i="176"/>
  <c r="AE62" i="176"/>
  <c r="AI62" i="176" s="1"/>
  <c r="Y62" i="176" s="1"/>
  <c r="AD62" i="176"/>
  <c r="AC62" i="176"/>
  <c r="AB62" i="176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H61" i="176"/>
  <c r="E61" i="176"/>
  <c r="I61" i="176" s="1"/>
  <c r="AE60" i="176"/>
  <c r="AI60" i="176" s="1"/>
  <c r="Y60" i="176" s="1"/>
  <c r="X60" i="176"/>
  <c r="Q60" i="176"/>
  <c r="P60" i="176"/>
  <c r="I60" i="176"/>
  <c r="H60" i="176"/>
  <c r="E60" i="176"/>
  <c r="AI59" i="176"/>
  <c r="Y59" i="176" s="1"/>
  <c r="AE59" i="176"/>
  <c r="AC59" i="176"/>
  <c r="AB59" i="176"/>
  <c r="X59" i="176"/>
  <c r="Q59" i="176"/>
  <c r="P59" i="176"/>
  <c r="I59" i="176"/>
  <c r="H59" i="176"/>
  <c r="E59" i="176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I56" i="176"/>
  <c r="Y56" i="176" s="1"/>
  <c r="AE56" i="176"/>
  <c r="AD56" i="176"/>
  <c r="AC56" i="176"/>
  <c r="AB56" i="176"/>
  <c r="Z56" i="176"/>
  <c r="X56" i="176"/>
  <c r="Q56" i="176"/>
  <c r="P56" i="176"/>
  <c r="H56" i="176"/>
  <c r="E56" i="176"/>
  <c r="I56" i="176" s="1"/>
  <c r="AD55" i="176"/>
  <c r="AC55" i="176"/>
  <c r="AE55" i="176" s="1"/>
  <c r="AI55" i="176" s="1"/>
  <c r="Y55" i="176" s="1"/>
  <c r="AB55" i="176"/>
  <c r="Z55" i="176"/>
  <c r="X55" i="176"/>
  <c r="Q55" i="176"/>
  <c r="P55" i="176"/>
  <c r="I55" i="176"/>
  <c r="H55" i="176"/>
  <c r="E55" i="176"/>
  <c r="AD54" i="176"/>
  <c r="AC54" i="176"/>
  <c r="AB54" i="176"/>
  <c r="AE54" i="176" s="1"/>
  <c r="AI54" i="176" s="1"/>
  <c r="Y54" i="176" s="1"/>
  <c r="Z54" i="176"/>
  <c r="X54" i="176"/>
  <c r="Q54" i="176"/>
  <c r="P54" i="176"/>
  <c r="H54" i="176"/>
  <c r="E54" i="176"/>
  <c r="I54" i="176" s="1"/>
  <c r="AE53" i="176"/>
  <c r="AI53" i="176" s="1"/>
  <c r="Y53" i="176" s="1"/>
  <c r="AD53" i="176"/>
  <c r="AC53" i="176"/>
  <c r="AB53" i="176"/>
  <c r="Z53" i="176"/>
  <c r="X53" i="176"/>
  <c r="Q53" i="176"/>
  <c r="P53" i="176"/>
  <c r="I53" i="176"/>
  <c r="H53" i="176"/>
  <c r="E53" i="176"/>
  <c r="AE52" i="176"/>
  <c r="AI52" i="176" s="1"/>
  <c r="Y52" i="176" s="1"/>
  <c r="Z52" i="176"/>
  <c r="X52" i="176"/>
  <c r="Q52" i="176"/>
  <c r="P52" i="176"/>
  <c r="H52" i="176"/>
  <c r="E52" i="176"/>
  <c r="I52" i="176" s="1"/>
  <c r="AD51" i="176"/>
  <c r="AC51" i="176"/>
  <c r="AB51" i="176"/>
  <c r="AE51" i="176" s="1"/>
  <c r="AI51" i="176" s="1"/>
  <c r="Y51" i="176" s="1"/>
  <c r="Z51" i="176"/>
  <c r="X51" i="176"/>
  <c r="Q51" i="176"/>
  <c r="P51" i="176"/>
  <c r="I51" i="176"/>
  <c r="H51" i="176"/>
  <c r="E51" i="176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I49" i="176"/>
  <c r="Y49" i="176" s="1"/>
  <c r="AE49" i="176"/>
  <c r="Z49" i="176"/>
  <c r="X49" i="176"/>
  <c r="Q49" i="176"/>
  <c r="P49" i="176"/>
  <c r="H49" i="176"/>
  <c r="E49" i="176"/>
  <c r="I49" i="176" s="1"/>
  <c r="AI48" i="176"/>
  <c r="AE48" i="176"/>
  <c r="Z48" i="176"/>
  <c r="Y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E46" i="176" s="1"/>
  <c r="AI46" i="176" s="1"/>
  <c r="Y46" i="176" s="1"/>
  <c r="AC46" i="176"/>
  <c r="AB46" i="176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I44" i="176"/>
  <c r="Y44" i="176" s="1"/>
  <c r="AE44" i="176"/>
  <c r="AD44" i="176"/>
  <c r="AC44" i="176"/>
  <c r="AB44" i="176"/>
  <c r="Z44" i="176"/>
  <c r="X44" i="176"/>
  <c r="Q44" i="176"/>
  <c r="P44" i="176"/>
  <c r="H44" i="176"/>
  <c r="E44" i="176"/>
  <c r="I44" i="176" s="1"/>
  <c r="AD43" i="176"/>
  <c r="AC43" i="176"/>
  <c r="AE43" i="176" s="1"/>
  <c r="AI43" i="176" s="1"/>
  <c r="Y43" i="176" s="1"/>
  <c r="AB43" i="176"/>
  <c r="Z43" i="176"/>
  <c r="X43" i="176"/>
  <c r="Q43" i="176"/>
  <c r="P43" i="176"/>
  <c r="I43" i="176"/>
  <c r="H43" i="176"/>
  <c r="E43" i="176"/>
  <c r="AD42" i="176"/>
  <c r="AC42" i="176"/>
  <c r="AB42" i="176"/>
  <c r="AE42" i="176" s="1"/>
  <c r="AI42" i="176" s="1"/>
  <c r="Y42" i="176" s="1"/>
  <c r="Z42" i="176"/>
  <c r="X42" i="176"/>
  <c r="Q42" i="176"/>
  <c r="P42" i="176"/>
  <c r="H42" i="176"/>
  <c r="E42" i="176"/>
  <c r="I42" i="176" s="1"/>
  <c r="AE41" i="176"/>
  <c r="AI41" i="176" s="1"/>
  <c r="Y41" i="176" s="1"/>
  <c r="AD41" i="176"/>
  <c r="AC41" i="176"/>
  <c r="AB41" i="176"/>
  <c r="Z41" i="176"/>
  <c r="X41" i="176"/>
  <c r="Q41" i="176"/>
  <c r="P41" i="176"/>
  <c r="I41" i="176"/>
  <c r="H41" i="176"/>
  <c r="E41" i="176"/>
  <c r="AD40" i="176"/>
  <c r="AC40" i="176"/>
  <c r="AB40" i="176"/>
  <c r="AE40" i="176" s="1"/>
  <c r="AI40" i="176" s="1"/>
  <c r="Y40" i="176" s="1"/>
  <c r="Z40" i="176"/>
  <c r="X40" i="176"/>
  <c r="Q40" i="176"/>
  <c r="P40" i="176"/>
  <c r="H40" i="176"/>
  <c r="E40" i="176"/>
  <c r="I40" i="176" s="1"/>
  <c r="AD39" i="176"/>
  <c r="AC39" i="176"/>
  <c r="AB39" i="176"/>
  <c r="AE39" i="176" s="1"/>
  <c r="AI39" i="176" s="1"/>
  <c r="Y39" i="176" s="1"/>
  <c r="Z39" i="176"/>
  <c r="X39" i="176"/>
  <c r="Q39" i="176"/>
  <c r="P39" i="176"/>
  <c r="H39" i="176"/>
  <c r="H71" i="176"/>
  <c r="E39" i="176"/>
  <c r="I39" i="176" s="1"/>
  <c r="AE38" i="176"/>
  <c r="AI38" i="176" s="1"/>
  <c r="Y38" i="176" s="1"/>
  <c r="AD38" i="176"/>
  <c r="AC38" i="176"/>
  <c r="AB38" i="176"/>
  <c r="Z38" i="176"/>
  <c r="X38" i="176"/>
  <c r="Q38" i="176"/>
  <c r="P38" i="176"/>
  <c r="I38" i="176"/>
  <c r="H38" i="176"/>
  <c r="E38" i="176"/>
  <c r="AD37" i="176"/>
  <c r="AC37" i="176"/>
  <c r="AB37" i="176"/>
  <c r="AE37" i="176" s="1"/>
  <c r="AI37" i="176" s="1"/>
  <c r="Y37" i="176" s="1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E35" i="176" s="1"/>
  <c r="AI35" i="176" s="1"/>
  <c r="Y35" i="176" s="1"/>
  <c r="AC35" i="176"/>
  <c r="AB35" i="176"/>
  <c r="Z35" i="176"/>
  <c r="X35" i="176"/>
  <c r="Q35" i="176"/>
  <c r="P35" i="176"/>
  <c r="I35" i="176"/>
  <c r="H35" i="176"/>
  <c r="E35" i="176"/>
  <c r="AD34" i="176"/>
  <c r="AC34" i="176"/>
  <c r="AB34" i="176"/>
  <c r="AE34" i="176" s="1"/>
  <c r="AI34" i="176" s="1"/>
  <c r="Y34" i="176" s="1"/>
  <c r="Z34" i="176"/>
  <c r="X34" i="176"/>
  <c r="Q34" i="176"/>
  <c r="P34" i="176"/>
  <c r="I34" i="176"/>
  <c r="H34" i="176"/>
  <c r="E34" i="176"/>
  <c r="AI33" i="176"/>
  <c r="Y33" i="176" s="1"/>
  <c r="AE33" i="176"/>
  <c r="AD33" i="176"/>
  <c r="AC33" i="176"/>
  <c r="AB33" i="176"/>
  <c r="Z33" i="176"/>
  <c r="X33" i="176"/>
  <c r="Q33" i="176"/>
  <c r="P33" i="176"/>
  <c r="H33" i="176"/>
  <c r="E33" i="176"/>
  <c r="I33" i="176" s="1"/>
  <c r="AD32" i="176"/>
  <c r="AC32" i="176"/>
  <c r="AE32" i="176" s="1"/>
  <c r="AI32" i="176" s="1"/>
  <c r="Y32" i="176" s="1"/>
  <c r="AB32" i="176"/>
  <c r="Z32" i="176"/>
  <c r="X32" i="176"/>
  <c r="Q32" i="176"/>
  <c r="P32" i="176"/>
  <c r="I32" i="176"/>
  <c r="H32" i="176"/>
  <c r="E32" i="176"/>
  <c r="AI31" i="176"/>
  <c r="AE31" i="176"/>
  <c r="Z31" i="176"/>
  <c r="Y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H30" i="176"/>
  <c r="E30" i="176"/>
  <c r="I30" i="176" s="1"/>
  <c r="AD29" i="176"/>
  <c r="AC29" i="176"/>
  <c r="AB29" i="176"/>
  <c r="AE29" i="176" s="1"/>
  <c r="AI29" i="176" s="1"/>
  <c r="Y29" i="176" s="1"/>
  <c r="Z29" i="176"/>
  <c r="X29" i="176"/>
  <c r="Q29" i="176"/>
  <c r="P29" i="176"/>
  <c r="H29" i="176"/>
  <c r="E29" i="176"/>
  <c r="I29" i="176" s="1"/>
  <c r="AD28" i="176"/>
  <c r="AC28" i="176"/>
  <c r="AB28" i="176"/>
  <c r="AE28" i="176" s="1"/>
  <c r="AI28" i="176" s="1"/>
  <c r="Y28" i="176" s="1"/>
  <c r="Z28" i="176"/>
  <c r="X28" i="176"/>
  <c r="Q28" i="176"/>
  <c r="P28" i="176"/>
  <c r="I28" i="176"/>
  <c r="H28" i="176"/>
  <c r="E28" i="176"/>
  <c r="AE27" i="176"/>
  <c r="AI27" i="176" s="1"/>
  <c r="Y27" i="176" s="1"/>
  <c r="AD27" i="176"/>
  <c r="AC27" i="176"/>
  <c r="AB27" i="176"/>
  <c r="Z27" i="176"/>
  <c r="X27" i="176"/>
  <c r="Q27" i="176"/>
  <c r="P27" i="176"/>
  <c r="H27" i="176"/>
  <c r="E27" i="176"/>
  <c r="I27" i="176" s="1"/>
  <c r="AD26" i="176"/>
  <c r="AC26" i="176"/>
  <c r="AB26" i="176"/>
  <c r="AE26" i="176" s="1"/>
  <c r="AI26" i="176" s="1"/>
  <c r="Y26" i="176" s="1"/>
  <c r="Z26" i="176"/>
  <c r="X26" i="176"/>
  <c r="Q26" i="176"/>
  <c r="P26" i="176"/>
  <c r="H26" i="176"/>
  <c r="E26" i="176"/>
  <c r="I26" i="176" s="1"/>
  <c r="AD25" i="176"/>
  <c r="AC25" i="176"/>
  <c r="AB25" i="176"/>
  <c r="AE25" i="176" s="1"/>
  <c r="AI25" i="176" s="1"/>
  <c r="Y25" i="176" s="1"/>
  <c r="Z25" i="176"/>
  <c r="X25" i="176"/>
  <c r="Q25" i="176"/>
  <c r="P25" i="176"/>
  <c r="H25" i="176"/>
  <c r="E25" i="176"/>
  <c r="I25" i="176" s="1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E23" i="176"/>
  <c r="AI23" i="176" s="1"/>
  <c r="Y23" i="176" s="1"/>
  <c r="AD23" i="176"/>
  <c r="AC23" i="176"/>
  <c r="AB23" i="176"/>
  <c r="Z23" i="176"/>
  <c r="X23" i="176"/>
  <c r="Q23" i="176"/>
  <c r="P23" i="176"/>
  <c r="I23" i="176"/>
  <c r="H23" i="176"/>
  <c r="E23" i="176"/>
  <c r="AD22" i="176"/>
  <c r="AC22" i="176"/>
  <c r="AB22" i="176"/>
  <c r="AE22" i="176" s="1"/>
  <c r="AI22" i="176" s="1"/>
  <c r="Y22" i="176" s="1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E21" i="176"/>
  <c r="I21" i="176" s="1"/>
  <c r="AD20" i="176"/>
  <c r="AE20" i="176" s="1"/>
  <c r="AI20" i="176" s="1"/>
  <c r="Y20" i="176" s="1"/>
  <c r="AC20" i="176"/>
  <c r="AB20" i="176"/>
  <c r="Z20" i="176"/>
  <c r="X20" i="176"/>
  <c r="Q20" i="176"/>
  <c r="P20" i="176"/>
  <c r="I20" i="176"/>
  <c r="H20" i="176"/>
  <c r="E20" i="176"/>
  <c r="AD19" i="176"/>
  <c r="AC19" i="176"/>
  <c r="AB19" i="176"/>
  <c r="AE19" i="176" s="1"/>
  <c r="AI19" i="176" s="1"/>
  <c r="Y19" i="176" s="1"/>
  <c r="Z19" i="176"/>
  <c r="X19" i="176"/>
  <c r="Q19" i="176"/>
  <c r="P19" i="176"/>
  <c r="I19" i="176"/>
  <c r="H19" i="176"/>
  <c r="E19" i="176"/>
  <c r="AI18" i="176"/>
  <c r="Y18" i="176" s="1"/>
  <c r="AE18" i="176"/>
  <c r="AD18" i="176"/>
  <c r="AC18" i="176"/>
  <c r="AB18" i="176"/>
  <c r="Z18" i="176"/>
  <c r="X18" i="176"/>
  <c r="Q18" i="176"/>
  <c r="P18" i="176"/>
  <c r="H18" i="176"/>
  <c r="E18" i="176"/>
  <c r="I18" i="176" s="1"/>
  <c r="AE17" i="176"/>
  <c r="AI17" i="176" s="1"/>
  <c r="Y17" i="176" s="1"/>
  <c r="AD17" i="176"/>
  <c r="AC17" i="176"/>
  <c r="AB17" i="176"/>
  <c r="Z17" i="176"/>
  <c r="X17" i="176"/>
  <c r="Q17" i="176"/>
  <c r="P17" i="176"/>
  <c r="I17" i="176"/>
  <c r="H17" i="176"/>
  <c r="E17" i="176"/>
  <c r="AD16" i="176"/>
  <c r="AC16" i="176"/>
  <c r="AB16" i="176"/>
  <c r="AE16" i="176" s="1"/>
  <c r="AI16" i="176" s="1"/>
  <c r="Y16" i="176" s="1"/>
  <c r="Z16" i="176"/>
  <c r="X16" i="176"/>
  <c r="Q16" i="176"/>
  <c r="P16" i="176"/>
  <c r="E16" i="176"/>
  <c r="I16" i="176" s="1"/>
  <c r="AD15" i="176"/>
  <c r="AE15" i="176" s="1"/>
  <c r="AI15" i="176" s="1"/>
  <c r="Y15" i="176" s="1"/>
  <c r="AC15" i="176"/>
  <c r="AB15" i="176"/>
  <c r="Z15" i="176"/>
  <c r="X15" i="176"/>
  <c r="Q15" i="176"/>
  <c r="P15" i="176"/>
  <c r="I15" i="176"/>
  <c r="E15" i="176"/>
  <c r="AD14" i="176"/>
  <c r="AC14" i="176"/>
  <c r="AB14" i="176"/>
  <c r="AE14" i="176" s="1"/>
  <c r="AI14" i="176" s="1"/>
  <c r="Y14" i="176" s="1"/>
  <c r="Z14" i="176"/>
  <c r="X14" i="176"/>
  <c r="Q14" i="176"/>
  <c r="O75" i="176" s="1"/>
  <c r="P14" i="176"/>
  <c r="I14" i="176"/>
  <c r="H14" i="176"/>
  <c r="E14" i="176"/>
  <c r="AE13" i="176"/>
  <c r="AI13" i="176" s="1"/>
  <c r="Y13" i="176" s="1"/>
  <c r="AD13" i="176"/>
  <c r="AC13" i="176"/>
  <c r="AB13" i="176"/>
  <c r="Z13" i="176"/>
  <c r="X13" i="176"/>
  <c r="Q13" i="176"/>
  <c r="P13" i="176"/>
  <c r="I13" i="176"/>
  <c r="H13" i="176"/>
  <c r="E13" i="176"/>
  <c r="AD12" i="176"/>
  <c r="AC12" i="176"/>
  <c r="AB12" i="176"/>
  <c r="AE12" i="176" s="1"/>
  <c r="AI12" i="176" s="1"/>
  <c r="Y12" i="176" s="1"/>
  <c r="Z12" i="176"/>
  <c r="X12" i="176"/>
  <c r="Q12" i="176"/>
  <c r="O73" i="176" s="1"/>
  <c r="P12" i="176"/>
  <c r="H12" i="176"/>
  <c r="E12" i="176"/>
  <c r="I12" i="176" s="1"/>
  <c r="M79" i="175"/>
  <c r="W73" i="175"/>
  <c r="P71" i="175"/>
  <c r="H71" i="175"/>
  <c r="Q70" i="175"/>
  <c r="P70" i="175"/>
  <c r="I70" i="175"/>
  <c r="H70" i="175"/>
  <c r="E70" i="175"/>
  <c r="Q69" i="175"/>
  <c r="P69" i="175"/>
  <c r="I69" i="175"/>
  <c r="H69" i="175"/>
  <c r="E69" i="175"/>
  <c r="AD68" i="175"/>
  <c r="AC68" i="175"/>
  <c r="AE68" i="175" s="1"/>
  <c r="AI68" i="175" s="1"/>
  <c r="Y68" i="175" s="1"/>
  <c r="AB68" i="175"/>
  <c r="Z68" i="175"/>
  <c r="X68" i="175"/>
  <c r="W68" i="175"/>
  <c r="Q68" i="175"/>
  <c r="P68" i="175"/>
  <c r="H68" i="175"/>
  <c r="E68" i="175"/>
  <c r="I68" i="175" s="1"/>
  <c r="AD67" i="175"/>
  <c r="AC67" i="175"/>
  <c r="AE67" i="175" s="1"/>
  <c r="AI67" i="175" s="1"/>
  <c r="Y67" i="175" s="1"/>
  <c r="AB67" i="175"/>
  <c r="Z67" i="175"/>
  <c r="X67" i="175"/>
  <c r="Q67" i="175"/>
  <c r="P67" i="175"/>
  <c r="I67" i="175"/>
  <c r="H67" i="175"/>
  <c r="E67" i="175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H64" i="175"/>
  <c r="E64" i="175"/>
  <c r="I64" i="175" s="1"/>
  <c r="AD63" i="175"/>
  <c r="AC63" i="175"/>
  <c r="AE63" i="175" s="1"/>
  <c r="AI63" i="175" s="1"/>
  <c r="Y63" i="175" s="1"/>
  <c r="AB63" i="175"/>
  <c r="Z63" i="175"/>
  <c r="X63" i="175"/>
  <c r="Q63" i="175"/>
  <c r="P63" i="175"/>
  <c r="H63" i="175"/>
  <c r="E63" i="175"/>
  <c r="I63" i="175" s="1"/>
  <c r="AD62" i="175"/>
  <c r="AC62" i="175"/>
  <c r="AB62" i="175"/>
  <c r="AE62" i="175" s="1"/>
  <c r="AI62" i="175" s="1"/>
  <c r="Y62" i="175" s="1"/>
  <c r="Z62" i="175"/>
  <c r="X62" i="175"/>
  <c r="Q62" i="175"/>
  <c r="P62" i="175"/>
  <c r="H62" i="175"/>
  <c r="E62" i="175"/>
  <c r="I62" i="175" s="1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E60" i="175"/>
  <c r="AI60" i="175" s="1"/>
  <c r="Y60" i="175" s="1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I59" i="175"/>
  <c r="H59" i="175"/>
  <c r="E59" i="175"/>
  <c r="AC58" i="175"/>
  <c r="AB58" i="175"/>
  <c r="AE58" i="175" s="1"/>
  <c r="AI58" i="175" s="1"/>
  <c r="Y58" i="175" s="1"/>
  <c r="X58" i="175"/>
  <c r="Q58" i="175"/>
  <c r="P58" i="175"/>
  <c r="I58" i="175"/>
  <c r="E58" i="175"/>
  <c r="AC57" i="175"/>
  <c r="AB57" i="175"/>
  <c r="AE57" i="175" s="1"/>
  <c r="AI57" i="175" s="1"/>
  <c r="Y57" i="175" s="1"/>
  <c r="X57" i="175"/>
  <c r="Q57" i="175"/>
  <c r="P57" i="175"/>
  <c r="I57" i="175"/>
  <c r="H57" i="175"/>
  <c r="E57" i="175"/>
  <c r="AD56" i="175"/>
  <c r="AC56" i="175"/>
  <c r="AE56" i="175" s="1"/>
  <c r="AI56" i="175" s="1"/>
  <c r="Y56" i="175" s="1"/>
  <c r="AB56" i="175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H55" i="175"/>
  <c r="E55" i="175"/>
  <c r="I55" i="175" s="1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E53" i="175"/>
  <c r="AI53" i="175" s="1"/>
  <c r="Y53" i="175" s="1"/>
  <c r="AD53" i="175"/>
  <c r="AC53" i="175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D51" i="175"/>
  <c r="AC51" i="175"/>
  <c r="AE51" i="175" s="1"/>
  <c r="AI51" i="175" s="1"/>
  <c r="Y51" i="175" s="1"/>
  <c r="AB51" i="175"/>
  <c r="Z51" i="175"/>
  <c r="X51" i="175"/>
  <c r="Q51" i="175"/>
  <c r="P51" i="175"/>
  <c r="I51" i="175"/>
  <c r="H51" i="175"/>
  <c r="E51" i="175"/>
  <c r="AD50" i="175"/>
  <c r="AC50" i="175"/>
  <c r="AE50" i="175" s="1"/>
  <c r="AI50" i="175" s="1"/>
  <c r="Y50" i="175" s="1"/>
  <c r="AB50" i="175"/>
  <c r="Z50" i="175"/>
  <c r="X50" i="175"/>
  <c r="Q50" i="175"/>
  <c r="P50" i="175"/>
  <c r="I50" i="175"/>
  <c r="H50" i="175"/>
  <c r="E50" i="175"/>
  <c r="AI49" i="175"/>
  <c r="Y49" i="175" s="1"/>
  <c r="AE49" i="175"/>
  <c r="Z49" i="175"/>
  <c r="X49" i="175"/>
  <c r="Q49" i="175"/>
  <c r="P49" i="175"/>
  <c r="H49" i="175"/>
  <c r="E49" i="175"/>
  <c r="I49" i="175" s="1"/>
  <c r="AE48" i="175"/>
  <c r="AI48" i="175" s="1"/>
  <c r="Y48" i="175" s="1"/>
  <c r="Z48" i="175"/>
  <c r="X48" i="175"/>
  <c r="Q48" i="175"/>
  <c r="P48" i="175"/>
  <c r="H48" i="175"/>
  <c r="E48" i="175"/>
  <c r="I48" i="175" s="1"/>
  <c r="AI47" i="175"/>
  <c r="Y47" i="175" s="1"/>
  <c r="AE47" i="175"/>
  <c r="Z47" i="175"/>
  <c r="X47" i="175"/>
  <c r="Q47" i="175"/>
  <c r="P47" i="175"/>
  <c r="H47" i="175"/>
  <c r="E47" i="175"/>
  <c r="I47" i="175" s="1"/>
  <c r="AD46" i="175"/>
  <c r="AC46" i="175"/>
  <c r="AB46" i="175"/>
  <c r="AE46" i="175" s="1"/>
  <c r="AI46" i="175" s="1"/>
  <c r="Y46" i="175" s="1"/>
  <c r="Z46" i="175"/>
  <c r="X46" i="175"/>
  <c r="Q46" i="175"/>
  <c r="P46" i="175"/>
  <c r="I46" i="175"/>
  <c r="H46" i="175"/>
  <c r="E46" i="175"/>
  <c r="AD45" i="175"/>
  <c r="AE45" i="175" s="1"/>
  <c r="AI45" i="175" s="1"/>
  <c r="Y45" i="175" s="1"/>
  <c r="AC45" i="175"/>
  <c r="AB45" i="175"/>
  <c r="Z45" i="175"/>
  <c r="X45" i="175"/>
  <c r="Q45" i="175"/>
  <c r="P45" i="175"/>
  <c r="I45" i="175"/>
  <c r="H45" i="175"/>
  <c r="E45" i="175"/>
  <c r="AD44" i="175"/>
  <c r="AC44" i="175"/>
  <c r="AE44" i="175" s="1"/>
  <c r="AI44" i="175" s="1"/>
  <c r="Y44" i="175" s="1"/>
  <c r="AB44" i="175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H43" i="175"/>
  <c r="E43" i="175"/>
  <c r="I43" i="175" s="1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E41" i="175"/>
  <c r="AI41" i="175" s="1"/>
  <c r="Y41" i="175" s="1"/>
  <c r="AD41" i="175"/>
  <c r="AC41" i="175"/>
  <c r="AB41" i="175"/>
  <c r="Z41" i="175"/>
  <c r="X41" i="175"/>
  <c r="Q41" i="175"/>
  <c r="P41" i="175"/>
  <c r="H41" i="175"/>
  <c r="E41" i="175"/>
  <c r="I41" i="175" s="1"/>
  <c r="AD40" i="175"/>
  <c r="AC40" i="175"/>
  <c r="AB40" i="175"/>
  <c r="AE40" i="175" s="1"/>
  <c r="AI40" i="175" s="1"/>
  <c r="Y40" i="175" s="1"/>
  <c r="Z40" i="175"/>
  <c r="X40" i="175"/>
  <c r="Q40" i="175"/>
  <c r="P40" i="175"/>
  <c r="H40" i="175"/>
  <c r="E40" i="175"/>
  <c r="I40" i="175" s="1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D38" i="175"/>
  <c r="AC38" i="175"/>
  <c r="AE38" i="175" s="1"/>
  <c r="AI38" i="175" s="1"/>
  <c r="Y38" i="175" s="1"/>
  <c r="AB38" i="175"/>
  <c r="Z38" i="175"/>
  <c r="X38" i="175"/>
  <c r="Q38" i="175"/>
  <c r="P38" i="175"/>
  <c r="I38" i="175"/>
  <c r="H38" i="175"/>
  <c r="E38" i="175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H35" i="175"/>
  <c r="E35" i="175"/>
  <c r="I35" i="175" s="1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E33" i="175"/>
  <c r="AI33" i="175" s="1"/>
  <c r="Y33" i="175" s="1"/>
  <c r="AD33" i="175"/>
  <c r="AC33" i="175"/>
  <c r="AB33" i="175"/>
  <c r="Z33" i="175"/>
  <c r="X33" i="175"/>
  <c r="Q33" i="175"/>
  <c r="P33" i="175"/>
  <c r="H33" i="175"/>
  <c r="E33" i="175"/>
  <c r="I33" i="175" s="1"/>
  <c r="AD32" i="175"/>
  <c r="AE32" i="175" s="1"/>
  <c r="AI32" i="175" s="1"/>
  <c r="Y32" i="175" s="1"/>
  <c r="AC32" i="175"/>
  <c r="AB32" i="175"/>
  <c r="Z32" i="175"/>
  <c r="X32" i="175"/>
  <c r="Q32" i="175"/>
  <c r="P32" i="175"/>
  <c r="H32" i="175"/>
  <c r="E32" i="175"/>
  <c r="I32" i="175" s="1"/>
  <c r="AI31" i="175"/>
  <c r="AE31" i="175"/>
  <c r="Z31" i="175"/>
  <c r="Y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E29" i="175" s="1"/>
  <c r="AI29" i="175" s="1"/>
  <c r="Y29" i="175" s="1"/>
  <c r="AB29" i="175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H28" i="175"/>
  <c r="E28" i="175"/>
  <c r="I28" i="175" s="1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E26" i="175"/>
  <c r="AI26" i="175" s="1"/>
  <c r="Y26" i="175" s="1"/>
  <c r="AD26" i="175"/>
  <c r="AC26" i="175"/>
  <c r="AB26" i="175"/>
  <c r="Z26" i="175"/>
  <c r="X26" i="175"/>
  <c r="Q26" i="175"/>
  <c r="P26" i="175"/>
  <c r="H26" i="175"/>
  <c r="E26" i="175"/>
  <c r="I26" i="175" s="1"/>
  <c r="AD25" i="175"/>
  <c r="AC25" i="175"/>
  <c r="AB25" i="175"/>
  <c r="AE25" i="175" s="1"/>
  <c r="AI25" i="175" s="1"/>
  <c r="Y25" i="175" s="1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I24" i="175"/>
  <c r="H24" i="175"/>
  <c r="E24" i="175"/>
  <c r="AD23" i="175"/>
  <c r="AC23" i="175"/>
  <c r="AE23" i="175" s="1"/>
  <c r="AI23" i="175" s="1"/>
  <c r="Y23" i="175" s="1"/>
  <c r="AB23" i="175"/>
  <c r="Z23" i="175"/>
  <c r="X23" i="175"/>
  <c r="Q23" i="175"/>
  <c r="P23" i="175"/>
  <c r="I23" i="175"/>
  <c r="H23" i="175"/>
  <c r="E23" i="175"/>
  <c r="AD22" i="175"/>
  <c r="AC22" i="175"/>
  <c r="AE22" i="175" s="1"/>
  <c r="AI22" i="175" s="1"/>
  <c r="Y22" i="175" s="1"/>
  <c r="AB22" i="175"/>
  <c r="Z22" i="175"/>
  <c r="X22" i="175"/>
  <c r="Q22" i="175"/>
  <c r="P22" i="175"/>
  <c r="I22" i="175"/>
  <c r="H22" i="175"/>
  <c r="E22" i="175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H20" i="175"/>
  <c r="E20" i="175"/>
  <c r="I20" i="175" s="1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E18" i="175"/>
  <c r="AI18" i="175" s="1"/>
  <c r="Y18" i="175" s="1"/>
  <c r="AD18" i="175"/>
  <c r="AC18" i="175"/>
  <c r="AB18" i="175"/>
  <c r="Z18" i="175"/>
  <c r="X18" i="175"/>
  <c r="Q18" i="175"/>
  <c r="P18" i="175"/>
  <c r="H18" i="175"/>
  <c r="E18" i="175"/>
  <c r="I18" i="175" s="1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I16" i="175"/>
  <c r="E16" i="175"/>
  <c r="AD15" i="175"/>
  <c r="AC15" i="175"/>
  <c r="AB15" i="175"/>
  <c r="AE15" i="175" s="1"/>
  <c r="AI15" i="175" s="1"/>
  <c r="Y15" i="175" s="1"/>
  <c r="Z15" i="175"/>
  <c r="X15" i="175"/>
  <c r="Q15" i="175"/>
  <c r="P15" i="175"/>
  <c r="E15" i="175"/>
  <c r="I15" i="175" s="1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D13" i="175"/>
  <c r="AC13" i="175"/>
  <c r="AE13" i="175" s="1"/>
  <c r="AI13" i="175" s="1"/>
  <c r="Y13" i="175" s="1"/>
  <c r="AB13" i="175"/>
  <c r="Z13" i="175"/>
  <c r="X13" i="175"/>
  <c r="Q13" i="175"/>
  <c r="P13" i="175"/>
  <c r="I13" i="175"/>
  <c r="H13" i="175"/>
  <c r="E13" i="175"/>
  <c r="AD12" i="175"/>
  <c r="AC12" i="175"/>
  <c r="AE12" i="175" s="1"/>
  <c r="AI12" i="175" s="1"/>
  <c r="Y12" i="175" s="1"/>
  <c r="AB12" i="175"/>
  <c r="Z12" i="175"/>
  <c r="T75" i="175" s="1"/>
  <c r="X12" i="175"/>
  <c r="Q12" i="175"/>
  <c r="O73" i="175" s="1"/>
  <c r="P12" i="175"/>
  <c r="I12" i="175"/>
  <c r="H12" i="175"/>
  <c r="E12" i="175"/>
  <c r="F39" i="174"/>
  <c r="M79" i="174"/>
  <c r="W73" i="174"/>
  <c r="P71" i="174"/>
  <c r="H71" i="174"/>
  <c r="Q70" i="174"/>
  <c r="P70" i="174"/>
  <c r="I70" i="174"/>
  <c r="H70" i="174"/>
  <c r="E70" i="174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I68" i="174"/>
  <c r="H68" i="174"/>
  <c r="E68" i="174"/>
  <c r="AD67" i="174"/>
  <c r="AC67" i="174"/>
  <c r="AE67" i="174" s="1"/>
  <c r="AI67" i="174" s="1"/>
  <c r="Y67" i="174" s="1"/>
  <c r="AB67" i="174"/>
  <c r="Z67" i="174"/>
  <c r="X67" i="174"/>
  <c r="Q67" i="174"/>
  <c r="P67" i="174"/>
  <c r="I67" i="174"/>
  <c r="H67" i="174"/>
  <c r="E67" i="174"/>
  <c r="AE66" i="174"/>
  <c r="AI66" i="174" s="1"/>
  <c r="Y66" i="174" s="1"/>
  <c r="AD66" i="174"/>
  <c r="AC66" i="174"/>
  <c r="AB66" i="174"/>
  <c r="Z66" i="174"/>
  <c r="X66" i="174"/>
  <c r="Q66" i="174"/>
  <c r="P66" i="174"/>
  <c r="I66" i="174"/>
  <c r="H66" i="174"/>
  <c r="E66" i="174"/>
  <c r="AI65" i="174"/>
  <c r="Y65" i="174" s="1"/>
  <c r="AE65" i="174"/>
  <c r="AD65" i="174"/>
  <c r="AC65" i="174"/>
  <c r="AB65" i="174"/>
  <c r="Z65" i="174"/>
  <c r="X65" i="174"/>
  <c r="Q65" i="174"/>
  <c r="P65" i="174"/>
  <c r="H65" i="174"/>
  <c r="E65" i="174"/>
  <c r="I65" i="174" s="1"/>
  <c r="AD64" i="174"/>
  <c r="AC64" i="174"/>
  <c r="AB64" i="174"/>
  <c r="AE64" i="174" s="1"/>
  <c r="AI64" i="174" s="1"/>
  <c r="Y64" i="174" s="1"/>
  <c r="Z64" i="174"/>
  <c r="X64" i="174"/>
  <c r="Q64" i="174"/>
  <c r="P64" i="174"/>
  <c r="H64" i="174"/>
  <c r="E64" i="174"/>
  <c r="I64" i="174" s="1"/>
  <c r="AD63" i="174"/>
  <c r="AC63" i="174"/>
  <c r="AE63" i="174" s="1"/>
  <c r="AI63" i="174" s="1"/>
  <c r="Y63" i="174" s="1"/>
  <c r="AB63" i="174"/>
  <c r="Z63" i="174"/>
  <c r="X63" i="174"/>
  <c r="Q63" i="174"/>
  <c r="P63" i="174"/>
  <c r="I63" i="174"/>
  <c r="H63" i="174"/>
  <c r="E63" i="174"/>
  <c r="AD62" i="174"/>
  <c r="AC62" i="174"/>
  <c r="AB62" i="174"/>
  <c r="AE62" i="174" s="1"/>
  <c r="AI62" i="174" s="1"/>
  <c r="Y62" i="174" s="1"/>
  <c r="Z62" i="174"/>
  <c r="X62" i="174"/>
  <c r="Q62" i="174"/>
  <c r="P62" i="174"/>
  <c r="I62" i="174"/>
  <c r="H62" i="174"/>
  <c r="E62" i="174"/>
  <c r="AC61" i="174"/>
  <c r="AE61" i="174" s="1"/>
  <c r="AI61" i="174" s="1"/>
  <c r="Y61" i="174" s="1"/>
  <c r="AB61" i="174"/>
  <c r="X61" i="174"/>
  <c r="Q61" i="174"/>
  <c r="P61" i="174"/>
  <c r="I61" i="174"/>
  <c r="H61" i="174"/>
  <c r="E61" i="174"/>
  <c r="AE60" i="174"/>
  <c r="AI60" i="174" s="1"/>
  <c r="Y60" i="174" s="1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I59" i="174"/>
  <c r="H59" i="174"/>
  <c r="E59" i="174"/>
  <c r="AE58" i="174"/>
  <c r="AI58" i="174" s="1"/>
  <c r="Y58" i="174" s="1"/>
  <c r="AC58" i="174"/>
  <c r="AB58" i="174"/>
  <c r="X58" i="174"/>
  <c r="Q58" i="174"/>
  <c r="P58" i="174"/>
  <c r="E58" i="174"/>
  <c r="I58" i="174" s="1"/>
  <c r="AC57" i="174"/>
  <c r="AB57" i="174"/>
  <c r="AE57" i="174" s="1"/>
  <c r="AI57" i="174" s="1"/>
  <c r="Y57" i="174" s="1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H56" i="174"/>
  <c r="E56" i="174"/>
  <c r="I56" i="174" s="1"/>
  <c r="AE55" i="174"/>
  <c r="AI55" i="174" s="1"/>
  <c r="Y55" i="174" s="1"/>
  <c r="AD55" i="174"/>
  <c r="AC55" i="174"/>
  <c r="AB55" i="174"/>
  <c r="Z55" i="174"/>
  <c r="X55" i="174"/>
  <c r="Q55" i="174"/>
  <c r="P55" i="174"/>
  <c r="H55" i="174"/>
  <c r="E55" i="174"/>
  <c r="I55" i="174" s="1"/>
  <c r="AD54" i="174"/>
  <c r="AC54" i="174"/>
  <c r="AB54" i="174"/>
  <c r="AE54" i="174" s="1"/>
  <c r="AI54" i="174" s="1"/>
  <c r="Y54" i="174" s="1"/>
  <c r="Z54" i="174"/>
  <c r="X54" i="174"/>
  <c r="Q54" i="174"/>
  <c r="P54" i="174"/>
  <c r="I54" i="174"/>
  <c r="H54" i="174"/>
  <c r="E54" i="174"/>
  <c r="AE53" i="174"/>
  <c r="AI53" i="174" s="1"/>
  <c r="Y53" i="174" s="1"/>
  <c r="AD53" i="174"/>
  <c r="AC53" i="174"/>
  <c r="AB53" i="174"/>
  <c r="Z53" i="174"/>
  <c r="X53" i="174"/>
  <c r="Q53" i="174"/>
  <c r="P53" i="174"/>
  <c r="H53" i="174"/>
  <c r="E53" i="174"/>
  <c r="I53" i="174" s="1"/>
  <c r="AI52" i="174"/>
  <c r="Y52" i="174" s="1"/>
  <c r="AE52" i="174"/>
  <c r="Z52" i="174"/>
  <c r="X52" i="174"/>
  <c r="Q52" i="174"/>
  <c r="P52" i="174"/>
  <c r="I52" i="174"/>
  <c r="H52" i="174"/>
  <c r="E52" i="174"/>
  <c r="AD51" i="174"/>
  <c r="AC51" i="174"/>
  <c r="AB51" i="174"/>
  <c r="AE51" i="174" s="1"/>
  <c r="AI51" i="174" s="1"/>
  <c r="Y51" i="174" s="1"/>
  <c r="Z51" i="174"/>
  <c r="X51" i="174"/>
  <c r="Q51" i="174"/>
  <c r="P51" i="174"/>
  <c r="I51" i="174"/>
  <c r="H51" i="174"/>
  <c r="E51" i="174"/>
  <c r="AD50" i="174"/>
  <c r="AC50" i="174"/>
  <c r="AE50" i="174" s="1"/>
  <c r="AI50" i="174" s="1"/>
  <c r="Y50" i="174" s="1"/>
  <c r="AB50" i="174"/>
  <c r="Z50" i="174"/>
  <c r="X50" i="174"/>
  <c r="Q50" i="174"/>
  <c r="P50" i="174"/>
  <c r="I50" i="174"/>
  <c r="H50" i="174"/>
  <c r="E50" i="174"/>
  <c r="AI49" i="174"/>
  <c r="Y49" i="174" s="1"/>
  <c r="AE49" i="174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I47" i="174"/>
  <c r="Y47" i="174" s="1"/>
  <c r="AE47" i="174"/>
  <c r="Z47" i="174"/>
  <c r="X47" i="174"/>
  <c r="Q47" i="174"/>
  <c r="P47" i="174"/>
  <c r="H47" i="174"/>
  <c r="E47" i="174"/>
  <c r="I47" i="174" s="1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E45" i="174" s="1"/>
  <c r="AI45" i="174" s="1"/>
  <c r="Y45" i="174" s="1"/>
  <c r="AC45" i="174"/>
  <c r="AB45" i="174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E43" i="174"/>
  <c r="AI43" i="174" s="1"/>
  <c r="Y43" i="174" s="1"/>
  <c r="AD43" i="174"/>
  <c r="AC43" i="174"/>
  <c r="AB43" i="174"/>
  <c r="Z43" i="174"/>
  <c r="X43" i="174"/>
  <c r="Q43" i="174"/>
  <c r="P43" i="174"/>
  <c r="H43" i="174"/>
  <c r="E43" i="174"/>
  <c r="I43" i="174" s="1"/>
  <c r="AD42" i="174"/>
  <c r="AC42" i="174"/>
  <c r="AB42" i="174"/>
  <c r="AE42" i="174" s="1"/>
  <c r="AI42" i="174" s="1"/>
  <c r="Y42" i="174" s="1"/>
  <c r="Z42" i="174"/>
  <c r="X42" i="174"/>
  <c r="Q42" i="174"/>
  <c r="P42" i="174"/>
  <c r="I42" i="174"/>
  <c r="H42" i="174"/>
  <c r="E42" i="174"/>
  <c r="AE41" i="174"/>
  <c r="AI41" i="174" s="1"/>
  <c r="Y41" i="174" s="1"/>
  <c r="AD41" i="174"/>
  <c r="AC41" i="174"/>
  <c r="AB41" i="174"/>
  <c r="Z41" i="174"/>
  <c r="X41" i="174"/>
  <c r="Q41" i="174"/>
  <c r="P41" i="174"/>
  <c r="H41" i="174"/>
  <c r="E41" i="174"/>
  <c r="I41" i="174" s="1"/>
  <c r="AE40" i="174"/>
  <c r="AI40" i="174" s="1"/>
  <c r="Y40" i="174" s="1"/>
  <c r="AD40" i="174"/>
  <c r="AC40" i="174"/>
  <c r="AB40" i="174"/>
  <c r="Z40" i="174"/>
  <c r="X40" i="174"/>
  <c r="Q40" i="174"/>
  <c r="P40" i="174"/>
  <c r="I40" i="174"/>
  <c r="H40" i="174"/>
  <c r="E40" i="174"/>
  <c r="AD39" i="174"/>
  <c r="AC39" i="174"/>
  <c r="AB39" i="174"/>
  <c r="AE39" i="174" s="1"/>
  <c r="AI39" i="174" s="1"/>
  <c r="Y39" i="174" s="1"/>
  <c r="Z39" i="174"/>
  <c r="X39" i="174"/>
  <c r="Q39" i="174"/>
  <c r="P39" i="174"/>
  <c r="I39" i="174"/>
  <c r="H39" i="174"/>
  <c r="E39" i="174"/>
  <c r="AD38" i="174"/>
  <c r="AC38" i="174"/>
  <c r="AB38" i="174"/>
  <c r="AE38" i="174" s="1"/>
  <c r="AI38" i="174" s="1"/>
  <c r="Y38" i="174" s="1"/>
  <c r="Z38" i="174"/>
  <c r="X38" i="174"/>
  <c r="Q38" i="174"/>
  <c r="P38" i="174"/>
  <c r="I38" i="174"/>
  <c r="H38" i="174"/>
  <c r="E38" i="174"/>
  <c r="AD37" i="174"/>
  <c r="AC37" i="174"/>
  <c r="AE37" i="174" s="1"/>
  <c r="AI37" i="174" s="1"/>
  <c r="Y37" i="174" s="1"/>
  <c r="AB37" i="174"/>
  <c r="Z37" i="174"/>
  <c r="X37" i="174"/>
  <c r="Q37" i="174"/>
  <c r="P37" i="174"/>
  <c r="I37" i="174"/>
  <c r="H37" i="174"/>
  <c r="E37" i="174"/>
  <c r="AE36" i="174"/>
  <c r="AI36" i="174" s="1"/>
  <c r="Y36" i="174" s="1"/>
  <c r="AD36" i="174"/>
  <c r="AC36" i="174"/>
  <c r="AB36" i="174"/>
  <c r="Z36" i="174"/>
  <c r="X36" i="174"/>
  <c r="Q36" i="174"/>
  <c r="P36" i="174"/>
  <c r="H36" i="174"/>
  <c r="E36" i="174"/>
  <c r="I36" i="174" s="1"/>
  <c r="AD35" i="174"/>
  <c r="AC35" i="174"/>
  <c r="AB35" i="174"/>
  <c r="AE35" i="174" s="1"/>
  <c r="AI35" i="174" s="1"/>
  <c r="Y35" i="174" s="1"/>
  <c r="Z35" i="174"/>
  <c r="X35" i="174"/>
  <c r="Q35" i="174"/>
  <c r="P35" i="174"/>
  <c r="H35" i="174"/>
  <c r="E35" i="174"/>
  <c r="I35" i="174" s="1"/>
  <c r="AD34" i="174"/>
  <c r="AC34" i="174"/>
  <c r="AE34" i="174" s="1"/>
  <c r="AI34" i="174" s="1"/>
  <c r="Y34" i="174" s="1"/>
  <c r="AB34" i="174"/>
  <c r="Z34" i="174"/>
  <c r="X34" i="174"/>
  <c r="Q34" i="174"/>
  <c r="P34" i="174"/>
  <c r="H34" i="174"/>
  <c r="E34" i="174"/>
  <c r="I34" i="174" s="1"/>
  <c r="AD33" i="174"/>
  <c r="AC33" i="174"/>
  <c r="AB33" i="174"/>
  <c r="AE33" i="174" s="1"/>
  <c r="AI33" i="174" s="1"/>
  <c r="Y33" i="174" s="1"/>
  <c r="Z33" i="174"/>
  <c r="X33" i="174"/>
  <c r="Q33" i="174"/>
  <c r="P33" i="174"/>
  <c r="I33" i="174"/>
  <c r="H33" i="174"/>
  <c r="E33" i="174"/>
  <c r="AD32" i="174"/>
  <c r="AE32" i="174" s="1"/>
  <c r="AI32" i="174" s="1"/>
  <c r="Y32" i="174" s="1"/>
  <c r="AC32" i="174"/>
  <c r="AB32" i="174"/>
  <c r="Z32" i="174"/>
  <c r="X32" i="174"/>
  <c r="Q32" i="174"/>
  <c r="P32" i="174"/>
  <c r="H32" i="174"/>
  <c r="E32" i="174"/>
  <c r="I32" i="174" s="1"/>
  <c r="AI31" i="174"/>
  <c r="Y31" i="174" s="1"/>
  <c r="AE31" i="174"/>
  <c r="Z31" i="174"/>
  <c r="X31" i="174"/>
  <c r="Q31" i="174"/>
  <c r="P31" i="174"/>
  <c r="I31" i="174"/>
  <c r="H31" i="174"/>
  <c r="E31" i="174"/>
  <c r="AD30" i="174"/>
  <c r="AE30" i="174" s="1"/>
  <c r="AI30" i="174" s="1"/>
  <c r="Y30" i="174" s="1"/>
  <c r="AC30" i="174"/>
  <c r="AB30" i="174"/>
  <c r="Z30" i="174"/>
  <c r="X30" i="174"/>
  <c r="Q30" i="174"/>
  <c r="P30" i="174"/>
  <c r="I30" i="174"/>
  <c r="H30" i="174"/>
  <c r="E30" i="174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E28" i="174"/>
  <c r="AI28" i="174" s="1"/>
  <c r="Y28" i="174" s="1"/>
  <c r="AD28" i="174"/>
  <c r="AC28" i="174"/>
  <c r="AB28" i="174"/>
  <c r="Z28" i="174"/>
  <c r="X28" i="174"/>
  <c r="Q28" i="174"/>
  <c r="P28" i="174"/>
  <c r="H28" i="174"/>
  <c r="E28" i="174"/>
  <c r="I28" i="174" s="1"/>
  <c r="AD27" i="174"/>
  <c r="AC27" i="174"/>
  <c r="AB27" i="174"/>
  <c r="AE27" i="174" s="1"/>
  <c r="AI27" i="174" s="1"/>
  <c r="Y27" i="174" s="1"/>
  <c r="Z27" i="174"/>
  <c r="X27" i="174"/>
  <c r="Q27" i="174"/>
  <c r="P27" i="174"/>
  <c r="I27" i="174"/>
  <c r="H27" i="174"/>
  <c r="E27" i="174"/>
  <c r="AD26" i="174"/>
  <c r="AE26" i="174" s="1"/>
  <c r="AI26" i="174" s="1"/>
  <c r="Y26" i="174" s="1"/>
  <c r="AC26" i="174"/>
  <c r="AB26" i="174"/>
  <c r="Z26" i="174"/>
  <c r="X26" i="174"/>
  <c r="Q26" i="174"/>
  <c r="P26" i="174"/>
  <c r="H26" i="174"/>
  <c r="E26" i="174"/>
  <c r="I26" i="174" s="1"/>
  <c r="AE25" i="174"/>
  <c r="AI25" i="174" s="1"/>
  <c r="Y25" i="174" s="1"/>
  <c r="AD25" i="174"/>
  <c r="AC25" i="174"/>
  <c r="AB25" i="174"/>
  <c r="Z25" i="174"/>
  <c r="X25" i="174"/>
  <c r="Q25" i="174"/>
  <c r="P25" i="174"/>
  <c r="I25" i="174"/>
  <c r="H25" i="174"/>
  <c r="E25" i="174"/>
  <c r="AD24" i="174"/>
  <c r="AC24" i="174"/>
  <c r="AB24" i="174"/>
  <c r="AE24" i="174" s="1"/>
  <c r="AI24" i="174" s="1"/>
  <c r="Y24" i="174" s="1"/>
  <c r="Z24" i="174"/>
  <c r="X24" i="174"/>
  <c r="Q24" i="174"/>
  <c r="P24" i="174"/>
  <c r="I24" i="174"/>
  <c r="H24" i="174"/>
  <c r="E24" i="174"/>
  <c r="AI23" i="174"/>
  <c r="AE23" i="174"/>
  <c r="AD23" i="174"/>
  <c r="AC23" i="174"/>
  <c r="AB23" i="174"/>
  <c r="Z23" i="174"/>
  <c r="Y23" i="174"/>
  <c r="X23" i="174"/>
  <c r="Q23" i="174"/>
  <c r="P23" i="174"/>
  <c r="I23" i="174"/>
  <c r="H23" i="174"/>
  <c r="E23" i="174"/>
  <c r="AD22" i="174"/>
  <c r="AC22" i="174"/>
  <c r="AE22" i="174" s="1"/>
  <c r="AI22" i="174" s="1"/>
  <c r="Y22" i="174" s="1"/>
  <c r="AB22" i="174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H21" i="174"/>
  <c r="E21" i="174"/>
  <c r="I21" i="174" s="1"/>
  <c r="AD20" i="174"/>
  <c r="AC20" i="174"/>
  <c r="AB20" i="174"/>
  <c r="AE20" i="174" s="1"/>
  <c r="AI20" i="174" s="1"/>
  <c r="Y20" i="174" s="1"/>
  <c r="Z20" i="174"/>
  <c r="X20" i="174"/>
  <c r="Q20" i="174"/>
  <c r="P20" i="174"/>
  <c r="H20" i="174"/>
  <c r="E20" i="174"/>
  <c r="I20" i="174" s="1"/>
  <c r="AD19" i="174"/>
  <c r="AC19" i="174"/>
  <c r="AE19" i="174" s="1"/>
  <c r="AI19" i="174" s="1"/>
  <c r="Y19" i="174" s="1"/>
  <c r="AB19" i="174"/>
  <c r="Z19" i="174"/>
  <c r="X19" i="174"/>
  <c r="Q19" i="174"/>
  <c r="P19" i="174"/>
  <c r="H19" i="174"/>
  <c r="E19" i="174"/>
  <c r="I19" i="174" s="1"/>
  <c r="AD18" i="174"/>
  <c r="AC18" i="174"/>
  <c r="AB18" i="174"/>
  <c r="AE18" i="174" s="1"/>
  <c r="AI18" i="174" s="1"/>
  <c r="Y18" i="174" s="1"/>
  <c r="Z18" i="174"/>
  <c r="X18" i="174"/>
  <c r="Q18" i="174"/>
  <c r="P18" i="174"/>
  <c r="I18" i="174"/>
  <c r="H18" i="174"/>
  <c r="E18" i="174"/>
  <c r="AD17" i="174"/>
  <c r="AE17" i="174" s="1"/>
  <c r="AI17" i="174" s="1"/>
  <c r="Y17" i="174" s="1"/>
  <c r="AC17" i="174"/>
  <c r="AB17" i="174"/>
  <c r="Z17" i="174"/>
  <c r="X17" i="174"/>
  <c r="Q17" i="174"/>
  <c r="P17" i="174"/>
  <c r="H17" i="174"/>
  <c r="E17" i="174"/>
  <c r="I17" i="174" s="1"/>
  <c r="AI16" i="174"/>
  <c r="Y16" i="174" s="1"/>
  <c r="AE16" i="174"/>
  <c r="AD16" i="174"/>
  <c r="AC16" i="174"/>
  <c r="AB16" i="174"/>
  <c r="Z16" i="174"/>
  <c r="X16" i="174"/>
  <c r="Q16" i="174"/>
  <c r="P16" i="174"/>
  <c r="E16" i="174"/>
  <c r="I16" i="174" s="1"/>
  <c r="AD15" i="174"/>
  <c r="AC15" i="174"/>
  <c r="AB15" i="174"/>
  <c r="AE15" i="174" s="1"/>
  <c r="AI15" i="174" s="1"/>
  <c r="Y15" i="174" s="1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C13" i="174"/>
  <c r="AB13" i="174"/>
  <c r="AE13" i="174" s="1"/>
  <c r="AI13" i="174" s="1"/>
  <c r="Y13" i="174" s="1"/>
  <c r="Z13" i="174"/>
  <c r="X13" i="174"/>
  <c r="Q13" i="174"/>
  <c r="P13" i="174"/>
  <c r="I13" i="174"/>
  <c r="H13" i="174"/>
  <c r="E13" i="174"/>
  <c r="AD12" i="174"/>
  <c r="AC12" i="174"/>
  <c r="AE12" i="174" s="1"/>
  <c r="AI12" i="174" s="1"/>
  <c r="Y12" i="174" s="1"/>
  <c r="AB12" i="174"/>
  <c r="Z12" i="174"/>
  <c r="X12" i="174"/>
  <c r="Q12" i="174"/>
  <c r="P12" i="174"/>
  <c r="I12" i="174"/>
  <c r="H12" i="174"/>
  <c r="E12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D68" i="173"/>
  <c r="AC68" i="173"/>
  <c r="AB68" i="173"/>
  <c r="AE68" i="173" s="1"/>
  <c r="AI68" i="173" s="1"/>
  <c r="Y68" i="173" s="1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E66" i="173"/>
  <c r="AI66" i="173" s="1"/>
  <c r="Y66" i="173" s="1"/>
  <c r="AD66" i="173"/>
  <c r="AC66" i="173"/>
  <c r="AB66" i="173"/>
  <c r="Z66" i="173"/>
  <c r="X66" i="173"/>
  <c r="Q66" i="173"/>
  <c r="P66" i="173"/>
  <c r="I66" i="173"/>
  <c r="H66" i="173"/>
  <c r="E66" i="173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B64" i="173"/>
  <c r="AE64" i="173" s="1"/>
  <c r="AI64" i="173" s="1"/>
  <c r="Y64" i="173" s="1"/>
  <c r="Z64" i="173"/>
  <c r="X64" i="173"/>
  <c r="Q64" i="173"/>
  <c r="P64" i="173"/>
  <c r="H64" i="173"/>
  <c r="E64" i="173"/>
  <c r="I64" i="173" s="1"/>
  <c r="AD63" i="173"/>
  <c r="AC63" i="173"/>
  <c r="AE63" i="173" s="1"/>
  <c r="AI63" i="173" s="1"/>
  <c r="Y63" i="173" s="1"/>
  <c r="AB63" i="173"/>
  <c r="Z63" i="173"/>
  <c r="X63" i="173"/>
  <c r="Q63" i="173"/>
  <c r="P63" i="173"/>
  <c r="I63" i="173"/>
  <c r="H63" i="173"/>
  <c r="E63" i="173"/>
  <c r="AD62" i="173"/>
  <c r="AC62" i="173"/>
  <c r="AB62" i="173"/>
  <c r="AE62" i="173" s="1"/>
  <c r="AI62" i="173" s="1"/>
  <c r="Y62" i="173" s="1"/>
  <c r="Z62" i="173"/>
  <c r="X62" i="173"/>
  <c r="Q62" i="173"/>
  <c r="P62" i="173"/>
  <c r="H62" i="173"/>
  <c r="E62" i="173"/>
  <c r="I62" i="173" s="1"/>
  <c r="AE61" i="173"/>
  <c r="AI61" i="173" s="1"/>
  <c r="Y61" i="173" s="1"/>
  <c r="AC61" i="173"/>
  <c r="AB61" i="173"/>
  <c r="X61" i="173"/>
  <c r="Q61" i="173"/>
  <c r="P61" i="173"/>
  <c r="I61" i="173"/>
  <c r="H61" i="173"/>
  <c r="E61" i="173"/>
  <c r="AE60" i="173"/>
  <c r="AI60" i="173" s="1"/>
  <c r="Y60" i="173" s="1"/>
  <c r="X60" i="173"/>
  <c r="Q60" i="173"/>
  <c r="P60" i="173"/>
  <c r="I60" i="173"/>
  <c r="H60" i="173"/>
  <c r="E60" i="173"/>
  <c r="AC59" i="173"/>
  <c r="AB59" i="173"/>
  <c r="AE59" i="173" s="1"/>
  <c r="AI59" i="173" s="1"/>
  <c r="Y59" i="173" s="1"/>
  <c r="X59" i="173"/>
  <c r="Q59" i="173"/>
  <c r="P59" i="173"/>
  <c r="I59" i="173"/>
  <c r="H59" i="173"/>
  <c r="E59" i="173"/>
  <c r="AC58" i="173"/>
  <c r="AE58" i="173" s="1"/>
  <c r="AI58" i="173" s="1"/>
  <c r="Y58" i="173" s="1"/>
  <c r="AB58" i="173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D56" i="173"/>
  <c r="AC56" i="173"/>
  <c r="AB56" i="173"/>
  <c r="AE56" i="173" s="1"/>
  <c r="AI56" i="173" s="1"/>
  <c r="Y56" i="173" s="1"/>
  <c r="Z56" i="173"/>
  <c r="X56" i="173"/>
  <c r="Q56" i="173"/>
  <c r="P56" i="173"/>
  <c r="H56" i="173"/>
  <c r="E56" i="173"/>
  <c r="I56" i="173" s="1"/>
  <c r="AD55" i="173"/>
  <c r="AC55" i="173"/>
  <c r="AB55" i="173"/>
  <c r="AE55" i="173" s="1"/>
  <c r="AI55" i="173" s="1"/>
  <c r="Y55" i="173" s="1"/>
  <c r="Z55" i="173"/>
  <c r="X55" i="173"/>
  <c r="Q55" i="173"/>
  <c r="P55" i="173"/>
  <c r="H55" i="173"/>
  <c r="E55" i="173"/>
  <c r="I55" i="173" s="1"/>
  <c r="AE54" i="173"/>
  <c r="AI54" i="173" s="1"/>
  <c r="Y54" i="173" s="1"/>
  <c r="AD54" i="173"/>
  <c r="AC54" i="173"/>
  <c r="AB54" i="173"/>
  <c r="Z54" i="173"/>
  <c r="X54" i="173"/>
  <c r="Q54" i="173"/>
  <c r="P54" i="173"/>
  <c r="I54" i="173"/>
  <c r="H54" i="173"/>
  <c r="E54" i="173"/>
  <c r="AE53" i="173"/>
  <c r="AI53" i="173" s="1"/>
  <c r="Y53" i="173" s="1"/>
  <c r="AD53" i="173"/>
  <c r="AC53" i="173"/>
  <c r="AB53" i="173"/>
  <c r="Z53" i="173"/>
  <c r="X53" i="173"/>
  <c r="Q53" i="173"/>
  <c r="P53" i="173"/>
  <c r="H53" i="173"/>
  <c r="E53" i="173"/>
  <c r="I53" i="173" s="1"/>
  <c r="AE52" i="173"/>
  <c r="AI52" i="173" s="1"/>
  <c r="Y52" i="173" s="1"/>
  <c r="Z52" i="173"/>
  <c r="X52" i="173"/>
  <c r="Q52" i="173"/>
  <c r="P52" i="173"/>
  <c r="I52" i="173"/>
  <c r="H52" i="173"/>
  <c r="E52" i="173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E50" i="173" s="1"/>
  <c r="AI50" i="173" s="1"/>
  <c r="Y50" i="173" s="1"/>
  <c r="AC50" i="173"/>
  <c r="AB50" i="173"/>
  <c r="Z50" i="173"/>
  <c r="X50" i="173"/>
  <c r="Q50" i="173"/>
  <c r="P50" i="173"/>
  <c r="I50" i="173"/>
  <c r="H50" i="173"/>
  <c r="E50" i="173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C46" i="173"/>
  <c r="AB46" i="173"/>
  <c r="AE46" i="173" s="1"/>
  <c r="AI46" i="173" s="1"/>
  <c r="Y46" i="173" s="1"/>
  <c r="Z46" i="173"/>
  <c r="X46" i="173"/>
  <c r="Q46" i="173"/>
  <c r="P46" i="173"/>
  <c r="I46" i="173"/>
  <c r="H46" i="173"/>
  <c r="E46" i="173"/>
  <c r="AD45" i="173"/>
  <c r="AE45" i="173" s="1"/>
  <c r="AI45" i="173" s="1"/>
  <c r="Y45" i="173" s="1"/>
  <c r="AC45" i="173"/>
  <c r="AB45" i="173"/>
  <c r="Z45" i="173"/>
  <c r="X45" i="173"/>
  <c r="Q45" i="173"/>
  <c r="P45" i="173"/>
  <c r="I45" i="173"/>
  <c r="H45" i="173"/>
  <c r="E45" i="173"/>
  <c r="AD44" i="173"/>
  <c r="AC44" i="173"/>
  <c r="AB44" i="173"/>
  <c r="AE44" i="173" s="1"/>
  <c r="AI44" i="173" s="1"/>
  <c r="Y44" i="173" s="1"/>
  <c r="Z44" i="173"/>
  <c r="X44" i="173"/>
  <c r="Q44" i="173"/>
  <c r="P44" i="173"/>
  <c r="H44" i="173"/>
  <c r="E44" i="173"/>
  <c r="I44" i="173" s="1"/>
  <c r="AD43" i="173"/>
  <c r="AC43" i="173"/>
  <c r="AB43" i="173"/>
  <c r="AE43" i="173" s="1"/>
  <c r="AI43" i="173" s="1"/>
  <c r="Y43" i="173" s="1"/>
  <c r="Z43" i="173"/>
  <c r="X43" i="173"/>
  <c r="Q43" i="173"/>
  <c r="P43" i="173"/>
  <c r="H43" i="173"/>
  <c r="E43" i="173"/>
  <c r="I43" i="173" s="1"/>
  <c r="AD42" i="173"/>
  <c r="AC42" i="173"/>
  <c r="AE42" i="173" s="1"/>
  <c r="AI42" i="173" s="1"/>
  <c r="Y42" i="173" s="1"/>
  <c r="AB42" i="173"/>
  <c r="Z42" i="173"/>
  <c r="X42" i="173"/>
  <c r="Q42" i="173"/>
  <c r="P42" i="173"/>
  <c r="I42" i="173"/>
  <c r="H42" i="173"/>
  <c r="E42" i="173"/>
  <c r="AE41" i="173"/>
  <c r="AI41" i="173" s="1"/>
  <c r="Y41" i="173" s="1"/>
  <c r="AD41" i="173"/>
  <c r="AC41" i="173"/>
  <c r="AB41" i="173"/>
  <c r="Z41" i="173"/>
  <c r="X41" i="173"/>
  <c r="Q41" i="173"/>
  <c r="P41" i="173"/>
  <c r="H41" i="173"/>
  <c r="E41" i="173"/>
  <c r="I41" i="173" s="1"/>
  <c r="AE40" i="173"/>
  <c r="AI40" i="173" s="1"/>
  <c r="Y40" i="173" s="1"/>
  <c r="AD40" i="173"/>
  <c r="AC40" i="173"/>
  <c r="AB40" i="173"/>
  <c r="Z40" i="173"/>
  <c r="X40" i="173"/>
  <c r="Q40" i="173"/>
  <c r="P40" i="173"/>
  <c r="H40" i="173"/>
  <c r="E40" i="173"/>
  <c r="I40" i="173" s="1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E37" i="173" s="1"/>
  <c r="AI37" i="173" s="1"/>
  <c r="Y37" i="173" s="1"/>
  <c r="AC37" i="173"/>
  <c r="AB37" i="173"/>
  <c r="Z37" i="173"/>
  <c r="X37" i="173"/>
  <c r="Q37" i="173"/>
  <c r="P37" i="173"/>
  <c r="I37" i="173"/>
  <c r="H37" i="173"/>
  <c r="E37" i="173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B35" i="173"/>
  <c r="AE35" i="173" s="1"/>
  <c r="AI35" i="173" s="1"/>
  <c r="Y35" i="173" s="1"/>
  <c r="Z35" i="173"/>
  <c r="X35" i="173"/>
  <c r="Q35" i="173"/>
  <c r="P35" i="173"/>
  <c r="H35" i="173"/>
  <c r="E35" i="173"/>
  <c r="I35" i="173" s="1"/>
  <c r="AD34" i="173"/>
  <c r="AC34" i="173"/>
  <c r="AE34" i="173" s="1"/>
  <c r="AI34" i="173" s="1"/>
  <c r="Y34" i="173" s="1"/>
  <c r="AB34" i="173"/>
  <c r="Z34" i="173"/>
  <c r="X34" i="173"/>
  <c r="Q34" i="173"/>
  <c r="P34" i="173"/>
  <c r="I34" i="173"/>
  <c r="H34" i="173"/>
  <c r="E34" i="173"/>
  <c r="AD33" i="173"/>
  <c r="AC33" i="173"/>
  <c r="AB33" i="173"/>
  <c r="AE33" i="173" s="1"/>
  <c r="AI33" i="173" s="1"/>
  <c r="Y33" i="173" s="1"/>
  <c r="Z33" i="173"/>
  <c r="X33" i="173"/>
  <c r="Q33" i="173"/>
  <c r="P33" i="173"/>
  <c r="H33" i="173"/>
  <c r="E33" i="173"/>
  <c r="I33" i="173" s="1"/>
  <c r="AE32" i="173"/>
  <c r="AI32" i="173" s="1"/>
  <c r="Y32" i="173" s="1"/>
  <c r="AD32" i="173"/>
  <c r="AC32" i="173"/>
  <c r="AB32" i="173"/>
  <c r="Z32" i="173"/>
  <c r="X32" i="173"/>
  <c r="Q32" i="173"/>
  <c r="P32" i="173"/>
  <c r="H32" i="173"/>
  <c r="E32" i="173"/>
  <c r="I32" i="173" s="1"/>
  <c r="AI31" i="173"/>
  <c r="AE31" i="173"/>
  <c r="Z31" i="173"/>
  <c r="Y31" i="173"/>
  <c r="X31" i="173"/>
  <c r="Q31" i="173"/>
  <c r="P31" i="173"/>
  <c r="I31" i="173"/>
  <c r="H31" i="173"/>
  <c r="E31" i="173"/>
  <c r="AD30" i="173"/>
  <c r="AE30" i="173" s="1"/>
  <c r="AI30" i="173" s="1"/>
  <c r="Y30" i="173" s="1"/>
  <c r="AC30" i="173"/>
  <c r="AB30" i="173"/>
  <c r="Z30" i="173"/>
  <c r="X30" i="173"/>
  <c r="Q30" i="173"/>
  <c r="P30" i="173"/>
  <c r="I30" i="173"/>
  <c r="H30" i="173"/>
  <c r="E30" i="173"/>
  <c r="AD29" i="173"/>
  <c r="AC29" i="173"/>
  <c r="AB29" i="173"/>
  <c r="AE29" i="173" s="1"/>
  <c r="AI29" i="173" s="1"/>
  <c r="Y29" i="173" s="1"/>
  <c r="Z29" i="173"/>
  <c r="X29" i="173"/>
  <c r="Q29" i="173"/>
  <c r="P29" i="173"/>
  <c r="H29" i="173"/>
  <c r="E29" i="173"/>
  <c r="I29" i="173" s="1"/>
  <c r="AD28" i="173"/>
  <c r="AC28" i="173"/>
  <c r="AB28" i="173"/>
  <c r="AE28" i="173" s="1"/>
  <c r="AI28" i="173" s="1"/>
  <c r="Y28" i="173" s="1"/>
  <c r="Z28" i="173"/>
  <c r="X28" i="173"/>
  <c r="Q28" i="173"/>
  <c r="P28" i="173"/>
  <c r="H28" i="173"/>
  <c r="E28" i="173"/>
  <c r="I28" i="173" s="1"/>
  <c r="AD27" i="173"/>
  <c r="AC27" i="173"/>
  <c r="AE27" i="173" s="1"/>
  <c r="AI27" i="173" s="1"/>
  <c r="Y27" i="173" s="1"/>
  <c r="AB27" i="173"/>
  <c r="Z27" i="173"/>
  <c r="X27" i="173"/>
  <c r="Q27" i="173"/>
  <c r="P27" i="173"/>
  <c r="I27" i="173"/>
  <c r="H27" i="173"/>
  <c r="E27" i="173"/>
  <c r="AE26" i="173"/>
  <c r="AI26" i="173" s="1"/>
  <c r="Y26" i="173" s="1"/>
  <c r="AD26" i="173"/>
  <c r="AC26" i="173"/>
  <c r="AB26" i="173"/>
  <c r="Z26" i="173"/>
  <c r="X26" i="173"/>
  <c r="Q26" i="173"/>
  <c r="P26" i="173"/>
  <c r="H26" i="173"/>
  <c r="E26" i="173"/>
  <c r="I26" i="173" s="1"/>
  <c r="AE25" i="173"/>
  <c r="AI25" i="173" s="1"/>
  <c r="Y25" i="173" s="1"/>
  <c r="AD25" i="173"/>
  <c r="AC25" i="173"/>
  <c r="AB25" i="173"/>
  <c r="Z25" i="173"/>
  <c r="X25" i="173"/>
  <c r="Q25" i="173"/>
  <c r="P25" i="173"/>
  <c r="H25" i="173"/>
  <c r="E25" i="173"/>
  <c r="I25" i="173" s="1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E22" i="173" s="1"/>
  <c r="AI22" i="173" s="1"/>
  <c r="Y22" i="173" s="1"/>
  <c r="AC22" i="173"/>
  <c r="AB22" i="173"/>
  <c r="Z22" i="173"/>
  <c r="X22" i="173"/>
  <c r="Q22" i="173"/>
  <c r="P22" i="173"/>
  <c r="I22" i="173"/>
  <c r="H22" i="173"/>
  <c r="E22" i="173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B20" i="173"/>
  <c r="AE20" i="173" s="1"/>
  <c r="AI20" i="173" s="1"/>
  <c r="Y20" i="173" s="1"/>
  <c r="Z20" i="173"/>
  <c r="X20" i="173"/>
  <c r="Q20" i="173"/>
  <c r="P20" i="173"/>
  <c r="H20" i="173"/>
  <c r="E20" i="173"/>
  <c r="I20" i="173" s="1"/>
  <c r="AD19" i="173"/>
  <c r="AC19" i="173"/>
  <c r="AE19" i="173" s="1"/>
  <c r="AI19" i="173" s="1"/>
  <c r="Y19" i="173" s="1"/>
  <c r="AB19" i="173"/>
  <c r="Z19" i="173"/>
  <c r="X19" i="173"/>
  <c r="Q19" i="173"/>
  <c r="P19" i="173"/>
  <c r="I19" i="173"/>
  <c r="H19" i="173"/>
  <c r="E19" i="173"/>
  <c r="AD18" i="173"/>
  <c r="AC18" i="173"/>
  <c r="AB18" i="173"/>
  <c r="AE18" i="173" s="1"/>
  <c r="AI18" i="173" s="1"/>
  <c r="Y18" i="173" s="1"/>
  <c r="Z18" i="173"/>
  <c r="X18" i="173"/>
  <c r="Q18" i="173"/>
  <c r="P18" i="173"/>
  <c r="H18" i="173"/>
  <c r="E18" i="173"/>
  <c r="I18" i="173" s="1"/>
  <c r="AE17" i="173"/>
  <c r="AI17" i="173" s="1"/>
  <c r="Y17" i="173" s="1"/>
  <c r="AD17" i="173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P16" i="173"/>
  <c r="E16" i="173"/>
  <c r="I16" i="173" s="1"/>
  <c r="AD15" i="173"/>
  <c r="AC15" i="173"/>
  <c r="AB15" i="173"/>
  <c r="AE15" i="173" s="1"/>
  <c r="AI15" i="173" s="1"/>
  <c r="Y15" i="173" s="1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O75" i="173" s="1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E12" i="173" s="1"/>
  <c r="AI12" i="173" s="1"/>
  <c r="Y12" i="173" s="1"/>
  <c r="AC12" i="173"/>
  <c r="AB12" i="173"/>
  <c r="Z12" i="173"/>
  <c r="X12" i="173"/>
  <c r="Q12" i="173"/>
  <c r="P12" i="173"/>
  <c r="I12" i="173"/>
  <c r="H12" i="173"/>
  <c r="E12" i="173"/>
  <c r="F77" i="177" l="1"/>
  <c r="T77" i="176"/>
  <c r="T75" i="176"/>
  <c r="T73" i="176"/>
  <c r="F75" i="176"/>
  <c r="F73" i="176"/>
  <c r="T77" i="175"/>
  <c r="F73" i="175"/>
  <c r="F75" i="175"/>
  <c r="T73" i="175"/>
  <c r="T79" i="175" s="1"/>
  <c r="T75" i="174"/>
  <c r="O73" i="174"/>
  <c r="T77" i="174"/>
  <c r="F73" i="174"/>
  <c r="F75" i="174"/>
  <c r="T73" i="174"/>
  <c r="O73" i="173"/>
  <c r="F75" i="173"/>
  <c r="T77" i="173"/>
  <c r="T75" i="173"/>
  <c r="F73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B68" i="172"/>
  <c r="AE68" i="172" s="1"/>
  <c r="AI68" i="172" s="1"/>
  <c r="Y68" i="172" s="1"/>
  <c r="Z68" i="172"/>
  <c r="X68" i="172"/>
  <c r="W68" i="172"/>
  <c r="Q68" i="172"/>
  <c r="P68" i="172"/>
  <c r="I68" i="172"/>
  <c r="H68" i="172"/>
  <c r="E68" i="172"/>
  <c r="AD67" i="172"/>
  <c r="AC67" i="172"/>
  <c r="AE67" i="172" s="1"/>
  <c r="AI67" i="172" s="1"/>
  <c r="Y67" i="172" s="1"/>
  <c r="AB67" i="172"/>
  <c r="Z67" i="172"/>
  <c r="X67" i="172"/>
  <c r="Q67" i="172"/>
  <c r="P67" i="172"/>
  <c r="H67" i="172"/>
  <c r="E67" i="172"/>
  <c r="I67" i="172" s="1"/>
  <c r="AE66" i="172"/>
  <c r="AI66" i="172" s="1"/>
  <c r="Y66" i="172" s="1"/>
  <c r="AD66" i="172"/>
  <c r="AC66" i="172"/>
  <c r="AB66" i="172"/>
  <c r="Z66" i="172"/>
  <c r="X66" i="172"/>
  <c r="Q66" i="172"/>
  <c r="P66" i="172"/>
  <c r="H66" i="172"/>
  <c r="E66" i="172"/>
  <c r="I66" i="172" s="1"/>
  <c r="AD65" i="172"/>
  <c r="AC65" i="172"/>
  <c r="AB65" i="172"/>
  <c r="AE65" i="172" s="1"/>
  <c r="AI65" i="172" s="1"/>
  <c r="Y65" i="172" s="1"/>
  <c r="Z65" i="172"/>
  <c r="X65" i="172"/>
  <c r="Q65" i="172"/>
  <c r="P65" i="172"/>
  <c r="H65" i="172"/>
  <c r="E65" i="172"/>
  <c r="I65" i="172" s="1"/>
  <c r="AD64" i="172"/>
  <c r="AC64" i="172"/>
  <c r="AB64" i="172"/>
  <c r="AE64" i="172" s="1"/>
  <c r="AI64" i="172" s="1"/>
  <c r="Y64" i="172" s="1"/>
  <c r="Z64" i="172"/>
  <c r="X64" i="172"/>
  <c r="Q64" i="172"/>
  <c r="P64" i="172"/>
  <c r="H64" i="172"/>
  <c r="E64" i="172"/>
  <c r="I64" i="172" s="1"/>
  <c r="AE63" i="172"/>
  <c r="AI63" i="172" s="1"/>
  <c r="Y63" i="172" s="1"/>
  <c r="AD63" i="172"/>
  <c r="AC63" i="172"/>
  <c r="AB63" i="172"/>
  <c r="Z63" i="172"/>
  <c r="X63" i="172"/>
  <c r="Q63" i="172"/>
  <c r="P63" i="172"/>
  <c r="I63" i="172"/>
  <c r="H63" i="172"/>
  <c r="E63" i="172"/>
  <c r="AD62" i="172"/>
  <c r="AC62" i="172"/>
  <c r="AB62" i="172"/>
  <c r="AE62" i="172" s="1"/>
  <c r="AI62" i="172" s="1"/>
  <c r="Y62" i="172" s="1"/>
  <c r="Z62" i="172"/>
  <c r="X62" i="172"/>
  <c r="Q62" i="172"/>
  <c r="P62" i="172"/>
  <c r="I62" i="172"/>
  <c r="H62" i="172"/>
  <c r="E62" i="172"/>
  <c r="AC61" i="172"/>
  <c r="AE61" i="172" s="1"/>
  <c r="AI61" i="172" s="1"/>
  <c r="Y61" i="172" s="1"/>
  <c r="AB61" i="172"/>
  <c r="X61" i="172"/>
  <c r="Q61" i="172"/>
  <c r="P61" i="172"/>
  <c r="I61" i="172"/>
  <c r="H61" i="172"/>
  <c r="E61" i="172"/>
  <c r="AI60" i="172"/>
  <c r="AE60" i="172"/>
  <c r="Y60" i="172"/>
  <c r="X60" i="172"/>
  <c r="Q60" i="172"/>
  <c r="P60" i="172"/>
  <c r="I60" i="172"/>
  <c r="H60" i="172"/>
  <c r="E60" i="172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E58" i="172"/>
  <c r="AI58" i="172" s="1"/>
  <c r="Y58" i="172" s="1"/>
  <c r="AC58" i="172"/>
  <c r="AB58" i="172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I57" i="172"/>
  <c r="H57" i="172"/>
  <c r="E57" i="172"/>
  <c r="AD56" i="172"/>
  <c r="AC56" i="172"/>
  <c r="AB56" i="172"/>
  <c r="AE56" i="172" s="1"/>
  <c r="AI56" i="172" s="1"/>
  <c r="Y56" i="172" s="1"/>
  <c r="Z56" i="172"/>
  <c r="X56" i="172"/>
  <c r="Q56" i="172"/>
  <c r="P56" i="172"/>
  <c r="H56" i="172"/>
  <c r="E56" i="172"/>
  <c r="I56" i="172" s="1"/>
  <c r="AE55" i="172"/>
  <c r="AI55" i="172" s="1"/>
  <c r="Y55" i="172" s="1"/>
  <c r="AD55" i="172"/>
  <c r="AC55" i="172"/>
  <c r="AB55" i="172"/>
  <c r="Z55" i="172"/>
  <c r="X55" i="172"/>
  <c r="Q55" i="172"/>
  <c r="P55" i="172"/>
  <c r="H55" i="172"/>
  <c r="E55" i="172"/>
  <c r="I55" i="172" s="1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E51" i="172"/>
  <c r="AI51" i="172" s="1"/>
  <c r="Y51" i="172" s="1"/>
  <c r="AD51" i="172"/>
  <c r="AC51" i="172"/>
  <c r="AB51" i="172"/>
  <c r="Z51" i="172"/>
  <c r="X51" i="172"/>
  <c r="Q51" i="172"/>
  <c r="P51" i="172"/>
  <c r="H51" i="172"/>
  <c r="E51" i="172"/>
  <c r="I51" i="172" s="1"/>
  <c r="AE50" i="172"/>
  <c r="AI50" i="172" s="1"/>
  <c r="Y50" i="172" s="1"/>
  <c r="AD50" i="172"/>
  <c r="AC50" i="172"/>
  <c r="AB50" i="172"/>
  <c r="Z50" i="172"/>
  <c r="X50" i="172"/>
  <c r="Q50" i="172"/>
  <c r="P50" i="172"/>
  <c r="I50" i="172"/>
  <c r="H50" i="172"/>
  <c r="E50" i="172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I48" i="172"/>
  <c r="H48" i="172"/>
  <c r="E48" i="172"/>
  <c r="AI47" i="172"/>
  <c r="Y47" i="172" s="1"/>
  <c r="AE47" i="172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B44" i="172"/>
  <c r="AE44" i="172" s="1"/>
  <c r="AI44" i="172" s="1"/>
  <c r="Y44" i="172" s="1"/>
  <c r="Z44" i="172"/>
  <c r="X44" i="172"/>
  <c r="Q44" i="172"/>
  <c r="P44" i="172"/>
  <c r="H44" i="172"/>
  <c r="E44" i="172"/>
  <c r="I44" i="172" s="1"/>
  <c r="AD43" i="172"/>
  <c r="AE43" i="172" s="1"/>
  <c r="AI43" i="172" s="1"/>
  <c r="Y43" i="172" s="1"/>
  <c r="AC43" i="172"/>
  <c r="AB43" i="172"/>
  <c r="Z43" i="172"/>
  <c r="X43" i="172"/>
  <c r="Q43" i="172"/>
  <c r="P43" i="172"/>
  <c r="H43" i="172"/>
  <c r="E43" i="172"/>
  <c r="I43" i="172" s="1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E40" i="172"/>
  <c r="AI40" i="172" s="1"/>
  <c r="Y40" i="172" s="1"/>
  <c r="AD40" i="172"/>
  <c r="AC40" i="172"/>
  <c r="AB40" i="172"/>
  <c r="Z40" i="172"/>
  <c r="X40" i="172"/>
  <c r="Q40" i="172"/>
  <c r="P40" i="172"/>
  <c r="I40" i="172"/>
  <c r="H40" i="172"/>
  <c r="E40" i="172"/>
  <c r="AD39" i="172"/>
  <c r="AC39" i="172"/>
  <c r="AB39" i="172"/>
  <c r="AE39" i="172" s="1"/>
  <c r="AI39" i="172" s="1"/>
  <c r="Y39" i="172" s="1"/>
  <c r="Z39" i="172"/>
  <c r="X39" i="172"/>
  <c r="Q39" i="172"/>
  <c r="P39" i="172"/>
  <c r="I39" i="172"/>
  <c r="H39" i="172"/>
  <c r="E39" i="172"/>
  <c r="AE38" i="172"/>
  <c r="AI38" i="172" s="1"/>
  <c r="Y38" i="172" s="1"/>
  <c r="AD38" i="172"/>
  <c r="AC38" i="172"/>
  <c r="AB38" i="172"/>
  <c r="Z38" i="172"/>
  <c r="X38" i="172"/>
  <c r="Q38" i="172"/>
  <c r="P38" i="172"/>
  <c r="H38" i="172"/>
  <c r="E38" i="172"/>
  <c r="I38" i="172" s="1"/>
  <c r="AE37" i="172"/>
  <c r="AI37" i="172" s="1"/>
  <c r="Y37" i="172" s="1"/>
  <c r="AD37" i="172"/>
  <c r="AC37" i="172"/>
  <c r="AB37" i="172"/>
  <c r="Z37" i="172"/>
  <c r="X37" i="172"/>
  <c r="Q37" i="172"/>
  <c r="P37" i="172"/>
  <c r="I37" i="172"/>
  <c r="H37" i="172"/>
  <c r="E37" i="172"/>
  <c r="AD36" i="172"/>
  <c r="AC36" i="172"/>
  <c r="AB36" i="172"/>
  <c r="AE36" i="172" s="1"/>
  <c r="AI36" i="172" s="1"/>
  <c r="Y36" i="172" s="1"/>
  <c r="Z36" i="172"/>
  <c r="X36" i="172"/>
  <c r="Q36" i="172"/>
  <c r="P36" i="172"/>
  <c r="H36" i="172"/>
  <c r="E36" i="172"/>
  <c r="I36" i="172" s="1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I34" i="172"/>
  <c r="H34" i="172"/>
  <c r="E34" i="172"/>
  <c r="AD33" i="172"/>
  <c r="AC33" i="172"/>
  <c r="AB33" i="172"/>
  <c r="AE33" i="172" s="1"/>
  <c r="AI33" i="172" s="1"/>
  <c r="Y33" i="172" s="1"/>
  <c r="Z33" i="172"/>
  <c r="X33" i="172"/>
  <c r="Q33" i="172"/>
  <c r="P33" i="172"/>
  <c r="I33" i="172"/>
  <c r="H33" i="172"/>
  <c r="E33" i="172"/>
  <c r="AD32" i="172"/>
  <c r="AC32" i="172"/>
  <c r="AE32" i="172" s="1"/>
  <c r="AI32" i="172" s="1"/>
  <c r="Y32" i="172" s="1"/>
  <c r="AB32" i="172"/>
  <c r="Z32" i="172"/>
  <c r="X32" i="172"/>
  <c r="Q32" i="172"/>
  <c r="P32" i="172"/>
  <c r="I32" i="172"/>
  <c r="H32" i="172"/>
  <c r="E32" i="172"/>
  <c r="AI31" i="172"/>
  <c r="AE31" i="172"/>
  <c r="Z31" i="172"/>
  <c r="Y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B29" i="172"/>
  <c r="AE29" i="172" s="1"/>
  <c r="AI29" i="172" s="1"/>
  <c r="Y29" i="172" s="1"/>
  <c r="Z29" i="172"/>
  <c r="X29" i="172"/>
  <c r="Q29" i="172"/>
  <c r="P29" i="172"/>
  <c r="H29" i="172"/>
  <c r="E29" i="172"/>
  <c r="I29" i="172" s="1"/>
  <c r="AD28" i="172"/>
  <c r="AE28" i="172" s="1"/>
  <c r="AI28" i="172" s="1"/>
  <c r="Y28" i="172" s="1"/>
  <c r="AC28" i="172"/>
  <c r="AB28" i="172"/>
  <c r="Z28" i="172"/>
  <c r="X28" i="172"/>
  <c r="Q28" i="172"/>
  <c r="P28" i="172"/>
  <c r="H28" i="172"/>
  <c r="E28" i="172"/>
  <c r="I28" i="172" s="1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E25" i="172"/>
  <c r="AI25" i="172" s="1"/>
  <c r="Y25" i="172" s="1"/>
  <c r="AD25" i="172"/>
  <c r="AC25" i="172"/>
  <c r="AB25" i="172"/>
  <c r="Z25" i="172"/>
  <c r="X25" i="172"/>
  <c r="Q25" i="172"/>
  <c r="P25" i="172"/>
  <c r="I25" i="172"/>
  <c r="H25" i="172"/>
  <c r="E25" i="172"/>
  <c r="AD24" i="172"/>
  <c r="AC24" i="172"/>
  <c r="AB24" i="172"/>
  <c r="AE24" i="172" s="1"/>
  <c r="AI24" i="172" s="1"/>
  <c r="Y24" i="172" s="1"/>
  <c r="Z24" i="172"/>
  <c r="X24" i="172"/>
  <c r="Q24" i="172"/>
  <c r="P24" i="172"/>
  <c r="I24" i="172"/>
  <c r="H24" i="172"/>
  <c r="E24" i="172"/>
  <c r="AE23" i="172"/>
  <c r="AI23" i="172" s="1"/>
  <c r="Y23" i="172" s="1"/>
  <c r="AD23" i="172"/>
  <c r="AC23" i="172"/>
  <c r="AB23" i="172"/>
  <c r="Z23" i="172"/>
  <c r="X23" i="172"/>
  <c r="Q23" i="172"/>
  <c r="P23" i="172"/>
  <c r="H23" i="172"/>
  <c r="E23" i="172"/>
  <c r="I23" i="172" s="1"/>
  <c r="AE22" i="172"/>
  <c r="AI22" i="172" s="1"/>
  <c r="Y22" i="172" s="1"/>
  <c r="AD22" i="172"/>
  <c r="AC22" i="172"/>
  <c r="AB22" i="172"/>
  <c r="Z22" i="172"/>
  <c r="X22" i="172"/>
  <c r="Q22" i="172"/>
  <c r="P22" i="172"/>
  <c r="I22" i="172"/>
  <c r="H22" i="172"/>
  <c r="E22" i="172"/>
  <c r="AD21" i="172"/>
  <c r="AC21" i="172"/>
  <c r="AB21" i="172"/>
  <c r="AE21" i="172" s="1"/>
  <c r="AI21" i="172" s="1"/>
  <c r="Y21" i="172" s="1"/>
  <c r="Z21" i="172"/>
  <c r="X21" i="172"/>
  <c r="Q21" i="172"/>
  <c r="P21" i="172"/>
  <c r="H21" i="172"/>
  <c r="E21" i="172"/>
  <c r="I21" i="172" s="1"/>
  <c r="AD20" i="172"/>
  <c r="AC20" i="172"/>
  <c r="AB20" i="172"/>
  <c r="AE20" i="172" s="1"/>
  <c r="AI20" i="172" s="1"/>
  <c r="Y20" i="172" s="1"/>
  <c r="Z20" i="172"/>
  <c r="X20" i="172"/>
  <c r="Q20" i="172"/>
  <c r="P20" i="172"/>
  <c r="I20" i="172"/>
  <c r="H20" i="172"/>
  <c r="E20" i="172"/>
  <c r="AE19" i="172"/>
  <c r="AI19" i="172" s="1"/>
  <c r="Y19" i="172" s="1"/>
  <c r="AD19" i="172"/>
  <c r="AC19" i="172"/>
  <c r="AB19" i="172"/>
  <c r="Z19" i="172"/>
  <c r="X19" i="172"/>
  <c r="Q19" i="172"/>
  <c r="P19" i="172"/>
  <c r="I19" i="172"/>
  <c r="H19" i="172"/>
  <c r="E19" i="172"/>
  <c r="AD18" i="172"/>
  <c r="AC18" i="172"/>
  <c r="AB18" i="172"/>
  <c r="AE18" i="172" s="1"/>
  <c r="AI18" i="172" s="1"/>
  <c r="Y18" i="172" s="1"/>
  <c r="Z18" i="172"/>
  <c r="X18" i="172"/>
  <c r="Q18" i="172"/>
  <c r="P18" i="172"/>
  <c r="I18" i="172"/>
  <c r="H18" i="172"/>
  <c r="E18" i="172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C16" i="172"/>
  <c r="AE16" i="172" s="1"/>
  <c r="AI16" i="172" s="1"/>
  <c r="Y16" i="172" s="1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C14" i="172"/>
  <c r="AB14" i="172"/>
  <c r="AE14" i="172" s="1"/>
  <c r="AI14" i="172" s="1"/>
  <c r="Y14" i="172" s="1"/>
  <c r="Z14" i="172"/>
  <c r="X14" i="172"/>
  <c r="Q14" i="172"/>
  <c r="P14" i="172"/>
  <c r="I14" i="172"/>
  <c r="H14" i="172"/>
  <c r="E14" i="172"/>
  <c r="AE13" i="172"/>
  <c r="AI13" i="172" s="1"/>
  <c r="Y13" i="172" s="1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P12" i="172"/>
  <c r="I12" i="172"/>
  <c r="H12" i="172"/>
  <c r="E12" i="172"/>
  <c r="T79" i="176" l="1"/>
  <c r="F77" i="176"/>
  <c r="F77" i="175"/>
  <c r="T79" i="174"/>
  <c r="F77" i="174"/>
  <c r="T79" i="173"/>
  <c r="F77" i="173"/>
  <c r="T77" i="172"/>
  <c r="T75" i="172"/>
  <c r="O73" i="172"/>
  <c r="O75" i="172"/>
  <c r="F73" i="172"/>
  <c r="T73" i="172"/>
  <c r="F75" i="172"/>
  <c r="M79" i="171"/>
  <c r="W73" i="171"/>
  <c r="P71" i="171"/>
  <c r="H71" i="171"/>
  <c r="Q70" i="171"/>
  <c r="P70" i="171"/>
  <c r="I70" i="171"/>
  <c r="H70" i="171"/>
  <c r="E70" i="171"/>
  <c r="Q69" i="171"/>
  <c r="P69" i="171"/>
  <c r="I69" i="171"/>
  <c r="H69" i="171"/>
  <c r="E69" i="171"/>
  <c r="AE68" i="171"/>
  <c r="AI68" i="171" s="1"/>
  <c r="Y68" i="171" s="1"/>
  <c r="AD68" i="171"/>
  <c r="AC68" i="171"/>
  <c r="AB68" i="171"/>
  <c r="Z68" i="171"/>
  <c r="X68" i="171"/>
  <c r="W68" i="171"/>
  <c r="Q68" i="171"/>
  <c r="P68" i="171"/>
  <c r="H68" i="171"/>
  <c r="E68" i="171"/>
  <c r="I68" i="171" s="1"/>
  <c r="AD67" i="171"/>
  <c r="AC67" i="171"/>
  <c r="AB67" i="171"/>
  <c r="AE67" i="171" s="1"/>
  <c r="AI67" i="171" s="1"/>
  <c r="Y67" i="171" s="1"/>
  <c r="Z67" i="171"/>
  <c r="X67" i="171"/>
  <c r="Q67" i="171"/>
  <c r="P67" i="171"/>
  <c r="I67" i="171"/>
  <c r="H67" i="171"/>
  <c r="E67" i="171"/>
  <c r="AD66" i="171"/>
  <c r="AC66" i="171"/>
  <c r="AE66" i="171" s="1"/>
  <c r="AI66" i="171" s="1"/>
  <c r="Y66" i="171" s="1"/>
  <c r="AB66" i="171"/>
  <c r="Z66" i="171"/>
  <c r="X66" i="171"/>
  <c r="Q66" i="171"/>
  <c r="P66" i="171"/>
  <c r="I66" i="171"/>
  <c r="H66" i="171"/>
  <c r="E66" i="171"/>
  <c r="AE65" i="171"/>
  <c r="AI65" i="171" s="1"/>
  <c r="Y65" i="171" s="1"/>
  <c r="AD65" i="171"/>
  <c r="AC65" i="171"/>
  <c r="AB65" i="171"/>
  <c r="Z65" i="171"/>
  <c r="X65" i="171"/>
  <c r="Q65" i="171"/>
  <c r="P65" i="171"/>
  <c r="H65" i="171"/>
  <c r="E65" i="171"/>
  <c r="I65" i="171" s="1"/>
  <c r="AD64" i="171"/>
  <c r="AC64" i="171"/>
  <c r="AB64" i="171"/>
  <c r="AE64" i="171" s="1"/>
  <c r="AI64" i="171" s="1"/>
  <c r="Y64" i="171" s="1"/>
  <c r="Z64" i="171"/>
  <c r="X64" i="171"/>
  <c r="Q64" i="171"/>
  <c r="P64" i="171"/>
  <c r="H64" i="171"/>
  <c r="E64" i="171"/>
  <c r="I64" i="171" s="1"/>
  <c r="AD63" i="171"/>
  <c r="AC63" i="171"/>
  <c r="AB63" i="171"/>
  <c r="AE63" i="171" s="1"/>
  <c r="AI63" i="171" s="1"/>
  <c r="Y63" i="171" s="1"/>
  <c r="Z63" i="171"/>
  <c r="X63" i="171"/>
  <c r="Q63" i="171"/>
  <c r="P63" i="171"/>
  <c r="H63" i="171"/>
  <c r="E63" i="171"/>
  <c r="I63" i="171" s="1"/>
  <c r="AD62" i="171"/>
  <c r="AE62" i="171" s="1"/>
  <c r="AI62" i="171" s="1"/>
  <c r="Y62" i="171" s="1"/>
  <c r="AC62" i="171"/>
  <c r="AB62" i="171"/>
  <c r="Z62" i="171"/>
  <c r="X62" i="171"/>
  <c r="Q62" i="171"/>
  <c r="P62" i="171"/>
  <c r="I62" i="171"/>
  <c r="H62" i="171"/>
  <c r="E62" i="171"/>
  <c r="AC61" i="171"/>
  <c r="AE61" i="171" s="1"/>
  <c r="AI61" i="171" s="1"/>
  <c r="Y61" i="171" s="1"/>
  <c r="AB61" i="171"/>
  <c r="X61" i="171"/>
  <c r="Q61" i="171"/>
  <c r="P61" i="171"/>
  <c r="H61" i="171"/>
  <c r="E61" i="171"/>
  <c r="I61" i="171" s="1"/>
  <c r="AE60" i="171"/>
  <c r="AI60" i="171" s="1"/>
  <c r="Y60" i="171" s="1"/>
  <c r="X60" i="171"/>
  <c r="Q60" i="171"/>
  <c r="P60" i="171"/>
  <c r="I60" i="171"/>
  <c r="H60" i="171"/>
  <c r="E60" i="171"/>
  <c r="AE59" i="171"/>
  <c r="AI59" i="171" s="1"/>
  <c r="Y59" i="171" s="1"/>
  <c r="AC59" i="171"/>
  <c r="AB59" i="171"/>
  <c r="X59" i="171"/>
  <c r="Q59" i="171"/>
  <c r="P59" i="171"/>
  <c r="I59" i="171"/>
  <c r="H59" i="171"/>
  <c r="E59" i="171"/>
  <c r="AC58" i="171"/>
  <c r="AB58" i="171"/>
  <c r="AE58" i="171" s="1"/>
  <c r="AI58" i="171" s="1"/>
  <c r="Y58" i="171" s="1"/>
  <c r="X58" i="171"/>
  <c r="Q58" i="171"/>
  <c r="P58" i="171"/>
  <c r="E58" i="171"/>
  <c r="I58" i="171" s="1"/>
  <c r="AE57" i="171"/>
  <c r="AI57" i="171" s="1"/>
  <c r="Y57" i="171" s="1"/>
  <c r="AC57" i="171"/>
  <c r="AB57" i="171"/>
  <c r="X57" i="171"/>
  <c r="Q57" i="171"/>
  <c r="P57" i="171"/>
  <c r="I57" i="171"/>
  <c r="H57" i="171"/>
  <c r="E57" i="171"/>
  <c r="AE56" i="171"/>
  <c r="AI56" i="171" s="1"/>
  <c r="Y56" i="171" s="1"/>
  <c r="AD56" i="171"/>
  <c r="AC56" i="171"/>
  <c r="AB56" i="171"/>
  <c r="Z56" i="171"/>
  <c r="X56" i="171"/>
  <c r="Q56" i="171"/>
  <c r="P56" i="171"/>
  <c r="H56" i="171"/>
  <c r="E56" i="171"/>
  <c r="I56" i="171" s="1"/>
  <c r="AE55" i="171"/>
  <c r="AI55" i="171" s="1"/>
  <c r="Y55" i="171" s="1"/>
  <c r="AD55" i="171"/>
  <c r="AC55" i="171"/>
  <c r="AB55" i="171"/>
  <c r="Z55" i="171"/>
  <c r="X55" i="171"/>
  <c r="Q55" i="171"/>
  <c r="P55" i="171"/>
  <c r="H55" i="171"/>
  <c r="E55" i="171"/>
  <c r="I55" i="171" s="1"/>
  <c r="AD54" i="171"/>
  <c r="AC54" i="171"/>
  <c r="AB54" i="171"/>
  <c r="AE54" i="171" s="1"/>
  <c r="AI54" i="171" s="1"/>
  <c r="Y54" i="171" s="1"/>
  <c r="Z54" i="171"/>
  <c r="X54" i="171"/>
  <c r="Q54" i="171"/>
  <c r="P54" i="171"/>
  <c r="H54" i="171"/>
  <c r="E54" i="171"/>
  <c r="I54" i="171" s="1"/>
  <c r="AD53" i="171"/>
  <c r="AE53" i="171" s="1"/>
  <c r="AI53" i="171" s="1"/>
  <c r="Y53" i="171" s="1"/>
  <c r="AC53" i="171"/>
  <c r="AB53" i="171"/>
  <c r="Z53" i="171"/>
  <c r="X53" i="171"/>
  <c r="Q53" i="171"/>
  <c r="P53" i="171"/>
  <c r="I53" i="171"/>
  <c r="H53" i="171"/>
  <c r="E53" i="171"/>
  <c r="AE52" i="171"/>
  <c r="AI52" i="171" s="1"/>
  <c r="Y52" i="171" s="1"/>
  <c r="Z52" i="171"/>
  <c r="X52" i="171"/>
  <c r="Q52" i="171"/>
  <c r="P52" i="171"/>
  <c r="H52" i="171"/>
  <c r="E52" i="171"/>
  <c r="I52" i="171" s="1"/>
  <c r="AD51" i="171"/>
  <c r="AC51" i="171"/>
  <c r="AB51" i="171"/>
  <c r="AE51" i="171" s="1"/>
  <c r="AI51" i="171" s="1"/>
  <c r="Y51" i="171" s="1"/>
  <c r="Z51" i="171"/>
  <c r="X51" i="171"/>
  <c r="Q51" i="171"/>
  <c r="P51" i="171"/>
  <c r="I51" i="171"/>
  <c r="H51" i="171"/>
  <c r="E51" i="171"/>
  <c r="AD50" i="171"/>
  <c r="AC50" i="171"/>
  <c r="AE50" i="171" s="1"/>
  <c r="AI50" i="171" s="1"/>
  <c r="Y50" i="171" s="1"/>
  <c r="AB50" i="171"/>
  <c r="Z50" i="171"/>
  <c r="X50" i="171"/>
  <c r="Q50" i="171"/>
  <c r="P50" i="171"/>
  <c r="I50" i="171"/>
  <c r="H50" i="171"/>
  <c r="E50" i="171"/>
  <c r="AE49" i="171"/>
  <c r="AI49" i="171" s="1"/>
  <c r="Y49" i="171" s="1"/>
  <c r="Z49" i="171"/>
  <c r="X49" i="171"/>
  <c r="Q49" i="171"/>
  <c r="P49" i="171"/>
  <c r="H49" i="171"/>
  <c r="E49" i="171"/>
  <c r="I49" i="171" s="1"/>
  <c r="AE48" i="171"/>
  <c r="AI48" i="171" s="1"/>
  <c r="Y48" i="171" s="1"/>
  <c r="Z48" i="171"/>
  <c r="X48" i="171"/>
  <c r="Q48" i="171"/>
  <c r="P48" i="171"/>
  <c r="I48" i="171"/>
  <c r="H48" i="171"/>
  <c r="E48" i="171"/>
  <c r="AE47" i="171"/>
  <c r="AI47" i="171" s="1"/>
  <c r="Y47" i="171" s="1"/>
  <c r="Z47" i="171"/>
  <c r="X47" i="171"/>
  <c r="Q47" i="171"/>
  <c r="P47" i="171"/>
  <c r="H47" i="171"/>
  <c r="E47" i="171"/>
  <c r="I47" i="171" s="1"/>
  <c r="AD46" i="171"/>
  <c r="AC46" i="171"/>
  <c r="AE46" i="171" s="1"/>
  <c r="AI46" i="171" s="1"/>
  <c r="Y46" i="171" s="1"/>
  <c r="AB46" i="171"/>
  <c r="Z46" i="171"/>
  <c r="X46" i="171"/>
  <c r="Q46" i="171"/>
  <c r="P46" i="171"/>
  <c r="I46" i="171"/>
  <c r="H46" i="171"/>
  <c r="E46" i="171"/>
  <c r="AD45" i="171"/>
  <c r="AC45" i="171"/>
  <c r="AE45" i="171" s="1"/>
  <c r="AI45" i="171" s="1"/>
  <c r="Y45" i="171" s="1"/>
  <c r="AB45" i="171"/>
  <c r="Z45" i="171"/>
  <c r="X45" i="171"/>
  <c r="Q45" i="171"/>
  <c r="P45" i="171"/>
  <c r="I45" i="171"/>
  <c r="H45" i="171"/>
  <c r="E45" i="171"/>
  <c r="AE44" i="171"/>
  <c r="AI44" i="171" s="1"/>
  <c r="Y44" i="171" s="1"/>
  <c r="AD44" i="171"/>
  <c r="AC44" i="171"/>
  <c r="AB44" i="171"/>
  <c r="Z44" i="171"/>
  <c r="X44" i="171"/>
  <c r="Q44" i="171"/>
  <c r="P44" i="171"/>
  <c r="H44" i="171"/>
  <c r="E44" i="171"/>
  <c r="I44" i="171" s="1"/>
  <c r="AE43" i="171"/>
  <c r="AI43" i="171" s="1"/>
  <c r="Y43" i="171" s="1"/>
  <c r="AD43" i="171"/>
  <c r="AC43" i="171"/>
  <c r="AB43" i="171"/>
  <c r="Z43" i="171"/>
  <c r="X43" i="171"/>
  <c r="Q43" i="171"/>
  <c r="P43" i="171"/>
  <c r="H43" i="171"/>
  <c r="E43" i="171"/>
  <c r="I43" i="171" s="1"/>
  <c r="AD42" i="171"/>
  <c r="AC42" i="171"/>
  <c r="AB42" i="171"/>
  <c r="AE42" i="171" s="1"/>
  <c r="AI42" i="171" s="1"/>
  <c r="Y42" i="171" s="1"/>
  <c r="Z42" i="171"/>
  <c r="X42" i="171"/>
  <c r="Q42" i="171"/>
  <c r="P42" i="171"/>
  <c r="H42" i="171"/>
  <c r="E42" i="171"/>
  <c r="I42" i="171" s="1"/>
  <c r="AD41" i="171"/>
  <c r="AE41" i="171" s="1"/>
  <c r="AI41" i="171" s="1"/>
  <c r="Y41" i="171" s="1"/>
  <c r="AC41" i="171"/>
  <c r="AB41" i="171"/>
  <c r="Z41" i="171"/>
  <c r="X41" i="171"/>
  <c r="Q41" i="171"/>
  <c r="P41" i="171"/>
  <c r="I41" i="171"/>
  <c r="H41" i="171"/>
  <c r="E41" i="171"/>
  <c r="AD40" i="171"/>
  <c r="AC40" i="171"/>
  <c r="AB40" i="171"/>
  <c r="AE40" i="171" s="1"/>
  <c r="AI40" i="171" s="1"/>
  <c r="Y40" i="171" s="1"/>
  <c r="Z40" i="171"/>
  <c r="X40" i="171"/>
  <c r="Q40" i="171"/>
  <c r="P40" i="171"/>
  <c r="I40" i="171"/>
  <c r="H40" i="171"/>
  <c r="E40" i="171"/>
  <c r="AD39" i="171"/>
  <c r="AC39" i="171"/>
  <c r="AB39" i="171"/>
  <c r="AE39" i="171" s="1"/>
  <c r="AI39" i="171" s="1"/>
  <c r="Y39" i="171" s="1"/>
  <c r="Z39" i="171"/>
  <c r="X39" i="171"/>
  <c r="Q39" i="171"/>
  <c r="P39" i="171"/>
  <c r="H39" i="171"/>
  <c r="E39" i="171"/>
  <c r="I39" i="171" s="1"/>
  <c r="AD38" i="171"/>
  <c r="AC38" i="171"/>
  <c r="AB38" i="171"/>
  <c r="AE38" i="171" s="1"/>
  <c r="AI38" i="171" s="1"/>
  <c r="Y38" i="171" s="1"/>
  <c r="Z38" i="171"/>
  <c r="X38" i="171"/>
  <c r="Q38" i="171"/>
  <c r="P38" i="171"/>
  <c r="I38" i="171"/>
  <c r="H38" i="171"/>
  <c r="E38" i="171"/>
  <c r="AD37" i="171"/>
  <c r="AC37" i="171"/>
  <c r="AE37" i="171" s="1"/>
  <c r="AI37" i="171" s="1"/>
  <c r="Y37" i="171" s="1"/>
  <c r="AB37" i="171"/>
  <c r="Z37" i="171"/>
  <c r="X37" i="171"/>
  <c r="Q37" i="171"/>
  <c r="P37" i="171"/>
  <c r="I37" i="171"/>
  <c r="H37" i="171"/>
  <c r="E37" i="171"/>
  <c r="AE36" i="171"/>
  <c r="AI36" i="171" s="1"/>
  <c r="Y36" i="171" s="1"/>
  <c r="AD36" i="171"/>
  <c r="AC36" i="171"/>
  <c r="AB36" i="171"/>
  <c r="Z36" i="171"/>
  <c r="X36" i="171"/>
  <c r="Q36" i="171"/>
  <c r="P36" i="171"/>
  <c r="H36" i="171"/>
  <c r="E36" i="171"/>
  <c r="I36" i="171" s="1"/>
  <c r="AD35" i="171"/>
  <c r="AC35" i="171"/>
  <c r="AB35" i="171"/>
  <c r="AE35" i="171" s="1"/>
  <c r="AI35" i="171" s="1"/>
  <c r="Y35" i="171" s="1"/>
  <c r="Z35" i="171"/>
  <c r="X35" i="171"/>
  <c r="Q35" i="171"/>
  <c r="P35" i="171"/>
  <c r="H35" i="171"/>
  <c r="E35" i="171"/>
  <c r="I35" i="171" s="1"/>
  <c r="AD34" i="171"/>
  <c r="AC34" i="171"/>
  <c r="AB34" i="171"/>
  <c r="AE34" i="171" s="1"/>
  <c r="AI34" i="171" s="1"/>
  <c r="Y34" i="171" s="1"/>
  <c r="Z34" i="171"/>
  <c r="X34" i="171"/>
  <c r="Q34" i="171"/>
  <c r="P34" i="171"/>
  <c r="H34" i="171"/>
  <c r="E34" i="171"/>
  <c r="I34" i="171" s="1"/>
  <c r="AD33" i="171"/>
  <c r="AE33" i="171" s="1"/>
  <c r="AI33" i="171" s="1"/>
  <c r="Y33" i="171" s="1"/>
  <c r="AC33" i="171"/>
  <c r="AB33" i="171"/>
  <c r="Z33" i="171"/>
  <c r="X33" i="171"/>
  <c r="Q33" i="171"/>
  <c r="P33" i="171"/>
  <c r="I33" i="171"/>
  <c r="H33" i="171"/>
  <c r="E33" i="171"/>
  <c r="AD32" i="171"/>
  <c r="AE32" i="171" s="1"/>
  <c r="AI32" i="171" s="1"/>
  <c r="Y32" i="171" s="1"/>
  <c r="AC32" i="171"/>
  <c r="AB32" i="171"/>
  <c r="Z32" i="171"/>
  <c r="X32" i="171"/>
  <c r="Q32" i="171"/>
  <c r="P32" i="171"/>
  <c r="I32" i="171"/>
  <c r="H32" i="171"/>
  <c r="E32" i="171"/>
  <c r="AI31" i="171"/>
  <c r="Y31" i="171" s="1"/>
  <c r="AE31" i="171"/>
  <c r="Z31" i="171"/>
  <c r="X31" i="171"/>
  <c r="Q31" i="171"/>
  <c r="P31" i="171"/>
  <c r="I31" i="171"/>
  <c r="H31" i="171"/>
  <c r="E31" i="171"/>
  <c r="AD30" i="171"/>
  <c r="AC30" i="171"/>
  <c r="AE30" i="171" s="1"/>
  <c r="AI30" i="171" s="1"/>
  <c r="Y30" i="171" s="1"/>
  <c r="AB30" i="171"/>
  <c r="Z30" i="171"/>
  <c r="X30" i="171"/>
  <c r="Q30" i="171"/>
  <c r="P30" i="171"/>
  <c r="I30" i="171"/>
  <c r="H30" i="171"/>
  <c r="E30" i="171"/>
  <c r="AE29" i="171"/>
  <c r="AI29" i="171" s="1"/>
  <c r="Y29" i="171" s="1"/>
  <c r="AD29" i="171"/>
  <c r="AC29" i="171"/>
  <c r="AB29" i="171"/>
  <c r="Z29" i="171"/>
  <c r="X29" i="171"/>
  <c r="Q29" i="171"/>
  <c r="P29" i="171"/>
  <c r="I29" i="171"/>
  <c r="H29" i="171"/>
  <c r="E29" i="171"/>
  <c r="AE28" i="171"/>
  <c r="AI28" i="171" s="1"/>
  <c r="Y28" i="171" s="1"/>
  <c r="AD28" i="171"/>
  <c r="AC28" i="171"/>
  <c r="AB28" i="171"/>
  <c r="Z28" i="171"/>
  <c r="X28" i="171"/>
  <c r="Q28" i="171"/>
  <c r="P28" i="171"/>
  <c r="H28" i="171"/>
  <c r="E28" i="171"/>
  <c r="I28" i="171" s="1"/>
  <c r="AD27" i="171"/>
  <c r="AC27" i="171"/>
  <c r="AB27" i="171"/>
  <c r="AE27" i="171" s="1"/>
  <c r="AI27" i="171" s="1"/>
  <c r="Y27" i="171" s="1"/>
  <c r="Z27" i="171"/>
  <c r="X27" i="171"/>
  <c r="Q27" i="171"/>
  <c r="P27" i="171"/>
  <c r="H27" i="171"/>
  <c r="E27" i="171"/>
  <c r="I27" i="171" s="1"/>
  <c r="AD26" i="171"/>
  <c r="AE26" i="171" s="1"/>
  <c r="AI26" i="171" s="1"/>
  <c r="Y26" i="171" s="1"/>
  <c r="AC26" i="171"/>
  <c r="AB26" i="171"/>
  <c r="Z26" i="171"/>
  <c r="X26" i="171"/>
  <c r="Q26" i="171"/>
  <c r="P26" i="171"/>
  <c r="I26" i="171"/>
  <c r="H26" i="171"/>
  <c r="E26" i="171"/>
  <c r="AD25" i="171"/>
  <c r="AC25" i="171"/>
  <c r="AB25" i="171"/>
  <c r="AE25" i="171" s="1"/>
  <c r="AI25" i="171" s="1"/>
  <c r="Y25" i="171" s="1"/>
  <c r="Z25" i="171"/>
  <c r="X25" i="171"/>
  <c r="Q25" i="171"/>
  <c r="P25" i="171"/>
  <c r="I25" i="171"/>
  <c r="H25" i="171"/>
  <c r="E25" i="171"/>
  <c r="AD24" i="171"/>
  <c r="AC24" i="171"/>
  <c r="AB24" i="171"/>
  <c r="AE24" i="171" s="1"/>
  <c r="AI24" i="171" s="1"/>
  <c r="Y24" i="171" s="1"/>
  <c r="Z24" i="171"/>
  <c r="X24" i="171"/>
  <c r="Q24" i="171"/>
  <c r="P24" i="171"/>
  <c r="H24" i="171"/>
  <c r="E24" i="171"/>
  <c r="I24" i="171" s="1"/>
  <c r="AD23" i="171"/>
  <c r="AC23" i="171"/>
  <c r="AB23" i="171"/>
  <c r="AE23" i="171" s="1"/>
  <c r="AI23" i="171" s="1"/>
  <c r="Y23" i="171" s="1"/>
  <c r="Z23" i="171"/>
  <c r="X23" i="171"/>
  <c r="Q23" i="171"/>
  <c r="P23" i="171"/>
  <c r="I23" i="171"/>
  <c r="H23" i="171"/>
  <c r="E23" i="171"/>
  <c r="AD22" i="171"/>
  <c r="AC22" i="171"/>
  <c r="AE22" i="171" s="1"/>
  <c r="AI22" i="171" s="1"/>
  <c r="Y22" i="171" s="1"/>
  <c r="AB22" i="171"/>
  <c r="Z22" i="171"/>
  <c r="X22" i="171"/>
  <c r="Q22" i="171"/>
  <c r="P22" i="171"/>
  <c r="I22" i="171"/>
  <c r="H22" i="171"/>
  <c r="E22" i="171"/>
  <c r="AE21" i="171"/>
  <c r="AI21" i="171" s="1"/>
  <c r="Y21" i="171" s="1"/>
  <c r="AD21" i="171"/>
  <c r="AC21" i="171"/>
  <c r="AB21" i="171"/>
  <c r="Z21" i="171"/>
  <c r="X21" i="171"/>
  <c r="Q21" i="171"/>
  <c r="P21" i="171"/>
  <c r="H21" i="171"/>
  <c r="E21" i="171"/>
  <c r="I21" i="171" s="1"/>
  <c r="AD20" i="171"/>
  <c r="AC20" i="171"/>
  <c r="AB20" i="171"/>
  <c r="AE20" i="171" s="1"/>
  <c r="AI20" i="171" s="1"/>
  <c r="Y20" i="171" s="1"/>
  <c r="Z20" i="171"/>
  <c r="X20" i="171"/>
  <c r="Q20" i="171"/>
  <c r="P20" i="171"/>
  <c r="H20" i="171"/>
  <c r="E20" i="171"/>
  <c r="I20" i="171" s="1"/>
  <c r="AD19" i="171"/>
  <c r="AC19" i="171"/>
  <c r="AB19" i="171"/>
  <c r="AE19" i="171" s="1"/>
  <c r="AI19" i="171" s="1"/>
  <c r="Y19" i="171" s="1"/>
  <c r="Z19" i="171"/>
  <c r="X19" i="171"/>
  <c r="Q19" i="171"/>
  <c r="P19" i="171"/>
  <c r="H19" i="171"/>
  <c r="E19" i="171"/>
  <c r="I19" i="171" s="1"/>
  <c r="AD18" i="171"/>
  <c r="AE18" i="171" s="1"/>
  <c r="AI18" i="171" s="1"/>
  <c r="Y18" i="171" s="1"/>
  <c r="AC18" i="171"/>
  <c r="AB18" i="171"/>
  <c r="Z18" i="171"/>
  <c r="X18" i="171"/>
  <c r="Q18" i="171"/>
  <c r="P18" i="171"/>
  <c r="I18" i="171"/>
  <c r="H18" i="171"/>
  <c r="E18" i="171"/>
  <c r="AD17" i="171"/>
  <c r="AE17" i="171" s="1"/>
  <c r="AI17" i="171" s="1"/>
  <c r="Y17" i="171" s="1"/>
  <c r="AC17" i="171"/>
  <c r="AB17" i="171"/>
  <c r="Z17" i="171"/>
  <c r="X17" i="171"/>
  <c r="Q17" i="171"/>
  <c r="P17" i="171"/>
  <c r="I17" i="171"/>
  <c r="H17" i="171"/>
  <c r="E17" i="171"/>
  <c r="AD16" i="171"/>
  <c r="AC16" i="171"/>
  <c r="AB16" i="171"/>
  <c r="AE16" i="171" s="1"/>
  <c r="AI16" i="171" s="1"/>
  <c r="Y16" i="171" s="1"/>
  <c r="Z16" i="171"/>
  <c r="X16" i="171"/>
  <c r="Q16" i="171"/>
  <c r="P16" i="171"/>
  <c r="E16" i="171"/>
  <c r="I16" i="171" s="1"/>
  <c r="AD15" i="171"/>
  <c r="AC15" i="171"/>
  <c r="AB15" i="171"/>
  <c r="AE15" i="171" s="1"/>
  <c r="AI15" i="171" s="1"/>
  <c r="Y15" i="171" s="1"/>
  <c r="Z15" i="171"/>
  <c r="X15" i="171"/>
  <c r="Q15" i="171"/>
  <c r="P15" i="171"/>
  <c r="E15" i="171"/>
  <c r="I15" i="171" s="1"/>
  <c r="AD14" i="171"/>
  <c r="AC14" i="171"/>
  <c r="AB14" i="171"/>
  <c r="AE14" i="171" s="1"/>
  <c r="AI14" i="171" s="1"/>
  <c r="Y14" i="171" s="1"/>
  <c r="Z14" i="171"/>
  <c r="X14" i="171"/>
  <c r="Q14" i="171"/>
  <c r="O75" i="171" s="1"/>
  <c r="P14" i="171"/>
  <c r="H14" i="171"/>
  <c r="E14" i="171"/>
  <c r="I14" i="171" s="1"/>
  <c r="F75" i="171" s="1"/>
  <c r="AD13" i="171"/>
  <c r="AC13" i="171"/>
  <c r="AB13" i="171"/>
  <c r="AE13" i="171" s="1"/>
  <c r="AI13" i="171" s="1"/>
  <c r="Y13" i="171" s="1"/>
  <c r="Z13" i="171"/>
  <c r="X13" i="171"/>
  <c r="Q13" i="171"/>
  <c r="P13" i="171"/>
  <c r="I13" i="171"/>
  <c r="H13" i="171"/>
  <c r="E13" i="171"/>
  <c r="AD12" i="171"/>
  <c r="AC12" i="171"/>
  <c r="AE12" i="171" s="1"/>
  <c r="AI12" i="171" s="1"/>
  <c r="Y12" i="171" s="1"/>
  <c r="AB12" i="171"/>
  <c r="Z12" i="171"/>
  <c r="X12" i="171"/>
  <c r="Q12" i="171"/>
  <c r="P12" i="171"/>
  <c r="I12" i="171"/>
  <c r="H12" i="171"/>
  <c r="E12" i="171"/>
  <c r="M79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D68" i="170"/>
  <c r="AC68" i="170"/>
  <c r="AB68" i="170"/>
  <c r="AE68" i="170" s="1"/>
  <c r="AI68" i="170" s="1"/>
  <c r="Y68" i="170" s="1"/>
  <c r="Z68" i="170"/>
  <c r="X68" i="170"/>
  <c r="W68" i="170"/>
  <c r="Q68" i="170"/>
  <c r="P68" i="170"/>
  <c r="H68" i="170"/>
  <c r="E68" i="170"/>
  <c r="I68" i="170" s="1"/>
  <c r="AD67" i="170"/>
  <c r="AC67" i="170"/>
  <c r="AB67" i="170"/>
  <c r="AE67" i="170" s="1"/>
  <c r="AI67" i="170" s="1"/>
  <c r="Y67" i="170" s="1"/>
  <c r="Z67" i="170"/>
  <c r="X67" i="170"/>
  <c r="Q67" i="170"/>
  <c r="P67" i="170"/>
  <c r="I67" i="170"/>
  <c r="H67" i="170"/>
  <c r="E67" i="170"/>
  <c r="AD66" i="170"/>
  <c r="AC66" i="170"/>
  <c r="AE66" i="170" s="1"/>
  <c r="AI66" i="170" s="1"/>
  <c r="Y66" i="170" s="1"/>
  <c r="AB66" i="170"/>
  <c r="Z66" i="170"/>
  <c r="X66" i="170"/>
  <c r="Q66" i="170"/>
  <c r="P66" i="170"/>
  <c r="I66" i="170"/>
  <c r="H66" i="170"/>
  <c r="E66" i="170"/>
  <c r="AD65" i="170"/>
  <c r="AC65" i="170"/>
  <c r="AB65" i="170"/>
  <c r="AE65" i="170" s="1"/>
  <c r="AI65" i="170" s="1"/>
  <c r="Y65" i="170" s="1"/>
  <c r="Z65" i="170"/>
  <c r="X65" i="170"/>
  <c r="Q65" i="170"/>
  <c r="P65" i="170"/>
  <c r="H65" i="170"/>
  <c r="E65" i="170"/>
  <c r="I65" i="170" s="1"/>
  <c r="AD64" i="170"/>
  <c r="AC64" i="170"/>
  <c r="AB64" i="170"/>
  <c r="AE64" i="170" s="1"/>
  <c r="AI64" i="170" s="1"/>
  <c r="Y64" i="170" s="1"/>
  <c r="Z64" i="170"/>
  <c r="X64" i="170"/>
  <c r="Q64" i="170"/>
  <c r="P64" i="170"/>
  <c r="H64" i="170"/>
  <c r="E64" i="170"/>
  <c r="I64" i="170" s="1"/>
  <c r="AD63" i="170"/>
  <c r="AC63" i="170"/>
  <c r="AE63" i="170" s="1"/>
  <c r="AI63" i="170" s="1"/>
  <c r="Y63" i="170" s="1"/>
  <c r="AB63" i="170"/>
  <c r="Z63" i="170"/>
  <c r="X63" i="170"/>
  <c r="Q63" i="170"/>
  <c r="P63" i="170"/>
  <c r="H63" i="170"/>
  <c r="E63" i="170"/>
  <c r="I63" i="170" s="1"/>
  <c r="AD62" i="170"/>
  <c r="AC62" i="170"/>
  <c r="AB62" i="170"/>
  <c r="AE62" i="170" s="1"/>
  <c r="AI62" i="170" s="1"/>
  <c r="Y62" i="170" s="1"/>
  <c r="Z62" i="170"/>
  <c r="X62" i="170"/>
  <c r="Q62" i="170"/>
  <c r="P62" i="170"/>
  <c r="I62" i="170"/>
  <c r="H62" i="170"/>
  <c r="E62" i="170"/>
  <c r="AC61" i="170"/>
  <c r="AE61" i="170" s="1"/>
  <c r="AI61" i="170" s="1"/>
  <c r="Y61" i="170" s="1"/>
  <c r="AB61" i="170"/>
  <c r="X61" i="170"/>
  <c r="Q61" i="170"/>
  <c r="P61" i="170"/>
  <c r="I61" i="170"/>
  <c r="H61" i="170"/>
  <c r="E61" i="170"/>
  <c r="AE60" i="170"/>
  <c r="AI60" i="170" s="1"/>
  <c r="Y60" i="170" s="1"/>
  <c r="X60" i="170"/>
  <c r="Q60" i="170"/>
  <c r="P60" i="170"/>
  <c r="I60" i="170"/>
  <c r="H60" i="170"/>
  <c r="E60" i="170"/>
  <c r="AC59" i="170"/>
  <c r="AB59" i="170"/>
  <c r="AE59" i="170" s="1"/>
  <c r="AI59" i="170" s="1"/>
  <c r="Y59" i="170" s="1"/>
  <c r="X59" i="170"/>
  <c r="Q59" i="170"/>
  <c r="P59" i="170"/>
  <c r="I59" i="170"/>
  <c r="H59" i="170"/>
  <c r="E59" i="170"/>
  <c r="AC58" i="170"/>
  <c r="AB58" i="170"/>
  <c r="AE58" i="170" s="1"/>
  <c r="AI58" i="170" s="1"/>
  <c r="Y58" i="170" s="1"/>
  <c r="X58" i="170"/>
  <c r="Q58" i="170"/>
  <c r="P58" i="170"/>
  <c r="E58" i="170"/>
  <c r="I58" i="170" s="1"/>
  <c r="AC57" i="170"/>
  <c r="AB57" i="170"/>
  <c r="AE57" i="170" s="1"/>
  <c r="AI57" i="170" s="1"/>
  <c r="Y57" i="170" s="1"/>
  <c r="X57" i="170"/>
  <c r="Q57" i="170"/>
  <c r="P57" i="170"/>
  <c r="I57" i="170"/>
  <c r="H57" i="170"/>
  <c r="E57" i="170"/>
  <c r="AD56" i="170"/>
  <c r="AC56" i="170"/>
  <c r="AB56" i="170"/>
  <c r="AE56" i="170" s="1"/>
  <c r="AI56" i="170" s="1"/>
  <c r="Y56" i="170" s="1"/>
  <c r="Z56" i="170"/>
  <c r="X56" i="170"/>
  <c r="Q56" i="170"/>
  <c r="P56" i="170"/>
  <c r="H56" i="170"/>
  <c r="E56" i="170"/>
  <c r="I56" i="170" s="1"/>
  <c r="AE55" i="170"/>
  <c r="AI55" i="170" s="1"/>
  <c r="Y55" i="170" s="1"/>
  <c r="AD55" i="170"/>
  <c r="AC55" i="170"/>
  <c r="AB55" i="170"/>
  <c r="Z55" i="170"/>
  <c r="X55" i="170"/>
  <c r="Q55" i="170"/>
  <c r="P55" i="170"/>
  <c r="I55" i="170"/>
  <c r="H55" i="170"/>
  <c r="E55" i="170"/>
  <c r="AD54" i="170"/>
  <c r="AC54" i="170"/>
  <c r="AB54" i="170"/>
  <c r="AE54" i="170" s="1"/>
  <c r="AI54" i="170" s="1"/>
  <c r="Y54" i="170" s="1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H53" i="170"/>
  <c r="E53" i="170"/>
  <c r="I53" i="170" s="1"/>
  <c r="AE52" i="170"/>
  <c r="AI52" i="170" s="1"/>
  <c r="Y52" i="170" s="1"/>
  <c r="Z52" i="170"/>
  <c r="X52" i="170"/>
  <c r="Q52" i="170"/>
  <c r="P52" i="170"/>
  <c r="H52" i="170"/>
  <c r="E52" i="170"/>
  <c r="I52" i="170" s="1"/>
  <c r="AD51" i="170"/>
  <c r="AC51" i="170"/>
  <c r="AB51" i="170"/>
  <c r="AE51" i="170" s="1"/>
  <c r="AI51" i="170" s="1"/>
  <c r="Y51" i="170" s="1"/>
  <c r="Z51" i="170"/>
  <c r="X51" i="170"/>
  <c r="Q51" i="170"/>
  <c r="P51" i="170"/>
  <c r="I51" i="170"/>
  <c r="H51" i="170"/>
  <c r="E51" i="170"/>
  <c r="AD50" i="170"/>
  <c r="AC50" i="170"/>
  <c r="AE50" i="170" s="1"/>
  <c r="AI50" i="170" s="1"/>
  <c r="Y50" i="170" s="1"/>
  <c r="AB50" i="170"/>
  <c r="Z50" i="170"/>
  <c r="X50" i="170"/>
  <c r="Q50" i="170"/>
  <c r="P50" i="170"/>
  <c r="I50" i="170"/>
  <c r="H50" i="170"/>
  <c r="E50" i="170"/>
  <c r="AI49" i="170"/>
  <c r="Y49" i="170" s="1"/>
  <c r="AE49" i="170"/>
  <c r="Z49" i="170"/>
  <c r="X49" i="170"/>
  <c r="Q49" i="170"/>
  <c r="P49" i="170"/>
  <c r="H49" i="170"/>
  <c r="E49" i="170"/>
  <c r="I49" i="170" s="1"/>
  <c r="AE48" i="170"/>
  <c r="AI48" i="170" s="1"/>
  <c r="Y48" i="170" s="1"/>
  <c r="Z48" i="170"/>
  <c r="X48" i="170"/>
  <c r="Q48" i="170"/>
  <c r="P48" i="170"/>
  <c r="I48" i="170"/>
  <c r="H48" i="170"/>
  <c r="E48" i="170"/>
  <c r="AE47" i="170"/>
  <c r="AI47" i="170" s="1"/>
  <c r="Y47" i="170" s="1"/>
  <c r="Z47" i="170"/>
  <c r="X47" i="170"/>
  <c r="Q47" i="170"/>
  <c r="P47" i="170"/>
  <c r="H47" i="170"/>
  <c r="E47" i="170"/>
  <c r="I47" i="170" s="1"/>
  <c r="AD46" i="170"/>
  <c r="AE46" i="170" s="1"/>
  <c r="AI46" i="170" s="1"/>
  <c r="Y46" i="170" s="1"/>
  <c r="AC46" i="170"/>
  <c r="AB46" i="170"/>
  <c r="Z46" i="170"/>
  <c r="X46" i="170"/>
  <c r="Q46" i="170"/>
  <c r="P46" i="170"/>
  <c r="I46" i="170"/>
  <c r="H46" i="170"/>
  <c r="E46" i="170"/>
  <c r="AD45" i="170"/>
  <c r="AE45" i="170" s="1"/>
  <c r="AI45" i="170" s="1"/>
  <c r="Y45" i="170" s="1"/>
  <c r="AC45" i="170"/>
  <c r="AB45" i="170"/>
  <c r="Z45" i="170"/>
  <c r="X45" i="170"/>
  <c r="Q45" i="170"/>
  <c r="P45" i="170"/>
  <c r="I45" i="170"/>
  <c r="H45" i="170"/>
  <c r="E45" i="170"/>
  <c r="AD44" i="170"/>
  <c r="AC44" i="170"/>
  <c r="AB44" i="170"/>
  <c r="AE44" i="170" s="1"/>
  <c r="AI44" i="170" s="1"/>
  <c r="Y44" i="170" s="1"/>
  <c r="Z44" i="170"/>
  <c r="X44" i="170"/>
  <c r="Q44" i="170"/>
  <c r="P44" i="170"/>
  <c r="H44" i="170"/>
  <c r="E44" i="170"/>
  <c r="I44" i="170" s="1"/>
  <c r="AE43" i="170"/>
  <c r="AI43" i="170" s="1"/>
  <c r="Y43" i="170" s="1"/>
  <c r="AD43" i="170"/>
  <c r="AC43" i="170"/>
  <c r="AB43" i="170"/>
  <c r="Z43" i="170"/>
  <c r="X43" i="170"/>
  <c r="Q43" i="170"/>
  <c r="P43" i="170"/>
  <c r="I43" i="170"/>
  <c r="H43" i="170"/>
  <c r="E43" i="170"/>
  <c r="AD42" i="170"/>
  <c r="AC42" i="170"/>
  <c r="AB42" i="170"/>
  <c r="AE42" i="170" s="1"/>
  <c r="AI42" i="170" s="1"/>
  <c r="Y42" i="170" s="1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H41" i="170"/>
  <c r="E41" i="170"/>
  <c r="I41" i="170" s="1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D39" i="170"/>
  <c r="AC39" i="170"/>
  <c r="AB39" i="170"/>
  <c r="AE39" i="170" s="1"/>
  <c r="AI39" i="170" s="1"/>
  <c r="Y39" i="170" s="1"/>
  <c r="Z39" i="170"/>
  <c r="X39" i="170"/>
  <c r="Q39" i="170"/>
  <c r="P39" i="170"/>
  <c r="H39" i="170"/>
  <c r="E39" i="170"/>
  <c r="I39" i="170" s="1"/>
  <c r="AD38" i="170"/>
  <c r="AC38" i="170"/>
  <c r="AB38" i="170"/>
  <c r="AE38" i="170" s="1"/>
  <c r="AI38" i="170" s="1"/>
  <c r="Y38" i="170" s="1"/>
  <c r="Z38" i="170"/>
  <c r="X38" i="170"/>
  <c r="Q38" i="170"/>
  <c r="P38" i="170"/>
  <c r="I38" i="170"/>
  <c r="H38" i="170"/>
  <c r="E38" i="170"/>
  <c r="AD37" i="170"/>
  <c r="AC37" i="170"/>
  <c r="AE37" i="170" s="1"/>
  <c r="AI37" i="170" s="1"/>
  <c r="Y37" i="170" s="1"/>
  <c r="AB37" i="170"/>
  <c r="Z37" i="170"/>
  <c r="X37" i="170"/>
  <c r="Q37" i="170"/>
  <c r="P37" i="170"/>
  <c r="I37" i="170"/>
  <c r="H37" i="170"/>
  <c r="E37" i="170"/>
  <c r="AD36" i="170"/>
  <c r="AC36" i="170"/>
  <c r="AB36" i="170"/>
  <c r="AE36" i="170" s="1"/>
  <c r="AI36" i="170" s="1"/>
  <c r="Y36" i="170" s="1"/>
  <c r="Z36" i="170"/>
  <c r="X36" i="170"/>
  <c r="Q36" i="170"/>
  <c r="P36" i="170"/>
  <c r="H36" i="170"/>
  <c r="E36" i="170"/>
  <c r="I36" i="170" s="1"/>
  <c r="AD35" i="170"/>
  <c r="AC35" i="170"/>
  <c r="AB35" i="170"/>
  <c r="AE35" i="170" s="1"/>
  <c r="AI35" i="170" s="1"/>
  <c r="Y35" i="170" s="1"/>
  <c r="Z35" i="170"/>
  <c r="X35" i="170"/>
  <c r="Q35" i="170"/>
  <c r="P35" i="170"/>
  <c r="H35" i="170"/>
  <c r="E35" i="170"/>
  <c r="I35" i="170" s="1"/>
  <c r="AD34" i="170"/>
  <c r="AC34" i="170"/>
  <c r="AE34" i="170" s="1"/>
  <c r="AI34" i="170" s="1"/>
  <c r="Y34" i="170" s="1"/>
  <c r="AB34" i="170"/>
  <c r="Z34" i="170"/>
  <c r="X34" i="170"/>
  <c r="Q34" i="170"/>
  <c r="P34" i="170"/>
  <c r="H34" i="170"/>
  <c r="E34" i="170"/>
  <c r="I34" i="170" s="1"/>
  <c r="AD33" i="170"/>
  <c r="AC33" i="170"/>
  <c r="AB33" i="170"/>
  <c r="AE33" i="170" s="1"/>
  <c r="AI33" i="170" s="1"/>
  <c r="Y33" i="170" s="1"/>
  <c r="Z33" i="170"/>
  <c r="X33" i="170"/>
  <c r="Q33" i="170"/>
  <c r="P33" i="170"/>
  <c r="I33" i="170"/>
  <c r="H33" i="170"/>
  <c r="E33" i="170"/>
  <c r="AD32" i="170"/>
  <c r="AE32" i="170" s="1"/>
  <c r="AI32" i="170" s="1"/>
  <c r="Y32" i="170" s="1"/>
  <c r="AC32" i="170"/>
  <c r="AB32" i="170"/>
  <c r="Z32" i="170"/>
  <c r="X32" i="170"/>
  <c r="Q32" i="170"/>
  <c r="P32" i="170"/>
  <c r="H32" i="170"/>
  <c r="E32" i="170"/>
  <c r="I32" i="170" s="1"/>
  <c r="AI31" i="170"/>
  <c r="AE31" i="170"/>
  <c r="Z31" i="170"/>
  <c r="Y31" i="170"/>
  <c r="X31" i="170"/>
  <c r="Q31" i="170"/>
  <c r="P31" i="170"/>
  <c r="I31" i="170"/>
  <c r="H31" i="170"/>
  <c r="E31" i="170"/>
  <c r="AD30" i="170"/>
  <c r="AE30" i="170" s="1"/>
  <c r="AI30" i="170" s="1"/>
  <c r="Y30" i="170" s="1"/>
  <c r="AC30" i="170"/>
  <c r="AB30" i="170"/>
  <c r="Z30" i="170"/>
  <c r="X30" i="170"/>
  <c r="Q30" i="170"/>
  <c r="P30" i="170"/>
  <c r="I30" i="170"/>
  <c r="H30" i="170"/>
  <c r="E30" i="170"/>
  <c r="AD29" i="170"/>
  <c r="AC29" i="170"/>
  <c r="AB29" i="170"/>
  <c r="AE29" i="170" s="1"/>
  <c r="AI29" i="170" s="1"/>
  <c r="Y29" i="170" s="1"/>
  <c r="Z29" i="170"/>
  <c r="X29" i="170"/>
  <c r="Q29" i="170"/>
  <c r="P29" i="170"/>
  <c r="H29" i="170"/>
  <c r="E29" i="170"/>
  <c r="I29" i="170" s="1"/>
  <c r="AE28" i="170"/>
  <c r="AI28" i="170" s="1"/>
  <c r="Y28" i="170" s="1"/>
  <c r="AD28" i="170"/>
  <c r="AC28" i="170"/>
  <c r="AB28" i="170"/>
  <c r="Z28" i="170"/>
  <c r="X28" i="170"/>
  <c r="Q28" i="170"/>
  <c r="P28" i="170"/>
  <c r="I28" i="170"/>
  <c r="H28" i="170"/>
  <c r="E28" i="170"/>
  <c r="AD27" i="170"/>
  <c r="AC27" i="170"/>
  <c r="AB27" i="170"/>
  <c r="AE27" i="170" s="1"/>
  <c r="AI27" i="170" s="1"/>
  <c r="Y27" i="170" s="1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H26" i="170"/>
  <c r="E26" i="170"/>
  <c r="I26" i="170" s="1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D24" i="170"/>
  <c r="AC24" i="170"/>
  <c r="AB24" i="170"/>
  <c r="AE24" i="170" s="1"/>
  <c r="AI24" i="170" s="1"/>
  <c r="Y24" i="170" s="1"/>
  <c r="Z24" i="170"/>
  <c r="X24" i="170"/>
  <c r="Q24" i="170"/>
  <c r="P24" i="170"/>
  <c r="H24" i="170"/>
  <c r="E24" i="170"/>
  <c r="I24" i="170" s="1"/>
  <c r="AD23" i="170"/>
  <c r="AC23" i="170"/>
  <c r="AB23" i="170"/>
  <c r="AE23" i="170" s="1"/>
  <c r="AI23" i="170" s="1"/>
  <c r="Y23" i="170" s="1"/>
  <c r="Z23" i="170"/>
  <c r="X23" i="170"/>
  <c r="Q23" i="170"/>
  <c r="P23" i="170"/>
  <c r="I23" i="170"/>
  <c r="H23" i="170"/>
  <c r="E23" i="170"/>
  <c r="AD22" i="170"/>
  <c r="AC22" i="170"/>
  <c r="AE22" i="170" s="1"/>
  <c r="AI22" i="170" s="1"/>
  <c r="Y22" i="170" s="1"/>
  <c r="AB22" i="170"/>
  <c r="Z22" i="170"/>
  <c r="X22" i="170"/>
  <c r="Q22" i="170"/>
  <c r="P22" i="170"/>
  <c r="I22" i="170"/>
  <c r="H22" i="170"/>
  <c r="E22" i="170"/>
  <c r="AD21" i="170"/>
  <c r="AC21" i="170"/>
  <c r="AB21" i="170"/>
  <c r="AE21" i="170" s="1"/>
  <c r="AI21" i="170" s="1"/>
  <c r="Y21" i="170" s="1"/>
  <c r="Z21" i="170"/>
  <c r="X21" i="170"/>
  <c r="Q21" i="170"/>
  <c r="P21" i="170"/>
  <c r="H21" i="170"/>
  <c r="E21" i="170"/>
  <c r="I21" i="170" s="1"/>
  <c r="AD20" i="170"/>
  <c r="AC20" i="170"/>
  <c r="AB20" i="170"/>
  <c r="AE20" i="170" s="1"/>
  <c r="AI20" i="170" s="1"/>
  <c r="Y20" i="170" s="1"/>
  <c r="Z20" i="170"/>
  <c r="X20" i="170"/>
  <c r="Q20" i="170"/>
  <c r="P20" i="170"/>
  <c r="H20" i="170"/>
  <c r="E20" i="170"/>
  <c r="I20" i="170" s="1"/>
  <c r="AD19" i="170"/>
  <c r="AC19" i="170"/>
  <c r="AE19" i="170" s="1"/>
  <c r="AI19" i="170" s="1"/>
  <c r="Y19" i="170" s="1"/>
  <c r="AB19" i="170"/>
  <c r="Z19" i="170"/>
  <c r="X19" i="170"/>
  <c r="Q19" i="170"/>
  <c r="P19" i="170"/>
  <c r="H19" i="170"/>
  <c r="E19" i="170"/>
  <c r="I19" i="170" s="1"/>
  <c r="AD18" i="170"/>
  <c r="AC18" i="170"/>
  <c r="AB18" i="170"/>
  <c r="AE18" i="170" s="1"/>
  <c r="AI18" i="170" s="1"/>
  <c r="Y18" i="170" s="1"/>
  <c r="Z18" i="170"/>
  <c r="X18" i="170"/>
  <c r="Q18" i="170"/>
  <c r="P18" i="170"/>
  <c r="I18" i="170"/>
  <c r="H18" i="170"/>
  <c r="E18" i="170"/>
  <c r="AD17" i="170"/>
  <c r="AE17" i="170" s="1"/>
  <c r="AI17" i="170" s="1"/>
  <c r="Y17" i="170" s="1"/>
  <c r="AC17" i="170"/>
  <c r="AB17" i="170"/>
  <c r="Z17" i="170"/>
  <c r="X17" i="170"/>
  <c r="Q17" i="170"/>
  <c r="P17" i="170"/>
  <c r="H17" i="170"/>
  <c r="E17" i="170"/>
  <c r="I17" i="170" s="1"/>
  <c r="AD16" i="170"/>
  <c r="AC16" i="170"/>
  <c r="AB16" i="170"/>
  <c r="AE16" i="170" s="1"/>
  <c r="AI16" i="170" s="1"/>
  <c r="Y16" i="170" s="1"/>
  <c r="Z16" i="170"/>
  <c r="X16" i="170"/>
  <c r="Q16" i="170"/>
  <c r="P16" i="170"/>
  <c r="E16" i="170"/>
  <c r="I16" i="170" s="1"/>
  <c r="AD15" i="170"/>
  <c r="AC15" i="170"/>
  <c r="AB15" i="170"/>
  <c r="AE15" i="170" s="1"/>
  <c r="AI15" i="170" s="1"/>
  <c r="Y15" i="170" s="1"/>
  <c r="Z15" i="170"/>
  <c r="X15" i="170"/>
  <c r="Q15" i="170"/>
  <c r="P15" i="170"/>
  <c r="E15" i="170"/>
  <c r="I15" i="170" s="1"/>
  <c r="AD14" i="170"/>
  <c r="AC14" i="170"/>
  <c r="AB14" i="170"/>
  <c r="AE14" i="170" s="1"/>
  <c r="AI14" i="170" s="1"/>
  <c r="Y14" i="170" s="1"/>
  <c r="Z14" i="170"/>
  <c r="X14" i="170"/>
  <c r="Q14" i="170"/>
  <c r="O75" i="170" s="1"/>
  <c r="P14" i="170"/>
  <c r="H14" i="170"/>
  <c r="E14" i="170"/>
  <c r="I14" i="170" s="1"/>
  <c r="AD13" i="170"/>
  <c r="AC13" i="170"/>
  <c r="AB13" i="170"/>
  <c r="AE13" i="170" s="1"/>
  <c r="AI13" i="170" s="1"/>
  <c r="Y13" i="170" s="1"/>
  <c r="Z13" i="170"/>
  <c r="X13" i="170"/>
  <c r="Q13" i="170"/>
  <c r="P13" i="170"/>
  <c r="I13" i="170"/>
  <c r="H13" i="170"/>
  <c r="E13" i="170"/>
  <c r="AD12" i="170"/>
  <c r="AC12" i="170"/>
  <c r="AE12" i="170" s="1"/>
  <c r="AI12" i="170" s="1"/>
  <c r="Y12" i="170" s="1"/>
  <c r="AB12" i="170"/>
  <c r="Z12" i="170"/>
  <c r="X12" i="170"/>
  <c r="Q12" i="170"/>
  <c r="O73" i="170" s="1"/>
  <c r="P12" i="170"/>
  <c r="I12" i="170"/>
  <c r="H12" i="170"/>
  <c r="E12" i="170"/>
  <c r="T79" i="172" l="1"/>
  <c r="F77" i="172"/>
  <c r="T77" i="171"/>
  <c r="T75" i="171"/>
  <c r="O73" i="171"/>
  <c r="F73" i="171"/>
  <c r="T73" i="171"/>
  <c r="T77" i="170"/>
  <c r="T75" i="170"/>
  <c r="F73" i="170"/>
  <c r="F75" i="170"/>
  <c r="T73" i="170"/>
  <c r="M79" i="169"/>
  <c r="W73" i="169"/>
  <c r="P71" i="169"/>
  <c r="H71" i="169"/>
  <c r="Q70" i="169"/>
  <c r="P70" i="169"/>
  <c r="I70" i="169"/>
  <c r="H70" i="169"/>
  <c r="E70" i="169"/>
  <c r="Q69" i="169"/>
  <c r="P69" i="169"/>
  <c r="I69" i="169"/>
  <c r="H69" i="169"/>
  <c r="E69" i="169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H68" i="169"/>
  <c r="E68" i="169"/>
  <c r="I68" i="169" s="1"/>
  <c r="AD67" i="169"/>
  <c r="AC67" i="169"/>
  <c r="AE67" i="169" s="1"/>
  <c r="AI67" i="169" s="1"/>
  <c r="Y67" i="169" s="1"/>
  <c r="AB67" i="169"/>
  <c r="Z67" i="169"/>
  <c r="X67" i="169"/>
  <c r="Q67" i="169"/>
  <c r="P67" i="169"/>
  <c r="I67" i="169"/>
  <c r="H67" i="169"/>
  <c r="E67" i="169"/>
  <c r="AD66" i="169"/>
  <c r="AE66" i="169" s="1"/>
  <c r="AI66" i="169" s="1"/>
  <c r="Y66" i="169" s="1"/>
  <c r="AC66" i="169"/>
  <c r="AB66" i="169"/>
  <c r="Z66" i="169"/>
  <c r="X66" i="169"/>
  <c r="Q66" i="169"/>
  <c r="P66" i="169"/>
  <c r="H66" i="169"/>
  <c r="E66" i="169"/>
  <c r="I66" i="169" s="1"/>
  <c r="AD65" i="169"/>
  <c r="AE65" i="169" s="1"/>
  <c r="AI65" i="169" s="1"/>
  <c r="Y65" i="169" s="1"/>
  <c r="AC65" i="169"/>
  <c r="AB65" i="169"/>
  <c r="Z65" i="169"/>
  <c r="X65" i="169"/>
  <c r="Q65" i="169"/>
  <c r="P65" i="169"/>
  <c r="H65" i="169"/>
  <c r="E65" i="169"/>
  <c r="I65" i="169" s="1"/>
  <c r="AD64" i="169"/>
  <c r="AC64" i="169"/>
  <c r="AE64" i="169" s="1"/>
  <c r="AI64" i="169" s="1"/>
  <c r="Y64" i="169" s="1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H63" i="169"/>
  <c r="E63" i="169"/>
  <c r="I63" i="169" s="1"/>
  <c r="AD62" i="169"/>
  <c r="AC62" i="169"/>
  <c r="AB62" i="169"/>
  <c r="AE62" i="169" s="1"/>
  <c r="AI62" i="169" s="1"/>
  <c r="Y62" i="169" s="1"/>
  <c r="Z62" i="169"/>
  <c r="X62" i="169"/>
  <c r="Q62" i="169"/>
  <c r="P62" i="169"/>
  <c r="I62" i="169"/>
  <c r="H62" i="169"/>
  <c r="E62" i="169"/>
  <c r="AE61" i="169"/>
  <c r="AI61" i="169" s="1"/>
  <c r="Y61" i="169" s="1"/>
  <c r="AC61" i="169"/>
  <c r="AB61" i="169"/>
  <c r="X61" i="169"/>
  <c r="Q61" i="169"/>
  <c r="P61" i="169"/>
  <c r="H61" i="169"/>
  <c r="E61" i="169"/>
  <c r="I61" i="169" s="1"/>
  <c r="AE60" i="169"/>
  <c r="AI60" i="169" s="1"/>
  <c r="Y60" i="169" s="1"/>
  <c r="X60" i="169"/>
  <c r="Q60" i="169"/>
  <c r="P60" i="169"/>
  <c r="I60" i="169"/>
  <c r="H60" i="169"/>
  <c r="E60" i="169"/>
  <c r="AC59" i="169"/>
  <c r="AB59" i="169"/>
  <c r="AE59" i="169" s="1"/>
  <c r="AI59" i="169" s="1"/>
  <c r="Y59" i="169" s="1"/>
  <c r="X59" i="169"/>
  <c r="Q59" i="169"/>
  <c r="P59" i="169"/>
  <c r="I59" i="169"/>
  <c r="H59" i="169"/>
  <c r="E59" i="169"/>
  <c r="AC58" i="169"/>
  <c r="AE58" i="169" s="1"/>
  <c r="AI58" i="169" s="1"/>
  <c r="Y58" i="169" s="1"/>
  <c r="AB58" i="169"/>
  <c r="X58" i="169"/>
  <c r="Q58" i="169"/>
  <c r="P58" i="169"/>
  <c r="E58" i="169"/>
  <c r="I58" i="169" s="1"/>
  <c r="AC57" i="169"/>
  <c r="AB57" i="169"/>
  <c r="AE57" i="169" s="1"/>
  <c r="AI57" i="169" s="1"/>
  <c r="Y57" i="169" s="1"/>
  <c r="X57" i="169"/>
  <c r="Q57" i="169"/>
  <c r="P57" i="169"/>
  <c r="I57" i="169"/>
  <c r="H57" i="169"/>
  <c r="E57" i="169"/>
  <c r="AD56" i="169"/>
  <c r="AC56" i="169"/>
  <c r="AB56" i="169"/>
  <c r="AE56" i="169" s="1"/>
  <c r="AI56" i="169" s="1"/>
  <c r="Y56" i="169" s="1"/>
  <c r="Z56" i="169"/>
  <c r="X56" i="169"/>
  <c r="Q56" i="169"/>
  <c r="P56" i="169"/>
  <c r="I56" i="169"/>
  <c r="H56" i="169"/>
  <c r="E56" i="169"/>
  <c r="AD55" i="169"/>
  <c r="AC55" i="169"/>
  <c r="AB55" i="169"/>
  <c r="AE55" i="169" s="1"/>
  <c r="AI55" i="169" s="1"/>
  <c r="Y55" i="169" s="1"/>
  <c r="Z55" i="169"/>
  <c r="X55" i="169"/>
  <c r="Q55" i="169"/>
  <c r="P55" i="169"/>
  <c r="I55" i="169"/>
  <c r="H55" i="169"/>
  <c r="E55" i="169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E53" i="169"/>
  <c r="AI53" i="169" s="1"/>
  <c r="Y53" i="169" s="1"/>
  <c r="AD53" i="169"/>
  <c r="AC53" i="169"/>
  <c r="AB53" i="169"/>
  <c r="Z53" i="169"/>
  <c r="X53" i="169"/>
  <c r="Q53" i="169"/>
  <c r="P53" i="169"/>
  <c r="H53" i="169"/>
  <c r="E53" i="169"/>
  <c r="I53" i="169" s="1"/>
  <c r="AE52" i="169"/>
  <c r="AI52" i="169" s="1"/>
  <c r="Y52" i="169" s="1"/>
  <c r="Z52" i="169"/>
  <c r="X52" i="169"/>
  <c r="Q52" i="169"/>
  <c r="P52" i="169"/>
  <c r="H52" i="169"/>
  <c r="E52" i="169"/>
  <c r="I52" i="169" s="1"/>
  <c r="AD51" i="169"/>
  <c r="AC51" i="169"/>
  <c r="AB51" i="169"/>
  <c r="AE51" i="169" s="1"/>
  <c r="AI51" i="169" s="1"/>
  <c r="Y51" i="169" s="1"/>
  <c r="Z51" i="169"/>
  <c r="X51" i="169"/>
  <c r="Q51" i="169"/>
  <c r="P51" i="169"/>
  <c r="I51" i="169"/>
  <c r="H51" i="169"/>
  <c r="E51" i="169"/>
  <c r="AD50" i="169"/>
  <c r="AE50" i="169" s="1"/>
  <c r="AI50" i="169" s="1"/>
  <c r="Y50" i="169" s="1"/>
  <c r="AC50" i="169"/>
  <c r="AB50" i="169"/>
  <c r="Z50" i="169"/>
  <c r="X50" i="169"/>
  <c r="Q50" i="169"/>
  <c r="P50" i="169"/>
  <c r="H50" i="169"/>
  <c r="E50" i="169"/>
  <c r="I50" i="169" s="1"/>
  <c r="AI49" i="169"/>
  <c r="Y49" i="169" s="1"/>
  <c r="AE49" i="169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I48" i="169"/>
  <c r="H48" i="169"/>
  <c r="E48" i="169"/>
  <c r="AE47" i="169"/>
  <c r="AI47" i="169" s="1"/>
  <c r="Y47" i="169" s="1"/>
  <c r="Z47" i="169"/>
  <c r="X47" i="169"/>
  <c r="Q47" i="169"/>
  <c r="P47" i="169"/>
  <c r="H47" i="169"/>
  <c r="E47" i="169"/>
  <c r="I47" i="169" s="1"/>
  <c r="AD46" i="169"/>
  <c r="AC46" i="169"/>
  <c r="AB46" i="169"/>
  <c r="AE46" i="169" s="1"/>
  <c r="AI46" i="169" s="1"/>
  <c r="Y46" i="169" s="1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I45" i="169"/>
  <c r="H45" i="169"/>
  <c r="E45" i="169"/>
  <c r="AD44" i="169"/>
  <c r="AC44" i="169"/>
  <c r="AB44" i="169"/>
  <c r="AE44" i="169" s="1"/>
  <c r="AI44" i="169" s="1"/>
  <c r="Y44" i="169" s="1"/>
  <c r="Z44" i="169"/>
  <c r="X44" i="169"/>
  <c r="Q44" i="169"/>
  <c r="P44" i="169"/>
  <c r="I44" i="169"/>
  <c r="H44" i="169"/>
  <c r="E44" i="169"/>
  <c r="AD43" i="169"/>
  <c r="AC43" i="169"/>
  <c r="AB43" i="169"/>
  <c r="AE43" i="169" s="1"/>
  <c r="AI43" i="169" s="1"/>
  <c r="Y43" i="169" s="1"/>
  <c r="Z43" i="169"/>
  <c r="X43" i="169"/>
  <c r="Q43" i="169"/>
  <c r="P43" i="169"/>
  <c r="I43" i="169"/>
  <c r="H43" i="169"/>
  <c r="E43" i="169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E41" i="169"/>
  <c r="AI41" i="169" s="1"/>
  <c r="Y41" i="169" s="1"/>
  <c r="AD41" i="169"/>
  <c r="AC41" i="169"/>
  <c r="AB41" i="169"/>
  <c r="Z41" i="169"/>
  <c r="X41" i="169"/>
  <c r="Q41" i="169"/>
  <c r="P41" i="169"/>
  <c r="H41" i="169"/>
  <c r="E41" i="169"/>
  <c r="I41" i="169" s="1"/>
  <c r="AD40" i="169"/>
  <c r="AC40" i="169"/>
  <c r="AB40" i="169"/>
  <c r="AE40" i="169" s="1"/>
  <c r="AI40" i="169" s="1"/>
  <c r="Y40" i="169" s="1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H39" i="169"/>
  <c r="E39" i="169"/>
  <c r="I39" i="169" s="1"/>
  <c r="AD38" i="169"/>
  <c r="AC38" i="169"/>
  <c r="AB38" i="169"/>
  <c r="AE38" i="169" s="1"/>
  <c r="AI38" i="169" s="1"/>
  <c r="Y38" i="169" s="1"/>
  <c r="Z38" i="169"/>
  <c r="X38" i="169"/>
  <c r="Q38" i="169"/>
  <c r="P38" i="169"/>
  <c r="I38" i="169"/>
  <c r="H38" i="169"/>
  <c r="E38" i="169"/>
  <c r="AD37" i="169"/>
  <c r="AC37" i="169"/>
  <c r="AE37" i="169" s="1"/>
  <c r="AI37" i="169" s="1"/>
  <c r="Y37" i="169" s="1"/>
  <c r="AB37" i="169"/>
  <c r="Z37" i="169"/>
  <c r="X37" i="169"/>
  <c r="Q37" i="169"/>
  <c r="P37" i="169"/>
  <c r="H37" i="169"/>
  <c r="E37" i="169"/>
  <c r="I37" i="169" s="1"/>
  <c r="AD36" i="169"/>
  <c r="AE36" i="169" s="1"/>
  <c r="AI36" i="169" s="1"/>
  <c r="Y36" i="169" s="1"/>
  <c r="AC36" i="169"/>
  <c r="AB36" i="169"/>
  <c r="Z36" i="169"/>
  <c r="X36" i="169"/>
  <c r="Q36" i="169"/>
  <c r="P36" i="169"/>
  <c r="H36" i="169"/>
  <c r="E36" i="169"/>
  <c r="I36" i="169" s="1"/>
  <c r="AD35" i="169"/>
  <c r="AC35" i="169"/>
  <c r="AE35" i="169" s="1"/>
  <c r="AI35" i="169" s="1"/>
  <c r="Y35" i="169" s="1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H34" i="169"/>
  <c r="E34" i="169"/>
  <c r="I34" i="169" s="1"/>
  <c r="AD33" i="169"/>
  <c r="AC33" i="169"/>
  <c r="AB33" i="169"/>
  <c r="AE33" i="169" s="1"/>
  <c r="AI33" i="169" s="1"/>
  <c r="Y33" i="169" s="1"/>
  <c r="Z33" i="169"/>
  <c r="X33" i="169"/>
  <c r="Q33" i="169"/>
  <c r="P33" i="169"/>
  <c r="I33" i="169"/>
  <c r="H33" i="169"/>
  <c r="E33" i="169"/>
  <c r="AE32" i="169"/>
  <c r="AI32" i="169" s="1"/>
  <c r="Y32" i="169" s="1"/>
  <c r="AD32" i="169"/>
  <c r="AC32" i="169"/>
  <c r="AB32" i="169"/>
  <c r="Z32" i="169"/>
  <c r="X32" i="169"/>
  <c r="Q32" i="169"/>
  <c r="P32" i="169"/>
  <c r="H32" i="169"/>
  <c r="E32" i="169"/>
  <c r="I32" i="169" s="1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I30" i="169"/>
  <c r="H30" i="169"/>
  <c r="E30" i="169"/>
  <c r="AD29" i="169"/>
  <c r="AC29" i="169"/>
  <c r="AB29" i="169"/>
  <c r="AE29" i="169" s="1"/>
  <c r="AI29" i="169" s="1"/>
  <c r="Y29" i="169" s="1"/>
  <c r="Z29" i="169"/>
  <c r="X29" i="169"/>
  <c r="Q29" i="169"/>
  <c r="P29" i="169"/>
  <c r="I29" i="169"/>
  <c r="H29" i="169"/>
  <c r="E29" i="169"/>
  <c r="AD28" i="169"/>
  <c r="AC28" i="169"/>
  <c r="AB28" i="169"/>
  <c r="AE28" i="169" s="1"/>
  <c r="AI28" i="169" s="1"/>
  <c r="Y28" i="169" s="1"/>
  <c r="Z28" i="169"/>
  <c r="X28" i="169"/>
  <c r="Q28" i="169"/>
  <c r="P28" i="169"/>
  <c r="I28" i="169"/>
  <c r="H28" i="169"/>
  <c r="E28" i="169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E26" i="169"/>
  <c r="AI26" i="169" s="1"/>
  <c r="Y26" i="169" s="1"/>
  <c r="AD26" i="169"/>
  <c r="AC26" i="169"/>
  <c r="AB26" i="169"/>
  <c r="Z26" i="169"/>
  <c r="X26" i="169"/>
  <c r="Q26" i="169"/>
  <c r="P26" i="169"/>
  <c r="H26" i="169"/>
  <c r="E26" i="169"/>
  <c r="I26" i="169" s="1"/>
  <c r="AD25" i="169"/>
  <c r="AC25" i="169"/>
  <c r="AB25" i="169"/>
  <c r="AE25" i="169" s="1"/>
  <c r="AI25" i="169" s="1"/>
  <c r="Y25" i="169" s="1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H24" i="169"/>
  <c r="E24" i="169"/>
  <c r="I24" i="169" s="1"/>
  <c r="AD23" i="169"/>
  <c r="AC23" i="169"/>
  <c r="AB23" i="169"/>
  <c r="AE23" i="169" s="1"/>
  <c r="AI23" i="169" s="1"/>
  <c r="Y23" i="169" s="1"/>
  <c r="Z23" i="169"/>
  <c r="X23" i="169"/>
  <c r="Q23" i="169"/>
  <c r="P23" i="169"/>
  <c r="I23" i="169"/>
  <c r="H23" i="169"/>
  <c r="E23" i="169"/>
  <c r="AD22" i="169"/>
  <c r="AE22" i="169" s="1"/>
  <c r="AI22" i="169" s="1"/>
  <c r="Y22" i="169" s="1"/>
  <c r="AC22" i="169"/>
  <c r="AB22" i="169"/>
  <c r="Z22" i="169"/>
  <c r="X22" i="169"/>
  <c r="Q22" i="169"/>
  <c r="P22" i="169"/>
  <c r="H22" i="169"/>
  <c r="E22" i="169"/>
  <c r="I22" i="169" s="1"/>
  <c r="AD21" i="169"/>
  <c r="AE21" i="169" s="1"/>
  <c r="AI21" i="169" s="1"/>
  <c r="Y21" i="169" s="1"/>
  <c r="AC21" i="169"/>
  <c r="AB21" i="169"/>
  <c r="Z21" i="169"/>
  <c r="X21" i="169"/>
  <c r="Q21" i="169"/>
  <c r="P21" i="169"/>
  <c r="H21" i="169"/>
  <c r="E21" i="169"/>
  <c r="I21" i="169" s="1"/>
  <c r="AD20" i="169"/>
  <c r="AC20" i="169"/>
  <c r="AB20" i="169"/>
  <c r="AE20" i="169" s="1"/>
  <c r="AI20" i="169" s="1"/>
  <c r="Y20" i="169" s="1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P19" i="169"/>
  <c r="I19" i="169"/>
  <c r="H19" i="169"/>
  <c r="E19" i="169"/>
  <c r="AD18" i="169"/>
  <c r="AC18" i="169"/>
  <c r="AB18" i="169"/>
  <c r="AE18" i="169" s="1"/>
  <c r="AI18" i="169" s="1"/>
  <c r="Y18" i="169" s="1"/>
  <c r="Z18" i="169"/>
  <c r="X18" i="169"/>
  <c r="Q18" i="169"/>
  <c r="P18" i="169"/>
  <c r="I18" i="169"/>
  <c r="H18" i="169"/>
  <c r="E18" i="169"/>
  <c r="AE17" i="169"/>
  <c r="AI17" i="169" s="1"/>
  <c r="Y17" i="169" s="1"/>
  <c r="AD17" i="169"/>
  <c r="AC17" i="169"/>
  <c r="AB17" i="169"/>
  <c r="Z17" i="169"/>
  <c r="X17" i="169"/>
  <c r="Q17" i="169"/>
  <c r="P17" i="169"/>
  <c r="H17" i="169"/>
  <c r="E17" i="169"/>
  <c r="I17" i="169" s="1"/>
  <c r="AE16" i="169"/>
  <c r="AI16" i="169" s="1"/>
  <c r="Y16" i="169" s="1"/>
  <c r="AD16" i="169"/>
  <c r="AC16" i="169"/>
  <c r="AB16" i="169"/>
  <c r="Z16" i="169"/>
  <c r="X16" i="169"/>
  <c r="Q16" i="169"/>
  <c r="P16" i="169"/>
  <c r="E16" i="169"/>
  <c r="I16" i="169" s="1"/>
  <c r="AD15" i="169"/>
  <c r="AC15" i="169"/>
  <c r="AB15" i="169"/>
  <c r="AE15" i="169" s="1"/>
  <c r="AI15" i="169" s="1"/>
  <c r="Y15" i="169" s="1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O75" i="169" s="1"/>
  <c r="P14" i="169"/>
  <c r="H14" i="169"/>
  <c r="E14" i="169"/>
  <c r="I14" i="169" s="1"/>
  <c r="AD13" i="169"/>
  <c r="AC13" i="169"/>
  <c r="AB13" i="169"/>
  <c r="AE13" i="169" s="1"/>
  <c r="AI13" i="169" s="1"/>
  <c r="Y13" i="169" s="1"/>
  <c r="Z13" i="169"/>
  <c r="X13" i="169"/>
  <c r="Q13" i="169"/>
  <c r="P13" i="169"/>
  <c r="H13" i="169"/>
  <c r="E13" i="169"/>
  <c r="I13" i="169" s="1"/>
  <c r="AD12" i="169"/>
  <c r="AC12" i="169"/>
  <c r="AE12" i="169" s="1"/>
  <c r="AI12" i="169" s="1"/>
  <c r="Y12" i="169" s="1"/>
  <c r="AB12" i="169"/>
  <c r="Z12" i="169"/>
  <c r="X12" i="169"/>
  <c r="Q12" i="169"/>
  <c r="O73" i="169" s="1"/>
  <c r="P12" i="169"/>
  <c r="H12" i="169"/>
  <c r="E12" i="169"/>
  <c r="I12" i="169" s="1"/>
  <c r="T79" i="171" l="1"/>
  <c r="F77" i="171" s="1"/>
  <c r="T79" i="170"/>
  <c r="F77" i="170"/>
  <c r="T75" i="169"/>
  <c r="T77" i="169"/>
  <c r="F75" i="169"/>
  <c r="F73" i="169"/>
  <c r="T73" i="169"/>
  <c r="M79" i="168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O75" i="168" s="1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I13" i="168"/>
  <c r="H13" i="168"/>
  <c r="E13" i="168"/>
  <c r="AD12" i="168"/>
  <c r="AC12" i="168"/>
  <c r="AE12" i="168" s="1"/>
  <c r="AI12" i="168" s="1"/>
  <c r="Y12" i="168" s="1"/>
  <c r="AB12" i="168"/>
  <c r="Z12" i="168"/>
  <c r="X12" i="168"/>
  <c r="Q12" i="168"/>
  <c r="O73" i="168" s="1"/>
  <c r="P12" i="168"/>
  <c r="I12" i="168"/>
  <c r="H12" i="168"/>
  <c r="E12" i="168"/>
  <c r="M79" i="167"/>
  <c r="W73" i="167"/>
  <c r="P71" i="167"/>
  <c r="H71" i="167"/>
  <c r="Q70" i="167"/>
  <c r="P70" i="167"/>
  <c r="H70" i="167"/>
  <c r="E70" i="167"/>
  <c r="I70" i="167" s="1"/>
  <c r="Q69" i="167"/>
  <c r="P69" i="167"/>
  <c r="H69" i="167"/>
  <c r="E69" i="167"/>
  <c r="I69" i="167" s="1"/>
  <c r="AD68" i="167"/>
  <c r="AC68" i="167"/>
  <c r="AB68" i="167"/>
  <c r="AE68" i="167" s="1"/>
  <c r="AI68" i="167" s="1"/>
  <c r="Y68" i="167" s="1"/>
  <c r="Z68" i="167"/>
  <c r="X68" i="167"/>
  <c r="W68" i="167"/>
  <c r="Q68" i="167"/>
  <c r="P68" i="167"/>
  <c r="I68" i="167"/>
  <c r="H68" i="167"/>
  <c r="E68" i="167"/>
  <c r="AD67" i="167"/>
  <c r="AC67" i="167"/>
  <c r="AB67" i="167"/>
  <c r="AE67" i="167" s="1"/>
  <c r="AI67" i="167" s="1"/>
  <c r="Y67" i="167" s="1"/>
  <c r="Z67" i="167"/>
  <c r="X67" i="167"/>
  <c r="Q67" i="167"/>
  <c r="P67" i="167"/>
  <c r="H67" i="167"/>
  <c r="E67" i="167"/>
  <c r="I67" i="167" s="1"/>
  <c r="AE66" i="167"/>
  <c r="AI66" i="167" s="1"/>
  <c r="Y66" i="167" s="1"/>
  <c r="AD66" i="167"/>
  <c r="AC66" i="167"/>
  <c r="AB66" i="167"/>
  <c r="Z66" i="167"/>
  <c r="X66" i="167"/>
  <c r="Q66" i="167"/>
  <c r="P66" i="167"/>
  <c r="H66" i="167"/>
  <c r="E66" i="167"/>
  <c r="I66" i="167" s="1"/>
  <c r="AD65" i="167"/>
  <c r="AC65" i="167"/>
  <c r="AB65" i="167"/>
  <c r="AE65" i="167" s="1"/>
  <c r="AI65" i="167" s="1"/>
  <c r="Y65" i="167" s="1"/>
  <c r="Z65" i="167"/>
  <c r="X65" i="167"/>
  <c r="Q65" i="167"/>
  <c r="P65" i="167"/>
  <c r="H65" i="167"/>
  <c r="E65" i="167"/>
  <c r="I65" i="167" s="1"/>
  <c r="AD64" i="167"/>
  <c r="AC64" i="167"/>
  <c r="AB64" i="167"/>
  <c r="AE64" i="167" s="1"/>
  <c r="AI64" i="167" s="1"/>
  <c r="Y64" i="167" s="1"/>
  <c r="Z64" i="167"/>
  <c r="X64" i="167"/>
  <c r="Q64" i="167"/>
  <c r="P64" i="167"/>
  <c r="H64" i="167"/>
  <c r="E64" i="167"/>
  <c r="I64" i="167" s="1"/>
  <c r="AD63" i="167"/>
  <c r="AE63" i="167" s="1"/>
  <c r="AI63" i="167" s="1"/>
  <c r="Y63" i="167" s="1"/>
  <c r="AC63" i="167"/>
  <c r="AB63" i="167"/>
  <c r="Z63" i="167"/>
  <c r="X63" i="167"/>
  <c r="Q63" i="167"/>
  <c r="P63" i="167"/>
  <c r="I63" i="167"/>
  <c r="H63" i="167"/>
  <c r="E63" i="167"/>
  <c r="AD62" i="167"/>
  <c r="AC62" i="167"/>
  <c r="AB62" i="167"/>
  <c r="AE62" i="167" s="1"/>
  <c r="AI62" i="167" s="1"/>
  <c r="Y62" i="167" s="1"/>
  <c r="Z62" i="167"/>
  <c r="X62" i="167"/>
  <c r="Q62" i="167"/>
  <c r="P62" i="167"/>
  <c r="I62" i="167"/>
  <c r="H62" i="167"/>
  <c r="E62" i="167"/>
  <c r="AC61" i="167"/>
  <c r="AE61" i="167" s="1"/>
  <c r="AI61" i="167" s="1"/>
  <c r="Y61" i="167" s="1"/>
  <c r="AB61" i="167"/>
  <c r="X61" i="167"/>
  <c r="Q61" i="167"/>
  <c r="P61" i="167"/>
  <c r="I61" i="167"/>
  <c r="H61" i="167"/>
  <c r="E61" i="167"/>
  <c r="AE60" i="167"/>
  <c r="AI60" i="167" s="1"/>
  <c r="Y60" i="167" s="1"/>
  <c r="X60" i="167"/>
  <c r="Q60" i="167"/>
  <c r="P60" i="167"/>
  <c r="I60" i="167"/>
  <c r="H60" i="167"/>
  <c r="E60" i="167"/>
  <c r="AE59" i="167"/>
  <c r="AI59" i="167" s="1"/>
  <c r="Y59" i="167" s="1"/>
  <c r="AC59" i="167"/>
  <c r="AB59" i="167"/>
  <c r="X59" i="167"/>
  <c r="Q59" i="167"/>
  <c r="P59" i="167"/>
  <c r="H59" i="167"/>
  <c r="E59" i="167"/>
  <c r="I59" i="167" s="1"/>
  <c r="AE58" i="167"/>
  <c r="AI58" i="167" s="1"/>
  <c r="Y58" i="167" s="1"/>
  <c r="AC58" i="167"/>
  <c r="AB58" i="167"/>
  <c r="X58" i="167"/>
  <c r="Q58" i="167"/>
  <c r="P58" i="167"/>
  <c r="E58" i="167"/>
  <c r="I58" i="167" s="1"/>
  <c r="AC57" i="167"/>
  <c r="AB57" i="167"/>
  <c r="AE57" i="167" s="1"/>
  <c r="AI57" i="167" s="1"/>
  <c r="Y57" i="167" s="1"/>
  <c r="X57" i="167"/>
  <c r="Q57" i="167"/>
  <c r="P57" i="167"/>
  <c r="I57" i="167"/>
  <c r="H57" i="167"/>
  <c r="E57" i="167"/>
  <c r="AE56" i="167"/>
  <c r="AI56" i="167" s="1"/>
  <c r="Y56" i="167" s="1"/>
  <c r="AD56" i="167"/>
  <c r="AC56" i="167"/>
  <c r="AB56" i="167"/>
  <c r="Z56" i="167"/>
  <c r="X56" i="167"/>
  <c r="Q56" i="167"/>
  <c r="P56" i="167"/>
  <c r="I56" i="167"/>
  <c r="H56" i="167"/>
  <c r="E56" i="167"/>
  <c r="AD55" i="167"/>
  <c r="AC55" i="167"/>
  <c r="AB55" i="167"/>
  <c r="AE55" i="167" s="1"/>
  <c r="AI55" i="167" s="1"/>
  <c r="Y55" i="167" s="1"/>
  <c r="Z55" i="167"/>
  <c r="X55" i="167"/>
  <c r="Q55" i="167"/>
  <c r="P55" i="167"/>
  <c r="I55" i="167"/>
  <c r="H55" i="167"/>
  <c r="E55" i="167"/>
  <c r="AD54" i="167"/>
  <c r="AC54" i="167"/>
  <c r="AB54" i="167"/>
  <c r="AE54" i="167" s="1"/>
  <c r="AI54" i="167" s="1"/>
  <c r="Y54" i="167" s="1"/>
  <c r="Z54" i="167"/>
  <c r="X54" i="167"/>
  <c r="Q54" i="167"/>
  <c r="P54" i="167"/>
  <c r="I54" i="167"/>
  <c r="H54" i="167"/>
  <c r="E54" i="167"/>
  <c r="AD53" i="167"/>
  <c r="AC53" i="167"/>
  <c r="AE53" i="167" s="1"/>
  <c r="AI53" i="167" s="1"/>
  <c r="Y53" i="167" s="1"/>
  <c r="AB53" i="167"/>
  <c r="Z53" i="167"/>
  <c r="X53" i="167"/>
  <c r="Q53" i="167"/>
  <c r="P53" i="167"/>
  <c r="I53" i="167"/>
  <c r="H53" i="167"/>
  <c r="E53" i="167"/>
  <c r="AI52" i="167"/>
  <c r="AE52" i="167"/>
  <c r="Z52" i="167"/>
  <c r="Y52" i="167"/>
  <c r="X52" i="167"/>
  <c r="Q52" i="167"/>
  <c r="P52" i="167"/>
  <c r="I52" i="167"/>
  <c r="H52" i="167"/>
  <c r="E52" i="167"/>
  <c r="AD51" i="167"/>
  <c r="AC51" i="167"/>
  <c r="AB51" i="167"/>
  <c r="AE51" i="167" s="1"/>
  <c r="AI51" i="167" s="1"/>
  <c r="Y51" i="167" s="1"/>
  <c r="Z51" i="167"/>
  <c r="X51" i="167"/>
  <c r="Q51" i="167"/>
  <c r="P51" i="167"/>
  <c r="H51" i="167"/>
  <c r="E51" i="167"/>
  <c r="I51" i="167" s="1"/>
  <c r="AE50" i="167"/>
  <c r="AI50" i="167" s="1"/>
  <c r="Y50" i="167" s="1"/>
  <c r="AD50" i="167"/>
  <c r="AC50" i="167"/>
  <c r="AB50" i="167"/>
  <c r="Z50" i="167"/>
  <c r="X50" i="167"/>
  <c r="Q50" i="167"/>
  <c r="P50" i="167"/>
  <c r="H50" i="167"/>
  <c r="E50" i="167"/>
  <c r="I50" i="167" s="1"/>
  <c r="AI49" i="167"/>
  <c r="Y49" i="167" s="1"/>
  <c r="AE49" i="167"/>
  <c r="Z49" i="167"/>
  <c r="X49" i="167"/>
  <c r="Q49" i="167"/>
  <c r="P49" i="167"/>
  <c r="H49" i="167"/>
  <c r="E49" i="167"/>
  <c r="I49" i="167" s="1"/>
  <c r="AE48" i="167"/>
  <c r="AI48" i="167" s="1"/>
  <c r="Y48" i="167" s="1"/>
  <c r="Z48" i="167"/>
  <c r="X48" i="167"/>
  <c r="Q48" i="167"/>
  <c r="P48" i="167"/>
  <c r="I48" i="167"/>
  <c r="H48" i="167"/>
  <c r="E48" i="167"/>
  <c r="AI47" i="167"/>
  <c r="Y47" i="167" s="1"/>
  <c r="AE47" i="167"/>
  <c r="Z47" i="167"/>
  <c r="X47" i="167"/>
  <c r="Q47" i="167"/>
  <c r="P47" i="167"/>
  <c r="I47" i="167"/>
  <c r="H47" i="167"/>
  <c r="E47" i="167"/>
  <c r="AD46" i="167"/>
  <c r="AC46" i="167"/>
  <c r="AB46" i="167"/>
  <c r="AE46" i="167" s="1"/>
  <c r="AI46" i="167" s="1"/>
  <c r="Y46" i="167" s="1"/>
  <c r="Z46" i="167"/>
  <c r="X46" i="167"/>
  <c r="Q46" i="167"/>
  <c r="P46" i="167"/>
  <c r="I46" i="167"/>
  <c r="H46" i="167"/>
  <c r="E46" i="167"/>
  <c r="AD45" i="167"/>
  <c r="AC45" i="167"/>
  <c r="AB45" i="167"/>
  <c r="AE45" i="167" s="1"/>
  <c r="AI45" i="167" s="1"/>
  <c r="Y45" i="167" s="1"/>
  <c r="Z45" i="167"/>
  <c r="X45" i="167"/>
  <c r="Q45" i="167"/>
  <c r="P45" i="167"/>
  <c r="I45" i="167"/>
  <c r="H45" i="167"/>
  <c r="E45" i="167"/>
  <c r="AE44" i="167"/>
  <c r="AI44" i="167" s="1"/>
  <c r="Y44" i="167" s="1"/>
  <c r="AD44" i="167"/>
  <c r="AC44" i="167"/>
  <c r="AB44" i="167"/>
  <c r="Z44" i="167"/>
  <c r="X44" i="167"/>
  <c r="Q44" i="167"/>
  <c r="P44" i="167"/>
  <c r="I44" i="167"/>
  <c r="H44" i="167"/>
  <c r="E44" i="167"/>
  <c r="AD43" i="167"/>
  <c r="AC43" i="167"/>
  <c r="AB43" i="167"/>
  <c r="AE43" i="167" s="1"/>
  <c r="AI43" i="167" s="1"/>
  <c r="Y43" i="167" s="1"/>
  <c r="Z43" i="167"/>
  <c r="X43" i="167"/>
  <c r="Q43" i="167"/>
  <c r="P43" i="167"/>
  <c r="I43" i="167"/>
  <c r="H43" i="167"/>
  <c r="E43" i="167"/>
  <c r="AD42" i="167"/>
  <c r="AC42" i="167"/>
  <c r="AB42" i="167"/>
  <c r="AE42" i="167" s="1"/>
  <c r="AI42" i="167" s="1"/>
  <c r="Y42" i="167" s="1"/>
  <c r="Z42" i="167"/>
  <c r="X42" i="167"/>
  <c r="Q42" i="167"/>
  <c r="P42" i="167"/>
  <c r="I42" i="167"/>
  <c r="H42" i="167"/>
  <c r="E42" i="167"/>
  <c r="AD41" i="167"/>
  <c r="AC41" i="167"/>
  <c r="AE41" i="167" s="1"/>
  <c r="AI41" i="167" s="1"/>
  <c r="Y41" i="167" s="1"/>
  <c r="AB41" i="167"/>
  <c r="Z41" i="167"/>
  <c r="X41" i="167"/>
  <c r="Q41" i="167"/>
  <c r="P41" i="167"/>
  <c r="I41" i="167"/>
  <c r="H41" i="167"/>
  <c r="E41" i="167"/>
  <c r="AD40" i="167"/>
  <c r="AC40" i="167"/>
  <c r="AB40" i="167"/>
  <c r="AE40" i="167" s="1"/>
  <c r="AI40" i="167" s="1"/>
  <c r="Y40" i="167" s="1"/>
  <c r="Z40" i="167"/>
  <c r="X40" i="167"/>
  <c r="Q40" i="167"/>
  <c r="P40" i="167"/>
  <c r="H40" i="167"/>
  <c r="E40" i="167"/>
  <c r="I40" i="167" s="1"/>
  <c r="AD39" i="167"/>
  <c r="AC39" i="167"/>
  <c r="AB39" i="167"/>
  <c r="AE39" i="167" s="1"/>
  <c r="AI39" i="167" s="1"/>
  <c r="Y39" i="167" s="1"/>
  <c r="Z39" i="167"/>
  <c r="X39" i="167"/>
  <c r="Q39" i="167"/>
  <c r="P39" i="167"/>
  <c r="I39" i="167"/>
  <c r="H39" i="167"/>
  <c r="E39" i="167"/>
  <c r="AD38" i="167"/>
  <c r="AC38" i="167"/>
  <c r="AB38" i="167"/>
  <c r="AE38" i="167" s="1"/>
  <c r="AI38" i="167" s="1"/>
  <c r="Y38" i="167" s="1"/>
  <c r="Z38" i="167"/>
  <c r="X38" i="167"/>
  <c r="Q38" i="167"/>
  <c r="P38" i="167"/>
  <c r="H38" i="167"/>
  <c r="E38" i="167"/>
  <c r="I38" i="167" s="1"/>
  <c r="AE37" i="167"/>
  <c r="AI37" i="167" s="1"/>
  <c r="Y37" i="167" s="1"/>
  <c r="AD37" i="167"/>
  <c r="AC37" i="167"/>
  <c r="AB37" i="167"/>
  <c r="Z37" i="167"/>
  <c r="X37" i="167"/>
  <c r="Q37" i="167"/>
  <c r="P37" i="167"/>
  <c r="H37" i="167"/>
  <c r="E37" i="167"/>
  <c r="I37" i="167" s="1"/>
  <c r="AD36" i="167"/>
  <c r="AC36" i="167"/>
  <c r="AB36" i="167"/>
  <c r="AE36" i="167" s="1"/>
  <c r="AI36" i="167" s="1"/>
  <c r="Y36" i="167" s="1"/>
  <c r="Z36" i="167"/>
  <c r="X36" i="167"/>
  <c r="Q36" i="167"/>
  <c r="P36" i="167"/>
  <c r="H36" i="167"/>
  <c r="E36" i="167"/>
  <c r="I36" i="167" s="1"/>
  <c r="AD35" i="167"/>
  <c r="AC35" i="167"/>
  <c r="AB35" i="167"/>
  <c r="AE35" i="167" s="1"/>
  <c r="AI35" i="167" s="1"/>
  <c r="Y35" i="167" s="1"/>
  <c r="Z35" i="167"/>
  <c r="X35" i="167"/>
  <c r="Q35" i="167"/>
  <c r="P35" i="167"/>
  <c r="H35" i="167"/>
  <c r="E35" i="167"/>
  <c r="I35" i="167" s="1"/>
  <c r="AE34" i="167"/>
  <c r="AI34" i="167" s="1"/>
  <c r="Y34" i="167" s="1"/>
  <c r="AD34" i="167"/>
  <c r="AC34" i="167"/>
  <c r="AB34" i="167"/>
  <c r="Z34" i="167"/>
  <c r="X34" i="167"/>
  <c r="Q34" i="167"/>
  <c r="P34" i="167"/>
  <c r="I34" i="167"/>
  <c r="H34" i="167"/>
  <c r="E34" i="167"/>
  <c r="AD33" i="167"/>
  <c r="AE33" i="167" s="1"/>
  <c r="AI33" i="167" s="1"/>
  <c r="Y33" i="167" s="1"/>
  <c r="AC33" i="167"/>
  <c r="AB33" i="167"/>
  <c r="Z33" i="167"/>
  <c r="X33" i="167"/>
  <c r="Q33" i="167"/>
  <c r="P33" i="167"/>
  <c r="I33" i="167"/>
  <c r="H33" i="167"/>
  <c r="E33" i="167"/>
  <c r="AD32" i="167"/>
  <c r="AC32" i="167"/>
  <c r="AB32" i="167"/>
  <c r="AE32" i="167" s="1"/>
  <c r="AI32" i="167" s="1"/>
  <c r="Y32" i="167" s="1"/>
  <c r="Z32" i="167"/>
  <c r="X32" i="167"/>
  <c r="Q32" i="167"/>
  <c r="P32" i="167"/>
  <c r="H32" i="167"/>
  <c r="E32" i="167"/>
  <c r="I32" i="167" s="1"/>
  <c r="AE31" i="167"/>
  <c r="AI31" i="167" s="1"/>
  <c r="Y31" i="167" s="1"/>
  <c r="Z31" i="167"/>
  <c r="X31" i="167"/>
  <c r="Q31" i="167"/>
  <c r="P31" i="167"/>
  <c r="I31" i="167"/>
  <c r="H31" i="167"/>
  <c r="E31" i="167"/>
  <c r="AD30" i="167"/>
  <c r="AC30" i="167"/>
  <c r="AB30" i="167"/>
  <c r="AE30" i="167" s="1"/>
  <c r="AI30" i="167" s="1"/>
  <c r="Y30" i="167" s="1"/>
  <c r="Z30" i="167"/>
  <c r="X30" i="167"/>
  <c r="Q30" i="167"/>
  <c r="P30" i="167"/>
  <c r="I30" i="167"/>
  <c r="H30" i="167"/>
  <c r="E30" i="167"/>
  <c r="AE29" i="167"/>
  <c r="AI29" i="167" s="1"/>
  <c r="Y29" i="167" s="1"/>
  <c r="AD29" i="167"/>
  <c r="AC29" i="167"/>
  <c r="AB29" i="167"/>
  <c r="Z29" i="167"/>
  <c r="X29" i="167"/>
  <c r="Q29" i="167"/>
  <c r="P29" i="167"/>
  <c r="I29" i="167"/>
  <c r="H29" i="167"/>
  <c r="E29" i="167"/>
  <c r="AD28" i="167"/>
  <c r="AC28" i="167"/>
  <c r="AB28" i="167"/>
  <c r="AE28" i="167" s="1"/>
  <c r="AI28" i="167" s="1"/>
  <c r="Y28" i="167" s="1"/>
  <c r="Z28" i="167"/>
  <c r="X28" i="167"/>
  <c r="Q28" i="167"/>
  <c r="P28" i="167"/>
  <c r="I28" i="167"/>
  <c r="H28" i="167"/>
  <c r="E28" i="167"/>
  <c r="AD27" i="167"/>
  <c r="AC27" i="167"/>
  <c r="AB27" i="167"/>
  <c r="AE27" i="167" s="1"/>
  <c r="AI27" i="167" s="1"/>
  <c r="Y27" i="167" s="1"/>
  <c r="Z27" i="167"/>
  <c r="X27" i="167"/>
  <c r="Q27" i="167"/>
  <c r="P27" i="167"/>
  <c r="I27" i="167"/>
  <c r="H27" i="167"/>
  <c r="E27" i="167"/>
  <c r="AD26" i="167"/>
  <c r="AC26" i="167"/>
  <c r="AE26" i="167" s="1"/>
  <c r="AI26" i="167" s="1"/>
  <c r="Y26" i="167" s="1"/>
  <c r="AB26" i="167"/>
  <c r="Z26" i="167"/>
  <c r="X26" i="167"/>
  <c r="Q26" i="167"/>
  <c r="P26" i="167"/>
  <c r="I26" i="167"/>
  <c r="H26" i="167"/>
  <c r="E26" i="167"/>
  <c r="AD25" i="167"/>
  <c r="AC25" i="167"/>
  <c r="AB25" i="167"/>
  <c r="AE25" i="167" s="1"/>
  <c r="AI25" i="167" s="1"/>
  <c r="Y25" i="167" s="1"/>
  <c r="Z25" i="167"/>
  <c r="X25" i="167"/>
  <c r="Q25" i="167"/>
  <c r="P25" i="167"/>
  <c r="H25" i="167"/>
  <c r="E25" i="167"/>
  <c r="I25" i="167" s="1"/>
  <c r="AD24" i="167"/>
  <c r="AC24" i="167"/>
  <c r="AB24" i="167"/>
  <c r="AE24" i="167" s="1"/>
  <c r="AI24" i="167" s="1"/>
  <c r="Y24" i="167" s="1"/>
  <c r="Z24" i="167"/>
  <c r="X24" i="167"/>
  <c r="Q24" i="167"/>
  <c r="P24" i="167"/>
  <c r="H24" i="167"/>
  <c r="E24" i="167"/>
  <c r="I24" i="167" s="1"/>
  <c r="AD23" i="167"/>
  <c r="AC23" i="167"/>
  <c r="AB23" i="167"/>
  <c r="AE23" i="167" s="1"/>
  <c r="AI23" i="167" s="1"/>
  <c r="Y23" i="167" s="1"/>
  <c r="Z23" i="167"/>
  <c r="X23" i="167"/>
  <c r="Q23" i="167"/>
  <c r="P23" i="167"/>
  <c r="H23" i="167"/>
  <c r="E23" i="167"/>
  <c r="I23" i="167" s="1"/>
  <c r="AE22" i="167"/>
  <c r="AI22" i="167" s="1"/>
  <c r="Y22" i="167" s="1"/>
  <c r="AD22" i="167"/>
  <c r="AC22" i="167"/>
  <c r="AB22" i="167"/>
  <c r="Z22" i="167"/>
  <c r="X22" i="167"/>
  <c r="Q22" i="167"/>
  <c r="P22" i="167"/>
  <c r="H22" i="167"/>
  <c r="E22" i="167"/>
  <c r="I22" i="167" s="1"/>
  <c r="AD21" i="167"/>
  <c r="AE21" i="167" s="1"/>
  <c r="AI21" i="167" s="1"/>
  <c r="Y21" i="167" s="1"/>
  <c r="AC21" i="167"/>
  <c r="AB21" i="167"/>
  <c r="Z21" i="167"/>
  <c r="X21" i="167"/>
  <c r="Q21" i="167"/>
  <c r="P21" i="167"/>
  <c r="H21" i="167"/>
  <c r="E21" i="167"/>
  <c r="I21" i="167" s="1"/>
  <c r="AD20" i="167"/>
  <c r="AC20" i="167"/>
  <c r="AB20" i="167"/>
  <c r="AE20" i="167" s="1"/>
  <c r="AI20" i="167" s="1"/>
  <c r="Y20" i="167" s="1"/>
  <c r="Z20" i="167"/>
  <c r="X20" i="167"/>
  <c r="Q20" i="167"/>
  <c r="P20" i="167"/>
  <c r="H20" i="167"/>
  <c r="E20" i="167"/>
  <c r="I20" i="167" s="1"/>
  <c r="AE19" i="167"/>
  <c r="AI19" i="167" s="1"/>
  <c r="Y19" i="167" s="1"/>
  <c r="AD19" i="167"/>
  <c r="AC19" i="167"/>
  <c r="AB19" i="167"/>
  <c r="Z19" i="167"/>
  <c r="X19" i="167"/>
  <c r="Q19" i="167"/>
  <c r="P19" i="167"/>
  <c r="I19" i="167"/>
  <c r="H19" i="167"/>
  <c r="E19" i="167"/>
  <c r="AD18" i="167"/>
  <c r="AE18" i="167" s="1"/>
  <c r="AI18" i="167" s="1"/>
  <c r="Y18" i="167" s="1"/>
  <c r="AC18" i="167"/>
  <c r="AB18" i="167"/>
  <c r="Z18" i="167"/>
  <c r="X18" i="167"/>
  <c r="Q18" i="167"/>
  <c r="P18" i="167"/>
  <c r="I18" i="167"/>
  <c r="H18" i="167"/>
  <c r="E18" i="167"/>
  <c r="AD17" i="167"/>
  <c r="AC17" i="167"/>
  <c r="AB17" i="167"/>
  <c r="AE17" i="167" s="1"/>
  <c r="AI17" i="167" s="1"/>
  <c r="Y17" i="167" s="1"/>
  <c r="Z17" i="167"/>
  <c r="X17" i="167"/>
  <c r="Q17" i="167"/>
  <c r="P17" i="167"/>
  <c r="H17" i="167"/>
  <c r="E17" i="167"/>
  <c r="I17" i="167" s="1"/>
  <c r="AE16" i="167"/>
  <c r="AI16" i="167" s="1"/>
  <c r="Y16" i="167" s="1"/>
  <c r="AD16" i="167"/>
  <c r="AC16" i="167"/>
  <c r="AB16" i="167"/>
  <c r="Z16" i="167"/>
  <c r="X16" i="167"/>
  <c r="Q16" i="167"/>
  <c r="P16" i="167"/>
  <c r="E16" i="167"/>
  <c r="I16" i="167" s="1"/>
  <c r="AD15" i="167"/>
  <c r="AC15" i="167"/>
  <c r="AB15" i="167"/>
  <c r="AE15" i="167" s="1"/>
  <c r="AI15" i="167" s="1"/>
  <c r="Y15" i="167" s="1"/>
  <c r="Z15" i="167"/>
  <c r="X15" i="167"/>
  <c r="Q15" i="167"/>
  <c r="P15" i="167"/>
  <c r="E15" i="167"/>
  <c r="I15" i="167" s="1"/>
  <c r="AD14" i="167"/>
  <c r="AC14" i="167"/>
  <c r="AB14" i="167"/>
  <c r="AE14" i="167" s="1"/>
  <c r="AI14" i="167" s="1"/>
  <c r="Y14" i="167" s="1"/>
  <c r="Z14" i="167"/>
  <c r="X14" i="167"/>
  <c r="Q14" i="167"/>
  <c r="P14" i="167"/>
  <c r="H14" i="167"/>
  <c r="E14" i="167"/>
  <c r="I14" i="167" s="1"/>
  <c r="AD13" i="167"/>
  <c r="AC13" i="167"/>
  <c r="AB13" i="167"/>
  <c r="AE13" i="167" s="1"/>
  <c r="AI13" i="167" s="1"/>
  <c r="Y13" i="167" s="1"/>
  <c r="Z13" i="167"/>
  <c r="X13" i="167"/>
  <c r="Q13" i="167"/>
  <c r="P13" i="167"/>
  <c r="H13" i="167"/>
  <c r="E13" i="167"/>
  <c r="I13" i="167" s="1"/>
  <c r="AE12" i="167"/>
  <c r="AI12" i="167" s="1"/>
  <c r="Y12" i="167" s="1"/>
  <c r="AD12" i="167"/>
  <c r="AC12" i="167"/>
  <c r="AB12" i="167"/>
  <c r="Z12" i="167"/>
  <c r="X12" i="167"/>
  <c r="Q12" i="167"/>
  <c r="P12" i="167"/>
  <c r="H12" i="167"/>
  <c r="E12" i="167"/>
  <c r="I12" i="167" s="1"/>
  <c r="T79" i="169" l="1"/>
  <c r="F77" i="169" s="1"/>
  <c r="T77" i="168"/>
  <c r="T75" i="168"/>
  <c r="F73" i="168"/>
  <c r="F75" i="168"/>
  <c r="T73" i="168"/>
  <c r="T75" i="167"/>
  <c r="T77" i="167"/>
  <c r="T79" i="167" s="1"/>
  <c r="O75" i="167"/>
  <c r="O73" i="167"/>
  <c r="T73" i="167"/>
  <c r="F75" i="167"/>
  <c r="F73" i="167"/>
  <c r="M79" i="166"/>
  <c r="W73" i="166"/>
  <c r="P71" i="166"/>
  <c r="Q70" i="166"/>
  <c r="P70" i="166"/>
  <c r="H70" i="166"/>
  <c r="E70" i="166"/>
  <c r="I70" i="166" s="1"/>
  <c r="Q69" i="166"/>
  <c r="P69" i="166"/>
  <c r="I69" i="166"/>
  <c r="H69" i="166"/>
  <c r="E69" i="166"/>
  <c r="AD68" i="166"/>
  <c r="AC68" i="166"/>
  <c r="AB68" i="166"/>
  <c r="AE68" i="166" s="1"/>
  <c r="AI68" i="166" s="1"/>
  <c r="Y68" i="166" s="1"/>
  <c r="Z68" i="166"/>
  <c r="X68" i="166"/>
  <c r="W68" i="166"/>
  <c r="Q68" i="166"/>
  <c r="P68" i="166"/>
  <c r="H68" i="166"/>
  <c r="E68" i="166"/>
  <c r="I68" i="166" s="1"/>
  <c r="AI67" i="166"/>
  <c r="Y67" i="166" s="1"/>
  <c r="AE67" i="166"/>
  <c r="AD67" i="166"/>
  <c r="AC67" i="166"/>
  <c r="AB67" i="166"/>
  <c r="Z67" i="166"/>
  <c r="X67" i="166"/>
  <c r="Q67" i="166"/>
  <c r="P67" i="166"/>
  <c r="H67" i="166"/>
  <c r="E67" i="166"/>
  <c r="I67" i="166" s="1"/>
  <c r="AD66" i="166"/>
  <c r="AC66" i="166"/>
  <c r="AB66" i="166"/>
  <c r="AE66" i="166" s="1"/>
  <c r="AI66" i="166" s="1"/>
  <c r="Y66" i="166" s="1"/>
  <c r="Z66" i="166"/>
  <c r="X66" i="166"/>
  <c r="Q66" i="166"/>
  <c r="P66" i="166"/>
  <c r="H66" i="166"/>
  <c r="E66" i="166"/>
  <c r="I66" i="166" s="1"/>
  <c r="AD65" i="166"/>
  <c r="AC65" i="166"/>
  <c r="AB65" i="166"/>
  <c r="AE65" i="166" s="1"/>
  <c r="AI65" i="166" s="1"/>
  <c r="Y65" i="166" s="1"/>
  <c r="Z65" i="166"/>
  <c r="X65" i="166"/>
  <c r="Q65" i="166"/>
  <c r="P65" i="166"/>
  <c r="H65" i="166"/>
  <c r="E65" i="166"/>
  <c r="I65" i="166" s="1"/>
  <c r="AD64" i="166"/>
  <c r="AC64" i="166"/>
  <c r="AE64" i="166" s="1"/>
  <c r="AI64" i="166" s="1"/>
  <c r="Y64" i="166" s="1"/>
  <c r="AB64" i="166"/>
  <c r="Z64" i="166"/>
  <c r="X64" i="166"/>
  <c r="Q64" i="166"/>
  <c r="P64" i="166"/>
  <c r="I64" i="166"/>
  <c r="H64" i="166"/>
  <c r="E64" i="166"/>
  <c r="AD63" i="166"/>
  <c r="AC63" i="166"/>
  <c r="AB63" i="166"/>
  <c r="AE63" i="166" s="1"/>
  <c r="AI63" i="166" s="1"/>
  <c r="Y63" i="166" s="1"/>
  <c r="Z63" i="166"/>
  <c r="X63" i="166"/>
  <c r="Q63" i="166"/>
  <c r="P63" i="166"/>
  <c r="H63" i="166"/>
  <c r="E63" i="166"/>
  <c r="I63" i="166" s="1"/>
  <c r="AI62" i="166"/>
  <c r="Y62" i="166" s="1"/>
  <c r="AE62" i="166"/>
  <c r="AD62" i="166"/>
  <c r="AC62" i="166"/>
  <c r="AB62" i="166"/>
  <c r="Z62" i="166"/>
  <c r="X62" i="166"/>
  <c r="Q62" i="166"/>
  <c r="P62" i="166"/>
  <c r="I62" i="166"/>
  <c r="H62" i="166"/>
  <c r="E62" i="166"/>
  <c r="AC61" i="166"/>
  <c r="AE61" i="166" s="1"/>
  <c r="AI61" i="166" s="1"/>
  <c r="Y61" i="166" s="1"/>
  <c r="AB61" i="166"/>
  <c r="X61" i="166"/>
  <c r="Q61" i="166"/>
  <c r="P61" i="166"/>
  <c r="I61" i="166"/>
  <c r="H61" i="166"/>
  <c r="E61" i="166"/>
  <c r="AE60" i="166"/>
  <c r="AI60" i="166" s="1"/>
  <c r="Y60" i="166" s="1"/>
  <c r="X60" i="166"/>
  <c r="Q60" i="166"/>
  <c r="P60" i="166"/>
  <c r="I60" i="166"/>
  <c r="H60" i="166"/>
  <c r="E60" i="166"/>
  <c r="AC59" i="166"/>
  <c r="AB59" i="166"/>
  <c r="AE59" i="166" s="1"/>
  <c r="AI59" i="166" s="1"/>
  <c r="Y59" i="166" s="1"/>
  <c r="X59" i="166"/>
  <c r="Q59" i="166"/>
  <c r="P59" i="166"/>
  <c r="H59" i="166"/>
  <c r="E59" i="166"/>
  <c r="I59" i="166" s="1"/>
  <c r="AC58" i="166"/>
  <c r="AB58" i="166"/>
  <c r="AE58" i="166" s="1"/>
  <c r="AI58" i="166" s="1"/>
  <c r="Y58" i="166" s="1"/>
  <c r="X58" i="166"/>
  <c r="Q58" i="166"/>
  <c r="P58" i="166"/>
  <c r="E58" i="166"/>
  <c r="I58" i="166" s="1"/>
  <c r="AC57" i="166"/>
  <c r="AB57" i="166"/>
  <c r="AE57" i="166" s="1"/>
  <c r="AI57" i="166" s="1"/>
  <c r="Y57" i="166" s="1"/>
  <c r="X57" i="166"/>
  <c r="Q57" i="166"/>
  <c r="P57" i="166"/>
  <c r="I57" i="166"/>
  <c r="H57" i="166"/>
  <c r="E57" i="166"/>
  <c r="AD56" i="166"/>
  <c r="AC56" i="166"/>
  <c r="AB56" i="166"/>
  <c r="AE56" i="166" s="1"/>
  <c r="AI56" i="166" s="1"/>
  <c r="Y56" i="166" s="1"/>
  <c r="Z56" i="166"/>
  <c r="X56" i="166"/>
  <c r="Q56" i="166"/>
  <c r="P56" i="166"/>
  <c r="H56" i="166"/>
  <c r="E56" i="166"/>
  <c r="I56" i="166" s="1"/>
  <c r="AE55" i="166"/>
  <c r="AI55" i="166" s="1"/>
  <c r="Y55" i="166" s="1"/>
  <c r="AD55" i="166"/>
  <c r="AC55" i="166"/>
  <c r="AB55" i="166"/>
  <c r="Z55" i="166"/>
  <c r="X55" i="166"/>
  <c r="Q55" i="166"/>
  <c r="P55" i="166"/>
  <c r="H55" i="166"/>
  <c r="E55" i="166"/>
  <c r="I55" i="166" s="1"/>
  <c r="AD54" i="166"/>
  <c r="AC54" i="166"/>
  <c r="AB54" i="166"/>
  <c r="AE54" i="166" s="1"/>
  <c r="AI54" i="166" s="1"/>
  <c r="Y54" i="166" s="1"/>
  <c r="Z54" i="166"/>
  <c r="X54" i="166"/>
  <c r="Q54" i="166"/>
  <c r="P54" i="166"/>
  <c r="I54" i="166"/>
  <c r="H54" i="166"/>
  <c r="E54" i="166"/>
  <c r="AD53" i="166"/>
  <c r="AC53" i="166"/>
  <c r="AE53" i="166" s="1"/>
  <c r="AI53" i="166" s="1"/>
  <c r="Y53" i="166" s="1"/>
  <c r="AB53" i="166"/>
  <c r="Z53" i="166"/>
  <c r="X53" i="166"/>
  <c r="Q53" i="166"/>
  <c r="P53" i="166"/>
  <c r="H53" i="166"/>
  <c r="E53" i="166"/>
  <c r="I53" i="166" s="1"/>
  <c r="AI52" i="166"/>
  <c r="Y52" i="166" s="1"/>
  <c r="AE52" i="166"/>
  <c r="Z52" i="166"/>
  <c r="X52" i="166"/>
  <c r="Q52" i="166"/>
  <c r="P52" i="166"/>
  <c r="H52" i="166"/>
  <c r="E52" i="166"/>
  <c r="I52" i="166" s="1"/>
  <c r="AI51" i="166"/>
  <c r="Y51" i="166" s="1"/>
  <c r="AE51" i="166"/>
  <c r="AD51" i="166"/>
  <c r="AC51" i="166"/>
  <c r="AB51" i="166"/>
  <c r="Z51" i="166"/>
  <c r="X51" i="166"/>
  <c r="Q51" i="166"/>
  <c r="P51" i="166"/>
  <c r="H51" i="166"/>
  <c r="E51" i="166"/>
  <c r="I51" i="166" s="1"/>
  <c r="AD50" i="166"/>
  <c r="AC50" i="166"/>
  <c r="AB50" i="166"/>
  <c r="AE50" i="166" s="1"/>
  <c r="AI50" i="166" s="1"/>
  <c r="Y50" i="166" s="1"/>
  <c r="Z50" i="166"/>
  <c r="X50" i="166"/>
  <c r="Q50" i="166"/>
  <c r="P50" i="166"/>
  <c r="H50" i="166"/>
  <c r="E50" i="166"/>
  <c r="I50" i="166" s="1"/>
  <c r="AI49" i="166"/>
  <c r="Y49" i="166" s="1"/>
  <c r="AE49" i="166"/>
  <c r="Z49" i="166"/>
  <c r="X49" i="166"/>
  <c r="Q49" i="166"/>
  <c r="P49" i="166"/>
  <c r="I49" i="166"/>
  <c r="H49" i="166"/>
  <c r="E49" i="166"/>
  <c r="AI48" i="166"/>
  <c r="Y48" i="166" s="1"/>
  <c r="AE48" i="166"/>
  <c r="Z48" i="166"/>
  <c r="X48" i="166"/>
  <c r="Q48" i="166"/>
  <c r="P48" i="166"/>
  <c r="I48" i="166"/>
  <c r="H48" i="166"/>
  <c r="E48" i="166"/>
  <c r="AE47" i="166"/>
  <c r="AI47" i="166" s="1"/>
  <c r="Y47" i="166" s="1"/>
  <c r="Z47" i="166"/>
  <c r="X47" i="166"/>
  <c r="Q47" i="166"/>
  <c r="P47" i="166"/>
  <c r="I47" i="166"/>
  <c r="H47" i="166"/>
  <c r="E47" i="166"/>
  <c r="AD46" i="166"/>
  <c r="AC46" i="166"/>
  <c r="AB46" i="166"/>
  <c r="AE46" i="166" s="1"/>
  <c r="AI46" i="166" s="1"/>
  <c r="Y46" i="166" s="1"/>
  <c r="Z46" i="166"/>
  <c r="X46" i="166"/>
  <c r="Q46" i="166"/>
  <c r="P46" i="166"/>
  <c r="I46" i="166"/>
  <c r="H46" i="166"/>
  <c r="E46" i="166"/>
  <c r="AE45" i="166"/>
  <c r="AI45" i="166" s="1"/>
  <c r="Y45" i="166" s="1"/>
  <c r="AD45" i="166"/>
  <c r="AC45" i="166"/>
  <c r="AB45" i="166"/>
  <c r="Z45" i="166"/>
  <c r="X45" i="166"/>
  <c r="Q45" i="166"/>
  <c r="P45" i="166"/>
  <c r="I45" i="166"/>
  <c r="H45" i="166"/>
  <c r="E45" i="166"/>
  <c r="AD44" i="166"/>
  <c r="AC44" i="166"/>
  <c r="AB44" i="166"/>
  <c r="AE44" i="166" s="1"/>
  <c r="AI44" i="166" s="1"/>
  <c r="Y44" i="166" s="1"/>
  <c r="Z44" i="166"/>
  <c r="X44" i="166"/>
  <c r="Q44" i="166"/>
  <c r="P44" i="166"/>
  <c r="H44" i="166"/>
  <c r="E44" i="166"/>
  <c r="I44" i="166" s="1"/>
  <c r="AE43" i="166"/>
  <c r="AI43" i="166" s="1"/>
  <c r="Y43" i="166" s="1"/>
  <c r="AD43" i="166"/>
  <c r="AC43" i="166"/>
  <c r="AB43" i="166"/>
  <c r="Z43" i="166"/>
  <c r="X43" i="166"/>
  <c r="Q43" i="166"/>
  <c r="P43" i="166"/>
  <c r="H43" i="166"/>
  <c r="E43" i="166"/>
  <c r="I43" i="166" s="1"/>
  <c r="AD42" i="166"/>
  <c r="AC42" i="166"/>
  <c r="AB42" i="166"/>
  <c r="AE42" i="166" s="1"/>
  <c r="AI42" i="166" s="1"/>
  <c r="Y42" i="166" s="1"/>
  <c r="Z42" i="166"/>
  <c r="X42" i="166"/>
  <c r="Q42" i="166"/>
  <c r="P42" i="166"/>
  <c r="I42" i="166"/>
  <c r="H42" i="166"/>
  <c r="E42" i="166"/>
  <c r="AD41" i="166"/>
  <c r="AC41" i="166"/>
  <c r="AE41" i="166" s="1"/>
  <c r="AI41" i="166" s="1"/>
  <c r="Y41" i="166" s="1"/>
  <c r="AB41" i="166"/>
  <c r="Z41" i="166"/>
  <c r="X41" i="166"/>
  <c r="Q41" i="166"/>
  <c r="P41" i="166"/>
  <c r="H41" i="166"/>
  <c r="E41" i="166"/>
  <c r="I41" i="166" s="1"/>
  <c r="AD40" i="166"/>
  <c r="AC40" i="166"/>
  <c r="AB40" i="166"/>
  <c r="AE40" i="166" s="1"/>
  <c r="AI40" i="166" s="1"/>
  <c r="Y40" i="166" s="1"/>
  <c r="Z40" i="166"/>
  <c r="X40" i="166"/>
  <c r="Q40" i="166"/>
  <c r="P40" i="166"/>
  <c r="I40" i="166"/>
  <c r="H40" i="166"/>
  <c r="E40" i="166"/>
  <c r="AD39" i="166"/>
  <c r="AC39" i="166"/>
  <c r="AE39" i="166" s="1"/>
  <c r="AI39" i="166" s="1"/>
  <c r="Y39" i="166" s="1"/>
  <c r="AB39" i="166"/>
  <c r="Z39" i="166"/>
  <c r="X39" i="166"/>
  <c r="Q39" i="166"/>
  <c r="P39" i="166"/>
  <c r="H39" i="166"/>
  <c r="E39" i="166"/>
  <c r="I39" i="166" s="1"/>
  <c r="AI38" i="166"/>
  <c r="Y38" i="166" s="1"/>
  <c r="AE38" i="166"/>
  <c r="AD38" i="166"/>
  <c r="AC38" i="166"/>
  <c r="AB38" i="166"/>
  <c r="Z38" i="166"/>
  <c r="X38" i="166"/>
  <c r="Q38" i="166"/>
  <c r="P38" i="166"/>
  <c r="H38" i="166"/>
  <c r="E38" i="166"/>
  <c r="I38" i="166" s="1"/>
  <c r="AD37" i="166"/>
  <c r="AC37" i="166"/>
  <c r="AB37" i="166"/>
  <c r="AE37" i="166" s="1"/>
  <c r="AI37" i="166" s="1"/>
  <c r="Y37" i="166" s="1"/>
  <c r="Z37" i="166"/>
  <c r="X37" i="166"/>
  <c r="Q37" i="166"/>
  <c r="P37" i="166"/>
  <c r="H37" i="166"/>
  <c r="E37" i="166"/>
  <c r="I37" i="166" s="1"/>
  <c r="AD36" i="166"/>
  <c r="AC36" i="166"/>
  <c r="AB36" i="166"/>
  <c r="AE36" i="166" s="1"/>
  <c r="AI36" i="166" s="1"/>
  <c r="Y36" i="166" s="1"/>
  <c r="Z36" i="166"/>
  <c r="X36" i="166"/>
  <c r="Q36" i="166"/>
  <c r="P36" i="166"/>
  <c r="H36" i="166"/>
  <c r="E36" i="166"/>
  <c r="I36" i="166" s="1"/>
  <c r="AD35" i="166"/>
  <c r="AC35" i="166"/>
  <c r="AE35" i="166" s="1"/>
  <c r="AI35" i="166" s="1"/>
  <c r="Y35" i="166" s="1"/>
  <c r="AB35" i="166"/>
  <c r="Z35" i="166"/>
  <c r="X35" i="166"/>
  <c r="Q35" i="166"/>
  <c r="P35" i="166"/>
  <c r="I35" i="166"/>
  <c r="H35" i="166"/>
  <c r="E35" i="166"/>
  <c r="AD34" i="166"/>
  <c r="AC34" i="166"/>
  <c r="AB34" i="166"/>
  <c r="AE34" i="166" s="1"/>
  <c r="AI34" i="166" s="1"/>
  <c r="Y34" i="166" s="1"/>
  <c r="Z34" i="166"/>
  <c r="X34" i="166"/>
  <c r="Q34" i="166"/>
  <c r="P34" i="166"/>
  <c r="H34" i="166"/>
  <c r="E34" i="166"/>
  <c r="I34" i="166" s="1"/>
  <c r="AI33" i="166"/>
  <c r="Y33" i="166" s="1"/>
  <c r="AE33" i="166"/>
  <c r="AD33" i="166"/>
  <c r="AC33" i="166"/>
  <c r="AB33" i="166"/>
  <c r="Z33" i="166"/>
  <c r="X33" i="166"/>
  <c r="Q33" i="166"/>
  <c r="P33" i="166"/>
  <c r="I33" i="166"/>
  <c r="H33" i="166"/>
  <c r="E33" i="166"/>
  <c r="AD32" i="166"/>
  <c r="AE32" i="166" s="1"/>
  <c r="AI32" i="166" s="1"/>
  <c r="Y32" i="166" s="1"/>
  <c r="AC32" i="166"/>
  <c r="AB32" i="166"/>
  <c r="Z32" i="166"/>
  <c r="X32" i="166"/>
  <c r="Q32" i="166"/>
  <c r="P32" i="166"/>
  <c r="H32" i="166"/>
  <c r="E32" i="166"/>
  <c r="I32" i="166" s="1"/>
  <c r="AE31" i="166"/>
  <c r="AI31" i="166" s="1"/>
  <c r="Y31" i="166" s="1"/>
  <c r="Z31" i="166"/>
  <c r="X31" i="166"/>
  <c r="Q31" i="166"/>
  <c r="P31" i="166"/>
  <c r="I31" i="166"/>
  <c r="H31" i="166"/>
  <c r="E31" i="166"/>
  <c r="AE30" i="166"/>
  <c r="AI30" i="166" s="1"/>
  <c r="Y30" i="166" s="1"/>
  <c r="AD30" i="166"/>
  <c r="AC30" i="166"/>
  <c r="AB30" i="166"/>
  <c r="Z30" i="166"/>
  <c r="X30" i="166"/>
  <c r="Q30" i="166"/>
  <c r="P30" i="166"/>
  <c r="I30" i="166"/>
  <c r="H30" i="166"/>
  <c r="E30" i="166"/>
  <c r="AD29" i="166"/>
  <c r="AC29" i="166"/>
  <c r="AB29" i="166"/>
  <c r="AE29" i="166" s="1"/>
  <c r="AI29" i="166" s="1"/>
  <c r="Y29" i="166" s="1"/>
  <c r="Z29" i="166"/>
  <c r="X29" i="166"/>
  <c r="Q29" i="166"/>
  <c r="P29" i="166"/>
  <c r="H29" i="166"/>
  <c r="E29" i="166"/>
  <c r="I29" i="166" s="1"/>
  <c r="AE28" i="166"/>
  <c r="AI28" i="166" s="1"/>
  <c r="Y28" i="166" s="1"/>
  <c r="AD28" i="166"/>
  <c r="AC28" i="166"/>
  <c r="AB28" i="166"/>
  <c r="Z28" i="166"/>
  <c r="X28" i="166"/>
  <c r="Q28" i="166"/>
  <c r="P28" i="166"/>
  <c r="H28" i="166"/>
  <c r="E28" i="166"/>
  <c r="I28" i="166" s="1"/>
  <c r="AD27" i="166"/>
  <c r="AC27" i="166"/>
  <c r="AB27" i="166"/>
  <c r="AE27" i="166" s="1"/>
  <c r="AI27" i="166" s="1"/>
  <c r="Y27" i="166" s="1"/>
  <c r="Z27" i="166"/>
  <c r="X27" i="166"/>
  <c r="Q27" i="166"/>
  <c r="P27" i="166"/>
  <c r="I27" i="166"/>
  <c r="H27" i="166"/>
  <c r="E27" i="166"/>
  <c r="AD26" i="166"/>
  <c r="AC26" i="166"/>
  <c r="AE26" i="166" s="1"/>
  <c r="AI26" i="166" s="1"/>
  <c r="Y26" i="166" s="1"/>
  <c r="AB26" i="166"/>
  <c r="Z26" i="166"/>
  <c r="X26" i="166"/>
  <c r="Q26" i="166"/>
  <c r="P26" i="166"/>
  <c r="H26" i="166"/>
  <c r="E26" i="166"/>
  <c r="I26" i="166" s="1"/>
  <c r="AD25" i="166"/>
  <c r="AC25" i="166"/>
  <c r="AB25" i="166"/>
  <c r="AE25" i="166" s="1"/>
  <c r="AI25" i="166" s="1"/>
  <c r="Y25" i="166" s="1"/>
  <c r="Z25" i="166"/>
  <c r="X25" i="166"/>
  <c r="Q25" i="166"/>
  <c r="P25" i="166"/>
  <c r="I25" i="166"/>
  <c r="H25" i="166"/>
  <c r="E25" i="166"/>
  <c r="AD24" i="166"/>
  <c r="AC24" i="166"/>
  <c r="AE24" i="166" s="1"/>
  <c r="AI24" i="166" s="1"/>
  <c r="Y24" i="166" s="1"/>
  <c r="AB24" i="166"/>
  <c r="Z24" i="166"/>
  <c r="X24" i="166"/>
  <c r="Q24" i="166"/>
  <c r="P24" i="166"/>
  <c r="H24" i="166"/>
  <c r="E24" i="166"/>
  <c r="I24" i="166" s="1"/>
  <c r="AI23" i="166"/>
  <c r="Y23" i="166" s="1"/>
  <c r="AE23" i="166"/>
  <c r="AD23" i="166"/>
  <c r="AC23" i="166"/>
  <c r="AB23" i="166"/>
  <c r="Z23" i="166"/>
  <c r="X23" i="166"/>
  <c r="Q23" i="166"/>
  <c r="P23" i="166"/>
  <c r="H23" i="166"/>
  <c r="E23" i="166"/>
  <c r="I23" i="166" s="1"/>
  <c r="AD22" i="166"/>
  <c r="AC22" i="166"/>
  <c r="AB22" i="166"/>
  <c r="AE22" i="166" s="1"/>
  <c r="AI22" i="166" s="1"/>
  <c r="Y22" i="166" s="1"/>
  <c r="Z22" i="166"/>
  <c r="X22" i="166"/>
  <c r="Q22" i="166"/>
  <c r="P22" i="166"/>
  <c r="H22" i="166"/>
  <c r="E22" i="166"/>
  <c r="I22" i="166" s="1"/>
  <c r="AD21" i="166"/>
  <c r="AC21" i="166"/>
  <c r="AB21" i="166"/>
  <c r="AE21" i="166" s="1"/>
  <c r="AI21" i="166" s="1"/>
  <c r="Y21" i="166" s="1"/>
  <c r="Z21" i="166"/>
  <c r="X21" i="166"/>
  <c r="Q21" i="166"/>
  <c r="P21" i="166"/>
  <c r="H21" i="166"/>
  <c r="E21" i="166"/>
  <c r="I21" i="166" s="1"/>
  <c r="AD20" i="166"/>
  <c r="AC20" i="166"/>
  <c r="AE20" i="166" s="1"/>
  <c r="AI20" i="166" s="1"/>
  <c r="AB20" i="166"/>
  <c r="Z20" i="166"/>
  <c r="X20" i="166"/>
  <c r="Q20" i="166"/>
  <c r="P20" i="166"/>
  <c r="I20" i="166"/>
  <c r="H20" i="166"/>
  <c r="Y20" i="166"/>
  <c r="E20" i="166"/>
  <c r="AE19" i="166"/>
  <c r="AI19" i="166" s="1"/>
  <c r="Y19" i="166" s="1"/>
  <c r="AD19" i="166"/>
  <c r="AC19" i="166"/>
  <c r="AB19" i="166"/>
  <c r="Z19" i="166"/>
  <c r="X19" i="166"/>
  <c r="Q19" i="166"/>
  <c r="P19" i="166"/>
  <c r="H19" i="166"/>
  <c r="E19" i="166"/>
  <c r="I19" i="166" s="1"/>
  <c r="AD18" i="166"/>
  <c r="AC18" i="166"/>
  <c r="AB18" i="166"/>
  <c r="AE18" i="166" s="1"/>
  <c r="AI18" i="166" s="1"/>
  <c r="Y18" i="166" s="1"/>
  <c r="Z18" i="166"/>
  <c r="X18" i="166"/>
  <c r="Q18" i="166"/>
  <c r="P18" i="166"/>
  <c r="H18" i="166"/>
  <c r="E18" i="166"/>
  <c r="I18" i="166" s="1"/>
  <c r="AE17" i="166"/>
  <c r="AI17" i="166" s="1"/>
  <c r="Y17" i="166" s="1"/>
  <c r="AD17" i="166"/>
  <c r="AC17" i="166"/>
  <c r="AB17" i="166"/>
  <c r="Z17" i="166"/>
  <c r="X17" i="166"/>
  <c r="Q17" i="166"/>
  <c r="P17" i="166"/>
  <c r="H17" i="166"/>
  <c r="E17" i="166"/>
  <c r="I17" i="166" s="1"/>
  <c r="AD16" i="166"/>
  <c r="AC16" i="166"/>
  <c r="AB16" i="166"/>
  <c r="AE16" i="166" s="1"/>
  <c r="AI16" i="166" s="1"/>
  <c r="Y16" i="166" s="1"/>
  <c r="Z16" i="166"/>
  <c r="X16" i="166"/>
  <c r="Q16" i="166"/>
  <c r="P16" i="166"/>
  <c r="I16" i="166"/>
  <c r="E16" i="166"/>
  <c r="AD15" i="166"/>
  <c r="AC15" i="166"/>
  <c r="AB15" i="166"/>
  <c r="AE15" i="166" s="1"/>
  <c r="AI15" i="166" s="1"/>
  <c r="Y15" i="166" s="1"/>
  <c r="Z15" i="166"/>
  <c r="X15" i="166"/>
  <c r="Q15" i="166"/>
  <c r="O75" i="166" s="1"/>
  <c r="P15" i="166"/>
  <c r="I15" i="166"/>
  <c r="E15" i="166"/>
  <c r="AD14" i="166"/>
  <c r="AC14" i="166"/>
  <c r="AB14" i="166"/>
  <c r="AE14" i="166" s="1"/>
  <c r="AI14" i="166" s="1"/>
  <c r="Y14" i="166" s="1"/>
  <c r="Z14" i="166"/>
  <c r="X14" i="166"/>
  <c r="Q14" i="166"/>
  <c r="P14" i="166"/>
  <c r="H14" i="166"/>
  <c r="E14" i="166"/>
  <c r="I14" i="166" s="1"/>
  <c r="AI13" i="166"/>
  <c r="Y13" i="166" s="1"/>
  <c r="AE13" i="166"/>
  <c r="AD13" i="166"/>
  <c r="AC13" i="166"/>
  <c r="AB13" i="166"/>
  <c r="Z13" i="166"/>
  <c r="X13" i="166"/>
  <c r="Q13" i="166"/>
  <c r="P13" i="166"/>
  <c r="H13" i="166"/>
  <c r="E13" i="166"/>
  <c r="I13" i="166" s="1"/>
  <c r="AD12" i="166"/>
  <c r="AC12" i="166"/>
  <c r="AE12" i="166" s="1"/>
  <c r="AI12" i="166" s="1"/>
  <c r="Y12" i="166" s="1"/>
  <c r="AB12" i="166"/>
  <c r="Z12" i="166"/>
  <c r="X12" i="166"/>
  <c r="Q12" i="166"/>
  <c r="P12" i="166"/>
  <c r="H12" i="166"/>
  <c r="E12" i="166"/>
  <c r="I12" i="166" s="1"/>
  <c r="T79" i="168" l="1"/>
  <c r="F77" i="168"/>
  <c r="F77" i="167"/>
  <c r="T75" i="166"/>
  <c r="O73" i="166"/>
  <c r="F73" i="166"/>
  <c r="T77" i="166"/>
  <c r="F75" i="166"/>
  <c r="T73" i="166"/>
  <c r="T79" i="166" s="1"/>
  <c r="H71" i="166"/>
  <c r="F20" i="165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F77" i="166" l="1"/>
  <c r="Y20" i="165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<sst xmlns="http://schemas.openxmlformats.org/spreadsheetml/2006/main" count="4794" uniqueCount="135">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</sst>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5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5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202464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178488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-202464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6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6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174816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129780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-174816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7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7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191808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-203796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8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8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179820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167832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-179820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9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9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179820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283705.95999999996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>
        <f>19040+35379</f>
        <v>54419</v>
      </c>
      <c r="Q77" s="274"/>
      <c r="R77" s="152"/>
      <c r="S77" s="159" t="s">
        <v>108</v>
      </c>
      <c r="T77" s="260">
        <f>IF(SUM(X12:X68)*0.15&gt;P77,P77,SUM(X12:X68)*0.15)</f>
        <v>54419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>
        <f>754956</f>
        <v>754956</v>
      </c>
      <c r="Q79" s="274"/>
      <c r="R79" s="152"/>
      <c r="S79" s="159" t="s">
        <v>112</v>
      </c>
      <c r="T79" s="260">
        <f>T77+T73+T75</f>
        <v>110674.04000000001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0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0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179820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1093080.96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1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1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179820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1093080.96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2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2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179820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1093080.96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3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3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201132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177156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-201132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3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3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1418790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185004</v>
      </c>
      <c r="P73" s="256"/>
      <c r="Q73" s="257"/>
      <c r="R73" s="152"/>
      <c r="S73" s="159" t="s">
        <v>104</v>
      </c>
      <c r="T73" s="260">
        <f>SUM(Y12:Y68)</f>
        <v>54592.880000000005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1418790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5292</v>
      </c>
      <c r="P75" s="256"/>
      <c r="Q75" s="257"/>
      <c r="R75" s="152"/>
      <c r="S75" s="159" t="s">
        <v>129</v>
      </c>
      <c r="T75" s="260">
        <f>SUM(Z12:Z70)</f>
        <v>3820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974241.12000000011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>
        <f>212364-11232</f>
        <v>201132</v>
      </c>
      <c r="Q79" s="274"/>
      <c r="R79" s="152"/>
      <c r="S79" s="159" t="s">
        <v>112</v>
      </c>
      <c r="T79" s="260">
        <f>T77+T73+T75</f>
        <v>58412.880000000005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4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4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1317381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49501.83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1317381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1060657.17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52927.83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5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5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119880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1176996.96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6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6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1296876.96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7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7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155844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155844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1141032.96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8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8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1251992.46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>
        <v>44884.5</v>
      </c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9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9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90072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59940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1206804.96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0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0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1363925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160668</v>
      </c>
      <c r="P73" s="256"/>
      <c r="Q73" s="257"/>
      <c r="R73" s="152"/>
      <c r="S73" s="159" t="s">
        <v>104</v>
      </c>
      <c r="T73" s="260">
        <f>SUM(Y12:Y68)</f>
        <v>51940.560000000012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1223957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118548</v>
      </c>
      <c r="P75" s="256"/>
      <c r="Q75" s="257"/>
      <c r="R75" s="152"/>
      <c r="S75" s="159" t="s">
        <v>129</v>
      </c>
      <c r="T75" s="260">
        <f>SUM(Z12:Z70)</f>
        <v>3614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1147702.44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55554.560000000012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1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1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1215326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185436</v>
      </c>
      <c r="P73" s="256"/>
      <c r="Q73" s="257"/>
      <c r="R73" s="152"/>
      <c r="S73" s="159" t="s">
        <v>104</v>
      </c>
      <c r="T73" s="260">
        <f>SUM(Y12:Y68)</f>
        <v>47800.12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299054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137160</v>
      </c>
      <c r="P75" s="256"/>
      <c r="Q75" s="257"/>
      <c r="R75" s="152"/>
      <c r="S75" s="159" t="s">
        <v>129</v>
      </c>
      <c r="T75" s="260">
        <f>SUM(Z12:Z70)</f>
        <v>3304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978785.88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51104.12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56B4-C0C8-428A-9FE7-99723AE5FAE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2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2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648</v>
      </c>
      <c r="N16" s="193"/>
      <c r="O16" s="51"/>
      <c r="P16" s="52" t="str">
        <f t="shared" si="5"/>
        <v>6 pallets</v>
      </c>
      <c r="Q16" s="53">
        <f t="shared" si="6"/>
        <v>71928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117000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95940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1179876.96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A374-73BF-4F86-8008-6DDE70C3883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3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3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864</v>
      </c>
      <c r="N13" s="51"/>
      <c r="O13" s="51"/>
      <c r="P13" s="52" t="str">
        <f t="shared" ref="P13:P68" si="5">IF(M13&amp;N13="","",ROUND(((M13+N13)/G13),1)&amp;" pallets")</f>
        <v>8 pallets</v>
      </c>
      <c r="Q13" s="53">
        <f t="shared" ref="Q13:Q70" si="6">(J13*M13)+(K13*N13)+(O13*L13)</f>
        <v>95904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95904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1200972.96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27" sqref="F2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3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3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66</v>
      </c>
      <c r="G12" s="26">
        <v>72</v>
      </c>
      <c r="H12" s="27" t="str">
        <f>IF(F12="","",(ROUND((F12/G12),1)&amp;" pallets"))</f>
        <v>0.9 pallets</v>
      </c>
      <c r="I12" s="28">
        <f>E12*F12</f>
        <v>64152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56232</v>
      </c>
      <c r="Y12" s="36">
        <f t="shared" ref="Y12:Y68" si="0">F12*AI12</f>
        <v>2004.4199999999998</v>
      </c>
      <c r="Z12" s="36">
        <f>IF($U$6="x",(F12*2),"")</f>
        <v>132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384</v>
      </c>
      <c r="G15" s="47">
        <v>96</v>
      </c>
      <c r="H15" s="64"/>
      <c r="I15" s="49">
        <f t="shared" si="4"/>
        <v>278400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235776</v>
      </c>
      <c r="Y15" s="57">
        <f>F15*AI15</f>
        <v>11174.400000000001</v>
      </c>
      <c r="Z15" s="57">
        <f t="shared" si="8"/>
        <v>768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106</v>
      </c>
      <c r="G19" s="71">
        <v>63</v>
      </c>
      <c r="H19" s="72" t="str">
        <f t="shared" si="11"/>
        <v>1.7 pallets</v>
      </c>
      <c r="I19" s="73">
        <f t="shared" si="4"/>
        <v>119250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106530</v>
      </c>
      <c r="Y19" s="57">
        <f>F19*AI19</f>
        <v>3293.42</v>
      </c>
      <c r="Z19" s="57">
        <f t="shared" si="8"/>
        <v>212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>
        <v>4</v>
      </c>
      <c r="G24" s="47">
        <v>63</v>
      </c>
      <c r="H24" s="64" t="str">
        <f t="shared" si="11"/>
        <v>0.1 pallets</v>
      </c>
      <c r="I24" s="49">
        <f t="shared" si="4"/>
        <v>6268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5788</v>
      </c>
      <c r="Y24" s="57">
        <f t="shared" si="0"/>
        <v>124.28</v>
      </c>
      <c r="Z24" s="57">
        <f t="shared" si="8"/>
        <v>8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>
        <v>1</v>
      </c>
      <c r="G27" s="71">
        <v>63</v>
      </c>
      <c r="H27" s="72" t="str">
        <f t="shared" si="11"/>
        <v>0 pallets</v>
      </c>
      <c r="I27" s="73">
        <f t="shared" si="4"/>
        <v>1567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1447</v>
      </c>
      <c r="Y27" s="57">
        <f t="shared" si="0"/>
        <v>31.07</v>
      </c>
      <c r="Z27" s="57">
        <f t="shared" si="8"/>
        <v>2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16.7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1270313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47648.090000000004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1206161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3288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1219376.9099999999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50936.090000000004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EDEE-ECB0-468F-8C3C-F721D62DB1B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12" sqref="B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4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4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2</v>
      </c>
      <c r="G39" s="87">
        <v>100</v>
      </c>
      <c r="H39" s="88" t="str">
        <f t="shared" si="11"/>
        <v>0 pallets</v>
      </c>
      <c r="I39" s="89">
        <f t="shared" si="4"/>
        <v>1300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1300</v>
      </c>
      <c r="Y39" s="57">
        <f t="shared" si="0"/>
        <v>54.32</v>
      </c>
      <c r="Z39" s="57">
        <f t="shared" si="8"/>
        <v>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3</v>
      </c>
      <c r="G42" s="87">
        <v>100</v>
      </c>
      <c r="H42" s="88" t="str">
        <f t="shared" si="11"/>
        <v>0 pallets</v>
      </c>
      <c r="I42" s="89">
        <f t="shared" si="4"/>
        <v>3306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3306</v>
      </c>
      <c r="Y42" s="57">
        <f t="shared" si="0"/>
        <v>81.48</v>
      </c>
      <c r="Z42" s="57">
        <f t="shared" si="8"/>
        <v>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1268878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51221.240000000005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352606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3562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1214094.76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54783.240000000005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074D-DFE2-4248-8736-008280902B5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39" sqref="F39:F4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5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5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0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5CBD4-8586-465D-A50B-96F9CE09790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15" sqref="F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5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5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439</v>
      </c>
      <c r="G14" s="47">
        <v>63</v>
      </c>
      <c r="H14" s="64" t="str">
        <f>IF(F14="","",(ROUND((F14/G14),1)&amp;" pallets"))</f>
        <v>7 pallets</v>
      </c>
      <c r="I14" s="49">
        <f t="shared" si="4"/>
        <v>453487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400807</v>
      </c>
      <c r="Y14" s="57">
        <f t="shared" si="0"/>
        <v>13639.73</v>
      </c>
      <c r="Z14" s="57">
        <f t="shared" si="8"/>
        <v>878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1217047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44570.93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453487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203796</v>
      </c>
      <c r="P75" s="256"/>
      <c r="Q75" s="257"/>
      <c r="R75" s="152"/>
      <c r="S75" s="159" t="s">
        <v>129</v>
      </c>
      <c r="T75" s="260">
        <f>SUM(Z12:Z70)</f>
        <v>3038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965642.07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47608.93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F2CFA-630D-4C80-B609-3B5E12D279F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F13" sqref="F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6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6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1188</v>
      </c>
      <c r="G13" s="47">
        <v>108</v>
      </c>
      <c r="H13" s="48" t="str">
        <f t="shared" ref="H13" si="3">IF(F13="","",(ROUND((F13/G13),1)&amp;" pallets"))</f>
        <v>11 pallets</v>
      </c>
      <c r="I13" s="49">
        <f t="shared" ref="I13:I70" si="4">E13*F13</f>
        <v>839916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708048</v>
      </c>
      <c r="Y13" s="57">
        <f>F13*AI13</f>
        <v>34024.32</v>
      </c>
      <c r="Z13" s="57">
        <f t="shared" ref="Z13:Z68" si="8">IF($U$6="x",(F13*2),"")</f>
        <v>2376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441</v>
      </c>
      <c r="G14" s="47">
        <v>63</v>
      </c>
      <c r="H14" s="64" t="str">
        <f>IF(F14="","",(ROUND((F14/G14),1)&amp;" pallets"))</f>
        <v>7 pallets</v>
      </c>
      <c r="I14" s="49">
        <f t="shared" si="4"/>
        <v>455553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402633</v>
      </c>
      <c r="Y14" s="57">
        <f t="shared" si="0"/>
        <v>13701.87</v>
      </c>
      <c r="Z14" s="57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864</v>
      </c>
      <c r="G17" s="47">
        <v>108</v>
      </c>
      <c r="H17" s="64" t="str">
        <f t="shared" ref="H17:H68" si="11">IF(F17="","",(ROUND((F17/G17),1)&amp;" pallets"))</f>
        <v>8 pallets</v>
      </c>
      <c r="I17" s="49">
        <f t="shared" si="4"/>
        <v>678240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582336</v>
      </c>
      <c r="Y17" s="57">
        <f t="shared" si="0"/>
        <v>24744.959999999999</v>
      </c>
      <c r="Z17" s="57">
        <f t="shared" si="8"/>
        <v>1728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18 pallets</v>
      </c>
      <c r="I71" s="148"/>
      <c r="J71" s="149"/>
      <c r="K71" s="150"/>
      <c r="L71" s="149"/>
      <c r="M71" s="151"/>
      <c r="N71" s="152"/>
      <c r="O71" s="152"/>
      <c r="P71" s="21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1973709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72471.149999999994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1133793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4986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1896251.85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77457.149999999994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044D0-E9E5-45B6-9286-99E48C1B538A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F1" activePane="topRight" state="frozen"/>
      <selection activeCell="F23" sqref="F23"/>
      <selection pane="topRight" activeCell="F61" sqref="F6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7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7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1224</v>
      </c>
      <c r="G57" s="47">
        <v>72</v>
      </c>
      <c r="H57" s="64" t="str">
        <f t="shared" si="11"/>
        <v>17 pallets</v>
      </c>
      <c r="I57" s="49">
        <f t="shared" si="4"/>
        <v>375768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280296</v>
      </c>
      <c r="Y57" s="57">
        <f t="shared" si="0"/>
        <v>31285.439999999999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375768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31285.439999999999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375768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302680.56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>
        <v>2490</v>
      </c>
      <c r="Q77" s="274"/>
      <c r="R77" s="152"/>
      <c r="S77" s="159" t="s">
        <v>108</v>
      </c>
      <c r="T77" s="260">
        <f>IF(SUM(X12:X68)*0.15&gt;P77,P77,SUM(X12:X68)*0.15)</f>
        <v>2490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>
        <v>39312</v>
      </c>
      <c r="Q79" s="274"/>
      <c r="R79" s="152"/>
      <c r="S79" s="159" t="s">
        <v>112</v>
      </c>
      <c r="T79" s="260">
        <f>T77+T73+T75</f>
        <v>33775.440000000002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47F76-042B-4945-BB40-2BD834737B68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23" sqref="F23"/>
      <selection pane="topRight" activeCell="P77" sqref="P77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7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7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-203796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47A50-1474-4C87-B4BA-5F391FCA04AD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23" sqref="F23"/>
      <selection pane="topRight" activeCell="F56" sqref="F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7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7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83</v>
      </c>
      <c r="G14" s="47">
        <v>63</v>
      </c>
      <c r="H14" s="64" t="str">
        <f>IF(F14="","",(ROUND((F14/G14),1)&amp;" pallets"))</f>
        <v>1.3 pallets</v>
      </c>
      <c r="I14" s="49">
        <f t="shared" si="4"/>
        <v>85739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75779</v>
      </c>
      <c r="Y14" s="57">
        <f t="shared" si="0"/>
        <v>2578.81</v>
      </c>
      <c r="Z14" s="57">
        <f t="shared" si="8"/>
        <v>166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14</v>
      </c>
      <c r="G17" s="47">
        <v>108</v>
      </c>
      <c r="H17" s="64" t="str">
        <f t="shared" ref="H17:H68" si="11">IF(F17="","",(ROUND((F17/G17),1)&amp;" pallets"))</f>
        <v>0.1 pallets</v>
      </c>
      <c r="I17" s="49">
        <f t="shared" si="4"/>
        <v>10990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9436</v>
      </c>
      <c r="Y17" s="57">
        <f t="shared" si="0"/>
        <v>400.96000000000004</v>
      </c>
      <c r="Z17" s="57">
        <f t="shared" si="8"/>
        <v>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>
        <v>20</v>
      </c>
      <c r="G28" s="87">
        <v>63</v>
      </c>
      <c r="H28" s="88" t="str">
        <f t="shared" si="11"/>
        <v>0.3 pallets</v>
      </c>
      <c r="I28" s="89">
        <f t="shared" si="4"/>
        <v>12400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10000</v>
      </c>
      <c r="Y28" s="57">
        <f t="shared" si="0"/>
        <v>621.4</v>
      </c>
      <c r="Z28" s="57">
        <f t="shared" si="8"/>
        <v>40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20</v>
      </c>
      <c r="G34" s="47">
        <v>100</v>
      </c>
      <c r="H34" s="64" t="str">
        <f t="shared" si="11"/>
        <v>0.2 pallets</v>
      </c>
      <c r="I34" s="49">
        <f t="shared" si="4"/>
        <v>23500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23500</v>
      </c>
      <c r="Y34" s="57">
        <f t="shared" si="0"/>
        <v>543.20000000000005</v>
      </c>
      <c r="Z34" s="57">
        <f t="shared" si="8"/>
        <v>40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7</v>
      </c>
      <c r="G36" s="47">
        <v>100</v>
      </c>
      <c r="H36" s="64" t="str">
        <f t="shared" si="11"/>
        <v>0.1 pallets</v>
      </c>
      <c r="I36" s="49">
        <f t="shared" si="4"/>
        <v>8225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8225</v>
      </c>
      <c r="Y36" s="57">
        <f t="shared" si="0"/>
        <v>190.12</v>
      </c>
      <c r="Z36" s="57">
        <f t="shared" si="8"/>
        <v>14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>
        <v>4</v>
      </c>
      <c r="G38" s="71">
        <v>100</v>
      </c>
      <c r="H38" s="72" t="str">
        <f t="shared" si="11"/>
        <v>0 pallets</v>
      </c>
      <c r="I38" s="73">
        <f t="shared" si="4"/>
        <v>6328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6328</v>
      </c>
      <c r="Y38" s="57">
        <f t="shared" si="0"/>
        <v>108.64</v>
      </c>
      <c r="Z38" s="57">
        <f t="shared" si="8"/>
        <v>8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8+25</f>
        <v>33</v>
      </c>
      <c r="G39" s="87">
        <v>100</v>
      </c>
      <c r="H39" s="88" t="str">
        <f t="shared" si="11"/>
        <v>0.3 pallets</v>
      </c>
      <c r="I39" s="89">
        <f t="shared" si="4"/>
        <v>21450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21450</v>
      </c>
      <c r="Y39" s="57">
        <f t="shared" si="0"/>
        <v>896.28</v>
      </c>
      <c r="Z39" s="57">
        <f t="shared" si="8"/>
        <v>66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>
        <v>1</v>
      </c>
      <c r="G45" s="47">
        <v>63</v>
      </c>
      <c r="H45" s="64" t="str">
        <f t="shared" si="11"/>
        <v>0 pallets</v>
      </c>
      <c r="I45" s="49">
        <f t="shared" si="4"/>
        <v>1770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1770</v>
      </c>
      <c r="Y45" s="57">
        <f t="shared" si="0"/>
        <v>28.77</v>
      </c>
      <c r="Z45" s="57">
        <f t="shared" si="8"/>
        <v>2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>
        <v>1</v>
      </c>
      <c r="G51" s="115">
        <v>100</v>
      </c>
      <c r="H51" s="116" t="str">
        <f t="shared" si="11"/>
        <v>0 pallets</v>
      </c>
      <c r="I51" s="117">
        <f t="shared" si="4"/>
        <v>1102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1102</v>
      </c>
      <c r="Y51" s="57">
        <f t="shared" si="0"/>
        <v>27.16</v>
      </c>
      <c r="Z51" s="57">
        <f t="shared" si="8"/>
        <v>2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>
        <v>3</v>
      </c>
      <c r="G56" s="115">
        <v>100</v>
      </c>
      <c r="H56" s="116" t="str">
        <f t="shared" si="11"/>
        <v>0 pallets</v>
      </c>
      <c r="I56" s="117">
        <f t="shared" si="4"/>
        <v>4746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4746</v>
      </c>
      <c r="Y56" s="57">
        <f t="shared" si="0"/>
        <v>81.48</v>
      </c>
      <c r="Z56" s="57">
        <f t="shared" si="8"/>
        <v>6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2.3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176250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5476.82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176250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170401.18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5848.82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742E6-73E2-4931-BBFA-198D645A3AB4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58" sqref="F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7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7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293</v>
      </c>
      <c r="G57" s="47">
        <v>72</v>
      </c>
      <c r="H57" s="64" t="str">
        <f t="shared" si="11"/>
        <v>4.1 pallets</v>
      </c>
      <c r="I57" s="49">
        <f t="shared" si="4"/>
        <v>89951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67097</v>
      </c>
      <c r="Y57" s="57">
        <f t="shared" si="0"/>
        <v>7489.08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4.1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89951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7489.08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89951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82461.919999999998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7489.08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6D3-83F7-4E0E-802C-811E0C6516C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N15" sqref="N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8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8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188604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134496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1108272.96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8C8B-B92E-42C8-8DCE-7834A46E4C26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9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9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9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188604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134496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1108272.96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460A5-31D1-4CB0-89C6-56B07A71A9E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20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20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2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203796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1093080.96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069CA-7BB2-45E4-927A-B2BA80F41B41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21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21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738</v>
      </c>
      <c r="G16" s="47">
        <v>108</v>
      </c>
      <c r="H16" s="64"/>
      <c r="I16" s="49">
        <f t="shared" si="4"/>
        <v>543906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461988</v>
      </c>
      <c r="Y16" s="57">
        <f>F16*AI16</f>
        <v>21136.32</v>
      </c>
      <c r="Z16" s="57">
        <f>IF($U$6="x",(F16*2),"")</f>
        <v>1476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6.8 pallets</v>
      </c>
      <c r="I71" s="148"/>
      <c r="J71" s="149"/>
      <c r="K71" s="150"/>
      <c r="L71" s="149"/>
      <c r="M71" s="151"/>
      <c r="N71" s="152"/>
      <c r="O71" s="152"/>
      <c r="P71" s="22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543906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21136.32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543906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203796</v>
      </c>
      <c r="P75" s="256"/>
      <c r="Q75" s="257"/>
      <c r="R75" s="152"/>
      <c r="S75" s="159" t="s">
        <v>129</v>
      </c>
      <c r="T75" s="260">
        <f>SUM(Z12:Z70)</f>
        <v>1476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317497.68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22612.32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078-2F0A-468E-9B0A-079DB59552C1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22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22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2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203796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501515.31999999995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>
        <v>591565.64</v>
      </c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34</vt:i4>
      </vt:variant>
    </vt:vector>
  </HeadingPairs>
  <TitlesOfParts>
    <vt:vector size="68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12-24-2025</vt:lpstr>
      <vt:lpstr>12-24-2025-B</vt:lpstr>
      <vt:lpstr>12-26-2025</vt:lpstr>
      <vt:lpstr>12-26-2025-B</vt:lpstr>
      <vt:lpstr>12-27-2025</vt:lpstr>
      <vt:lpstr>12-29-2025</vt:lpstr>
      <vt:lpstr>12-31-2025</vt:lpstr>
      <vt:lpstr>12-31-2025 (2)</vt:lpstr>
      <vt:lpstr>12-31-2025 (4)</vt:lpstr>
      <vt:lpstr>12-31-2025-3beer</vt:lpstr>
      <vt:lpstr>12-31-2025-3nab</vt:lpstr>
      <vt:lpstr>12-31-2025-3nab (2)</vt:lpstr>
      <vt:lpstr>12-31-2025-3nab (3)</vt:lpstr>
      <vt:lpstr>01-09-2026</vt:lpstr>
      <vt:lpstr>01-09-2026 (2)</vt:lpstr>
      <vt:lpstr>01-20-2026</vt:lpstr>
      <vt:lpstr>'01-09-2026'!Print_Area</vt:lpstr>
      <vt:lpstr>'01-09-2026 (2)'!Print_Area</vt:lpstr>
      <vt:lpstr>'01-20-2026'!Print_Area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  <vt:lpstr>'12-24-2025'!Print_Area</vt:lpstr>
      <vt:lpstr>'12-24-2025-B'!Print_Area</vt:lpstr>
      <vt:lpstr>'12-26-2025'!Print_Area</vt:lpstr>
      <vt:lpstr>'12-26-2025-B'!Print_Area</vt:lpstr>
      <vt:lpstr>'12-27-2025'!Print_Area</vt:lpstr>
      <vt:lpstr>'12-29-2025'!Print_Area</vt:lpstr>
      <vt:lpstr>'12-31-2025'!Print_Area</vt:lpstr>
      <vt:lpstr>'12-31-2025 (2)'!Print_Area</vt:lpstr>
      <vt:lpstr>'12-31-2025 (4)'!Print_Area</vt:lpstr>
      <vt:lpstr>'12-31-2025-3beer'!Print_Area</vt:lpstr>
      <vt:lpstr>'12-31-2025-3nab'!Print_Area</vt:lpstr>
      <vt:lpstr>'12-31-2025-3nab (2)'!Print_Area</vt:lpstr>
      <vt:lpstr>'12-31-2025-3nab (3)'!Print_Area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2026-01-20T03:10:44Z</dcterms:modified>
</cp:coreProperties>
</file>