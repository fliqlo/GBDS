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omments1.xml" ContentType="application/vnd.openxmlformats-officedocument.spreadsheetml.comments+xml"/>
  <Override PartName="/xl/drawings/drawing46.xml" ContentType="application/vnd.openxmlformats-officedocument.drawing+xml"/>
  <Override PartName="/xl/comments2.xml" ContentType="application/vnd.openxmlformats-officedocument.spreadsheetml.comments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omments3.xml" ContentType="application/vnd.openxmlformats-officedocument.spreadsheetml.comments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2025\9 GBDS SEP FILES 2025\"/>
    </mc:Choice>
  </mc:AlternateContent>
  <xr:revisionPtr revIDLastSave="0" documentId="13_ncr:1_{F7E31B61-D613-4B10-8BD9-F678698013A1}" xr6:coauthVersionLast="45" xr6:coauthVersionMax="47" xr10:uidLastSave="{00000000-0000-0000-0000-000000000000}"/>
  <bookViews>
    <workbookView xWindow="-120" yWindow="-120" windowWidth="29040" windowHeight="15840" firstSheet="33" activeTab="42" xr2:uid="{00000000-000D-0000-FFFF-FFFF00000000}"/>
  </bookViews>
  <sheets>
    <sheet name="(September 2025)" sheetId="814" r:id="rId1"/>
    <sheet name="(1)" sheetId="1135" r:id="rId2"/>
    <sheet name="01,09 R2" sheetId="1237" r:id="rId3"/>
    <sheet name="01,09 R3" sheetId="1238" r:id="rId4"/>
    <sheet name="(2)" sheetId="1240" r:id="rId5"/>
    <sheet name="02,09 R1" sheetId="1241" r:id="rId6"/>
    <sheet name="02,09 R2" sheetId="1242" r:id="rId7"/>
    <sheet name="02,09 R3" sheetId="1243" r:id="rId8"/>
    <sheet name="(3)" sheetId="1244" r:id="rId9"/>
    <sheet name="03,09 R1" sheetId="1245" r:id="rId10"/>
    <sheet name="03,09 R2" sheetId="1246" r:id="rId11"/>
    <sheet name="03,09 R3" sheetId="1247" r:id="rId12"/>
    <sheet name="(4)" sheetId="1248" r:id="rId13"/>
    <sheet name="04,09 R1" sheetId="1249" r:id="rId14"/>
    <sheet name="04,09 R2" sheetId="1250" r:id="rId15"/>
    <sheet name="04,09 R3" sheetId="1251" r:id="rId16"/>
    <sheet name="(5)" sheetId="1252" r:id="rId17"/>
    <sheet name="05,09 R1" sheetId="1253" r:id="rId18"/>
    <sheet name="05,09 R2" sheetId="1254" r:id="rId19"/>
    <sheet name="05,09 R3" sheetId="1255" r:id="rId20"/>
    <sheet name="(6)" sheetId="1256" r:id="rId21"/>
    <sheet name="06,09 R1" sheetId="1257" r:id="rId22"/>
    <sheet name="06,09 R2" sheetId="1258" r:id="rId23"/>
    <sheet name="06,09 R3" sheetId="1259" r:id="rId24"/>
    <sheet name="(8)" sheetId="1260" r:id="rId25"/>
    <sheet name="08,09 R1" sheetId="1261" r:id="rId26"/>
    <sheet name="08,09 R2" sheetId="1262" r:id="rId27"/>
    <sheet name="08,09 R3" sheetId="1263" r:id="rId28"/>
    <sheet name="(9)" sheetId="1264" r:id="rId29"/>
    <sheet name="09,09 R1" sheetId="1265" r:id="rId30"/>
    <sheet name="09,09 R2" sheetId="1266" r:id="rId31"/>
    <sheet name="09,09 R3" sheetId="1267" r:id="rId32"/>
    <sheet name="(10)" sheetId="1268" r:id="rId33"/>
    <sheet name="10,09 R1" sheetId="1269" r:id="rId34"/>
    <sheet name="10,09 R2" sheetId="1270" r:id="rId35"/>
    <sheet name="10,09 R3" sheetId="1271" r:id="rId36"/>
    <sheet name="(11 No Trip)" sheetId="1272" r:id="rId37"/>
    <sheet name="11,09 R1" sheetId="1273" r:id="rId38"/>
    <sheet name="11,09 R2" sheetId="1274" r:id="rId39"/>
    <sheet name="11,09 R3" sheetId="1275" r:id="rId40"/>
    <sheet name="(12)" sheetId="1276" r:id="rId41"/>
    <sheet name="12,09 R1" sheetId="1277" r:id="rId42"/>
    <sheet name="12,09 R2" sheetId="1278" r:id="rId43"/>
    <sheet name="12,09 R3" sheetId="1279" r:id="rId44"/>
    <sheet name="(13)" sheetId="1280" r:id="rId45"/>
    <sheet name="13,09 R1" sheetId="1281" r:id="rId46"/>
    <sheet name="13,09 R2" sheetId="1282" r:id="rId47"/>
    <sheet name="13,09 R3" sheetId="1283" r:id="rId48"/>
    <sheet name="(14)" sheetId="1312" r:id="rId49"/>
    <sheet name="14,09 R1" sheetId="1313" r:id="rId50"/>
    <sheet name="(15)" sheetId="1284" r:id="rId51"/>
    <sheet name="15,09 R1" sheetId="1285" r:id="rId52"/>
    <sheet name="15,09 R2" sheetId="1286" r:id="rId53"/>
    <sheet name="15,09 R3" sheetId="1287" r:id="rId54"/>
    <sheet name="(16)" sheetId="1288" r:id="rId55"/>
    <sheet name="16,09 R1" sheetId="1289" r:id="rId56"/>
    <sheet name="16,09 R2" sheetId="1290" r:id="rId57"/>
    <sheet name="16,09 R3" sheetId="1291" r:id="rId58"/>
    <sheet name="(17)" sheetId="1292" r:id="rId59"/>
    <sheet name="17,09 R1" sheetId="1293" r:id="rId60"/>
    <sheet name="17,09 R2" sheetId="1294" r:id="rId61"/>
    <sheet name="17,09 R3" sheetId="1295" r:id="rId62"/>
    <sheet name="(18)" sheetId="1296" r:id="rId63"/>
    <sheet name="18,09 R1" sheetId="1297" r:id="rId64"/>
    <sheet name="18,09 R2" sheetId="1298" r:id="rId65"/>
    <sheet name="18,09 R3" sheetId="1299" r:id="rId66"/>
    <sheet name="(19)" sheetId="1300" r:id="rId67"/>
    <sheet name="19,09 R1" sheetId="1301" r:id="rId68"/>
    <sheet name="19,09 R2" sheetId="1302" r:id="rId69"/>
    <sheet name="19,09 R3" sheetId="1303" r:id="rId70"/>
    <sheet name="(20)" sheetId="1304" r:id="rId71"/>
    <sheet name="20,09 R1" sheetId="1305" r:id="rId72"/>
    <sheet name="20,09 R2" sheetId="1306" r:id="rId73"/>
    <sheet name="20,09 R3" sheetId="1307" r:id="rId74"/>
    <sheet name="(22)" sheetId="1308" r:id="rId75"/>
    <sheet name="22,09 R1" sheetId="1309" r:id="rId76"/>
    <sheet name="22,09 R2" sheetId="1310" r:id="rId77"/>
    <sheet name="22,09 R3" sheetId="1311" r:id="rId78"/>
    <sheet name="(23)" sheetId="1314" r:id="rId79"/>
    <sheet name="23,09 R1" sheetId="1315" r:id="rId80"/>
    <sheet name="23,09 R2" sheetId="1316" r:id="rId81"/>
    <sheet name="23,09 R3" sheetId="1317" r:id="rId82"/>
    <sheet name="(24)" sheetId="1318" r:id="rId83"/>
    <sheet name="24,09 R1" sheetId="1319" r:id="rId84"/>
    <sheet name="24,09 R2 No Trip" sheetId="1320" r:id="rId85"/>
    <sheet name="24,09 R3 No Trip" sheetId="1321" r:id="rId86"/>
    <sheet name="(25)" sheetId="1322" r:id="rId87"/>
    <sheet name="25,09 R1" sheetId="1323" r:id="rId88"/>
    <sheet name="25,09 R2" sheetId="1324" r:id="rId89"/>
    <sheet name="25,09 R3" sheetId="1325" r:id="rId90"/>
    <sheet name="(26)" sheetId="1326" r:id="rId91"/>
    <sheet name="26,09 R1" sheetId="1327" r:id="rId92"/>
    <sheet name="26,09 R2" sheetId="1328" r:id="rId93"/>
    <sheet name="26,09 R3" sheetId="1329" r:id="rId94"/>
    <sheet name="(27)" sheetId="1330" r:id="rId95"/>
    <sheet name="27,09 R1" sheetId="1331" r:id="rId96"/>
    <sheet name="27,09 R2" sheetId="1332" r:id="rId97"/>
    <sheet name="27,09 R3" sheetId="1333" r:id="rId98"/>
    <sheet name="(29)" sheetId="1334" r:id="rId99"/>
    <sheet name="29,09 R1" sheetId="1335" r:id="rId100"/>
    <sheet name="29,09 R2" sheetId="1336" r:id="rId101"/>
    <sheet name="29,09 R3" sheetId="1337" r:id="rId102"/>
    <sheet name="(30)" sheetId="1338" r:id="rId103"/>
    <sheet name="30,09 R1" sheetId="1339" r:id="rId104"/>
    <sheet name="30,09 R2" sheetId="1340" r:id="rId105"/>
    <sheet name="30,09 R3" sheetId="1341" r:id="rId106"/>
  </sheets>
  <definedNames>
    <definedName name="_xlnm.Print_Area" localSheetId="1">'(1)'!$A$1:$J$60</definedName>
    <definedName name="_xlnm.Print_Area" localSheetId="32">'(10)'!$A$1:$J$60</definedName>
    <definedName name="_xlnm.Print_Area" localSheetId="36">'(11 No Trip)'!$A$1:$J$60</definedName>
    <definedName name="_xlnm.Print_Area" localSheetId="40">'(12)'!$A$1:$J$60</definedName>
    <definedName name="_xlnm.Print_Area" localSheetId="44">'(13)'!$A$1:$J$60</definedName>
    <definedName name="_xlnm.Print_Area" localSheetId="48">'(14)'!$A$1:$J$60</definedName>
    <definedName name="_xlnm.Print_Area" localSheetId="50">'(15)'!$A$1:$J$60</definedName>
    <definedName name="_xlnm.Print_Area" localSheetId="54">'(16)'!$A$1:$J$60</definedName>
    <definedName name="_xlnm.Print_Area" localSheetId="58">'(17)'!$A$1:$J$60</definedName>
    <definedName name="_xlnm.Print_Area" localSheetId="62">'(18)'!$A$1:$J$60</definedName>
    <definedName name="_xlnm.Print_Area" localSheetId="66">'(19)'!$A$1:$J$60</definedName>
    <definedName name="_xlnm.Print_Area" localSheetId="4">'(2)'!$A$1:$J$60</definedName>
    <definedName name="_xlnm.Print_Area" localSheetId="70">'(20)'!$A$1:$J$60</definedName>
    <definedName name="_xlnm.Print_Area" localSheetId="74">'(22)'!$A$1:$J$60</definedName>
    <definedName name="_xlnm.Print_Area" localSheetId="78">'(23)'!$A$1:$J$60</definedName>
    <definedName name="_xlnm.Print_Area" localSheetId="82">'(24)'!$A$1:$J$60</definedName>
    <definedName name="_xlnm.Print_Area" localSheetId="86">'(25)'!$A$1:$J$60</definedName>
    <definedName name="_xlnm.Print_Area" localSheetId="90">'(26)'!$A$1:$J$60</definedName>
    <definedName name="_xlnm.Print_Area" localSheetId="94">'(27)'!$A$1:$J$60</definedName>
    <definedName name="_xlnm.Print_Area" localSheetId="98">'(29)'!$A$1:$J$60</definedName>
    <definedName name="_xlnm.Print_Area" localSheetId="8">'(3)'!$A$1:$J$60</definedName>
    <definedName name="_xlnm.Print_Area" localSheetId="102">'(30)'!$A$1:$J$60</definedName>
    <definedName name="_xlnm.Print_Area" localSheetId="12">'(4)'!$A$1:$J$60</definedName>
    <definedName name="_xlnm.Print_Area" localSheetId="16">'(5)'!$A$1:$J$60</definedName>
    <definedName name="_xlnm.Print_Area" localSheetId="20">'(6)'!$A$1:$J$60</definedName>
    <definedName name="_xlnm.Print_Area" localSheetId="24">'(8)'!$A$1:$J$60</definedName>
    <definedName name="_xlnm.Print_Area" localSheetId="28">'(9)'!$A$1:$J$60</definedName>
    <definedName name="_xlnm.Print_Area" localSheetId="2">'01,09 R2'!$A$1:$J$60</definedName>
    <definedName name="_xlnm.Print_Area" localSheetId="3">'01,09 R3'!$A$1:$J$60</definedName>
    <definedName name="_xlnm.Print_Area" localSheetId="5">'02,09 R1'!$A$1:$J$60</definedName>
    <definedName name="_xlnm.Print_Area" localSheetId="6">'02,09 R2'!$A$1:$J$60</definedName>
    <definedName name="_xlnm.Print_Area" localSheetId="7">'02,09 R3'!$A$1:$J$60</definedName>
    <definedName name="_xlnm.Print_Area" localSheetId="9">'03,09 R1'!$A$1:$J$60</definedName>
    <definedName name="_xlnm.Print_Area" localSheetId="10">'03,09 R2'!$A$1:$J$60</definedName>
    <definedName name="_xlnm.Print_Area" localSheetId="11">'03,09 R3'!$A$1:$J$60</definedName>
    <definedName name="_xlnm.Print_Area" localSheetId="13">'04,09 R1'!$A$1:$J$60</definedName>
    <definedName name="_xlnm.Print_Area" localSheetId="14">'04,09 R2'!$A$1:$J$60</definedName>
    <definedName name="_xlnm.Print_Area" localSheetId="15">'04,09 R3'!$A$1:$J$60</definedName>
    <definedName name="_xlnm.Print_Area" localSheetId="17">'05,09 R1'!$A$1:$J$60</definedName>
    <definedName name="_xlnm.Print_Area" localSheetId="18">'05,09 R2'!$A$1:$J$60</definedName>
    <definedName name="_xlnm.Print_Area" localSheetId="19">'05,09 R3'!$A$1:$J$60</definedName>
    <definedName name="_xlnm.Print_Area" localSheetId="21">'06,09 R1'!$A$1:$J$60</definedName>
    <definedName name="_xlnm.Print_Area" localSheetId="22">'06,09 R2'!$A$1:$J$60</definedName>
    <definedName name="_xlnm.Print_Area" localSheetId="23">'06,09 R3'!$A$1:$J$60</definedName>
    <definedName name="_xlnm.Print_Area" localSheetId="25">'08,09 R1'!$A$1:$J$60</definedName>
    <definedName name="_xlnm.Print_Area" localSheetId="26">'08,09 R2'!$A$1:$J$60</definedName>
    <definedName name="_xlnm.Print_Area" localSheetId="27">'08,09 R3'!$A$1:$J$60</definedName>
    <definedName name="_xlnm.Print_Area" localSheetId="29">'09,09 R1'!$A$1:$J$60</definedName>
    <definedName name="_xlnm.Print_Area" localSheetId="30">'09,09 R2'!$A$1:$J$60</definedName>
    <definedName name="_xlnm.Print_Area" localSheetId="31">'09,09 R3'!$A$1:$J$60</definedName>
    <definedName name="_xlnm.Print_Area" localSheetId="33">'10,09 R1'!$A$1:$J$60</definedName>
    <definedName name="_xlnm.Print_Area" localSheetId="34">'10,09 R2'!$A$1:$J$60</definedName>
    <definedName name="_xlnm.Print_Area" localSheetId="35">'10,09 R3'!$A$1:$J$60</definedName>
    <definedName name="_xlnm.Print_Area" localSheetId="37">'11,09 R1'!$A$1:$J$60</definedName>
    <definedName name="_xlnm.Print_Area" localSheetId="38">'11,09 R2'!$A$1:$J$60</definedName>
    <definedName name="_xlnm.Print_Area" localSheetId="39">'11,09 R3'!$A$1:$J$60</definedName>
    <definedName name="_xlnm.Print_Area" localSheetId="41">'12,09 R1'!$A$1:$J$60</definedName>
    <definedName name="_xlnm.Print_Area" localSheetId="42">'12,09 R2'!$A$1:$J$60</definedName>
    <definedName name="_xlnm.Print_Area" localSheetId="43">'12,09 R3'!$A$1:$J$60</definedName>
    <definedName name="_xlnm.Print_Area" localSheetId="45">'13,09 R1'!$A$1:$J$60</definedName>
    <definedName name="_xlnm.Print_Area" localSheetId="46">'13,09 R2'!$A$1:$J$60</definedName>
    <definedName name="_xlnm.Print_Area" localSheetId="47">'13,09 R3'!$A$1:$J$60</definedName>
    <definedName name="_xlnm.Print_Area" localSheetId="49">'14,09 R1'!$A$1:$J$60</definedName>
    <definedName name="_xlnm.Print_Area" localSheetId="51">'15,09 R1'!$A$1:$J$60</definedName>
    <definedName name="_xlnm.Print_Area" localSheetId="52">'15,09 R2'!$A$1:$J$60</definedName>
    <definedName name="_xlnm.Print_Area" localSheetId="53">'15,09 R3'!$A$1:$J$60</definedName>
    <definedName name="_xlnm.Print_Area" localSheetId="55">'16,09 R1'!$A$1:$J$60</definedName>
    <definedName name="_xlnm.Print_Area" localSheetId="56">'16,09 R2'!$A$1:$J$60</definedName>
    <definedName name="_xlnm.Print_Area" localSheetId="57">'16,09 R3'!$A$1:$J$60</definedName>
    <definedName name="_xlnm.Print_Area" localSheetId="59">'17,09 R1'!$A$1:$J$60</definedName>
    <definedName name="_xlnm.Print_Area" localSheetId="60">'17,09 R2'!$A$1:$J$60</definedName>
    <definedName name="_xlnm.Print_Area" localSheetId="61">'17,09 R3'!$A$1:$J$60</definedName>
    <definedName name="_xlnm.Print_Area" localSheetId="63">'18,09 R1'!$A$1:$J$60</definedName>
    <definedName name="_xlnm.Print_Area" localSheetId="64">'18,09 R2'!$A$1:$J$60</definedName>
    <definedName name="_xlnm.Print_Area" localSheetId="65">'18,09 R3'!$A$1:$J$60</definedName>
    <definedName name="_xlnm.Print_Area" localSheetId="67">'19,09 R1'!$A$1:$J$60</definedName>
    <definedName name="_xlnm.Print_Area" localSheetId="68">'19,09 R2'!$A$1:$J$60</definedName>
    <definedName name="_xlnm.Print_Area" localSheetId="69">'19,09 R3'!$A$1:$J$60</definedName>
    <definedName name="_xlnm.Print_Area" localSheetId="71">'20,09 R1'!$A$1:$J$60</definedName>
    <definedName name="_xlnm.Print_Area" localSheetId="72">'20,09 R2'!$A$1:$J$60</definedName>
    <definedName name="_xlnm.Print_Area" localSheetId="73">'20,09 R3'!$A$1:$J$60</definedName>
    <definedName name="_xlnm.Print_Area" localSheetId="75">'22,09 R1'!$A$1:$J$60</definedName>
    <definedName name="_xlnm.Print_Area" localSheetId="76">'22,09 R2'!$A$1:$J$60</definedName>
    <definedName name="_xlnm.Print_Area" localSheetId="77">'22,09 R3'!$A$1:$J$60</definedName>
    <definedName name="_xlnm.Print_Area" localSheetId="79">'23,09 R1'!$A$1:$J$60</definedName>
    <definedName name="_xlnm.Print_Area" localSheetId="80">'23,09 R2'!$A$1:$J$60</definedName>
    <definedName name="_xlnm.Print_Area" localSheetId="81">'23,09 R3'!$A$1:$J$60</definedName>
    <definedName name="_xlnm.Print_Area" localSheetId="83">'24,09 R1'!$A$1:$J$60</definedName>
    <definedName name="_xlnm.Print_Area" localSheetId="84">'24,09 R2 No Trip'!$A$1:$J$60</definedName>
    <definedName name="_xlnm.Print_Area" localSheetId="85">'24,09 R3 No Trip'!$A$1:$J$60</definedName>
    <definedName name="_xlnm.Print_Area" localSheetId="87">'25,09 R1'!$A$1:$J$60</definedName>
    <definedName name="_xlnm.Print_Area" localSheetId="88">'25,09 R2'!$A$1:$J$60</definedName>
    <definedName name="_xlnm.Print_Area" localSheetId="89">'25,09 R3'!$A$1:$J$60</definedName>
    <definedName name="_xlnm.Print_Area" localSheetId="91">'26,09 R1'!$A$1:$J$60</definedName>
    <definedName name="_xlnm.Print_Area" localSheetId="92">'26,09 R2'!$A$1:$J$60</definedName>
    <definedName name="_xlnm.Print_Area" localSheetId="93">'26,09 R3'!$A$1:$J$60</definedName>
    <definedName name="_xlnm.Print_Area" localSheetId="95">'27,09 R1'!$A$1:$J$60</definedName>
    <definedName name="_xlnm.Print_Area" localSheetId="96">'27,09 R2'!$A$1:$J$60</definedName>
    <definedName name="_xlnm.Print_Area" localSheetId="97">'27,09 R3'!$A$1:$J$60</definedName>
    <definedName name="_xlnm.Print_Area" localSheetId="99">'29,09 R1'!$A$1:$J$60</definedName>
    <definedName name="_xlnm.Print_Area" localSheetId="100">'29,09 R2'!$A$1:$J$60</definedName>
    <definedName name="_xlnm.Print_Area" localSheetId="101">'29,09 R3'!$A$1:$J$60</definedName>
    <definedName name="_xlnm.Print_Area" localSheetId="103">'30,09 R1'!$A$1:$J$60</definedName>
    <definedName name="_xlnm.Print_Area" localSheetId="104">'30,09 R2'!$A$1:$J$60</definedName>
    <definedName name="_xlnm.Print_Area" localSheetId="105">'30,09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341" l="1"/>
  <c r="H16" i="1339"/>
  <c r="C21" i="1339"/>
  <c r="H16" i="1337" l="1"/>
  <c r="H16" i="1336"/>
  <c r="H16" i="1335" l="1"/>
  <c r="H16" i="1331" l="1"/>
  <c r="G42" i="1331" l="1"/>
  <c r="G35" i="1331"/>
  <c r="G34" i="1331"/>
  <c r="H16" i="1333" l="1"/>
  <c r="H16" i="1329" l="1"/>
  <c r="C6" i="1327"/>
  <c r="H16" i="1328" l="1"/>
  <c r="C21" i="1323" l="1"/>
  <c r="H16" i="1325" l="1"/>
  <c r="H16" i="1324"/>
  <c r="L26" i="1325"/>
  <c r="L22" i="1325"/>
  <c r="G34" i="1319" l="1"/>
  <c r="G37" i="1316" l="1"/>
  <c r="H16" i="1316"/>
  <c r="G37" i="1315"/>
  <c r="H16" i="1317" l="1"/>
  <c r="C21" i="1317"/>
  <c r="C21" i="1316"/>
  <c r="H16" i="1311" l="1"/>
  <c r="G42" i="1309" l="1"/>
  <c r="H16" i="1307" l="1"/>
  <c r="H44" i="1305"/>
  <c r="C21" i="1305"/>
  <c r="H16" i="1303" l="1"/>
  <c r="H16" i="1301" l="1"/>
  <c r="H16" i="1298" l="1"/>
  <c r="H16" i="1299" l="1"/>
  <c r="H16" i="1297"/>
  <c r="R52" i="1341" l="1"/>
  <c r="R51" i="1341"/>
  <c r="D50" i="1341"/>
  <c r="R49" i="1341"/>
  <c r="D49" i="1341"/>
  <c r="R48" i="1341"/>
  <c r="D48" i="1341"/>
  <c r="D46" i="1341"/>
  <c r="D45" i="1341"/>
  <c r="D44" i="1341"/>
  <c r="R42" i="1341"/>
  <c r="D42" i="1341"/>
  <c r="R41" i="1341"/>
  <c r="D41" i="1341"/>
  <c r="R40" i="1341"/>
  <c r="D40" i="1341"/>
  <c r="R39" i="1341"/>
  <c r="H39" i="1341"/>
  <c r="D39" i="1341"/>
  <c r="R38" i="1341"/>
  <c r="L9" i="1341" s="1"/>
  <c r="D9" i="1341" s="1"/>
  <c r="H38" i="1341"/>
  <c r="D38" i="1341"/>
  <c r="R37" i="1341"/>
  <c r="H37" i="1341"/>
  <c r="D37" i="1341"/>
  <c r="R36" i="1341"/>
  <c r="L10" i="1341" s="1"/>
  <c r="D10" i="1341" s="1"/>
  <c r="H36" i="1341"/>
  <c r="D36" i="1341"/>
  <c r="R35" i="1341"/>
  <c r="H35" i="1341"/>
  <c r="D35" i="1341"/>
  <c r="R34" i="1341"/>
  <c r="L12" i="1341" s="1"/>
  <c r="D12" i="1341" s="1"/>
  <c r="H34" i="1341"/>
  <c r="D34" i="1341"/>
  <c r="R33" i="1341"/>
  <c r="L23" i="1341" s="1"/>
  <c r="D23" i="1341" s="1"/>
  <c r="R32" i="1341"/>
  <c r="R31" i="1341"/>
  <c r="R30" i="1341"/>
  <c r="R29" i="1341"/>
  <c r="R28" i="1341"/>
  <c r="L16" i="1341" s="1"/>
  <c r="D16" i="1341" s="1"/>
  <c r="D28" i="1341"/>
  <c r="R27" i="1341"/>
  <c r="D27" i="1341"/>
  <c r="R26" i="1341"/>
  <c r="L26" i="1341"/>
  <c r="D26" i="1341"/>
  <c r="R25" i="1341"/>
  <c r="L25" i="1341"/>
  <c r="D25" i="1341"/>
  <c r="R24" i="1341"/>
  <c r="D24" i="1341"/>
  <c r="R23" i="1341"/>
  <c r="R22" i="1341"/>
  <c r="L22" i="1341"/>
  <c r="D22" i="1341" s="1"/>
  <c r="R21" i="1341"/>
  <c r="D21" i="1341"/>
  <c r="R20" i="1341"/>
  <c r="L20" i="1341"/>
  <c r="D20" i="1341"/>
  <c r="R19" i="1341"/>
  <c r="L19" i="1341"/>
  <c r="D19" i="1341"/>
  <c r="R18" i="1341"/>
  <c r="D18" i="1341"/>
  <c r="R17" i="1341"/>
  <c r="D17" i="1341"/>
  <c r="R16" i="1341"/>
  <c r="S15" i="1341"/>
  <c r="R15" i="1341"/>
  <c r="D15" i="1341"/>
  <c r="S14" i="1341"/>
  <c r="R14" i="1341"/>
  <c r="D14" i="1341"/>
  <c r="R13" i="1341"/>
  <c r="D13" i="1341"/>
  <c r="R12" i="1341"/>
  <c r="R11" i="1341"/>
  <c r="L11" i="1341"/>
  <c r="D11" i="1341" s="1"/>
  <c r="L8" i="1341"/>
  <c r="D8" i="1341"/>
  <c r="L7" i="1341"/>
  <c r="D7" i="1341"/>
  <c r="R6" i="1341"/>
  <c r="L6" i="1341"/>
  <c r="D6" i="1341" s="1"/>
  <c r="R5" i="1341"/>
  <c r="R4" i="1341"/>
  <c r="R52" i="1340"/>
  <c r="R51" i="1340"/>
  <c r="D50" i="1340"/>
  <c r="R49" i="1340"/>
  <c r="D49" i="1340"/>
  <c r="R48" i="1340"/>
  <c r="D48" i="1340"/>
  <c r="D46" i="1340"/>
  <c r="D45" i="1340"/>
  <c r="D44" i="1340"/>
  <c r="R42" i="1340"/>
  <c r="D42" i="1340"/>
  <c r="R41" i="1340"/>
  <c r="D41" i="1340"/>
  <c r="R40" i="1340"/>
  <c r="D40" i="1340"/>
  <c r="R39" i="1340"/>
  <c r="L20" i="1340" s="1"/>
  <c r="D20" i="1340" s="1"/>
  <c r="H39" i="1340"/>
  <c r="D39" i="1340"/>
  <c r="R38" i="1340"/>
  <c r="H38" i="1340"/>
  <c r="D38" i="1340"/>
  <c r="R37" i="1340"/>
  <c r="H37" i="1340"/>
  <c r="D37" i="1340"/>
  <c r="R36" i="1340"/>
  <c r="L10" i="1340" s="1"/>
  <c r="D10" i="1340" s="1"/>
  <c r="H36" i="1340"/>
  <c r="D36" i="1340"/>
  <c r="R35" i="1340"/>
  <c r="L19" i="1340" s="1"/>
  <c r="D19" i="1340" s="1"/>
  <c r="H35" i="1340"/>
  <c r="D35" i="1340"/>
  <c r="R34" i="1340"/>
  <c r="L12" i="1340" s="1"/>
  <c r="D12" i="1340" s="1"/>
  <c r="H34" i="1340"/>
  <c r="D34" i="1340"/>
  <c r="R33" i="1340"/>
  <c r="R32" i="1340"/>
  <c r="R31" i="1340"/>
  <c r="R30" i="1340"/>
  <c r="R29" i="1340"/>
  <c r="R28" i="1340"/>
  <c r="L16" i="1340" s="1"/>
  <c r="D16" i="1340" s="1"/>
  <c r="D28" i="1340"/>
  <c r="R27" i="1340"/>
  <c r="D27" i="1340"/>
  <c r="R26" i="1340"/>
  <c r="L26" i="1340"/>
  <c r="D26" i="1340"/>
  <c r="R25" i="1340"/>
  <c r="L25" i="1340"/>
  <c r="D25" i="1340" s="1"/>
  <c r="R24" i="1340"/>
  <c r="L24" i="1340"/>
  <c r="D24" i="1340"/>
  <c r="R23" i="1340"/>
  <c r="L23" i="1340"/>
  <c r="D23" i="1340"/>
  <c r="R22" i="1340"/>
  <c r="L22" i="1340"/>
  <c r="D22" i="1340" s="1"/>
  <c r="R21" i="1340"/>
  <c r="D21" i="1340"/>
  <c r="R20" i="1340"/>
  <c r="R19" i="1340"/>
  <c r="R18" i="1340"/>
  <c r="D18" i="1340"/>
  <c r="R17" i="1340"/>
  <c r="L17" i="1340"/>
  <c r="D17" i="1340"/>
  <c r="R16" i="1340"/>
  <c r="R15" i="1340"/>
  <c r="D15" i="1340"/>
  <c r="R14" i="1340"/>
  <c r="D14" i="1340"/>
  <c r="R13" i="1340"/>
  <c r="D13" i="1340"/>
  <c r="R12" i="1340"/>
  <c r="R11" i="1340"/>
  <c r="L11" i="1340"/>
  <c r="D11" i="1340" s="1"/>
  <c r="L9" i="1340"/>
  <c r="D9" i="1340"/>
  <c r="L8" i="1340"/>
  <c r="D8" i="1340"/>
  <c r="L7" i="1340"/>
  <c r="D7" i="1340" s="1"/>
  <c r="R6" i="1340"/>
  <c r="L6" i="1340"/>
  <c r="D6" i="1340"/>
  <c r="R5" i="1340"/>
  <c r="R4" i="1340"/>
  <c r="R52" i="1339"/>
  <c r="R51" i="1339"/>
  <c r="D50" i="1339"/>
  <c r="R49" i="1339"/>
  <c r="G49" i="1339"/>
  <c r="D49" i="1339"/>
  <c r="R48" i="1339"/>
  <c r="D48" i="1339"/>
  <c r="D46" i="1339"/>
  <c r="D45" i="1339"/>
  <c r="P44" i="1339"/>
  <c r="R44" i="1339" s="1"/>
  <c r="D44" i="1339"/>
  <c r="R42" i="1339"/>
  <c r="L6" i="1339" s="1"/>
  <c r="D6" i="1339" s="1"/>
  <c r="D42" i="1339"/>
  <c r="R41" i="1339"/>
  <c r="D41" i="1339"/>
  <c r="R40" i="1339"/>
  <c r="D40" i="1339"/>
  <c r="R39" i="1339"/>
  <c r="L20" i="1339" s="1"/>
  <c r="D20" i="1339" s="1"/>
  <c r="H39" i="1339"/>
  <c r="D39" i="1339"/>
  <c r="R38" i="1339"/>
  <c r="H38" i="1339"/>
  <c r="D38" i="1339"/>
  <c r="R37" i="1339"/>
  <c r="H37" i="1339"/>
  <c r="D37" i="1339"/>
  <c r="R36" i="1339"/>
  <c r="H36" i="1339"/>
  <c r="D36" i="1339"/>
  <c r="R35" i="1339"/>
  <c r="H35" i="1339"/>
  <c r="D35" i="1339"/>
  <c r="R34" i="1339"/>
  <c r="L12" i="1339" s="1"/>
  <c r="D12" i="1339" s="1"/>
  <c r="H34" i="1339"/>
  <c r="D34" i="1339"/>
  <c r="R33" i="1339"/>
  <c r="R32" i="1339"/>
  <c r="L11" i="1339" s="1"/>
  <c r="D11" i="1339" s="1"/>
  <c r="R31" i="1339"/>
  <c r="R30" i="1339"/>
  <c r="R29" i="1339"/>
  <c r="R28" i="1339"/>
  <c r="D28" i="1339"/>
  <c r="R27" i="1339"/>
  <c r="L27" i="1339"/>
  <c r="D27" i="1339"/>
  <c r="R26" i="1339"/>
  <c r="L26" i="1339"/>
  <c r="D26" i="1339"/>
  <c r="R25" i="1339"/>
  <c r="D25" i="1339"/>
  <c r="R24" i="1339"/>
  <c r="L24" i="1339"/>
  <c r="D24" i="1339"/>
  <c r="R23" i="1339"/>
  <c r="L23" i="1339"/>
  <c r="D23" i="1339"/>
  <c r="R22" i="1339"/>
  <c r="D22" i="1339"/>
  <c r="R21" i="1339"/>
  <c r="D21" i="1339"/>
  <c r="R20" i="1339"/>
  <c r="R19" i="1339"/>
  <c r="D19" i="1339"/>
  <c r="R18" i="1339"/>
  <c r="D18" i="1339"/>
  <c r="R17" i="1339"/>
  <c r="L17" i="1339"/>
  <c r="D17" i="1339"/>
  <c r="T16" i="1339"/>
  <c r="R16" i="1339"/>
  <c r="L16" i="1339"/>
  <c r="D16" i="1339"/>
  <c r="R15" i="1339"/>
  <c r="D15" i="1339"/>
  <c r="R14" i="1339"/>
  <c r="D14" i="1339"/>
  <c r="R13" i="1339"/>
  <c r="D13" i="1339"/>
  <c r="R12" i="1339"/>
  <c r="R11" i="1339"/>
  <c r="L10" i="1339"/>
  <c r="D10" i="1339"/>
  <c r="L9" i="1339"/>
  <c r="D9" i="1339"/>
  <c r="L8" i="1339"/>
  <c r="D8" i="1339"/>
  <c r="L7" i="1339"/>
  <c r="D7" i="1339" s="1"/>
  <c r="R6" i="1339"/>
  <c r="R5" i="1339"/>
  <c r="R4" i="1339"/>
  <c r="R52" i="1338"/>
  <c r="R51" i="1338"/>
  <c r="D50" i="1338"/>
  <c r="R49" i="1338"/>
  <c r="G49" i="1338"/>
  <c r="D49" i="1338"/>
  <c r="R48" i="1338"/>
  <c r="D48" i="1338"/>
  <c r="D46" i="1338"/>
  <c r="D45" i="1338"/>
  <c r="D44" i="1338"/>
  <c r="R42" i="1338"/>
  <c r="D42" i="1338"/>
  <c r="R41" i="1338"/>
  <c r="L7" i="1338" s="1"/>
  <c r="D7" i="1338" s="1"/>
  <c r="D41" i="1338"/>
  <c r="R40" i="1338"/>
  <c r="L8" i="1338" s="1"/>
  <c r="D8" i="1338" s="1"/>
  <c r="D40" i="1338"/>
  <c r="R39" i="1338"/>
  <c r="D39" i="1338"/>
  <c r="R38" i="1338"/>
  <c r="D38" i="1338"/>
  <c r="R37" i="1338"/>
  <c r="D37" i="1338"/>
  <c r="R36" i="1338"/>
  <c r="L10" i="1338" s="1"/>
  <c r="D10" i="1338" s="1"/>
  <c r="D36" i="1338"/>
  <c r="D54" i="1338" s="1"/>
  <c r="H14" i="1338" s="1"/>
  <c r="R35" i="1338"/>
  <c r="D35" i="1338"/>
  <c r="R34" i="1338"/>
  <c r="L12" i="1338" s="1"/>
  <c r="D12" i="1338" s="1"/>
  <c r="D34" i="1338"/>
  <c r="R33" i="1338"/>
  <c r="L23" i="1338" s="1"/>
  <c r="D23" i="1338" s="1"/>
  <c r="R32" i="1338"/>
  <c r="R31" i="1338"/>
  <c r="R30" i="1338"/>
  <c r="R29" i="1338"/>
  <c r="R28" i="1338"/>
  <c r="L16" i="1338" s="1"/>
  <c r="D16" i="1338" s="1"/>
  <c r="D28" i="1338"/>
  <c r="R27" i="1338"/>
  <c r="D27" i="1338"/>
  <c r="R26" i="1338"/>
  <c r="L26" i="1338"/>
  <c r="D26" i="1338"/>
  <c r="R25" i="1338"/>
  <c r="L25" i="1338"/>
  <c r="D25" i="1338"/>
  <c r="R24" i="1338"/>
  <c r="D24" i="1338"/>
  <c r="R23" i="1338"/>
  <c r="R22" i="1338"/>
  <c r="L22" i="1338"/>
  <c r="D22" i="1338" s="1"/>
  <c r="R21" i="1338"/>
  <c r="D21" i="1338"/>
  <c r="R20" i="1338"/>
  <c r="L20" i="1338"/>
  <c r="D20" i="1338"/>
  <c r="R19" i="1338"/>
  <c r="L19" i="1338"/>
  <c r="D19" i="1338"/>
  <c r="R18" i="1338"/>
  <c r="D18" i="1338"/>
  <c r="R17" i="1338"/>
  <c r="D17" i="1338"/>
  <c r="R16" i="1338"/>
  <c r="S15" i="1338"/>
  <c r="R15" i="1338"/>
  <c r="D15" i="1338"/>
  <c r="S14" i="1338"/>
  <c r="R14" i="1338"/>
  <c r="D14" i="1338"/>
  <c r="R13" i="1338"/>
  <c r="D13" i="1338"/>
  <c r="R12" i="1338"/>
  <c r="R11" i="1338"/>
  <c r="L11" i="1338"/>
  <c r="D11" i="1338" s="1"/>
  <c r="L9" i="1338"/>
  <c r="D9" i="1338" s="1"/>
  <c r="R6" i="1338"/>
  <c r="L6" i="1338"/>
  <c r="D6" i="1338"/>
  <c r="R5" i="1338"/>
  <c r="R4" i="1338"/>
  <c r="R52" i="1337"/>
  <c r="R51" i="1337"/>
  <c r="D50" i="1337"/>
  <c r="R49" i="1337"/>
  <c r="D49" i="1337"/>
  <c r="R48" i="1337"/>
  <c r="D48" i="1337"/>
  <c r="D46" i="1337"/>
  <c r="D45" i="1337"/>
  <c r="D44" i="1337"/>
  <c r="R42" i="1337"/>
  <c r="D42" i="1337"/>
  <c r="R41" i="1337"/>
  <c r="D41" i="1337"/>
  <c r="R40" i="1337"/>
  <c r="D40" i="1337"/>
  <c r="R39" i="1337"/>
  <c r="H39" i="1337"/>
  <c r="D39" i="1337"/>
  <c r="R38" i="1337"/>
  <c r="H38" i="1337"/>
  <c r="D38" i="1337"/>
  <c r="R37" i="1337"/>
  <c r="H37" i="1337"/>
  <c r="D37" i="1337"/>
  <c r="R36" i="1337"/>
  <c r="L10" i="1337" s="1"/>
  <c r="D10" i="1337" s="1"/>
  <c r="H36" i="1337"/>
  <c r="D36" i="1337"/>
  <c r="R35" i="1337"/>
  <c r="H35" i="1337"/>
  <c r="D35" i="1337"/>
  <c r="R34" i="1337"/>
  <c r="L12" i="1337" s="1"/>
  <c r="D12" i="1337" s="1"/>
  <c r="H34" i="1337"/>
  <c r="D34" i="1337"/>
  <c r="R33" i="1337"/>
  <c r="L23" i="1337" s="1"/>
  <c r="D23" i="1337" s="1"/>
  <c r="R32" i="1337"/>
  <c r="R31" i="1337"/>
  <c r="R30" i="1337"/>
  <c r="R29" i="1337"/>
  <c r="R28" i="1337"/>
  <c r="L16" i="1337" s="1"/>
  <c r="D16" i="1337" s="1"/>
  <c r="D28" i="1337"/>
  <c r="R27" i="1337"/>
  <c r="D27" i="1337"/>
  <c r="R26" i="1337"/>
  <c r="L26" i="1337"/>
  <c r="D26" i="1337"/>
  <c r="R25" i="1337"/>
  <c r="L25" i="1337"/>
  <c r="D25" i="1337"/>
  <c r="R24" i="1337"/>
  <c r="D24" i="1337"/>
  <c r="R23" i="1337"/>
  <c r="R22" i="1337"/>
  <c r="L22" i="1337"/>
  <c r="D22" i="1337" s="1"/>
  <c r="R21" i="1337"/>
  <c r="D21" i="1337"/>
  <c r="R20" i="1337"/>
  <c r="L20" i="1337"/>
  <c r="D20" i="1337"/>
  <c r="R19" i="1337"/>
  <c r="L19" i="1337"/>
  <c r="D19" i="1337"/>
  <c r="R18" i="1337"/>
  <c r="D18" i="1337"/>
  <c r="R17" i="1337"/>
  <c r="D17" i="1337"/>
  <c r="R16" i="1337"/>
  <c r="S15" i="1337"/>
  <c r="R15" i="1337"/>
  <c r="D15" i="1337"/>
  <c r="S14" i="1337"/>
  <c r="R14" i="1337"/>
  <c r="D14" i="1337"/>
  <c r="R13" i="1337"/>
  <c r="D13" i="1337"/>
  <c r="R12" i="1337"/>
  <c r="R11" i="1337"/>
  <c r="L11" i="1337"/>
  <c r="D11" i="1337" s="1"/>
  <c r="L9" i="1337"/>
  <c r="D9" i="1337"/>
  <c r="L8" i="1337"/>
  <c r="D8" i="1337"/>
  <c r="L7" i="1337"/>
  <c r="D7" i="1337"/>
  <c r="R6" i="1337"/>
  <c r="L6" i="1337"/>
  <c r="D6" i="1337"/>
  <c r="R5" i="1337"/>
  <c r="R4" i="1337"/>
  <c r="R52" i="1336"/>
  <c r="R51" i="1336"/>
  <c r="D50" i="1336"/>
  <c r="R49" i="1336"/>
  <c r="D49" i="1336"/>
  <c r="R48" i="1336"/>
  <c r="D48" i="1336"/>
  <c r="D46" i="1336"/>
  <c r="D45" i="1336"/>
  <c r="D44" i="1336"/>
  <c r="R42" i="1336"/>
  <c r="D42" i="1336"/>
  <c r="R41" i="1336"/>
  <c r="D41" i="1336"/>
  <c r="R40" i="1336"/>
  <c r="D40" i="1336"/>
  <c r="R39" i="1336"/>
  <c r="L20" i="1336" s="1"/>
  <c r="D20" i="1336" s="1"/>
  <c r="H39" i="1336"/>
  <c r="D39" i="1336"/>
  <c r="R38" i="1336"/>
  <c r="H38" i="1336"/>
  <c r="D38" i="1336"/>
  <c r="R37" i="1336"/>
  <c r="H37" i="1336"/>
  <c r="D37" i="1336"/>
  <c r="R36" i="1336"/>
  <c r="L10" i="1336" s="1"/>
  <c r="D10" i="1336" s="1"/>
  <c r="H36" i="1336"/>
  <c r="D36" i="1336"/>
  <c r="R35" i="1336"/>
  <c r="L19" i="1336" s="1"/>
  <c r="D19" i="1336" s="1"/>
  <c r="H35" i="1336"/>
  <c r="D35" i="1336"/>
  <c r="R34" i="1336"/>
  <c r="L12" i="1336" s="1"/>
  <c r="D12" i="1336" s="1"/>
  <c r="H34" i="1336"/>
  <c r="G49" i="1336" s="1"/>
  <c r="D34" i="1336"/>
  <c r="R33" i="1336"/>
  <c r="R32" i="1336"/>
  <c r="R31" i="1336"/>
  <c r="R30" i="1336"/>
  <c r="R29" i="1336"/>
  <c r="R28" i="1336"/>
  <c r="D28" i="1336"/>
  <c r="R27" i="1336"/>
  <c r="D27" i="1336"/>
  <c r="R26" i="1336"/>
  <c r="L26" i="1336"/>
  <c r="D26" i="1336"/>
  <c r="R25" i="1336"/>
  <c r="L25" i="1336"/>
  <c r="D25" i="1336" s="1"/>
  <c r="R24" i="1336"/>
  <c r="L24" i="1336"/>
  <c r="D24" i="1336"/>
  <c r="R23" i="1336"/>
  <c r="L23" i="1336"/>
  <c r="D23" i="1336" s="1"/>
  <c r="R22" i="1336"/>
  <c r="L22" i="1336"/>
  <c r="D22" i="1336" s="1"/>
  <c r="R21" i="1336"/>
  <c r="D21" i="1336"/>
  <c r="R20" i="1336"/>
  <c r="R19" i="1336"/>
  <c r="R18" i="1336"/>
  <c r="D18" i="1336"/>
  <c r="R17" i="1336"/>
  <c r="L17" i="1336"/>
  <c r="D17" i="1336" s="1"/>
  <c r="R16" i="1336"/>
  <c r="L16" i="1336"/>
  <c r="D16" i="1336" s="1"/>
  <c r="R15" i="1336"/>
  <c r="D15" i="1336"/>
  <c r="R14" i="1336"/>
  <c r="D14" i="1336"/>
  <c r="R13" i="1336"/>
  <c r="D13" i="1336"/>
  <c r="R12" i="1336"/>
  <c r="R11" i="1336"/>
  <c r="L11" i="1336"/>
  <c r="D11" i="1336"/>
  <c r="L9" i="1336"/>
  <c r="D9" i="1336"/>
  <c r="L8" i="1336"/>
  <c r="D8" i="1336"/>
  <c r="L7" i="1336"/>
  <c r="D7" i="1336" s="1"/>
  <c r="R6" i="1336"/>
  <c r="L6" i="1336"/>
  <c r="D6" i="1336"/>
  <c r="R5" i="1336"/>
  <c r="R4" i="1336"/>
  <c r="R52" i="1335"/>
  <c r="R51" i="1335"/>
  <c r="D50" i="1335"/>
  <c r="R49" i="1335"/>
  <c r="D49" i="1335"/>
  <c r="R48" i="1335"/>
  <c r="D48" i="1335"/>
  <c r="D46" i="1335"/>
  <c r="D45" i="1335"/>
  <c r="R44" i="1335"/>
  <c r="P44" i="1335"/>
  <c r="D44" i="1335"/>
  <c r="R42" i="1335"/>
  <c r="L6" i="1335" s="1"/>
  <c r="D6" i="1335" s="1"/>
  <c r="D42" i="1335"/>
  <c r="R41" i="1335"/>
  <c r="L7" i="1335" s="1"/>
  <c r="D7" i="1335" s="1"/>
  <c r="D41" i="1335"/>
  <c r="R40" i="1335"/>
  <c r="D40" i="1335"/>
  <c r="R39" i="1335"/>
  <c r="H39" i="1335"/>
  <c r="D39" i="1335"/>
  <c r="R38" i="1335"/>
  <c r="H38" i="1335"/>
  <c r="D38" i="1335"/>
  <c r="R37" i="1335"/>
  <c r="H37" i="1335"/>
  <c r="D37" i="1335"/>
  <c r="R36" i="1335"/>
  <c r="H36" i="1335"/>
  <c r="G49" i="1335" s="1"/>
  <c r="D36" i="1335"/>
  <c r="R35" i="1335"/>
  <c r="H35" i="1335"/>
  <c r="D35" i="1335"/>
  <c r="R34" i="1335"/>
  <c r="H34" i="1335"/>
  <c r="D34" i="1335"/>
  <c r="R33" i="1335"/>
  <c r="R32" i="1335"/>
  <c r="R31" i="1335"/>
  <c r="R30" i="1335"/>
  <c r="R29" i="1335"/>
  <c r="R28" i="1335"/>
  <c r="D28" i="1335"/>
  <c r="R27" i="1335"/>
  <c r="L27" i="1335"/>
  <c r="D27" i="1335" s="1"/>
  <c r="R26" i="1335"/>
  <c r="L26" i="1335"/>
  <c r="D26" i="1335" s="1"/>
  <c r="R25" i="1335"/>
  <c r="D25" i="1335"/>
  <c r="R24" i="1335"/>
  <c r="L24" i="1335"/>
  <c r="D24" i="1335" s="1"/>
  <c r="R23" i="1335"/>
  <c r="L23" i="1335"/>
  <c r="D23" i="1335"/>
  <c r="R22" i="1335"/>
  <c r="D22" i="1335"/>
  <c r="R21" i="1335"/>
  <c r="D21" i="1335"/>
  <c r="R20" i="1335"/>
  <c r="L20" i="1335"/>
  <c r="D20" i="1335"/>
  <c r="R19" i="1335"/>
  <c r="D19" i="1335"/>
  <c r="R18" i="1335"/>
  <c r="D18" i="1335"/>
  <c r="R17" i="1335"/>
  <c r="L17" i="1335"/>
  <c r="D17" i="1335"/>
  <c r="T16" i="1335"/>
  <c r="R16" i="1335"/>
  <c r="L16" i="1335"/>
  <c r="D16" i="1335"/>
  <c r="R15" i="1335"/>
  <c r="D15" i="1335"/>
  <c r="R14" i="1335"/>
  <c r="D14" i="1335"/>
  <c r="R13" i="1335"/>
  <c r="D13" i="1335"/>
  <c r="R12" i="1335"/>
  <c r="L12" i="1335"/>
  <c r="D12" i="1335"/>
  <c r="R11" i="1335"/>
  <c r="L11" i="1335"/>
  <c r="D11" i="1335"/>
  <c r="L10" i="1335"/>
  <c r="D10" i="1335"/>
  <c r="L9" i="1335"/>
  <c r="D9" i="1335" s="1"/>
  <c r="L8" i="1335"/>
  <c r="D8" i="1335"/>
  <c r="R6" i="1335"/>
  <c r="R5" i="1335"/>
  <c r="R4" i="1335"/>
  <c r="G49" i="1341" l="1"/>
  <c r="G49" i="1340"/>
  <c r="D54" i="1341"/>
  <c r="H14" i="1341" s="1"/>
  <c r="D54" i="1340"/>
  <c r="H14" i="1340" s="1"/>
  <c r="D54" i="1339"/>
  <c r="H14" i="1339" s="1"/>
  <c r="G49" i="1337"/>
  <c r="D54" i="1337"/>
  <c r="H14" i="1337" s="1"/>
  <c r="D54" i="1336"/>
  <c r="H14" i="1336" s="1"/>
  <c r="D29" i="1336"/>
  <c r="H13" i="1336" s="1"/>
  <c r="H15" i="1336" s="1"/>
  <c r="H29" i="1336" s="1"/>
  <c r="G51" i="1336" s="1"/>
  <c r="D54" i="1335"/>
  <c r="H14" i="1335" s="1"/>
  <c r="D29" i="1341"/>
  <c r="H13" i="1341" s="1"/>
  <c r="H15" i="1341" s="1"/>
  <c r="H29" i="1341" s="1"/>
  <c r="D29" i="1340"/>
  <c r="H13" i="1340" s="1"/>
  <c r="D29" i="1339"/>
  <c r="H13" i="1339" s="1"/>
  <c r="D29" i="1338"/>
  <c r="H13" i="1338" s="1"/>
  <c r="H15" i="1338" s="1"/>
  <c r="H29" i="1338" s="1"/>
  <c r="G51" i="1338" s="1"/>
  <c r="D29" i="1337"/>
  <c r="H13" i="1337" s="1"/>
  <c r="D29" i="1335"/>
  <c r="H13" i="1335" s="1"/>
  <c r="R52" i="1334"/>
  <c r="R51" i="1334"/>
  <c r="D50" i="1334"/>
  <c r="R49" i="1334"/>
  <c r="G49" i="1334"/>
  <c r="D49" i="1334"/>
  <c r="R48" i="1334"/>
  <c r="D48" i="1334"/>
  <c r="D46" i="1334"/>
  <c r="D45" i="1334"/>
  <c r="D44" i="1334"/>
  <c r="R42" i="1334"/>
  <c r="D42" i="1334"/>
  <c r="R41" i="1334"/>
  <c r="L7" i="1334" s="1"/>
  <c r="D7" i="1334" s="1"/>
  <c r="D41" i="1334"/>
  <c r="R40" i="1334"/>
  <c r="L8" i="1334" s="1"/>
  <c r="D8" i="1334" s="1"/>
  <c r="D40" i="1334"/>
  <c r="R39" i="1334"/>
  <c r="D39" i="1334"/>
  <c r="R38" i="1334"/>
  <c r="D38" i="1334"/>
  <c r="R37" i="1334"/>
  <c r="D37" i="1334"/>
  <c r="D54" i="1334" s="1"/>
  <c r="H14" i="1334" s="1"/>
  <c r="R36" i="1334"/>
  <c r="L10" i="1334" s="1"/>
  <c r="D10" i="1334" s="1"/>
  <c r="D36" i="1334"/>
  <c r="R35" i="1334"/>
  <c r="L19" i="1334" s="1"/>
  <c r="D19" i="1334" s="1"/>
  <c r="D35" i="1334"/>
  <c r="R34" i="1334"/>
  <c r="L12" i="1334" s="1"/>
  <c r="D12" i="1334" s="1"/>
  <c r="D34" i="1334"/>
  <c r="R33" i="1334"/>
  <c r="L23" i="1334" s="1"/>
  <c r="D23" i="1334" s="1"/>
  <c r="R32" i="1334"/>
  <c r="L11" i="1334" s="1"/>
  <c r="D11" i="1334" s="1"/>
  <c r="R31" i="1334"/>
  <c r="R30" i="1334"/>
  <c r="R29" i="1334"/>
  <c r="R28" i="1334"/>
  <c r="L16" i="1334" s="1"/>
  <c r="D16" i="1334" s="1"/>
  <c r="D28" i="1334"/>
  <c r="R27" i="1334"/>
  <c r="D27" i="1334"/>
  <c r="R26" i="1334"/>
  <c r="L26" i="1334"/>
  <c r="D26" i="1334" s="1"/>
  <c r="R25" i="1334"/>
  <c r="L25" i="1334"/>
  <c r="D25" i="1334"/>
  <c r="R24" i="1334"/>
  <c r="D24" i="1334"/>
  <c r="R23" i="1334"/>
  <c r="R22" i="1334"/>
  <c r="L22" i="1334"/>
  <c r="D22" i="1334" s="1"/>
  <c r="R21" i="1334"/>
  <c r="D21" i="1334"/>
  <c r="R20" i="1334"/>
  <c r="L20" i="1334"/>
  <c r="D20" i="1334" s="1"/>
  <c r="R19" i="1334"/>
  <c r="R18" i="1334"/>
  <c r="D18" i="1334"/>
  <c r="R17" i="1334"/>
  <c r="D17" i="1334"/>
  <c r="R16" i="1334"/>
  <c r="S15" i="1334"/>
  <c r="R15" i="1334"/>
  <c r="D15" i="1334"/>
  <c r="S14" i="1334"/>
  <c r="R14" i="1334"/>
  <c r="D14" i="1334"/>
  <c r="R13" i="1334"/>
  <c r="D13" i="1334"/>
  <c r="R12" i="1334"/>
  <c r="R11" i="1334"/>
  <c r="L9" i="1334"/>
  <c r="D9" i="1334"/>
  <c r="R6" i="1334"/>
  <c r="L6" i="1334"/>
  <c r="D6" i="1334" s="1"/>
  <c r="R5" i="1334"/>
  <c r="R4" i="1334"/>
  <c r="R52" i="1333"/>
  <c r="R51" i="1333"/>
  <c r="D50" i="1333"/>
  <c r="R49" i="1333"/>
  <c r="D49" i="1333"/>
  <c r="R48" i="1333"/>
  <c r="D48" i="1333"/>
  <c r="D46" i="1333"/>
  <c r="D45" i="1333"/>
  <c r="D44" i="1333"/>
  <c r="R42" i="1333"/>
  <c r="D42" i="1333"/>
  <c r="R41" i="1333"/>
  <c r="D41" i="1333"/>
  <c r="R40" i="1333"/>
  <c r="D40" i="1333"/>
  <c r="R39" i="1333"/>
  <c r="H39" i="1333"/>
  <c r="D39" i="1333"/>
  <c r="R38" i="1333"/>
  <c r="L9" i="1333" s="1"/>
  <c r="D9" i="1333" s="1"/>
  <c r="H38" i="1333"/>
  <c r="D38" i="1333"/>
  <c r="R37" i="1333"/>
  <c r="H37" i="1333"/>
  <c r="D37" i="1333"/>
  <c r="R36" i="1333"/>
  <c r="L10" i="1333" s="1"/>
  <c r="D10" i="1333" s="1"/>
  <c r="H36" i="1333"/>
  <c r="D36" i="1333"/>
  <c r="R35" i="1333"/>
  <c r="H35" i="1333"/>
  <c r="D35" i="1333"/>
  <c r="R34" i="1333"/>
  <c r="L12" i="1333" s="1"/>
  <c r="D12" i="1333" s="1"/>
  <c r="H34" i="1333"/>
  <c r="D34" i="1333"/>
  <c r="R33" i="1333"/>
  <c r="L23" i="1333" s="1"/>
  <c r="D23" i="1333" s="1"/>
  <c r="R32" i="1333"/>
  <c r="R31" i="1333"/>
  <c r="R30" i="1333"/>
  <c r="R29" i="1333"/>
  <c r="R28" i="1333"/>
  <c r="D28" i="1333"/>
  <c r="R27" i="1333"/>
  <c r="D27" i="1333"/>
  <c r="R26" i="1333"/>
  <c r="L26" i="1333"/>
  <c r="D26" i="1333"/>
  <c r="R25" i="1333"/>
  <c r="L25" i="1333"/>
  <c r="D25" i="1333"/>
  <c r="R24" i="1333"/>
  <c r="D24" i="1333"/>
  <c r="R23" i="1333"/>
  <c r="R22" i="1333"/>
  <c r="L22" i="1333"/>
  <c r="D22" i="1333" s="1"/>
  <c r="R21" i="1333"/>
  <c r="D21" i="1333"/>
  <c r="R20" i="1333"/>
  <c r="L20" i="1333"/>
  <c r="D20" i="1333"/>
  <c r="R19" i="1333"/>
  <c r="L19" i="1333"/>
  <c r="D19" i="1333"/>
  <c r="R18" i="1333"/>
  <c r="D18" i="1333"/>
  <c r="R17" i="1333"/>
  <c r="D17" i="1333"/>
  <c r="R16" i="1333"/>
  <c r="L16" i="1333"/>
  <c r="D16" i="1333" s="1"/>
  <c r="S15" i="1333"/>
  <c r="R15" i="1333"/>
  <c r="D15" i="1333"/>
  <c r="S14" i="1333"/>
  <c r="R14" i="1333"/>
  <c r="D14" i="1333"/>
  <c r="R13" i="1333"/>
  <c r="D13" i="1333"/>
  <c r="R12" i="1333"/>
  <c r="R11" i="1333"/>
  <c r="L11" i="1333"/>
  <c r="D11" i="1333" s="1"/>
  <c r="L8" i="1333"/>
  <c r="D8" i="1333"/>
  <c r="L7" i="1333"/>
  <c r="D7" i="1333" s="1"/>
  <c r="R6" i="1333"/>
  <c r="L6" i="1333"/>
  <c r="D6" i="1333"/>
  <c r="R5" i="1333"/>
  <c r="R4" i="1333"/>
  <c r="R52" i="1332"/>
  <c r="R51" i="1332"/>
  <c r="D50" i="1332"/>
  <c r="R49" i="1332"/>
  <c r="D49" i="1332"/>
  <c r="R48" i="1332"/>
  <c r="D48" i="1332"/>
  <c r="D46" i="1332"/>
  <c r="D45" i="1332"/>
  <c r="D44" i="1332"/>
  <c r="R42" i="1332"/>
  <c r="D42" i="1332"/>
  <c r="R41" i="1332"/>
  <c r="D41" i="1332"/>
  <c r="R40" i="1332"/>
  <c r="L8" i="1332" s="1"/>
  <c r="D8" i="1332" s="1"/>
  <c r="D40" i="1332"/>
  <c r="R39" i="1332"/>
  <c r="L20" i="1332" s="1"/>
  <c r="D20" i="1332" s="1"/>
  <c r="H39" i="1332"/>
  <c r="D39" i="1332"/>
  <c r="R38" i="1332"/>
  <c r="L9" i="1332" s="1"/>
  <c r="D9" i="1332" s="1"/>
  <c r="H38" i="1332"/>
  <c r="G49" i="1332" s="1"/>
  <c r="D38" i="1332"/>
  <c r="R37" i="1332"/>
  <c r="H37" i="1332"/>
  <c r="D37" i="1332"/>
  <c r="R36" i="1332"/>
  <c r="L10" i="1332" s="1"/>
  <c r="D10" i="1332" s="1"/>
  <c r="H36" i="1332"/>
  <c r="D36" i="1332"/>
  <c r="R35" i="1332"/>
  <c r="H35" i="1332"/>
  <c r="D35" i="1332"/>
  <c r="R34" i="1332"/>
  <c r="H34" i="1332"/>
  <c r="D34" i="1332"/>
  <c r="R33" i="1332"/>
  <c r="L23" i="1332" s="1"/>
  <c r="D23" i="1332" s="1"/>
  <c r="R32" i="1332"/>
  <c r="L11" i="1332" s="1"/>
  <c r="D11" i="1332" s="1"/>
  <c r="R31" i="1332"/>
  <c r="R30" i="1332"/>
  <c r="R29" i="1332"/>
  <c r="R28" i="1332"/>
  <c r="L16" i="1332" s="1"/>
  <c r="D16" i="1332" s="1"/>
  <c r="D28" i="1332"/>
  <c r="R27" i="1332"/>
  <c r="D27" i="1332"/>
  <c r="R26" i="1332"/>
  <c r="L26" i="1332"/>
  <c r="D26" i="1332" s="1"/>
  <c r="R25" i="1332"/>
  <c r="L25" i="1332"/>
  <c r="D25" i="1332"/>
  <c r="R24" i="1332"/>
  <c r="L24" i="1332"/>
  <c r="D24" i="1332" s="1"/>
  <c r="R23" i="1332"/>
  <c r="R22" i="1332"/>
  <c r="L22" i="1332"/>
  <c r="D22" i="1332"/>
  <c r="R21" i="1332"/>
  <c r="L17" i="1332" s="1"/>
  <c r="D17" i="1332" s="1"/>
  <c r="D21" i="1332"/>
  <c r="R20" i="1332"/>
  <c r="R19" i="1332"/>
  <c r="L19" i="1332"/>
  <c r="D19" i="1332"/>
  <c r="R18" i="1332"/>
  <c r="D18" i="1332"/>
  <c r="R17" i="1332"/>
  <c r="R16" i="1332"/>
  <c r="R15" i="1332"/>
  <c r="D15" i="1332"/>
  <c r="R14" i="1332"/>
  <c r="D14" i="1332"/>
  <c r="R13" i="1332"/>
  <c r="D13" i="1332"/>
  <c r="R12" i="1332"/>
  <c r="L12" i="1332"/>
  <c r="D12" i="1332" s="1"/>
  <c r="R11" i="1332"/>
  <c r="L7" i="1332"/>
  <c r="D7" i="1332"/>
  <c r="R6" i="1332"/>
  <c r="L6" i="1332"/>
  <c r="D6" i="1332" s="1"/>
  <c r="R5" i="1332"/>
  <c r="R4" i="1332"/>
  <c r="R52" i="1331"/>
  <c r="R51" i="1331"/>
  <c r="D50" i="1331"/>
  <c r="R49" i="1331"/>
  <c r="D49" i="1331"/>
  <c r="R48" i="1331"/>
  <c r="D48" i="1331"/>
  <c r="D46" i="1331"/>
  <c r="D45" i="1331"/>
  <c r="R44" i="1331"/>
  <c r="P44" i="1331"/>
  <c r="D44" i="1331"/>
  <c r="R42" i="1331"/>
  <c r="D42" i="1331"/>
  <c r="R41" i="1331"/>
  <c r="D41" i="1331"/>
  <c r="R40" i="1331"/>
  <c r="D40" i="1331"/>
  <c r="R39" i="1331"/>
  <c r="L20" i="1331" s="1"/>
  <c r="D20" i="1331" s="1"/>
  <c r="H39" i="1331"/>
  <c r="D39" i="1331"/>
  <c r="R38" i="1331"/>
  <c r="H38" i="1331"/>
  <c r="D38" i="1331"/>
  <c r="R37" i="1331"/>
  <c r="H37" i="1331"/>
  <c r="D37" i="1331"/>
  <c r="R36" i="1331"/>
  <c r="H36" i="1331"/>
  <c r="D36" i="1331"/>
  <c r="R35" i="1331"/>
  <c r="H35" i="1331"/>
  <c r="D35" i="1331"/>
  <c r="R34" i="1331"/>
  <c r="L12" i="1331" s="1"/>
  <c r="D12" i="1331" s="1"/>
  <c r="H34" i="1331"/>
  <c r="D34" i="1331"/>
  <c r="R33" i="1331"/>
  <c r="R32" i="1331"/>
  <c r="L11" i="1331" s="1"/>
  <c r="D11" i="1331" s="1"/>
  <c r="R31" i="1331"/>
  <c r="R30" i="1331"/>
  <c r="R29" i="1331"/>
  <c r="R28" i="1331"/>
  <c r="D28" i="1331"/>
  <c r="R27" i="1331"/>
  <c r="L27" i="1331"/>
  <c r="D27" i="1331" s="1"/>
  <c r="R26" i="1331"/>
  <c r="L26" i="1331"/>
  <c r="D26" i="1331"/>
  <c r="R25" i="1331"/>
  <c r="D25" i="1331"/>
  <c r="R24" i="1331"/>
  <c r="L24" i="1331"/>
  <c r="D24" i="1331" s="1"/>
  <c r="R23" i="1331"/>
  <c r="L23" i="1331"/>
  <c r="D23" i="1331" s="1"/>
  <c r="R22" i="1331"/>
  <c r="D22" i="1331"/>
  <c r="R21" i="1331"/>
  <c r="D21" i="1331"/>
  <c r="R20" i="1331"/>
  <c r="R19" i="1331"/>
  <c r="D19" i="1331"/>
  <c r="R18" i="1331"/>
  <c r="D18" i="1331"/>
  <c r="R17" i="1331"/>
  <c r="L17" i="1331"/>
  <c r="D17" i="1331"/>
  <c r="T16" i="1331"/>
  <c r="R16" i="1331"/>
  <c r="L16" i="1331"/>
  <c r="D16" i="1331"/>
  <c r="R15" i="1331"/>
  <c r="D15" i="1331"/>
  <c r="R14" i="1331"/>
  <c r="D14" i="1331"/>
  <c r="R13" i="1331"/>
  <c r="D13" i="1331"/>
  <c r="R12" i="1331"/>
  <c r="R11" i="1331"/>
  <c r="L10" i="1331"/>
  <c r="D10" i="1331"/>
  <c r="L9" i="1331"/>
  <c r="D9" i="1331" s="1"/>
  <c r="L8" i="1331"/>
  <c r="D8" i="1331"/>
  <c r="L7" i="1331"/>
  <c r="D7" i="1331" s="1"/>
  <c r="R6" i="1331"/>
  <c r="L6" i="1331"/>
  <c r="D6" i="1331"/>
  <c r="R5" i="1331"/>
  <c r="R4" i="1331"/>
  <c r="R52" i="1330"/>
  <c r="R51" i="1330"/>
  <c r="D50" i="1330"/>
  <c r="R49" i="1330"/>
  <c r="G49" i="1330"/>
  <c r="D49" i="1330"/>
  <c r="R48" i="1330"/>
  <c r="D48" i="1330"/>
  <c r="D46" i="1330"/>
  <c r="D45" i="1330"/>
  <c r="D44" i="1330"/>
  <c r="R42" i="1330"/>
  <c r="D42" i="1330"/>
  <c r="R41" i="1330"/>
  <c r="L7" i="1330" s="1"/>
  <c r="D7" i="1330" s="1"/>
  <c r="D41" i="1330"/>
  <c r="R40" i="1330"/>
  <c r="L8" i="1330" s="1"/>
  <c r="D8" i="1330" s="1"/>
  <c r="D40" i="1330"/>
  <c r="R39" i="1330"/>
  <c r="D39" i="1330"/>
  <c r="R38" i="1330"/>
  <c r="L9" i="1330" s="1"/>
  <c r="D9" i="1330" s="1"/>
  <c r="D38" i="1330"/>
  <c r="R37" i="1330"/>
  <c r="D37" i="1330"/>
  <c r="R36" i="1330"/>
  <c r="D36" i="1330"/>
  <c r="R35" i="1330"/>
  <c r="L19" i="1330" s="1"/>
  <c r="D19" i="1330" s="1"/>
  <c r="D35" i="1330"/>
  <c r="D54" i="1330" s="1"/>
  <c r="H14" i="1330" s="1"/>
  <c r="R34" i="1330"/>
  <c r="D34" i="1330"/>
  <c r="R33" i="1330"/>
  <c r="R32" i="1330"/>
  <c r="R31" i="1330"/>
  <c r="R30" i="1330"/>
  <c r="R29" i="1330"/>
  <c r="R28" i="1330"/>
  <c r="D28" i="1330"/>
  <c r="R27" i="1330"/>
  <c r="D27" i="1330"/>
  <c r="R26" i="1330"/>
  <c r="L26" i="1330"/>
  <c r="D26" i="1330"/>
  <c r="R25" i="1330"/>
  <c r="L25" i="1330"/>
  <c r="D25" i="1330"/>
  <c r="R24" i="1330"/>
  <c r="D24" i="1330"/>
  <c r="R23" i="1330"/>
  <c r="L23" i="1330"/>
  <c r="D23" i="1330"/>
  <c r="R22" i="1330"/>
  <c r="L22" i="1330"/>
  <c r="D22" i="1330"/>
  <c r="R21" i="1330"/>
  <c r="D21" i="1330"/>
  <c r="R20" i="1330"/>
  <c r="L20" i="1330"/>
  <c r="D20" i="1330"/>
  <c r="R19" i="1330"/>
  <c r="R18" i="1330"/>
  <c r="D18" i="1330"/>
  <c r="R17" i="1330"/>
  <c r="D17" i="1330"/>
  <c r="R16" i="1330"/>
  <c r="L16" i="1330"/>
  <c r="D16" i="1330" s="1"/>
  <c r="S15" i="1330"/>
  <c r="R15" i="1330"/>
  <c r="D15" i="1330"/>
  <c r="S14" i="1330"/>
  <c r="R14" i="1330"/>
  <c r="D14" i="1330"/>
  <c r="R13" i="1330"/>
  <c r="D13" i="1330"/>
  <c r="R12" i="1330"/>
  <c r="L12" i="1330"/>
  <c r="D12" i="1330"/>
  <c r="R11" i="1330"/>
  <c r="L11" i="1330"/>
  <c r="D11" i="1330"/>
  <c r="L10" i="1330"/>
  <c r="D10" i="1330"/>
  <c r="R6" i="1330"/>
  <c r="L6" i="1330"/>
  <c r="D6" i="1330" s="1"/>
  <c r="R5" i="1330"/>
  <c r="R4" i="1330"/>
  <c r="R52" i="1329"/>
  <c r="R51" i="1329"/>
  <c r="D50" i="1329"/>
  <c r="R49" i="1329"/>
  <c r="D49" i="1329"/>
  <c r="R48" i="1329"/>
  <c r="D48" i="1329"/>
  <c r="D46" i="1329"/>
  <c r="D45" i="1329"/>
  <c r="D44" i="1329"/>
  <c r="R42" i="1329"/>
  <c r="D42" i="1329"/>
  <c r="R41" i="1329"/>
  <c r="D41" i="1329"/>
  <c r="R40" i="1329"/>
  <c r="L8" i="1329" s="1"/>
  <c r="D8" i="1329" s="1"/>
  <c r="D40" i="1329"/>
  <c r="R39" i="1329"/>
  <c r="H39" i="1329"/>
  <c r="D39" i="1329"/>
  <c r="R38" i="1329"/>
  <c r="H38" i="1329"/>
  <c r="D38" i="1329"/>
  <c r="R37" i="1329"/>
  <c r="H37" i="1329"/>
  <c r="D37" i="1329"/>
  <c r="R36" i="1329"/>
  <c r="H36" i="1329"/>
  <c r="D36" i="1329"/>
  <c r="R35" i="1329"/>
  <c r="H35" i="1329"/>
  <c r="D35" i="1329"/>
  <c r="R34" i="1329"/>
  <c r="H34" i="1329"/>
  <c r="D34" i="1329"/>
  <c r="R33" i="1329"/>
  <c r="R32" i="1329"/>
  <c r="L11" i="1329" s="1"/>
  <c r="D11" i="1329" s="1"/>
  <c r="R31" i="1329"/>
  <c r="R30" i="1329"/>
  <c r="R29" i="1329"/>
  <c r="R28" i="1329"/>
  <c r="D28" i="1329"/>
  <c r="R27" i="1329"/>
  <c r="D27" i="1329"/>
  <c r="R26" i="1329"/>
  <c r="L26" i="1329"/>
  <c r="D26" i="1329" s="1"/>
  <c r="R25" i="1329"/>
  <c r="L25" i="1329"/>
  <c r="D25" i="1329"/>
  <c r="R24" i="1329"/>
  <c r="D24" i="1329"/>
  <c r="R23" i="1329"/>
  <c r="L23" i="1329"/>
  <c r="D23" i="1329" s="1"/>
  <c r="R22" i="1329"/>
  <c r="L22" i="1329"/>
  <c r="D22" i="1329"/>
  <c r="R21" i="1329"/>
  <c r="D21" i="1329"/>
  <c r="R20" i="1329"/>
  <c r="L20" i="1329"/>
  <c r="D20" i="1329" s="1"/>
  <c r="R19" i="1329"/>
  <c r="L19" i="1329"/>
  <c r="D19" i="1329"/>
  <c r="R18" i="1329"/>
  <c r="D18" i="1329"/>
  <c r="R17" i="1329"/>
  <c r="D17" i="1329"/>
  <c r="R16" i="1329"/>
  <c r="L16" i="1329"/>
  <c r="D16" i="1329" s="1"/>
  <c r="S15" i="1329"/>
  <c r="R15" i="1329"/>
  <c r="D15" i="1329"/>
  <c r="S14" i="1329"/>
  <c r="R14" i="1329"/>
  <c r="D14" i="1329"/>
  <c r="R13" i="1329"/>
  <c r="D13" i="1329"/>
  <c r="R12" i="1329"/>
  <c r="L12" i="1329"/>
  <c r="D12" i="1329" s="1"/>
  <c r="R11" i="1329"/>
  <c r="L10" i="1329"/>
  <c r="D10" i="1329"/>
  <c r="L9" i="1329"/>
  <c r="D9" i="1329"/>
  <c r="L7" i="1329"/>
  <c r="D7" i="1329"/>
  <c r="R6" i="1329"/>
  <c r="L6" i="1329"/>
  <c r="D6" i="1329"/>
  <c r="R5" i="1329"/>
  <c r="R4" i="1329"/>
  <c r="R52" i="1328"/>
  <c r="R51" i="1328"/>
  <c r="D50" i="1328"/>
  <c r="R49" i="1328"/>
  <c r="D49" i="1328"/>
  <c r="R48" i="1328"/>
  <c r="D48" i="1328"/>
  <c r="D46" i="1328"/>
  <c r="D45" i="1328"/>
  <c r="D44" i="1328"/>
  <c r="R42" i="1328"/>
  <c r="D42" i="1328"/>
  <c r="R41" i="1328"/>
  <c r="D41" i="1328"/>
  <c r="R40" i="1328"/>
  <c r="D40" i="1328"/>
  <c r="R39" i="1328"/>
  <c r="H39" i="1328"/>
  <c r="D39" i="1328"/>
  <c r="R38" i="1328"/>
  <c r="H38" i="1328"/>
  <c r="D38" i="1328"/>
  <c r="R37" i="1328"/>
  <c r="H37" i="1328"/>
  <c r="D37" i="1328"/>
  <c r="R36" i="1328"/>
  <c r="H36" i="1328"/>
  <c r="D36" i="1328"/>
  <c r="R35" i="1328"/>
  <c r="H35" i="1328"/>
  <c r="D35" i="1328"/>
  <c r="R34" i="1328"/>
  <c r="L12" i="1328" s="1"/>
  <c r="D12" i="1328" s="1"/>
  <c r="H34" i="1328"/>
  <c r="G49" i="1328" s="1"/>
  <c r="D34" i="1328"/>
  <c r="R33" i="1328"/>
  <c r="R32" i="1328"/>
  <c r="L11" i="1328" s="1"/>
  <c r="D11" i="1328" s="1"/>
  <c r="R31" i="1328"/>
  <c r="R30" i="1328"/>
  <c r="R29" i="1328"/>
  <c r="R28" i="1328"/>
  <c r="D28" i="1328"/>
  <c r="R27" i="1328"/>
  <c r="D27" i="1328"/>
  <c r="R26" i="1328"/>
  <c r="L26" i="1328"/>
  <c r="D26" i="1328"/>
  <c r="R25" i="1328"/>
  <c r="L25" i="1328"/>
  <c r="D25" i="1328" s="1"/>
  <c r="R24" i="1328"/>
  <c r="L24" i="1328"/>
  <c r="D24" i="1328" s="1"/>
  <c r="R23" i="1328"/>
  <c r="L23" i="1328"/>
  <c r="D23" i="1328" s="1"/>
  <c r="R22" i="1328"/>
  <c r="L22" i="1328"/>
  <c r="D22" i="1328" s="1"/>
  <c r="R21" i="1328"/>
  <c r="D21" i="1328"/>
  <c r="R20" i="1328"/>
  <c r="L20" i="1328"/>
  <c r="D20" i="1328" s="1"/>
  <c r="R19" i="1328"/>
  <c r="L19" i="1328"/>
  <c r="D19" i="1328" s="1"/>
  <c r="R18" i="1328"/>
  <c r="D18" i="1328"/>
  <c r="R17" i="1328"/>
  <c r="L17" i="1328"/>
  <c r="D17" i="1328" s="1"/>
  <c r="R16" i="1328"/>
  <c r="L16" i="1328"/>
  <c r="D16" i="1328" s="1"/>
  <c r="R15" i="1328"/>
  <c r="D15" i="1328"/>
  <c r="R14" i="1328"/>
  <c r="D14" i="1328"/>
  <c r="R13" i="1328"/>
  <c r="D13" i="1328"/>
  <c r="R12" i="1328"/>
  <c r="R11" i="1328"/>
  <c r="L10" i="1328"/>
  <c r="D10" i="1328"/>
  <c r="L9" i="1328"/>
  <c r="D9" i="1328"/>
  <c r="L8" i="1328"/>
  <c r="D8" i="1328" s="1"/>
  <c r="L7" i="1328"/>
  <c r="D7" i="1328" s="1"/>
  <c r="R6" i="1328"/>
  <c r="L6" i="1328"/>
  <c r="D6" i="1328" s="1"/>
  <c r="R5" i="1328"/>
  <c r="R4" i="1328"/>
  <c r="R52" i="1327"/>
  <c r="R51" i="1327"/>
  <c r="D50" i="1327"/>
  <c r="R49" i="1327"/>
  <c r="D49" i="1327"/>
  <c r="R48" i="1327"/>
  <c r="D48" i="1327"/>
  <c r="D46" i="1327"/>
  <c r="D45" i="1327"/>
  <c r="P44" i="1327"/>
  <c r="R44" i="1327" s="1"/>
  <c r="D44" i="1327"/>
  <c r="R42" i="1327"/>
  <c r="L6" i="1327" s="1"/>
  <c r="D6" i="1327" s="1"/>
  <c r="D42" i="1327"/>
  <c r="R41" i="1327"/>
  <c r="D41" i="1327"/>
  <c r="R40" i="1327"/>
  <c r="L8" i="1327" s="1"/>
  <c r="D8" i="1327" s="1"/>
  <c r="D40" i="1327"/>
  <c r="R39" i="1327"/>
  <c r="L20" i="1327" s="1"/>
  <c r="D20" i="1327" s="1"/>
  <c r="H39" i="1327"/>
  <c r="D39" i="1327"/>
  <c r="R38" i="1327"/>
  <c r="L9" i="1327" s="1"/>
  <c r="D9" i="1327" s="1"/>
  <c r="H38" i="1327"/>
  <c r="D38" i="1327"/>
  <c r="R37" i="1327"/>
  <c r="H37" i="1327"/>
  <c r="D37" i="1327"/>
  <c r="R36" i="1327"/>
  <c r="H36" i="1327"/>
  <c r="D36" i="1327"/>
  <c r="R35" i="1327"/>
  <c r="H35" i="1327"/>
  <c r="D35" i="1327"/>
  <c r="R34" i="1327"/>
  <c r="L12" i="1327" s="1"/>
  <c r="D12" i="1327" s="1"/>
  <c r="H34" i="1327"/>
  <c r="G49" i="1327" s="1"/>
  <c r="D34" i="1327"/>
  <c r="R33" i="1327"/>
  <c r="R32" i="1327"/>
  <c r="R31" i="1327"/>
  <c r="R30" i="1327"/>
  <c r="R29" i="1327"/>
  <c r="R28" i="1327"/>
  <c r="D28" i="1327"/>
  <c r="R27" i="1327"/>
  <c r="L27" i="1327"/>
  <c r="D27" i="1327"/>
  <c r="R26" i="1327"/>
  <c r="L26" i="1327"/>
  <c r="D26" i="1327"/>
  <c r="R25" i="1327"/>
  <c r="D25" i="1327"/>
  <c r="R24" i="1327"/>
  <c r="L24" i="1327"/>
  <c r="D24" i="1327"/>
  <c r="R23" i="1327"/>
  <c r="L23" i="1327"/>
  <c r="D23" i="1327"/>
  <c r="R22" i="1327"/>
  <c r="D22" i="1327"/>
  <c r="R21" i="1327"/>
  <c r="D21" i="1327"/>
  <c r="R20" i="1327"/>
  <c r="R19" i="1327"/>
  <c r="D19" i="1327"/>
  <c r="R18" i="1327"/>
  <c r="D18" i="1327"/>
  <c r="R17" i="1327"/>
  <c r="L17" i="1327"/>
  <c r="D17" i="1327" s="1"/>
  <c r="T16" i="1327"/>
  <c r="R16" i="1327"/>
  <c r="L16" i="1327"/>
  <c r="D16" i="1327"/>
  <c r="R15" i="1327"/>
  <c r="D15" i="1327"/>
  <c r="R14" i="1327"/>
  <c r="D14" i="1327"/>
  <c r="R13" i="1327"/>
  <c r="D13" i="1327"/>
  <c r="R12" i="1327"/>
  <c r="R11" i="1327"/>
  <c r="L11" i="1327"/>
  <c r="D11" i="1327" s="1"/>
  <c r="L10" i="1327"/>
  <c r="D10" i="1327" s="1"/>
  <c r="L7" i="1327"/>
  <c r="D7" i="1327"/>
  <c r="R6" i="1327"/>
  <c r="R5" i="1327"/>
  <c r="R4" i="1327"/>
  <c r="R52" i="1326"/>
  <c r="R51" i="1326"/>
  <c r="D50" i="1326"/>
  <c r="R49" i="1326"/>
  <c r="G49" i="1326"/>
  <c r="D49" i="1326"/>
  <c r="R48" i="1326"/>
  <c r="D48" i="1326"/>
  <c r="D46" i="1326"/>
  <c r="D45" i="1326"/>
  <c r="D44" i="1326"/>
  <c r="R42" i="1326"/>
  <c r="D42" i="1326"/>
  <c r="R41" i="1326"/>
  <c r="L7" i="1326" s="1"/>
  <c r="D7" i="1326" s="1"/>
  <c r="D41" i="1326"/>
  <c r="R40" i="1326"/>
  <c r="L8" i="1326" s="1"/>
  <c r="D8" i="1326" s="1"/>
  <c r="D40" i="1326"/>
  <c r="R39" i="1326"/>
  <c r="D39" i="1326"/>
  <c r="R38" i="1326"/>
  <c r="L9" i="1326" s="1"/>
  <c r="D9" i="1326" s="1"/>
  <c r="D38" i="1326"/>
  <c r="R37" i="1326"/>
  <c r="D37" i="1326"/>
  <c r="D54" i="1326" s="1"/>
  <c r="H14" i="1326" s="1"/>
  <c r="R36" i="1326"/>
  <c r="D36" i="1326"/>
  <c r="R35" i="1326"/>
  <c r="L19" i="1326" s="1"/>
  <c r="D19" i="1326" s="1"/>
  <c r="D35" i="1326"/>
  <c r="R34" i="1326"/>
  <c r="D34" i="1326"/>
  <c r="R33" i="1326"/>
  <c r="R32" i="1326"/>
  <c r="R31" i="1326"/>
  <c r="R30" i="1326"/>
  <c r="R29" i="1326"/>
  <c r="R28" i="1326"/>
  <c r="D28" i="1326"/>
  <c r="R27" i="1326"/>
  <c r="D27" i="1326"/>
  <c r="R26" i="1326"/>
  <c r="L26" i="1326"/>
  <c r="D26" i="1326" s="1"/>
  <c r="R25" i="1326"/>
  <c r="L25" i="1326"/>
  <c r="D25" i="1326"/>
  <c r="R24" i="1326"/>
  <c r="D24" i="1326"/>
  <c r="R23" i="1326"/>
  <c r="L23" i="1326"/>
  <c r="D23" i="1326"/>
  <c r="R22" i="1326"/>
  <c r="L22" i="1326"/>
  <c r="D22" i="1326"/>
  <c r="R21" i="1326"/>
  <c r="D21" i="1326"/>
  <c r="R20" i="1326"/>
  <c r="L20" i="1326"/>
  <c r="D20" i="1326" s="1"/>
  <c r="R19" i="1326"/>
  <c r="R18" i="1326"/>
  <c r="D18" i="1326"/>
  <c r="R17" i="1326"/>
  <c r="D17" i="1326"/>
  <c r="R16" i="1326"/>
  <c r="L16" i="1326"/>
  <c r="D16" i="1326" s="1"/>
  <c r="S15" i="1326"/>
  <c r="R15" i="1326"/>
  <c r="D15" i="1326"/>
  <c r="S14" i="1326"/>
  <c r="R14" i="1326"/>
  <c r="D14" i="1326"/>
  <c r="R13" i="1326"/>
  <c r="D13" i="1326"/>
  <c r="R12" i="1326"/>
  <c r="L12" i="1326"/>
  <c r="D12" i="1326"/>
  <c r="R11" i="1326"/>
  <c r="L11" i="1326"/>
  <c r="D11" i="1326"/>
  <c r="L10" i="1326"/>
  <c r="D10" i="1326"/>
  <c r="R6" i="1326"/>
  <c r="L6" i="1326"/>
  <c r="D6" i="1326" s="1"/>
  <c r="R5" i="1326"/>
  <c r="R4" i="1326"/>
  <c r="R52" i="1325"/>
  <c r="R51" i="1325"/>
  <c r="D50" i="1325"/>
  <c r="R49" i="1325"/>
  <c r="D49" i="1325"/>
  <c r="R48" i="1325"/>
  <c r="D48" i="1325"/>
  <c r="D46" i="1325"/>
  <c r="D45" i="1325"/>
  <c r="D44" i="1325"/>
  <c r="R42" i="1325"/>
  <c r="D42" i="1325"/>
  <c r="R41" i="1325"/>
  <c r="D41" i="1325"/>
  <c r="R40" i="1325"/>
  <c r="D40" i="1325"/>
  <c r="R39" i="1325"/>
  <c r="H39" i="1325"/>
  <c r="D39" i="1325"/>
  <c r="R38" i="1325"/>
  <c r="L9" i="1325" s="1"/>
  <c r="D9" i="1325" s="1"/>
  <c r="H38" i="1325"/>
  <c r="D38" i="1325"/>
  <c r="R37" i="1325"/>
  <c r="H37" i="1325"/>
  <c r="D37" i="1325"/>
  <c r="R36" i="1325"/>
  <c r="L10" i="1325" s="1"/>
  <c r="D10" i="1325" s="1"/>
  <c r="H36" i="1325"/>
  <c r="D36" i="1325"/>
  <c r="R35" i="1325"/>
  <c r="H35" i="1325"/>
  <c r="D35" i="1325"/>
  <c r="R34" i="1325"/>
  <c r="L12" i="1325" s="1"/>
  <c r="D12" i="1325" s="1"/>
  <c r="H34" i="1325"/>
  <c r="D34" i="1325"/>
  <c r="R33" i="1325"/>
  <c r="L23" i="1325" s="1"/>
  <c r="D23" i="1325" s="1"/>
  <c r="R32" i="1325"/>
  <c r="L11" i="1325" s="1"/>
  <c r="D11" i="1325" s="1"/>
  <c r="R31" i="1325"/>
  <c r="R30" i="1325"/>
  <c r="R29" i="1325"/>
  <c r="R28" i="1325"/>
  <c r="L16" i="1325" s="1"/>
  <c r="D16" i="1325" s="1"/>
  <c r="D28" i="1325"/>
  <c r="R27" i="1325"/>
  <c r="D27" i="1325"/>
  <c r="R26" i="1325"/>
  <c r="D26" i="1325"/>
  <c r="R25" i="1325"/>
  <c r="L25" i="1325"/>
  <c r="D25" i="1325"/>
  <c r="R24" i="1325"/>
  <c r="D24" i="1325"/>
  <c r="R23" i="1325"/>
  <c r="R22" i="1325"/>
  <c r="D22" i="1325"/>
  <c r="R21" i="1325"/>
  <c r="D21" i="1325"/>
  <c r="R20" i="1325"/>
  <c r="L20" i="1325"/>
  <c r="D20" i="1325"/>
  <c r="R19" i="1325"/>
  <c r="L19" i="1325"/>
  <c r="D19" i="1325"/>
  <c r="R18" i="1325"/>
  <c r="D18" i="1325"/>
  <c r="R17" i="1325"/>
  <c r="D17" i="1325"/>
  <c r="R16" i="1325"/>
  <c r="S15" i="1325"/>
  <c r="R15" i="1325"/>
  <c r="D15" i="1325"/>
  <c r="S14" i="1325"/>
  <c r="R14" i="1325"/>
  <c r="D14" i="1325"/>
  <c r="R13" i="1325"/>
  <c r="D13" i="1325"/>
  <c r="R12" i="1325"/>
  <c r="R11" i="1325"/>
  <c r="L8" i="1325"/>
  <c r="D8" i="1325"/>
  <c r="L7" i="1325"/>
  <c r="D7" i="1325"/>
  <c r="R6" i="1325"/>
  <c r="L6" i="1325"/>
  <c r="D6" i="1325" s="1"/>
  <c r="R5" i="1325"/>
  <c r="R4" i="1325"/>
  <c r="R52" i="1324"/>
  <c r="R51" i="1324"/>
  <c r="D50" i="1324"/>
  <c r="R49" i="1324"/>
  <c r="D49" i="1324"/>
  <c r="R48" i="1324"/>
  <c r="D48" i="1324"/>
  <c r="D46" i="1324"/>
  <c r="D45" i="1324"/>
  <c r="D44" i="1324"/>
  <c r="R42" i="1324"/>
  <c r="L6" i="1324" s="1"/>
  <c r="D6" i="1324" s="1"/>
  <c r="D42" i="1324"/>
  <c r="R41" i="1324"/>
  <c r="D41" i="1324"/>
  <c r="R40" i="1324"/>
  <c r="D40" i="1324"/>
  <c r="R39" i="1324"/>
  <c r="H39" i="1324"/>
  <c r="D39" i="1324"/>
  <c r="R38" i="1324"/>
  <c r="H38" i="1324"/>
  <c r="D38" i="1324"/>
  <c r="R37" i="1324"/>
  <c r="H37" i="1324"/>
  <c r="D37" i="1324"/>
  <c r="R36" i="1324"/>
  <c r="H36" i="1324"/>
  <c r="D36" i="1324"/>
  <c r="R35" i="1324"/>
  <c r="L19" i="1324" s="1"/>
  <c r="D19" i="1324" s="1"/>
  <c r="H35" i="1324"/>
  <c r="D35" i="1324"/>
  <c r="R34" i="1324"/>
  <c r="L12" i="1324" s="1"/>
  <c r="D12" i="1324" s="1"/>
  <c r="H34" i="1324"/>
  <c r="D34" i="1324"/>
  <c r="R33" i="1324"/>
  <c r="R32" i="1324"/>
  <c r="L11" i="1324" s="1"/>
  <c r="D11" i="1324" s="1"/>
  <c r="R31" i="1324"/>
  <c r="R30" i="1324"/>
  <c r="R29" i="1324"/>
  <c r="R28" i="1324"/>
  <c r="D28" i="1324"/>
  <c r="R27" i="1324"/>
  <c r="D27" i="1324"/>
  <c r="R26" i="1324"/>
  <c r="L26" i="1324"/>
  <c r="D26" i="1324"/>
  <c r="R25" i="1324"/>
  <c r="L25" i="1324"/>
  <c r="D25" i="1324" s="1"/>
  <c r="R24" i="1324"/>
  <c r="L24" i="1324"/>
  <c r="D24" i="1324"/>
  <c r="R23" i="1324"/>
  <c r="L23" i="1324"/>
  <c r="D23" i="1324" s="1"/>
  <c r="R22" i="1324"/>
  <c r="L22" i="1324"/>
  <c r="D22" i="1324" s="1"/>
  <c r="R21" i="1324"/>
  <c r="D21" i="1324"/>
  <c r="R20" i="1324"/>
  <c r="L20" i="1324"/>
  <c r="D20" i="1324" s="1"/>
  <c r="R19" i="1324"/>
  <c r="R18" i="1324"/>
  <c r="D18" i="1324"/>
  <c r="R17" i="1324"/>
  <c r="L17" i="1324"/>
  <c r="D17" i="1324" s="1"/>
  <c r="R16" i="1324"/>
  <c r="L16" i="1324"/>
  <c r="D16" i="1324" s="1"/>
  <c r="R15" i="1324"/>
  <c r="D15" i="1324"/>
  <c r="R14" i="1324"/>
  <c r="D14" i="1324"/>
  <c r="R13" i="1324"/>
  <c r="D13" i="1324"/>
  <c r="R12" i="1324"/>
  <c r="R11" i="1324"/>
  <c r="L10" i="1324"/>
  <c r="D10" i="1324"/>
  <c r="L9" i="1324"/>
  <c r="D9" i="1324"/>
  <c r="L8" i="1324"/>
  <c r="D8" i="1324" s="1"/>
  <c r="L7" i="1324"/>
  <c r="D7" i="1324" s="1"/>
  <c r="R6" i="1324"/>
  <c r="R5" i="1324"/>
  <c r="R4" i="1324"/>
  <c r="R52" i="1323"/>
  <c r="R51" i="1323"/>
  <c r="D50" i="1323"/>
  <c r="R49" i="1323"/>
  <c r="D49" i="1323"/>
  <c r="R48" i="1323"/>
  <c r="D48" i="1323"/>
  <c r="D46" i="1323"/>
  <c r="D45" i="1323"/>
  <c r="P44" i="1323"/>
  <c r="R44" i="1323" s="1"/>
  <c r="D44" i="1323"/>
  <c r="R42" i="1323"/>
  <c r="L6" i="1323" s="1"/>
  <c r="D6" i="1323" s="1"/>
  <c r="D42" i="1323"/>
  <c r="R41" i="1323"/>
  <c r="L7" i="1323" s="1"/>
  <c r="D7" i="1323" s="1"/>
  <c r="D41" i="1323"/>
  <c r="R40" i="1323"/>
  <c r="D40" i="1323"/>
  <c r="R39" i="1323"/>
  <c r="H39" i="1323"/>
  <c r="D39" i="1323"/>
  <c r="R38" i="1323"/>
  <c r="H38" i="1323"/>
  <c r="D38" i="1323"/>
  <c r="R37" i="1323"/>
  <c r="H37" i="1323"/>
  <c r="D37" i="1323"/>
  <c r="R36" i="1323"/>
  <c r="H36" i="1323"/>
  <c r="D36" i="1323"/>
  <c r="R35" i="1323"/>
  <c r="H35" i="1323"/>
  <c r="D35" i="1323"/>
  <c r="R34" i="1323"/>
  <c r="H34" i="1323"/>
  <c r="D34" i="1323"/>
  <c r="R33" i="1323"/>
  <c r="R32" i="1323"/>
  <c r="R31" i="1323"/>
  <c r="R30" i="1323"/>
  <c r="R29" i="1323"/>
  <c r="R28" i="1323"/>
  <c r="D28" i="1323"/>
  <c r="R27" i="1323"/>
  <c r="L27" i="1323"/>
  <c r="D27" i="1323"/>
  <c r="R26" i="1323"/>
  <c r="L26" i="1323"/>
  <c r="D26" i="1323" s="1"/>
  <c r="R25" i="1323"/>
  <c r="D25" i="1323"/>
  <c r="R24" i="1323"/>
  <c r="L24" i="1323"/>
  <c r="D24" i="1323"/>
  <c r="R23" i="1323"/>
  <c r="L23" i="1323"/>
  <c r="D23" i="1323"/>
  <c r="R22" i="1323"/>
  <c r="D22" i="1323"/>
  <c r="R21" i="1323"/>
  <c r="D21" i="1323"/>
  <c r="R20" i="1323"/>
  <c r="L20" i="1323"/>
  <c r="D20" i="1323"/>
  <c r="R19" i="1323"/>
  <c r="D19" i="1323"/>
  <c r="R18" i="1323"/>
  <c r="D18" i="1323"/>
  <c r="R17" i="1323"/>
  <c r="L17" i="1323"/>
  <c r="D17" i="1323" s="1"/>
  <c r="T16" i="1323"/>
  <c r="R16" i="1323"/>
  <c r="L16" i="1323"/>
  <c r="D16" i="1323"/>
  <c r="R15" i="1323"/>
  <c r="D15" i="1323"/>
  <c r="R14" i="1323"/>
  <c r="D14" i="1323"/>
  <c r="R13" i="1323"/>
  <c r="D13" i="1323"/>
  <c r="R12" i="1323"/>
  <c r="L12" i="1323"/>
  <c r="D12" i="1323" s="1"/>
  <c r="R11" i="1323"/>
  <c r="L11" i="1323"/>
  <c r="D11" i="1323"/>
  <c r="L10" i="1323"/>
  <c r="D10" i="1323" s="1"/>
  <c r="L9" i="1323"/>
  <c r="D9" i="1323"/>
  <c r="L8" i="1323"/>
  <c r="D8" i="1323"/>
  <c r="R6" i="1323"/>
  <c r="R5" i="1323"/>
  <c r="R4" i="1323"/>
  <c r="R52" i="1322"/>
  <c r="R51" i="1322"/>
  <c r="D50" i="1322"/>
  <c r="R49" i="1322"/>
  <c r="G49" i="1322"/>
  <c r="D49" i="1322"/>
  <c r="R48" i="1322"/>
  <c r="D48" i="1322"/>
  <c r="D46" i="1322"/>
  <c r="D45" i="1322"/>
  <c r="D44" i="1322"/>
  <c r="R42" i="1322"/>
  <c r="D42" i="1322"/>
  <c r="R41" i="1322"/>
  <c r="L7" i="1322" s="1"/>
  <c r="D7" i="1322" s="1"/>
  <c r="D41" i="1322"/>
  <c r="R40" i="1322"/>
  <c r="L8" i="1322" s="1"/>
  <c r="D8" i="1322" s="1"/>
  <c r="D40" i="1322"/>
  <c r="D54" i="1322" s="1"/>
  <c r="H14" i="1322" s="1"/>
  <c r="R39" i="1322"/>
  <c r="D39" i="1322"/>
  <c r="R38" i="1322"/>
  <c r="D38" i="1322"/>
  <c r="R37" i="1322"/>
  <c r="D37" i="1322"/>
  <c r="R36" i="1322"/>
  <c r="D36" i="1322"/>
  <c r="R35" i="1322"/>
  <c r="L19" i="1322" s="1"/>
  <c r="D19" i="1322" s="1"/>
  <c r="D35" i="1322"/>
  <c r="R34" i="1322"/>
  <c r="L12" i="1322" s="1"/>
  <c r="D12" i="1322" s="1"/>
  <c r="D34" i="1322"/>
  <c r="R33" i="1322"/>
  <c r="L23" i="1322" s="1"/>
  <c r="D23" i="1322" s="1"/>
  <c r="R32" i="1322"/>
  <c r="L11" i="1322" s="1"/>
  <c r="D11" i="1322" s="1"/>
  <c r="R31" i="1322"/>
  <c r="R30" i="1322"/>
  <c r="R29" i="1322"/>
  <c r="R28" i="1322"/>
  <c r="D28" i="1322"/>
  <c r="R27" i="1322"/>
  <c r="D27" i="1322"/>
  <c r="R26" i="1322"/>
  <c r="L26" i="1322"/>
  <c r="D26" i="1322" s="1"/>
  <c r="R25" i="1322"/>
  <c r="L25" i="1322"/>
  <c r="D25" i="1322"/>
  <c r="R24" i="1322"/>
  <c r="D24" i="1322"/>
  <c r="R23" i="1322"/>
  <c r="R22" i="1322"/>
  <c r="L22" i="1322"/>
  <c r="D22" i="1322"/>
  <c r="R21" i="1322"/>
  <c r="D21" i="1322"/>
  <c r="R20" i="1322"/>
  <c r="L20" i="1322"/>
  <c r="D20" i="1322" s="1"/>
  <c r="R19" i="1322"/>
  <c r="R18" i="1322"/>
  <c r="D18" i="1322"/>
  <c r="R17" i="1322"/>
  <c r="D17" i="1322"/>
  <c r="R16" i="1322"/>
  <c r="L16" i="1322"/>
  <c r="D16" i="1322" s="1"/>
  <c r="S15" i="1322"/>
  <c r="R15" i="1322"/>
  <c r="D15" i="1322"/>
  <c r="S14" i="1322"/>
  <c r="R14" i="1322"/>
  <c r="D14" i="1322"/>
  <c r="R13" i="1322"/>
  <c r="D13" i="1322"/>
  <c r="R12" i="1322"/>
  <c r="R11" i="1322"/>
  <c r="L10" i="1322"/>
  <c r="D10" i="1322" s="1"/>
  <c r="L9" i="1322"/>
  <c r="D9" i="1322"/>
  <c r="R6" i="1322"/>
  <c r="L6" i="1322"/>
  <c r="D6" i="1322"/>
  <c r="R5" i="1322"/>
  <c r="R4" i="1322"/>
  <c r="R52" i="1321"/>
  <c r="R51" i="1321"/>
  <c r="D50" i="1321"/>
  <c r="R49" i="1321"/>
  <c r="D49" i="1321"/>
  <c r="R48" i="1321"/>
  <c r="D48" i="1321"/>
  <c r="D46" i="1321"/>
  <c r="D45" i="1321"/>
  <c r="D44" i="1321"/>
  <c r="R42" i="1321"/>
  <c r="D42" i="1321"/>
  <c r="R41" i="1321"/>
  <c r="D41" i="1321"/>
  <c r="R40" i="1321"/>
  <c r="L8" i="1321" s="1"/>
  <c r="D8" i="1321" s="1"/>
  <c r="D40" i="1321"/>
  <c r="R39" i="1321"/>
  <c r="H39" i="1321"/>
  <c r="D39" i="1321"/>
  <c r="R38" i="1321"/>
  <c r="H38" i="1321"/>
  <c r="D38" i="1321"/>
  <c r="R37" i="1321"/>
  <c r="H37" i="1321"/>
  <c r="D37" i="1321"/>
  <c r="R36" i="1321"/>
  <c r="L10" i="1321" s="1"/>
  <c r="D10" i="1321" s="1"/>
  <c r="H36" i="1321"/>
  <c r="D36" i="1321"/>
  <c r="R35" i="1321"/>
  <c r="H35" i="1321"/>
  <c r="D35" i="1321"/>
  <c r="R34" i="1321"/>
  <c r="H34" i="1321"/>
  <c r="G49" i="1321" s="1"/>
  <c r="D34" i="1321"/>
  <c r="D54" i="1321" s="1"/>
  <c r="H14" i="1321" s="1"/>
  <c r="R33" i="1321"/>
  <c r="L23" i="1321" s="1"/>
  <c r="D23" i="1321" s="1"/>
  <c r="R32" i="1321"/>
  <c r="R31" i="1321"/>
  <c r="R30" i="1321"/>
  <c r="R29" i="1321"/>
  <c r="R28" i="1321"/>
  <c r="L16" i="1321" s="1"/>
  <c r="D16" i="1321" s="1"/>
  <c r="D28" i="1321"/>
  <c r="R27" i="1321"/>
  <c r="D27" i="1321"/>
  <c r="R26" i="1321"/>
  <c r="L26" i="1321"/>
  <c r="D26" i="1321" s="1"/>
  <c r="R25" i="1321"/>
  <c r="L25" i="1321"/>
  <c r="D25" i="1321" s="1"/>
  <c r="R24" i="1321"/>
  <c r="D24" i="1321"/>
  <c r="R23" i="1321"/>
  <c r="R22" i="1321"/>
  <c r="L22" i="1321"/>
  <c r="D22" i="1321" s="1"/>
  <c r="R21" i="1321"/>
  <c r="D21" i="1321"/>
  <c r="R20" i="1321"/>
  <c r="L20" i="1321"/>
  <c r="D20" i="1321" s="1"/>
  <c r="R19" i="1321"/>
  <c r="L19" i="1321"/>
  <c r="D19" i="1321" s="1"/>
  <c r="R18" i="1321"/>
  <c r="D18" i="1321"/>
  <c r="R17" i="1321"/>
  <c r="D17" i="1321"/>
  <c r="R16" i="1321"/>
  <c r="S15" i="1321"/>
  <c r="R15" i="1321"/>
  <c r="D15" i="1321"/>
  <c r="S14" i="1321"/>
  <c r="R14" i="1321"/>
  <c r="D14" i="1321"/>
  <c r="R13" i="1321"/>
  <c r="D13" i="1321"/>
  <c r="R12" i="1321"/>
  <c r="L12" i="1321"/>
  <c r="D12" i="1321"/>
  <c r="R11" i="1321"/>
  <c r="L11" i="1321"/>
  <c r="D11" i="1321" s="1"/>
  <c r="L9" i="1321"/>
  <c r="D9" i="1321"/>
  <c r="L7" i="1321"/>
  <c r="D7" i="1321" s="1"/>
  <c r="R6" i="1321"/>
  <c r="L6" i="1321"/>
  <c r="D6" i="1321" s="1"/>
  <c r="R5" i="1321"/>
  <c r="R4" i="1321"/>
  <c r="R52" i="1320"/>
  <c r="R51" i="1320"/>
  <c r="D50" i="1320"/>
  <c r="R49" i="1320"/>
  <c r="D49" i="1320"/>
  <c r="R48" i="1320"/>
  <c r="D48" i="1320"/>
  <c r="D46" i="1320"/>
  <c r="D45" i="1320"/>
  <c r="D44" i="1320"/>
  <c r="R42" i="1320"/>
  <c r="L6" i="1320" s="1"/>
  <c r="D6" i="1320" s="1"/>
  <c r="D42" i="1320"/>
  <c r="R41" i="1320"/>
  <c r="D41" i="1320"/>
  <c r="R40" i="1320"/>
  <c r="D40" i="1320"/>
  <c r="R39" i="1320"/>
  <c r="L20" i="1320" s="1"/>
  <c r="D20" i="1320" s="1"/>
  <c r="H39" i="1320"/>
  <c r="D39" i="1320"/>
  <c r="R38" i="1320"/>
  <c r="L9" i="1320" s="1"/>
  <c r="D9" i="1320" s="1"/>
  <c r="H38" i="1320"/>
  <c r="D38" i="1320"/>
  <c r="R37" i="1320"/>
  <c r="H37" i="1320"/>
  <c r="D37" i="1320"/>
  <c r="R36" i="1320"/>
  <c r="L10" i="1320" s="1"/>
  <c r="D10" i="1320" s="1"/>
  <c r="H36" i="1320"/>
  <c r="D36" i="1320"/>
  <c r="R35" i="1320"/>
  <c r="H35" i="1320"/>
  <c r="D35" i="1320"/>
  <c r="R34" i="1320"/>
  <c r="L12" i="1320" s="1"/>
  <c r="D12" i="1320" s="1"/>
  <c r="H34" i="1320"/>
  <c r="G49" i="1320" s="1"/>
  <c r="D34" i="1320"/>
  <c r="D54" i="1320" s="1"/>
  <c r="H14" i="1320" s="1"/>
  <c r="R33" i="1320"/>
  <c r="L23" i="1320" s="1"/>
  <c r="D23" i="1320" s="1"/>
  <c r="R32" i="1320"/>
  <c r="L11" i="1320" s="1"/>
  <c r="D11" i="1320" s="1"/>
  <c r="R31" i="1320"/>
  <c r="R30" i="1320"/>
  <c r="R29" i="1320"/>
  <c r="R28" i="1320"/>
  <c r="D28" i="1320"/>
  <c r="R27" i="1320"/>
  <c r="D27" i="1320"/>
  <c r="R26" i="1320"/>
  <c r="L26" i="1320"/>
  <c r="D26" i="1320"/>
  <c r="R25" i="1320"/>
  <c r="L25" i="1320"/>
  <c r="D25" i="1320"/>
  <c r="R24" i="1320"/>
  <c r="L24" i="1320"/>
  <c r="D24" i="1320"/>
  <c r="R23" i="1320"/>
  <c r="R22" i="1320"/>
  <c r="L22" i="1320"/>
  <c r="D22" i="1320" s="1"/>
  <c r="R21" i="1320"/>
  <c r="D21" i="1320"/>
  <c r="R20" i="1320"/>
  <c r="R19" i="1320"/>
  <c r="L19" i="1320"/>
  <c r="D19" i="1320" s="1"/>
  <c r="R18" i="1320"/>
  <c r="D18" i="1320"/>
  <c r="R17" i="1320"/>
  <c r="L17" i="1320"/>
  <c r="D17" i="1320" s="1"/>
  <c r="R16" i="1320"/>
  <c r="L16" i="1320"/>
  <c r="D16" i="1320" s="1"/>
  <c r="R15" i="1320"/>
  <c r="D15" i="1320"/>
  <c r="R14" i="1320"/>
  <c r="D14" i="1320"/>
  <c r="R13" i="1320"/>
  <c r="D13" i="1320"/>
  <c r="R12" i="1320"/>
  <c r="R11" i="1320"/>
  <c r="L8" i="1320"/>
  <c r="D8" i="1320"/>
  <c r="L7" i="1320"/>
  <c r="D7" i="1320"/>
  <c r="R6" i="1320"/>
  <c r="R5" i="1320"/>
  <c r="R4" i="1320"/>
  <c r="R52" i="1319"/>
  <c r="R51" i="1319"/>
  <c r="D50" i="1319"/>
  <c r="R49" i="1319"/>
  <c r="D49" i="1319"/>
  <c r="R48" i="1319"/>
  <c r="D48" i="1319"/>
  <c r="D46" i="1319"/>
  <c r="D45" i="1319"/>
  <c r="P44" i="1319"/>
  <c r="R44" i="1319" s="1"/>
  <c r="D44" i="1319"/>
  <c r="R42" i="1319"/>
  <c r="L6" i="1319" s="1"/>
  <c r="D6" i="1319" s="1"/>
  <c r="D42" i="1319"/>
  <c r="R41" i="1319"/>
  <c r="D41" i="1319"/>
  <c r="R40" i="1319"/>
  <c r="D40" i="1319"/>
  <c r="R39" i="1319"/>
  <c r="L20" i="1319" s="1"/>
  <c r="D20" i="1319" s="1"/>
  <c r="H39" i="1319"/>
  <c r="D39" i="1319"/>
  <c r="R38" i="1319"/>
  <c r="H38" i="1319"/>
  <c r="D38" i="1319"/>
  <c r="R37" i="1319"/>
  <c r="H37" i="1319"/>
  <c r="D37" i="1319"/>
  <c r="R36" i="1319"/>
  <c r="H36" i="1319"/>
  <c r="D36" i="1319"/>
  <c r="R35" i="1319"/>
  <c r="H35" i="1319"/>
  <c r="D35" i="1319"/>
  <c r="R34" i="1319"/>
  <c r="L12" i="1319" s="1"/>
  <c r="D12" i="1319" s="1"/>
  <c r="H34" i="1319"/>
  <c r="G49" i="1319" s="1"/>
  <c r="D34" i="1319"/>
  <c r="R33" i="1319"/>
  <c r="R32" i="1319"/>
  <c r="L11" i="1319" s="1"/>
  <c r="D11" i="1319" s="1"/>
  <c r="R31" i="1319"/>
  <c r="R30" i="1319"/>
  <c r="R29" i="1319"/>
  <c r="R28" i="1319"/>
  <c r="D28" i="1319"/>
  <c r="R27" i="1319"/>
  <c r="L27" i="1319"/>
  <c r="D27" i="1319"/>
  <c r="R26" i="1319"/>
  <c r="L26" i="1319"/>
  <c r="D26" i="1319"/>
  <c r="R25" i="1319"/>
  <c r="D25" i="1319"/>
  <c r="R24" i="1319"/>
  <c r="L24" i="1319"/>
  <c r="D24" i="1319"/>
  <c r="R23" i="1319"/>
  <c r="L23" i="1319"/>
  <c r="D23" i="1319"/>
  <c r="R22" i="1319"/>
  <c r="D22" i="1319"/>
  <c r="R21" i="1319"/>
  <c r="D21" i="1319"/>
  <c r="R20" i="1319"/>
  <c r="R19" i="1319"/>
  <c r="D19" i="1319"/>
  <c r="R18" i="1319"/>
  <c r="D18" i="1319"/>
  <c r="R17" i="1319"/>
  <c r="L17" i="1319"/>
  <c r="D17" i="1319"/>
  <c r="R16" i="1319"/>
  <c r="L16" i="1319"/>
  <c r="D16" i="1319"/>
  <c r="R15" i="1319"/>
  <c r="D15" i="1319"/>
  <c r="R14" i="1319"/>
  <c r="D14" i="1319"/>
  <c r="R13" i="1319"/>
  <c r="D13" i="1319"/>
  <c r="R12" i="1319"/>
  <c r="R11" i="1319"/>
  <c r="L10" i="1319"/>
  <c r="D10" i="1319"/>
  <c r="L9" i="1319"/>
  <c r="D9" i="1319"/>
  <c r="L8" i="1319"/>
  <c r="D8" i="1319"/>
  <c r="L7" i="1319"/>
  <c r="D7" i="1319" s="1"/>
  <c r="R6" i="1319"/>
  <c r="R5" i="1319"/>
  <c r="R4" i="1319"/>
  <c r="R52" i="1318"/>
  <c r="R51" i="1318"/>
  <c r="D50" i="1318"/>
  <c r="R49" i="1318"/>
  <c r="G49" i="1318"/>
  <c r="D49" i="1318"/>
  <c r="R48" i="1318"/>
  <c r="D48" i="1318"/>
  <c r="D46" i="1318"/>
  <c r="D45" i="1318"/>
  <c r="D44" i="1318"/>
  <c r="R42" i="1318"/>
  <c r="D42" i="1318"/>
  <c r="R41" i="1318"/>
  <c r="L7" i="1318" s="1"/>
  <c r="D7" i="1318" s="1"/>
  <c r="D41" i="1318"/>
  <c r="R40" i="1318"/>
  <c r="L8" i="1318" s="1"/>
  <c r="D8" i="1318" s="1"/>
  <c r="D40" i="1318"/>
  <c r="R39" i="1318"/>
  <c r="D39" i="1318"/>
  <c r="R38" i="1318"/>
  <c r="L9" i="1318" s="1"/>
  <c r="D9" i="1318" s="1"/>
  <c r="D38" i="1318"/>
  <c r="D54" i="1318" s="1"/>
  <c r="H14" i="1318" s="1"/>
  <c r="R37" i="1318"/>
  <c r="D37" i="1318"/>
  <c r="R36" i="1318"/>
  <c r="L10" i="1318" s="1"/>
  <c r="D10" i="1318" s="1"/>
  <c r="D36" i="1318"/>
  <c r="R35" i="1318"/>
  <c r="D35" i="1318"/>
  <c r="R34" i="1318"/>
  <c r="D34" i="1318"/>
  <c r="R33" i="1318"/>
  <c r="R32" i="1318"/>
  <c r="R31" i="1318"/>
  <c r="R30" i="1318"/>
  <c r="R29" i="1318"/>
  <c r="R28" i="1318"/>
  <c r="L16" i="1318" s="1"/>
  <c r="D16" i="1318" s="1"/>
  <c r="D28" i="1318"/>
  <c r="R27" i="1318"/>
  <c r="D27" i="1318"/>
  <c r="R26" i="1318"/>
  <c r="L26" i="1318"/>
  <c r="D26" i="1318" s="1"/>
  <c r="R25" i="1318"/>
  <c r="L25" i="1318"/>
  <c r="D25" i="1318"/>
  <c r="R24" i="1318"/>
  <c r="D24" i="1318"/>
  <c r="R23" i="1318"/>
  <c r="L23" i="1318"/>
  <c r="D23" i="1318"/>
  <c r="R22" i="1318"/>
  <c r="L22" i="1318"/>
  <c r="D22" i="1318" s="1"/>
  <c r="R21" i="1318"/>
  <c r="D21" i="1318"/>
  <c r="R20" i="1318"/>
  <c r="L20" i="1318"/>
  <c r="D20" i="1318" s="1"/>
  <c r="R19" i="1318"/>
  <c r="L19" i="1318"/>
  <c r="D19" i="1318"/>
  <c r="R18" i="1318"/>
  <c r="D18" i="1318"/>
  <c r="R17" i="1318"/>
  <c r="D17" i="1318"/>
  <c r="R16" i="1318"/>
  <c r="S15" i="1318"/>
  <c r="R15" i="1318"/>
  <c r="D15" i="1318"/>
  <c r="S14" i="1318"/>
  <c r="R14" i="1318"/>
  <c r="D14" i="1318"/>
  <c r="R13" i="1318"/>
  <c r="D13" i="1318"/>
  <c r="R12" i="1318"/>
  <c r="L12" i="1318"/>
  <c r="D12" i="1318"/>
  <c r="R11" i="1318"/>
  <c r="L11" i="1318"/>
  <c r="D11" i="1318" s="1"/>
  <c r="R6" i="1318"/>
  <c r="L6" i="1318"/>
  <c r="D6" i="1318"/>
  <c r="R5" i="1318"/>
  <c r="R4" i="1318"/>
  <c r="R52" i="1317"/>
  <c r="R51" i="1317"/>
  <c r="D50" i="1317"/>
  <c r="R49" i="1317"/>
  <c r="D49" i="1317"/>
  <c r="R48" i="1317"/>
  <c r="D48" i="1317"/>
  <c r="D46" i="1317"/>
  <c r="D45" i="1317"/>
  <c r="D44" i="1317"/>
  <c r="R42" i="1317"/>
  <c r="D42" i="1317"/>
  <c r="R41" i="1317"/>
  <c r="D41" i="1317"/>
  <c r="R40" i="1317"/>
  <c r="D40" i="1317"/>
  <c r="R39" i="1317"/>
  <c r="H39" i="1317"/>
  <c r="D39" i="1317"/>
  <c r="R38" i="1317"/>
  <c r="H38" i="1317"/>
  <c r="D38" i="1317"/>
  <c r="R37" i="1317"/>
  <c r="H37" i="1317"/>
  <c r="D37" i="1317"/>
  <c r="R36" i="1317"/>
  <c r="L10" i="1317" s="1"/>
  <c r="D10" i="1317" s="1"/>
  <c r="H36" i="1317"/>
  <c r="D36" i="1317"/>
  <c r="R35" i="1317"/>
  <c r="H35" i="1317"/>
  <c r="D35" i="1317"/>
  <c r="R34" i="1317"/>
  <c r="L12" i="1317" s="1"/>
  <c r="D12" i="1317" s="1"/>
  <c r="H34" i="1317"/>
  <c r="D34" i="1317"/>
  <c r="R33" i="1317"/>
  <c r="R32" i="1317"/>
  <c r="R31" i="1317"/>
  <c r="R30" i="1317"/>
  <c r="R29" i="1317"/>
  <c r="R28" i="1317"/>
  <c r="L16" i="1317" s="1"/>
  <c r="D16" i="1317" s="1"/>
  <c r="D28" i="1317"/>
  <c r="R27" i="1317"/>
  <c r="D27" i="1317"/>
  <c r="R26" i="1317"/>
  <c r="L26" i="1317"/>
  <c r="D26" i="1317"/>
  <c r="R25" i="1317"/>
  <c r="L25" i="1317"/>
  <c r="D25" i="1317" s="1"/>
  <c r="R24" i="1317"/>
  <c r="D24" i="1317"/>
  <c r="R23" i="1317"/>
  <c r="L23" i="1317"/>
  <c r="D23" i="1317"/>
  <c r="R22" i="1317"/>
  <c r="L22" i="1317"/>
  <c r="D22" i="1317" s="1"/>
  <c r="R21" i="1317"/>
  <c r="D21" i="1317"/>
  <c r="R20" i="1317"/>
  <c r="L20" i="1317"/>
  <c r="D20" i="1317"/>
  <c r="R19" i="1317"/>
  <c r="L19" i="1317"/>
  <c r="D19" i="1317" s="1"/>
  <c r="R18" i="1317"/>
  <c r="D18" i="1317"/>
  <c r="R17" i="1317"/>
  <c r="D17" i="1317"/>
  <c r="R16" i="1317"/>
  <c r="S15" i="1317"/>
  <c r="R15" i="1317"/>
  <c r="D15" i="1317"/>
  <c r="S14" i="1317"/>
  <c r="R14" i="1317"/>
  <c r="D14" i="1317"/>
  <c r="R13" i="1317"/>
  <c r="D13" i="1317"/>
  <c r="R12" i="1317"/>
  <c r="R11" i="1317"/>
  <c r="L11" i="1317"/>
  <c r="D11" i="1317" s="1"/>
  <c r="L9" i="1317"/>
  <c r="D9" i="1317"/>
  <c r="L8" i="1317"/>
  <c r="D8" i="1317"/>
  <c r="L7" i="1317"/>
  <c r="D7" i="1317" s="1"/>
  <c r="R6" i="1317"/>
  <c r="L6" i="1317"/>
  <c r="D6" i="1317"/>
  <c r="R5" i="1317"/>
  <c r="R4" i="1317"/>
  <c r="R52" i="1316"/>
  <c r="R51" i="1316"/>
  <c r="D50" i="1316"/>
  <c r="R49" i="1316"/>
  <c r="D49" i="1316"/>
  <c r="R48" i="1316"/>
  <c r="D48" i="1316"/>
  <c r="D46" i="1316"/>
  <c r="D45" i="1316"/>
  <c r="D44" i="1316"/>
  <c r="R42" i="1316"/>
  <c r="L6" i="1316" s="1"/>
  <c r="D6" i="1316" s="1"/>
  <c r="D42" i="1316"/>
  <c r="R41" i="1316"/>
  <c r="D41" i="1316"/>
  <c r="R40" i="1316"/>
  <c r="L8" i="1316" s="1"/>
  <c r="D8" i="1316" s="1"/>
  <c r="D40" i="1316"/>
  <c r="R39" i="1316"/>
  <c r="L20" i="1316" s="1"/>
  <c r="D20" i="1316" s="1"/>
  <c r="H39" i="1316"/>
  <c r="D39" i="1316"/>
  <c r="R38" i="1316"/>
  <c r="L9" i="1316" s="1"/>
  <c r="D9" i="1316" s="1"/>
  <c r="H38" i="1316"/>
  <c r="D38" i="1316"/>
  <c r="R37" i="1316"/>
  <c r="H37" i="1316"/>
  <c r="D37" i="1316"/>
  <c r="R36" i="1316"/>
  <c r="L10" i="1316" s="1"/>
  <c r="D10" i="1316" s="1"/>
  <c r="H36" i="1316"/>
  <c r="D36" i="1316"/>
  <c r="R35" i="1316"/>
  <c r="H35" i="1316"/>
  <c r="D35" i="1316"/>
  <c r="R34" i="1316"/>
  <c r="H34" i="1316"/>
  <c r="D34" i="1316"/>
  <c r="R33" i="1316"/>
  <c r="L23" i="1316" s="1"/>
  <c r="D23" i="1316" s="1"/>
  <c r="R32" i="1316"/>
  <c r="L11" i="1316" s="1"/>
  <c r="D11" i="1316" s="1"/>
  <c r="R31" i="1316"/>
  <c r="R30" i="1316"/>
  <c r="R29" i="1316"/>
  <c r="R28" i="1316"/>
  <c r="L16" i="1316" s="1"/>
  <c r="D16" i="1316" s="1"/>
  <c r="D28" i="1316"/>
  <c r="R27" i="1316"/>
  <c r="D27" i="1316"/>
  <c r="R26" i="1316"/>
  <c r="L26" i="1316"/>
  <c r="D26" i="1316" s="1"/>
  <c r="R25" i="1316"/>
  <c r="L25" i="1316"/>
  <c r="D25" i="1316"/>
  <c r="R24" i="1316"/>
  <c r="L24" i="1316"/>
  <c r="D24" i="1316"/>
  <c r="R23" i="1316"/>
  <c r="R22" i="1316"/>
  <c r="L22" i="1316"/>
  <c r="D22" i="1316" s="1"/>
  <c r="R21" i="1316"/>
  <c r="L17" i="1316" s="1"/>
  <c r="D17" i="1316" s="1"/>
  <c r="D21" i="1316"/>
  <c r="R20" i="1316"/>
  <c r="R19" i="1316"/>
  <c r="L19" i="1316"/>
  <c r="D19" i="1316"/>
  <c r="R18" i="1316"/>
  <c r="D18" i="1316"/>
  <c r="R17" i="1316"/>
  <c r="R16" i="1316"/>
  <c r="R15" i="1316"/>
  <c r="D15" i="1316"/>
  <c r="R14" i="1316"/>
  <c r="D14" i="1316"/>
  <c r="R13" i="1316"/>
  <c r="D13" i="1316"/>
  <c r="R12" i="1316"/>
  <c r="L12" i="1316"/>
  <c r="D12" i="1316" s="1"/>
  <c r="R11" i="1316"/>
  <c r="L7" i="1316"/>
  <c r="D7" i="1316"/>
  <c r="R6" i="1316"/>
  <c r="R5" i="1316"/>
  <c r="R4" i="1316"/>
  <c r="R52" i="1315"/>
  <c r="R51" i="1315"/>
  <c r="D50" i="1315"/>
  <c r="R49" i="1315"/>
  <c r="D49" i="1315"/>
  <c r="R48" i="1315"/>
  <c r="D48" i="1315"/>
  <c r="D46" i="1315"/>
  <c r="D45" i="1315"/>
  <c r="R44" i="1315"/>
  <c r="P44" i="1315"/>
  <c r="D44" i="1315"/>
  <c r="R42" i="1315"/>
  <c r="L6" i="1315" s="1"/>
  <c r="D6" i="1315" s="1"/>
  <c r="D42" i="1315"/>
  <c r="R41" i="1315"/>
  <c r="L7" i="1315" s="1"/>
  <c r="D7" i="1315" s="1"/>
  <c r="D41" i="1315"/>
  <c r="R40" i="1315"/>
  <c r="D40" i="1315"/>
  <c r="R39" i="1315"/>
  <c r="H39" i="1315"/>
  <c r="D39" i="1315"/>
  <c r="R38" i="1315"/>
  <c r="H38" i="1315"/>
  <c r="D38" i="1315"/>
  <c r="R37" i="1315"/>
  <c r="H37" i="1315"/>
  <c r="D37" i="1315"/>
  <c r="R36" i="1315"/>
  <c r="H36" i="1315"/>
  <c r="D36" i="1315"/>
  <c r="R35" i="1315"/>
  <c r="H35" i="1315"/>
  <c r="D35" i="1315"/>
  <c r="R34" i="1315"/>
  <c r="H34" i="1315"/>
  <c r="D34" i="1315"/>
  <c r="R33" i="1315"/>
  <c r="R32" i="1315"/>
  <c r="R31" i="1315"/>
  <c r="R30" i="1315"/>
  <c r="R29" i="1315"/>
  <c r="R28" i="1315"/>
  <c r="L16" i="1315" s="1"/>
  <c r="D16" i="1315" s="1"/>
  <c r="D28" i="1315"/>
  <c r="R27" i="1315"/>
  <c r="L27" i="1315"/>
  <c r="D27" i="1315" s="1"/>
  <c r="R26" i="1315"/>
  <c r="L26" i="1315"/>
  <c r="D26" i="1315"/>
  <c r="R25" i="1315"/>
  <c r="D25" i="1315"/>
  <c r="R24" i="1315"/>
  <c r="L24" i="1315"/>
  <c r="D24" i="1315" s="1"/>
  <c r="R23" i="1315"/>
  <c r="L23" i="1315"/>
  <c r="D23" i="1315"/>
  <c r="R22" i="1315"/>
  <c r="D22" i="1315"/>
  <c r="R21" i="1315"/>
  <c r="D21" i="1315"/>
  <c r="R20" i="1315"/>
  <c r="L20" i="1315"/>
  <c r="D20" i="1315" s="1"/>
  <c r="R19" i="1315"/>
  <c r="D19" i="1315"/>
  <c r="R18" i="1315"/>
  <c r="D18" i="1315"/>
  <c r="R17" i="1315"/>
  <c r="L17" i="1315"/>
  <c r="D17" i="1315"/>
  <c r="T16" i="1315"/>
  <c r="R16" i="1315"/>
  <c r="R15" i="1315"/>
  <c r="D15" i="1315"/>
  <c r="R14" i="1315"/>
  <c r="D14" i="1315"/>
  <c r="R13" i="1315"/>
  <c r="D13" i="1315"/>
  <c r="R12" i="1315"/>
  <c r="L12" i="1315"/>
  <c r="D12" i="1315"/>
  <c r="R11" i="1315"/>
  <c r="L11" i="1315"/>
  <c r="D11" i="1315"/>
  <c r="L10" i="1315"/>
  <c r="D10" i="1315"/>
  <c r="L9" i="1315"/>
  <c r="D9" i="1315" s="1"/>
  <c r="L8" i="1315"/>
  <c r="D8" i="1315" s="1"/>
  <c r="R6" i="1315"/>
  <c r="R5" i="1315"/>
  <c r="R4" i="1315"/>
  <c r="R52" i="1314"/>
  <c r="R51" i="1314"/>
  <c r="D50" i="1314"/>
  <c r="R49" i="1314"/>
  <c r="G49" i="1314"/>
  <c r="D49" i="1314"/>
  <c r="R48" i="1314"/>
  <c r="D48" i="1314"/>
  <c r="D46" i="1314"/>
  <c r="D45" i="1314"/>
  <c r="D44" i="1314"/>
  <c r="R42" i="1314"/>
  <c r="D42" i="1314"/>
  <c r="R41" i="1314"/>
  <c r="L7" i="1314" s="1"/>
  <c r="D7" i="1314" s="1"/>
  <c r="D41" i="1314"/>
  <c r="R40" i="1314"/>
  <c r="L8" i="1314" s="1"/>
  <c r="D8" i="1314" s="1"/>
  <c r="D40" i="1314"/>
  <c r="D54" i="1314" s="1"/>
  <c r="H14" i="1314" s="1"/>
  <c r="R39" i="1314"/>
  <c r="D39" i="1314"/>
  <c r="R38" i="1314"/>
  <c r="D38" i="1314"/>
  <c r="R37" i="1314"/>
  <c r="D37" i="1314"/>
  <c r="R36" i="1314"/>
  <c r="D36" i="1314"/>
  <c r="R35" i="1314"/>
  <c r="D35" i="1314"/>
  <c r="R34" i="1314"/>
  <c r="L12" i="1314" s="1"/>
  <c r="D12" i="1314" s="1"/>
  <c r="D34" i="1314"/>
  <c r="R33" i="1314"/>
  <c r="L23" i="1314" s="1"/>
  <c r="D23" i="1314" s="1"/>
  <c r="R32" i="1314"/>
  <c r="R31" i="1314"/>
  <c r="R30" i="1314"/>
  <c r="R29" i="1314"/>
  <c r="R28" i="1314"/>
  <c r="L16" i="1314" s="1"/>
  <c r="D16" i="1314" s="1"/>
  <c r="D28" i="1314"/>
  <c r="R27" i="1314"/>
  <c r="D27" i="1314"/>
  <c r="R26" i="1314"/>
  <c r="L26" i="1314"/>
  <c r="D26" i="1314"/>
  <c r="R25" i="1314"/>
  <c r="L25" i="1314"/>
  <c r="D25" i="1314"/>
  <c r="R24" i="1314"/>
  <c r="D24" i="1314"/>
  <c r="R23" i="1314"/>
  <c r="R22" i="1314"/>
  <c r="L22" i="1314"/>
  <c r="D22" i="1314" s="1"/>
  <c r="R21" i="1314"/>
  <c r="D21" i="1314"/>
  <c r="R20" i="1314"/>
  <c r="L20" i="1314"/>
  <c r="D20" i="1314"/>
  <c r="R19" i="1314"/>
  <c r="L19" i="1314"/>
  <c r="D19" i="1314"/>
  <c r="R18" i="1314"/>
  <c r="D18" i="1314"/>
  <c r="R17" i="1314"/>
  <c r="D17" i="1314"/>
  <c r="R16" i="1314"/>
  <c r="S15" i="1314"/>
  <c r="R15" i="1314"/>
  <c r="D15" i="1314"/>
  <c r="S14" i="1314"/>
  <c r="R14" i="1314"/>
  <c r="D14" i="1314"/>
  <c r="R13" i="1314"/>
  <c r="D13" i="1314"/>
  <c r="R12" i="1314"/>
  <c r="R11" i="1314"/>
  <c r="L11" i="1314"/>
  <c r="D11" i="1314" s="1"/>
  <c r="L10" i="1314"/>
  <c r="D10" i="1314" s="1"/>
  <c r="L9" i="1314"/>
  <c r="D9" i="1314" s="1"/>
  <c r="R6" i="1314"/>
  <c r="L6" i="1314"/>
  <c r="D6" i="1314"/>
  <c r="R5" i="1314"/>
  <c r="R4" i="1314"/>
  <c r="G51" i="1341" l="1"/>
  <c r="H15" i="1340"/>
  <c r="H29" i="1340" s="1"/>
  <c r="G51" i="1340" s="1"/>
  <c r="H15" i="1339"/>
  <c r="H29" i="1339" s="1"/>
  <c r="G51" i="1339" s="1"/>
  <c r="H15" i="1337"/>
  <c r="H29" i="1337" s="1"/>
  <c r="G51" i="1337" s="1"/>
  <c r="H15" i="1335"/>
  <c r="H29" i="1335" s="1"/>
  <c r="G51" i="1335" s="1"/>
  <c r="G49" i="1331"/>
  <c r="D54" i="1333"/>
  <c r="H14" i="1333" s="1"/>
  <c r="D54" i="1332"/>
  <c r="H14" i="1332" s="1"/>
  <c r="D54" i="1331"/>
  <c r="H14" i="1331" s="1"/>
  <c r="G49" i="1333"/>
  <c r="G49" i="1329"/>
  <c r="D54" i="1329"/>
  <c r="H14" i="1329" s="1"/>
  <c r="D54" i="1328"/>
  <c r="H14" i="1328" s="1"/>
  <c r="D54" i="1327"/>
  <c r="H14" i="1327" s="1"/>
  <c r="G49" i="1323"/>
  <c r="D54" i="1323"/>
  <c r="H14" i="1323" s="1"/>
  <c r="G49" i="1324"/>
  <c r="D54" i="1324"/>
  <c r="H14" i="1324" s="1"/>
  <c r="G49" i="1325"/>
  <c r="D54" i="1325"/>
  <c r="H14" i="1325" s="1"/>
  <c r="D29" i="1325"/>
  <c r="H13" i="1325" s="1"/>
  <c r="D54" i="1319"/>
  <c r="H14" i="1319" s="1"/>
  <c r="D29" i="1319"/>
  <c r="H13" i="1319" s="1"/>
  <c r="G49" i="1317"/>
  <c r="G49" i="1316"/>
  <c r="G49" i="1315"/>
  <c r="D54" i="1317"/>
  <c r="H14" i="1317" s="1"/>
  <c r="D54" i="1316"/>
  <c r="H14" i="1316" s="1"/>
  <c r="D54" i="1315"/>
  <c r="H14" i="1315" s="1"/>
  <c r="D29" i="1334"/>
  <c r="H13" i="1334" s="1"/>
  <c r="H15" i="1334" s="1"/>
  <c r="H29" i="1334" s="1"/>
  <c r="G51" i="1334" s="1"/>
  <c r="D29" i="1333"/>
  <c r="H13" i="1333" s="1"/>
  <c r="D29" i="1332"/>
  <c r="H13" i="1332" s="1"/>
  <c r="D29" i="1331"/>
  <c r="H13" i="1331" s="1"/>
  <c r="D29" i="1330"/>
  <c r="H13" i="1330" s="1"/>
  <c r="H15" i="1330" s="1"/>
  <c r="H29" i="1330" s="1"/>
  <c r="G51" i="1330" s="1"/>
  <c r="D29" i="1329"/>
  <c r="H13" i="1329" s="1"/>
  <c r="D29" i="1328"/>
  <c r="H13" i="1328" s="1"/>
  <c r="D29" i="1327"/>
  <c r="H13" i="1327" s="1"/>
  <c r="D29" i="1326"/>
  <c r="H13" i="1326" s="1"/>
  <c r="H15" i="1326" s="1"/>
  <c r="H29" i="1326" s="1"/>
  <c r="G51" i="1326" s="1"/>
  <c r="D29" i="1324"/>
  <c r="H13" i="1324" s="1"/>
  <c r="D29" i="1323"/>
  <c r="H13" i="1323" s="1"/>
  <c r="D29" i="1322"/>
  <c r="H13" i="1322" s="1"/>
  <c r="H15" i="1322" s="1"/>
  <c r="H29" i="1322" s="1"/>
  <c r="G51" i="1322" s="1"/>
  <c r="D29" i="1321"/>
  <c r="H13" i="1321" s="1"/>
  <c r="H15" i="1321" s="1"/>
  <c r="H29" i="1321" s="1"/>
  <c r="G51" i="1321" s="1"/>
  <c r="D29" i="1320"/>
  <c r="H13" i="1320" s="1"/>
  <c r="H15" i="1320" s="1"/>
  <c r="H29" i="1320" s="1"/>
  <c r="G51" i="1320"/>
  <c r="D29" i="1318"/>
  <c r="H13" i="1318" s="1"/>
  <c r="H15" i="1318" s="1"/>
  <c r="H29" i="1318" s="1"/>
  <c r="G51" i="1318" s="1"/>
  <c r="D29" i="1317"/>
  <c r="H13" i="1317" s="1"/>
  <c r="D29" i="1316"/>
  <c r="H13" i="1316" s="1"/>
  <c r="D29" i="1315"/>
  <c r="H13" i="1315" s="1"/>
  <c r="D29" i="1314"/>
  <c r="H13" i="1314" s="1"/>
  <c r="H15" i="1314" s="1"/>
  <c r="H29" i="1314" s="1"/>
  <c r="G51" i="1314" s="1"/>
  <c r="H16" i="1291"/>
  <c r="H16" i="1290"/>
  <c r="H15" i="1333" l="1"/>
  <c r="H29" i="1333" s="1"/>
  <c r="G51" i="1333" s="1"/>
  <c r="H15" i="1332"/>
  <c r="H29" i="1332" s="1"/>
  <c r="G51" i="1332" s="1"/>
  <c r="H15" i="1331"/>
  <c r="H29" i="1331" s="1"/>
  <c r="G51" i="1331" s="1"/>
  <c r="H15" i="1329"/>
  <c r="H29" i="1329" s="1"/>
  <c r="G51" i="1329" s="1"/>
  <c r="H15" i="1328"/>
  <c r="H29" i="1328" s="1"/>
  <c r="G51" i="1328" s="1"/>
  <c r="H15" i="1327"/>
  <c r="H29" i="1327" s="1"/>
  <c r="G51" i="1327" s="1"/>
  <c r="H15" i="1323"/>
  <c r="H29" i="1323" s="1"/>
  <c r="G51" i="1323" s="1"/>
  <c r="H15" i="1324"/>
  <c r="H29" i="1324" s="1"/>
  <c r="G51" i="1324" s="1"/>
  <c r="H15" i="1325"/>
  <c r="H29" i="1325" s="1"/>
  <c r="G51" i="1325" s="1"/>
  <c r="H15" i="1319"/>
  <c r="H29" i="1319" s="1"/>
  <c r="G51" i="1319" s="1"/>
  <c r="H15" i="1317"/>
  <c r="H29" i="1317" s="1"/>
  <c r="G51" i="1317" s="1"/>
  <c r="H15" i="1316"/>
  <c r="H29" i="1316" s="1"/>
  <c r="G51" i="1316" s="1"/>
  <c r="H15" i="1315"/>
  <c r="H29" i="1315" s="1"/>
  <c r="G51" i="1315" s="1"/>
  <c r="C23" i="1291"/>
  <c r="L20" i="1291"/>
  <c r="C12" i="1291"/>
  <c r="C21" i="1291"/>
  <c r="H16" i="1286" l="1"/>
  <c r="C9" i="1287"/>
  <c r="C20" i="1285"/>
  <c r="C12" i="1285"/>
  <c r="C21" i="1285"/>
  <c r="H16" i="1283" l="1"/>
  <c r="H16" i="1313" l="1"/>
  <c r="R52" i="1313"/>
  <c r="R51" i="1313"/>
  <c r="D50" i="1313"/>
  <c r="R49" i="1313"/>
  <c r="D49" i="1313"/>
  <c r="R48" i="1313"/>
  <c r="D48" i="1313"/>
  <c r="D46" i="1313"/>
  <c r="D45" i="1313"/>
  <c r="P44" i="1313"/>
  <c r="R44" i="1313" s="1"/>
  <c r="D44" i="1313"/>
  <c r="R42" i="1313"/>
  <c r="L6" i="1313" s="1"/>
  <c r="D6" i="1313" s="1"/>
  <c r="D42" i="1313"/>
  <c r="R41" i="1313"/>
  <c r="D41" i="1313"/>
  <c r="R40" i="1313"/>
  <c r="D40" i="1313"/>
  <c r="R39" i="1313"/>
  <c r="L20" i="1313" s="1"/>
  <c r="D20" i="1313" s="1"/>
  <c r="H39" i="1313"/>
  <c r="D39" i="1313"/>
  <c r="R38" i="1313"/>
  <c r="H38" i="1313"/>
  <c r="D38" i="1313"/>
  <c r="R37" i="1313"/>
  <c r="H37" i="1313"/>
  <c r="D37" i="1313"/>
  <c r="R36" i="1313"/>
  <c r="H36" i="1313"/>
  <c r="D36" i="1313"/>
  <c r="R35" i="1313"/>
  <c r="H35" i="1313"/>
  <c r="D35" i="1313"/>
  <c r="R34" i="1313"/>
  <c r="H34" i="1313"/>
  <c r="D34" i="1313"/>
  <c r="R33" i="1313"/>
  <c r="R32" i="1313"/>
  <c r="R31" i="1313"/>
  <c r="R30" i="1313"/>
  <c r="R29" i="1313"/>
  <c r="R28" i="1313"/>
  <c r="L16" i="1313" s="1"/>
  <c r="D16" i="1313" s="1"/>
  <c r="D28" i="1313"/>
  <c r="R27" i="1313"/>
  <c r="L27" i="1313"/>
  <c r="D27" i="1313"/>
  <c r="R26" i="1313"/>
  <c r="L26" i="1313"/>
  <c r="D26" i="1313"/>
  <c r="R25" i="1313"/>
  <c r="D25" i="1313"/>
  <c r="R24" i="1313"/>
  <c r="L24" i="1313"/>
  <c r="D24" i="1313"/>
  <c r="R23" i="1313"/>
  <c r="L23" i="1313"/>
  <c r="D23" i="1313"/>
  <c r="R22" i="1313"/>
  <c r="D22" i="1313"/>
  <c r="R21" i="1313"/>
  <c r="D21" i="1313"/>
  <c r="R20" i="1313"/>
  <c r="R19" i="1313"/>
  <c r="D19" i="1313"/>
  <c r="R18" i="1313"/>
  <c r="D18" i="1313"/>
  <c r="R17" i="1313"/>
  <c r="L17" i="1313"/>
  <c r="D17" i="1313" s="1"/>
  <c r="T16" i="1313"/>
  <c r="R16" i="1313"/>
  <c r="R15" i="1313"/>
  <c r="D15" i="1313"/>
  <c r="R14" i="1313"/>
  <c r="D14" i="1313"/>
  <c r="R13" i="1313"/>
  <c r="D13" i="1313"/>
  <c r="R12" i="1313"/>
  <c r="L12" i="1313"/>
  <c r="D12" i="1313" s="1"/>
  <c r="R11" i="1313"/>
  <c r="L11" i="1313"/>
  <c r="D11" i="1313"/>
  <c r="L10" i="1313"/>
  <c r="D10" i="1313" s="1"/>
  <c r="L9" i="1313"/>
  <c r="D9" i="1313"/>
  <c r="L8" i="1313"/>
  <c r="D8" i="1313" s="1"/>
  <c r="L7" i="1313"/>
  <c r="D7" i="1313" s="1"/>
  <c r="R6" i="1313"/>
  <c r="R5" i="1313"/>
  <c r="R4" i="1313"/>
  <c r="R52" i="1312"/>
  <c r="R51" i="1312"/>
  <c r="D50" i="1312"/>
  <c r="R49" i="1312"/>
  <c r="G49" i="1312"/>
  <c r="D49" i="1312"/>
  <c r="R48" i="1312"/>
  <c r="D48" i="1312"/>
  <c r="D46" i="1312"/>
  <c r="D45" i="1312"/>
  <c r="D44" i="1312"/>
  <c r="R42" i="1312"/>
  <c r="D42" i="1312"/>
  <c r="R41" i="1312"/>
  <c r="L7" i="1312" s="1"/>
  <c r="D7" i="1312" s="1"/>
  <c r="D41" i="1312"/>
  <c r="R40" i="1312"/>
  <c r="L8" i="1312" s="1"/>
  <c r="D8" i="1312" s="1"/>
  <c r="D40" i="1312"/>
  <c r="D54" i="1312" s="1"/>
  <c r="H14" i="1312" s="1"/>
  <c r="R39" i="1312"/>
  <c r="D39" i="1312"/>
  <c r="R38" i="1312"/>
  <c r="D38" i="1312"/>
  <c r="R37" i="1312"/>
  <c r="D37" i="1312"/>
  <c r="R36" i="1312"/>
  <c r="L10" i="1312" s="1"/>
  <c r="D10" i="1312" s="1"/>
  <c r="D36" i="1312"/>
  <c r="R35" i="1312"/>
  <c r="L19" i="1312" s="1"/>
  <c r="D19" i="1312" s="1"/>
  <c r="D35" i="1312"/>
  <c r="R34" i="1312"/>
  <c r="D34" i="1312"/>
  <c r="R33" i="1312"/>
  <c r="R32" i="1312"/>
  <c r="L11" i="1312" s="1"/>
  <c r="D11" i="1312" s="1"/>
  <c r="R31" i="1312"/>
  <c r="R30" i="1312"/>
  <c r="R29" i="1312"/>
  <c r="R28" i="1312"/>
  <c r="D28" i="1312"/>
  <c r="R27" i="1312"/>
  <c r="D27" i="1312"/>
  <c r="R26" i="1312"/>
  <c r="L26" i="1312"/>
  <c r="D26" i="1312" s="1"/>
  <c r="R25" i="1312"/>
  <c r="L25" i="1312"/>
  <c r="D25" i="1312"/>
  <c r="R24" i="1312"/>
  <c r="D24" i="1312"/>
  <c r="R23" i="1312"/>
  <c r="L23" i="1312"/>
  <c r="D23" i="1312" s="1"/>
  <c r="R22" i="1312"/>
  <c r="L22" i="1312"/>
  <c r="D22" i="1312"/>
  <c r="R21" i="1312"/>
  <c r="D21" i="1312"/>
  <c r="R20" i="1312"/>
  <c r="L20" i="1312"/>
  <c r="D20" i="1312" s="1"/>
  <c r="R19" i="1312"/>
  <c r="R18" i="1312"/>
  <c r="D18" i="1312"/>
  <c r="R17" i="1312"/>
  <c r="D17" i="1312"/>
  <c r="R16" i="1312"/>
  <c r="L16" i="1312"/>
  <c r="D16" i="1312" s="1"/>
  <c r="S15" i="1312"/>
  <c r="R15" i="1312"/>
  <c r="D15" i="1312"/>
  <c r="S14" i="1312"/>
  <c r="R14" i="1312"/>
  <c r="D14" i="1312"/>
  <c r="R13" i="1312"/>
  <c r="D13" i="1312"/>
  <c r="R12" i="1312"/>
  <c r="L12" i="1312"/>
  <c r="D12" i="1312" s="1"/>
  <c r="R11" i="1312"/>
  <c r="L9" i="1312"/>
  <c r="D9" i="1312"/>
  <c r="R6" i="1312"/>
  <c r="L6" i="1312"/>
  <c r="D6" i="1312"/>
  <c r="R5" i="1312"/>
  <c r="R4" i="1312"/>
  <c r="D54" i="1313" l="1"/>
  <c r="H14" i="1313" s="1"/>
  <c r="G49" i="1313"/>
  <c r="D29" i="1313"/>
  <c r="H13" i="1313" s="1"/>
  <c r="D29" i="1312"/>
  <c r="H13" i="1312" s="1"/>
  <c r="H15" i="1312" s="1"/>
  <c r="H29" i="1312" s="1"/>
  <c r="G51" i="1312" s="1"/>
  <c r="H15" i="1313" l="1"/>
  <c r="H29" i="1313" s="1"/>
  <c r="G51" i="1313" s="1"/>
  <c r="H16" i="1282" l="1"/>
  <c r="L25" i="1283"/>
  <c r="C23" i="1283"/>
  <c r="C12" i="1283"/>
  <c r="C21" i="1283"/>
  <c r="R52" i="1311" l="1"/>
  <c r="R51" i="1311"/>
  <c r="D50" i="1311"/>
  <c r="R49" i="1311"/>
  <c r="D49" i="1311"/>
  <c r="R48" i="1311"/>
  <c r="D48" i="1311"/>
  <c r="D46" i="1311"/>
  <c r="D45" i="1311"/>
  <c r="D44" i="1311"/>
  <c r="R42" i="1311"/>
  <c r="L6" i="1311" s="1"/>
  <c r="D6" i="1311" s="1"/>
  <c r="D42" i="1311"/>
  <c r="R41" i="1311"/>
  <c r="L7" i="1311" s="1"/>
  <c r="D7" i="1311" s="1"/>
  <c r="D41" i="1311"/>
  <c r="R40" i="1311"/>
  <c r="L8" i="1311" s="1"/>
  <c r="D8" i="1311" s="1"/>
  <c r="D40" i="1311"/>
  <c r="R39" i="1311"/>
  <c r="H39" i="1311"/>
  <c r="D39" i="1311"/>
  <c r="R38" i="1311"/>
  <c r="L9" i="1311" s="1"/>
  <c r="D9" i="1311" s="1"/>
  <c r="H38" i="1311"/>
  <c r="D38" i="1311"/>
  <c r="R37" i="1311"/>
  <c r="H37" i="1311"/>
  <c r="D37" i="1311"/>
  <c r="R36" i="1311"/>
  <c r="L10" i="1311" s="1"/>
  <c r="D10" i="1311" s="1"/>
  <c r="H36" i="1311"/>
  <c r="D36" i="1311"/>
  <c r="R35" i="1311"/>
  <c r="L19" i="1311" s="1"/>
  <c r="D19" i="1311" s="1"/>
  <c r="H35" i="1311"/>
  <c r="D35" i="1311"/>
  <c r="R34" i="1311"/>
  <c r="H34" i="1311"/>
  <c r="D34" i="1311"/>
  <c r="R33" i="1311"/>
  <c r="L23" i="1311" s="1"/>
  <c r="D23" i="1311" s="1"/>
  <c r="R32" i="1311"/>
  <c r="L11" i="1311" s="1"/>
  <c r="D11" i="1311" s="1"/>
  <c r="R31" i="1311"/>
  <c r="R30" i="1311"/>
  <c r="R29" i="1311"/>
  <c r="R28" i="1311"/>
  <c r="L16" i="1311" s="1"/>
  <c r="D16" i="1311" s="1"/>
  <c r="D28" i="1311"/>
  <c r="R27" i="1311"/>
  <c r="D27" i="1311"/>
  <c r="R26" i="1311"/>
  <c r="L26" i="1311"/>
  <c r="D26" i="1311" s="1"/>
  <c r="R25" i="1311"/>
  <c r="L25" i="1311"/>
  <c r="D25" i="1311" s="1"/>
  <c r="R24" i="1311"/>
  <c r="D24" i="1311"/>
  <c r="R23" i="1311"/>
  <c r="R22" i="1311"/>
  <c r="L22" i="1311"/>
  <c r="D22" i="1311" s="1"/>
  <c r="R21" i="1311"/>
  <c r="D21" i="1311"/>
  <c r="R20" i="1311"/>
  <c r="L20" i="1311"/>
  <c r="D20" i="1311" s="1"/>
  <c r="R19" i="1311"/>
  <c r="R18" i="1311"/>
  <c r="D18" i="1311"/>
  <c r="R17" i="1311"/>
  <c r="D17" i="1311"/>
  <c r="R16" i="1311"/>
  <c r="S15" i="1311"/>
  <c r="R15" i="1311"/>
  <c r="D15" i="1311"/>
  <c r="S14" i="1311"/>
  <c r="R14" i="1311"/>
  <c r="D14" i="1311"/>
  <c r="R13" i="1311"/>
  <c r="D13" i="1311"/>
  <c r="R12" i="1311"/>
  <c r="L12" i="1311"/>
  <c r="D12" i="1311" s="1"/>
  <c r="R11" i="1311"/>
  <c r="R6" i="1311"/>
  <c r="R5" i="1311"/>
  <c r="R4" i="1311"/>
  <c r="R52" i="1310"/>
  <c r="R51" i="1310"/>
  <c r="D50" i="1310"/>
  <c r="R49" i="1310"/>
  <c r="D49" i="1310"/>
  <c r="R48" i="1310"/>
  <c r="D48" i="1310"/>
  <c r="D46" i="1310"/>
  <c r="D45" i="1310"/>
  <c r="D44" i="1310"/>
  <c r="R42" i="1310"/>
  <c r="D42" i="1310"/>
  <c r="R41" i="1310"/>
  <c r="L7" i="1310" s="1"/>
  <c r="D7" i="1310" s="1"/>
  <c r="D41" i="1310"/>
  <c r="R40" i="1310"/>
  <c r="D40" i="1310"/>
  <c r="R39" i="1310"/>
  <c r="H39" i="1310"/>
  <c r="D39" i="1310"/>
  <c r="R38" i="1310"/>
  <c r="H38" i="1310"/>
  <c r="D38" i="1310"/>
  <c r="R37" i="1310"/>
  <c r="H37" i="1310"/>
  <c r="D37" i="1310"/>
  <c r="R36" i="1310"/>
  <c r="H36" i="1310"/>
  <c r="D36" i="1310"/>
  <c r="R35" i="1310"/>
  <c r="L19" i="1310" s="1"/>
  <c r="D19" i="1310" s="1"/>
  <c r="H35" i="1310"/>
  <c r="D35" i="1310"/>
  <c r="R34" i="1310"/>
  <c r="L12" i="1310" s="1"/>
  <c r="D12" i="1310" s="1"/>
  <c r="H34" i="1310"/>
  <c r="D34" i="1310"/>
  <c r="R33" i="1310"/>
  <c r="R32" i="1310"/>
  <c r="R31" i="1310"/>
  <c r="R30" i="1310"/>
  <c r="R29" i="1310"/>
  <c r="R28" i="1310"/>
  <c r="D28" i="1310"/>
  <c r="R27" i="1310"/>
  <c r="D27" i="1310"/>
  <c r="R26" i="1310"/>
  <c r="L26" i="1310"/>
  <c r="D26" i="1310"/>
  <c r="R25" i="1310"/>
  <c r="L25" i="1310"/>
  <c r="D25" i="1310"/>
  <c r="R24" i="1310"/>
  <c r="L24" i="1310"/>
  <c r="D24" i="1310" s="1"/>
  <c r="R23" i="1310"/>
  <c r="L23" i="1310"/>
  <c r="D23" i="1310" s="1"/>
  <c r="R22" i="1310"/>
  <c r="L22" i="1310"/>
  <c r="D22" i="1310"/>
  <c r="R21" i="1310"/>
  <c r="L17" i="1310" s="1"/>
  <c r="D17" i="1310" s="1"/>
  <c r="D21" i="1310"/>
  <c r="R20" i="1310"/>
  <c r="L20" i="1310"/>
  <c r="D20" i="1310" s="1"/>
  <c r="R19" i="1310"/>
  <c r="R18" i="1310"/>
  <c r="D18" i="1310"/>
  <c r="R17" i="1310"/>
  <c r="R16" i="1310"/>
  <c r="L16" i="1310"/>
  <c r="D16" i="1310"/>
  <c r="R15" i="1310"/>
  <c r="D15" i="1310"/>
  <c r="R14" i="1310"/>
  <c r="D14" i="1310"/>
  <c r="R13" i="1310"/>
  <c r="D13" i="1310"/>
  <c r="R12" i="1310"/>
  <c r="R11" i="1310"/>
  <c r="L11" i="1310"/>
  <c r="D11" i="1310"/>
  <c r="L10" i="1310"/>
  <c r="D10" i="1310"/>
  <c r="L9" i="1310"/>
  <c r="D9" i="1310" s="1"/>
  <c r="L8" i="1310"/>
  <c r="D8" i="1310" s="1"/>
  <c r="R6" i="1310"/>
  <c r="L6" i="1310"/>
  <c r="D6" i="1310" s="1"/>
  <c r="R5" i="1310"/>
  <c r="R4" i="1310"/>
  <c r="R52" i="1309"/>
  <c r="R51" i="1309"/>
  <c r="D50" i="1309"/>
  <c r="R49" i="1309"/>
  <c r="D49" i="1309"/>
  <c r="R48" i="1309"/>
  <c r="D48" i="1309"/>
  <c r="D46" i="1309"/>
  <c r="D45" i="1309"/>
  <c r="R44" i="1309"/>
  <c r="P44" i="1309"/>
  <c r="D44" i="1309"/>
  <c r="R42" i="1309"/>
  <c r="L6" i="1309" s="1"/>
  <c r="D6" i="1309" s="1"/>
  <c r="D42" i="1309"/>
  <c r="R41" i="1309"/>
  <c r="L7" i="1309" s="1"/>
  <c r="D7" i="1309" s="1"/>
  <c r="D41" i="1309"/>
  <c r="R40" i="1309"/>
  <c r="D40" i="1309"/>
  <c r="R39" i="1309"/>
  <c r="H39" i="1309"/>
  <c r="D39" i="1309"/>
  <c r="R38" i="1309"/>
  <c r="H38" i="1309"/>
  <c r="D38" i="1309"/>
  <c r="R37" i="1309"/>
  <c r="H37" i="1309"/>
  <c r="D37" i="1309"/>
  <c r="R36" i="1309"/>
  <c r="H36" i="1309"/>
  <c r="D36" i="1309"/>
  <c r="R35" i="1309"/>
  <c r="H35" i="1309"/>
  <c r="D35" i="1309"/>
  <c r="R34" i="1309"/>
  <c r="L12" i="1309" s="1"/>
  <c r="D12" i="1309" s="1"/>
  <c r="H34" i="1309"/>
  <c r="D34" i="1309"/>
  <c r="R33" i="1309"/>
  <c r="R32" i="1309"/>
  <c r="R31" i="1309"/>
  <c r="R30" i="1309"/>
  <c r="R29" i="1309"/>
  <c r="R28" i="1309"/>
  <c r="D28" i="1309"/>
  <c r="R27" i="1309"/>
  <c r="L27" i="1309"/>
  <c r="D27" i="1309" s="1"/>
  <c r="R26" i="1309"/>
  <c r="L26" i="1309"/>
  <c r="D26" i="1309" s="1"/>
  <c r="R25" i="1309"/>
  <c r="D25" i="1309"/>
  <c r="R24" i="1309"/>
  <c r="L24" i="1309"/>
  <c r="D24" i="1309"/>
  <c r="R23" i="1309"/>
  <c r="L23" i="1309"/>
  <c r="D23" i="1309" s="1"/>
  <c r="R22" i="1309"/>
  <c r="D22" i="1309"/>
  <c r="R21" i="1309"/>
  <c r="D21" i="1309"/>
  <c r="R20" i="1309"/>
  <c r="L20" i="1309"/>
  <c r="D20" i="1309"/>
  <c r="R19" i="1309"/>
  <c r="D19" i="1309"/>
  <c r="R18" i="1309"/>
  <c r="D18" i="1309"/>
  <c r="R17" i="1309"/>
  <c r="L17" i="1309"/>
  <c r="D17" i="1309" s="1"/>
  <c r="T16" i="1309"/>
  <c r="R16" i="1309"/>
  <c r="L16" i="1309"/>
  <c r="D16" i="1309"/>
  <c r="R15" i="1309"/>
  <c r="D15" i="1309"/>
  <c r="R14" i="1309"/>
  <c r="D14" i="1309"/>
  <c r="R13" i="1309"/>
  <c r="D13" i="1309"/>
  <c r="R12" i="1309"/>
  <c r="R11" i="1309"/>
  <c r="L11" i="1309"/>
  <c r="D11" i="1309" s="1"/>
  <c r="L10" i="1309"/>
  <c r="D10" i="1309" s="1"/>
  <c r="L9" i="1309"/>
  <c r="D9" i="1309" s="1"/>
  <c r="L8" i="1309"/>
  <c r="D8" i="1309"/>
  <c r="R6" i="1309"/>
  <c r="R5" i="1309"/>
  <c r="R4" i="1309"/>
  <c r="R52" i="1308"/>
  <c r="R51" i="1308"/>
  <c r="D50" i="1308"/>
  <c r="R49" i="1308"/>
  <c r="G49" i="1308"/>
  <c r="D49" i="1308"/>
  <c r="R48" i="1308"/>
  <c r="D48" i="1308"/>
  <c r="D46" i="1308"/>
  <c r="D45" i="1308"/>
  <c r="D44" i="1308"/>
  <c r="R42" i="1308"/>
  <c r="D42" i="1308"/>
  <c r="R41" i="1308"/>
  <c r="L7" i="1308" s="1"/>
  <c r="D7" i="1308" s="1"/>
  <c r="D41" i="1308"/>
  <c r="R40" i="1308"/>
  <c r="L8" i="1308" s="1"/>
  <c r="D8" i="1308" s="1"/>
  <c r="D40" i="1308"/>
  <c r="R39" i="1308"/>
  <c r="D39" i="1308"/>
  <c r="R38" i="1308"/>
  <c r="L9" i="1308" s="1"/>
  <c r="D9" i="1308" s="1"/>
  <c r="D38" i="1308"/>
  <c r="R37" i="1308"/>
  <c r="D37" i="1308"/>
  <c r="R36" i="1308"/>
  <c r="L10" i="1308" s="1"/>
  <c r="D10" i="1308" s="1"/>
  <c r="D36" i="1308"/>
  <c r="R35" i="1308"/>
  <c r="D35" i="1308"/>
  <c r="R34" i="1308"/>
  <c r="D34" i="1308"/>
  <c r="D54" i="1308" s="1"/>
  <c r="H14" i="1308" s="1"/>
  <c r="R33" i="1308"/>
  <c r="L23" i="1308" s="1"/>
  <c r="D23" i="1308" s="1"/>
  <c r="R32" i="1308"/>
  <c r="R31" i="1308"/>
  <c r="R30" i="1308"/>
  <c r="R29" i="1308"/>
  <c r="R28" i="1308"/>
  <c r="D28" i="1308"/>
  <c r="R27" i="1308"/>
  <c r="D27" i="1308"/>
  <c r="R26" i="1308"/>
  <c r="L26" i="1308"/>
  <c r="D26" i="1308" s="1"/>
  <c r="R25" i="1308"/>
  <c r="L25" i="1308"/>
  <c r="D25" i="1308"/>
  <c r="R24" i="1308"/>
  <c r="D24" i="1308"/>
  <c r="R23" i="1308"/>
  <c r="R22" i="1308"/>
  <c r="L22" i="1308"/>
  <c r="D22" i="1308" s="1"/>
  <c r="R21" i="1308"/>
  <c r="D21" i="1308"/>
  <c r="R20" i="1308"/>
  <c r="L20" i="1308"/>
  <c r="D20" i="1308"/>
  <c r="R19" i="1308"/>
  <c r="L19" i="1308"/>
  <c r="D19" i="1308"/>
  <c r="R18" i="1308"/>
  <c r="D18" i="1308"/>
  <c r="R17" i="1308"/>
  <c r="D17" i="1308"/>
  <c r="R16" i="1308"/>
  <c r="L16" i="1308"/>
  <c r="D16" i="1308" s="1"/>
  <c r="S15" i="1308"/>
  <c r="R15" i="1308"/>
  <c r="D15" i="1308"/>
  <c r="S14" i="1308"/>
  <c r="R14" i="1308"/>
  <c r="D14" i="1308"/>
  <c r="R13" i="1308"/>
  <c r="D13" i="1308"/>
  <c r="R12" i="1308"/>
  <c r="L12" i="1308"/>
  <c r="D12" i="1308" s="1"/>
  <c r="R11" i="1308"/>
  <c r="L11" i="1308"/>
  <c r="D11" i="1308" s="1"/>
  <c r="R6" i="1308"/>
  <c r="L6" i="1308"/>
  <c r="D6" i="1308" s="1"/>
  <c r="R5" i="1308"/>
  <c r="R4" i="1308"/>
  <c r="R52" i="1307"/>
  <c r="R51" i="1307"/>
  <c r="D50" i="1307"/>
  <c r="R49" i="1307"/>
  <c r="D49" i="1307"/>
  <c r="R48" i="1307"/>
  <c r="D48" i="1307"/>
  <c r="D46" i="1307"/>
  <c r="D45" i="1307"/>
  <c r="D44" i="1307"/>
  <c r="R42" i="1307"/>
  <c r="D42" i="1307"/>
  <c r="R41" i="1307"/>
  <c r="D41" i="1307"/>
  <c r="R40" i="1307"/>
  <c r="L8" i="1307" s="1"/>
  <c r="D8" i="1307" s="1"/>
  <c r="D40" i="1307"/>
  <c r="R39" i="1307"/>
  <c r="H39" i="1307"/>
  <c r="D39" i="1307"/>
  <c r="R38" i="1307"/>
  <c r="L9" i="1307" s="1"/>
  <c r="D9" i="1307" s="1"/>
  <c r="H38" i="1307"/>
  <c r="D38" i="1307"/>
  <c r="R37" i="1307"/>
  <c r="H37" i="1307"/>
  <c r="D37" i="1307"/>
  <c r="R36" i="1307"/>
  <c r="L10" i="1307" s="1"/>
  <c r="D10" i="1307" s="1"/>
  <c r="H36" i="1307"/>
  <c r="D36" i="1307"/>
  <c r="R35" i="1307"/>
  <c r="H35" i="1307"/>
  <c r="D35" i="1307"/>
  <c r="R34" i="1307"/>
  <c r="H34" i="1307"/>
  <c r="D34" i="1307"/>
  <c r="R33" i="1307"/>
  <c r="L23" i="1307" s="1"/>
  <c r="D23" i="1307" s="1"/>
  <c r="R32" i="1307"/>
  <c r="L11" i="1307" s="1"/>
  <c r="D11" i="1307" s="1"/>
  <c r="R31" i="1307"/>
  <c r="R30" i="1307"/>
  <c r="R29" i="1307"/>
  <c r="R28" i="1307"/>
  <c r="L16" i="1307" s="1"/>
  <c r="D16" i="1307" s="1"/>
  <c r="D28" i="1307"/>
  <c r="R27" i="1307"/>
  <c r="D27" i="1307"/>
  <c r="R26" i="1307"/>
  <c r="L26" i="1307"/>
  <c r="D26" i="1307" s="1"/>
  <c r="R25" i="1307"/>
  <c r="L25" i="1307"/>
  <c r="D25" i="1307"/>
  <c r="R24" i="1307"/>
  <c r="D24" i="1307"/>
  <c r="R23" i="1307"/>
  <c r="R22" i="1307"/>
  <c r="L22" i="1307"/>
  <c r="D22" i="1307" s="1"/>
  <c r="R21" i="1307"/>
  <c r="D21" i="1307"/>
  <c r="R20" i="1307"/>
  <c r="L20" i="1307"/>
  <c r="D20" i="1307" s="1"/>
  <c r="R19" i="1307"/>
  <c r="L19" i="1307"/>
  <c r="D19" i="1307"/>
  <c r="R18" i="1307"/>
  <c r="D18" i="1307"/>
  <c r="R17" i="1307"/>
  <c r="D17" i="1307"/>
  <c r="R16" i="1307"/>
  <c r="S15" i="1307"/>
  <c r="R15" i="1307"/>
  <c r="D15" i="1307"/>
  <c r="S14" i="1307"/>
  <c r="R14" i="1307"/>
  <c r="D14" i="1307"/>
  <c r="R13" i="1307"/>
  <c r="D13" i="1307"/>
  <c r="R12" i="1307"/>
  <c r="L12" i="1307"/>
  <c r="D12" i="1307" s="1"/>
  <c r="R11" i="1307"/>
  <c r="L7" i="1307"/>
  <c r="D7" i="1307"/>
  <c r="R6" i="1307"/>
  <c r="L6" i="1307"/>
  <c r="D6" i="1307"/>
  <c r="R5" i="1307"/>
  <c r="R4" i="1307"/>
  <c r="R52" i="1306"/>
  <c r="R51" i="1306"/>
  <c r="D50" i="1306"/>
  <c r="R49" i="1306"/>
  <c r="D49" i="1306"/>
  <c r="R48" i="1306"/>
  <c r="D48" i="1306"/>
  <c r="D46" i="1306"/>
  <c r="D45" i="1306"/>
  <c r="D44" i="1306"/>
  <c r="R42" i="1306"/>
  <c r="D42" i="1306"/>
  <c r="R41" i="1306"/>
  <c r="D41" i="1306"/>
  <c r="R40" i="1306"/>
  <c r="D40" i="1306"/>
  <c r="R39" i="1306"/>
  <c r="L20" i="1306" s="1"/>
  <c r="D20" i="1306" s="1"/>
  <c r="H39" i="1306"/>
  <c r="D39" i="1306"/>
  <c r="R38" i="1306"/>
  <c r="L9" i="1306" s="1"/>
  <c r="D9" i="1306" s="1"/>
  <c r="H38" i="1306"/>
  <c r="D38" i="1306"/>
  <c r="R37" i="1306"/>
  <c r="H37" i="1306"/>
  <c r="D37" i="1306"/>
  <c r="R36" i="1306"/>
  <c r="L10" i="1306" s="1"/>
  <c r="D10" i="1306" s="1"/>
  <c r="H36" i="1306"/>
  <c r="D36" i="1306"/>
  <c r="R35" i="1306"/>
  <c r="H35" i="1306"/>
  <c r="D35" i="1306"/>
  <c r="R34" i="1306"/>
  <c r="H34" i="1306"/>
  <c r="D34" i="1306"/>
  <c r="R33" i="1306"/>
  <c r="R32" i="1306"/>
  <c r="L11" i="1306" s="1"/>
  <c r="D11" i="1306" s="1"/>
  <c r="R31" i="1306"/>
  <c r="R30" i="1306"/>
  <c r="R29" i="1306"/>
  <c r="R28" i="1306"/>
  <c r="D28" i="1306"/>
  <c r="R27" i="1306"/>
  <c r="D27" i="1306"/>
  <c r="R26" i="1306"/>
  <c r="L26" i="1306"/>
  <c r="D26" i="1306"/>
  <c r="R25" i="1306"/>
  <c r="L25" i="1306"/>
  <c r="D25" i="1306"/>
  <c r="R24" i="1306"/>
  <c r="L24" i="1306"/>
  <c r="D24" i="1306" s="1"/>
  <c r="R23" i="1306"/>
  <c r="L23" i="1306"/>
  <c r="D23" i="1306" s="1"/>
  <c r="R22" i="1306"/>
  <c r="L22" i="1306"/>
  <c r="D22" i="1306" s="1"/>
  <c r="R21" i="1306"/>
  <c r="D21" i="1306"/>
  <c r="R20" i="1306"/>
  <c r="R19" i="1306"/>
  <c r="L19" i="1306"/>
  <c r="D19" i="1306"/>
  <c r="R18" i="1306"/>
  <c r="D18" i="1306"/>
  <c r="R17" i="1306"/>
  <c r="L17" i="1306"/>
  <c r="D17" i="1306" s="1"/>
  <c r="R16" i="1306"/>
  <c r="L16" i="1306"/>
  <c r="D16" i="1306" s="1"/>
  <c r="R15" i="1306"/>
  <c r="D15" i="1306"/>
  <c r="R14" i="1306"/>
  <c r="D14" i="1306"/>
  <c r="R13" i="1306"/>
  <c r="D13" i="1306"/>
  <c r="R12" i="1306"/>
  <c r="L12" i="1306"/>
  <c r="D12" i="1306"/>
  <c r="R11" i="1306"/>
  <c r="L8" i="1306"/>
  <c r="D8" i="1306"/>
  <c r="L7" i="1306"/>
  <c r="D7" i="1306"/>
  <c r="R6" i="1306"/>
  <c r="L6" i="1306"/>
  <c r="D6" i="1306" s="1"/>
  <c r="R5" i="1306"/>
  <c r="R4" i="1306"/>
  <c r="R52" i="1305"/>
  <c r="R51" i="1305"/>
  <c r="D50" i="1305"/>
  <c r="R49" i="1305"/>
  <c r="D49" i="1305"/>
  <c r="R48" i="1305"/>
  <c r="D48" i="1305"/>
  <c r="D46" i="1305"/>
  <c r="D45" i="1305"/>
  <c r="R44" i="1305"/>
  <c r="P44" i="1305"/>
  <c r="D44" i="1305"/>
  <c r="R42" i="1305"/>
  <c r="L6" i="1305" s="1"/>
  <c r="D6" i="1305" s="1"/>
  <c r="D42" i="1305"/>
  <c r="R41" i="1305"/>
  <c r="D41" i="1305"/>
  <c r="R40" i="1305"/>
  <c r="D40" i="1305"/>
  <c r="R39" i="1305"/>
  <c r="L20" i="1305" s="1"/>
  <c r="D20" i="1305" s="1"/>
  <c r="H39" i="1305"/>
  <c r="D39" i="1305"/>
  <c r="R38" i="1305"/>
  <c r="H38" i="1305"/>
  <c r="D38" i="1305"/>
  <c r="R37" i="1305"/>
  <c r="H37" i="1305"/>
  <c r="D37" i="1305"/>
  <c r="R36" i="1305"/>
  <c r="H36" i="1305"/>
  <c r="D36" i="1305"/>
  <c r="R35" i="1305"/>
  <c r="H35" i="1305"/>
  <c r="D35" i="1305"/>
  <c r="R34" i="1305"/>
  <c r="L12" i="1305" s="1"/>
  <c r="D12" i="1305" s="1"/>
  <c r="H34" i="1305"/>
  <c r="D34" i="1305"/>
  <c r="R33" i="1305"/>
  <c r="R32" i="1305"/>
  <c r="R31" i="1305"/>
  <c r="R30" i="1305"/>
  <c r="R29" i="1305"/>
  <c r="R28" i="1305"/>
  <c r="D28" i="1305"/>
  <c r="R27" i="1305"/>
  <c r="L27" i="1305"/>
  <c r="D27" i="1305"/>
  <c r="R26" i="1305"/>
  <c r="L26" i="1305"/>
  <c r="D26" i="1305"/>
  <c r="R25" i="1305"/>
  <c r="D25" i="1305"/>
  <c r="R24" i="1305"/>
  <c r="L24" i="1305"/>
  <c r="D24" i="1305"/>
  <c r="R23" i="1305"/>
  <c r="L23" i="1305"/>
  <c r="D23" i="1305" s="1"/>
  <c r="R22" i="1305"/>
  <c r="D22" i="1305"/>
  <c r="R21" i="1305"/>
  <c r="D21" i="1305"/>
  <c r="R20" i="1305"/>
  <c r="R19" i="1305"/>
  <c r="D19" i="1305"/>
  <c r="R18" i="1305"/>
  <c r="D18" i="1305"/>
  <c r="R17" i="1305"/>
  <c r="L17" i="1305"/>
  <c r="D17" i="1305"/>
  <c r="T16" i="1305"/>
  <c r="R16" i="1305"/>
  <c r="L16" i="1305"/>
  <c r="D16" i="1305"/>
  <c r="R15" i="1305"/>
  <c r="D15" i="1305"/>
  <c r="R14" i="1305"/>
  <c r="D14" i="1305"/>
  <c r="R13" i="1305"/>
  <c r="D13" i="1305"/>
  <c r="R12" i="1305"/>
  <c r="R11" i="1305"/>
  <c r="L11" i="1305"/>
  <c r="D11" i="1305"/>
  <c r="L10" i="1305"/>
  <c r="D10" i="1305" s="1"/>
  <c r="L9" i="1305"/>
  <c r="D9" i="1305"/>
  <c r="L8" i="1305"/>
  <c r="D8" i="1305"/>
  <c r="L7" i="1305"/>
  <c r="D7" i="1305" s="1"/>
  <c r="R6" i="1305"/>
  <c r="R5" i="1305"/>
  <c r="R4" i="1305"/>
  <c r="R52" i="1304"/>
  <c r="R51" i="1304"/>
  <c r="D50" i="1304"/>
  <c r="R49" i="1304"/>
  <c r="G49" i="1304"/>
  <c r="D49" i="1304"/>
  <c r="R48" i="1304"/>
  <c r="D48" i="1304"/>
  <c r="D46" i="1304"/>
  <c r="D45" i="1304"/>
  <c r="D44" i="1304"/>
  <c r="R42" i="1304"/>
  <c r="D42" i="1304"/>
  <c r="R41" i="1304"/>
  <c r="L7" i="1304" s="1"/>
  <c r="D7" i="1304" s="1"/>
  <c r="D41" i="1304"/>
  <c r="R40" i="1304"/>
  <c r="D40" i="1304"/>
  <c r="R39" i="1304"/>
  <c r="D39" i="1304"/>
  <c r="R38" i="1304"/>
  <c r="D38" i="1304"/>
  <c r="R37" i="1304"/>
  <c r="D37" i="1304"/>
  <c r="R36" i="1304"/>
  <c r="L10" i="1304" s="1"/>
  <c r="D10" i="1304" s="1"/>
  <c r="D36" i="1304"/>
  <c r="R35" i="1304"/>
  <c r="D35" i="1304"/>
  <c r="D54" i="1304" s="1"/>
  <c r="H14" i="1304" s="1"/>
  <c r="R34" i="1304"/>
  <c r="L12" i="1304" s="1"/>
  <c r="D12" i="1304" s="1"/>
  <c r="D34" i="1304"/>
  <c r="R33" i="1304"/>
  <c r="L23" i="1304" s="1"/>
  <c r="D23" i="1304" s="1"/>
  <c r="R32" i="1304"/>
  <c r="R31" i="1304"/>
  <c r="R30" i="1304"/>
  <c r="R29" i="1304"/>
  <c r="R28" i="1304"/>
  <c r="D28" i="1304"/>
  <c r="R27" i="1304"/>
  <c r="D27" i="1304"/>
  <c r="R26" i="1304"/>
  <c r="L26" i="1304"/>
  <c r="D26" i="1304"/>
  <c r="R25" i="1304"/>
  <c r="L25" i="1304"/>
  <c r="D25" i="1304"/>
  <c r="R24" i="1304"/>
  <c r="D24" i="1304"/>
  <c r="R23" i="1304"/>
  <c r="R22" i="1304"/>
  <c r="L22" i="1304"/>
  <c r="D22" i="1304" s="1"/>
  <c r="R21" i="1304"/>
  <c r="D21" i="1304"/>
  <c r="R20" i="1304"/>
  <c r="L20" i="1304"/>
  <c r="D20" i="1304"/>
  <c r="R19" i="1304"/>
  <c r="L19" i="1304"/>
  <c r="D19" i="1304"/>
  <c r="R18" i="1304"/>
  <c r="D18" i="1304"/>
  <c r="R17" i="1304"/>
  <c r="D17" i="1304"/>
  <c r="R16" i="1304"/>
  <c r="L16" i="1304"/>
  <c r="D16" i="1304" s="1"/>
  <c r="S15" i="1304"/>
  <c r="R15" i="1304"/>
  <c r="D15" i="1304"/>
  <c r="S14" i="1304"/>
  <c r="R14" i="1304"/>
  <c r="D14" i="1304"/>
  <c r="R13" i="1304"/>
  <c r="D13" i="1304"/>
  <c r="R12" i="1304"/>
  <c r="R11" i="1304"/>
  <c r="L11" i="1304"/>
  <c r="D11" i="1304" s="1"/>
  <c r="L9" i="1304"/>
  <c r="D9" i="1304" s="1"/>
  <c r="L8" i="1304"/>
  <c r="D8" i="1304" s="1"/>
  <c r="R6" i="1304"/>
  <c r="L6" i="1304"/>
  <c r="D6" i="1304"/>
  <c r="R5" i="1304"/>
  <c r="R4" i="1304"/>
  <c r="R52" i="1303"/>
  <c r="R51" i="1303"/>
  <c r="D50" i="1303"/>
  <c r="R49" i="1303"/>
  <c r="D49" i="1303"/>
  <c r="R48" i="1303"/>
  <c r="D48" i="1303"/>
  <c r="D46" i="1303"/>
  <c r="D45" i="1303"/>
  <c r="D44" i="1303"/>
  <c r="R42" i="1303"/>
  <c r="L6" i="1303" s="1"/>
  <c r="D6" i="1303" s="1"/>
  <c r="D42" i="1303"/>
  <c r="R41" i="1303"/>
  <c r="D41" i="1303"/>
  <c r="R40" i="1303"/>
  <c r="D40" i="1303"/>
  <c r="R39" i="1303"/>
  <c r="H39" i="1303"/>
  <c r="D39" i="1303"/>
  <c r="R38" i="1303"/>
  <c r="L9" i="1303" s="1"/>
  <c r="D9" i="1303" s="1"/>
  <c r="H38" i="1303"/>
  <c r="D38" i="1303"/>
  <c r="R37" i="1303"/>
  <c r="H37" i="1303"/>
  <c r="D37" i="1303"/>
  <c r="R36" i="1303"/>
  <c r="L10" i="1303" s="1"/>
  <c r="D10" i="1303" s="1"/>
  <c r="H36" i="1303"/>
  <c r="D36" i="1303"/>
  <c r="R35" i="1303"/>
  <c r="H35" i="1303"/>
  <c r="D35" i="1303"/>
  <c r="R34" i="1303"/>
  <c r="L12" i="1303" s="1"/>
  <c r="D12" i="1303" s="1"/>
  <c r="H34" i="1303"/>
  <c r="D34" i="1303"/>
  <c r="R33" i="1303"/>
  <c r="L23" i="1303" s="1"/>
  <c r="D23" i="1303" s="1"/>
  <c r="R32" i="1303"/>
  <c r="L11" i="1303" s="1"/>
  <c r="D11" i="1303" s="1"/>
  <c r="R31" i="1303"/>
  <c r="R30" i="1303"/>
  <c r="R29" i="1303"/>
  <c r="R28" i="1303"/>
  <c r="L16" i="1303" s="1"/>
  <c r="D16" i="1303" s="1"/>
  <c r="D28" i="1303"/>
  <c r="R27" i="1303"/>
  <c r="D27" i="1303"/>
  <c r="R26" i="1303"/>
  <c r="L26" i="1303"/>
  <c r="D26" i="1303"/>
  <c r="R25" i="1303"/>
  <c r="L25" i="1303"/>
  <c r="D25" i="1303"/>
  <c r="R24" i="1303"/>
  <c r="D24" i="1303"/>
  <c r="R23" i="1303"/>
  <c r="R22" i="1303"/>
  <c r="L22" i="1303"/>
  <c r="D22" i="1303"/>
  <c r="R21" i="1303"/>
  <c r="D21" i="1303"/>
  <c r="R20" i="1303"/>
  <c r="L20" i="1303"/>
  <c r="D20" i="1303"/>
  <c r="R19" i="1303"/>
  <c r="L19" i="1303"/>
  <c r="D19" i="1303"/>
  <c r="R18" i="1303"/>
  <c r="D18" i="1303"/>
  <c r="R17" i="1303"/>
  <c r="D17" i="1303"/>
  <c r="R16" i="1303"/>
  <c r="S15" i="1303"/>
  <c r="R15" i="1303"/>
  <c r="D15" i="1303"/>
  <c r="S14" i="1303"/>
  <c r="R14" i="1303"/>
  <c r="D14" i="1303"/>
  <c r="R13" i="1303"/>
  <c r="D13" i="1303"/>
  <c r="R12" i="1303"/>
  <c r="R11" i="1303"/>
  <c r="L8" i="1303"/>
  <c r="D8" i="1303" s="1"/>
  <c r="L7" i="1303"/>
  <c r="D7" i="1303"/>
  <c r="R6" i="1303"/>
  <c r="R5" i="1303"/>
  <c r="R4" i="1303"/>
  <c r="R52" i="1302"/>
  <c r="R51" i="1302"/>
  <c r="D50" i="1302"/>
  <c r="R49" i="1302"/>
  <c r="D49" i="1302"/>
  <c r="R48" i="1302"/>
  <c r="D48" i="1302"/>
  <c r="D46" i="1302"/>
  <c r="D45" i="1302"/>
  <c r="D44" i="1302"/>
  <c r="R42" i="1302"/>
  <c r="L6" i="1302" s="1"/>
  <c r="D6" i="1302" s="1"/>
  <c r="D42" i="1302"/>
  <c r="R41" i="1302"/>
  <c r="D41" i="1302"/>
  <c r="R40" i="1302"/>
  <c r="D40" i="1302"/>
  <c r="R39" i="1302"/>
  <c r="H39" i="1302"/>
  <c r="D39" i="1302"/>
  <c r="R38" i="1302"/>
  <c r="H38" i="1302"/>
  <c r="D38" i="1302"/>
  <c r="R37" i="1302"/>
  <c r="H37" i="1302"/>
  <c r="D37" i="1302"/>
  <c r="R36" i="1302"/>
  <c r="L10" i="1302" s="1"/>
  <c r="D10" i="1302" s="1"/>
  <c r="H36" i="1302"/>
  <c r="D36" i="1302"/>
  <c r="R35" i="1302"/>
  <c r="H35" i="1302"/>
  <c r="D35" i="1302"/>
  <c r="R34" i="1302"/>
  <c r="L12" i="1302" s="1"/>
  <c r="D12" i="1302" s="1"/>
  <c r="H34" i="1302"/>
  <c r="D34" i="1302"/>
  <c r="R33" i="1302"/>
  <c r="L23" i="1302" s="1"/>
  <c r="D23" i="1302" s="1"/>
  <c r="R32" i="1302"/>
  <c r="R31" i="1302"/>
  <c r="R30" i="1302"/>
  <c r="R29" i="1302"/>
  <c r="R28" i="1302"/>
  <c r="D28" i="1302"/>
  <c r="R27" i="1302"/>
  <c r="D27" i="1302"/>
  <c r="R26" i="1302"/>
  <c r="L26" i="1302"/>
  <c r="D26" i="1302"/>
  <c r="R25" i="1302"/>
  <c r="L25" i="1302"/>
  <c r="D25" i="1302"/>
  <c r="R24" i="1302"/>
  <c r="L24" i="1302"/>
  <c r="D24" i="1302"/>
  <c r="R23" i="1302"/>
  <c r="R22" i="1302"/>
  <c r="L22" i="1302"/>
  <c r="D22" i="1302" s="1"/>
  <c r="R21" i="1302"/>
  <c r="D21" i="1302"/>
  <c r="R20" i="1302"/>
  <c r="L20" i="1302"/>
  <c r="D20" i="1302" s="1"/>
  <c r="R19" i="1302"/>
  <c r="L19" i="1302"/>
  <c r="D19" i="1302" s="1"/>
  <c r="R18" i="1302"/>
  <c r="D18" i="1302"/>
  <c r="R17" i="1302"/>
  <c r="L17" i="1302"/>
  <c r="D17" i="1302" s="1"/>
  <c r="R16" i="1302"/>
  <c r="L16" i="1302"/>
  <c r="D16" i="1302" s="1"/>
  <c r="R15" i="1302"/>
  <c r="D15" i="1302"/>
  <c r="R14" i="1302"/>
  <c r="D14" i="1302"/>
  <c r="R13" i="1302"/>
  <c r="D13" i="1302"/>
  <c r="R12" i="1302"/>
  <c r="R11" i="1302"/>
  <c r="L11" i="1302"/>
  <c r="D11" i="1302"/>
  <c r="L9" i="1302"/>
  <c r="D9" i="1302" s="1"/>
  <c r="L8" i="1302"/>
  <c r="D8" i="1302" s="1"/>
  <c r="L7" i="1302"/>
  <c r="D7" i="1302"/>
  <c r="R6" i="1302"/>
  <c r="R5" i="1302"/>
  <c r="R4" i="1302"/>
  <c r="R52" i="1301"/>
  <c r="R51" i="1301"/>
  <c r="D50" i="1301"/>
  <c r="R49" i="1301"/>
  <c r="D49" i="1301"/>
  <c r="R48" i="1301"/>
  <c r="D48" i="1301"/>
  <c r="D46" i="1301"/>
  <c r="D45" i="1301"/>
  <c r="P44" i="1301"/>
  <c r="R44" i="1301" s="1"/>
  <c r="D44" i="1301"/>
  <c r="R42" i="1301"/>
  <c r="L6" i="1301" s="1"/>
  <c r="D6" i="1301" s="1"/>
  <c r="D42" i="1301"/>
  <c r="R41" i="1301"/>
  <c r="D41" i="1301"/>
  <c r="R40" i="1301"/>
  <c r="D40" i="1301"/>
  <c r="R39" i="1301"/>
  <c r="L20" i="1301" s="1"/>
  <c r="D20" i="1301" s="1"/>
  <c r="H39" i="1301"/>
  <c r="D39" i="1301"/>
  <c r="R38" i="1301"/>
  <c r="L9" i="1301" s="1"/>
  <c r="D9" i="1301" s="1"/>
  <c r="H38" i="1301"/>
  <c r="D38" i="1301"/>
  <c r="R37" i="1301"/>
  <c r="H37" i="1301"/>
  <c r="D37" i="1301"/>
  <c r="R36" i="1301"/>
  <c r="H36" i="1301"/>
  <c r="D36" i="1301"/>
  <c r="R35" i="1301"/>
  <c r="H35" i="1301"/>
  <c r="D35" i="1301"/>
  <c r="R34" i="1301"/>
  <c r="L12" i="1301" s="1"/>
  <c r="D12" i="1301" s="1"/>
  <c r="H34" i="1301"/>
  <c r="D34" i="1301"/>
  <c r="R33" i="1301"/>
  <c r="R32" i="1301"/>
  <c r="L11" i="1301" s="1"/>
  <c r="D11" i="1301" s="1"/>
  <c r="R31" i="1301"/>
  <c r="R30" i="1301"/>
  <c r="R29" i="1301"/>
  <c r="R28" i="1301"/>
  <c r="D28" i="1301"/>
  <c r="R27" i="1301"/>
  <c r="L27" i="1301"/>
  <c r="D27" i="1301"/>
  <c r="R26" i="1301"/>
  <c r="L26" i="1301"/>
  <c r="D26" i="1301"/>
  <c r="R25" i="1301"/>
  <c r="D25" i="1301"/>
  <c r="R24" i="1301"/>
  <c r="L24" i="1301"/>
  <c r="D24" i="1301"/>
  <c r="R23" i="1301"/>
  <c r="L23" i="1301"/>
  <c r="D23" i="1301"/>
  <c r="R22" i="1301"/>
  <c r="D22" i="1301"/>
  <c r="R21" i="1301"/>
  <c r="D21" i="1301"/>
  <c r="R20" i="1301"/>
  <c r="R19" i="1301"/>
  <c r="D19" i="1301"/>
  <c r="R18" i="1301"/>
  <c r="D18" i="1301"/>
  <c r="R17" i="1301"/>
  <c r="L17" i="1301"/>
  <c r="D17" i="1301"/>
  <c r="T16" i="1301"/>
  <c r="R16" i="1301"/>
  <c r="L16" i="1301"/>
  <c r="D16" i="1301"/>
  <c r="R15" i="1301"/>
  <c r="D15" i="1301"/>
  <c r="R14" i="1301"/>
  <c r="D14" i="1301"/>
  <c r="R13" i="1301"/>
  <c r="D13" i="1301"/>
  <c r="R12" i="1301"/>
  <c r="R11" i="1301"/>
  <c r="L10" i="1301"/>
  <c r="D10" i="1301" s="1"/>
  <c r="L8" i="1301"/>
  <c r="D8" i="1301" s="1"/>
  <c r="L7" i="1301"/>
  <c r="D7" i="1301" s="1"/>
  <c r="R6" i="1301"/>
  <c r="R5" i="1301"/>
  <c r="R4" i="1301"/>
  <c r="R52" i="1300"/>
  <c r="R51" i="1300"/>
  <c r="D50" i="1300"/>
  <c r="R49" i="1300"/>
  <c r="G49" i="1300"/>
  <c r="D49" i="1300"/>
  <c r="R48" i="1300"/>
  <c r="D48" i="1300"/>
  <c r="D46" i="1300"/>
  <c r="D45" i="1300"/>
  <c r="D44" i="1300"/>
  <c r="R42" i="1300"/>
  <c r="D42" i="1300"/>
  <c r="R41" i="1300"/>
  <c r="L7" i="1300" s="1"/>
  <c r="D7" i="1300" s="1"/>
  <c r="D41" i="1300"/>
  <c r="R40" i="1300"/>
  <c r="D40" i="1300"/>
  <c r="R39" i="1300"/>
  <c r="D39" i="1300"/>
  <c r="R38" i="1300"/>
  <c r="D38" i="1300"/>
  <c r="R37" i="1300"/>
  <c r="D37" i="1300"/>
  <c r="R36" i="1300"/>
  <c r="D36" i="1300"/>
  <c r="R35" i="1300"/>
  <c r="D35" i="1300"/>
  <c r="D54" i="1300" s="1"/>
  <c r="H14" i="1300" s="1"/>
  <c r="R34" i="1300"/>
  <c r="D34" i="1300"/>
  <c r="R33" i="1300"/>
  <c r="L23" i="1300" s="1"/>
  <c r="D23" i="1300" s="1"/>
  <c r="R32" i="1300"/>
  <c r="L11" i="1300" s="1"/>
  <c r="D11" i="1300" s="1"/>
  <c r="R31" i="1300"/>
  <c r="R30" i="1300"/>
  <c r="R29" i="1300"/>
  <c r="R28" i="1300"/>
  <c r="L16" i="1300" s="1"/>
  <c r="D16" i="1300" s="1"/>
  <c r="D28" i="1300"/>
  <c r="R27" i="1300"/>
  <c r="D27" i="1300"/>
  <c r="R26" i="1300"/>
  <c r="L26" i="1300"/>
  <c r="D26" i="1300"/>
  <c r="R25" i="1300"/>
  <c r="L25" i="1300"/>
  <c r="D25" i="1300"/>
  <c r="R24" i="1300"/>
  <c r="D24" i="1300"/>
  <c r="R23" i="1300"/>
  <c r="R22" i="1300"/>
  <c r="L22" i="1300"/>
  <c r="D22" i="1300"/>
  <c r="R21" i="1300"/>
  <c r="D21" i="1300"/>
  <c r="R20" i="1300"/>
  <c r="L20" i="1300"/>
  <c r="D20" i="1300"/>
  <c r="R19" i="1300"/>
  <c r="L19" i="1300"/>
  <c r="D19" i="1300"/>
  <c r="R18" i="1300"/>
  <c r="D18" i="1300"/>
  <c r="R17" i="1300"/>
  <c r="D17" i="1300"/>
  <c r="R16" i="1300"/>
  <c r="S15" i="1300"/>
  <c r="R15" i="1300"/>
  <c r="D15" i="1300"/>
  <c r="S14" i="1300"/>
  <c r="R14" i="1300"/>
  <c r="D14" i="1300"/>
  <c r="R13" i="1300"/>
  <c r="D13" i="1300"/>
  <c r="R12" i="1300"/>
  <c r="L12" i="1300"/>
  <c r="D12" i="1300"/>
  <c r="R11" i="1300"/>
  <c r="L10" i="1300"/>
  <c r="D10" i="1300" s="1"/>
  <c r="L9" i="1300"/>
  <c r="D9" i="1300"/>
  <c r="L8" i="1300"/>
  <c r="D8" i="1300" s="1"/>
  <c r="R6" i="1300"/>
  <c r="L6" i="1300"/>
  <c r="D6" i="1300"/>
  <c r="R5" i="1300"/>
  <c r="R4" i="1300"/>
  <c r="R52" i="1299"/>
  <c r="R51" i="1299"/>
  <c r="D50" i="1299"/>
  <c r="R49" i="1299"/>
  <c r="D49" i="1299"/>
  <c r="R48" i="1299"/>
  <c r="D48" i="1299"/>
  <c r="D46" i="1299"/>
  <c r="D45" i="1299"/>
  <c r="D44" i="1299"/>
  <c r="R42" i="1299"/>
  <c r="L6" i="1299" s="1"/>
  <c r="D6" i="1299" s="1"/>
  <c r="D42" i="1299"/>
  <c r="R41" i="1299"/>
  <c r="D41" i="1299"/>
  <c r="R40" i="1299"/>
  <c r="L8" i="1299" s="1"/>
  <c r="D8" i="1299" s="1"/>
  <c r="D40" i="1299"/>
  <c r="R39" i="1299"/>
  <c r="H39" i="1299"/>
  <c r="D39" i="1299"/>
  <c r="R38" i="1299"/>
  <c r="H38" i="1299"/>
  <c r="D38" i="1299"/>
  <c r="R37" i="1299"/>
  <c r="H37" i="1299"/>
  <c r="D37" i="1299"/>
  <c r="R36" i="1299"/>
  <c r="H36" i="1299"/>
  <c r="D36" i="1299"/>
  <c r="R35" i="1299"/>
  <c r="H35" i="1299"/>
  <c r="D35" i="1299"/>
  <c r="R34" i="1299"/>
  <c r="H34" i="1299"/>
  <c r="D34" i="1299"/>
  <c r="R33" i="1299"/>
  <c r="R32" i="1299"/>
  <c r="L11" i="1299" s="1"/>
  <c r="D11" i="1299" s="1"/>
  <c r="R31" i="1299"/>
  <c r="R30" i="1299"/>
  <c r="R29" i="1299"/>
  <c r="R28" i="1299"/>
  <c r="D28" i="1299"/>
  <c r="R27" i="1299"/>
  <c r="D27" i="1299"/>
  <c r="R26" i="1299"/>
  <c r="L26" i="1299"/>
  <c r="D26" i="1299" s="1"/>
  <c r="R25" i="1299"/>
  <c r="L25" i="1299"/>
  <c r="D25" i="1299" s="1"/>
  <c r="R24" i="1299"/>
  <c r="D24" i="1299"/>
  <c r="R23" i="1299"/>
  <c r="L23" i="1299"/>
  <c r="D23" i="1299" s="1"/>
  <c r="R22" i="1299"/>
  <c r="L22" i="1299"/>
  <c r="D22" i="1299"/>
  <c r="R21" i="1299"/>
  <c r="D21" i="1299"/>
  <c r="R20" i="1299"/>
  <c r="L20" i="1299"/>
  <c r="D20" i="1299" s="1"/>
  <c r="R19" i="1299"/>
  <c r="L19" i="1299"/>
  <c r="D19" i="1299" s="1"/>
  <c r="R18" i="1299"/>
  <c r="D18" i="1299"/>
  <c r="R17" i="1299"/>
  <c r="D17" i="1299"/>
  <c r="R16" i="1299"/>
  <c r="L16" i="1299"/>
  <c r="D16" i="1299" s="1"/>
  <c r="S15" i="1299"/>
  <c r="R15" i="1299"/>
  <c r="D15" i="1299"/>
  <c r="S14" i="1299"/>
  <c r="R14" i="1299"/>
  <c r="D14" i="1299"/>
  <c r="R13" i="1299"/>
  <c r="D13" i="1299"/>
  <c r="R12" i="1299"/>
  <c r="L12" i="1299"/>
  <c r="D12" i="1299" s="1"/>
  <c r="R11" i="1299"/>
  <c r="L10" i="1299"/>
  <c r="D10" i="1299"/>
  <c r="L9" i="1299"/>
  <c r="D9" i="1299"/>
  <c r="L7" i="1299"/>
  <c r="D7" i="1299" s="1"/>
  <c r="R6" i="1299"/>
  <c r="R5" i="1299"/>
  <c r="R4" i="1299"/>
  <c r="R52" i="1298"/>
  <c r="R51" i="1298"/>
  <c r="D50" i="1298"/>
  <c r="R49" i="1298"/>
  <c r="D49" i="1298"/>
  <c r="R48" i="1298"/>
  <c r="D48" i="1298"/>
  <c r="D46" i="1298"/>
  <c r="D45" i="1298"/>
  <c r="D44" i="1298"/>
  <c r="R42" i="1298"/>
  <c r="D42" i="1298"/>
  <c r="R41" i="1298"/>
  <c r="L7" i="1298" s="1"/>
  <c r="D7" i="1298" s="1"/>
  <c r="D41" i="1298"/>
  <c r="R40" i="1298"/>
  <c r="L8" i="1298" s="1"/>
  <c r="D8" i="1298" s="1"/>
  <c r="D40" i="1298"/>
  <c r="R39" i="1298"/>
  <c r="L20" i="1298" s="1"/>
  <c r="D20" i="1298" s="1"/>
  <c r="H39" i="1298"/>
  <c r="D39" i="1298"/>
  <c r="R38" i="1298"/>
  <c r="H38" i="1298"/>
  <c r="D38" i="1298"/>
  <c r="R37" i="1298"/>
  <c r="H37" i="1298"/>
  <c r="D37" i="1298"/>
  <c r="R36" i="1298"/>
  <c r="L10" i="1298" s="1"/>
  <c r="D10" i="1298" s="1"/>
  <c r="H36" i="1298"/>
  <c r="D36" i="1298"/>
  <c r="R35" i="1298"/>
  <c r="L19" i="1298" s="1"/>
  <c r="D19" i="1298" s="1"/>
  <c r="H35" i="1298"/>
  <c r="D35" i="1298"/>
  <c r="R34" i="1298"/>
  <c r="H34" i="1298"/>
  <c r="D34" i="1298"/>
  <c r="R33" i="1298"/>
  <c r="R32" i="1298"/>
  <c r="R31" i="1298"/>
  <c r="R30" i="1298"/>
  <c r="R29" i="1298"/>
  <c r="R28" i="1298"/>
  <c r="L16" i="1298" s="1"/>
  <c r="D16" i="1298" s="1"/>
  <c r="D28" i="1298"/>
  <c r="R27" i="1298"/>
  <c r="D27" i="1298"/>
  <c r="R26" i="1298"/>
  <c r="L26" i="1298"/>
  <c r="D26" i="1298" s="1"/>
  <c r="R25" i="1298"/>
  <c r="L25" i="1298"/>
  <c r="D25" i="1298" s="1"/>
  <c r="R24" i="1298"/>
  <c r="L24" i="1298"/>
  <c r="D24" i="1298"/>
  <c r="R23" i="1298"/>
  <c r="L23" i="1298"/>
  <c r="D23" i="1298" s="1"/>
  <c r="R22" i="1298"/>
  <c r="L22" i="1298"/>
  <c r="D22" i="1298"/>
  <c r="R21" i="1298"/>
  <c r="L17" i="1298" s="1"/>
  <c r="D17" i="1298" s="1"/>
  <c r="D21" i="1298"/>
  <c r="R20" i="1298"/>
  <c r="R19" i="1298"/>
  <c r="R18" i="1298"/>
  <c r="D18" i="1298"/>
  <c r="R17" i="1298"/>
  <c r="R16" i="1298"/>
  <c r="R15" i="1298"/>
  <c r="D15" i="1298"/>
  <c r="R14" i="1298"/>
  <c r="D14" i="1298"/>
  <c r="R13" i="1298"/>
  <c r="D13" i="1298"/>
  <c r="R12" i="1298"/>
  <c r="L12" i="1298"/>
  <c r="D12" i="1298"/>
  <c r="R11" i="1298"/>
  <c r="L11" i="1298"/>
  <c r="D11" i="1298" s="1"/>
  <c r="L9" i="1298"/>
  <c r="D9" i="1298" s="1"/>
  <c r="R6" i="1298"/>
  <c r="L6" i="1298"/>
  <c r="D6" i="1298"/>
  <c r="R5" i="1298"/>
  <c r="R4" i="1298"/>
  <c r="R52" i="1297"/>
  <c r="R51" i="1297"/>
  <c r="D50" i="1297"/>
  <c r="R49" i="1297"/>
  <c r="D49" i="1297"/>
  <c r="R48" i="1297"/>
  <c r="D48" i="1297"/>
  <c r="D46" i="1297"/>
  <c r="D45" i="1297"/>
  <c r="P44" i="1297"/>
  <c r="R44" i="1297" s="1"/>
  <c r="D44" i="1297"/>
  <c r="R42" i="1297"/>
  <c r="D42" i="1297"/>
  <c r="R41" i="1297"/>
  <c r="L7" i="1297" s="1"/>
  <c r="D7" i="1297" s="1"/>
  <c r="D41" i="1297"/>
  <c r="R40" i="1297"/>
  <c r="D40" i="1297"/>
  <c r="R39" i="1297"/>
  <c r="L20" i="1297" s="1"/>
  <c r="D20" i="1297" s="1"/>
  <c r="H39" i="1297"/>
  <c r="D39" i="1297"/>
  <c r="R38" i="1297"/>
  <c r="H38" i="1297"/>
  <c r="D38" i="1297"/>
  <c r="R37" i="1297"/>
  <c r="H37" i="1297"/>
  <c r="D37" i="1297"/>
  <c r="R36" i="1297"/>
  <c r="H36" i="1297"/>
  <c r="D36" i="1297"/>
  <c r="R35" i="1297"/>
  <c r="H35" i="1297"/>
  <c r="D35" i="1297"/>
  <c r="R34" i="1297"/>
  <c r="H34" i="1297"/>
  <c r="D34" i="1297"/>
  <c r="R33" i="1297"/>
  <c r="R32" i="1297"/>
  <c r="R31" i="1297"/>
  <c r="R30" i="1297"/>
  <c r="R29" i="1297"/>
  <c r="R28" i="1297"/>
  <c r="D28" i="1297"/>
  <c r="R27" i="1297"/>
  <c r="L27" i="1297"/>
  <c r="D27" i="1297"/>
  <c r="R26" i="1297"/>
  <c r="L26" i="1297"/>
  <c r="D26" i="1297"/>
  <c r="R25" i="1297"/>
  <c r="D25" i="1297"/>
  <c r="R24" i="1297"/>
  <c r="L24" i="1297"/>
  <c r="D24" i="1297"/>
  <c r="R23" i="1297"/>
  <c r="L23" i="1297"/>
  <c r="D23" i="1297"/>
  <c r="R22" i="1297"/>
  <c r="D22" i="1297"/>
  <c r="R21" i="1297"/>
  <c r="D21" i="1297"/>
  <c r="R20" i="1297"/>
  <c r="R19" i="1297"/>
  <c r="D19" i="1297"/>
  <c r="R18" i="1297"/>
  <c r="D18" i="1297"/>
  <c r="R17" i="1297"/>
  <c r="L17" i="1297"/>
  <c r="D17" i="1297" s="1"/>
  <c r="T16" i="1297"/>
  <c r="R16" i="1297"/>
  <c r="L16" i="1297"/>
  <c r="D16" i="1297"/>
  <c r="R15" i="1297"/>
  <c r="D15" i="1297"/>
  <c r="R14" i="1297"/>
  <c r="D14" i="1297"/>
  <c r="R13" i="1297"/>
  <c r="D13" i="1297"/>
  <c r="R12" i="1297"/>
  <c r="L12" i="1297"/>
  <c r="D12" i="1297" s="1"/>
  <c r="R11" i="1297"/>
  <c r="L11" i="1297"/>
  <c r="D11" i="1297" s="1"/>
  <c r="L10" i="1297"/>
  <c r="D10" i="1297"/>
  <c r="L9" i="1297"/>
  <c r="D9" i="1297"/>
  <c r="L8" i="1297"/>
  <c r="D8" i="1297"/>
  <c r="R6" i="1297"/>
  <c r="L6" i="1297"/>
  <c r="D6" i="1297"/>
  <c r="R5" i="1297"/>
  <c r="R4" i="1297"/>
  <c r="R52" i="1296"/>
  <c r="R51" i="1296"/>
  <c r="D50" i="1296"/>
  <c r="R49" i="1296"/>
  <c r="G49" i="1296"/>
  <c r="D49" i="1296"/>
  <c r="R48" i="1296"/>
  <c r="D48" i="1296"/>
  <c r="D46" i="1296"/>
  <c r="D45" i="1296"/>
  <c r="D44" i="1296"/>
  <c r="R42" i="1296"/>
  <c r="D42" i="1296"/>
  <c r="R41" i="1296"/>
  <c r="L7" i="1296" s="1"/>
  <c r="D7" i="1296" s="1"/>
  <c r="D41" i="1296"/>
  <c r="R40" i="1296"/>
  <c r="L8" i="1296" s="1"/>
  <c r="D8" i="1296" s="1"/>
  <c r="D40" i="1296"/>
  <c r="R39" i="1296"/>
  <c r="D39" i="1296"/>
  <c r="R38" i="1296"/>
  <c r="L9" i="1296" s="1"/>
  <c r="D9" i="1296" s="1"/>
  <c r="D38" i="1296"/>
  <c r="R37" i="1296"/>
  <c r="D37" i="1296"/>
  <c r="R36" i="1296"/>
  <c r="D36" i="1296"/>
  <c r="R35" i="1296"/>
  <c r="D35" i="1296"/>
  <c r="D54" i="1296" s="1"/>
  <c r="H14" i="1296" s="1"/>
  <c r="R34" i="1296"/>
  <c r="L12" i="1296" s="1"/>
  <c r="D12" i="1296" s="1"/>
  <c r="D34" i="1296"/>
  <c r="R33" i="1296"/>
  <c r="L23" i="1296" s="1"/>
  <c r="D23" i="1296" s="1"/>
  <c r="R32" i="1296"/>
  <c r="R31" i="1296"/>
  <c r="R30" i="1296"/>
  <c r="R29" i="1296"/>
  <c r="R28" i="1296"/>
  <c r="L16" i="1296" s="1"/>
  <c r="D16" i="1296" s="1"/>
  <c r="D28" i="1296"/>
  <c r="R27" i="1296"/>
  <c r="D27" i="1296"/>
  <c r="R26" i="1296"/>
  <c r="L26" i="1296"/>
  <c r="D26" i="1296"/>
  <c r="R25" i="1296"/>
  <c r="L25" i="1296"/>
  <c r="D25" i="1296"/>
  <c r="R24" i="1296"/>
  <c r="D24" i="1296"/>
  <c r="R23" i="1296"/>
  <c r="R22" i="1296"/>
  <c r="L22" i="1296"/>
  <c r="D22" i="1296" s="1"/>
  <c r="R21" i="1296"/>
  <c r="D21" i="1296"/>
  <c r="R20" i="1296"/>
  <c r="L20" i="1296"/>
  <c r="D20" i="1296"/>
  <c r="R19" i="1296"/>
  <c r="L19" i="1296"/>
  <c r="D19" i="1296"/>
  <c r="R18" i="1296"/>
  <c r="D18" i="1296"/>
  <c r="R17" i="1296"/>
  <c r="D17" i="1296"/>
  <c r="R16" i="1296"/>
  <c r="S15" i="1296"/>
  <c r="R15" i="1296"/>
  <c r="D15" i="1296"/>
  <c r="S14" i="1296"/>
  <c r="R14" i="1296"/>
  <c r="D14" i="1296"/>
  <c r="R13" i="1296"/>
  <c r="D13" i="1296"/>
  <c r="R12" i="1296"/>
  <c r="R11" i="1296"/>
  <c r="L11" i="1296"/>
  <c r="D11" i="1296" s="1"/>
  <c r="L10" i="1296"/>
  <c r="D10" i="1296" s="1"/>
  <c r="R6" i="1296"/>
  <c r="L6" i="1296"/>
  <c r="D6" i="1296"/>
  <c r="R5" i="1296"/>
  <c r="R4" i="1296"/>
  <c r="R52" i="1295"/>
  <c r="R51" i="1295"/>
  <c r="D50" i="1295"/>
  <c r="R49" i="1295"/>
  <c r="D49" i="1295"/>
  <c r="R48" i="1295"/>
  <c r="D48" i="1295"/>
  <c r="D46" i="1295"/>
  <c r="D45" i="1295"/>
  <c r="D44" i="1295"/>
  <c r="R42" i="1295"/>
  <c r="L6" i="1295" s="1"/>
  <c r="D6" i="1295" s="1"/>
  <c r="D42" i="1295"/>
  <c r="R41" i="1295"/>
  <c r="L7" i="1295" s="1"/>
  <c r="D7" i="1295" s="1"/>
  <c r="D41" i="1295"/>
  <c r="R40" i="1295"/>
  <c r="D40" i="1295"/>
  <c r="R39" i="1295"/>
  <c r="H39" i="1295"/>
  <c r="D39" i="1295"/>
  <c r="R38" i="1295"/>
  <c r="H38" i="1295"/>
  <c r="D38" i="1295"/>
  <c r="R37" i="1295"/>
  <c r="H37" i="1295"/>
  <c r="D37" i="1295"/>
  <c r="R36" i="1295"/>
  <c r="L10" i="1295" s="1"/>
  <c r="D10" i="1295" s="1"/>
  <c r="H36" i="1295"/>
  <c r="D36" i="1295"/>
  <c r="R35" i="1295"/>
  <c r="L19" i="1295" s="1"/>
  <c r="D19" i="1295" s="1"/>
  <c r="H35" i="1295"/>
  <c r="D35" i="1295"/>
  <c r="D54" i="1295" s="1"/>
  <c r="H14" i="1295" s="1"/>
  <c r="R34" i="1295"/>
  <c r="L12" i="1295" s="1"/>
  <c r="D12" i="1295" s="1"/>
  <c r="H34" i="1295"/>
  <c r="G49" i="1295" s="1"/>
  <c r="D34" i="1295"/>
  <c r="R33" i="1295"/>
  <c r="L23" i="1295" s="1"/>
  <c r="D23" i="1295" s="1"/>
  <c r="R32" i="1295"/>
  <c r="R31" i="1295"/>
  <c r="R30" i="1295"/>
  <c r="R29" i="1295"/>
  <c r="R28" i="1295"/>
  <c r="D28" i="1295"/>
  <c r="R27" i="1295"/>
  <c r="D27" i="1295"/>
  <c r="R26" i="1295"/>
  <c r="L26" i="1295"/>
  <c r="D26" i="1295" s="1"/>
  <c r="R25" i="1295"/>
  <c r="L25" i="1295"/>
  <c r="D25" i="1295"/>
  <c r="R24" i="1295"/>
  <c r="D24" i="1295"/>
  <c r="R23" i="1295"/>
  <c r="R22" i="1295"/>
  <c r="L22" i="1295"/>
  <c r="D22" i="1295" s="1"/>
  <c r="R21" i="1295"/>
  <c r="D21" i="1295"/>
  <c r="R20" i="1295"/>
  <c r="L20" i="1295"/>
  <c r="D20" i="1295" s="1"/>
  <c r="R19" i="1295"/>
  <c r="R18" i="1295"/>
  <c r="D18" i="1295"/>
  <c r="R17" i="1295"/>
  <c r="D17" i="1295"/>
  <c r="R16" i="1295"/>
  <c r="L16" i="1295"/>
  <c r="D16" i="1295" s="1"/>
  <c r="S15" i="1295"/>
  <c r="R15" i="1295"/>
  <c r="D15" i="1295"/>
  <c r="S14" i="1295"/>
  <c r="R14" i="1295"/>
  <c r="D14" i="1295"/>
  <c r="R13" i="1295"/>
  <c r="D13" i="1295"/>
  <c r="R12" i="1295"/>
  <c r="R11" i="1295"/>
  <c r="L11" i="1295"/>
  <c r="D11" i="1295" s="1"/>
  <c r="L9" i="1295"/>
  <c r="D9" i="1295" s="1"/>
  <c r="L8" i="1295"/>
  <c r="D8" i="1295"/>
  <c r="R6" i="1295"/>
  <c r="R5" i="1295"/>
  <c r="R4" i="1295"/>
  <c r="R52" i="1294"/>
  <c r="R51" i="1294"/>
  <c r="D50" i="1294"/>
  <c r="R49" i="1294"/>
  <c r="D49" i="1294"/>
  <c r="R48" i="1294"/>
  <c r="D48" i="1294"/>
  <c r="D46" i="1294"/>
  <c r="D45" i="1294"/>
  <c r="D44" i="1294"/>
  <c r="R42" i="1294"/>
  <c r="L6" i="1294" s="1"/>
  <c r="D6" i="1294" s="1"/>
  <c r="D42" i="1294"/>
  <c r="R41" i="1294"/>
  <c r="D41" i="1294"/>
  <c r="R40" i="1294"/>
  <c r="L8" i="1294" s="1"/>
  <c r="D8" i="1294" s="1"/>
  <c r="D40" i="1294"/>
  <c r="R39" i="1294"/>
  <c r="L20" i="1294" s="1"/>
  <c r="D20" i="1294" s="1"/>
  <c r="H39" i="1294"/>
  <c r="D39" i="1294"/>
  <c r="R38" i="1294"/>
  <c r="H38" i="1294"/>
  <c r="D38" i="1294"/>
  <c r="R37" i="1294"/>
  <c r="H37" i="1294"/>
  <c r="D37" i="1294"/>
  <c r="R36" i="1294"/>
  <c r="H36" i="1294"/>
  <c r="D36" i="1294"/>
  <c r="R35" i="1294"/>
  <c r="L19" i="1294" s="1"/>
  <c r="D19" i="1294" s="1"/>
  <c r="H35" i="1294"/>
  <c r="D35" i="1294"/>
  <c r="D54" i="1294" s="1"/>
  <c r="H14" i="1294" s="1"/>
  <c r="R34" i="1294"/>
  <c r="H34" i="1294"/>
  <c r="G49" i="1294" s="1"/>
  <c r="D34" i="1294"/>
  <c r="R33" i="1294"/>
  <c r="R32" i="1294"/>
  <c r="L11" i="1294" s="1"/>
  <c r="D11" i="1294" s="1"/>
  <c r="R31" i="1294"/>
  <c r="R30" i="1294"/>
  <c r="R29" i="1294"/>
  <c r="R28" i="1294"/>
  <c r="D28" i="1294"/>
  <c r="R27" i="1294"/>
  <c r="D27" i="1294"/>
  <c r="R26" i="1294"/>
  <c r="L26" i="1294"/>
  <c r="D26" i="1294" s="1"/>
  <c r="R25" i="1294"/>
  <c r="L25" i="1294"/>
  <c r="D25" i="1294" s="1"/>
  <c r="R24" i="1294"/>
  <c r="L24" i="1294"/>
  <c r="D24" i="1294"/>
  <c r="R23" i="1294"/>
  <c r="L23" i="1294"/>
  <c r="D23" i="1294"/>
  <c r="R22" i="1294"/>
  <c r="L22" i="1294"/>
  <c r="D22" i="1294" s="1"/>
  <c r="R21" i="1294"/>
  <c r="L17" i="1294" s="1"/>
  <c r="D17" i="1294" s="1"/>
  <c r="D21" i="1294"/>
  <c r="R20" i="1294"/>
  <c r="R19" i="1294"/>
  <c r="R18" i="1294"/>
  <c r="D18" i="1294"/>
  <c r="R17" i="1294"/>
  <c r="R16" i="1294"/>
  <c r="L16" i="1294"/>
  <c r="D16" i="1294" s="1"/>
  <c r="R15" i="1294"/>
  <c r="D15" i="1294"/>
  <c r="R14" i="1294"/>
  <c r="D14" i="1294"/>
  <c r="R13" i="1294"/>
  <c r="D13" i="1294"/>
  <c r="R12" i="1294"/>
  <c r="L12" i="1294"/>
  <c r="D12" i="1294" s="1"/>
  <c r="R11" i="1294"/>
  <c r="L10" i="1294"/>
  <c r="D10" i="1294"/>
  <c r="L9" i="1294"/>
  <c r="D9" i="1294"/>
  <c r="L7" i="1294"/>
  <c r="D7" i="1294" s="1"/>
  <c r="R6" i="1294"/>
  <c r="R5" i="1294"/>
  <c r="R4" i="1294"/>
  <c r="R52" i="1293"/>
  <c r="R51" i="1293"/>
  <c r="D50" i="1293"/>
  <c r="R49" i="1293"/>
  <c r="D49" i="1293"/>
  <c r="R48" i="1293"/>
  <c r="D48" i="1293"/>
  <c r="D46" i="1293"/>
  <c r="D45" i="1293"/>
  <c r="R44" i="1293"/>
  <c r="P44" i="1293"/>
  <c r="D44" i="1293"/>
  <c r="R42" i="1293"/>
  <c r="L6" i="1293" s="1"/>
  <c r="D6" i="1293" s="1"/>
  <c r="D42" i="1293"/>
  <c r="R41" i="1293"/>
  <c r="L7" i="1293" s="1"/>
  <c r="D7" i="1293" s="1"/>
  <c r="D41" i="1293"/>
  <c r="R40" i="1293"/>
  <c r="D40" i="1293"/>
  <c r="R39" i="1293"/>
  <c r="H39" i="1293"/>
  <c r="D39" i="1293"/>
  <c r="R38" i="1293"/>
  <c r="H38" i="1293"/>
  <c r="D38" i="1293"/>
  <c r="R37" i="1293"/>
  <c r="H37" i="1293"/>
  <c r="D37" i="1293"/>
  <c r="R36" i="1293"/>
  <c r="H36" i="1293"/>
  <c r="G49" i="1293" s="1"/>
  <c r="D36" i="1293"/>
  <c r="R35" i="1293"/>
  <c r="H35" i="1293"/>
  <c r="D35" i="1293"/>
  <c r="R34" i="1293"/>
  <c r="L12" i="1293" s="1"/>
  <c r="D12" i="1293" s="1"/>
  <c r="H34" i="1293"/>
  <c r="D34" i="1293"/>
  <c r="D54" i="1293" s="1"/>
  <c r="H14" i="1293" s="1"/>
  <c r="R33" i="1293"/>
  <c r="R32" i="1293"/>
  <c r="L11" i="1293" s="1"/>
  <c r="D11" i="1293" s="1"/>
  <c r="R31" i="1293"/>
  <c r="R30" i="1293"/>
  <c r="R29" i="1293"/>
  <c r="R28" i="1293"/>
  <c r="D28" i="1293"/>
  <c r="R27" i="1293"/>
  <c r="L27" i="1293"/>
  <c r="D27" i="1293" s="1"/>
  <c r="R26" i="1293"/>
  <c r="L26" i="1293"/>
  <c r="D26" i="1293" s="1"/>
  <c r="R25" i="1293"/>
  <c r="D25" i="1293"/>
  <c r="R24" i="1293"/>
  <c r="L24" i="1293"/>
  <c r="D24" i="1293" s="1"/>
  <c r="R23" i="1293"/>
  <c r="L23" i="1293"/>
  <c r="D23" i="1293" s="1"/>
  <c r="R22" i="1293"/>
  <c r="D22" i="1293"/>
  <c r="R21" i="1293"/>
  <c r="D21" i="1293"/>
  <c r="R20" i="1293"/>
  <c r="L20" i="1293"/>
  <c r="D20" i="1293"/>
  <c r="R19" i="1293"/>
  <c r="D19" i="1293"/>
  <c r="R18" i="1293"/>
  <c r="D18" i="1293"/>
  <c r="R17" i="1293"/>
  <c r="L17" i="1293"/>
  <c r="D17" i="1293"/>
  <c r="T16" i="1293"/>
  <c r="R16" i="1293"/>
  <c r="L16" i="1293"/>
  <c r="D16" i="1293"/>
  <c r="R15" i="1293"/>
  <c r="D15" i="1293"/>
  <c r="R14" i="1293"/>
  <c r="D14" i="1293"/>
  <c r="R13" i="1293"/>
  <c r="D13" i="1293"/>
  <c r="R12" i="1293"/>
  <c r="R11" i="1293"/>
  <c r="L10" i="1293"/>
  <c r="D10" i="1293" s="1"/>
  <c r="L9" i="1293"/>
  <c r="D9" i="1293" s="1"/>
  <c r="L8" i="1293"/>
  <c r="D8" i="1293"/>
  <c r="R6" i="1293"/>
  <c r="R5" i="1293"/>
  <c r="R4" i="1293"/>
  <c r="R52" i="1292"/>
  <c r="R51" i="1292"/>
  <c r="D50" i="1292"/>
  <c r="R49" i="1292"/>
  <c r="G49" i="1292"/>
  <c r="D49" i="1292"/>
  <c r="R48" i="1292"/>
  <c r="D48" i="1292"/>
  <c r="D46" i="1292"/>
  <c r="D45" i="1292"/>
  <c r="D44" i="1292"/>
  <c r="R42" i="1292"/>
  <c r="D42" i="1292"/>
  <c r="R41" i="1292"/>
  <c r="L7" i="1292" s="1"/>
  <c r="D7" i="1292" s="1"/>
  <c r="D41" i="1292"/>
  <c r="R40" i="1292"/>
  <c r="L8" i="1292" s="1"/>
  <c r="D8" i="1292" s="1"/>
  <c r="D40" i="1292"/>
  <c r="R39" i="1292"/>
  <c r="D39" i="1292"/>
  <c r="R38" i="1292"/>
  <c r="L9" i="1292" s="1"/>
  <c r="D9" i="1292" s="1"/>
  <c r="D38" i="1292"/>
  <c r="D54" i="1292" s="1"/>
  <c r="H14" i="1292" s="1"/>
  <c r="R37" i="1292"/>
  <c r="D37" i="1292"/>
  <c r="R36" i="1292"/>
  <c r="L10" i="1292" s="1"/>
  <c r="D10" i="1292" s="1"/>
  <c r="D36" i="1292"/>
  <c r="R35" i="1292"/>
  <c r="D35" i="1292"/>
  <c r="R34" i="1292"/>
  <c r="L12" i="1292" s="1"/>
  <c r="D12" i="1292" s="1"/>
  <c r="D34" i="1292"/>
  <c r="R33" i="1292"/>
  <c r="L23" i="1292" s="1"/>
  <c r="D23" i="1292" s="1"/>
  <c r="R32" i="1292"/>
  <c r="R31" i="1292"/>
  <c r="R30" i="1292"/>
  <c r="R29" i="1292"/>
  <c r="R28" i="1292"/>
  <c r="L16" i="1292" s="1"/>
  <c r="D16" i="1292" s="1"/>
  <c r="D28" i="1292"/>
  <c r="R27" i="1292"/>
  <c r="D27" i="1292"/>
  <c r="R26" i="1292"/>
  <c r="L26" i="1292"/>
  <c r="D26" i="1292"/>
  <c r="R25" i="1292"/>
  <c r="L25" i="1292"/>
  <c r="D25" i="1292"/>
  <c r="R24" i="1292"/>
  <c r="D24" i="1292"/>
  <c r="R23" i="1292"/>
  <c r="R22" i="1292"/>
  <c r="L22" i="1292"/>
  <c r="D22" i="1292" s="1"/>
  <c r="R21" i="1292"/>
  <c r="D21" i="1292"/>
  <c r="R20" i="1292"/>
  <c r="L20" i="1292"/>
  <c r="D20" i="1292"/>
  <c r="R19" i="1292"/>
  <c r="L19" i="1292"/>
  <c r="D19" i="1292"/>
  <c r="R18" i="1292"/>
  <c r="D18" i="1292"/>
  <c r="R17" i="1292"/>
  <c r="D17" i="1292"/>
  <c r="R16" i="1292"/>
  <c r="S15" i="1292"/>
  <c r="R15" i="1292"/>
  <c r="D15" i="1292"/>
  <c r="S14" i="1292"/>
  <c r="R14" i="1292"/>
  <c r="D14" i="1292"/>
  <c r="R13" i="1292"/>
  <c r="D13" i="1292"/>
  <c r="R12" i="1292"/>
  <c r="R11" i="1292"/>
  <c r="L11" i="1292"/>
  <c r="D11" i="1292" s="1"/>
  <c r="R6" i="1292"/>
  <c r="L6" i="1292"/>
  <c r="D6" i="1292" s="1"/>
  <c r="R5" i="1292"/>
  <c r="R4" i="1292"/>
  <c r="R52" i="1291"/>
  <c r="R51" i="1291"/>
  <c r="D50" i="1291"/>
  <c r="R49" i="1291"/>
  <c r="D49" i="1291"/>
  <c r="R48" i="1291"/>
  <c r="D48" i="1291"/>
  <c r="D46" i="1291"/>
  <c r="D45" i="1291"/>
  <c r="D44" i="1291"/>
  <c r="R42" i="1291"/>
  <c r="L6" i="1291" s="1"/>
  <c r="D6" i="1291" s="1"/>
  <c r="D42" i="1291"/>
  <c r="R41" i="1291"/>
  <c r="D41" i="1291"/>
  <c r="R40" i="1291"/>
  <c r="D40" i="1291"/>
  <c r="R39" i="1291"/>
  <c r="H39" i="1291"/>
  <c r="D39" i="1291"/>
  <c r="R38" i="1291"/>
  <c r="H38" i="1291"/>
  <c r="D38" i="1291"/>
  <c r="R37" i="1291"/>
  <c r="H37" i="1291"/>
  <c r="D37" i="1291"/>
  <c r="R36" i="1291"/>
  <c r="L10" i="1291" s="1"/>
  <c r="D10" i="1291" s="1"/>
  <c r="H36" i="1291"/>
  <c r="D36" i="1291"/>
  <c r="R35" i="1291"/>
  <c r="H35" i="1291"/>
  <c r="D35" i="1291"/>
  <c r="R34" i="1291"/>
  <c r="L12" i="1291" s="1"/>
  <c r="D12" i="1291" s="1"/>
  <c r="H34" i="1291"/>
  <c r="D34" i="1291"/>
  <c r="R33" i="1291"/>
  <c r="R32" i="1291"/>
  <c r="R31" i="1291"/>
  <c r="R30" i="1291"/>
  <c r="R29" i="1291"/>
  <c r="R28" i="1291"/>
  <c r="L16" i="1291" s="1"/>
  <c r="D16" i="1291" s="1"/>
  <c r="D28" i="1291"/>
  <c r="R27" i="1291"/>
  <c r="D27" i="1291"/>
  <c r="R26" i="1291"/>
  <c r="L26" i="1291"/>
  <c r="D26" i="1291"/>
  <c r="R25" i="1291"/>
  <c r="L25" i="1291"/>
  <c r="D25" i="1291" s="1"/>
  <c r="R24" i="1291"/>
  <c r="D24" i="1291"/>
  <c r="R23" i="1291"/>
  <c r="L23" i="1291"/>
  <c r="D23" i="1291"/>
  <c r="R22" i="1291"/>
  <c r="D22" i="1291"/>
  <c r="R21" i="1291"/>
  <c r="D21" i="1291"/>
  <c r="R20" i="1291"/>
  <c r="D20" i="1291"/>
  <c r="R19" i="1291"/>
  <c r="L19" i="1291"/>
  <c r="D19" i="1291" s="1"/>
  <c r="R18" i="1291"/>
  <c r="D18" i="1291"/>
  <c r="R17" i="1291"/>
  <c r="D17" i="1291"/>
  <c r="R16" i="1291"/>
  <c r="S15" i="1291"/>
  <c r="R15" i="1291"/>
  <c r="D15" i="1291"/>
  <c r="S14" i="1291"/>
  <c r="R14" i="1291"/>
  <c r="D14" i="1291"/>
  <c r="R13" i="1291"/>
  <c r="D13" i="1291"/>
  <c r="R12" i="1291"/>
  <c r="R11" i="1291"/>
  <c r="L11" i="1291"/>
  <c r="D11" i="1291"/>
  <c r="L9" i="1291"/>
  <c r="D9" i="1291"/>
  <c r="L8" i="1291"/>
  <c r="D8" i="1291"/>
  <c r="L7" i="1291"/>
  <c r="D7" i="1291" s="1"/>
  <c r="R6" i="1291"/>
  <c r="R5" i="1291"/>
  <c r="R4" i="1291"/>
  <c r="R52" i="1290"/>
  <c r="R51" i="1290"/>
  <c r="D50" i="1290"/>
  <c r="R49" i="1290"/>
  <c r="D49" i="1290"/>
  <c r="R48" i="1290"/>
  <c r="D48" i="1290"/>
  <c r="D46" i="1290"/>
  <c r="D45" i="1290"/>
  <c r="D44" i="1290"/>
  <c r="R42" i="1290"/>
  <c r="D42" i="1290"/>
  <c r="R41" i="1290"/>
  <c r="D41" i="1290"/>
  <c r="R40" i="1290"/>
  <c r="D40" i="1290"/>
  <c r="R39" i="1290"/>
  <c r="L20" i="1290" s="1"/>
  <c r="D20" i="1290" s="1"/>
  <c r="H39" i="1290"/>
  <c r="D39" i="1290"/>
  <c r="R38" i="1290"/>
  <c r="L9" i="1290" s="1"/>
  <c r="D9" i="1290" s="1"/>
  <c r="H38" i="1290"/>
  <c r="D38" i="1290"/>
  <c r="R37" i="1290"/>
  <c r="H37" i="1290"/>
  <c r="D37" i="1290"/>
  <c r="R36" i="1290"/>
  <c r="H36" i="1290"/>
  <c r="D36" i="1290"/>
  <c r="R35" i="1290"/>
  <c r="H35" i="1290"/>
  <c r="D35" i="1290"/>
  <c r="R34" i="1290"/>
  <c r="L12" i="1290" s="1"/>
  <c r="D12" i="1290" s="1"/>
  <c r="H34" i="1290"/>
  <c r="D34" i="1290"/>
  <c r="R33" i="1290"/>
  <c r="L23" i="1290" s="1"/>
  <c r="D23" i="1290" s="1"/>
  <c r="R32" i="1290"/>
  <c r="L11" i="1290" s="1"/>
  <c r="D11" i="1290" s="1"/>
  <c r="R31" i="1290"/>
  <c r="R30" i="1290"/>
  <c r="R29" i="1290"/>
  <c r="R28" i="1290"/>
  <c r="L16" i="1290" s="1"/>
  <c r="D16" i="1290" s="1"/>
  <c r="D28" i="1290"/>
  <c r="R27" i="1290"/>
  <c r="D27" i="1290"/>
  <c r="R26" i="1290"/>
  <c r="L26" i="1290"/>
  <c r="D26" i="1290"/>
  <c r="R25" i="1290"/>
  <c r="L25" i="1290"/>
  <c r="D25" i="1290"/>
  <c r="R24" i="1290"/>
  <c r="L24" i="1290"/>
  <c r="D24" i="1290"/>
  <c r="R23" i="1290"/>
  <c r="R22" i="1290"/>
  <c r="L22" i="1290"/>
  <c r="D22" i="1290"/>
  <c r="R21" i="1290"/>
  <c r="L17" i="1290" s="1"/>
  <c r="D17" i="1290" s="1"/>
  <c r="D21" i="1290"/>
  <c r="R20" i="1290"/>
  <c r="R19" i="1290"/>
  <c r="L19" i="1290"/>
  <c r="D19" i="1290" s="1"/>
  <c r="R18" i="1290"/>
  <c r="D18" i="1290"/>
  <c r="R17" i="1290"/>
  <c r="R16" i="1290"/>
  <c r="R15" i="1290"/>
  <c r="D15" i="1290"/>
  <c r="R14" i="1290"/>
  <c r="D14" i="1290"/>
  <c r="R13" i="1290"/>
  <c r="D13" i="1290"/>
  <c r="R12" i="1290"/>
  <c r="R11" i="1290"/>
  <c r="L10" i="1290"/>
  <c r="D10" i="1290"/>
  <c r="L8" i="1290"/>
  <c r="D8" i="1290"/>
  <c r="L7" i="1290"/>
  <c r="D7" i="1290"/>
  <c r="R6" i="1290"/>
  <c r="L6" i="1290"/>
  <c r="D6" i="1290"/>
  <c r="R5" i="1290"/>
  <c r="R4" i="1290"/>
  <c r="R52" i="1289"/>
  <c r="R51" i="1289"/>
  <c r="D50" i="1289"/>
  <c r="R49" i="1289"/>
  <c r="D49" i="1289"/>
  <c r="R48" i="1289"/>
  <c r="D48" i="1289"/>
  <c r="D46" i="1289"/>
  <c r="D45" i="1289"/>
  <c r="P44" i="1289"/>
  <c r="R44" i="1289" s="1"/>
  <c r="D44" i="1289"/>
  <c r="R42" i="1289"/>
  <c r="D42" i="1289"/>
  <c r="R41" i="1289"/>
  <c r="D41" i="1289"/>
  <c r="R40" i="1289"/>
  <c r="D40" i="1289"/>
  <c r="R39" i="1289"/>
  <c r="L20" i="1289" s="1"/>
  <c r="D20" i="1289" s="1"/>
  <c r="H39" i="1289"/>
  <c r="D39" i="1289"/>
  <c r="R38" i="1289"/>
  <c r="L9" i="1289" s="1"/>
  <c r="D9" i="1289" s="1"/>
  <c r="H38" i="1289"/>
  <c r="D38" i="1289"/>
  <c r="R37" i="1289"/>
  <c r="H37" i="1289"/>
  <c r="D37" i="1289"/>
  <c r="R36" i="1289"/>
  <c r="H36" i="1289"/>
  <c r="D36" i="1289"/>
  <c r="R35" i="1289"/>
  <c r="H35" i="1289"/>
  <c r="D35" i="1289"/>
  <c r="R34" i="1289"/>
  <c r="H34" i="1289"/>
  <c r="D34" i="1289"/>
  <c r="R33" i="1289"/>
  <c r="R32" i="1289"/>
  <c r="L11" i="1289" s="1"/>
  <c r="D11" i="1289" s="1"/>
  <c r="R31" i="1289"/>
  <c r="R30" i="1289"/>
  <c r="R29" i="1289"/>
  <c r="R28" i="1289"/>
  <c r="D28" i="1289"/>
  <c r="R27" i="1289"/>
  <c r="L27" i="1289"/>
  <c r="D27" i="1289"/>
  <c r="R26" i="1289"/>
  <c r="L26" i="1289"/>
  <c r="D26" i="1289"/>
  <c r="R25" i="1289"/>
  <c r="D25" i="1289"/>
  <c r="R24" i="1289"/>
  <c r="L24" i="1289"/>
  <c r="D24" i="1289"/>
  <c r="R23" i="1289"/>
  <c r="L23" i="1289"/>
  <c r="D23" i="1289"/>
  <c r="R22" i="1289"/>
  <c r="D22" i="1289"/>
  <c r="R21" i="1289"/>
  <c r="D21" i="1289"/>
  <c r="R20" i="1289"/>
  <c r="R19" i="1289"/>
  <c r="D19" i="1289"/>
  <c r="R18" i="1289"/>
  <c r="D18" i="1289"/>
  <c r="R17" i="1289"/>
  <c r="L17" i="1289"/>
  <c r="D17" i="1289" s="1"/>
  <c r="T16" i="1289"/>
  <c r="R16" i="1289"/>
  <c r="L16" i="1289"/>
  <c r="D16" i="1289"/>
  <c r="R15" i="1289"/>
  <c r="D15" i="1289"/>
  <c r="R14" i="1289"/>
  <c r="D14" i="1289"/>
  <c r="R13" i="1289"/>
  <c r="D13" i="1289"/>
  <c r="R12" i="1289"/>
  <c r="L12" i="1289"/>
  <c r="D12" i="1289" s="1"/>
  <c r="R11" i="1289"/>
  <c r="L10" i="1289"/>
  <c r="D10" i="1289"/>
  <c r="L8" i="1289"/>
  <c r="D8" i="1289"/>
  <c r="L7" i="1289"/>
  <c r="D7" i="1289"/>
  <c r="R6" i="1289"/>
  <c r="L6" i="1289"/>
  <c r="D6" i="1289"/>
  <c r="R5" i="1289"/>
  <c r="R4" i="1289"/>
  <c r="R52" i="1288"/>
  <c r="R51" i="1288"/>
  <c r="D50" i="1288"/>
  <c r="R49" i="1288"/>
  <c r="G49" i="1288"/>
  <c r="D49" i="1288"/>
  <c r="R48" i="1288"/>
  <c r="D48" i="1288"/>
  <c r="D46" i="1288"/>
  <c r="D45" i="1288"/>
  <c r="D44" i="1288"/>
  <c r="R42" i="1288"/>
  <c r="D42" i="1288"/>
  <c r="R41" i="1288"/>
  <c r="L7" i="1288" s="1"/>
  <c r="D7" i="1288" s="1"/>
  <c r="D41" i="1288"/>
  <c r="R40" i="1288"/>
  <c r="L8" i="1288" s="1"/>
  <c r="D8" i="1288" s="1"/>
  <c r="D40" i="1288"/>
  <c r="R39" i="1288"/>
  <c r="D39" i="1288"/>
  <c r="R38" i="1288"/>
  <c r="D38" i="1288"/>
  <c r="R37" i="1288"/>
  <c r="D37" i="1288"/>
  <c r="R36" i="1288"/>
  <c r="L10" i="1288" s="1"/>
  <c r="D10" i="1288" s="1"/>
  <c r="D36" i="1288"/>
  <c r="R35" i="1288"/>
  <c r="D35" i="1288"/>
  <c r="D54" i="1288" s="1"/>
  <c r="H14" i="1288" s="1"/>
  <c r="R34" i="1288"/>
  <c r="D34" i="1288"/>
  <c r="R33" i="1288"/>
  <c r="R32" i="1288"/>
  <c r="L11" i="1288" s="1"/>
  <c r="D11" i="1288" s="1"/>
  <c r="R31" i="1288"/>
  <c r="R30" i="1288"/>
  <c r="R29" i="1288"/>
  <c r="R28" i="1288"/>
  <c r="L16" i="1288" s="1"/>
  <c r="D16" i="1288" s="1"/>
  <c r="D28" i="1288"/>
  <c r="R27" i="1288"/>
  <c r="D27" i="1288"/>
  <c r="R26" i="1288"/>
  <c r="L26" i="1288"/>
  <c r="D26" i="1288"/>
  <c r="R25" i="1288"/>
  <c r="L25" i="1288"/>
  <c r="D25" i="1288"/>
  <c r="R24" i="1288"/>
  <c r="D24" i="1288"/>
  <c r="R23" i="1288"/>
  <c r="L23" i="1288"/>
  <c r="D23" i="1288" s="1"/>
  <c r="R22" i="1288"/>
  <c r="L22" i="1288"/>
  <c r="D22" i="1288" s="1"/>
  <c r="R21" i="1288"/>
  <c r="D21" i="1288"/>
  <c r="R20" i="1288"/>
  <c r="L20" i="1288"/>
  <c r="D20" i="1288"/>
  <c r="R19" i="1288"/>
  <c r="L19" i="1288"/>
  <c r="D19" i="1288"/>
  <c r="R18" i="1288"/>
  <c r="D18" i="1288"/>
  <c r="R17" i="1288"/>
  <c r="D17" i="1288"/>
  <c r="R16" i="1288"/>
  <c r="S15" i="1288"/>
  <c r="R15" i="1288"/>
  <c r="D15" i="1288"/>
  <c r="S14" i="1288"/>
  <c r="R14" i="1288"/>
  <c r="D14" i="1288"/>
  <c r="R13" i="1288"/>
  <c r="D13" i="1288"/>
  <c r="R12" i="1288"/>
  <c r="L12" i="1288"/>
  <c r="D12" i="1288" s="1"/>
  <c r="R11" i="1288"/>
  <c r="L9" i="1288"/>
  <c r="D9" i="1288" s="1"/>
  <c r="R6" i="1288"/>
  <c r="L6" i="1288"/>
  <c r="D6" i="1288"/>
  <c r="R5" i="1288"/>
  <c r="R4" i="1288"/>
  <c r="R52" i="1287"/>
  <c r="R51" i="1287"/>
  <c r="D50" i="1287"/>
  <c r="R49" i="1287"/>
  <c r="D49" i="1287"/>
  <c r="R48" i="1287"/>
  <c r="D48" i="1287"/>
  <c r="D46" i="1287"/>
  <c r="D45" i="1287"/>
  <c r="D44" i="1287"/>
  <c r="R42" i="1287"/>
  <c r="L6" i="1287" s="1"/>
  <c r="D6" i="1287" s="1"/>
  <c r="D42" i="1287"/>
  <c r="R41" i="1287"/>
  <c r="D41" i="1287"/>
  <c r="R40" i="1287"/>
  <c r="D40" i="1287"/>
  <c r="R39" i="1287"/>
  <c r="H39" i="1287"/>
  <c r="D39" i="1287"/>
  <c r="R38" i="1287"/>
  <c r="H38" i="1287"/>
  <c r="D38" i="1287"/>
  <c r="R37" i="1287"/>
  <c r="H37" i="1287"/>
  <c r="D37" i="1287"/>
  <c r="R36" i="1287"/>
  <c r="L10" i="1287" s="1"/>
  <c r="D10" i="1287" s="1"/>
  <c r="H36" i="1287"/>
  <c r="D36" i="1287"/>
  <c r="R35" i="1287"/>
  <c r="H35" i="1287"/>
  <c r="D35" i="1287"/>
  <c r="R34" i="1287"/>
  <c r="L12" i="1287" s="1"/>
  <c r="D12" i="1287" s="1"/>
  <c r="H34" i="1287"/>
  <c r="D34" i="1287"/>
  <c r="R33" i="1287"/>
  <c r="R32" i="1287"/>
  <c r="R31" i="1287"/>
  <c r="R30" i="1287"/>
  <c r="R29" i="1287"/>
  <c r="R28" i="1287"/>
  <c r="L16" i="1287" s="1"/>
  <c r="D16" i="1287" s="1"/>
  <c r="D28" i="1287"/>
  <c r="R27" i="1287"/>
  <c r="D27" i="1287"/>
  <c r="R26" i="1287"/>
  <c r="L26" i="1287"/>
  <c r="D26" i="1287"/>
  <c r="R25" i="1287"/>
  <c r="L25" i="1287"/>
  <c r="D25" i="1287" s="1"/>
  <c r="R24" i="1287"/>
  <c r="D24" i="1287"/>
  <c r="R23" i="1287"/>
  <c r="L23" i="1287"/>
  <c r="D23" i="1287"/>
  <c r="R22" i="1287"/>
  <c r="L22" i="1287"/>
  <c r="D22" i="1287"/>
  <c r="R21" i="1287"/>
  <c r="D21" i="1287"/>
  <c r="R20" i="1287"/>
  <c r="L20" i="1287"/>
  <c r="D20" i="1287"/>
  <c r="R19" i="1287"/>
  <c r="L19" i="1287"/>
  <c r="D19" i="1287" s="1"/>
  <c r="R18" i="1287"/>
  <c r="D18" i="1287"/>
  <c r="R17" i="1287"/>
  <c r="D17" i="1287"/>
  <c r="R16" i="1287"/>
  <c r="S15" i="1287"/>
  <c r="R15" i="1287"/>
  <c r="D15" i="1287"/>
  <c r="S14" i="1287"/>
  <c r="R14" i="1287"/>
  <c r="D14" i="1287"/>
  <c r="R13" i="1287"/>
  <c r="D13" i="1287"/>
  <c r="R12" i="1287"/>
  <c r="R11" i="1287"/>
  <c r="L11" i="1287"/>
  <c r="D11" i="1287"/>
  <c r="L9" i="1287"/>
  <c r="D9" i="1287" s="1"/>
  <c r="L8" i="1287"/>
  <c r="D8" i="1287"/>
  <c r="L7" i="1287"/>
  <c r="D7" i="1287" s="1"/>
  <c r="R6" i="1287"/>
  <c r="R5" i="1287"/>
  <c r="R4" i="1287"/>
  <c r="R52" i="1286"/>
  <c r="R51" i="1286"/>
  <c r="D50" i="1286"/>
  <c r="R49" i="1286"/>
  <c r="D49" i="1286"/>
  <c r="R48" i="1286"/>
  <c r="D48" i="1286"/>
  <c r="D46" i="1286"/>
  <c r="D45" i="1286"/>
  <c r="D44" i="1286"/>
  <c r="R42" i="1286"/>
  <c r="D42" i="1286"/>
  <c r="R41" i="1286"/>
  <c r="L7" i="1286" s="1"/>
  <c r="D7" i="1286" s="1"/>
  <c r="D41" i="1286"/>
  <c r="R40" i="1286"/>
  <c r="D40" i="1286"/>
  <c r="R39" i="1286"/>
  <c r="H39" i="1286"/>
  <c r="D39" i="1286"/>
  <c r="R38" i="1286"/>
  <c r="H38" i="1286"/>
  <c r="D38" i="1286"/>
  <c r="R37" i="1286"/>
  <c r="H37" i="1286"/>
  <c r="D37" i="1286"/>
  <c r="R36" i="1286"/>
  <c r="H36" i="1286"/>
  <c r="D36" i="1286"/>
  <c r="R35" i="1286"/>
  <c r="L19" i="1286" s="1"/>
  <c r="D19" i="1286" s="1"/>
  <c r="H35" i="1286"/>
  <c r="D35" i="1286"/>
  <c r="R34" i="1286"/>
  <c r="L12" i="1286" s="1"/>
  <c r="D12" i="1286" s="1"/>
  <c r="H34" i="1286"/>
  <c r="D34" i="1286"/>
  <c r="R33" i="1286"/>
  <c r="R32" i="1286"/>
  <c r="R31" i="1286"/>
  <c r="R30" i="1286"/>
  <c r="R29" i="1286"/>
  <c r="R28" i="1286"/>
  <c r="L16" i="1286" s="1"/>
  <c r="D16" i="1286" s="1"/>
  <c r="D28" i="1286"/>
  <c r="R27" i="1286"/>
  <c r="D27" i="1286"/>
  <c r="R26" i="1286"/>
  <c r="L26" i="1286"/>
  <c r="D26" i="1286"/>
  <c r="R25" i="1286"/>
  <c r="L25" i="1286"/>
  <c r="D25" i="1286" s="1"/>
  <c r="R24" i="1286"/>
  <c r="L24" i="1286"/>
  <c r="D24" i="1286"/>
  <c r="R23" i="1286"/>
  <c r="L23" i="1286"/>
  <c r="D23" i="1286"/>
  <c r="R22" i="1286"/>
  <c r="L22" i="1286"/>
  <c r="D22" i="1286"/>
  <c r="R21" i="1286"/>
  <c r="L17" i="1286" s="1"/>
  <c r="D17" i="1286" s="1"/>
  <c r="D21" i="1286"/>
  <c r="R20" i="1286"/>
  <c r="L20" i="1286"/>
  <c r="D20" i="1286" s="1"/>
  <c r="R19" i="1286"/>
  <c r="R18" i="1286"/>
  <c r="D18" i="1286"/>
  <c r="R17" i="1286"/>
  <c r="R16" i="1286"/>
  <c r="R15" i="1286"/>
  <c r="D15" i="1286"/>
  <c r="R14" i="1286"/>
  <c r="D14" i="1286"/>
  <c r="R13" i="1286"/>
  <c r="D13" i="1286"/>
  <c r="R12" i="1286"/>
  <c r="R11" i="1286"/>
  <c r="L11" i="1286"/>
  <c r="D11" i="1286" s="1"/>
  <c r="L10" i="1286"/>
  <c r="D10" i="1286"/>
  <c r="L9" i="1286"/>
  <c r="D9" i="1286" s="1"/>
  <c r="L8" i="1286"/>
  <c r="D8" i="1286" s="1"/>
  <c r="R6" i="1286"/>
  <c r="L6" i="1286"/>
  <c r="D6" i="1286"/>
  <c r="R5" i="1286"/>
  <c r="R4" i="1286"/>
  <c r="R52" i="1285"/>
  <c r="R51" i="1285"/>
  <c r="D50" i="1285"/>
  <c r="R49" i="1285"/>
  <c r="D49" i="1285"/>
  <c r="R48" i="1285"/>
  <c r="D48" i="1285"/>
  <c r="D46" i="1285"/>
  <c r="D45" i="1285"/>
  <c r="R44" i="1285"/>
  <c r="P44" i="1285"/>
  <c r="D44" i="1285"/>
  <c r="R42" i="1285"/>
  <c r="D42" i="1285"/>
  <c r="R41" i="1285"/>
  <c r="D41" i="1285"/>
  <c r="R40" i="1285"/>
  <c r="D40" i="1285"/>
  <c r="R39" i="1285"/>
  <c r="L20" i="1285" s="1"/>
  <c r="D20" i="1285" s="1"/>
  <c r="H39" i="1285"/>
  <c r="D39" i="1285"/>
  <c r="R38" i="1285"/>
  <c r="L9" i="1285" s="1"/>
  <c r="D9" i="1285" s="1"/>
  <c r="H38" i="1285"/>
  <c r="D38" i="1285"/>
  <c r="R37" i="1285"/>
  <c r="H37" i="1285"/>
  <c r="D37" i="1285"/>
  <c r="R36" i="1285"/>
  <c r="H36" i="1285"/>
  <c r="D36" i="1285"/>
  <c r="R35" i="1285"/>
  <c r="H35" i="1285"/>
  <c r="D35" i="1285"/>
  <c r="R34" i="1285"/>
  <c r="L12" i="1285" s="1"/>
  <c r="D12" i="1285" s="1"/>
  <c r="H34" i="1285"/>
  <c r="D34" i="1285"/>
  <c r="R33" i="1285"/>
  <c r="R32" i="1285"/>
  <c r="L11" i="1285" s="1"/>
  <c r="D11" i="1285" s="1"/>
  <c r="R31" i="1285"/>
  <c r="R30" i="1285"/>
  <c r="R29" i="1285"/>
  <c r="R28" i="1285"/>
  <c r="D28" i="1285"/>
  <c r="R27" i="1285"/>
  <c r="L27" i="1285"/>
  <c r="D27" i="1285"/>
  <c r="R26" i="1285"/>
  <c r="L26" i="1285"/>
  <c r="D26" i="1285"/>
  <c r="R25" i="1285"/>
  <c r="D25" i="1285"/>
  <c r="R24" i="1285"/>
  <c r="L24" i="1285"/>
  <c r="D24" i="1285"/>
  <c r="R23" i="1285"/>
  <c r="L23" i="1285"/>
  <c r="D23" i="1285" s="1"/>
  <c r="R22" i="1285"/>
  <c r="D22" i="1285"/>
  <c r="R21" i="1285"/>
  <c r="D21" i="1285"/>
  <c r="R20" i="1285"/>
  <c r="R19" i="1285"/>
  <c r="D19" i="1285"/>
  <c r="R18" i="1285"/>
  <c r="D18" i="1285"/>
  <c r="R17" i="1285"/>
  <c r="L17" i="1285"/>
  <c r="D17" i="1285"/>
  <c r="T16" i="1285"/>
  <c r="R16" i="1285"/>
  <c r="L16" i="1285"/>
  <c r="D16" i="1285"/>
  <c r="R15" i="1285"/>
  <c r="D15" i="1285"/>
  <c r="R14" i="1285"/>
  <c r="D14" i="1285"/>
  <c r="R13" i="1285"/>
  <c r="D13" i="1285"/>
  <c r="R12" i="1285"/>
  <c r="R11" i="1285"/>
  <c r="L10" i="1285"/>
  <c r="D10" i="1285"/>
  <c r="L8" i="1285"/>
  <c r="D8" i="1285"/>
  <c r="L7" i="1285"/>
  <c r="D7" i="1285" s="1"/>
  <c r="R6" i="1285"/>
  <c r="L6" i="1285"/>
  <c r="D6" i="1285" s="1"/>
  <c r="R5" i="1285"/>
  <c r="R4" i="1285"/>
  <c r="G49" i="1310" l="1"/>
  <c r="G49" i="1311"/>
  <c r="G49" i="1309"/>
  <c r="D54" i="1311"/>
  <c r="H14" i="1311" s="1"/>
  <c r="D54" i="1310"/>
  <c r="H14" i="1310" s="1"/>
  <c r="D54" i="1309"/>
  <c r="H14" i="1309" s="1"/>
  <c r="G49" i="1307"/>
  <c r="G49" i="1306"/>
  <c r="G49" i="1305"/>
  <c r="D54" i="1307"/>
  <c r="H14" i="1307" s="1"/>
  <c r="D54" i="1306"/>
  <c r="H14" i="1306" s="1"/>
  <c r="D54" i="1305"/>
  <c r="H14" i="1305" s="1"/>
  <c r="D29" i="1305"/>
  <c r="H13" i="1305" s="1"/>
  <c r="G49" i="1303"/>
  <c r="G49" i="1301"/>
  <c r="D54" i="1303"/>
  <c r="H14" i="1303" s="1"/>
  <c r="D54" i="1302"/>
  <c r="H14" i="1302" s="1"/>
  <c r="D54" i="1301"/>
  <c r="H14" i="1301" s="1"/>
  <c r="G49" i="1302"/>
  <c r="D54" i="1299"/>
  <c r="H14" i="1299" s="1"/>
  <c r="D54" i="1298"/>
  <c r="H14" i="1298" s="1"/>
  <c r="D54" i="1297"/>
  <c r="H14" i="1297" s="1"/>
  <c r="G49" i="1299"/>
  <c r="G49" i="1298"/>
  <c r="G49" i="1297"/>
  <c r="G49" i="1291"/>
  <c r="G49" i="1290"/>
  <c r="G49" i="1289"/>
  <c r="D54" i="1291"/>
  <c r="H14" i="1291" s="1"/>
  <c r="D54" i="1290"/>
  <c r="H14" i="1290" s="1"/>
  <c r="D29" i="1290"/>
  <c r="H13" i="1290" s="1"/>
  <c r="D54" i="1289"/>
  <c r="H14" i="1289" s="1"/>
  <c r="D29" i="1289"/>
  <c r="H13" i="1289" s="1"/>
  <c r="G49" i="1287"/>
  <c r="G49" i="1286"/>
  <c r="G49" i="1285"/>
  <c r="D54" i="1287"/>
  <c r="H14" i="1287" s="1"/>
  <c r="D54" i="1286"/>
  <c r="H14" i="1286" s="1"/>
  <c r="D54" i="1285"/>
  <c r="H14" i="1285" s="1"/>
  <c r="D29" i="1285"/>
  <c r="H13" i="1285" s="1"/>
  <c r="D29" i="1311"/>
  <c r="H13" i="1311" s="1"/>
  <c r="D29" i="1310"/>
  <c r="H13" i="1310" s="1"/>
  <c r="D29" i="1309"/>
  <c r="H13" i="1309" s="1"/>
  <c r="D29" i="1308"/>
  <c r="H13" i="1308" s="1"/>
  <c r="H15" i="1308" s="1"/>
  <c r="H29" i="1308" s="1"/>
  <c r="G51" i="1308" s="1"/>
  <c r="D29" i="1307"/>
  <c r="H13" i="1307" s="1"/>
  <c r="D29" i="1306"/>
  <c r="H13" i="1306" s="1"/>
  <c r="D29" i="1304"/>
  <c r="H13" i="1304" s="1"/>
  <c r="H15" i="1304" s="1"/>
  <c r="H29" i="1304" s="1"/>
  <c r="G51" i="1304" s="1"/>
  <c r="D29" i="1303"/>
  <c r="H13" i="1303" s="1"/>
  <c r="D29" i="1302"/>
  <c r="H13" i="1302" s="1"/>
  <c r="D29" i="1301"/>
  <c r="H13" i="1301" s="1"/>
  <c r="D29" i="1300"/>
  <c r="H13" i="1300" s="1"/>
  <c r="H15" i="1300" s="1"/>
  <c r="H29" i="1300" s="1"/>
  <c r="G51" i="1300" s="1"/>
  <c r="D29" i="1299"/>
  <c r="H13" i="1299" s="1"/>
  <c r="D29" i="1298"/>
  <c r="H13" i="1298" s="1"/>
  <c r="D29" i="1297"/>
  <c r="H13" i="1297" s="1"/>
  <c r="D29" i="1296"/>
  <c r="H13" i="1296" s="1"/>
  <c r="H15" i="1296" s="1"/>
  <c r="H29" i="1296" s="1"/>
  <c r="G51" i="1296"/>
  <c r="D29" i="1295"/>
  <c r="H13" i="1295" s="1"/>
  <c r="H15" i="1295" s="1"/>
  <c r="H29" i="1295" s="1"/>
  <c r="G51" i="1295" s="1"/>
  <c r="D29" i="1294"/>
  <c r="H13" i="1294" s="1"/>
  <c r="H15" i="1294" s="1"/>
  <c r="H29" i="1294" s="1"/>
  <c r="G51" i="1294" s="1"/>
  <c r="D29" i="1293"/>
  <c r="H13" i="1293" s="1"/>
  <c r="H15" i="1293" s="1"/>
  <c r="H29" i="1293" s="1"/>
  <c r="G51" i="1293" s="1"/>
  <c r="D29" i="1292"/>
  <c r="H13" i="1292" s="1"/>
  <c r="H15" i="1292" s="1"/>
  <c r="H29" i="1292" s="1"/>
  <c r="G51" i="1292" s="1"/>
  <c r="D29" i="1291"/>
  <c r="H13" i="1291" s="1"/>
  <c r="D29" i="1288"/>
  <c r="H13" i="1288" s="1"/>
  <c r="H15" i="1288" s="1"/>
  <c r="H29" i="1288" s="1"/>
  <c r="G51" i="1288" s="1"/>
  <c r="D29" i="1287"/>
  <c r="H13" i="1287" s="1"/>
  <c r="D29" i="1286"/>
  <c r="H13" i="1286" s="1"/>
  <c r="C21" i="1277"/>
  <c r="H16" i="1279"/>
  <c r="H15" i="1311" l="1"/>
  <c r="H29" i="1311" s="1"/>
  <c r="G51" i="1311" s="1"/>
  <c r="H15" i="1310"/>
  <c r="H29" i="1310" s="1"/>
  <c r="G51" i="1310" s="1"/>
  <c r="H15" i="1309"/>
  <c r="H29" i="1309" s="1"/>
  <c r="G51" i="1309" s="1"/>
  <c r="H15" i="1307"/>
  <c r="H29" i="1307" s="1"/>
  <c r="G51" i="1307" s="1"/>
  <c r="H15" i="1306"/>
  <c r="H29" i="1306" s="1"/>
  <c r="G51" i="1306" s="1"/>
  <c r="H15" i="1305"/>
  <c r="H29" i="1305" s="1"/>
  <c r="G51" i="1305" s="1"/>
  <c r="H15" i="1303"/>
  <c r="H29" i="1303" s="1"/>
  <c r="G51" i="1303" s="1"/>
  <c r="H15" i="1302"/>
  <c r="H29" i="1302" s="1"/>
  <c r="G51" i="1302" s="1"/>
  <c r="H15" i="1301"/>
  <c r="H29" i="1301" s="1"/>
  <c r="G51" i="1301" s="1"/>
  <c r="H15" i="1299"/>
  <c r="H29" i="1299" s="1"/>
  <c r="G51" i="1299" s="1"/>
  <c r="H15" i="1298"/>
  <c r="H29" i="1298" s="1"/>
  <c r="G51" i="1298" s="1"/>
  <c r="H15" i="1297"/>
  <c r="H29" i="1297" s="1"/>
  <c r="G51" i="1297" s="1"/>
  <c r="H15" i="1291"/>
  <c r="H29" i="1291" s="1"/>
  <c r="G51" i="1291" s="1"/>
  <c r="H15" i="1290"/>
  <c r="H29" i="1290" s="1"/>
  <c r="G51" i="1290" s="1"/>
  <c r="H15" i="1289"/>
  <c r="H29" i="1289" s="1"/>
  <c r="G51" i="1289" s="1"/>
  <c r="H15" i="1287"/>
  <c r="H29" i="1287" s="1"/>
  <c r="G51" i="1287" s="1"/>
  <c r="H15" i="1286"/>
  <c r="H29" i="1286" s="1"/>
  <c r="G51" i="1286" s="1"/>
  <c r="H15" i="1285"/>
  <c r="H29" i="1285" s="1"/>
  <c r="G51" i="1285" s="1"/>
  <c r="H16" i="1270"/>
  <c r="H16" i="1269"/>
  <c r="C21" i="1271"/>
  <c r="C21" i="1270"/>
  <c r="C21" i="1269"/>
  <c r="C21" i="1266" l="1"/>
  <c r="H29" i="1261" l="1"/>
  <c r="H16" i="1267" l="1"/>
  <c r="H16" i="1265"/>
  <c r="H16" i="1263" l="1"/>
  <c r="H16" i="1262"/>
  <c r="H16" i="1261"/>
  <c r="C21" i="1261"/>
  <c r="L25" i="1259" l="1"/>
  <c r="R52" i="1284" l="1"/>
  <c r="R51" i="1284"/>
  <c r="D50" i="1284"/>
  <c r="R49" i="1284"/>
  <c r="G49" i="1284"/>
  <c r="D49" i="1284"/>
  <c r="R48" i="1284"/>
  <c r="D48" i="1284"/>
  <c r="D46" i="1284"/>
  <c r="D45" i="1284"/>
  <c r="D44" i="1284"/>
  <c r="R42" i="1284"/>
  <c r="D42" i="1284"/>
  <c r="R41" i="1284"/>
  <c r="L7" i="1284" s="1"/>
  <c r="D7" i="1284" s="1"/>
  <c r="D41" i="1284"/>
  <c r="R40" i="1284"/>
  <c r="L8" i="1284" s="1"/>
  <c r="D8" i="1284" s="1"/>
  <c r="D40" i="1284"/>
  <c r="R39" i="1284"/>
  <c r="D39" i="1284"/>
  <c r="D54" i="1284" s="1"/>
  <c r="H14" i="1284" s="1"/>
  <c r="R38" i="1284"/>
  <c r="L9" i="1284" s="1"/>
  <c r="D9" i="1284" s="1"/>
  <c r="D38" i="1284"/>
  <c r="R37" i="1284"/>
  <c r="D37" i="1284"/>
  <c r="R36" i="1284"/>
  <c r="L10" i="1284" s="1"/>
  <c r="D10" i="1284" s="1"/>
  <c r="D36" i="1284"/>
  <c r="R35" i="1284"/>
  <c r="D35" i="1284"/>
  <c r="R34" i="1284"/>
  <c r="D34" i="1284"/>
  <c r="R33" i="1284"/>
  <c r="R32" i="1284"/>
  <c r="L11" i="1284" s="1"/>
  <c r="D11" i="1284" s="1"/>
  <c r="R31" i="1284"/>
  <c r="R30" i="1284"/>
  <c r="R29" i="1284"/>
  <c r="R28" i="1284"/>
  <c r="D28" i="1284"/>
  <c r="R27" i="1284"/>
  <c r="D27" i="1284"/>
  <c r="R26" i="1284"/>
  <c r="L26" i="1284"/>
  <c r="D26" i="1284"/>
  <c r="R25" i="1284"/>
  <c r="L25" i="1284"/>
  <c r="D25" i="1284"/>
  <c r="R24" i="1284"/>
  <c r="D24" i="1284"/>
  <c r="R23" i="1284"/>
  <c r="L23" i="1284"/>
  <c r="D23" i="1284" s="1"/>
  <c r="R22" i="1284"/>
  <c r="L22" i="1284"/>
  <c r="D22" i="1284"/>
  <c r="R21" i="1284"/>
  <c r="D21" i="1284"/>
  <c r="R20" i="1284"/>
  <c r="L20" i="1284"/>
  <c r="D20" i="1284"/>
  <c r="R19" i="1284"/>
  <c r="L19" i="1284"/>
  <c r="D19" i="1284"/>
  <c r="R18" i="1284"/>
  <c r="D18" i="1284"/>
  <c r="R17" i="1284"/>
  <c r="D17" i="1284"/>
  <c r="R16" i="1284"/>
  <c r="L16" i="1284"/>
  <c r="D16" i="1284" s="1"/>
  <c r="S15" i="1284"/>
  <c r="R15" i="1284"/>
  <c r="D15" i="1284"/>
  <c r="S14" i="1284"/>
  <c r="R14" i="1284"/>
  <c r="D14" i="1284"/>
  <c r="R13" i="1284"/>
  <c r="D13" i="1284"/>
  <c r="R12" i="1284"/>
  <c r="L12" i="1284"/>
  <c r="D12" i="1284" s="1"/>
  <c r="R11" i="1284"/>
  <c r="R6" i="1284"/>
  <c r="L6" i="1284"/>
  <c r="D6" i="1284" s="1"/>
  <c r="R5" i="1284"/>
  <c r="R4" i="1284"/>
  <c r="R52" i="1283"/>
  <c r="R51" i="1283"/>
  <c r="D50" i="1283"/>
  <c r="R49" i="1283"/>
  <c r="D49" i="1283"/>
  <c r="R48" i="1283"/>
  <c r="D48" i="1283"/>
  <c r="D46" i="1283"/>
  <c r="D45" i="1283"/>
  <c r="D44" i="1283"/>
  <c r="R42" i="1283"/>
  <c r="D42" i="1283"/>
  <c r="R41" i="1283"/>
  <c r="L7" i="1283" s="1"/>
  <c r="D7" i="1283" s="1"/>
  <c r="D41" i="1283"/>
  <c r="R40" i="1283"/>
  <c r="L8" i="1283" s="1"/>
  <c r="D8" i="1283" s="1"/>
  <c r="D40" i="1283"/>
  <c r="R39" i="1283"/>
  <c r="H39" i="1283"/>
  <c r="D39" i="1283"/>
  <c r="R38" i="1283"/>
  <c r="H38" i="1283"/>
  <c r="D38" i="1283"/>
  <c r="R37" i="1283"/>
  <c r="H37" i="1283"/>
  <c r="D37" i="1283"/>
  <c r="R36" i="1283"/>
  <c r="H36" i="1283"/>
  <c r="D36" i="1283"/>
  <c r="R35" i="1283"/>
  <c r="L19" i="1283" s="1"/>
  <c r="D19" i="1283" s="1"/>
  <c r="H35" i="1283"/>
  <c r="D35" i="1283"/>
  <c r="R34" i="1283"/>
  <c r="H34" i="1283"/>
  <c r="D34" i="1283"/>
  <c r="R33" i="1283"/>
  <c r="L23" i="1283" s="1"/>
  <c r="D23" i="1283" s="1"/>
  <c r="R32" i="1283"/>
  <c r="R31" i="1283"/>
  <c r="R30" i="1283"/>
  <c r="R29" i="1283"/>
  <c r="R28" i="1283"/>
  <c r="D28" i="1283"/>
  <c r="R27" i="1283"/>
  <c r="D27" i="1283"/>
  <c r="R26" i="1283"/>
  <c r="L26" i="1283"/>
  <c r="D26" i="1283" s="1"/>
  <c r="R25" i="1283"/>
  <c r="D25" i="1283"/>
  <c r="R24" i="1283"/>
  <c r="D24" i="1283"/>
  <c r="R23" i="1283"/>
  <c r="R22" i="1283"/>
  <c r="L22" i="1283"/>
  <c r="D22" i="1283"/>
  <c r="R21" i="1283"/>
  <c r="D21" i="1283"/>
  <c r="R20" i="1283"/>
  <c r="L20" i="1283"/>
  <c r="D20" i="1283" s="1"/>
  <c r="R19" i="1283"/>
  <c r="R18" i="1283"/>
  <c r="D18" i="1283"/>
  <c r="R17" i="1283"/>
  <c r="D17" i="1283"/>
  <c r="R16" i="1283"/>
  <c r="L16" i="1283"/>
  <c r="D16" i="1283" s="1"/>
  <c r="S15" i="1283"/>
  <c r="R15" i="1283"/>
  <c r="D15" i="1283"/>
  <c r="S14" i="1283"/>
  <c r="R14" i="1283"/>
  <c r="D14" i="1283"/>
  <c r="R13" i="1283"/>
  <c r="D13" i="1283"/>
  <c r="R12" i="1283"/>
  <c r="L12" i="1283"/>
  <c r="D12" i="1283" s="1"/>
  <c r="R11" i="1283"/>
  <c r="L11" i="1283"/>
  <c r="D11" i="1283"/>
  <c r="L10" i="1283"/>
  <c r="D10" i="1283"/>
  <c r="L9" i="1283"/>
  <c r="D9" i="1283"/>
  <c r="R6" i="1283"/>
  <c r="L6" i="1283"/>
  <c r="D6" i="1283"/>
  <c r="R5" i="1283"/>
  <c r="R4" i="1283"/>
  <c r="R52" i="1282"/>
  <c r="R51" i="1282"/>
  <c r="D50" i="1282"/>
  <c r="R49" i="1282"/>
  <c r="D49" i="1282"/>
  <c r="R48" i="1282"/>
  <c r="D48" i="1282"/>
  <c r="D46" i="1282"/>
  <c r="D45" i="1282"/>
  <c r="D44" i="1282"/>
  <c r="R42" i="1282"/>
  <c r="L6" i="1282" s="1"/>
  <c r="D6" i="1282" s="1"/>
  <c r="D42" i="1282"/>
  <c r="R41" i="1282"/>
  <c r="L7" i="1282" s="1"/>
  <c r="D7" i="1282" s="1"/>
  <c r="D41" i="1282"/>
  <c r="R40" i="1282"/>
  <c r="L8" i="1282" s="1"/>
  <c r="D8" i="1282" s="1"/>
  <c r="D40" i="1282"/>
  <c r="R39" i="1282"/>
  <c r="L20" i="1282" s="1"/>
  <c r="D20" i="1282" s="1"/>
  <c r="H39" i="1282"/>
  <c r="D39" i="1282"/>
  <c r="R38" i="1282"/>
  <c r="H38" i="1282"/>
  <c r="D38" i="1282"/>
  <c r="R37" i="1282"/>
  <c r="H37" i="1282"/>
  <c r="D37" i="1282"/>
  <c r="R36" i="1282"/>
  <c r="H36" i="1282"/>
  <c r="D36" i="1282"/>
  <c r="R35" i="1282"/>
  <c r="H35" i="1282"/>
  <c r="D35" i="1282"/>
  <c r="R34" i="1282"/>
  <c r="H34" i="1282"/>
  <c r="D34" i="1282"/>
  <c r="R33" i="1282"/>
  <c r="L23" i="1282" s="1"/>
  <c r="D23" i="1282" s="1"/>
  <c r="R32" i="1282"/>
  <c r="R31" i="1282"/>
  <c r="R30" i="1282"/>
  <c r="R29" i="1282"/>
  <c r="R28" i="1282"/>
  <c r="D28" i="1282"/>
  <c r="R27" i="1282"/>
  <c r="D27" i="1282"/>
  <c r="R26" i="1282"/>
  <c r="L26" i="1282"/>
  <c r="D26" i="1282" s="1"/>
  <c r="R25" i="1282"/>
  <c r="L25" i="1282"/>
  <c r="D25" i="1282"/>
  <c r="R24" i="1282"/>
  <c r="L24" i="1282"/>
  <c r="D24" i="1282" s="1"/>
  <c r="R23" i="1282"/>
  <c r="R22" i="1282"/>
  <c r="L22" i="1282"/>
  <c r="D22" i="1282" s="1"/>
  <c r="R21" i="1282"/>
  <c r="L17" i="1282" s="1"/>
  <c r="D17" i="1282" s="1"/>
  <c r="D21" i="1282"/>
  <c r="R20" i="1282"/>
  <c r="R19" i="1282"/>
  <c r="L19" i="1282"/>
  <c r="D19" i="1282" s="1"/>
  <c r="R18" i="1282"/>
  <c r="D18" i="1282"/>
  <c r="R17" i="1282"/>
  <c r="R16" i="1282"/>
  <c r="L16" i="1282"/>
  <c r="D16" i="1282" s="1"/>
  <c r="R15" i="1282"/>
  <c r="D15" i="1282"/>
  <c r="R14" i="1282"/>
  <c r="D14" i="1282"/>
  <c r="R13" i="1282"/>
  <c r="D13" i="1282"/>
  <c r="R12" i="1282"/>
  <c r="L12" i="1282"/>
  <c r="D12" i="1282" s="1"/>
  <c r="R11" i="1282"/>
  <c r="L11" i="1282"/>
  <c r="D11" i="1282"/>
  <c r="L10" i="1282"/>
  <c r="D10" i="1282"/>
  <c r="L9" i="1282"/>
  <c r="D9" i="1282"/>
  <c r="R6" i="1282"/>
  <c r="R5" i="1282"/>
  <c r="R4" i="1282"/>
  <c r="R52" i="1281"/>
  <c r="R51" i="1281"/>
  <c r="D50" i="1281"/>
  <c r="R49" i="1281"/>
  <c r="D49" i="1281"/>
  <c r="R48" i="1281"/>
  <c r="D48" i="1281"/>
  <c r="D46" i="1281"/>
  <c r="D45" i="1281"/>
  <c r="R44" i="1281"/>
  <c r="P44" i="1281"/>
  <c r="D44" i="1281"/>
  <c r="R42" i="1281"/>
  <c r="L6" i="1281" s="1"/>
  <c r="D6" i="1281" s="1"/>
  <c r="D42" i="1281"/>
  <c r="R41" i="1281"/>
  <c r="D41" i="1281"/>
  <c r="R40" i="1281"/>
  <c r="L8" i="1281" s="1"/>
  <c r="D8" i="1281" s="1"/>
  <c r="D40" i="1281"/>
  <c r="R39" i="1281"/>
  <c r="L20" i="1281" s="1"/>
  <c r="D20" i="1281" s="1"/>
  <c r="H39" i="1281"/>
  <c r="D39" i="1281"/>
  <c r="R38" i="1281"/>
  <c r="H38" i="1281"/>
  <c r="D38" i="1281"/>
  <c r="R37" i="1281"/>
  <c r="H37" i="1281"/>
  <c r="D37" i="1281"/>
  <c r="R36" i="1281"/>
  <c r="H36" i="1281"/>
  <c r="D36" i="1281"/>
  <c r="R35" i="1281"/>
  <c r="H35" i="1281"/>
  <c r="D35" i="1281"/>
  <c r="R34" i="1281"/>
  <c r="L12" i="1281" s="1"/>
  <c r="D12" i="1281" s="1"/>
  <c r="H34" i="1281"/>
  <c r="D34" i="1281"/>
  <c r="R33" i="1281"/>
  <c r="R32" i="1281"/>
  <c r="L11" i="1281" s="1"/>
  <c r="D11" i="1281" s="1"/>
  <c r="R31" i="1281"/>
  <c r="R30" i="1281"/>
  <c r="R29" i="1281"/>
  <c r="R28" i="1281"/>
  <c r="D28" i="1281"/>
  <c r="R27" i="1281"/>
  <c r="L27" i="1281"/>
  <c r="D27" i="1281"/>
  <c r="R26" i="1281"/>
  <c r="L26" i="1281"/>
  <c r="D26" i="1281" s="1"/>
  <c r="R25" i="1281"/>
  <c r="D25" i="1281"/>
  <c r="R24" i="1281"/>
  <c r="L24" i="1281"/>
  <c r="D24" i="1281" s="1"/>
  <c r="R23" i="1281"/>
  <c r="L23" i="1281"/>
  <c r="D23" i="1281" s="1"/>
  <c r="R22" i="1281"/>
  <c r="D22" i="1281"/>
  <c r="R21" i="1281"/>
  <c r="D21" i="1281"/>
  <c r="R20" i="1281"/>
  <c r="R19" i="1281"/>
  <c r="D19" i="1281"/>
  <c r="R18" i="1281"/>
  <c r="D18" i="1281"/>
  <c r="R17" i="1281"/>
  <c r="L17" i="1281"/>
  <c r="D17" i="1281" s="1"/>
  <c r="T16" i="1281"/>
  <c r="R16" i="1281"/>
  <c r="L16" i="1281"/>
  <c r="D16" i="1281"/>
  <c r="R15" i="1281"/>
  <c r="D15" i="1281"/>
  <c r="R14" i="1281"/>
  <c r="D14" i="1281"/>
  <c r="R13" i="1281"/>
  <c r="D13" i="1281"/>
  <c r="R12" i="1281"/>
  <c r="R11" i="1281"/>
  <c r="L10" i="1281"/>
  <c r="D10" i="1281" s="1"/>
  <c r="L9" i="1281"/>
  <c r="D9" i="1281" s="1"/>
  <c r="L7" i="1281"/>
  <c r="D7" i="1281" s="1"/>
  <c r="R6" i="1281"/>
  <c r="R5" i="1281"/>
  <c r="R4" i="1281"/>
  <c r="R52" i="1280"/>
  <c r="R51" i="1280"/>
  <c r="D50" i="1280"/>
  <c r="R49" i="1280"/>
  <c r="G49" i="1280"/>
  <c r="D49" i="1280"/>
  <c r="R48" i="1280"/>
  <c r="D48" i="1280"/>
  <c r="D46" i="1280"/>
  <c r="D45" i="1280"/>
  <c r="D44" i="1280"/>
  <c r="R42" i="1280"/>
  <c r="D42" i="1280"/>
  <c r="R41" i="1280"/>
  <c r="L7" i="1280" s="1"/>
  <c r="D7" i="1280" s="1"/>
  <c r="D41" i="1280"/>
  <c r="R40" i="1280"/>
  <c r="D40" i="1280"/>
  <c r="R39" i="1280"/>
  <c r="D39" i="1280"/>
  <c r="R38" i="1280"/>
  <c r="L9" i="1280" s="1"/>
  <c r="D9" i="1280" s="1"/>
  <c r="D38" i="1280"/>
  <c r="R37" i="1280"/>
  <c r="D37" i="1280"/>
  <c r="R36" i="1280"/>
  <c r="L10" i="1280" s="1"/>
  <c r="D10" i="1280" s="1"/>
  <c r="D36" i="1280"/>
  <c r="R35" i="1280"/>
  <c r="L19" i="1280" s="1"/>
  <c r="D19" i="1280" s="1"/>
  <c r="D35" i="1280"/>
  <c r="D54" i="1280" s="1"/>
  <c r="H14" i="1280" s="1"/>
  <c r="R34" i="1280"/>
  <c r="D34" i="1280"/>
  <c r="R33" i="1280"/>
  <c r="R32" i="1280"/>
  <c r="R31" i="1280"/>
  <c r="R30" i="1280"/>
  <c r="R29" i="1280"/>
  <c r="R28" i="1280"/>
  <c r="D28" i="1280"/>
  <c r="R27" i="1280"/>
  <c r="D27" i="1280"/>
  <c r="R26" i="1280"/>
  <c r="L26" i="1280"/>
  <c r="D26" i="1280" s="1"/>
  <c r="R25" i="1280"/>
  <c r="L25" i="1280"/>
  <c r="D25" i="1280"/>
  <c r="R24" i="1280"/>
  <c r="D24" i="1280"/>
  <c r="R23" i="1280"/>
  <c r="L23" i="1280"/>
  <c r="D23" i="1280" s="1"/>
  <c r="R22" i="1280"/>
  <c r="L22" i="1280"/>
  <c r="D22" i="1280" s="1"/>
  <c r="R21" i="1280"/>
  <c r="D21" i="1280"/>
  <c r="R20" i="1280"/>
  <c r="L20" i="1280"/>
  <c r="D20" i="1280" s="1"/>
  <c r="R19" i="1280"/>
  <c r="R18" i="1280"/>
  <c r="D18" i="1280"/>
  <c r="R17" i="1280"/>
  <c r="D17" i="1280"/>
  <c r="R16" i="1280"/>
  <c r="L16" i="1280"/>
  <c r="D16" i="1280" s="1"/>
  <c r="S15" i="1280"/>
  <c r="R15" i="1280"/>
  <c r="D15" i="1280"/>
  <c r="S14" i="1280"/>
  <c r="R14" i="1280"/>
  <c r="D14" i="1280"/>
  <c r="R13" i="1280"/>
  <c r="D13" i="1280"/>
  <c r="R12" i="1280"/>
  <c r="L12" i="1280"/>
  <c r="D12" i="1280" s="1"/>
  <c r="R11" i="1280"/>
  <c r="L11" i="1280"/>
  <c r="D11" i="1280" s="1"/>
  <c r="L8" i="1280"/>
  <c r="D8" i="1280" s="1"/>
  <c r="R6" i="1280"/>
  <c r="L6" i="1280"/>
  <c r="D6" i="1280" s="1"/>
  <c r="D29" i="1280" s="1"/>
  <c r="H13" i="1280" s="1"/>
  <c r="H15" i="1280" s="1"/>
  <c r="H29" i="1280" s="1"/>
  <c r="G51" i="1280" s="1"/>
  <c r="R5" i="1280"/>
  <c r="R4" i="1280"/>
  <c r="R52" i="1279"/>
  <c r="R51" i="1279"/>
  <c r="D50" i="1279"/>
  <c r="R49" i="1279"/>
  <c r="D49" i="1279"/>
  <c r="R48" i="1279"/>
  <c r="D48" i="1279"/>
  <c r="D46" i="1279"/>
  <c r="D45" i="1279"/>
  <c r="D44" i="1279"/>
  <c r="R42" i="1279"/>
  <c r="L6" i="1279" s="1"/>
  <c r="D6" i="1279" s="1"/>
  <c r="D42" i="1279"/>
  <c r="R41" i="1279"/>
  <c r="D41" i="1279"/>
  <c r="R40" i="1279"/>
  <c r="D40" i="1279"/>
  <c r="R39" i="1279"/>
  <c r="H39" i="1279"/>
  <c r="D39" i="1279"/>
  <c r="R38" i="1279"/>
  <c r="H38" i="1279"/>
  <c r="D38" i="1279"/>
  <c r="R37" i="1279"/>
  <c r="H37" i="1279"/>
  <c r="D37" i="1279"/>
  <c r="R36" i="1279"/>
  <c r="L10" i="1279" s="1"/>
  <c r="D10" i="1279" s="1"/>
  <c r="H36" i="1279"/>
  <c r="D36" i="1279"/>
  <c r="R35" i="1279"/>
  <c r="H35" i="1279"/>
  <c r="D35" i="1279"/>
  <c r="R34" i="1279"/>
  <c r="L12" i="1279" s="1"/>
  <c r="D12" i="1279" s="1"/>
  <c r="H34" i="1279"/>
  <c r="D34" i="1279"/>
  <c r="R33" i="1279"/>
  <c r="L23" i="1279" s="1"/>
  <c r="D23" i="1279" s="1"/>
  <c r="R32" i="1279"/>
  <c r="R31" i="1279"/>
  <c r="R30" i="1279"/>
  <c r="R29" i="1279"/>
  <c r="R28" i="1279"/>
  <c r="L16" i="1279" s="1"/>
  <c r="D16" i="1279" s="1"/>
  <c r="D28" i="1279"/>
  <c r="R27" i="1279"/>
  <c r="D27" i="1279"/>
  <c r="R26" i="1279"/>
  <c r="L26" i="1279"/>
  <c r="D26" i="1279"/>
  <c r="R25" i="1279"/>
  <c r="L25" i="1279"/>
  <c r="D25" i="1279"/>
  <c r="R24" i="1279"/>
  <c r="D24" i="1279"/>
  <c r="R23" i="1279"/>
  <c r="R22" i="1279"/>
  <c r="L22" i="1279"/>
  <c r="D22" i="1279"/>
  <c r="R21" i="1279"/>
  <c r="D21" i="1279"/>
  <c r="R20" i="1279"/>
  <c r="L20" i="1279"/>
  <c r="D20" i="1279"/>
  <c r="R19" i="1279"/>
  <c r="L19" i="1279"/>
  <c r="D19" i="1279"/>
  <c r="R18" i="1279"/>
  <c r="D18" i="1279"/>
  <c r="R17" i="1279"/>
  <c r="D17" i="1279"/>
  <c r="R16" i="1279"/>
  <c r="S15" i="1279"/>
  <c r="R15" i="1279"/>
  <c r="D15" i="1279"/>
  <c r="S14" i="1279"/>
  <c r="R14" i="1279"/>
  <c r="D14" i="1279"/>
  <c r="R13" i="1279"/>
  <c r="D13" i="1279"/>
  <c r="R12" i="1279"/>
  <c r="R11" i="1279"/>
  <c r="L11" i="1279"/>
  <c r="D11" i="1279"/>
  <c r="L9" i="1279"/>
  <c r="D9" i="1279" s="1"/>
  <c r="L8" i="1279"/>
  <c r="D8" i="1279" s="1"/>
  <c r="L7" i="1279"/>
  <c r="D7" i="1279"/>
  <c r="R6" i="1279"/>
  <c r="R5" i="1279"/>
  <c r="R4" i="1279"/>
  <c r="R52" i="1278"/>
  <c r="R51" i="1278"/>
  <c r="D50" i="1278"/>
  <c r="R49" i="1278"/>
  <c r="D49" i="1278"/>
  <c r="R48" i="1278"/>
  <c r="D48" i="1278"/>
  <c r="D46" i="1278"/>
  <c r="D45" i="1278"/>
  <c r="D44" i="1278"/>
  <c r="R42" i="1278"/>
  <c r="L6" i="1278" s="1"/>
  <c r="D6" i="1278" s="1"/>
  <c r="D42" i="1278"/>
  <c r="R41" i="1278"/>
  <c r="D41" i="1278"/>
  <c r="R40" i="1278"/>
  <c r="L8" i="1278" s="1"/>
  <c r="D8" i="1278" s="1"/>
  <c r="D40" i="1278"/>
  <c r="R39" i="1278"/>
  <c r="L20" i="1278" s="1"/>
  <c r="D20" i="1278" s="1"/>
  <c r="H39" i="1278"/>
  <c r="D39" i="1278"/>
  <c r="R38" i="1278"/>
  <c r="L9" i="1278" s="1"/>
  <c r="D9" i="1278" s="1"/>
  <c r="H38" i="1278"/>
  <c r="D38" i="1278"/>
  <c r="R37" i="1278"/>
  <c r="H37" i="1278"/>
  <c r="D37" i="1278"/>
  <c r="R36" i="1278"/>
  <c r="H36" i="1278"/>
  <c r="D36" i="1278"/>
  <c r="R35" i="1278"/>
  <c r="H35" i="1278"/>
  <c r="D35" i="1278"/>
  <c r="R34" i="1278"/>
  <c r="H34" i="1278"/>
  <c r="D34" i="1278"/>
  <c r="R33" i="1278"/>
  <c r="R32" i="1278"/>
  <c r="L11" i="1278" s="1"/>
  <c r="D11" i="1278" s="1"/>
  <c r="R31" i="1278"/>
  <c r="R30" i="1278"/>
  <c r="R29" i="1278"/>
  <c r="R28" i="1278"/>
  <c r="D28" i="1278"/>
  <c r="R27" i="1278"/>
  <c r="D27" i="1278"/>
  <c r="R26" i="1278"/>
  <c r="L26" i="1278"/>
  <c r="D26" i="1278" s="1"/>
  <c r="R25" i="1278"/>
  <c r="L25" i="1278"/>
  <c r="D25" i="1278"/>
  <c r="R24" i="1278"/>
  <c r="L24" i="1278"/>
  <c r="D24" i="1278"/>
  <c r="R23" i="1278"/>
  <c r="L23" i="1278"/>
  <c r="D23" i="1278" s="1"/>
  <c r="R22" i="1278"/>
  <c r="L22" i="1278"/>
  <c r="D22" i="1278" s="1"/>
  <c r="R21" i="1278"/>
  <c r="D21" i="1278"/>
  <c r="R20" i="1278"/>
  <c r="R19" i="1278"/>
  <c r="L19" i="1278"/>
  <c r="D19" i="1278"/>
  <c r="R18" i="1278"/>
  <c r="D18" i="1278"/>
  <c r="R17" i="1278"/>
  <c r="L17" i="1278"/>
  <c r="D17" i="1278" s="1"/>
  <c r="R16" i="1278"/>
  <c r="L16" i="1278"/>
  <c r="D16" i="1278" s="1"/>
  <c r="R15" i="1278"/>
  <c r="D15" i="1278"/>
  <c r="R14" i="1278"/>
  <c r="D14" i="1278"/>
  <c r="R13" i="1278"/>
  <c r="D13" i="1278"/>
  <c r="R12" i="1278"/>
  <c r="L12" i="1278"/>
  <c r="D12" i="1278"/>
  <c r="R11" i="1278"/>
  <c r="L10" i="1278"/>
  <c r="D10" i="1278"/>
  <c r="L7" i="1278"/>
  <c r="D7" i="1278"/>
  <c r="R6" i="1278"/>
  <c r="R5" i="1278"/>
  <c r="R4" i="1278"/>
  <c r="R52" i="1277"/>
  <c r="R51" i="1277"/>
  <c r="D50" i="1277"/>
  <c r="R49" i="1277"/>
  <c r="D49" i="1277"/>
  <c r="R48" i="1277"/>
  <c r="D48" i="1277"/>
  <c r="D46" i="1277"/>
  <c r="D45" i="1277"/>
  <c r="P44" i="1277"/>
  <c r="R44" i="1277" s="1"/>
  <c r="D44" i="1277"/>
  <c r="R42" i="1277"/>
  <c r="D42" i="1277"/>
  <c r="R41" i="1277"/>
  <c r="D41" i="1277"/>
  <c r="R40" i="1277"/>
  <c r="D40" i="1277"/>
  <c r="R39" i="1277"/>
  <c r="L20" i="1277" s="1"/>
  <c r="D20" i="1277" s="1"/>
  <c r="H39" i="1277"/>
  <c r="D39" i="1277"/>
  <c r="R38" i="1277"/>
  <c r="L9" i="1277" s="1"/>
  <c r="D9" i="1277" s="1"/>
  <c r="H38" i="1277"/>
  <c r="D38" i="1277"/>
  <c r="R37" i="1277"/>
  <c r="H37" i="1277"/>
  <c r="D37" i="1277"/>
  <c r="R36" i="1277"/>
  <c r="H36" i="1277"/>
  <c r="D36" i="1277"/>
  <c r="R35" i="1277"/>
  <c r="H35" i="1277"/>
  <c r="D35" i="1277"/>
  <c r="R34" i="1277"/>
  <c r="L12" i="1277" s="1"/>
  <c r="D12" i="1277" s="1"/>
  <c r="H34" i="1277"/>
  <c r="D34" i="1277"/>
  <c r="R33" i="1277"/>
  <c r="R32" i="1277"/>
  <c r="R31" i="1277"/>
  <c r="R30" i="1277"/>
  <c r="R29" i="1277"/>
  <c r="R28" i="1277"/>
  <c r="D28" i="1277"/>
  <c r="R27" i="1277"/>
  <c r="L27" i="1277"/>
  <c r="D27" i="1277"/>
  <c r="R26" i="1277"/>
  <c r="L26" i="1277"/>
  <c r="D26" i="1277"/>
  <c r="R25" i="1277"/>
  <c r="D25" i="1277"/>
  <c r="R24" i="1277"/>
  <c r="L24" i="1277"/>
  <c r="D24" i="1277"/>
  <c r="R23" i="1277"/>
  <c r="L23" i="1277"/>
  <c r="D23" i="1277"/>
  <c r="R22" i="1277"/>
  <c r="D22" i="1277"/>
  <c r="R21" i="1277"/>
  <c r="D21" i="1277"/>
  <c r="R20" i="1277"/>
  <c r="R19" i="1277"/>
  <c r="D19" i="1277"/>
  <c r="R18" i="1277"/>
  <c r="D18" i="1277"/>
  <c r="R17" i="1277"/>
  <c r="L17" i="1277"/>
  <c r="D17" i="1277" s="1"/>
  <c r="T16" i="1277"/>
  <c r="R16" i="1277"/>
  <c r="L16" i="1277"/>
  <c r="D16" i="1277"/>
  <c r="R15" i="1277"/>
  <c r="D15" i="1277"/>
  <c r="R14" i="1277"/>
  <c r="D14" i="1277"/>
  <c r="R13" i="1277"/>
  <c r="D13" i="1277"/>
  <c r="R12" i="1277"/>
  <c r="R11" i="1277"/>
  <c r="L11" i="1277"/>
  <c r="D11" i="1277" s="1"/>
  <c r="L10" i="1277"/>
  <c r="D10" i="1277" s="1"/>
  <c r="L8" i="1277"/>
  <c r="D8" i="1277"/>
  <c r="L7" i="1277"/>
  <c r="D7" i="1277"/>
  <c r="R6" i="1277"/>
  <c r="L6" i="1277"/>
  <c r="D6" i="1277" s="1"/>
  <c r="R5" i="1277"/>
  <c r="R4" i="1277"/>
  <c r="R52" i="1276"/>
  <c r="R51" i="1276"/>
  <c r="D50" i="1276"/>
  <c r="R49" i="1276"/>
  <c r="G49" i="1276"/>
  <c r="D49" i="1276"/>
  <c r="R48" i="1276"/>
  <c r="D48" i="1276"/>
  <c r="D46" i="1276"/>
  <c r="D45" i="1276"/>
  <c r="D44" i="1276"/>
  <c r="R42" i="1276"/>
  <c r="D42" i="1276"/>
  <c r="R41" i="1276"/>
  <c r="L7" i="1276" s="1"/>
  <c r="D7" i="1276" s="1"/>
  <c r="D41" i="1276"/>
  <c r="R40" i="1276"/>
  <c r="D40" i="1276"/>
  <c r="R39" i="1276"/>
  <c r="D39" i="1276"/>
  <c r="R38" i="1276"/>
  <c r="D38" i="1276"/>
  <c r="R37" i="1276"/>
  <c r="D37" i="1276"/>
  <c r="R36" i="1276"/>
  <c r="D36" i="1276"/>
  <c r="R35" i="1276"/>
  <c r="L19" i="1276" s="1"/>
  <c r="D19" i="1276" s="1"/>
  <c r="D35" i="1276"/>
  <c r="D54" i="1276" s="1"/>
  <c r="H14" i="1276" s="1"/>
  <c r="R34" i="1276"/>
  <c r="D34" i="1276"/>
  <c r="R33" i="1276"/>
  <c r="R32" i="1276"/>
  <c r="R31" i="1276"/>
  <c r="R30" i="1276"/>
  <c r="R29" i="1276"/>
  <c r="R28" i="1276"/>
  <c r="D28" i="1276"/>
  <c r="R27" i="1276"/>
  <c r="D27" i="1276"/>
  <c r="R26" i="1276"/>
  <c r="L26" i="1276"/>
  <c r="D26" i="1276" s="1"/>
  <c r="R25" i="1276"/>
  <c r="L25" i="1276"/>
  <c r="D25" i="1276"/>
  <c r="R24" i="1276"/>
  <c r="D24" i="1276"/>
  <c r="R23" i="1276"/>
  <c r="L23" i="1276"/>
  <c r="D23" i="1276" s="1"/>
  <c r="R22" i="1276"/>
  <c r="L22" i="1276"/>
  <c r="D22" i="1276" s="1"/>
  <c r="R21" i="1276"/>
  <c r="D21" i="1276"/>
  <c r="R20" i="1276"/>
  <c r="L20" i="1276"/>
  <c r="D20" i="1276" s="1"/>
  <c r="R19" i="1276"/>
  <c r="R18" i="1276"/>
  <c r="D18" i="1276"/>
  <c r="R17" i="1276"/>
  <c r="D17" i="1276"/>
  <c r="R16" i="1276"/>
  <c r="L16" i="1276"/>
  <c r="D16" i="1276"/>
  <c r="S15" i="1276"/>
  <c r="R15" i="1276"/>
  <c r="D15" i="1276"/>
  <c r="S14" i="1276"/>
  <c r="R14" i="1276"/>
  <c r="D14" i="1276"/>
  <c r="R13" i="1276"/>
  <c r="D13" i="1276"/>
  <c r="R12" i="1276"/>
  <c r="L12" i="1276"/>
  <c r="D12" i="1276" s="1"/>
  <c r="R11" i="1276"/>
  <c r="L11" i="1276"/>
  <c r="D11" i="1276" s="1"/>
  <c r="L10" i="1276"/>
  <c r="D10" i="1276"/>
  <c r="L9" i="1276"/>
  <c r="D9" i="1276"/>
  <c r="L8" i="1276"/>
  <c r="D8" i="1276" s="1"/>
  <c r="R6" i="1276"/>
  <c r="L6" i="1276"/>
  <c r="D6" i="1276"/>
  <c r="R5" i="1276"/>
  <c r="R4" i="1276"/>
  <c r="R52" i="1275"/>
  <c r="R51" i="1275"/>
  <c r="D50" i="1275"/>
  <c r="R49" i="1275"/>
  <c r="D49" i="1275"/>
  <c r="R48" i="1275"/>
  <c r="D48" i="1275"/>
  <c r="D46" i="1275"/>
  <c r="D45" i="1275"/>
  <c r="D44" i="1275"/>
  <c r="R42" i="1275"/>
  <c r="D42" i="1275"/>
  <c r="R41" i="1275"/>
  <c r="D41" i="1275"/>
  <c r="R40" i="1275"/>
  <c r="D40" i="1275"/>
  <c r="R39" i="1275"/>
  <c r="H39" i="1275"/>
  <c r="D39" i="1275"/>
  <c r="R38" i="1275"/>
  <c r="H38" i="1275"/>
  <c r="D38" i="1275"/>
  <c r="R37" i="1275"/>
  <c r="H37" i="1275"/>
  <c r="D37" i="1275"/>
  <c r="R36" i="1275"/>
  <c r="H36" i="1275"/>
  <c r="D36" i="1275"/>
  <c r="R35" i="1275"/>
  <c r="H35" i="1275"/>
  <c r="D35" i="1275"/>
  <c r="R34" i="1275"/>
  <c r="H34" i="1275"/>
  <c r="G49" i="1275" s="1"/>
  <c r="D34" i="1275"/>
  <c r="D54" i="1275" s="1"/>
  <c r="H14" i="1275" s="1"/>
  <c r="R33" i="1275"/>
  <c r="L23" i="1275" s="1"/>
  <c r="D23" i="1275" s="1"/>
  <c r="R32" i="1275"/>
  <c r="L11" i="1275" s="1"/>
  <c r="D11" i="1275" s="1"/>
  <c r="R31" i="1275"/>
  <c r="R30" i="1275"/>
  <c r="R29" i="1275"/>
  <c r="R28" i="1275"/>
  <c r="D28" i="1275"/>
  <c r="R27" i="1275"/>
  <c r="D27" i="1275"/>
  <c r="R26" i="1275"/>
  <c r="L26" i="1275"/>
  <c r="D26" i="1275"/>
  <c r="R25" i="1275"/>
  <c r="L25" i="1275"/>
  <c r="D25" i="1275"/>
  <c r="R24" i="1275"/>
  <c r="D24" i="1275"/>
  <c r="R23" i="1275"/>
  <c r="R22" i="1275"/>
  <c r="L22" i="1275"/>
  <c r="D22" i="1275"/>
  <c r="R21" i="1275"/>
  <c r="D21" i="1275"/>
  <c r="R20" i="1275"/>
  <c r="L20" i="1275"/>
  <c r="D20" i="1275"/>
  <c r="R19" i="1275"/>
  <c r="L19" i="1275"/>
  <c r="D19" i="1275"/>
  <c r="R18" i="1275"/>
  <c r="D18" i="1275"/>
  <c r="R17" i="1275"/>
  <c r="D17" i="1275"/>
  <c r="R16" i="1275"/>
  <c r="L16" i="1275"/>
  <c r="D16" i="1275" s="1"/>
  <c r="S15" i="1275"/>
  <c r="R15" i="1275"/>
  <c r="D15" i="1275"/>
  <c r="S14" i="1275"/>
  <c r="R14" i="1275"/>
  <c r="D14" i="1275"/>
  <c r="R13" i="1275"/>
  <c r="D13" i="1275"/>
  <c r="R12" i="1275"/>
  <c r="L12" i="1275"/>
  <c r="D12" i="1275"/>
  <c r="R11" i="1275"/>
  <c r="L10" i="1275"/>
  <c r="D10" i="1275"/>
  <c r="L9" i="1275"/>
  <c r="D9" i="1275"/>
  <c r="L8" i="1275"/>
  <c r="D8" i="1275"/>
  <c r="L7" i="1275"/>
  <c r="D7" i="1275"/>
  <c r="R6" i="1275"/>
  <c r="L6" i="1275"/>
  <c r="D6" i="1275"/>
  <c r="R5" i="1275"/>
  <c r="R4" i="1275"/>
  <c r="R52" i="1274"/>
  <c r="R51" i="1274"/>
  <c r="D50" i="1274"/>
  <c r="R49" i="1274"/>
  <c r="D49" i="1274"/>
  <c r="R48" i="1274"/>
  <c r="D48" i="1274"/>
  <c r="D46" i="1274"/>
  <c r="D45" i="1274"/>
  <c r="D44" i="1274"/>
  <c r="R42" i="1274"/>
  <c r="D42" i="1274"/>
  <c r="R41" i="1274"/>
  <c r="D41" i="1274"/>
  <c r="R40" i="1274"/>
  <c r="D40" i="1274"/>
  <c r="R39" i="1274"/>
  <c r="L20" i="1274" s="1"/>
  <c r="D20" i="1274" s="1"/>
  <c r="H39" i="1274"/>
  <c r="D39" i="1274"/>
  <c r="R38" i="1274"/>
  <c r="H38" i="1274"/>
  <c r="D38" i="1274"/>
  <c r="R37" i="1274"/>
  <c r="H37" i="1274"/>
  <c r="D37" i="1274"/>
  <c r="R36" i="1274"/>
  <c r="H36" i="1274"/>
  <c r="D36" i="1274"/>
  <c r="R35" i="1274"/>
  <c r="H35" i="1274"/>
  <c r="D35" i="1274"/>
  <c r="R34" i="1274"/>
  <c r="H34" i="1274"/>
  <c r="G49" i="1274" s="1"/>
  <c r="D34" i="1274"/>
  <c r="D54" i="1274" s="1"/>
  <c r="H14" i="1274" s="1"/>
  <c r="R33" i="1274"/>
  <c r="R32" i="1274"/>
  <c r="R31" i="1274"/>
  <c r="R30" i="1274"/>
  <c r="R29" i="1274"/>
  <c r="R28" i="1274"/>
  <c r="D28" i="1274"/>
  <c r="R27" i="1274"/>
  <c r="D27" i="1274"/>
  <c r="R26" i="1274"/>
  <c r="L26" i="1274"/>
  <c r="D26" i="1274"/>
  <c r="R25" i="1274"/>
  <c r="L25" i="1274"/>
  <c r="D25" i="1274"/>
  <c r="R24" i="1274"/>
  <c r="L24" i="1274"/>
  <c r="D24" i="1274"/>
  <c r="R23" i="1274"/>
  <c r="L23" i="1274"/>
  <c r="D23" i="1274" s="1"/>
  <c r="R22" i="1274"/>
  <c r="L22" i="1274"/>
  <c r="D22" i="1274" s="1"/>
  <c r="R21" i="1274"/>
  <c r="D21" i="1274"/>
  <c r="R20" i="1274"/>
  <c r="R19" i="1274"/>
  <c r="L19" i="1274"/>
  <c r="D19" i="1274" s="1"/>
  <c r="R18" i="1274"/>
  <c r="D18" i="1274"/>
  <c r="R17" i="1274"/>
  <c r="L17" i="1274"/>
  <c r="D17" i="1274" s="1"/>
  <c r="R16" i="1274"/>
  <c r="L16" i="1274"/>
  <c r="D16" i="1274" s="1"/>
  <c r="R15" i="1274"/>
  <c r="D15" i="1274"/>
  <c r="R14" i="1274"/>
  <c r="D14" i="1274"/>
  <c r="R13" i="1274"/>
  <c r="D13" i="1274"/>
  <c r="R12" i="1274"/>
  <c r="L12" i="1274"/>
  <c r="D12" i="1274"/>
  <c r="R11" i="1274"/>
  <c r="L11" i="1274"/>
  <c r="D11" i="1274"/>
  <c r="L10" i="1274"/>
  <c r="D10" i="1274"/>
  <c r="L9" i="1274"/>
  <c r="D9" i="1274"/>
  <c r="L8" i="1274"/>
  <c r="D8" i="1274"/>
  <c r="L7" i="1274"/>
  <c r="D7" i="1274"/>
  <c r="R6" i="1274"/>
  <c r="L6" i="1274"/>
  <c r="D6" i="1274"/>
  <c r="R5" i="1274"/>
  <c r="R4" i="1274"/>
  <c r="R52" i="1273"/>
  <c r="R51" i="1273"/>
  <c r="D50" i="1273"/>
  <c r="R49" i="1273"/>
  <c r="D49" i="1273"/>
  <c r="R48" i="1273"/>
  <c r="D48" i="1273"/>
  <c r="D46" i="1273"/>
  <c r="D45" i="1273"/>
  <c r="R44" i="1273"/>
  <c r="P44" i="1273"/>
  <c r="D44" i="1273"/>
  <c r="R42" i="1273"/>
  <c r="D42" i="1273"/>
  <c r="R41" i="1273"/>
  <c r="L7" i="1273" s="1"/>
  <c r="D7" i="1273" s="1"/>
  <c r="D41" i="1273"/>
  <c r="R40" i="1273"/>
  <c r="D40" i="1273"/>
  <c r="R39" i="1273"/>
  <c r="H39" i="1273"/>
  <c r="D39" i="1273"/>
  <c r="R38" i="1273"/>
  <c r="H38" i="1273"/>
  <c r="D38" i="1273"/>
  <c r="R37" i="1273"/>
  <c r="H37" i="1273"/>
  <c r="D37" i="1273"/>
  <c r="R36" i="1273"/>
  <c r="H36" i="1273"/>
  <c r="D36" i="1273"/>
  <c r="R35" i="1273"/>
  <c r="H35" i="1273"/>
  <c r="G49" i="1273" s="1"/>
  <c r="D35" i="1273"/>
  <c r="D54" i="1273" s="1"/>
  <c r="H14" i="1273" s="1"/>
  <c r="R34" i="1273"/>
  <c r="L12" i="1273" s="1"/>
  <c r="D12" i="1273" s="1"/>
  <c r="H34" i="1273"/>
  <c r="D34" i="1273"/>
  <c r="R33" i="1273"/>
  <c r="R32" i="1273"/>
  <c r="L11" i="1273" s="1"/>
  <c r="D11" i="1273" s="1"/>
  <c r="R31" i="1273"/>
  <c r="R30" i="1273"/>
  <c r="R29" i="1273"/>
  <c r="R28" i="1273"/>
  <c r="D28" i="1273"/>
  <c r="R27" i="1273"/>
  <c r="L27" i="1273"/>
  <c r="D27" i="1273"/>
  <c r="R26" i="1273"/>
  <c r="L26" i="1273"/>
  <c r="D26" i="1273" s="1"/>
  <c r="R25" i="1273"/>
  <c r="D25" i="1273"/>
  <c r="R24" i="1273"/>
  <c r="L24" i="1273"/>
  <c r="D24" i="1273"/>
  <c r="R23" i="1273"/>
  <c r="L23" i="1273"/>
  <c r="D23" i="1273" s="1"/>
  <c r="R22" i="1273"/>
  <c r="D22" i="1273"/>
  <c r="R21" i="1273"/>
  <c r="D21" i="1273"/>
  <c r="R20" i="1273"/>
  <c r="L20" i="1273"/>
  <c r="D20" i="1273" s="1"/>
  <c r="R19" i="1273"/>
  <c r="D19" i="1273"/>
  <c r="R18" i="1273"/>
  <c r="D18" i="1273"/>
  <c r="R17" i="1273"/>
  <c r="L17" i="1273"/>
  <c r="D17" i="1273"/>
  <c r="T16" i="1273"/>
  <c r="R16" i="1273"/>
  <c r="L16" i="1273"/>
  <c r="D16" i="1273"/>
  <c r="R15" i="1273"/>
  <c r="D15" i="1273"/>
  <c r="R14" i="1273"/>
  <c r="D14" i="1273"/>
  <c r="R13" i="1273"/>
  <c r="D13" i="1273"/>
  <c r="R12" i="1273"/>
  <c r="R11" i="1273"/>
  <c r="L10" i="1273"/>
  <c r="D10" i="1273"/>
  <c r="L9" i="1273"/>
  <c r="D9" i="1273"/>
  <c r="L8" i="1273"/>
  <c r="D8" i="1273" s="1"/>
  <c r="R6" i="1273"/>
  <c r="L6" i="1273"/>
  <c r="D6" i="1273" s="1"/>
  <c r="D29" i="1273" s="1"/>
  <c r="H13" i="1273" s="1"/>
  <c r="H15" i="1273" s="1"/>
  <c r="H29" i="1273" s="1"/>
  <c r="R5" i="1273"/>
  <c r="R4" i="1273"/>
  <c r="R52" i="1272"/>
  <c r="R51" i="1272"/>
  <c r="D50" i="1272"/>
  <c r="R49" i="1272"/>
  <c r="G49" i="1272"/>
  <c r="D49" i="1272"/>
  <c r="R48" i="1272"/>
  <c r="D48" i="1272"/>
  <c r="D46" i="1272"/>
  <c r="D45" i="1272"/>
  <c r="D44" i="1272"/>
  <c r="R42" i="1272"/>
  <c r="D42" i="1272"/>
  <c r="R41" i="1272"/>
  <c r="L7" i="1272" s="1"/>
  <c r="D7" i="1272" s="1"/>
  <c r="D41" i="1272"/>
  <c r="R40" i="1272"/>
  <c r="L8" i="1272" s="1"/>
  <c r="D8" i="1272" s="1"/>
  <c r="D40" i="1272"/>
  <c r="R39" i="1272"/>
  <c r="D39" i="1272"/>
  <c r="R38" i="1272"/>
  <c r="L9" i="1272" s="1"/>
  <c r="D9" i="1272" s="1"/>
  <c r="D38" i="1272"/>
  <c r="R37" i="1272"/>
  <c r="D37" i="1272"/>
  <c r="R36" i="1272"/>
  <c r="L10" i="1272" s="1"/>
  <c r="D10" i="1272" s="1"/>
  <c r="D36" i="1272"/>
  <c r="R35" i="1272"/>
  <c r="D35" i="1272"/>
  <c r="R34" i="1272"/>
  <c r="D34" i="1272"/>
  <c r="D54" i="1272" s="1"/>
  <c r="H14" i="1272" s="1"/>
  <c r="R33" i="1272"/>
  <c r="R32" i="1272"/>
  <c r="L11" i="1272" s="1"/>
  <c r="D11" i="1272" s="1"/>
  <c r="R31" i="1272"/>
  <c r="R30" i="1272"/>
  <c r="R29" i="1272"/>
  <c r="R28" i="1272"/>
  <c r="D28" i="1272"/>
  <c r="R27" i="1272"/>
  <c r="D27" i="1272"/>
  <c r="R26" i="1272"/>
  <c r="L26" i="1272"/>
  <c r="D26" i="1272"/>
  <c r="R25" i="1272"/>
  <c r="L25" i="1272"/>
  <c r="D25" i="1272"/>
  <c r="R24" i="1272"/>
  <c r="D24" i="1272"/>
  <c r="R23" i="1272"/>
  <c r="L23" i="1272"/>
  <c r="D23" i="1272" s="1"/>
  <c r="R22" i="1272"/>
  <c r="L22" i="1272"/>
  <c r="D22" i="1272"/>
  <c r="R21" i="1272"/>
  <c r="D21" i="1272"/>
  <c r="R20" i="1272"/>
  <c r="L20" i="1272"/>
  <c r="D20" i="1272"/>
  <c r="R19" i="1272"/>
  <c r="L19" i="1272"/>
  <c r="D19" i="1272"/>
  <c r="R18" i="1272"/>
  <c r="D18" i="1272"/>
  <c r="R17" i="1272"/>
  <c r="D17" i="1272"/>
  <c r="R16" i="1272"/>
  <c r="L16" i="1272"/>
  <c r="D16" i="1272" s="1"/>
  <c r="S15" i="1272"/>
  <c r="R15" i="1272"/>
  <c r="D15" i="1272"/>
  <c r="S14" i="1272"/>
  <c r="R14" i="1272"/>
  <c r="D14" i="1272"/>
  <c r="R13" i="1272"/>
  <c r="D13" i="1272"/>
  <c r="R12" i="1272"/>
  <c r="L12" i="1272"/>
  <c r="D12" i="1272"/>
  <c r="R11" i="1272"/>
  <c r="R6" i="1272"/>
  <c r="L6" i="1272"/>
  <c r="D6" i="1272"/>
  <c r="R5" i="1272"/>
  <c r="R4" i="1272"/>
  <c r="R52" i="1271"/>
  <c r="R51" i="1271"/>
  <c r="D50" i="1271"/>
  <c r="R49" i="1271"/>
  <c r="D49" i="1271"/>
  <c r="R48" i="1271"/>
  <c r="D48" i="1271"/>
  <c r="D46" i="1271"/>
  <c r="D45" i="1271"/>
  <c r="D44" i="1271"/>
  <c r="R42" i="1271"/>
  <c r="L6" i="1271" s="1"/>
  <c r="D6" i="1271" s="1"/>
  <c r="D42" i="1271"/>
  <c r="R41" i="1271"/>
  <c r="D41" i="1271"/>
  <c r="R40" i="1271"/>
  <c r="D40" i="1271"/>
  <c r="R39" i="1271"/>
  <c r="H39" i="1271"/>
  <c r="D39" i="1271"/>
  <c r="R38" i="1271"/>
  <c r="L9" i="1271" s="1"/>
  <c r="D9" i="1271" s="1"/>
  <c r="H38" i="1271"/>
  <c r="D38" i="1271"/>
  <c r="R37" i="1271"/>
  <c r="H37" i="1271"/>
  <c r="D37" i="1271"/>
  <c r="R36" i="1271"/>
  <c r="H36" i="1271"/>
  <c r="D36" i="1271"/>
  <c r="R35" i="1271"/>
  <c r="H35" i="1271"/>
  <c r="D35" i="1271"/>
  <c r="R34" i="1271"/>
  <c r="L12" i="1271" s="1"/>
  <c r="D12" i="1271" s="1"/>
  <c r="H34" i="1271"/>
  <c r="D34" i="1271"/>
  <c r="R33" i="1271"/>
  <c r="L23" i="1271" s="1"/>
  <c r="D23" i="1271" s="1"/>
  <c r="R32" i="1271"/>
  <c r="L11" i="1271" s="1"/>
  <c r="D11" i="1271" s="1"/>
  <c r="R31" i="1271"/>
  <c r="R30" i="1271"/>
  <c r="R29" i="1271"/>
  <c r="R28" i="1271"/>
  <c r="D28" i="1271"/>
  <c r="R27" i="1271"/>
  <c r="D27" i="1271"/>
  <c r="R26" i="1271"/>
  <c r="L26" i="1271"/>
  <c r="D26" i="1271"/>
  <c r="R25" i="1271"/>
  <c r="L25" i="1271"/>
  <c r="D25" i="1271" s="1"/>
  <c r="R24" i="1271"/>
  <c r="D24" i="1271"/>
  <c r="R23" i="1271"/>
  <c r="R22" i="1271"/>
  <c r="L22" i="1271"/>
  <c r="D22" i="1271"/>
  <c r="R21" i="1271"/>
  <c r="D21" i="1271"/>
  <c r="R20" i="1271"/>
  <c r="L20" i="1271"/>
  <c r="D20" i="1271"/>
  <c r="R19" i="1271"/>
  <c r="L19" i="1271"/>
  <c r="D19" i="1271" s="1"/>
  <c r="R18" i="1271"/>
  <c r="D18" i="1271"/>
  <c r="R17" i="1271"/>
  <c r="D17" i="1271"/>
  <c r="R16" i="1271"/>
  <c r="L16" i="1271"/>
  <c r="D16" i="1271" s="1"/>
  <c r="S15" i="1271"/>
  <c r="R15" i="1271"/>
  <c r="D15" i="1271"/>
  <c r="S14" i="1271"/>
  <c r="R14" i="1271"/>
  <c r="D14" i="1271"/>
  <c r="R13" i="1271"/>
  <c r="D13" i="1271"/>
  <c r="R12" i="1271"/>
  <c r="R11" i="1271"/>
  <c r="L10" i="1271"/>
  <c r="D10" i="1271"/>
  <c r="L8" i="1271"/>
  <c r="D8" i="1271"/>
  <c r="L7" i="1271"/>
  <c r="D7" i="1271" s="1"/>
  <c r="R6" i="1271"/>
  <c r="R5" i="1271"/>
  <c r="R4" i="1271"/>
  <c r="R52" i="1270"/>
  <c r="R51" i="1270"/>
  <c r="D50" i="1270"/>
  <c r="R49" i="1270"/>
  <c r="D49" i="1270"/>
  <c r="R48" i="1270"/>
  <c r="D48" i="1270"/>
  <c r="D46" i="1270"/>
  <c r="D45" i="1270"/>
  <c r="D44" i="1270"/>
  <c r="R42" i="1270"/>
  <c r="D42" i="1270"/>
  <c r="R41" i="1270"/>
  <c r="D41" i="1270"/>
  <c r="R40" i="1270"/>
  <c r="D40" i="1270"/>
  <c r="R39" i="1270"/>
  <c r="L20" i="1270" s="1"/>
  <c r="D20" i="1270" s="1"/>
  <c r="H39" i="1270"/>
  <c r="D39" i="1270"/>
  <c r="R38" i="1270"/>
  <c r="L9" i="1270" s="1"/>
  <c r="D9" i="1270" s="1"/>
  <c r="H38" i="1270"/>
  <c r="D38" i="1270"/>
  <c r="R37" i="1270"/>
  <c r="H37" i="1270"/>
  <c r="D37" i="1270"/>
  <c r="R36" i="1270"/>
  <c r="H36" i="1270"/>
  <c r="D36" i="1270"/>
  <c r="R35" i="1270"/>
  <c r="H35" i="1270"/>
  <c r="D35" i="1270"/>
  <c r="R34" i="1270"/>
  <c r="H34" i="1270"/>
  <c r="D34" i="1270"/>
  <c r="R33" i="1270"/>
  <c r="L23" i="1270" s="1"/>
  <c r="D23" i="1270" s="1"/>
  <c r="R32" i="1270"/>
  <c r="L11" i="1270" s="1"/>
  <c r="D11" i="1270" s="1"/>
  <c r="R31" i="1270"/>
  <c r="R30" i="1270"/>
  <c r="R29" i="1270"/>
  <c r="R28" i="1270"/>
  <c r="D28" i="1270"/>
  <c r="R27" i="1270"/>
  <c r="D27" i="1270"/>
  <c r="R26" i="1270"/>
  <c r="L26" i="1270"/>
  <c r="D26" i="1270"/>
  <c r="R25" i="1270"/>
  <c r="L25" i="1270"/>
  <c r="D25" i="1270"/>
  <c r="R24" i="1270"/>
  <c r="L24" i="1270"/>
  <c r="D24" i="1270"/>
  <c r="R23" i="1270"/>
  <c r="R22" i="1270"/>
  <c r="L22" i="1270"/>
  <c r="D22" i="1270" s="1"/>
  <c r="R21" i="1270"/>
  <c r="D21" i="1270"/>
  <c r="R20" i="1270"/>
  <c r="R19" i="1270"/>
  <c r="L19" i="1270"/>
  <c r="D19" i="1270" s="1"/>
  <c r="R18" i="1270"/>
  <c r="D18" i="1270"/>
  <c r="R17" i="1270"/>
  <c r="L17" i="1270"/>
  <c r="D17" i="1270"/>
  <c r="R16" i="1270"/>
  <c r="L16" i="1270"/>
  <c r="D16" i="1270" s="1"/>
  <c r="R15" i="1270"/>
  <c r="D15" i="1270"/>
  <c r="R14" i="1270"/>
  <c r="D14" i="1270"/>
  <c r="R13" i="1270"/>
  <c r="D13" i="1270"/>
  <c r="R12" i="1270"/>
  <c r="L12" i="1270"/>
  <c r="D12" i="1270" s="1"/>
  <c r="R11" i="1270"/>
  <c r="L10" i="1270"/>
  <c r="D10" i="1270"/>
  <c r="L8" i="1270"/>
  <c r="D8" i="1270"/>
  <c r="L7" i="1270"/>
  <c r="D7" i="1270"/>
  <c r="R6" i="1270"/>
  <c r="L6" i="1270"/>
  <c r="D6" i="1270"/>
  <c r="R5" i="1270"/>
  <c r="R4" i="1270"/>
  <c r="R52" i="1269"/>
  <c r="R51" i="1269"/>
  <c r="D50" i="1269"/>
  <c r="R49" i="1269"/>
  <c r="D49" i="1269"/>
  <c r="R48" i="1269"/>
  <c r="D48" i="1269"/>
  <c r="D46" i="1269"/>
  <c r="D45" i="1269"/>
  <c r="P44" i="1269"/>
  <c r="R44" i="1269" s="1"/>
  <c r="D44" i="1269"/>
  <c r="R42" i="1269"/>
  <c r="L6" i="1269" s="1"/>
  <c r="D6" i="1269" s="1"/>
  <c r="D42" i="1269"/>
  <c r="R41" i="1269"/>
  <c r="L7" i="1269" s="1"/>
  <c r="D7" i="1269" s="1"/>
  <c r="D41" i="1269"/>
  <c r="R40" i="1269"/>
  <c r="D40" i="1269"/>
  <c r="R39" i="1269"/>
  <c r="L20" i="1269" s="1"/>
  <c r="D20" i="1269" s="1"/>
  <c r="H39" i="1269"/>
  <c r="D39" i="1269"/>
  <c r="R38" i="1269"/>
  <c r="H38" i="1269"/>
  <c r="D38" i="1269"/>
  <c r="R37" i="1269"/>
  <c r="H37" i="1269"/>
  <c r="D37" i="1269"/>
  <c r="R36" i="1269"/>
  <c r="H36" i="1269"/>
  <c r="D36" i="1269"/>
  <c r="R35" i="1269"/>
  <c r="H35" i="1269"/>
  <c r="D35" i="1269"/>
  <c r="R34" i="1269"/>
  <c r="H34" i="1269"/>
  <c r="D34" i="1269"/>
  <c r="R33" i="1269"/>
  <c r="R32" i="1269"/>
  <c r="R31" i="1269"/>
  <c r="R30" i="1269"/>
  <c r="R29" i="1269"/>
  <c r="R28" i="1269"/>
  <c r="D28" i="1269"/>
  <c r="R27" i="1269"/>
  <c r="L27" i="1269"/>
  <c r="D27" i="1269" s="1"/>
  <c r="R26" i="1269"/>
  <c r="L26" i="1269"/>
  <c r="D26" i="1269"/>
  <c r="R25" i="1269"/>
  <c r="D25" i="1269"/>
  <c r="R24" i="1269"/>
  <c r="L24" i="1269"/>
  <c r="D24" i="1269"/>
  <c r="R23" i="1269"/>
  <c r="L23" i="1269"/>
  <c r="D23" i="1269"/>
  <c r="R22" i="1269"/>
  <c r="D22" i="1269"/>
  <c r="R21" i="1269"/>
  <c r="D21" i="1269"/>
  <c r="R20" i="1269"/>
  <c r="R19" i="1269"/>
  <c r="D19" i="1269"/>
  <c r="R18" i="1269"/>
  <c r="D18" i="1269"/>
  <c r="R17" i="1269"/>
  <c r="L17" i="1269"/>
  <c r="D17" i="1269"/>
  <c r="T16" i="1269"/>
  <c r="R16" i="1269"/>
  <c r="L16" i="1269"/>
  <c r="D16" i="1269"/>
  <c r="R15" i="1269"/>
  <c r="D15" i="1269"/>
  <c r="R14" i="1269"/>
  <c r="D14" i="1269"/>
  <c r="R13" i="1269"/>
  <c r="D13" i="1269"/>
  <c r="R12" i="1269"/>
  <c r="L12" i="1269"/>
  <c r="D12" i="1269"/>
  <c r="R11" i="1269"/>
  <c r="L11" i="1269"/>
  <c r="D11" i="1269"/>
  <c r="L10" i="1269"/>
  <c r="D10" i="1269" s="1"/>
  <c r="L9" i="1269"/>
  <c r="D9" i="1269" s="1"/>
  <c r="L8" i="1269"/>
  <c r="D8" i="1269"/>
  <c r="R6" i="1269"/>
  <c r="R5" i="1269"/>
  <c r="R4" i="1269"/>
  <c r="D54" i="1268"/>
  <c r="H14" i="1268" s="1"/>
  <c r="R52" i="1268"/>
  <c r="R51" i="1268"/>
  <c r="D50" i="1268"/>
  <c r="R49" i="1268"/>
  <c r="G49" i="1268"/>
  <c r="D49" i="1268"/>
  <c r="R48" i="1268"/>
  <c r="D48" i="1268"/>
  <c r="D46" i="1268"/>
  <c r="D45" i="1268"/>
  <c r="D44" i="1268"/>
  <c r="R42" i="1268"/>
  <c r="L6" i="1268" s="1"/>
  <c r="D6" i="1268" s="1"/>
  <c r="D42" i="1268"/>
  <c r="R41" i="1268"/>
  <c r="L7" i="1268" s="1"/>
  <c r="D7" i="1268" s="1"/>
  <c r="D41" i="1268"/>
  <c r="R40" i="1268"/>
  <c r="D40" i="1268"/>
  <c r="R39" i="1268"/>
  <c r="D39" i="1268"/>
  <c r="R38" i="1268"/>
  <c r="D38" i="1268"/>
  <c r="R37" i="1268"/>
  <c r="D37" i="1268"/>
  <c r="R36" i="1268"/>
  <c r="D36" i="1268"/>
  <c r="R35" i="1268"/>
  <c r="D35" i="1268"/>
  <c r="R34" i="1268"/>
  <c r="L12" i="1268" s="1"/>
  <c r="D12" i="1268" s="1"/>
  <c r="D34" i="1268"/>
  <c r="R33" i="1268"/>
  <c r="L23" i="1268" s="1"/>
  <c r="D23" i="1268" s="1"/>
  <c r="R32" i="1268"/>
  <c r="L11" i="1268" s="1"/>
  <c r="D11" i="1268" s="1"/>
  <c r="R31" i="1268"/>
  <c r="R30" i="1268"/>
  <c r="R29" i="1268"/>
  <c r="R28" i="1268"/>
  <c r="L16" i="1268" s="1"/>
  <c r="D16" i="1268" s="1"/>
  <c r="D28" i="1268"/>
  <c r="R27" i="1268"/>
  <c r="D27" i="1268"/>
  <c r="R26" i="1268"/>
  <c r="L26" i="1268"/>
  <c r="D26" i="1268"/>
  <c r="R25" i="1268"/>
  <c r="L25" i="1268"/>
  <c r="D25" i="1268"/>
  <c r="R24" i="1268"/>
  <c r="D24" i="1268"/>
  <c r="R23" i="1268"/>
  <c r="R22" i="1268"/>
  <c r="L22" i="1268"/>
  <c r="D22" i="1268"/>
  <c r="R21" i="1268"/>
  <c r="D21" i="1268"/>
  <c r="R20" i="1268"/>
  <c r="L20" i="1268"/>
  <c r="D20" i="1268"/>
  <c r="R19" i="1268"/>
  <c r="L19" i="1268"/>
  <c r="D19" i="1268"/>
  <c r="R18" i="1268"/>
  <c r="D18" i="1268"/>
  <c r="R17" i="1268"/>
  <c r="D17" i="1268"/>
  <c r="R16" i="1268"/>
  <c r="S15" i="1268"/>
  <c r="R15" i="1268"/>
  <c r="D15" i="1268"/>
  <c r="S14" i="1268"/>
  <c r="R14" i="1268"/>
  <c r="D14" i="1268"/>
  <c r="R13" i="1268"/>
  <c r="D13" i="1268"/>
  <c r="R12" i="1268"/>
  <c r="R11" i="1268"/>
  <c r="L10" i="1268"/>
  <c r="D10" i="1268" s="1"/>
  <c r="L9" i="1268"/>
  <c r="D9" i="1268" s="1"/>
  <c r="L8" i="1268"/>
  <c r="D8" i="1268" s="1"/>
  <c r="R6" i="1268"/>
  <c r="R5" i="1268"/>
  <c r="R4" i="1268"/>
  <c r="R52" i="1267"/>
  <c r="R51" i="1267"/>
  <c r="D50" i="1267"/>
  <c r="R49" i="1267"/>
  <c r="D49" i="1267"/>
  <c r="R48" i="1267"/>
  <c r="D48" i="1267"/>
  <c r="D46" i="1267"/>
  <c r="D45" i="1267"/>
  <c r="D44" i="1267"/>
  <c r="R42" i="1267"/>
  <c r="D42" i="1267"/>
  <c r="R41" i="1267"/>
  <c r="D41" i="1267"/>
  <c r="R40" i="1267"/>
  <c r="L8" i="1267" s="1"/>
  <c r="D8" i="1267" s="1"/>
  <c r="D40" i="1267"/>
  <c r="R39" i="1267"/>
  <c r="H39" i="1267"/>
  <c r="D39" i="1267"/>
  <c r="R38" i="1267"/>
  <c r="H38" i="1267"/>
  <c r="D38" i="1267"/>
  <c r="R37" i="1267"/>
  <c r="H37" i="1267"/>
  <c r="D37" i="1267"/>
  <c r="R36" i="1267"/>
  <c r="H36" i="1267"/>
  <c r="D36" i="1267"/>
  <c r="R35" i="1267"/>
  <c r="H35" i="1267"/>
  <c r="D35" i="1267"/>
  <c r="R34" i="1267"/>
  <c r="H34" i="1267"/>
  <c r="D34" i="1267"/>
  <c r="R33" i="1267"/>
  <c r="L23" i="1267" s="1"/>
  <c r="D23" i="1267" s="1"/>
  <c r="R32" i="1267"/>
  <c r="R31" i="1267"/>
  <c r="R30" i="1267"/>
  <c r="R29" i="1267"/>
  <c r="R28" i="1267"/>
  <c r="D28" i="1267"/>
  <c r="R27" i="1267"/>
  <c r="D27" i="1267"/>
  <c r="R26" i="1267"/>
  <c r="L26" i="1267"/>
  <c r="D26" i="1267" s="1"/>
  <c r="R25" i="1267"/>
  <c r="L25" i="1267"/>
  <c r="D25" i="1267"/>
  <c r="R24" i="1267"/>
  <c r="D24" i="1267"/>
  <c r="R23" i="1267"/>
  <c r="R22" i="1267"/>
  <c r="L22" i="1267"/>
  <c r="D22" i="1267"/>
  <c r="R21" i="1267"/>
  <c r="D21" i="1267"/>
  <c r="R20" i="1267"/>
  <c r="L20" i="1267"/>
  <c r="D20" i="1267" s="1"/>
  <c r="R19" i="1267"/>
  <c r="L19" i="1267"/>
  <c r="D19" i="1267"/>
  <c r="R18" i="1267"/>
  <c r="D18" i="1267"/>
  <c r="R17" i="1267"/>
  <c r="D17" i="1267"/>
  <c r="R16" i="1267"/>
  <c r="L16" i="1267"/>
  <c r="D16" i="1267" s="1"/>
  <c r="S15" i="1267"/>
  <c r="R15" i="1267"/>
  <c r="D15" i="1267"/>
  <c r="S14" i="1267"/>
  <c r="R14" i="1267"/>
  <c r="D14" i="1267"/>
  <c r="R13" i="1267"/>
  <c r="D13" i="1267"/>
  <c r="R12" i="1267"/>
  <c r="L12" i="1267"/>
  <c r="D12" i="1267" s="1"/>
  <c r="R11" i="1267"/>
  <c r="L11" i="1267"/>
  <c r="D11" i="1267"/>
  <c r="L10" i="1267"/>
  <c r="D10" i="1267" s="1"/>
  <c r="L9" i="1267"/>
  <c r="D9" i="1267" s="1"/>
  <c r="L7" i="1267"/>
  <c r="D7" i="1267"/>
  <c r="R6" i="1267"/>
  <c r="L6" i="1267"/>
  <c r="D6" i="1267"/>
  <c r="R5" i="1267"/>
  <c r="R4" i="1267"/>
  <c r="R52" i="1266"/>
  <c r="R51" i="1266"/>
  <c r="D50" i="1266"/>
  <c r="R49" i="1266"/>
  <c r="D49" i="1266"/>
  <c r="R48" i="1266"/>
  <c r="D48" i="1266"/>
  <c r="D46" i="1266"/>
  <c r="D45" i="1266"/>
  <c r="D44" i="1266"/>
  <c r="R42" i="1266"/>
  <c r="D42" i="1266"/>
  <c r="R41" i="1266"/>
  <c r="D41" i="1266"/>
  <c r="R40" i="1266"/>
  <c r="D40" i="1266"/>
  <c r="R39" i="1266"/>
  <c r="L20" i="1266" s="1"/>
  <c r="D20" i="1266" s="1"/>
  <c r="H39" i="1266"/>
  <c r="D39" i="1266"/>
  <c r="R38" i="1266"/>
  <c r="H38" i="1266"/>
  <c r="D38" i="1266"/>
  <c r="R37" i="1266"/>
  <c r="H37" i="1266"/>
  <c r="D37" i="1266"/>
  <c r="R36" i="1266"/>
  <c r="L10" i="1266" s="1"/>
  <c r="D10" i="1266" s="1"/>
  <c r="H36" i="1266"/>
  <c r="D36" i="1266"/>
  <c r="R35" i="1266"/>
  <c r="L19" i="1266" s="1"/>
  <c r="D19" i="1266" s="1"/>
  <c r="H35" i="1266"/>
  <c r="D35" i="1266"/>
  <c r="R34" i="1266"/>
  <c r="L12" i="1266" s="1"/>
  <c r="D12" i="1266" s="1"/>
  <c r="H34" i="1266"/>
  <c r="D34" i="1266"/>
  <c r="R33" i="1266"/>
  <c r="R32" i="1266"/>
  <c r="R31" i="1266"/>
  <c r="R30" i="1266"/>
  <c r="R29" i="1266"/>
  <c r="R28" i="1266"/>
  <c r="L16" i="1266" s="1"/>
  <c r="D16" i="1266" s="1"/>
  <c r="D28" i="1266"/>
  <c r="R27" i="1266"/>
  <c r="D27" i="1266"/>
  <c r="R26" i="1266"/>
  <c r="L26" i="1266"/>
  <c r="D26" i="1266"/>
  <c r="R25" i="1266"/>
  <c r="L25" i="1266"/>
  <c r="D25" i="1266" s="1"/>
  <c r="R24" i="1266"/>
  <c r="L24" i="1266"/>
  <c r="D24" i="1266"/>
  <c r="R23" i="1266"/>
  <c r="L23" i="1266"/>
  <c r="D23" i="1266"/>
  <c r="R22" i="1266"/>
  <c r="L22" i="1266"/>
  <c r="D22" i="1266"/>
  <c r="R21" i="1266"/>
  <c r="D21" i="1266"/>
  <c r="R20" i="1266"/>
  <c r="R19" i="1266"/>
  <c r="R18" i="1266"/>
  <c r="D18" i="1266"/>
  <c r="R17" i="1266"/>
  <c r="L17" i="1266"/>
  <c r="D17" i="1266"/>
  <c r="R16" i="1266"/>
  <c r="R15" i="1266"/>
  <c r="D15" i="1266"/>
  <c r="R14" i="1266"/>
  <c r="D14" i="1266"/>
  <c r="R13" i="1266"/>
  <c r="D13" i="1266"/>
  <c r="R12" i="1266"/>
  <c r="R11" i="1266"/>
  <c r="L11" i="1266"/>
  <c r="D11" i="1266" s="1"/>
  <c r="L9" i="1266"/>
  <c r="D9" i="1266"/>
  <c r="L8" i="1266"/>
  <c r="D8" i="1266"/>
  <c r="L7" i="1266"/>
  <c r="D7" i="1266" s="1"/>
  <c r="R6" i="1266"/>
  <c r="L6" i="1266"/>
  <c r="D6" i="1266"/>
  <c r="R5" i="1266"/>
  <c r="R4" i="1266"/>
  <c r="R52" i="1265"/>
  <c r="R51" i="1265"/>
  <c r="D50" i="1265"/>
  <c r="R49" i="1265"/>
  <c r="D49" i="1265"/>
  <c r="R48" i="1265"/>
  <c r="D48" i="1265"/>
  <c r="D46" i="1265"/>
  <c r="D45" i="1265"/>
  <c r="P44" i="1265"/>
  <c r="R44" i="1265" s="1"/>
  <c r="D44" i="1265"/>
  <c r="R42" i="1265"/>
  <c r="D42" i="1265"/>
  <c r="R41" i="1265"/>
  <c r="D41" i="1265"/>
  <c r="R40" i="1265"/>
  <c r="D40" i="1265"/>
  <c r="R39" i="1265"/>
  <c r="L20" i="1265" s="1"/>
  <c r="D20" i="1265" s="1"/>
  <c r="H39" i="1265"/>
  <c r="D39" i="1265"/>
  <c r="R38" i="1265"/>
  <c r="L9" i="1265" s="1"/>
  <c r="D9" i="1265" s="1"/>
  <c r="H38" i="1265"/>
  <c r="D38" i="1265"/>
  <c r="R37" i="1265"/>
  <c r="H37" i="1265"/>
  <c r="D37" i="1265"/>
  <c r="R36" i="1265"/>
  <c r="H36" i="1265"/>
  <c r="D36" i="1265"/>
  <c r="R35" i="1265"/>
  <c r="H35" i="1265"/>
  <c r="D35" i="1265"/>
  <c r="R34" i="1265"/>
  <c r="L12" i="1265" s="1"/>
  <c r="D12" i="1265" s="1"/>
  <c r="H34" i="1265"/>
  <c r="D34" i="1265"/>
  <c r="R33" i="1265"/>
  <c r="R32" i="1265"/>
  <c r="R31" i="1265"/>
  <c r="R30" i="1265"/>
  <c r="R29" i="1265"/>
  <c r="R28" i="1265"/>
  <c r="D28" i="1265"/>
  <c r="R27" i="1265"/>
  <c r="L27" i="1265"/>
  <c r="D27" i="1265"/>
  <c r="R26" i="1265"/>
  <c r="L26" i="1265"/>
  <c r="D26" i="1265"/>
  <c r="R25" i="1265"/>
  <c r="D25" i="1265"/>
  <c r="R24" i="1265"/>
  <c r="L24" i="1265"/>
  <c r="D24" i="1265"/>
  <c r="R23" i="1265"/>
  <c r="L23" i="1265"/>
  <c r="D23" i="1265"/>
  <c r="R22" i="1265"/>
  <c r="D22" i="1265"/>
  <c r="R21" i="1265"/>
  <c r="D21" i="1265"/>
  <c r="R20" i="1265"/>
  <c r="R19" i="1265"/>
  <c r="D19" i="1265"/>
  <c r="R18" i="1265"/>
  <c r="D18" i="1265"/>
  <c r="R17" i="1265"/>
  <c r="L17" i="1265"/>
  <c r="D17" i="1265"/>
  <c r="T16" i="1265"/>
  <c r="R16" i="1265"/>
  <c r="L16" i="1265"/>
  <c r="D16" i="1265"/>
  <c r="R15" i="1265"/>
  <c r="D15" i="1265"/>
  <c r="R14" i="1265"/>
  <c r="D14" i="1265"/>
  <c r="R13" i="1265"/>
  <c r="D13" i="1265"/>
  <c r="R12" i="1265"/>
  <c r="R11" i="1265"/>
  <c r="L11" i="1265"/>
  <c r="D11" i="1265" s="1"/>
  <c r="L10" i="1265"/>
  <c r="D10" i="1265"/>
  <c r="L8" i="1265"/>
  <c r="D8" i="1265"/>
  <c r="L7" i="1265"/>
  <c r="D7" i="1265"/>
  <c r="R6" i="1265"/>
  <c r="L6" i="1265"/>
  <c r="D6" i="1265" s="1"/>
  <c r="R5" i="1265"/>
  <c r="R4" i="1265"/>
  <c r="R52" i="1264"/>
  <c r="R51" i="1264"/>
  <c r="D50" i="1264"/>
  <c r="R49" i="1264"/>
  <c r="G49" i="1264"/>
  <c r="D49" i="1264"/>
  <c r="R48" i="1264"/>
  <c r="D48" i="1264"/>
  <c r="D46" i="1264"/>
  <c r="D45" i="1264"/>
  <c r="D44" i="1264"/>
  <c r="R42" i="1264"/>
  <c r="D42" i="1264"/>
  <c r="R41" i="1264"/>
  <c r="L7" i="1264" s="1"/>
  <c r="D7" i="1264" s="1"/>
  <c r="D41" i="1264"/>
  <c r="R40" i="1264"/>
  <c r="L8" i="1264" s="1"/>
  <c r="D8" i="1264" s="1"/>
  <c r="D40" i="1264"/>
  <c r="R39" i="1264"/>
  <c r="D39" i="1264"/>
  <c r="R38" i="1264"/>
  <c r="D38" i="1264"/>
  <c r="R37" i="1264"/>
  <c r="D37" i="1264"/>
  <c r="R36" i="1264"/>
  <c r="L10" i="1264" s="1"/>
  <c r="D10" i="1264" s="1"/>
  <c r="D36" i="1264"/>
  <c r="R35" i="1264"/>
  <c r="L19" i="1264" s="1"/>
  <c r="D19" i="1264" s="1"/>
  <c r="D35" i="1264"/>
  <c r="R34" i="1264"/>
  <c r="L12" i="1264" s="1"/>
  <c r="D12" i="1264" s="1"/>
  <c r="D34" i="1264"/>
  <c r="D54" i="1264" s="1"/>
  <c r="H14" i="1264" s="1"/>
  <c r="R33" i="1264"/>
  <c r="L23" i="1264" s="1"/>
  <c r="D23" i="1264" s="1"/>
  <c r="R32" i="1264"/>
  <c r="L11" i="1264" s="1"/>
  <c r="D11" i="1264" s="1"/>
  <c r="R31" i="1264"/>
  <c r="R30" i="1264"/>
  <c r="R29" i="1264"/>
  <c r="R28" i="1264"/>
  <c r="D28" i="1264"/>
  <c r="R27" i="1264"/>
  <c r="D27" i="1264"/>
  <c r="R26" i="1264"/>
  <c r="L26" i="1264"/>
  <c r="D26" i="1264" s="1"/>
  <c r="R25" i="1264"/>
  <c r="L25" i="1264"/>
  <c r="D25" i="1264"/>
  <c r="R24" i="1264"/>
  <c r="D24" i="1264"/>
  <c r="R23" i="1264"/>
  <c r="R22" i="1264"/>
  <c r="L22" i="1264"/>
  <c r="D22" i="1264"/>
  <c r="R21" i="1264"/>
  <c r="D21" i="1264"/>
  <c r="R20" i="1264"/>
  <c r="L20" i="1264"/>
  <c r="D20" i="1264" s="1"/>
  <c r="R19" i="1264"/>
  <c r="R18" i="1264"/>
  <c r="D18" i="1264"/>
  <c r="R17" i="1264"/>
  <c r="D17" i="1264"/>
  <c r="R16" i="1264"/>
  <c r="L16" i="1264"/>
  <c r="D16" i="1264" s="1"/>
  <c r="S15" i="1264"/>
  <c r="R15" i="1264"/>
  <c r="D15" i="1264"/>
  <c r="S14" i="1264"/>
  <c r="R14" i="1264"/>
  <c r="D14" i="1264"/>
  <c r="R13" i="1264"/>
  <c r="D13" i="1264"/>
  <c r="R12" i="1264"/>
  <c r="R11" i="1264"/>
  <c r="L9" i="1264"/>
  <c r="D9" i="1264"/>
  <c r="R6" i="1264"/>
  <c r="L6" i="1264"/>
  <c r="D6" i="1264" s="1"/>
  <c r="R5" i="1264"/>
  <c r="R4" i="1264"/>
  <c r="R52" i="1263"/>
  <c r="R51" i="1263"/>
  <c r="D50" i="1263"/>
  <c r="R49" i="1263"/>
  <c r="D49" i="1263"/>
  <c r="R48" i="1263"/>
  <c r="D48" i="1263"/>
  <c r="D46" i="1263"/>
  <c r="D45" i="1263"/>
  <c r="D44" i="1263"/>
  <c r="R42" i="1263"/>
  <c r="D42" i="1263"/>
  <c r="R41" i="1263"/>
  <c r="D41" i="1263"/>
  <c r="R40" i="1263"/>
  <c r="D40" i="1263"/>
  <c r="R39" i="1263"/>
  <c r="H39" i="1263"/>
  <c r="D39" i="1263"/>
  <c r="R38" i="1263"/>
  <c r="H38" i="1263"/>
  <c r="D38" i="1263"/>
  <c r="R37" i="1263"/>
  <c r="H37" i="1263"/>
  <c r="D37" i="1263"/>
  <c r="R36" i="1263"/>
  <c r="H36" i="1263"/>
  <c r="D36" i="1263"/>
  <c r="R35" i="1263"/>
  <c r="H35" i="1263"/>
  <c r="D35" i="1263"/>
  <c r="R34" i="1263"/>
  <c r="L12" i="1263" s="1"/>
  <c r="D12" i="1263" s="1"/>
  <c r="H34" i="1263"/>
  <c r="D34" i="1263"/>
  <c r="R33" i="1263"/>
  <c r="R32" i="1263"/>
  <c r="R31" i="1263"/>
  <c r="R30" i="1263"/>
  <c r="R29" i="1263"/>
  <c r="R28" i="1263"/>
  <c r="D28" i="1263"/>
  <c r="R27" i="1263"/>
  <c r="D27" i="1263"/>
  <c r="R26" i="1263"/>
  <c r="L26" i="1263"/>
  <c r="D26" i="1263"/>
  <c r="R25" i="1263"/>
  <c r="L25" i="1263"/>
  <c r="D25" i="1263" s="1"/>
  <c r="R24" i="1263"/>
  <c r="D24" i="1263"/>
  <c r="R23" i="1263"/>
  <c r="L23" i="1263"/>
  <c r="D23" i="1263"/>
  <c r="R22" i="1263"/>
  <c r="L22" i="1263"/>
  <c r="D22" i="1263"/>
  <c r="R21" i="1263"/>
  <c r="D21" i="1263"/>
  <c r="R20" i="1263"/>
  <c r="L20" i="1263"/>
  <c r="D20" i="1263"/>
  <c r="R19" i="1263"/>
  <c r="L19" i="1263"/>
  <c r="D19" i="1263" s="1"/>
  <c r="R18" i="1263"/>
  <c r="D18" i="1263"/>
  <c r="R17" i="1263"/>
  <c r="D17" i="1263"/>
  <c r="R16" i="1263"/>
  <c r="L16" i="1263"/>
  <c r="D16" i="1263"/>
  <c r="S15" i="1263"/>
  <c r="R15" i="1263"/>
  <c r="D15" i="1263"/>
  <c r="S14" i="1263"/>
  <c r="R14" i="1263"/>
  <c r="D14" i="1263"/>
  <c r="R13" i="1263"/>
  <c r="D13" i="1263"/>
  <c r="R12" i="1263"/>
  <c r="R11" i="1263"/>
  <c r="L11" i="1263"/>
  <c r="D11" i="1263"/>
  <c r="L10" i="1263"/>
  <c r="D10" i="1263"/>
  <c r="L9" i="1263"/>
  <c r="D9" i="1263"/>
  <c r="L8" i="1263"/>
  <c r="D8" i="1263"/>
  <c r="L7" i="1263"/>
  <c r="D7" i="1263" s="1"/>
  <c r="R6" i="1263"/>
  <c r="L6" i="1263"/>
  <c r="D6" i="1263" s="1"/>
  <c r="R5" i="1263"/>
  <c r="R4" i="1263"/>
  <c r="R52" i="1262"/>
  <c r="R51" i="1262"/>
  <c r="D50" i="1262"/>
  <c r="R49" i="1262"/>
  <c r="D49" i="1262"/>
  <c r="R48" i="1262"/>
  <c r="D48" i="1262"/>
  <c r="D46" i="1262"/>
  <c r="D45" i="1262"/>
  <c r="D44" i="1262"/>
  <c r="R42" i="1262"/>
  <c r="D42" i="1262"/>
  <c r="R41" i="1262"/>
  <c r="D41" i="1262"/>
  <c r="R40" i="1262"/>
  <c r="D40" i="1262"/>
  <c r="R39" i="1262"/>
  <c r="L20" i="1262" s="1"/>
  <c r="D20" i="1262" s="1"/>
  <c r="H39" i="1262"/>
  <c r="D39" i="1262"/>
  <c r="R38" i="1262"/>
  <c r="L9" i="1262" s="1"/>
  <c r="D9" i="1262" s="1"/>
  <c r="H38" i="1262"/>
  <c r="D38" i="1262"/>
  <c r="R37" i="1262"/>
  <c r="H37" i="1262"/>
  <c r="D37" i="1262"/>
  <c r="R36" i="1262"/>
  <c r="L10" i="1262" s="1"/>
  <c r="D10" i="1262" s="1"/>
  <c r="H36" i="1262"/>
  <c r="D36" i="1262"/>
  <c r="R35" i="1262"/>
  <c r="H35" i="1262"/>
  <c r="D35" i="1262"/>
  <c r="R34" i="1262"/>
  <c r="H34" i="1262"/>
  <c r="D34" i="1262"/>
  <c r="R33" i="1262"/>
  <c r="R32" i="1262"/>
  <c r="L11" i="1262" s="1"/>
  <c r="D11" i="1262" s="1"/>
  <c r="R31" i="1262"/>
  <c r="R30" i="1262"/>
  <c r="R29" i="1262"/>
  <c r="R28" i="1262"/>
  <c r="D28" i="1262"/>
  <c r="R27" i="1262"/>
  <c r="D27" i="1262"/>
  <c r="R26" i="1262"/>
  <c r="L26" i="1262"/>
  <c r="D26" i="1262"/>
  <c r="R25" i="1262"/>
  <c r="L25" i="1262"/>
  <c r="D25" i="1262"/>
  <c r="R24" i="1262"/>
  <c r="L24" i="1262"/>
  <c r="D24" i="1262"/>
  <c r="R23" i="1262"/>
  <c r="L23" i="1262"/>
  <c r="D23" i="1262" s="1"/>
  <c r="R22" i="1262"/>
  <c r="L22" i="1262"/>
  <c r="D22" i="1262" s="1"/>
  <c r="R21" i="1262"/>
  <c r="D21" i="1262"/>
  <c r="R20" i="1262"/>
  <c r="R19" i="1262"/>
  <c r="L19" i="1262"/>
  <c r="D19" i="1262"/>
  <c r="R18" i="1262"/>
  <c r="D18" i="1262"/>
  <c r="R17" i="1262"/>
  <c r="L17" i="1262"/>
  <c r="D17" i="1262" s="1"/>
  <c r="R16" i="1262"/>
  <c r="L16" i="1262"/>
  <c r="D16" i="1262" s="1"/>
  <c r="R15" i="1262"/>
  <c r="D15" i="1262"/>
  <c r="R14" i="1262"/>
  <c r="D14" i="1262"/>
  <c r="R13" i="1262"/>
  <c r="D13" i="1262"/>
  <c r="R12" i="1262"/>
  <c r="L12" i="1262"/>
  <c r="D12" i="1262"/>
  <c r="R11" i="1262"/>
  <c r="L8" i="1262"/>
  <c r="D8" i="1262"/>
  <c r="L7" i="1262"/>
  <c r="D7" i="1262"/>
  <c r="R6" i="1262"/>
  <c r="L6" i="1262"/>
  <c r="D6" i="1262"/>
  <c r="R5" i="1262"/>
  <c r="R4" i="1262"/>
  <c r="R52" i="1261"/>
  <c r="R51" i="1261"/>
  <c r="D50" i="1261"/>
  <c r="R49" i="1261"/>
  <c r="D49" i="1261"/>
  <c r="R48" i="1261"/>
  <c r="D48" i="1261"/>
  <c r="D46" i="1261"/>
  <c r="D45" i="1261"/>
  <c r="R44" i="1261"/>
  <c r="P44" i="1261"/>
  <c r="D44" i="1261"/>
  <c r="R42" i="1261"/>
  <c r="D42" i="1261"/>
  <c r="R41" i="1261"/>
  <c r="L7" i="1261" s="1"/>
  <c r="D7" i="1261" s="1"/>
  <c r="D41" i="1261"/>
  <c r="R40" i="1261"/>
  <c r="D40" i="1261"/>
  <c r="R39" i="1261"/>
  <c r="H39" i="1261"/>
  <c r="D39" i="1261"/>
  <c r="R38" i="1261"/>
  <c r="H38" i="1261"/>
  <c r="D38" i="1261"/>
  <c r="R37" i="1261"/>
  <c r="H37" i="1261"/>
  <c r="D37" i="1261"/>
  <c r="R36" i="1261"/>
  <c r="H36" i="1261"/>
  <c r="D36" i="1261"/>
  <c r="R35" i="1261"/>
  <c r="H35" i="1261"/>
  <c r="D35" i="1261"/>
  <c r="R34" i="1261"/>
  <c r="L12" i="1261" s="1"/>
  <c r="D12" i="1261" s="1"/>
  <c r="H34" i="1261"/>
  <c r="D34" i="1261"/>
  <c r="R33" i="1261"/>
  <c r="R32" i="1261"/>
  <c r="L11" i="1261" s="1"/>
  <c r="D11" i="1261" s="1"/>
  <c r="R31" i="1261"/>
  <c r="R30" i="1261"/>
  <c r="R29" i="1261"/>
  <c r="R28" i="1261"/>
  <c r="D28" i="1261"/>
  <c r="R27" i="1261"/>
  <c r="L27" i="1261"/>
  <c r="D27" i="1261"/>
  <c r="R26" i="1261"/>
  <c r="L26" i="1261"/>
  <c r="D26" i="1261" s="1"/>
  <c r="R25" i="1261"/>
  <c r="D25" i="1261"/>
  <c r="R24" i="1261"/>
  <c r="L24" i="1261"/>
  <c r="D24" i="1261"/>
  <c r="R23" i="1261"/>
  <c r="L23" i="1261"/>
  <c r="D23" i="1261" s="1"/>
  <c r="R22" i="1261"/>
  <c r="D22" i="1261"/>
  <c r="R21" i="1261"/>
  <c r="D21" i="1261"/>
  <c r="R20" i="1261"/>
  <c r="L20" i="1261"/>
  <c r="D20" i="1261"/>
  <c r="R19" i="1261"/>
  <c r="D19" i="1261"/>
  <c r="R18" i="1261"/>
  <c r="D18" i="1261"/>
  <c r="R17" i="1261"/>
  <c r="L17" i="1261"/>
  <c r="D17" i="1261"/>
  <c r="T16" i="1261"/>
  <c r="R16" i="1261"/>
  <c r="L16" i="1261"/>
  <c r="D16" i="1261"/>
  <c r="R15" i="1261"/>
  <c r="D15" i="1261"/>
  <c r="R14" i="1261"/>
  <c r="D14" i="1261"/>
  <c r="R13" i="1261"/>
  <c r="D13" i="1261"/>
  <c r="R12" i="1261"/>
  <c r="R11" i="1261"/>
  <c r="L10" i="1261"/>
  <c r="D10" i="1261"/>
  <c r="L9" i="1261"/>
  <c r="D9" i="1261"/>
  <c r="L8" i="1261"/>
  <c r="D8" i="1261"/>
  <c r="R6" i="1261"/>
  <c r="L6" i="1261"/>
  <c r="D6" i="1261" s="1"/>
  <c r="R5" i="1261"/>
  <c r="R4" i="1261"/>
  <c r="G49" i="1283" l="1"/>
  <c r="G49" i="1282"/>
  <c r="G49" i="1281"/>
  <c r="D54" i="1283"/>
  <c r="H14" i="1283" s="1"/>
  <c r="D29" i="1283"/>
  <c r="H13" i="1283" s="1"/>
  <c r="D54" i="1282"/>
  <c r="H14" i="1282" s="1"/>
  <c r="D54" i="1281"/>
  <c r="H14" i="1281" s="1"/>
  <c r="D54" i="1279"/>
  <c r="H14" i="1279" s="1"/>
  <c r="D54" i="1278"/>
  <c r="H14" i="1278" s="1"/>
  <c r="D54" i="1277"/>
  <c r="H14" i="1277" s="1"/>
  <c r="D29" i="1277"/>
  <c r="H13" i="1277" s="1"/>
  <c r="G49" i="1279"/>
  <c r="G49" i="1278"/>
  <c r="G49" i="1277"/>
  <c r="G49" i="1271"/>
  <c r="G49" i="1270"/>
  <c r="G49" i="1269"/>
  <c r="D54" i="1271"/>
  <c r="H14" i="1271" s="1"/>
  <c r="D54" i="1270"/>
  <c r="H14" i="1270" s="1"/>
  <c r="D54" i="1269"/>
  <c r="H14" i="1269" s="1"/>
  <c r="G49" i="1266"/>
  <c r="G49" i="1267"/>
  <c r="G49" i="1265"/>
  <c r="D54" i="1267"/>
  <c r="H14" i="1267" s="1"/>
  <c r="D54" i="1266"/>
  <c r="H14" i="1266" s="1"/>
  <c r="D54" i="1265"/>
  <c r="H14" i="1265" s="1"/>
  <c r="G49" i="1263"/>
  <c r="G49" i="1262"/>
  <c r="G49" i="1261"/>
  <c r="D54" i="1263"/>
  <c r="H14" i="1263" s="1"/>
  <c r="D54" i="1262"/>
  <c r="H14" i="1262" s="1"/>
  <c r="D54" i="1261"/>
  <c r="H14" i="1261" s="1"/>
  <c r="D29" i="1284"/>
  <c r="H13" i="1284" s="1"/>
  <c r="H15" i="1284" s="1"/>
  <c r="H29" i="1284" s="1"/>
  <c r="G51" i="1284" s="1"/>
  <c r="D29" i="1282"/>
  <c r="H13" i="1282" s="1"/>
  <c r="D29" i="1281"/>
  <c r="H13" i="1281" s="1"/>
  <c r="D29" i="1279"/>
  <c r="H13" i="1279" s="1"/>
  <c r="D29" i="1278"/>
  <c r="H13" i="1278" s="1"/>
  <c r="D29" i="1276"/>
  <c r="H13" i="1276" s="1"/>
  <c r="H15" i="1276" s="1"/>
  <c r="H29" i="1276" s="1"/>
  <c r="G51" i="1276" s="1"/>
  <c r="D29" i="1275"/>
  <c r="H13" i="1275" s="1"/>
  <c r="H15" i="1275" s="1"/>
  <c r="H29" i="1275" s="1"/>
  <c r="G51" i="1275" s="1"/>
  <c r="D29" i="1274"/>
  <c r="H13" i="1274" s="1"/>
  <c r="H15" i="1274" s="1"/>
  <c r="H29" i="1274" s="1"/>
  <c r="G51" i="1274" s="1"/>
  <c r="G51" i="1273"/>
  <c r="D29" i="1272"/>
  <c r="H13" i="1272" s="1"/>
  <c r="H15" i="1272" s="1"/>
  <c r="H29" i="1272" s="1"/>
  <c r="G51" i="1272" s="1"/>
  <c r="D29" i="1271"/>
  <c r="H13" i="1271" s="1"/>
  <c r="D29" i="1270"/>
  <c r="H13" i="1270" s="1"/>
  <c r="D29" i="1269"/>
  <c r="H13" i="1269" s="1"/>
  <c r="D29" i="1268"/>
  <c r="H13" i="1268" s="1"/>
  <c r="H15" i="1268" s="1"/>
  <c r="H29" i="1268" s="1"/>
  <c r="G51" i="1268" s="1"/>
  <c r="D29" i="1267"/>
  <c r="H13" i="1267" s="1"/>
  <c r="D29" i="1266"/>
  <c r="H13" i="1266" s="1"/>
  <c r="D29" i="1265"/>
  <c r="H13" i="1265" s="1"/>
  <c r="D29" i="1264"/>
  <c r="H13" i="1264" s="1"/>
  <c r="H15" i="1264" s="1"/>
  <c r="H29" i="1264" s="1"/>
  <c r="G51" i="1264" s="1"/>
  <c r="D29" i="1263"/>
  <c r="H13" i="1263" s="1"/>
  <c r="D29" i="1262"/>
  <c r="H13" i="1262" s="1"/>
  <c r="D29" i="1261"/>
  <c r="H13" i="1261" s="1"/>
  <c r="L22" i="1255"/>
  <c r="H15" i="1283" l="1"/>
  <c r="H29" i="1283" s="1"/>
  <c r="G51" i="1283" s="1"/>
  <c r="H15" i="1282"/>
  <c r="H29" i="1282" s="1"/>
  <c r="G51" i="1282" s="1"/>
  <c r="H15" i="1281"/>
  <c r="H29" i="1281" s="1"/>
  <c r="G51" i="1281" s="1"/>
  <c r="H15" i="1279"/>
  <c r="H29" i="1279" s="1"/>
  <c r="G51" i="1279" s="1"/>
  <c r="H15" i="1278"/>
  <c r="H29" i="1278" s="1"/>
  <c r="G51" i="1278" s="1"/>
  <c r="H15" i="1277"/>
  <c r="H29" i="1277" s="1"/>
  <c r="G51" i="1277" s="1"/>
  <c r="H15" i="1271"/>
  <c r="H29" i="1271" s="1"/>
  <c r="G51" i="1271" s="1"/>
  <c r="H15" i="1270"/>
  <c r="H29" i="1270" s="1"/>
  <c r="G51" i="1270" s="1"/>
  <c r="H15" i="1269"/>
  <c r="H29" i="1269" s="1"/>
  <c r="G51" i="1269" s="1"/>
  <c r="H15" i="1267"/>
  <c r="H29" i="1267" s="1"/>
  <c r="G51" i="1267" s="1"/>
  <c r="H15" i="1266"/>
  <c r="H29" i="1266" s="1"/>
  <c r="G51" i="1266" s="1"/>
  <c r="H15" i="1265"/>
  <c r="H29" i="1265" s="1"/>
  <c r="G51" i="1265" s="1"/>
  <c r="H15" i="1263"/>
  <c r="H29" i="1263" s="1"/>
  <c r="G51" i="1263" s="1"/>
  <c r="H15" i="1262"/>
  <c r="H29" i="1262" s="1"/>
  <c r="G51" i="1262" s="1"/>
  <c r="H15" i="1261"/>
  <c r="G51" i="1261" s="1"/>
  <c r="H16" i="1255"/>
  <c r="H16" i="1254"/>
  <c r="C21" i="1254"/>
  <c r="H16" i="1250" l="1"/>
  <c r="G42" i="1250"/>
  <c r="H16" i="1242" l="1"/>
  <c r="L25" i="1243" l="1"/>
  <c r="C21" i="1241"/>
  <c r="H16" i="1238" l="1"/>
  <c r="H16" i="1237"/>
  <c r="R52" i="1260" l="1"/>
  <c r="R51" i="1260"/>
  <c r="D50" i="1260"/>
  <c r="R49" i="1260"/>
  <c r="G49" i="1260"/>
  <c r="D49" i="1260"/>
  <c r="R48" i="1260"/>
  <c r="D48" i="1260"/>
  <c r="D46" i="1260"/>
  <c r="D45" i="1260"/>
  <c r="D44" i="1260"/>
  <c r="R42" i="1260"/>
  <c r="D42" i="1260"/>
  <c r="R41" i="1260"/>
  <c r="L7" i="1260" s="1"/>
  <c r="D7" i="1260" s="1"/>
  <c r="D41" i="1260"/>
  <c r="R40" i="1260"/>
  <c r="L8" i="1260" s="1"/>
  <c r="D8" i="1260" s="1"/>
  <c r="D40" i="1260"/>
  <c r="R39" i="1260"/>
  <c r="D39" i="1260"/>
  <c r="R38" i="1260"/>
  <c r="L9" i="1260" s="1"/>
  <c r="D9" i="1260" s="1"/>
  <c r="D38" i="1260"/>
  <c r="R37" i="1260"/>
  <c r="D37" i="1260"/>
  <c r="R36" i="1260"/>
  <c r="L10" i="1260" s="1"/>
  <c r="D10" i="1260" s="1"/>
  <c r="D36" i="1260"/>
  <c r="R35" i="1260"/>
  <c r="L19" i="1260" s="1"/>
  <c r="D19" i="1260" s="1"/>
  <c r="D35" i="1260"/>
  <c r="D54" i="1260" s="1"/>
  <c r="H14" i="1260" s="1"/>
  <c r="R34" i="1260"/>
  <c r="D34" i="1260"/>
  <c r="R33" i="1260"/>
  <c r="R32" i="1260"/>
  <c r="R31" i="1260"/>
  <c r="R30" i="1260"/>
  <c r="R29" i="1260"/>
  <c r="R28" i="1260"/>
  <c r="D28" i="1260"/>
  <c r="R27" i="1260"/>
  <c r="D27" i="1260"/>
  <c r="R26" i="1260"/>
  <c r="L26" i="1260"/>
  <c r="D26" i="1260"/>
  <c r="R25" i="1260"/>
  <c r="L25" i="1260"/>
  <c r="D25" i="1260"/>
  <c r="R24" i="1260"/>
  <c r="D24" i="1260"/>
  <c r="R23" i="1260"/>
  <c r="L23" i="1260"/>
  <c r="D23" i="1260"/>
  <c r="R22" i="1260"/>
  <c r="L22" i="1260"/>
  <c r="D22" i="1260" s="1"/>
  <c r="R21" i="1260"/>
  <c r="D21" i="1260"/>
  <c r="R20" i="1260"/>
  <c r="L20" i="1260"/>
  <c r="D20" i="1260"/>
  <c r="R19" i="1260"/>
  <c r="R18" i="1260"/>
  <c r="D18" i="1260"/>
  <c r="R17" i="1260"/>
  <c r="D17" i="1260"/>
  <c r="R16" i="1260"/>
  <c r="L16" i="1260"/>
  <c r="D16" i="1260" s="1"/>
  <c r="S15" i="1260"/>
  <c r="R15" i="1260"/>
  <c r="D15" i="1260"/>
  <c r="S14" i="1260"/>
  <c r="R14" i="1260"/>
  <c r="D14" i="1260"/>
  <c r="R13" i="1260"/>
  <c r="D13" i="1260"/>
  <c r="R12" i="1260"/>
  <c r="L12" i="1260"/>
  <c r="D12" i="1260"/>
  <c r="R11" i="1260"/>
  <c r="L11" i="1260"/>
  <c r="D11" i="1260" s="1"/>
  <c r="R6" i="1260"/>
  <c r="L6" i="1260"/>
  <c r="D6" i="1260"/>
  <c r="R5" i="1260"/>
  <c r="R4" i="1260"/>
  <c r="R52" i="1259"/>
  <c r="R51" i="1259"/>
  <c r="D50" i="1259"/>
  <c r="R49" i="1259"/>
  <c r="D49" i="1259"/>
  <c r="R48" i="1259"/>
  <c r="D48" i="1259"/>
  <c r="D46" i="1259"/>
  <c r="D45" i="1259"/>
  <c r="D44" i="1259"/>
  <c r="R42" i="1259"/>
  <c r="D42" i="1259"/>
  <c r="R41" i="1259"/>
  <c r="D41" i="1259"/>
  <c r="R40" i="1259"/>
  <c r="L8" i="1259" s="1"/>
  <c r="D8" i="1259" s="1"/>
  <c r="D40" i="1259"/>
  <c r="R39" i="1259"/>
  <c r="H39" i="1259"/>
  <c r="D39" i="1259"/>
  <c r="R38" i="1259"/>
  <c r="L9" i="1259" s="1"/>
  <c r="D9" i="1259" s="1"/>
  <c r="H38" i="1259"/>
  <c r="D38" i="1259"/>
  <c r="R37" i="1259"/>
  <c r="H37" i="1259"/>
  <c r="D37" i="1259"/>
  <c r="R36" i="1259"/>
  <c r="H36" i="1259"/>
  <c r="D36" i="1259"/>
  <c r="R35" i="1259"/>
  <c r="H35" i="1259"/>
  <c r="D35" i="1259"/>
  <c r="R34" i="1259"/>
  <c r="H34" i="1259"/>
  <c r="D34" i="1259"/>
  <c r="R33" i="1259"/>
  <c r="R32" i="1259"/>
  <c r="L11" i="1259" s="1"/>
  <c r="D11" i="1259" s="1"/>
  <c r="R31" i="1259"/>
  <c r="R30" i="1259"/>
  <c r="R29" i="1259"/>
  <c r="R28" i="1259"/>
  <c r="D28" i="1259"/>
  <c r="R27" i="1259"/>
  <c r="D27" i="1259"/>
  <c r="R26" i="1259"/>
  <c r="L26" i="1259"/>
  <c r="D26" i="1259" s="1"/>
  <c r="R25" i="1259"/>
  <c r="D25" i="1259"/>
  <c r="R24" i="1259"/>
  <c r="D24" i="1259"/>
  <c r="R23" i="1259"/>
  <c r="L23" i="1259"/>
  <c r="D23" i="1259" s="1"/>
  <c r="R22" i="1259"/>
  <c r="L22" i="1259"/>
  <c r="D22" i="1259"/>
  <c r="R21" i="1259"/>
  <c r="D21" i="1259"/>
  <c r="R20" i="1259"/>
  <c r="L20" i="1259"/>
  <c r="D20" i="1259" s="1"/>
  <c r="R19" i="1259"/>
  <c r="L19" i="1259"/>
  <c r="D19" i="1259"/>
  <c r="R18" i="1259"/>
  <c r="D18" i="1259"/>
  <c r="R17" i="1259"/>
  <c r="D17" i="1259"/>
  <c r="R16" i="1259"/>
  <c r="L16" i="1259"/>
  <c r="D16" i="1259" s="1"/>
  <c r="S15" i="1259"/>
  <c r="R15" i="1259"/>
  <c r="D15" i="1259"/>
  <c r="S14" i="1259"/>
  <c r="R14" i="1259"/>
  <c r="D14" i="1259"/>
  <c r="R13" i="1259"/>
  <c r="D13" i="1259"/>
  <c r="R12" i="1259"/>
  <c r="L12" i="1259"/>
  <c r="D12" i="1259" s="1"/>
  <c r="R11" i="1259"/>
  <c r="L10" i="1259"/>
  <c r="D10" i="1259"/>
  <c r="L7" i="1259"/>
  <c r="D7" i="1259"/>
  <c r="R6" i="1259"/>
  <c r="L6" i="1259"/>
  <c r="D6" i="1259"/>
  <c r="R5" i="1259"/>
  <c r="R4" i="1259"/>
  <c r="R52" i="1258"/>
  <c r="R51" i="1258"/>
  <c r="D50" i="1258"/>
  <c r="R49" i="1258"/>
  <c r="D49" i="1258"/>
  <c r="R48" i="1258"/>
  <c r="D48" i="1258"/>
  <c r="D46" i="1258"/>
  <c r="D45" i="1258"/>
  <c r="D44" i="1258"/>
  <c r="R42" i="1258"/>
  <c r="L6" i="1258" s="1"/>
  <c r="D6" i="1258" s="1"/>
  <c r="D42" i="1258"/>
  <c r="R41" i="1258"/>
  <c r="D41" i="1258"/>
  <c r="R40" i="1258"/>
  <c r="D40" i="1258"/>
  <c r="R39" i="1258"/>
  <c r="H39" i="1258"/>
  <c r="D39" i="1258"/>
  <c r="R38" i="1258"/>
  <c r="H38" i="1258"/>
  <c r="D38" i="1258"/>
  <c r="R37" i="1258"/>
  <c r="H37" i="1258"/>
  <c r="D37" i="1258"/>
  <c r="R36" i="1258"/>
  <c r="L10" i="1258" s="1"/>
  <c r="D10" i="1258" s="1"/>
  <c r="H36" i="1258"/>
  <c r="D36" i="1258"/>
  <c r="R35" i="1258"/>
  <c r="H35" i="1258"/>
  <c r="D35" i="1258"/>
  <c r="R34" i="1258"/>
  <c r="L12" i="1258" s="1"/>
  <c r="D12" i="1258" s="1"/>
  <c r="H34" i="1258"/>
  <c r="D34" i="1258"/>
  <c r="R33" i="1258"/>
  <c r="L23" i="1258" s="1"/>
  <c r="D23" i="1258" s="1"/>
  <c r="R32" i="1258"/>
  <c r="R31" i="1258"/>
  <c r="R30" i="1258"/>
  <c r="R29" i="1258"/>
  <c r="R28" i="1258"/>
  <c r="D28" i="1258"/>
  <c r="R27" i="1258"/>
  <c r="D27" i="1258"/>
  <c r="R26" i="1258"/>
  <c r="L26" i="1258"/>
  <c r="D26" i="1258"/>
  <c r="R25" i="1258"/>
  <c r="L25" i="1258"/>
  <c r="D25" i="1258"/>
  <c r="R24" i="1258"/>
  <c r="L24" i="1258"/>
  <c r="D24" i="1258" s="1"/>
  <c r="R23" i="1258"/>
  <c r="R22" i="1258"/>
  <c r="L22" i="1258"/>
  <c r="D22" i="1258" s="1"/>
  <c r="R21" i="1258"/>
  <c r="D21" i="1258"/>
  <c r="R20" i="1258"/>
  <c r="L20" i="1258"/>
  <c r="D20" i="1258" s="1"/>
  <c r="R19" i="1258"/>
  <c r="L19" i="1258"/>
  <c r="D19" i="1258" s="1"/>
  <c r="R18" i="1258"/>
  <c r="D18" i="1258"/>
  <c r="R17" i="1258"/>
  <c r="L17" i="1258"/>
  <c r="D17" i="1258" s="1"/>
  <c r="R16" i="1258"/>
  <c r="L16" i="1258"/>
  <c r="D16" i="1258" s="1"/>
  <c r="R15" i="1258"/>
  <c r="D15" i="1258"/>
  <c r="R14" i="1258"/>
  <c r="D14" i="1258"/>
  <c r="R13" i="1258"/>
  <c r="D13" i="1258"/>
  <c r="R12" i="1258"/>
  <c r="R11" i="1258"/>
  <c r="L11" i="1258"/>
  <c r="D11" i="1258"/>
  <c r="L9" i="1258"/>
  <c r="D9" i="1258"/>
  <c r="L8" i="1258"/>
  <c r="D8" i="1258" s="1"/>
  <c r="L7" i="1258"/>
  <c r="D7" i="1258"/>
  <c r="R6" i="1258"/>
  <c r="R5" i="1258"/>
  <c r="R4" i="1258"/>
  <c r="R52" i="1257"/>
  <c r="R51" i="1257"/>
  <c r="D50" i="1257"/>
  <c r="R49" i="1257"/>
  <c r="D49" i="1257"/>
  <c r="R48" i="1257"/>
  <c r="D48" i="1257"/>
  <c r="D46" i="1257"/>
  <c r="D45" i="1257"/>
  <c r="P44" i="1257"/>
  <c r="R44" i="1257" s="1"/>
  <c r="D44" i="1257"/>
  <c r="R42" i="1257"/>
  <c r="D42" i="1257"/>
  <c r="R41" i="1257"/>
  <c r="D41" i="1257"/>
  <c r="R40" i="1257"/>
  <c r="D40" i="1257"/>
  <c r="R39" i="1257"/>
  <c r="L20" i="1257" s="1"/>
  <c r="D20" i="1257" s="1"/>
  <c r="H39" i="1257"/>
  <c r="D39" i="1257"/>
  <c r="R38" i="1257"/>
  <c r="L9" i="1257" s="1"/>
  <c r="D9" i="1257" s="1"/>
  <c r="H38" i="1257"/>
  <c r="D38" i="1257"/>
  <c r="R37" i="1257"/>
  <c r="H37" i="1257"/>
  <c r="D37" i="1257"/>
  <c r="R36" i="1257"/>
  <c r="H36" i="1257"/>
  <c r="D36" i="1257"/>
  <c r="R35" i="1257"/>
  <c r="H35" i="1257"/>
  <c r="D35" i="1257"/>
  <c r="R34" i="1257"/>
  <c r="L12" i="1257" s="1"/>
  <c r="D12" i="1257" s="1"/>
  <c r="H34" i="1257"/>
  <c r="D34" i="1257"/>
  <c r="R33" i="1257"/>
  <c r="R32" i="1257"/>
  <c r="L11" i="1257" s="1"/>
  <c r="D11" i="1257" s="1"/>
  <c r="R31" i="1257"/>
  <c r="R30" i="1257"/>
  <c r="R29" i="1257"/>
  <c r="R28" i="1257"/>
  <c r="D28" i="1257"/>
  <c r="R27" i="1257"/>
  <c r="L27" i="1257"/>
  <c r="D27" i="1257"/>
  <c r="R26" i="1257"/>
  <c r="L26" i="1257"/>
  <c r="D26" i="1257"/>
  <c r="R25" i="1257"/>
  <c r="D25" i="1257"/>
  <c r="R24" i="1257"/>
  <c r="L24" i="1257"/>
  <c r="D24" i="1257"/>
  <c r="R23" i="1257"/>
  <c r="L23" i="1257"/>
  <c r="D23" i="1257"/>
  <c r="R22" i="1257"/>
  <c r="D22" i="1257"/>
  <c r="R21" i="1257"/>
  <c r="D21" i="1257"/>
  <c r="R20" i="1257"/>
  <c r="R19" i="1257"/>
  <c r="D19" i="1257"/>
  <c r="R18" i="1257"/>
  <c r="D18" i="1257"/>
  <c r="R17" i="1257"/>
  <c r="L17" i="1257"/>
  <c r="D17" i="1257"/>
  <c r="T16" i="1257"/>
  <c r="R16" i="1257"/>
  <c r="L16" i="1257"/>
  <c r="D16" i="1257"/>
  <c r="R15" i="1257"/>
  <c r="D15" i="1257"/>
  <c r="R14" i="1257"/>
  <c r="D14" i="1257"/>
  <c r="R13" i="1257"/>
  <c r="D13" i="1257"/>
  <c r="R12" i="1257"/>
  <c r="R11" i="1257"/>
  <c r="L10" i="1257"/>
  <c r="D10" i="1257"/>
  <c r="L8" i="1257"/>
  <c r="D8" i="1257"/>
  <c r="L7" i="1257"/>
  <c r="D7" i="1257"/>
  <c r="R6" i="1257"/>
  <c r="L6" i="1257"/>
  <c r="D6" i="1257" s="1"/>
  <c r="R5" i="1257"/>
  <c r="R4" i="1257"/>
  <c r="R52" i="1256"/>
  <c r="R51" i="1256"/>
  <c r="D50" i="1256"/>
  <c r="R49" i="1256"/>
  <c r="G49" i="1256"/>
  <c r="D49" i="1256"/>
  <c r="R48" i="1256"/>
  <c r="D48" i="1256"/>
  <c r="D46" i="1256"/>
  <c r="D45" i="1256"/>
  <c r="D44" i="1256"/>
  <c r="R42" i="1256"/>
  <c r="D42" i="1256"/>
  <c r="R41" i="1256"/>
  <c r="L7" i="1256" s="1"/>
  <c r="D7" i="1256" s="1"/>
  <c r="D41" i="1256"/>
  <c r="R40" i="1256"/>
  <c r="L8" i="1256" s="1"/>
  <c r="D8" i="1256" s="1"/>
  <c r="D40" i="1256"/>
  <c r="R39" i="1256"/>
  <c r="D39" i="1256"/>
  <c r="R38" i="1256"/>
  <c r="L9" i="1256" s="1"/>
  <c r="D9" i="1256" s="1"/>
  <c r="D38" i="1256"/>
  <c r="R37" i="1256"/>
  <c r="D37" i="1256"/>
  <c r="D54" i="1256" s="1"/>
  <c r="H14" i="1256" s="1"/>
  <c r="R36" i="1256"/>
  <c r="D36" i="1256"/>
  <c r="R35" i="1256"/>
  <c r="D35" i="1256"/>
  <c r="R34" i="1256"/>
  <c r="D34" i="1256"/>
  <c r="R33" i="1256"/>
  <c r="R32" i="1256"/>
  <c r="R31" i="1256"/>
  <c r="R30" i="1256"/>
  <c r="R29" i="1256"/>
  <c r="R28" i="1256"/>
  <c r="D28" i="1256"/>
  <c r="R27" i="1256"/>
  <c r="D27" i="1256"/>
  <c r="R26" i="1256"/>
  <c r="L26" i="1256"/>
  <c r="D26" i="1256"/>
  <c r="R25" i="1256"/>
  <c r="L25" i="1256"/>
  <c r="D25" i="1256"/>
  <c r="R24" i="1256"/>
  <c r="D24" i="1256"/>
  <c r="R23" i="1256"/>
  <c r="L23" i="1256"/>
  <c r="D23" i="1256"/>
  <c r="R22" i="1256"/>
  <c r="L22" i="1256"/>
  <c r="D22" i="1256"/>
  <c r="R21" i="1256"/>
  <c r="D21" i="1256"/>
  <c r="R20" i="1256"/>
  <c r="L20" i="1256"/>
  <c r="D20" i="1256"/>
  <c r="R19" i="1256"/>
  <c r="L19" i="1256"/>
  <c r="D19" i="1256"/>
  <c r="R18" i="1256"/>
  <c r="D18" i="1256"/>
  <c r="R17" i="1256"/>
  <c r="D17" i="1256"/>
  <c r="R16" i="1256"/>
  <c r="L16" i="1256"/>
  <c r="D16" i="1256" s="1"/>
  <c r="S15" i="1256"/>
  <c r="R15" i="1256"/>
  <c r="D15" i="1256"/>
  <c r="S14" i="1256"/>
  <c r="R14" i="1256"/>
  <c r="D14" i="1256"/>
  <c r="R13" i="1256"/>
  <c r="D13" i="1256"/>
  <c r="R12" i="1256"/>
  <c r="L12" i="1256"/>
  <c r="D12" i="1256"/>
  <c r="R11" i="1256"/>
  <c r="L11" i="1256"/>
  <c r="D11" i="1256"/>
  <c r="L10" i="1256"/>
  <c r="D10" i="1256" s="1"/>
  <c r="R6" i="1256"/>
  <c r="L6" i="1256"/>
  <c r="D6" i="1256"/>
  <c r="R5" i="1256"/>
  <c r="R4" i="1256"/>
  <c r="R52" i="1255"/>
  <c r="R51" i="1255"/>
  <c r="D50" i="1255"/>
  <c r="R49" i="1255"/>
  <c r="D49" i="1255"/>
  <c r="R48" i="1255"/>
  <c r="D48" i="1255"/>
  <c r="D46" i="1255"/>
  <c r="D45" i="1255"/>
  <c r="D44" i="1255"/>
  <c r="R42" i="1255"/>
  <c r="D42" i="1255"/>
  <c r="R41" i="1255"/>
  <c r="D41" i="1255"/>
  <c r="R40" i="1255"/>
  <c r="L8" i="1255" s="1"/>
  <c r="D8" i="1255" s="1"/>
  <c r="D40" i="1255"/>
  <c r="R39" i="1255"/>
  <c r="H39" i="1255"/>
  <c r="D39" i="1255"/>
  <c r="R38" i="1255"/>
  <c r="L9" i="1255" s="1"/>
  <c r="D9" i="1255" s="1"/>
  <c r="H38" i="1255"/>
  <c r="D38" i="1255"/>
  <c r="R37" i="1255"/>
  <c r="H37" i="1255"/>
  <c r="D37" i="1255"/>
  <c r="R36" i="1255"/>
  <c r="L10" i="1255" s="1"/>
  <c r="D10" i="1255" s="1"/>
  <c r="H36" i="1255"/>
  <c r="D36" i="1255"/>
  <c r="R35" i="1255"/>
  <c r="H35" i="1255"/>
  <c r="D35" i="1255"/>
  <c r="R34" i="1255"/>
  <c r="L12" i="1255" s="1"/>
  <c r="D12" i="1255" s="1"/>
  <c r="H34" i="1255"/>
  <c r="D34" i="1255"/>
  <c r="R33" i="1255"/>
  <c r="L23" i="1255" s="1"/>
  <c r="D23" i="1255" s="1"/>
  <c r="R32" i="1255"/>
  <c r="L11" i="1255" s="1"/>
  <c r="D11" i="1255" s="1"/>
  <c r="R31" i="1255"/>
  <c r="R30" i="1255"/>
  <c r="R29" i="1255"/>
  <c r="R28" i="1255"/>
  <c r="L16" i="1255" s="1"/>
  <c r="D16" i="1255" s="1"/>
  <c r="D28" i="1255"/>
  <c r="R27" i="1255"/>
  <c r="D27" i="1255"/>
  <c r="R26" i="1255"/>
  <c r="L26" i="1255"/>
  <c r="D26" i="1255" s="1"/>
  <c r="R25" i="1255"/>
  <c r="L25" i="1255"/>
  <c r="D25" i="1255"/>
  <c r="R24" i="1255"/>
  <c r="D24" i="1255"/>
  <c r="R23" i="1255"/>
  <c r="R22" i="1255"/>
  <c r="D22" i="1255"/>
  <c r="R21" i="1255"/>
  <c r="D21" i="1255"/>
  <c r="R20" i="1255"/>
  <c r="L20" i="1255"/>
  <c r="D20" i="1255" s="1"/>
  <c r="R19" i="1255"/>
  <c r="L19" i="1255"/>
  <c r="D19" i="1255"/>
  <c r="R18" i="1255"/>
  <c r="D18" i="1255"/>
  <c r="R17" i="1255"/>
  <c r="D17" i="1255"/>
  <c r="R16" i="1255"/>
  <c r="S15" i="1255"/>
  <c r="R15" i="1255"/>
  <c r="D15" i="1255"/>
  <c r="S14" i="1255"/>
  <c r="R14" i="1255"/>
  <c r="D14" i="1255"/>
  <c r="R13" i="1255"/>
  <c r="D13" i="1255"/>
  <c r="R12" i="1255"/>
  <c r="R11" i="1255"/>
  <c r="L7" i="1255"/>
  <c r="D7" i="1255"/>
  <c r="R6" i="1255"/>
  <c r="L6" i="1255"/>
  <c r="D6" i="1255"/>
  <c r="R5" i="1255"/>
  <c r="R4" i="1255"/>
  <c r="R52" i="1254"/>
  <c r="R51" i="1254"/>
  <c r="D50" i="1254"/>
  <c r="R49" i="1254"/>
  <c r="D49" i="1254"/>
  <c r="R48" i="1254"/>
  <c r="D48" i="1254"/>
  <c r="D46" i="1254"/>
  <c r="D45" i="1254"/>
  <c r="D44" i="1254"/>
  <c r="R42" i="1254"/>
  <c r="L6" i="1254" s="1"/>
  <c r="D6" i="1254" s="1"/>
  <c r="D42" i="1254"/>
  <c r="R41" i="1254"/>
  <c r="L7" i="1254" s="1"/>
  <c r="D7" i="1254" s="1"/>
  <c r="D41" i="1254"/>
  <c r="R40" i="1254"/>
  <c r="D40" i="1254"/>
  <c r="R39" i="1254"/>
  <c r="L20" i="1254" s="1"/>
  <c r="D20" i="1254" s="1"/>
  <c r="H39" i="1254"/>
  <c r="D39" i="1254"/>
  <c r="R38" i="1254"/>
  <c r="H38" i="1254"/>
  <c r="D38" i="1254"/>
  <c r="R37" i="1254"/>
  <c r="H37" i="1254"/>
  <c r="D37" i="1254"/>
  <c r="R36" i="1254"/>
  <c r="L10" i="1254" s="1"/>
  <c r="D10" i="1254" s="1"/>
  <c r="H36" i="1254"/>
  <c r="D36" i="1254"/>
  <c r="R35" i="1254"/>
  <c r="L19" i="1254" s="1"/>
  <c r="D19" i="1254" s="1"/>
  <c r="H35" i="1254"/>
  <c r="D35" i="1254"/>
  <c r="R34" i="1254"/>
  <c r="L12" i="1254" s="1"/>
  <c r="D12" i="1254" s="1"/>
  <c r="H34" i="1254"/>
  <c r="D34" i="1254"/>
  <c r="R33" i="1254"/>
  <c r="R32" i="1254"/>
  <c r="R31" i="1254"/>
  <c r="R30" i="1254"/>
  <c r="R29" i="1254"/>
  <c r="R28" i="1254"/>
  <c r="D28" i="1254"/>
  <c r="R27" i="1254"/>
  <c r="D27" i="1254"/>
  <c r="R26" i="1254"/>
  <c r="L26" i="1254"/>
  <c r="D26" i="1254"/>
  <c r="R25" i="1254"/>
  <c r="L25" i="1254"/>
  <c r="D25" i="1254"/>
  <c r="R24" i="1254"/>
  <c r="L24" i="1254"/>
  <c r="D24" i="1254" s="1"/>
  <c r="R23" i="1254"/>
  <c r="L23" i="1254"/>
  <c r="D23" i="1254" s="1"/>
  <c r="R22" i="1254"/>
  <c r="L22" i="1254"/>
  <c r="D22" i="1254" s="1"/>
  <c r="R21" i="1254"/>
  <c r="L17" i="1254" s="1"/>
  <c r="D17" i="1254" s="1"/>
  <c r="D21" i="1254"/>
  <c r="R20" i="1254"/>
  <c r="R19" i="1254"/>
  <c r="R18" i="1254"/>
  <c r="D18" i="1254"/>
  <c r="R17" i="1254"/>
  <c r="R16" i="1254"/>
  <c r="L16" i="1254"/>
  <c r="D16" i="1254" s="1"/>
  <c r="R15" i="1254"/>
  <c r="D15" i="1254"/>
  <c r="R14" i="1254"/>
  <c r="D14" i="1254"/>
  <c r="R13" i="1254"/>
  <c r="D13" i="1254"/>
  <c r="R12" i="1254"/>
  <c r="R11" i="1254"/>
  <c r="L11" i="1254"/>
  <c r="D11" i="1254"/>
  <c r="L9" i="1254"/>
  <c r="D9" i="1254"/>
  <c r="L8" i="1254"/>
  <c r="D8" i="1254"/>
  <c r="R6" i="1254"/>
  <c r="R5" i="1254"/>
  <c r="R4" i="1254"/>
  <c r="R52" i="1253"/>
  <c r="R51" i="1253"/>
  <c r="D50" i="1253"/>
  <c r="R49" i="1253"/>
  <c r="D49" i="1253"/>
  <c r="R48" i="1253"/>
  <c r="D48" i="1253"/>
  <c r="D46" i="1253"/>
  <c r="D45" i="1253"/>
  <c r="R44" i="1253"/>
  <c r="P44" i="1253"/>
  <c r="D44" i="1253"/>
  <c r="R42" i="1253"/>
  <c r="L6" i="1253" s="1"/>
  <c r="D6" i="1253" s="1"/>
  <c r="D42" i="1253"/>
  <c r="R41" i="1253"/>
  <c r="D41" i="1253"/>
  <c r="R40" i="1253"/>
  <c r="D40" i="1253"/>
  <c r="R39" i="1253"/>
  <c r="H39" i="1253"/>
  <c r="D39" i="1253"/>
  <c r="R38" i="1253"/>
  <c r="L9" i="1253" s="1"/>
  <c r="D9" i="1253" s="1"/>
  <c r="H38" i="1253"/>
  <c r="D38" i="1253"/>
  <c r="R37" i="1253"/>
  <c r="H37" i="1253"/>
  <c r="D37" i="1253"/>
  <c r="R36" i="1253"/>
  <c r="H36" i="1253"/>
  <c r="D36" i="1253"/>
  <c r="R35" i="1253"/>
  <c r="H35" i="1253"/>
  <c r="D35" i="1253"/>
  <c r="R34" i="1253"/>
  <c r="L12" i="1253" s="1"/>
  <c r="D12" i="1253" s="1"/>
  <c r="H34" i="1253"/>
  <c r="D34" i="1253"/>
  <c r="R33" i="1253"/>
  <c r="R32" i="1253"/>
  <c r="R31" i="1253"/>
  <c r="R30" i="1253"/>
  <c r="R29" i="1253"/>
  <c r="R28" i="1253"/>
  <c r="D28" i="1253"/>
  <c r="R27" i="1253"/>
  <c r="L27" i="1253"/>
  <c r="D27" i="1253"/>
  <c r="R26" i="1253"/>
  <c r="L26" i="1253"/>
  <c r="D26" i="1253" s="1"/>
  <c r="R25" i="1253"/>
  <c r="D25" i="1253"/>
  <c r="R24" i="1253"/>
  <c r="L24" i="1253"/>
  <c r="D24" i="1253"/>
  <c r="R23" i="1253"/>
  <c r="L23" i="1253"/>
  <c r="D23" i="1253" s="1"/>
  <c r="R22" i="1253"/>
  <c r="D22" i="1253"/>
  <c r="R21" i="1253"/>
  <c r="D21" i="1253"/>
  <c r="R20" i="1253"/>
  <c r="L20" i="1253"/>
  <c r="D20" i="1253"/>
  <c r="R19" i="1253"/>
  <c r="D19" i="1253"/>
  <c r="R18" i="1253"/>
  <c r="D18" i="1253"/>
  <c r="R17" i="1253"/>
  <c r="L17" i="1253"/>
  <c r="D17" i="1253"/>
  <c r="T16" i="1253"/>
  <c r="R16" i="1253"/>
  <c r="L16" i="1253"/>
  <c r="D16" i="1253"/>
  <c r="R15" i="1253"/>
  <c r="D15" i="1253"/>
  <c r="R14" i="1253"/>
  <c r="D14" i="1253"/>
  <c r="R13" i="1253"/>
  <c r="D13" i="1253"/>
  <c r="R12" i="1253"/>
  <c r="R11" i="1253"/>
  <c r="L11" i="1253"/>
  <c r="D11" i="1253"/>
  <c r="L10" i="1253"/>
  <c r="D10" i="1253" s="1"/>
  <c r="L8" i="1253"/>
  <c r="D8" i="1253"/>
  <c r="L7" i="1253"/>
  <c r="D7" i="1253"/>
  <c r="R6" i="1253"/>
  <c r="R5" i="1253"/>
  <c r="R4" i="1253"/>
  <c r="R52" i="1252"/>
  <c r="R51" i="1252"/>
  <c r="D50" i="1252"/>
  <c r="R49" i="1252"/>
  <c r="G49" i="1252"/>
  <c r="D49" i="1252"/>
  <c r="R48" i="1252"/>
  <c r="D48" i="1252"/>
  <c r="D46" i="1252"/>
  <c r="D45" i="1252"/>
  <c r="D44" i="1252"/>
  <c r="R42" i="1252"/>
  <c r="L6" i="1252" s="1"/>
  <c r="D6" i="1252" s="1"/>
  <c r="D42" i="1252"/>
  <c r="R41" i="1252"/>
  <c r="L7" i="1252" s="1"/>
  <c r="D7" i="1252" s="1"/>
  <c r="D41" i="1252"/>
  <c r="R40" i="1252"/>
  <c r="D40" i="1252"/>
  <c r="R39" i="1252"/>
  <c r="D39" i="1252"/>
  <c r="R38" i="1252"/>
  <c r="L9" i="1252" s="1"/>
  <c r="D9" i="1252" s="1"/>
  <c r="D38" i="1252"/>
  <c r="R37" i="1252"/>
  <c r="D37" i="1252"/>
  <c r="R36" i="1252"/>
  <c r="D36" i="1252"/>
  <c r="R35" i="1252"/>
  <c r="D35" i="1252"/>
  <c r="R34" i="1252"/>
  <c r="L12" i="1252" s="1"/>
  <c r="D12" i="1252" s="1"/>
  <c r="D34" i="1252"/>
  <c r="D54" i="1252" s="1"/>
  <c r="H14" i="1252" s="1"/>
  <c r="R33" i="1252"/>
  <c r="L23" i="1252" s="1"/>
  <c r="D23" i="1252" s="1"/>
  <c r="R32" i="1252"/>
  <c r="R31" i="1252"/>
  <c r="R30" i="1252"/>
  <c r="R29" i="1252"/>
  <c r="R28" i="1252"/>
  <c r="L16" i="1252" s="1"/>
  <c r="D16" i="1252" s="1"/>
  <c r="D28" i="1252"/>
  <c r="R27" i="1252"/>
  <c r="D27" i="1252"/>
  <c r="R26" i="1252"/>
  <c r="L26" i="1252"/>
  <c r="D26" i="1252"/>
  <c r="R25" i="1252"/>
  <c r="L25" i="1252"/>
  <c r="D25" i="1252"/>
  <c r="R24" i="1252"/>
  <c r="D24" i="1252"/>
  <c r="R23" i="1252"/>
  <c r="R22" i="1252"/>
  <c r="L22" i="1252"/>
  <c r="D22" i="1252"/>
  <c r="R21" i="1252"/>
  <c r="D21" i="1252"/>
  <c r="R20" i="1252"/>
  <c r="L20" i="1252"/>
  <c r="D20" i="1252"/>
  <c r="R19" i="1252"/>
  <c r="L19" i="1252"/>
  <c r="D19" i="1252"/>
  <c r="R18" i="1252"/>
  <c r="D18" i="1252"/>
  <c r="R17" i="1252"/>
  <c r="D17" i="1252"/>
  <c r="R16" i="1252"/>
  <c r="S15" i="1252"/>
  <c r="R15" i="1252"/>
  <c r="D15" i="1252"/>
  <c r="S14" i="1252"/>
  <c r="R14" i="1252"/>
  <c r="D14" i="1252"/>
  <c r="R13" i="1252"/>
  <c r="D13" i="1252"/>
  <c r="R12" i="1252"/>
  <c r="R11" i="1252"/>
  <c r="L11" i="1252"/>
  <c r="D11" i="1252"/>
  <c r="L10" i="1252"/>
  <c r="D10" i="1252"/>
  <c r="L8" i="1252"/>
  <c r="D8" i="1252"/>
  <c r="R6" i="1252"/>
  <c r="R5" i="1252"/>
  <c r="R4" i="1252"/>
  <c r="G49" i="1258" l="1"/>
  <c r="D54" i="1259"/>
  <c r="H14" i="1259" s="1"/>
  <c r="D54" i="1258"/>
  <c r="H14" i="1258" s="1"/>
  <c r="D54" i="1257"/>
  <c r="H14" i="1257" s="1"/>
  <c r="G49" i="1259"/>
  <c r="G49" i="1257"/>
  <c r="G49" i="1255"/>
  <c r="G49" i="1254"/>
  <c r="G49" i="1253"/>
  <c r="D54" i="1255"/>
  <c r="H14" i="1255" s="1"/>
  <c r="D54" i="1254"/>
  <c r="H14" i="1254" s="1"/>
  <c r="D54" i="1253"/>
  <c r="H14" i="1253" s="1"/>
  <c r="D29" i="1260"/>
  <c r="H13" i="1260" s="1"/>
  <c r="H15" i="1260" s="1"/>
  <c r="H29" i="1260" s="1"/>
  <c r="G51" i="1260" s="1"/>
  <c r="D29" i="1259"/>
  <c r="H13" i="1259" s="1"/>
  <c r="D29" i="1258"/>
  <c r="H13" i="1258" s="1"/>
  <c r="D29" i="1257"/>
  <c r="H13" i="1257" s="1"/>
  <c r="D29" i="1256"/>
  <c r="H13" i="1256" s="1"/>
  <c r="H15" i="1256" s="1"/>
  <c r="H29" i="1256" s="1"/>
  <c r="G51" i="1256" s="1"/>
  <c r="D29" i="1255"/>
  <c r="H13" i="1255" s="1"/>
  <c r="D29" i="1254"/>
  <c r="H13" i="1254" s="1"/>
  <c r="D29" i="1253"/>
  <c r="H13" i="1253" s="1"/>
  <c r="D29" i="1252"/>
  <c r="H13" i="1252" s="1"/>
  <c r="H15" i="1252" s="1"/>
  <c r="H29" i="1252" s="1"/>
  <c r="G51" i="1252" s="1"/>
  <c r="T16" i="1249"/>
  <c r="R52" i="1251"/>
  <c r="R51" i="1251"/>
  <c r="D50" i="1251"/>
  <c r="R49" i="1251"/>
  <c r="D49" i="1251"/>
  <c r="R48" i="1251"/>
  <c r="D48" i="1251"/>
  <c r="D46" i="1251"/>
  <c r="D45" i="1251"/>
  <c r="D44" i="1251"/>
  <c r="R42" i="1251"/>
  <c r="D42" i="1251"/>
  <c r="R41" i="1251"/>
  <c r="D41" i="1251"/>
  <c r="R40" i="1251"/>
  <c r="D40" i="1251"/>
  <c r="R39" i="1251"/>
  <c r="H39" i="1251"/>
  <c r="D39" i="1251"/>
  <c r="R38" i="1251"/>
  <c r="L9" i="1251" s="1"/>
  <c r="D9" i="1251" s="1"/>
  <c r="H38" i="1251"/>
  <c r="D38" i="1251"/>
  <c r="R37" i="1251"/>
  <c r="H37" i="1251"/>
  <c r="D37" i="1251"/>
  <c r="R36" i="1251"/>
  <c r="H36" i="1251"/>
  <c r="D36" i="1251"/>
  <c r="R35" i="1251"/>
  <c r="H35" i="1251"/>
  <c r="D35" i="1251"/>
  <c r="R34" i="1251"/>
  <c r="L12" i="1251" s="1"/>
  <c r="D12" i="1251" s="1"/>
  <c r="H34" i="1251"/>
  <c r="D34" i="1251"/>
  <c r="R33" i="1251"/>
  <c r="R32" i="1251"/>
  <c r="L11" i="1251" s="1"/>
  <c r="D11" i="1251" s="1"/>
  <c r="R31" i="1251"/>
  <c r="R30" i="1251"/>
  <c r="R29" i="1251"/>
  <c r="R28" i="1251"/>
  <c r="D28" i="1251"/>
  <c r="R27" i="1251"/>
  <c r="D27" i="1251"/>
  <c r="R26" i="1251"/>
  <c r="L26" i="1251"/>
  <c r="D26" i="1251"/>
  <c r="R25" i="1251"/>
  <c r="L25" i="1251"/>
  <c r="D25" i="1251" s="1"/>
  <c r="R24" i="1251"/>
  <c r="D24" i="1251"/>
  <c r="R23" i="1251"/>
  <c r="L23" i="1251"/>
  <c r="D23" i="1251" s="1"/>
  <c r="R22" i="1251"/>
  <c r="L22" i="1251"/>
  <c r="D22" i="1251"/>
  <c r="R21" i="1251"/>
  <c r="D21" i="1251"/>
  <c r="R20" i="1251"/>
  <c r="L20" i="1251"/>
  <c r="D20" i="1251"/>
  <c r="R19" i="1251"/>
  <c r="L19" i="1251"/>
  <c r="D19" i="1251" s="1"/>
  <c r="R18" i="1251"/>
  <c r="D18" i="1251"/>
  <c r="R17" i="1251"/>
  <c r="D17" i="1251"/>
  <c r="R16" i="1251"/>
  <c r="L16" i="1251"/>
  <c r="D16" i="1251" s="1"/>
  <c r="S15" i="1251"/>
  <c r="R15" i="1251"/>
  <c r="D15" i="1251"/>
  <c r="S14" i="1251"/>
  <c r="R14" i="1251"/>
  <c r="D14" i="1251"/>
  <c r="R13" i="1251"/>
  <c r="D13" i="1251"/>
  <c r="R12" i="1251"/>
  <c r="R11" i="1251"/>
  <c r="L10" i="1251"/>
  <c r="D10" i="1251"/>
  <c r="L8" i="1251"/>
  <c r="D8" i="1251"/>
  <c r="L7" i="1251"/>
  <c r="D7" i="1251" s="1"/>
  <c r="R6" i="1251"/>
  <c r="L6" i="1251"/>
  <c r="D6" i="1251" s="1"/>
  <c r="R5" i="1251"/>
  <c r="R4" i="1251"/>
  <c r="R52" i="1250"/>
  <c r="R51" i="1250"/>
  <c r="D50" i="1250"/>
  <c r="R49" i="1250"/>
  <c r="D49" i="1250"/>
  <c r="R48" i="1250"/>
  <c r="D48" i="1250"/>
  <c r="D46" i="1250"/>
  <c r="D45" i="1250"/>
  <c r="D44" i="1250"/>
  <c r="R42" i="1250"/>
  <c r="D42" i="1250"/>
  <c r="R41" i="1250"/>
  <c r="L7" i="1250" s="1"/>
  <c r="D7" i="1250" s="1"/>
  <c r="D41" i="1250"/>
  <c r="R40" i="1250"/>
  <c r="L8" i="1250" s="1"/>
  <c r="D8" i="1250" s="1"/>
  <c r="D40" i="1250"/>
  <c r="R39" i="1250"/>
  <c r="L20" i="1250" s="1"/>
  <c r="D20" i="1250" s="1"/>
  <c r="H39" i="1250"/>
  <c r="D39" i="1250"/>
  <c r="R38" i="1250"/>
  <c r="H38" i="1250"/>
  <c r="D38" i="1250"/>
  <c r="R37" i="1250"/>
  <c r="H37" i="1250"/>
  <c r="D37" i="1250"/>
  <c r="R36" i="1250"/>
  <c r="H36" i="1250"/>
  <c r="D36" i="1250"/>
  <c r="R35" i="1250"/>
  <c r="L19" i="1250" s="1"/>
  <c r="D19" i="1250" s="1"/>
  <c r="H35" i="1250"/>
  <c r="D35" i="1250"/>
  <c r="R34" i="1250"/>
  <c r="H34" i="1250"/>
  <c r="G49" i="1250" s="1"/>
  <c r="D34" i="1250"/>
  <c r="R33" i="1250"/>
  <c r="L23" i="1250" s="1"/>
  <c r="D23" i="1250" s="1"/>
  <c r="R32" i="1250"/>
  <c r="R31" i="1250"/>
  <c r="R30" i="1250"/>
  <c r="R29" i="1250"/>
  <c r="R28" i="1250"/>
  <c r="D28" i="1250"/>
  <c r="R27" i="1250"/>
  <c r="D27" i="1250"/>
  <c r="R26" i="1250"/>
  <c r="L26" i="1250"/>
  <c r="D26" i="1250" s="1"/>
  <c r="R25" i="1250"/>
  <c r="L25" i="1250"/>
  <c r="D25" i="1250"/>
  <c r="R24" i="1250"/>
  <c r="L24" i="1250"/>
  <c r="D24" i="1250" s="1"/>
  <c r="R23" i="1250"/>
  <c r="R22" i="1250"/>
  <c r="L22" i="1250"/>
  <c r="D22" i="1250"/>
  <c r="R21" i="1250"/>
  <c r="L17" i="1250" s="1"/>
  <c r="D17" i="1250" s="1"/>
  <c r="D21" i="1250"/>
  <c r="R20" i="1250"/>
  <c r="R19" i="1250"/>
  <c r="R18" i="1250"/>
  <c r="D18" i="1250"/>
  <c r="R17" i="1250"/>
  <c r="R16" i="1250"/>
  <c r="L16" i="1250"/>
  <c r="D16" i="1250"/>
  <c r="R15" i="1250"/>
  <c r="D15" i="1250"/>
  <c r="R14" i="1250"/>
  <c r="D14" i="1250"/>
  <c r="R13" i="1250"/>
  <c r="D13" i="1250"/>
  <c r="R12" i="1250"/>
  <c r="L12" i="1250"/>
  <c r="D12" i="1250" s="1"/>
  <c r="R11" i="1250"/>
  <c r="L11" i="1250"/>
  <c r="D11" i="1250"/>
  <c r="L10" i="1250"/>
  <c r="D10" i="1250"/>
  <c r="L9" i="1250"/>
  <c r="D9" i="1250"/>
  <c r="R6" i="1250"/>
  <c r="L6" i="1250"/>
  <c r="D6" i="1250" s="1"/>
  <c r="R5" i="1250"/>
  <c r="R4" i="1250"/>
  <c r="R52" i="1249"/>
  <c r="R51" i="1249"/>
  <c r="D50" i="1249"/>
  <c r="R49" i="1249"/>
  <c r="D49" i="1249"/>
  <c r="R48" i="1249"/>
  <c r="D48" i="1249"/>
  <c r="D46" i="1249"/>
  <c r="D45" i="1249"/>
  <c r="P44" i="1249"/>
  <c r="R44" i="1249" s="1"/>
  <c r="D44" i="1249"/>
  <c r="R42" i="1249"/>
  <c r="D42" i="1249"/>
  <c r="R41" i="1249"/>
  <c r="D41" i="1249"/>
  <c r="R40" i="1249"/>
  <c r="L8" i="1249" s="1"/>
  <c r="D8" i="1249" s="1"/>
  <c r="D40" i="1249"/>
  <c r="R39" i="1249"/>
  <c r="H39" i="1249"/>
  <c r="D39" i="1249"/>
  <c r="R38" i="1249"/>
  <c r="H38" i="1249"/>
  <c r="D38" i="1249"/>
  <c r="R37" i="1249"/>
  <c r="H37" i="1249"/>
  <c r="D37" i="1249"/>
  <c r="R36" i="1249"/>
  <c r="H36" i="1249"/>
  <c r="D36" i="1249"/>
  <c r="R35" i="1249"/>
  <c r="H35" i="1249"/>
  <c r="G49" i="1249" s="1"/>
  <c r="D35" i="1249"/>
  <c r="R34" i="1249"/>
  <c r="L12" i="1249" s="1"/>
  <c r="D12" i="1249" s="1"/>
  <c r="H34" i="1249"/>
  <c r="D34" i="1249"/>
  <c r="R33" i="1249"/>
  <c r="R32" i="1249"/>
  <c r="R31" i="1249"/>
  <c r="R30" i="1249"/>
  <c r="R29" i="1249"/>
  <c r="R28" i="1249"/>
  <c r="D28" i="1249"/>
  <c r="R27" i="1249"/>
  <c r="L27" i="1249"/>
  <c r="D27" i="1249"/>
  <c r="R26" i="1249"/>
  <c r="L26" i="1249"/>
  <c r="D26" i="1249" s="1"/>
  <c r="R25" i="1249"/>
  <c r="D25" i="1249"/>
  <c r="R24" i="1249"/>
  <c r="L24" i="1249"/>
  <c r="D24" i="1249" s="1"/>
  <c r="R23" i="1249"/>
  <c r="L23" i="1249"/>
  <c r="D23" i="1249"/>
  <c r="R22" i="1249"/>
  <c r="D22" i="1249"/>
  <c r="R21" i="1249"/>
  <c r="D21" i="1249"/>
  <c r="R20" i="1249"/>
  <c r="L20" i="1249"/>
  <c r="D20" i="1249"/>
  <c r="R19" i="1249"/>
  <c r="D19" i="1249"/>
  <c r="R18" i="1249"/>
  <c r="D18" i="1249"/>
  <c r="R17" i="1249"/>
  <c r="L17" i="1249"/>
  <c r="D17" i="1249"/>
  <c r="R16" i="1249"/>
  <c r="L16" i="1249"/>
  <c r="D16" i="1249" s="1"/>
  <c r="R15" i="1249"/>
  <c r="D15" i="1249"/>
  <c r="R14" i="1249"/>
  <c r="D14" i="1249"/>
  <c r="R13" i="1249"/>
  <c r="D13" i="1249"/>
  <c r="R12" i="1249"/>
  <c r="R11" i="1249"/>
  <c r="L11" i="1249"/>
  <c r="D11" i="1249"/>
  <c r="L10" i="1249"/>
  <c r="D10" i="1249"/>
  <c r="L9" i="1249"/>
  <c r="D9" i="1249"/>
  <c r="L7" i="1249"/>
  <c r="D7" i="1249" s="1"/>
  <c r="R6" i="1249"/>
  <c r="L6" i="1249"/>
  <c r="D6" i="1249" s="1"/>
  <c r="R5" i="1249"/>
  <c r="R4" i="1249"/>
  <c r="R52" i="1248"/>
  <c r="R51" i="1248"/>
  <c r="D50" i="1248"/>
  <c r="R49" i="1248"/>
  <c r="G49" i="1248"/>
  <c r="D49" i="1248"/>
  <c r="R48" i="1248"/>
  <c r="D48" i="1248"/>
  <c r="D46" i="1248"/>
  <c r="D45" i="1248"/>
  <c r="D44" i="1248"/>
  <c r="R42" i="1248"/>
  <c r="D42" i="1248"/>
  <c r="R41" i="1248"/>
  <c r="L7" i="1248" s="1"/>
  <c r="D7" i="1248" s="1"/>
  <c r="D41" i="1248"/>
  <c r="R40" i="1248"/>
  <c r="L8" i="1248" s="1"/>
  <c r="D8" i="1248" s="1"/>
  <c r="D40" i="1248"/>
  <c r="D54" i="1248" s="1"/>
  <c r="H14" i="1248" s="1"/>
  <c r="R39" i="1248"/>
  <c r="D39" i="1248"/>
  <c r="R38" i="1248"/>
  <c r="D38" i="1248"/>
  <c r="R37" i="1248"/>
  <c r="D37" i="1248"/>
  <c r="R36" i="1248"/>
  <c r="D36" i="1248"/>
  <c r="R35" i="1248"/>
  <c r="L19" i="1248" s="1"/>
  <c r="D19" i="1248" s="1"/>
  <c r="D35" i="1248"/>
  <c r="R34" i="1248"/>
  <c r="D34" i="1248"/>
  <c r="R33" i="1248"/>
  <c r="R32" i="1248"/>
  <c r="L11" i="1248" s="1"/>
  <c r="D11" i="1248" s="1"/>
  <c r="R31" i="1248"/>
  <c r="R30" i="1248"/>
  <c r="R29" i="1248"/>
  <c r="R28" i="1248"/>
  <c r="D28" i="1248"/>
  <c r="R27" i="1248"/>
  <c r="D27" i="1248"/>
  <c r="R26" i="1248"/>
  <c r="L26" i="1248"/>
  <c r="D26" i="1248" s="1"/>
  <c r="R25" i="1248"/>
  <c r="L25" i="1248"/>
  <c r="D25" i="1248"/>
  <c r="R24" i="1248"/>
  <c r="D24" i="1248"/>
  <c r="R23" i="1248"/>
  <c r="L23" i="1248"/>
  <c r="D23" i="1248" s="1"/>
  <c r="R22" i="1248"/>
  <c r="L22" i="1248"/>
  <c r="D22" i="1248"/>
  <c r="R21" i="1248"/>
  <c r="D21" i="1248"/>
  <c r="R20" i="1248"/>
  <c r="L20" i="1248"/>
  <c r="D20" i="1248" s="1"/>
  <c r="R19" i="1248"/>
  <c r="R18" i="1248"/>
  <c r="D18" i="1248"/>
  <c r="R17" i="1248"/>
  <c r="D17" i="1248"/>
  <c r="R16" i="1248"/>
  <c r="L16" i="1248"/>
  <c r="D16" i="1248" s="1"/>
  <c r="S15" i="1248"/>
  <c r="R15" i="1248"/>
  <c r="D15" i="1248"/>
  <c r="S14" i="1248"/>
  <c r="R14" i="1248"/>
  <c r="D14" i="1248"/>
  <c r="R13" i="1248"/>
  <c r="D13" i="1248"/>
  <c r="R12" i="1248"/>
  <c r="L12" i="1248"/>
  <c r="D12" i="1248" s="1"/>
  <c r="R11" i="1248"/>
  <c r="L10" i="1248"/>
  <c r="D10" i="1248" s="1"/>
  <c r="L9" i="1248"/>
  <c r="D9" i="1248"/>
  <c r="R6" i="1248"/>
  <c r="L6" i="1248"/>
  <c r="D6" i="1248" s="1"/>
  <c r="R5" i="1248"/>
  <c r="R4" i="1248"/>
  <c r="R52" i="1247"/>
  <c r="R51" i="1247"/>
  <c r="D50" i="1247"/>
  <c r="R49" i="1247"/>
  <c r="D49" i="1247"/>
  <c r="R48" i="1247"/>
  <c r="D48" i="1247"/>
  <c r="D46" i="1247"/>
  <c r="D45" i="1247"/>
  <c r="D44" i="1247"/>
  <c r="R42" i="1247"/>
  <c r="D42" i="1247"/>
  <c r="R41" i="1247"/>
  <c r="D41" i="1247"/>
  <c r="R40" i="1247"/>
  <c r="L8" i="1247" s="1"/>
  <c r="D8" i="1247" s="1"/>
  <c r="D40" i="1247"/>
  <c r="R39" i="1247"/>
  <c r="H39" i="1247"/>
  <c r="D39" i="1247"/>
  <c r="R38" i="1247"/>
  <c r="L9" i="1247" s="1"/>
  <c r="D9" i="1247" s="1"/>
  <c r="H38" i="1247"/>
  <c r="G49" i="1247" s="1"/>
  <c r="D38" i="1247"/>
  <c r="R37" i="1247"/>
  <c r="H37" i="1247"/>
  <c r="D37" i="1247"/>
  <c r="R36" i="1247"/>
  <c r="H36" i="1247"/>
  <c r="D36" i="1247"/>
  <c r="R35" i="1247"/>
  <c r="H35" i="1247"/>
  <c r="D35" i="1247"/>
  <c r="R34" i="1247"/>
  <c r="H34" i="1247"/>
  <c r="D34" i="1247"/>
  <c r="D54" i="1247" s="1"/>
  <c r="H14" i="1247" s="1"/>
  <c r="R33" i="1247"/>
  <c r="R32" i="1247"/>
  <c r="L11" i="1247" s="1"/>
  <c r="D11" i="1247" s="1"/>
  <c r="R31" i="1247"/>
  <c r="R30" i="1247"/>
  <c r="R29" i="1247"/>
  <c r="R28" i="1247"/>
  <c r="D28" i="1247"/>
  <c r="R27" i="1247"/>
  <c r="D27" i="1247"/>
  <c r="R26" i="1247"/>
  <c r="L26" i="1247"/>
  <c r="D26" i="1247" s="1"/>
  <c r="R25" i="1247"/>
  <c r="L25" i="1247"/>
  <c r="D25" i="1247"/>
  <c r="R24" i="1247"/>
  <c r="D24" i="1247"/>
  <c r="R23" i="1247"/>
  <c r="L23" i="1247"/>
  <c r="D23" i="1247" s="1"/>
  <c r="R22" i="1247"/>
  <c r="L22" i="1247"/>
  <c r="D22" i="1247"/>
  <c r="R21" i="1247"/>
  <c r="D21" i="1247"/>
  <c r="R20" i="1247"/>
  <c r="L20" i="1247"/>
  <c r="D20" i="1247" s="1"/>
  <c r="R19" i="1247"/>
  <c r="L19" i="1247"/>
  <c r="D19" i="1247"/>
  <c r="R18" i="1247"/>
  <c r="D18" i="1247"/>
  <c r="R17" i="1247"/>
  <c r="D17" i="1247"/>
  <c r="R16" i="1247"/>
  <c r="L16" i="1247"/>
  <c r="D16" i="1247" s="1"/>
  <c r="S15" i="1247"/>
  <c r="R15" i="1247"/>
  <c r="D15" i="1247"/>
  <c r="S14" i="1247"/>
  <c r="R14" i="1247"/>
  <c r="D14" i="1247"/>
  <c r="R13" i="1247"/>
  <c r="D13" i="1247"/>
  <c r="R12" i="1247"/>
  <c r="L12" i="1247"/>
  <c r="D12" i="1247" s="1"/>
  <c r="R11" i="1247"/>
  <c r="L10" i="1247"/>
  <c r="D10" i="1247"/>
  <c r="L7" i="1247"/>
  <c r="D7" i="1247"/>
  <c r="R6" i="1247"/>
  <c r="L6" i="1247"/>
  <c r="D6" i="1247"/>
  <c r="R5" i="1247"/>
  <c r="R4" i="1247"/>
  <c r="R52" i="1246"/>
  <c r="R51" i="1246"/>
  <c r="D50" i="1246"/>
  <c r="R49" i="1246"/>
  <c r="D49" i="1246"/>
  <c r="R48" i="1246"/>
  <c r="D48" i="1246"/>
  <c r="D46" i="1246"/>
  <c r="D45" i="1246"/>
  <c r="D44" i="1246"/>
  <c r="R42" i="1246"/>
  <c r="L6" i="1246" s="1"/>
  <c r="D6" i="1246" s="1"/>
  <c r="D42" i="1246"/>
  <c r="R41" i="1246"/>
  <c r="L7" i="1246" s="1"/>
  <c r="D7" i="1246" s="1"/>
  <c r="D41" i="1246"/>
  <c r="R40" i="1246"/>
  <c r="D40" i="1246"/>
  <c r="R39" i="1246"/>
  <c r="L20" i="1246" s="1"/>
  <c r="D20" i="1246" s="1"/>
  <c r="H39" i="1246"/>
  <c r="D39" i="1246"/>
  <c r="R38" i="1246"/>
  <c r="H38" i="1246"/>
  <c r="D38" i="1246"/>
  <c r="R37" i="1246"/>
  <c r="H37" i="1246"/>
  <c r="D37" i="1246"/>
  <c r="R36" i="1246"/>
  <c r="L10" i="1246" s="1"/>
  <c r="D10" i="1246" s="1"/>
  <c r="H36" i="1246"/>
  <c r="D36" i="1246"/>
  <c r="R35" i="1246"/>
  <c r="L19" i="1246" s="1"/>
  <c r="D19" i="1246" s="1"/>
  <c r="H35" i="1246"/>
  <c r="D35" i="1246"/>
  <c r="D54" i="1246" s="1"/>
  <c r="H14" i="1246" s="1"/>
  <c r="R34" i="1246"/>
  <c r="L12" i="1246" s="1"/>
  <c r="D12" i="1246" s="1"/>
  <c r="H34" i="1246"/>
  <c r="G49" i="1246" s="1"/>
  <c r="D34" i="1246"/>
  <c r="R33" i="1246"/>
  <c r="R32" i="1246"/>
  <c r="R31" i="1246"/>
  <c r="R30" i="1246"/>
  <c r="R29" i="1246"/>
  <c r="R28" i="1246"/>
  <c r="D28" i="1246"/>
  <c r="R27" i="1246"/>
  <c r="D27" i="1246"/>
  <c r="R26" i="1246"/>
  <c r="L26" i="1246"/>
  <c r="D26" i="1246" s="1"/>
  <c r="R25" i="1246"/>
  <c r="L25" i="1246"/>
  <c r="D25" i="1246" s="1"/>
  <c r="R24" i="1246"/>
  <c r="L24" i="1246"/>
  <c r="D24" i="1246"/>
  <c r="R23" i="1246"/>
  <c r="L23" i="1246"/>
  <c r="D23" i="1246" s="1"/>
  <c r="R22" i="1246"/>
  <c r="L22" i="1246"/>
  <c r="D22" i="1246" s="1"/>
  <c r="R21" i="1246"/>
  <c r="D21" i="1246"/>
  <c r="R20" i="1246"/>
  <c r="R19" i="1246"/>
  <c r="R18" i="1246"/>
  <c r="D18" i="1246"/>
  <c r="R17" i="1246"/>
  <c r="L17" i="1246"/>
  <c r="D17" i="1246" s="1"/>
  <c r="R16" i="1246"/>
  <c r="L16" i="1246"/>
  <c r="D16" i="1246" s="1"/>
  <c r="R15" i="1246"/>
  <c r="D15" i="1246"/>
  <c r="R14" i="1246"/>
  <c r="D14" i="1246"/>
  <c r="R13" i="1246"/>
  <c r="D13" i="1246"/>
  <c r="R12" i="1246"/>
  <c r="R11" i="1246"/>
  <c r="L11" i="1246"/>
  <c r="D11" i="1246"/>
  <c r="L9" i="1246"/>
  <c r="D9" i="1246"/>
  <c r="L8" i="1246"/>
  <c r="D8" i="1246"/>
  <c r="R6" i="1246"/>
  <c r="R5" i="1246"/>
  <c r="R4" i="1246"/>
  <c r="R52" i="1245"/>
  <c r="R51" i="1245"/>
  <c r="D50" i="1245"/>
  <c r="R49" i="1245"/>
  <c r="D49" i="1245"/>
  <c r="R48" i="1245"/>
  <c r="D48" i="1245"/>
  <c r="D46" i="1245"/>
  <c r="D45" i="1245"/>
  <c r="P44" i="1245"/>
  <c r="R44" i="1245" s="1"/>
  <c r="D44" i="1245"/>
  <c r="R42" i="1245"/>
  <c r="L6" i="1245" s="1"/>
  <c r="D6" i="1245" s="1"/>
  <c r="D42" i="1245"/>
  <c r="R41" i="1245"/>
  <c r="L7" i="1245" s="1"/>
  <c r="D7" i="1245" s="1"/>
  <c r="D41" i="1245"/>
  <c r="R40" i="1245"/>
  <c r="D40" i="1245"/>
  <c r="R39" i="1245"/>
  <c r="H39" i="1245"/>
  <c r="D39" i="1245"/>
  <c r="R38" i="1245"/>
  <c r="H38" i="1245"/>
  <c r="D38" i="1245"/>
  <c r="R37" i="1245"/>
  <c r="H37" i="1245"/>
  <c r="D37" i="1245"/>
  <c r="R36" i="1245"/>
  <c r="L10" i="1245" s="1"/>
  <c r="D10" i="1245" s="1"/>
  <c r="H36" i="1245"/>
  <c r="D36" i="1245"/>
  <c r="R35" i="1245"/>
  <c r="H35" i="1245"/>
  <c r="G49" i="1245" s="1"/>
  <c r="D35" i="1245"/>
  <c r="R34" i="1245"/>
  <c r="H34" i="1245"/>
  <c r="D34" i="1245"/>
  <c r="D54" i="1245" s="1"/>
  <c r="H14" i="1245" s="1"/>
  <c r="R33" i="1245"/>
  <c r="R32" i="1245"/>
  <c r="R31" i="1245"/>
  <c r="R30" i="1245"/>
  <c r="R29" i="1245"/>
  <c r="R28" i="1245"/>
  <c r="L16" i="1245" s="1"/>
  <c r="D16" i="1245" s="1"/>
  <c r="D28" i="1245"/>
  <c r="R27" i="1245"/>
  <c r="L27" i="1245"/>
  <c r="D27" i="1245"/>
  <c r="R26" i="1245"/>
  <c r="L26" i="1245"/>
  <c r="D26" i="1245"/>
  <c r="R25" i="1245"/>
  <c r="D25" i="1245"/>
  <c r="R24" i="1245"/>
  <c r="L24" i="1245"/>
  <c r="D24" i="1245"/>
  <c r="R23" i="1245"/>
  <c r="L23" i="1245"/>
  <c r="D23" i="1245"/>
  <c r="R22" i="1245"/>
  <c r="D22" i="1245"/>
  <c r="R21" i="1245"/>
  <c r="D21" i="1245"/>
  <c r="R20" i="1245"/>
  <c r="L20" i="1245"/>
  <c r="D20" i="1245" s="1"/>
  <c r="R19" i="1245"/>
  <c r="D19" i="1245"/>
  <c r="R18" i="1245"/>
  <c r="D18" i="1245"/>
  <c r="R17" i="1245"/>
  <c r="L17" i="1245"/>
  <c r="D17" i="1245" s="1"/>
  <c r="R16" i="1245"/>
  <c r="R15" i="1245"/>
  <c r="D15" i="1245"/>
  <c r="R14" i="1245"/>
  <c r="D14" i="1245"/>
  <c r="R13" i="1245"/>
  <c r="D13" i="1245"/>
  <c r="R12" i="1245"/>
  <c r="L12" i="1245"/>
  <c r="D12" i="1245"/>
  <c r="R11" i="1245"/>
  <c r="L11" i="1245"/>
  <c r="D11" i="1245"/>
  <c r="L9" i="1245"/>
  <c r="D9" i="1245"/>
  <c r="L8" i="1245"/>
  <c r="D8" i="1245" s="1"/>
  <c r="R6" i="1245"/>
  <c r="R5" i="1245"/>
  <c r="R4" i="1245"/>
  <c r="R52" i="1244"/>
  <c r="R51" i="1244"/>
  <c r="D50" i="1244"/>
  <c r="R49" i="1244"/>
  <c r="G49" i="1244"/>
  <c r="D49" i="1244"/>
  <c r="R48" i="1244"/>
  <c r="D48" i="1244"/>
  <c r="D46" i="1244"/>
  <c r="D45" i="1244"/>
  <c r="D44" i="1244"/>
  <c r="R42" i="1244"/>
  <c r="D42" i="1244"/>
  <c r="R41" i="1244"/>
  <c r="L7" i="1244" s="1"/>
  <c r="D7" i="1244" s="1"/>
  <c r="D41" i="1244"/>
  <c r="R40" i="1244"/>
  <c r="L8" i="1244" s="1"/>
  <c r="D8" i="1244" s="1"/>
  <c r="D40" i="1244"/>
  <c r="R39" i="1244"/>
  <c r="D39" i="1244"/>
  <c r="R38" i="1244"/>
  <c r="D38" i="1244"/>
  <c r="R37" i="1244"/>
  <c r="D37" i="1244"/>
  <c r="R36" i="1244"/>
  <c r="D36" i="1244"/>
  <c r="R35" i="1244"/>
  <c r="D35" i="1244"/>
  <c r="R34" i="1244"/>
  <c r="L12" i="1244" s="1"/>
  <c r="D12" i="1244" s="1"/>
  <c r="D34" i="1244"/>
  <c r="D54" i="1244" s="1"/>
  <c r="H14" i="1244" s="1"/>
  <c r="R33" i="1244"/>
  <c r="L23" i="1244" s="1"/>
  <c r="D23" i="1244" s="1"/>
  <c r="R32" i="1244"/>
  <c r="R31" i="1244"/>
  <c r="R30" i="1244"/>
  <c r="R29" i="1244"/>
  <c r="R28" i="1244"/>
  <c r="D28" i="1244"/>
  <c r="R27" i="1244"/>
  <c r="D27" i="1244"/>
  <c r="R26" i="1244"/>
  <c r="L26" i="1244"/>
  <c r="D26" i="1244" s="1"/>
  <c r="R25" i="1244"/>
  <c r="L25" i="1244"/>
  <c r="D25" i="1244"/>
  <c r="R24" i="1244"/>
  <c r="D24" i="1244"/>
  <c r="R23" i="1244"/>
  <c r="R22" i="1244"/>
  <c r="L22" i="1244"/>
  <c r="D22" i="1244" s="1"/>
  <c r="R21" i="1244"/>
  <c r="D21" i="1244"/>
  <c r="R20" i="1244"/>
  <c r="L20" i="1244"/>
  <c r="D20" i="1244" s="1"/>
  <c r="R19" i="1244"/>
  <c r="L19" i="1244"/>
  <c r="D19" i="1244"/>
  <c r="R18" i="1244"/>
  <c r="D18" i="1244"/>
  <c r="R17" i="1244"/>
  <c r="D17" i="1244"/>
  <c r="R16" i="1244"/>
  <c r="L16" i="1244"/>
  <c r="D16" i="1244" s="1"/>
  <c r="S15" i="1244"/>
  <c r="R15" i="1244"/>
  <c r="D15" i="1244"/>
  <c r="S14" i="1244"/>
  <c r="R14" i="1244"/>
  <c r="D14" i="1244"/>
  <c r="R13" i="1244"/>
  <c r="D13" i="1244"/>
  <c r="R12" i="1244"/>
  <c r="R11" i="1244"/>
  <c r="L11" i="1244"/>
  <c r="D11" i="1244" s="1"/>
  <c r="L10" i="1244"/>
  <c r="D10" i="1244" s="1"/>
  <c r="L9" i="1244"/>
  <c r="D9" i="1244"/>
  <c r="R6" i="1244"/>
  <c r="L6" i="1244"/>
  <c r="D6" i="1244"/>
  <c r="R5" i="1244"/>
  <c r="R4" i="1244"/>
  <c r="R52" i="1243"/>
  <c r="R51" i="1243"/>
  <c r="D50" i="1243"/>
  <c r="R49" i="1243"/>
  <c r="D49" i="1243"/>
  <c r="R48" i="1243"/>
  <c r="D48" i="1243"/>
  <c r="D46" i="1243"/>
  <c r="D45" i="1243"/>
  <c r="D44" i="1243"/>
  <c r="R42" i="1243"/>
  <c r="L6" i="1243" s="1"/>
  <c r="D6" i="1243" s="1"/>
  <c r="D42" i="1243"/>
  <c r="R41" i="1243"/>
  <c r="D41" i="1243"/>
  <c r="R40" i="1243"/>
  <c r="D40" i="1243"/>
  <c r="R39" i="1243"/>
  <c r="H39" i="1243"/>
  <c r="D39" i="1243"/>
  <c r="R38" i="1243"/>
  <c r="H38" i="1243"/>
  <c r="D38" i="1243"/>
  <c r="R37" i="1243"/>
  <c r="H37" i="1243"/>
  <c r="D37" i="1243"/>
  <c r="R36" i="1243"/>
  <c r="H36" i="1243"/>
  <c r="D36" i="1243"/>
  <c r="R35" i="1243"/>
  <c r="H35" i="1243"/>
  <c r="D35" i="1243"/>
  <c r="R34" i="1243"/>
  <c r="L12" i="1243" s="1"/>
  <c r="D12" i="1243" s="1"/>
  <c r="H34" i="1243"/>
  <c r="D34" i="1243"/>
  <c r="R33" i="1243"/>
  <c r="R32" i="1243"/>
  <c r="L11" i="1243" s="1"/>
  <c r="D11" i="1243" s="1"/>
  <c r="R31" i="1243"/>
  <c r="R30" i="1243"/>
  <c r="R29" i="1243"/>
  <c r="R28" i="1243"/>
  <c r="D28" i="1243"/>
  <c r="R27" i="1243"/>
  <c r="D27" i="1243"/>
  <c r="R26" i="1243"/>
  <c r="L26" i="1243"/>
  <c r="D26" i="1243"/>
  <c r="R25" i="1243"/>
  <c r="D25" i="1243"/>
  <c r="R24" i="1243"/>
  <c r="D24" i="1243"/>
  <c r="R23" i="1243"/>
  <c r="L23" i="1243"/>
  <c r="D23" i="1243"/>
  <c r="R22" i="1243"/>
  <c r="L22" i="1243"/>
  <c r="D22" i="1243"/>
  <c r="R21" i="1243"/>
  <c r="D21" i="1243"/>
  <c r="R20" i="1243"/>
  <c r="L20" i="1243"/>
  <c r="D20" i="1243"/>
  <c r="R19" i="1243"/>
  <c r="L19" i="1243"/>
  <c r="D19" i="1243" s="1"/>
  <c r="R18" i="1243"/>
  <c r="D18" i="1243"/>
  <c r="R17" i="1243"/>
  <c r="D17" i="1243"/>
  <c r="R16" i="1243"/>
  <c r="L16" i="1243"/>
  <c r="D16" i="1243" s="1"/>
  <c r="S15" i="1243"/>
  <c r="R15" i="1243"/>
  <c r="D15" i="1243"/>
  <c r="S14" i="1243"/>
  <c r="R14" i="1243"/>
  <c r="D14" i="1243"/>
  <c r="R13" i="1243"/>
  <c r="D13" i="1243"/>
  <c r="R12" i="1243"/>
  <c r="R11" i="1243"/>
  <c r="L10" i="1243"/>
  <c r="D10" i="1243"/>
  <c r="L9" i="1243"/>
  <c r="D9" i="1243"/>
  <c r="L8" i="1243"/>
  <c r="D8" i="1243"/>
  <c r="L7" i="1243"/>
  <c r="D7" i="1243" s="1"/>
  <c r="R6" i="1243"/>
  <c r="R5" i="1243"/>
  <c r="R4" i="1243"/>
  <c r="R52" i="1242"/>
  <c r="R51" i="1242"/>
  <c r="D50" i="1242"/>
  <c r="R49" i="1242"/>
  <c r="D49" i="1242"/>
  <c r="R48" i="1242"/>
  <c r="D48" i="1242"/>
  <c r="D46" i="1242"/>
  <c r="D45" i="1242"/>
  <c r="D44" i="1242"/>
  <c r="R42" i="1242"/>
  <c r="D42" i="1242"/>
  <c r="R41" i="1242"/>
  <c r="D41" i="1242"/>
  <c r="R40" i="1242"/>
  <c r="D40" i="1242"/>
  <c r="R39" i="1242"/>
  <c r="L20" i="1242" s="1"/>
  <c r="D20" i="1242" s="1"/>
  <c r="H39" i="1242"/>
  <c r="D39" i="1242"/>
  <c r="R38" i="1242"/>
  <c r="L9" i="1242" s="1"/>
  <c r="D9" i="1242" s="1"/>
  <c r="H38" i="1242"/>
  <c r="D38" i="1242"/>
  <c r="R37" i="1242"/>
  <c r="H37" i="1242"/>
  <c r="D37" i="1242"/>
  <c r="R36" i="1242"/>
  <c r="H36" i="1242"/>
  <c r="D36" i="1242"/>
  <c r="R35" i="1242"/>
  <c r="L19" i="1242" s="1"/>
  <c r="D19" i="1242" s="1"/>
  <c r="H35" i="1242"/>
  <c r="D35" i="1242"/>
  <c r="R34" i="1242"/>
  <c r="L12" i="1242" s="1"/>
  <c r="D12" i="1242" s="1"/>
  <c r="H34" i="1242"/>
  <c r="D34" i="1242"/>
  <c r="R33" i="1242"/>
  <c r="R32" i="1242"/>
  <c r="L11" i="1242" s="1"/>
  <c r="D11" i="1242" s="1"/>
  <c r="R31" i="1242"/>
  <c r="R30" i="1242"/>
  <c r="R29" i="1242"/>
  <c r="R28" i="1242"/>
  <c r="D28" i="1242"/>
  <c r="R27" i="1242"/>
  <c r="D27" i="1242"/>
  <c r="R26" i="1242"/>
  <c r="L26" i="1242"/>
  <c r="D26" i="1242"/>
  <c r="R25" i="1242"/>
  <c r="L25" i="1242"/>
  <c r="D25" i="1242" s="1"/>
  <c r="R24" i="1242"/>
  <c r="L24" i="1242"/>
  <c r="D24" i="1242" s="1"/>
  <c r="R23" i="1242"/>
  <c r="L23" i="1242"/>
  <c r="D23" i="1242"/>
  <c r="R22" i="1242"/>
  <c r="L22" i="1242"/>
  <c r="D22" i="1242" s="1"/>
  <c r="R21" i="1242"/>
  <c r="L17" i="1242" s="1"/>
  <c r="D17" i="1242" s="1"/>
  <c r="D21" i="1242"/>
  <c r="R20" i="1242"/>
  <c r="R19" i="1242"/>
  <c r="R18" i="1242"/>
  <c r="D18" i="1242"/>
  <c r="R17" i="1242"/>
  <c r="R16" i="1242"/>
  <c r="L16" i="1242"/>
  <c r="D16" i="1242" s="1"/>
  <c r="R15" i="1242"/>
  <c r="D15" i="1242"/>
  <c r="R14" i="1242"/>
  <c r="D14" i="1242"/>
  <c r="R13" i="1242"/>
  <c r="D13" i="1242"/>
  <c r="R12" i="1242"/>
  <c r="R11" i="1242"/>
  <c r="L10" i="1242"/>
  <c r="D10" i="1242"/>
  <c r="L8" i="1242"/>
  <c r="D8" i="1242"/>
  <c r="L7" i="1242"/>
  <c r="D7" i="1242" s="1"/>
  <c r="R6" i="1242"/>
  <c r="L6" i="1242"/>
  <c r="D6" i="1242" s="1"/>
  <c r="R5" i="1242"/>
  <c r="R4" i="1242"/>
  <c r="R52" i="1241"/>
  <c r="R51" i="1241"/>
  <c r="D50" i="1241"/>
  <c r="R49" i="1241"/>
  <c r="D49" i="1241"/>
  <c r="R48" i="1241"/>
  <c r="D48" i="1241"/>
  <c r="D46" i="1241"/>
  <c r="D45" i="1241"/>
  <c r="R44" i="1241"/>
  <c r="P44" i="1241"/>
  <c r="D44" i="1241"/>
  <c r="R42" i="1241"/>
  <c r="L6" i="1241" s="1"/>
  <c r="D6" i="1241" s="1"/>
  <c r="D42" i="1241"/>
  <c r="R41" i="1241"/>
  <c r="D41" i="1241"/>
  <c r="R40" i="1241"/>
  <c r="L8" i="1241" s="1"/>
  <c r="D8" i="1241" s="1"/>
  <c r="D40" i="1241"/>
  <c r="R39" i="1241"/>
  <c r="L20" i="1241" s="1"/>
  <c r="D20" i="1241" s="1"/>
  <c r="H39" i="1241"/>
  <c r="D39" i="1241"/>
  <c r="R38" i="1241"/>
  <c r="H38" i="1241"/>
  <c r="D38" i="1241"/>
  <c r="R37" i="1241"/>
  <c r="H37" i="1241"/>
  <c r="D37" i="1241"/>
  <c r="R36" i="1241"/>
  <c r="H36" i="1241"/>
  <c r="D36" i="1241"/>
  <c r="R35" i="1241"/>
  <c r="H35" i="1241"/>
  <c r="D35" i="1241"/>
  <c r="R34" i="1241"/>
  <c r="L12" i="1241" s="1"/>
  <c r="D12" i="1241" s="1"/>
  <c r="H34" i="1241"/>
  <c r="D34" i="1241"/>
  <c r="R33" i="1241"/>
  <c r="R32" i="1241"/>
  <c r="L11" i="1241" s="1"/>
  <c r="D11" i="1241" s="1"/>
  <c r="R31" i="1241"/>
  <c r="R30" i="1241"/>
  <c r="R29" i="1241"/>
  <c r="R28" i="1241"/>
  <c r="L16" i="1241" s="1"/>
  <c r="D16" i="1241" s="1"/>
  <c r="D28" i="1241"/>
  <c r="R27" i="1241"/>
  <c r="L27" i="1241"/>
  <c r="D27" i="1241"/>
  <c r="R26" i="1241"/>
  <c r="L26" i="1241"/>
  <c r="D26" i="1241"/>
  <c r="R25" i="1241"/>
  <c r="D25" i="1241"/>
  <c r="R24" i="1241"/>
  <c r="L24" i="1241"/>
  <c r="D24" i="1241"/>
  <c r="R23" i="1241"/>
  <c r="L23" i="1241"/>
  <c r="D23" i="1241" s="1"/>
  <c r="R22" i="1241"/>
  <c r="D22" i="1241"/>
  <c r="R21" i="1241"/>
  <c r="D21" i="1241"/>
  <c r="R20" i="1241"/>
  <c r="R19" i="1241"/>
  <c r="D19" i="1241"/>
  <c r="R18" i="1241"/>
  <c r="D18" i="1241"/>
  <c r="R17" i="1241"/>
  <c r="L17" i="1241"/>
  <c r="D17" i="1241" s="1"/>
  <c r="R16" i="1241"/>
  <c r="R15" i="1241"/>
  <c r="D15" i="1241"/>
  <c r="R14" i="1241"/>
  <c r="D14" i="1241"/>
  <c r="R13" i="1241"/>
  <c r="D13" i="1241"/>
  <c r="R12" i="1241"/>
  <c r="R11" i="1241"/>
  <c r="L10" i="1241"/>
  <c r="D10" i="1241"/>
  <c r="L9" i="1241"/>
  <c r="D9" i="1241"/>
  <c r="L7" i="1241"/>
  <c r="D7" i="1241"/>
  <c r="R6" i="1241"/>
  <c r="R5" i="1241"/>
  <c r="R4" i="1241"/>
  <c r="R52" i="1240"/>
  <c r="R51" i="1240"/>
  <c r="D50" i="1240"/>
  <c r="R49" i="1240"/>
  <c r="G49" i="1240"/>
  <c r="D49" i="1240"/>
  <c r="R48" i="1240"/>
  <c r="D48" i="1240"/>
  <c r="D46" i="1240"/>
  <c r="D45" i="1240"/>
  <c r="D44" i="1240"/>
  <c r="R42" i="1240"/>
  <c r="D42" i="1240"/>
  <c r="R41" i="1240"/>
  <c r="L7" i="1240" s="1"/>
  <c r="D7" i="1240" s="1"/>
  <c r="D41" i="1240"/>
  <c r="R40" i="1240"/>
  <c r="L8" i="1240" s="1"/>
  <c r="D8" i="1240" s="1"/>
  <c r="D40" i="1240"/>
  <c r="R39" i="1240"/>
  <c r="D39" i="1240"/>
  <c r="R38" i="1240"/>
  <c r="L9" i="1240" s="1"/>
  <c r="D9" i="1240" s="1"/>
  <c r="D38" i="1240"/>
  <c r="R37" i="1240"/>
  <c r="D37" i="1240"/>
  <c r="R36" i="1240"/>
  <c r="L10" i="1240" s="1"/>
  <c r="D10" i="1240" s="1"/>
  <c r="D36" i="1240"/>
  <c r="R35" i="1240"/>
  <c r="L19" i="1240" s="1"/>
  <c r="D19" i="1240" s="1"/>
  <c r="D35" i="1240"/>
  <c r="D54" i="1240" s="1"/>
  <c r="H14" i="1240" s="1"/>
  <c r="R34" i="1240"/>
  <c r="L12" i="1240" s="1"/>
  <c r="D12" i="1240" s="1"/>
  <c r="D34" i="1240"/>
  <c r="R33" i="1240"/>
  <c r="L23" i="1240" s="1"/>
  <c r="D23" i="1240" s="1"/>
  <c r="R32" i="1240"/>
  <c r="R31" i="1240"/>
  <c r="R30" i="1240"/>
  <c r="R29" i="1240"/>
  <c r="R28" i="1240"/>
  <c r="L16" i="1240" s="1"/>
  <c r="D16" i="1240" s="1"/>
  <c r="D28" i="1240"/>
  <c r="R27" i="1240"/>
  <c r="D27" i="1240"/>
  <c r="R26" i="1240"/>
  <c r="L26" i="1240"/>
  <c r="D26" i="1240"/>
  <c r="R25" i="1240"/>
  <c r="L25" i="1240"/>
  <c r="D25" i="1240"/>
  <c r="R24" i="1240"/>
  <c r="D24" i="1240"/>
  <c r="R23" i="1240"/>
  <c r="R22" i="1240"/>
  <c r="L22" i="1240"/>
  <c r="D22" i="1240" s="1"/>
  <c r="R21" i="1240"/>
  <c r="D21" i="1240"/>
  <c r="R20" i="1240"/>
  <c r="L20" i="1240"/>
  <c r="D20" i="1240"/>
  <c r="R19" i="1240"/>
  <c r="R18" i="1240"/>
  <c r="D18" i="1240"/>
  <c r="R17" i="1240"/>
  <c r="D17" i="1240"/>
  <c r="R16" i="1240"/>
  <c r="S15" i="1240"/>
  <c r="R15" i="1240"/>
  <c r="D15" i="1240"/>
  <c r="S14" i="1240"/>
  <c r="R14" i="1240"/>
  <c r="D14" i="1240"/>
  <c r="R13" i="1240"/>
  <c r="D13" i="1240"/>
  <c r="R12" i="1240"/>
  <c r="R11" i="1240"/>
  <c r="L11" i="1240"/>
  <c r="D11" i="1240" s="1"/>
  <c r="R6" i="1240"/>
  <c r="L6" i="1240"/>
  <c r="D6" i="1240"/>
  <c r="R5" i="1240"/>
  <c r="R4" i="1240"/>
  <c r="H15" i="1259" l="1"/>
  <c r="H29" i="1259" s="1"/>
  <c r="G51" i="1259" s="1"/>
  <c r="H15" i="1258"/>
  <c r="H29" i="1258" s="1"/>
  <c r="G51" i="1258" s="1"/>
  <c r="H15" i="1257"/>
  <c r="H29" i="1257" s="1"/>
  <c r="G51" i="1257" s="1"/>
  <c r="H15" i="1255"/>
  <c r="H29" i="1255" s="1"/>
  <c r="G51" i="1255" s="1"/>
  <c r="H15" i="1254"/>
  <c r="H29" i="1254" s="1"/>
  <c r="G51" i="1254" s="1"/>
  <c r="H15" i="1253"/>
  <c r="H29" i="1253" s="1"/>
  <c r="G51" i="1253" s="1"/>
  <c r="G49" i="1251"/>
  <c r="D54" i="1251"/>
  <c r="H14" i="1251" s="1"/>
  <c r="D29" i="1251"/>
  <c r="H13" i="1251" s="1"/>
  <c r="D54" i="1250"/>
  <c r="H14" i="1250" s="1"/>
  <c r="D54" i="1249"/>
  <c r="H14" i="1249" s="1"/>
  <c r="D29" i="1249"/>
  <c r="H13" i="1249" s="1"/>
  <c r="G49" i="1243"/>
  <c r="G49" i="1242"/>
  <c r="G49" i="1241"/>
  <c r="D54" i="1243"/>
  <c r="H14" i="1243" s="1"/>
  <c r="D54" i="1242"/>
  <c r="H14" i="1242" s="1"/>
  <c r="D54" i="1241"/>
  <c r="H14" i="1241" s="1"/>
  <c r="D29" i="1241"/>
  <c r="H13" i="1241" s="1"/>
  <c r="D29" i="1250"/>
  <c r="H13" i="1250" s="1"/>
  <c r="D29" i="1248"/>
  <c r="H13" i="1248" s="1"/>
  <c r="H15" i="1248" s="1"/>
  <c r="H29" i="1248" s="1"/>
  <c r="G51" i="1248" s="1"/>
  <c r="D29" i="1247"/>
  <c r="H13" i="1247" s="1"/>
  <c r="H15" i="1247" s="1"/>
  <c r="H29" i="1247" s="1"/>
  <c r="G51" i="1247" s="1"/>
  <c r="D29" i="1246"/>
  <c r="H13" i="1246" s="1"/>
  <c r="H15" i="1246" s="1"/>
  <c r="H29" i="1246" s="1"/>
  <c r="G51" i="1246" s="1"/>
  <c r="D29" i="1245"/>
  <c r="H13" i="1245" s="1"/>
  <c r="H15" i="1245" s="1"/>
  <c r="H29" i="1245" s="1"/>
  <c r="G51" i="1245" s="1"/>
  <c r="D29" i="1244"/>
  <c r="H13" i="1244" s="1"/>
  <c r="H15" i="1244" s="1"/>
  <c r="H29" i="1244" s="1"/>
  <c r="G51" i="1244"/>
  <c r="D29" i="1243"/>
  <c r="H13" i="1243" s="1"/>
  <c r="D29" i="1242"/>
  <c r="H13" i="1242" s="1"/>
  <c r="D29" i="1240"/>
  <c r="H13" i="1240" s="1"/>
  <c r="H15" i="1240" s="1"/>
  <c r="H29" i="1240" s="1"/>
  <c r="G51" i="1240" s="1"/>
  <c r="R52" i="1238"/>
  <c r="R51" i="1238"/>
  <c r="D50" i="1238"/>
  <c r="R49" i="1238"/>
  <c r="D49" i="1238"/>
  <c r="R48" i="1238"/>
  <c r="D48" i="1238"/>
  <c r="D46" i="1238"/>
  <c r="D45" i="1238"/>
  <c r="D44" i="1238"/>
  <c r="R42" i="1238"/>
  <c r="L6" i="1238" s="1"/>
  <c r="D6" i="1238" s="1"/>
  <c r="D42" i="1238"/>
  <c r="R41" i="1238"/>
  <c r="L7" i="1238" s="1"/>
  <c r="D7" i="1238" s="1"/>
  <c r="D41" i="1238"/>
  <c r="R40" i="1238"/>
  <c r="D40" i="1238"/>
  <c r="R39" i="1238"/>
  <c r="H39" i="1238"/>
  <c r="D39" i="1238"/>
  <c r="R38" i="1238"/>
  <c r="L9" i="1238" s="1"/>
  <c r="D9" i="1238" s="1"/>
  <c r="H38" i="1238"/>
  <c r="D38" i="1238"/>
  <c r="R37" i="1238"/>
  <c r="H37" i="1238"/>
  <c r="D37" i="1238"/>
  <c r="R36" i="1238"/>
  <c r="H36" i="1238"/>
  <c r="D36" i="1238"/>
  <c r="R35" i="1238"/>
  <c r="L19" i="1238" s="1"/>
  <c r="D19" i="1238" s="1"/>
  <c r="H35" i="1238"/>
  <c r="D35" i="1238"/>
  <c r="R34" i="1238"/>
  <c r="L12" i="1238" s="1"/>
  <c r="D12" i="1238" s="1"/>
  <c r="H34" i="1238"/>
  <c r="D34" i="1238"/>
  <c r="R33" i="1238"/>
  <c r="L23" i="1238" s="1"/>
  <c r="D23" i="1238" s="1"/>
  <c r="R32" i="1238"/>
  <c r="L11" i="1238" s="1"/>
  <c r="D11" i="1238" s="1"/>
  <c r="R31" i="1238"/>
  <c r="R30" i="1238"/>
  <c r="R29" i="1238"/>
  <c r="R28" i="1238"/>
  <c r="L16" i="1238" s="1"/>
  <c r="D16" i="1238" s="1"/>
  <c r="D28" i="1238"/>
  <c r="R27" i="1238"/>
  <c r="D27" i="1238"/>
  <c r="R26" i="1238"/>
  <c r="L26" i="1238"/>
  <c r="D26" i="1238"/>
  <c r="R25" i="1238"/>
  <c r="L25" i="1238"/>
  <c r="D25" i="1238" s="1"/>
  <c r="R24" i="1238"/>
  <c r="D24" i="1238"/>
  <c r="R23" i="1238"/>
  <c r="R22" i="1238"/>
  <c r="L22" i="1238"/>
  <c r="D22" i="1238" s="1"/>
  <c r="R21" i="1238"/>
  <c r="D21" i="1238"/>
  <c r="R20" i="1238"/>
  <c r="L20" i="1238"/>
  <c r="D20" i="1238"/>
  <c r="R19" i="1238"/>
  <c r="R18" i="1238"/>
  <c r="D18" i="1238"/>
  <c r="R17" i="1238"/>
  <c r="D17" i="1238"/>
  <c r="R16" i="1238"/>
  <c r="S15" i="1238"/>
  <c r="R15" i="1238"/>
  <c r="D15" i="1238"/>
  <c r="S14" i="1238"/>
  <c r="R14" i="1238"/>
  <c r="D14" i="1238"/>
  <c r="R13" i="1238"/>
  <c r="D13" i="1238"/>
  <c r="R12" i="1238"/>
  <c r="R11" i="1238"/>
  <c r="L10" i="1238"/>
  <c r="D10" i="1238" s="1"/>
  <c r="L8" i="1238"/>
  <c r="D8" i="1238" s="1"/>
  <c r="R6" i="1238"/>
  <c r="R5" i="1238"/>
  <c r="R4" i="1238"/>
  <c r="R52" i="1237"/>
  <c r="R51" i="1237"/>
  <c r="D50" i="1237"/>
  <c r="R49" i="1237"/>
  <c r="D49" i="1237"/>
  <c r="R48" i="1237"/>
  <c r="D48" i="1237"/>
  <c r="D46" i="1237"/>
  <c r="D45" i="1237"/>
  <c r="D44" i="1237"/>
  <c r="R42" i="1237"/>
  <c r="D42" i="1237"/>
  <c r="R41" i="1237"/>
  <c r="L7" i="1237" s="1"/>
  <c r="D7" i="1237" s="1"/>
  <c r="D41" i="1237"/>
  <c r="R40" i="1237"/>
  <c r="L8" i="1237" s="1"/>
  <c r="D8" i="1237" s="1"/>
  <c r="D40" i="1237"/>
  <c r="R39" i="1237"/>
  <c r="L20" i="1237" s="1"/>
  <c r="D20" i="1237" s="1"/>
  <c r="H39" i="1237"/>
  <c r="D39" i="1237"/>
  <c r="R38" i="1237"/>
  <c r="L9" i="1237" s="1"/>
  <c r="D9" i="1237" s="1"/>
  <c r="H38" i="1237"/>
  <c r="D38" i="1237"/>
  <c r="R37" i="1237"/>
  <c r="H37" i="1237"/>
  <c r="D37" i="1237"/>
  <c r="R36" i="1237"/>
  <c r="L10" i="1237" s="1"/>
  <c r="D10" i="1237" s="1"/>
  <c r="H36" i="1237"/>
  <c r="D36" i="1237"/>
  <c r="R35" i="1237"/>
  <c r="H35" i="1237"/>
  <c r="D35" i="1237"/>
  <c r="R34" i="1237"/>
  <c r="H34" i="1237"/>
  <c r="D34" i="1237"/>
  <c r="R33" i="1237"/>
  <c r="L23" i="1237" s="1"/>
  <c r="D23" i="1237" s="1"/>
  <c r="R32" i="1237"/>
  <c r="L11" i="1237" s="1"/>
  <c r="D11" i="1237" s="1"/>
  <c r="R31" i="1237"/>
  <c r="R30" i="1237"/>
  <c r="R29" i="1237"/>
  <c r="R28" i="1237"/>
  <c r="L16" i="1237" s="1"/>
  <c r="D16" i="1237" s="1"/>
  <c r="D28" i="1237"/>
  <c r="R27" i="1237"/>
  <c r="D27" i="1237"/>
  <c r="R26" i="1237"/>
  <c r="L26" i="1237"/>
  <c r="D26" i="1237" s="1"/>
  <c r="R25" i="1237"/>
  <c r="L25" i="1237"/>
  <c r="D25" i="1237"/>
  <c r="R24" i="1237"/>
  <c r="L24" i="1237"/>
  <c r="D24" i="1237" s="1"/>
  <c r="R23" i="1237"/>
  <c r="R22" i="1237"/>
  <c r="L22" i="1237"/>
  <c r="D22" i="1237" s="1"/>
  <c r="R21" i="1237"/>
  <c r="L17" i="1237" s="1"/>
  <c r="D17" i="1237" s="1"/>
  <c r="D21" i="1237"/>
  <c r="R20" i="1237"/>
  <c r="R19" i="1237"/>
  <c r="L19" i="1237"/>
  <c r="D19" i="1237" s="1"/>
  <c r="R18" i="1237"/>
  <c r="D18" i="1237"/>
  <c r="R17" i="1237"/>
  <c r="R16" i="1237"/>
  <c r="R15" i="1237"/>
  <c r="D15" i="1237"/>
  <c r="R14" i="1237"/>
  <c r="D14" i="1237"/>
  <c r="R13" i="1237"/>
  <c r="D13" i="1237"/>
  <c r="R12" i="1237"/>
  <c r="L12" i="1237"/>
  <c r="D12" i="1237" s="1"/>
  <c r="R11" i="1237"/>
  <c r="R6" i="1237"/>
  <c r="L6" i="1237"/>
  <c r="D6" i="1237" s="1"/>
  <c r="R5" i="1237"/>
  <c r="R4" i="1237"/>
  <c r="H15" i="1251" l="1"/>
  <c r="H29" i="1251" s="1"/>
  <c r="G51" i="1251" s="1"/>
  <c r="H15" i="1250"/>
  <c r="H29" i="1250" s="1"/>
  <c r="G51" i="1250" s="1"/>
  <c r="H15" i="1249"/>
  <c r="H29" i="1249" s="1"/>
  <c r="G51" i="1249" s="1"/>
  <c r="H15" i="1243"/>
  <c r="H29" i="1243" s="1"/>
  <c r="G51" i="1243" s="1"/>
  <c r="H15" i="1242"/>
  <c r="H29" i="1242" s="1"/>
  <c r="G51" i="1242" s="1"/>
  <c r="H15" i="1241"/>
  <c r="H29" i="1241" s="1"/>
  <c r="G51" i="1241" s="1"/>
  <c r="D54" i="1237"/>
  <c r="H14" i="1237" s="1"/>
  <c r="G49" i="1237"/>
  <c r="D54" i="1238"/>
  <c r="H14" i="1238" s="1"/>
  <c r="G49" i="1238"/>
  <c r="D29" i="1238"/>
  <c r="H13" i="1238" s="1"/>
  <c r="D29" i="1237"/>
  <c r="H13" i="1237" s="1"/>
  <c r="H15" i="1238" l="1"/>
  <c r="H29" i="1238" s="1"/>
  <c r="G51" i="1238" s="1"/>
  <c r="H15" i="1237"/>
  <c r="H29" i="1237" s="1"/>
  <c r="G51" i="1237" s="1"/>
  <c r="R52" i="1135"/>
  <c r="R51" i="1135"/>
  <c r="D50" i="1135"/>
  <c r="R49" i="1135"/>
  <c r="G49" i="1135"/>
  <c r="D49" i="1135"/>
  <c r="R48" i="1135"/>
  <c r="D48" i="1135"/>
  <c r="D46" i="1135"/>
  <c r="D45" i="1135"/>
  <c r="D44" i="1135"/>
  <c r="R42" i="1135"/>
  <c r="L6" i="1135" s="1"/>
  <c r="D6" i="1135" s="1"/>
  <c r="D42" i="1135"/>
  <c r="R41" i="1135"/>
  <c r="L7" i="1135" s="1"/>
  <c r="D7" i="1135" s="1"/>
  <c r="D41" i="1135"/>
  <c r="R40" i="1135"/>
  <c r="L8" i="1135" s="1"/>
  <c r="D8" i="1135" s="1"/>
  <c r="D40" i="1135"/>
  <c r="R39" i="1135"/>
  <c r="D39" i="1135"/>
  <c r="R38" i="1135"/>
  <c r="L9" i="1135" s="1"/>
  <c r="D9" i="1135" s="1"/>
  <c r="D38" i="1135"/>
  <c r="R37" i="1135"/>
  <c r="D37" i="1135"/>
  <c r="R36" i="1135"/>
  <c r="D36" i="1135"/>
  <c r="R35" i="1135"/>
  <c r="L19" i="1135" s="1"/>
  <c r="D19" i="1135" s="1"/>
  <c r="D35" i="1135"/>
  <c r="R34" i="1135"/>
  <c r="L12" i="1135" s="1"/>
  <c r="D12" i="1135" s="1"/>
  <c r="D34" i="1135"/>
  <c r="R33" i="1135"/>
  <c r="L23" i="1135" s="1"/>
  <c r="D23" i="1135" s="1"/>
  <c r="R32" i="1135"/>
  <c r="L11" i="1135" s="1"/>
  <c r="D11" i="1135" s="1"/>
  <c r="R31" i="1135"/>
  <c r="R30" i="1135"/>
  <c r="R29" i="1135"/>
  <c r="R28" i="1135"/>
  <c r="D28" i="1135"/>
  <c r="R27" i="1135"/>
  <c r="D27" i="1135"/>
  <c r="R26" i="1135"/>
  <c r="L26" i="1135"/>
  <c r="D26" i="1135" s="1"/>
  <c r="R25" i="1135"/>
  <c r="L25" i="1135"/>
  <c r="D25" i="1135"/>
  <c r="R24" i="1135"/>
  <c r="D24" i="1135"/>
  <c r="R23" i="1135"/>
  <c r="R22" i="1135"/>
  <c r="L22" i="1135"/>
  <c r="D22" i="1135" s="1"/>
  <c r="R21" i="1135"/>
  <c r="D21" i="1135"/>
  <c r="R20" i="1135"/>
  <c r="L20" i="1135"/>
  <c r="D20" i="1135" s="1"/>
  <c r="R19" i="1135"/>
  <c r="R18" i="1135"/>
  <c r="D18" i="1135"/>
  <c r="R17" i="1135"/>
  <c r="D17" i="1135"/>
  <c r="R16" i="1135"/>
  <c r="L16" i="1135"/>
  <c r="D16" i="1135" s="1"/>
  <c r="S15" i="1135"/>
  <c r="R15" i="1135"/>
  <c r="D15" i="1135"/>
  <c r="S14" i="1135"/>
  <c r="R14" i="1135"/>
  <c r="D14" i="1135"/>
  <c r="R13" i="1135"/>
  <c r="D13" i="1135"/>
  <c r="R12" i="1135"/>
  <c r="R11" i="1135"/>
  <c r="L10" i="1135"/>
  <c r="D10" i="1135" s="1"/>
  <c r="R6" i="1135"/>
  <c r="R5" i="1135"/>
  <c r="R4" i="1135"/>
  <c r="D54" i="1135" l="1"/>
  <c r="H14" i="1135" s="1"/>
  <c r="D29" i="1135"/>
  <c r="H13" i="1135" s="1"/>
  <c r="H15" i="1135" s="1"/>
  <c r="H29" i="1135" s="1"/>
  <c r="G51" i="11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6" authorId="0" shapeId="0" xr:uid="{4F60539D-B3DC-4BB3-B009-94ED326C15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CATIG STORE
GUNYAN, SIAYAN
DISC. 1296
</t>
        </r>
      </text>
    </comment>
    <comment ref="C37" authorId="0" shapeId="0" xr:uid="{40E903BB-FA38-4BC4-8D07-9E9E4FC1CF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DUNGAG LIMA PARA UGMA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6" authorId="0" shapeId="0" xr:uid="{EAC9D522-AD83-4754-AF7D-D793591E9B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JN &amp; SON STORE: 
DISC. 1917
BBS:
DISC. 880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6" authorId="0" shapeId="0" xr:uid="{8CBD1453-54F1-455C-8425-5227381695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BILLY CATIG STORE
GUNYAN, SIAYAN
DISC. 5535
</t>
        </r>
      </text>
    </comment>
  </commentList>
</comments>
</file>

<file path=xl/sharedStrings.xml><?xml version="1.0" encoding="utf-8"?>
<sst xmlns="http://schemas.openxmlformats.org/spreadsheetml/2006/main" count="13878" uniqueCount="227">
  <si>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</si>
  <si>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</si>
  <si>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</si>
  <si>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</si>
  <si>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</si>
  <si>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</si>
  <si>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</si>
  <si>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</si>
  <si>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</si>
  <si>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</si>
  <si>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</si>
  <si>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</si>
  <si>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</si>
  <si>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</si>
  <si>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</si>
  <si>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</si>
  <si>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</si>
  <si>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</si>
  <si>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</si>
  <si>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</si>
  <si>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</si>
  <si>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</si>
  <si>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</si>
  <si>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</si>
  <si>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</si>
  <si>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</si>
  <si>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</si>
  <si>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</si>
  <si>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</si>
  <si>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</si>
  <si>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</si>
  <si>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</si>
  <si>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</si>
  <si>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</si>
  <si>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</si>
  <si>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</si>
  <si>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</si>
  <si>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</si>
  <si>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</si>
  <si>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</si>
  <si>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</si>
  <si>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</si>
  <si>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</si>
  <si>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</si>
  <si>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</si>
  <si>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</si>
  <si>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</si>
  <si>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</si>
  <si>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</si>
  <si>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</si>
  <si>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</si>
  <si>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</si>
  <si>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</si>
  <si>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</si>
  <si>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</si>
  <si>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</si>
  <si>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</si>
  <si>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</si>
  <si>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</si>
  <si>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</si>
  <si>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</si>
  <si>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</si>
  <si>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</si>
  <si>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</si>
  <si>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</si>
  <si>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</si>
  <si>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</si>
  <si>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</si>
  <si>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</si>
  <si>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</si>
  <si>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</si>
  <si>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</si>
  <si>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</si>
  <si>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</si>
  <si>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</si>
  <si>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</si>
  <si>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</si>
  <si>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</si>
  <si>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</si>
  <si>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</si>
  <si>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</si>
  <si>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</si>
  <si>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</si>
  <si>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</si>
  <si>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</si>
  <si>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</si>
  <si>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</si>
  <si>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</si>
  <si>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</si>
  <si>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</si>
  <si>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</si>
  <si>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</si>
  <si>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</si>
  <si>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</si>
  <si>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</si>
  <si>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</si>
  <si>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</si>
  <si>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</si>
  <si>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</si>
  <si>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</si>
  <si>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</si>
  <si>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</si>
  <si>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</si>
  <si>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</si>
  <si>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</si>
  <si>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</si>
  <si>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</si>
  <si>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</si>
  <si>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</si>
  <si>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</si>
  <si>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</si>
  <si>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</si>
  <si>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SALIG, JULIVEN</t>
  </si>
  <si>
    <t>PAMC</t>
  </si>
  <si>
    <t>ENCLONAR, JEROME</t>
  </si>
  <si>
    <t>SALIG, JOVANI</t>
  </si>
  <si>
    <t>SDC</t>
  </si>
  <si>
    <t>FBAC</t>
  </si>
  <si>
    <t xml:space="preserve">                            RONNEL DANDAYO</t>
  </si>
  <si>
    <t>FB BOTT.</t>
  </si>
  <si>
    <t>ARANCES, MARIO</t>
  </si>
  <si>
    <t>DACULA, PAQUITO</t>
  </si>
  <si>
    <t>OTHERS/PROMO</t>
  </si>
  <si>
    <t>SMLB BOTT.</t>
  </si>
  <si>
    <t>RHS BOTT.</t>
  </si>
  <si>
    <t>TOPEZ, FERMIN</t>
  </si>
  <si>
    <t>BACULIO, JERRIX B.</t>
  </si>
  <si>
    <t xml:space="preserve">                            JERRIX B. BAACULIO</t>
  </si>
  <si>
    <t>CC</t>
  </si>
  <si>
    <t>PPC/RHC</t>
  </si>
  <si>
    <t>BAGOT, ROLANDO</t>
  </si>
  <si>
    <t>PL BOTT.</t>
  </si>
  <si>
    <t>RHSL BOTT.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</si>
  <si>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</si>
  <si>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 xml:space="preserve">                            FERMIN TOPEZ</t>
  </si>
  <si>
    <t>CLC</t>
  </si>
  <si>
    <t>SMLC/PPC/RHC</t>
  </si>
  <si>
    <t>FBLC/FBLYC</t>
  </si>
  <si>
    <t>CC/CIC</t>
  </si>
  <si>
    <t>PAMC/CBC</t>
  </si>
  <si>
    <t>PPG</t>
  </si>
  <si>
    <r>
      <t>SHORT /</t>
    </r>
    <r>
      <rPr>
        <u/>
        <sz val="11"/>
        <rFont val="Calibri"/>
        <family val="2"/>
        <scheme val="minor"/>
      </rPr>
      <t xml:space="preserve"> OVER</t>
    </r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</si>
  <si>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 </t>
    </r>
  </si>
  <si>
    <t>SHORT / OVER</t>
  </si>
  <si>
    <t>GCASH</t>
  </si>
  <si>
    <t>5435</t>
  </si>
  <si>
    <t>MERIAM APDUHAN</t>
  </si>
  <si>
    <t>PORMENTO, ESTEMARK</t>
  </si>
  <si>
    <t xml:space="preserve">                            ESTEMARK PORMENTO</t>
  </si>
  <si>
    <t>CC/CIC/C10C</t>
  </si>
  <si>
    <t>BDO</t>
  </si>
  <si>
    <t>137971</t>
  </si>
  <si>
    <t>DANYEN</t>
  </si>
  <si>
    <t>142680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</si>
  <si>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</si>
  <si>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ELMY COMM.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</si>
  <si>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</si>
  <si>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135206</t>
  </si>
  <si>
    <t>CIC/CIC/C10C</t>
  </si>
  <si>
    <t>FBLC</t>
  </si>
  <si>
    <t>139532</t>
  </si>
  <si>
    <t>139533</t>
  </si>
  <si>
    <t>ARACELIE ALESNA</t>
  </si>
  <si>
    <t>JMCC STORE</t>
  </si>
  <si>
    <t>34825</t>
  </si>
  <si>
    <t>PSBC</t>
  </si>
  <si>
    <t>2120007463</t>
  </si>
  <si>
    <t>G-CASH</t>
  </si>
  <si>
    <t>PNB</t>
  </si>
  <si>
    <t>2000005380</t>
  </si>
  <si>
    <t>AIRA TENG</t>
  </si>
  <si>
    <t>PATRICIO STORE</t>
  </si>
  <si>
    <t>SOUND CHECK</t>
  </si>
  <si>
    <t>LANIE SUERTE</t>
  </si>
  <si>
    <t>JAY TABASA</t>
  </si>
  <si>
    <t>DELIA VILLARIN</t>
  </si>
  <si>
    <t>ELIZABETH HENSON</t>
  </si>
  <si>
    <t>142688</t>
  </si>
  <si>
    <t>YAKEN STORE</t>
  </si>
  <si>
    <t>139555</t>
  </si>
  <si>
    <t>ELSIE EMBOR</t>
  </si>
  <si>
    <t>BERNABIE PATRICIO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</si>
  <si>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</si>
  <si>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SMLC/RHC/PPC</t>
  </si>
  <si>
    <t>2120007471</t>
  </si>
  <si>
    <t>2000002390</t>
  </si>
  <si>
    <t>135210</t>
  </si>
  <si>
    <t xml:space="preserve">                           ESTEMARK PORMENTO</t>
  </si>
  <si>
    <t>34835</t>
  </si>
  <si>
    <t>ELOGSONG STORE</t>
  </si>
  <si>
    <t>131132</t>
  </si>
  <si>
    <t>1395813</t>
  </si>
  <si>
    <t>37536</t>
  </si>
  <si>
    <t>142708</t>
  </si>
  <si>
    <t>2000005407</t>
  </si>
  <si>
    <t>INDAY STORE</t>
  </si>
  <si>
    <t>139322</t>
  </si>
  <si>
    <t>BALWARTE</t>
  </si>
  <si>
    <t>34843</t>
  </si>
  <si>
    <t>BAOC, PRECILLANO</t>
  </si>
  <si>
    <t>BANK TRANSFER</t>
  </si>
  <si>
    <t>2120007482</t>
  </si>
  <si>
    <t>2000007190</t>
  </si>
  <si>
    <t>BACULIO, JERRIX</t>
  </si>
  <si>
    <t>6032897191229</t>
  </si>
  <si>
    <t>METRO BANK</t>
  </si>
  <si>
    <t>3593220</t>
  </si>
  <si>
    <t>139588</t>
  </si>
  <si>
    <t>GERMATA</t>
  </si>
  <si>
    <t>6160</t>
  </si>
  <si>
    <t>142715</t>
  </si>
  <si>
    <t>ELIZ. HENSON</t>
  </si>
  <si>
    <t>YAKEN</t>
  </si>
  <si>
    <t>2000005431</t>
  </si>
  <si>
    <t>135216</t>
  </si>
  <si>
    <t>140526</t>
  </si>
  <si>
    <t>140315</t>
  </si>
  <si>
    <t>2000008023</t>
  </si>
  <si>
    <t>2000002473</t>
  </si>
  <si>
    <t>140541</t>
  </si>
  <si>
    <t>142730</t>
  </si>
  <si>
    <t>JMCC</t>
  </si>
  <si>
    <t>0000667464</t>
  </si>
  <si>
    <t>142731</t>
  </si>
  <si>
    <t>139627</t>
  </si>
  <si>
    <t>2000007615</t>
  </si>
  <si>
    <t>000140555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</si>
</sst>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9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0" fontId="9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4" fillId="0" borderId="16" xfId="0" applyFont="1" applyFill="1" applyBorder="1"/>
    <xf numFmtId="0" fontId="23" fillId="0" borderId="1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3" fillId="0" borderId="16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9" fillId="0" borderId="16" xfId="0" applyFont="1" applyBorder="1" applyAlignment="1">
      <alignment horizontal="right"/>
    </xf>
    <xf numFmtId="49" fontId="25" fillId="0" borderId="16" xfId="0" applyNumberFormat="1" applyFont="1" applyBorder="1" applyAlignment="1">
      <alignment horizontal="right"/>
    </xf>
    <xf numFmtId="0" fontId="4" fillId="0" borderId="10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0" fillId="0" borderId="6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22" fillId="0" borderId="6" xfId="0" applyNumberFormat="1" applyFont="1" applyBorder="1" applyAlignment="1">
      <alignment horizontal="left" vertical="center"/>
    </xf>
    <xf numFmtId="165" fontId="22" fillId="0" borderId="4" xfId="0" applyNumberFormat="1" applyFont="1" applyBorder="1" applyAlignment="1">
      <alignment horizontal="left" vertical="center"/>
    </xf>
    <xf numFmtId="165" fontId="22" fillId="0" borderId="7" xfId="0" applyNumberFormat="1" applyFont="1" applyBorder="1" applyAlignment="1">
      <alignment horizontal="left" vertical="center"/>
    </xf>
    <xf numFmtId="165" fontId="22" fillId="0" borderId="50" xfId="0" applyNumberFormat="1" applyFont="1" applyBorder="1" applyAlignment="1">
      <alignment horizontal="left" vertical="center"/>
    </xf>
    <xf numFmtId="165" fontId="22" fillId="0" borderId="51" xfId="0" applyNumberFormat="1" applyFont="1" applyBorder="1" applyAlignment="1">
      <alignment horizontal="left" vertical="center"/>
    </xf>
    <xf numFmtId="165" fontId="22" fillId="0" borderId="52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9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0" fontId="0" fillId="3" borderId="16" xfId="0" applyFill="1" applyBorder="1" applyAlignment="1">
      <alignment horizont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44" fontId="0" fillId="3" borderId="16" xfId="0" applyNumberFormat="1" applyFill="1" applyBorder="1" applyAlignment="1">
      <alignment horizontal="right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12" fillId="3" borderId="16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C6B39-AE19-4D2D-84DB-FD62665D6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A70B9-705A-4831-9B5F-9978AD9D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96466-F5DA-4E38-A0E7-855F445E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9A9605-E25E-4A4C-9012-F489E7CB6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38D2E-A0D2-4DB7-8379-6E4316A02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8DA35-7502-473F-837E-DB76FBD6E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FC71B-5CCD-4EE9-BA71-9F2C247F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89AADF-63BE-4342-824D-ED0F2E7C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4A5C6-6CE4-487F-81B8-0698F98C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2E816-87D2-4E21-883D-4B59F6E54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FF33F-58D5-4927-8FAB-78FAEC3A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E0E24-0BA9-4303-BAE2-41A036047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3E2F2D-E7B1-4793-9841-D0222D2EE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FD0EF-4AFF-446F-84B1-4F0692491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B92A33-558F-401A-913C-B8D08C469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DD50C-596C-4FF5-8467-F9172A8D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6E723-03FC-443A-948D-68ED187A5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C3AB4-2302-4FE3-8A63-3A7B04D44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7477F-87E2-44BE-8775-B4BBE41D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0E3F1-4460-44C1-9468-6C5F8B8B3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E9AC5-60F4-4C6C-81DC-DBBFD9341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B09F8-7C9A-43A3-A922-3588B265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DAD793-7008-429E-AA48-2A1E2A84C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1438B-F88D-4CAE-9903-DF06305BA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EB6B5-14F6-4647-97CD-07466CA1E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073D2-1C7F-4F9C-AF8C-21DD039D3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E826E-5E1D-4266-87F2-0B2C63BB0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157FD-3076-4052-A7B4-E9BBB3340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B809F-37C3-41EC-B45F-87ECD0ED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0A57AA-8207-4BCF-B0F6-EEA4DF5D6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AE9EBF-F159-4BA7-84CD-4C4F3477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07AE2-7A15-43B2-AD8D-6AD3EE1F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9793F-D7F2-402F-B037-B83FFB65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7B3E62-6C3F-4377-B436-40D083D9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58C633-5F58-4B14-B00F-8659181E6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3432C-C03C-407A-BBD8-EEC868C0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0C4CC-47C6-4105-B676-F7B16A768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9358E-E534-43DC-8726-6D2191E8B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4D0DB2-B706-47DF-96A4-3BBF7FB1D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C921DB-9CFD-4622-A606-568673532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5327E8-D995-46CA-942F-ACEFC759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0C4AA-C78D-4F19-93BC-8532488A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6B41A0-92E5-4B91-9309-49FC4FD5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B5552-5D50-43D7-B2EF-1CCD6919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EB113-98F7-428C-B33A-D28DE9D8F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E3A22-04CD-4FD1-BBF5-917D1953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65AC3-9425-431A-B062-C7953F7F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753A5-87AE-417F-9C8A-1BE6912A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4ED1F-DE2D-4D7C-A010-EE7DF0D1C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0452F-DC02-4461-9EB4-65F6B5A68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CD5EE-84DA-4E84-BBE0-F75056053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9852A-7557-4AC3-BA65-F40A549AD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1C73C-0E30-4530-892D-E27568609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E4679-44DE-4D43-AF2B-F21923AF3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1E0F0-13B5-4F38-AB27-C61FB1C5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00860-A9D4-4A7F-A322-8439F8B7B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BE3B6-1A57-42B6-BAE1-89AC3235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8A329-6BB5-4861-96C8-1368A0C90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D5316-7BAB-40E3-833C-8EE5A2AA2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E9DE5-829B-4D9C-88C4-B3C5F8D9A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D0715-10B3-4FE5-AF46-5320FA717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0B41D-DB4D-4DAC-B489-9F0D02F6D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3AE1A-FCF1-45E6-BC69-8DDD02459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012B4-DF2D-437B-87E5-BB6D1DFED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85BA8-5CF0-461B-B9AD-8D3236055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A1434-3E6A-45ED-9C12-24FB75779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0B3F2-8F70-4F3B-BA16-9D9BC629D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7B526-2E40-4624-A8D9-8BB5C1E75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825AC9-D0BB-427C-8268-861D12828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BB7A7-2F62-4367-908B-C03A35873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0526F-3978-403F-8413-B02FDE99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15F4C-1A73-44C2-9EB5-EED326E6A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37FC6-2885-425D-8009-222D6EE9A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17559-7AEA-479B-958A-3BFE98004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51BA6-D9B8-4781-9CC8-B684788BE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40AD1-2F89-405B-A317-B65AC90EC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34C2B-B43E-432A-A985-BEF250D9A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A1662-D658-4BA1-A34B-FC4A24E9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761DA9-8DAF-49E0-B5A3-42548475F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9C199-F1AD-443E-901F-C54472AC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6E189-0314-4061-A511-1A25FE06A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2E481-EF63-4E86-80D7-33273AEA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598B4-B56C-4884-B624-72A00CF0E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F0AC2-D7E6-4B70-AC08-2F514D98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BFCF8-6206-430B-9893-2878AC6BC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8B9986-8085-426B-B1FD-5AE171D91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A1CBF-7303-4E15-9EB9-F8F91B39B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0FD5B9-678A-4150-9109-F56E41E97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F50FF-AB44-4BE2-A71E-C8B759FA0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CAC39-5EE6-462F-91EB-0CFF8D0C0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81C3A-C142-496E-9401-0B8726483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2C795-1B89-484F-AC15-EDD5917A6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7D69C-4518-452B-B443-C3632BDEE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C088D-BA3C-4B64-AFCE-2B9F68308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3A014-0E37-46BF-AA2D-48C54BBB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4AF2C-12E7-4A8C-AD24-C4AC1C00E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4A5C2-0C1D-417E-900C-85CCA1400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AC8F9-C8C8-45C5-813E-72073BB59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CC12B-AEF7-47A2-A863-A8A1C4DF6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2C375A-65F4-458F-8518-EE126493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CC4BEF-7D69-4EB9-810D-8F9832EC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985775-1DCC-4246-BFC3-7A8A46A6D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6CE16-3D7B-492F-B31E-F39C902A8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C0ABA-F4C9-46BC-B8E9-471312011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81319-FA51-40F9-BB40-3121AA173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1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2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3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A4F-BB49-49AA-821F-EA7C4348F79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5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A90F-F7B7-4368-B0AE-EA5F547E89C4}">
  <dimension ref="A1:R59"/>
  <sheetViews>
    <sheetView topLeftCell="A28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87" t="s">
        <v>2</v>
      </c>
      <c r="Q1" s="8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45901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181</v>
      </c>
      <c r="D6" s="13">
        <f t="shared" ref="D6:D28" si="1">C6*L6</f>
        <v>133397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4</v>
      </c>
      <c r="D7" s="13">
        <f t="shared" si="1"/>
        <v>2900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13</v>
      </c>
      <c r="D9" s="13">
        <f t="shared" si="1"/>
        <v>9191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5</v>
      </c>
      <c r="D13" s="48">
        <f t="shared" si="1"/>
        <v>1535</v>
      </c>
      <c r="F13" s="266" t="s">
        <v>36</v>
      </c>
      <c r="G13" s="230"/>
      <c r="H13" s="221">
        <f>D29</f>
        <v>151025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7</v>
      </c>
      <c r="D14" s="31">
        <f t="shared" si="1"/>
        <v>77</v>
      </c>
      <c r="F14" s="224" t="s">
        <v>39</v>
      </c>
      <c r="G14" s="225"/>
      <c r="H14" s="226">
        <f>D54</f>
        <v>22636.5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128388.5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648+584</f>
        <v>1232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5</v>
      </c>
      <c r="D28" s="48">
        <f t="shared" si="1"/>
        <v>3925</v>
      </c>
      <c r="F28" s="5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151025</v>
      </c>
      <c r="F29" s="138" t="s">
        <v>55</v>
      </c>
      <c r="G29" s="200"/>
      <c r="H29" s="160">
        <f>H15-H16-H17-H18-H19-H20-H22-H23-H24+H26+H27</f>
        <v>127156.5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121</v>
      </c>
      <c r="H34" s="182">
        <f>F34*G34</f>
        <v>121000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9</v>
      </c>
      <c r="H35" s="182">
        <f t="shared" ref="H35:H39" si="2">F35*G35</f>
        <v>4500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196</v>
      </c>
      <c r="D37" s="12">
        <f>C37*111</f>
        <v>21756</v>
      </c>
      <c r="F37" s="12">
        <v>100</v>
      </c>
      <c r="G37" s="39">
        <v>6</v>
      </c>
      <c r="H37" s="182">
        <f t="shared" si="2"/>
        <v>600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2</v>
      </c>
      <c r="H38" s="182">
        <f t="shared" si="2"/>
        <v>100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10</v>
      </c>
      <c r="D42" s="12">
        <f>C42*2.25</f>
        <v>22.5</v>
      </c>
      <c r="F42" s="39" t="s">
        <v>79</v>
      </c>
      <c r="G42" s="182">
        <v>3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86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</v>
      </c>
      <c r="D49" s="12">
        <f>C49*42</f>
        <v>84</v>
      </c>
      <c r="F49" s="158" t="s">
        <v>86</v>
      </c>
      <c r="G49" s="160">
        <f>H34+H35+H36+H37+H38+H39+H40+H41+G42+H44+H45+H46</f>
        <v>126223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9</v>
      </c>
      <c r="D50" s="12">
        <f>C50*1.5</f>
        <v>13.5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-933.5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22636.5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509A-BCDA-4295-A1FE-4A7F108DDA47}">
  <dimension ref="A1:S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87" t="s">
        <v>2</v>
      </c>
      <c r="Q1" s="8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45901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142</v>
      </c>
      <c r="D6" s="13">
        <f t="shared" ref="D6:D28" si="1">C6*L6</f>
        <v>104654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9</v>
      </c>
      <c r="D7" s="13">
        <f t="shared" si="1"/>
        <v>6525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38</v>
      </c>
      <c r="D9" s="13">
        <f t="shared" si="1"/>
        <v>26866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111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5</v>
      </c>
      <c r="D13" s="48">
        <f t="shared" si="1"/>
        <v>1535</v>
      </c>
      <c r="F13" s="266" t="s">
        <v>36</v>
      </c>
      <c r="G13" s="230"/>
      <c r="H13" s="221">
        <f>D29</f>
        <v>144668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19</v>
      </c>
      <c r="D14" s="31">
        <f t="shared" si="1"/>
        <v>209</v>
      </c>
      <c r="F14" s="224" t="s">
        <v>39</v>
      </c>
      <c r="G14" s="225"/>
      <c r="H14" s="226">
        <f>D54</f>
        <v>45607.5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99060.5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372</f>
        <v>372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99" t="s">
        <v>146</v>
      </c>
      <c r="G26" s="60">
        <v>5401</v>
      </c>
      <c r="H26" s="212">
        <v>80264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3</v>
      </c>
      <c r="D28" s="48">
        <f t="shared" si="1"/>
        <v>2355</v>
      </c>
      <c r="F28" s="5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144668</v>
      </c>
      <c r="F29" s="138" t="s">
        <v>55</v>
      </c>
      <c r="G29" s="200"/>
      <c r="H29" s="160">
        <f>H15-H16-H17-H18-H19-H20-H22-H23-H24+H26+H27</f>
        <v>178952.5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125</v>
      </c>
      <c r="H34" s="182">
        <f>F34*G34</f>
        <v>125000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87</v>
      </c>
      <c r="H35" s="182">
        <f>F35*G35</f>
        <v>43500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12</v>
      </c>
      <c r="D36" s="12">
        <f>C36*1.5</f>
        <v>18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389</v>
      </c>
      <c r="D37" s="12">
        <f>C37*111</f>
        <v>43179</v>
      </c>
      <c r="F37" s="12">
        <v>100</v>
      </c>
      <c r="G37" s="39">
        <v>18</v>
      </c>
      <c r="H37" s="182">
        <f t="shared" si="2"/>
        <v>1800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30</v>
      </c>
      <c r="H38" s="182">
        <f t="shared" si="2"/>
        <v>1500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10</v>
      </c>
      <c r="D42" s="12">
        <f>C42*2.25</f>
        <v>22.5</v>
      </c>
      <c r="F42" s="39" t="s">
        <v>79</v>
      </c>
      <c r="G42" s="182">
        <v>305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2</v>
      </c>
      <c r="D44" s="12">
        <f>C44*120</f>
        <v>240</v>
      </c>
      <c r="F44" s="37" t="s">
        <v>144</v>
      </c>
      <c r="G44" s="77" t="s">
        <v>145</v>
      </c>
      <c r="H44" s="177">
        <v>6230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</v>
      </c>
      <c r="D46" s="12">
        <f>C46*1.5</f>
        <v>1.5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4</v>
      </c>
      <c r="D49" s="12">
        <f>C49*42</f>
        <v>168</v>
      </c>
      <c r="F49" s="158" t="s">
        <v>86</v>
      </c>
      <c r="G49" s="160">
        <f>H34+H35+H36+H37+H38+H39+H40+H41+G42+H44+H45+H46</f>
        <v>178335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23</v>
      </c>
      <c r="D50" s="12">
        <f>C50*1.5</f>
        <v>34.5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-617.5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45607.5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F63E-348F-46A3-A46D-95B50ECD380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55D9-0A14-4E75-8E6E-23BFE49EB027}">
  <dimension ref="A1:R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45902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149</v>
      </c>
      <c r="D6" s="13">
        <f t="shared" ref="D6:D28" si="1">C6*L6</f>
        <v>109813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9</v>
      </c>
      <c r="D7" s="13">
        <f t="shared" si="1"/>
        <v>6525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>
        <v>1</v>
      </c>
      <c r="D8" s="13">
        <f t="shared" si="1"/>
        <v>1033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29</v>
      </c>
      <c r="D9" s="13">
        <f t="shared" si="1"/>
        <v>20503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>
        <v>1</v>
      </c>
      <c r="D11" s="13">
        <f t="shared" si="1"/>
        <v>1125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>
        <v>3</v>
      </c>
      <c r="D12" s="48">
        <f t="shared" si="1"/>
        <v>2856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6</v>
      </c>
      <c r="D13" s="48">
        <f t="shared" si="1"/>
        <v>1842</v>
      </c>
      <c r="F13" s="266" t="s">
        <v>36</v>
      </c>
      <c r="G13" s="230"/>
      <c r="H13" s="221">
        <f>D29</f>
        <v>147958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11</v>
      </c>
      <c r="D14" s="31">
        <f t="shared" si="1"/>
        <v>121</v>
      </c>
      <c r="F14" s="224" t="s">
        <v>39</v>
      </c>
      <c r="G14" s="225"/>
      <c r="H14" s="226">
        <f>D54</f>
        <v>21412.5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>
        <v>1</v>
      </c>
      <c r="D15" s="31">
        <f t="shared" si="1"/>
        <v>620</v>
      </c>
      <c r="F15" s="229" t="s">
        <v>40</v>
      </c>
      <c r="G15" s="230"/>
      <c r="H15" s="231">
        <f>H13-H14</f>
        <v>126545.5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149</v>
      </c>
      <c r="C21" s="10">
        <f>1+1+1</f>
        <v>3</v>
      </c>
      <c r="D21" s="48">
        <f t="shared" si="1"/>
        <v>1950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 t="s">
        <v>152</v>
      </c>
      <c r="G26" s="66">
        <v>5636</v>
      </c>
      <c r="H26" s="177">
        <v>71442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89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147958</v>
      </c>
      <c r="F29" s="138" t="s">
        <v>55</v>
      </c>
      <c r="G29" s="200"/>
      <c r="H29" s="160">
        <f>H15-H16-H17-H18-H19-H20-H22-H23-H24+H26+H27+H28</f>
        <v>197987.5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93</v>
      </c>
      <c r="H34" s="182">
        <f t="shared" ref="H34:H39" si="2">F34*G34</f>
        <v>93000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34</v>
      </c>
      <c r="H35" s="182">
        <f t="shared" si="2"/>
        <v>17000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4</v>
      </c>
      <c r="D36" s="12">
        <f>C36*1.5</f>
        <v>6</v>
      </c>
      <c r="F36" s="12">
        <v>200</v>
      </c>
      <c r="G36" s="37">
        <v>2</v>
      </c>
      <c r="H36" s="182">
        <f t="shared" si="2"/>
        <v>400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170</v>
      </c>
      <c r="D37" s="12">
        <f>C37*111</f>
        <v>18870</v>
      </c>
      <c r="F37" s="12">
        <v>100</v>
      </c>
      <c r="G37" s="39">
        <v>14</v>
      </c>
      <c r="H37" s="182">
        <f t="shared" si="2"/>
        <v>1400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7</v>
      </c>
      <c r="H38" s="182">
        <f t="shared" si="2"/>
        <v>350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3</v>
      </c>
      <c r="H39" s="182">
        <f t="shared" si="2"/>
        <v>60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12</v>
      </c>
      <c r="D42" s="12">
        <f>C42*2.25</f>
        <v>27</v>
      </c>
      <c r="F42" s="39" t="s">
        <v>79</v>
      </c>
      <c r="G42" s="182">
        <v>3055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144</v>
      </c>
      <c r="G44" s="63"/>
      <c r="H44" s="177">
        <v>10200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3</v>
      </c>
      <c r="D45" s="12">
        <f>C45*84</f>
        <v>252</v>
      </c>
      <c r="F45" s="37" t="s">
        <v>150</v>
      </c>
      <c r="G45" s="63" t="s">
        <v>151</v>
      </c>
      <c r="H45" s="177">
        <v>71442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14</v>
      </c>
      <c r="D46" s="12">
        <f>C46*1.5</f>
        <v>21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196907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12</v>
      </c>
      <c r="D50" s="12">
        <f>C50*1.5</f>
        <v>18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-1080.5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21412.5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4CD6-D6F3-4ECC-AA66-4A20D8D8E09F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246</v>
      </c>
      <c r="D6" s="13">
        <f t="shared" ref="D6:D28" si="1">C6*L6</f>
        <v>181302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10</v>
      </c>
      <c r="D7" s="13">
        <f t="shared" si="1"/>
        <v>7250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4</v>
      </c>
      <c r="D9" s="13">
        <f t="shared" si="1"/>
        <v>2828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9</v>
      </c>
      <c r="D13" s="48">
        <f t="shared" si="1"/>
        <v>2763</v>
      </c>
      <c r="F13" s="266" t="s">
        <v>36</v>
      </c>
      <c r="G13" s="230"/>
      <c r="H13" s="221">
        <f>D29</f>
        <v>195845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44124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151721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2115</f>
        <v>2115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191">
        <v>20</v>
      </c>
      <c r="I19" s="191"/>
      <c r="J19" s="19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195845</v>
      </c>
      <c r="F29" s="138" t="s">
        <v>55</v>
      </c>
      <c r="G29" s="200"/>
      <c r="H29" s="160">
        <f>H15-H16-H17-H18-H19-H20-H22-H23-H24+H26+H27</f>
        <v>149586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17</v>
      </c>
      <c r="H34" s="182">
        <f>F34*G34</f>
        <v>17000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</v>
      </c>
      <c r="H35" s="182">
        <f t="shared" ref="H35:H39" si="2">F35*G35</f>
        <v>1500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386</v>
      </c>
      <c r="D37" s="12">
        <f>C37*111</f>
        <v>42846</v>
      </c>
      <c r="F37" s="12">
        <v>100</v>
      </c>
      <c r="G37" s="39">
        <v>9</v>
      </c>
      <c r="H37" s="182">
        <f t="shared" si="2"/>
        <v>900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155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153</v>
      </c>
      <c r="H44" s="177">
        <v>130091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90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10</v>
      </c>
      <c r="D48" s="12">
        <f>C48*78</f>
        <v>780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149696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110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44124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1671-8157-4F63-8622-2DAD671CA9C0}">
  <dimension ref="A1:S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156</v>
      </c>
      <c r="D6" s="13">
        <f t="shared" ref="D6:D28" si="1">C6*L6</f>
        <v>114972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5</v>
      </c>
      <c r="D7" s="13">
        <f t="shared" si="1"/>
        <v>3625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31</v>
      </c>
      <c r="D9" s="13">
        <f t="shared" si="1"/>
        <v>21917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3</v>
      </c>
      <c r="D10" s="13">
        <f t="shared" si="1"/>
        <v>2916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4</v>
      </c>
      <c r="D13" s="48">
        <f t="shared" si="1"/>
        <v>1228</v>
      </c>
      <c r="F13" s="266" t="s">
        <v>36</v>
      </c>
      <c r="G13" s="230"/>
      <c r="H13" s="221">
        <f>D29</f>
        <v>149746.5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19</v>
      </c>
      <c r="D14" s="31">
        <f t="shared" si="1"/>
        <v>209</v>
      </c>
      <c r="F14" s="224" t="s">
        <v>39</v>
      </c>
      <c r="G14" s="225"/>
      <c r="H14" s="226">
        <f>D54</f>
        <v>36773.25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112973.25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100" t="s">
        <v>146</v>
      </c>
      <c r="G22" s="74">
        <v>5442</v>
      </c>
      <c r="H22" s="207">
        <v>50905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123</v>
      </c>
      <c r="C25" s="10">
        <v>12</v>
      </c>
      <c r="D25" s="48">
        <f t="shared" si="1"/>
        <v>520.5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1005/24+1.5</f>
        <v>43.375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>
        <v>12</v>
      </c>
      <c r="D26" s="48">
        <f t="shared" si="1"/>
        <v>434</v>
      </c>
      <c r="F26" s="65" t="s">
        <v>155</v>
      </c>
      <c r="G26" s="60">
        <v>5406</v>
      </c>
      <c r="H26" s="212">
        <v>118325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5</v>
      </c>
      <c r="D28" s="48">
        <f t="shared" si="1"/>
        <v>3925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149746.5</v>
      </c>
      <c r="F29" s="138" t="s">
        <v>55</v>
      </c>
      <c r="G29" s="200"/>
      <c r="H29" s="160">
        <f>H15-H16-H17-H18-H19-H20-H22-H23-H24+H26+H27</f>
        <v>180393.25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152</v>
      </c>
      <c r="H34" s="182">
        <f>F34*G34</f>
        <v>152000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49</v>
      </c>
      <c r="H35" s="182">
        <f>F35*G35</f>
        <v>24500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22</v>
      </c>
      <c r="D36" s="12">
        <f>C36*1.5</f>
        <v>33</v>
      </c>
      <c r="F36" s="12">
        <v>200</v>
      </c>
      <c r="G36" s="37">
        <v>4</v>
      </c>
      <c r="H36" s="182">
        <f t="shared" ref="H36:H39" si="2">F36*G36</f>
        <v>800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302</v>
      </c>
      <c r="D37" s="12">
        <f>C37*111</f>
        <v>33522</v>
      </c>
      <c r="F37" s="12">
        <v>100</v>
      </c>
      <c r="G37" s="39">
        <v>32</v>
      </c>
      <c r="H37" s="182">
        <f t="shared" si="2"/>
        <v>3200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7</v>
      </c>
      <c r="H38" s="182">
        <f t="shared" si="2"/>
        <v>350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3</v>
      </c>
      <c r="H39" s="182">
        <f t="shared" si="2"/>
        <v>60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7</v>
      </c>
      <c r="D41" s="12">
        <f>C41*84</f>
        <v>588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7</v>
      </c>
      <c r="D42" s="12">
        <f>C42*2.25</f>
        <v>15.75</v>
      </c>
      <c r="F42" s="39" t="s">
        <v>79</v>
      </c>
      <c r="G42" s="182">
        <v>66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</v>
      </c>
      <c r="D44" s="12">
        <f>C44*120</f>
        <v>120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</v>
      </c>
      <c r="D46" s="12">
        <f>C46*1.5</f>
        <v>4.5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180976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10</v>
      </c>
      <c r="D50" s="12">
        <f>C50*1.5</f>
        <v>15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582.75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36773.25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1583-4F3E-44E2-8E8E-A8EA675AA9D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4994-A5BA-4D62-A1F7-81D3B5F5458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45903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89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H15-H16-H17-H18-H19-H20-H22-H23-H24+H26+H27+H28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82">
        <f t="shared" ref="H34:H39" si="2"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si="2"/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DD14-E563-4A92-83C3-C8D699FCDE3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ref="H35:H39" si="2"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90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0CE5-C5A5-4E7C-93C6-CC10E4052FA4}">
  <dimension ref="A1:S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121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07B4-91CF-49F9-A07B-9722810EB22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3D0E-1674-4782-8838-ED527FB2378C}">
  <dimension ref="A1:T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45904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179</v>
      </c>
      <c r="D6" s="13">
        <f t="shared" ref="D6:D28" si="1">C6*L6</f>
        <v>131923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3</v>
      </c>
      <c r="D7" s="13">
        <f t="shared" si="1"/>
        <v>2175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20</v>
      </c>
      <c r="D9" s="13">
        <f t="shared" si="1"/>
        <v>14140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3</v>
      </c>
      <c r="D12" s="48">
        <f t="shared" si="1"/>
        <v>2856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7</v>
      </c>
      <c r="D13" s="48">
        <f t="shared" si="1"/>
        <v>2149</v>
      </c>
      <c r="F13" s="266" t="s">
        <v>36</v>
      </c>
      <c r="G13" s="230"/>
      <c r="H13" s="221">
        <f>D29</f>
        <v>153915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2</v>
      </c>
      <c r="D14" s="31">
        <f t="shared" si="1"/>
        <v>22</v>
      </c>
      <c r="F14" s="224" t="s">
        <v>39</v>
      </c>
      <c r="G14" s="225"/>
      <c r="H14" s="226">
        <f>D54</f>
        <v>23154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130761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89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153915</v>
      </c>
      <c r="F29" s="138" t="s">
        <v>55</v>
      </c>
      <c r="G29" s="200"/>
      <c r="H29" s="160">
        <f>H15-H16-H17-H18-H19-H20-H22-H23-H24+H26+H27+H28</f>
        <v>130761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110</v>
      </c>
      <c r="H34" s="182">
        <f t="shared" ref="H34:H39" si="2">F34*G34</f>
        <v>110000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32</v>
      </c>
      <c r="H35" s="182">
        <f t="shared" si="2"/>
        <v>16000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189</v>
      </c>
      <c r="D37" s="12">
        <f>C37*111</f>
        <v>20979</v>
      </c>
      <c r="F37" s="12">
        <v>100</v>
      </c>
      <c r="G37" s="39">
        <v>41</v>
      </c>
      <c r="H37" s="182">
        <f t="shared" si="2"/>
        <v>4100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8</v>
      </c>
      <c r="H38" s="182">
        <f t="shared" si="2"/>
        <v>400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7</v>
      </c>
      <c r="D39" s="31">
        <f>C39*4.5</f>
        <v>31.5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14</v>
      </c>
      <c r="D42" s="12">
        <f>C42*2.25</f>
        <v>31.5</v>
      </c>
      <c r="F42" s="39" t="s">
        <v>79</v>
      </c>
      <c r="G42" s="182">
        <v>99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2</v>
      </c>
      <c r="D44" s="12">
        <f>C44*120</f>
        <v>240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2</v>
      </c>
      <c r="D45" s="12">
        <f>C45*84</f>
        <v>168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29</v>
      </c>
      <c r="D46" s="12">
        <f>C46*1.5</f>
        <v>43.5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</v>
      </c>
      <c r="D49" s="12">
        <f>C49*42</f>
        <v>84</v>
      </c>
      <c r="F49" s="158" t="s">
        <v>86</v>
      </c>
      <c r="G49" s="160">
        <f>H34+H35+H36+H37+H38+H39+H40+H41+G42+H44+H45+H46</f>
        <v>130639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31</v>
      </c>
      <c r="D50" s="12">
        <f>C50*1.5</f>
        <v>46.5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-122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23154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BB45-EA1E-42C3-BD5D-CAEE28BE0C3C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45904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190</v>
      </c>
      <c r="D6" s="13">
        <f t="shared" ref="D6:D28" si="1">C6*L6</f>
        <v>140030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2</v>
      </c>
      <c r="D7" s="13">
        <f t="shared" si="1"/>
        <v>1450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40</v>
      </c>
      <c r="D9" s="13">
        <f t="shared" si="1"/>
        <v>28280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8</v>
      </c>
      <c r="D13" s="48">
        <f t="shared" si="1"/>
        <v>2456</v>
      </c>
      <c r="F13" s="266" t="s">
        <v>36</v>
      </c>
      <c r="G13" s="230"/>
      <c r="H13" s="221">
        <f>D29</f>
        <v>173984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18</v>
      </c>
      <c r="D14" s="31">
        <f t="shared" si="1"/>
        <v>198</v>
      </c>
      <c r="F14" s="224" t="s">
        <v>39</v>
      </c>
      <c r="G14" s="225"/>
      <c r="H14" s="226">
        <f>D54</f>
        <v>22511.25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151472.75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1248</f>
        <v>1248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173984</v>
      </c>
      <c r="F29" s="138" t="s">
        <v>55</v>
      </c>
      <c r="G29" s="200"/>
      <c r="H29" s="160">
        <f>H15-H16-H17-H18-H19-H20-H22-H23-H24+H26+H27</f>
        <v>150224.75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37</v>
      </c>
      <c r="H34" s="182">
        <f>F34*G34</f>
        <v>37000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24</v>
      </c>
      <c r="H35" s="182">
        <f t="shared" ref="H35:H39" si="2">F35*G35</f>
        <v>12000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11</v>
      </c>
      <c r="D36" s="12">
        <f>C36*1.5</f>
        <v>16.5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191</v>
      </c>
      <c r="D37" s="12">
        <f>C37*111</f>
        <v>21201</v>
      </c>
      <c r="F37" s="12">
        <v>100</v>
      </c>
      <c r="G37" s="39">
        <v>9</v>
      </c>
      <c r="H37" s="182">
        <f t="shared" si="2"/>
        <v>900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</v>
      </c>
      <c r="H38" s="182">
        <f t="shared" si="2"/>
        <v>150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82">
        <f>24+1000</f>
        <v>1024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157</v>
      </c>
      <c r="H44" s="177">
        <v>97542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2</v>
      </c>
      <c r="D45" s="12">
        <f>C45*84</f>
        <v>168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10</v>
      </c>
      <c r="D46" s="12">
        <f>C46*1.5</f>
        <v>15</v>
      </c>
      <c r="F46" s="37"/>
      <c r="G46" s="90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7</v>
      </c>
      <c r="D49" s="12">
        <f>C49*42</f>
        <v>294</v>
      </c>
      <c r="F49" s="158" t="s">
        <v>86</v>
      </c>
      <c r="G49" s="160">
        <f>H34+H35+H36+H37+H38+H39+H40+H41+G42+H44+H45+H46</f>
        <v>148616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20</v>
      </c>
      <c r="D50" s="12">
        <f>C50*1.5</f>
        <v>30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-1608.75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22511.25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58A8-AD8C-44E3-8D34-8A85E2CE7BA3}">
  <dimension ref="A1:S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45904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266</v>
      </c>
      <c r="D6" s="13">
        <f t="shared" ref="D6:D28" si="1">C6*L6</f>
        <v>196042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14</v>
      </c>
      <c r="D7" s="13">
        <f t="shared" si="1"/>
        <v>10150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43</v>
      </c>
      <c r="D9" s="13">
        <f t="shared" si="1"/>
        <v>30401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111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8</v>
      </c>
      <c r="D13" s="48">
        <f t="shared" si="1"/>
        <v>2456</v>
      </c>
      <c r="F13" s="266" t="s">
        <v>36</v>
      </c>
      <c r="G13" s="230"/>
      <c r="H13" s="221">
        <f>D29</f>
        <v>241297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7</v>
      </c>
      <c r="D14" s="31">
        <f t="shared" si="1"/>
        <v>77</v>
      </c>
      <c r="F14" s="224" t="s">
        <v>39</v>
      </c>
      <c r="G14" s="225"/>
      <c r="H14" s="226">
        <f>D54</f>
        <v>16107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225190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155</v>
      </c>
      <c r="G22" s="74">
        <v>5464</v>
      </c>
      <c r="H22" s="207">
        <v>183793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>
        <v>12</v>
      </c>
      <c r="D26" s="48">
        <f t="shared" si="1"/>
        <v>434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1</v>
      </c>
      <c r="D28" s="48">
        <f t="shared" si="1"/>
        <v>785</v>
      </c>
      <c r="F28" s="9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241297</v>
      </c>
      <c r="F29" s="138" t="s">
        <v>55</v>
      </c>
      <c r="G29" s="200"/>
      <c r="H29" s="160">
        <f>H15-H16-H17-H18-H19-H20-H22-H23-H24+H26+H27</f>
        <v>41397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40</v>
      </c>
      <c r="H34" s="182">
        <f>F34*G34</f>
        <v>40000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</v>
      </c>
      <c r="H35" s="182">
        <f>F35*G35</f>
        <v>1500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126</v>
      </c>
      <c r="D37" s="12">
        <f>C37*111</f>
        <v>13986</v>
      </c>
      <c r="F37" s="12">
        <v>100</v>
      </c>
      <c r="G37" s="39">
        <v>5</v>
      </c>
      <c r="H37" s="182">
        <f t="shared" si="2"/>
        <v>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236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8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</v>
      </c>
      <c r="D44" s="12">
        <f>C44*120</f>
        <v>120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12</v>
      </c>
      <c r="D46" s="12">
        <f>C46*1.5</f>
        <v>18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42286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7</v>
      </c>
      <c r="D50" s="12">
        <f>C50*1.5</f>
        <v>10.5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889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16107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D454-4EF5-470E-970A-30DE066F877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4070-80C8-4C6B-B1AD-77B7E5DB681E}">
  <dimension ref="A1:T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45905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219</v>
      </c>
      <c r="D6" s="13">
        <f t="shared" ref="D6:D28" si="1">C6*L6</f>
        <v>161403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10</v>
      </c>
      <c r="D7" s="13">
        <f t="shared" si="1"/>
        <v>7250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71</v>
      </c>
      <c r="D9" s="13">
        <f t="shared" si="1"/>
        <v>50197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4</v>
      </c>
      <c r="D10" s="13">
        <f t="shared" si="1"/>
        <v>3888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3</v>
      </c>
      <c r="D11" s="13">
        <f t="shared" si="1"/>
        <v>3375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10</v>
      </c>
      <c r="D12" s="48">
        <f t="shared" si="1"/>
        <v>9520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14</v>
      </c>
      <c r="D13" s="48">
        <f t="shared" si="1"/>
        <v>4298</v>
      </c>
      <c r="F13" s="266" t="s">
        <v>36</v>
      </c>
      <c r="G13" s="230"/>
      <c r="H13" s="221">
        <f>D29</f>
        <v>244297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11</v>
      </c>
      <c r="D14" s="31">
        <f t="shared" si="1"/>
        <v>121</v>
      </c>
      <c r="F14" s="224" t="s">
        <v>39</v>
      </c>
      <c r="G14" s="225"/>
      <c r="H14" s="226">
        <f>D54</f>
        <v>44481.75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>
        <v>1</v>
      </c>
      <c r="D15" s="31">
        <f t="shared" si="1"/>
        <v>620</v>
      </c>
      <c r="F15" s="229" t="s">
        <v>40</v>
      </c>
      <c r="G15" s="230"/>
      <c r="H15" s="231">
        <f>H13-H14</f>
        <v>199815.25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2394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158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9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3</v>
      </c>
      <c r="D28" s="48">
        <f t="shared" si="1"/>
        <v>2355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244297</v>
      </c>
      <c r="F29" s="138" t="s">
        <v>55</v>
      </c>
      <c r="G29" s="200"/>
      <c r="H29" s="160">
        <f>H15-H16-H17-H18-H19-H20-H22-H23-H24+H26+H27+H28</f>
        <v>197421.25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155</v>
      </c>
      <c r="H34" s="182">
        <f t="shared" ref="H34:H39" si="2">F34*G34</f>
        <v>155000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78</v>
      </c>
      <c r="H35" s="182">
        <f t="shared" si="2"/>
        <v>39000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1</v>
      </c>
      <c r="H36" s="182">
        <f t="shared" si="2"/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340</v>
      </c>
      <c r="D37" s="12">
        <f>C37*111</f>
        <v>37740</v>
      </c>
      <c r="F37" s="12">
        <v>100</v>
      </c>
      <c r="G37" s="39">
        <v>26</v>
      </c>
      <c r="H37" s="182">
        <f t="shared" si="2"/>
        <v>2600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27</v>
      </c>
      <c r="D38" s="12">
        <f>C38*84</f>
        <v>2268</v>
      </c>
      <c r="F38" s="30">
        <v>50</v>
      </c>
      <c r="G38" s="39">
        <v>14</v>
      </c>
      <c r="H38" s="182">
        <f t="shared" si="2"/>
        <v>700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3</v>
      </c>
      <c r="H39" s="182">
        <f t="shared" si="2"/>
        <v>60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5</v>
      </c>
      <c r="D42" s="12">
        <f>C42*2.25</f>
        <v>11.25</v>
      </c>
      <c r="F42" s="39" t="s">
        <v>79</v>
      </c>
      <c r="G42" s="182">
        <v>176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14</v>
      </c>
      <c r="D44" s="12">
        <f>C44*120</f>
        <v>1680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30</v>
      </c>
      <c r="D46" s="12">
        <f>C46*1.5</f>
        <v>45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21</v>
      </c>
      <c r="D49" s="12">
        <f>C49*42</f>
        <v>882</v>
      </c>
      <c r="F49" s="158" t="s">
        <v>86</v>
      </c>
      <c r="G49" s="160">
        <f>H34+H35+H36+H37+H38+H39+H40+H41+G42+H44+H45+H46</f>
        <v>197736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21</v>
      </c>
      <c r="D50" s="12">
        <f>C50*1.5</f>
        <v>31.5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314.75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44481.75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6B86-3481-4369-B184-FC75D86095EB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238</v>
      </c>
      <c r="D6" s="13">
        <f t="shared" ref="D6:D28" si="1">C6*L6</f>
        <v>175406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5</v>
      </c>
      <c r="D7" s="13">
        <f t="shared" si="1"/>
        <v>3625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39</v>
      </c>
      <c r="D9" s="13">
        <f t="shared" si="1"/>
        <v>27573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>
        <v>2</v>
      </c>
      <c r="D11" s="13">
        <f t="shared" si="1"/>
        <v>2250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9</v>
      </c>
      <c r="D13" s="48">
        <f t="shared" si="1"/>
        <v>2763</v>
      </c>
      <c r="F13" s="266" t="s">
        <v>36</v>
      </c>
      <c r="G13" s="230"/>
      <c r="H13" s="221">
        <f>D29</f>
        <v>217493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44244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173249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1376+1872</f>
        <v>3248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159</v>
      </c>
      <c r="C19" s="10">
        <v>1</v>
      </c>
      <c r="D19" s="48">
        <f t="shared" si="1"/>
        <v>1102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162</v>
      </c>
      <c r="G26" s="10"/>
      <c r="H26" s="212">
        <v>73700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 t="s">
        <v>163</v>
      </c>
      <c r="G27" s="14"/>
      <c r="H27" s="215">
        <v>122895</v>
      </c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217493</v>
      </c>
      <c r="F29" s="138" t="s">
        <v>55</v>
      </c>
      <c r="G29" s="200"/>
      <c r="H29" s="160">
        <f>H15-H16-H17-H18-H19-H20-H22-H23-H24+H26+H27</f>
        <v>366596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101</v>
      </c>
      <c r="H34" s="182">
        <f>F34*G34</f>
        <v>101000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30</v>
      </c>
      <c r="H35" s="182">
        <f t="shared" ref="H35:H39" si="2">F35*G35</f>
        <v>15000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388</v>
      </c>
      <c r="D37" s="12">
        <f>C37*111</f>
        <v>43068</v>
      </c>
      <c r="F37" s="12">
        <v>100</v>
      </c>
      <c r="G37" s="39">
        <v>10</v>
      </c>
      <c r="H37" s="182">
        <f t="shared" si="2"/>
        <v>1000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7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160</v>
      </c>
      <c r="H44" s="177">
        <v>122895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 t="s">
        <v>150</v>
      </c>
      <c r="G45" s="63" t="s">
        <v>161</v>
      </c>
      <c r="H45" s="177">
        <v>126698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9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10</v>
      </c>
      <c r="D49" s="12">
        <f>C49*42</f>
        <v>420</v>
      </c>
      <c r="F49" s="158" t="s">
        <v>86</v>
      </c>
      <c r="G49" s="160">
        <f>H34+H35+H36+H37+H38+H39+H40+H41+G42+H44+H45+H46</f>
        <v>366650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16</v>
      </c>
      <c r="D50" s="12">
        <f>C50*1.5</f>
        <v>24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54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44244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9859-3C3A-4FD3-B4E7-2ACAF19A1C75}">
  <dimension ref="A1:S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293</v>
      </c>
      <c r="D6" s="13">
        <f t="shared" ref="D6:D28" si="1">C6*L6</f>
        <v>215941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3</v>
      </c>
      <c r="D7" s="13">
        <f t="shared" si="1"/>
        <v>2175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114</v>
      </c>
      <c r="D9" s="13">
        <f t="shared" si="1"/>
        <v>80598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10</v>
      </c>
      <c r="D12" s="48">
        <f t="shared" si="1"/>
        <v>9520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19</v>
      </c>
      <c r="D13" s="48">
        <f t="shared" si="1"/>
        <v>5833</v>
      </c>
      <c r="F13" s="266" t="s">
        <v>36</v>
      </c>
      <c r="G13" s="230"/>
      <c r="H13" s="221">
        <f>D29</f>
        <v>320954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17</v>
      </c>
      <c r="D14" s="31">
        <f t="shared" si="1"/>
        <v>187</v>
      </c>
      <c r="F14" s="224" t="s">
        <v>39</v>
      </c>
      <c r="G14" s="225"/>
      <c r="H14" s="226">
        <f>D54</f>
        <v>87987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232967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2112</f>
        <v>2112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>
        <v>10</v>
      </c>
      <c r="D22" s="48">
        <f t="shared" si="1"/>
        <v>6700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320954</v>
      </c>
      <c r="F29" s="138" t="s">
        <v>55</v>
      </c>
      <c r="G29" s="200"/>
      <c r="H29" s="160">
        <f>H15-H16-H17-H18-H19-H20-H22-H23-H24+H26+H27</f>
        <v>230855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</v>
      </c>
      <c r="H34" s="182">
        <f>F34*G34</f>
        <v>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4</v>
      </c>
      <c r="H35" s="182">
        <f>F35*G35</f>
        <v>2000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4</v>
      </c>
      <c r="H36" s="182">
        <f t="shared" ref="H36:H39" si="2">F36*G36</f>
        <v>800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760</v>
      </c>
      <c r="D37" s="12">
        <f>C37*111</f>
        <v>84360</v>
      </c>
      <c r="F37" s="12">
        <v>100</v>
      </c>
      <c r="G37" s="39">
        <v>20</v>
      </c>
      <c r="H37" s="182">
        <f t="shared" si="2"/>
        <v>2000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7</v>
      </c>
      <c r="H38" s="182">
        <f t="shared" si="2"/>
        <v>350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3</v>
      </c>
      <c r="H39" s="182">
        <f t="shared" si="2"/>
        <v>60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10</v>
      </c>
      <c r="D42" s="12">
        <f>C42*2.25</f>
        <v>22.5</v>
      </c>
      <c r="F42" s="39" t="s">
        <v>79</v>
      </c>
      <c r="G42" s="182">
        <v>130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4</v>
      </c>
      <c r="D44" s="12">
        <f>C44*120</f>
        <v>480</v>
      </c>
      <c r="F44" s="37" t="s">
        <v>150</v>
      </c>
      <c r="G44" s="77" t="s">
        <v>164</v>
      </c>
      <c r="H44" s="177">
        <v>224064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22</v>
      </c>
      <c r="D48" s="12">
        <f>C48*78</f>
        <v>1716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230404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18</v>
      </c>
      <c r="D50" s="12">
        <f>C50*1.5</f>
        <v>27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-451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87987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3E99-063C-485F-93BF-C0D33F870B1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7F43-64A9-45CB-BEB0-D920910144E9}">
  <dimension ref="A1:T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45906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221</v>
      </c>
      <c r="D6" s="13">
        <f t="shared" ref="D6:D28" si="1">C6*L6</f>
        <v>162877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6</v>
      </c>
      <c r="D7" s="13">
        <f t="shared" si="1"/>
        <v>4350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25</v>
      </c>
      <c r="D8" s="13">
        <f t="shared" si="1"/>
        <v>25825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11</v>
      </c>
      <c r="D9" s="13">
        <f t="shared" si="1"/>
        <v>7777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5</v>
      </c>
      <c r="D13" s="48">
        <f t="shared" si="1"/>
        <v>1535</v>
      </c>
      <c r="F13" s="266" t="s">
        <v>36</v>
      </c>
      <c r="G13" s="230"/>
      <c r="H13" s="221">
        <f>D29</f>
        <v>205759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23</v>
      </c>
      <c r="D14" s="31">
        <f t="shared" si="1"/>
        <v>253</v>
      </c>
      <c r="F14" s="224" t="s">
        <v>39</v>
      </c>
      <c r="G14" s="225"/>
      <c r="H14" s="226">
        <f>D54</f>
        <v>30394.5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175364.5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 t="s">
        <v>172</v>
      </c>
      <c r="G22" s="74">
        <v>5793</v>
      </c>
      <c r="H22" s="207">
        <v>22825</v>
      </c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 t="s">
        <v>173</v>
      </c>
      <c r="G26" s="66">
        <v>5628</v>
      </c>
      <c r="H26" s="177">
        <v>7850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9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205759</v>
      </c>
      <c r="F29" s="138" t="s">
        <v>55</v>
      </c>
      <c r="G29" s="200"/>
      <c r="H29" s="160">
        <f>H15-H16-H17-H18-H19-H20-H22-H23-H24+H26+H27+H28</f>
        <v>160389.5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55</v>
      </c>
      <c r="H34" s="182">
        <f t="shared" ref="H34:H39" si="2">F34*G34</f>
        <v>55000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70</v>
      </c>
      <c r="H35" s="182">
        <f t="shared" si="2"/>
        <v>35000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3</v>
      </c>
      <c r="D36" s="12">
        <f>C36*1.5</f>
        <v>4.5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230</v>
      </c>
      <c r="D37" s="12">
        <f>C37*111</f>
        <v>25530</v>
      </c>
      <c r="F37" s="12">
        <v>100</v>
      </c>
      <c r="G37" s="39">
        <v>36</v>
      </c>
      <c r="H37" s="182">
        <f t="shared" si="2"/>
        <v>3600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16</v>
      </c>
      <c r="H38" s="182">
        <f t="shared" si="2"/>
        <v>800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10</v>
      </c>
      <c r="D42" s="12">
        <f>C42*2.25</f>
        <v>22.5</v>
      </c>
      <c r="F42" s="39" t="s">
        <v>79</v>
      </c>
      <c r="G42" s="182">
        <v>40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27</v>
      </c>
      <c r="D44" s="12">
        <f>C44*120</f>
        <v>3240</v>
      </c>
      <c r="F44" s="37" t="s">
        <v>165</v>
      </c>
      <c r="G44" s="107" t="s">
        <v>166</v>
      </c>
      <c r="H44" s="177">
        <v>50562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 t="s">
        <v>167</v>
      </c>
      <c r="G45" s="63"/>
      <c r="H45" s="177">
        <v>15381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35</v>
      </c>
      <c r="D46" s="12">
        <f>C46*1.5</f>
        <v>52.5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160403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26</v>
      </c>
      <c r="D50" s="12">
        <f>C50*1.5</f>
        <v>39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13.5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30394.5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EDA9-C529-4285-BDED-7C8EE31A1621}">
  <dimension ref="A1:R59"/>
  <sheetViews>
    <sheetView zoomScaleNormal="100" zoomScaleSheetLayoutView="85" workbookViewId="0">
      <selection activeCell="H22" sqref="H22:J2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96</v>
      </c>
      <c r="D6" s="13">
        <f t="shared" ref="D6:D28" si="1">C6*L6</f>
        <v>70752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2</v>
      </c>
      <c r="D7" s="13">
        <f t="shared" si="1"/>
        <v>1450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>
        <v>1</v>
      </c>
      <c r="D8" s="13">
        <f t="shared" si="1"/>
        <v>1033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31</v>
      </c>
      <c r="D9" s="13">
        <f t="shared" si="1"/>
        <v>21917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7</v>
      </c>
      <c r="D13" s="48">
        <f t="shared" si="1"/>
        <v>2149</v>
      </c>
      <c r="F13" s="266" t="s">
        <v>36</v>
      </c>
      <c r="G13" s="230"/>
      <c r="H13" s="221">
        <f>D29</f>
        <v>98240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14</v>
      </c>
      <c r="D14" s="31">
        <f t="shared" si="1"/>
        <v>154</v>
      </c>
      <c r="F14" s="224" t="s">
        <v>39</v>
      </c>
      <c r="G14" s="225"/>
      <c r="H14" s="226">
        <f>D54</f>
        <v>26333.25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71906.75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171</v>
      </c>
      <c r="G22" s="74">
        <v>5675</v>
      </c>
      <c r="H22" s="207">
        <v>44220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170</v>
      </c>
      <c r="G26" s="10">
        <v>4141</v>
      </c>
      <c r="H26" s="212">
        <v>1348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08" t="s">
        <v>162</v>
      </c>
      <c r="G27" s="10">
        <v>5287</v>
      </c>
      <c r="H27" s="215">
        <v>113620</v>
      </c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1</v>
      </c>
      <c r="D28" s="48">
        <f t="shared" si="1"/>
        <v>785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98240</v>
      </c>
      <c r="F29" s="138" t="s">
        <v>55</v>
      </c>
      <c r="G29" s="200"/>
      <c r="H29" s="160">
        <f>H15-H16-H17-H18-H19-H20-H22-H23-H24+H26+H27</f>
        <v>142654.75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130</v>
      </c>
      <c r="H34" s="182">
        <f>F34*G34</f>
        <v>130000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17</v>
      </c>
      <c r="H35" s="182">
        <f t="shared" ref="H35:H39" si="2">F35*G35</f>
        <v>8500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221</v>
      </c>
      <c r="D37" s="12">
        <f>C37*111</f>
        <v>24531</v>
      </c>
      <c r="F37" s="12">
        <v>100</v>
      </c>
      <c r="G37" s="39">
        <v>37</v>
      </c>
      <c r="H37" s="182">
        <f t="shared" si="2"/>
        <v>3700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9</v>
      </c>
      <c r="H38" s="182">
        <f t="shared" si="2"/>
        <v>450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9</v>
      </c>
      <c r="D40" s="12">
        <f>C40*111</f>
        <v>999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82">
        <v>42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</v>
      </c>
      <c r="D44" s="12">
        <f>C44*120</f>
        <v>120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9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142712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11</v>
      </c>
      <c r="D50" s="12">
        <f>C50*1.5</f>
        <v>16.5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57.25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26333.25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8685-CE57-4DD4-8FF3-7183548F425E}">
  <dimension ref="A1:S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170</v>
      </c>
      <c r="D6" s="13">
        <f t="shared" ref="D6:D28" si="1">C6*L6</f>
        <v>125290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13</v>
      </c>
      <c r="D9" s="13">
        <f t="shared" si="1"/>
        <v>9191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3</v>
      </c>
      <c r="D10" s="13">
        <f t="shared" si="1"/>
        <v>2916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>
        <v>1</v>
      </c>
      <c r="D11" s="13">
        <f t="shared" si="1"/>
        <v>1125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7</v>
      </c>
      <c r="D13" s="48">
        <f t="shared" si="1"/>
        <v>2149</v>
      </c>
      <c r="F13" s="266" t="s">
        <v>36</v>
      </c>
      <c r="G13" s="230"/>
      <c r="H13" s="221">
        <f>D29</f>
        <v>155334.5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4</v>
      </c>
      <c r="D14" s="31">
        <f t="shared" si="1"/>
        <v>44</v>
      </c>
      <c r="F14" s="224" t="s">
        <v>39</v>
      </c>
      <c r="G14" s="225"/>
      <c r="H14" s="226">
        <f>D54</f>
        <v>31404.75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123929.75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721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>
        <v>10</v>
      </c>
      <c r="D20" s="13">
        <f t="shared" si="1"/>
        <v>11020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>
        <v>1</v>
      </c>
      <c r="D23" s="48">
        <f t="shared" si="1"/>
        <v>1175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123</v>
      </c>
      <c r="C25" s="10">
        <v>12</v>
      </c>
      <c r="D25" s="48">
        <f t="shared" si="1"/>
        <v>520.5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1005/24+1.5</f>
        <v>43.375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155334.5</v>
      </c>
      <c r="F29" s="138" t="s">
        <v>55</v>
      </c>
      <c r="G29" s="200"/>
      <c r="H29" s="160">
        <f>H15-H16-H17-H18-H19-H20-H22-H23-H24+H26+H27</f>
        <v>123208.75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40</v>
      </c>
      <c r="H34" s="182">
        <f>F34*G34</f>
        <v>40000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26</v>
      </c>
      <c r="H35" s="182">
        <f>F35*G35</f>
        <v>13000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272</v>
      </c>
      <c r="D37" s="12">
        <f>C37*111</f>
        <v>30192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4</v>
      </c>
      <c r="D38" s="12">
        <f>C38*84</f>
        <v>336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82">
        <v>41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168</v>
      </c>
      <c r="G44" s="77" t="s">
        <v>169</v>
      </c>
      <c r="H44" s="177">
        <v>70148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12</v>
      </c>
      <c r="D46" s="12">
        <f>C46*1.5</f>
        <v>18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4</v>
      </c>
      <c r="D49" s="12">
        <f>C49*42</f>
        <v>168</v>
      </c>
      <c r="F49" s="158" t="s">
        <v>86</v>
      </c>
      <c r="G49" s="160">
        <f>H34+H35+H36+H37+H38+H39+H40+H41+G42+H44+H45+H46</f>
        <v>123189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4</v>
      </c>
      <c r="D50" s="12">
        <f>C50*1.5</f>
        <v>6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-19.75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31404.75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6DF5-4D82-47D6-949A-6F48C3847FE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94" t="s">
        <v>2</v>
      </c>
      <c r="Q1" s="9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9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9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BE11-E684-447F-84CD-FD513E44AF08}">
  <dimension ref="A1:T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45908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12">
        <v>185</v>
      </c>
      <c r="D6" s="13">
        <f t="shared" ref="D6:D28" si="1">C6*L6</f>
        <v>136345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12">
        <v>10</v>
      </c>
      <c r="D7" s="13">
        <f t="shared" si="1"/>
        <v>7250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12">
        <v>2</v>
      </c>
      <c r="D8" s="13">
        <f t="shared" si="1"/>
        <v>2066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12">
        <v>215</v>
      </c>
      <c r="D9" s="13">
        <f t="shared" si="1"/>
        <v>152005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12">
        <v>4</v>
      </c>
      <c r="D10" s="13">
        <f t="shared" si="1"/>
        <v>3888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12">
        <v>2</v>
      </c>
      <c r="D11" s="13">
        <f t="shared" si="1"/>
        <v>2250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12">
        <v>4</v>
      </c>
      <c r="D12" s="48">
        <f t="shared" si="1"/>
        <v>3808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12">
        <v>15</v>
      </c>
      <c r="D13" s="48">
        <f t="shared" si="1"/>
        <v>4605</v>
      </c>
      <c r="F13" s="266" t="s">
        <v>36</v>
      </c>
      <c r="G13" s="230"/>
      <c r="H13" s="221">
        <f>D29</f>
        <v>328219.5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12">
        <v>3</v>
      </c>
      <c r="D14" s="31">
        <f t="shared" si="1"/>
        <v>33</v>
      </c>
      <c r="F14" s="224" t="s">
        <v>39</v>
      </c>
      <c r="G14" s="225"/>
      <c r="H14" s="226">
        <f>D54</f>
        <v>213686.25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12"/>
      <c r="D15" s="31">
        <f t="shared" si="1"/>
        <v>0</v>
      </c>
      <c r="F15" s="229" t="s">
        <v>40</v>
      </c>
      <c r="G15" s="230"/>
      <c r="H15" s="231">
        <f>H13-H14</f>
        <v>114533.25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12"/>
      <c r="D16" s="48">
        <f t="shared" si="1"/>
        <v>0</v>
      </c>
      <c r="F16" s="68" t="s">
        <v>42</v>
      </c>
      <c r="G16" s="67" t="s">
        <v>43</v>
      </c>
      <c r="H16" s="191">
        <f>1935</f>
        <v>1935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12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12">
        <v>1</v>
      </c>
      <c r="D18" s="48">
        <f t="shared" si="1"/>
        <v>620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12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12">
        <v>1</v>
      </c>
      <c r="D20" s="13">
        <f t="shared" si="1"/>
        <v>1175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12">
        <f>5+4</f>
        <v>9</v>
      </c>
      <c r="D21" s="48">
        <f t="shared" si="1"/>
        <v>5850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12"/>
      <c r="D22" s="48">
        <f t="shared" si="1"/>
        <v>0</v>
      </c>
      <c r="F22" s="78" t="s">
        <v>174</v>
      </c>
      <c r="G22" s="74">
        <v>5851</v>
      </c>
      <c r="H22" s="207">
        <v>103785</v>
      </c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12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12">
        <v>12</v>
      </c>
      <c r="D24" s="48">
        <f t="shared" si="1"/>
        <v>474.5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12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12"/>
      <c r="D26" s="48">
        <f t="shared" si="1"/>
        <v>0</v>
      </c>
      <c r="F26" s="76" t="s">
        <v>174</v>
      </c>
      <c r="G26" s="66">
        <v>5603</v>
      </c>
      <c r="H26" s="177">
        <v>84657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12"/>
      <c r="D27" s="44">
        <f t="shared" si="1"/>
        <v>0</v>
      </c>
      <c r="F27" s="72" t="s">
        <v>175</v>
      </c>
      <c r="G27" s="105">
        <v>5634</v>
      </c>
      <c r="H27" s="276">
        <v>66997</v>
      </c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12">
        <v>10</v>
      </c>
      <c r="D28" s="48">
        <f t="shared" si="1"/>
        <v>7850</v>
      </c>
      <c r="F28" s="109" t="s">
        <v>172</v>
      </c>
      <c r="G28" s="106">
        <v>5793</v>
      </c>
      <c r="H28" s="276">
        <v>22825</v>
      </c>
      <c r="I28" s="277"/>
      <c r="J28" s="277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328219.5</v>
      </c>
      <c r="F29" s="138" t="s">
        <v>55</v>
      </c>
      <c r="G29" s="200"/>
      <c r="H29" s="160">
        <f>H15-H16-H17-H18-H19-H20-H22-H23-H24+H26+H27+H28</f>
        <v>183292.25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23</v>
      </c>
      <c r="D34" s="30">
        <f>C34*120</f>
        <v>2760</v>
      </c>
      <c r="F34" s="12">
        <v>1000</v>
      </c>
      <c r="G34" s="40">
        <v>169</v>
      </c>
      <c r="H34" s="182">
        <f t="shared" ref="H34:H39" si="2">F34*G34</f>
        <v>169000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2</v>
      </c>
      <c r="D35" s="30">
        <f>C35*84</f>
        <v>168</v>
      </c>
      <c r="F35" s="59">
        <v>500</v>
      </c>
      <c r="G35" s="41">
        <v>81</v>
      </c>
      <c r="H35" s="182">
        <f t="shared" si="2"/>
        <v>40500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24</v>
      </c>
      <c r="D36" s="12">
        <f>C36*1.5</f>
        <v>36</v>
      </c>
      <c r="F36" s="12">
        <v>200</v>
      </c>
      <c r="G36" s="37">
        <v>1</v>
      </c>
      <c r="H36" s="182">
        <f t="shared" si="2"/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1765</v>
      </c>
      <c r="D37" s="12">
        <f>C37*111</f>
        <v>195915</v>
      </c>
      <c r="F37" s="12">
        <v>100</v>
      </c>
      <c r="G37" s="39">
        <v>19</v>
      </c>
      <c r="H37" s="182">
        <f t="shared" si="2"/>
        <v>1900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25</v>
      </c>
      <c r="D38" s="12">
        <f>C38*84</f>
        <v>2100</v>
      </c>
      <c r="F38" s="30">
        <v>50</v>
      </c>
      <c r="G38" s="39">
        <v>13</v>
      </c>
      <c r="H38" s="182">
        <f t="shared" si="2"/>
        <v>650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7</v>
      </c>
      <c r="D39" s="31">
        <f>C39*4.5</f>
        <v>31.5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51</v>
      </c>
      <c r="D40" s="12">
        <f>C40*111</f>
        <v>5661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5</v>
      </c>
      <c r="D41" s="12">
        <f>C41*84</f>
        <v>420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82">
        <v>172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25</v>
      </c>
      <c r="D44" s="12">
        <f>C44*120</f>
        <v>3000</v>
      </c>
      <c r="F44" s="37" t="s">
        <v>167</v>
      </c>
      <c r="G44" s="63"/>
      <c r="H44" s="177">
        <v>3900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8</v>
      </c>
      <c r="D45" s="12">
        <f>C45*84</f>
        <v>672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35</v>
      </c>
      <c r="D46" s="12">
        <f>C46*1.5</f>
        <v>52.5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24</v>
      </c>
      <c r="D48" s="12">
        <f>C48*78</f>
        <v>1872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22</v>
      </c>
      <c r="D49" s="12">
        <f>C49*42</f>
        <v>924</v>
      </c>
      <c r="F49" s="158" t="s">
        <v>86</v>
      </c>
      <c r="G49" s="160">
        <f>H34+H35+H36+H37+H38+H39+H40+H41+G42+H44+H45+H46</f>
        <v>216322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36</v>
      </c>
      <c r="D50" s="12">
        <f>C50*1.5</f>
        <v>54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33029.75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213686.25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D145-095C-42F1-BCFE-3EE31B1F78B9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45908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218</v>
      </c>
      <c r="D6" s="13">
        <f t="shared" ref="D6:D28" si="1">C6*L6</f>
        <v>160666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2</v>
      </c>
      <c r="D7" s="13">
        <f t="shared" si="1"/>
        <v>1450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21</v>
      </c>
      <c r="D9" s="13">
        <f t="shared" si="1"/>
        <v>14847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4</v>
      </c>
      <c r="D13" s="48">
        <f t="shared" si="1"/>
        <v>1228</v>
      </c>
      <c r="F13" s="266" t="s">
        <v>36</v>
      </c>
      <c r="G13" s="230"/>
      <c r="H13" s="221">
        <f>D29</f>
        <v>183431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16</v>
      </c>
      <c r="D14" s="31">
        <f t="shared" si="1"/>
        <v>176</v>
      </c>
      <c r="F14" s="224" t="s">
        <v>39</v>
      </c>
      <c r="G14" s="225"/>
      <c r="H14" s="226">
        <f>D54</f>
        <v>28174.5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155256.5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688</f>
        <v>688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4</v>
      </c>
      <c r="D28" s="48">
        <f t="shared" si="1"/>
        <v>3140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183431</v>
      </c>
      <c r="F29" s="138" t="s">
        <v>55</v>
      </c>
      <c r="G29" s="200"/>
      <c r="H29" s="160">
        <f>H15-H16-H17-H18-H19-H20-H22-H23-H24+H26+H27</f>
        <v>154568.5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126</v>
      </c>
      <c r="H34" s="182">
        <f>F34*G34</f>
        <v>126000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47</v>
      </c>
      <c r="H35" s="182">
        <f t="shared" ref="H35:H39" si="2">F35*G35</f>
        <v>23500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23</v>
      </c>
      <c r="D36" s="12">
        <f>C36*1.5</f>
        <v>34.5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241</v>
      </c>
      <c r="D37" s="12">
        <f>C37*111</f>
        <v>26751</v>
      </c>
      <c r="F37" s="12">
        <v>100</v>
      </c>
      <c r="G37" s="39">
        <v>6</v>
      </c>
      <c r="H37" s="182">
        <f t="shared" si="2"/>
        <v>600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3</v>
      </c>
      <c r="H38" s="182">
        <f t="shared" si="2"/>
        <v>150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12</v>
      </c>
      <c r="D42" s="12">
        <f>C42*2.25</f>
        <v>27</v>
      </c>
      <c r="F42" s="39" t="s">
        <v>79</v>
      </c>
      <c r="G42" s="182">
        <v>2948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2</v>
      </c>
      <c r="D44" s="12">
        <f>C44*120</f>
        <v>240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04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</v>
      </c>
      <c r="D49" s="12">
        <f>C49*42</f>
        <v>84</v>
      </c>
      <c r="F49" s="158" t="s">
        <v>86</v>
      </c>
      <c r="G49" s="160">
        <f>H34+H35+H36+H37+H38+H39+H40+H41+G42+H44+H45+H46</f>
        <v>153198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-1370.5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28174.5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0B82-7E22-499A-9E13-29A500850324}">
  <dimension ref="A1:S59"/>
  <sheetViews>
    <sheetView topLeftCell="A22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45908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242</v>
      </c>
      <c r="D6" s="13">
        <f t="shared" ref="D6:D28" si="1">C6*L6</f>
        <v>178354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6</v>
      </c>
      <c r="D7" s="13">
        <f t="shared" si="1"/>
        <v>4350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10</v>
      </c>
      <c r="D9" s="13">
        <f t="shared" si="1"/>
        <v>7070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9</v>
      </c>
      <c r="D13" s="48">
        <f t="shared" si="1"/>
        <v>2763</v>
      </c>
      <c r="F13" s="266" t="s">
        <v>36</v>
      </c>
      <c r="G13" s="230"/>
      <c r="H13" s="221">
        <f>D29</f>
        <v>195312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23</v>
      </c>
      <c r="D14" s="31">
        <f t="shared" si="1"/>
        <v>253</v>
      </c>
      <c r="F14" s="224" t="s">
        <v>39</v>
      </c>
      <c r="G14" s="225"/>
      <c r="H14" s="226">
        <f>D54</f>
        <v>73222.5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122089.5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498+312</f>
        <v>810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78">
        <v>50</v>
      </c>
      <c r="I19" s="278"/>
      <c r="J19" s="27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111" t="s">
        <v>176</v>
      </c>
      <c r="G22" s="74">
        <v>5476</v>
      </c>
      <c r="H22" s="207">
        <v>67913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110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195312</v>
      </c>
      <c r="F29" s="138" t="s">
        <v>55</v>
      </c>
      <c r="G29" s="200"/>
      <c r="H29" s="160">
        <f>H15-H16-H17-H18-H19-H20-H22-H23-H24+H26+H27</f>
        <v>53316.5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36</v>
      </c>
      <c r="H34" s="182">
        <f>F34*G34</f>
        <v>36000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24</v>
      </c>
      <c r="H35" s="182">
        <f>F35*G35</f>
        <v>12000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82">
        <f t="shared" ref="H36:H39" si="2">F36*G36</f>
        <v>400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642</v>
      </c>
      <c r="D37" s="12">
        <f>C37*111</f>
        <v>71262</v>
      </c>
      <c r="F37" s="12">
        <v>100</v>
      </c>
      <c r="G37" s="39">
        <v>45</v>
      </c>
      <c r="H37" s="182">
        <f t="shared" si="2"/>
        <v>4500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>
        <v>2</v>
      </c>
      <c r="H38" s="182">
        <f t="shared" si="2"/>
        <v>100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9</v>
      </c>
      <c r="D40" s="12">
        <f>C40*111</f>
        <v>999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55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</v>
      </c>
      <c r="D44" s="12">
        <f>C44*120</f>
        <v>120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6</v>
      </c>
      <c r="D49" s="12">
        <f>C49*42</f>
        <v>252</v>
      </c>
      <c r="F49" s="158" t="s">
        <v>86</v>
      </c>
      <c r="G49" s="160">
        <f>H34+H35+H36+H37+H38+H39+H40+H41+G42+H44+H45+H46</f>
        <v>53055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7</v>
      </c>
      <c r="D50" s="12">
        <f>C50*1.5</f>
        <v>10.5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-261.5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73222.5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85FF-6699-408A-A28F-9D818940552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BEAF-0800-4B10-9943-53707767FAEF}">
  <dimension ref="A1:T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45909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239</v>
      </c>
      <c r="D6" s="13">
        <f t="shared" ref="D6:D28" si="1">C6*L6</f>
        <v>176143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2</v>
      </c>
      <c r="D7" s="13">
        <f t="shared" si="1"/>
        <v>1450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5</v>
      </c>
      <c r="D13" s="48">
        <f t="shared" si="1"/>
        <v>1535</v>
      </c>
      <c r="F13" s="266" t="s">
        <v>36</v>
      </c>
      <c r="G13" s="230"/>
      <c r="H13" s="221">
        <f>D29</f>
        <v>179161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3</v>
      </c>
      <c r="D14" s="31">
        <f t="shared" si="1"/>
        <v>33</v>
      </c>
      <c r="F14" s="224" t="s">
        <v>39</v>
      </c>
      <c r="G14" s="225"/>
      <c r="H14" s="226">
        <f>D54</f>
        <v>106446.75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72714.25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1989</f>
        <v>1989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 t="s">
        <v>175</v>
      </c>
      <c r="G26" s="66">
        <v>5634</v>
      </c>
      <c r="H26" s="177">
        <v>62600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05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179161</v>
      </c>
      <c r="F29" s="138" t="s">
        <v>55</v>
      </c>
      <c r="G29" s="200"/>
      <c r="H29" s="160">
        <f>H15-H16-H17-H18-H19-H20-H22-H23-H24+H26+H27+H28</f>
        <v>133325.25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56</v>
      </c>
      <c r="H34" s="182">
        <f t="shared" ref="H34:H39" si="2">F34*G34</f>
        <v>56000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28</v>
      </c>
      <c r="H35" s="182">
        <f t="shared" si="2"/>
        <v>14000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940</v>
      </c>
      <c r="D37" s="12">
        <f>C37*111</f>
        <v>104340</v>
      </c>
      <c r="F37" s="12">
        <v>100</v>
      </c>
      <c r="G37" s="39">
        <v>34</v>
      </c>
      <c r="H37" s="182">
        <f t="shared" si="2"/>
        <v>3400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12</v>
      </c>
      <c r="H38" s="182">
        <f t="shared" si="2"/>
        <v>600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7</v>
      </c>
      <c r="D42" s="12">
        <f>C42*2.25</f>
        <v>15.75</v>
      </c>
      <c r="F42" s="39" t="s">
        <v>79</v>
      </c>
      <c r="G42" s="182">
        <v>6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177</v>
      </c>
      <c r="H44" s="177">
        <v>63815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 t="s">
        <v>167</v>
      </c>
      <c r="G45" s="63"/>
      <c r="H45" s="177">
        <v>1300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24</v>
      </c>
      <c r="D49" s="12">
        <f>C49*42</f>
        <v>1008</v>
      </c>
      <c r="F49" s="158" t="s">
        <v>86</v>
      </c>
      <c r="G49" s="160">
        <f>H34+H35+H36+H37+H38+H39+H40+H41+G42+H44+H45+H46</f>
        <v>139121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3</v>
      </c>
      <c r="D50" s="12">
        <f>C50*1.5</f>
        <v>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5795.75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106446.75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39B2-A00E-469D-ABF8-876009406C29}">
  <dimension ref="A1:R59"/>
  <sheetViews>
    <sheetView topLeftCell="A25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45909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192</v>
      </c>
      <c r="D6" s="13">
        <f t="shared" ref="D6:D28" si="1">C6*L6</f>
        <v>141504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7</v>
      </c>
      <c r="D7" s="13">
        <f t="shared" si="1"/>
        <v>5075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26</v>
      </c>
      <c r="D9" s="13">
        <f t="shared" si="1"/>
        <v>18382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>
        <v>2</v>
      </c>
      <c r="D10" s="13">
        <f t="shared" si="1"/>
        <v>1944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8</v>
      </c>
      <c r="D13" s="48">
        <f t="shared" si="1"/>
        <v>2456</v>
      </c>
      <c r="F13" s="266" t="s">
        <v>36</v>
      </c>
      <c r="G13" s="230"/>
      <c r="H13" s="221">
        <f>D29</f>
        <v>171501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20</v>
      </c>
      <c r="D14" s="31">
        <f t="shared" si="1"/>
        <v>220</v>
      </c>
      <c r="F14" s="224" t="s">
        <v>39</v>
      </c>
      <c r="G14" s="225"/>
      <c r="H14" s="226">
        <f>D54</f>
        <v>22729.5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148771.5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1845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2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171501</v>
      </c>
      <c r="F29" s="138" t="s">
        <v>55</v>
      </c>
      <c r="G29" s="200"/>
      <c r="H29" s="160">
        <f>H15-H16-H17-H18-H19-H20-H22-H23-H24+H26+H27</f>
        <v>146926.5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15</v>
      </c>
      <c r="H34" s="182">
        <f>F34*G34</f>
        <v>15000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</v>
      </c>
      <c r="H35" s="182">
        <f t="shared" ref="H35:H39" si="2">F35*G35</f>
        <v>1500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194</v>
      </c>
      <c r="D37" s="12">
        <f>C37*111</f>
        <v>21534</v>
      </c>
      <c r="F37" s="12">
        <v>100</v>
      </c>
      <c r="G37" s="39">
        <v>15</v>
      </c>
      <c r="H37" s="182">
        <f t="shared" si="2"/>
        <v>1500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16</v>
      </c>
      <c r="H38" s="182">
        <f t="shared" si="2"/>
        <v>800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8</v>
      </c>
      <c r="D39" s="31">
        <f>C39*4.5</f>
        <v>36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12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179</v>
      </c>
      <c r="H44" s="177">
        <v>127949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04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11</v>
      </c>
      <c r="D49" s="12">
        <f>C49*42</f>
        <v>462</v>
      </c>
      <c r="F49" s="158" t="s">
        <v>86</v>
      </c>
      <c r="G49" s="160">
        <f>H34+H35+H36+H37+H38+H39+H40+H41+G42+H44+H45+H46</f>
        <v>146801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34</v>
      </c>
      <c r="D50" s="12">
        <f>C50*1.5</f>
        <v>51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-125.5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22729.5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DC02-241A-4E8C-96AB-C97982587379}">
  <dimension ref="A1:S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45909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185</v>
      </c>
      <c r="D6" s="13">
        <f t="shared" ref="D6:D28" si="1">C6*L6</f>
        <v>136345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4</v>
      </c>
      <c r="D7" s="13">
        <f t="shared" si="1"/>
        <v>2900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9</v>
      </c>
      <c r="D9" s="13">
        <f t="shared" si="1"/>
        <v>6363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9</v>
      </c>
      <c r="D13" s="48">
        <f t="shared" si="1"/>
        <v>2763</v>
      </c>
      <c r="F13" s="266" t="s">
        <v>36</v>
      </c>
      <c r="G13" s="230"/>
      <c r="H13" s="221">
        <f>D29</f>
        <v>149387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4</v>
      </c>
      <c r="D14" s="31">
        <f t="shared" si="1"/>
        <v>44</v>
      </c>
      <c r="F14" s="224" t="s">
        <v>39</v>
      </c>
      <c r="G14" s="225"/>
      <c r="H14" s="226">
        <f>D54</f>
        <v>64248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85139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936+336</f>
        <v>1272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178</v>
      </c>
      <c r="G26" s="60">
        <v>5459</v>
      </c>
      <c r="H26" s="212">
        <v>229115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13" t="s">
        <v>146</v>
      </c>
      <c r="G27" s="81"/>
      <c r="H27" s="215">
        <v>50905</v>
      </c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149387</v>
      </c>
      <c r="F29" s="138" t="s">
        <v>55</v>
      </c>
      <c r="G29" s="200"/>
      <c r="H29" s="160">
        <f>H15-H16-H17-H18-H19-H20-H22-H23-H24+H26+H27</f>
        <v>363887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75">
        <v>295</v>
      </c>
      <c r="H34" s="182">
        <f>F34*G34</f>
        <v>295000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135</v>
      </c>
      <c r="H35" s="182">
        <f>F35*G35</f>
        <v>67500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22</v>
      </c>
      <c r="D36" s="12">
        <f>C36*1.5</f>
        <v>33</v>
      </c>
      <c r="F36" s="12">
        <v>200</v>
      </c>
      <c r="G36" s="37">
        <v>1</v>
      </c>
      <c r="H36" s="182">
        <f t="shared" ref="H36:H39" si="2">F36*G36</f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539</v>
      </c>
      <c r="D37" s="12">
        <f>C37*111</f>
        <v>59829</v>
      </c>
      <c r="F37" s="12">
        <v>100</v>
      </c>
      <c r="G37" s="39">
        <v>8</v>
      </c>
      <c r="H37" s="182">
        <f t="shared" si="2"/>
        <v>800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7</v>
      </c>
      <c r="H38" s="182">
        <f t="shared" si="2"/>
        <v>350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19</v>
      </c>
      <c r="D40" s="12">
        <f>C40*111</f>
        <v>2109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12</v>
      </c>
      <c r="D42" s="12">
        <f>C42*2.25</f>
        <v>27</v>
      </c>
      <c r="F42" s="39" t="s">
        <v>79</v>
      </c>
      <c r="G42" s="182">
        <v>34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2</v>
      </c>
      <c r="D44" s="12">
        <f>C44*120</f>
        <v>240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</v>
      </c>
      <c r="D46" s="12">
        <f>C46*1.5</f>
        <v>1.5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8</v>
      </c>
      <c r="D49" s="12">
        <f>C49*42</f>
        <v>336</v>
      </c>
      <c r="F49" s="158" t="s">
        <v>86</v>
      </c>
      <c r="G49" s="160">
        <f>H34+H35+H36+H37+H38+H39+H40+H41+G42+H44+H45+H46</f>
        <v>363924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12</v>
      </c>
      <c r="D50" s="12">
        <f>C50*1.5</f>
        <v>18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37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64248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2C26-CC84-4031-BD07-24F3F45261E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5338-C621-432E-8D04-C17EE7CA9085}">
  <dimension ref="A1:T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224</v>
      </c>
      <c r="D6" s="13">
        <f t="shared" ref="D6:D28" si="1">C6*L6</f>
        <v>165088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5</v>
      </c>
      <c r="D7" s="13">
        <f t="shared" si="1"/>
        <v>3625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3</v>
      </c>
      <c r="D9" s="13">
        <f t="shared" si="1"/>
        <v>2121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9</v>
      </c>
      <c r="D13" s="48">
        <f t="shared" si="1"/>
        <v>2763</v>
      </c>
      <c r="F13" s="266" t="s">
        <v>36</v>
      </c>
      <c r="G13" s="230"/>
      <c r="H13" s="221">
        <f>D29</f>
        <v>179452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16</v>
      </c>
      <c r="D14" s="31">
        <f t="shared" si="1"/>
        <v>176</v>
      </c>
      <c r="F14" s="224" t="s">
        <v>39</v>
      </c>
      <c r="G14" s="225"/>
      <c r="H14" s="226">
        <f>D54</f>
        <v>28681.5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150770.5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896+840</f>
        <v>1736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1+3</f>
        <v>4</v>
      </c>
      <c r="D21" s="48">
        <f t="shared" si="1"/>
        <v>2600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05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179452</v>
      </c>
      <c r="F29" s="138" t="s">
        <v>55</v>
      </c>
      <c r="G29" s="200"/>
      <c r="H29" s="160">
        <f>H15-H16-H17-H18-H19-H20-H22-H23-H24+H26+H27+H28</f>
        <v>149034.5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132</v>
      </c>
      <c r="H34" s="182">
        <f t="shared" ref="H34:H39" si="2">F34*G34</f>
        <v>132000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12</v>
      </c>
      <c r="H35" s="182">
        <f t="shared" si="2"/>
        <v>6000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82">
        <f t="shared" si="2"/>
        <v>400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251</v>
      </c>
      <c r="D37" s="12">
        <f>C37*111</f>
        <v>27861</v>
      </c>
      <c r="F37" s="12">
        <v>100</v>
      </c>
      <c r="G37" s="39">
        <v>55</v>
      </c>
      <c r="H37" s="182">
        <f t="shared" si="2"/>
        <v>5500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8</v>
      </c>
      <c r="H38" s="182">
        <f t="shared" si="2"/>
        <v>400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95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</v>
      </c>
      <c r="D46" s="12">
        <f>C46*1.5</f>
        <v>4.5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4</v>
      </c>
      <c r="D49" s="12">
        <f>C49*42</f>
        <v>168</v>
      </c>
      <c r="F49" s="158" t="s">
        <v>86</v>
      </c>
      <c r="G49" s="160">
        <f>H34+H35+H36+H37+H38+H39+H40+H41+G42+H44+H45+H46</f>
        <v>144395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5</v>
      </c>
      <c r="D50" s="12">
        <f>C50*1.5</f>
        <v>7.5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-4639.5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28681.5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B3FC-4BB1-46A4-9800-AFD134D231B1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212</v>
      </c>
      <c r="D6" s="13">
        <f t="shared" ref="D6:D28" si="1">C6*L6</f>
        <v>156244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1</v>
      </c>
      <c r="D7" s="13">
        <f t="shared" si="1"/>
        <v>725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1</v>
      </c>
      <c r="D9" s="13">
        <f t="shared" si="1"/>
        <v>707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10</v>
      </c>
      <c r="D13" s="48">
        <f t="shared" si="1"/>
        <v>3070</v>
      </c>
      <c r="F13" s="266" t="s">
        <v>36</v>
      </c>
      <c r="G13" s="230"/>
      <c r="H13" s="221">
        <f>D29</f>
        <v>164455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15850.5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148604.5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2151</f>
        <v>2151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>
        <v>1</v>
      </c>
      <c r="D19" s="48">
        <f t="shared" si="1"/>
        <v>1102</v>
      </c>
      <c r="F19" s="57"/>
      <c r="G19" s="69" t="s">
        <v>50</v>
      </c>
      <c r="H19" s="191">
        <v>50</v>
      </c>
      <c r="I19" s="191"/>
      <c r="J19" s="19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>
        <v>1</v>
      </c>
      <c r="D20" s="13">
        <f t="shared" si="1"/>
        <v>1175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180</v>
      </c>
      <c r="G26" s="10">
        <v>4379</v>
      </c>
      <c r="H26" s="212">
        <v>3925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164455</v>
      </c>
      <c r="F29" s="138" t="s">
        <v>55</v>
      </c>
      <c r="G29" s="200"/>
      <c r="H29" s="160">
        <f>H15-H16-H17-H18-H19-H20-H22-H23-H24+H26+H27</f>
        <v>150328.5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133</v>
      </c>
      <c r="H34" s="182">
        <f>F34*G34</f>
        <v>133000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36</v>
      </c>
      <c r="H35" s="182">
        <f t="shared" ref="H35:H39" si="2">F35*G35</f>
        <v>18000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138</v>
      </c>
      <c r="D37" s="12">
        <f>C37*111</f>
        <v>15318</v>
      </c>
      <c r="F37" s="12">
        <v>100</v>
      </c>
      <c r="G37" s="39">
        <v>8</v>
      </c>
      <c r="H37" s="182">
        <f t="shared" si="2"/>
        <v>800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9</v>
      </c>
      <c r="H38" s="182">
        <f t="shared" si="2"/>
        <v>450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62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04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5</v>
      </c>
      <c r="D49" s="12">
        <f>C49*42</f>
        <v>210</v>
      </c>
      <c r="F49" s="158" t="s">
        <v>86</v>
      </c>
      <c r="G49" s="160">
        <f>H34+H35+H36+H37+H38+H39+H40+H41+G42+H44+H45+H46</f>
        <v>152332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14</v>
      </c>
      <c r="D50" s="12">
        <f>C50*1.5</f>
        <v>21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2003.5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15850.5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3819-255A-4F9C-B1BE-CE91A8B622FD}">
  <dimension ref="A1:S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185</v>
      </c>
      <c r="D6" s="13">
        <f t="shared" ref="D6:D28" si="1">C6*L6</f>
        <v>136345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12</v>
      </c>
      <c r="D7" s="13">
        <f t="shared" si="1"/>
        <v>8700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>
        <v>1</v>
      </c>
      <c r="D8" s="13">
        <f t="shared" si="1"/>
        <v>1033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49</v>
      </c>
      <c r="D9" s="13">
        <f t="shared" si="1"/>
        <v>34643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4</v>
      </c>
      <c r="D12" s="48">
        <f t="shared" si="1"/>
        <v>3808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5</v>
      </c>
      <c r="D13" s="48">
        <f t="shared" si="1"/>
        <v>1535</v>
      </c>
      <c r="F13" s="266" t="s">
        <v>36</v>
      </c>
      <c r="G13" s="230"/>
      <c r="H13" s="221">
        <f>D29</f>
        <v>192421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102906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89515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78">
        <v>50</v>
      </c>
      <c r="I19" s="278"/>
      <c r="J19" s="27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149</v>
      </c>
      <c r="C21" s="10">
        <f>3+1+1</f>
        <v>5</v>
      </c>
      <c r="D21" s="48">
        <f t="shared" si="1"/>
        <v>3250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100" t="s">
        <v>146</v>
      </c>
      <c r="G22" s="74">
        <v>5486</v>
      </c>
      <c r="H22" s="207">
        <v>85740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155</v>
      </c>
      <c r="G26" s="60">
        <v>5464</v>
      </c>
      <c r="H26" s="212">
        <v>183793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3</v>
      </c>
      <c r="D28" s="48">
        <f t="shared" si="1"/>
        <v>2355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192421</v>
      </c>
      <c r="F29" s="138" t="s">
        <v>55</v>
      </c>
      <c r="G29" s="200"/>
      <c r="H29" s="160">
        <f>H15-H16-H17-H18-H19-H20-H22-H23-H24+H26+H27</f>
        <v>187518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115</v>
      </c>
      <c r="H34" s="182">
        <f>F34*G34</f>
        <v>115000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103</v>
      </c>
      <c r="H35" s="182">
        <f>F35*G35</f>
        <v>51500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6</v>
      </c>
      <c r="H36" s="182">
        <f t="shared" ref="H36:H39" si="2">F36*G36</f>
        <v>1200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898</v>
      </c>
      <c r="D37" s="12">
        <f>C37*111</f>
        <v>99678</v>
      </c>
      <c r="F37" s="12">
        <v>100</v>
      </c>
      <c r="G37" s="39">
        <v>185</v>
      </c>
      <c r="H37" s="182">
        <f t="shared" si="2"/>
        <v>18500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23</v>
      </c>
      <c r="H38" s="182">
        <f t="shared" si="2"/>
        <v>1150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10</v>
      </c>
      <c r="D42" s="12">
        <f>C42*2.25</f>
        <v>22.5</v>
      </c>
      <c r="F42" s="39" t="s">
        <v>79</v>
      </c>
      <c r="G42" s="182">
        <v>52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2</v>
      </c>
      <c r="D44" s="12">
        <f>C44*120</f>
        <v>240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6</v>
      </c>
      <c r="D45" s="12">
        <f>C45*84</f>
        <v>504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12</v>
      </c>
      <c r="D46" s="12">
        <f>C46*1.5</f>
        <v>18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187402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39</v>
      </c>
      <c r="D50" s="12">
        <f>C50*1.5</f>
        <v>58.5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-116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102906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267D-9D28-4850-96DA-812CD6E55A1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E0AA-B404-4D55-8A17-506D07ABE8C8}">
  <dimension ref="A1:T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45911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05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H15-H16-H17-H18-H19-H20-H22-H23-H24+H26+H27+H28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82">
        <f t="shared" ref="H34:H39" si="2"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si="2"/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B121-269C-4D10-B552-A18D7E8CED0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45911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ref="H35:H39" si="2"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04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A4AB-B7D6-4D21-B541-0ED5A5B0F39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45911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121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7350-ADD5-45BF-BD20-4FBE9C4555A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0F99-49F0-429E-9E5B-5BD2114373CA}">
  <dimension ref="A1:T59"/>
  <sheetViews>
    <sheetView topLeftCell="B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141</v>
      </c>
      <c r="D6" s="13">
        <f t="shared" ref="D6:D28" si="1">C6*L6</f>
        <v>103917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10</v>
      </c>
      <c r="D7" s="13">
        <f t="shared" si="1"/>
        <v>7250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17</v>
      </c>
      <c r="D8" s="13">
        <f t="shared" si="1"/>
        <v>17561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23</v>
      </c>
      <c r="D9" s="13">
        <f t="shared" si="1"/>
        <v>16261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12</v>
      </c>
      <c r="D13" s="48">
        <f t="shared" si="1"/>
        <v>3684</v>
      </c>
      <c r="F13" s="266" t="s">
        <v>36</v>
      </c>
      <c r="G13" s="230"/>
      <c r="H13" s="221">
        <f>D29</f>
        <v>151099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14</v>
      </c>
      <c r="D14" s="31">
        <f t="shared" si="1"/>
        <v>154</v>
      </c>
      <c r="F14" s="224" t="s">
        <v>39</v>
      </c>
      <c r="G14" s="225"/>
      <c r="H14" s="226">
        <f>D54</f>
        <v>24846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126253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 t="s">
        <v>172</v>
      </c>
      <c r="G22" s="74">
        <v>5891</v>
      </c>
      <c r="H22" s="207">
        <v>15521</v>
      </c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 t="s">
        <v>175</v>
      </c>
      <c r="G26" s="66">
        <v>5634</v>
      </c>
      <c r="H26" s="177">
        <v>57723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05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151099</v>
      </c>
      <c r="F29" s="138" t="s">
        <v>55</v>
      </c>
      <c r="G29" s="200"/>
      <c r="H29" s="160">
        <f>H15-H16-H17-H18-H19-H20-H22-H23-H24+H26+H27+H28</f>
        <v>168455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138</v>
      </c>
      <c r="H34" s="182">
        <f t="shared" ref="H34:H39" si="2">F34*G34</f>
        <v>138000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19</v>
      </c>
      <c r="H35" s="182">
        <f t="shared" si="2"/>
        <v>9500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23</v>
      </c>
      <c r="D36" s="12">
        <f>C36*1.5</f>
        <v>34.5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170</v>
      </c>
      <c r="D37" s="12">
        <f>C37*111</f>
        <v>18870</v>
      </c>
      <c r="F37" s="12">
        <v>100</v>
      </c>
      <c r="G37" s="39">
        <v>77</v>
      </c>
      <c r="H37" s="182">
        <f t="shared" si="2"/>
        <v>7700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19</v>
      </c>
      <c r="D38" s="12">
        <f>C38*84</f>
        <v>1596</v>
      </c>
      <c r="F38" s="30">
        <v>50</v>
      </c>
      <c r="G38" s="39">
        <v>8</v>
      </c>
      <c r="H38" s="182">
        <f t="shared" si="2"/>
        <v>400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7</v>
      </c>
      <c r="D41" s="12">
        <f>C41*84</f>
        <v>588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4</v>
      </c>
      <c r="D42" s="12">
        <f>C42*2.25</f>
        <v>9</v>
      </c>
      <c r="F42" s="39" t="s">
        <v>79</v>
      </c>
      <c r="G42" s="182">
        <v>513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17</v>
      </c>
      <c r="D44" s="12">
        <f>C44*120</f>
        <v>2040</v>
      </c>
      <c r="F44" s="37" t="s">
        <v>167</v>
      </c>
      <c r="G44" s="63"/>
      <c r="H44" s="177">
        <v>12299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7</v>
      </c>
      <c r="D46" s="12">
        <f>C46*1.5</f>
        <v>10.5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168452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8</v>
      </c>
      <c r="D50" s="12">
        <f>C50*1.5</f>
        <v>12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182</v>
      </c>
      <c r="G51" s="268">
        <f>G49-H29</f>
        <v>-3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24846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DE57-DDD7-4507-90D9-56695742B6D6}">
  <dimension ref="A1:R59"/>
  <sheetViews>
    <sheetView tabSelected="1" topLeftCell="A22" zoomScaleNormal="100" zoomScaleSheetLayoutView="85" workbookViewId="0">
      <selection activeCell="H40" sqref="H40:J40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216</v>
      </c>
      <c r="D6" s="13">
        <f t="shared" ref="D6:D28" si="1">C6*L6</f>
        <v>159192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6</v>
      </c>
      <c r="D7" s="13">
        <f t="shared" si="1"/>
        <v>4350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33</v>
      </c>
      <c r="D9" s="13">
        <f t="shared" si="1"/>
        <v>23331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8</v>
      </c>
      <c r="D13" s="48">
        <f t="shared" si="1"/>
        <v>2456</v>
      </c>
      <c r="F13" s="266" t="s">
        <v>36</v>
      </c>
      <c r="G13" s="230"/>
      <c r="H13" s="221">
        <f>D29</f>
        <v>191020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11</v>
      </c>
      <c r="D14" s="31">
        <f t="shared" si="1"/>
        <v>121</v>
      </c>
      <c r="F14" s="224" t="s">
        <v>39</v>
      </c>
      <c r="G14" s="225"/>
      <c r="H14" s="226">
        <f>D54</f>
        <v>29871.75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161148.25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752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110" t="s">
        <v>181</v>
      </c>
      <c r="G26" s="10">
        <v>5675</v>
      </c>
      <c r="H26" s="212">
        <v>44220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191020</v>
      </c>
      <c r="F29" s="138" t="s">
        <v>55</v>
      </c>
      <c r="G29" s="200"/>
      <c r="H29" s="160">
        <f>H15-H16-H17-H18-H19-H20-H22-H23-H24+H26+H27</f>
        <v>204616.25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181</v>
      </c>
      <c r="H34" s="182">
        <f>F34*G34</f>
        <v>181000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42</v>
      </c>
      <c r="H35" s="182">
        <f t="shared" ref="H35:H39" si="2">F35*G35</f>
        <v>21000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258</v>
      </c>
      <c r="D37" s="12">
        <f>C37*111</f>
        <v>28638</v>
      </c>
      <c r="F37" s="12">
        <v>100</v>
      </c>
      <c r="G37" s="39">
        <v>12</v>
      </c>
      <c r="H37" s="182">
        <f t="shared" si="2"/>
        <v>1200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>
        <v>8</v>
      </c>
      <c r="H38" s="182">
        <f t="shared" si="2"/>
        <v>400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</v>
      </c>
      <c r="D42" s="12">
        <f>C42*2.25</f>
        <v>2.25</v>
      </c>
      <c r="F42" s="39" t="s">
        <v>79</v>
      </c>
      <c r="G42" s="182">
        <v>1035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04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4</v>
      </c>
      <c r="D49" s="12">
        <f>C49*42</f>
        <v>168</v>
      </c>
      <c r="F49" s="158" t="s">
        <v>86</v>
      </c>
      <c r="G49" s="160">
        <f>H34+H35+H36+H37+H38+H39+H40+H41+G42+H44+H45+H46</f>
        <v>204675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</v>
      </c>
      <c r="D50" s="12">
        <f>C50*1.5</f>
        <v>1.5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58.75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29871.75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60CD-E84B-4754-B2B5-869AF0838EAF}">
  <dimension ref="A1:S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356</v>
      </c>
      <c r="D6" s="13">
        <f t="shared" ref="D6:D28" si="1">C6*L6</f>
        <v>262372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17</v>
      </c>
      <c r="D7" s="13">
        <f t="shared" si="1"/>
        <v>12325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81</v>
      </c>
      <c r="D9" s="13">
        <f t="shared" si="1"/>
        <v>57267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10</v>
      </c>
      <c r="D13" s="48">
        <f t="shared" si="1"/>
        <v>3070</v>
      </c>
      <c r="F13" s="266" t="s">
        <v>36</v>
      </c>
      <c r="G13" s="230"/>
      <c r="H13" s="221">
        <f>D29</f>
        <v>342939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5</v>
      </c>
      <c r="D14" s="31">
        <f t="shared" si="1"/>
        <v>55</v>
      </c>
      <c r="F14" s="224" t="s">
        <v>39</v>
      </c>
      <c r="G14" s="225"/>
      <c r="H14" s="226">
        <f>D54</f>
        <v>30052.5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312886.5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600+318</f>
        <v>918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155</v>
      </c>
      <c r="G22" s="74">
        <v>5493</v>
      </c>
      <c r="H22" s="207">
        <v>298833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10</v>
      </c>
      <c r="D28" s="48">
        <f t="shared" si="1"/>
        <v>7850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342939</v>
      </c>
      <c r="F29" s="138" t="s">
        <v>55</v>
      </c>
      <c r="G29" s="200"/>
      <c r="H29" s="160">
        <f>H15-H16-H17-H18-H19-H20-H22-H23-H24+H26+H27</f>
        <v>13135.5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9</v>
      </c>
      <c r="H34" s="182">
        <f>F34*G34</f>
        <v>9000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7</v>
      </c>
      <c r="H35" s="182">
        <f>F35*G35</f>
        <v>3500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261</v>
      </c>
      <c r="D37" s="12">
        <f>C37*111</f>
        <v>28971</v>
      </c>
      <c r="F37" s="12">
        <v>100</v>
      </c>
      <c r="G37" s="39">
        <v>5</v>
      </c>
      <c r="H37" s="182">
        <f t="shared" si="2"/>
        <v>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10</v>
      </c>
      <c r="D42" s="12">
        <f>C42*2.25</f>
        <v>22.5</v>
      </c>
      <c r="F42" s="39" t="s">
        <v>79</v>
      </c>
      <c r="G42" s="182">
        <v>79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</v>
      </c>
      <c r="D46" s="12">
        <f>C46*1.5</f>
        <v>4.5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6</v>
      </c>
      <c r="D49" s="12">
        <f>C49*42</f>
        <v>252</v>
      </c>
      <c r="F49" s="158" t="s">
        <v>86</v>
      </c>
      <c r="G49" s="160">
        <f>H34+H35+H36+H37+H38+H39+H40+H41+G42+H44+H45+H46</f>
        <v>13079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5</v>
      </c>
      <c r="D50" s="12">
        <f>C50*1.5</f>
        <v>7.5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-56.5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30052.5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5100-209C-4F4B-9FE1-32E9EE74E59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4337-8CFE-49E9-9FA4-9FE52DE8C63E}">
  <dimension ref="A1:T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288</v>
      </c>
      <c r="D6" s="13">
        <f t="shared" ref="D6:D28" si="1">C6*L6</f>
        <v>212256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20</v>
      </c>
      <c r="D8" s="13">
        <f t="shared" si="1"/>
        <v>20660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45</v>
      </c>
      <c r="D9" s="13">
        <f t="shared" si="1"/>
        <v>31815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3</v>
      </c>
      <c r="D10" s="13">
        <f t="shared" si="1"/>
        <v>2916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3</v>
      </c>
      <c r="D11" s="13">
        <f t="shared" si="1"/>
        <v>3375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3</v>
      </c>
      <c r="D12" s="48">
        <f t="shared" si="1"/>
        <v>2856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4</v>
      </c>
      <c r="D13" s="48">
        <f t="shared" si="1"/>
        <v>1228</v>
      </c>
      <c r="F13" s="266" t="s">
        <v>36</v>
      </c>
      <c r="G13" s="230"/>
      <c r="H13" s="221">
        <f>D29</f>
        <v>277087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11</v>
      </c>
      <c r="D14" s="31">
        <f t="shared" si="1"/>
        <v>121</v>
      </c>
      <c r="F14" s="224" t="s">
        <v>39</v>
      </c>
      <c r="G14" s="225"/>
      <c r="H14" s="226">
        <f>D54</f>
        <v>33457.5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>
        <v>3</v>
      </c>
      <c r="D15" s="31">
        <f t="shared" si="1"/>
        <v>1860</v>
      </c>
      <c r="F15" s="229" t="s">
        <v>40</v>
      </c>
      <c r="G15" s="230"/>
      <c r="H15" s="231">
        <f>H13-H14</f>
        <v>243629.5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1296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 t="s">
        <v>172</v>
      </c>
      <c r="G26" s="66">
        <v>5891</v>
      </c>
      <c r="H26" s="177">
        <v>15521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05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277087</v>
      </c>
      <c r="F29" s="138" t="s">
        <v>55</v>
      </c>
      <c r="G29" s="200"/>
      <c r="H29" s="160">
        <f>H15-H16-H17-H18-H19-H20-H22-H23-H24+H26+H27+H28</f>
        <v>257854.5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144</v>
      </c>
      <c r="H34" s="182">
        <f t="shared" ref="H34:H39" si="2">F34*G34</f>
        <v>144000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</v>
      </c>
      <c r="H35" s="182">
        <f t="shared" si="2"/>
        <v>1000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258</v>
      </c>
      <c r="D37" s="12">
        <f>C37*111</f>
        <v>28638</v>
      </c>
      <c r="F37" s="12">
        <v>100</v>
      </c>
      <c r="G37" s="39">
        <v>2</v>
      </c>
      <c r="H37" s="182">
        <f t="shared" si="2"/>
        <v>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55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28</v>
      </c>
      <c r="D44" s="12">
        <f>C44*120</f>
        <v>3360</v>
      </c>
      <c r="F44" s="37" t="s">
        <v>165</v>
      </c>
      <c r="G44" s="107" t="s">
        <v>184</v>
      </c>
      <c r="H44" s="177">
        <v>98864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 t="s">
        <v>168</v>
      </c>
      <c r="G45" s="107" t="s">
        <v>185</v>
      </c>
      <c r="H45" s="177">
        <v>9567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18</v>
      </c>
      <c r="D46" s="12">
        <f>C46*1.5</f>
        <v>27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</v>
      </c>
      <c r="D49" s="12">
        <f>C49*42</f>
        <v>84</v>
      </c>
      <c r="F49" s="158" t="s">
        <v>86</v>
      </c>
      <c r="G49" s="160">
        <f>H34+H35+H36+H37+H38+H39+H40+H41+G42+H44+H45+H46</f>
        <v>253756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16</v>
      </c>
      <c r="D50" s="12">
        <f>C50*1.5</f>
        <v>24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182</v>
      </c>
      <c r="G51" s="268">
        <f>G49-H29</f>
        <v>-4098.5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33457.5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D7FD-88C0-47F3-B604-4B617A900194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276</v>
      </c>
      <c r="D6" s="13">
        <f t="shared" ref="D6:D28" si="1">C6*L6</f>
        <v>203412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10</v>
      </c>
      <c r="D7" s="13">
        <f t="shared" si="1"/>
        <v>7250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58</v>
      </c>
      <c r="D9" s="13">
        <f t="shared" si="1"/>
        <v>41006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>
        <v>5</v>
      </c>
      <c r="D10" s="13">
        <f t="shared" si="1"/>
        <v>4860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8</v>
      </c>
      <c r="D13" s="48">
        <f t="shared" si="1"/>
        <v>2456</v>
      </c>
      <c r="F13" s="266" t="s">
        <v>36</v>
      </c>
      <c r="G13" s="230"/>
      <c r="H13" s="221">
        <f>D29</f>
        <v>259072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8</v>
      </c>
      <c r="D14" s="31">
        <f t="shared" si="1"/>
        <v>88</v>
      </c>
      <c r="F14" s="224" t="s">
        <v>39</v>
      </c>
      <c r="G14" s="225"/>
      <c r="H14" s="226">
        <f>D54</f>
        <v>29751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229321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1917+880</f>
        <v>2797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259072</v>
      </c>
      <c r="F29" s="138" t="s">
        <v>55</v>
      </c>
      <c r="G29" s="200"/>
      <c r="H29" s="160">
        <f>H15-H16-H17-H18-H19-H20-H22-H23-H24+H26+H27</f>
        <v>226524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4</v>
      </c>
      <c r="D34" s="30">
        <f>C34*120</f>
        <v>480</v>
      </c>
      <c r="F34" s="12">
        <v>1000</v>
      </c>
      <c r="G34" s="75">
        <v>70</v>
      </c>
      <c r="H34" s="182">
        <f>F34*G34</f>
        <v>70000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40</v>
      </c>
      <c r="H35" s="182">
        <f t="shared" ref="H35:H39" si="2">F35*G35</f>
        <v>20000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251</v>
      </c>
      <c r="D37" s="12">
        <f>C37*111</f>
        <v>27861</v>
      </c>
      <c r="F37" s="12">
        <v>100</v>
      </c>
      <c r="G37" s="39">
        <v>9</v>
      </c>
      <c r="H37" s="182">
        <f t="shared" si="2"/>
        <v>900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</v>
      </c>
      <c r="D38" s="12">
        <f>C38*84</f>
        <v>168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9</v>
      </c>
      <c r="D40" s="12">
        <f>C40*111</f>
        <v>999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30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186</v>
      </c>
      <c r="H44" s="177">
        <v>135513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04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226443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11</v>
      </c>
      <c r="D50" s="12">
        <f>C50*1.5</f>
        <v>16.5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-81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29751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7748-2610-4A04-87CF-40CB2C590122}">
  <dimension ref="A1:S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884</v>
      </c>
      <c r="D6" s="13">
        <f t="shared" ref="D6:D28" si="1">C6*L6</f>
        <v>651508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46</v>
      </c>
      <c r="D7" s="13">
        <f t="shared" si="1"/>
        <v>33350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242</v>
      </c>
      <c r="D9" s="13">
        <f t="shared" si="1"/>
        <v>171094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8</v>
      </c>
      <c r="D10" s="13">
        <f t="shared" si="1"/>
        <v>7776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>
        <v>5</v>
      </c>
      <c r="D11" s="13">
        <f t="shared" si="1"/>
        <v>5625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f>2+3</f>
        <v>5</v>
      </c>
      <c r="D12" s="48">
        <f t="shared" si="1"/>
        <v>4760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39</v>
      </c>
      <c r="D13" s="48">
        <f t="shared" si="1"/>
        <v>11973</v>
      </c>
      <c r="F13" s="266" t="s">
        <v>36</v>
      </c>
      <c r="G13" s="230"/>
      <c r="H13" s="221">
        <f>D29</f>
        <v>899866.5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128250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771616.5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3600+2166</f>
        <v>5766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2</v>
      </c>
      <c r="D18" s="48">
        <f t="shared" si="1"/>
        <v>1240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178</v>
      </c>
      <c r="G22" s="74">
        <v>5803</v>
      </c>
      <c r="H22" s="207">
        <v>190441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23" t="s">
        <v>183</v>
      </c>
      <c r="C23" s="10">
        <f>1+1</f>
        <v>2</v>
      </c>
      <c r="D23" s="48">
        <f t="shared" si="1"/>
        <v>2350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124</v>
      </c>
      <c r="C25" s="10">
        <v>12</v>
      </c>
      <c r="D25" s="48">
        <f t="shared" si="1"/>
        <v>474.5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913/24+1.5</f>
        <v>39.541666666666664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>
        <v>12</v>
      </c>
      <c r="D26" s="48">
        <f t="shared" si="1"/>
        <v>434</v>
      </c>
      <c r="F26" s="65" t="s">
        <v>189</v>
      </c>
      <c r="G26" s="60"/>
      <c r="H26" s="212">
        <v>674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10</v>
      </c>
      <c r="D28" s="48">
        <f t="shared" si="1"/>
        <v>7850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899866.5</v>
      </c>
      <c r="F29" s="138" t="s">
        <v>55</v>
      </c>
      <c r="G29" s="200"/>
      <c r="H29" s="160">
        <f>H15-H16-H17-H18-H19-H20-H22-H23-H24+H26+H27</f>
        <v>576083.5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300</v>
      </c>
      <c r="H34" s="182">
        <f>F34*G34</f>
        <v>300000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82</v>
      </c>
      <c r="H35" s="182">
        <f>F35*G35</f>
        <v>41000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16</v>
      </c>
      <c r="D36" s="12">
        <f>C36*1.5</f>
        <v>24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1096</v>
      </c>
      <c r="D37" s="12">
        <f>C37*111</f>
        <v>121656</v>
      </c>
      <c r="F37" s="12">
        <v>100</v>
      </c>
      <c r="G37" s="39">
        <v>102</v>
      </c>
      <c r="H37" s="182">
        <f t="shared" si="2"/>
        <v>10200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164</v>
      </c>
      <c r="H38" s="182">
        <f t="shared" si="2"/>
        <v>8200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28</v>
      </c>
      <c r="D40" s="12">
        <f>C40*111</f>
        <v>3108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6</v>
      </c>
      <c r="D42" s="12">
        <f>C42*2.25</f>
        <v>13.5</v>
      </c>
      <c r="F42" s="39" t="s">
        <v>79</v>
      </c>
      <c r="G42" s="182">
        <v>67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10</v>
      </c>
      <c r="D44" s="12">
        <f>C44*120</f>
        <v>1200</v>
      </c>
      <c r="F44" s="37" t="s">
        <v>150</v>
      </c>
      <c r="G44" s="77" t="s">
        <v>188</v>
      </c>
      <c r="H44" s="177">
        <v>216247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</v>
      </c>
      <c r="D46" s="12">
        <f>C46*1.5</f>
        <v>3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20</v>
      </c>
      <c r="D49" s="12">
        <f>C49*42</f>
        <v>840</v>
      </c>
      <c r="F49" s="158" t="s">
        <v>86</v>
      </c>
      <c r="G49" s="160">
        <f>H34+H35+H36+H37+H38+H39+H40+H41+G42+H44+H45+H46</f>
        <v>575714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6</v>
      </c>
      <c r="D50" s="12">
        <f>C50*1.5</f>
        <v>9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-369.5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128250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7CAD-6EF7-48A9-9475-4F8F7AEBD13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0" t="s">
        <v>2</v>
      </c>
      <c r="Q1" s="12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21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2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9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63AC-4011-4AD9-8248-9B63E9016456}">
  <dimension ref="A1:T59"/>
  <sheetViews>
    <sheetView topLeftCell="A22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20" t="s">
        <v>2</v>
      </c>
      <c r="Q1" s="120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45914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565</v>
      </c>
      <c r="D6" s="13">
        <f t="shared" ref="D6:D28" si="1">C6*L6</f>
        <v>416405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52</v>
      </c>
      <c r="D9" s="13">
        <f t="shared" si="1"/>
        <v>36764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111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15</v>
      </c>
      <c r="D13" s="48">
        <f t="shared" si="1"/>
        <v>4605</v>
      </c>
      <c r="F13" s="266" t="s">
        <v>36</v>
      </c>
      <c r="G13" s="230"/>
      <c r="H13" s="221">
        <f>D29</f>
        <v>457774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92242.5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365531.5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5535</f>
        <v>5535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9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1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457774</v>
      </c>
      <c r="F29" s="138" t="s">
        <v>55</v>
      </c>
      <c r="G29" s="200"/>
      <c r="H29" s="160">
        <f>H15-H16-H17-H18-H19-H20-H22-H23-H24+H26+H27+H28</f>
        <v>359996.5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2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285</v>
      </c>
      <c r="H34" s="182">
        <f t="shared" ref="H34:H39" si="2">F34*G34</f>
        <v>285000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142</v>
      </c>
      <c r="H35" s="182">
        <f t="shared" si="2"/>
        <v>71000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812</v>
      </c>
      <c r="D37" s="12">
        <f>C37*111</f>
        <v>90132</v>
      </c>
      <c r="F37" s="12">
        <v>100</v>
      </c>
      <c r="G37" s="39">
        <v>12</v>
      </c>
      <c r="H37" s="182">
        <f t="shared" si="2"/>
        <v>1200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57</v>
      </c>
      <c r="H38" s="182">
        <f t="shared" si="2"/>
        <v>2850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10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9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107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10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28</v>
      </c>
      <c r="D49" s="12">
        <f>C49*42</f>
        <v>1176</v>
      </c>
      <c r="F49" s="158" t="s">
        <v>86</v>
      </c>
      <c r="G49" s="160">
        <f>H34+H35+H36+H37+H38+H39+H40+H41+G42+H44+H45+H46</f>
        <v>360060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</v>
      </c>
      <c r="D50" s="12">
        <f>C50*1.5</f>
        <v>1.5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63.5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92242.5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620C-2A7C-40C7-A531-1402083674C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02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3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05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6195-985E-4AA6-A8E2-3B1CD7191051}">
  <dimension ref="A1:T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287</v>
      </c>
      <c r="D6" s="13">
        <f t="shared" ref="D6:D28" si="1">C6*L6</f>
        <v>211519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46</v>
      </c>
      <c r="D7" s="13">
        <f t="shared" si="1"/>
        <v>33350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11</v>
      </c>
      <c r="D8" s="13">
        <f t="shared" si="1"/>
        <v>11363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59</v>
      </c>
      <c r="D9" s="13">
        <f t="shared" si="1"/>
        <v>41713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11</v>
      </c>
      <c r="D10" s="13">
        <f t="shared" si="1"/>
        <v>10692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10</v>
      </c>
      <c r="D11" s="13">
        <f t="shared" si="1"/>
        <v>11250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f>30+5</f>
        <v>35</v>
      </c>
      <c r="D12" s="48">
        <f t="shared" si="1"/>
        <v>33320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2</v>
      </c>
      <c r="D13" s="48">
        <f t="shared" si="1"/>
        <v>614</v>
      </c>
      <c r="F13" s="266" t="s">
        <v>36</v>
      </c>
      <c r="G13" s="230"/>
      <c r="H13" s="221">
        <f>D29</f>
        <v>383383.5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3</v>
      </c>
      <c r="D14" s="31">
        <f t="shared" si="1"/>
        <v>33</v>
      </c>
      <c r="F14" s="224" t="s">
        <v>39</v>
      </c>
      <c r="G14" s="225"/>
      <c r="H14" s="226">
        <f>D54</f>
        <v>35080.5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348303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>
        <v>1</v>
      </c>
      <c r="D16" s="48">
        <f t="shared" si="1"/>
        <v>1567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2</v>
      </c>
      <c r="D18" s="48">
        <f t="shared" si="1"/>
        <v>1240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>
        <f>2+2</f>
        <v>4</v>
      </c>
      <c r="D20" s="13">
        <f t="shared" si="1"/>
        <v>4700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149</v>
      </c>
      <c r="C21" s="10">
        <f>10+2+5</f>
        <v>17</v>
      </c>
      <c r="D21" s="48">
        <f t="shared" si="1"/>
        <v>11050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>
        <v>1</v>
      </c>
      <c r="D22" s="48">
        <f t="shared" si="1"/>
        <v>1582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>
        <v>12</v>
      </c>
      <c r="D23" s="48">
        <f t="shared" si="1"/>
        <v>520.5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>
        <v>1</v>
      </c>
      <c r="D25" s="48">
        <f t="shared" si="1"/>
        <v>1020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10</v>
      </c>
      <c r="D28" s="48">
        <f t="shared" si="1"/>
        <v>7850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383383.5</v>
      </c>
      <c r="F29" s="138" t="s">
        <v>55</v>
      </c>
      <c r="G29" s="200"/>
      <c r="H29" s="160">
        <f>H15-H16-H17-H18-H19-H20-H22-H23-H24+H26+H27+H28</f>
        <v>348303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65</v>
      </c>
      <c r="H34" s="182">
        <f t="shared" ref="H34:H39" si="2">F34*G34</f>
        <v>65000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5</v>
      </c>
      <c r="D35" s="30">
        <f>C35*84</f>
        <v>420</v>
      </c>
      <c r="F35" s="59">
        <v>500</v>
      </c>
      <c r="G35" s="41">
        <v>10</v>
      </c>
      <c r="H35" s="182">
        <f t="shared" si="2"/>
        <v>5000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82">
        <f t="shared" si="2"/>
        <v>400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61</v>
      </c>
      <c r="D37" s="12">
        <f>C37*111</f>
        <v>6771</v>
      </c>
      <c r="F37" s="12">
        <v>100</v>
      </c>
      <c r="G37" s="39">
        <v>22</v>
      </c>
      <c r="H37" s="182">
        <f t="shared" si="2"/>
        <v>2200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221</v>
      </c>
      <c r="D38" s="12">
        <f>C38*84</f>
        <v>18564</v>
      </c>
      <c r="F38" s="30">
        <v>50</v>
      </c>
      <c r="G38" s="39">
        <v>10</v>
      </c>
      <c r="H38" s="182">
        <f t="shared" si="2"/>
        <v>500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11</v>
      </c>
      <c r="D39" s="31">
        <f>C39*4.5</f>
        <v>49.5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33</v>
      </c>
      <c r="D41" s="12">
        <f>C41*84</f>
        <v>2772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18</v>
      </c>
      <c r="D42" s="12">
        <f>C42*2.25</f>
        <v>40.5</v>
      </c>
      <c r="F42" s="39" t="s">
        <v>79</v>
      </c>
      <c r="G42" s="182">
        <v>230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2</v>
      </c>
      <c r="D44" s="12">
        <f>C44*120</f>
        <v>240</v>
      </c>
      <c r="F44" s="37" t="s">
        <v>150</v>
      </c>
      <c r="G44" s="63" t="s">
        <v>190</v>
      </c>
      <c r="H44" s="177">
        <v>275109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65</v>
      </c>
      <c r="D45" s="12">
        <f>C45*84</f>
        <v>5460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29</v>
      </c>
      <c r="D46" s="12">
        <f>C46*1.5</f>
        <v>43.5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348439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136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35080.5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AFEE-386C-42F5-9494-D1C3812EE549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250</v>
      </c>
      <c r="D6" s="13">
        <f t="shared" ref="D6:D28" si="1">C6*L6</f>
        <v>184250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24</v>
      </c>
      <c r="D9" s="13">
        <f t="shared" si="1"/>
        <v>16968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6</v>
      </c>
      <c r="D13" s="48">
        <f t="shared" si="1"/>
        <v>1842</v>
      </c>
      <c r="F13" s="266" t="s">
        <v>36</v>
      </c>
      <c r="G13" s="230"/>
      <c r="H13" s="221">
        <f>D29</f>
        <v>203115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5</v>
      </c>
      <c r="D14" s="31">
        <f t="shared" si="1"/>
        <v>55</v>
      </c>
      <c r="F14" s="224" t="s">
        <v>39</v>
      </c>
      <c r="G14" s="225"/>
      <c r="H14" s="226">
        <f>D54</f>
        <v>31695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171420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1926+448</f>
        <v>2374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203115</v>
      </c>
      <c r="F29" s="138" t="s">
        <v>55</v>
      </c>
      <c r="G29" s="200"/>
      <c r="H29" s="160">
        <f>H15-H16-H17-H18-H19-H20-H22-H23-H24+H26+H27</f>
        <v>169046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143</v>
      </c>
      <c r="H34" s="182">
        <f>F34*G34</f>
        <v>143000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49</v>
      </c>
      <c r="H35" s="182">
        <f t="shared" ref="H35:H39" si="2">F35*G35</f>
        <v>24500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281</v>
      </c>
      <c r="D37" s="12">
        <f>C37*111</f>
        <v>31191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117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1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</v>
      </c>
      <c r="D49" s="12">
        <f>C49*42</f>
        <v>84</v>
      </c>
      <c r="F49" s="158" t="s">
        <v>86</v>
      </c>
      <c r="G49" s="160">
        <f>H34+H35+H36+H37+H38+H39+H40+H41+G42+H44+H45+H46</f>
        <v>167617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4</v>
      </c>
      <c r="D50" s="12">
        <f>C50*1.5</f>
        <v>6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-1429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31695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4189-1411-4FE6-82B3-6F417CA64F04}">
  <dimension ref="A1:S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273</v>
      </c>
      <c r="D6" s="13">
        <f t="shared" ref="D6:D28" si="1">C6*L6</f>
        <v>201201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10</v>
      </c>
      <c r="D7" s="13">
        <f t="shared" si="1"/>
        <v>7250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f>108-67</f>
        <v>41</v>
      </c>
      <c r="D9" s="13">
        <f t="shared" si="1"/>
        <v>28987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10</v>
      </c>
      <c r="D13" s="48">
        <f t="shared" si="1"/>
        <v>3070</v>
      </c>
      <c r="F13" s="266" t="s">
        <v>36</v>
      </c>
      <c r="G13" s="230"/>
      <c r="H13" s="221">
        <f>D29</f>
        <v>245627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5</v>
      </c>
      <c r="D14" s="31">
        <f t="shared" si="1"/>
        <v>55</v>
      </c>
      <c r="F14" s="224" t="s">
        <v>39</v>
      </c>
      <c r="G14" s="225"/>
      <c r="H14" s="226">
        <f>D54</f>
        <v>25890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219737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111" t="s">
        <v>176</v>
      </c>
      <c r="G22" s="74">
        <v>5808</v>
      </c>
      <c r="H22" s="207">
        <v>74747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4</v>
      </c>
      <c r="D28" s="48">
        <f t="shared" si="1"/>
        <v>3140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245627</v>
      </c>
      <c r="F29" s="138" t="s">
        <v>55</v>
      </c>
      <c r="G29" s="200"/>
      <c r="H29" s="160">
        <f>H15-H16-H17-H18-H19-H20-H22-H23-H24+H26+H27</f>
        <v>144990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119</v>
      </c>
      <c r="H34" s="182">
        <f>F34*G34</f>
        <v>119000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31</v>
      </c>
      <c r="H35" s="182">
        <f>F35*G35</f>
        <v>15500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208</v>
      </c>
      <c r="D37" s="12">
        <f>C37*111</f>
        <v>23088</v>
      </c>
      <c r="F37" s="12">
        <v>100</v>
      </c>
      <c r="G37" s="39">
        <v>5</v>
      </c>
      <c r="H37" s="182">
        <f t="shared" si="2"/>
        <v>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93</v>
      </c>
      <c r="H38" s="182">
        <f t="shared" si="2"/>
        <v>4650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6</v>
      </c>
      <c r="D42" s="12">
        <f>C42*2.25</f>
        <v>13.5</v>
      </c>
      <c r="F42" s="39" t="s">
        <v>79</v>
      </c>
      <c r="G42" s="182">
        <v>5204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</v>
      </c>
      <c r="D44" s="12">
        <f>C44*120</f>
        <v>120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13</v>
      </c>
      <c r="D46" s="12">
        <f>C46*1.5</f>
        <v>19.5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9</v>
      </c>
      <c r="D48" s="12">
        <f>C48*78</f>
        <v>702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144854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23</v>
      </c>
      <c r="D50" s="12">
        <f>C50*1.5</f>
        <v>34.5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-136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25890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769C-410B-47A4-8ADE-C434C2631E0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8B70-342F-45B4-885D-47968448F780}">
  <dimension ref="A1:T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336</v>
      </c>
      <c r="D6" s="13">
        <f t="shared" ref="D6:D28" si="1">C6*L6</f>
        <v>247632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5</v>
      </c>
      <c r="D7" s="13">
        <f t="shared" si="1"/>
        <v>3625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50</v>
      </c>
      <c r="D9" s="13">
        <f t="shared" si="1"/>
        <v>35350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126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customHeight="1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8</v>
      </c>
      <c r="D13" s="48">
        <f t="shared" si="1"/>
        <v>2456</v>
      </c>
      <c r="F13" s="266" t="s">
        <v>36</v>
      </c>
      <c r="G13" s="230"/>
      <c r="H13" s="221">
        <f>D29</f>
        <v>290191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16</v>
      </c>
      <c r="D14" s="31">
        <f t="shared" si="1"/>
        <v>176</v>
      </c>
      <c r="F14" s="224" t="s">
        <v>39</v>
      </c>
      <c r="G14" s="225"/>
      <c r="H14" s="226">
        <f>D54</f>
        <v>44656.5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245534.5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290191</v>
      </c>
      <c r="F29" s="138" t="s">
        <v>55</v>
      </c>
      <c r="G29" s="200"/>
      <c r="H29" s="160">
        <f>H15-H16-H17-H18-H19-H20-H22-H23-H24+H26+H27+H28</f>
        <v>245534.5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200</v>
      </c>
      <c r="H34" s="182">
        <f t="shared" ref="H34:H39" si="2">F34*G34</f>
        <v>200000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78</v>
      </c>
      <c r="H35" s="182">
        <f t="shared" si="2"/>
        <v>39000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391</v>
      </c>
      <c r="D37" s="12">
        <f>C37*111</f>
        <v>43401</v>
      </c>
      <c r="F37" s="12">
        <v>100</v>
      </c>
      <c r="G37" s="39">
        <v>67</v>
      </c>
      <c r="H37" s="182">
        <f t="shared" si="2"/>
        <v>6700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>
        <v>20</v>
      </c>
      <c r="H38" s="182">
        <f t="shared" si="2"/>
        <v>1000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4</v>
      </c>
      <c r="D42" s="12">
        <f>C42*2.25</f>
        <v>9</v>
      </c>
      <c r="F42" s="39" t="s">
        <v>79</v>
      </c>
      <c r="G42" s="182">
        <v>12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246712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13</v>
      </c>
      <c r="D50" s="12">
        <f>C50*1.5</f>
        <v>19.5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1177.5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44656.5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7AEB-5555-470E-9E96-009E267AB7DF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218</v>
      </c>
      <c r="D6" s="13">
        <f t="shared" ref="D6:D28" si="1">C6*L6</f>
        <v>160666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3</v>
      </c>
      <c r="D7" s="13">
        <f t="shared" si="1"/>
        <v>2175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41</v>
      </c>
      <c r="D9" s="13">
        <f t="shared" si="1"/>
        <v>28987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9</v>
      </c>
      <c r="D13" s="48">
        <f t="shared" si="1"/>
        <v>2763</v>
      </c>
      <c r="F13" s="266" t="s">
        <v>36</v>
      </c>
      <c r="G13" s="230"/>
      <c r="H13" s="221">
        <f>D29</f>
        <v>194756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15</v>
      </c>
      <c r="D14" s="31">
        <f t="shared" si="1"/>
        <v>165</v>
      </c>
      <c r="F14" s="224" t="s">
        <v>39</v>
      </c>
      <c r="G14" s="225"/>
      <c r="H14" s="226">
        <f>D54</f>
        <v>36596.25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158159.75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1872</f>
        <v>1872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194756</v>
      </c>
      <c r="F29" s="138" t="s">
        <v>55</v>
      </c>
      <c r="G29" s="200"/>
      <c r="H29" s="160">
        <f>H15-H16-H17-H18-H19-H20-H22-H23-H24+H26+H27</f>
        <v>156287.75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31</v>
      </c>
      <c r="H34" s="182">
        <f>F34*G34</f>
        <v>31000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10</v>
      </c>
      <c r="H35" s="182">
        <f t="shared" ref="H35:H39" si="2">F35*G35</f>
        <v>5000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82">
        <f>F36*G36</f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317</v>
      </c>
      <c r="D37" s="12">
        <f>C37*111</f>
        <v>35187</v>
      </c>
      <c r="F37" s="12">
        <v>100</v>
      </c>
      <c r="G37" s="39">
        <v>1</v>
      </c>
      <c r="H37" s="182">
        <f t="shared" si="2"/>
        <v>100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3</v>
      </c>
      <c r="H39" s="182">
        <f t="shared" si="2"/>
        <v>60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82">
        <v>108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191</v>
      </c>
      <c r="H44" s="177">
        <v>118227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1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6</v>
      </c>
      <c r="D49" s="12">
        <f>C49*42</f>
        <v>252</v>
      </c>
      <c r="F49" s="158" t="s">
        <v>86</v>
      </c>
      <c r="G49" s="160">
        <f>H34+H35+H36+H37+H38+H39+H40+H41+G42+H44+H45+H46</f>
        <v>154745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5</v>
      </c>
      <c r="D50" s="12">
        <f>C50*1.5</f>
        <v>7.5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-1542.75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36596.25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6EAF-63F6-4294-B71F-AB51BD4B0F6B}">
  <dimension ref="A1:S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496</v>
      </c>
      <c r="D6" s="13">
        <f t="shared" ref="D6:D28" si="1">C6*L6</f>
        <v>365552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54</v>
      </c>
      <c r="D7" s="13">
        <f t="shared" si="1"/>
        <v>39150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>
        <v>30</v>
      </c>
      <c r="D8" s="13">
        <f t="shared" si="1"/>
        <v>30990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58</v>
      </c>
      <c r="D9" s="13">
        <f t="shared" si="1"/>
        <v>41006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13</v>
      </c>
      <c r="D10" s="13">
        <f t="shared" si="1"/>
        <v>12636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>
        <v>19</v>
      </c>
      <c r="D11" s="13">
        <f t="shared" si="1"/>
        <v>21375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f>32+20</f>
        <v>52</v>
      </c>
      <c r="D12" s="48">
        <f t="shared" si="1"/>
        <v>49504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5</v>
      </c>
      <c r="D13" s="48">
        <f t="shared" si="1"/>
        <v>1535</v>
      </c>
      <c r="F13" s="266" t="s">
        <v>36</v>
      </c>
      <c r="G13" s="230"/>
      <c r="H13" s="221">
        <f>D29</f>
        <v>596084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10</v>
      </c>
      <c r="D14" s="31">
        <f t="shared" si="1"/>
        <v>110</v>
      </c>
      <c r="F14" s="224" t="s">
        <v>39</v>
      </c>
      <c r="G14" s="225"/>
      <c r="H14" s="226">
        <f>D54</f>
        <v>69639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>
        <v>1</v>
      </c>
      <c r="D15" s="31">
        <f t="shared" si="1"/>
        <v>620</v>
      </c>
      <c r="F15" s="229" t="s">
        <v>40</v>
      </c>
      <c r="G15" s="230"/>
      <c r="H15" s="231">
        <f>H13-H14</f>
        <v>526445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>
        <v>1</v>
      </c>
      <c r="D16" s="48">
        <f t="shared" si="1"/>
        <v>1567</v>
      </c>
      <c r="F16" s="68" t="s">
        <v>42</v>
      </c>
      <c r="G16" s="67" t="s">
        <v>43</v>
      </c>
      <c r="H16" s="191">
        <f>450</f>
        <v>450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>
        <v>1</v>
      </c>
      <c r="D17" s="48">
        <f t="shared" si="1"/>
        <v>1582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10</v>
      </c>
      <c r="D18" s="48">
        <f t="shared" si="1"/>
        <v>6200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140</v>
      </c>
      <c r="C20" s="10">
        <v>1</v>
      </c>
      <c r="D20" s="13">
        <f t="shared" si="1"/>
        <v>1020</v>
      </c>
      <c r="F20" s="58"/>
      <c r="G20" s="71" t="s">
        <v>122</v>
      </c>
      <c r="H20" s="191"/>
      <c r="I20" s="191"/>
      <c r="J20" s="191"/>
      <c r="L20" s="6">
        <f>1020</f>
        <v>1020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149</v>
      </c>
      <c r="C21" s="10">
        <f>5+5</f>
        <v>10</v>
      </c>
      <c r="D21" s="48">
        <f t="shared" si="1"/>
        <v>6500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93</v>
      </c>
      <c r="C22" s="10">
        <v>1</v>
      </c>
      <c r="D22" s="48">
        <f t="shared" si="1"/>
        <v>1447</v>
      </c>
      <c r="F22" s="78"/>
      <c r="G22" s="74"/>
      <c r="H22" s="207"/>
      <c r="I22" s="207"/>
      <c r="J22" s="207"/>
      <c r="L22" s="7">
        <v>1447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23" t="s">
        <v>183</v>
      </c>
      <c r="C23" s="10">
        <f>2+4+1</f>
        <v>7</v>
      </c>
      <c r="D23" s="48">
        <f t="shared" si="1"/>
        <v>8225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9</v>
      </c>
      <c r="D28" s="48">
        <f t="shared" si="1"/>
        <v>7065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596084</v>
      </c>
      <c r="F29" s="138" t="s">
        <v>55</v>
      </c>
      <c r="G29" s="200"/>
      <c r="H29" s="160">
        <f>H15-H16-H17-H18-H19-H20-H22-H23-H24+H26+H27</f>
        <v>525995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134</v>
      </c>
      <c r="H34" s="182">
        <f>F34*G34</f>
        <v>134000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11</v>
      </c>
      <c r="D35" s="30">
        <f>C35*84</f>
        <v>924</v>
      </c>
      <c r="F35" s="59">
        <v>500</v>
      </c>
      <c r="G35" s="41">
        <v>6</v>
      </c>
      <c r="H35" s="182">
        <f>F35*G35</f>
        <v>3000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23</v>
      </c>
      <c r="D36" s="12">
        <f>C36*1.5</f>
        <v>34.5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227</v>
      </c>
      <c r="D37" s="12">
        <f>C37*111</f>
        <v>25197</v>
      </c>
      <c r="F37" s="12">
        <v>100</v>
      </c>
      <c r="G37" s="39">
        <v>8</v>
      </c>
      <c r="H37" s="182">
        <f t="shared" si="2"/>
        <v>800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394</v>
      </c>
      <c r="D38" s="12">
        <f>C38*84</f>
        <v>33096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14</v>
      </c>
      <c r="D40" s="12">
        <f>C40*111</f>
        <v>1554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20</v>
      </c>
      <c r="D41" s="12">
        <f>C41*84</f>
        <v>1680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8</v>
      </c>
      <c r="D42" s="12">
        <f>C42*2.25</f>
        <v>18</v>
      </c>
      <c r="F42" s="39" t="s">
        <v>79</v>
      </c>
      <c r="G42" s="182">
        <v>68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4</v>
      </c>
      <c r="D44" s="12">
        <f>C44*120</f>
        <v>480</v>
      </c>
      <c r="F44" s="37" t="s">
        <v>150</v>
      </c>
      <c r="G44" s="77" t="s">
        <v>192</v>
      </c>
      <c r="H44" s="177">
        <v>388687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72</v>
      </c>
      <c r="D45" s="12">
        <f>C45*84</f>
        <v>6048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25</v>
      </c>
      <c r="D46" s="12">
        <f>C46*1.5</f>
        <v>37.5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526605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610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69639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538-69CA-4305-B6CD-A4932D0AA52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C5C3-32A5-48D0-8887-D26B1B150498}">
  <dimension ref="A1:T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45917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126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130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H15-H16-H17-H18-H19-H20-H22-H23-H24+H26+H27+H28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82">
        <f t="shared" ref="H34:H39" si="2"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si="2"/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93BE-8B34-4CA0-8F55-1A100B10A80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45917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ref="H35:H39" si="2"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1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B25B-5692-4493-BF22-187A0A8022F8}">
  <dimension ref="A1:S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45917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4274-2194-477D-AC21-C426BC5E423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71CE-94AD-4972-8BEE-96F168080152}">
  <dimension ref="A1:T59"/>
  <sheetViews>
    <sheetView topLeftCell="A3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45918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772</v>
      </c>
      <c r="D6" s="13">
        <f t="shared" ref="D6:D28" si="1">C6*L6</f>
        <v>568964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20</v>
      </c>
      <c r="D8" s="13">
        <f t="shared" si="1"/>
        <v>20660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126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2</v>
      </c>
      <c r="D11" s="13">
        <f t="shared" si="1"/>
        <v>2250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29</v>
      </c>
      <c r="D13" s="48">
        <f t="shared" si="1"/>
        <v>8903</v>
      </c>
      <c r="F13" s="266" t="s">
        <v>36</v>
      </c>
      <c r="G13" s="230"/>
      <c r="H13" s="221">
        <f>D29</f>
        <v>602747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6</v>
      </c>
      <c r="D14" s="31">
        <f t="shared" si="1"/>
        <v>66</v>
      </c>
      <c r="F14" s="224" t="s">
        <v>39</v>
      </c>
      <c r="G14" s="225"/>
      <c r="H14" s="226">
        <f>D54</f>
        <v>88657.5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514089.5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6147+1016</f>
        <v>7163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602747</v>
      </c>
      <c r="F29" s="138" t="s">
        <v>55</v>
      </c>
      <c r="G29" s="200"/>
      <c r="H29" s="160">
        <f>H15-H16-H17-H18-H19-H20-H22-H23-H24+H26+H27+H28</f>
        <v>506926.5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473</v>
      </c>
      <c r="H34" s="182">
        <f t="shared" ref="H34:H39" si="2">F34*G34</f>
        <v>473000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6</v>
      </c>
      <c r="H35" s="182">
        <f t="shared" si="2"/>
        <v>3000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4</v>
      </c>
      <c r="H36" s="182">
        <f t="shared" si="2"/>
        <v>800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756</v>
      </c>
      <c r="D37" s="12">
        <f>C37*111</f>
        <v>83916</v>
      </c>
      <c r="F37" s="12">
        <v>100</v>
      </c>
      <c r="G37" s="39">
        <v>225</v>
      </c>
      <c r="H37" s="182">
        <f t="shared" si="2"/>
        <v>22500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149</v>
      </c>
      <c r="H38" s="182">
        <f t="shared" si="2"/>
        <v>7450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12</v>
      </c>
      <c r="H39" s="182">
        <f t="shared" si="2"/>
        <v>240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4</v>
      </c>
      <c r="D42" s="12">
        <f>C42*2.25</f>
        <v>9</v>
      </c>
      <c r="F42" s="39" t="s">
        <v>79</v>
      </c>
      <c r="G42" s="182">
        <v>41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23</v>
      </c>
      <c r="D44" s="12">
        <f>C44*120</f>
        <v>2760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18</v>
      </c>
      <c r="D46" s="12">
        <f>C46*1.5</f>
        <v>27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10</v>
      </c>
      <c r="D48" s="12">
        <f>C48*78</f>
        <v>780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21</v>
      </c>
      <c r="D49" s="12">
        <f>C49*42</f>
        <v>882</v>
      </c>
      <c r="F49" s="158" t="s">
        <v>86</v>
      </c>
      <c r="G49" s="160">
        <f>H34+H35+H36+H37+H38+H39+H40+H41+G42+H44+H45+H46</f>
        <v>507031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6</v>
      </c>
      <c r="D50" s="12">
        <f>C50*1.5</f>
        <v>9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104.5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88657.5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463A-7E84-4444-9F16-6237CA67702A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45918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516</v>
      </c>
      <c r="D6" s="13">
        <f t="shared" ref="D6:D28" si="1">C6*L6</f>
        <v>380292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80</v>
      </c>
      <c r="D9" s="13">
        <f t="shared" si="1"/>
        <v>56560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20</v>
      </c>
      <c r="D13" s="48">
        <f t="shared" si="1"/>
        <v>6140</v>
      </c>
      <c r="F13" s="266" t="s">
        <v>36</v>
      </c>
      <c r="G13" s="230"/>
      <c r="H13" s="221">
        <f>D29</f>
        <v>443025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3</v>
      </c>
      <c r="D14" s="31">
        <f t="shared" si="1"/>
        <v>33</v>
      </c>
      <c r="F14" s="224" t="s">
        <v>39</v>
      </c>
      <c r="G14" s="225"/>
      <c r="H14" s="226">
        <f>D54</f>
        <v>64510.5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378514.5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3510+2259</f>
        <v>5769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443025</v>
      </c>
      <c r="F29" s="138" t="s">
        <v>55</v>
      </c>
      <c r="G29" s="200"/>
      <c r="H29" s="160">
        <f>H15-H16-H17-H18-H19-H20-H22-H23-H24+H26+H27</f>
        <v>372745.5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220</v>
      </c>
      <c r="H34" s="182">
        <f>F34*G34</f>
        <v>220000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</v>
      </c>
      <c r="H35" s="182">
        <f t="shared" ref="H35:H39" si="2">F35*G35</f>
        <v>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571</v>
      </c>
      <c r="D37" s="12">
        <f>C37*111</f>
        <v>63381</v>
      </c>
      <c r="F37" s="12">
        <v>100</v>
      </c>
      <c r="G37" s="39">
        <v>1</v>
      </c>
      <c r="H37" s="182">
        <f t="shared" si="2"/>
        <v>100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76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193</v>
      </c>
      <c r="H44" s="177">
        <v>152162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</v>
      </c>
      <c r="D46" s="12">
        <f>C46*1.5</f>
        <v>3</v>
      </c>
      <c r="F46" s="37"/>
      <c r="G46" s="11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15</v>
      </c>
      <c r="D49" s="12">
        <f>C49*42</f>
        <v>630</v>
      </c>
      <c r="F49" s="158" t="s">
        <v>86</v>
      </c>
      <c r="G49" s="160">
        <f>H34+H35+H36+H37+H38+H39+H40+H41+G42+H44+H45+H46</f>
        <v>372838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92.5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64510.5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5CC8-7CD9-472A-A6F5-2B19B08571CA}">
  <dimension ref="A1:S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45918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158</v>
      </c>
      <c r="D6" s="13">
        <f t="shared" ref="D6:D28" si="1">C6*L6</f>
        <v>116446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18</v>
      </c>
      <c r="D7" s="13">
        <f t="shared" si="1"/>
        <v>13050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13</v>
      </c>
      <c r="D9" s="13">
        <f t="shared" si="1"/>
        <v>9191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5</v>
      </c>
      <c r="D13" s="48">
        <f t="shared" si="1"/>
        <v>1535</v>
      </c>
      <c r="F13" s="266" t="s">
        <v>36</v>
      </c>
      <c r="G13" s="230"/>
      <c r="H13" s="221">
        <f>D29</f>
        <v>141205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</v>
      </c>
      <c r="D14" s="31">
        <f t="shared" si="1"/>
        <v>11</v>
      </c>
      <c r="F14" s="224" t="s">
        <v>39</v>
      </c>
      <c r="G14" s="225"/>
      <c r="H14" s="226">
        <f>D54</f>
        <v>51893.25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89311.75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624+312</f>
        <v>936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195</v>
      </c>
      <c r="G26" s="60"/>
      <c r="H26" s="212">
        <v>85740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141205</v>
      </c>
      <c r="F29" s="138" t="s">
        <v>55</v>
      </c>
      <c r="G29" s="200"/>
      <c r="H29" s="160">
        <f>H15-H16-H17-H18-H19-H20-H22-H23-H24+H26+H27</f>
        <v>174115.75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105</v>
      </c>
      <c r="H34" s="182">
        <f>F34*G34</f>
        <v>105000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18</v>
      </c>
      <c r="H35" s="182">
        <f>F35*G35</f>
        <v>9000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458</v>
      </c>
      <c r="D37" s="12">
        <f>C37*111</f>
        <v>50838</v>
      </c>
      <c r="F37" s="12">
        <v>100</v>
      </c>
      <c r="G37" s="39">
        <v>2</v>
      </c>
      <c r="H37" s="182">
        <f t="shared" si="2"/>
        <v>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>
        <v>2</v>
      </c>
      <c r="H38" s="182">
        <f t="shared" si="2"/>
        <v>100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82">
        <v>99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168</v>
      </c>
      <c r="G44" s="77" t="s">
        <v>194</v>
      </c>
      <c r="H44" s="177">
        <v>55941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</v>
      </c>
      <c r="D46" s="12">
        <f>C46*1.5</f>
        <v>1.5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170340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18</v>
      </c>
      <c r="D50" s="12">
        <f>C50*1.5</f>
        <v>27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-3775.75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51893.25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8F60-6F4D-48CC-9E4F-E5736C243AC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6F66-F89E-419F-B88D-0C22A0154322}">
  <dimension ref="A1:T59"/>
  <sheetViews>
    <sheetView topLeftCell="A22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45919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357</v>
      </c>
      <c r="D6" s="13">
        <f t="shared" ref="D6:D28" si="1">C6*L6</f>
        <v>263109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4</v>
      </c>
      <c r="D7" s="13">
        <f t="shared" si="1"/>
        <v>2900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4</v>
      </c>
      <c r="D8" s="13">
        <f t="shared" si="1"/>
        <v>4132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5</v>
      </c>
      <c r="D9" s="13">
        <f t="shared" si="1"/>
        <v>3535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1</v>
      </c>
      <c r="D11" s="13">
        <f t="shared" si="1"/>
        <v>1125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16</v>
      </c>
      <c r="D13" s="48">
        <f t="shared" si="1"/>
        <v>4912</v>
      </c>
      <c r="F13" s="266" t="s">
        <v>36</v>
      </c>
      <c r="G13" s="230"/>
      <c r="H13" s="221">
        <f>D29</f>
        <v>284691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22</v>
      </c>
      <c r="D14" s="31">
        <f t="shared" si="1"/>
        <v>242</v>
      </c>
      <c r="F14" s="224" t="s">
        <v>39</v>
      </c>
      <c r="G14" s="225"/>
      <c r="H14" s="226">
        <f>D54</f>
        <v>68273.25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216417.75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1872</f>
        <v>1872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3</v>
      </c>
      <c r="D18" s="48">
        <f t="shared" si="1"/>
        <v>1860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 t="s">
        <v>197</v>
      </c>
      <c r="G22" s="74">
        <v>5998</v>
      </c>
      <c r="H22" s="207">
        <v>84668</v>
      </c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 t="s">
        <v>197</v>
      </c>
      <c r="G26" s="66">
        <v>5851</v>
      </c>
      <c r="H26" s="177">
        <v>103785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284691</v>
      </c>
      <c r="F29" s="138" t="s">
        <v>55</v>
      </c>
      <c r="G29" s="200"/>
      <c r="H29" s="160">
        <f>H15-H16-H17-H18-H19-H20-H22-H23-H24+H26+H27+H28</f>
        <v>233662.75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21</v>
      </c>
      <c r="H34" s="182">
        <f t="shared" ref="H34:H39" si="2">F34*G34</f>
        <v>21000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11</v>
      </c>
      <c r="H35" s="182">
        <f t="shared" si="2"/>
        <v>5500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13</v>
      </c>
      <c r="D36" s="12">
        <f>C36*1.5</f>
        <v>19.5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561</v>
      </c>
      <c r="D37" s="12">
        <f>C37*111</f>
        <v>62271</v>
      </c>
      <c r="F37" s="12">
        <v>100</v>
      </c>
      <c r="G37" s="39">
        <v>20</v>
      </c>
      <c r="H37" s="182">
        <f t="shared" si="2"/>
        <v>2000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4</v>
      </c>
      <c r="H38" s="182">
        <f t="shared" si="2"/>
        <v>200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82">
        <v>1060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20</v>
      </c>
      <c r="D44" s="12">
        <f>C44*120</f>
        <v>2400</v>
      </c>
      <c r="F44" s="37" t="s">
        <v>150</v>
      </c>
      <c r="G44" s="63" t="s">
        <v>196</v>
      </c>
      <c r="H44" s="177">
        <v>65695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134" t="s">
        <v>200</v>
      </c>
      <c r="G45" s="63"/>
      <c r="H45" s="177">
        <v>103785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22</v>
      </c>
      <c r="D46" s="12">
        <f>C46*1.5</f>
        <v>33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13</v>
      </c>
      <c r="D48" s="12">
        <f>C48*78</f>
        <v>1014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7</v>
      </c>
      <c r="D49" s="12">
        <f>C49*42</f>
        <v>294</v>
      </c>
      <c r="F49" s="158" t="s">
        <v>86</v>
      </c>
      <c r="G49" s="160">
        <f>H34+H35+H36+H37+H38+H39+H40+H41+G42+H44+H45+H46</f>
        <v>199260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23</v>
      </c>
      <c r="D50" s="12">
        <f>C50*1.5</f>
        <v>34.5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-34402.75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68273.25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1B09-03C1-40A7-AF62-4D91F668B3B0}">
  <dimension ref="A1:R59"/>
  <sheetViews>
    <sheetView topLeftCell="A22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45919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290</v>
      </c>
      <c r="D6" s="13">
        <f t="shared" ref="D6:D28" si="1">C6*L6</f>
        <v>213730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5</v>
      </c>
      <c r="D7" s="13">
        <f t="shared" si="1"/>
        <v>3625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24</v>
      </c>
      <c r="D9" s="13">
        <f t="shared" si="1"/>
        <v>16968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11</v>
      </c>
      <c r="D13" s="48">
        <f t="shared" si="1"/>
        <v>3377</v>
      </c>
      <c r="F13" s="266" t="s">
        <v>36</v>
      </c>
      <c r="G13" s="230"/>
      <c r="H13" s="221">
        <f>D29</f>
        <v>237810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10</v>
      </c>
      <c r="D14" s="31">
        <f t="shared" si="1"/>
        <v>110</v>
      </c>
      <c r="F14" s="224" t="s">
        <v>39</v>
      </c>
      <c r="G14" s="225"/>
      <c r="H14" s="226">
        <f>D54</f>
        <v>20693.25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217116.75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1872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 t="s">
        <v>163</v>
      </c>
      <c r="G22" s="74">
        <v>6010</v>
      </c>
      <c r="H22" s="207">
        <v>134586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237810</v>
      </c>
      <c r="F29" s="138" t="s">
        <v>55</v>
      </c>
      <c r="G29" s="200"/>
      <c r="H29" s="160">
        <f>H15-H16-H17-H18-H19-H20-H22-H23-H24+H26+H27</f>
        <v>80658.75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50</v>
      </c>
      <c r="H34" s="182">
        <f>F34*G34</f>
        <v>50000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29</v>
      </c>
      <c r="H35" s="182">
        <f t="shared" ref="H35:H39" si="2">F35*G35</f>
        <v>14500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171</v>
      </c>
      <c r="D37" s="12">
        <f>C37*111</f>
        <v>18981</v>
      </c>
      <c r="F37" s="12">
        <v>100</v>
      </c>
      <c r="G37" s="39">
        <v>57</v>
      </c>
      <c r="H37" s="182">
        <f t="shared" si="2"/>
        <v>5700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23</v>
      </c>
      <c r="H38" s="182">
        <f t="shared" si="2"/>
        <v>1150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7</v>
      </c>
      <c r="D39" s="31">
        <f>C39*4.5</f>
        <v>31.5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82">
        <v>4239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</v>
      </c>
      <c r="D46" s="12">
        <f>C46*1.5</f>
        <v>4.5</v>
      </c>
      <c r="F46" s="37"/>
      <c r="G46" s="11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4</v>
      </c>
      <c r="D49" s="12">
        <f>C49*42</f>
        <v>168</v>
      </c>
      <c r="F49" s="158" t="s">
        <v>86</v>
      </c>
      <c r="G49" s="160">
        <f>H34+H35+H36+H37+H38+H39+H40+H41+G42+H44+H45+H46</f>
        <v>75609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23</v>
      </c>
      <c r="D50" s="12">
        <f>C50*1.5</f>
        <v>34.5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-5049.75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20693.25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2A44-F3FC-409A-8176-D16A39711CA1}">
  <dimension ref="A1:S59"/>
  <sheetViews>
    <sheetView topLeftCell="A25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45919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519</v>
      </c>
      <c r="D6" s="13">
        <f t="shared" ref="D6:D28" si="1">C6*L6</f>
        <v>382503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17</v>
      </c>
      <c r="D7" s="13">
        <f t="shared" si="1"/>
        <v>12325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51</v>
      </c>
      <c r="D9" s="13">
        <f t="shared" si="1"/>
        <v>36057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>
        <v>5</v>
      </c>
      <c r="D11" s="13">
        <f t="shared" si="1"/>
        <v>5625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19</v>
      </c>
      <c r="D13" s="48">
        <f t="shared" si="1"/>
        <v>5833</v>
      </c>
      <c r="F13" s="266" t="s">
        <v>36</v>
      </c>
      <c r="G13" s="230"/>
      <c r="H13" s="221">
        <f>D29</f>
        <v>450615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8</v>
      </c>
      <c r="D14" s="31">
        <f t="shared" si="1"/>
        <v>88</v>
      </c>
      <c r="F14" s="224" t="s">
        <v>39</v>
      </c>
      <c r="G14" s="225"/>
      <c r="H14" s="226">
        <f>D54</f>
        <v>94737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355878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2112+624+312</f>
        <v>3048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195</v>
      </c>
      <c r="G22" s="74">
        <v>5842</v>
      </c>
      <c r="H22" s="207">
        <v>168830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155</v>
      </c>
      <c r="G26" s="60">
        <v>5493</v>
      </c>
      <c r="H26" s="212">
        <v>298833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8</v>
      </c>
      <c r="D28" s="48">
        <f t="shared" si="1"/>
        <v>6280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450615</v>
      </c>
      <c r="F29" s="138" t="s">
        <v>55</v>
      </c>
      <c r="G29" s="200"/>
      <c r="H29" s="160">
        <f>H15-H16-H17-H18-H19-H20-H22-H23-H24+H26+H27</f>
        <v>482833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177</v>
      </c>
      <c r="H34" s="182">
        <f>F34*G34</f>
        <v>177000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138</v>
      </c>
      <c r="H35" s="182">
        <f>F35*G35</f>
        <v>69000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8</v>
      </c>
      <c r="D36" s="12">
        <f>C36*1.5</f>
        <v>12</v>
      </c>
      <c r="F36" s="12">
        <v>200</v>
      </c>
      <c r="G36" s="37">
        <v>2</v>
      </c>
      <c r="H36" s="182">
        <f t="shared" ref="H36:H39" si="2">F36*G36</f>
        <v>400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809</v>
      </c>
      <c r="D37" s="12">
        <f>C37*111</f>
        <v>89799</v>
      </c>
      <c r="F37" s="12">
        <v>100</v>
      </c>
      <c r="G37" s="39">
        <v>128</v>
      </c>
      <c r="H37" s="182">
        <f t="shared" si="2"/>
        <v>12800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89</v>
      </c>
      <c r="H38" s="182">
        <f t="shared" si="2"/>
        <v>4450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21</v>
      </c>
      <c r="D40" s="12">
        <f>C40*111</f>
        <v>2331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6</v>
      </c>
      <c r="D42" s="12">
        <f>C42*2.25</f>
        <v>13.5</v>
      </c>
      <c r="F42" s="39" t="s">
        <v>79</v>
      </c>
      <c r="G42" s="182">
        <v>147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5</v>
      </c>
      <c r="D44" s="12">
        <f>C44*120</f>
        <v>600</v>
      </c>
      <c r="F44" s="37" t="s">
        <v>150</v>
      </c>
      <c r="G44" s="77" t="s">
        <v>198</v>
      </c>
      <c r="H44" s="177">
        <v>221823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2</v>
      </c>
      <c r="D45" s="12">
        <f>C45*84</f>
        <v>168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6</v>
      </c>
      <c r="D46" s="12">
        <f>C46*1.5</f>
        <v>9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20</v>
      </c>
      <c r="D48" s="12">
        <f>C48*78</f>
        <v>1560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485620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14</v>
      </c>
      <c r="D50" s="12">
        <f>C50*1.5</f>
        <v>21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2787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94737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0E69-1712-4478-B4F7-EA0C49C36AD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6ABD-5F13-4051-81D3-B5FA33D45891}">
  <dimension ref="A1:T59"/>
  <sheetViews>
    <sheetView topLeftCell="A22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249</v>
      </c>
      <c r="D6" s="13">
        <f t="shared" ref="D6:D28" si="1">C6*L6</f>
        <v>183513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9</v>
      </c>
      <c r="D7" s="13">
        <f t="shared" si="1"/>
        <v>6525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25</v>
      </c>
      <c r="D8" s="13">
        <f t="shared" si="1"/>
        <v>25825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29</v>
      </c>
      <c r="D9" s="13">
        <f t="shared" si="1"/>
        <v>20503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3</v>
      </c>
      <c r="D10" s="13">
        <f t="shared" si="1"/>
        <v>2916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3</v>
      </c>
      <c r="D11" s="13">
        <f t="shared" si="1"/>
        <v>3375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2</v>
      </c>
      <c r="D13" s="48">
        <f t="shared" si="1"/>
        <v>614</v>
      </c>
      <c r="F13" s="266" t="s">
        <v>36</v>
      </c>
      <c r="G13" s="230"/>
      <c r="H13" s="221">
        <f>D29</f>
        <v>247381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11</v>
      </c>
      <c r="D14" s="31">
        <f t="shared" si="1"/>
        <v>121</v>
      </c>
      <c r="F14" s="224" t="s">
        <v>39</v>
      </c>
      <c r="G14" s="225"/>
      <c r="H14" s="226">
        <f>D54</f>
        <v>35139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212242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149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1</v>
      </c>
      <c r="D28" s="48">
        <f t="shared" si="1"/>
        <v>785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247381</v>
      </c>
      <c r="F29" s="138" t="s">
        <v>55</v>
      </c>
      <c r="G29" s="200"/>
      <c r="H29" s="160">
        <f>H15-H16-H17-H18-H19-H20-H22-H23-H24+H26+H27+H28</f>
        <v>212242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116</v>
      </c>
      <c r="H34" s="182">
        <f t="shared" ref="H34:H39" si="2">F34*G34</f>
        <v>116000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29</v>
      </c>
      <c r="H35" s="182">
        <f t="shared" si="2"/>
        <v>14500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82">
        <f t="shared" si="2"/>
        <v>400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263</v>
      </c>
      <c r="D37" s="12">
        <f>C37*111</f>
        <v>29193</v>
      </c>
      <c r="F37" s="12">
        <v>100</v>
      </c>
      <c r="G37" s="39">
        <v>3</v>
      </c>
      <c r="H37" s="182">
        <f t="shared" si="2"/>
        <v>300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14</v>
      </c>
      <c r="D38" s="12">
        <f>C38*84</f>
        <v>1176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4</v>
      </c>
      <c r="D42" s="12">
        <f>C42*2.25</f>
        <v>9</v>
      </c>
      <c r="F42" s="39" t="s">
        <v>79</v>
      </c>
      <c r="G42" s="182">
        <v>576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32</v>
      </c>
      <c r="D44" s="12">
        <f>C44*120</f>
        <v>3840</v>
      </c>
      <c r="F44" s="37" t="s">
        <v>165</v>
      </c>
      <c r="G44" s="107" t="s">
        <v>201</v>
      </c>
      <c r="H44" s="177">
        <f>76713</f>
        <v>76713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20</v>
      </c>
      <c r="D46" s="12">
        <f>C46*1.5</f>
        <v>30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208489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13</v>
      </c>
      <c r="D50" s="12">
        <f>C50*1.5</f>
        <v>19.5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-3753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35139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E82F-3404-4080-B0BE-3FBDD0C6B936}">
  <dimension ref="A1:R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158</v>
      </c>
      <c r="D6" s="13">
        <f t="shared" ref="D6:D28" si="1">C6*L6</f>
        <v>116446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6</v>
      </c>
      <c r="D7" s="13">
        <f t="shared" si="1"/>
        <v>4350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23</v>
      </c>
      <c r="D9" s="13">
        <f t="shared" si="1"/>
        <v>16261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3</v>
      </c>
      <c r="D13" s="48">
        <f t="shared" si="1"/>
        <v>921</v>
      </c>
      <c r="F13" s="266" t="s">
        <v>36</v>
      </c>
      <c r="G13" s="230"/>
      <c r="H13" s="221">
        <f>D29</f>
        <v>139062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22720.5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116341.5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1200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139062</v>
      </c>
      <c r="F29" s="138" t="s">
        <v>55</v>
      </c>
      <c r="G29" s="200"/>
      <c r="H29" s="160">
        <f>H15-H16-H17-H18-H19-H20-H22-H23-H24+H26+H27</f>
        <v>115141.5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84</v>
      </c>
      <c r="H34" s="182">
        <f>F34*G34</f>
        <v>84000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42</v>
      </c>
      <c r="H35" s="182">
        <f t="shared" ref="H35:H39" si="2">F35*G35</f>
        <v>21000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82">
        <f>F36*G36</f>
        <v>600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194</v>
      </c>
      <c r="D37" s="12">
        <f>C37*111</f>
        <v>21534</v>
      </c>
      <c r="F37" s="12">
        <v>100</v>
      </c>
      <c r="G37" s="39">
        <v>82</v>
      </c>
      <c r="H37" s="182">
        <f t="shared" si="2"/>
        <v>8200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</v>
      </c>
      <c r="H38" s="182">
        <f t="shared" si="2"/>
        <v>150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218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15</v>
      </c>
      <c r="D46" s="12">
        <f>C46*1.5</f>
        <v>22.5</v>
      </c>
      <c r="F46" s="37"/>
      <c r="G46" s="11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114188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-953.5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22720.5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3D4D-D057-474B-8C96-0F4B0B400807}">
  <dimension ref="A1:S59"/>
  <sheetViews>
    <sheetView topLeftCell="A25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518</v>
      </c>
      <c r="D6" s="13">
        <f t="shared" ref="D6:D28" si="1">C6*L6</f>
        <v>381766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8</v>
      </c>
      <c r="D7" s="13">
        <f t="shared" si="1"/>
        <v>5800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74</v>
      </c>
      <c r="D9" s="13">
        <f t="shared" si="1"/>
        <v>52318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>
        <v>2</v>
      </c>
      <c r="D11" s="13">
        <f t="shared" si="1"/>
        <v>2250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>
        <v>4</v>
      </c>
      <c r="D12" s="48">
        <f t="shared" si="1"/>
        <v>3808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21</v>
      </c>
      <c r="D13" s="48">
        <f t="shared" si="1"/>
        <v>6447</v>
      </c>
      <c r="F13" s="266" t="s">
        <v>36</v>
      </c>
      <c r="G13" s="230"/>
      <c r="H13" s="221">
        <f>D29</f>
        <v>453736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7</v>
      </c>
      <c r="D14" s="31">
        <f t="shared" si="1"/>
        <v>77</v>
      </c>
      <c r="F14" s="224" t="s">
        <v>39</v>
      </c>
      <c r="G14" s="225"/>
      <c r="H14" s="226">
        <f>D54</f>
        <v>61890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>
        <v>1</v>
      </c>
      <c r="D15" s="31">
        <f t="shared" si="1"/>
        <v>620</v>
      </c>
      <c r="F15" s="229" t="s">
        <v>40</v>
      </c>
      <c r="G15" s="230"/>
      <c r="H15" s="231">
        <f>H13-H14</f>
        <v>391846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672+1248+324+624</f>
        <v>2868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155</v>
      </c>
      <c r="G22" s="74">
        <v>5829</v>
      </c>
      <c r="H22" s="207">
        <v>113032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453736</v>
      </c>
      <c r="F29" s="138" t="s">
        <v>55</v>
      </c>
      <c r="G29" s="200"/>
      <c r="H29" s="160">
        <f>H15-H16-H17-H18-H19-H20-H22-H23-H24+H26+H27</f>
        <v>275946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111</v>
      </c>
      <c r="H34" s="182">
        <f>F34*G34</f>
        <v>111000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192</v>
      </c>
      <c r="H35" s="182">
        <f>F35*G35</f>
        <v>96000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531</v>
      </c>
      <c r="D37" s="12">
        <f>C37*111</f>
        <v>58941</v>
      </c>
      <c r="F37" s="12">
        <v>100</v>
      </c>
      <c r="G37" s="39">
        <v>1</v>
      </c>
      <c r="H37" s="182">
        <f t="shared" si="2"/>
        <v>100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5</v>
      </c>
      <c r="D38" s="12">
        <f>C38*84</f>
        <v>420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35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4</v>
      </c>
      <c r="D44" s="12">
        <f>C44*120</f>
        <v>480</v>
      </c>
      <c r="F44" s="37" t="s">
        <v>168</v>
      </c>
      <c r="G44" s="77" t="s">
        <v>202</v>
      </c>
      <c r="H44" s="177">
        <v>67240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16</v>
      </c>
      <c r="D48" s="12">
        <f>C48*78</f>
        <v>1248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274375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-1571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61890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231C-B35D-4374-80AC-A24F88542B4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DCD0-F856-4493-BE83-8873CACEEAED}">
  <dimension ref="A1:T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217</v>
      </c>
      <c r="D6" s="13">
        <f t="shared" ref="D6:D28" si="1">C6*L6</f>
        <v>159929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10</v>
      </c>
      <c r="D7" s="13">
        <f t="shared" si="1"/>
        <v>7250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1</v>
      </c>
      <c r="D8" s="13">
        <f t="shared" si="1"/>
        <v>1033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22</v>
      </c>
      <c r="D9" s="13">
        <f t="shared" si="1"/>
        <v>15554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1</v>
      </c>
      <c r="D11" s="13">
        <f t="shared" si="1"/>
        <v>1125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6</v>
      </c>
      <c r="D13" s="48">
        <f t="shared" si="1"/>
        <v>1842</v>
      </c>
      <c r="F13" s="266" t="s">
        <v>36</v>
      </c>
      <c r="G13" s="230"/>
      <c r="H13" s="221">
        <f>D29</f>
        <v>193283.5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13</v>
      </c>
      <c r="D14" s="31">
        <f t="shared" si="1"/>
        <v>143</v>
      </c>
      <c r="F14" s="224" t="s">
        <v>39</v>
      </c>
      <c r="G14" s="225"/>
      <c r="H14" s="226">
        <f>D54</f>
        <v>28344.75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>
        <v>1</v>
      </c>
      <c r="D15" s="31">
        <f t="shared" si="1"/>
        <v>620</v>
      </c>
      <c r="F15" s="229" t="s">
        <v>40</v>
      </c>
      <c r="G15" s="230"/>
      <c r="H15" s="231">
        <f>H13-H14</f>
        <v>164938.75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>
        <v>12</v>
      </c>
      <c r="D23" s="48">
        <f t="shared" si="1"/>
        <v>520.5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18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4</v>
      </c>
      <c r="D28" s="48">
        <f t="shared" si="1"/>
        <v>3140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193283.5</v>
      </c>
      <c r="F29" s="138" t="s">
        <v>55</v>
      </c>
      <c r="G29" s="200"/>
      <c r="H29" s="160">
        <f>H15-H16-H17-H18-H19-H20-H22-H23-H24+H26+H27+H28</f>
        <v>164938.75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125</v>
      </c>
      <c r="H34" s="182">
        <f t="shared" ref="H34:H39" si="2">F34*G34</f>
        <v>125000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45</v>
      </c>
      <c r="H35" s="182">
        <f t="shared" si="2"/>
        <v>22500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9</v>
      </c>
      <c r="D36" s="12">
        <f>C36*1.5</f>
        <v>13.5</v>
      </c>
      <c r="F36" s="12">
        <v>200</v>
      </c>
      <c r="G36" s="37">
        <v>1</v>
      </c>
      <c r="H36" s="182">
        <f t="shared" si="2"/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225</v>
      </c>
      <c r="D37" s="12">
        <f>C37*111</f>
        <v>24975</v>
      </c>
      <c r="F37" s="12">
        <v>100</v>
      </c>
      <c r="G37" s="39">
        <v>16</v>
      </c>
      <c r="H37" s="182">
        <f t="shared" si="2"/>
        <v>1600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16</v>
      </c>
      <c r="D38" s="12">
        <f>C38*84</f>
        <v>1344</v>
      </c>
      <c r="F38" s="30">
        <v>50</v>
      </c>
      <c r="G38" s="39">
        <v>19</v>
      </c>
      <c r="H38" s="182">
        <f t="shared" si="2"/>
        <v>950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5</v>
      </c>
      <c r="D42" s="12">
        <f>C42*2.25</f>
        <v>11.25</v>
      </c>
      <c r="F42" s="39" t="s">
        <v>79</v>
      </c>
      <c r="G42" s="182">
        <f>129+2000</f>
        <v>2129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3</v>
      </c>
      <c r="D44" s="12">
        <f>C44*120</f>
        <v>360</v>
      </c>
      <c r="F44" s="37" t="s">
        <v>167</v>
      </c>
      <c r="G44" s="135" t="s">
        <v>204</v>
      </c>
      <c r="H44" s="177">
        <v>12282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2</v>
      </c>
      <c r="D45" s="12">
        <f>C45*84</f>
        <v>168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22</v>
      </c>
      <c r="D46" s="12">
        <f>C46*1.5</f>
        <v>33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164701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12</v>
      </c>
      <c r="D50" s="12">
        <f>C50*1.5</f>
        <v>18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-237.75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28344.75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7A8C-B834-43CC-8237-522F8075A56C}">
  <dimension ref="A1:R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202</v>
      </c>
      <c r="D6" s="13">
        <f t="shared" ref="D6:D28" si="1">C6*L6</f>
        <v>148874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21</v>
      </c>
      <c r="D9" s="13">
        <f t="shared" si="1"/>
        <v>14847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4</v>
      </c>
      <c r="D13" s="48">
        <f t="shared" si="1"/>
        <v>1228</v>
      </c>
      <c r="F13" s="266" t="s">
        <v>36</v>
      </c>
      <c r="G13" s="230"/>
      <c r="H13" s="221">
        <f>D29</f>
        <v>165103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14</v>
      </c>
      <c r="D14" s="31">
        <f t="shared" si="1"/>
        <v>154</v>
      </c>
      <c r="F14" s="224" t="s">
        <v>39</v>
      </c>
      <c r="G14" s="225"/>
      <c r="H14" s="226">
        <f>D54</f>
        <v>24558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140545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800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136" t="s">
        <v>163</v>
      </c>
      <c r="G26" s="10">
        <v>6010</v>
      </c>
      <c r="H26" s="212">
        <v>134586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60" t="s">
        <v>208</v>
      </c>
      <c r="G27" s="10">
        <v>4464</v>
      </c>
      <c r="H27" s="215">
        <v>8088</v>
      </c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165103</v>
      </c>
      <c r="F29" s="138" t="s">
        <v>55</v>
      </c>
      <c r="G29" s="200"/>
      <c r="H29" s="160">
        <f>H15-H16-H17-H18-H19-H20-H22-H23-H24+H26+H27</f>
        <v>282419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98</v>
      </c>
      <c r="H34" s="182">
        <f>F34*G34</f>
        <v>98000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100</v>
      </c>
      <c r="H35" s="182">
        <f t="shared" ref="H35:H39" si="2">F35*G35</f>
        <v>50000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219</v>
      </c>
      <c r="D37" s="12">
        <f>C37*111</f>
        <v>24309</v>
      </c>
      <c r="F37" s="12">
        <v>100</v>
      </c>
      <c r="G37" s="39">
        <v>41</v>
      </c>
      <c r="H37" s="182">
        <f t="shared" si="2"/>
        <v>4100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>
        <v>44</v>
      </c>
      <c r="H38" s="182">
        <f t="shared" si="2"/>
        <v>2200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117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207</v>
      </c>
      <c r="H44" s="177">
        <v>134586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17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</v>
      </c>
      <c r="D49" s="12">
        <f>C49*42</f>
        <v>84</v>
      </c>
      <c r="F49" s="158" t="s">
        <v>86</v>
      </c>
      <c r="G49" s="160">
        <f>H34+H35+H36+H37+H38+H39+H40+H41+G42+H44+H45+H46</f>
        <v>289003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3</v>
      </c>
      <c r="D50" s="12">
        <f>C50*1.5</f>
        <v>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6584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24558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B135-2BFC-4B34-B3A1-C4572A96C833}">
  <dimension ref="A1:S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14" t="s">
        <v>2</v>
      </c>
      <c r="Q1" s="114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45922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197</v>
      </c>
      <c r="D6" s="13">
        <f t="shared" ref="D6:D28" si="1">C6*L6</f>
        <v>145189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55</v>
      </c>
      <c r="D9" s="13">
        <f t="shared" si="1"/>
        <v>38885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10</v>
      </c>
      <c r="D13" s="48">
        <f t="shared" si="1"/>
        <v>3070</v>
      </c>
      <c r="F13" s="266" t="s">
        <v>36</v>
      </c>
      <c r="G13" s="230"/>
      <c r="H13" s="221">
        <f>D29</f>
        <v>189496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58539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130957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624+324</f>
        <v>948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115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189496</v>
      </c>
      <c r="F29" s="138" t="s">
        <v>55</v>
      </c>
      <c r="G29" s="200"/>
      <c r="H29" s="160">
        <f>H15-H16-H17-H18-H19-H20-H22-H23-H24+H26+H27</f>
        <v>130009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6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41</v>
      </c>
      <c r="H34" s="182">
        <f>F34*G34</f>
        <v>41000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20</v>
      </c>
      <c r="H35" s="182">
        <f>F35*G35</f>
        <v>10000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520</v>
      </c>
      <c r="D37" s="12">
        <f>C37*111</f>
        <v>57720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4</v>
      </c>
      <c r="D42" s="12">
        <f>C42*2.25</f>
        <v>9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18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205</v>
      </c>
      <c r="G44" s="77" t="s">
        <v>206</v>
      </c>
      <c r="H44" s="177">
        <v>50916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 t="s">
        <v>167</v>
      </c>
      <c r="G45" s="77"/>
      <c r="H45" s="177">
        <v>29452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13</v>
      </c>
      <c r="D49" s="12">
        <f>C49*42</f>
        <v>546</v>
      </c>
      <c r="F49" s="158" t="s">
        <v>86</v>
      </c>
      <c r="G49" s="160">
        <f>H34+H35+H36+H37+H38+H39+H40+H41+G42+H44+H45+H46</f>
        <v>131368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20</v>
      </c>
      <c r="D50" s="12">
        <f>C50*1.5</f>
        <v>30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1359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58539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A15D-EC46-43A9-8245-6BCABF0BF27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74F7-CA35-42AB-A49B-8D015FF1AB9D}">
  <dimension ref="A1:T59"/>
  <sheetViews>
    <sheetView topLeftCell="A25" zoomScaleNormal="100" zoomScaleSheetLayoutView="85" workbookViewId="0">
      <selection activeCell="G6" sqref="G6:J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256</v>
      </c>
      <c r="D6" s="13">
        <f t="shared" ref="D6:D28" si="1">C6*L6</f>
        <v>188672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5</v>
      </c>
      <c r="D7" s="13">
        <f t="shared" si="1"/>
        <v>3625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32</v>
      </c>
      <c r="D9" s="13">
        <f t="shared" si="1"/>
        <v>22624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7</v>
      </c>
      <c r="D13" s="48">
        <f t="shared" si="1"/>
        <v>2149</v>
      </c>
      <c r="F13" s="266" t="s">
        <v>36</v>
      </c>
      <c r="G13" s="230"/>
      <c r="H13" s="221">
        <f>D29</f>
        <v>227523.5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22</v>
      </c>
      <c r="D14" s="31">
        <f t="shared" si="1"/>
        <v>242</v>
      </c>
      <c r="F14" s="224" t="s">
        <v>39</v>
      </c>
      <c r="G14" s="225"/>
      <c r="H14" s="226">
        <f>D54</f>
        <v>35205.75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>
        <v>1</v>
      </c>
      <c r="D15" s="31">
        <f t="shared" si="1"/>
        <v>620</v>
      </c>
      <c r="F15" s="229" t="s">
        <v>40</v>
      </c>
      <c r="G15" s="230"/>
      <c r="H15" s="231">
        <f>H13-H14</f>
        <v>192317.75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>
        <v>12</v>
      </c>
      <c r="D23" s="48">
        <f t="shared" si="1"/>
        <v>520.5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>
        <v>12</v>
      </c>
      <c r="D27" s="44">
        <f t="shared" si="1"/>
        <v>434</v>
      </c>
      <c r="F27" s="72"/>
      <c r="G27" s="124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9</v>
      </c>
      <c r="D28" s="48">
        <f t="shared" si="1"/>
        <v>7065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227523.5</v>
      </c>
      <c r="F29" s="138" t="s">
        <v>55</v>
      </c>
      <c r="G29" s="200"/>
      <c r="H29" s="160">
        <f>H15-H16-H17-H18-H19-H20-H22-H23-H24+H26+H27+H28</f>
        <v>192317.75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111</v>
      </c>
      <c r="H34" s="182">
        <f t="shared" ref="H34:H39" si="2">F34*G34</f>
        <v>111000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104</v>
      </c>
      <c r="H35" s="182">
        <f t="shared" si="2"/>
        <v>52000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82">
        <f t="shared" si="2"/>
        <v>600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299</v>
      </c>
      <c r="D37" s="12">
        <f>C37*111</f>
        <v>33189</v>
      </c>
      <c r="F37" s="12">
        <v>100</v>
      </c>
      <c r="G37" s="39">
        <f>88</f>
        <v>88</v>
      </c>
      <c r="H37" s="182">
        <f t="shared" si="2"/>
        <v>8800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14</v>
      </c>
      <c r="H38" s="182">
        <f t="shared" si="2"/>
        <v>700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3</v>
      </c>
      <c r="H39" s="182">
        <f t="shared" si="2"/>
        <v>60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5</v>
      </c>
      <c r="D42" s="12">
        <f>C42*2.25</f>
        <v>11.25</v>
      </c>
      <c r="F42" s="39" t="s">
        <v>79</v>
      </c>
      <c r="G42" s="182">
        <v>8200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4</v>
      </c>
      <c r="D44" s="12">
        <f>C44*120</f>
        <v>480</v>
      </c>
      <c r="F44" s="37" t="s">
        <v>167</v>
      </c>
      <c r="G44" s="63" t="s">
        <v>209</v>
      </c>
      <c r="H44" s="177">
        <v>11027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192387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</v>
      </c>
      <c r="D50" s="12">
        <f>C50*1.5</f>
        <v>1.5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69.25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35205.75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104A-D8BE-4AAF-836C-4A08E7D1A4B9}">
  <dimension ref="A1:R59"/>
  <sheetViews>
    <sheetView topLeftCell="A19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514</v>
      </c>
      <c r="D6" s="13">
        <f t="shared" ref="D6:D28" si="1">C6*L6</f>
        <v>378818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12</v>
      </c>
      <c r="D7" s="13">
        <f t="shared" si="1"/>
        <v>8700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23</v>
      </c>
      <c r="D9" s="13">
        <f t="shared" si="1"/>
        <v>16261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>
        <v>2</v>
      </c>
      <c r="D11" s="13">
        <f t="shared" si="1"/>
        <v>2250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>
        <v>2</v>
      </c>
      <c r="D12" s="48">
        <f t="shared" si="1"/>
        <v>1904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15</v>
      </c>
      <c r="D13" s="48">
        <f t="shared" si="1"/>
        <v>4605</v>
      </c>
      <c r="F13" s="266" t="s">
        <v>36</v>
      </c>
      <c r="G13" s="230"/>
      <c r="H13" s="221">
        <f>D29</f>
        <v>415850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17</v>
      </c>
      <c r="D14" s="31">
        <f t="shared" si="1"/>
        <v>187</v>
      </c>
      <c r="F14" s="224" t="s">
        <v>39</v>
      </c>
      <c r="G14" s="225"/>
      <c r="H14" s="226">
        <f>D54</f>
        <v>73156.5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342693.5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1989+1863</f>
        <v>3852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>
        <v>1</v>
      </c>
      <c r="D20" s="13">
        <f t="shared" si="1"/>
        <v>1175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2+1</f>
        <v>3</v>
      </c>
      <c r="D21" s="48">
        <f t="shared" si="1"/>
        <v>1950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 t="s">
        <v>163</v>
      </c>
      <c r="G22" s="74">
        <v>6041</v>
      </c>
      <c r="H22" s="207">
        <v>118883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415850</v>
      </c>
      <c r="F29" s="138" t="s">
        <v>55</v>
      </c>
      <c r="G29" s="200"/>
      <c r="H29" s="160">
        <f>H15-H16-H17-H18-H19-H20-H22-H23-H24+H26+H27</f>
        <v>219958.5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62</v>
      </c>
      <c r="H34" s="182">
        <f>F34*G34</f>
        <v>62000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43</v>
      </c>
      <c r="H35" s="182">
        <f t="shared" ref="H35:H39" si="2">F35*G35</f>
        <v>21500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82">
        <f>F36*G36</f>
        <v>600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626</v>
      </c>
      <c r="D37" s="12">
        <f>C37*111</f>
        <v>69486</v>
      </c>
      <c r="F37" s="12">
        <v>100</v>
      </c>
      <c r="G37" s="39">
        <f>21+8</f>
        <v>29</v>
      </c>
      <c r="H37" s="182">
        <f t="shared" si="2"/>
        <v>2900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3</v>
      </c>
      <c r="H38" s="182">
        <f t="shared" si="2"/>
        <v>150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7</v>
      </c>
      <c r="D39" s="31">
        <f>C39*4.5</f>
        <v>31.5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12</v>
      </c>
      <c r="D40" s="12">
        <f>C40*111</f>
        <v>1332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14</v>
      </c>
      <c r="D42" s="12">
        <f>C42*2.25</f>
        <v>31.5</v>
      </c>
      <c r="F42" s="39" t="s">
        <v>79</v>
      </c>
      <c r="G42" s="182">
        <v>199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2</v>
      </c>
      <c r="D44" s="12">
        <f>C44*120</f>
        <v>240</v>
      </c>
      <c r="F44" s="37" t="s">
        <v>150</v>
      </c>
      <c r="G44" s="63" t="s">
        <v>210</v>
      </c>
      <c r="H44" s="177">
        <v>132620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2</v>
      </c>
      <c r="D45" s="12">
        <f>C45*84</f>
        <v>168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</v>
      </c>
      <c r="D46" s="12">
        <f>C46*1.5</f>
        <v>3</v>
      </c>
      <c r="F46" s="37"/>
      <c r="G46" s="125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12</v>
      </c>
      <c r="D49" s="12">
        <f>C49*42</f>
        <v>504</v>
      </c>
      <c r="F49" s="158" t="s">
        <v>86</v>
      </c>
      <c r="G49" s="160">
        <f>H34+H35+H36+H37+H38+H39+H40+H41+G42+H44+H45+H46</f>
        <v>219989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39</v>
      </c>
      <c r="D50" s="12">
        <f>C50*1.5</f>
        <v>58.5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30.5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73156.5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ACB7-55CC-4A75-8428-F0727BBEEDE7}">
  <dimension ref="A1:S59"/>
  <sheetViews>
    <sheetView topLeftCell="A25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45923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160</v>
      </c>
      <c r="D6" s="13">
        <f t="shared" ref="D6:D28" si="1">C6*L6</f>
        <v>117920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8</v>
      </c>
      <c r="D7" s="13">
        <f t="shared" si="1"/>
        <v>5800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20</v>
      </c>
      <c r="D9" s="13">
        <f t="shared" si="1"/>
        <v>14140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>
        <v>2</v>
      </c>
      <c r="D10" s="13">
        <f t="shared" si="1"/>
        <v>1944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>
        <v>5</v>
      </c>
      <c r="D11" s="13">
        <f t="shared" si="1"/>
        <v>5625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7</v>
      </c>
      <c r="D13" s="48">
        <f t="shared" si="1"/>
        <v>2149</v>
      </c>
      <c r="F13" s="266" t="s">
        <v>36</v>
      </c>
      <c r="G13" s="230"/>
      <c r="H13" s="221">
        <f>D29</f>
        <v>150514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6</v>
      </c>
      <c r="D14" s="31">
        <f t="shared" si="1"/>
        <v>66</v>
      </c>
      <c r="F14" s="224" t="s">
        <v>39</v>
      </c>
      <c r="G14" s="225"/>
      <c r="H14" s="226">
        <f>D54</f>
        <v>38856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111658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336</f>
        <v>336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211</v>
      </c>
      <c r="G22" s="74">
        <v>6058</v>
      </c>
      <c r="H22" s="207">
        <v>82701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212</v>
      </c>
      <c r="G26" s="60"/>
      <c r="H26" s="212">
        <v>190441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150514</v>
      </c>
      <c r="F29" s="138" t="s">
        <v>55</v>
      </c>
      <c r="G29" s="200"/>
      <c r="H29" s="160">
        <f>H15-H16-H17-H18-H19-H20-H22-H23-H24+H26+H27</f>
        <v>219062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139</v>
      </c>
      <c r="H34" s="182">
        <f>F34*G34</f>
        <v>139000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156</v>
      </c>
      <c r="H35" s="182">
        <f>F35*G35</f>
        <v>78000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82">
        <f t="shared" ref="H36:H39" si="2">F36*G36</f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313</v>
      </c>
      <c r="D37" s="12">
        <f>C37*111</f>
        <v>34743</v>
      </c>
      <c r="F37" s="12">
        <v>100</v>
      </c>
      <c r="G37" s="39">
        <v>17</v>
      </c>
      <c r="H37" s="182">
        <f t="shared" si="2"/>
        <v>1700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16</v>
      </c>
      <c r="D40" s="12">
        <f>C40*111</f>
        <v>1776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4</v>
      </c>
      <c r="D42" s="12">
        <f>C42*2.25</f>
        <v>9</v>
      </c>
      <c r="F42" s="39" t="s">
        <v>79</v>
      </c>
      <c r="G42" s="182">
        <v>113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5</v>
      </c>
      <c r="D44" s="12">
        <f>C44*120</f>
        <v>600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3</v>
      </c>
      <c r="D45" s="12">
        <f>C45*84</f>
        <v>252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5</v>
      </c>
      <c r="D46" s="12">
        <f>C46*1.5</f>
        <v>7.5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7</v>
      </c>
      <c r="D49" s="12">
        <f>C49*42</f>
        <v>294</v>
      </c>
      <c r="F49" s="158" t="s">
        <v>86</v>
      </c>
      <c r="G49" s="160">
        <f>H34+H35+H36+H37+H38+H39+H40+H41+G42+H44+H45+H46</f>
        <v>219063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13</v>
      </c>
      <c r="D50" s="12">
        <f>C50*1.5</f>
        <v>19.5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1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38856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BE97-9376-4357-90B6-9D4B69B9063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0DE2-34EB-4707-8CCA-F1228806EECF}">
  <dimension ref="A1:R59"/>
  <sheetViews>
    <sheetView topLeftCell="A22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45924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541</v>
      </c>
      <c r="D6" s="13">
        <f t="shared" ref="D6:D28" si="1">C6*L6</f>
        <v>398717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>
        <v>30</v>
      </c>
      <c r="D8" s="13">
        <f t="shared" si="1"/>
        <v>30990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>
        <v>1</v>
      </c>
      <c r="D12" s="48">
        <f t="shared" si="1"/>
        <v>952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22</v>
      </c>
      <c r="D13" s="48">
        <f t="shared" si="1"/>
        <v>6754</v>
      </c>
      <c r="F13" s="266" t="s">
        <v>36</v>
      </c>
      <c r="G13" s="230"/>
      <c r="H13" s="221">
        <f>D29</f>
        <v>438451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6</v>
      </c>
      <c r="D14" s="31">
        <f t="shared" si="1"/>
        <v>66</v>
      </c>
      <c r="F14" s="224" t="s">
        <v>39</v>
      </c>
      <c r="G14" s="225"/>
      <c r="H14" s="226">
        <f>D54</f>
        <v>79904.25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358546.75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5058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24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438451</v>
      </c>
      <c r="F29" s="138" t="s">
        <v>55</v>
      </c>
      <c r="G29" s="200"/>
      <c r="H29" s="160">
        <f>H15-H16-H17-H18-H19-H20-H22-H23-H24+H26+H27+H28</f>
        <v>353488.75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f>246+6</f>
        <v>252</v>
      </c>
      <c r="H34" s="182">
        <f t="shared" ref="H34:H39" si="2">F34*G34</f>
        <v>252000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200</v>
      </c>
      <c r="H35" s="182">
        <f t="shared" si="2"/>
        <v>100000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647</v>
      </c>
      <c r="D37" s="12">
        <f>C37*111</f>
        <v>71817</v>
      </c>
      <c r="F37" s="12">
        <v>100</v>
      </c>
      <c r="G37" s="39">
        <v>5</v>
      </c>
      <c r="H37" s="182">
        <f t="shared" si="2"/>
        <v>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24</v>
      </c>
      <c r="D38" s="12">
        <f>C38*84</f>
        <v>2016</v>
      </c>
      <c r="F38" s="30">
        <v>50</v>
      </c>
      <c r="G38" s="39">
        <v>14</v>
      </c>
      <c r="H38" s="182">
        <f t="shared" si="2"/>
        <v>700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6</v>
      </c>
      <c r="D40" s="12">
        <f>C40*111</f>
        <v>666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</v>
      </c>
      <c r="D42" s="12">
        <f>C42*2.25</f>
        <v>2.25</v>
      </c>
      <c r="F42" s="39" t="s">
        <v>79</v>
      </c>
      <c r="G42" s="182">
        <v>21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31</v>
      </c>
      <c r="D44" s="12">
        <f>C44*120</f>
        <v>3720</v>
      </c>
      <c r="F44" s="37"/>
      <c r="G44" s="63"/>
      <c r="H44" s="177"/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17</v>
      </c>
      <c r="D46" s="12">
        <f>C46*1.5</f>
        <v>25.5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22</v>
      </c>
      <c r="D49" s="12">
        <f>C49*42</f>
        <v>924</v>
      </c>
      <c r="F49" s="158" t="s">
        <v>86</v>
      </c>
      <c r="G49" s="160">
        <f>H34+H35+H36+H37+H38+H39+H40+H41+G42+H44+H45+H46</f>
        <v>353221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11</v>
      </c>
      <c r="D50" s="12">
        <f>C50*1.5</f>
        <v>16.5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-267.75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79904.25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6433-474A-42B6-814E-D8834E6BFA7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45924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ref="H35:H39" si="2"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25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03C3-9D4A-4370-B43F-171E4AC687BF}">
  <dimension ref="A1:S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45924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/>
      <c r="D6" s="13">
        <f t="shared" ref="D6:D28" si="1">C6*L6</f>
        <v>0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147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>F35*G35</f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0A4B-DCEE-4DDA-8357-A19A311D3DD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9C5E-C2BD-4660-B515-AE2BDE80D3F7}">
  <dimension ref="A1:T59"/>
  <sheetViews>
    <sheetView topLeftCell="A19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229</v>
      </c>
      <c r="D6" s="13">
        <f t="shared" ref="D6:D28" si="1">C6*L6</f>
        <v>168773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2</v>
      </c>
      <c r="D7" s="13">
        <f t="shared" si="1"/>
        <v>1450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1</v>
      </c>
      <c r="D8" s="13">
        <f t="shared" si="1"/>
        <v>1033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6</v>
      </c>
      <c r="D9" s="13">
        <f t="shared" si="1"/>
        <v>4242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9</v>
      </c>
      <c r="D13" s="48">
        <f t="shared" si="1"/>
        <v>2763</v>
      </c>
      <c r="F13" s="266" t="s">
        <v>36</v>
      </c>
      <c r="G13" s="230"/>
      <c r="H13" s="221">
        <f>D29</f>
        <v>179693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41954.25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137738.75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1899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149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24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179693</v>
      </c>
      <c r="F29" s="138" t="s">
        <v>55</v>
      </c>
      <c r="G29" s="200"/>
      <c r="H29" s="160">
        <f>H15-H16-H17-H18-H19-H20-H22-H23-H24+H26+H27+H28</f>
        <v>135839.75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15</v>
      </c>
      <c r="H34" s="182">
        <f t="shared" ref="H34:H39" si="2">F34*G34</f>
        <v>15000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9</v>
      </c>
      <c r="H35" s="182">
        <f t="shared" si="2"/>
        <v>4500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4</v>
      </c>
      <c r="D36" s="12">
        <f>C36*1.5</f>
        <v>6</v>
      </c>
      <c r="F36" s="12">
        <v>200</v>
      </c>
      <c r="G36" s="37">
        <v>1</v>
      </c>
      <c r="H36" s="182">
        <f t="shared" si="2"/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342</v>
      </c>
      <c r="D37" s="12">
        <f>C37*111</f>
        <v>37962</v>
      </c>
      <c r="F37" s="12">
        <v>100</v>
      </c>
      <c r="G37" s="39">
        <v>30</v>
      </c>
      <c r="H37" s="182">
        <f t="shared" si="2"/>
        <v>3000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6</v>
      </c>
      <c r="H38" s="182">
        <f t="shared" si="2"/>
        <v>300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13</v>
      </c>
      <c r="D40" s="12">
        <f>C40*111</f>
        <v>1443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</v>
      </c>
      <c r="D42" s="12">
        <f>C42*2.25</f>
        <v>2.25</v>
      </c>
      <c r="F42" s="39" t="s">
        <v>79</v>
      </c>
      <c r="G42" s="182">
        <v>51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5</v>
      </c>
      <c r="D44" s="12">
        <f>C44*120</f>
        <v>600</v>
      </c>
      <c r="F44" s="37" t="s">
        <v>150</v>
      </c>
      <c r="G44" s="63" t="s">
        <v>215</v>
      </c>
      <c r="H44" s="177">
        <v>112695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4</v>
      </c>
      <c r="D46" s="12">
        <f>C46*1.5</f>
        <v>6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14</v>
      </c>
      <c r="D49" s="12">
        <f>C49*42</f>
        <v>588</v>
      </c>
      <c r="F49" s="158" t="s">
        <v>86</v>
      </c>
      <c r="G49" s="160">
        <f>H34+H35+H36+H37+H38+H39+H40+H41+G42+H44+H45+H46</f>
        <v>135766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11</v>
      </c>
      <c r="D50" s="12">
        <f>C50*1.5</f>
        <v>16.5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-73.75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41954.25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7665-C881-4DD0-A79C-93048092331B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632</v>
      </c>
      <c r="D6" s="13">
        <f t="shared" ref="D6:D28" si="1">C6*L6</f>
        <v>465784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70</v>
      </c>
      <c r="D9" s="13">
        <f t="shared" si="1"/>
        <v>49490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29</v>
      </c>
      <c r="D13" s="48">
        <f t="shared" si="1"/>
        <v>8903</v>
      </c>
      <c r="F13" s="266" t="s">
        <v>36</v>
      </c>
      <c r="G13" s="230"/>
      <c r="H13" s="221">
        <f>D29</f>
        <v>524177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65337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458840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2061+4518</f>
        <v>6579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524177</v>
      </c>
      <c r="F29" s="138" t="s">
        <v>55</v>
      </c>
      <c r="G29" s="200"/>
      <c r="H29" s="160">
        <f>H15-H16-H17-H18-H19-H20-H22-H23-H24+H26+H27</f>
        <v>452261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269</v>
      </c>
      <c r="H34" s="182">
        <f>F34*G34</f>
        <v>269000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72</v>
      </c>
      <c r="H35" s="182">
        <f t="shared" ref="H35:H39" si="2">F35*G35</f>
        <v>36000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17</v>
      </c>
      <c r="D36" s="12">
        <f>C36*1.5</f>
        <v>25.5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540</v>
      </c>
      <c r="D37" s="12">
        <f>C37*111</f>
        <v>59940</v>
      </c>
      <c r="F37" s="12">
        <v>100</v>
      </c>
      <c r="G37" s="39">
        <v>98</v>
      </c>
      <c r="H37" s="182">
        <f t="shared" si="2"/>
        <v>9800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35</v>
      </c>
      <c r="D38" s="12">
        <f>C38*84</f>
        <v>2940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2</v>
      </c>
      <c r="D42" s="12">
        <f>C42*2.25</f>
        <v>4.5</v>
      </c>
      <c r="F42" s="39" t="s">
        <v>79</v>
      </c>
      <c r="G42" s="182">
        <v>41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</v>
      </c>
      <c r="D44" s="12">
        <f>C44*120</f>
        <v>120</v>
      </c>
      <c r="F44" s="37" t="s">
        <v>150</v>
      </c>
      <c r="G44" s="63" t="s">
        <v>214</v>
      </c>
      <c r="H44" s="177">
        <v>137486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2</v>
      </c>
      <c r="D45" s="12">
        <f>C45*84</f>
        <v>168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18</v>
      </c>
      <c r="D46" s="12">
        <f>C46*1.5</f>
        <v>27</v>
      </c>
      <c r="F46" s="37"/>
      <c r="G46" s="125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22</v>
      </c>
      <c r="D49" s="12">
        <f>C49*42</f>
        <v>924</v>
      </c>
      <c r="F49" s="158" t="s">
        <v>86</v>
      </c>
      <c r="G49" s="160">
        <f>H34+H35+H36+H37+H38+H39+H40+H41+G42+H44+H45+H46</f>
        <v>452327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14</v>
      </c>
      <c r="D50" s="12">
        <f>C50*1.5</f>
        <v>21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66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65337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2F7B-07CD-47FC-917A-E4DFCC40815D}">
  <dimension ref="A1:S59"/>
  <sheetViews>
    <sheetView topLeftCell="A19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45925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12">
        <v>490</v>
      </c>
      <c r="D6" s="13">
        <f t="shared" ref="D6:D28" si="1">C6*L6</f>
        <v>361130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12">
        <v>30</v>
      </c>
      <c r="D7" s="13">
        <f t="shared" si="1"/>
        <v>21750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12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12">
        <v>82</v>
      </c>
      <c r="D9" s="13">
        <f t="shared" si="1"/>
        <v>57974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12">
        <v>2</v>
      </c>
      <c r="D10" s="13">
        <f t="shared" si="1"/>
        <v>1944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12">
        <v>12</v>
      </c>
      <c r="D11" s="13">
        <f t="shared" si="1"/>
        <v>13500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12">
        <v>14</v>
      </c>
      <c r="D12" s="48">
        <f t="shared" si="1"/>
        <v>13328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12">
        <v>15</v>
      </c>
      <c r="D13" s="48">
        <f t="shared" si="1"/>
        <v>4605</v>
      </c>
      <c r="F13" s="266" t="s">
        <v>36</v>
      </c>
      <c r="G13" s="230"/>
      <c r="H13" s="221">
        <f>D29</f>
        <v>475027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12">
        <v>1</v>
      </c>
      <c r="D14" s="31">
        <f t="shared" si="1"/>
        <v>11</v>
      </c>
      <c r="F14" s="224" t="s">
        <v>39</v>
      </c>
      <c r="G14" s="225"/>
      <c r="H14" s="226">
        <f>D54</f>
        <v>27330.75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12"/>
      <c r="D15" s="31">
        <f t="shared" si="1"/>
        <v>0</v>
      </c>
      <c r="F15" s="229" t="s">
        <v>40</v>
      </c>
      <c r="G15" s="230"/>
      <c r="H15" s="231">
        <f>H13-H14</f>
        <v>447696.25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12"/>
      <c r="D16" s="48">
        <f t="shared" si="1"/>
        <v>0</v>
      </c>
      <c r="F16" s="68" t="s">
        <v>42</v>
      </c>
      <c r="G16" s="67" t="s">
        <v>43</v>
      </c>
      <c r="H16" s="191">
        <f>648</f>
        <v>648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12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12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12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12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12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12"/>
      <c r="D22" s="48">
        <f t="shared" si="1"/>
        <v>0</v>
      </c>
      <c r="F22" s="78" t="s">
        <v>178</v>
      </c>
      <c r="G22" s="74">
        <v>6061</v>
      </c>
      <c r="H22" s="207">
        <v>256879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12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12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12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12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12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12">
        <v>1</v>
      </c>
      <c r="D28" s="48">
        <f t="shared" si="1"/>
        <v>785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475027</v>
      </c>
      <c r="F29" s="138" t="s">
        <v>55</v>
      </c>
      <c r="G29" s="200"/>
      <c r="H29" s="160">
        <f>H15-H16-H17-H18-H19-H20-H22-H23-H24+H26+H27</f>
        <v>190169.25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101</v>
      </c>
      <c r="H34" s="182">
        <f>F34*G34</f>
        <v>101000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34</v>
      </c>
      <c r="H35" s="182">
        <f>F35*G35</f>
        <v>17000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82">
        <f t="shared" ref="H36:H39" si="2">F36*G36</f>
        <v>200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233</v>
      </c>
      <c r="D37" s="12">
        <f>C37*111</f>
        <v>25863</v>
      </c>
      <c r="F37" s="12">
        <v>100</v>
      </c>
      <c r="G37" s="39">
        <v>56</v>
      </c>
      <c r="H37" s="182">
        <f t="shared" si="2"/>
        <v>5600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18</v>
      </c>
      <c r="H38" s="182">
        <f t="shared" si="2"/>
        <v>900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9</v>
      </c>
      <c r="D40" s="12">
        <f>C40*111</f>
        <v>999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7</v>
      </c>
      <c r="D42" s="12">
        <f>C42*2.25</f>
        <v>15.75</v>
      </c>
      <c r="F42" s="39" t="s">
        <v>79</v>
      </c>
      <c r="G42" s="182">
        <v>2256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1</v>
      </c>
      <c r="D44" s="12">
        <f>C44*120</f>
        <v>120</v>
      </c>
      <c r="F44" s="37" t="s">
        <v>168</v>
      </c>
      <c r="G44" s="77" t="s">
        <v>213</v>
      </c>
      <c r="H44" s="177">
        <v>66405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193381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23</v>
      </c>
      <c r="D50" s="12">
        <f>C50*1.5</f>
        <v>34.5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3211.75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27330.75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5D9-C993-4B5C-860A-EAE043CFF2E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6604-32DA-4AB2-9D31-BDA5B7418A7C}">
  <dimension ref="A1:T59"/>
  <sheetViews>
    <sheetView topLeftCell="A19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f>1404+10</f>
        <v>1414</v>
      </c>
      <c r="D6" s="13">
        <f t="shared" ref="D6:D28" si="1">C6*L6</f>
        <v>1042118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7</v>
      </c>
      <c r="D8" s="13">
        <f t="shared" si="1"/>
        <v>7231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2</v>
      </c>
      <c r="D10" s="13">
        <f t="shared" si="1"/>
        <v>1944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72</v>
      </c>
      <c r="D13" s="48">
        <f t="shared" si="1"/>
        <v>22104</v>
      </c>
      <c r="F13" s="266" t="s">
        <v>36</v>
      </c>
      <c r="G13" s="230"/>
      <c r="H13" s="221">
        <f>D29</f>
        <v>1073397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140349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933048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13284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24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1073397</v>
      </c>
      <c r="F29" s="138" t="s">
        <v>55</v>
      </c>
      <c r="G29" s="200"/>
      <c r="H29" s="160">
        <f>H15-H16-H17-H18-H19-H20-H22-H23-H24+H26+H27+H28</f>
        <v>919764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12</v>
      </c>
      <c r="H34" s="182">
        <f t="shared" ref="H34:H39" si="2">F34*G34</f>
        <v>12000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si="2"/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1194</v>
      </c>
      <c r="D37" s="12">
        <f>C37*111</f>
        <v>132534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26</v>
      </c>
      <c r="D38" s="12">
        <f>C38*84</f>
        <v>2184</v>
      </c>
      <c r="F38" s="30">
        <v>50</v>
      </c>
      <c r="G38" s="39">
        <v>3</v>
      </c>
      <c r="H38" s="182">
        <f t="shared" si="2"/>
        <v>150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41</v>
      </c>
      <c r="D40" s="12">
        <f>C40*111</f>
        <v>4551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5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7</v>
      </c>
      <c r="D44" s="12">
        <f>C44*120</f>
        <v>840</v>
      </c>
      <c r="F44" s="37" t="s">
        <v>150</v>
      </c>
      <c r="G44" s="63" t="s">
        <v>216</v>
      </c>
      <c r="H44" s="177">
        <v>908073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920228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141</v>
      </c>
      <c r="G51" s="168">
        <f>G49-H29</f>
        <v>464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140349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31C9-5BCF-4279-9ACE-92DFD827C2EF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254</v>
      </c>
      <c r="D6" s="13">
        <f t="shared" ref="D6:D28" si="1">C6*L6</f>
        <v>187198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3</v>
      </c>
      <c r="D7" s="13">
        <f t="shared" si="1"/>
        <v>2175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26</v>
      </c>
      <c r="D9" s="13">
        <f t="shared" si="1"/>
        <v>18382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7</v>
      </c>
      <c r="D13" s="48">
        <f t="shared" si="1"/>
        <v>2149</v>
      </c>
      <c r="F13" s="266" t="s">
        <v>36</v>
      </c>
      <c r="G13" s="230"/>
      <c r="H13" s="221">
        <f>D29</f>
        <v>211288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4</v>
      </c>
      <c r="D14" s="31">
        <f t="shared" si="1"/>
        <v>44</v>
      </c>
      <c r="F14" s="224" t="s">
        <v>39</v>
      </c>
      <c r="G14" s="225"/>
      <c r="H14" s="226">
        <f>D54</f>
        <v>32382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178906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920</f>
        <v>920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>
        <v>2</v>
      </c>
      <c r="D22" s="48">
        <f t="shared" si="1"/>
        <v>1340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211288</v>
      </c>
      <c r="F29" s="138" t="s">
        <v>55</v>
      </c>
      <c r="G29" s="200"/>
      <c r="H29" s="160">
        <f>H15-H16-H17-H18-H19-H20-H22-H23-H24+H26+H27</f>
        <v>177986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116</v>
      </c>
      <c r="H34" s="182">
        <f>F34*G34</f>
        <v>116000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105</v>
      </c>
      <c r="H35" s="182">
        <f t="shared" ref="H35:H39" si="2">F35*G35</f>
        <v>52500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82">
        <f>F36*G36</f>
        <v>600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276</v>
      </c>
      <c r="D37" s="12">
        <f>C37*111</f>
        <v>30636</v>
      </c>
      <c r="F37" s="12">
        <v>100</v>
      </c>
      <c r="G37" s="39">
        <v>86</v>
      </c>
      <c r="H37" s="182">
        <f t="shared" si="2"/>
        <v>8600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19</v>
      </c>
      <c r="H38" s="182">
        <f t="shared" si="2"/>
        <v>950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>
        <v>4</v>
      </c>
      <c r="H39" s="182">
        <f t="shared" si="2"/>
        <v>80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6</v>
      </c>
      <c r="D42" s="12">
        <f>C42*2.25</f>
        <v>13.5</v>
      </c>
      <c r="F42" s="39" t="s">
        <v>79</v>
      </c>
      <c r="G42" s="182">
        <v>1051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25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3</v>
      </c>
      <c r="D49" s="12">
        <f>C49*42</f>
        <v>126</v>
      </c>
      <c r="F49" s="158" t="s">
        <v>86</v>
      </c>
      <c r="G49" s="160">
        <f>H34+H35+H36+H37+H38+H39+H40+H41+G42+H44+H45+H46</f>
        <v>179781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17</v>
      </c>
      <c r="D50" s="12">
        <f>C50*1.5</f>
        <v>25.5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154</v>
      </c>
      <c r="G51" s="168">
        <f>G49-H29</f>
        <v>1795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32382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87E6-FD25-49F8-925A-6E33E5C6A079}">
  <dimension ref="A1:S59"/>
  <sheetViews>
    <sheetView topLeftCell="A22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45926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689</v>
      </c>
      <c r="D6" s="13">
        <f t="shared" ref="D6:D28" si="1">C6*L6</f>
        <v>507793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30</v>
      </c>
      <c r="D7" s="13">
        <f t="shared" si="1"/>
        <v>21750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121</v>
      </c>
      <c r="D9" s="13">
        <f t="shared" si="1"/>
        <v>85547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26</v>
      </c>
      <c r="D13" s="48">
        <f t="shared" si="1"/>
        <v>7982</v>
      </c>
      <c r="F13" s="266" t="s">
        <v>36</v>
      </c>
      <c r="G13" s="230"/>
      <c r="H13" s="221">
        <f>D29</f>
        <v>631054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12</v>
      </c>
      <c r="D14" s="31">
        <f t="shared" si="1"/>
        <v>132</v>
      </c>
      <c r="F14" s="224" t="s">
        <v>39</v>
      </c>
      <c r="G14" s="225"/>
      <c r="H14" s="226">
        <f>D54</f>
        <v>51854.25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579199.75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4836</f>
        <v>4836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10</v>
      </c>
      <c r="D28" s="48">
        <f t="shared" si="1"/>
        <v>7850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631054</v>
      </c>
      <c r="F29" s="138" t="s">
        <v>55</v>
      </c>
      <c r="G29" s="200"/>
      <c r="H29" s="160">
        <f>H15-H16-H17-H18-H19-H20-H22-H23-H24+H26+H27</f>
        <v>574363.75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/>
      <c r="H34" s="182">
        <f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82</v>
      </c>
      <c r="H35" s="182">
        <f>F35*G35</f>
        <v>41000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428</v>
      </c>
      <c r="D37" s="12">
        <f>C37*111</f>
        <v>47508</v>
      </c>
      <c r="F37" s="12">
        <v>100</v>
      </c>
      <c r="G37" s="39">
        <v>1</v>
      </c>
      <c r="H37" s="182">
        <f t="shared" si="2"/>
        <v>100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12</v>
      </c>
      <c r="D38" s="12">
        <f>C38*84</f>
        <v>1008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4</v>
      </c>
      <c r="H39" s="182">
        <f t="shared" si="2"/>
        <v>80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14</v>
      </c>
      <c r="D40" s="12">
        <f>C40*111</f>
        <v>1554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82">
        <v>60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3</v>
      </c>
      <c r="D44" s="12">
        <f>C44*120</f>
        <v>360</v>
      </c>
      <c r="F44" s="37" t="s">
        <v>168</v>
      </c>
      <c r="G44" s="77" t="s">
        <v>217</v>
      </c>
      <c r="H44" s="177">
        <v>532583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2</v>
      </c>
      <c r="D45" s="12">
        <f>C45*84</f>
        <v>168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</v>
      </c>
      <c r="D46" s="12">
        <f>C46*1.5</f>
        <v>1.5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12</v>
      </c>
      <c r="D48" s="12">
        <f>C48*78</f>
        <v>936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573823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23</v>
      </c>
      <c r="D50" s="12">
        <f>C50*1.5</f>
        <v>34.5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-540.75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51854.25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A176-03AF-4188-BE1B-3680033620D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3561-5716-4D1E-9143-DAA2571906CD}">
  <dimension ref="A1:T59"/>
  <sheetViews>
    <sheetView topLeftCell="A31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45927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1802</v>
      </c>
      <c r="D6" s="13">
        <f t="shared" ref="D6:D28" si="1">C6*L6</f>
        <v>1328074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96</v>
      </c>
      <c r="D7" s="13">
        <f t="shared" si="1"/>
        <v>69600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>
        <v>60</v>
      </c>
      <c r="D8" s="13">
        <f t="shared" si="1"/>
        <v>61980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216</v>
      </c>
      <c r="D9" s="13">
        <f t="shared" si="1"/>
        <v>152712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31</v>
      </c>
      <c r="D10" s="13">
        <f t="shared" si="1"/>
        <v>30132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3</v>
      </c>
      <c r="D11" s="13">
        <f t="shared" si="1"/>
        <v>3375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33</v>
      </c>
      <c r="D12" s="48">
        <f t="shared" si="1"/>
        <v>31416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39</v>
      </c>
      <c r="D13" s="48">
        <f t="shared" si="1"/>
        <v>11973</v>
      </c>
      <c r="F13" s="266" t="s">
        <v>36</v>
      </c>
      <c r="G13" s="230"/>
      <c r="H13" s="221">
        <f>D29</f>
        <v>1689262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40677.75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1648584.25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4689+11394</f>
        <v>16083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24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1689262</v>
      </c>
      <c r="F29" s="138" t="s">
        <v>55</v>
      </c>
      <c r="G29" s="200"/>
      <c r="H29" s="160">
        <f>H15-H16-H17-H18-H19-H20-H22-H23-H24+H26+H27+H28</f>
        <v>1632501.25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f>257+329</f>
        <v>586</v>
      </c>
      <c r="H34" s="182">
        <f t="shared" ref="H34:H39" si="2">F34*G34</f>
        <v>586000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f>171+2</f>
        <v>173</v>
      </c>
      <c r="H35" s="182">
        <f t="shared" si="2"/>
        <v>86500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317</v>
      </c>
      <c r="D37" s="12">
        <f>C37*111</f>
        <v>35187</v>
      </c>
      <c r="F37" s="12">
        <v>100</v>
      </c>
      <c r="G37" s="39">
        <v>9</v>
      </c>
      <c r="H37" s="182">
        <f t="shared" si="2"/>
        <v>900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</v>
      </c>
      <c r="H38" s="182">
        <f t="shared" si="2"/>
        <v>100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9</v>
      </c>
      <c r="D42" s="12">
        <f>C42*2.25</f>
        <v>20.25</v>
      </c>
      <c r="F42" s="39" t="s">
        <v>79</v>
      </c>
      <c r="G42" s="182">
        <f>8+21</f>
        <v>29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36</v>
      </c>
      <c r="D44" s="12">
        <f>C44*120</f>
        <v>4320</v>
      </c>
      <c r="F44" s="37" t="s">
        <v>150</v>
      </c>
      <c r="G44" s="63" t="s">
        <v>219</v>
      </c>
      <c r="H44" s="177">
        <v>927123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22</v>
      </c>
      <c r="D46" s="12">
        <f>C46*1.5</f>
        <v>33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</v>
      </c>
      <c r="D49" s="12">
        <f>C49*42</f>
        <v>84</v>
      </c>
      <c r="F49" s="158" t="s">
        <v>86</v>
      </c>
      <c r="G49" s="160">
        <f>H34+H35+H36+H37+H38+H39+H40+H41+G42+H44+H45+H46</f>
        <v>1600652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10</v>
      </c>
      <c r="D50" s="12">
        <f>C50*1.5</f>
        <v>15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-31849.25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40677.75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711A-726B-4FB3-9EDB-AEF8250F3EAF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45927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85</v>
      </c>
      <c r="D6" s="13">
        <f t="shared" ref="D6:D28" si="1">C6*L6</f>
        <v>62645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4</v>
      </c>
      <c r="D7" s="13">
        <f t="shared" si="1"/>
        <v>2900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20</v>
      </c>
      <c r="D9" s="13">
        <f t="shared" si="1"/>
        <v>14140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>
        <v>1</v>
      </c>
      <c r="D10" s="13">
        <f t="shared" si="1"/>
        <v>972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2</v>
      </c>
      <c r="D13" s="48">
        <f t="shared" si="1"/>
        <v>614</v>
      </c>
      <c r="F13" s="266" t="s">
        <v>36</v>
      </c>
      <c r="G13" s="230"/>
      <c r="H13" s="221">
        <f>D29</f>
        <v>81326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5</v>
      </c>
      <c r="D14" s="31">
        <f t="shared" si="1"/>
        <v>55</v>
      </c>
      <c r="F14" s="224" t="s">
        <v>39</v>
      </c>
      <c r="G14" s="225"/>
      <c r="H14" s="226">
        <f>D54</f>
        <v>12651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68675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81326</v>
      </c>
      <c r="F29" s="138" t="s">
        <v>55</v>
      </c>
      <c r="G29" s="200"/>
      <c r="H29" s="160">
        <f>H15-H16-H17-H18-H19-H20-H22-H23-H24+H26+H27</f>
        <v>68675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34</v>
      </c>
      <c r="H34" s="182">
        <f>F34*G34</f>
        <v>34000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46</v>
      </c>
      <c r="H35" s="182">
        <f t="shared" ref="H35:H39" si="2">F35*G35</f>
        <v>23000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8</v>
      </c>
      <c r="D36" s="12">
        <f>C36*1.5</f>
        <v>12</v>
      </c>
      <c r="F36" s="12">
        <v>200</v>
      </c>
      <c r="G36" s="37">
        <v>4</v>
      </c>
      <c r="H36" s="182">
        <f>F36*G36</f>
        <v>800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107</v>
      </c>
      <c r="D37" s="12">
        <f>C37*111</f>
        <v>11877</v>
      </c>
      <c r="F37" s="12">
        <v>100</v>
      </c>
      <c r="G37" s="39">
        <v>101</v>
      </c>
      <c r="H37" s="182">
        <f t="shared" si="2"/>
        <v>10100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>
        <v>13</v>
      </c>
      <c r="H38" s="182">
        <f t="shared" si="2"/>
        <v>650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30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63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3</v>
      </c>
      <c r="D46" s="12">
        <f>C46*1.5</f>
        <v>4.5</v>
      </c>
      <c r="F46" s="37"/>
      <c r="G46" s="125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68580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18</v>
      </c>
      <c r="D50" s="12">
        <f>C50*1.5</f>
        <v>27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-95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12651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1213-917D-4654-9687-A59683B41090}">
  <dimension ref="A1:S59"/>
  <sheetViews>
    <sheetView topLeftCell="A31"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45927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346</v>
      </c>
      <c r="D6" s="13">
        <f t="shared" ref="D6:D28" si="1">C6*L6</f>
        <v>255002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1</v>
      </c>
      <c r="D7" s="13">
        <f t="shared" si="1"/>
        <v>725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14</v>
      </c>
      <c r="D9" s="13">
        <f t="shared" si="1"/>
        <v>9898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16</v>
      </c>
      <c r="D13" s="48">
        <f t="shared" si="1"/>
        <v>4912</v>
      </c>
      <c r="F13" s="266" t="s">
        <v>36</v>
      </c>
      <c r="G13" s="230"/>
      <c r="H13" s="221">
        <f>D29</f>
        <v>271843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6</v>
      </c>
      <c r="D14" s="31">
        <f t="shared" si="1"/>
        <v>66</v>
      </c>
      <c r="F14" s="224" t="s">
        <v>39</v>
      </c>
      <c r="G14" s="225"/>
      <c r="H14" s="226">
        <f>D54</f>
        <v>57276.75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>
        <v>2</v>
      </c>
      <c r="D15" s="31">
        <f t="shared" si="1"/>
        <v>1240</v>
      </c>
      <c r="F15" s="229" t="s">
        <v>40</v>
      </c>
      <c r="G15" s="230"/>
      <c r="H15" s="231">
        <f>H13-H14</f>
        <v>214566.25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2022+90</f>
        <v>2112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155</v>
      </c>
      <c r="G26" s="60">
        <v>5829</v>
      </c>
      <c r="H26" s="212">
        <v>113032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271843</v>
      </c>
      <c r="F29" s="138" t="s">
        <v>55</v>
      </c>
      <c r="G29" s="200"/>
      <c r="H29" s="160">
        <f>H15-H16-H17-H18-H19-H20-H22-H23-H24+H26+H27</f>
        <v>325486.25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84</v>
      </c>
      <c r="H34" s="182">
        <f>F34*G34</f>
        <v>84000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66</v>
      </c>
      <c r="H35" s="182">
        <f>F35*G35</f>
        <v>33000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481</v>
      </c>
      <c r="D37" s="12">
        <f>C37*111</f>
        <v>53391</v>
      </c>
      <c r="F37" s="12">
        <v>100</v>
      </c>
      <c r="G37" s="39">
        <v>15</v>
      </c>
      <c r="H37" s="182">
        <f t="shared" si="2"/>
        <v>1500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75</v>
      </c>
      <c r="H38" s="182">
        <f t="shared" si="2"/>
        <v>3750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14</v>
      </c>
      <c r="D40" s="12">
        <f>C40*111</f>
        <v>1554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</v>
      </c>
      <c r="D42" s="12">
        <f>C42*2.25</f>
        <v>2.25</v>
      </c>
      <c r="F42" s="39" t="s">
        <v>79</v>
      </c>
      <c r="G42" s="182">
        <v>4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>
        <v>4</v>
      </c>
      <c r="D44" s="12">
        <f>C44*120</f>
        <v>480</v>
      </c>
      <c r="F44" s="37" t="s">
        <v>168</v>
      </c>
      <c r="G44" s="77" t="s">
        <v>218</v>
      </c>
      <c r="H44" s="177">
        <v>203473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5</v>
      </c>
      <c r="D46" s="12">
        <f>C46*1.5</f>
        <v>7.5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24</v>
      </c>
      <c r="D49" s="12">
        <f>C49*42</f>
        <v>1008</v>
      </c>
      <c r="F49" s="158" t="s">
        <v>86</v>
      </c>
      <c r="G49" s="160">
        <f>H34+H35+H36+H37+H38+H39+H40+H41+G42+H44+H45+H46</f>
        <v>325767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16</v>
      </c>
      <c r="D50" s="12">
        <f>C50*1.5</f>
        <v>24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280.75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57276.75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5C2F-0AB6-4EC5-91B2-DC03F2F55A3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27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24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F67E-78E7-4533-AA51-4D6279631F8D}">
  <dimension ref="A1:T59"/>
  <sheetViews>
    <sheetView topLeftCell="A22" zoomScaleNormal="100" zoomScaleSheetLayoutView="85" workbookViewId="0">
      <selection activeCell="H48" sqref="H48:J48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29" t="s">
        <v>2</v>
      </c>
      <c r="Q1" s="129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45929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972</v>
      </c>
      <c r="D6" s="13">
        <f t="shared" ref="D6:D28" si="1">C6*L6</f>
        <v>716364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96</v>
      </c>
      <c r="D7" s="13">
        <f t="shared" si="1"/>
        <v>69600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540</v>
      </c>
      <c r="D9" s="13">
        <f t="shared" si="1"/>
        <v>381780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40</v>
      </c>
      <c r="D13" s="48">
        <f t="shared" si="1"/>
        <v>12280</v>
      </c>
      <c r="F13" s="266" t="s">
        <v>36</v>
      </c>
      <c r="G13" s="230"/>
      <c r="H13" s="221">
        <f>D29</f>
        <v>1180024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16137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1163887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14832</f>
        <v>14832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/>
      <c r="D19" s="48">
        <f t="shared" si="1"/>
        <v>0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/>
      <c r="G22" s="74"/>
      <c r="H22" s="207"/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/>
      <c r="G26" s="66"/>
      <c r="H26" s="177"/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72"/>
      <c r="G27" s="133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30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1180024</v>
      </c>
      <c r="F29" s="138" t="s">
        <v>55</v>
      </c>
      <c r="G29" s="200"/>
      <c r="H29" s="160">
        <f>H15-H16-H17-H18-H19-H20-H22-H23-H24+H26+H27+H28</f>
        <v>1149055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1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15</v>
      </c>
      <c r="D34" s="30">
        <f>C34*120</f>
        <v>1800</v>
      </c>
      <c r="F34" s="12">
        <v>1000</v>
      </c>
      <c r="G34" s="40"/>
      <c r="H34" s="182">
        <f t="shared" ref="H34:H39" si="2"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si="2"/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94</v>
      </c>
      <c r="D37" s="12">
        <f>C37*111</f>
        <v>10434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33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7</v>
      </c>
      <c r="D44" s="12">
        <f>C44*120</f>
        <v>840</v>
      </c>
      <c r="F44" s="37" t="s">
        <v>150</v>
      </c>
      <c r="G44" s="63" t="s">
        <v>226</v>
      </c>
      <c r="H44" s="177">
        <v>1149055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7"/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35</v>
      </c>
      <c r="D48" s="12">
        <f>C48*78</f>
        <v>2730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1149055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16137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127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1980-8128-43DE-A562-C910601488E3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9" t="s">
        <v>2</v>
      </c>
      <c r="Q1" s="12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45929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759</v>
      </c>
      <c r="D6" s="13">
        <f t="shared" ref="D6:D28" si="1">C6*L6</f>
        <v>559383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1</v>
      </c>
      <c r="D7" s="13">
        <f t="shared" si="1"/>
        <v>725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110</v>
      </c>
      <c r="D9" s="13">
        <f t="shared" si="1"/>
        <v>77770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/>
      <c r="D13" s="48">
        <f t="shared" si="1"/>
        <v>0</v>
      </c>
      <c r="F13" s="266" t="s">
        <v>36</v>
      </c>
      <c r="G13" s="230"/>
      <c r="H13" s="221">
        <f>D29</f>
        <v>637878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777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637101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7776</f>
        <v>7776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1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30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637878</v>
      </c>
      <c r="F29" s="138" t="s">
        <v>55</v>
      </c>
      <c r="G29" s="200"/>
      <c r="H29" s="160">
        <f>H15-H16-H17-H18-H19-H20-H22-H23-H24+H26+H27</f>
        <v>629325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1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</v>
      </c>
      <c r="H34" s="182">
        <f>F34*G34</f>
        <v>2000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</v>
      </c>
      <c r="H35" s="182">
        <f t="shared" ref="H35:H39" si="2">F35*G35</f>
        <v>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6</v>
      </c>
      <c r="D37" s="12">
        <f>C37*111</f>
        <v>666</v>
      </c>
      <c r="F37" s="12">
        <v>100</v>
      </c>
      <c r="G37" s="39">
        <v>4</v>
      </c>
      <c r="H37" s="182">
        <f t="shared" si="2"/>
        <v>400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182">
        <f t="shared" si="2"/>
        <v>50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3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33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220</v>
      </c>
      <c r="H44" s="177">
        <v>625752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63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32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628705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-620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777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7571-7B14-44CB-8132-14607A67C15B}">
  <dimension ref="A1:S59"/>
  <sheetViews>
    <sheetView topLeftCell="A22" zoomScaleNormal="100" zoomScaleSheetLayoutView="85" workbookViewId="0">
      <selection activeCell="F37" sqref="F3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9" t="s">
        <v>2</v>
      </c>
      <c r="Q1" s="12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45929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1034</v>
      </c>
      <c r="D6" s="13">
        <f t="shared" ref="D6:D28" si="1">C6*L6</f>
        <v>762058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2</v>
      </c>
      <c r="D7" s="13">
        <f t="shared" si="1"/>
        <v>1450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200</v>
      </c>
      <c r="D9" s="13">
        <f t="shared" si="1"/>
        <v>141400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50</v>
      </c>
      <c r="D13" s="48">
        <f t="shared" si="1"/>
        <v>15350</v>
      </c>
      <c r="F13" s="266" t="s">
        <v>36</v>
      </c>
      <c r="G13" s="230"/>
      <c r="H13" s="221">
        <f>D29</f>
        <v>920258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29157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891101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11250</f>
        <v>11250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8" t="s">
        <v>221</v>
      </c>
      <c r="G22" s="74">
        <v>5835</v>
      </c>
      <c r="H22" s="207">
        <v>859670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30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920258</v>
      </c>
      <c r="F29" s="138" t="s">
        <v>55</v>
      </c>
      <c r="G29" s="200"/>
      <c r="H29" s="160">
        <f>H15-H16-H17-H18-H19-H20-H22-H23-H24+H26+H27</f>
        <v>20181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1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20</v>
      </c>
      <c r="H34" s="182">
        <f>F34*G34</f>
        <v>20000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</v>
      </c>
      <c r="H35" s="182">
        <f>F35*G35</f>
        <v>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 t="shared" ref="H36:H39" si="2"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254</v>
      </c>
      <c r="D37" s="12">
        <f>C37*111</f>
        <v>28194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8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33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6</v>
      </c>
      <c r="D49" s="12">
        <f>C49*42</f>
        <v>252</v>
      </c>
      <c r="F49" s="158" t="s">
        <v>86</v>
      </c>
      <c r="G49" s="160">
        <f>H34+H35+H36+H37+H38+H39+H40+H41+G42+H44+H45+H46</f>
        <v>20508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327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29157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ABBB-575A-4776-9B28-BC375CD70F8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9" t="s">
        <v>2</v>
      </c>
      <c r="Q1" s="12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/>
      <c r="H4" s="239" t="s">
        <v>9</v>
      </c>
      <c r="I4" s="241"/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/>
      <c r="C6" s="10"/>
      <c r="D6" s="13">
        <f t="shared" ref="D6:D28" si="1">C6*L6</f>
        <v>0</v>
      </c>
      <c r="F6" s="245" t="s">
        <v>16</v>
      </c>
      <c r="G6" s="247"/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/>
      <c r="C7" s="10"/>
      <c r="D7" s="13">
        <f t="shared" si="1"/>
        <v>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/>
      <c r="C8" s="10"/>
      <c r="D8" s="13">
        <f t="shared" si="1"/>
        <v>0</v>
      </c>
      <c r="F8" s="253" t="s">
        <v>21</v>
      </c>
      <c r="G8" s="254"/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/>
      <c r="C9" s="10"/>
      <c r="D9" s="13">
        <f t="shared" si="1"/>
        <v>0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C10" s="10"/>
      <c r="D10" s="13">
        <f t="shared" si="1"/>
        <v>0</v>
      </c>
      <c r="F10" s="245" t="s">
        <v>26</v>
      </c>
      <c r="G10" s="260"/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/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/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/>
      <c r="C13" s="10"/>
      <c r="D13" s="48">
        <f t="shared" si="1"/>
        <v>0</v>
      </c>
      <c r="F13" s="266" t="s">
        <v>36</v>
      </c>
      <c r="G13" s="230"/>
      <c r="H13" s="221">
        <f>D29</f>
        <v>0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/>
      <c r="C14" s="10"/>
      <c r="D14" s="31">
        <f t="shared" si="1"/>
        <v>0</v>
      </c>
      <c r="F14" s="224" t="s">
        <v>39</v>
      </c>
      <c r="G14" s="225"/>
      <c r="H14" s="226">
        <f>D54</f>
        <v>0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/>
      <c r="C15" s="10"/>
      <c r="D15" s="31">
        <f t="shared" si="1"/>
        <v>0</v>
      </c>
      <c r="F15" s="229" t="s">
        <v>40</v>
      </c>
      <c r="G15" s="230"/>
      <c r="H15" s="231">
        <f>H13-H14</f>
        <v>0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91"/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/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/>
      <c r="C19" s="10"/>
      <c r="D19" s="48">
        <f t="shared" si="1"/>
        <v>0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/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/>
      <c r="C22" s="10"/>
      <c r="D22" s="48">
        <f t="shared" si="1"/>
        <v>0</v>
      </c>
      <c r="F22" s="78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/>
      <c r="C23" s="10"/>
      <c r="D23" s="48">
        <f t="shared" si="1"/>
        <v>0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/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/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/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/>
      <c r="C28" s="10"/>
      <c r="D28" s="48">
        <f t="shared" si="1"/>
        <v>0</v>
      </c>
      <c r="F28" s="130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0</v>
      </c>
      <c r="F29" s="138" t="s">
        <v>55</v>
      </c>
      <c r="G29" s="200"/>
      <c r="H29" s="160">
        <f>H15-H16-H17-H18-H19-H20-H22-H23-H24+H26+H27</f>
        <v>0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1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182"/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/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/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82"/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/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/>
      <c r="H39" s="182"/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33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/>
      <c r="G44" s="77"/>
      <c r="H44" s="177"/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/>
      <c r="D48" s="12">
        <f>C48*78</f>
        <v>0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/>
      <c r="D49" s="12">
        <f>C49*42</f>
        <v>0</v>
      </c>
      <c r="F49" s="158" t="s">
        <v>86</v>
      </c>
      <c r="G49" s="160">
        <f>H34+H35+H36+H37+H38+H39+H40+H41+G42+H44+H45+H46</f>
        <v>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/>
      <c r="D50" s="12">
        <f>C50*1.5</f>
        <v>0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143</v>
      </c>
      <c r="G51" s="168">
        <f>G49-H29</f>
        <v>0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0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8AED-1BE0-4527-B223-41D33421D9FD}">
  <dimension ref="A1:T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20" x14ac:dyDescent="0.25">
      <c r="A1" t="s">
        <v>0</v>
      </c>
      <c r="N1" s="234" t="s">
        <v>1</v>
      </c>
      <c r="O1" s="234"/>
      <c r="P1" s="129" t="s">
        <v>2</v>
      </c>
      <c r="Q1" s="129" t="s">
        <v>3</v>
      </c>
      <c r="R1" s="2" t="s">
        <v>4</v>
      </c>
    </row>
    <row r="2" spans="1:20" x14ac:dyDescent="0.25">
      <c r="A2" t="s">
        <v>5</v>
      </c>
      <c r="N2" s="1"/>
    </row>
    <row r="3" spans="1:20" x14ac:dyDescent="0.25">
      <c r="N3" s="1" t="s">
        <v>6</v>
      </c>
      <c r="O3" s="4"/>
    </row>
    <row r="4" spans="1:20" x14ac:dyDescent="0.25">
      <c r="A4" s="185" t="s">
        <v>7</v>
      </c>
      <c r="B4" s="186"/>
      <c r="C4" s="186"/>
      <c r="D4" s="187"/>
      <c r="F4" s="235" t="s">
        <v>8</v>
      </c>
      <c r="G4" s="237">
        <v>1</v>
      </c>
      <c r="H4" s="239" t="s">
        <v>9</v>
      </c>
      <c r="I4" s="241">
        <v>45930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20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20" ht="14.45" customHeight="1" x14ac:dyDescent="0.25">
      <c r="A6" s="180"/>
      <c r="B6" s="16" t="s">
        <v>15</v>
      </c>
      <c r="C6" s="10">
        <v>1527</v>
      </c>
      <c r="D6" s="13">
        <f t="shared" ref="D6:D28" si="1">C6*L6</f>
        <v>1125399</v>
      </c>
      <c r="F6" s="245" t="s">
        <v>16</v>
      </c>
      <c r="G6" s="247" t="s">
        <v>147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20" ht="14.45" customHeight="1" x14ac:dyDescent="0.25">
      <c r="A7" s="180"/>
      <c r="B7" s="16" t="s">
        <v>18</v>
      </c>
      <c r="C7" s="10">
        <v>37</v>
      </c>
      <c r="D7" s="13">
        <f t="shared" si="1"/>
        <v>26825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20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112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20" ht="14.45" customHeight="1" x14ac:dyDescent="0.25">
      <c r="A9" s="180"/>
      <c r="B9" s="16" t="s">
        <v>23</v>
      </c>
      <c r="C9" s="10">
        <v>329</v>
      </c>
      <c r="D9" s="13">
        <f t="shared" si="1"/>
        <v>232603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20" ht="14.45" customHeight="1" x14ac:dyDescent="0.25">
      <c r="A10" s="180"/>
      <c r="B10" t="s">
        <v>25</v>
      </c>
      <c r="C10" s="10">
        <v>2</v>
      </c>
      <c r="D10" s="13">
        <f t="shared" si="1"/>
        <v>1944</v>
      </c>
      <c r="F10" s="245" t="s">
        <v>26</v>
      </c>
      <c r="G10" s="260" t="s">
        <v>199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20" ht="15.75" x14ac:dyDescent="0.25">
      <c r="A11" s="180"/>
      <c r="B11" s="17" t="s">
        <v>28</v>
      </c>
      <c r="C11" s="10">
        <v>2</v>
      </c>
      <c r="D11" s="13">
        <f t="shared" si="1"/>
        <v>2250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20" ht="15.75" x14ac:dyDescent="0.25">
      <c r="A12" s="180"/>
      <c r="B12" s="17" t="s">
        <v>30</v>
      </c>
      <c r="C12" s="10">
        <v>3</v>
      </c>
      <c r="D12" s="48">
        <f t="shared" si="1"/>
        <v>2856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20" ht="15.75" x14ac:dyDescent="0.25">
      <c r="A13" s="180"/>
      <c r="B13" s="17" t="s">
        <v>32</v>
      </c>
      <c r="C13" s="10">
        <v>77</v>
      </c>
      <c r="D13" s="48">
        <f t="shared" si="1"/>
        <v>23639</v>
      </c>
      <c r="F13" s="266" t="s">
        <v>36</v>
      </c>
      <c r="G13" s="230"/>
      <c r="H13" s="221">
        <f>D29</f>
        <v>1432063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20" ht="15.75" x14ac:dyDescent="0.25">
      <c r="A14" s="180"/>
      <c r="B14" s="14" t="s">
        <v>35</v>
      </c>
      <c r="C14" s="10"/>
      <c r="D14" s="31">
        <f t="shared" si="1"/>
        <v>0</v>
      </c>
      <c r="F14" s="224" t="s">
        <v>39</v>
      </c>
      <c r="G14" s="225"/>
      <c r="H14" s="226">
        <f>D54</f>
        <v>35003.25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20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1397059.75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20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16695</f>
        <v>16695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  <c r="T16">
        <f>626*3</f>
        <v>1878</v>
      </c>
    </row>
    <row r="17" spans="1:18" ht="15.75" x14ac:dyDescent="0.25">
      <c r="A17" s="180"/>
      <c r="B17" t="s">
        <v>135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>
        <v>10</v>
      </c>
      <c r="D18" s="48">
        <f t="shared" si="1"/>
        <v>6200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137</v>
      </c>
      <c r="C19" s="10">
        <v>1</v>
      </c>
      <c r="D19" s="48">
        <f t="shared" si="1"/>
        <v>1102</v>
      </c>
      <c r="F19" s="57"/>
      <c r="G19" s="69" t="s">
        <v>50</v>
      </c>
      <c r="H19" s="202"/>
      <c r="I19" s="202"/>
      <c r="J19" s="202"/>
      <c r="L19" s="6">
        <v>1102</v>
      </c>
      <c r="Q19" s="4"/>
      <c r="R19" s="5">
        <f t="shared" si="0"/>
        <v>0</v>
      </c>
    </row>
    <row r="20" spans="1:18" ht="15.75" x14ac:dyDescent="0.25">
      <c r="A20" s="180"/>
      <c r="B20" s="84" t="s">
        <v>136</v>
      </c>
      <c r="C20" s="10">
        <v>1</v>
      </c>
      <c r="D20" s="13">
        <f t="shared" si="1"/>
        <v>1175</v>
      </c>
      <c r="F20" s="58"/>
      <c r="G20" s="71" t="s">
        <v>122</v>
      </c>
      <c r="H20" s="191"/>
      <c r="I20" s="191"/>
      <c r="J20" s="191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149</v>
      </c>
      <c r="C21" s="10">
        <f>5+5</f>
        <v>10</v>
      </c>
      <c r="D21" s="48">
        <f t="shared" si="1"/>
        <v>6500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139</v>
      </c>
      <c r="C22" s="10"/>
      <c r="D22" s="48">
        <f t="shared" si="1"/>
        <v>0</v>
      </c>
      <c r="F22" s="78" t="s">
        <v>197</v>
      </c>
      <c r="G22" s="74">
        <v>6184</v>
      </c>
      <c r="H22" s="207">
        <v>92186</v>
      </c>
      <c r="I22" s="207"/>
      <c r="J22" s="207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123</v>
      </c>
      <c r="C23" s="10"/>
      <c r="D23" s="48">
        <f t="shared" si="1"/>
        <v>0</v>
      </c>
      <c r="F23" s="78"/>
      <c r="G23" s="80"/>
      <c r="H23" s="274"/>
      <c r="I23" s="275"/>
      <c r="J23" s="275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124</v>
      </c>
      <c r="C24" s="10"/>
      <c r="D24" s="48">
        <f t="shared" si="1"/>
        <v>0</v>
      </c>
      <c r="F24" s="78"/>
      <c r="G24" s="80"/>
      <c r="H24" s="274"/>
      <c r="I24" s="275"/>
      <c r="J24" s="275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140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110</v>
      </c>
      <c r="C26" s="10"/>
      <c r="D26" s="48">
        <f t="shared" si="1"/>
        <v>0</v>
      </c>
      <c r="F26" s="76" t="s">
        <v>197</v>
      </c>
      <c r="G26" s="66">
        <v>5998</v>
      </c>
      <c r="H26" s="177">
        <v>84668</v>
      </c>
      <c r="I26" s="177"/>
      <c r="J26" s="177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119</v>
      </c>
      <c r="C27" s="10"/>
      <c r="D27" s="44">
        <f t="shared" si="1"/>
        <v>0</v>
      </c>
      <c r="F27" s="137"/>
      <c r="G27" s="133"/>
      <c r="H27" s="276"/>
      <c r="I27" s="277"/>
      <c r="J27" s="277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>
        <v>2</v>
      </c>
      <c r="D28" s="48">
        <f t="shared" si="1"/>
        <v>1570</v>
      </c>
      <c r="F28" s="130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1432063</v>
      </c>
      <c r="F29" s="138" t="s">
        <v>55</v>
      </c>
      <c r="G29" s="200"/>
      <c r="H29" s="160">
        <f>H15-H16-H17-H18-H19-H20-H22-H23-H24+H26+H27+H28</f>
        <v>1372846.75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1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/>
      <c r="H34" s="182">
        <f t="shared" ref="H34:H39" si="2">F34*G34</f>
        <v>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/>
      <c r="H35" s="182">
        <f t="shared" si="2"/>
        <v>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182">
        <f t="shared" si="2"/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292</v>
      </c>
      <c r="D37" s="12">
        <f>C37*111</f>
        <v>32412</v>
      </c>
      <c r="F37" s="12">
        <v>100</v>
      </c>
      <c r="G37" s="39"/>
      <c r="H37" s="182">
        <f t="shared" si="2"/>
        <v>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/>
      <c r="D38" s="12">
        <f>C38*84</f>
        <v>0</v>
      </c>
      <c r="F38" s="30">
        <v>50</v>
      </c>
      <c r="G38" s="39"/>
      <c r="H38" s="182">
        <f t="shared" si="2"/>
        <v>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82">
        <f t="shared" si="2"/>
        <v>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82"/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33" t="s">
        <v>83</v>
      </c>
      <c r="H43" s="174" t="s">
        <v>13</v>
      </c>
      <c r="I43" s="175"/>
      <c r="J43" s="176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53"/>
      <c r="B44" s="27" t="s">
        <v>66</v>
      </c>
      <c r="C44" s="10">
        <v>5</v>
      </c>
      <c r="D44" s="12">
        <f>C44*120</f>
        <v>600</v>
      </c>
      <c r="F44" s="37" t="s">
        <v>150</v>
      </c>
      <c r="G44" s="107" t="s">
        <v>222</v>
      </c>
      <c r="H44" s="177">
        <v>1000000</v>
      </c>
      <c r="I44" s="177"/>
      <c r="J44" s="177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153"/>
      <c r="B45" s="27" t="s">
        <v>68</v>
      </c>
      <c r="C45" s="33">
        <v>1</v>
      </c>
      <c r="D45" s="12">
        <f>C45*84</f>
        <v>84</v>
      </c>
      <c r="F45" s="37" t="s">
        <v>150</v>
      </c>
      <c r="G45" s="63" t="s">
        <v>226</v>
      </c>
      <c r="H45" s="177">
        <v>288209.5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>
        <v>16</v>
      </c>
      <c r="D46" s="12">
        <f>C46*1.5</f>
        <v>24</v>
      </c>
      <c r="F46" s="134" t="s">
        <v>200</v>
      </c>
      <c r="G46" s="63"/>
      <c r="H46" s="177">
        <v>84668</v>
      </c>
      <c r="I46" s="177"/>
      <c r="J46" s="177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4</v>
      </c>
      <c r="D49" s="12">
        <f>C49*42</f>
        <v>168</v>
      </c>
      <c r="F49" s="158" t="s">
        <v>86</v>
      </c>
      <c r="G49" s="160">
        <f>H34+H35+H36+H37+H38+H39+H40+H41+G42+H44+H45+H46</f>
        <v>1372877.5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19</v>
      </c>
      <c r="D50" s="12">
        <f>C50*1.5</f>
        <v>28.5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156</v>
      </c>
      <c r="G51" s="168">
        <f>G49-H29</f>
        <v>30.75</v>
      </c>
      <c r="H51" s="169"/>
      <c r="I51" s="169"/>
      <c r="J51" s="1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171"/>
      <c r="H52" s="172"/>
      <c r="I52" s="172"/>
      <c r="J52" s="1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35003.25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BB2C-5A1A-4454-AD99-37A4E77FEBE8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34" t="s">
        <v>1</v>
      </c>
      <c r="O1" s="234"/>
      <c r="P1" s="129" t="s">
        <v>2</v>
      </c>
      <c r="Q1" s="12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85" t="s">
        <v>7</v>
      </c>
      <c r="B4" s="186"/>
      <c r="C4" s="186"/>
      <c r="D4" s="187"/>
      <c r="F4" s="235" t="s">
        <v>8</v>
      </c>
      <c r="G4" s="237">
        <v>2</v>
      </c>
      <c r="H4" s="239" t="s">
        <v>9</v>
      </c>
      <c r="I4" s="241">
        <v>45930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80"/>
      <c r="B6" s="16" t="s">
        <v>15</v>
      </c>
      <c r="C6" s="10">
        <v>735</v>
      </c>
      <c r="D6" s="13">
        <f t="shared" ref="D6:D28" si="1">C6*L6</f>
        <v>541695</v>
      </c>
      <c r="F6" s="245" t="s">
        <v>16</v>
      </c>
      <c r="G6" s="247" t="s">
        <v>125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80"/>
      <c r="B7" s="16" t="s">
        <v>18</v>
      </c>
      <c r="C7" s="10">
        <v>34</v>
      </c>
      <c r="D7" s="13">
        <f t="shared" si="1"/>
        <v>24650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114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80"/>
      <c r="B9" s="16" t="s">
        <v>23</v>
      </c>
      <c r="C9" s="10">
        <v>113</v>
      </c>
      <c r="D9" s="13">
        <f t="shared" si="1"/>
        <v>79891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115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8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80"/>
      <c r="B13" s="17" t="s">
        <v>32</v>
      </c>
      <c r="C13" s="10">
        <v>64</v>
      </c>
      <c r="D13" s="48">
        <f t="shared" si="1"/>
        <v>19648</v>
      </c>
      <c r="F13" s="266" t="s">
        <v>36</v>
      </c>
      <c r="G13" s="230"/>
      <c r="H13" s="221">
        <f>D29</f>
        <v>665939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80"/>
      <c r="B14" s="14" t="s">
        <v>35</v>
      </c>
      <c r="C14" s="10">
        <v>5</v>
      </c>
      <c r="D14" s="31">
        <f t="shared" si="1"/>
        <v>55</v>
      </c>
      <c r="F14" s="224" t="s">
        <v>39</v>
      </c>
      <c r="G14" s="225"/>
      <c r="H14" s="226">
        <f>D54</f>
        <v>48276.75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617662.25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v>6642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93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7"/>
      <c r="I19" s="267"/>
      <c r="J19" s="26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129</v>
      </c>
      <c r="C20" s="10"/>
      <c r="D20" s="13">
        <f t="shared" si="1"/>
        <v>0</v>
      </c>
      <c r="F20" s="58"/>
      <c r="G20" s="71" t="s">
        <v>122</v>
      </c>
      <c r="H20" s="202"/>
      <c r="I20" s="202"/>
      <c r="J20" s="202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138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73"/>
      <c r="G22" s="74"/>
      <c r="H22" s="207"/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/>
      <c r="D23" s="48">
        <f t="shared" si="1"/>
        <v>0</v>
      </c>
      <c r="F23" s="25"/>
      <c r="G23" s="37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131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132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 t="s">
        <v>163</v>
      </c>
      <c r="G26" s="10"/>
      <c r="H26" s="212">
        <v>118883</v>
      </c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14"/>
      <c r="G27" s="14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30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665939</v>
      </c>
      <c r="F29" s="138" t="s">
        <v>55</v>
      </c>
      <c r="G29" s="200"/>
      <c r="H29" s="160">
        <f>H15-H16-H17-H18-H19-H20-H22-H23-H24+H26+H27</f>
        <v>729903.25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1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103</v>
      </c>
      <c r="H34" s="182">
        <f>F34*G34</f>
        <v>103000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55</v>
      </c>
      <c r="H35" s="182">
        <f t="shared" ref="H35:H39" si="2">F35*G35</f>
        <v>27500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/>
      <c r="H36" s="182">
        <f>F36*G36</f>
        <v>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400</v>
      </c>
      <c r="D37" s="12">
        <f>C37*111</f>
        <v>44400</v>
      </c>
      <c r="F37" s="12">
        <v>100</v>
      </c>
      <c r="G37" s="39">
        <v>9</v>
      </c>
      <c r="H37" s="182">
        <f t="shared" si="2"/>
        <v>900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20</v>
      </c>
      <c r="D38" s="12">
        <f>C38*84</f>
        <v>1680</v>
      </c>
      <c r="F38" s="30">
        <v>50</v>
      </c>
      <c r="G38" s="39">
        <v>4</v>
      </c>
      <c r="H38" s="182">
        <f t="shared" si="2"/>
        <v>200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2</v>
      </c>
      <c r="H39" s="182">
        <f t="shared" si="2"/>
        <v>40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>
        <v>13</v>
      </c>
      <c r="D42" s="12">
        <f>C42*2.25</f>
        <v>29.25</v>
      </c>
      <c r="F42" s="39" t="s">
        <v>79</v>
      </c>
      <c r="G42" s="182">
        <v>174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33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150</v>
      </c>
      <c r="G44" s="63" t="s">
        <v>223</v>
      </c>
      <c r="H44" s="177">
        <v>478803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 t="s">
        <v>150</v>
      </c>
      <c r="G45" s="63" t="s">
        <v>224</v>
      </c>
      <c r="H45" s="177">
        <v>118883</v>
      </c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132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19</v>
      </c>
      <c r="D49" s="12">
        <f>C49*42</f>
        <v>798</v>
      </c>
      <c r="F49" s="158" t="s">
        <v>86</v>
      </c>
      <c r="G49" s="160">
        <f>H34+H35+H36+H37+H38+H39+H40+H41+G42+H44+H45+H46</f>
        <v>729500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4</v>
      </c>
      <c r="D50" s="12">
        <f>C50*1.5</f>
        <v>6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142</v>
      </c>
      <c r="G51" s="268">
        <f>G49-H29</f>
        <v>-403.25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48276.75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134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9B4A-DCCF-4D6B-A917-34E50EE966FE}">
  <dimension ref="A1:S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34" t="s">
        <v>1</v>
      </c>
      <c r="O1" s="234"/>
      <c r="P1" s="129" t="s">
        <v>2</v>
      </c>
      <c r="Q1" s="12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85" t="s">
        <v>7</v>
      </c>
      <c r="B4" s="186"/>
      <c r="C4" s="186"/>
      <c r="D4" s="187"/>
      <c r="F4" s="235" t="s">
        <v>8</v>
      </c>
      <c r="G4" s="237">
        <v>3</v>
      </c>
      <c r="H4" s="239" t="s">
        <v>9</v>
      </c>
      <c r="I4" s="241">
        <v>45930</v>
      </c>
      <c r="J4" s="242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79" t="s">
        <v>7</v>
      </c>
      <c r="B5" s="15" t="s">
        <v>11</v>
      </c>
      <c r="C5" s="9" t="s">
        <v>12</v>
      </c>
      <c r="D5" s="25" t="s">
        <v>13</v>
      </c>
      <c r="F5" s="236"/>
      <c r="G5" s="238"/>
      <c r="H5" s="240"/>
      <c r="I5" s="243"/>
      <c r="J5" s="244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80"/>
      <c r="B6" s="16" t="s">
        <v>15</v>
      </c>
      <c r="C6" s="10">
        <v>714</v>
      </c>
      <c r="D6" s="13">
        <f t="shared" ref="D6:D28" si="1">C6*L6</f>
        <v>526218</v>
      </c>
      <c r="F6" s="245" t="s">
        <v>16</v>
      </c>
      <c r="G6" s="247" t="s">
        <v>111</v>
      </c>
      <c r="H6" s="248"/>
      <c r="I6" s="248"/>
      <c r="J6" s="249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80"/>
      <c r="B7" s="16" t="s">
        <v>18</v>
      </c>
      <c r="C7" s="10">
        <v>30</v>
      </c>
      <c r="D7" s="13">
        <f t="shared" si="1"/>
        <v>21750</v>
      </c>
      <c r="F7" s="246"/>
      <c r="G7" s="250"/>
      <c r="H7" s="251"/>
      <c r="I7" s="251"/>
      <c r="J7" s="252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80"/>
      <c r="B8" s="16" t="s">
        <v>20</v>
      </c>
      <c r="C8" s="10"/>
      <c r="D8" s="13">
        <f t="shared" si="1"/>
        <v>0</v>
      </c>
      <c r="F8" s="253" t="s">
        <v>21</v>
      </c>
      <c r="G8" s="254" t="s">
        <v>120</v>
      </c>
      <c r="H8" s="255"/>
      <c r="I8" s="255"/>
      <c r="J8" s="256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80"/>
      <c r="B9" s="16" t="s">
        <v>23</v>
      </c>
      <c r="C9" s="10">
        <v>153</v>
      </c>
      <c r="D9" s="13">
        <f t="shared" si="1"/>
        <v>108171</v>
      </c>
      <c r="F9" s="246"/>
      <c r="G9" s="257"/>
      <c r="H9" s="258"/>
      <c r="I9" s="258"/>
      <c r="J9" s="259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80"/>
      <c r="B10" t="s">
        <v>25</v>
      </c>
      <c r="C10" s="10"/>
      <c r="D10" s="13">
        <f t="shared" si="1"/>
        <v>0</v>
      </c>
      <c r="F10" s="245" t="s">
        <v>26</v>
      </c>
      <c r="G10" s="260" t="s">
        <v>203</v>
      </c>
      <c r="H10" s="261"/>
      <c r="I10" s="261"/>
      <c r="J10" s="262"/>
      <c r="K10" s="8"/>
      <c r="L10" s="6">
        <f>R36</f>
        <v>972</v>
      </c>
      <c r="P10" s="4"/>
      <c r="Q10" s="4"/>
      <c r="R10" s="5"/>
    </row>
    <row r="11" spans="1:19" ht="15.75" x14ac:dyDescent="0.25">
      <c r="A11" s="180"/>
      <c r="B11" s="17" t="s">
        <v>28</v>
      </c>
      <c r="C11" s="10"/>
      <c r="D11" s="13">
        <f t="shared" si="1"/>
        <v>0</v>
      </c>
      <c r="F11" s="246"/>
      <c r="G11" s="257"/>
      <c r="H11" s="258"/>
      <c r="I11" s="258"/>
      <c r="J11" s="259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80"/>
      <c r="B12" s="17" t="s">
        <v>30</v>
      </c>
      <c r="C12" s="10"/>
      <c r="D12" s="48">
        <f t="shared" si="1"/>
        <v>0</v>
      </c>
      <c r="F12" s="263" t="s">
        <v>33</v>
      </c>
      <c r="G12" s="264"/>
      <c r="H12" s="264"/>
      <c r="I12" s="264"/>
      <c r="J12" s="265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80"/>
      <c r="B13" s="17" t="s">
        <v>32</v>
      </c>
      <c r="C13" s="10">
        <v>24</v>
      </c>
      <c r="D13" s="48">
        <f t="shared" si="1"/>
        <v>7368</v>
      </c>
      <c r="F13" s="266" t="s">
        <v>36</v>
      </c>
      <c r="G13" s="230"/>
      <c r="H13" s="221">
        <f>D29</f>
        <v>665795</v>
      </c>
      <c r="I13" s="222"/>
      <c r="J13" s="22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80"/>
      <c r="B14" s="14" t="s">
        <v>35</v>
      </c>
      <c r="C14" s="10">
        <v>1</v>
      </c>
      <c r="D14" s="31">
        <f t="shared" si="1"/>
        <v>11</v>
      </c>
      <c r="F14" s="224" t="s">
        <v>39</v>
      </c>
      <c r="G14" s="225"/>
      <c r="H14" s="226">
        <f>D54</f>
        <v>83884.5</v>
      </c>
      <c r="I14" s="227"/>
      <c r="J14" s="22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80"/>
      <c r="B15" s="14" t="s">
        <v>38</v>
      </c>
      <c r="C15" s="10"/>
      <c r="D15" s="31">
        <f t="shared" si="1"/>
        <v>0</v>
      </c>
      <c r="F15" s="229" t="s">
        <v>40</v>
      </c>
      <c r="G15" s="230"/>
      <c r="H15" s="231">
        <f>H13-H14</f>
        <v>581910.5</v>
      </c>
      <c r="I15" s="232"/>
      <c r="J15" s="233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80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91">
        <f>624+306+3120+600+630</f>
        <v>5280</v>
      </c>
      <c r="I16" s="191"/>
      <c r="J16" s="191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80"/>
      <c r="B17" t="s">
        <v>113</v>
      </c>
      <c r="C17" s="10"/>
      <c r="D17" s="48">
        <f t="shared" si="1"/>
        <v>0</v>
      </c>
      <c r="F17" s="57"/>
      <c r="G17" s="67" t="s">
        <v>45</v>
      </c>
      <c r="H17" s="202"/>
      <c r="I17" s="202"/>
      <c r="J17" s="20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80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202"/>
      <c r="I18" s="202"/>
      <c r="J18" s="20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80"/>
      <c r="B19" s="14" t="s">
        <v>117</v>
      </c>
      <c r="C19" s="10">
        <v>1</v>
      </c>
      <c r="D19" s="48">
        <f t="shared" si="1"/>
        <v>1102</v>
      </c>
      <c r="F19" s="57"/>
      <c r="G19" s="69" t="s">
        <v>50</v>
      </c>
      <c r="H19" s="203"/>
      <c r="I19" s="203"/>
      <c r="J19" s="20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80"/>
      <c r="B20" s="46" t="s">
        <v>108</v>
      </c>
      <c r="C20" s="10"/>
      <c r="D20" s="13">
        <f t="shared" si="1"/>
        <v>0</v>
      </c>
      <c r="F20" s="58"/>
      <c r="G20" s="71" t="s">
        <v>122</v>
      </c>
      <c r="H20" s="191"/>
      <c r="I20" s="191"/>
      <c r="J20" s="191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80"/>
      <c r="B21" s="14" t="s">
        <v>128</v>
      </c>
      <c r="C21" s="10"/>
      <c r="D21" s="48">
        <f t="shared" si="1"/>
        <v>0</v>
      </c>
      <c r="F21" s="70" t="s">
        <v>99</v>
      </c>
      <c r="G21" s="83" t="s">
        <v>98</v>
      </c>
      <c r="H21" s="204" t="s">
        <v>13</v>
      </c>
      <c r="I21" s="205"/>
      <c r="J21" s="206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80"/>
      <c r="B22" s="46" t="s">
        <v>104</v>
      </c>
      <c r="C22" s="10"/>
      <c r="D22" s="48">
        <f t="shared" si="1"/>
        <v>0</v>
      </c>
      <c r="F22" s="111" t="s">
        <v>176</v>
      </c>
      <c r="G22" s="74">
        <v>6076</v>
      </c>
      <c r="H22" s="207">
        <v>54732</v>
      </c>
      <c r="I22" s="207"/>
      <c r="J22" s="207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80"/>
      <c r="B23" s="14" t="s">
        <v>107</v>
      </c>
      <c r="C23" s="10">
        <v>1</v>
      </c>
      <c r="D23" s="48">
        <f t="shared" si="1"/>
        <v>1175</v>
      </c>
      <c r="F23" s="79"/>
      <c r="G23" s="80"/>
      <c r="H23" s="208"/>
      <c r="I23" s="177"/>
      <c r="J23" s="177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80"/>
      <c r="B24" s="14" t="s">
        <v>101</v>
      </c>
      <c r="C24" s="10"/>
      <c r="D24" s="48">
        <f t="shared" si="1"/>
        <v>0</v>
      </c>
      <c r="F24" s="38"/>
      <c r="G24" s="37"/>
      <c r="H24" s="208"/>
      <c r="I24" s="177"/>
      <c r="J24" s="177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80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09" t="s">
        <v>13</v>
      </c>
      <c r="I25" s="210"/>
      <c r="J25" s="21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80"/>
      <c r="B26" s="14" t="s">
        <v>105</v>
      </c>
      <c r="C26" s="10"/>
      <c r="D26" s="48">
        <f t="shared" si="1"/>
        <v>0</v>
      </c>
      <c r="F26" s="65"/>
      <c r="G26" s="60"/>
      <c r="H26" s="212"/>
      <c r="I26" s="213"/>
      <c r="J26" s="21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80"/>
      <c r="B27" s="14" t="s">
        <v>109</v>
      </c>
      <c r="C27" s="10"/>
      <c r="D27" s="44">
        <f t="shared" si="1"/>
        <v>0</v>
      </c>
      <c r="F27" s="25"/>
      <c r="G27" s="81"/>
      <c r="H27" s="215"/>
      <c r="I27" s="216"/>
      <c r="J27" s="21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81"/>
      <c r="B28" s="46" t="s">
        <v>97</v>
      </c>
      <c r="C28" s="10"/>
      <c r="D28" s="48">
        <f t="shared" si="1"/>
        <v>0</v>
      </c>
      <c r="F28" s="130"/>
      <c r="G28" s="62"/>
      <c r="H28" s="218"/>
      <c r="I28" s="219"/>
      <c r="J28" s="22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2" t="s">
        <v>36</v>
      </c>
      <c r="B29" s="193"/>
      <c r="C29" s="194"/>
      <c r="D29" s="198">
        <f>SUM(D6:D28)</f>
        <v>665795</v>
      </c>
      <c r="F29" s="138" t="s">
        <v>55</v>
      </c>
      <c r="G29" s="200"/>
      <c r="H29" s="160">
        <f>H15-H16-H17-H18-H19-H20-H22-H23-H24+H26+H27</f>
        <v>521898.5</v>
      </c>
      <c r="I29" s="161"/>
      <c r="J29" s="162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5"/>
      <c r="B30" s="196"/>
      <c r="C30" s="197"/>
      <c r="D30" s="199"/>
      <c r="F30" s="141"/>
      <c r="G30" s="201"/>
      <c r="H30" s="163"/>
      <c r="I30" s="164"/>
      <c r="J30" s="165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85" t="s">
        <v>58</v>
      </c>
      <c r="B32" s="186"/>
      <c r="C32" s="186"/>
      <c r="D32" s="187"/>
      <c r="F32" s="188" t="s">
        <v>59</v>
      </c>
      <c r="G32" s="189"/>
      <c r="H32" s="189"/>
      <c r="I32" s="189"/>
      <c r="J32" s="190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1" t="s">
        <v>63</v>
      </c>
      <c r="H33" s="188" t="s">
        <v>13</v>
      </c>
      <c r="I33" s="189"/>
      <c r="J33" s="190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79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91</v>
      </c>
      <c r="H34" s="182">
        <f>F34*G34</f>
        <v>91000</v>
      </c>
      <c r="I34" s="183"/>
      <c r="J34" s="184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80"/>
      <c r="B35" s="27" t="s">
        <v>68</v>
      </c>
      <c r="C35" s="52"/>
      <c r="D35" s="30">
        <f>C35*84</f>
        <v>0</v>
      </c>
      <c r="F35" s="59">
        <v>500</v>
      </c>
      <c r="G35" s="41">
        <v>156</v>
      </c>
      <c r="H35" s="182">
        <f>F35*G35</f>
        <v>78000</v>
      </c>
      <c r="I35" s="183"/>
      <c r="J35" s="184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81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82">
        <f t="shared" ref="H36:H39" si="2">F36*G36</f>
        <v>600</v>
      </c>
      <c r="I36" s="183"/>
      <c r="J36" s="184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79" t="s">
        <v>72</v>
      </c>
      <c r="B37" s="28" t="s">
        <v>66</v>
      </c>
      <c r="C37" s="53">
        <v>728</v>
      </c>
      <c r="D37" s="12">
        <f>C37*111</f>
        <v>80808</v>
      </c>
      <c r="F37" s="12">
        <v>100</v>
      </c>
      <c r="G37" s="39">
        <v>17</v>
      </c>
      <c r="H37" s="182">
        <f t="shared" si="2"/>
        <v>1700</v>
      </c>
      <c r="I37" s="183"/>
      <c r="J37" s="184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80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2</v>
      </c>
      <c r="H38" s="182">
        <f t="shared" si="2"/>
        <v>100</v>
      </c>
      <c r="I38" s="183"/>
      <c r="J38" s="184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81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182">
        <f t="shared" si="2"/>
        <v>20</v>
      </c>
      <c r="I39" s="183"/>
      <c r="J39" s="184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79" t="s">
        <v>76</v>
      </c>
      <c r="B40" s="27" t="s">
        <v>66</v>
      </c>
      <c r="C40" s="64">
        <v>16</v>
      </c>
      <c r="D40" s="12">
        <f>C40*111</f>
        <v>1776</v>
      </c>
      <c r="F40" s="12">
        <v>10</v>
      </c>
      <c r="G40" s="42"/>
      <c r="H40" s="182"/>
      <c r="I40" s="183"/>
      <c r="J40" s="184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80"/>
      <c r="B41" s="27" t="s">
        <v>68</v>
      </c>
      <c r="C41" s="10"/>
      <c r="D41" s="12">
        <f>C41*84</f>
        <v>0</v>
      </c>
      <c r="F41" s="12">
        <v>5</v>
      </c>
      <c r="G41" s="42"/>
      <c r="H41" s="182"/>
      <c r="I41" s="183"/>
      <c r="J41" s="184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81"/>
      <c r="B42" s="27" t="s">
        <v>70</v>
      </c>
      <c r="C42" s="11"/>
      <c r="D42" s="12">
        <f>C42*2.25</f>
        <v>0</v>
      </c>
      <c r="F42" s="39" t="s">
        <v>79</v>
      </c>
      <c r="G42" s="182">
        <v>97</v>
      </c>
      <c r="H42" s="183"/>
      <c r="I42" s="183"/>
      <c r="J42" s="184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52" t="s">
        <v>81</v>
      </c>
      <c r="C43" s="11"/>
      <c r="D43" s="12"/>
      <c r="F43" s="60" t="s">
        <v>82</v>
      </c>
      <c r="G43" s="133" t="s">
        <v>83</v>
      </c>
      <c r="H43" s="174" t="s">
        <v>13</v>
      </c>
      <c r="I43" s="175"/>
      <c r="J43" s="176"/>
      <c r="K43" s="21"/>
      <c r="P43" s="4"/>
      <c r="Q43" s="4"/>
      <c r="R43" s="5"/>
    </row>
    <row r="44" spans="1:18" ht="15.75" x14ac:dyDescent="0.25">
      <c r="A44" s="153"/>
      <c r="B44" s="27" t="s">
        <v>66</v>
      </c>
      <c r="C44" s="10"/>
      <c r="D44" s="12">
        <f>C44*120</f>
        <v>0</v>
      </c>
      <c r="F44" s="37" t="s">
        <v>168</v>
      </c>
      <c r="G44" s="77" t="s">
        <v>225</v>
      </c>
      <c r="H44" s="177">
        <v>349704</v>
      </c>
      <c r="I44" s="177"/>
      <c r="J44" s="177"/>
      <c r="K44" s="21"/>
      <c r="P44" s="4"/>
      <c r="Q44" s="4"/>
      <c r="R44" s="5"/>
    </row>
    <row r="45" spans="1:18" ht="15.75" x14ac:dyDescent="0.25">
      <c r="A45" s="153"/>
      <c r="B45" s="27" t="s">
        <v>68</v>
      </c>
      <c r="C45" s="33"/>
      <c r="D45" s="12">
        <f>C45*84</f>
        <v>0</v>
      </c>
      <c r="F45" s="37"/>
      <c r="G45" s="77"/>
      <c r="H45" s="177"/>
      <c r="I45" s="177"/>
      <c r="J45" s="177"/>
      <c r="K45" s="21"/>
      <c r="P45" s="4"/>
      <c r="Q45" s="4"/>
      <c r="R45" s="5"/>
    </row>
    <row r="46" spans="1:18" ht="15.75" x14ac:dyDescent="0.25">
      <c r="A46" s="153"/>
      <c r="B46" s="49" t="s">
        <v>70</v>
      </c>
      <c r="C46" s="82"/>
      <c r="D46" s="12">
        <f>C46*1.5</f>
        <v>0</v>
      </c>
      <c r="F46" s="37"/>
      <c r="G46" s="63"/>
      <c r="H46" s="178"/>
      <c r="I46" s="178"/>
      <c r="J46" s="178"/>
      <c r="K46" s="21"/>
      <c r="P46" s="4"/>
      <c r="Q46" s="4"/>
      <c r="R46" s="5"/>
    </row>
    <row r="47" spans="1:18" ht="15.75" x14ac:dyDescent="0.25">
      <c r="A47" s="154"/>
      <c r="B47" s="27"/>
      <c r="C47" s="11"/>
      <c r="D47" s="12"/>
      <c r="F47" s="60"/>
      <c r="G47" s="60"/>
      <c r="H47" s="155"/>
      <c r="I47" s="156"/>
      <c r="J47" s="157"/>
      <c r="K47" s="21"/>
      <c r="P47" s="4"/>
      <c r="Q47" s="4"/>
      <c r="R47" s="5"/>
    </row>
    <row r="48" spans="1:18" ht="15" customHeight="1" x14ac:dyDescent="0.25">
      <c r="A48" s="152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155"/>
      <c r="I48" s="156"/>
      <c r="J48" s="157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53"/>
      <c r="B49" s="29" t="s">
        <v>68</v>
      </c>
      <c r="C49" s="33">
        <v>1</v>
      </c>
      <c r="D49" s="12">
        <f>C49*42</f>
        <v>42</v>
      </c>
      <c r="F49" s="158" t="s">
        <v>86</v>
      </c>
      <c r="G49" s="160">
        <f>H34+H35+H36+H37+H38+H39+H40+H41+G42+H44+H45+H46</f>
        <v>521221</v>
      </c>
      <c r="H49" s="161"/>
      <c r="I49" s="161"/>
      <c r="J49" s="162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53"/>
      <c r="B50" s="32" t="s">
        <v>70</v>
      </c>
      <c r="C50" s="11">
        <v>23</v>
      </c>
      <c r="D50" s="12">
        <f>C50*1.5</f>
        <v>34.5</v>
      </c>
      <c r="F50" s="159"/>
      <c r="G50" s="163"/>
      <c r="H50" s="164"/>
      <c r="I50" s="164"/>
      <c r="J50" s="165"/>
      <c r="P50" s="4"/>
      <c r="Q50" s="4"/>
      <c r="R50" s="5"/>
    </row>
    <row r="51" spans="1:18" ht="15" customHeight="1" x14ac:dyDescent="0.25">
      <c r="A51" s="153"/>
      <c r="B51" s="27"/>
      <c r="C51" s="10"/>
      <c r="D51" s="31"/>
      <c r="F51" s="166" t="s">
        <v>133</v>
      </c>
      <c r="G51" s="268">
        <f>G49-H29</f>
        <v>-677.5</v>
      </c>
      <c r="H51" s="269"/>
      <c r="I51" s="269"/>
      <c r="J51" s="270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53"/>
      <c r="B52" s="29"/>
      <c r="C52" s="33"/>
      <c r="D52" s="45"/>
      <c r="F52" s="167"/>
      <c r="G52" s="271"/>
      <c r="H52" s="272"/>
      <c r="I52" s="272"/>
      <c r="J52" s="273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54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38" t="s">
        <v>90</v>
      </c>
      <c r="B54" s="139"/>
      <c r="C54" s="140"/>
      <c r="D54" s="144">
        <f>SUM(D34:D53)</f>
        <v>83884.5</v>
      </c>
      <c r="F54" s="21"/>
      <c r="J54" s="34"/>
    </row>
    <row r="55" spans="1:18" x14ac:dyDescent="0.25">
      <c r="A55" s="141"/>
      <c r="B55" s="142"/>
      <c r="C55" s="143"/>
      <c r="D55" s="1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146" t="s">
        <v>91</v>
      </c>
      <c r="B58" s="147"/>
      <c r="C58" s="147"/>
      <c r="D58" s="148"/>
      <c r="F58" s="146" t="s">
        <v>92</v>
      </c>
      <c r="G58" s="147"/>
      <c r="H58" s="147"/>
      <c r="I58" s="147"/>
      <c r="J58" s="148"/>
    </row>
    <row r="59" spans="1:18" x14ac:dyDescent="0.25">
      <c r="A59" s="149"/>
      <c r="B59" s="150"/>
      <c r="C59" s="150"/>
      <c r="D59" s="151"/>
      <c r="F59" s="149"/>
      <c r="G59" s="150"/>
      <c r="H59" s="150"/>
      <c r="I59" s="150"/>
      <c r="J59" s="1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106</vt:i4>
      </vt:variant>
      <vt:variant>
        <vt:lpstr>Named Ranges</vt:lpstr>
      </vt:variant>
      <vt:variant>
        <vt:i4>105</vt:i4>
      </vt:variant>
    </vt:vector>
  </HeadingPairs>
  <TitlesOfParts>
    <vt:vector size="211" baseType="lpstr">
      <vt:lpstr>(September 2025)</vt:lpstr>
      <vt:lpstr>(1)</vt:lpstr>
      <vt:lpstr>01,09 R2</vt:lpstr>
      <vt:lpstr>01,09 R3</vt:lpstr>
      <vt:lpstr>(2)</vt:lpstr>
      <vt:lpstr>02,09 R1</vt:lpstr>
      <vt:lpstr>02,09 R2</vt:lpstr>
      <vt:lpstr>02,09 R3</vt:lpstr>
      <vt:lpstr>(3)</vt:lpstr>
      <vt:lpstr>03,09 R1</vt:lpstr>
      <vt:lpstr>03,09 R2</vt:lpstr>
      <vt:lpstr>03,09 R3</vt:lpstr>
      <vt:lpstr>(4)</vt:lpstr>
      <vt:lpstr>04,09 R1</vt:lpstr>
      <vt:lpstr>04,09 R2</vt:lpstr>
      <vt:lpstr>04,09 R3</vt:lpstr>
      <vt:lpstr>(5)</vt:lpstr>
      <vt:lpstr>05,09 R1</vt:lpstr>
      <vt:lpstr>05,09 R2</vt:lpstr>
      <vt:lpstr>05,09 R3</vt:lpstr>
      <vt:lpstr>(6)</vt:lpstr>
      <vt:lpstr>06,09 R1</vt:lpstr>
      <vt:lpstr>06,09 R2</vt:lpstr>
      <vt:lpstr>06,09 R3</vt:lpstr>
      <vt:lpstr>(8)</vt:lpstr>
      <vt:lpstr>08,09 R1</vt:lpstr>
      <vt:lpstr>08,09 R2</vt:lpstr>
      <vt:lpstr>08,09 R3</vt:lpstr>
      <vt:lpstr>(9)</vt:lpstr>
      <vt:lpstr>09,09 R1</vt:lpstr>
      <vt:lpstr>09,09 R2</vt:lpstr>
      <vt:lpstr>09,09 R3</vt:lpstr>
      <vt:lpstr>(10)</vt:lpstr>
      <vt:lpstr>10,09 R1</vt:lpstr>
      <vt:lpstr>10,09 R2</vt:lpstr>
      <vt:lpstr>10,09 R3</vt:lpstr>
      <vt:lpstr>(11 No Trip)</vt:lpstr>
      <vt:lpstr>11,09 R1</vt:lpstr>
      <vt:lpstr>11,09 R2</vt:lpstr>
      <vt:lpstr>11,09 R3</vt:lpstr>
      <vt:lpstr>(12)</vt:lpstr>
      <vt:lpstr>12,09 R1</vt:lpstr>
      <vt:lpstr>12,09 R2</vt:lpstr>
      <vt:lpstr>12,09 R3</vt:lpstr>
      <vt:lpstr>(13)</vt:lpstr>
      <vt:lpstr>13,09 R1</vt:lpstr>
      <vt:lpstr>13,09 R2</vt:lpstr>
      <vt:lpstr>13,09 R3</vt:lpstr>
      <vt:lpstr>(14)</vt:lpstr>
      <vt:lpstr>14,09 R1</vt:lpstr>
      <vt:lpstr>(15)</vt:lpstr>
      <vt:lpstr>15,09 R1</vt:lpstr>
      <vt:lpstr>15,09 R2</vt:lpstr>
      <vt:lpstr>15,09 R3</vt:lpstr>
      <vt:lpstr>(16)</vt:lpstr>
      <vt:lpstr>16,09 R1</vt:lpstr>
      <vt:lpstr>16,09 R2</vt:lpstr>
      <vt:lpstr>16,09 R3</vt:lpstr>
      <vt:lpstr>(17)</vt:lpstr>
      <vt:lpstr>17,09 R1</vt:lpstr>
      <vt:lpstr>17,09 R2</vt:lpstr>
      <vt:lpstr>17,09 R3</vt:lpstr>
      <vt:lpstr>(18)</vt:lpstr>
      <vt:lpstr>18,09 R1</vt:lpstr>
      <vt:lpstr>18,09 R2</vt:lpstr>
      <vt:lpstr>18,09 R3</vt:lpstr>
      <vt:lpstr>(19)</vt:lpstr>
      <vt:lpstr>19,09 R1</vt:lpstr>
      <vt:lpstr>19,09 R2</vt:lpstr>
      <vt:lpstr>19,09 R3</vt:lpstr>
      <vt:lpstr>(20)</vt:lpstr>
      <vt:lpstr>20,09 R1</vt:lpstr>
      <vt:lpstr>20,09 R2</vt:lpstr>
      <vt:lpstr>20,09 R3</vt:lpstr>
      <vt:lpstr>(22)</vt:lpstr>
      <vt:lpstr>22,09 R1</vt:lpstr>
      <vt:lpstr>22,09 R2</vt:lpstr>
      <vt:lpstr>22,09 R3</vt:lpstr>
      <vt:lpstr>(23)</vt:lpstr>
      <vt:lpstr>23,09 R1</vt:lpstr>
      <vt:lpstr>23,09 R2</vt:lpstr>
      <vt:lpstr>23,09 R3</vt:lpstr>
      <vt:lpstr>(24)</vt:lpstr>
      <vt:lpstr>24,09 R1</vt:lpstr>
      <vt:lpstr>24,09 R2 No Trip</vt:lpstr>
      <vt:lpstr>24,09 R3 No Trip</vt:lpstr>
      <vt:lpstr>(25)</vt:lpstr>
      <vt:lpstr>25,09 R1</vt:lpstr>
      <vt:lpstr>25,09 R2</vt:lpstr>
      <vt:lpstr>25,09 R3</vt:lpstr>
      <vt:lpstr>(26)</vt:lpstr>
      <vt:lpstr>26,09 R1</vt:lpstr>
      <vt:lpstr>26,09 R2</vt:lpstr>
      <vt:lpstr>26,09 R3</vt:lpstr>
      <vt:lpstr>(27)</vt:lpstr>
      <vt:lpstr>27,09 R1</vt:lpstr>
      <vt:lpstr>27,09 R2</vt:lpstr>
      <vt:lpstr>27,09 R3</vt:lpstr>
      <vt:lpstr>(29)</vt:lpstr>
      <vt:lpstr>29,09 R1</vt:lpstr>
      <vt:lpstr>29,09 R2</vt:lpstr>
      <vt:lpstr>29,09 R3</vt:lpstr>
      <vt:lpstr>(30)</vt:lpstr>
      <vt:lpstr>30,09 R1</vt:lpstr>
      <vt:lpstr>30,09 R2</vt:lpstr>
      <vt:lpstr>30,09 R3</vt:lpstr>
      <vt:lpstr>'(1)'!Print_Area</vt:lpstr>
      <vt:lpstr>'(10)'!Print_Area</vt:lpstr>
      <vt:lpstr>'(11 No Trip)'!Print_Area</vt:lpstr>
      <vt:lpstr>'(12)'!Print_Area</vt:lpstr>
      <vt:lpstr>'(13)'!Print_Area</vt:lpstr>
      <vt:lpstr>'(14)'!Print_Area</vt:lpstr>
      <vt:lpstr>'(15)'!Print_Area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'(22)'!Print_Area</vt:lpstr>
      <vt:lpstr>'(23)'!Print_Area</vt:lpstr>
      <vt:lpstr>'(24)'!Print_Area</vt:lpstr>
      <vt:lpstr>'(25)'!Print_Area</vt:lpstr>
      <vt:lpstr>'(26)'!Print_Area</vt:lpstr>
      <vt:lpstr>'(27)'!Print_Area</vt:lpstr>
      <vt:lpstr>'(29)'!Print_Area</vt:lpstr>
      <vt:lpstr>'(3)'!Print_Area</vt:lpstr>
      <vt:lpstr>'(30)'!Print_Area</vt:lpstr>
      <vt:lpstr>'(4)'!Print_Area</vt:lpstr>
      <vt:lpstr>'(5)'!Print_Area</vt:lpstr>
      <vt:lpstr>'(6)'!Print_Area</vt:lpstr>
      <vt:lpstr>'(8)'!Print_Area</vt:lpstr>
      <vt:lpstr>'(9)'!Print_Area</vt:lpstr>
      <vt:lpstr>'01,09 R2'!Print_Area</vt:lpstr>
      <vt:lpstr>'01,09 R3'!Print_Area</vt:lpstr>
      <vt:lpstr>'02,09 R1'!Print_Area</vt:lpstr>
      <vt:lpstr>'02,09 R2'!Print_Area</vt:lpstr>
      <vt:lpstr>'02,09 R3'!Print_Area</vt:lpstr>
      <vt:lpstr>'03,09 R1'!Print_Area</vt:lpstr>
      <vt:lpstr>'03,09 R2'!Print_Area</vt:lpstr>
      <vt:lpstr>'03,09 R3'!Print_Area</vt:lpstr>
      <vt:lpstr>'04,09 R1'!Print_Area</vt:lpstr>
      <vt:lpstr>'04,09 R2'!Print_Area</vt:lpstr>
      <vt:lpstr>'04,09 R3'!Print_Area</vt:lpstr>
      <vt:lpstr>'05,09 R1'!Print_Area</vt:lpstr>
      <vt:lpstr>'05,09 R2'!Print_Area</vt:lpstr>
      <vt:lpstr>'05,09 R3'!Print_Area</vt:lpstr>
      <vt:lpstr>'06,09 R1'!Print_Area</vt:lpstr>
      <vt:lpstr>'06,09 R2'!Print_Area</vt:lpstr>
      <vt:lpstr>'06,09 R3'!Print_Area</vt:lpstr>
      <vt:lpstr>'08,09 R1'!Print_Area</vt:lpstr>
      <vt:lpstr>'08,09 R2'!Print_Area</vt:lpstr>
      <vt:lpstr>'08,09 R3'!Print_Area</vt:lpstr>
      <vt:lpstr>'09,09 R1'!Print_Area</vt:lpstr>
      <vt:lpstr>'09,09 R2'!Print_Area</vt:lpstr>
      <vt:lpstr>'09,09 R3'!Print_Area</vt:lpstr>
      <vt:lpstr>'10,09 R1'!Print_Area</vt:lpstr>
      <vt:lpstr>'10,09 R2'!Print_Area</vt:lpstr>
      <vt:lpstr>'10,09 R3'!Print_Area</vt:lpstr>
      <vt:lpstr>'11,09 R1'!Print_Area</vt:lpstr>
      <vt:lpstr>'11,09 R2'!Print_Area</vt:lpstr>
      <vt:lpstr>'11,09 R3'!Print_Area</vt:lpstr>
      <vt:lpstr>'12,09 R1'!Print_Area</vt:lpstr>
      <vt:lpstr>'12,09 R2'!Print_Area</vt:lpstr>
      <vt:lpstr>'12,09 R3'!Print_Area</vt:lpstr>
      <vt:lpstr>'13,09 R1'!Print_Area</vt:lpstr>
      <vt:lpstr>'13,09 R2'!Print_Area</vt:lpstr>
      <vt:lpstr>'13,09 R3'!Print_Area</vt:lpstr>
      <vt:lpstr>'14,09 R1'!Print_Area</vt:lpstr>
      <vt:lpstr>'15,09 R1'!Print_Area</vt:lpstr>
      <vt:lpstr>'15,09 R2'!Print_Area</vt:lpstr>
      <vt:lpstr>'15,09 R3'!Print_Area</vt:lpstr>
      <vt:lpstr>'16,09 R1'!Print_Area</vt:lpstr>
      <vt:lpstr>'16,09 R2'!Print_Area</vt:lpstr>
      <vt:lpstr>'16,09 R3'!Print_Area</vt:lpstr>
      <vt:lpstr>'17,09 R1'!Print_Area</vt:lpstr>
      <vt:lpstr>'17,09 R2'!Print_Area</vt:lpstr>
      <vt:lpstr>'17,09 R3'!Print_Area</vt:lpstr>
      <vt:lpstr>'18,09 R1'!Print_Area</vt:lpstr>
      <vt:lpstr>'18,09 R2'!Print_Area</vt:lpstr>
      <vt:lpstr>'18,09 R3'!Print_Area</vt:lpstr>
      <vt:lpstr>'19,09 R1'!Print_Area</vt:lpstr>
      <vt:lpstr>'19,09 R2'!Print_Area</vt:lpstr>
      <vt:lpstr>'19,09 R3'!Print_Area</vt:lpstr>
      <vt:lpstr>'20,09 R1'!Print_Area</vt:lpstr>
      <vt:lpstr>'20,09 R2'!Print_Area</vt:lpstr>
      <vt:lpstr>'20,09 R3'!Print_Area</vt:lpstr>
      <vt:lpstr>'22,09 R1'!Print_Area</vt:lpstr>
      <vt:lpstr>'22,09 R2'!Print_Area</vt:lpstr>
      <vt:lpstr>'22,09 R3'!Print_Area</vt:lpstr>
      <vt:lpstr>'23,09 R1'!Print_Area</vt:lpstr>
      <vt:lpstr>'23,09 R2'!Print_Area</vt:lpstr>
      <vt:lpstr>'23,09 R3'!Print_Area</vt:lpstr>
      <vt:lpstr>'24,09 R1'!Print_Area</vt:lpstr>
      <vt:lpstr>'24,09 R2 No Trip'!Print_Area</vt:lpstr>
      <vt:lpstr>'24,09 R3 No Trip'!Print_Area</vt:lpstr>
      <vt:lpstr>'25,09 R1'!Print_Area</vt:lpstr>
      <vt:lpstr>'25,09 R2'!Print_Area</vt:lpstr>
      <vt:lpstr>'25,09 R3'!Print_Area</vt:lpstr>
      <vt:lpstr>'26,09 R1'!Print_Area</vt:lpstr>
      <vt:lpstr>'26,09 R2'!Print_Area</vt:lpstr>
      <vt:lpstr>'26,09 R3'!Print_Area</vt:lpstr>
      <vt:lpstr>'27,09 R1'!Print_Area</vt:lpstr>
      <vt:lpstr>'27,09 R2'!Print_Area</vt:lpstr>
      <vt:lpstr>'27,09 R3'!Print_Area</vt:lpstr>
      <vt:lpstr>'29,09 R1'!Print_Area</vt:lpstr>
      <vt:lpstr>'29,09 R2'!Print_Area</vt:lpstr>
      <vt:lpstr>'29,09 R3'!Print_Area</vt:lpstr>
      <vt:lpstr>'30,09 R1'!Print_Area</vt:lpstr>
      <vt:lpstr>'30,09 R2'!Print_Area</vt:lpstr>
      <vt:lpstr>'30,09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2025-10-04T00:36:05Z</cp:lastPrinted>
  <dcterms:created xsi:type="dcterms:W3CDTF">2024-09-01T23:36:50Z</dcterms:created>
  <dcterms:modified xsi:type="dcterms:W3CDTF">2025-10-04T02:31:54Z</dcterms:modified>
</cp:coreProperties>
</file>