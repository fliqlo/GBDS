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CCC84001-449E-4B71-A443-11E6722F06E6}" xr6:coauthVersionLast="45" xr6:coauthVersionMax="47" xr10:uidLastSave="{00000000-0000-0000-0000-000000000000}"/>
  <bookViews>
    <workbookView xWindow="-120" yWindow="-120" windowWidth="29040" windowHeight="15840" activeTab="1" xr2:uid="{EAA847CC-C244-4239-B005-CBB8C204AC80}"/>
  </bookViews>
  <sheets>
    <sheet name="02-10-2026" sheetId="174" r:id="rId1"/>
    <sheet name="02-11-2026" sheetId="175" r:id="rId2"/>
  </sheets>
  <definedNames>
    <definedName name="_xlnm.Print_Area" localSheetId="0">'02-10-2026'!$A$1:$V$97</definedName>
    <definedName name="_xlnm.Print_Area" localSheetId="1">'02-11-2026'!$A$1:$V$97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75" l="1"/>
  <c r="W73" i="175"/>
  <c r="P71" i="175"/>
  <c r="H71" i="175"/>
  <c r="Q70" i="175"/>
  <c r="P70" i="175"/>
  <c r="H70" i="175"/>
  <c r="E70" i="175"/>
  <c r="I70" i="175" s="1"/>
  <c r="Q69" i="175"/>
  <c r="P69" i="175"/>
  <c r="H69" i="175"/>
  <c r="E69" i="175"/>
  <c r="I69" i="175" s="1"/>
  <c r="AD68" i="175"/>
  <c r="AC68" i="175"/>
  <c r="AB68" i="175"/>
  <c r="AE68" i="175" s="1"/>
  <c r="AI68" i="175" s="1"/>
  <c r="Y68" i="175" s="1"/>
  <c r="Z68" i="175"/>
  <c r="X68" i="175"/>
  <c r="W68" i="175"/>
  <c r="Q68" i="175"/>
  <c r="P68" i="175"/>
  <c r="H68" i="175"/>
  <c r="E68" i="175"/>
  <c r="I68" i="175" s="1"/>
  <c r="AI67" i="175"/>
  <c r="AE67" i="175"/>
  <c r="AD67" i="175"/>
  <c r="AC67" i="175"/>
  <c r="AB67" i="175"/>
  <c r="Z67" i="175"/>
  <c r="Y67" i="175"/>
  <c r="X67" i="175"/>
  <c r="Q67" i="175"/>
  <c r="P67" i="175"/>
  <c r="H67" i="175"/>
  <c r="E67" i="175"/>
  <c r="I67" i="175" s="1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I64" i="175"/>
  <c r="H64" i="175"/>
  <c r="E64" i="175"/>
  <c r="AD63" i="175"/>
  <c r="AC63" i="175"/>
  <c r="AE63" i="175" s="1"/>
  <c r="AI63" i="175" s="1"/>
  <c r="Y63" i="175" s="1"/>
  <c r="AB63" i="175"/>
  <c r="Z63" i="175"/>
  <c r="X63" i="175"/>
  <c r="Q63" i="175"/>
  <c r="P63" i="175"/>
  <c r="I63" i="175"/>
  <c r="H63" i="175"/>
  <c r="E63" i="175"/>
  <c r="AD62" i="175"/>
  <c r="AC62" i="175"/>
  <c r="AB62" i="175"/>
  <c r="AE62" i="175" s="1"/>
  <c r="AI62" i="175" s="1"/>
  <c r="Y62" i="175" s="1"/>
  <c r="Z62" i="175"/>
  <c r="X62" i="175"/>
  <c r="Q62" i="175"/>
  <c r="P62" i="175"/>
  <c r="I62" i="175"/>
  <c r="H62" i="175"/>
  <c r="E62" i="175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I60" i="175"/>
  <c r="Y60" i="175" s="1"/>
  <c r="AE60" i="175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H59" i="175"/>
  <c r="E59" i="175"/>
  <c r="I59" i="175" s="1"/>
  <c r="AE58" i="175"/>
  <c r="AI58" i="175" s="1"/>
  <c r="Y58" i="175" s="1"/>
  <c r="AC58" i="175"/>
  <c r="AB58" i="175"/>
  <c r="X58" i="175"/>
  <c r="Q58" i="175"/>
  <c r="P58" i="175"/>
  <c r="E58" i="175"/>
  <c r="I58" i="175" s="1"/>
  <c r="AC57" i="175"/>
  <c r="AE57" i="175" s="1"/>
  <c r="AI57" i="175" s="1"/>
  <c r="Y57" i="175" s="1"/>
  <c r="AB57" i="175"/>
  <c r="X57" i="175"/>
  <c r="Q57" i="175"/>
  <c r="P57" i="175"/>
  <c r="I57" i="175"/>
  <c r="H57" i="175"/>
  <c r="E57" i="175"/>
  <c r="AD56" i="175"/>
  <c r="AC56" i="175"/>
  <c r="AB56" i="175"/>
  <c r="AE56" i="175" s="1"/>
  <c r="AI56" i="175" s="1"/>
  <c r="Y56" i="175" s="1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I55" i="175"/>
  <c r="H55" i="175"/>
  <c r="E55" i="175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D53" i="175"/>
  <c r="AC53" i="175"/>
  <c r="AE53" i="175" s="1"/>
  <c r="AI53" i="175" s="1"/>
  <c r="Y53" i="175" s="1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I51" i="175"/>
  <c r="AE51" i="175"/>
  <c r="AD51" i="175"/>
  <c r="AC51" i="175"/>
  <c r="AB51" i="175"/>
  <c r="Z51" i="175"/>
  <c r="Y51" i="175"/>
  <c r="X51" i="175"/>
  <c r="Q51" i="175"/>
  <c r="P51" i="175"/>
  <c r="H51" i="175"/>
  <c r="E51" i="175"/>
  <c r="I51" i="175" s="1"/>
  <c r="AE50" i="175"/>
  <c r="AI50" i="175" s="1"/>
  <c r="Y50" i="175" s="1"/>
  <c r="AD50" i="175"/>
  <c r="AC50" i="175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I49" i="175"/>
  <c r="H49" i="175"/>
  <c r="E49" i="175"/>
  <c r="AE48" i="175"/>
  <c r="AI48" i="175" s="1"/>
  <c r="Y48" i="175" s="1"/>
  <c r="Z48" i="175"/>
  <c r="X48" i="175"/>
  <c r="Q48" i="175"/>
  <c r="P48" i="175"/>
  <c r="I48" i="175"/>
  <c r="H48" i="175"/>
  <c r="E48" i="175"/>
  <c r="AI47" i="175"/>
  <c r="Y47" i="175" s="1"/>
  <c r="AE47" i="175"/>
  <c r="Z47" i="175"/>
  <c r="X47" i="175"/>
  <c r="Q47" i="175"/>
  <c r="P47" i="175"/>
  <c r="H47" i="175"/>
  <c r="E47" i="175"/>
  <c r="I47" i="175" s="1"/>
  <c r="AE46" i="175"/>
  <c r="AI46" i="175" s="1"/>
  <c r="Y46" i="175" s="1"/>
  <c r="AD46" i="175"/>
  <c r="AC46" i="175"/>
  <c r="AB46" i="175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D44" i="175"/>
  <c r="AC44" i="175"/>
  <c r="AB44" i="175"/>
  <c r="AE44" i="175" s="1"/>
  <c r="AI44" i="175" s="1"/>
  <c r="Y44" i="175" s="1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I43" i="175"/>
  <c r="H43" i="175"/>
  <c r="E43" i="175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D41" i="175"/>
  <c r="AC41" i="175"/>
  <c r="AE41" i="175" s="1"/>
  <c r="AI41" i="175" s="1"/>
  <c r="Y41" i="175" s="1"/>
  <c r="AB41" i="175"/>
  <c r="Z41" i="175"/>
  <c r="X41" i="175"/>
  <c r="Q41" i="175"/>
  <c r="P41" i="175"/>
  <c r="H41" i="175"/>
  <c r="E41" i="175"/>
  <c r="I41" i="175" s="1"/>
  <c r="AE40" i="175"/>
  <c r="AI40" i="175" s="1"/>
  <c r="Y40" i="175" s="1"/>
  <c r="AD40" i="175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I38" i="175"/>
  <c r="AE38" i="175"/>
  <c r="AD38" i="175"/>
  <c r="AC38" i="175"/>
  <c r="AB38" i="175"/>
  <c r="Z38" i="175"/>
  <c r="Y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I35" i="175"/>
  <c r="H35" i="175"/>
  <c r="E35" i="175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D33" i="175"/>
  <c r="AC33" i="175"/>
  <c r="AB33" i="175"/>
  <c r="AE33" i="175" s="1"/>
  <c r="AI33" i="175" s="1"/>
  <c r="Y33" i="175" s="1"/>
  <c r="Z33" i="175"/>
  <c r="X33" i="175"/>
  <c r="Q33" i="175"/>
  <c r="P33" i="175"/>
  <c r="I33" i="175"/>
  <c r="H33" i="175"/>
  <c r="E33" i="175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E31" i="175"/>
  <c r="AI31" i="175" s="1"/>
  <c r="Y31" i="175" s="1"/>
  <c r="Z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B29" i="175"/>
  <c r="AE29" i="175" s="1"/>
  <c r="AI29" i="175" s="1"/>
  <c r="Y29" i="175" s="1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I28" i="175"/>
  <c r="H28" i="175"/>
  <c r="E28" i="175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D26" i="175"/>
  <c r="AC26" i="175"/>
  <c r="AE26" i="175" s="1"/>
  <c r="AI26" i="175" s="1"/>
  <c r="Y26" i="175" s="1"/>
  <c r="AB26" i="175"/>
  <c r="Z26" i="175"/>
  <c r="X26" i="175"/>
  <c r="Q26" i="175"/>
  <c r="P26" i="175"/>
  <c r="H26" i="175"/>
  <c r="E26" i="175"/>
  <c r="I26" i="175" s="1"/>
  <c r="AE25" i="175"/>
  <c r="AI25" i="175" s="1"/>
  <c r="Y25" i="175" s="1"/>
  <c r="AD25" i="175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H24" i="175"/>
  <c r="E24" i="175"/>
  <c r="I24" i="175" s="1"/>
  <c r="AI23" i="175"/>
  <c r="AE23" i="175"/>
  <c r="AD23" i="175"/>
  <c r="AC23" i="175"/>
  <c r="AB23" i="175"/>
  <c r="Z23" i="175"/>
  <c r="Y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H22" i="175"/>
  <c r="E22" i="175"/>
  <c r="I22" i="175" s="1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I20" i="175"/>
  <c r="H20" i="175"/>
  <c r="E20" i="175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D18" i="175"/>
  <c r="AC18" i="175"/>
  <c r="AB18" i="175"/>
  <c r="AE18" i="175" s="1"/>
  <c r="AI18" i="175" s="1"/>
  <c r="Y18" i="175" s="1"/>
  <c r="Z18" i="175"/>
  <c r="X18" i="175"/>
  <c r="Q18" i="175"/>
  <c r="P18" i="175"/>
  <c r="I18" i="175"/>
  <c r="H18" i="175"/>
  <c r="E18" i="175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E16" i="175"/>
  <c r="I16" i="175" s="1"/>
  <c r="AD15" i="175"/>
  <c r="AC15" i="175"/>
  <c r="AB15" i="175"/>
  <c r="AE15" i="175" s="1"/>
  <c r="AI15" i="175" s="1"/>
  <c r="Y15" i="175" s="1"/>
  <c r="Z15" i="175"/>
  <c r="X15" i="175"/>
  <c r="Q15" i="175"/>
  <c r="P15" i="175"/>
  <c r="I15" i="175"/>
  <c r="E15" i="175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I13" i="175"/>
  <c r="AE13" i="175"/>
  <c r="AD13" i="175"/>
  <c r="AC13" i="175"/>
  <c r="AB13" i="175"/>
  <c r="Z13" i="175"/>
  <c r="Y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T75" i="175" l="1"/>
  <c r="O73" i="175"/>
  <c r="T77" i="175"/>
  <c r="F73" i="175"/>
  <c r="F75" i="175"/>
  <c r="T73" i="175"/>
  <c r="T79" i="175" s="1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F77" i="175" l="1"/>
  <c r="T77" i="174"/>
  <c r="T75" i="174"/>
  <c r="O73" i="174"/>
  <c r="F73" i="174"/>
  <c r="F75" i="174"/>
  <c r="T73" i="174"/>
  <c r="T79" i="174" l="1"/>
  <c r="F77" i="174"/>
</calcChain>
</file>

<file path=xl/sharedStrings.xml><?xml version="1.0" encoding="utf-8"?>
<sst xmlns="http://schemas.openxmlformats.org/spreadsheetml/2006/main" count="282" uniqueCount="134">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</sst>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0" t="s">
        <v>130</v>
      </c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6" t="s">
        <v>1</v>
      </c>
      <c r="U2" s="7"/>
      <c r="W2" s="20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4"/>
      <c r="G4" s="204"/>
      <c r="H4" s="204"/>
      <c r="I4" s="204"/>
      <c r="J4" s="204"/>
      <c r="K4" s="204"/>
      <c r="L4" s="204"/>
      <c r="M4" s="204"/>
      <c r="S4" s="2" t="s">
        <v>4</v>
      </c>
      <c r="T4" s="205"/>
      <c r="U4" s="205"/>
      <c r="W4" s="20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6"/>
      <c r="G6" s="206"/>
      <c r="H6" s="206"/>
      <c r="I6" s="206"/>
      <c r="J6" s="206"/>
      <c r="K6" s="206"/>
      <c r="L6" s="206"/>
      <c r="M6" s="206"/>
      <c r="S6" s="11" t="s">
        <v>6</v>
      </c>
      <c r="T6" s="195" t="s">
        <v>7</v>
      </c>
      <c r="U6" s="12" t="s">
        <v>131</v>
      </c>
      <c r="W6" s="20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6"/>
      <c r="G7" s="206"/>
      <c r="H7" s="206"/>
      <c r="I7" s="206"/>
      <c r="J7" s="206"/>
      <c r="K7" s="206"/>
      <c r="L7" s="206"/>
      <c r="M7" s="206"/>
      <c r="N7" s="14"/>
      <c r="O7" s="14"/>
      <c r="P7" s="14"/>
      <c r="Q7" s="15"/>
      <c r="S7" s="14"/>
      <c r="T7" s="195" t="s">
        <v>11</v>
      </c>
      <c r="U7" s="12"/>
      <c r="W7" s="20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0" t="s">
        <v>14</v>
      </c>
      <c r="C9" s="243" t="s">
        <v>15</v>
      </c>
      <c r="D9" s="243" t="s">
        <v>16</v>
      </c>
      <c r="E9" s="243" t="s">
        <v>17</v>
      </c>
      <c r="F9" s="227" t="s">
        <v>18</v>
      </c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9"/>
      <c r="S9" s="227" t="s">
        <v>19</v>
      </c>
      <c r="T9" s="228"/>
      <c r="U9" s="229"/>
      <c r="X9" s="215" t="s">
        <v>20</v>
      </c>
      <c r="Y9" s="218" t="s">
        <v>21</v>
      </c>
      <c r="Z9" s="218" t="s">
        <v>128</v>
      </c>
      <c r="AA9" s="17"/>
      <c r="AB9" s="207" t="s">
        <v>22</v>
      </c>
      <c r="AC9" s="221" t="s">
        <v>23</v>
      </c>
      <c r="AD9" s="224" t="s">
        <v>24</v>
      </c>
      <c r="AE9" s="207" t="s">
        <v>25</v>
      </c>
      <c r="AG9" s="207" t="s">
        <v>26</v>
      </c>
      <c r="AH9" s="17"/>
      <c r="AI9" s="207" t="s">
        <v>27</v>
      </c>
    </row>
    <row r="10" spans="2:35" s="16" customFormat="1" ht="20.25" customHeight="1" x14ac:dyDescent="0.25">
      <c r="B10" s="241"/>
      <c r="C10" s="244"/>
      <c r="D10" s="244"/>
      <c r="E10" s="244"/>
      <c r="F10" s="211" t="s">
        <v>28</v>
      </c>
      <c r="G10" s="211" t="s">
        <v>29</v>
      </c>
      <c r="H10" s="211" t="s">
        <v>30</v>
      </c>
      <c r="I10" s="213" t="s">
        <v>31</v>
      </c>
      <c r="J10" s="213" t="s">
        <v>32</v>
      </c>
      <c r="K10" s="213" t="s">
        <v>33</v>
      </c>
      <c r="L10" s="213" t="s">
        <v>34</v>
      </c>
      <c r="M10" s="197" t="s">
        <v>35</v>
      </c>
      <c r="N10" s="198"/>
      <c r="O10" s="198"/>
      <c r="P10" s="198"/>
      <c r="Q10" s="199"/>
      <c r="S10" s="236" t="s">
        <v>36</v>
      </c>
      <c r="T10" s="237"/>
      <c r="U10" s="238"/>
      <c r="X10" s="216"/>
      <c r="Y10" s="219"/>
      <c r="Z10" s="219"/>
      <c r="AA10" s="17"/>
      <c r="AB10" s="208"/>
      <c r="AC10" s="222"/>
      <c r="AD10" s="225"/>
      <c r="AE10" s="208"/>
      <c r="AG10" s="208"/>
      <c r="AH10" s="17"/>
      <c r="AI10" s="208"/>
    </row>
    <row r="11" spans="2:35" s="21" customFormat="1" ht="12.75" customHeight="1" thickBot="1" x14ac:dyDescent="0.3">
      <c r="B11" s="242"/>
      <c r="C11" s="212"/>
      <c r="D11" s="212"/>
      <c r="E11" s="212"/>
      <c r="F11" s="212"/>
      <c r="G11" s="212"/>
      <c r="H11" s="212"/>
      <c r="I11" s="214"/>
      <c r="J11" s="214"/>
      <c r="K11" s="214"/>
      <c r="L11" s="21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7"/>
      <c r="Y11" s="220"/>
      <c r="Z11" s="220"/>
      <c r="AA11" s="17"/>
      <c r="AB11" s="210"/>
      <c r="AC11" s="223"/>
      <c r="AD11" s="226"/>
      <c r="AE11" s="210"/>
      <c r="AG11" s="209"/>
      <c r="AH11" s="17"/>
      <c r="AI11" s="21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39" t="s">
        <v>101</v>
      </c>
      <c r="C71" s="239"/>
      <c r="D71" s="239"/>
      <c r="E71" s="239"/>
      <c r="F71" s="239"/>
      <c r="G71" s="23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0">
        <f>SUM(I12:I70)</f>
        <v>1397196</v>
      </c>
      <c r="G73" s="230"/>
      <c r="H73" s="230"/>
      <c r="I73" s="231"/>
      <c r="J73" s="158"/>
      <c r="K73" s="158"/>
      <c r="L73" s="158"/>
      <c r="M73" s="232" t="s">
        <v>103</v>
      </c>
      <c r="N73" s="233"/>
      <c r="O73" s="230">
        <f>SUM(Q12:Q70)</f>
        <v>203796</v>
      </c>
      <c r="P73" s="230"/>
      <c r="Q73" s="231"/>
      <c r="R73" s="152"/>
      <c r="S73" s="159" t="s">
        <v>104</v>
      </c>
      <c r="T73" s="234">
        <f>SUM(Y12:Y68)</f>
        <v>52583.040000000001</v>
      </c>
      <c r="U73" s="23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0">
        <f>SUM(I14:I72)</f>
        <v>1397196</v>
      </c>
      <c r="G75" s="230"/>
      <c r="H75" s="230"/>
      <c r="I75" s="231"/>
      <c r="J75" s="158"/>
      <c r="K75" s="158"/>
      <c r="L75" s="158"/>
      <c r="M75" s="232" t="s">
        <v>103</v>
      </c>
      <c r="N75" s="233"/>
      <c r="O75" s="230">
        <f>SUM(Q14:Q72)</f>
        <v>203796</v>
      </c>
      <c r="P75" s="230"/>
      <c r="Q75" s="231"/>
      <c r="R75" s="152"/>
      <c r="S75" s="159" t="s">
        <v>129</v>
      </c>
      <c r="T75" s="234">
        <f>SUM(Z12:Z70)</f>
        <v>3672</v>
      </c>
      <c r="U75" s="23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0">
        <f>IF(U7&gt;0,"",(F73-O73-T79-P79))</f>
        <v>933348.96</v>
      </c>
      <c r="G77" s="230"/>
      <c r="H77" s="230"/>
      <c r="I77" s="231"/>
      <c r="J77" s="164"/>
      <c r="K77" s="164"/>
      <c r="L77" s="164"/>
      <c r="M77" s="255" t="s">
        <v>106</v>
      </c>
      <c r="N77" s="255"/>
      <c r="O77" s="168" t="s">
        <v>107</v>
      </c>
      <c r="P77" s="247"/>
      <c r="Q77" s="248"/>
      <c r="R77" s="152"/>
      <c r="S77" s="159" t="s">
        <v>108</v>
      </c>
      <c r="T77" s="234">
        <f>IF(SUM(X12:X68)*0.15&gt;P77,P77,SUM(X12:X68)*0.15)</f>
        <v>0</v>
      </c>
      <c r="U77" s="235"/>
      <c r="V77" s="160"/>
      <c r="W77" s="20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0"/>
      <c r="G79" s="230"/>
      <c r="H79" s="230"/>
      <c r="I79" s="231"/>
      <c r="J79" s="164"/>
      <c r="K79" s="164"/>
      <c r="L79" s="164"/>
      <c r="M79" s="245" t="str">
        <f>IF(U6&gt;0,"",T4+30)</f>
        <v/>
      </c>
      <c r="N79" s="246"/>
      <c r="O79" s="168" t="s">
        <v>111</v>
      </c>
      <c r="P79" s="247">
        <v>203796</v>
      </c>
      <c r="Q79" s="248"/>
      <c r="R79" s="152"/>
      <c r="S79" s="159" t="s">
        <v>112</v>
      </c>
      <c r="T79" s="234">
        <f>T77+T73+T75</f>
        <v>56255.040000000001</v>
      </c>
      <c r="U79" s="235"/>
      <c r="V79" s="160"/>
      <c r="W79" s="20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1" t="s">
        <v>113</v>
      </c>
      <c r="C81" s="272"/>
      <c r="D81" s="272"/>
      <c r="E81" s="272"/>
      <c r="F81" s="272"/>
      <c r="G81" s="272"/>
      <c r="H81" s="273"/>
      <c r="I81" s="280" t="s">
        <v>114</v>
      </c>
      <c r="J81" s="171"/>
      <c r="K81" s="171"/>
      <c r="L81" s="171"/>
      <c r="M81" s="282"/>
      <c r="N81" s="285" t="s">
        <v>115</v>
      </c>
      <c r="O81" s="288"/>
      <c r="P81" s="282"/>
      <c r="Q81" s="249" t="s">
        <v>116</v>
      </c>
      <c r="R81" s="250"/>
      <c r="S81" s="265"/>
      <c r="T81" s="249" t="s">
        <v>117</v>
      </c>
      <c r="U81" s="268"/>
    </row>
    <row r="82" spans="2:21" ht="15" customHeight="1" x14ac:dyDescent="0.25">
      <c r="B82" s="274"/>
      <c r="C82" s="275"/>
      <c r="D82" s="275"/>
      <c r="E82" s="275"/>
      <c r="F82" s="275"/>
      <c r="G82" s="275"/>
      <c r="H82" s="276"/>
      <c r="I82" s="262"/>
      <c r="J82" s="2"/>
      <c r="K82" s="2"/>
      <c r="L82" s="2"/>
      <c r="M82" s="283"/>
      <c r="N82" s="286"/>
      <c r="O82" s="289"/>
      <c r="P82" s="283"/>
      <c r="Q82" s="251"/>
      <c r="R82" s="252"/>
      <c r="S82" s="266"/>
      <c r="T82" s="251"/>
      <c r="U82" s="269"/>
    </row>
    <row r="83" spans="2:21" ht="15.75" customHeight="1" thickBot="1" x14ac:dyDescent="0.3">
      <c r="B83" s="277"/>
      <c r="C83" s="278"/>
      <c r="D83" s="278"/>
      <c r="E83" s="278"/>
      <c r="F83" s="278"/>
      <c r="G83" s="278"/>
      <c r="H83" s="279"/>
      <c r="I83" s="281"/>
      <c r="J83" s="172"/>
      <c r="K83" s="172"/>
      <c r="L83" s="172"/>
      <c r="M83" s="284"/>
      <c r="N83" s="287"/>
      <c r="O83" s="290"/>
      <c r="P83" s="284"/>
      <c r="Q83" s="253"/>
      <c r="R83" s="254"/>
      <c r="S83" s="267"/>
      <c r="T83" s="253"/>
      <c r="U83" s="27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6" t="s">
        <v>132</v>
      </c>
      <c r="C88" s="257"/>
      <c r="D88" s="257"/>
      <c r="E88" s="257"/>
      <c r="F88" s="257"/>
      <c r="G88" s="257"/>
      <c r="H88" s="257"/>
      <c r="I88" s="258"/>
      <c r="J88" s="185"/>
      <c r="K88" s="185"/>
      <c r="L88" s="185"/>
      <c r="M88" s="256"/>
      <c r="N88" s="257"/>
      <c r="O88" s="257"/>
      <c r="P88" s="257"/>
      <c r="Q88" s="258"/>
      <c r="R88" s="187"/>
      <c r="S88" s="188"/>
      <c r="T88" s="188"/>
      <c r="U88" s="189"/>
    </row>
    <row r="89" spans="2:21" ht="18" x14ac:dyDescent="0.25">
      <c r="B89" s="259" t="s">
        <v>122</v>
      </c>
      <c r="C89" s="260"/>
      <c r="D89" s="260"/>
      <c r="E89" s="260"/>
      <c r="F89" s="260"/>
      <c r="G89" s="260"/>
      <c r="H89" s="260"/>
      <c r="I89" s="261"/>
      <c r="M89" s="259" t="s">
        <v>122</v>
      </c>
      <c r="N89" s="260"/>
      <c r="O89" s="260"/>
      <c r="P89" s="260"/>
      <c r="Q89" s="261"/>
      <c r="R89" s="262" t="s">
        <v>123</v>
      </c>
      <c r="S89" s="263"/>
      <c r="T89" s="263"/>
      <c r="U89" s="26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6" t="s">
        <v>133</v>
      </c>
      <c r="C93" s="257"/>
      <c r="D93" s="257"/>
      <c r="E93" s="257"/>
      <c r="F93" s="257"/>
      <c r="G93" s="257"/>
      <c r="H93" s="257"/>
      <c r="I93" s="25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9" t="s">
        <v>126</v>
      </c>
      <c r="C94" s="260"/>
      <c r="D94" s="260"/>
      <c r="E94" s="260"/>
      <c r="F94" s="260"/>
      <c r="G94" s="260"/>
      <c r="H94" s="260"/>
      <c r="I94" s="261"/>
      <c r="M94" s="179"/>
      <c r="Q94" s="180"/>
      <c r="R94" s="262" t="s">
        <v>127</v>
      </c>
      <c r="S94" s="263"/>
      <c r="T94" s="263"/>
      <c r="U94" s="26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F63A-35AB-4443-95B1-29A8E64971B5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F17" sqref="F17"/>
      <selection pane="topRight" activeCell="F19" sqref="F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0" t="s">
        <v>130</v>
      </c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6" t="s">
        <v>1</v>
      </c>
      <c r="U2" s="7"/>
      <c r="W2" s="20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4"/>
      <c r="G4" s="204"/>
      <c r="H4" s="204"/>
      <c r="I4" s="204"/>
      <c r="J4" s="204"/>
      <c r="K4" s="204"/>
      <c r="L4" s="204"/>
      <c r="M4" s="204"/>
      <c r="S4" s="2" t="s">
        <v>4</v>
      </c>
      <c r="T4" s="205"/>
      <c r="U4" s="205"/>
      <c r="W4" s="20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6"/>
      <c r="G6" s="206"/>
      <c r="H6" s="206"/>
      <c r="I6" s="206"/>
      <c r="J6" s="206"/>
      <c r="K6" s="206"/>
      <c r="L6" s="206"/>
      <c r="M6" s="206"/>
      <c r="S6" s="11" t="s">
        <v>6</v>
      </c>
      <c r="T6" s="196" t="s">
        <v>7</v>
      </c>
      <c r="U6" s="12" t="s">
        <v>131</v>
      </c>
      <c r="W6" s="20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6"/>
      <c r="G7" s="206"/>
      <c r="H7" s="206"/>
      <c r="I7" s="206"/>
      <c r="J7" s="206"/>
      <c r="K7" s="206"/>
      <c r="L7" s="206"/>
      <c r="M7" s="206"/>
      <c r="N7" s="14"/>
      <c r="O7" s="14"/>
      <c r="P7" s="14"/>
      <c r="Q7" s="15"/>
      <c r="S7" s="14"/>
      <c r="T7" s="196" t="s">
        <v>11</v>
      </c>
      <c r="U7" s="12"/>
      <c r="W7" s="20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0" t="s">
        <v>14</v>
      </c>
      <c r="C9" s="243" t="s">
        <v>15</v>
      </c>
      <c r="D9" s="243" t="s">
        <v>16</v>
      </c>
      <c r="E9" s="243" t="s">
        <v>17</v>
      </c>
      <c r="F9" s="227" t="s">
        <v>18</v>
      </c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9"/>
      <c r="S9" s="227" t="s">
        <v>19</v>
      </c>
      <c r="T9" s="228"/>
      <c r="U9" s="229"/>
      <c r="X9" s="215" t="s">
        <v>20</v>
      </c>
      <c r="Y9" s="218" t="s">
        <v>21</v>
      </c>
      <c r="Z9" s="218" t="s">
        <v>128</v>
      </c>
      <c r="AA9" s="17"/>
      <c r="AB9" s="207" t="s">
        <v>22</v>
      </c>
      <c r="AC9" s="221" t="s">
        <v>23</v>
      </c>
      <c r="AD9" s="224" t="s">
        <v>24</v>
      </c>
      <c r="AE9" s="207" t="s">
        <v>25</v>
      </c>
      <c r="AG9" s="207" t="s">
        <v>26</v>
      </c>
      <c r="AH9" s="17"/>
      <c r="AI9" s="207" t="s">
        <v>27</v>
      </c>
    </row>
    <row r="10" spans="2:35" s="16" customFormat="1" ht="20.25" customHeight="1" x14ac:dyDescent="0.25">
      <c r="B10" s="241"/>
      <c r="C10" s="244"/>
      <c r="D10" s="244"/>
      <c r="E10" s="244"/>
      <c r="F10" s="211" t="s">
        <v>28</v>
      </c>
      <c r="G10" s="211" t="s">
        <v>29</v>
      </c>
      <c r="H10" s="211" t="s">
        <v>30</v>
      </c>
      <c r="I10" s="213" t="s">
        <v>31</v>
      </c>
      <c r="J10" s="213" t="s">
        <v>32</v>
      </c>
      <c r="K10" s="213" t="s">
        <v>33</v>
      </c>
      <c r="L10" s="213" t="s">
        <v>34</v>
      </c>
      <c r="M10" s="197" t="s">
        <v>35</v>
      </c>
      <c r="N10" s="198"/>
      <c r="O10" s="198"/>
      <c r="P10" s="198"/>
      <c r="Q10" s="199"/>
      <c r="S10" s="236" t="s">
        <v>36</v>
      </c>
      <c r="T10" s="237"/>
      <c r="U10" s="238"/>
      <c r="X10" s="216"/>
      <c r="Y10" s="219"/>
      <c r="Z10" s="219"/>
      <c r="AA10" s="17"/>
      <c r="AB10" s="208"/>
      <c r="AC10" s="222"/>
      <c r="AD10" s="225"/>
      <c r="AE10" s="208"/>
      <c r="AG10" s="208"/>
      <c r="AH10" s="17"/>
      <c r="AI10" s="208"/>
    </row>
    <row r="11" spans="2:35" s="21" customFormat="1" ht="12.75" customHeight="1" thickBot="1" x14ac:dyDescent="0.3">
      <c r="B11" s="242"/>
      <c r="C11" s="212"/>
      <c r="D11" s="212"/>
      <c r="E11" s="212"/>
      <c r="F11" s="212"/>
      <c r="G11" s="212"/>
      <c r="H11" s="212"/>
      <c r="I11" s="214"/>
      <c r="J11" s="214"/>
      <c r="K11" s="214"/>
      <c r="L11" s="21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7"/>
      <c r="Y11" s="220"/>
      <c r="Z11" s="220"/>
      <c r="AA11" s="17"/>
      <c r="AB11" s="210"/>
      <c r="AC11" s="223"/>
      <c r="AD11" s="226"/>
      <c r="AE11" s="210"/>
      <c r="AG11" s="209"/>
      <c r="AH11" s="17"/>
      <c r="AI11" s="21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36288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1123200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1957.41</v>
      </c>
      <c r="Z20" s="57">
        <f t="shared" si="8"/>
        <v>126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39" t="s">
        <v>101</v>
      </c>
      <c r="C71" s="239"/>
      <c r="D71" s="239"/>
      <c r="E71" s="239"/>
      <c r="F71" s="239"/>
      <c r="G71" s="23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0">
        <f>SUM(I12:I70)</f>
        <v>1377504</v>
      </c>
      <c r="G73" s="230"/>
      <c r="H73" s="230"/>
      <c r="I73" s="231"/>
      <c r="J73" s="158"/>
      <c r="K73" s="158"/>
      <c r="L73" s="158"/>
      <c r="M73" s="232" t="s">
        <v>103</v>
      </c>
      <c r="N73" s="233"/>
      <c r="O73" s="230">
        <f>SUM(Q12:Q70)</f>
        <v>192132</v>
      </c>
      <c r="P73" s="230"/>
      <c r="Q73" s="231"/>
      <c r="R73" s="152"/>
      <c r="S73" s="159" t="s">
        <v>104</v>
      </c>
      <c r="T73" s="234">
        <f>SUM(Y12:Y68)</f>
        <v>51447.33</v>
      </c>
      <c r="U73" s="23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0">
        <f>SUM(I14:I72)</f>
        <v>1377504</v>
      </c>
      <c r="G75" s="230"/>
      <c r="H75" s="230"/>
      <c r="I75" s="231"/>
      <c r="J75" s="158"/>
      <c r="K75" s="158"/>
      <c r="L75" s="158"/>
      <c r="M75" s="232" t="s">
        <v>103</v>
      </c>
      <c r="N75" s="233"/>
      <c r="O75" s="230">
        <f>SUM(Q14:Q72)</f>
        <v>155844</v>
      </c>
      <c r="P75" s="230"/>
      <c r="Q75" s="231"/>
      <c r="R75" s="152"/>
      <c r="S75" s="159" t="s">
        <v>129</v>
      </c>
      <c r="T75" s="234">
        <f>SUM(Z12:Z70)</f>
        <v>3582</v>
      </c>
      <c r="U75" s="23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0">
        <f>IF(U7&gt;0,"",(F73-O73-T79-P79))</f>
        <v>1130342.67</v>
      </c>
      <c r="G77" s="230"/>
      <c r="H77" s="230"/>
      <c r="I77" s="231"/>
      <c r="J77" s="164"/>
      <c r="K77" s="164"/>
      <c r="L77" s="164"/>
      <c r="M77" s="255" t="s">
        <v>106</v>
      </c>
      <c r="N77" s="255"/>
      <c r="O77" s="168" t="s">
        <v>107</v>
      </c>
      <c r="P77" s="247"/>
      <c r="Q77" s="248"/>
      <c r="R77" s="152"/>
      <c r="S77" s="159" t="s">
        <v>108</v>
      </c>
      <c r="T77" s="234">
        <f>IF(SUM(X12:X68)*0.15&gt;P77,P77,SUM(X12:X68)*0.15)</f>
        <v>0</v>
      </c>
      <c r="U77" s="235"/>
      <c r="V77" s="160"/>
      <c r="W77" s="20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0"/>
      <c r="G79" s="230"/>
      <c r="H79" s="230"/>
      <c r="I79" s="231"/>
      <c r="J79" s="164"/>
      <c r="K79" s="164"/>
      <c r="L79" s="164"/>
      <c r="M79" s="245" t="str">
        <f>IF(U6&gt;0,"",T4+30)</f>
        <v/>
      </c>
      <c r="N79" s="246"/>
      <c r="O79" s="168" t="s">
        <v>111</v>
      </c>
      <c r="P79" s="247"/>
      <c r="Q79" s="248"/>
      <c r="R79" s="152"/>
      <c r="S79" s="159" t="s">
        <v>112</v>
      </c>
      <c r="T79" s="234">
        <f>T77+T73+T75</f>
        <v>55029.33</v>
      </c>
      <c r="U79" s="235"/>
      <c r="V79" s="160"/>
      <c r="W79" s="20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1" t="s">
        <v>113</v>
      </c>
      <c r="C81" s="272"/>
      <c r="D81" s="272"/>
      <c r="E81" s="272"/>
      <c r="F81" s="272"/>
      <c r="G81" s="272"/>
      <c r="H81" s="273"/>
      <c r="I81" s="280" t="s">
        <v>114</v>
      </c>
      <c r="J81" s="171"/>
      <c r="K81" s="171"/>
      <c r="L81" s="171"/>
      <c r="M81" s="282"/>
      <c r="N81" s="285" t="s">
        <v>115</v>
      </c>
      <c r="O81" s="288"/>
      <c r="P81" s="282"/>
      <c r="Q81" s="249" t="s">
        <v>116</v>
      </c>
      <c r="R81" s="250"/>
      <c r="S81" s="265"/>
      <c r="T81" s="249" t="s">
        <v>117</v>
      </c>
      <c r="U81" s="268"/>
    </row>
    <row r="82" spans="2:21" ht="15" customHeight="1" x14ac:dyDescent="0.25">
      <c r="B82" s="274"/>
      <c r="C82" s="275"/>
      <c r="D82" s="275"/>
      <c r="E82" s="275"/>
      <c r="F82" s="275"/>
      <c r="G82" s="275"/>
      <c r="H82" s="276"/>
      <c r="I82" s="262"/>
      <c r="J82" s="2"/>
      <c r="K82" s="2"/>
      <c r="L82" s="2"/>
      <c r="M82" s="283"/>
      <c r="N82" s="286"/>
      <c r="O82" s="289"/>
      <c r="P82" s="283"/>
      <c r="Q82" s="251"/>
      <c r="R82" s="252"/>
      <c r="S82" s="266"/>
      <c r="T82" s="251"/>
      <c r="U82" s="269"/>
    </row>
    <row r="83" spans="2:21" ht="15.75" customHeight="1" thickBot="1" x14ac:dyDescent="0.3">
      <c r="B83" s="277"/>
      <c r="C83" s="278"/>
      <c r="D83" s="278"/>
      <c r="E83" s="278"/>
      <c r="F83" s="278"/>
      <c r="G83" s="278"/>
      <c r="H83" s="279"/>
      <c r="I83" s="281"/>
      <c r="J83" s="172"/>
      <c r="K83" s="172"/>
      <c r="L83" s="172"/>
      <c r="M83" s="284"/>
      <c r="N83" s="287"/>
      <c r="O83" s="290"/>
      <c r="P83" s="284"/>
      <c r="Q83" s="253"/>
      <c r="R83" s="254"/>
      <c r="S83" s="267"/>
      <c r="T83" s="253"/>
      <c r="U83" s="27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6" t="s">
        <v>132</v>
      </c>
      <c r="C88" s="257"/>
      <c r="D88" s="257"/>
      <c r="E88" s="257"/>
      <c r="F88" s="257"/>
      <c r="G88" s="257"/>
      <c r="H88" s="257"/>
      <c r="I88" s="258"/>
      <c r="J88" s="185"/>
      <c r="K88" s="185"/>
      <c r="L88" s="185"/>
      <c r="M88" s="256"/>
      <c r="N88" s="257"/>
      <c r="O88" s="257"/>
      <c r="P88" s="257"/>
      <c r="Q88" s="258"/>
      <c r="R88" s="187"/>
      <c r="S88" s="188"/>
      <c r="T88" s="188"/>
      <c r="U88" s="189"/>
    </row>
    <row r="89" spans="2:21" ht="18" x14ac:dyDescent="0.25">
      <c r="B89" s="259" t="s">
        <v>122</v>
      </c>
      <c r="C89" s="260"/>
      <c r="D89" s="260"/>
      <c r="E89" s="260"/>
      <c r="F89" s="260"/>
      <c r="G89" s="260"/>
      <c r="H89" s="260"/>
      <c r="I89" s="261"/>
      <c r="M89" s="259" t="s">
        <v>122</v>
      </c>
      <c r="N89" s="260"/>
      <c r="O89" s="260"/>
      <c r="P89" s="260"/>
      <c r="Q89" s="261"/>
      <c r="R89" s="262" t="s">
        <v>123</v>
      </c>
      <c r="S89" s="263"/>
      <c r="T89" s="263"/>
      <c r="U89" s="26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6" t="s">
        <v>133</v>
      </c>
      <c r="C93" s="257"/>
      <c r="D93" s="257"/>
      <c r="E93" s="257"/>
      <c r="F93" s="257"/>
      <c r="G93" s="257"/>
      <c r="H93" s="257"/>
      <c r="I93" s="25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9" t="s">
        <v>126</v>
      </c>
      <c r="C94" s="260"/>
      <c r="D94" s="260"/>
      <c r="E94" s="260"/>
      <c r="F94" s="260"/>
      <c r="G94" s="260"/>
      <c r="H94" s="260"/>
      <c r="I94" s="261"/>
      <c r="M94" s="179"/>
      <c r="Q94" s="180"/>
      <c r="R94" s="262" t="s">
        <v>127</v>
      </c>
      <c r="S94" s="263"/>
      <c r="T94" s="263"/>
      <c r="U94" s="26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02-10-2026</vt:lpstr>
      <vt:lpstr>02-11-2026</vt:lpstr>
      <vt:lpstr>'02-10-2026'!Print_Area</vt:lpstr>
      <vt:lpstr>'02-11-2026'!Print_Area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2026-02-11T02:01:01Z</dcterms:modified>
</cp:coreProperties>
</file>