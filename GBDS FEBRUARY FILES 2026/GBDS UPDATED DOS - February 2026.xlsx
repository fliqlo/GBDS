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CB571398-A1B2-46DF-A65A-E9767C2E51F4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01-26-2026 (2)" sheetId="174" r:id="rId1"/>
  </sheets>
  <definedNames>
    <definedName name="_xlnm.Print_Area" localSheetId="0">'01-26-2026 (2)'!$A$1:$V$97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74" l="1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T77" i="174" l="1"/>
  <c r="T75" i="174"/>
  <c r="O73" i="174"/>
  <c r="F73" i="174"/>
  <c r="F75" i="174"/>
  <c r="T73" i="174"/>
  <c r="T79" i="174" l="1"/>
  <c r="F77" i="174"/>
</calcChain>
</file>

<file path=xl/sharedStrings.xml><?xml version="1.0" encoding="utf-8"?>
<sst xmlns="http://schemas.openxmlformats.org/spreadsheetml/2006/main" count="141" uniqueCount="134">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</sst>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abSelected="1" zoomScale="85" zoomScaleNormal="85" workbookViewId="0">
      <pane xSplit="2" topLeftCell="C1" activePane="topRight" state="frozen"/>
      <selection activeCell="F17" sqref="F17"/>
      <selection pane="topRight" activeCell="F42" sqref="F4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7"/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/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1" t="s">
        <v>6</v>
      </c>
      <c r="T6" s="195" t="s">
        <v>7</v>
      </c>
      <c r="U6" s="12" t="s">
        <v>131</v>
      </c>
      <c r="W6" s="20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5"/>
      <c r="G7" s="205"/>
      <c r="H7" s="205"/>
      <c r="I7" s="205"/>
      <c r="J7" s="205"/>
      <c r="K7" s="205"/>
      <c r="L7" s="205"/>
      <c r="M7" s="205"/>
      <c r="N7" s="14"/>
      <c r="O7" s="14"/>
      <c r="P7" s="14"/>
      <c r="Q7" s="15"/>
      <c r="S7" s="14"/>
      <c r="T7" s="195" t="s">
        <v>11</v>
      </c>
      <c r="U7" s="12"/>
      <c r="W7" s="20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7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7"/>
      <c r="AI9" s="206" t="s">
        <v>27</v>
      </c>
    </row>
    <row r="10" spans="2:35" s="16" customFormat="1" ht="20.25" customHeight="1" x14ac:dyDescent="0.25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7"/>
      <c r="AB10" s="207"/>
      <c r="AC10" s="221"/>
      <c r="AD10" s="224"/>
      <c r="AE10" s="207"/>
      <c r="AG10" s="207"/>
      <c r="AH10" s="17"/>
      <c r="AI10" s="207"/>
    </row>
    <row r="11" spans="2:35" s="21" customFormat="1" ht="12.75" customHeight="1" thickBot="1" x14ac:dyDescent="0.3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6"/>
      <c r="Y11" s="219"/>
      <c r="Z11" s="219"/>
      <c r="AA11" s="17"/>
      <c r="AB11" s="209"/>
      <c r="AC11" s="222"/>
      <c r="AD11" s="225"/>
      <c r="AE11" s="209"/>
      <c r="AG11" s="208"/>
      <c r="AH11" s="17"/>
      <c r="AI11" s="20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38" t="s">
        <v>101</v>
      </c>
      <c r="C71" s="238"/>
      <c r="D71" s="238"/>
      <c r="E71" s="238"/>
      <c r="F71" s="238"/>
      <c r="G71" s="23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29">
        <f>SUM(I12:I70)</f>
        <v>0</v>
      </c>
      <c r="G73" s="229"/>
      <c r="H73" s="229"/>
      <c r="I73" s="230"/>
      <c r="J73" s="158"/>
      <c r="K73" s="158"/>
      <c r="L73" s="158"/>
      <c r="M73" s="231" t="s">
        <v>103</v>
      </c>
      <c r="N73" s="232"/>
      <c r="O73" s="229">
        <f>SUM(Q12:Q70)</f>
        <v>0</v>
      </c>
      <c r="P73" s="229"/>
      <c r="Q73" s="230"/>
      <c r="R73" s="152"/>
      <c r="S73" s="159" t="s">
        <v>104</v>
      </c>
      <c r="T73" s="233">
        <f>SUM(Y12:Y68)</f>
        <v>0</v>
      </c>
      <c r="U73" s="23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29">
        <f>SUM(I14:I72)</f>
        <v>0</v>
      </c>
      <c r="G75" s="229"/>
      <c r="H75" s="229"/>
      <c r="I75" s="230"/>
      <c r="J75" s="158"/>
      <c r="K75" s="158"/>
      <c r="L75" s="158"/>
      <c r="M75" s="231" t="s">
        <v>103</v>
      </c>
      <c r="N75" s="232"/>
      <c r="O75" s="229">
        <f>SUM(Q14:Q72)</f>
        <v>0</v>
      </c>
      <c r="P75" s="229"/>
      <c r="Q75" s="230"/>
      <c r="R75" s="152"/>
      <c r="S75" s="159" t="s">
        <v>129</v>
      </c>
      <c r="T75" s="233">
        <f>SUM(Z12:Z70)</f>
        <v>0</v>
      </c>
      <c r="U75" s="23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29">
        <f>IF(U7&gt;0,"",(F73-O73-T79-P79))</f>
        <v>0</v>
      </c>
      <c r="G77" s="229"/>
      <c r="H77" s="229"/>
      <c r="I77" s="230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3">
        <f>IF(SUM(X12:X68)*0.15&gt;P77,P77,SUM(X12:X68)*0.15)</f>
        <v>0</v>
      </c>
      <c r="U77" s="234"/>
      <c r="V77" s="160"/>
      <c r="W77" s="20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29"/>
      <c r="G79" s="229"/>
      <c r="H79" s="229"/>
      <c r="I79" s="230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3">
        <f>T77+T73+T75</f>
        <v>0</v>
      </c>
      <c r="U79" s="234"/>
      <c r="V79" s="160"/>
      <c r="W79" s="20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25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5" t="s">
        <v>132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8" x14ac:dyDescent="0.25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5" t="s">
        <v>133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01-26-2026 (2)</vt:lpstr>
      <vt:lpstr>'01-26-2026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2026-01-28T00:45:14Z</dcterms:modified>
</cp:coreProperties>
</file>