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GBDS FEBRUARY FILES 2026\"/>
    </mc:Choice>
  </mc:AlternateContent>
  <xr:revisionPtr revIDLastSave="0" documentId="13_ncr:1_{AF4C4C05-3157-4A1B-8164-0311C30B129F}" xr6:coauthVersionLast="45" xr6:coauthVersionMax="45" xr10:uidLastSave="{00000000-0000-0000-0000-000000000000}"/>
  <bookViews>
    <workbookView xWindow="-120" yWindow="-120" windowWidth="29040" windowHeight="15840" firstSheet="12" activeTab="20" xr2:uid="{D34C963E-9680-4B45-A4EE-B681FF0CEC08}"/>
  </bookViews>
  <sheets>
    <sheet name="COUNT SHEET" sheetId="9" r:id="rId1"/>
    <sheet name="COUNT SHEET SAMPLE" sheetId="10" r:id="rId2"/>
    <sheet name="02-03-2026" sheetId="12" r:id="rId3"/>
    <sheet name="02-04-2026" sheetId="13" r:id="rId4"/>
    <sheet name="02-05-2026" sheetId="14" r:id="rId5"/>
    <sheet name="02-06-2026" sheetId="15" r:id="rId6"/>
    <sheet name="02-07-2026" sheetId="16" r:id="rId7"/>
    <sheet name="02-09-2026" sheetId="17" r:id="rId8"/>
    <sheet name="02-10-2026" sheetId="18" r:id="rId9"/>
    <sheet name="02-11-2026" sheetId="19" r:id="rId10"/>
    <sheet name="02-12-2026" sheetId="20" r:id="rId11"/>
    <sheet name="02-13-2026" sheetId="11" r:id="rId12"/>
    <sheet name="02-14-2026" sheetId="21" r:id="rId13"/>
    <sheet name="02-16-2026" sheetId="22" r:id="rId14"/>
    <sheet name="EXAMPLE" sheetId="23" r:id="rId15"/>
    <sheet name="02-17-2026" sheetId="25" r:id="rId16"/>
    <sheet name="02-18-2026" sheetId="24" r:id="rId17"/>
    <sheet name="02-19-2026" sheetId="26" r:id="rId18"/>
    <sheet name="02-20-2026__" sheetId="28" r:id="rId19"/>
    <sheet name="02-21-2026" sheetId="29" r:id="rId20"/>
    <sheet name="02-23-2026" sheetId="30" r:id="rId21"/>
    <sheet name="02-25-2026" sheetId="31" r:id="rId22"/>
  </sheets>
  <definedNames>
    <definedName name="_xlnm.Print_Area" localSheetId="2">'02-03-2026'!$A$1:$W$58</definedName>
    <definedName name="_xlnm.Print_Area" localSheetId="3">'02-04-2026'!$A$1:$W$58</definedName>
    <definedName name="_xlnm.Print_Area" localSheetId="4">'02-05-2026'!$A$1:$W$58</definedName>
    <definedName name="_xlnm.Print_Area" localSheetId="5">'02-06-2026'!$A$1:$W$58</definedName>
    <definedName name="_xlnm.Print_Area" localSheetId="6">'02-07-2026'!$A$1:$W$58</definedName>
    <definedName name="_xlnm.Print_Area" localSheetId="7">'02-09-2026'!$A$1:$W$58</definedName>
    <definedName name="_xlnm.Print_Area" localSheetId="8">'02-10-2026'!$A$1:$W$58</definedName>
    <definedName name="_xlnm.Print_Area" localSheetId="9">'02-11-2026'!$A$1:$W$58</definedName>
    <definedName name="_xlnm.Print_Area" localSheetId="10">'02-12-2026'!$A$1:$W$58</definedName>
    <definedName name="_xlnm.Print_Area" localSheetId="11">'02-13-2026'!$A$1:$W$58</definedName>
    <definedName name="_xlnm.Print_Area" localSheetId="12">'02-14-2026'!$A$1:$W$58</definedName>
    <definedName name="_xlnm.Print_Area" localSheetId="13">'02-16-2026'!$A$1:$W$59</definedName>
    <definedName name="_xlnm.Print_Area" localSheetId="15">'02-17-2026'!$A$1:$W$59</definedName>
    <definedName name="_xlnm.Print_Area" localSheetId="16">'02-18-2026'!$A$1:$W$59</definedName>
    <definedName name="_xlnm.Print_Area" localSheetId="17">'02-19-2026'!$A$1:$W$59</definedName>
    <definedName name="_xlnm.Print_Area" localSheetId="18">'02-20-2026__'!$A$1:$W$59</definedName>
    <definedName name="_xlnm.Print_Area" localSheetId="19">'02-21-2026'!$A$1:$W$59</definedName>
    <definedName name="_xlnm.Print_Area" localSheetId="20">'02-23-2026'!$A$1:$W$59</definedName>
    <definedName name="_xlnm.Print_Area" localSheetId="21">'02-25-2026'!$A$1:$W$59</definedName>
    <definedName name="_xlnm.Print_Area" localSheetId="0">'COUNT SHEET'!$A$1:$AM$25</definedName>
    <definedName name="_xlnm.Print_Area" localSheetId="1">'COUNT SHEET SAMPLE'!$A$1:$Q$88</definedName>
    <definedName name="_xlnm.Print_Area" localSheetId="14">EXAMPLE!$A$1:$W$83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47" i="30" l="1"/>
  <c r="K43" i="30"/>
  <c r="J43" i="30"/>
  <c r="C43" i="30"/>
  <c r="C41" i="30"/>
  <c r="C40" i="30"/>
  <c r="C37" i="30"/>
  <c r="C34" i="30"/>
  <c r="C28" i="30"/>
  <c r="C25" i="30"/>
  <c r="C12" i="30"/>
  <c r="C8" i="30"/>
  <c r="R58" i="31"/>
  <c r="Q58" i="31"/>
  <c r="P58" i="31"/>
  <c r="O58" i="31"/>
  <c r="N58" i="31"/>
  <c r="M58" i="31"/>
  <c r="K58" i="31"/>
  <c r="J58" i="31"/>
  <c r="I58" i="31"/>
  <c r="H58" i="31"/>
  <c r="G58" i="31"/>
  <c r="F58" i="31"/>
  <c r="C58" i="31"/>
  <c r="T54" i="31"/>
  <c r="U54" i="31" s="1"/>
  <c r="V54" i="31" s="1"/>
  <c r="T53" i="31"/>
  <c r="U53" i="31" s="1"/>
  <c r="V53" i="31" s="1"/>
  <c r="U52" i="31"/>
  <c r="V52" i="31" s="1"/>
  <c r="T52" i="31"/>
  <c r="T51" i="31"/>
  <c r="U51" i="31" s="1"/>
  <c r="V51" i="31" s="1"/>
  <c r="T50" i="31"/>
  <c r="U50" i="31" s="1"/>
  <c r="V50" i="31" s="1"/>
  <c r="T49" i="31"/>
  <c r="U49" i="31" s="1"/>
  <c r="V49" i="31" s="1"/>
  <c r="U48" i="31"/>
  <c r="V48" i="31" s="1"/>
  <c r="T48" i="31"/>
  <c r="T47" i="31"/>
  <c r="U47" i="31" s="1"/>
  <c r="V47" i="31" s="1"/>
  <c r="T46" i="31"/>
  <c r="U46" i="31" s="1"/>
  <c r="V46" i="31" s="1"/>
  <c r="T45" i="31"/>
  <c r="U45" i="31" s="1"/>
  <c r="V45" i="31" s="1"/>
  <c r="T43" i="31"/>
  <c r="U43" i="31" s="1"/>
  <c r="V43" i="31" s="1"/>
  <c r="U41" i="31"/>
  <c r="V41" i="31" s="1"/>
  <c r="T41" i="31"/>
  <c r="T40" i="31"/>
  <c r="U40" i="31" s="1"/>
  <c r="V40" i="31" s="1"/>
  <c r="T38" i="31"/>
  <c r="U38" i="31" s="1"/>
  <c r="V38" i="31" s="1"/>
  <c r="T37" i="31"/>
  <c r="U37" i="31" s="1"/>
  <c r="V37" i="31" s="1"/>
  <c r="T36" i="31"/>
  <c r="U36" i="31" s="1"/>
  <c r="V36" i="31" s="1"/>
  <c r="U35" i="31"/>
  <c r="V35" i="31" s="1"/>
  <c r="T35" i="31"/>
  <c r="T34" i="31"/>
  <c r="U34" i="31" s="1"/>
  <c r="V34" i="31" s="1"/>
  <c r="T33" i="31"/>
  <c r="U33" i="31" s="1"/>
  <c r="V33" i="31" s="1"/>
  <c r="T32" i="31"/>
  <c r="U32" i="31" s="1"/>
  <c r="V32" i="31" s="1"/>
  <c r="U31" i="31"/>
  <c r="V31" i="31" s="1"/>
  <c r="T31" i="31"/>
  <c r="T30" i="31"/>
  <c r="U30" i="31" s="1"/>
  <c r="V30" i="31" s="1"/>
  <c r="T29" i="31"/>
  <c r="U29" i="31" s="1"/>
  <c r="V29" i="31" s="1"/>
  <c r="T28" i="31"/>
  <c r="U28" i="31" s="1"/>
  <c r="V28" i="31" s="1"/>
  <c r="T26" i="31"/>
  <c r="U26" i="31" s="1"/>
  <c r="V26" i="31" s="1"/>
  <c r="AY25" i="31"/>
  <c r="T25" i="31"/>
  <c r="U25" i="31" s="1"/>
  <c r="V25" i="31" s="1"/>
  <c r="T24" i="31"/>
  <c r="U24" i="31" s="1"/>
  <c r="V24" i="31" s="1"/>
  <c r="U23" i="31"/>
  <c r="V23" i="31" s="1"/>
  <c r="T23" i="31"/>
  <c r="T22" i="31"/>
  <c r="U22" i="31" s="1"/>
  <c r="V22" i="31" s="1"/>
  <c r="T21" i="31"/>
  <c r="U21" i="31" s="1"/>
  <c r="V21" i="31" s="1"/>
  <c r="A21" i="31"/>
  <c r="A22" i="31" s="1"/>
  <c r="A23" i="31" s="1"/>
  <c r="A24" i="31" s="1"/>
  <c r="A25" i="31" s="1"/>
  <c r="A26" i="31" s="1"/>
  <c r="A27" i="31" s="1"/>
  <c r="A28" i="31" s="1"/>
  <c r="A29" i="31" s="1"/>
  <c r="A30" i="31" s="1"/>
  <c r="A31" i="31" s="1"/>
  <c r="A32" i="31" s="1"/>
  <c r="A33" i="31" s="1"/>
  <c r="A34" i="31" s="1"/>
  <c r="A35" i="31" s="1"/>
  <c r="A36" i="31" s="1"/>
  <c r="A37" i="31" s="1"/>
  <c r="A38" i="31" s="1"/>
  <c r="A39" i="31" s="1"/>
  <c r="A40" i="31" s="1"/>
  <c r="A41" i="31" s="1"/>
  <c r="A42" i="31" s="1"/>
  <c r="A43" i="31" s="1"/>
  <c r="A44" i="31" s="1"/>
  <c r="A45" i="31" s="1"/>
  <c r="A46" i="31" s="1"/>
  <c r="A47" i="31" s="1"/>
  <c r="A48" i="31" s="1"/>
  <c r="A49" i="31" s="1"/>
  <c r="A50" i="31" s="1"/>
  <c r="A51" i="31" s="1"/>
  <c r="A52" i="31" s="1"/>
  <c r="A53" i="31" s="1"/>
  <c r="A54" i="31" s="1"/>
  <c r="A55" i="31" s="1"/>
  <c r="A56" i="31" s="1"/>
  <c r="A57" i="31" s="1"/>
  <c r="T20" i="31"/>
  <c r="U20" i="31" s="1"/>
  <c r="V20" i="31" s="1"/>
  <c r="A20" i="31"/>
  <c r="U19" i="31"/>
  <c r="V19" i="31" s="1"/>
  <c r="T19" i="31"/>
  <c r="T18" i="31"/>
  <c r="U18" i="31" s="1"/>
  <c r="V18" i="31" s="1"/>
  <c r="U17" i="31"/>
  <c r="V17" i="31" s="1"/>
  <c r="T17" i="31"/>
  <c r="T16" i="31"/>
  <c r="T58" i="31" s="1"/>
  <c r="T15" i="31"/>
  <c r="U15" i="31" s="1"/>
  <c r="V15" i="31" s="1"/>
  <c r="T14" i="31"/>
  <c r="U14" i="31" s="1"/>
  <c r="V14" i="31" s="1"/>
  <c r="A14" i="31"/>
  <c r="A15" i="31" s="1"/>
  <c r="A16" i="31" s="1"/>
  <c r="A17" i="31" s="1"/>
  <c r="A18" i="31" s="1"/>
  <c r="U13" i="31"/>
  <c r="V13" i="31" s="1"/>
  <c r="T13" i="31"/>
  <c r="T12" i="31"/>
  <c r="U12" i="31" s="1"/>
  <c r="V12" i="31" s="1"/>
  <c r="U11" i="31"/>
  <c r="V11" i="31" s="1"/>
  <c r="T11" i="31"/>
  <c r="T10" i="31"/>
  <c r="U10" i="31" s="1"/>
  <c r="V10" i="31" s="1"/>
  <c r="U9" i="31"/>
  <c r="V9" i="31" s="1"/>
  <c r="T9" i="31"/>
  <c r="T8" i="31"/>
  <c r="U8" i="31" s="1"/>
  <c r="V8" i="31" s="1"/>
  <c r="A8" i="31"/>
  <c r="A9" i="31" s="1"/>
  <c r="A10" i="31" s="1"/>
  <c r="A11" i="31" s="1"/>
  <c r="U7" i="31"/>
  <c r="T7" i="31"/>
  <c r="C47" i="29"/>
  <c r="K43" i="29"/>
  <c r="J43" i="29"/>
  <c r="C43" i="29"/>
  <c r="C41" i="29"/>
  <c r="C40" i="29"/>
  <c r="C38" i="29"/>
  <c r="C37" i="29"/>
  <c r="C34" i="29"/>
  <c r="C25" i="29"/>
  <c r="C12" i="29"/>
  <c r="C8" i="29"/>
  <c r="U16" i="31" l="1"/>
  <c r="V16" i="31" s="1"/>
  <c r="V7" i="31"/>
  <c r="R58" i="30"/>
  <c r="Q58" i="30"/>
  <c r="P58" i="30"/>
  <c r="O58" i="30"/>
  <c r="N58" i="30"/>
  <c r="M58" i="30"/>
  <c r="K58" i="30"/>
  <c r="J58" i="30"/>
  <c r="I58" i="30"/>
  <c r="H58" i="30"/>
  <c r="G58" i="30"/>
  <c r="F58" i="30"/>
  <c r="C58" i="30"/>
  <c r="T54" i="30"/>
  <c r="U54" i="30" s="1"/>
  <c r="V54" i="30" s="1"/>
  <c r="T53" i="30"/>
  <c r="U53" i="30" s="1"/>
  <c r="V53" i="30" s="1"/>
  <c r="T52" i="30"/>
  <c r="U52" i="30" s="1"/>
  <c r="V52" i="30" s="1"/>
  <c r="U51" i="30"/>
  <c r="V51" i="30" s="1"/>
  <c r="T51" i="30"/>
  <c r="T50" i="30"/>
  <c r="U50" i="30" s="1"/>
  <c r="V50" i="30" s="1"/>
  <c r="T49" i="30"/>
  <c r="U49" i="30" s="1"/>
  <c r="V49" i="30" s="1"/>
  <c r="T48" i="30"/>
  <c r="U48" i="30" s="1"/>
  <c r="V48" i="30" s="1"/>
  <c r="T47" i="30"/>
  <c r="U47" i="30" s="1"/>
  <c r="V47" i="30" s="1"/>
  <c r="T46" i="30"/>
  <c r="U46" i="30" s="1"/>
  <c r="V46" i="30" s="1"/>
  <c r="T45" i="30"/>
  <c r="U45" i="30" s="1"/>
  <c r="V45" i="30" s="1"/>
  <c r="T43" i="30"/>
  <c r="U43" i="30" s="1"/>
  <c r="V43" i="30" s="1"/>
  <c r="T41" i="30"/>
  <c r="U41" i="30" s="1"/>
  <c r="V41" i="30" s="1"/>
  <c r="T40" i="30"/>
  <c r="U40" i="30" s="1"/>
  <c r="V40" i="30" s="1"/>
  <c r="U38" i="30"/>
  <c r="V38" i="30" s="1"/>
  <c r="T38" i="30"/>
  <c r="T37" i="30"/>
  <c r="U37" i="30" s="1"/>
  <c r="V37" i="30" s="1"/>
  <c r="U36" i="30"/>
  <c r="V36" i="30" s="1"/>
  <c r="T36" i="30"/>
  <c r="T35" i="30"/>
  <c r="U35" i="30" s="1"/>
  <c r="V35" i="30" s="1"/>
  <c r="T34" i="30"/>
  <c r="U34" i="30" s="1"/>
  <c r="V34" i="30" s="1"/>
  <c r="T33" i="30"/>
  <c r="U33" i="30" s="1"/>
  <c r="V33" i="30" s="1"/>
  <c r="U32" i="30"/>
  <c r="V32" i="30" s="1"/>
  <c r="T32" i="30"/>
  <c r="T31" i="30"/>
  <c r="U31" i="30" s="1"/>
  <c r="V31" i="30" s="1"/>
  <c r="U30" i="30"/>
  <c r="V30" i="30" s="1"/>
  <c r="T30" i="30"/>
  <c r="T29" i="30"/>
  <c r="U29" i="30" s="1"/>
  <c r="V29" i="30" s="1"/>
  <c r="U28" i="30"/>
  <c r="V28" i="30" s="1"/>
  <c r="T28" i="30"/>
  <c r="T26" i="30"/>
  <c r="U26" i="30" s="1"/>
  <c r="V26" i="30" s="1"/>
  <c r="AY25" i="30"/>
  <c r="T25" i="30"/>
  <c r="U25" i="30" s="1"/>
  <c r="V25" i="30" s="1"/>
  <c r="T24" i="30"/>
  <c r="U24" i="30" s="1"/>
  <c r="V24" i="30" s="1"/>
  <c r="T23" i="30"/>
  <c r="U23" i="30" s="1"/>
  <c r="V23" i="30" s="1"/>
  <c r="T22" i="30"/>
  <c r="U22" i="30" s="1"/>
  <c r="V22" i="30" s="1"/>
  <c r="A22" i="30"/>
  <c r="A23" i="30" s="1"/>
  <c r="A24" i="30" s="1"/>
  <c r="A25" i="30" s="1"/>
  <c r="A26" i="30" s="1"/>
  <c r="A27" i="30" s="1"/>
  <c r="A28" i="30" s="1"/>
  <c r="A29" i="30" s="1"/>
  <c r="A30" i="30" s="1"/>
  <c r="A31" i="30" s="1"/>
  <c r="A32" i="30" s="1"/>
  <c r="A33" i="30" s="1"/>
  <c r="A34" i="30" s="1"/>
  <c r="A35" i="30" s="1"/>
  <c r="A36" i="30" s="1"/>
  <c r="A37" i="30" s="1"/>
  <c r="A38" i="30" s="1"/>
  <c r="A39" i="30" s="1"/>
  <c r="A40" i="30" s="1"/>
  <c r="A41" i="30" s="1"/>
  <c r="A42" i="30" s="1"/>
  <c r="A43" i="30" s="1"/>
  <c r="A44" i="30" s="1"/>
  <c r="A45" i="30" s="1"/>
  <c r="A46" i="30" s="1"/>
  <c r="A47" i="30" s="1"/>
  <c r="A48" i="30" s="1"/>
  <c r="A49" i="30" s="1"/>
  <c r="A50" i="30" s="1"/>
  <c r="A51" i="30" s="1"/>
  <c r="A52" i="30" s="1"/>
  <c r="A53" i="30" s="1"/>
  <c r="A54" i="30" s="1"/>
  <c r="A55" i="30" s="1"/>
  <c r="A56" i="30" s="1"/>
  <c r="A57" i="30" s="1"/>
  <c r="U21" i="30"/>
  <c r="V21" i="30" s="1"/>
  <c r="T21" i="30"/>
  <c r="A21" i="30"/>
  <c r="T20" i="30"/>
  <c r="U20" i="30" s="1"/>
  <c r="V20" i="30" s="1"/>
  <c r="A20" i="30"/>
  <c r="T19" i="30"/>
  <c r="U19" i="30" s="1"/>
  <c r="V19" i="30" s="1"/>
  <c r="T18" i="30"/>
  <c r="U18" i="30" s="1"/>
  <c r="V18" i="30" s="1"/>
  <c r="T17" i="30"/>
  <c r="U17" i="30" s="1"/>
  <c r="V17" i="30" s="1"/>
  <c r="U16" i="30"/>
  <c r="V16" i="30" s="1"/>
  <c r="T16" i="30"/>
  <c r="T15" i="30"/>
  <c r="U15" i="30" s="1"/>
  <c r="V15" i="30" s="1"/>
  <c r="T14" i="30"/>
  <c r="U14" i="30" s="1"/>
  <c r="V14" i="30" s="1"/>
  <c r="A14" i="30"/>
  <c r="A15" i="30" s="1"/>
  <c r="A16" i="30" s="1"/>
  <c r="A17" i="30" s="1"/>
  <c r="A18" i="30" s="1"/>
  <c r="T13" i="30"/>
  <c r="U13" i="30" s="1"/>
  <c r="V13" i="30" s="1"/>
  <c r="T12" i="30"/>
  <c r="U12" i="30" s="1"/>
  <c r="V12" i="30" s="1"/>
  <c r="T11" i="30"/>
  <c r="U11" i="30" s="1"/>
  <c r="V11" i="30" s="1"/>
  <c r="T10" i="30"/>
  <c r="U10" i="30" s="1"/>
  <c r="V10" i="30" s="1"/>
  <c r="T9" i="30"/>
  <c r="U9" i="30" s="1"/>
  <c r="V9" i="30" s="1"/>
  <c r="T8" i="30"/>
  <c r="U8" i="30" s="1"/>
  <c r="V8" i="30" s="1"/>
  <c r="A8" i="30"/>
  <c r="A9" i="30" s="1"/>
  <c r="A10" i="30" s="1"/>
  <c r="A11" i="30" s="1"/>
  <c r="T7" i="30"/>
  <c r="U7" i="30" s="1"/>
  <c r="R58" i="29"/>
  <c r="Q58" i="29"/>
  <c r="P58" i="29"/>
  <c r="O58" i="29"/>
  <c r="N58" i="29"/>
  <c r="M58" i="29"/>
  <c r="K58" i="29"/>
  <c r="J58" i="29"/>
  <c r="I58" i="29"/>
  <c r="H58" i="29"/>
  <c r="G58" i="29"/>
  <c r="F58" i="29"/>
  <c r="C58" i="29"/>
  <c r="T54" i="29"/>
  <c r="U54" i="29" s="1"/>
  <c r="V54" i="29" s="1"/>
  <c r="U53" i="29"/>
  <c r="V53" i="29" s="1"/>
  <c r="T53" i="29"/>
  <c r="T52" i="29"/>
  <c r="U52" i="29" s="1"/>
  <c r="V52" i="29" s="1"/>
  <c r="T51" i="29"/>
  <c r="U51" i="29" s="1"/>
  <c r="V51" i="29" s="1"/>
  <c r="T50" i="29"/>
  <c r="U50" i="29" s="1"/>
  <c r="V50" i="29" s="1"/>
  <c r="U49" i="29"/>
  <c r="V49" i="29" s="1"/>
  <c r="T49" i="29"/>
  <c r="T48" i="29"/>
  <c r="U48" i="29" s="1"/>
  <c r="V48" i="29" s="1"/>
  <c r="T47" i="29"/>
  <c r="U47" i="29" s="1"/>
  <c r="V47" i="29" s="1"/>
  <c r="T46" i="29"/>
  <c r="U46" i="29" s="1"/>
  <c r="V46" i="29" s="1"/>
  <c r="U45" i="29"/>
  <c r="V45" i="29" s="1"/>
  <c r="T45" i="29"/>
  <c r="T43" i="29"/>
  <c r="U43" i="29" s="1"/>
  <c r="V43" i="29" s="1"/>
  <c r="T41" i="29"/>
  <c r="U41" i="29" s="1"/>
  <c r="V41" i="29" s="1"/>
  <c r="T40" i="29"/>
  <c r="U40" i="29" s="1"/>
  <c r="V40" i="29" s="1"/>
  <c r="U38" i="29"/>
  <c r="V38" i="29" s="1"/>
  <c r="T38" i="29"/>
  <c r="T37" i="29"/>
  <c r="U37" i="29" s="1"/>
  <c r="V37" i="29" s="1"/>
  <c r="U36" i="29"/>
  <c r="V36" i="29" s="1"/>
  <c r="T36" i="29"/>
  <c r="T35" i="29"/>
  <c r="U35" i="29" s="1"/>
  <c r="V35" i="29" s="1"/>
  <c r="T34" i="29"/>
  <c r="U34" i="29" s="1"/>
  <c r="V34" i="29" s="1"/>
  <c r="T33" i="29"/>
  <c r="U33" i="29" s="1"/>
  <c r="V33" i="29" s="1"/>
  <c r="U32" i="29"/>
  <c r="V32" i="29" s="1"/>
  <c r="T32" i="29"/>
  <c r="T31" i="29"/>
  <c r="U31" i="29" s="1"/>
  <c r="V31" i="29" s="1"/>
  <c r="U30" i="29"/>
  <c r="V30" i="29" s="1"/>
  <c r="T30" i="29"/>
  <c r="T29" i="29"/>
  <c r="U29" i="29" s="1"/>
  <c r="V29" i="29" s="1"/>
  <c r="T28" i="29"/>
  <c r="U28" i="29" s="1"/>
  <c r="V28" i="29" s="1"/>
  <c r="U26" i="29"/>
  <c r="V26" i="29" s="1"/>
  <c r="T26" i="29"/>
  <c r="AY25" i="29"/>
  <c r="T25" i="29"/>
  <c r="U25" i="29" s="1"/>
  <c r="V25" i="29" s="1"/>
  <c r="U24" i="29"/>
  <c r="V24" i="29" s="1"/>
  <c r="T24" i="29"/>
  <c r="T23" i="29"/>
  <c r="U23" i="29" s="1"/>
  <c r="V23" i="29" s="1"/>
  <c r="T22" i="29"/>
  <c r="U22" i="29" s="1"/>
  <c r="V22" i="29" s="1"/>
  <c r="U21" i="29"/>
  <c r="V21" i="29" s="1"/>
  <c r="T21" i="29"/>
  <c r="U20" i="29"/>
  <c r="V20" i="29" s="1"/>
  <c r="T20" i="29"/>
  <c r="A20" i="29"/>
  <c r="A21" i="29" s="1"/>
  <c r="A22" i="29" s="1"/>
  <c r="A23" i="29" s="1"/>
  <c r="A24" i="29" s="1"/>
  <c r="A25" i="29" s="1"/>
  <c r="A26" i="29" s="1"/>
  <c r="A27" i="29" s="1"/>
  <c r="A28" i="29" s="1"/>
  <c r="A29" i="29" s="1"/>
  <c r="A30" i="29" s="1"/>
  <c r="A31" i="29" s="1"/>
  <c r="A32" i="29" s="1"/>
  <c r="A33" i="29" s="1"/>
  <c r="A34" i="29" s="1"/>
  <c r="A35" i="29" s="1"/>
  <c r="A36" i="29" s="1"/>
  <c r="A37" i="29" s="1"/>
  <c r="A38" i="29" s="1"/>
  <c r="A39" i="29" s="1"/>
  <c r="A40" i="29" s="1"/>
  <c r="A41" i="29" s="1"/>
  <c r="A42" i="29" s="1"/>
  <c r="A43" i="29" s="1"/>
  <c r="A44" i="29" s="1"/>
  <c r="A45" i="29" s="1"/>
  <c r="A46" i="29" s="1"/>
  <c r="A47" i="29" s="1"/>
  <c r="A48" i="29" s="1"/>
  <c r="A49" i="29" s="1"/>
  <c r="A50" i="29" s="1"/>
  <c r="A51" i="29" s="1"/>
  <c r="A52" i="29" s="1"/>
  <c r="A53" i="29" s="1"/>
  <c r="A54" i="29" s="1"/>
  <c r="A55" i="29" s="1"/>
  <c r="A56" i="29" s="1"/>
  <c r="A57" i="29" s="1"/>
  <c r="T19" i="29"/>
  <c r="U19" i="29" s="1"/>
  <c r="V19" i="29" s="1"/>
  <c r="U18" i="29"/>
  <c r="V18" i="29" s="1"/>
  <c r="T18" i="29"/>
  <c r="T17" i="29"/>
  <c r="U17" i="29" s="1"/>
  <c r="V17" i="29" s="1"/>
  <c r="T16" i="29"/>
  <c r="U16" i="29" s="1"/>
  <c r="V16" i="29" s="1"/>
  <c r="T15" i="29"/>
  <c r="U15" i="29" s="1"/>
  <c r="V15" i="29" s="1"/>
  <c r="U14" i="29"/>
  <c r="V14" i="29" s="1"/>
  <c r="T14" i="29"/>
  <c r="A14" i="29"/>
  <c r="A15" i="29" s="1"/>
  <c r="A16" i="29" s="1"/>
  <c r="A17" i="29" s="1"/>
  <c r="A18" i="29" s="1"/>
  <c r="T13" i="29"/>
  <c r="U13" i="29" s="1"/>
  <c r="V13" i="29" s="1"/>
  <c r="T12" i="29"/>
  <c r="U12" i="29" s="1"/>
  <c r="V12" i="29" s="1"/>
  <c r="T11" i="29"/>
  <c r="U11" i="29" s="1"/>
  <c r="V11" i="29" s="1"/>
  <c r="U10" i="29"/>
  <c r="V10" i="29" s="1"/>
  <c r="T10" i="29"/>
  <c r="T9" i="29"/>
  <c r="U9" i="29" s="1"/>
  <c r="V9" i="29" s="1"/>
  <c r="T8" i="29"/>
  <c r="U8" i="29" s="1"/>
  <c r="V8" i="29" s="1"/>
  <c r="A8" i="29"/>
  <c r="A9" i="29" s="1"/>
  <c r="A10" i="29" s="1"/>
  <c r="A11" i="29" s="1"/>
  <c r="T7" i="29"/>
  <c r="U58" i="31" l="1"/>
  <c r="V58" i="31"/>
  <c r="T58" i="29"/>
  <c r="U58" i="30"/>
  <c r="V7" i="30"/>
  <c r="V58" i="30" s="1"/>
  <c r="T58" i="30"/>
  <c r="U7" i="29"/>
  <c r="R58" i="28"/>
  <c r="Q58" i="28"/>
  <c r="P58" i="28"/>
  <c r="O58" i="28"/>
  <c r="N58" i="28"/>
  <c r="M58" i="28"/>
  <c r="K58" i="28"/>
  <c r="J58" i="28"/>
  <c r="I58" i="28"/>
  <c r="H58" i="28"/>
  <c r="G58" i="28"/>
  <c r="F58" i="28"/>
  <c r="T54" i="28"/>
  <c r="U54" i="28" s="1"/>
  <c r="V54" i="28" s="1"/>
  <c r="T53" i="28"/>
  <c r="U53" i="28" s="1"/>
  <c r="V53" i="28" s="1"/>
  <c r="T52" i="28"/>
  <c r="U52" i="28" s="1"/>
  <c r="V52" i="28" s="1"/>
  <c r="T51" i="28"/>
  <c r="U51" i="28" s="1"/>
  <c r="V51" i="28" s="1"/>
  <c r="T50" i="28"/>
  <c r="U50" i="28" s="1"/>
  <c r="V50" i="28" s="1"/>
  <c r="T49" i="28"/>
  <c r="U49" i="28" s="1"/>
  <c r="V49" i="28" s="1"/>
  <c r="T48" i="28"/>
  <c r="U48" i="28" s="1"/>
  <c r="V48" i="28" s="1"/>
  <c r="T47" i="28"/>
  <c r="U47" i="28"/>
  <c r="V47" i="28" s="1"/>
  <c r="T46" i="28"/>
  <c r="U46" i="28" s="1"/>
  <c r="V46" i="28" s="1"/>
  <c r="T45" i="28"/>
  <c r="U45" i="28" s="1"/>
  <c r="V45" i="28" s="1"/>
  <c r="T43" i="28"/>
  <c r="U43" i="28"/>
  <c r="V43" i="28" s="1"/>
  <c r="T41" i="28"/>
  <c r="U41" i="28" s="1"/>
  <c r="V41" i="28" s="1"/>
  <c r="T40" i="28"/>
  <c r="U40" i="28" s="1"/>
  <c r="V40" i="28" s="1"/>
  <c r="T38" i="28"/>
  <c r="U38" i="28" s="1"/>
  <c r="V38" i="28" s="1"/>
  <c r="T37" i="28"/>
  <c r="U37" i="28" s="1"/>
  <c r="V37" i="28" s="1"/>
  <c r="T36" i="28"/>
  <c r="U36" i="28" s="1"/>
  <c r="V36" i="28" s="1"/>
  <c r="T35" i="28"/>
  <c r="U35" i="28" s="1"/>
  <c r="V35" i="28" s="1"/>
  <c r="T34" i="28"/>
  <c r="U34" i="28"/>
  <c r="V34" i="28" s="1"/>
  <c r="T33" i="28"/>
  <c r="U33" i="28" s="1"/>
  <c r="V33" i="28" s="1"/>
  <c r="T32" i="28"/>
  <c r="U32" i="28" s="1"/>
  <c r="V32" i="28" s="1"/>
  <c r="T31" i="28"/>
  <c r="U31" i="28" s="1"/>
  <c r="V31" i="28" s="1"/>
  <c r="T30" i="28"/>
  <c r="U30" i="28" s="1"/>
  <c r="V30" i="28" s="1"/>
  <c r="T29" i="28"/>
  <c r="U29" i="28" s="1"/>
  <c r="V29" i="28" s="1"/>
  <c r="T28" i="28"/>
  <c r="U28" i="28" s="1"/>
  <c r="V28" i="28" s="1"/>
  <c r="T26" i="28"/>
  <c r="U26" i="28" s="1"/>
  <c r="V26" i="28" s="1"/>
  <c r="AY25" i="28"/>
  <c r="T25" i="28"/>
  <c r="U25" i="28" s="1"/>
  <c r="V25" i="28" s="1"/>
  <c r="T24" i="28"/>
  <c r="U24" i="28" s="1"/>
  <c r="V24" i="28" s="1"/>
  <c r="T23" i="28"/>
  <c r="U23" i="28" s="1"/>
  <c r="V23" i="28" s="1"/>
  <c r="T22" i="28"/>
  <c r="U22" i="28" s="1"/>
  <c r="V22" i="28" s="1"/>
  <c r="T21" i="28"/>
  <c r="U21" i="28" s="1"/>
  <c r="V21" i="28" s="1"/>
  <c r="T20" i="28"/>
  <c r="U20" i="28" s="1"/>
  <c r="V20" i="28" s="1"/>
  <c r="A20" i="28"/>
  <c r="A21" i="28" s="1"/>
  <c r="A22" i="28" s="1"/>
  <c r="A23" i="28" s="1"/>
  <c r="A24" i="28" s="1"/>
  <c r="A25" i="28" s="1"/>
  <c r="A26" i="28" s="1"/>
  <c r="A27" i="28" s="1"/>
  <c r="A28" i="28" s="1"/>
  <c r="A29" i="28" s="1"/>
  <c r="A30" i="28" s="1"/>
  <c r="A31" i="28" s="1"/>
  <c r="A32" i="28" s="1"/>
  <c r="A33" i="28" s="1"/>
  <c r="A34" i="28" s="1"/>
  <c r="A35" i="28" s="1"/>
  <c r="A36" i="28" s="1"/>
  <c r="A37" i="28" s="1"/>
  <c r="A38" i="28" s="1"/>
  <c r="A39" i="28" s="1"/>
  <c r="A40" i="28" s="1"/>
  <c r="A41" i="28" s="1"/>
  <c r="A42" i="28" s="1"/>
  <c r="A43" i="28" s="1"/>
  <c r="A44" i="28" s="1"/>
  <c r="A45" i="28" s="1"/>
  <c r="A46" i="28" s="1"/>
  <c r="A47" i="28" s="1"/>
  <c r="A48" i="28" s="1"/>
  <c r="A49" i="28" s="1"/>
  <c r="A50" i="28" s="1"/>
  <c r="A51" i="28" s="1"/>
  <c r="A52" i="28" s="1"/>
  <c r="A53" i="28" s="1"/>
  <c r="A54" i="28" s="1"/>
  <c r="A55" i="28" s="1"/>
  <c r="A56" i="28" s="1"/>
  <c r="A57" i="28" s="1"/>
  <c r="T19" i="28"/>
  <c r="U19" i="28" s="1"/>
  <c r="V19" i="28" s="1"/>
  <c r="T18" i="28"/>
  <c r="U18" i="28" s="1"/>
  <c r="V18" i="28" s="1"/>
  <c r="T17" i="28"/>
  <c r="U17" i="28" s="1"/>
  <c r="V17" i="28" s="1"/>
  <c r="T16" i="28"/>
  <c r="U16" i="28" s="1"/>
  <c r="V16" i="28" s="1"/>
  <c r="T15" i="28"/>
  <c r="U15" i="28" s="1"/>
  <c r="V15" i="28" s="1"/>
  <c r="T14" i="28"/>
  <c r="U14" i="28" s="1"/>
  <c r="V14" i="28" s="1"/>
  <c r="A14" i="28"/>
  <c r="A15" i="28" s="1"/>
  <c r="A16" i="28" s="1"/>
  <c r="A17" i="28" s="1"/>
  <c r="A18" i="28" s="1"/>
  <c r="T13" i="28"/>
  <c r="U13" i="28" s="1"/>
  <c r="V13" i="28" s="1"/>
  <c r="T12" i="28"/>
  <c r="U12" i="28"/>
  <c r="V12" i="28" s="1"/>
  <c r="T11" i="28"/>
  <c r="U11" i="28" s="1"/>
  <c r="V11" i="28" s="1"/>
  <c r="T10" i="28"/>
  <c r="U10" i="28" s="1"/>
  <c r="V10" i="28" s="1"/>
  <c r="T9" i="28"/>
  <c r="U9" i="28" s="1"/>
  <c r="V9" i="28" s="1"/>
  <c r="T8" i="28"/>
  <c r="U8" i="28"/>
  <c r="V8" i="28" s="1"/>
  <c r="A8" i="28"/>
  <c r="A9" i="28" s="1"/>
  <c r="A10" i="28" s="1"/>
  <c r="A11" i="28" s="1"/>
  <c r="T7" i="28"/>
  <c r="U7" i="28" s="1"/>
  <c r="C47" i="26"/>
  <c r="K43" i="26"/>
  <c r="J43" i="26"/>
  <c r="C43" i="26"/>
  <c r="C41" i="26"/>
  <c r="C40" i="26"/>
  <c r="C37" i="26"/>
  <c r="C34" i="26"/>
  <c r="C25" i="26"/>
  <c r="C12" i="26"/>
  <c r="C8" i="26"/>
  <c r="V7" i="29" l="1"/>
  <c r="V58" i="29" s="1"/>
  <c r="U58" i="29"/>
  <c r="T58" i="28"/>
  <c r="U58" i="28"/>
  <c r="C58" i="28"/>
  <c r="V7" i="28"/>
  <c r="V58" i="28" s="1"/>
  <c r="K47" i="24"/>
  <c r="C47" i="24"/>
  <c r="K43" i="24"/>
  <c r="J43" i="24"/>
  <c r="C43" i="24"/>
  <c r="C41" i="24"/>
  <c r="C40" i="24"/>
  <c r="C37" i="24"/>
  <c r="C34" i="24"/>
  <c r="C25" i="24"/>
  <c r="C12" i="24"/>
  <c r="C8" i="24"/>
  <c r="R58" i="26" l="1"/>
  <c r="Q58" i="26"/>
  <c r="P58" i="26"/>
  <c r="O58" i="26"/>
  <c r="N58" i="26"/>
  <c r="M58" i="26"/>
  <c r="K58" i="26"/>
  <c r="J58" i="26"/>
  <c r="I58" i="26"/>
  <c r="H58" i="26"/>
  <c r="G58" i="26"/>
  <c r="F58" i="26"/>
  <c r="C58" i="26"/>
  <c r="T54" i="26"/>
  <c r="U54" i="26" s="1"/>
  <c r="V54" i="26" s="1"/>
  <c r="T53" i="26"/>
  <c r="U53" i="26" s="1"/>
  <c r="V53" i="26" s="1"/>
  <c r="T52" i="26"/>
  <c r="U52" i="26" s="1"/>
  <c r="V52" i="26" s="1"/>
  <c r="U51" i="26"/>
  <c r="V51" i="26" s="1"/>
  <c r="T51" i="26"/>
  <c r="T50" i="26"/>
  <c r="U50" i="26" s="1"/>
  <c r="V50" i="26" s="1"/>
  <c r="T49" i="26"/>
  <c r="U49" i="26" s="1"/>
  <c r="V49" i="26" s="1"/>
  <c r="T48" i="26"/>
  <c r="U48" i="26" s="1"/>
  <c r="V48" i="26" s="1"/>
  <c r="T47" i="26"/>
  <c r="U47" i="26" s="1"/>
  <c r="V47" i="26" s="1"/>
  <c r="T46" i="26"/>
  <c r="U46" i="26" s="1"/>
  <c r="V46" i="26" s="1"/>
  <c r="T45" i="26"/>
  <c r="U45" i="26" s="1"/>
  <c r="V45" i="26" s="1"/>
  <c r="T43" i="26"/>
  <c r="U43" i="26" s="1"/>
  <c r="V43" i="26" s="1"/>
  <c r="T41" i="26"/>
  <c r="U41" i="26" s="1"/>
  <c r="V41" i="26" s="1"/>
  <c r="T40" i="26"/>
  <c r="U40" i="26" s="1"/>
  <c r="V40" i="26" s="1"/>
  <c r="T38" i="26"/>
  <c r="U38" i="26" s="1"/>
  <c r="V38" i="26" s="1"/>
  <c r="T37" i="26"/>
  <c r="U37" i="26" s="1"/>
  <c r="V37" i="26" s="1"/>
  <c r="U36" i="26"/>
  <c r="V36" i="26" s="1"/>
  <c r="T36" i="26"/>
  <c r="T35" i="26"/>
  <c r="U35" i="26" s="1"/>
  <c r="V35" i="26" s="1"/>
  <c r="T34" i="26"/>
  <c r="U34" i="26" s="1"/>
  <c r="V34" i="26" s="1"/>
  <c r="T33" i="26"/>
  <c r="U33" i="26" s="1"/>
  <c r="V33" i="26" s="1"/>
  <c r="U32" i="26"/>
  <c r="V32" i="26" s="1"/>
  <c r="T32" i="26"/>
  <c r="T31" i="26"/>
  <c r="U31" i="26" s="1"/>
  <c r="V31" i="26" s="1"/>
  <c r="T30" i="26"/>
  <c r="U30" i="26" s="1"/>
  <c r="V30" i="26" s="1"/>
  <c r="T29" i="26"/>
  <c r="U29" i="26" s="1"/>
  <c r="V29" i="26" s="1"/>
  <c r="U28" i="26"/>
  <c r="V28" i="26" s="1"/>
  <c r="T28" i="26"/>
  <c r="T26" i="26"/>
  <c r="U26" i="26" s="1"/>
  <c r="V26" i="26" s="1"/>
  <c r="AY25" i="26"/>
  <c r="T25" i="26"/>
  <c r="U25" i="26" s="1"/>
  <c r="V25" i="26" s="1"/>
  <c r="V24" i="26"/>
  <c r="U24" i="26"/>
  <c r="T24" i="26"/>
  <c r="T23" i="26"/>
  <c r="U23" i="26" s="1"/>
  <c r="V23" i="26" s="1"/>
  <c r="U22" i="26"/>
  <c r="V22" i="26" s="1"/>
  <c r="T22" i="26"/>
  <c r="T21" i="26"/>
  <c r="U21" i="26" s="1"/>
  <c r="V21" i="26" s="1"/>
  <c r="A21" i="26"/>
  <c r="A22" i="26" s="1"/>
  <c r="A23" i="26" s="1"/>
  <c r="A24" i="26" s="1"/>
  <c r="A25" i="26" s="1"/>
  <c r="A26" i="26" s="1"/>
  <c r="A27" i="26" s="1"/>
  <c r="A28" i="26" s="1"/>
  <c r="A29" i="26" s="1"/>
  <c r="A30" i="26" s="1"/>
  <c r="A31" i="26" s="1"/>
  <c r="A32" i="26" s="1"/>
  <c r="A33" i="26" s="1"/>
  <c r="A34" i="26" s="1"/>
  <c r="A35" i="26" s="1"/>
  <c r="A36" i="26" s="1"/>
  <c r="A37" i="26" s="1"/>
  <c r="A38" i="26" s="1"/>
  <c r="A39" i="26" s="1"/>
  <c r="A40" i="26" s="1"/>
  <c r="A41" i="26" s="1"/>
  <c r="A42" i="26" s="1"/>
  <c r="A43" i="26" s="1"/>
  <c r="A44" i="26" s="1"/>
  <c r="A45" i="26" s="1"/>
  <c r="A46" i="26" s="1"/>
  <c r="A47" i="26" s="1"/>
  <c r="A48" i="26" s="1"/>
  <c r="A49" i="26" s="1"/>
  <c r="A50" i="26" s="1"/>
  <c r="A51" i="26" s="1"/>
  <c r="A52" i="26" s="1"/>
  <c r="A53" i="26" s="1"/>
  <c r="A54" i="26" s="1"/>
  <c r="A55" i="26" s="1"/>
  <c r="A56" i="26" s="1"/>
  <c r="A57" i="26" s="1"/>
  <c r="U20" i="26"/>
  <c r="V20" i="26" s="1"/>
  <c r="T20" i="26"/>
  <c r="A20" i="26"/>
  <c r="T19" i="26"/>
  <c r="U19" i="26" s="1"/>
  <c r="V19" i="26" s="1"/>
  <c r="T18" i="26"/>
  <c r="U18" i="26" s="1"/>
  <c r="V18" i="26" s="1"/>
  <c r="T17" i="26"/>
  <c r="U17" i="26" s="1"/>
  <c r="V17" i="26" s="1"/>
  <c r="U16" i="26"/>
  <c r="V16" i="26" s="1"/>
  <c r="T16" i="26"/>
  <c r="T15" i="26"/>
  <c r="U15" i="26" s="1"/>
  <c r="V15" i="26" s="1"/>
  <c r="A15" i="26"/>
  <c r="A16" i="26" s="1"/>
  <c r="A17" i="26" s="1"/>
  <c r="A18" i="26" s="1"/>
  <c r="T14" i="26"/>
  <c r="U14" i="26" s="1"/>
  <c r="V14" i="26" s="1"/>
  <c r="A14" i="26"/>
  <c r="T13" i="26"/>
  <c r="U13" i="26" s="1"/>
  <c r="V13" i="26" s="1"/>
  <c r="T12" i="26"/>
  <c r="U12" i="26" s="1"/>
  <c r="V12" i="26" s="1"/>
  <c r="T11" i="26"/>
  <c r="U11" i="26" s="1"/>
  <c r="V11" i="26" s="1"/>
  <c r="T10" i="26"/>
  <c r="U10" i="26" s="1"/>
  <c r="V10" i="26" s="1"/>
  <c r="T9" i="26"/>
  <c r="U9" i="26" s="1"/>
  <c r="V9" i="26" s="1"/>
  <c r="T8" i="26"/>
  <c r="U8" i="26" s="1"/>
  <c r="V8" i="26" s="1"/>
  <c r="A8" i="26"/>
  <c r="A9" i="26" s="1"/>
  <c r="A10" i="26" s="1"/>
  <c r="A11" i="26" s="1"/>
  <c r="T7" i="26"/>
  <c r="T58" i="26" l="1"/>
  <c r="U7" i="26"/>
  <c r="C47" i="25"/>
  <c r="K43" i="25"/>
  <c r="T43" i="25" s="1"/>
  <c r="J43" i="25"/>
  <c r="C43" i="25"/>
  <c r="C41" i="25"/>
  <c r="C40" i="25"/>
  <c r="C38" i="25"/>
  <c r="C37" i="25"/>
  <c r="C34" i="25"/>
  <c r="C25" i="25"/>
  <c r="C12" i="25"/>
  <c r="C10" i="25"/>
  <c r="C8" i="25"/>
  <c r="R58" i="25"/>
  <c r="Q58" i="25"/>
  <c r="P58" i="25"/>
  <c r="O58" i="25"/>
  <c r="N58" i="25"/>
  <c r="M58" i="25"/>
  <c r="K58" i="25"/>
  <c r="J58" i="25"/>
  <c r="I58" i="25"/>
  <c r="H58" i="25"/>
  <c r="G58" i="25"/>
  <c r="F58" i="25"/>
  <c r="T54" i="25"/>
  <c r="U54" i="25" s="1"/>
  <c r="V54" i="25" s="1"/>
  <c r="U53" i="25"/>
  <c r="V53" i="25" s="1"/>
  <c r="T53" i="25"/>
  <c r="T52" i="25"/>
  <c r="U52" i="25" s="1"/>
  <c r="V52" i="25" s="1"/>
  <c r="T51" i="25"/>
  <c r="U51" i="25" s="1"/>
  <c r="V51" i="25" s="1"/>
  <c r="T50" i="25"/>
  <c r="U50" i="25" s="1"/>
  <c r="V50" i="25" s="1"/>
  <c r="U49" i="25"/>
  <c r="V49" i="25" s="1"/>
  <c r="T49" i="25"/>
  <c r="T48" i="25"/>
  <c r="U48" i="25" s="1"/>
  <c r="V48" i="25" s="1"/>
  <c r="T47" i="25"/>
  <c r="T46" i="25"/>
  <c r="U46" i="25" s="1"/>
  <c r="V46" i="25" s="1"/>
  <c r="U45" i="25"/>
  <c r="V45" i="25" s="1"/>
  <c r="T45" i="25"/>
  <c r="T41" i="25"/>
  <c r="U41" i="25" s="1"/>
  <c r="V41" i="25" s="1"/>
  <c r="T40" i="25"/>
  <c r="U38" i="25"/>
  <c r="V38" i="25" s="1"/>
  <c r="T38" i="25"/>
  <c r="T37" i="25"/>
  <c r="T36" i="25"/>
  <c r="U36" i="25" s="1"/>
  <c r="V36" i="25" s="1"/>
  <c r="T35" i="25"/>
  <c r="U35" i="25" s="1"/>
  <c r="V35" i="25" s="1"/>
  <c r="T34" i="25"/>
  <c r="U34" i="25" s="1"/>
  <c r="V34" i="25" s="1"/>
  <c r="T33" i="25"/>
  <c r="U33" i="25" s="1"/>
  <c r="V33" i="25" s="1"/>
  <c r="T32" i="25"/>
  <c r="U32" i="25" s="1"/>
  <c r="V32" i="25" s="1"/>
  <c r="T31" i="25"/>
  <c r="U31" i="25" s="1"/>
  <c r="V31" i="25" s="1"/>
  <c r="U30" i="25"/>
  <c r="V30" i="25" s="1"/>
  <c r="T30" i="25"/>
  <c r="T29" i="25"/>
  <c r="U29" i="25" s="1"/>
  <c r="V29" i="25" s="1"/>
  <c r="T28" i="25"/>
  <c r="U28" i="25" s="1"/>
  <c r="V28" i="25" s="1"/>
  <c r="U26" i="25"/>
  <c r="V26" i="25" s="1"/>
  <c r="T26" i="25"/>
  <c r="AY25" i="25"/>
  <c r="T25" i="25"/>
  <c r="T24" i="25"/>
  <c r="U24" i="25" s="1"/>
  <c r="V24" i="25" s="1"/>
  <c r="T23" i="25"/>
  <c r="U23" i="25" s="1"/>
  <c r="V23" i="25" s="1"/>
  <c r="T22" i="25"/>
  <c r="U22" i="25" s="1"/>
  <c r="V22" i="25" s="1"/>
  <c r="U21" i="25"/>
  <c r="V21" i="25" s="1"/>
  <c r="T21" i="25"/>
  <c r="T20" i="25"/>
  <c r="U20" i="25" s="1"/>
  <c r="V20" i="25" s="1"/>
  <c r="A20" i="25"/>
  <c r="A21" i="25" s="1"/>
  <c r="A22" i="25" s="1"/>
  <c r="A23" i="25" s="1"/>
  <c r="A24" i="25" s="1"/>
  <c r="A25" i="25" s="1"/>
  <c r="A26" i="25" s="1"/>
  <c r="A27" i="25" s="1"/>
  <c r="A28" i="25" s="1"/>
  <c r="A29" i="25" s="1"/>
  <c r="A30" i="25" s="1"/>
  <c r="A31" i="25" s="1"/>
  <c r="A32" i="25" s="1"/>
  <c r="A33" i="25" s="1"/>
  <c r="A34" i="25" s="1"/>
  <c r="A35" i="25" s="1"/>
  <c r="A36" i="25" s="1"/>
  <c r="A37" i="25" s="1"/>
  <c r="A38" i="25" s="1"/>
  <c r="A39" i="25" s="1"/>
  <c r="A40" i="25" s="1"/>
  <c r="A41" i="25" s="1"/>
  <c r="A42" i="25" s="1"/>
  <c r="A43" i="25" s="1"/>
  <c r="A44" i="25" s="1"/>
  <c r="A45" i="25" s="1"/>
  <c r="A46" i="25" s="1"/>
  <c r="A47" i="25" s="1"/>
  <c r="A48" i="25" s="1"/>
  <c r="A49" i="25" s="1"/>
  <c r="A50" i="25" s="1"/>
  <c r="A51" i="25" s="1"/>
  <c r="A52" i="25" s="1"/>
  <c r="A53" i="25" s="1"/>
  <c r="A54" i="25" s="1"/>
  <c r="A55" i="25" s="1"/>
  <c r="A56" i="25" s="1"/>
  <c r="A57" i="25" s="1"/>
  <c r="T19" i="25"/>
  <c r="U19" i="25" s="1"/>
  <c r="V19" i="25" s="1"/>
  <c r="U18" i="25"/>
  <c r="V18" i="25" s="1"/>
  <c r="T18" i="25"/>
  <c r="T17" i="25"/>
  <c r="U17" i="25" s="1"/>
  <c r="V17" i="25" s="1"/>
  <c r="T16" i="25"/>
  <c r="U16" i="25" s="1"/>
  <c r="V16" i="25" s="1"/>
  <c r="T15" i="25"/>
  <c r="U15" i="25" s="1"/>
  <c r="V15" i="25" s="1"/>
  <c r="U14" i="25"/>
  <c r="V14" i="25" s="1"/>
  <c r="T14" i="25"/>
  <c r="A14" i="25"/>
  <c r="A15" i="25" s="1"/>
  <c r="A16" i="25" s="1"/>
  <c r="A17" i="25" s="1"/>
  <c r="A18" i="25" s="1"/>
  <c r="T13" i="25"/>
  <c r="U13" i="25" s="1"/>
  <c r="V13" i="25" s="1"/>
  <c r="T12" i="25"/>
  <c r="T11" i="25"/>
  <c r="U11" i="25" s="1"/>
  <c r="V11" i="25" s="1"/>
  <c r="T10" i="25"/>
  <c r="U10" i="25" s="1"/>
  <c r="V10" i="25" s="1"/>
  <c r="U9" i="25"/>
  <c r="V9" i="25" s="1"/>
  <c r="T9" i="25"/>
  <c r="T8" i="25"/>
  <c r="A8" i="25"/>
  <c r="A9" i="25" s="1"/>
  <c r="A10" i="25" s="1"/>
  <c r="A11" i="25" s="1"/>
  <c r="T7" i="25"/>
  <c r="U7" i="25" s="1"/>
  <c r="U58" i="26" l="1"/>
  <c r="V7" i="26"/>
  <c r="V58" i="26" s="1"/>
  <c r="U47" i="25"/>
  <c r="V47" i="25" s="1"/>
  <c r="U43" i="25"/>
  <c r="V43" i="25" s="1"/>
  <c r="U40" i="25"/>
  <c r="V40" i="25" s="1"/>
  <c r="U37" i="25"/>
  <c r="V37" i="25" s="1"/>
  <c r="U25" i="25"/>
  <c r="V25" i="25" s="1"/>
  <c r="C58" i="25"/>
  <c r="U12" i="25"/>
  <c r="V12" i="25" s="1"/>
  <c r="U8" i="25"/>
  <c r="V8" i="25" s="1"/>
  <c r="V7" i="25"/>
  <c r="T58" i="25"/>
  <c r="R58" i="24"/>
  <c r="Q58" i="24"/>
  <c r="P58" i="24"/>
  <c r="O58" i="24"/>
  <c r="N58" i="24"/>
  <c r="M58" i="24"/>
  <c r="K58" i="24"/>
  <c r="J58" i="24"/>
  <c r="I58" i="24"/>
  <c r="H58" i="24"/>
  <c r="G58" i="24"/>
  <c r="F58" i="24"/>
  <c r="T54" i="24"/>
  <c r="U54" i="24" s="1"/>
  <c r="V54" i="24" s="1"/>
  <c r="T53" i="24"/>
  <c r="U53" i="24" s="1"/>
  <c r="V53" i="24" s="1"/>
  <c r="T52" i="24"/>
  <c r="U52" i="24" s="1"/>
  <c r="V52" i="24" s="1"/>
  <c r="T51" i="24"/>
  <c r="U51" i="24" s="1"/>
  <c r="V51" i="24" s="1"/>
  <c r="T50" i="24"/>
  <c r="U50" i="24" s="1"/>
  <c r="V50" i="24" s="1"/>
  <c r="T49" i="24"/>
  <c r="U49" i="24" s="1"/>
  <c r="V49" i="24" s="1"/>
  <c r="T48" i="24"/>
  <c r="U48" i="24" s="1"/>
  <c r="V48" i="24" s="1"/>
  <c r="T47" i="24"/>
  <c r="U47" i="24" s="1"/>
  <c r="V47" i="24" s="1"/>
  <c r="T46" i="24"/>
  <c r="U46" i="24" s="1"/>
  <c r="V46" i="24" s="1"/>
  <c r="T45" i="24"/>
  <c r="U45" i="24" s="1"/>
  <c r="V45" i="24" s="1"/>
  <c r="T43" i="24"/>
  <c r="U43" i="24" s="1"/>
  <c r="V43" i="24" s="1"/>
  <c r="T41" i="24"/>
  <c r="U41" i="24" s="1"/>
  <c r="V41" i="24" s="1"/>
  <c r="T40" i="24"/>
  <c r="U40" i="24" s="1"/>
  <c r="V40" i="24" s="1"/>
  <c r="T38" i="24"/>
  <c r="U38" i="24"/>
  <c r="V38" i="24" s="1"/>
  <c r="T37" i="24"/>
  <c r="U37" i="24" s="1"/>
  <c r="V37" i="24" s="1"/>
  <c r="T36" i="24"/>
  <c r="U36" i="24" s="1"/>
  <c r="V36" i="24" s="1"/>
  <c r="T35" i="24"/>
  <c r="U35" i="24" s="1"/>
  <c r="V35" i="24" s="1"/>
  <c r="T34" i="24"/>
  <c r="U34" i="24" s="1"/>
  <c r="V34" i="24" s="1"/>
  <c r="T33" i="24"/>
  <c r="U33" i="24" s="1"/>
  <c r="V33" i="24" s="1"/>
  <c r="T32" i="24"/>
  <c r="U32" i="24" s="1"/>
  <c r="V32" i="24" s="1"/>
  <c r="T31" i="24"/>
  <c r="U31" i="24" s="1"/>
  <c r="V31" i="24" s="1"/>
  <c r="T30" i="24"/>
  <c r="U30" i="24" s="1"/>
  <c r="V30" i="24" s="1"/>
  <c r="T29" i="24"/>
  <c r="U29" i="24" s="1"/>
  <c r="V29" i="24" s="1"/>
  <c r="T28" i="24"/>
  <c r="U28" i="24" s="1"/>
  <c r="V28" i="24" s="1"/>
  <c r="T26" i="24"/>
  <c r="U26" i="24" s="1"/>
  <c r="V26" i="24" s="1"/>
  <c r="AY25" i="24"/>
  <c r="T25" i="24"/>
  <c r="U25" i="24" s="1"/>
  <c r="V25" i="24" s="1"/>
  <c r="T24" i="24"/>
  <c r="U24" i="24" s="1"/>
  <c r="V24" i="24" s="1"/>
  <c r="T23" i="24"/>
  <c r="U23" i="24" s="1"/>
  <c r="V23" i="24" s="1"/>
  <c r="T22" i="24"/>
  <c r="U22" i="24" s="1"/>
  <c r="V22" i="24" s="1"/>
  <c r="T21" i="24"/>
  <c r="U21" i="24" s="1"/>
  <c r="V21" i="24" s="1"/>
  <c r="T20" i="24"/>
  <c r="U20" i="24" s="1"/>
  <c r="V20" i="24" s="1"/>
  <c r="A20" i="24"/>
  <c r="A21" i="24" s="1"/>
  <c r="A22" i="24" s="1"/>
  <c r="A23" i="24" s="1"/>
  <c r="A24" i="24" s="1"/>
  <c r="A25" i="24" s="1"/>
  <c r="A26" i="24" s="1"/>
  <c r="A27" i="24" s="1"/>
  <c r="A28" i="24" s="1"/>
  <c r="A29" i="24" s="1"/>
  <c r="A30" i="24" s="1"/>
  <c r="A31" i="24" s="1"/>
  <c r="A32" i="24" s="1"/>
  <c r="A33" i="24" s="1"/>
  <c r="A34" i="24" s="1"/>
  <c r="A35" i="24" s="1"/>
  <c r="A36" i="24" s="1"/>
  <c r="A37" i="24" s="1"/>
  <c r="A38" i="24" s="1"/>
  <c r="A39" i="24" s="1"/>
  <c r="A40" i="24" s="1"/>
  <c r="A41" i="24" s="1"/>
  <c r="A42" i="24" s="1"/>
  <c r="A43" i="24" s="1"/>
  <c r="A44" i="24" s="1"/>
  <c r="A45" i="24" s="1"/>
  <c r="A46" i="24" s="1"/>
  <c r="A47" i="24" s="1"/>
  <c r="A48" i="24" s="1"/>
  <c r="A49" i="24" s="1"/>
  <c r="A50" i="24" s="1"/>
  <c r="A51" i="24" s="1"/>
  <c r="A52" i="24" s="1"/>
  <c r="A53" i="24" s="1"/>
  <c r="A54" i="24" s="1"/>
  <c r="A55" i="24" s="1"/>
  <c r="A56" i="24" s="1"/>
  <c r="A57" i="24" s="1"/>
  <c r="T19" i="24"/>
  <c r="U19" i="24" s="1"/>
  <c r="V19" i="24" s="1"/>
  <c r="T18" i="24"/>
  <c r="U18" i="24" s="1"/>
  <c r="V18" i="24" s="1"/>
  <c r="U17" i="24"/>
  <c r="V17" i="24" s="1"/>
  <c r="T17" i="24"/>
  <c r="T16" i="24"/>
  <c r="U16" i="24" s="1"/>
  <c r="V16" i="24" s="1"/>
  <c r="T15" i="24"/>
  <c r="U15" i="24" s="1"/>
  <c r="V15" i="24" s="1"/>
  <c r="T14" i="24"/>
  <c r="U14" i="24" s="1"/>
  <c r="V14" i="24" s="1"/>
  <c r="A14" i="24"/>
  <c r="A15" i="24" s="1"/>
  <c r="A16" i="24" s="1"/>
  <c r="A17" i="24" s="1"/>
  <c r="A18" i="24" s="1"/>
  <c r="T13" i="24"/>
  <c r="U13" i="24" s="1"/>
  <c r="V13" i="24" s="1"/>
  <c r="T12" i="24"/>
  <c r="U12" i="24" s="1"/>
  <c r="V12" i="24" s="1"/>
  <c r="T11" i="24"/>
  <c r="U11" i="24" s="1"/>
  <c r="V11" i="24" s="1"/>
  <c r="T10" i="24"/>
  <c r="U10" i="24" s="1"/>
  <c r="V10" i="24" s="1"/>
  <c r="T9" i="24"/>
  <c r="U9" i="24" s="1"/>
  <c r="V9" i="24" s="1"/>
  <c r="T8" i="24"/>
  <c r="U8" i="24"/>
  <c r="V8" i="24" s="1"/>
  <c r="A8" i="24"/>
  <c r="A9" i="24" s="1"/>
  <c r="A10" i="24" s="1"/>
  <c r="A11" i="24" s="1"/>
  <c r="T7" i="24"/>
  <c r="U7" i="24" s="1"/>
  <c r="T53" i="22"/>
  <c r="U53" i="22" s="1"/>
  <c r="V53" i="22" s="1"/>
  <c r="T50" i="22"/>
  <c r="U50" i="22" s="1"/>
  <c r="V50" i="22" s="1"/>
  <c r="T49" i="22"/>
  <c r="U49" i="22" s="1"/>
  <c r="V49" i="22" s="1"/>
  <c r="T51" i="22"/>
  <c r="U51" i="22" s="1"/>
  <c r="V51" i="22" s="1"/>
  <c r="V47" i="22"/>
  <c r="U47" i="22"/>
  <c r="K47" i="22"/>
  <c r="C47" i="22"/>
  <c r="K43" i="22"/>
  <c r="J43" i="22"/>
  <c r="C43" i="22"/>
  <c r="C41" i="22"/>
  <c r="C40" i="22"/>
  <c r="C38" i="22"/>
  <c r="C37" i="22"/>
  <c r="C34" i="22"/>
  <c r="C25" i="22"/>
  <c r="C12" i="22"/>
  <c r="C8" i="22"/>
  <c r="V58" i="25" l="1"/>
  <c r="U58" i="25"/>
  <c r="T58" i="24"/>
  <c r="U58" i="24"/>
  <c r="C58" i="24"/>
  <c r="V7" i="24"/>
  <c r="V58" i="24" s="1"/>
  <c r="R58" i="23"/>
  <c r="Q58" i="23"/>
  <c r="P58" i="23"/>
  <c r="O58" i="23"/>
  <c r="N58" i="23"/>
  <c r="M58" i="23"/>
  <c r="K58" i="23"/>
  <c r="J58" i="23"/>
  <c r="I58" i="23"/>
  <c r="H58" i="23"/>
  <c r="G58" i="23"/>
  <c r="F58" i="23"/>
  <c r="C58" i="23"/>
  <c r="T54" i="23"/>
  <c r="U54" i="23" s="1"/>
  <c r="V54" i="23" s="1"/>
  <c r="U53" i="23"/>
  <c r="V53" i="23" s="1"/>
  <c r="T53" i="23"/>
  <c r="U52" i="23"/>
  <c r="V52" i="23" s="1"/>
  <c r="T52" i="23"/>
  <c r="U51" i="23"/>
  <c r="V51" i="23" s="1"/>
  <c r="T51" i="23"/>
  <c r="T50" i="23"/>
  <c r="U50" i="23" s="1"/>
  <c r="V50" i="23" s="1"/>
  <c r="U49" i="23"/>
  <c r="V49" i="23" s="1"/>
  <c r="T49" i="23"/>
  <c r="U48" i="23"/>
  <c r="V48" i="23" s="1"/>
  <c r="T48" i="23"/>
  <c r="U47" i="23"/>
  <c r="V47" i="23" s="1"/>
  <c r="T47" i="23"/>
  <c r="T46" i="23"/>
  <c r="U46" i="23" s="1"/>
  <c r="V46" i="23" s="1"/>
  <c r="U45" i="23"/>
  <c r="V45" i="23" s="1"/>
  <c r="T45" i="23"/>
  <c r="T43" i="23"/>
  <c r="U43" i="23" s="1"/>
  <c r="V43" i="23" s="1"/>
  <c r="T41" i="23"/>
  <c r="U41" i="23" s="1"/>
  <c r="V41" i="23" s="1"/>
  <c r="U40" i="23"/>
  <c r="V40" i="23" s="1"/>
  <c r="T40" i="23"/>
  <c r="T38" i="23"/>
  <c r="U38" i="23" s="1"/>
  <c r="V38" i="23" s="1"/>
  <c r="T37" i="23"/>
  <c r="U37" i="23" s="1"/>
  <c r="V37" i="23" s="1"/>
  <c r="T36" i="23"/>
  <c r="U36" i="23" s="1"/>
  <c r="V36" i="23" s="1"/>
  <c r="T35" i="23"/>
  <c r="U35" i="23" s="1"/>
  <c r="V35" i="23" s="1"/>
  <c r="T34" i="23"/>
  <c r="U34" i="23" s="1"/>
  <c r="V34" i="23" s="1"/>
  <c r="T33" i="23"/>
  <c r="U33" i="23" s="1"/>
  <c r="V33" i="23" s="1"/>
  <c r="T32" i="23"/>
  <c r="U32" i="23" s="1"/>
  <c r="V32" i="23" s="1"/>
  <c r="T31" i="23"/>
  <c r="U31" i="23" s="1"/>
  <c r="V31" i="23" s="1"/>
  <c r="T30" i="23"/>
  <c r="U30" i="23" s="1"/>
  <c r="V30" i="23" s="1"/>
  <c r="T29" i="23"/>
  <c r="U29" i="23" s="1"/>
  <c r="V29" i="23" s="1"/>
  <c r="T28" i="23"/>
  <c r="U28" i="23" s="1"/>
  <c r="V28" i="23" s="1"/>
  <c r="U26" i="23"/>
  <c r="V26" i="23" s="1"/>
  <c r="T26" i="23"/>
  <c r="AY25" i="23"/>
  <c r="T25" i="23"/>
  <c r="U25" i="23" s="1"/>
  <c r="V25" i="23" s="1"/>
  <c r="V24" i="23"/>
  <c r="U24" i="23"/>
  <c r="T24" i="23"/>
  <c r="T23" i="23"/>
  <c r="U23" i="23" s="1"/>
  <c r="V23" i="23" s="1"/>
  <c r="T22" i="23"/>
  <c r="U22" i="23" s="1"/>
  <c r="V22" i="23" s="1"/>
  <c r="T21" i="23"/>
  <c r="U21" i="23" s="1"/>
  <c r="V21" i="23" s="1"/>
  <c r="A21" i="23"/>
  <c r="A22" i="23" s="1"/>
  <c r="A23" i="23" s="1"/>
  <c r="A24" i="23" s="1"/>
  <c r="A25" i="23" s="1"/>
  <c r="A26" i="23" s="1"/>
  <c r="A27" i="23" s="1"/>
  <c r="A28" i="23" s="1"/>
  <c r="A29" i="23" s="1"/>
  <c r="A30" i="23" s="1"/>
  <c r="A31" i="23" s="1"/>
  <c r="A32" i="23" s="1"/>
  <c r="A33" i="23" s="1"/>
  <c r="A34" i="23" s="1"/>
  <c r="A35" i="23" s="1"/>
  <c r="A36" i="23" s="1"/>
  <c r="A37" i="23" s="1"/>
  <c r="A38" i="23" s="1"/>
  <c r="A39" i="23" s="1"/>
  <c r="A40" i="23" s="1"/>
  <c r="A41" i="23" s="1"/>
  <c r="A42" i="23" s="1"/>
  <c r="A43" i="23" s="1"/>
  <c r="A44" i="23" s="1"/>
  <c r="A45" i="23" s="1"/>
  <c r="A46" i="23" s="1"/>
  <c r="A47" i="23" s="1"/>
  <c r="A48" i="23" s="1"/>
  <c r="A49" i="23" s="1"/>
  <c r="A50" i="23" s="1"/>
  <c r="A51" i="23" s="1"/>
  <c r="A52" i="23" s="1"/>
  <c r="A53" i="23" s="1"/>
  <c r="A54" i="23" s="1"/>
  <c r="A55" i="23" s="1"/>
  <c r="A56" i="23" s="1"/>
  <c r="A57" i="23" s="1"/>
  <c r="V20" i="23"/>
  <c r="U20" i="23"/>
  <c r="T20" i="23"/>
  <c r="A20" i="23"/>
  <c r="T19" i="23"/>
  <c r="U19" i="23" s="1"/>
  <c r="V19" i="23" s="1"/>
  <c r="U18" i="23"/>
  <c r="V18" i="23" s="1"/>
  <c r="T18" i="23"/>
  <c r="T17" i="23"/>
  <c r="U17" i="23" s="1"/>
  <c r="V17" i="23" s="1"/>
  <c r="U16" i="23"/>
  <c r="V16" i="23" s="1"/>
  <c r="T16" i="23"/>
  <c r="T15" i="23"/>
  <c r="U15" i="23" s="1"/>
  <c r="V15" i="23" s="1"/>
  <c r="T14" i="23"/>
  <c r="U14" i="23" s="1"/>
  <c r="V14" i="23" s="1"/>
  <c r="A14" i="23"/>
  <c r="A15" i="23" s="1"/>
  <c r="A16" i="23" s="1"/>
  <c r="A17" i="23" s="1"/>
  <c r="A18" i="23" s="1"/>
  <c r="T13" i="23"/>
  <c r="U13" i="23" s="1"/>
  <c r="V13" i="23" s="1"/>
  <c r="T12" i="23"/>
  <c r="U12" i="23" s="1"/>
  <c r="V12" i="23" s="1"/>
  <c r="U11" i="23"/>
  <c r="V11" i="23" s="1"/>
  <c r="T11" i="23"/>
  <c r="T10" i="23"/>
  <c r="U10" i="23" s="1"/>
  <c r="V10" i="23" s="1"/>
  <c r="U9" i="23"/>
  <c r="V9" i="23" s="1"/>
  <c r="T9" i="23"/>
  <c r="T8" i="23"/>
  <c r="U8" i="23" s="1"/>
  <c r="V8" i="23" s="1"/>
  <c r="A8" i="23"/>
  <c r="A9" i="23" s="1"/>
  <c r="A10" i="23" s="1"/>
  <c r="A11" i="23" s="1"/>
  <c r="U7" i="23"/>
  <c r="T7" i="23"/>
  <c r="T58" i="23" s="1"/>
  <c r="A24" i="22"/>
  <c r="A25" i="22"/>
  <c r="A26" i="22"/>
  <c r="A27" i="22"/>
  <c r="U58" i="23" l="1"/>
  <c r="V7" i="23"/>
  <c r="V58" i="23" s="1"/>
  <c r="R58" i="22"/>
  <c r="Q58" i="22"/>
  <c r="P58" i="22"/>
  <c r="O58" i="22"/>
  <c r="N58" i="22"/>
  <c r="M58" i="22"/>
  <c r="K58" i="22"/>
  <c r="J58" i="22"/>
  <c r="I58" i="22"/>
  <c r="H58" i="22"/>
  <c r="G58" i="22"/>
  <c r="F58" i="22"/>
  <c r="T54" i="22"/>
  <c r="U54" i="22" s="1"/>
  <c r="V54" i="22" s="1"/>
  <c r="T52" i="22"/>
  <c r="U52" i="22" s="1"/>
  <c r="V52" i="22" s="1"/>
  <c r="T48" i="22"/>
  <c r="U48" i="22" s="1"/>
  <c r="V48" i="22" s="1"/>
  <c r="T47" i="22"/>
  <c r="T46" i="22"/>
  <c r="U46" i="22" s="1"/>
  <c r="V46" i="22" s="1"/>
  <c r="T45" i="22"/>
  <c r="U45" i="22" s="1"/>
  <c r="V45" i="22" s="1"/>
  <c r="T43" i="22"/>
  <c r="U43" i="22" s="1"/>
  <c r="V43" i="22" s="1"/>
  <c r="T41" i="22"/>
  <c r="U41" i="22"/>
  <c r="V41" i="22" s="1"/>
  <c r="T40" i="22"/>
  <c r="U40" i="22" s="1"/>
  <c r="V40" i="22" s="1"/>
  <c r="T38" i="22"/>
  <c r="U38" i="22" s="1"/>
  <c r="V38" i="22" s="1"/>
  <c r="T37" i="22"/>
  <c r="U37" i="22" s="1"/>
  <c r="V37" i="22" s="1"/>
  <c r="T36" i="22"/>
  <c r="U36" i="22" s="1"/>
  <c r="V36" i="22" s="1"/>
  <c r="T35" i="22"/>
  <c r="U35" i="22" s="1"/>
  <c r="V35" i="22" s="1"/>
  <c r="T34" i="22"/>
  <c r="U34" i="22" s="1"/>
  <c r="V34" i="22" s="1"/>
  <c r="T33" i="22"/>
  <c r="U33" i="22" s="1"/>
  <c r="V33" i="22" s="1"/>
  <c r="T32" i="22"/>
  <c r="U32" i="22" s="1"/>
  <c r="V32" i="22" s="1"/>
  <c r="T31" i="22"/>
  <c r="U31" i="22" s="1"/>
  <c r="V31" i="22" s="1"/>
  <c r="T30" i="22"/>
  <c r="U30" i="22" s="1"/>
  <c r="V30" i="22" s="1"/>
  <c r="T29" i="22"/>
  <c r="U29" i="22" s="1"/>
  <c r="V29" i="22" s="1"/>
  <c r="T28" i="22"/>
  <c r="U28" i="22" s="1"/>
  <c r="V28" i="22" s="1"/>
  <c r="T26" i="22"/>
  <c r="U26" i="22" s="1"/>
  <c r="V26" i="22" s="1"/>
  <c r="AY25" i="22"/>
  <c r="T25" i="22"/>
  <c r="U25" i="22" s="1"/>
  <c r="V25" i="22" s="1"/>
  <c r="T24" i="22"/>
  <c r="U24" i="22" s="1"/>
  <c r="V24" i="22" s="1"/>
  <c r="T23" i="22"/>
  <c r="U23" i="22" s="1"/>
  <c r="V23" i="22" s="1"/>
  <c r="T22" i="22"/>
  <c r="U22" i="22" s="1"/>
  <c r="V22" i="22" s="1"/>
  <c r="T21" i="22"/>
  <c r="U21" i="22" s="1"/>
  <c r="V21" i="22" s="1"/>
  <c r="T20" i="22"/>
  <c r="U20" i="22" s="1"/>
  <c r="V20" i="22" s="1"/>
  <c r="A20" i="22"/>
  <c r="A21" i="22" s="1"/>
  <c r="A22" i="22" s="1"/>
  <c r="A23" i="22" s="1"/>
  <c r="T19" i="22"/>
  <c r="U19" i="22" s="1"/>
  <c r="V19" i="22" s="1"/>
  <c r="T18" i="22"/>
  <c r="U18" i="22" s="1"/>
  <c r="V18" i="22" s="1"/>
  <c r="T17" i="22"/>
  <c r="U17" i="22" s="1"/>
  <c r="V17" i="22" s="1"/>
  <c r="T16" i="22"/>
  <c r="U16" i="22" s="1"/>
  <c r="V16" i="22" s="1"/>
  <c r="T15" i="22"/>
  <c r="U15" i="22" s="1"/>
  <c r="V15" i="22" s="1"/>
  <c r="T14" i="22"/>
  <c r="U14" i="22" s="1"/>
  <c r="V14" i="22" s="1"/>
  <c r="A14" i="22"/>
  <c r="A15" i="22" s="1"/>
  <c r="A16" i="22" s="1"/>
  <c r="A17" i="22" s="1"/>
  <c r="A18" i="22" s="1"/>
  <c r="T13" i="22"/>
  <c r="U13" i="22" s="1"/>
  <c r="V13" i="22" s="1"/>
  <c r="T12" i="22"/>
  <c r="U12" i="22" s="1"/>
  <c r="V12" i="22" s="1"/>
  <c r="T11" i="22"/>
  <c r="U11" i="22" s="1"/>
  <c r="V11" i="22" s="1"/>
  <c r="T10" i="22"/>
  <c r="U10" i="22" s="1"/>
  <c r="V10" i="22" s="1"/>
  <c r="T9" i="22"/>
  <c r="U9" i="22" s="1"/>
  <c r="V9" i="22" s="1"/>
  <c r="T8" i="22"/>
  <c r="U8" i="22" s="1"/>
  <c r="V8" i="22" s="1"/>
  <c r="C58" i="22"/>
  <c r="A8" i="22"/>
  <c r="A9" i="22" s="1"/>
  <c r="A10" i="22" s="1"/>
  <c r="A11" i="22" s="1"/>
  <c r="T7" i="22"/>
  <c r="U7" i="22" s="1"/>
  <c r="V7" i="22" s="1"/>
  <c r="A28" i="22" l="1"/>
  <c r="A29" i="22" s="1"/>
  <c r="A30" i="22" s="1"/>
  <c r="A31" i="22" s="1"/>
  <c r="A32" i="22" s="1"/>
  <c r="A33" i="22" s="1"/>
  <c r="A34" i="22" s="1"/>
  <c r="A35" i="22" s="1"/>
  <c r="A36" i="22" s="1"/>
  <c r="A37" i="22" s="1"/>
  <c r="A38" i="22" s="1"/>
  <c r="A39" i="22" s="1"/>
  <c r="A40" i="22" s="1"/>
  <c r="A41" i="22" s="1"/>
  <c r="A42" i="22" s="1"/>
  <c r="A43" i="22" s="1"/>
  <c r="A44" i="22" s="1"/>
  <c r="A45" i="22" s="1"/>
  <c r="A46" i="22" s="1"/>
  <c r="A47" i="22" s="1"/>
  <c r="A48" i="22" s="1"/>
  <c r="A49" i="22" s="1"/>
  <c r="A50" i="22" s="1"/>
  <c r="A51" i="22" s="1"/>
  <c r="A52" i="22" s="1"/>
  <c r="A53" i="22" s="1"/>
  <c r="A54" i="22" s="1"/>
  <c r="A55" i="22" s="1"/>
  <c r="A56" i="22" s="1"/>
  <c r="A57" i="22" s="1"/>
  <c r="T58" i="22"/>
  <c r="U58" i="22"/>
  <c r="V58" i="22"/>
  <c r="C48" i="21"/>
  <c r="K42" i="21"/>
  <c r="K57" i="21" s="1"/>
  <c r="J42" i="21"/>
  <c r="C42" i="21"/>
  <c r="C40" i="21"/>
  <c r="C39" i="21"/>
  <c r="C38" i="21"/>
  <c r="U38" i="21" s="1"/>
  <c r="V38" i="21" s="1"/>
  <c r="C37" i="21"/>
  <c r="C34" i="21"/>
  <c r="C26" i="21"/>
  <c r="C12" i="21"/>
  <c r="C8" i="21"/>
  <c r="R57" i="21"/>
  <c r="Q57" i="21"/>
  <c r="P57" i="21"/>
  <c r="O57" i="21"/>
  <c r="N57" i="21"/>
  <c r="M57" i="21"/>
  <c r="J57" i="21"/>
  <c r="I57" i="21"/>
  <c r="H57" i="21"/>
  <c r="G57" i="21"/>
  <c r="F57" i="21"/>
  <c r="T53" i="21"/>
  <c r="U53" i="21" s="1"/>
  <c r="V53" i="21" s="1"/>
  <c r="T52" i="21"/>
  <c r="U52" i="21" s="1"/>
  <c r="V52" i="21" s="1"/>
  <c r="T51" i="21"/>
  <c r="U51" i="21" s="1"/>
  <c r="V51" i="21" s="1"/>
  <c r="T50" i="21"/>
  <c r="U50" i="21" s="1"/>
  <c r="V50" i="21" s="1"/>
  <c r="T49" i="21"/>
  <c r="U49" i="21" s="1"/>
  <c r="V49" i="21" s="1"/>
  <c r="T48" i="21"/>
  <c r="U48" i="21" s="1"/>
  <c r="V48" i="21" s="1"/>
  <c r="T47" i="21"/>
  <c r="U47" i="21" s="1"/>
  <c r="V47" i="21" s="1"/>
  <c r="T46" i="21"/>
  <c r="U46" i="21" s="1"/>
  <c r="V46" i="21" s="1"/>
  <c r="T45" i="21"/>
  <c r="U45" i="21" s="1"/>
  <c r="V45" i="21" s="1"/>
  <c r="U44" i="21"/>
  <c r="V44" i="21" s="1"/>
  <c r="T44" i="21"/>
  <c r="T42" i="21"/>
  <c r="T40" i="21"/>
  <c r="U40" i="21"/>
  <c r="V40" i="21" s="1"/>
  <c r="T39" i="21"/>
  <c r="U39" i="21" s="1"/>
  <c r="V39" i="21" s="1"/>
  <c r="T38" i="21"/>
  <c r="T37" i="21"/>
  <c r="U36" i="21"/>
  <c r="V36" i="21" s="1"/>
  <c r="T36" i="21"/>
  <c r="T35" i="21"/>
  <c r="U35" i="21" s="1"/>
  <c r="V35" i="21" s="1"/>
  <c r="T34" i="21"/>
  <c r="U34" i="21"/>
  <c r="V34" i="21" s="1"/>
  <c r="T33" i="21"/>
  <c r="U33" i="21" s="1"/>
  <c r="V33" i="21" s="1"/>
  <c r="T32" i="21"/>
  <c r="U32" i="21" s="1"/>
  <c r="V32" i="21" s="1"/>
  <c r="T31" i="21"/>
  <c r="U31" i="21" s="1"/>
  <c r="V31" i="21" s="1"/>
  <c r="T30" i="21"/>
  <c r="U30" i="21" s="1"/>
  <c r="V30" i="21" s="1"/>
  <c r="T29" i="21"/>
  <c r="U29" i="21" s="1"/>
  <c r="V29" i="21" s="1"/>
  <c r="T28" i="21"/>
  <c r="U28" i="21" s="1"/>
  <c r="V28" i="21" s="1"/>
  <c r="T27" i="21"/>
  <c r="U27" i="21" s="1"/>
  <c r="V27" i="21" s="1"/>
  <c r="AY26" i="21"/>
  <c r="T26" i="21"/>
  <c r="U26" i="21" s="1"/>
  <c r="V26" i="21" s="1"/>
  <c r="T25" i="21"/>
  <c r="U25" i="21" s="1"/>
  <c r="V25" i="21" s="1"/>
  <c r="T24" i="21"/>
  <c r="U24" i="21"/>
  <c r="V24" i="21" s="1"/>
  <c r="T23" i="21"/>
  <c r="U23" i="21" s="1"/>
  <c r="V23" i="21" s="1"/>
  <c r="T22" i="21"/>
  <c r="U22" i="21" s="1"/>
  <c r="V22" i="21" s="1"/>
  <c r="U21" i="21"/>
  <c r="V21" i="21" s="1"/>
  <c r="T21" i="21"/>
  <c r="A21" i="21"/>
  <c r="A22" i="21" s="1"/>
  <c r="A23" i="21" s="1"/>
  <c r="A24" i="21" s="1"/>
  <c r="A25" i="21" s="1"/>
  <c r="A26" i="21" s="1"/>
  <c r="A27" i="21" s="1"/>
  <c r="A28" i="21" s="1"/>
  <c r="A29" i="21" s="1"/>
  <c r="A30" i="21" s="1"/>
  <c r="A31" i="21" s="1"/>
  <c r="A32" i="21" s="1"/>
  <c r="A33" i="21" s="1"/>
  <c r="A34" i="21" s="1"/>
  <c r="A35" i="21" s="1"/>
  <c r="A36" i="21" s="1"/>
  <c r="A37" i="21" s="1"/>
  <c r="A38" i="21" s="1"/>
  <c r="A39" i="21" s="1"/>
  <c r="A40" i="21" s="1"/>
  <c r="A41" i="21" s="1"/>
  <c r="A42" i="21" s="1"/>
  <c r="A43" i="21" s="1"/>
  <c r="A44" i="21" s="1"/>
  <c r="A45" i="21" s="1"/>
  <c r="A46" i="21" s="1"/>
  <c r="A47" i="21" s="1"/>
  <c r="A48" i="21" s="1"/>
  <c r="A49" i="21" s="1"/>
  <c r="A50" i="21" s="1"/>
  <c r="A51" i="21" s="1"/>
  <c r="A52" i="21" s="1"/>
  <c r="A53" i="21" s="1"/>
  <c r="A54" i="21" s="1"/>
  <c r="A55" i="21" s="1"/>
  <c r="A56" i="21" s="1"/>
  <c r="T20" i="21"/>
  <c r="U20" i="21" s="1"/>
  <c r="V20" i="21" s="1"/>
  <c r="A20" i="21"/>
  <c r="T19" i="21"/>
  <c r="U19" i="21" s="1"/>
  <c r="V19" i="21" s="1"/>
  <c r="T18" i="21"/>
  <c r="U18" i="21" s="1"/>
  <c r="V18" i="21" s="1"/>
  <c r="T17" i="21"/>
  <c r="U17" i="21" s="1"/>
  <c r="V17" i="21" s="1"/>
  <c r="T16" i="21"/>
  <c r="U16" i="21" s="1"/>
  <c r="V16" i="21" s="1"/>
  <c r="T15" i="21"/>
  <c r="U15" i="21" s="1"/>
  <c r="V15" i="21" s="1"/>
  <c r="T14" i="21"/>
  <c r="U14" i="21" s="1"/>
  <c r="V14" i="21" s="1"/>
  <c r="A14" i="21"/>
  <c r="A15" i="21" s="1"/>
  <c r="A16" i="21" s="1"/>
  <c r="A17" i="21" s="1"/>
  <c r="A18" i="21" s="1"/>
  <c r="T13" i="21"/>
  <c r="U13" i="21" s="1"/>
  <c r="V13" i="21" s="1"/>
  <c r="T12" i="21"/>
  <c r="T11" i="21"/>
  <c r="U11" i="21" s="1"/>
  <c r="V11" i="21" s="1"/>
  <c r="T10" i="21"/>
  <c r="U10" i="21" s="1"/>
  <c r="V10" i="21" s="1"/>
  <c r="A10" i="21"/>
  <c r="A11" i="21" s="1"/>
  <c r="T9" i="21"/>
  <c r="U9" i="21" s="1"/>
  <c r="V9" i="21" s="1"/>
  <c r="A9" i="21"/>
  <c r="T8" i="21"/>
  <c r="U8" i="21" s="1"/>
  <c r="V8" i="21" s="1"/>
  <c r="A8" i="21"/>
  <c r="T7" i="21"/>
  <c r="C48" i="20"/>
  <c r="K42" i="20"/>
  <c r="J42" i="20"/>
  <c r="C42" i="20"/>
  <c r="C40" i="20"/>
  <c r="C57" i="20" s="1"/>
  <c r="C39" i="20"/>
  <c r="C37" i="20"/>
  <c r="C34" i="20"/>
  <c r="C26" i="20"/>
  <c r="C12" i="20"/>
  <c r="C8" i="20"/>
  <c r="U8" i="20" s="1"/>
  <c r="V8" i="20" s="1"/>
  <c r="R57" i="20"/>
  <c r="Q57" i="20"/>
  <c r="P57" i="20"/>
  <c r="O57" i="20"/>
  <c r="N57" i="20"/>
  <c r="M57" i="20"/>
  <c r="K57" i="20"/>
  <c r="J57" i="20"/>
  <c r="I57" i="20"/>
  <c r="H57" i="20"/>
  <c r="G57" i="20"/>
  <c r="F57" i="20"/>
  <c r="T53" i="20"/>
  <c r="U53" i="20" s="1"/>
  <c r="V53" i="20" s="1"/>
  <c r="T52" i="20"/>
  <c r="U52" i="20" s="1"/>
  <c r="V52" i="20" s="1"/>
  <c r="T51" i="20"/>
  <c r="U51" i="20" s="1"/>
  <c r="V51" i="20" s="1"/>
  <c r="T50" i="20"/>
  <c r="U50" i="20" s="1"/>
  <c r="V50" i="20" s="1"/>
  <c r="T49" i="20"/>
  <c r="U49" i="20" s="1"/>
  <c r="V49" i="20" s="1"/>
  <c r="T48" i="20"/>
  <c r="U48" i="20"/>
  <c r="V48" i="20" s="1"/>
  <c r="U47" i="20"/>
  <c r="V47" i="20" s="1"/>
  <c r="T47" i="20"/>
  <c r="U46" i="20"/>
  <c r="V46" i="20" s="1"/>
  <c r="T46" i="20"/>
  <c r="T45" i="20"/>
  <c r="U45" i="20" s="1"/>
  <c r="V45" i="20" s="1"/>
  <c r="T44" i="20"/>
  <c r="U44" i="20" s="1"/>
  <c r="V44" i="20" s="1"/>
  <c r="T42" i="20"/>
  <c r="U42" i="20" s="1"/>
  <c r="V42" i="20" s="1"/>
  <c r="T40" i="20"/>
  <c r="T39" i="20"/>
  <c r="U39" i="20" s="1"/>
  <c r="V39" i="20" s="1"/>
  <c r="T38" i="20"/>
  <c r="U38" i="20" s="1"/>
  <c r="V38" i="20" s="1"/>
  <c r="T37" i="20"/>
  <c r="U37" i="20" s="1"/>
  <c r="V37" i="20" s="1"/>
  <c r="T36" i="20"/>
  <c r="U36" i="20" s="1"/>
  <c r="V36" i="20" s="1"/>
  <c r="U35" i="20"/>
  <c r="V35" i="20" s="1"/>
  <c r="T35" i="20"/>
  <c r="T34" i="20"/>
  <c r="T33" i="20"/>
  <c r="U33" i="20" s="1"/>
  <c r="V33" i="20" s="1"/>
  <c r="T32" i="20"/>
  <c r="U32" i="20" s="1"/>
  <c r="V32" i="20" s="1"/>
  <c r="T31" i="20"/>
  <c r="U31" i="20" s="1"/>
  <c r="V31" i="20" s="1"/>
  <c r="T30" i="20"/>
  <c r="U30" i="20" s="1"/>
  <c r="V30" i="20" s="1"/>
  <c r="U29" i="20"/>
  <c r="V29" i="20" s="1"/>
  <c r="T29" i="20"/>
  <c r="T28" i="20"/>
  <c r="U28" i="20" s="1"/>
  <c r="V28" i="20" s="1"/>
  <c r="T27" i="20"/>
  <c r="U27" i="20" s="1"/>
  <c r="V27" i="20" s="1"/>
  <c r="AY26" i="20"/>
  <c r="T26" i="20"/>
  <c r="U26" i="20" s="1"/>
  <c r="V26" i="20" s="1"/>
  <c r="T25" i="20"/>
  <c r="U25" i="20" s="1"/>
  <c r="V25" i="20" s="1"/>
  <c r="T24" i="20"/>
  <c r="U24" i="20" s="1"/>
  <c r="V24" i="20" s="1"/>
  <c r="T23" i="20"/>
  <c r="U23" i="20" s="1"/>
  <c r="V23" i="20" s="1"/>
  <c r="T22" i="20"/>
  <c r="U22" i="20" s="1"/>
  <c r="V22" i="20" s="1"/>
  <c r="T21" i="20"/>
  <c r="U21" i="20" s="1"/>
  <c r="V21" i="20" s="1"/>
  <c r="T20" i="20"/>
  <c r="U20" i="20" s="1"/>
  <c r="V20" i="20" s="1"/>
  <c r="A20" i="20"/>
  <c r="A21" i="20" s="1"/>
  <c r="A22" i="20" s="1"/>
  <c r="A23" i="20" s="1"/>
  <c r="A24" i="20" s="1"/>
  <c r="A25" i="20" s="1"/>
  <c r="A26" i="20" s="1"/>
  <c r="A27" i="20" s="1"/>
  <c r="A28" i="20" s="1"/>
  <c r="A29" i="20" s="1"/>
  <c r="A30" i="20" s="1"/>
  <c r="A31" i="20" s="1"/>
  <c r="A32" i="20" s="1"/>
  <c r="A33" i="20" s="1"/>
  <c r="A34" i="20" s="1"/>
  <c r="A35" i="20" s="1"/>
  <c r="A36" i="20" s="1"/>
  <c r="A37" i="20" s="1"/>
  <c r="A38" i="20" s="1"/>
  <c r="A39" i="20" s="1"/>
  <c r="A40" i="20" s="1"/>
  <c r="A41" i="20" s="1"/>
  <c r="A42" i="20" s="1"/>
  <c r="A43" i="20" s="1"/>
  <c r="A44" i="20" s="1"/>
  <c r="A45" i="20" s="1"/>
  <c r="A46" i="20" s="1"/>
  <c r="A47" i="20" s="1"/>
  <c r="A48" i="20" s="1"/>
  <c r="A49" i="20" s="1"/>
  <c r="A50" i="20" s="1"/>
  <c r="A51" i="20" s="1"/>
  <c r="A52" i="20" s="1"/>
  <c r="A53" i="20" s="1"/>
  <c r="A54" i="20" s="1"/>
  <c r="A55" i="20" s="1"/>
  <c r="A56" i="20" s="1"/>
  <c r="T19" i="20"/>
  <c r="U19" i="20" s="1"/>
  <c r="V19" i="20" s="1"/>
  <c r="U18" i="20"/>
  <c r="V18" i="20" s="1"/>
  <c r="T18" i="20"/>
  <c r="T17" i="20"/>
  <c r="U17" i="20" s="1"/>
  <c r="V17" i="20" s="1"/>
  <c r="T16" i="20"/>
  <c r="U16" i="20" s="1"/>
  <c r="V16" i="20" s="1"/>
  <c r="U15" i="20"/>
  <c r="V15" i="20" s="1"/>
  <c r="T15" i="20"/>
  <c r="U14" i="20"/>
  <c r="V14" i="20" s="1"/>
  <c r="T14" i="20"/>
  <c r="A14" i="20"/>
  <c r="A15" i="20" s="1"/>
  <c r="A16" i="20" s="1"/>
  <c r="A17" i="20" s="1"/>
  <c r="A18" i="20" s="1"/>
  <c r="T13" i="20"/>
  <c r="U13" i="20" s="1"/>
  <c r="V13" i="20" s="1"/>
  <c r="T12" i="20"/>
  <c r="U12" i="20"/>
  <c r="V12" i="20" s="1"/>
  <c r="T11" i="20"/>
  <c r="U11" i="20" s="1"/>
  <c r="V11" i="20" s="1"/>
  <c r="T10" i="20"/>
  <c r="U10" i="20" s="1"/>
  <c r="V10" i="20" s="1"/>
  <c r="T9" i="20"/>
  <c r="U9" i="20" s="1"/>
  <c r="V9" i="20" s="1"/>
  <c r="T8" i="20"/>
  <c r="A8" i="20"/>
  <c r="A9" i="20" s="1"/>
  <c r="A10" i="20" s="1"/>
  <c r="A11" i="20" s="1"/>
  <c r="T7" i="20"/>
  <c r="C37" i="19"/>
  <c r="C26" i="19"/>
  <c r="C12" i="19"/>
  <c r="C48" i="19"/>
  <c r="K42" i="19"/>
  <c r="J42" i="19"/>
  <c r="C42" i="19"/>
  <c r="U42" i="19"/>
  <c r="V42" i="19" s="1"/>
  <c r="C40" i="19"/>
  <c r="C39" i="19"/>
  <c r="C34" i="19"/>
  <c r="C12" i="18"/>
  <c r="C8" i="19"/>
  <c r="R57" i="19"/>
  <c r="Q57" i="19"/>
  <c r="P57" i="19"/>
  <c r="O57" i="19"/>
  <c r="N57" i="19"/>
  <c r="M57" i="19"/>
  <c r="K57" i="19"/>
  <c r="J57" i="19"/>
  <c r="I57" i="19"/>
  <c r="H57" i="19"/>
  <c r="G57" i="19"/>
  <c r="F57" i="19"/>
  <c r="T53" i="19"/>
  <c r="U53" i="19" s="1"/>
  <c r="V53" i="19" s="1"/>
  <c r="T52" i="19"/>
  <c r="U52" i="19" s="1"/>
  <c r="V52" i="19" s="1"/>
  <c r="T51" i="19"/>
  <c r="U51" i="19" s="1"/>
  <c r="V51" i="19" s="1"/>
  <c r="T50" i="19"/>
  <c r="U50" i="19" s="1"/>
  <c r="V50" i="19" s="1"/>
  <c r="T49" i="19"/>
  <c r="U49" i="19" s="1"/>
  <c r="V49" i="19" s="1"/>
  <c r="T48" i="19"/>
  <c r="U48" i="19"/>
  <c r="V48" i="19" s="1"/>
  <c r="T47" i="19"/>
  <c r="U47" i="19" s="1"/>
  <c r="V47" i="19" s="1"/>
  <c r="T46" i="19"/>
  <c r="U46" i="19" s="1"/>
  <c r="V46" i="19" s="1"/>
  <c r="U45" i="19"/>
  <c r="V45" i="19" s="1"/>
  <c r="T45" i="19"/>
  <c r="T44" i="19"/>
  <c r="U44" i="19" s="1"/>
  <c r="V44" i="19" s="1"/>
  <c r="T42" i="19"/>
  <c r="T40" i="19"/>
  <c r="U40" i="19" s="1"/>
  <c r="V40" i="19" s="1"/>
  <c r="T39" i="19"/>
  <c r="U39" i="19" s="1"/>
  <c r="V39" i="19" s="1"/>
  <c r="T38" i="19"/>
  <c r="U38" i="19" s="1"/>
  <c r="V38" i="19" s="1"/>
  <c r="T37" i="19"/>
  <c r="U37" i="19" s="1"/>
  <c r="V37" i="19" s="1"/>
  <c r="T36" i="19"/>
  <c r="U36" i="19" s="1"/>
  <c r="V36" i="19" s="1"/>
  <c r="T35" i="19"/>
  <c r="U35" i="19" s="1"/>
  <c r="V35" i="19" s="1"/>
  <c r="T34" i="19"/>
  <c r="U34" i="19" s="1"/>
  <c r="V34" i="19" s="1"/>
  <c r="T33" i="19"/>
  <c r="U33" i="19" s="1"/>
  <c r="V33" i="19" s="1"/>
  <c r="T32" i="19"/>
  <c r="U32" i="19" s="1"/>
  <c r="V32" i="19" s="1"/>
  <c r="T31" i="19"/>
  <c r="U31" i="19" s="1"/>
  <c r="V31" i="19" s="1"/>
  <c r="T30" i="19"/>
  <c r="T29" i="19"/>
  <c r="U29" i="19" s="1"/>
  <c r="V29" i="19" s="1"/>
  <c r="U28" i="19"/>
  <c r="V28" i="19" s="1"/>
  <c r="T28" i="19"/>
  <c r="T27" i="19"/>
  <c r="U27" i="19" s="1"/>
  <c r="V27" i="19" s="1"/>
  <c r="AY26" i="19"/>
  <c r="T26" i="19"/>
  <c r="T25" i="19"/>
  <c r="U25" i="19" s="1"/>
  <c r="V25" i="19" s="1"/>
  <c r="T24" i="19"/>
  <c r="U24" i="19" s="1"/>
  <c r="V24" i="19" s="1"/>
  <c r="T23" i="19"/>
  <c r="U23" i="19" s="1"/>
  <c r="V23" i="19" s="1"/>
  <c r="U22" i="19"/>
  <c r="V22" i="19" s="1"/>
  <c r="T22" i="19"/>
  <c r="T21" i="19"/>
  <c r="U21" i="19" s="1"/>
  <c r="V21" i="19" s="1"/>
  <c r="A21" i="19"/>
  <c r="A22" i="19" s="1"/>
  <c r="A23" i="19" s="1"/>
  <c r="A24" i="19" s="1"/>
  <c r="A25" i="19" s="1"/>
  <c r="A26" i="19" s="1"/>
  <c r="A27" i="19" s="1"/>
  <c r="A28" i="19" s="1"/>
  <c r="A29" i="19" s="1"/>
  <c r="A30" i="19" s="1"/>
  <c r="A31" i="19" s="1"/>
  <c r="A32" i="19" s="1"/>
  <c r="A33" i="19" s="1"/>
  <c r="A34" i="19" s="1"/>
  <c r="A35" i="19" s="1"/>
  <c r="A36" i="19" s="1"/>
  <c r="A37" i="19" s="1"/>
  <c r="A38" i="19" s="1"/>
  <c r="A39" i="19" s="1"/>
  <c r="A40" i="19" s="1"/>
  <c r="A41" i="19" s="1"/>
  <c r="A42" i="19" s="1"/>
  <c r="A43" i="19" s="1"/>
  <c r="A44" i="19" s="1"/>
  <c r="A45" i="19" s="1"/>
  <c r="A46" i="19" s="1"/>
  <c r="A47" i="19" s="1"/>
  <c r="A48" i="19" s="1"/>
  <c r="A49" i="19" s="1"/>
  <c r="A50" i="19" s="1"/>
  <c r="A51" i="19" s="1"/>
  <c r="A52" i="19" s="1"/>
  <c r="A53" i="19" s="1"/>
  <c r="A54" i="19" s="1"/>
  <c r="A55" i="19" s="1"/>
  <c r="A56" i="19" s="1"/>
  <c r="T20" i="19"/>
  <c r="U20" i="19" s="1"/>
  <c r="V20" i="19" s="1"/>
  <c r="A20" i="19"/>
  <c r="T19" i="19"/>
  <c r="U19" i="19" s="1"/>
  <c r="V19" i="19" s="1"/>
  <c r="T18" i="19"/>
  <c r="U18" i="19" s="1"/>
  <c r="V18" i="19" s="1"/>
  <c r="T17" i="19"/>
  <c r="U17" i="19" s="1"/>
  <c r="V17" i="19" s="1"/>
  <c r="T16" i="19"/>
  <c r="U16" i="19" s="1"/>
  <c r="V16" i="19" s="1"/>
  <c r="T15" i="19"/>
  <c r="U15" i="19" s="1"/>
  <c r="V15" i="19" s="1"/>
  <c r="A15" i="19"/>
  <c r="A16" i="19" s="1"/>
  <c r="A17" i="19" s="1"/>
  <c r="A18" i="19" s="1"/>
  <c r="T14" i="19"/>
  <c r="U14" i="19" s="1"/>
  <c r="V14" i="19" s="1"/>
  <c r="A14" i="19"/>
  <c r="T13" i="19"/>
  <c r="U13" i="19" s="1"/>
  <c r="V13" i="19" s="1"/>
  <c r="T12" i="19"/>
  <c r="U12" i="19" s="1"/>
  <c r="V12" i="19" s="1"/>
  <c r="T11" i="19"/>
  <c r="U11" i="19" s="1"/>
  <c r="V11" i="19" s="1"/>
  <c r="T10" i="19"/>
  <c r="U10" i="19" s="1"/>
  <c r="V10" i="19" s="1"/>
  <c r="A10" i="19"/>
  <c r="A11" i="19" s="1"/>
  <c r="T9" i="19"/>
  <c r="U9" i="19" s="1"/>
  <c r="V9" i="19" s="1"/>
  <c r="A9" i="19"/>
  <c r="T8" i="19"/>
  <c r="U8" i="19" s="1"/>
  <c r="V8" i="19" s="1"/>
  <c r="A8" i="19"/>
  <c r="T7" i="19"/>
  <c r="U7" i="19" s="1"/>
  <c r="O48" i="18"/>
  <c r="C48" i="18"/>
  <c r="K42" i="18"/>
  <c r="J42" i="18"/>
  <c r="C42" i="18"/>
  <c r="C40" i="18"/>
  <c r="C39" i="18"/>
  <c r="C37" i="18"/>
  <c r="C34" i="18"/>
  <c r="C30" i="18"/>
  <c r="C26" i="18"/>
  <c r="C8" i="18"/>
  <c r="U37" i="21" l="1"/>
  <c r="V37" i="21" s="1"/>
  <c r="C57" i="21"/>
  <c r="U12" i="21"/>
  <c r="V12" i="21" s="1"/>
  <c r="T57" i="21"/>
  <c r="U42" i="21"/>
  <c r="V42" i="21" s="1"/>
  <c r="U7" i="21"/>
  <c r="U40" i="20"/>
  <c r="V40" i="20" s="1"/>
  <c r="U34" i="20"/>
  <c r="V34" i="20" s="1"/>
  <c r="T57" i="20"/>
  <c r="U7" i="20"/>
  <c r="U57" i="20" s="1"/>
  <c r="C57" i="19"/>
  <c r="U26" i="19"/>
  <c r="V26" i="19" s="1"/>
  <c r="V7" i="19"/>
  <c r="U30" i="19"/>
  <c r="V30" i="19" s="1"/>
  <c r="T57" i="19"/>
  <c r="R57" i="18"/>
  <c r="Q57" i="18"/>
  <c r="P57" i="18"/>
  <c r="O57" i="18"/>
  <c r="N57" i="18"/>
  <c r="M57" i="18"/>
  <c r="I57" i="18"/>
  <c r="H57" i="18"/>
  <c r="G57" i="18"/>
  <c r="F57" i="18"/>
  <c r="U53" i="18"/>
  <c r="V53" i="18" s="1"/>
  <c r="T53" i="18"/>
  <c r="T52" i="18"/>
  <c r="U52" i="18" s="1"/>
  <c r="V52" i="18" s="1"/>
  <c r="T51" i="18"/>
  <c r="U51" i="18" s="1"/>
  <c r="V51" i="18" s="1"/>
  <c r="U50" i="18"/>
  <c r="V50" i="18" s="1"/>
  <c r="T50" i="18"/>
  <c r="U49" i="18"/>
  <c r="V49" i="18" s="1"/>
  <c r="T49" i="18"/>
  <c r="T48" i="18"/>
  <c r="U48" i="18" s="1"/>
  <c r="V48" i="18" s="1"/>
  <c r="T47" i="18"/>
  <c r="U47" i="18" s="1"/>
  <c r="V47" i="18" s="1"/>
  <c r="T46" i="18"/>
  <c r="U46" i="18" s="1"/>
  <c r="V46" i="18" s="1"/>
  <c r="T45" i="18"/>
  <c r="U45" i="18" s="1"/>
  <c r="V45" i="18" s="1"/>
  <c r="U44" i="18"/>
  <c r="V44" i="18" s="1"/>
  <c r="T44" i="18"/>
  <c r="K57" i="18"/>
  <c r="J57" i="18"/>
  <c r="T40" i="18"/>
  <c r="U40" i="18" s="1"/>
  <c r="V40" i="18" s="1"/>
  <c r="T39" i="18"/>
  <c r="U39" i="18"/>
  <c r="V39" i="18" s="1"/>
  <c r="U38" i="18"/>
  <c r="V38" i="18" s="1"/>
  <c r="T38" i="18"/>
  <c r="T37" i="18"/>
  <c r="U37" i="18" s="1"/>
  <c r="V37" i="18" s="1"/>
  <c r="T36" i="18"/>
  <c r="U36" i="18" s="1"/>
  <c r="V36" i="18" s="1"/>
  <c r="U35" i="18"/>
  <c r="V35" i="18" s="1"/>
  <c r="T35" i="18"/>
  <c r="T34" i="18"/>
  <c r="U34" i="18" s="1"/>
  <c r="V34" i="18" s="1"/>
  <c r="T33" i="18"/>
  <c r="U33" i="18" s="1"/>
  <c r="V33" i="18" s="1"/>
  <c r="T32" i="18"/>
  <c r="U32" i="18" s="1"/>
  <c r="V32" i="18" s="1"/>
  <c r="T31" i="18"/>
  <c r="U31" i="18" s="1"/>
  <c r="V31" i="18" s="1"/>
  <c r="U30" i="18"/>
  <c r="V30" i="18" s="1"/>
  <c r="T30" i="18"/>
  <c r="T29" i="18"/>
  <c r="U29" i="18" s="1"/>
  <c r="V29" i="18" s="1"/>
  <c r="T28" i="18"/>
  <c r="U28" i="18" s="1"/>
  <c r="V28" i="18" s="1"/>
  <c r="T27" i="18"/>
  <c r="U27" i="18" s="1"/>
  <c r="V27" i="18" s="1"/>
  <c r="AY26" i="18"/>
  <c r="T26" i="18"/>
  <c r="U26" i="18" s="1"/>
  <c r="V26" i="18" s="1"/>
  <c r="C57" i="18"/>
  <c r="T25" i="18"/>
  <c r="U25" i="18" s="1"/>
  <c r="V25" i="18" s="1"/>
  <c r="U24" i="18"/>
  <c r="V24" i="18" s="1"/>
  <c r="T24" i="18"/>
  <c r="T23" i="18"/>
  <c r="U23" i="18" s="1"/>
  <c r="V23" i="18" s="1"/>
  <c r="T22" i="18"/>
  <c r="U22" i="18" s="1"/>
  <c r="V22" i="18" s="1"/>
  <c r="U21" i="18"/>
  <c r="V21" i="18" s="1"/>
  <c r="T21" i="18"/>
  <c r="U20" i="18"/>
  <c r="V20" i="18" s="1"/>
  <c r="T20" i="18"/>
  <c r="A20" i="18"/>
  <c r="A21" i="18" s="1"/>
  <c r="A22" i="18" s="1"/>
  <c r="A23" i="18" s="1"/>
  <c r="A24" i="18" s="1"/>
  <c r="A25" i="18" s="1"/>
  <c r="A26" i="18" s="1"/>
  <c r="A27" i="18" s="1"/>
  <c r="A28" i="18" s="1"/>
  <c r="A29" i="18" s="1"/>
  <c r="A30" i="18" s="1"/>
  <c r="A31" i="18" s="1"/>
  <c r="A32" i="18" s="1"/>
  <c r="A33" i="18" s="1"/>
  <c r="A34" i="18" s="1"/>
  <c r="A35" i="18" s="1"/>
  <c r="A36" i="18" s="1"/>
  <c r="A37" i="18" s="1"/>
  <c r="A38" i="18" s="1"/>
  <c r="A39" i="18" s="1"/>
  <c r="A40" i="18" s="1"/>
  <c r="A41" i="18" s="1"/>
  <c r="A42" i="18" s="1"/>
  <c r="A43" i="18" s="1"/>
  <c r="A44" i="18" s="1"/>
  <c r="A45" i="18" s="1"/>
  <c r="A46" i="18" s="1"/>
  <c r="A47" i="18" s="1"/>
  <c r="A48" i="18" s="1"/>
  <c r="A49" i="18" s="1"/>
  <c r="A50" i="18" s="1"/>
  <c r="A51" i="18" s="1"/>
  <c r="A52" i="18" s="1"/>
  <c r="A53" i="18" s="1"/>
  <c r="A54" i="18" s="1"/>
  <c r="A55" i="18" s="1"/>
  <c r="A56" i="18" s="1"/>
  <c r="T19" i="18"/>
  <c r="U19" i="18" s="1"/>
  <c r="V19" i="18" s="1"/>
  <c r="U18" i="18"/>
  <c r="V18" i="18" s="1"/>
  <c r="T18" i="18"/>
  <c r="T17" i="18"/>
  <c r="U17" i="18" s="1"/>
  <c r="V17" i="18" s="1"/>
  <c r="T16" i="18"/>
  <c r="U16" i="18" s="1"/>
  <c r="V16" i="18" s="1"/>
  <c r="U15" i="18"/>
  <c r="V15" i="18" s="1"/>
  <c r="T15" i="18"/>
  <c r="A15" i="18"/>
  <c r="A16" i="18" s="1"/>
  <c r="A17" i="18" s="1"/>
  <c r="A18" i="18" s="1"/>
  <c r="T14" i="18"/>
  <c r="U14" i="18" s="1"/>
  <c r="V14" i="18" s="1"/>
  <c r="A14" i="18"/>
  <c r="T13" i="18"/>
  <c r="U13" i="18" s="1"/>
  <c r="V13" i="18" s="1"/>
  <c r="T12" i="18"/>
  <c r="U12" i="18" s="1"/>
  <c r="V12" i="18" s="1"/>
  <c r="T11" i="18"/>
  <c r="U11" i="18" s="1"/>
  <c r="V11" i="18" s="1"/>
  <c r="T10" i="18"/>
  <c r="U10" i="18" s="1"/>
  <c r="V10" i="18" s="1"/>
  <c r="T9" i="18"/>
  <c r="U9" i="18" s="1"/>
  <c r="V9" i="18" s="1"/>
  <c r="A9" i="18"/>
  <c r="A10" i="18" s="1"/>
  <c r="A11" i="18" s="1"/>
  <c r="T8" i="18"/>
  <c r="U8" i="18"/>
  <c r="V8" i="18" s="1"/>
  <c r="A8" i="18"/>
  <c r="T7" i="18"/>
  <c r="U7" i="18" s="1"/>
  <c r="C48" i="17"/>
  <c r="K42" i="17"/>
  <c r="J42" i="17"/>
  <c r="J57" i="17" s="1"/>
  <c r="C42" i="17"/>
  <c r="C40" i="17"/>
  <c r="C39" i="17"/>
  <c r="C37" i="17"/>
  <c r="C34" i="17"/>
  <c r="C30" i="17"/>
  <c r="C26" i="17"/>
  <c r="C12" i="17"/>
  <c r="C8" i="17"/>
  <c r="U8" i="17" s="1"/>
  <c r="V8" i="17" s="1"/>
  <c r="R57" i="17"/>
  <c r="Q57" i="17"/>
  <c r="P57" i="17"/>
  <c r="O57" i="17"/>
  <c r="N57" i="17"/>
  <c r="M57" i="17"/>
  <c r="K57" i="17"/>
  <c r="I57" i="17"/>
  <c r="H57" i="17"/>
  <c r="G57" i="17"/>
  <c r="F57" i="17"/>
  <c r="T53" i="17"/>
  <c r="U53" i="17" s="1"/>
  <c r="V53" i="17" s="1"/>
  <c r="T52" i="17"/>
  <c r="U52" i="17" s="1"/>
  <c r="V52" i="17" s="1"/>
  <c r="T51" i="17"/>
  <c r="U51" i="17" s="1"/>
  <c r="V51" i="17" s="1"/>
  <c r="T50" i="17"/>
  <c r="U50" i="17" s="1"/>
  <c r="V50" i="17" s="1"/>
  <c r="U49" i="17"/>
  <c r="V49" i="17" s="1"/>
  <c r="T49" i="17"/>
  <c r="T48" i="17"/>
  <c r="U48" i="17" s="1"/>
  <c r="V48" i="17" s="1"/>
  <c r="T47" i="17"/>
  <c r="U47" i="17" s="1"/>
  <c r="V47" i="17" s="1"/>
  <c r="T46" i="17"/>
  <c r="U46" i="17" s="1"/>
  <c r="V46" i="17" s="1"/>
  <c r="T45" i="17"/>
  <c r="U45" i="17" s="1"/>
  <c r="V45" i="17" s="1"/>
  <c r="T44" i="17"/>
  <c r="U44" i="17" s="1"/>
  <c r="V44" i="17" s="1"/>
  <c r="T40" i="17"/>
  <c r="U40" i="17" s="1"/>
  <c r="V40" i="17" s="1"/>
  <c r="T39" i="17"/>
  <c r="U39" i="17" s="1"/>
  <c r="V39" i="17" s="1"/>
  <c r="T38" i="17"/>
  <c r="U38" i="17" s="1"/>
  <c r="V38" i="17" s="1"/>
  <c r="T37" i="17"/>
  <c r="U36" i="17"/>
  <c r="V36" i="17" s="1"/>
  <c r="T36" i="17"/>
  <c r="T35" i="17"/>
  <c r="U35" i="17" s="1"/>
  <c r="V35" i="17" s="1"/>
  <c r="T34" i="17"/>
  <c r="U34" i="17" s="1"/>
  <c r="V34" i="17" s="1"/>
  <c r="U33" i="17"/>
  <c r="V33" i="17" s="1"/>
  <c r="T33" i="17"/>
  <c r="T32" i="17"/>
  <c r="U32" i="17" s="1"/>
  <c r="V32" i="17" s="1"/>
  <c r="T31" i="17"/>
  <c r="U31" i="17" s="1"/>
  <c r="V31" i="17" s="1"/>
  <c r="T30" i="17"/>
  <c r="U30" i="17"/>
  <c r="V30" i="17" s="1"/>
  <c r="T29" i="17"/>
  <c r="U29" i="17" s="1"/>
  <c r="V29" i="17" s="1"/>
  <c r="T28" i="17"/>
  <c r="U28" i="17" s="1"/>
  <c r="V28" i="17" s="1"/>
  <c r="T27" i="17"/>
  <c r="U27" i="17" s="1"/>
  <c r="V27" i="17" s="1"/>
  <c r="AY26" i="17"/>
  <c r="T26" i="17"/>
  <c r="U26" i="17" s="1"/>
  <c r="V26" i="17" s="1"/>
  <c r="U25" i="17"/>
  <c r="V25" i="17" s="1"/>
  <c r="T25" i="17"/>
  <c r="T24" i="17"/>
  <c r="U24" i="17" s="1"/>
  <c r="V24" i="17" s="1"/>
  <c r="T23" i="17"/>
  <c r="U23" i="17" s="1"/>
  <c r="V23" i="17" s="1"/>
  <c r="T22" i="17"/>
  <c r="U22" i="17" s="1"/>
  <c r="V22" i="17" s="1"/>
  <c r="U21" i="17"/>
  <c r="V21" i="17" s="1"/>
  <c r="T21" i="17"/>
  <c r="T20" i="17"/>
  <c r="U20" i="17" s="1"/>
  <c r="V20" i="17" s="1"/>
  <c r="A20" i="17"/>
  <c r="A21" i="17" s="1"/>
  <c r="A22" i="17" s="1"/>
  <c r="A23" i="17" s="1"/>
  <c r="A24" i="17" s="1"/>
  <c r="A25" i="17" s="1"/>
  <c r="A26" i="17" s="1"/>
  <c r="A27" i="17" s="1"/>
  <c r="A28" i="17" s="1"/>
  <c r="A29" i="17" s="1"/>
  <c r="A30" i="17" s="1"/>
  <c r="A31" i="17" s="1"/>
  <c r="A32" i="17" s="1"/>
  <c r="A33" i="17" s="1"/>
  <c r="A34" i="17" s="1"/>
  <c r="A35" i="17" s="1"/>
  <c r="A36" i="17" s="1"/>
  <c r="A37" i="17" s="1"/>
  <c r="A38" i="17" s="1"/>
  <c r="A39" i="17" s="1"/>
  <c r="A40" i="17" s="1"/>
  <c r="A41" i="17" s="1"/>
  <c r="A42" i="17" s="1"/>
  <c r="A43" i="17" s="1"/>
  <c r="A44" i="17" s="1"/>
  <c r="A45" i="17" s="1"/>
  <c r="A46" i="17" s="1"/>
  <c r="A47" i="17" s="1"/>
  <c r="A48" i="17" s="1"/>
  <c r="A49" i="17" s="1"/>
  <c r="A50" i="17" s="1"/>
  <c r="A51" i="17" s="1"/>
  <c r="A52" i="17" s="1"/>
  <c r="A53" i="17" s="1"/>
  <c r="A54" i="17" s="1"/>
  <c r="A55" i="17" s="1"/>
  <c r="A56" i="17" s="1"/>
  <c r="T19" i="17"/>
  <c r="U19" i="17" s="1"/>
  <c r="V19" i="17" s="1"/>
  <c r="U18" i="17"/>
  <c r="V18" i="17" s="1"/>
  <c r="T18" i="17"/>
  <c r="T17" i="17"/>
  <c r="U17" i="17" s="1"/>
  <c r="V17" i="17" s="1"/>
  <c r="T16" i="17"/>
  <c r="U16" i="17" s="1"/>
  <c r="V16" i="17" s="1"/>
  <c r="T15" i="17"/>
  <c r="U15" i="17" s="1"/>
  <c r="V15" i="17" s="1"/>
  <c r="T14" i="17"/>
  <c r="U14" i="17" s="1"/>
  <c r="V14" i="17" s="1"/>
  <c r="A14" i="17"/>
  <c r="A15" i="17" s="1"/>
  <c r="A16" i="17" s="1"/>
  <c r="A17" i="17" s="1"/>
  <c r="A18" i="17" s="1"/>
  <c r="T13" i="17"/>
  <c r="U13" i="17" s="1"/>
  <c r="V13" i="17" s="1"/>
  <c r="T12" i="17"/>
  <c r="T11" i="17"/>
  <c r="U11" i="17" s="1"/>
  <c r="V11" i="17" s="1"/>
  <c r="T10" i="17"/>
  <c r="U10" i="17" s="1"/>
  <c r="V10" i="17" s="1"/>
  <c r="T9" i="17"/>
  <c r="U9" i="17" s="1"/>
  <c r="V9" i="17" s="1"/>
  <c r="T8" i="17"/>
  <c r="A8" i="17"/>
  <c r="A9" i="17" s="1"/>
  <c r="A10" i="17" s="1"/>
  <c r="A11" i="17" s="1"/>
  <c r="T7" i="17"/>
  <c r="U7" i="17" s="1"/>
  <c r="C12" i="16"/>
  <c r="C8" i="16"/>
  <c r="C48" i="16"/>
  <c r="K42" i="16"/>
  <c r="J42" i="16"/>
  <c r="C42" i="16"/>
  <c r="C40" i="16"/>
  <c r="C39" i="16"/>
  <c r="C37" i="16"/>
  <c r="C34" i="16"/>
  <c r="C30" i="16"/>
  <c r="C26" i="16"/>
  <c r="V7" i="21" l="1"/>
  <c r="V57" i="21" s="1"/>
  <c r="U57" i="21"/>
  <c r="V7" i="20"/>
  <c r="V57" i="20" s="1"/>
  <c r="U57" i="19"/>
  <c r="V57" i="19"/>
  <c r="V7" i="18"/>
  <c r="T42" i="18"/>
  <c r="T57" i="18" s="1"/>
  <c r="T42" i="17"/>
  <c r="U42" i="17" s="1"/>
  <c r="V42" i="17" s="1"/>
  <c r="U37" i="17"/>
  <c r="V37" i="17" s="1"/>
  <c r="C57" i="17"/>
  <c r="U12" i="17"/>
  <c r="V12" i="17" s="1"/>
  <c r="V7" i="17"/>
  <c r="U42" i="18" l="1"/>
  <c r="T57" i="17"/>
  <c r="U57" i="17"/>
  <c r="V57" i="17"/>
  <c r="V42" i="18" l="1"/>
  <c r="V57" i="18" s="1"/>
  <c r="U57" i="18"/>
  <c r="R57" i="16" l="1"/>
  <c r="Q57" i="16"/>
  <c r="P57" i="16"/>
  <c r="O57" i="16"/>
  <c r="N57" i="16"/>
  <c r="M57" i="16"/>
  <c r="J57" i="16"/>
  <c r="I57" i="16"/>
  <c r="H57" i="16"/>
  <c r="G57" i="16"/>
  <c r="F57" i="16"/>
  <c r="T53" i="16"/>
  <c r="U53" i="16" s="1"/>
  <c r="V53" i="16" s="1"/>
  <c r="U52" i="16"/>
  <c r="V52" i="16" s="1"/>
  <c r="T52" i="16"/>
  <c r="T51" i="16"/>
  <c r="U51" i="16" s="1"/>
  <c r="V51" i="16" s="1"/>
  <c r="T50" i="16"/>
  <c r="U50" i="16" s="1"/>
  <c r="V50" i="16" s="1"/>
  <c r="T49" i="16"/>
  <c r="U49" i="16" s="1"/>
  <c r="V49" i="16" s="1"/>
  <c r="T48" i="16"/>
  <c r="U48" i="16" s="1"/>
  <c r="V48" i="16" s="1"/>
  <c r="U47" i="16"/>
  <c r="V47" i="16" s="1"/>
  <c r="T47" i="16"/>
  <c r="T46" i="16"/>
  <c r="U46" i="16" s="1"/>
  <c r="V46" i="16" s="1"/>
  <c r="T45" i="16"/>
  <c r="U45" i="16" s="1"/>
  <c r="V45" i="16" s="1"/>
  <c r="T44" i="16"/>
  <c r="U44" i="16" s="1"/>
  <c r="V44" i="16" s="1"/>
  <c r="K57" i="16"/>
  <c r="T40" i="16"/>
  <c r="U40" i="16"/>
  <c r="V40" i="16" s="1"/>
  <c r="T39" i="16"/>
  <c r="U39" i="16" s="1"/>
  <c r="V39" i="16" s="1"/>
  <c r="T38" i="16"/>
  <c r="U38" i="16" s="1"/>
  <c r="V38" i="16" s="1"/>
  <c r="T37" i="16"/>
  <c r="U37" i="16" s="1"/>
  <c r="V37" i="16" s="1"/>
  <c r="T36" i="16"/>
  <c r="U36" i="16" s="1"/>
  <c r="V36" i="16" s="1"/>
  <c r="T35" i="16"/>
  <c r="U35" i="16" s="1"/>
  <c r="V35" i="16" s="1"/>
  <c r="T34" i="16"/>
  <c r="U34" i="16" s="1"/>
  <c r="V34" i="16" s="1"/>
  <c r="T33" i="16"/>
  <c r="U33" i="16" s="1"/>
  <c r="V33" i="16" s="1"/>
  <c r="T32" i="16"/>
  <c r="U32" i="16" s="1"/>
  <c r="V32" i="16" s="1"/>
  <c r="T31" i="16"/>
  <c r="U31" i="16" s="1"/>
  <c r="V31" i="16" s="1"/>
  <c r="T30" i="16"/>
  <c r="U30" i="16"/>
  <c r="V30" i="16" s="1"/>
  <c r="T29" i="16"/>
  <c r="U29" i="16" s="1"/>
  <c r="V29" i="16" s="1"/>
  <c r="T28" i="16"/>
  <c r="U28" i="16" s="1"/>
  <c r="V28" i="16" s="1"/>
  <c r="T27" i="16"/>
  <c r="U27" i="16" s="1"/>
  <c r="V27" i="16" s="1"/>
  <c r="AY26" i="16"/>
  <c r="T26" i="16"/>
  <c r="U26" i="16" s="1"/>
  <c r="V26" i="16" s="1"/>
  <c r="T25" i="16"/>
  <c r="U25" i="16" s="1"/>
  <c r="V25" i="16" s="1"/>
  <c r="U24" i="16"/>
  <c r="V24" i="16" s="1"/>
  <c r="T24" i="16"/>
  <c r="T23" i="16"/>
  <c r="U23" i="16" s="1"/>
  <c r="V23" i="16" s="1"/>
  <c r="T22" i="16"/>
  <c r="U22" i="16" s="1"/>
  <c r="V22" i="16" s="1"/>
  <c r="T21" i="16"/>
  <c r="U21" i="16" s="1"/>
  <c r="V21" i="16" s="1"/>
  <c r="U20" i="16"/>
  <c r="V20" i="16" s="1"/>
  <c r="T20" i="16"/>
  <c r="A20" i="16"/>
  <c r="A21" i="16" s="1"/>
  <c r="A22" i="16" s="1"/>
  <c r="A23" i="16" s="1"/>
  <c r="A24" i="16" s="1"/>
  <c r="A25" i="16" s="1"/>
  <c r="A26" i="16" s="1"/>
  <c r="A27" i="16" s="1"/>
  <c r="A28" i="16" s="1"/>
  <c r="A29" i="16" s="1"/>
  <c r="A30" i="16" s="1"/>
  <c r="A31" i="16" s="1"/>
  <c r="A32" i="16" s="1"/>
  <c r="A33" i="16" s="1"/>
  <c r="A34" i="16" s="1"/>
  <c r="A35" i="16" s="1"/>
  <c r="A36" i="16" s="1"/>
  <c r="A37" i="16" s="1"/>
  <c r="A38" i="16" s="1"/>
  <c r="A39" i="16" s="1"/>
  <c r="A40" i="16" s="1"/>
  <c r="A41" i="16" s="1"/>
  <c r="A42" i="16" s="1"/>
  <c r="A43" i="16" s="1"/>
  <c r="A44" i="16" s="1"/>
  <c r="A45" i="16" s="1"/>
  <c r="A46" i="16" s="1"/>
  <c r="A47" i="16" s="1"/>
  <c r="A48" i="16" s="1"/>
  <c r="A49" i="16" s="1"/>
  <c r="A50" i="16" s="1"/>
  <c r="A51" i="16" s="1"/>
  <c r="A52" i="16" s="1"/>
  <c r="A53" i="16" s="1"/>
  <c r="A54" i="16" s="1"/>
  <c r="A55" i="16" s="1"/>
  <c r="A56" i="16" s="1"/>
  <c r="T19" i="16"/>
  <c r="U19" i="16" s="1"/>
  <c r="V19" i="16" s="1"/>
  <c r="T18" i="16"/>
  <c r="U18" i="16" s="1"/>
  <c r="V18" i="16" s="1"/>
  <c r="T17" i="16"/>
  <c r="U17" i="16" s="1"/>
  <c r="V17" i="16" s="1"/>
  <c r="T16" i="16"/>
  <c r="U16" i="16" s="1"/>
  <c r="V16" i="16" s="1"/>
  <c r="U15" i="16"/>
  <c r="V15" i="16" s="1"/>
  <c r="T15" i="16"/>
  <c r="T14" i="16"/>
  <c r="U14" i="16" s="1"/>
  <c r="V14" i="16" s="1"/>
  <c r="A14" i="16"/>
  <c r="A15" i="16" s="1"/>
  <c r="A16" i="16" s="1"/>
  <c r="A17" i="16" s="1"/>
  <c r="A18" i="16" s="1"/>
  <c r="T13" i="16"/>
  <c r="U13" i="16" s="1"/>
  <c r="V13" i="16" s="1"/>
  <c r="T12" i="16"/>
  <c r="U12" i="16" s="1"/>
  <c r="V12" i="16" s="1"/>
  <c r="T11" i="16"/>
  <c r="U11" i="16" s="1"/>
  <c r="V11" i="16" s="1"/>
  <c r="T10" i="16"/>
  <c r="U10" i="16" s="1"/>
  <c r="V10" i="16" s="1"/>
  <c r="T9" i="16"/>
  <c r="U9" i="16" s="1"/>
  <c r="V9" i="16" s="1"/>
  <c r="T8" i="16"/>
  <c r="U8" i="16" s="1"/>
  <c r="V8" i="16" s="1"/>
  <c r="A8" i="16"/>
  <c r="A9" i="16" s="1"/>
  <c r="A10" i="16" s="1"/>
  <c r="A11" i="16" s="1"/>
  <c r="T7" i="16"/>
  <c r="U7" i="16" s="1"/>
  <c r="C48" i="15"/>
  <c r="K42" i="15"/>
  <c r="J42" i="15"/>
  <c r="C42" i="15"/>
  <c r="C40" i="15"/>
  <c r="C39" i="15"/>
  <c r="C37" i="15"/>
  <c r="C34" i="15"/>
  <c r="C30" i="15"/>
  <c r="C26" i="15"/>
  <c r="C12" i="15"/>
  <c r="C8" i="15"/>
  <c r="V7" i="16" l="1"/>
  <c r="T42" i="16"/>
  <c r="U42" i="16" s="1"/>
  <c r="V42" i="16" s="1"/>
  <c r="C57" i="16"/>
  <c r="R57" i="15"/>
  <c r="Q57" i="15"/>
  <c r="P57" i="15"/>
  <c r="O57" i="15"/>
  <c r="N57" i="15"/>
  <c r="M57" i="15"/>
  <c r="I57" i="15"/>
  <c r="H57" i="15"/>
  <c r="G57" i="15"/>
  <c r="F57" i="15"/>
  <c r="T53" i="15"/>
  <c r="U53" i="15" s="1"/>
  <c r="V53" i="15" s="1"/>
  <c r="T52" i="15"/>
  <c r="U52" i="15" s="1"/>
  <c r="V52" i="15" s="1"/>
  <c r="T51" i="15"/>
  <c r="U51" i="15" s="1"/>
  <c r="V51" i="15" s="1"/>
  <c r="U50" i="15"/>
  <c r="V50" i="15" s="1"/>
  <c r="T50" i="15"/>
  <c r="U49" i="15"/>
  <c r="V49" i="15" s="1"/>
  <c r="T49" i="15"/>
  <c r="T48" i="15"/>
  <c r="U48" i="15" s="1"/>
  <c r="V48" i="15" s="1"/>
  <c r="U47" i="15"/>
  <c r="V47" i="15" s="1"/>
  <c r="T47" i="15"/>
  <c r="T46" i="15"/>
  <c r="U46" i="15" s="1"/>
  <c r="V46" i="15" s="1"/>
  <c r="T45" i="15"/>
  <c r="U45" i="15" s="1"/>
  <c r="V45" i="15" s="1"/>
  <c r="T44" i="15"/>
  <c r="U44" i="15" s="1"/>
  <c r="V44" i="15" s="1"/>
  <c r="K57" i="15"/>
  <c r="J57" i="15"/>
  <c r="T40" i="15"/>
  <c r="U40" i="15" s="1"/>
  <c r="V40" i="15" s="1"/>
  <c r="T39" i="15"/>
  <c r="U39" i="15" s="1"/>
  <c r="V39" i="15" s="1"/>
  <c r="T38" i="15"/>
  <c r="U38" i="15" s="1"/>
  <c r="V38" i="15" s="1"/>
  <c r="T37" i="15"/>
  <c r="U37" i="15" s="1"/>
  <c r="V37" i="15" s="1"/>
  <c r="T36" i="15"/>
  <c r="U36" i="15" s="1"/>
  <c r="V36" i="15" s="1"/>
  <c r="U35" i="15"/>
  <c r="V35" i="15" s="1"/>
  <c r="T35" i="15"/>
  <c r="T34" i="15"/>
  <c r="U34" i="15" s="1"/>
  <c r="V34" i="15" s="1"/>
  <c r="T33" i="15"/>
  <c r="U33" i="15" s="1"/>
  <c r="V33" i="15" s="1"/>
  <c r="T32" i="15"/>
  <c r="U32" i="15" s="1"/>
  <c r="V32" i="15" s="1"/>
  <c r="T31" i="15"/>
  <c r="U31" i="15" s="1"/>
  <c r="V31" i="15" s="1"/>
  <c r="T30" i="15"/>
  <c r="U30" i="15" s="1"/>
  <c r="V30" i="15" s="1"/>
  <c r="T29" i="15"/>
  <c r="U29" i="15" s="1"/>
  <c r="V29" i="15" s="1"/>
  <c r="T28" i="15"/>
  <c r="U28" i="15" s="1"/>
  <c r="V28" i="15" s="1"/>
  <c r="T27" i="15"/>
  <c r="U27" i="15" s="1"/>
  <c r="V27" i="15" s="1"/>
  <c r="AY26" i="15"/>
  <c r="T26" i="15"/>
  <c r="U26" i="15" s="1"/>
  <c r="V26" i="15" s="1"/>
  <c r="T25" i="15"/>
  <c r="U25" i="15" s="1"/>
  <c r="V25" i="15" s="1"/>
  <c r="T24" i="15"/>
  <c r="U24" i="15" s="1"/>
  <c r="V24" i="15" s="1"/>
  <c r="T23" i="15"/>
  <c r="U23" i="15" s="1"/>
  <c r="V23" i="15" s="1"/>
  <c r="T22" i="15"/>
  <c r="U22" i="15" s="1"/>
  <c r="V22" i="15" s="1"/>
  <c r="T21" i="15"/>
  <c r="U21" i="15" s="1"/>
  <c r="V21" i="15" s="1"/>
  <c r="A21" i="15"/>
  <c r="A22" i="15" s="1"/>
  <c r="A23" i="15" s="1"/>
  <c r="A24" i="15" s="1"/>
  <c r="A25" i="15" s="1"/>
  <c r="A26" i="15" s="1"/>
  <c r="A27" i="15" s="1"/>
  <c r="A28" i="15" s="1"/>
  <c r="A29" i="15" s="1"/>
  <c r="A30" i="15" s="1"/>
  <c r="A31" i="15" s="1"/>
  <c r="A32" i="15" s="1"/>
  <c r="A33" i="15" s="1"/>
  <c r="A34" i="15" s="1"/>
  <c r="A35" i="15" s="1"/>
  <c r="A36" i="15" s="1"/>
  <c r="A37" i="15" s="1"/>
  <c r="A38" i="15" s="1"/>
  <c r="A39" i="15" s="1"/>
  <c r="A40" i="15" s="1"/>
  <c r="A41" i="15" s="1"/>
  <c r="A42" i="15" s="1"/>
  <c r="A43" i="15" s="1"/>
  <c r="A44" i="15" s="1"/>
  <c r="A45" i="15" s="1"/>
  <c r="A46" i="15" s="1"/>
  <c r="A47" i="15" s="1"/>
  <c r="A48" i="15" s="1"/>
  <c r="A49" i="15" s="1"/>
  <c r="A50" i="15" s="1"/>
  <c r="A51" i="15" s="1"/>
  <c r="A52" i="15" s="1"/>
  <c r="A53" i="15" s="1"/>
  <c r="A54" i="15" s="1"/>
  <c r="A55" i="15" s="1"/>
  <c r="A56" i="15" s="1"/>
  <c r="T20" i="15"/>
  <c r="U20" i="15" s="1"/>
  <c r="V20" i="15" s="1"/>
  <c r="A20" i="15"/>
  <c r="T19" i="15"/>
  <c r="U19" i="15" s="1"/>
  <c r="V19" i="15" s="1"/>
  <c r="T18" i="15"/>
  <c r="U18" i="15" s="1"/>
  <c r="V18" i="15" s="1"/>
  <c r="T17" i="15"/>
  <c r="U17" i="15" s="1"/>
  <c r="V17" i="15" s="1"/>
  <c r="T16" i="15"/>
  <c r="U16" i="15" s="1"/>
  <c r="V16" i="15" s="1"/>
  <c r="T15" i="15"/>
  <c r="U15" i="15" s="1"/>
  <c r="V15" i="15" s="1"/>
  <c r="T14" i="15"/>
  <c r="U14" i="15" s="1"/>
  <c r="V14" i="15" s="1"/>
  <c r="A14" i="15"/>
  <c r="A15" i="15" s="1"/>
  <c r="A16" i="15" s="1"/>
  <c r="A17" i="15" s="1"/>
  <c r="A18" i="15" s="1"/>
  <c r="T13" i="15"/>
  <c r="U13" i="15" s="1"/>
  <c r="V13" i="15" s="1"/>
  <c r="T12" i="15"/>
  <c r="U12" i="15" s="1"/>
  <c r="V12" i="15" s="1"/>
  <c r="T11" i="15"/>
  <c r="U11" i="15" s="1"/>
  <c r="V11" i="15" s="1"/>
  <c r="T10" i="15"/>
  <c r="U10" i="15" s="1"/>
  <c r="V10" i="15" s="1"/>
  <c r="T9" i="15"/>
  <c r="U9" i="15" s="1"/>
  <c r="V9" i="15" s="1"/>
  <c r="T8" i="15"/>
  <c r="U8" i="15" s="1"/>
  <c r="V8" i="15" s="1"/>
  <c r="A8" i="15"/>
  <c r="A9" i="15" s="1"/>
  <c r="A10" i="15" s="1"/>
  <c r="A11" i="15" s="1"/>
  <c r="T7" i="15"/>
  <c r="U7" i="15" s="1"/>
  <c r="V7" i="15" s="1"/>
  <c r="C48" i="14"/>
  <c r="K42" i="14"/>
  <c r="K57" i="14" s="1"/>
  <c r="J42" i="14"/>
  <c r="T42" i="14" s="1"/>
  <c r="U42" i="14" s="1"/>
  <c r="V42" i="14" s="1"/>
  <c r="C42" i="14"/>
  <c r="C40" i="14"/>
  <c r="C39" i="14"/>
  <c r="U39" i="14" s="1"/>
  <c r="V39" i="14" s="1"/>
  <c r="C37" i="14"/>
  <c r="C34" i="14"/>
  <c r="C30" i="14"/>
  <c r="C26" i="14"/>
  <c r="C12" i="14"/>
  <c r="C10" i="14"/>
  <c r="C8" i="14"/>
  <c r="R57" i="14"/>
  <c r="Q57" i="14"/>
  <c r="P57" i="14"/>
  <c r="O57" i="14"/>
  <c r="N57" i="14"/>
  <c r="M57" i="14"/>
  <c r="J57" i="14"/>
  <c r="I57" i="14"/>
  <c r="H57" i="14"/>
  <c r="G57" i="14"/>
  <c r="F57" i="14"/>
  <c r="T53" i="14"/>
  <c r="U53" i="14" s="1"/>
  <c r="V53" i="14" s="1"/>
  <c r="T52" i="14"/>
  <c r="U52" i="14" s="1"/>
  <c r="V52" i="14" s="1"/>
  <c r="T51" i="14"/>
  <c r="U51" i="14" s="1"/>
  <c r="V51" i="14" s="1"/>
  <c r="T50" i="14"/>
  <c r="U50" i="14" s="1"/>
  <c r="V50" i="14" s="1"/>
  <c r="T49" i="14"/>
  <c r="U49" i="14" s="1"/>
  <c r="V49" i="14" s="1"/>
  <c r="T47" i="14"/>
  <c r="U47" i="14" s="1"/>
  <c r="V47" i="14" s="1"/>
  <c r="T46" i="14"/>
  <c r="U46" i="14" s="1"/>
  <c r="V46" i="14" s="1"/>
  <c r="T45" i="14"/>
  <c r="U45" i="14" s="1"/>
  <c r="V45" i="14" s="1"/>
  <c r="T44" i="14"/>
  <c r="U44" i="14" s="1"/>
  <c r="V44" i="14" s="1"/>
  <c r="T40" i="14"/>
  <c r="T39" i="14"/>
  <c r="T38" i="14"/>
  <c r="U38" i="14" s="1"/>
  <c r="V38" i="14" s="1"/>
  <c r="T37" i="14"/>
  <c r="U37" i="14" s="1"/>
  <c r="V37" i="14" s="1"/>
  <c r="T36" i="14"/>
  <c r="U36" i="14" s="1"/>
  <c r="V36" i="14" s="1"/>
  <c r="T35" i="14"/>
  <c r="U35" i="14" s="1"/>
  <c r="V35" i="14" s="1"/>
  <c r="T34" i="14"/>
  <c r="U33" i="14"/>
  <c r="V33" i="14" s="1"/>
  <c r="T33" i="14"/>
  <c r="T32" i="14"/>
  <c r="U32" i="14" s="1"/>
  <c r="V32" i="14" s="1"/>
  <c r="T31" i="14"/>
  <c r="U31" i="14" s="1"/>
  <c r="V31" i="14" s="1"/>
  <c r="T30" i="14"/>
  <c r="T29" i="14"/>
  <c r="U29" i="14" s="1"/>
  <c r="V29" i="14" s="1"/>
  <c r="T28" i="14"/>
  <c r="U28" i="14" s="1"/>
  <c r="V28" i="14" s="1"/>
  <c r="T27" i="14"/>
  <c r="U27" i="14" s="1"/>
  <c r="V27" i="14" s="1"/>
  <c r="AY26" i="14"/>
  <c r="T26" i="14"/>
  <c r="U26" i="14"/>
  <c r="V26" i="14" s="1"/>
  <c r="T25" i="14"/>
  <c r="U25" i="14" s="1"/>
  <c r="V25" i="14" s="1"/>
  <c r="T24" i="14"/>
  <c r="U24" i="14" s="1"/>
  <c r="V24" i="14" s="1"/>
  <c r="T23" i="14"/>
  <c r="U23" i="14" s="1"/>
  <c r="V23" i="14" s="1"/>
  <c r="T22" i="14"/>
  <c r="U22" i="14" s="1"/>
  <c r="V22" i="14" s="1"/>
  <c r="T21" i="14"/>
  <c r="U21" i="14" s="1"/>
  <c r="V21" i="14" s="1"/>
  <c r="A21" i="14"/>
  <c r="A22" i="14" s="1"/>
  <c r="A23" i="14" s="1"/>
  <c r="A24" i="14" s="1"/>
  <c r="A25" i="14" s="1"/>
  <c r="A26" i="14" s="1"/>
  <c r="A27" i="14" s="1"/>
  <c r="A28" i="14" s="1"/>
  <c r="A29" i="14" s="1"/>
  <c r="A30" i="14" s="1"/>
  <c r="A31" i="14" s="1"/>
  <c r="A32" i="14" s="1"/>
  <c r="A33" i="14" s="1"/>
  <c r="A34" i="14" s="1"/>
  <c r="A35" i="14" s="1"/>
  <c r="A36" i="14" s="1"/>
  <c r="A37" i="14" s="1"/>
  <c r="A38" i="14" s="1"/>
  <c r="A39" i="14" s="1"/>
  <c r="A40" i="14" s="1"/>
  <c r="A41" i="14" s="1"/>
  <c r="A42" i="14" s="1"/>
  <c r="A43" i="14" s="1"/>
  <c r="A44" i="14" s="1"/>
  <c r="A45" i="14" s="1"/>
  <c r="A46" i="14" s="1"/>
  <c r="A47" i="14" s="1"/>
  <c r="A48" i="14" s="1"/>
  <c r="A49" i="14" s="1"/>
  <c r="A50" i="14" s="1"/>
  <c r="A51" i="14" s="1"/>
  <c r="A52" i="14" s="1"/>
  <c r="A53" i="14" s="1"/>
  <c r="A54" i="14" s="1"/>
  <c r="A55" i="14" s="1"/>
  <c r="A56" i="14" s="1"/>
  <c r="T20" i="14"/>
  <c r="U20" i="14" s="1"/>
  <c r="V20" i="14" s="1"/>
  <c r="A20" i="14"/>
  <c r="T19" i="14"/>
  <c r="U19" i="14" s="1"/>
  <c r="V19" i="14" s="1"/>
  <c r="T18" i="14"/>
  <c r="U18" i="14" s="1"/>
  <c r="V18" i="14" s="1"/>
  <c r="T17" i="14"/>
  <c r="U17" i="14" s="1"/>
  <c r="V17" i="14" s="1"/>
  <c r="T16" i="14"/>
  <c r="U16" i="14" s="1"/>
  <c r="V16" i="14" s="1"/>
  <c r="T15" i="14"/>
  <c r="U15" i="14" s="1"/>
  <c r="V15" i="14" s="1"/>
  <c r="T14" i="14"/>
  <c r="U14" i="14" s="1"/>
  <c r="V14" i="14" s="1"/>
  <c r="A14" i="14"/>
  <c r="A15" i="14" s="1"/>
  <c r="A16" i="14" s="1"/>
  <c r="A17" i="14" s="1"/>
  <c r="A18" i="14" s="1"/>
  <c r="T13" i="14"/>
  <c r="U13" i="14" s="1"/>
  <c r="V13" i="14" s="1"/>
  <c r="T12" i="14"/>
  <c r="T11" i="14"/>
  <c r="U11" i="14" s="1"/>
  <c r="V11" i="14" s="1"/>
  <c r="T10" i="14"/>
  <c r="T9" i="14"/>
  <c r="U9" i="14" s="1"/>
  <c r="V9" i="14" s="1"/>
  <c r="T8" i="14"/>
  <c r="A8" i="14"/>
  <c r="A9" i="14" s="1"/>
  <c r="A10" i="14" s="1"/>
  <c r="A11" i="14" s="1"/>
  <c r="T7" i="14"/>
  <c r="U7" i="14" s="1"/>
  <c r="K48" i="13"/>
  <c r="K57" i="13" s="1"/>
  <c r="C48" i="13"/>
  <c r="K42" i="13"/>
  <c r="J42" i="13"/>
  <c r="J57" i="13"/>
  <c r="C42" i="13"/>
  <c r="C40" i="13"/>
  <c r="T39" i="13"/>
  <c r="C39" i="13"/>
  <c r="C37" i="13"/>
  <c r="C34" i="13"/>
  <c r="U34" i="13" s="1"/>
  <c r="V34" i="13" s="1"/>
  <c r="C30" i="13"/>
  <c r="C26" i="13"/>
  <c r="T13" i="13"/>
  <c r="U13" i="13" s="1"/>
  <c r="V13" i="13" s="1"/>
  <c r="C12" i="13"/>
  <c r="C8" i="13"/>
  <c r="U8" i="13" s="1"/>
  <c r="V8" i="13" s="1"/>
  <c r="C7" i="13"/>
  <c r="R57" i="13"/>
  <c r="Q57" i="13"/>
  <c r="P57" i="13"/>
  <c r="O57" i="13"/>
  <c r="M57" i="13"/>
  <c r="I57" i="13"/>
  <c r="H57" i="13"/>
  <c r="G57" i="13"/>
  <c r="F57" i="13"/>
  <c r="T53" i="13"/>
  <c r="U53" i="13" s="1"/>
  <c r="V53" i="13" s="1"/>
  <c r="T52" i="13"/>
  <c r="U52" i="13" s="1"/>
  <c r="V52" i="13" s="1"/>
  <c r="U51" i="13"/>
  <c r="V51" i="13" s="1"/>
  <c r="T51" i="13"/>
  <c r="T50" i="13"/>
  <c r="U50" i="13" s="1"/>
  <c r="V50" i="13" s="1"/>
  <c r="U49" i="13"/>
  <c r="V49" i="13" s="1"/>
  <c r="T49" i="13"/>
  <c r="T48" i="13"/>
  <c r="T47" i="13"/>
  <c r="U47" i="13" s="1"/>
  <c r="V47" i="13" s="1"/>
  <c r="T46" i="13"/>
  <c r="U46" i="13" s="1"/>
  <c r="V46" i="13" s="1"/>
  <c r="T45" i="13"/>
  <c r="U45" i="13" s="1"/>
  <c r="V45" i="13" s="1"/>
  <c r="T44" i="13"/>
  <c r="U44" i="13" s="1"/>
  <c r="V44" i="13" s="1"/>
  <c r="T40" i="13"/>
  <c r="U40" i="13" s="1"/>
  <c r="V40" i="13" s="1"/>
  <c r="U39" i="13"/>
  <c r="V39" i="13" s="1"/>
  <c r="T38" i="13"/>
  <c r="U38" i="13" s="1"/>
  <c r="V38" i="13" s="1"/>
  <c r="T37" i="13"/>
  <c r="U37" i="13" s="1"/>
  <c r="V37" i="13" s="1"/>
  <c r="T36" i="13"/>
  <c r="U36" i="13" s="1"/>
  <c r="V36" i="13" s="1"/>
  <c r="T35" i="13"/>
  <c r="U35" i="13" s="1"/>
  <c r="V35" i="13" s="1"/>
  <c r="T34" i="13"/>
  <c r="T33" i="13"/>
  <c r="U33" i="13" s="1"/>
  <c r="V33" i="13" s="1"/>
  <c r="T32" i="13"/>
  <c r="U32" i="13" s="1"/>
  <c r="V32" i="13" s="1"/>
  <c r="T31" i="13"/>
  <c r="U31" i="13" s="1"/>
  <c r="V31" i="13" s="1"/>
  <c r="T30" i="13"/>
  <c r="U30" i="13"/>
  <c r="V30" i="13" s="1"/>
  <c r="T29" i="13"/>
  <c r="U29" i="13" s="1"/>
  <c r="V29" i="13" s="1"/>
  <c r="T28" i="13"/>
  <c r="U28" i="13" s="1"/>
  <c r="V28" i="13" s="1"/>
  <c r="T27" i="13"/>
  <c r="U27" i="13" s="1"/>
  <c r="V27" i="13" s="1"/>
  <c r="AY26" i="13"/>
  <c r="T26" i="13"/>
  <c r="U26" i="13" s="1"/>
  <c r="V26" i="13" s="1"/>
  <c r="T25" i="13"/>
  <c r="U25" i="13" s="1"/>
  <c r="V25" i="13" s="1"/>
  <c r="T24" i="13"/>
  <c r="U24" i="13" s="1"/>
  <c r="V24" i="13" s="1"/>
  <c r="T23" i="13"/>
  <c r="U23" i="13" s="1"/>
  <c r="V23" i="13" s="1"/>
  <c r="T22" i="13"/>
  <c r="U22" i="13" s="1"/>
  <c r="V22" i="13" s="1"/>
  <c r="T21" i="13"/>
  <c r="U21" i="13" s="1"/>
  <c r="V21" i="13" s="1"/>
  <c r="A21" i="13"/>
  <c r="A22" i="13" s="1"/>
  <c r="A23" i="13" s="1"/>
  <c r="A24" i="13" s="1"/>
  <c r="A25" i="13" s="1"/>
  <c r="A26" i="13" s="1"/>
  <c r="A27" i="13" s="1"/>
  <c r="A28" i="13" s="1"/>
  <c r="A29" i="13" s="1"/>
  <c r="A30" i="13" s="1"/>
  <c r="A31" i="13" s="1"/>
  <c r="A32" i="13" s="1"/>
  <c r="A33" i="13" s="1"/>
  <c r="A34" i="13" s="1"/>
  <c r="A35" i="13" s="1"/>
  <c r="A36" i="13" s="1"/>
  <c r="A37" i="13" s="1"/>
  <c r="A38" i="13" s="1"/>
  <c r="A39" i="13" s="1"/>
  <c r="A40" i="13" s="1"/>
  <c r="A41" i="13" s="1"/>
  <c r="A42" i="13" s="1"/>
  <c r="A43" i="13" s="1"/>
  <c r="A44" i="13" s="1"/>
  <c r="A45" i="13" s="1"/>
  <c r="A46" i="13" s="1"/>
  <c r="A47" i="13" s="1"/>
  <c r="A48" i="13" s="1"/>
  <c r="A49" i="13" s="1"/>
  <c r="A50" i="13" s="1"/>
  <c r="A51" i="13" s="1"/>
  <c r="A52" i="13" s="1"/>
  <c r="A53" i="13" s="1"/>
  <c r="A54" i="13" s="1"/>
  <c r="A55" i="13" s="1"/>
  <c r="A56" i="13" s="1"/>
  <c r="T20" i="13"/>
  <c r="U20" i="13" s="1"/>
  <c r="V20" i="13" s="1"/>
  <c r="A20" i="13"/>
  <c r="T19" i="13"/>
  <c r="U19" i="13" s="1"/>
  <c r="V19" i="13" s="1"/>
  <c r="T18" i="13"/>
  <c r="U18" i="13" s="1"/>
  <c r="V18" i="13" s="1"/>
  <c r="T17" i="13"/>
  <c r="U17" i="13" s="1"/>
  <c r="V17" i="13" s="1"/>
  <c r="T16" i="13"/>
  <c r="U16" i="13" s="1"/>
  <c r="V16" i="13" s="1"/>
  <c r="A16" i="13"/>
  <c r="A17" i="13" s="1"/>
  <c r="A18" i="13" s="1"/>
  <c r="T15" i="13"/>
  <c r="U15" i="13" s="1"/>
  <c r="V15" i="13" s="1"/>
  <c r="A15" i="13"/>
  <c r="T14" i="13"/>
  <c r="U14" i="13" s="1"/>
  <c r="V14" i="13" s="1"/>
  <c r="A14" i="13"/>
  <c r="T12" i="13"/>
  <c r="T11" i="13"/>
  <c r="U11" i="13" s="1"/>
  <c r="V11" i="13" s="1"/>
  <c r="T10" i="13"/>
  <c r="U10" i="13" s="1"/>
  <c r="V10" i="13" s="1"/>
  <c r="T9" i="13"/>
  <c r="U9" i="13" s="1"/>
  <c r="V9" i="13" s="1"/>
  <c r="T8" i="13"/>
  <c r="A8" i="13"/>
  <c r="A9" i="13" s="1"/>
  <c r="A10" i="13" s="1"/>
  <c r="A11" i="13" s="1"/>
  <c r="T7" i="13"/>
  <c r="V57" i="16" l="1"/>
  <c r="U57" i="16"/>
  <c r="T57" i="16"/>
  <c r="T42" i="15"/>
  <c r="U42" i="15" s="1"/>
  <c r="C57" i="15"/>
  <c r="U40" i="14"/>
  <c r="V40" i="14" s="1"/>
  <c r="U34" i="14"/>
  <c r="V34" i="14" s="1"/>
  <c r="U30" i="14"/>
  <c r="V30" i="14" s="1"/>
  <c r="U12" i="14"/>
  <c r="V12" i="14" s="1"/>
  <c r="U10" i="14"/>
  <c r="V10" i="14" s="1"/>
  <c r="U8" i="14"/>
  <c r="V8" i="14" s="1"/>
  <c r="V7" i="14"/>
  <c r="C57" i="14"/>
  <c r="T48" i="14"/>
  <c r="T57" i="14" s="1"/>
  <c r="U48" i="13"/>
  <c r="V48" i="13" s="1"/>
  <c r="T42" i="13"/>
  <c r="U42" i="13" s="1"/>
  <c r="V42" i="13" s="1"/>
  <c r="N57" i="13"/>
  <c r="U12" i="13"/>
  <c r="V12" i="13" s="1"/>
  <c r="C57" i="13"/>
  <c r="U7" i="13"/>
  <c r="T57" i="15" l="1"/>
  <c r="V42" i="15"/>
  <c r="V57" i="15" s="1"/>
  <c r="U57" i="15"/>
  <c r="U48" i="14"/>
  <c r="T57" i="13"/>
  <c r="U57" i="13"/>
  <c r="V7" i="13"/>
  <c r="V57" i="13" s="1"/>
  <c r="V48" i="14" l="1"/>
  <c r="V57" i="14" s="1"/>
  <c r="U57" i="14"/>
  <c r="O57" i="12"/>
  <c r="C48" i="12"/>
  <c r="K42" i="12"/>
  <c r="J42" i="12"/>
  <c r="J57" i="12"/>
  <c r="C42" i="12"/>
  <c r="C40" i="12"/>
  <c r="C39" i="12"/>
  <c r="C37" i="12"/>
  <c r="C34" i="12"/>
  <c r="C30" i="12"/>
  <c r="C28" i="12"/>
  <c r="C26" i="12"/>
  <c r="C12" i="12"/>
  <c r="U12" i="12" s="1"/>
  <c r="V12" i="12" s="1"/>
  <c r="C8" i="12"/>
  <c r="R57" i="12"/>
  <c r="Q57" i="12"/>
  <c r="P57" i="12"/>
  <c r="N57" i="12"/>
  <c r="M57" i="12"/>
  <c r="I57" i="12"/>
  <c r="H57" i="12"/>
  <c r="G57" i="12"/>
  <c r="F57" i="12"/>
  <c r="T53" i="12"/>
  <c r="U53" i="12" s="1"/>
  <c r="V53" i="12" s="1"/>
  <c r="T52" i="12"/>
  <c r="U52" i="12" s="1"/>
  <c r="V52" i="12" s="1"/>
  <c r="T51" i="12"/>
  <c r="U51" i="12" s="1"/>
  <c r="V51" i="12" s="1"/>
  <c r="T50" i="12"/>
  <c r="U50" i="12" s="1"/>
  <c r="V50" i="12" s="1"/>
  <c r="T49" i="12"/>
  <c r="U49" i="12" s="1"/>
  <c r="V49" i="12" s="1"/>
  <c r="T48" i="12"/>
  <c r="T47" i="12"/>
  <c r="U47" i="12" s="1"/>
  <c r="V47" i="12" s="1"/>
  <c r="T46" i="12"/>
  <c r="U46" i="12" s="1"/>
  <c r="V46" i="12" s="1"/>
  <c r="T45" i="12"/>
  <c r="U45" i="12" s="1"/>
  <c r="V45" i="12" s="1"/>
  <c r="T44" i="12"/>
  <c r="U44" i="12" s="1"/>
  <c r="V44" i="12" s="1"/>
  <c r="K57" i="12"/>
  <c r="T40" i="12"/>
  <c r="T39" i="12"/>
  <c r="U39" i="12"/>
  <c r="V39" i="12" s="1"/>
  <c r="T38" i="12"/>
  <c r="U38" i="12" s="1"/>
  <c r="V38" i="12" s="1"/>
  <c r="T37" i="12"/>
  <c r="T36" i="12"/>
  <c r="U36" i="12" s="1"/>
  <c r="V36" i="12" s="1"/>
  <c r="T35" i="12"/>
  <c r="U35" i="12" s="1"/>
  <c r="V35" i="12" s="1"/>
  <c r="T34" i="12"/>
  <c r="T33" i="12"/>
  <c r="U33" i="12" s="1"/>
  <c r="V33" i="12" s="1"/>
  <c r="T32" i="12"/>
  <c r="U32" i="12" s="1"/>
  <c r="V32" i="12" s="1"/>
  <c r="T31" i="12"/>
  <c r="U31" i="12" s="1"/>
  <c r="V31" i="12" s="1"/>
  <c r="T30" i="12"/>
  <c r="T29" i="12"/>
  <c r="U29" i="12" s="1"/>
  <c r="V29" i="12" s="1"/>
  <c r="T28" i="12"/>
  <c r="T27" i="12"/>
  <c r="U27" i="12" s="1"/>
  <c r="V27" i="12" s="1"/>
  <c r="AY26" i="12"/>
  <c r="T26" i="12"/>
  <c r="T25" i="12"/>
  <c r="U25" i="12" s="1"/>
  <c r="V25" i="12" s="1"/>
  <c r="T24" i="12"/>
  <c r="U24" i="12" s="1"/>
  <c r="V24" i="12" s="1"/>
  <c r="T23" i="12"/>
  <c r="U23" i="12" s="1"/>
  <c r="V23" i="12" s="1"/>
  <c r="T22" i="12"/>
  <c r="U22" i="12" s="1"/>
  <c r="V22" i="12" s="1"/>
  <c r="U21" i="12"/>
  <c r="V21" i="12" s="1"/>
  <c r="T21" i="12"/>
  <c r="T20" i="12"/>
  <c r="U20" i="12" s="1"/>
  <c r="V20" i="12" s="1"/>
  <c r="A20" i="12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39" i="12" s="1"/>
  <c r="A40" i="12" s="1"/>
  <c r="A41" i="12" s="1"/>
  <c r="A42" i="12" s="1"/>
  <c r="A43" i="12" s="1"/>
  <c r="A44" i="12" s="1"/>
  <c r="A45" i="12" s="1"/>
  <c r="A46" i="12" s="1"/>
  <c r="A47" i="12" s="1"/>
  <c r="A48" i="12" s="1"/>
  <c r="A49" i="12" s="1"/>
  <c r="A50" i="12" s="1"/>
  <c r="A51" i="12" s="1"/>
  <c r="A52" i="12" s="1"/>
  <c r="A53" i="12" s="1"/>
  <c r="A54" i="12" s="1"/>
  <c r="A55" i="12" s="1"/>
  <c r="A56" i="12" s="1"/>
  <c r="T19" i="12"/>
  <c r="U19" i="12" s="1"/>
  <c r="V19" i="12" s="1"/>
  <c r="T18" i="12"/>
  <c r="U18" i="12" s="1"/>
  <c r="V18" i="12" s="1"/>
  <c r="T17" i="12"/>
  <c r="U17" i="12" s="1"/>
  <c r="V17" i="12" s="1"/>
  <c r="T16" i="12"/>
  <c r="U16" i="12" s="1"/>
  <c r="V16" i="12" s="1"/>
  <c r="T15" i="12"/>
  <c r="U15" i="12" s="1"/>
  <c r="V15" i="12" s="1"/>
  <c r="T14" i="12"/>
  <c r="U14" i="12" s="1"/>
  <c r="V14" i="12" s="1"/>
  <c r="A14" i="12"/>
  <c r="A15" i="12" s="1"/>
  <c r="A16" i="12" s="1"/>
  <c r="A17" i="12" s="1"/>
  <c r="A18" i="12" s="1"/>
  <c r="T13" i="12"/>
  <c r="U13" i="12" s="1"/>
  <c r="V13" i="12" s="1"/>
  <c r="T12" i="12"/>
  <c r="T11" i="12"/>
  <c r="U11" i="12" s="1"/>
  <c r="V11" i="12" s="1"/>
  <c r="T10" i="12"/>
  <c r="U10" i="12" s="1"/>
  <c r="V10" i="12" s="1"/>
  <c r="T9" i="12"/>
  <c r="U9" i="12" s="1"/>
  <c r="V9" i="12" s="1"/>
  <c r="A9" i="12"/>
  <c r="A10" i="12" s="1"/>
  <c r="A11" i="12" s="1"/>
  <c r="T8" i="12"/>
  <c r="A8" i="12"/>
  <c r="T7" i="12"/>
  <c r="U48" i="12" l="1"/>
  <c r="V48" i="12" s="1"/>
  <c r="U40" i="12"/>
  <c r="V40" i="12" s="1"/>
  <c r="U37" i="12"/>
  <c r="V37" i="12" s="1"/>
  <c r="U34" i="12"/>
  <c r="V34" i="12" s="1"/>
  <c r="U30" i="12"/>
  <c r="V30" i="12" s="1"/>
  <c r="U28" i="12"/>
  <c r="V28" i="12" s="1"/>
  <c r="U26" i="12"/>
  <c r="V26" i="12" s="1"/>
  <c r="U8" i="12"/>
  <c r="V8" i="12" s="1"/>
  <c r="U7" i="12"/>
  <c r="T42" i="12"/>
  <c r="U42" i="12" s="1"/>
  <c r="V42" i="12" s="1"/>
  <c r="C57" i="12"/>
  <c r="C24" i="11"/>
  <c r="C48" i="11"/>
  <c r="T53" i="11"/>
  <c r="U53" i="11" s="1"/>
  <c r="V53" i="11" s="1"/>
  <c r="T52" i="11"/>
  <c r="U52" i="11" s="1"/>
  <c r="V52" i="11" s="1"/>
  <c r="T51" i="11"/>
  <c r="U51" i="11" s="1"/>
  <c r="V51" i="11" s="1"/>
  <c r="T50" i="11"/>
  <c r="U50" i="11" s="1"/>
  <c r="V50" i="11" s="1"/>
  <c r="T49" i="11"/>
  <c r="U49" i="11" s="1"/>
  <c r="V49" i="11" s="1"/>
  <c r="T48" i="11"/>
  <c r="U48" i="11" s="1"/>
  <c r="V48" i="11" s="1"/>
  <c r="V47" i="11"/>
  <c r="V46" i="11"/>
  <c r="V45" i="11"/>
  <c r="V44" i="11"/>
  <c r="T47" i="11"/>
  <c r="U47" i="11" s="1"/>
  <c r="T46" i="11"/>
  <c r="U46" i="11" s="1"/>
  <c r="T45" i="11"/>
  <c r="U45" i="11" s="1"/>
  <c r="U44" i="11"/>
  <c r="T44" i="11"/>
  <c r="V42" i="11"/>
  <c r="K42" i="11"/>
  <c r="C42" i="11"/>
  <c r="T42" i="11"/>
  <c r="V40" i="11"/>
  <c r="C40" i="11"/>
  <c r="U40" i="11" s="1"/>
  <c r="T40" i="11"/>
  <c r="C39" i="11"/>
  <c r="T39" i="11"/>
  <c r="C38" i="11"/>
  <c r="U38" i="11"/>
  <c r="V38" i="11" s="1"/>
  <c r="T38" i="11"/>
  <c r="V37" i="11"/>
  <c r="C37" i="11"/>
  <c r="U37" i="11"/>
  <c r="T37" i="11"/>
  <c r="C34" i="11"/>
  <c r="C26" i="11"/>
  <c r="V36" i="11"/>
  <c r="V35" i="11"/>
  <c r="V33" i="11"/>
  <c r="V32" i="11"/>
  <c r="V31" i="11"/>
  <c r="V29" i="11"/>
  <c r="V27" i="11"/>
  <c r="V18" i="11"/>
  <c r="V16" i="11"/>
  <c r="V15" i="11"/>
  <c r="V14" i="11"/>
  <c r="U36" i="11"/>
  <c r="U35" i="11"/>
  <c r="U33" i="11"/>
  <c r="U32" i="11"/>
  <c r="U31" i="11"/>
  <c r="U30" i="11"/>
  <c r="V30" i="11" s="1"/>
  <c r="U29" i="11"/>
  <c r="U27" i="11"/>
  <c r="U25" i="11"/>
  <c r="V25" i="11" s="1"/>
  <c r="U24" i="11"/>
  <c r="V24" i="11" s="1"/>
  <c r="U23" i="11"/>
  <c r="V23" i="11" s="1"/>
  <c r="U22" i="11"/>
  <c r="V22" i="11" s="1"/>
  <c r="U21" i="11"/>
  <c r="V21" i="11" s="1"/>
  <c r="U20" i="11"/>
  <c r="V20" i="11" s="1"/>
  <c r="U19" i="11"/>
  <c r="V19" i="11" s="1"/>
  <c r="U18" i="11"/>
  <c r="U17" i="11"/>
  <c r="V17" i="11" s="1"/>
  <c r="U16" i="11"/>
  <c r="U15" i="11"/>
  <c r="U14" i="11"/>
  <c r="T14" i="11"/>
  <c r="T15" i="11"/>
  <c r="T16" i="11"/>
  <c r="T17" i="11"/>
  <c r="T18" i="11"/>
  <c r="T19" i="11"/>
  <c r="T20" i="11"/>
  <c r="T21" i="11"/>
  <c r="T22" i="11"/>
  <c r="T23" i="11"/>
  <c r="T24" i="11"/>
  <c r="T25" i="11"/>
  <c r="T26" i="11"/>
  <c r="T27" i="11"/>
  <c r="T28" i="11"/>
  <c r="U28" i="11" s="1"/>
  <c r="V28" i="11" s="1"/>
  <c r="T29" i="11"/>
  <c r="T30" i="11"/>
  <c r="T31" i="11"/>
  <c r="T32" i="11"/>
  <c r="T33" i="11"/>
  <c r="T34" i="11"/>
  <c r="U34" i="11" s="1"/>
  <c r="V34" i="11" s="1"/>
  <c r="T35" i="11"/>
  <c r="T36" i="11"/>
  <c r="U13" i="11"/>
  <c r="V13" i="11" s="1"/>
  <c r="T13" i="11"/>
  <c r="U12" i="11"/>
  <c r="V12" i="11" s="1"/>
  <c r="C12" i="11"/>
  <c r="T8" i="11"/>
  <c r="U8" i="11" s="1"/>
  <c r="V8" i="11" s="1"/>
  <c r="T9" i="11"/>
  <c r="U9" i="11" s="1"/>
  <c r="V9" i="11" s="1"/>
  <c r="T10" i="11"/>
  <c r="T11" i="11"/>
  <c r="U11" i="11" s="1"/>
  <c r="V11" i="11" s="1"/>
  <c r="T12" i="11"/>
  <c r="T7" i="11"/>
  <c r="U7" i="11" s="1"/>
  <c r="V7" i="11" s="1"/>
  <c r="U10" i="11"/>
  <c r="V10" i="11" s="1"/>
  <c r="C8" i="11"/>
  <c r="T57" i="12" l="1"/>
  <c r="U57" i="12"/>
  <c r="V7" i="12"/>
  <c r="V57" i="12" s="1"/>
  <c r="U42" i="11"/>
  <c r="U39" i="11"/>
  <c r="V39" i="11" s="1"/>
  <c r="U26" i="11"/>
  <c r="V26" i="11" s="1"/>
  <c r="T57" i="11"/>
  <c r="U57" i="11" l="1"/>
  <c r="A8" i="11" l="1"/>
  <c r="A9" i="11" s="1"/>
  <c r="A10" i="11" s="1"/>
  <c r="A11" i="11" s="1"/>
  <c r="A14" i="11"/>
  <c r="A15" i="11" s="1"/>
  <c r="A16" i="11" s="1"/>
  <c r="A17" i="11" s="1"/>
  <c r="A18" i="11" s="1"/>
  <c r="A20" i="11"/>
  <c r="A21" i="11" s="1"/>
  <c r="A22" i="11" s="1"/>
  <c r="A23" i="11" s="1"/>
  <c r="A24" i="11" s="1"/>
  <c r="A25" i="11" s="1"/>
  <c r="A26" i="11" s="1"/>
  <c r="A27" i="11" s="1"/>
  <c r="A28" i="11" s="1"/>
  <c r="A29" i="11" s="1"/>
  <c r="A30" i="11" s="1"/>
  <c r="A31" i="11" s="1"/>
  <c r="A32" i="11" s="1"/>
  <c r="A33" i="11" s="1"/>
  <c r="A34" i="11" s="1"/>
  <c r="A35" i="11" s="1"/>
  <c r="A36" i="11" s="1"/>
  <c r="A37" i="11" s="1"/>
  <c r="A38" i="11" s="1"/>
  <c r="A39" i="11" s="1"/>
  <c r="A40" i="11" s="1"/>
  <c r="A41" i="11" s="1"/>
  <c r="A42" i="11" s="1"/>
  <c r="A43" i="11" s="1"/>
  <c r="A44" i="11" s="1"/>
  <c r="A45" i="11" s="1"/>
  <c r="A46" i="11" s="1"/>
  <c r="A47" i="11" s="1"/>
  <c r="A48" i="11" s="1"/>
  <c r="A49" i="11" s="1"/>
  <c r="A50" i="11" s="1"/>
  <c r="A51" i="11" s="1"/>
  <c r="A52" i="11" s="1"/>
  <c r="A53" i="11" s="1"/>
  <c r="A54" i="11" s="1"/>
  <c r="A55" i="11" s="1"/>
  <c r="A56" i="11" s="1"/>
  <c r="A24" i="10"/>
  <c r="A25" i="10"/>
  <c r="A26" i="10"/>
  <c r="A27" i="10"/>
  <c r="A28" i="10"/>
  <c r="A29" i="10"/>
  <c r="A30" i="10"/>
  <c r="A31" i="10"/>
  <c r="A32" i="10"/>
  <c r="A33" i="10"/>
  <c r="A34" i="10"/>
  <c r="A35" i="10"/>
  <c r="A36" i="10"/>
  <c r="A37" i="10" s="1"/>
  <c r="A38" i="10" s="1"/>
  <c r="A39" i="10" s="1"/>
  <c r="A40" i="10" s="1"/>
  <c r="A41" i="10" s="1"/>
  <c r="A42" i="10" s="1"/>
  <c r="A43" i="10" s="1"/>
  <c r="A44" i="10" s="1"/>
  <c r="A45" i="10" s="1"/>
  <c r="A46" i="10" s="1"/>
  <c r="A47" i="10" s="1"/>
  <c r="A48" i="10" s="1"/>
  <c r="A49" i="10" s="1"/>
  <c r="A50" i="10" s="1"/>
  <c r="A51" i="10" s="1"/>
  <c r="A52" i="10" s="1"/>
  <c r="A53" i="10" s="1"/>
  <c r="A54" i="10" s="1"/>
  <c r="A55" i="10" s="1"/>
  <c r="A56" i="10" s="1"/>
  <c r="V57" i="11" l="1"/>
  <c r="N57" i="11"/>
  <c r="P57" i="11"/>
  <c r="Q57" i="11"/>
  <c r="R57" i="11"/>
  <c r="O57" i="11"/>
  <c r="M57" i="11"/>
  <c r="J57" i="11"/>
  <c r="I57" i="11"/>
  <c r="H57" i="11"/>
  <c r="K57" i="11"/>
  <c r="G57" i="11"/>
  <c r="F57" i="11"/>
  <c r="C57" i="11" l="1"/>
  <c r="AY26" i="11" l="1"/>
  <c r="A9" i="10" l="1"/>
  <c r="A10" i="10" s="1"/>
  <c r="A11" i="10" s="1"/>
  <c r="A14" i="10" s="1"/>
  <c r="A15" i="10" s="1"/>
  <c r="A16" i="10" s="1"/>
  <c r="A17" i="10" s="1"/>
  <c r="A18" i="10" s="1"/>
  <c r="A20" i="10" s="1"/>
  <c r="A21" i="10" s="1"/>
  <c r="A22" i="10" s="1"/>
  <c r="A23" i="10" s="1"/>
  <c r="A8" i="10"/>
  <c r="AS26" i="10" l="1"/>
</calcChain>
</file>

<file path=xl/sharedStrings.xml><?xml version="1.0" encoding="utf-8"?>
<sst xmlns="http://schemas.openxmlformats.org/spreadsheetml/2006/main" count="1823" uniqueCount="102">
  <si>
    <t>ROUTE 1</t>
  </si>
  <si>
    <t>PAMB</t>
  </si>
  <si>
    <t>PAMC</t>
  </si>
  <si>
    <t>KRB</t>
  </si>
  <si>
    <t>KRC</t>
  </si>
  <si>
    <t>CBC</t>
  </si>
  <si>
    <t>SDB</t>
  </si>
  <si>
    <t>SDC</t>
  </si>
  <si>
    <t>SMZ</t>
  </si>
  <si>
    <t>SMLB</t>
  </si>
  <si>
    <t>SMLL</t>
  </si>
  <si>
    <t>SMLC</t>
  </si>
  <si>
    <t>FBA</t>
  </si>
  <si>
    <t>FBAC</t>
  </si>
  <si>
    <t>FBL</t>
  </si>
  <si>
    <t>FBLC</t>
  </si>
  <si>
    <t>FBLY</t>
  </si>
  <si>
    <t>FBLYC</t>
  </si>
  <si>
    <t>PP</t>
  </si>
  <si>
    <t>PPG</t>
  </si>
  <si>
    <t>PL</t>
  </si>
  <si>
    <t>PPC</t>
  </si>
  <si>
    <t>RHS</t>
  </si>
  <si>
    <t>RHP</t>
  </si>
  <si>
    <t>RHL</t>
  </si>
  <si>
    <t>RHC</t>
  </si>
  <si>
    <t>RHSL</t>
  </si>
  <si>
    <t>SMF</t>
  </si>
  <si>
    <t>SMFC</t>
  </si>
  <si>
    <t>GEK</t>
  </si>
  <si>
    <t>HSC</t>
  </si>
  <si>
    <t>HTL</t>
  </si>
  <si>
    <t>HTA</t>
  </si>
  <si>
    <t>HTS</t>
  </si>
  <si>
    <t>CB</t>
  </si>
  <si>
    <t>CC</t>
  </si>
  <si>
    <t>C10C</t>
  </si>
  <si>
    <t>CIB</t>
  </si>
  <si>
    <t>CIC</t>
  </si>
  <si>
    <t>EMPTIES</t>
  </si>
  <si>
    <t>RHL/PL</t>
  </si>
  <si>
    <t>RH5</t>
  </si>
  <si>
    <t>FBA/SML/RHS</t>
  </si>
  <si>
    <t>RGB</t>
  </si>
  <si>
    <t>COMP</t>
  </si>
  <si>
    <t>ROUTE 2</t>
  </si>
  <si>
    <t>ROUTE 3</t>
  </si>
  <si>
    <t>B</t>
  </si>
  <si>
    <t>S</t>
  </si>
  <si>
    <t>FLOOR STOCKS</t>
  </si>
  <si>
    <t>TOTAL INVENTORY</t>
  </si>
  <si>
    <t>INVENTORY COUNT SHEET</t>
  </si>
  <si>
    <t>SKU</t>
  </si>
  <si>
    <t>GUILLERMO BEVERAGE DISTRIBUTION SERVICES</t>
  </si>
  <si>
    <t>BOT</t>
  </si>
  <si>
    <t>SHL</t>
  </si>
  <si>
    <t>PL/RHL/GEK</t>
  </si>
  <si>
    <t>FB/SML/RHS</t>
  </si>
  <si>
    <t>HT</t>
  </si>
  <si>
    <t>PALLETS</t>
  </si>
  <si>
    <t>TOTAL</t>
  </si>
  <si>
    <t>DATE:_________________________________</t>
  </si>
  <si>
    <t>TOTAL EMPTIES</t>
  </si>
  <si>
    <t>FULLS
 SKU</t>
  </si>
  <si>
    <t>CBB</t>
  </si>
  <si>
    <t>CNB</t>
  </si>
  <si>
    <t>CLC</t>
  </si>
  <si>
    <t>SMZB</t>
  </si>
  <si>
    <t>RH500C</t>
  </si>
  <si>
    <t>SMFB</t>
  </si>
  <si>
    <t>GE320</t>
  </si>
  <si>
    <t>M</t>
  </si>
  <si>
    <t>bot</t>
  </si>
  <si>
    <t>PP500C</t>
  </si>
  <si>
    <t>SL500C</t>
  </si>
  <si>
    <t>MGYZ</t>
  </si>
  <si>
    <t>WB</t>
  </si>
  <si>
    <t>WB BO LIL</t>
  </si>
  <si>
    <t>TOTAL INVENTORY PER CASE</t>
  </si>
  <si>
    <t>TOTAL INVENTORY BOTTLE PER CASE</t>
  </si>
  <si>
    <t>WAREHOUSE,  MISSING, BO, LILOY</t>
  </si>
  <si>
    <t>DATE: 02/13/2026</t>
  </si>
  <si>
    <t>DATE: 02/03/2026</t>
  </si>
  <si>
    <t>SML500C</t>
  </si>
  <si>
    <t>DATE: 02/04/2026</t>
  </si>
  <si>
    <t>DATE: 02/05/2026</t>
  </si>
  <si>
    <t>DATE: 02/06/2026</t>
  </si>
  <si>
    <t>DATE: 02/07/2026</t>
  </si>
  <si>
    <t>DATE: 02/09/2026</t>
  </si>
  <si>
    <t>DATE: 02/10/2026</t>
  </si>
  <si>
    <t>DATE: 02/11/2026</t>
  </si>
  <si>
    <t>DATE: 02/12/2026</t>
  </si>
  <si>
    <t>DATE: 02/14/2026</t>
  </si>
  <si>
    <t xml:space="preserve">DATE: </t>
  </si>
  <si>
    <t>DATE: 02/16/2026</t>
  </si>
  <si>
    <t>DATE: 02/17/2026</t>
  </si>
  <si>
    <t>DATE: 02/18/2026</t>
  </si>
  <si>
    <t>DATE: 02/19/2026</t>
  </si>
  <si>
    <t>DATE: 02/20/2026</t>
  </si>
  <si>
    <t>DATE: 02/21/2026</t>
  </si>
  <si>
    <t>DATE: 02/23/2026</t>
  </si>
  <si>
    <t>DATE: 02/25/2026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</si>
</sst>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(* #,##0.00_);_(* \(#,##0.00\);_(* &quot;-&quot;??_);_(@_)"/>
    <numFmt numFmtId="165" formatCode="[$-F800]dddd\,\ mmmm\ dd\,\ yyyy"/>
    <numFmt numFmtId="166" formatCode="_(* #,##0_);_(* \(#,##0\);_(* &quot;-&quot;??_);_(@_)"/>
  </numFmts>
  <fonts count="20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  <font>
      <i/>
      <sz val="10"/>
      <name val="Calibri"/>
      <family val="2"/>
      <scheme val="minor"/>
    </font>
    <font>
      <sz val="11"/>
      <color indexed="8"/>
      <name val="Calibri"/>
      <family val="2"/>
    </font>
    <font>
      <sz val="8"/>
      <color indexed="8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sz val="8"/>
      <color theme="0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9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7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rgb="FFFF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rgb="FFFF0000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rgb="FFFF0000"/>
      </bottom>
      <diagonal/>
    </border>
    <border>
      <left style="thin">
        <color auto="1"/>
      </left>
      <right style="thin">
        <color auto="1"/>
      </right>
      <top/>
      <bottom style="medium">
        <color rgb="FFFF0000"/>
      </bottom>
      <diagonal/>
    </border>
    <border>
      <left style="thin">
        <color auto="1"/>
      </left>
      <right style="medium">
        <color auto="1"/>
      </right>
      <top/>
      <bottom style="medium">
        <color rgb="FFFF0000"/>
      </bottom>
      <diagonal/>
    </border>
    <border>
      <left style="medium">
        <color auto="1"/>
      </left>
      <right style="thin">
        <color auto="1"/>
      </right>
      <top style="medium">
        <color rgb="FFFF0000"/>
      </top>
      <bottom style="medium">
        <color rgb="FFFF0000"/>
      </bottom>
      <diagonal/>
    </border>
    <border>
      <left style="thin">
        <color auto="1"/>
      </left>
      <right style="thin">
        <color auto="1"/>
      </right>
      <top style="medium">
        <color rgb="FFFF0000"/>
      </top>
      <bottom style="medium">
        <color rgb="FFFF0000"/>
      </bottom>
      <diagonal/>
    </border>
    <border>
      <left style="thin">
        <color auto="1"/>
      </left>
      <right style="medium">
        <color auto="1"/>
      </right>
      <top style="medium">
        <color rgb="FFFF0000"/>
      </top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 style="medium">
        <color auto="1"/>
      </left>
      <right style="thin">
        <color auto="1"/>
      </right>
      <top/>
      <bottom style="medium">
        <color rgb="FFFF0000"/>
      </bottom>
      <diagonal/>
    </border>
    <border>
      <left style="medium">
        <color indexed="64"/>
      </left>
      <right style="medium">
        <color indexed="64"/>
      </right>
      <top/>
      <bottom style="medium">
        <color rgb="FFFF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 style="medium">
        <color indexed="64"/>
      </left>
      <right style="medium">
        <color indexed="64"/>
      </right>
      <top style="medium">
        <color rgb="FFFF0000"/>
      </top>
      <bottom style="medium">
        <color rgb="FFFF0000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rgb="FFFF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medium">
        <color rgb="FFFF0000"/>
      </top>
      <bottom style="medium">
        <color rgb="FFFF0000"/>
      </bottom>
      <diagonal/>
    </border>
    <border>
      <left style="thin">
        <color auto="1"/>
      </left>
      <right/>
      <top/>
      <bottom style="medium">
        <color rgb="FFFF0000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medium">
        <color rgb="FFFF0000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medium">
        <color rgb="FFFF0000"/>
      </top>
      <bottom style="medium">
        <color rgb="FFFF0000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rgb="FFFF0000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rgb="FFFF0000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thin">
        <color auto="1"/>
      </right>
      <top/>
      <bottom/>
      <diagonal/>
    </border>
  </borders>
  <cellStyleXfs count="4">
    <xf numFmtId="0" fontId="0" fillId="0" borderId="0"/>
    <xf numFmtId="164" fontId="6" fillId="0" borderId="0" applyFont="0" applyFill="0" applyBorder="0" applyAlignment="0" applyProtection="0"/>
    <xf numFmtId="0" fontId="11" fillId="0" borderId="0"/>
    <xf numFmtId="164" fontId="11" fillId="0" borderId="0" applyFont="0" applyFill="0" applyBorder="0" applyAlignment="0" applyProtection="0"/>
  </cellStyleXfs>
  <cellXfs count="204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8" fillId="2" borderId="0" xfId="0" applyFont="1" applyFill="1" applyAlignment="1">
      <alignment vertical="center"/>
    </xf>
    <xf numFmtId="0" fontId="1" fillId="2" borderId="6" xfId="0" applyFont="1" applyFill="1" applyBorder="1" applyAlignment="1">
      <alignment horizontal="left" vertical="center"/>
    </xf>
    <xf numFmtId="0" fontId="9" fillId="2" borderId="11" xfId="0" applyFont="1" applyFill="1" applyBorder="1" applyAlignment="1">
      <alignment horizontal="left" vertical="center"/>
    </xf>
    <xf numFmtId="164" fontId="10" fillId="2" borderId="0" xfId="1" applyFont="1" applyFill="1" applyBorder="1" applyAlignment="1">
      <alignment horizontal="center" vertical="center"/>
    </xf>
    <xf numFmtId="0" fontId="1" fillId="0" borderId="14" xfId="2" applyFont="1" applyBorder="1" applyAlignment="1">
      <alignment horizontal="center" vertical="center"/>
    </xf>
    <xf numFmtId="0" fontId="1" fillId="0" borderId="3" xfId="2" applyFont="1" applyBorder="1" applyAlignment="1">
      <alignment horizontal="center" vertical="center"/>
    </xf>
    <xf numFmtId="0" fontId="1" fillId="0" borderId="15" xfId="2" applyFont="1" applyBorder="1" applyAlignment="1">
      <alignment horizontal="center" vertical="center"/>
    </xf>
    <xf numFmtId="164" fontId="8" fillId="2" borderId="0" xfId="1" applyFont="1" applyFill="1" applyBorder="1" applyAlignment="1">
      <alignment horizontal="center" vertical="center"/>
    </xf>
    <xf numFmtId="0" fontId="8" fillId="2" borderId="16" xfId="0" applyFont="1" applyFill="1" applyBorder="1" applyAlignment="1">
      <alignment vertical="center"/>
    </xf>
    <xf numFmtId="43" fontId="8" fillId="2" borderId="17" xfId="0" applyNumberFormat="1" applyFont="1" applyFill="1" applyBorder="1" applyAlignment="1" applyProtection="1">
      <alignment horizontal="center" vertical="center"/>
      <protection locked="0"/>
    </xf>
    <xf numFmtId="164" fontId="9" fillId="2" borderId="0" xfId="1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left" vertical="center"/>
    </xf>
    <xf numFmtId="0" fontId="1" fillId="0" borderId="18" xfId="0" applyFont="1" applyFill="1" applyBorder="1" applyAlignment="1">
      <alignment horizontal="center" vertical="center"/>
    </xf>
    <xf numFmtId="0" fontId="1" fillId="0" borderId="19" xfId="0" applyFont="1" applyFill="1" applyBorder="1" applyAlignment="1">
      <alignment horizontal="center" vertical="center"/>
    </xf>
    <xf numFmtId="0" fontId="1" fillId="0" borderId="20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left" vertical="center"/>
    </xf>
    <xf numFmtId="0" fontId="2" fillId="0" borderId="8" xfId="0" applyFont="1" applyFill="1" applyBorder="1" applyAlignment="1" applyProtection="1">
      <alignment horizontal="center" vertical="center"/>
      <protection locked="0"/>
    </xf>
    <xf numFmtId="0" fontId="2" fillId="0" borderId="9" xfId="0" applyFont="1" applyFill="1" applyBorder="1" applyAlignment="1" applyProtection="1">
      <alignment horizontal="center" vertical="center"/>
      <protection locked="0"/>
    </xf>
    <xf numFmtId="0" fontId="2" fillId="0" borderId="9" xfId="0" applyFont="1" applyFill="1" applyBorder="1" applyAlignment="1" applyProtection="1">
      <alignment horizontal="center" vertical="center" wrapText="1"/>
      <protection locked="0"/>
    </xf>
    <xf numFmtId="0" fontId="2" fillId="0" borderId="21" xfId="0" applyFont="1" applyFill="1" applyBorder="1" applyAlignment="1" applyProtection="1">
      <alignment horizontal="center" vertical="center"/>
      <protection locked="0"/>
    </xf>
    <xf numFmtId="0" fontId="1" fillId="0" borderId="7" xfId="0" applyFont="1" applyFill="1" applyBorder="1" applyAlignment="1">
      <alignment horizontal="left" vertical="center"/>
    </xf>
    <xf numFmtId="3" fontId="2" fillId="0" borderId="8" xfId="0" applyNumberFormat="1" applyFont="1" applyFill="1" applyBorder="1" applyAlignment="1">
      <alignment horizontal="center" vertical="center"/>
    </xf>
    <xf numFmtId="3" fontId="2" fillId="0" borderId="9" xfId="0" applyNumberFormat="1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vertical="center"/>
    </xf>
    <xf numFmtId="3" fontId="2" fillId="0" borderId="21" xfId="0" applyNumberFormat="1" applyFont="1" applyFill="1" applyBorder="1" applyAlignment="1" applyProtection="1">
      <alignment horizontal="center" vertical="center"/>
      <protection locked="0"/>
    </xf>
    <xf numFmtId="0" fontId="1" fillId="0" borderId="22" xfId="0" applyFont="1" applyFill="1" applyBorder="1" applyAlignment="1">
      <alignment horizontal="left" vertical="center"/>
    </xf>
    <xf numFmtId="3" fontId="2" fillId="0" borderId="23" xfId="0" applyNumberFormat="1" applyFont="1" applyFill="1" applyBorder="1" applyAlignment="1" applyProtection="1">
      <alignment horizontal="center" vertical="center"/>
      <protection locked="0"/>
    </xf>
    <xf numFmtId="3" fontId="2" fillId="0" borderId="24" xfId="0" applyNumberFormat="1" applyFont="1" applyFill="1" applyBorder="1" applyAlignment="1" applyProtection="1">
      <alignment horizontal="center" vertical="center"/>
      <protection locked="0"/>
    </xf>
    <xf numFmtId="3" fontId="2" fillId="0" borderId="25" xfId="0" applyNumberFormat="1" applyFont="1" applyFill="1" applyBorder="1" applyAlignment="1" applyProtection="1">
      <alignment horizontal="center" vertical="center"/>
      <protection locked="0"/>
    </xf>
    <xf numFmtId="0" fontId="1" fillId="0" borderId="1" xfId="0" applyFont="1" applyFill="1" applyBorder="1" applyAlignment="1">
      <alignment horizontal="left" vertical="center" wrapText="1"/>
    </xf>
    <xf numFmtId="3" fontId="1" fillId="0" borderId="3" xfId="0" applyNumberFormat="1" applyFont="1" applyFill="1" applyBorder="1" applyAlignment="1">
      <alignment horizontal="center" vertical="center"/>
    </xf>
    <xf numFmtId="3" fontId="1" fillId="0" borderId="15" xfId="0" applyNumberFormat="1" applyFont="1" applyFill="1" applyBorder="1" applyAlignment="1">
      <alignment horizontal="center" vertical="center"/>
    </xf>
    <xf numFmtId="3" fontId="1" fillId="0" borderId="2" xfId="0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left" vertical="center"/>
    </xf>
    <xf numFmtId="0" fontId="1" fillId="0" borderId="2" xfId="0" applyFont="1" applyFill="1" applyBorder="1" applyAlignment="1" applyProtection="1">
      <alignment horizontal="center" vertical="center"/>
      <protection locked="0"/>
    </xf>
    <xf numFmtId="0" fontId="1" fillId="0" borderId="3" xfId="0" applyFont="1" applyFill="1" applyBorder="1" applyAlignment="1" applyProtection="1">
      <alignment horizontal="center" vertical="center"/>
      <protection locked="0"/>
    </xf>
    <xf numFmtId="0" fontId="2" fillId="0" borderId="3" xfId="0" applyFont="1" applyFill="1" applyBorder="1" applyAlignment="1" applyProtection="1">
      <alignment horizontal="center" vertical="center"/>
      <protection locked="0"/>
    </xf>
    <xf numFmtId="0" fontId="2" fillId="0" borderId="15" xfId="0" applyFont="1" applyFill="1" applyBorder="1" applyAlignment="1" applyProtection="1">
      <alignment horizontal="center" vertical="center"/>
      <protection locked="0"/>
    </xf>
    <xf numFmtId="166" fontId="2" fillId="0" borderId="28" xfId="3" applyNumberFormat="1" applyFont="1" applyFill="1" applyBorder="1" applyAlignment="1">
      <alignment vertical="center"/>
    </xf>
    <xf numFmtId="166" fontId="2" fillId="0" borderId="27" xfId="3" applyNumberFormat="1" applyFont="1" applyFill="1" applyBorder="1" applyAlignment="1">
      <alignment vertical="center"/>
    </xf>
    <xf numFmtId="166" fontId="2" fillId="0" borderId="9" xfId="3" applyNumberFormat="1" applyFont="1" applyFill="1" applyBorder="1" applyAlignment="1">
      <alignment vertical="center"/>
    </xf>
    <xf numFmtId="166" fontId="13" fillId="0" borderId="30" xfId="2" applyNumberFormat="1" applyFont="1" applyFill="1" applyBorder="1" applyAlignment="1">
      <alignment vertical="center"/>
    </xf>
    <xf numFmtId="166" fontId="2" fillId="0" borderId="33" xfId="3" applyNumberFormat="1" applyFont="1" applyFill="1" applyBorder="1" applyAlignment="1">
      <alignment vertical="center"/>
    </xf>
    <xf numFmtId="166" fontId="13" fillId="0" borderId="34" xfId="2" applyNumberFormat="1" applyFont="1" applyFill="1" applyBorder="1" applyAlignment="1">
      <alignment vertical="center"/>
    </xf>
    <xf numFmtId="166" fontId="2" fillId="0" borderId="26" xfId="3" applyNumberFormat="1" applyFont="1" applyFill="1" applyBorder="1" applyAlignment="1">
      <alignment vertical="center"/>
    </xf>
    <xf numFmtId="166" fontId="13" fillId="0" borderId="29" xfId="2" applyNumberFormat="1" applyFont="1" applyFill="1" applyBorder="1" applyAlignment="1">
      <alignment vertical="center"/>
    </xf>
    <xf numFmtId="166" fontId="13" fillId="0" borderId="31" xfId="2" applyNumberFormat="1" applyFont="1" applyFill="1" applyBorder="1" applyAlignment="1">
      <alignment vertical="center"/>
    </xf>
    <xf numFmtId="166" fontId="2" fillId="0" borderId="35" xfId="3" applyNumberFormat="1" applyFont="1" applyFill="1" applyBorder="1" applyAlignment="1">
      <alignment vertical="center"/>
    </xf>
    <xf numFmtId="166" fontId="2" fillId="0" borderId="10" xfId="3" applyNumberFormat="1" applyFont="1" applyFill="1" applyBorder="1" applyAlignment="1">
      <alignment vertical="center"/>
    </xf>
    <xf numFmtId="0" fontId="2" fillId="0" borderId="0" xfId="2" applyFont="1" applyFill="1" applyAlignment="1">
      <alignment vertical="center"/>
    </xf>
    <xf numFmtId="0" fontId="13" fillId="0" borderId="0" xfId="2" applyFont="1" applyFill="1" applyAlignment="1">
      <alignment horizontal="center" vertical="center"/>
    </xf>
    <xf numFmtId="165" fontId="13" fillId="0" borderId="0" xfId="2" applyNumberFormat="1" applyFont="1" applyFill="1" applyAlignment="1">
      <alignment horizontal="center" vertical="center"/>
    </xf>
    <xf numFmtId="165" fontId="1" fillId="0" borderId="0" xfId="2" applyNumberFormat="1" applyFont="1" applyFill="1" applyAlignment="1">
      <alignment vertical="center"/>
    </xf>
    <xf numFmtId="0" fontId="1" fillId="0" borderId="0" xfId="2" applyFont="1" applyFill="1" applyAlignment="1">
      <alignment vertical="center"/>
    </xf>
    <xf numFmtId="166" fontId="14" fillId="0" borderId="0" xfId="2" applyNumberFormat="1" applyFont="1" applyFill="1" applyAlignment="1">
      <alignment vertical="center"/>
    </xf>
    <xf numFmtId="0" fontId="13" fillId="0" borderId="0" xfId="2" applyFont="1" applyFill="1" applyAlignment="1">
      <alignment vertical="center"/>
    </xf>
    <xf numFmtId="166" fontId="2" fillId="0" borderId="4" xfId="3" applyNumberFormat="1" applyFont="1" applyFill="1" applyBorder="1" applyAlignment="1">
      <alignment vertical="center"/>
    </xf>
    <xf numFmtId="166" fontId="2" fillId="0" borderId="3" xfId="3" applyNumberFormat="1" applyFont="1" applyFill="1" applyBorder="1" applyAlignment="1">
      <alignment vertical="center"/>
    </xf>
    <xf numFmtId="166" fontId="2" fillId="0" borderId="15" xfId="3" applyNumberFormat="1" applyFont="1" applyFill="1" applyBorder="1" applyAlignment="1">
      <alignment vertical="center"/>
    </xf>
    <xf numFmtId="166" fontId="2" fillId="0" borderId="19" xfId="3" applyNumberFormat="1" applyFont="1" applyFill="1" applyBorder="1" applyAlignment="1">
      <alignment vertical="center"/>
    </xf>
    <xf numFmtId="166" fontId="2" fillId="0" borderId="20" xfId="3" applyNumberFormat="1" applyFont="1" applyFill="1" applyBorder="1" applyAlignment="1">
      <alignment vertical="center"/>
    </xf>
    <xf numFmtId="166" fontId="2" fillId="0" borderId="21" xfId="3" applyNumberFormat="1" applyFont="1" applyFill="1" applyBorder="1" applyAlignment="1">
      <alignment vertical="center"/>
    </xf>
    <xf numFmtId="166" fontId="2" fillId="0" borderId="30" xfId="3" applyNumberFormat="1" applyFont="1" applyFill="1" applyBorder="1" applyAlignment="1">
      <alignment vertical="center"/>
    </xf>
    <xf numFmtId="166" fontId="2" fillId="0" borderId="31" xfId="3" applyNumberFormat="1" applyFont="1" applyFill="1" applyBorder="1" applyAlignment="1">
      <alignment vertical="center"/>
    </xf>
    <xf numFmtId="0" fontId="12" fillId="0" borderId="4" xfId="2" applyFont="1" applyFill="1" applyBorder="1" applyAlignment="1">
      <alignment horizontal="center" vertical="center"/>
    </xf>
    <xf numFmtId="0" fontId="17" fillId="0" borderId="26" xfId="2" applyFont="1" applyFill="1" applyBorder="1" applyAlignment="1">
      <alignment vertical="center"/>
    </xf>
    <xf numFmtId="0" fontId="17" fillId="0" borderId="8" xfId="2" applyFont="1" applyFill="1" applyBorder="1" applyAlignment="1">
      <alignment vertical="center"/>
    </xf>
    <xf numFmtId="0" fontId="17" fillId="0" borderId="0" xfId="2" applyFont="1" applyFill="1" applyAlignment="1">
      <alignment vertical="center"/>
    </xf>
    <xf numFmtId="0" fontId="18" fillId="0" borderId="0" xfId="2" applyFont="1" applyFill="1" applyAlignment="1">
      <alignment vertical="center"/>
    </xf>
    <xf numFmtId="0" fontId="17" fillId="0" borderId="29" xfId="2" applyFont="1" applyFill="1" applyBorder="1" applyAlignment="1">
      <alignment vertical="center" wrapText="1"/>
    </xf>
    <xf numFmtId="0" fontId="17" fillId="0" borderId="2" xfId="2" applyFont="1" applyFill="1" applyBorder="1" applyAlignment="1">
      <alignment vertical="center"/>
    </xf>
    <xf numFmtId="0" fontId="17" fillId="0" borderId="18" xfId="2" applyFont="1" applyFill="1" applyBorder="1" applyAlignment="1">
      <alignment vertical="center"/>
    </xf>
    <xf numFmtId="0" fontId="18" fillId="0" borderId="8" xfId="2" applyFont="1" applyFill="1" applyBorder="1" applyAlignment="1">
      <alignment vertical="center"/>
    </xf>
    <xf numFmtId="0" fontId="18" fillId="0" borderId="29" xfId="2" applyFont="1" applyFill="1" applyBorder="1" applyAlignment="1">
      <alignment vertical="center"/>
    </xf>
    <xf numFmtId="0" fontId="13" fillId="0" borderId="36" xfId="2" applyFont="1" applyFill="1" applyBorder="1" applyAlignment="1">
      <alignment horizontal="center" vertical="center"/>
    </xf>
    <xf numFmtId="0" fontId="13" fillId="0" borderId="9" xfId="2" applyFont="1" applyFill="1" applyBorder="1" applyAlignment="1">
      <alignment horizontal="center" vertical="center"/>
    </xf>
    <xf numFmtId="0" fontId="13" fillId="0" borderId="37" xfId="2" applyFont="1" applyFill="1" applyBorder="1" applyAlignment="1">
      <alignment horizontal="center" vertical="center"/>
    </xf>
    <xf numFmtId="0" fontId="13" fillId="0" borderId="38" xfId="2" applyFont="1" applyFill="1" applyBorder="1" applyAlignment="1">
      <alignment horizontal="center" vertical="center"/>
    </xf>
    <xf numFmtId="0" fontId="16" fillId="0" borderId="12" xfId="2" applyFont="1" applyFill="1" applyBorder="1" applyAlignment="1">
      <alignment horizontal="center" vertical="center"/>
    </xf>
    <xf numFmtId="0" fontId="13" fillId="0" borderId="8" xfId="2" applyFont="1" applyFill="1" applyBorder="1" applyAlignment="1">
      <alignment horizontal="center" vertical="center"/>
    </xf>
    <xf numFmtId="166" fontId="2" fillId="0" borderId="8" xfId="3" applyNumberFormat="1" applyFont="1" applyFill="1" applyBorder="1" applyAlignment="1">
      <alignment vertical="center"/>
    </xf>
    <xf numFmtId="0" fontId="13" fillId="0" borderId="21" xfId="2" applyFont="1" applyFill="1" applyBorder="1" applyAlignment="1">
      <alignment horizontal="center" vertical="center"/>
    </xf>
    <xf numFmtId="0" fontId="16" fillId="0" borderId="39" xfId="2" applyFont="1" applyFill="1" applyBorder="1" applyAlignment="1">
      <alignment horizontal="center" vertical="center"/>
    </xf>
    <xf numFmtId="166" fontId="2" fillId="0" borderId="39" xfId="3" applyNumberFormat="1" applyFont="1" applyFill="1" applyBorder="1" applyAlignment="1">
      <alignment vertical="center"/>
    </xf>
    <xf numFmtId="0" fontId="13" fillId="0" borderId="9" xfId="2" applyFont="1" applyFill="1" applyBorder="1" applyAlignment="1">
      <alignment horizontal="center" vertical="center"/>
    </xf>
    <xf numFmtId="0" fontId="13" fillId="0" borderId="18" xfId="2" applyFont="1" applyFill="1" applyBorder="1" applyAlignment="1">
      <alignment horizontal="center" vertical="center"/>
    </xf>
    <xf numFmtId="0" fontId="17" fillId="0" borderId="40" xfId="2" applyFont="1" applyFill="1" applyBorder="1" applyAlignment="1">
      <alignment vertical="center"/>
    </xf>
    <xf numFmtId="166" fontId="2" fillId="0" borderId="41" xfId="3" applyNumberFormat="1" applyFont="1" applyFill="1" applyBorder="1" applyAlignment="1">
      <alignment vertical="center"/>
    </xf>
    <xf numFmtId="166" fontId="2" fillId="0" borderId="42" xfId="3" applyNumberFormat="1" applyFont="1" applyFill="1" applyBorder="1" applyAlignment="1">
      <alignment vertical="center"/>
    </xf>
    <xf numFmtId="166" fontId="2" fillId="0" borderId="43" xfId="3" applyNumberFormat="1" applyFont="1" applyFill="1" applyBorder="1" applyAlignment="1">
      <alignment vertical="center"/>
    </xf>
    <xf numFmtId="166" fontId="2" fillId="0" borderId="44" xfId="3" applyNumberFormat="1" applyFont="1" applyFill="1" applyBorder="1" applyAlignment="1">
      <alignment vertical="center"/>
    </xf>
    <xf numFmtId="0" fontId="17" fillId="0" borderId="45" xfId="2" applyFont="1" applyFill="1" applyBorder="1" applyAlignment="1">
      <alignment vertical="center"/>
    </xf>
    <xf numFmtId="166" fontId="2" fillId="0" borderId="46" xfId="3" applyNumberFormat="1" applyFont="1" applyFill="1" applyBorder="1" applyAlignment="1">
      <alignment vertical="center"/>
    </xf>
    <xf numFmtId="166" fontId="2" fillId="0" borderId="47" xfId="3" applyNumberFormat="1" applyFont="1" applyFill="1" applyBorder="1" applyAlignment="1">
      <alignment vertical="center"/>
    </xf>
    <xf numFmtId="0" fontId="2" fillId="0" borderId="48" xfId="2" applyFont="1" applyFill="1" applyBorder="1" applyAlignment="1">
      <alignment vertical="center"/>
    </xf>
    <xf numFmtId="166" fontId="2" fillId="0" borderId="49" xfId="3" applyNumberFormat="1" applyFont="1" applyFill="1" applyBorder="1" applyAlignment="1">
      <alignment vertical="center"/>
    </xf>
    <xf numFmtId="166" fontId="2" fillId="0" borderId="50" xfId="3" applyNumberFormat="1" applyFont="1" applyFill="1" applyBorder="1" applyAlignment="1">
      <alignment vertical="center"/>
    </xf>
    <xf numFmtId="0" fontId="2" fillId="0" borderId="51" xfId="2" applyFont="1" applyFill="1" applyBorder="1" applyAlignment="1">
      <alignment vertical="center"/>
    </xf>
    <xf numFmtId="166" fontId="2" fillId="0" borderId="45" xfId="3" applyNumberFormat="1" applyFont="1" applyFill="1" applyBorder="1" applyAlignment="1">
      <alignment vertical="center"/>
    </xf>
    <xf numFmtId="166" fontId="2" fillId="0" borderId="52" xfId="3" applyNumberFormat="1" applyFont="1" applyFill="1" applyBorder="1" applyAlignment="1">
      <alignment vertical="center"/>
    </xf>
    <xf numFmtId="0" fontId="13" fillId="0" borderId="55" xfId="2" applyFont="1" applyFill="1" applyBorder="1" applyAlignment="1">
      <alignment horizontal="center" vertical="center"/>
    </xf>
    <xf numFmtId="166" fontId="2" fillId="0" borderId="55" xfId="3" applyNumberFormat="1" applyFont="1" applyFill="1" applyBorder="1" applyAlignment="1">
      <alignment vertical="center"/>
    </xf>
    <xf numFmtId="166" fontId="2" fillId="0" borderId="56" xfId="3" applyNumberFormat="1" applyFont="1" applyFill="1" applyBorder="1" applyAlignment="1">
      <alignment vertical="center"/>
    </xf>
    <xf numFmtId="166" fontId="2" fillId="0" borderId="57" xfId="3" applyNumberFormat="1" applyFont="1" applyFill="1" applyBorder="1" applyAlignment="1">
      <alignment vertical="center"/>
    </xf>
    <xf numFmtId="166" fontId="2" fillId="0" borderId="58" xfId="3" applyNumberFormat="1" applyFont="1" applyFill="1" applyBorder="1" applyAlignment="1">
      <alignment vertical="center"/>
    </xf>
    <xf numFmtId="166" fontId="2" fillId="0" borderId="59" xfId="3" applyNumberFormat="1" applyFont="1" applyFill="1" applyBorder="1" applyAlignment="1">
      <alignment vertical="center"/>
    </xf>
    <xf numFmtId="166" fontId="2" fillId="0" borderId="54" xfId="3" applyNumberFormat="1" applyFont="1" applyFill="1" applyBorder="1" applyAlignment="1">
      <alignment vertical="center"/>
    </xf>
    <xf numFmtId="166" fontId="2" fillId="0" borderId="53" xfId="3" applyNumberFormat="1" applyFont="1" applyFill="1" applyBorder="1" applyAlignment="1">
      <alignment vertical="center"/>
    </xf>
    <xf numFmtId="166" fontId="2" fillId="0" borderId="32" xfId="3" applyNumberFormat="1" applyFont="1" applyFill="1" applyBorder="1" applyAlignment="1">
      <alignment vertical="center"/>
    </xf>
    <xf numFmtId="0" fontId="13" fillId="0" borderId="60" xfId="2" applyFont="1" applyFill="1" applyBorder="1" applyAlignment="1">
      <alignment horizontal="center" vertical="center"/>
    </xf>
    <xf numFmtId="0" fontId="13" fillId="0" borderId="61" xfId="2" applyFont="1" applyFill="1" applyBorder="1" applyAlignment="1">
      <alignment horizontal="center" vertical="center"/>
    </xf>
    <xf numFmtId="166" fontId="2" fillId="0" borderId="61" xfId="3" applyNumberFormat="1" applyFont="1" applyFill="1" applyBorder="1" applyAlignment="1">
      <alignment vertical="center"/>
    </xf>
    <xf numFmtId="166" fontId="2" fillId="0" borderId="62" xfId="3" applyNumberFormat="1" applyFont="1" applyFill="1" applyBorder="1" applyAlignment="1">
      <alignment vertical="center"/>
    </xf>
    <xf numFmtId="166" fontId="2" fillId="0" borderId="63" xfId="3" applyNumberFormat="1" applyFont="1" applyFill="1" applyBorder="1" applyAlignment="1">
      <alignment vertical="center"/>
    </xf>
    <xf numFmtId="166" fontId="2" fillId="0" borderId="64" xfId="3" applyNumberFormat="1" applyFont="1" applyFill="1" applyBorder="1" applyAlignment="1">
      <alignment vertical="center"/>
    </xf>
    <xf numFmtId="166" fontId="2" fillId="0" borderId="0" xfId="2" applyNumberFormat="1" applyFont="1" applyFill="1" applyAlignment="1">
      <alignment vertical="center"/>
    </xf>
    <xf numFmtId="166" fontId="2" fillId="0" borderId="67" xfId="3" applyNumberFormat="1" applyFont="1" applyFill="1" applyBorder="1" applyAlignment="1">
      <alignment vertical="center"/>
    </xf>
    <xf numFmtId="166" fontId="2" fillId="0" borderId="66" xfId="3" applyNumberFormat="1" applyFont="1" applyFill="1" applyBorder="1" applyAlignment="1">
      <alignment vertical="center"/>
    </xf>
    <xf numFmtId="166" fontId="2" fillId="0" borderId="68" xfId="3" applyNumberFormat="1" applyFont="1" applyFill="1" applyBorder="1" applyAlignment="1">
      <alignment vertical="center"/>
    </xf>
    <xf numFmtId="0" fontId="13" fillId="0" borderId="55" xfId="2" applyFont="1" applyFill="1" applyBorder="1" applyAlignment="1">
      <alignment horizontal="center" vertical="center"/>
    </xf>
    <xf numFmtId="0" fontId="13" fillId="0" borderId="55" xfId="2" applyFont="1" applyFill="1" applyBorder="1" applyAlignment="1">
      <alignment horizontal="center" vertical="center"/>
    </xf>
    <xf numFmtId="0" fontId="13" fillId="0" borderId="55" xfId="2" applyFont="1" applyFill="1" applyBorder="1" applyAlignment="1">
      <alignment horizontal="center" vertical="center"/>
    </xf>
    <xf numFmtId="0" fontId="13" fillId="0" borderId="55" xfId="2" applyFont="1" applyFill="1" applyBorder="1" applyAlignment="1">
      <alignment horizontal="center" vertical="center"/>
    </xf>
    <xf numFmtId="0" fontId="13" fillId="0" borderId="55" xfId="2" applyFont="1" applyFill="1" applyBorder="1" applyAlignment="1">
      <alignment horizontal="center" vertical="center"/>
    </xf>
    <xf numFmtId="0" fontId="17" fillId="0" borderId="69" xfId="2" applyFont="1" applyFill="1" applyBorder="1" applyAlignment="1">
      <alignment vertical="center"/>
    </xf>
    <xf numFmtId="166" fontId="2" fillId="0" borderId="70" xfId="3" applyNumberFormat="1" applyFont="1" applyFill="1" applyBorder="1" applyAlignment="1">
      <alignment vertical="center"/>
    </xf>
    <xf numFmtId="166" fontId="2" fillId="0" borderId="71" xfId="3" applyNumberFormat="1" applyFont="1" applyFill="1" applyBorder="1" applyAlignment="1">
      <alignment vertical="center"/>
    </xf>
    <xf numFmtId="166" fontId="2" fillId="0" borderId="72" xfId="3" applyNumberFormat="1" applyFont="1" applyFill="1" applyBorder="1" applyAlignment="1">
      <alignment vertical="center"/>
    </xf>
    <xf numFmtId="166" fontId="2" fillId="0" borderId="69" xfId="3" applyNumberFormat="1" applyFont="1" applyFill="1" applyBorder="1" applyAlignment="1">
      <alignment vertical="center"/>
    </xf>
    <xf numFmtId="166" fontId="2" fillId="0" borderId="73" xfId="3" applyNumberFormat="1" applyFont="1" applyFill="1" applyBorder="1" applyAlignment="1">
      <alignment vertical="center"/>
    </xf>
    <xf numFmtId="166" fontId="2" fillId="0" borderId="11" xfId="3" applyNumberFormat="1" applyFont="1" applyFill="1" applyBorder="1" applyAlignment="1">
      <alignment vertical="center"/>
    </xf>
    <xf numFmtId="0" fontId="13" fillId="0" borderId="55" xfId="2" applyFont="1" applyFill="1" applyBorder="1" applyAlignment="1">
      <alignment horizontal="center" vertical="center"/>
    </xf>
    <xf numFmtId="0" fontId="13" fillId="0" borderId="55" xfId="2" applyFont="1" applyFill="1" applyBorder="1" applyAlignment="1">
      <alignment horizontal="center" vertical="center"/>
    </xf>
    <xf numFmtId="0" fontId="13" fillId="0" borderId="55" xfId="2" applyFont="1" applyFill="1" applyBorder="1" applyAlignment="1">
      <alignment horizontal="center" vertical="center"/>
    </xf>
    <xf numFmtId="0" fontId="13" fillId="0" borderId="55" xfId="2" applyFont="1" applyFill="1" applyBorder="1" applyAlignment="1">
      <alignment horizontal="center" vertical="center"/>
    </xf>
    <xf numFmtId="0" fontId="13" fillId="0" borderId="55" xfId="2" applyFont="1" applyFill="1" applyBorder="1" applyAlignment="1">
      <alignment horizontal="center" vertical="center"/>
    </xf>
    <xf numFmtId="166" fontId="19" fillId="0" borderId="9" xfId="3" applyNumberFormat="1" applyFont="1" applyFill="1" applyBorder="1" applyAlignment="1">
      <alignment vertical="center"/>
    </xf>
    <xf numFmtId="166" fontId="19" fillId="0" borderId="55" xfId="3" applyNumberFormat="1" applyFont="1" applyFill="1" applyBorder="1" applyAlignment="1">
      <alignment vertical="center"/>
    </xf>
    <xf numFmtId="166" fontId="19" fillId="0" borderId="21" xfId="3" applyNumberFormat="1" applyFont="1" applyFill="1" applyBorder="1" applyAlignment="1">
      <alignment vertical="center"/>
    </xf>
    <xf numFmtId="0" fontId="19" fillId="0" borderId="0" xfId="2" applyFont="1" applyFill="1" applyAlignment="1">
      <alignment vertical="center"/>
    </xf>
    <xf numFmtId="166" fontId="19" fillId="0" borderId="8" xfId="3" applyNumberFormat="1" applyFont="1" applyFill="1" applyBorder="1" applyAlignment="1">
      <alignment vertical="center"/>
    </xf>
    <xf numFmtId="166" fontId="19" fillId="0" borderId="61" xfId="3" applyNumberFormat="1" applyFont="1" applyFill="1" applyBorder="1" applyAlignment="1">
      <alignment vertical="center"/>
    </xf>
    <xf numFmtId="166" fontId="19" fillId="0" borderId="39" xfId="3" applyNumberFormat="1" applyFont="1" applyFill="1" applyBorder="1" applyAlignment="1">
      <alignment vertical="center"/>
    </xf>
    <xf numFmtId="166" fontId="19" fillId="0" borderId="41" xfId="3" applyNumberFormat="1" applyFont="1" applyFill="1" applyBorder="1" applyAlignment="1">
      <alignment vertical="center"/>
    </xf>
    <xf numFmtId="166" fontId="19" fillId="0" borderId="56" xfId="3" applyNumberFormat="1" applyFont="1" applyFill="1" applyBorder="1" applyAlignment="1">
      <alignment vertical="center"/>
    </xf>
    <xf numFmtId="166" fontId="19" fillId="0" borderId="42" xfId="3" applyNumberFormat="1" applyFont="1" applyFill="1" applyBorder="1" applyAlignment="1">
      <alignment vertical="center"/>
    </xf>
    <xf numFmtId="0" fontId="19" fillId="0" borderId="48" xfId="2" applyFont="1" applyFill="1" applyBorder="1" applyAlignment="1">
      <alignment vertical="center"/>
    </xf>
    <xf numFmtId="166" fontId="19" fillId="0" borderId="49" xfId="3" applyNumberFormat="1" applyFont="1" applyFill="1" applyBorder="1" applyAlignment="1">
      <alignment vertical="center"/>
    </xf>
    <xf numFmtId="166" fontId="19" fillId="0" borderId="62" xfId="3" applyNumberFormat="1" applyFont="1" applyFill="1" applyBorder="1" applyAlignment="1">
      <alignment vertical="center"/>
    </xf>
    <xf numFmtId="166" fontId="19" fillId="0" borderId="43" xfId="3" applyNumberFormat="1" applyFont="1" applyFill="1" applyBorder="1" applyAlignment="1">
      <alignment vertical="center"/>
    </xf>
    <xf numFmtId="166" fontId="19" fillId="0" borderId="59" xfId="3" applyNumberFormat="1" applyFont="1" applyFill="1" applyBorder="1" applyAlignment="1">
      <alignment vertical="center"/>
    </xf>
    <xf numFmtId="166" fontId="19" fillId="0" borderId="44" xfId="3" applyNumberFormat="1" applyFont="1" applyFill="1" applyBorder="1" applyAlignment="1">
      <alignment vertical="center"/>
    </xf>
    <xf numFmtId="166" fontId="19" fillId="0" borderId="68" xfId="3" applyNumberFormat="1" applyFont="1" applyFill="1" applyBorder="1" applyAlignment="1">
      <alignment vertical="center"/>
    </xf>
    <xf numFmtId="166" fontId="19" fillId="0" borderId="67" xfId="3" applyNumberFormat="1" applyFont="1" applyFill="1" applyBorder="1" applyAlignment="1">
      <alignment vertical="center"/>
    </xf>
    <xf numFmtId="166" fontId="19" fillId="0" borderId="27" xfId="3" applyNumberFormat="1" applyFont="1" applyFill="1" applyBorder="1" applyAlignment="1">
      <alignment vertical="center"/>
    </xf>
    <xf numFmtId="166" fontId="19" fillId="0" borderId="57" xfId="3" applyNumberFormat="1" applyFont="1" applyFill="1" applyBorder="1" applyAlignment="1">
      <alignment vertical="center"/>
    </xf>
    <xf numFmtId="166" fontId="19" fillId="0" borderId="28" xfId="3" applyNumberFormat="1" applyFont="1" applyFill="1" applyBorder="1" applyAlignment="1">
      <alignment vertical="center"/>
    </xf>
    <xf numFmtId="166" fontId="19" fillId="0" borderId="26" xfId="3" applyNumberFormat="1" applyFont="1" applyFill="1" applyBorder="1" applyAlignment="1">
      <alignment vertical="center"/>
    </xf>
    <xf numFmtId="166" fontId="19" fillId="0" borderId="63" xfId="3" applyNumberFormat="1" applyFont="1" applyFill="1" applyBorder="1" applyAlignment="1">
      <alignment vertical="center"/>
    </xf>
    <xf numFmtId="166" fontId="19" fillId="0" borderId="33" xfId="3" applyNumberFormat="1" applyFont="1" applyFill="1" applyBorder="1" applyAlignment="1">
      <alignment vertical="center"/>
    </xf>
    <xf numFmtId="166" fontId="19" fillId="0" borderId="66" xfId="3" applyNumberFormat="1" applyFont="1" applyFill="1" applyBorder="1" applyAlignment="1">
      <alignment vertical="center"/>
    </xf>
    <xf numFmtId="166" fontId="19" fillId="0" borderId="50" xfId="3" applyNumberFormat="1" applyFont="1" applyFill="1" applyBorder="1" applyAlignment="1">
      <alignment vertical="center"/>
    </xf>
    <xf numFmtId="166" fontId="19" fillId="0" borderId="70" xfId="3" applyNumberFormat="1" applyFont="1" applyFill="1" applyBorder="1" applyAlignment="1">
      <alignment vertical="center"/>
    </xf>
    <xf numFmtId="166" fontId="19" fillId="0" borderId="71" xfId="3" applyNumberFormat="1" applyFont="1" applyFill="1" applyBorder="1" applyAlignment="1">
      <alignment vertical="center"/>
    </xf>
    <xf numFmtId="166" fontId="19" fillId="0" borderId="72" xfId="3" applyNumberFormat="1" applyFont="1" applyFill="1" applyBorder="1" applyAlignment="1">
      <alignment vertical="center"/>
    </xf>
    <xf numFmtId="166" fontId="19" fillId="0" borderId="69" xfId="3" applyNumberFormat="1" applyFont="1" applyFill="1" applyBorder="1" applyAlignment="1">
      <alignment vertical="center"/>
    </xf>
    <xf numFmtId="166" fontId="19" fillId="0" borderId="73" xfId="3" applyNumberFormat="1" applyFont="1" applyFill="1" applyBorder="1" applyAlignment="1">
      <alignment vertical="center"/>
    </xf>
    <xf numFmtId="166" fontId="19" fillId="0" borderId="11" xfId="3" applyNumberFormat="1" applyFont="1" applyFill="1" applyBorder="1" applyAlignment="1">
      <alignment vertical="center"/>
    </xf>
    <xf numFmtId="166" fontId="19" fillId="0" borderId="46" xfId="3" applyNumberFormat="1" applyFont="1" applyFill="1" applyBorder="1" applyAlignment="1">
      <alignment vertical="center"/>
    </xf>
    <xf numFmtId="166" fontId="19" fillId="0" borderId="58" xfId="3" applyNumberFormat="1" applyFont="1" applyFill="1" applyBorder="1" applyAlignment="1">
      <alignment vertical="center"/>
    </xf>
    <xf numFmtId="166" fontId="19" fillId="0" borderId="47" xfId="3" applyNumberFormat="1" applyFont="1" applyFill="1" applyBorder="1" applyAlignment="1">
      <alignment vertical="center"/>
    </xf>
    <xf numFmtId="0" fontId="19" fillId="0" borderId="51" xfId="2" applyFont="1" applyFill="1" applyBorder="1" applyAlignment="1">
      <alignment vertical="center"/>
    </xf>
    <xf numFmtId="166" fontId="19" fillId="0" borderId="45" xfId="3" applyNumberFormat="1" applyFont="1" applyFill="1" applyBorder="1" applyAlignment="1">
      <alignment vertical="center"/>
    </xf>
    <xf numFmtId="166" fontId="19" fillId="0" borderId="64" xfId="3" applyNumberFormat="1" applyFont="1" applyFill="1" applyBorder="1" applyAlignment="1">
      <alignment vertical="center"/>
    </xf>
    <xf numFmtId="166" fontId="19" fillId="0" borderId="52" xfId="3" applyNumberFormat="1" applyFont="1" applyFill="1" applyBorder="1" applyAlignment="1">
      <alignment vertical="center"/>
    </xf>
    <xf numFmtId="0" fontId="13" fillId="0" borderId="55" xfId="2" applyFont="1" applyFill="1" applyBorder="1" applyAlignment="1">
      <alignment horizontal="center" vertical="center"/>
    </xf>
    <xf numFmtId="0" fontId="1" fillId="0" borderId="1" xfId="2" applyFont="1" applyBorder="1" applyAlignment="1">
      <alignment horizontal="center" vertical="center"/>
    </xf>
    <xf numFmtId="0" fontId="1" fillId="0" borderId="13" xfId="2" applyFont="1" applyBorder="1" applyAlignment="1">
      <alignment horizontal="center" vertical="center"/>
    </xf>
    <xf numFmtId="0" fontId="1" fillId="0" borderId="5" xfId="2" applyFont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3" fillId="0" borderId="19" xfId="2" applyFont="1" applyFill="1" applyBorder="1" applyAlignment="1">
      <alignment horizontal="center" vertical="center"/>
    </xf>
    <xf numFmtId="0" fontId="13" fillId="0" borderId="20" xfId="2" applyFont="1" applyFill="1" applyBorder="1" applyAlignment="1">
      <alignment horizontal="center" vertical="center"/>
    </xf>
    <xf numFmtId="0" fontId="13" fillId="0" borderId="32" xfId="2" applyFont="1" applyFill="1" applyBorder="1" applyAlignment="1">
      <alignment horizontal="center" vertical="center"/>
    </xf>
    <xf numFmtId="0" fontId="13" fillId="0" borderId="13" xfId="2" applyFont="1" applyFill="1" applyBorder="1" applyAlignment="1">
      <alignment horizontal="center" vertical="center"/>
    </xf>
    <xf numFmtId="0" fontId="13" fillId="0" borderId="5" xfId="2" applyFont="1" applyFill="1" applyBorder="1" applyAlignment="1">
      <alignment horizontal="center" vertical="center"/>
    </xf>
    <xf numFmtId="0" fontId="15" fillId="0" borderId="0" xfId="2" applyFont="1" applyFill="1" applyAlignment="1">
      <alignment horizontal="right" vertical="center"/>
    </xf>
    <xf numFmtId="0" fontId="13" fillId="0" borderId="12" xfId="2" applyFont="1" applyFill="1" applyBorder="1" applyAlignment="1">
      <alignment horizontal="center" vertical="center" wrapText="1"/>
    </xf>
    <xf numFmtId="0" fontId="13" fillId="0" borderId="33" xfId="2" applyFont="1" applyFill="1" applyBorder="1" applyAlignment="1">
      <alignment horizontal="center" vertical="center" wrapText="1"/>
    </xf>
    <xf numFmtId="0" fontId="13" fillId="0" borderId="55" xfId="2" applyFont="1" applyFill="1" applyBorder="1" applyAlignment="1">
      <alignment horizontal="center" vertical="center"/>
    </xf>
    <xf numFmtId="0" fontId="13" fillId="0" borderId="65" xfId="2" applyFont="1" applyFill="1" applyBorder="1" applyAlignment="1">
      <alignment horizontal="center" vertical="center"/>
    </xf>
    <xf numFmtId="0" fontId="13" fillId="0" borderId="54" xfId="2" applyFont="1" applyFill="1" applyBorder="1" applyAlignment="1">
      <alignment horizontal="center" vertical="center"/>
    </xf>
    <xf numFmtId="0" fontId="9" fillId="0" borderId="12" xfId="2" applyFont="1" applyFill="1" applyBorder="1" applyAlignment="1">
      <alignment horizontal="center" vertical="center" wrapText="1"/>
    </xf>
    <xf numFmtId="0" fontId="9" fillId="0" borderId="33" xfId="2" applyFont="1" applyFill="1" applyBorder="1" applyAlignment="1">
      <alignment horizontal="center" vertical="center" wrapText="1"/>
    </xf>
    <xf numFmtId="0" fontId="16" fillId="0" borderId="12" xfId="2" applyFont="1" applyFill="1" applyBorder="1" applyAlignment="1">
      <alignment horizontal="center" vertical="center" wrapText="1"/>
    </xf>
    <xf numFmtId="0" fontId="16" fillId="0" borderId="33" xfId="2" applyFont="1" applyFill="1" applyBorder="1" applyAlignment="1">
      <alignment horizontal="center" vertical="center" wrapText="1"/>
    </xf>
  </cellXfs>
  <cellStyles count="4">
    <cellStyle name="Comma 2" xfId="1" xr:uid="{7E3C6B93-9232-4BE3-88EC-0E92E18B612E}"/>
    <cellStyle name="Comma 3" xfId="3" xr:uid="{B13EF1CC-7615-4728-8423-930D2E0A2DD0}"/>
    <cellStyle name="Normal" xfId="0" builtinId="0"/>
    <cellStyle name="Normal 2" xfId="2" xr:uid="{673CC06A-9352-4BA0-8197-2C6B88CEA13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AB814-41CC-46B7-89C8-4F1D90B89F75}">
  <dimension ref="A1:AR25"/>
  <sheetViews>
    <sheetView zoomScale="120" zoomScaleNormal="120" workbookViewId="0">
      <pane xSplit="1" ySplit="3" topLeftCell="B4" activePane="bottomRight" state="frozen"/>
      <selection activeCell="C12" sqref="C12"/>
      <selection pane="topRight" activeCell="C12" sqref="C12"/>
      <selection pane="bottomLeft" activeCell="C12" sqref="C12"/>
      <selection pane="bottomRight" activeCell="B3" sqref="B3"/>
    </sheetView>
  </sheetViews>
  <sheetFormatPr defaultColWidth="8.7109375" defaultRowHeight="12.75" x14ac:dyDescent="0.25"/>
  <cols>
    <col min="1" max="1" width="13.7109375" style="3" bestFit="1" customWidth="1"/>
    <col min="2" max="39" width="6.42578125" style="3" customWidth="1"/>
    <col min="40" max="40" width="14.7109375" style="3" bestFit="1" customWidth="1"/>
    <col min="41" max="41" width="22.140625" style="3" bestFit="1" customWidth="1"/>
    <col min="42" max="46" width="5.7109375" style="3" customWidth="1"/>
    <col min="47" max="16384" width="8.7109375" style="3"/>
  </cols>
  <sheetData>
    <row r="1" spans="1:44" ht="18" customHeight="1" x14ac:dyDescent="0.25">
      <c r="A1" s="1" t="s">
        <v>51</v>
      </c>
      <c r="B1" s="2"/>
      <c r="C1" s="2"/>
      <c r="D1" s="2"/>
      <c r="E1" s="2"/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P1" s="2"/>
      <c r="AR1" s="4"/>
    </row>
    <row r="2" spans="1:44" ht="18" customHeight="1" thickBot="1" x14ac:dyDescent="0.3">
      <c r="A2" s="5"/>
      <c r="B2" s="5"/>
      <c r="C2" s="5"/>
      <c r="D2" s="5"/>
      <c r="E2" s="5"/>
      <c r="F2" s="5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P2" s="2"/>
    </row>
    <row r="3" spans="1:44" ht="18" customHeight="1" thickBot="1" x14ac:dyDescent="0.3">
      <c r="A3" s="41" t="s">
        <v>52</v>
      </c>
      <c r="B3" s="19" t="s">
        <v>1</v>
      </c>
      <c r="C3" s="20" t="s">
        <v>2</v>
      </c>
      <c r="D3" s="20" t="s">
        <v>3</v>
      </c>
      <c r="E3" s="20" t="s">
        <v>4</v>
      </c>
      <c r="F3" s="20" t="s">
        <v>5</v>
      </c>
      <c r="G3" s="20" t="s">
        <v>6</v>
      </c>
      <c r="H3" s="20" t="s">
        <v>7</v>
      </c>
      <c r="I3" s="20" t="s">
        <v>8</v>
      </c>
      <c r="J3" s="20" t="s">
        <v>9</v>
      </c>
      <c r="K3" s="20" t="s">
        <v>10</v>
      </c>
      <c r="L3" s="20" t="s">
        <v>11</v>
      </c>
      <c r="M3" s="20" t="s">
        <v>12</v>
      </c>
      <c r="N3" s="20" t="s">
        <v>13</v>
      </c>
      <c r="O3" s="20" t="s">
        <v>14</v>
      </c>
      <c r="P3" s="20" t="s">
        <v>15</v>
      </c>
      <c r="Q3" s="20" t="s">
        <v>16</v>
      </c>
      <c r="R3" s="20" t="s">
        <v>17</v>
      </c>
      <c r="S3" s="20" t="s">
        <v>18</v>
      </c>
      <c r="T3" s="20" t="s">
        <v>19</v>
      </c>
      <c r="U3" s="20" t="s">
        <v>20</v>
      </c>
      <c r="V3" s="20" t="s">
        <v>21</v>
      </c>
      <c r="W3" s="20" t="s">
        <v>22</v>
      </c>
      <c r="X3" s="20" t="s">
        <v>23</v>
      </c>
      <c r="Y3" s="20" t="s">
        <v>24</v>
      </c>
      <c r="Z3" s="20" t="s">
        <v>25</v>
      </c>
      <c r="AA3" s="20" t="s">
        <v>26</v>
      </c>
      <c r="AB3" s="20" t="s">
        <v>27</v>
      </c>
      <c r="AC3" s="20" t="s">
        <v>28</v>
      </c>
      <c r="AD3" s="20" t="s">
        <v>29</v>
      </c>
      <c r="AE3" s="20" t="s">
        <v>30</v>
      </c>
      <c r="AF3" s="20" t="s">
        <v>31</v>
      </c>
      <c r="AG3" s="20" t="s">
        <v>32</v>
      </c>
      <c r="AH3" s="20" t="s">
        <v>33</v>
      </c>
      <c r="AI3" s="20" t="s">
        <v>34</v>
      </c>
      <c r="AJ3" s="20" t="s">
        <v>35</v>
      </c>
      <c r="AK3" s="20" t="s">
        <v>36</v>
      </c>
      <c r="AL3" s="20" t="s">
        <v>37</v>
      </c>
      <c r="AM3" s="21" t="s">
        <v>38</v>
      </c>
      <c r="AP3" s="2"/>
    </row>
    <row r="4" spans="1:44" ht="18" customHeight="1" x14ac:dyDescent="0.25">
      <c r="A4" s="22" t="s">
        <v>49</v>
      </c>
      <c r="B4" s="23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5"/>
      <c r="AH4" s="24"/>
      <c r="AI4" s="24"/>
      <c r="AJ4" s="24"/>
      <c r="AK4" s="24"/>
      <c r="AL4" s="24"/>
      <c r="AM4" s="26"/>
      <c r="AP4" s="2"/>
    </row>
    <row r="5" spans="1:44" ht="18" customHeight="1" x14ac:dyDescent="0.25">
      <c r="A5" s="22"/>
      <c r="B5" s="23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5"/>
      <c r="AH5" s="24"/>
      <c r="AI5" s="24"/>
      <c r="AJ5" s="24"/>
      <c r="AK5" s="24"/>
      <c r="AL5" s="24"/>
      <c r="AM5" s="26"/>
      <c r="AP5" s="2"/>
    </row>
    <row r="6" spans="1:44" ht="18" customHeight="1" x14ac:dyDescent="0.25">
      <c r="A6" s="22"/>
      <c r="B6" s="23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5"/>
      <c r="AH6" s="24"/>
      <c r="AI6" s="24"/>
      <c r="AJ6" s="24"/>
      <c r="AK6" s="24"/>
      <c r="AL6" s="24"/>
      <c r="AM6" s="26"/>
      <c r="AP6" s="2"/>
    </row>
    <row r="7" spans="1:44" ht="18" customHeight="1" x14ac:dyDescent="0.25">
      <c r="A7" s="22"/>
      <c r="B7" s="23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5"/>
      <c r="AH7" s="24"/>
      <c r="AI7" s="24"/>
      <c r="AJ7" s="24"/>
      <c r="AK7" s="24"/>
      <c r="AL7" s="24"/>
      <c r="AM7" s="26"/>
      <c r="AP7" s="2"/>
    </row>
    <row r="8" spans="1:44" ht="18" customHeight="1" x14ac:dyDescent="0.25">
      <c r="A8" s="22"/>
      <c r="B8" s="23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5"/>
      <c r="AH8" s="24"/>
      <c r="AI8" s="24"/>
      <c r="AJ8" s="24"/>
      <c r="AK8" s="24"/>
      <c r="AL8" s="24"/>
      <c r="AM8" s="26"/>
      <c r="AP8" s="2"/>
    </row>
    <row r="9" spans="1:44" ht="18" customHeight="1" x14ac:dyDescent="0.25">
      <c r="A9" s="22"/>
      <c r="B9" s="23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5"/>
      <c r="AH9" s="24"/>
      <c r="AI9" s="24"/>
      <c r="AJ9" s="24"/>
      <c r="AK9" s="24"/>
      <c r="AL9" s="24"/>
      <c r="AM9" s="26"/>
      <c r="AP9" s="2"/>
    </row>
    <row r="10" spans="1:44" ht="18" customHeight="1" x14ac:dyDescent="0.25">
      <c r="A10" s="22"/>
      <c r="B10" s="23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5"/>
      <c r="AH10" s="24"/>
      <c r="AI10" s="24"/>
      <c r="AJ10" s="24"/>
      <c r="AK10" s="24"/>
      <c r="AL10" s="24"/>
      <c r="AM10" s="26"/>
      <c r="AP10" s="2"/>
    </row>
    <row r="11" spans="1:44" ht="18" customHeight="1" x14ac:dyDescent="0.25">
      <c r="A11" s="22"/>
      <c r="B11" s="23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5"/>
      <c r="AH11" s="24"/>
      <c r="AI11" s="24"/>
      <c r="AJ11" s="24"/>
      <c r="AK11" s="24"/>
      <c r="AL11" s="24"/>
      <c r="AM11" s="26"/>
      <c r="AP11" s="2"/>
    </row>
    <row r="12" spans="1:44" ht="18" customHeight="1" x14ac:dyDescent="0.25">
      <c r="A12" s="22"/>
      <c r="B12" s="23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5"/>
      <c r="AH12" s="24"/>
      <c r="AI12" s="24"/>
      <c r="AJ12" s="24"/>
      <c r="AK12" s="24"/>
      <c r="AL12" s="24"/>
      <c r="AM12" s="26"/>
      <c r="AP12" s="2"/>
    </row>
    <row r="13" spans="1:44" ht="18" customHeight="1" x14ac:dyDescent="0.25">
      <c r="A13" s="22" t="s">
        <v>0</v>
      </c>
      <c r="B13" s="23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5"/>
      <c r="AH13" s="24"/>
      <c r="AI13" s="24"/>
      <c r="AJ13" s="24"/>
      <c r="AK13" s="24"/>
      <c r="AL13" s="24"/>
      <c r="AM13" s="26"/>
      <c r="AP13" s="2"/>
    </row>
    <row r="14" spans="1:44" ht="18" customHeight="1" x14ac:dyDescent="0.25">
      <c r="A14" s="22" t="s">
        <v>45</v>
      </c>
      <c r="B14" s="23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5"/>
      <c r="AH14" s="24"/>
      <c r="AI14" s="24"/>
      <c r="AJ14" s="24"/>
      <c r="AK14" s="24"/>
      <c r="AL14" s="24"/>
      <c r="AM14" s="26"/>
      <c r="AP14" s="2"/>
    </row>
    <row r="15" spans="1:44" ht="18" customHeight="1" x14ac:dyDescent="0.25">
      <c r="A15" s="22" t="s">
        <v>46</v>
      </c>
      <c r="B15" s="23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5"/>
      <c r="AH15" s="24"/>
      <c r="AI15" s="24"/>
      <c r="AJ15" s="24"/>
      <c r="AK15" s="24"/>
      <c r="AL15" s="24"/>
      <c r="AM15" s="26"/>
      <c r="AP15" s="2"/>
    </row>
    <row r="16" spans="1:44" ht="18" customHeight="1" x14ac:dyDescent="0.25">
      <c r="A16" s="27"/>
      <c r="B16" s="28"/>
      <c r="C16" s="29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1"/>
      <c r="AM16" s="32"/>
      <c r="AP16" s="2"/>
    </row>
    <row r="17" spans="1:42" ht="18" customHeight="1" thickBot="1" x14ac:dyDescent="0.3">
      <c r="A17" s="33"/>
      <c r="B17" s="34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6"/>
      <c r="AP17" s="2"/>
    </row>
    <row r="18" spans="1:42" ht="26.25" thickBot="1" x14ac:dyDescent="0.3">
      <c r="A18" s="37" t="s">
        <v>50</v>
      </c>
      <c r="B18" s="40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9"/>
      <c r="AP18" s="2"/>
    </row>
    <row r="19" spans="1:42" s="7" customFormat="1" ht="18" customHeight="1" x14ac:dyDescent="0.25">
      <c r="A19" s="18"/>
      <c r="B19" s="14"/>
      <c r="C19" s="14"/>
      <c r="D19" s="14"/>
      <c r="E19" s="14"/>
      <c r="F19" s="14"/>
      <c r="G19" s="14"/>
      <c r="H19" s="14"/>
      <c r="I19" s="14"/>
      <c r="J19" s="17"/>
      <c r="K19" s="14"/>
      <c r="L19" s="14"/>
      <c r="M19" s="17"/>
      <c r="N19" s="17"/>
      <c r="O19" s="14"/>
      <c r="P19" s="14"/>
      <c r="Q19" s="14"/>
      <c r="R19" s="14"/>
      <c r="S19" s="17"/>
      <c r="T19" s="14"/>
      <c r="U19" s="17"/>
      <c r="V19" s="14"/>
      <c r="W19" s="14"/>
      <c r="X19" s="17"/>
      <c r="Y19" s="17"/>
      <c r="Z19" s="14"/>
      <c r="AA19" s="14"/>
      <c r="AB19" s="14"/>
      <c r="AC19" s="14"/>
      <c r="AD19" s="14"/>
      <c r="AE19" s="14"/>
      <c r="AF19" s="14"/>
      <c r="AG19" s="17"/>
      <c r="AH19" s="14"/>
      <c r="AI19" s="14"/>
      <c r="AJ19" s="17"/>
      <c r="AK19" s="14"/>
      <c r="AL19" s="14"/>
      <c r="AM19" s="14"/>
    </row>
    <row r="20" spans="1:42" s="6" customFormat="1" ht="12" thickBot="1" x14ac:dyDescent="0.3">
      <c r="A20" s="9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4"/>
      <c r="AG20" s="10"/>
      <c r="AH20" s="10"/>
      <c r="AI20" s="10"/>
      <c r="AJ20" s="10"/>
      <c r="AK20" s="10"/>
      <c r="AL20" s="10"/>
      <c r="AM20" s="10"/>
      <c r="AP20" s="7"/>
    </row>
    <row r="21" spans="1:42" s="6" customFormat="1" ht="13.5" thickBot="1" x14ac:dyDescent="0.3">
      <c r="A21" s="187" t="s">
        <v>39</v>
      </c>
      <c r="B21" s="184" t="s">
        <v>18</v>
      </c>
      <c r="C21" s="185"/>
      <c r="D21" s="186"/>
      <c r="E21" s="184" t="s">
        <v>40</v>
      </c>
      <c r="F21" s="185"/>
      <c r="G21" s="186"/>
      <c r="H21" s="184" t="s">
        <v>41</v>
      </c>
      <c r="I21" s="185"/>
      <c r="J21" s="186"/>
      <c r="K21" s="184" t="s">
        <v>42</v>
      </c>
      <c r="L21" s="185"/>
      <c r="M21" s="186"/>
      <c r="N21" s="184" t="s">
        <v>43</v>
      </c>
      <c r="O21" s="185"/>
      <c r="P21" s="186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P21" s="7"/>
    </row>
    <row r="22" spans="1:42" s="6" customFormat="1" ht="13.5" thickBot="1" x14ac:dyDescent="0.3">
      <c r="A22" s="188"/>
      <c r="B22" s="11" t="s">
        <v>44</v>
      </c>
      <c r="C22" s="12" t="s">
        <v>48</v>
      </c>
      <c r="D22" s="13" t="s">
        <v>47</v>
      </c>
      <c r="E22" s="11" t="s">
        <v>44</v>
      </c>
      <c r="F22" s="12" t="s">
        <v>48</v>
      </c>
      <c r="G22" s="13" t="s">
        <v>47</v>
      </c>
      <c r="H22" s="11" t="s">
        <v>44</v>
      </c>
      <c r="I22" s="12" t="s">
        <v>48</v>
      </c>
      <c r="J22" s="13" t="s">
        <v>47</v>
      </c>
      <c r="K22" s="11" t="s">
        <v>44</v>
      </c>
      <c r="L22" s="12" t="s">
        <v>48</v>
      </c>
      <c r="M22" s="13" t="s">
        <v>47</v>
      </c>
      <c r="N22" s="11" t="s">
        <v>44</v>
      </c>
      <c r="O22" s="12" t="s">
        <v>48</v>
      </c>
      <c r="P22" s="13" t="s">
        <v>47</v>
      </c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P22" s="7"/>
    </row>
    <row r="23" spans="1:42" s="6" customFormat="1" ht="13.5" thickBot="1" x14ac:dyDescent="0.3">
      <c r="A23" s="8" t="s">
        <v>49</v>
      </c>
      <c r="B23" s="42"/>
      <c r="C23" s="43"/>
      <c r="D23" s="43"/>
      <c r="E23" s="43"/>
      <c r="F23" s="44"/>
      <c r="G23" s="44"/>
      <c r="H23" s="44"/>
      <c r="I23" s="44"/>
      <c r="J23" s="43"/>
      <c r="K23" s="44"/>
      <c r="L23" s="44"/>
      <c r="M23" s="44"/>
      <c r="N23" s="43"/>
      <c r="O23" s="44"/>
      <c r="P23" s="45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P23" s="7"/>
    </row>
    <row r="24" spans="1:42" s="7" customFormat="1" ht="18" customHeight="1" thickBot="1" x14ac:dyDescent="0.3">
      <c r="A24" s="15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</row>
    <row r="25" spans="1:42" s="6" customFormat="1" ht="18" customHeight="1" x14ac:dyDescent="0.25"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P25" s="7"/>
    </row>
  </sheetData>
  <mergeCells count="6">
    <mergeCell ref="N21:P21"/>
    <mergeCell ref="A21:A22"/>
    <mergeCell ref="B21:D21"/>
    <mergeCell ref="E21:G21"/>
    <mergeCell ref="H21:J21"/>
    <mergeCell ref="K21:M21"/>
  </mergeCells>
  <printOptions horizontalCentered="1"/>
  <pageMargins left="0.19685039370078741" right="0.19685039370078741" top="0.39370078740157483" bottom="0.19685039370078741" header="0.31496062992125984" footer="0.31496062992125984"/>
  <pageSetup scale="53" orientation="landscape" horizontalDpi="360" verticalDpi="360" r:id="rId1"/>
  <colBreaks count="1" manualBreakCount="1">
    <brk id="39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1F9F0-1E69-49AA-B1A9-2A3D7A8E3F39}">
  <sheetPr>
    <pageSetUpPr fitToPage="1"/>
  </sheetPr>
  <dimension ref="A1:AV80"/>
  <sheetViews>
    <sheetView view="pageBreakPreview" topLeftCell="A16" zoomScale="115" zoomScaleNormal="100" zoomScaleSheetLayoutView="115" workbookViewId="0">
      <selection activeCell="A7" sqref="A7:B53"/>
    </sheetView>
  </sheetViews>
  <sheetFormatPr defaultColWidth="9.140625" defaultRowHeight="18.75" x14ac:dyDescent="0.25"/>
  <cols>
    <col min="1" max="1" width="4.140625" style="57" bestFit="1" customWidth="1"/>
    <col min="2" max="2" width="12.28515625" style="76" customWidth="1"/>
    <col min="3" max="7" width="10" style="57" customWidth="1"/>
    <col min="8" max="8" width="11" style="57" customWidth="1"/>
    <col min="9" max="9" width="10" style="57" customWidth="1"/>
    <col min="10" max="10" width="1.42578125" style="57" customWidth="1"/>
    <col min="11" max="12" width="10" style="57" customWidth="1"/>
    <col min="13" max="13" width="9.28515625" style="57" bestFit="1" customWidth="1"/>
    <col min="14" max="14" width="1.42578125" style="57" customWidth="1"/>
    <col min="15" max="15" width="14.28515625" style="57" customWidth="1"/>
    <col min="16" max="43" width="7.28515625" style="57" customWidth="1"/>
    <col min="44" max="44" width="1.5703125" style="57" customWidth="1"/>
    <col min="45" max="45" width="9.42578125" style="57" customWidth="1"/>
    <col min="46" max="46" width="1.28515625" style="57" customWidth="1"/>
    <col min="47" max="47" width="12.7109375" style="57" bestFit="1" customWidth="1"/>
    <col min="48" max="48" width="10.28515625" style="57" bestFit="1" customWidth="1"/>
    <col min="49" max="16384" width="9.140625" style="57"/>
  </cols>
  <sheetData>
    <row r="1" spans="1:48" ht="15" customHeight="1" x14ac:dyDescent="0.25">
      <c r="B1" s="75" t="s">
        <v>51</v>
      </c>
      <c r="H1" s="194" t="s">
        <v>53</v>
      </c>
      <c r="I1" s="194"/>
      <c r="J1" s="194"/>
      <c r="K1" s="194"/>
      <c r="L1" s="194"/>
      <c r="M1" s="194"/>
      <c r="N1" s="194"/>
      <c r="O1" s="194"/>
    </row>
    <row r="2" spans="1:48" x14ac:dyDescent="0.25">
      <c r="B2" s="76" t="s">
        <v>61</v>
      </c>
    </row>
    <row r="3" spans="1:48" ht="19.5" thickBot="1" x14ac:dyDescent="0.3"/>
    <row r="4" spans="1:48" s="58" customFormat="1" ht="15.75" x14ac:dyDescent="0.25">
      <c r="B4" s="93" t="s">
        <v>63</v>
      </c>
      <c r="C4" s="189" t="s">
        <v>49</v>
      </c>
      <c r="D4" s="189"/>
      <c r="E4" s="189"/>
      <c r="F4" s="189"/>
      <c r="G4" s="189"/>
      <c r="H4" s="189"/>
      <c r="I4" s="190"/>
      <c r="K4" s="82" t="s">
        <v>0</v>
      </c>
      <c r="L4" s="84" t="s">
        <v>45</v>
      </c>
      <c r="M4" s="85" t="s">
        <v>46</v>
      </c>
      <c r="N4" s="57"/>
      <c r="O4" s="86" t="s">
        <v>50</v>
      </c>
      <c r="Z4" s="59"/>
      <c r="AA4" s="59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  <c r="AO4" s="59"/>
      <c r="AP4" s="59"/>
      <c r="AQ4" s="59"/>
      <c r="AR4" s="59"/>
      <c r="AS4" s="59"/>
      <c r="AT4" s="59"/>
      <c r="AU4" s="59"/>
      <c r="AV4" s="59"/>
    </row>
    <row r="5" spans="1:48" s="58" customFormat="1" ht="15.75" x14ac:dyDescent="0.25">
      <c r="B5" s="87"/>
      <c r="C5" s="92"/>
      <c r="D5" s="92"/>
      <c r="E5" s="92"/>
      <c r="F5" s="92"/>
      <c r="G5" s="92"/>
      <c r="H5" s="92"/>
      <c r="I5" s="89"/>
      <c r="K5" s="87"/>
      <c r="L5" s="83"/>
      <c r="M5" s="89"/>
      <c r="N5" s="57"/>
      <c r="O5" s="90"/>
      <c r="Z5" s="59"/>
      <c r="AA5" s="59"/>
      <c r="AB5" s="59"/>
      <c r="AC5" s="59"/>
      <c r="AD5" s="59"/>
      <c r="AE5" s="59"/>
      <c r="AF5" s="59"/>
      <c r="AG5" s="59"/>
      <c r="AH5" s="59"/>
      <c r="AI5" s="59"/>
      <c r="AJ5" s="59"/>
      <c r="AK5" s="59"/>
      <c r="AL5" s="59"/>
      <c r="AM5" s="59"/>
      <c r="AN5" s="59"/>
      <c r="AO5" s="59"/>
      <c r="AP5" s="59"/>
      <c r="AQ5" s="59"/>
      <c r="AR5" s="59"/>
      <c r="AS5" s="59"/>
      <c r="AT5" s="59"/>
      <c r="AU5" s="59"/>
      <c r="AV5" s="59"/>
    </row>
    <row r="6" spans="1:48" s="58" customFormat="1" ht="15.75" x14ac:dyDescent="0.25">
      <c r="B6" s="87"/>
      <c r="C6" s="83"/>
      <c r="D6" s="83"/>
      <c r="E6" s="83"/>
      <c r="F6" s="83"/>
      <c r="G6" s="83"/>
      <c r="H6" s="83"/>
      <c r="I6" s="89"/>
      <c r="K6" s="87"/>
      <c r="L6" s="83"/>
      <c r="M6" s="89"/>
      <c r="N6" s="57"/>
      <c r="O6" s="90"/>
      <c r="Z6" s="59"/>
      <c r="AA6" s="59"/>
      <c r="AB6" s="59"/>
      <c r="AC6" s="59"/>
      <c r="AD6" s="59"/>
      <c r="AE6" s="59"/>
      <c r="AF6" s="59"/>
      <c r="AG6" s="59"/>
      <c r="AH6" s="59"/>
      <c r="AI6" s="59"/>
      <c r="AJ6" s="59"/>
      <c r="AK6" s="59"/>
      <c r="AL6" s="59"/>
      <c r="AM6" s="59"/>
      <c r="AN6" s="59"/>
      <c r="AO6" s="59"/>
      <c r="AP6" s="59"/>
      <c r="AQ6" s="59"/>
      <c r="AR6" s="59"/>
      <c r="AS6" s="59"/>
      <c r="AT6" s="59"/>
      <c r="AU6" s="59"/>
      <c r="AV6" s="59"/>
    </row>
    <row r="7" spans="1:48" x14ac:dyDescent="0.25">
      <c r="A7" s="75">
        <v>1</v>
      </c>
      <c r="B7" s="74" t="s">
        <v>34</v>
      </c>
      <c r="C7" s="48"/>
      <c r="D7" s="48"/>
      <c r="E7" s="48"/>
      <c r="F7" s="48"/>
      <c r="G7" s="48"/>
      <c r="H7" s="48"/>
      <c r="I7" s="69"/>
      <c r="K7" s="88"/>
      <c r="L7" s="48"/>
      <c r="M7" s="69"/>
      <c r="O7" s="91"/>
      <c r="Z7" s="60"/>
      <c r="AA7" s="60"/>
      <c r="AB7" s="60"/>
      <c r="AC7" s="60"/>
      <c r="AD7" s="60"/>
      <c r="AE7" s="60"/>
      <c r="AF7" s="60"/>
      <c r="AG7" s="60"/>
      <c r="AH7" s="60"/>
      <c r="AI7" s="60"/>
      <c r="AJ7" s="60"/>
      <c r="AK7" s="60"/>
      <c r="AL7" s="60"/>
      <c r="AM7" s="60"/>
      <c r="AN7" s="60"/>
      <c r="AO7" s="60"/>
      <c r="AP7" s="60"/>
      <c r="AQ7" s="60"/>
      <c r="AR7" s="60"/>
      <c r="AS7" s="60"/>
      <c r="AT7" s="60"/>
      <c r="AU7" s="60"/>
      <c r="AV7" s="60"/>
    </row>
    <row r="8" spans="1:48" ht="19.5" thickBot="1" x14ac:dyDescent="0.3">
      <c r="A8" s="75">
        <f>A7+1</f>
        <v>2</v>
      </c>
      <c r="B8" s="94" t="s">
        <v>37</v>
      </c>
      <c r="C8" s="95"/>
      <c r="D8" s="95"/>
      <c r="E8" s="95"/>
      <c r="F8" s="95"/>
      <c r="G8" s="95"/>
      <c r="H8" s="95"/>
      <c r="I8" s="96"/>
      <c r="J8" s="102"/>
      <c r="K8" s="103"/>
      <c r="L8" s="97"/>
      <c r="M8" s="98"/>
      <c r="N8" s="102"/>
      <c r="O8" s="104"/>
      <c r="Z8" s="60"/>
      <c r="AA8" s="60"/>
      <c r="AB8" s="60"/>
      <c r="AC8" s="60"/>
      <c r="AD8" s="60"/>
      <c r="AE8" s="60"/>
      <c r="AF8" s="60"/>
      <c r="AG8" s="60"/>
      <c r="AH8" s="60"/>
      <c r="AI8" s="60"/>
      <c r="AJ8" s="60"/>
      <c r="AK8" s="60"/>
      <c r="AL8" s="60"/>
      <c r="AM8" s="60"/>
      <c r="AN8" s="60"/>
      <c r="AO8" s="60"/>
      <c r="AP8" s="60"/>
      <c r="AQ8" s="60"/>
      <c r="AR8" s="60"/>
      <c r="AS8" s="60"/>
      <c r="AT8" s="60"/>
      <c r="AU8" s="60"/>
      <c r="AV8" s="60"/>
    </row>
    <row r="9" spans="1:48" x14ac:dyDescent="0.25">
      <c r="A9" s="75">
        <f t="shared" ref="A9:A56" si="0">A8+1</f>
        <v>3</v>
      </c>
      <c r="B9" s="73" t="s">
        <v>35</v>
      </c>
      <c r="C9" s="47"/>
      <c r="D9" s="47"/>
      <c r="E9" s="47"/>
      <c r="F9" s="47"/>
      <c r="G9" s="47"/>
      <c r="H9" s="47"/>
      <c r="I9" s="46"/>
      <c r="K9" s="52"/>
      <c r="L9" s="47"/>
      <c r="M9" s="46"/>
      <c r="O9" s="50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  <c r="AL9" s="60"/>
      <c r="AM9" s="60"/>
      <c r="AN9" s="60"/>
      <c r="AO9" s="60"/>
      <c r="AP9" s="60"/>
      <c r="AQ9" s="60"/>
      <c r="AR9" s="60"/>
      <c r="AS9" s="60"/>
      <c r="AT9" s="60"/>
      <c r="AU9" s="60"/>
      <c r="AV9" s="60"/>
    </row>
    <row r="10" spans="1:48" x14ac:dyDescent="0.25">
      <c r="A10" s="75">
        <f t="shared" si="0"/>
        <v>4</v>
      </c>
      <c r="B10" s="74" t="s">
        <v>38</v>
      </c>
      <c r="C10" s="47"/>
      <c r="D10" s="47"/>
      <c r="E10" s="47"/>
      <c r="F10" s="47"/>
      <c r="G10" s="47"/>
      <c r="H10" s="47"/>
      <c r="I10" s="46"/>
      <c r="K10" s="52"/>
      <c r="L10" s="47"/>
      <c r="M10" s="46"/>
      <c r="O10" s="50"/>
      <c r="Z10" s="60"/>
      <c r="AA10" s="60"/>
      <c r="AB10" s="60"/>
      <c r="AC10" s="60"/>
      <c r="AD10" s="60"/>
      <c r="AE10" s="60"/>
      <c r="AF10" s="60"/>
      <c r="AG10" s="60"/>
      <c r="AH10" s="60"/>
      <c r="AI10" s="60"/>
      <c r="AJ10" s="60"/>
      <c r="AK10" s="60"/>
      <c r="AL10" s="60"/>
      <c r="AM10" s="60"/>
      <c r="AN10" s="60"/>
      <c r="AO10" s="60"/>
      <c r="AP10" s="60"/>
      <c r="AQ10" s="60"/>
      <c r="AR10" s="60"/>
      <c r="AS10" s="60"/>
      <c r="AT10" s="60"/>
      <c r="AU10" s="60"/>
      <c r="AV10" s="60"/>
    </row>
    <row r="11" spans="1:48" x14ac:dyDescent="0.25">
      <c r="A11" s="75">
        <f t="shared" si="0"/>
        <v>5</v>
      </c>
      <c r="B11" s="74" t="s">
        <v>36</v>
      </c>
      <c r="C11" s="47"/>
      <c r="D11" s="47"/>
      <c r="E11" s="47"/>
      <c r="F11" s="47"/>
      <c r="G11" s="47"/>
      <c r="H11" s="47"/>
      <c r="I11" s="46"/>
      <c r="K11" s="52"/>
      <c r="L11" s="47"/>
      <c r="M11" s="46"/>
      <c r="O11" s="50"/>
      <c r="Z11" s="60"/>
      <c r="AA11" s="60"/>
      <c r="AB11" s="60"/>
      <c r="AC11" s="60"/>
      <c r="AD11" s="60"/>
      <c r="AE11" s="60"/>
      <c r="AF11" s="60"/>
      <c r="AG11" s="60"/>
      <c r="AH11" s="60"/>
      <c r="AI11" s="60"/>
      <c r="AJ11" s="60"/>
      <c r="AK11" s="60"/>
      <c r="AL11" s="60"/>
      <c r="AM11" s="60"/>
      <c r="AN11" s="60"/>
      <c r="AO11" s="60"/>
      <c r="AP11" s="60"/>
      <c r="AQ11" s="60"/>
      <c r="AR11" s="60"/>
      <c r="AS11" s="60"/>
      <c r="AT11" s="60"/>
      <c r="AU11" s="60"/>
      <c r="AV11" s="60"/>
    </row>
    <row r="12" spans="1:48" s="61" customFormat="1" ht="19.5" thickBot="1" x14ac:dyDescent="0.3">
      <c r="A12" s="75">
        <v>7</v>
      </c>
      <c r="B12" s="94" t="s">
        <v>32</v>
      </c>
      <c r="C12" s="95"/>
      <c r="D12" s="95"/>
      <c r="E12" s="95"/>
      <c r="F12" s="95"/>
      <c r="G12" s="95"/>
      <c r="H12" s="95"/>
      <c r="I12" s="96"/>
      <c r="J12" s="102"/>
      <c r="K12" s="103"/>
      <c r="L12" s="97"/>
      <c r="M12" s="98"/>
      <c r="N12" s="102"/>
      <c r="O12" s="104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60"/>
      <c r="AA12" s="60"/>
      <c r="AB12" s="60"/>
      <c r="AC12" s="60"/>
      <c r="AD12" s="60"/>
      <c r="AE12" s="60"/>
      <c r="AF12" s="60"/>
      <c r="AG12" s="60"/>
      <c r="AH12" s="60"/>
      <c r="AI12" s="60"/>
      <c r="AJ12" s="60"/>
      <c r="AK12" s="60"/>
      <c r="AL12" s="60"/>
      <c r="AM12" s="60"/>
      <c r="AN12" s="60"/>
      <c r="AO12" s="60"/>
      <c r="AP12" s="60"/>
      <c r="AQ12" s="60"/>
      <c r="AR12" s="60"/>
      <c r="AS12" s="60"/>
      <c r="AT12" s="60"/>
      <c r="AU12" s="60"/>
      <c r="AV12" s="60"/>
    </row>
    <row r="13" spans="1:48" x14ac:dyDescent="0.25">
      <c r="A13" s="75">
        <v>11</v>
      </c>
      <c r="B13" s="73" t="s">
        <v>1</v>
      </c>
      <c r="C13" s="47"/>
      <c r="D13" s="47"/>
      <c r="E13" s="47"/>
      <c r="F13" s="47"/>
      <c r="G13" s="47"/>
      <c r="H13" s="47"/>
      <c r="I13" s="46"/>
      <c r="K13" s="52"/>
      <c r="L13" s="47"/>
      <c r="M13" s="46"/>
      <c r="O13" s="50"/>
      <c r="Z13" s="60"/>
      <c r="AA13" s="60"/>
      <c r="AB13" s="60"/>
      <c r="AC13" s="60"/>
      <c r="AD13" s="60"/>
      <c r="AE13" s="60"/>
      <c r="AF13" s="60"/>
      <c r="AG13" s="60"/>
      <c r="AH13" s="60"/>
      <c r="AI13" s="60"/>
      <c r="AJ13" s="60"/>
      <c r="AK13" s="60"/>
      <c r="AL13" s="60"/>
      <c r="AM13" s="60"/>
      <c r="AN13" s="60"/>
      <c r="AO13" s="60"/>
      <c r="AP13" s="60"/>
      <c r="AQ13" s="60"/>
      <c r="AR13" s="60"/>
      <c r="AS13" s="60"/>
      <c r="AT13" s="60"/>
      <c r="AU13" s="60"/>
      <c r="AV13" s="60"/>
    </row>
    <row r="14" spans="1:48" x14ac:dyDescent="0.25">
      <c r="A14" s="75">
        <f t="shared" si="0"/>
        <v>12</v>
      </c>
      <c r="B14" s="74" t="s">
        <v>2</v>
      </c>
      <c r="C14" s="47"/>
      <c r="D14" s="47"/>
      <c r="E14" s="47"/>
      <c r="F14" s="47"/>
      <c r="G14" s="47"/>
      <c r="H14" s="47"/>
      <c r="I14" s="46"/>
      <c r="K14" s="52"/>
      <c r="L14" s="47"/>
      <c r="M14" s="46"/>
      <c r="O14" s="5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0"/>
      <c r="AL14" s="60"/>
      <c r="AM14" s="60"/>
      <c r="AN14" s="60"/>
      <c r="AO14" s="60"/>
      <c r="AP14" s="60"/>
      <c r="AQ14" s="60"/>
      <c r="AR14" s="60"/>
      <c r="AS14" s="60"/>
      <c r="AT14" s="60"/>
      <c r="AU14" s="60"/>
      <c r="AV14" s="60"/>
    </row>
    <row r="15" spans="1:48" x14ac:dyDescent="0.25">
      <c r="A15" s="75">
        <f t="shared" si="0"/>
        <v>13</v>
      </c>
      <c r="B15" s="74" t="s">
        <v>3</v>
      </c>
      <c r="C15" s="47"/>
      <c r="D15" s="47"/>
      <c r="E15" s="47"/>
      <c r="F15" s="47"/>
      <c r="G15" s="47"/>
      <c r="H15" s="47"/>
      <c r="I15" s="46"/>
      <c r="K15" s="52"/>
      <c r="L15" s="47"/>
      <c r="M15" s="46"/>
      <c r="O15" s="50"/>
      <c r="Z15" s="60"/>
      <c r="AA15" s="60"/>
      <c r="AB15" s="60"/>
      <c r="AC15" s="60"/>
      <c r="AD15" s="60"/>
      <c r="AE15" s="60"/>
      <c r="AF15" s="60"/>
      <c r="AG15" s="60"/>
      <c r="AH15" s="60"/>
      <c r="AI15" s="60"/>
      <c r="AJ15" s="60"/>
      <c r="AK15" s="60"/>
      <c r="AL15" s="60"/>
      <c r="AM15" s="60"/>
      <c r="AN15" s="60"/>
      <c r="AO15" s="60"/>
      <c r="AP15" s="60"/>
      <c r="AQ15" s="60"/>
      <c r="AR15" s="60"/>
      <c r="AS15" s="60"/>
      <c r="AT15" s="60"/>
      <c r="AU15" s="60"/>
      <c r="AV15" s="60"/>
    </row>
    <row r="16" spans="1:48" x14ac:dyDescent="0.25">
      <c r="A16" s="75">
        <f t="shared" si="0"/>
        <v>14</v>
      </c>
      <c r="B16" s="74" t="s">
        <v>4</v>
      </c>
      <c r="C16" s="47"/>
      <c r="D16" s="47"/>
      <c r="E16" s="47"/>
      <c r="F16" s="47"/>
      <c r="G16" s="47"/>
      <c r="H16" s="47"/>
      <c r="I16" s="46"/>
      <c r="K16" s="52"/>
      <c r="L16" s="47"/>
      <c r="M16" s="46"/>
      <c r="O16" s="50"/>
      <c r="Z16" s="60"/>
      <c r="AA16" s="60"/>
      <c r="AB16" s="60"/>
      <c r="AC16" s="60"/>
      <c r="AD16" s="60"/>
      <c r="AE16" s="60"/>
      <c r="AF16" s="60"/>
      <c r="AG16" s="60"/>
      <c r="AH16" s="60"/>
      <c r="AI16" s="60"/>
      <c r="AJ16" s="60"/>
      <c r="AK16" s="60"/>
      <c r="AL16" s="60"/>
      <c r="AM16" s="60"/>
      <c r="AN16" s="60"/>
      <c r="AO16" s="60"/>
      <c r="AP16" s="60"/>
      <c r="AQ16" s="60"/>
      <c r="AR16" s="60"/>
      <c r="AS16" s="60"/>
      <c r="AT16" s="60"/>
      <c r="AU16" s="60"/>
      <c r="AV16" s="60"/>
    </row>
    <row r="17" spans="1:48" x14ac:dyDescent="0.25">
      <c r="A17" s="75">
        <f t="shared" si="0"/>
        <v>15</v>
      </c>
      <c r="B17" s="74" t="s">
        <v>5</v>
      </c>
      <c r="C17" s="47"/>
      <c r="D17" s="47"/>
      <c r="E17" s="47"/>
      <c r="F17" s="47"/>
      <c r="G17" s="47"/>
      <c r="H17" s="47"/>
      <c r="I17" s="46"/>
      <c r="K17" s="52"/>
      <c r="L17" s="47"/>
      <c r="M17" s="46"/>
      <c r="O17" s="50"/>
      <c r="Z17" s="60"/>
      <c r="AA17" s="60"/>
      <c r="AB17" s="60"/>
      <c r="AC17" s="60"/>
      <c r="AD17" s="60"/>
      <c r="AE17" s="60"/>
      <c r="AF17" s="60"/>
      <c r="AG17" s="60"/>
      <c r="AH17" s="60"/>
      <c r="AI17" s="60"/>
      <c r="AJ17" s="60"/>
      <c r="AK17" s="60"/>
      <c r="AL17" s="60"/>
      <c r="AM17" s="60"/>
      <c r="AN17" s="60"/>
      <c r="AO17" s="60"/>
      <c r="AP17" s="60"/>
      <c r="AQ17" s="60"/>
      <c r="AR17" s="60"/>
      <c r="AS17" s="60"/>
      <c r="AT17" s="60"/>
      <c r="AU17" s="60"/>
      <c r="AV17" s="60"/>
    </row>
    <row r="18" spans="1:48" hidden="1" x14ac:dyDescent="0.25">
      <c r="A18" s="75">
        <f t="shared" si="0"/>
        <v>16</v>
      </c>
      <c r="B18" s="74" t="s">
        <v>10</v>
      </c>
      <c r="C18" s="47"/>
      <c r="D18" s="47"/>
      <c r="E18" s="47"/>
      <c r="F18" s="47"/>
      <c r="G18" s="47"/>
      <c r="H18" s="47"/>
      <c r="I18" s="46"/>
      <c r="K18" s="52"/>
      <c r="L18" s="47"/>
      <c r="M18" s="46"/>
      <c r="O18" s="50"/>
      <c r="Z18" s="60"/>
      <c r="AA18" s="60"/>
      <c r="AB18" s="60"/>
      <c r="AC18" s="60"/>
      <c r="AD18" s="60"/>
      <c r="AE18" s="60"/>
      <c r="AF18" s="60"/>
      <c r="AG18" s="60"/>
      <c r="AH18" s="60"/>
      <c r="AI18" s="60"/>
      <c r="AJ18" s="60"/>
      <c r="AK18" s="60"/>
      <c r="AL18" s="60"/>
      <c r="AM18" s="60"/>
      <c r="AN18" s="60"/>
      <c r="AO18" s="60"/>
      <c r="AP18" s="60"/>
      <c r="AQ18" s="60"/>
      <c r="AR18" s="60"/>
      <c r="AS18" s="60"/>
      <c r="AT18" s="60"/>
      <c r="AU18" s="60"/>
      <c r="AV18" s="60"/>
    </row>
    <row r="19" spans="1:48" x14ac:dyDescent="0.25">
      <c r="A19" s="75">
        <v>16</v>
      </c>
      <c r="B19" s="74" t="s">
        <v>64</v>
      </c>
      <c r="C19" s="47"/>
      <c r="D19" s="47"/>
      <c r="E19" s="47"/>
      <c r="F19" s="47"/>
      <c r="G19" s="47"/>
      <c r="H19" s="47"/>
      <c r="I19" s="46"/>
      <c r="K19" s="52"/>
      <c r="L19" s="47"/>
      <c r="M19" s="46"/>
      <c r="O19" s="5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0"/>
      <c r="AL19" s="60"/>
      <c r="AM19" s="60"/>
      <c r="AN19" s="60"/>
      <c r="AO19" s="60"/>
      <c r="AP19" s="60"/>
      <c r="AQ19" s="60"/>
      <c r="AR19" s="60"/>
      <c r="AS19" s="60"/>
      <c r="AT19" s="60"/>
      <c r="AU19" s="60"/>
      <c r="AV19" s="60"/>
    </row>
    <row r="20" spans="1:48" x14ac:dyDescent="0.25">
      <c r="A20" s="75">
        <f t="shared" si="0"/>
        <v>17</v>
      </c>
      <c r="B20" s="74" t="s">
        <v>6</v>
      </c>
      <c r="C20" s="47"/>
      <c r="D20" s="47"/>
      <c r="E20" s="47"/>
      <c r="F20" s="47"/>
      <c r="G20" s="47"/>
      <c r="H20" s="47"/>
      <c r="I20" s="46"/>
      <c r="K20" s="52"/>
      <c r="L20" s="47"/>
      <c r="M20" s="46"/>
      <c r="O20" s="5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0"/>
      <c r="AL20" s="60"/>
      <c r="AM20" s="60"/>
      <c r="AN20" s="60"/>
      <c r="AO20" s="60"/>
      <c r="AP20" s="60"/>
      <c r="AQ20" s="60"/>
      <c r="AR20" s="60"/>
      <c r="AS20" s="60"/>
      <c r="AT20" s="60"/>
      <c r="AU20" s="60"/>
      <c r="AV20" s="60"/>
    </row>
    <row r="21" spans="1:48" x14ac:dyDescent="0.25">
      <c r="A21" s="75">
        <f t="shared" si="0"/>
        <v>18</v>
      </c>
      <c r="B21" s="74" t="s">
        <v>7</v>
      </c>
      <c r="C21" s="47"/>
      <c r="D21" s="47"/>
      <c r="E21" s="47"/>
      <c r="F21" s="47"/>
      <c r="G21" s="47"/>
      <c r="H21" s="47"/>
      <c r="I21" s="46"/>
      <c r="K21" s="52"/>
      <c r="L21" s="47"/>
      <c r="M21" s="46"/>
      <c r="O21" s="5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0"/>
      <c r="AL21" s="60"/>
      <c r="AM21" s="60"/>
      <c r="AN21" s="60"/>
      <c r="AO21" s="60"/>
      <c r="AP21" s="60"/>
      <c r="AQ21" s="60"/>
      <c r="AR21" s="60"/>
      <c r="AS21" s="60"/>
      <c r="AT21" s="60"/>
      <c r="AU21" s="60"/>
      <c r="AV21" s="60"/>
    </row>
    <row r="22" spans="1:48" s="61" customFormat="1" x14ac:dyDescent="0.25">
      <c r="A22" s="75">
        <f t="shared" si="0"/>
        <v>19</v>
      </c>
      <c r="B22" s="74" t="s">
        <v>65</v>
      </c>
      <c r="C22" s="47"/>
      <c r="D22" s="47"/>
      <c r="E22" s="47"/>
      <c r="F22" s="47"/>
      <c r="G22" s="47"/>
      <c r="H22" s="47"/>
      <c r="I22" s="46"/>
      <c r="J22" s="57"/>
      <c r="K22" s="52"/>
      <c r="L22" s="47"/>
      <c r="M22" s="46"/>
      <c r="N22" s="57"/>
      <c r="O22" s="50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0"/>
      <c r="AL22" s="60"/>
      <c r="AM22" s="60"/>
      <c r="AN22" s="60"/>
      <c r="AO22" s="60"/>
      <c r="AP22" s="60"/>
      <c r="AQ22" s="60"/>
      <c r="AR22" s="60"/>
      <c r="AS22" s="60"/>
      <c r="AT22" s="60"/>
      <c r="AU22" s="60"/>
      <c r="AV22" s="60"/>
    </row>
    <row r="23" spans="1:48" s="61" customFormat="1" x14ac:dyDescent="0.25">
      <c r="A23" s="75">
        <f t="shared" si="0"/>
        <v>20</v>
      </c>
      <c r="B23" s="74" t="s">
        <v>66</v>
      </c>
      <c r="C23" s="47"/>
      <c r="D23" s="47"/>
      <c r="E23" s="47"/>
      <c r="F23" s="47"/>
      <c r="G23" s="47"/>
      <c r="H23" s="47"/>
      <c r="I23" s="46"/>
      <c r="J23" s="57"/>
      <c r="K23" s="52"/>
      <c r="L23" s="47"/>
      <c r="M23" s="46"/>
      <c r="N23" s="57"/>
      <c r="O23" s="50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0"/>
      <c r="AL23" s="60"/>
      <c r="AM23" s="60"/>
      <c r="AN23" s="60"/>
      <c r="AO23" s="60"/>
      <c r="AP23" s="60"/>
      <c r="AQ23" s="60"/>
      <c r="AR23" s="60"/>
      <c r="AS23" s="60"/>
      <c r="AT23" s="60"/>
      <c r="AU23" s="60"/>
      <c r="AV23" s="60"/>
    </row>
    <row r="24" spans="1:48" s="61" customFormat="1" x14ac:dyDescent="0.25">
      <c r="A24" s="75">
        <f t="shared" si="0"/>
        <v>21</v>
      </c>
      <c r="B24" s="74" t="s">
        <v>75</v>
      </c>
      <c r="C24" s="47"/>
      <c r="D24" s="47"/>
      <c r="E24" s="47"/>
      <c r="F24" s="47"/>
      <c r="G24" s="47"/>
      <c r="H24" s="47"/>
      <c r="I24" s="46"/>
      <c r="J24" s="57"/>
      <c r="K24" s="52"/>
      <c r="L24" s="47"/>
      <c r="M24" s="46"/>
      <c r="N24" s="57"/>
      <c r="O24" s="50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0"/>
      <c r="AL24" s="60"/>
      <c r="AM24" s="60"/>
      <c r="AN24" s="60"/>
      <c r="AO24" s="60"/>
      <c r="AP24" s="60"/>
      <c r="AQ24" s="60"/>
      <c r="AR24" s="60"/>
      <c r="AS24" s="60"/>
      <c r="AT24" s="60"/>
      <c r="AU24" s="60"/>
      <c r="AV24" s="60"/>
    </row>
    <row r="25" spans="1:48" x14ac:dyDescent="0.25">
      <c r="A25" s="75">
        <f t="shared" si="0"/>
        <v>22</v>
      </c>
      <c r="B25" s="74" t="s">
        <v>67</v>
      </c>
      <c r="C25" s="47"/>
      <c r="D25" s="47"/>
      <c r="E25" s="47"/>
      <c r="F25" s="47"/>
      <c r="G25" s="47"/>
      <c r="H25" s="47"/>
      <c r="I25" s="46"/>
      <c r="K25" s="52"/>
      <c r="L25" s="47"/>
      <c r="M25" s="46"/>
      <c r="O25" s="5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0"/>
      <c r="AL25" s="60"/>
      <c r="AM25" s="60"/>
      <c r="AN25" s="60"/>
      <c r="AO25" s="60"/>
      <c r="AP25" s="60"/>
      <c r="AQ25" s="60"/>
      <c r="AR25" s="60"/>
      <c r="AS25" s="60"/>
      <c r="AT25" s="60"/>
      <c r="AU25" s="60"/>
      <c r="AV25" s="60"/>
    </row>
    <row r="26" spans="1:48" x14ac:dyDescent="0.25">
      <c r="A26" s="75">
        <f t="shared" si="0"/>
        <v>23</v>
      </c>
      <c r="B26" s="74" t="s">
        <v>9</v>
      </c>
      <c r="C26" s="47"/>
      <c r="D26" s="47"/>
      <c r="E26" s="47"/>
      <c r="F26" s="47"/>
      <c r="G26" s="47"/>
      <c r="H26" s="47"/>
      <c r="I26" s="46"/>
      <c r="K26" s="52"/>
      <c r="L26" s="47"/>
      <c r="M26" s="46"/>
      <c r="O26" s="50"/>
      <c r="AS26" s="62" t="e">
        <f>#REF!-AS25</f>
        <v>#REF!</v>
      </c>
    </row>
    <row r="27" spans="1:48" s="61" customFormat="1" x14ac:dyDescent="0.25">
      <c r="A27" s="75">
        <f t="shared" si="0"/>
        <v>24</v>
      </c>
      <c r="B27" s="74" t="s">
        <v>11</v>
      </c>
      <c r="C27" s="47"/>
      <c r="D27" s="47"/>
      <c r="E27" s="47"/>
      <c r="F27" s="47"/>
      <c r="G27" s="47"/>
      <c r="H27" s="47"/>
      <c r="I27" s="46"/>
      <c r="J27" s="57"/>
      <c r="K27" s="52"/>
      <c r="L27" s="47"/>
      <c r="M27" s="46"/>
      <c r="N27" s="57"/>
      <c r="O27" s="50"/>
      <c r="P27" s="57"/>
      <c r="Q27" s="57"/>
      <c r="R27" s="57"/>
      <c r="S27" s="57"/>
      <c r="T27" s="57"/>
      <c r="U27" s="57"/>
      <c r="V27" s="57"/>
      <c r="W27" s="57"/>
      <c r="X27" s="57"/>
      <c r="Y27" s="57"/>
    </row>
    <row r="28" spans="1:48" s="61" customFormat="1" x14ac:dyDescent="0.25">
      <c r="A28" s="75">
        <f t="shared" si="0"/>
        <v>25</v>
      </c>
      <c r="B28" s="74" t="s">
        <v>12</v>
      </c>
      <c r="C28" s="47"/>
      <c r="D28" s="47"/>
      <c r="E28" s="47"/>
      <c r="F28" s="47"/>
      <c r="G28" s="47"/>
      <c r="H28" s="47"/>
      <c r="I28" s="46"/>
      <c r="J28" s="57"/>
      <c r="K28" s="52"/>
      <c r="L28" s="47"/>
      <c r="M28" s="46"/>
      <c r="N28" s="57"/>
      <c r="O28" s="50"/>
      <c r="P28" s="57"/>
      <c r="Q28" s="57"/>
      <c r="R28" s="57"/>
      <c r="S28" s="57"/>
      <c r="T28" s="57"/>
      <c r="U28" s="57"/>
      <c r="V28" s="57"/>
      <c r="W28" s="57"/>
      <c r="X28" s="57"/>
      <c r="Y28" s="57"/>
    </row>
    <row r="29" spans="1:48" x14ac:dyDescent="0.25">
      <c r="A29" s="75">
        <f t="shared" si="0"/>
        <v>26</v>
      </c>
      <c r="B29" s="74" t="s">
        <v>14</v>
      </c>
      <c r="C29" s="47"/>
      <c r="D29" s="47"/>
      <c r="E29" s="47"/>
      <c r="F29" s="47"/>
      <c r="G29" s="47"/>
      <c r="H29" s="47"/>
      <c r="I29" s="46"/>
      <c r="K29" s="52"/>
      <c r="L29" s="47"/>
      <c r="M29" s="46"/>
      <c r="O29" s="50"/>
    </row>
    <row r="30" spans="1:48" x14ac:dyDescent="0.25">
      <c r="A30" s="75">
        <f t="shared" si="0"/>
        <v>27</v>
      </c>
      <c r="B30" s="74" t="s">
        <v>16</v>
      </c>
      <c r="C30" s="47"/>
      <c r="D30" s="47"/>
      <c r="E30" s="47"/>
      <c r="F30" s="47"/>
      <c r="G30" s="47"/>
      <c r="H30" s="47"/>
      <c r="I30" s="46"/>
      <c r="K30" s="52"/>
      <c r="L30" s="47"/>
      <c r="M30" s="46"/>
      <c r="O30" s="50"/>
    </row>
    <row r="31" spans="1:48" x14ac:dyDescent="0.25">
      <c r="A31" s="75">
        <f t="shared" si="0"/>
        <v>28</v>
      </c>
      <c r="B31" s="74" t="s">
        <v>13</v>
      </c>
      <c r="C31" s="47"/>
      <c r="D31" s="47"/>
      <c r="E31" s="47"/>
      <c r="F31" s="47"/>
      <c r="G31" s="47"/>
      <c r="H31" s="47"/>
      <c r="I31" s="46"/>
      <c r="K31" s="52"/>
      <c r="L31" s="47"/>
      <c r="M31" s="46"/>
      <c r="O31" s="50"/>
    </row>
    <row r="32" spans="1:48" x14ac:dyDescent="0.25">
      <c r="A32" s="75">
        <f t="shared" si="0"/>
        <v>29</v>
      </c>
      <c r="B32" s="74" t="s">
        <v>15</v>
      </c>
      <c r="C32" s="47"/>
      <c r="D32" s="47"/>
      <c r="E32" s="47"/>
      <c r="F32" s="47"/>
      <c r="G32" s="47"/>
      <c r="H32" s="47"/>
      <c r="I32" s="46"/>
      <c r="K32" s="52"/>
      <c r="L32" s="47"/>
      <c r="M32" s="46"/>
      <c r="O32" s="50"/>
    </row>
    <row r="33" spans="1:15" x14ac:dyDescent="0.25">
      <c r="A33" s="75">
        <f t="shared" si="0"/>
        <v>30</v>
      </c>
      <c r="B33" s="74" t="s">
        <v>17</v>
      </c>
      <c r="C33" s="47"/>
      <c r="D33" s="47"/>
      <c r="E33" s="47"/>
      <c r="F33" s="47"/>
      <c r="G33" s="47"/>
      <c r="H33" s="47"/>
      <c r="I33" s="46"/>
      <c r="K33" s="52"/>
      <c r="L33" s="47"/>
      <c r="M33" s="46"/>
      <c r="O33" s="50"/>
    </row>
    <row r="34" spans="1:15" x14ac:dyDescent="0.25">
      <c r="A34" s="75">
        <f t="shared" si="0"/>
        <v>31</v>
      </c>
      <c r="B34" s="74" t="s">
        <v>18</v>
      </c>
      <c r="C34" s="47"/>
      <c r="D34" s="47"/>
      <c r="E34" s="47"/>
      <c r="F34" s="47"/>
      <c r="G34" s="47"/>
      <c r="H34" s="47"/>
      <c r="I34" s="46"/>
      <c r="K34" s="52"/>
      <c r="L34" s="47"/>
      <c r="M34" s="46"/>
      <c r="O34" s="50"/>
    </row>
    <row r="35" spans="1:15" hidden="1" x14ac:dyDescent="0.25">
      <c r="A35" s="75">
        <f t="shared" si="0"/>
        <v>32</v>
      </c>
      <c r="B35" s="74" t="s">
        <v>26</v>
      </c>
      <c r="C35" s="47"/>
      <c r="D35" s="47"/>
      <c r="E35" s="47"/>
      <c r="F35" s="47"/>
      <c r="G35" s="47"/>
      <c r="H35" s="47"/>
      <c r="I35" s="46"/>
      <c r="K35" s="52"/>
      <c r="L35" s="47"/>
      <c r="M35" s="46"/>
      <c r="O35" s="50"/>
    </row>
    <row r="36" spans="1:15" x14ac:dyDescent="0.25">
      <c r="A36" s="75">
        <f t="shared" si="0"/>
        <v>33</v>
      </c>
      <c r="B36" s="74" t="s">
        <v>19</v>
      </c>
      <c r="C36" s="47"/>
      <c r="D36" s="47"/>
      <c r="E36" s="47"/>
      <c r="F36" s="47"/>
      <c r="G36" s="47"/>
      <c r="H36" s="47"/>
      <c r="I36" s="46"/>
      <c r="K36" s="52"/>
      <c r="L36" s="47"/>
      <c r="M36" s="46"/>
      <c r="O36" s="50"/>
    </row>
    <row r="37" spans="1:15" ht="19.5" thickBot="1" x14ac:dyDescent="0.3">
      <c r="A37" s="75">
        <f t="shared" si="0"/>
        <v>34</v>
      </c>
      <c r="B37" s="94" t="s">
        <v>20</v>
      </c>
      <c r="C37" s="95"/>
      <c r="D37" s="95"/>
      <c r="E37" s="95"/>
      <c r="F37" s="95"/>
      <c r="G37" s="95"/>
      <c r="H37" s="95"/>
      <c r="I37" s="96"/>
      <c r="J37" s="102"/>
      <c r="K37" s="103"/>
      <c r="L37" s="97"/>
      <c r="M37" s="98"/>
      <c r="N37" s="102"/>
      <c r="O37" s="104"/>
    </row>
    <row r="38" spans="1:15" x14ac:dyDescent="0.25">
      <c r="A38" s="75">
        <f t="shared" si="0"/>
        <v>35</v>
      </c>
      <c r="B38" s="73" t="s">
        <v>21</v>
      </c>
      <c r="C38" s="47"/>
      <c r="D38" s="47"/>
      <c r="E38" s="47"/>
      <c r="F38" s="47"/>
      <c r="G38" s="47"/>
      <c r="H38" s="47"/>
      <c r="I38" s="46"/>
      <c r="K38" s="52"/>
      <c r="L38" s="47"/>
      <c r="M38" s="46"/>
      <c r="O38" s="50"/>
    </row>
    <row r="39" spans="1:15" ht="19.5" thickBot="1" x14ac:dyDescent="0.3">
      <c r="A39" s="75">
        <f t="shared" si="0"/>
        <v>36</v>
      </c>
      <c r="B39" s="94" t="s">
        <v>22</v>
      </c>
      <c r="C39" s="95"/>
      <c r="D39" s="95"/>
      <c r="E39" s="95"/>
      <c r="F39" s="95"/>
      <c r="G39" s="95"/>
      <c r="H39" s="95"/>
      <c r="I39" s="96"/>
      <c r="J39" s="102"/>
      <c r="K39" s="103"/>
      <c r="L39" s="97"/>
      <c r="M39" s="98"/>
      <c r="N39" s="102"/>
      <c r="O39" s="104"/>
    </row>
    <row r="40" spans="1:15" ht="19.5" thickBot="1" x14ac:dyDescent="0.3">
      <c r="A40" s="75">
        <f t="shared" si="0"/>
        <v>37</v>
      </c>
      <c r="B40" s="99" t="s">
        <v>23</v>
      </c>
      <c r="C40" s="100"/>
      <c r="D40" s="100"/>
      <c r="E40" s="100"/>
      <c r="F40" s="100"/>
      <c r="G40" s="100"/>
      <c r="H40" s="100"/>
      <c r="I40" s="101"/>
      <c r="J40" s="105"/>
      <c r="K40" s="106"/>
      <c r="L40" s="100"/>
      <c r="M40" s="101"/>
      <c r="N40" s="105"/>
      <c r="O40" s="107"/>
    </row>
    <row r="41" spans="1:15" hidden="1" x14ac:dyDescent="0.25">
      <c r="A41" s="75">
        <f t="shared" si="0"/>
        <v>38</v>
      </c>
      <c r="B41" s="73" t="s">
        <v>31</v>
      </c>
      <c r="C41" s="47"/>
      <c r="D41" s="47"/>
      <c r="E41" s="47"/>
      <c r="F41" s="47"/>
      <c r="G41" s="47"/>
      <c r="H41" s="47"/>
      <c r="I41" s="46"/>
      <c r="K41" s="52"/>
      <c r="L41" s="47"/>
      <c r="M41" s="46"/>
      <c r="O41" s="50"/>
    </row>
    <row r="42" spans="1:15" ht="19.5" thickBot="1" x14ac:dyDescent="0.3">
      <c r="A42" s="75">
        <f t="shared" si="0"/>
        <v>39</v>
      </c>
      <c r="B42" s="94" t="s">
        <v>24</v>
      </c>
      <c r="C42" s="97"/>
      <c r="D42" s="97"/>
      <c r="E42" s="97"/>
      <c r="F42" s="97"/>
      <c r="G42" s="97"/>
      <c r="H42" s="97"/>
      <c r="I42" s="98"/>
      <c r="J42" s="102"/>
      <c r="K42" s="103"/>
      <c r="L42" s="97"/>
      <c r="M42" s="98"/>
      <c r="N42" s="102"/>
      <c r="O42" s="104"/>
    </row>
    <row r="43" spans="1:15" hidden="1" x14ac:dyDescent="0.25">
      <c r="A43" s="75">
        <f t="shared" si="0"/>
        <v>40</v>
      </c>
      <c r="B43" s="73" t="s">
        <v>33</v>
      </c>
      <c r="C43" s="47"/>
      <c r="D43" s="47"/>
      <c r="E43" s="47"/>
      <c r="F43" s="47"/>
      <c r="G43" s="47"/>
      <c r="H43" s="47"/>
      <c r="I43" s="46"/>
      <c r="K43" s="52"/>
      <c r="L43" s="47"/>
      <c r="M43" s="46"/>
      <c r="O43" s="50"/>
    </row>
    <row r="44" spans="1:15" x14ac:dyDescent="0.25">
      <c r="A44" s="75">
        <f t="shared" si="0"/>
        <v>41</v>
      </c>
      <c r="B44" s="74" t="s">
        <v>25</v>
      </c>
      <c r="C44" s="47"/>
      <c r="D44" s="47"/>
      <c r="E44" s="47"/>
      <c r="F44" s="47"/>
      <c r="G44" s="47"/>
      <c r="H44" s="47"/>
      <c r="I44" s="46"/>
      <c r="K44" s="52"/>
      <c r="L44" s="47"/>
      <c r="M44" s="46"/>
      <c r="O44" s="50"/>
    </row>
    <row r="45" spans="1:15" x14ac:dyDescent="0.25">
      <c r="A45" s="75">
        <f t="shared" si="0"/>
        <v>42</v>
      </c>
      <c r="B45" s="74" t="s">
        <v>68</v>
      </c>
      <c r="C45" s="47"/>
      <c r="D45" s="47"/>
      <c r="E45" s="47"/>
      <c r="F45" s="47"/>
      <c r="G45" s="47"/>
      <c r="H45" s="47"/>
      <c r="I45" s="46"/>
      <c r="K45" s="52"/>
      <c r="L45" s="47"/>
      <c r="M45" s="46"/>
      <c r="O45" s="50"/>
    </row>
    <row r="46" spans="1:15" x14ac:dyDescent="0.25">
      <c r="A46" s="75">
        <f t="shared" si="0"/>
        <v>43</v>
      </c>
      <c r="B46" s="74" t="s">
        <v>73</v>
      </c>
      <c r="C46" s="47"/>
      <c r="D46" s="47"/>
      <c r="E46" s="47"/>
      <c r="F46" s="47"/>
      <c r="G46" s="47"/>
      <c r="H46" s="47"/>
      <c r="I46" s="46"/>
      <c r="K46" s="52"/>
      <c r="L46" s="47"/>
      <c r="M46" s="46"/>
      <c r="O46" s="50"/>
    </row>
    <row r="47" spans="1:15" x14ac:dyDescent="0.25">
      <c r="A47" s="75">
        <f t="shared" si="0"/>
        <v>44</v>
      </c>
      <c r="B47" s="74" t="s">
        <v>74</v>
      </c>
      <c r="C47" s="47"/>
      <c r="D47" s="47"/>
      <c r="E47" s="47"/>
      <c r="F47" s="47"/>
      <c r="G47" s="47"/>
      <c r="H47" s="47"/>
      <c r="I47" s="46"/>
      <c r="K47" s="52"/>
      <c r="L47" s="47"/>
      <c r="M47" s="46"/>
      <c r="O47" s="50"/>
    </row>
    <row r="48" spans="1:15" x14ac:dyDescent="0.25">
      <c r="A48" s="75">
        <f t="shared" si="0"/>
        <v>45</v>
      </c>
      <c r="B48" s="74" t="s">
        <v>26</v>
      </c>
      <c r="C48" s="47"/>
      <c r="D48" s="47"/>
      <c r="E48" s="47"/>
      <c r="F48" s="47"/>
      <c r="G48" s="47"/>
      <c r="H48" s="47"/>
      <c r="I48" s="46"/>
      <c r="K48" s="52"/>
      <c r="L48" s="47"/>
      <c r="M48" s="46"/>
      <c r="O48" s="50"/>
    </row>
    <row r="49" spans="1:15" x14ac:dyDescent="0.25">
      <c r="A49" s="75">
        <f t="shared" si="0"/>
        <v>46</v>
      </c>
      <c r="B49" s="74" t="s">
        <v>69</v>
      </c>
      <c r="C49" s="47"/>
      <c r="D49" s="47"/>
      <c r="E49" s="47"/>
      <c r="F49" s="47"/>
      <c r="G49" s="47"/>
      <c r="H49" s="47"/>
      <c r="I49" s="46"/>
      <c r="K49" s="52"/>
      <c r="L49" s="47"/>
      <c r="M49" s="46"/>
      <c r="O49" s="50"/>
    </row>
    <row r="50" spans="1:15" x14ac:dyDescent="0.25">
      <c r="A50" s="75">
        <f t="shared" si="0"/>
        <v>47</v>
      </c>
      <c r="B50" s="74" t="s">
        <v>28</v>
      </c>
      <c r="C50" s="47"/>
      <c r="D50" s="47"/>
      <c r="E50" s="47"/>
      <c r="F50" s="47"/>
      <c r="G50" s="47"/>
      <c r="H50" s="47"/>
      <c r="I50" s="46"/>
      <c r="K50" s="52"/>
      <c r="L50" s="47"/>
      <c r="M50" s="46"/>
      <c r="O50" s="50"/>
    </row>
    <row r="51" spans="1:15" x14ac:dyDescent="0.25">
      <c r="A51" s="75">
        <f t="shared" si="0"/>
        <v>48</v>
      </c>
      <c r="B51" s="74" t="s">
        <v>70</v>
      </c>
      <c r="C51" s="47"/>
      <c r="D51" s="47"/>
      <c r="E51" s="47"/>
      <c r="F51" s="47"/>
      <c r="G51" s="47"/>
      <c r="H51" s="47"/>
      <c r="I51" s="46"/>
      <c r="K51" s="52"/>
      <c r="L51" s="47"/>
      <c r="M51" s="46"/>
      <c r="O51" s="50"/>
    </row>
    <row r="52" spans="1:15" x14ac:dyDescent="0.25">
      <c r="A52" s="75">
        <f t="shared" si="0"/>
        <v>49</v>
      </c>
      <c r="B52" s="74" t="s">
        <v>29</v>
      </c>
      <c r="C52" s="47"/>
      <c r="D52" s="47"/>
      <c r="E52" s="47"/>
      <c r="F52" s="47"/>
      <c r="G52" s="47"/>
      <c r="H52" s="47"/>
      <c r="I52" s="46"/>
      <c r="K52" s="52"/>
      <c r="L52" s="47"/>
      <c r="M52" s="46"/>
      <c r="O52" s="50"/>
    </row>
    <row r="53" spans="1:15" x14ac:dyDescent="0.25">
      <c r="A53" s="75">
        <f t="shared" si="0"/>
        <v>50</v>
      </c>
      <c r="B53" s="74" t="s">
        <v>30</v>
      </c>
      <c r="C53" s="47"/>
      <c r="D53" s="47"/>
      <c r="E53" s="47"/>
      <c r="F53" s="47"/>
      <c r="G53" s="47"/>
      <c r="H53" s="47"/>
      <c r="I53" s="46"/>
      <c r="K53" s="52"/>
      <c r="L53" s="47"/>
      <c r="M53" s="46"/>
      <c r="O53" s="50"/>
    </row>
    <row r="54" spans="1:15" x14ac:dyDescent="0.25">
      <c r="A54" s="75">
        <f t="shared" si="0"/>
        <v>51</v>
      </c>
      <c r="B54" s="74"/>
      <c r="C54" s="47"/>
      <c r="D54" s="47"/>
      <c r="E54" s="47"/>
      <c r="F54" s="47"/>
      <c r="G54" s="47"/>
      <c r="H54" s="47"/>
      <c r="I54" s="46"/>
      <c r="K54" s="52"/>
      <c r="L54" s="47"/>
      <c r="M54" s="46"/>
      <c r="O54" s="50"/>
    </row>
    <row r="55" spans="1:15" x14ac:dyDescent="0.25">
      <c r="A55" s="75">
        <f t="shared" si="0"/>
        <v>52</v>
      </c>
      <c r="B55" s="74"/>
      <c r="C55" s="47"/>
      <c r="D55" s="47"/>
      <c r="E55" s="47"/>
      <c r="F55" s="47"/>
      <c r="G55" s="47"/>
      <c r="H55" s="47"/>
      <c r="I55" s="46"/>
      <c r="K55" s="52"/>
      <c r="L55" s="47"/>
      <c r="M55" s="46"/>
      <c r="O55" s="50"/>
    </row>
    <row r="56" spans="1:15" x14ac:dyDescent="0.25">
      <c r="A56" s="75">
        <f t="shared" si="0"/>
        <v>53</v>
      </c>
      <c r="B56" s="74"/>
      <c r="C56" s="47"/>
      <c r="D56" s="47"/>
      <c r="E56" s="47"/>
      <c r="F56" s="47"/>
      <c r="G56" s="47"/>
      <c r="H56" s="47"/>
      <c r="I56" s="46"/>
      <c r="K56" s="52"/>
      <c r="L56" s="47"/>
      <c r="M56" s="46"/>
      <c r="O56" s="50"/>
    </row>
    <row r="57" spans="1:15" s="63" customFormat="1" ht="19.5" thickBot="1" x14ac:dyDescent="0.3">
      <c r="B57" s="77" t="s">
        <v>60</v>
      </c>
      <c r="C57" s="49"/>
      <c r="D57" s="49"/>
      <c r="E57" s="49"/>
      <c r="F57" s="49"/>
      <c r="G57" s="49"/>
      <c r="H57" s="49"/>
      <c r="I57" s="54"/>
      <c r="K57" s="53"/>
      <c r="L57" s="49"/>
      <c r="M57" s="54"/>
      <c r="N57" s="57"/>
      <c r="O57" s="51"/>
    </row>
    <row r="58" spans="1:15" ht="7.5" customHeight="1" thickBot="1" x14ac:dyDescent="0.3"/>
    <row r="59" spans="1:15" ht="19.5" thickBot="1" x14ac:dyDescent="0.3">
      <c r="B59" s="78" t="s">
        <v>39</v>
      </c>
      <c r="C59" s="191" t="s">
        <v>49</v>
      </c>
      <c r="D59" s="192"/>
      <c r="E59" s="192"/>
      <c r="F59" s="192"/>
      <c r="G59" s="192"/>
      <c r="H59" s="192"/>
      <c r="I59" s="193"/>
      <c r="O59" s="72" t="s">
        <v>62</v>
      </c>
    </row>
    <row r="60" spans="1:15" x14ac:dyDescent="0.25">
      <c r="B60" s="79" t="s">
        <v>18</v>
      </c>
      <c r="C60" s="67"/>
      <c r="D60" s="67"/>
      <c r="E60" s="67"/>
      <c r="F60" s="67"/>
      <c r="G60" s="67"/>
      <c r="H60" s="67"/>
      <c r="I60" s="68"/>
      <c r="O60" s="55"/>
    </row>
    <row r="61" spans="1:15" x14ac:dyDescent="0.25">
      <c r="B61" s="80" t="s">
        <v>55</v>
      </c>
      <c r="C61" s="48"/>
      <c r="D61" s="48"/>
      <c r="E61" s="48"/>
      <c r="F61" s="48"/>
      <c r="G61" s="48"/>
      <c r="H61" s="48"/>
      <c r="I61" s="69"/>
      <c r="O61" s="50"/>
    </row>
    <row r="62" spans="1:15" ht="19.5" thickBot="1" x14ac:dyDescent="0.3">
      <c r="B62" s="81" t="s">
        <v>54</v>
      </c>
      <c r="C62" s="70"/>
      <c r="D62" s="70"/>
      <c r="E62" s="70"/>
      <c r="F62" s="70"/>
      <c r="G62" s="70"/>
      <c r="H62" s="70"/>
      <c r="I62" s="71"/>
      <c r="O62" s="56"/>
    </row>
    <row r="63" spans="1:15" ht="7.5" customHeight="1" thickBot="1" x14ac:dyDescent="0.3"/>
    <row r="64" spans="1:15" x14ac:dyDescent="0.25">
      <c r="B64" s="79" t="s">
        <v>56</v>
      </c>
      <c r="C64" s="67"/>
      <c r="D64" s="67"/>
      <c r="E64" s="67"/>
      <c r="F64" s="67"/>
      <c r="G64" s="67"/>
      <c r="H64" s="67"/>
      <c r="I64" s="68"/>
      <c r="O64" s="55"/>
    </row>
    <row r="65" spans="2:15" x14ac:dyDescent="0.25">
      <c r="B65" s="80" t="s">
        <v>55</v>
      </c>
      <c r="C65" s="48"/>
      <c r="D65" s="48"/>
      <c r="E65" s="48"/>
      <c r="F65" s="48"/>
      <c r="G65" s="48"/>
      <c r="H65" s="48"/>
      <c r="I65" s="69"/>
      <c r="O65" s="50"/>
    </row>
    <row r="66" spans="2:15" ht="19.5" thickBot="1" x14ac:dyDescent="0.3">
      <c r="B66" s="81" t="s">
        <v>54</v>
      </c>
      <c r="C66" s="70"/>
      <c r="D66" s="70"/>
      <c r="E66" s="70"/>
      <c r="F66" s="70"/>
      <c r="G66" s="70"/>
      <c r="H66" s="70"/>
      <c r="I66" s="71"/>
      <c r="O66" s="56"/>
    </row>
    <row r="67" spans="2:15" ht="7.5" customHeight="1" thickBot="1" x14ac:dyDescent="0.3"/>
    <row r="68" spans="2:15" x14ac:dyDescent="0.25">
      <c r="B68" s="79" t="s">
        <v>41</v>
      </c>
      <c r="C68" s="67"/>
      <c r="D68" s="67"/>
      <c r="E68" s="67"/>
      <c r="F68" s="67"/>
      <c r="G68" s="67"/>
      <c r="H68" s="67"/>
      <c r="I68" s="68"/>
      <c r="O68" s="55"/>
    </row>
    <row r="69" spans="2:15" x14ac:dyDescent="0.25">
      <c r="B69" s="80" t="s">
        <v>55</v>
      </c>
      <c r="C69" s="48"/>
      <c r="D69" s="48"/>
      <c r="E69" s="48"/>
      <c r="F69" s="48"/>
      <c r="G69" s="48"/>
      <c r="H69" s="48"/>
      <c r="I69" s="69"/>
      <c r="O69" s="50"/>
    </row>
    <row r="70" spans="2:15" ht="19.5" thickBot="1" x14ac:dyDescent="0.3">
      <c r="B70" s="81" t="s">
        <v>54</v>
      </c>
      <c r="C70" s="70"/>
      <c r="D70" s="70"/>
      <c r="E70" s="70"/>
      <c r="F70" s="70"/>
      <c r="G70" s="70"/>
      <c r="H70" s="70"/>
      <c r="I70" s="71"/>
      <c r="O70" s="56"/>
    </row>
    <row r="71" spans="2:15" ht="7.5" customHeight="1" thickBot="1" x14ac:dyDescent="0.3"/>
    <row r="72" spans="2:15" x14ac:dyDescent="0.25">
      <c r="B72" s="79" t="s">
        <v>57</v>
      </c>
      <c r="C72" s="67"/>
      <c r="D72" s="67"/>
      <c r="E72" s="67"/>
      <c r="F72" s="67"/>
      <c r="G72" s="67"/>
      <c r="H72" s="67"/>
      <c r="I72" s="68"/>
      <c r="O72" s="55"/>
    </row>
    <row r="73" spans="2:15" x14ac:dyDescent="0.25">
      <c r="B73" s="80" t="s">
        <v>55</v>
      </c>
      <c r="C73" s="48"/>
      <c r="D73" s="48"/>
      <c r="E73" s="48"/>
      <c r="F73" s="48"/>
      <c r="G73" s="48"/>
      <c r="H73" s="48"/>
      <c r="I73" s="69"/>
      <c r="O73" s="50"/>
    </row>
    <row r="74" spans="2:15" ht="19.5" thickBot="1" x14ac:dyDescent="0.3">
      <c r="B74" s="81" t="s">
        <v>54</v>
      </c>
      <c r="C74" s="70"/>
      <c r="D74" s="70"/>
      <c r="E74" s="70"/>
      <c r="F74" s="70"/>
      <c r="G74" s="70"/>
      <c r="H74" s="70"/>
      <c r="I74" s="71"/>
      <c r="O74" s="56"/>
    </row>
    <row r="75" spans="2:15" ht="7.5" customHeight="1" thickBot="1" x14ac:dyDescent="0.3"/>
    <row r="76" spans="2:15" x14ac:dyDescent="0.25">
      <c r="B76" s="79" t="s">
        <v>58</v>
      </c>
      <c r="C76" s="67"/>
      <c r="D76" s="67"/>
      <c r="E76" s="67"/>
      <c r="F76" s="67"/>
      <c r="G76" s="67"/>
      <c r="H76" s="67"/>
      <c r="I76" s="68"/>
      <c r="O76" s="55"/>
    </row>
    <row r="77" spans="2:15" x14ac:dyDescent="0.25">
      <c r="B77" s="80" t="s">
        <v>55</v>
      </c>
      <c r="C77" s="48"/>
      <c r="D77" s="48"/>
      <c r="E77" s="48"/>
      <c r="F77" s="48"/>
      <c r="G77" s="48"/>
      <c r="H77" s="48"/>
      <c r="I77" s="69"/>
      <c r="O77" s="50"/>
    </row>
    <row r="78" spans="2:15" ht="19.5" thickBot="1" x14ac:dyDescent="0.3">
      <c r="B78" s="81" t="s">
        <v>54</v>
      </c>
      <c r="C78" s="70"/>
      <c r="D78" s="70"/>
      <c r="E78" s="70"/>
      <c r="F78" s="70"/>
      <c r="G78" s="70"/>
      <c r="H78" s="70"/>
      <c r="I78" s="71"/>
      <c r="O78" s="56"/>
    </row>
    <row r="79" spans="2:15" ht="7.5" customHeight="1" thickBot="1" x14ac:dyDescent="0.3"/>
    <row r="80" spans="2:15" ht="19.5" thickBot="1" x14ac:dyDescent="0.3">
      <c r="B80" s="78" t="s">
        <v>59</v>
      </c>
      <c r="C80" s="65"/>
      <c r="D80" s="65"/>
      <c r="E80" s="65"/>
      <c r="F80" s="65"/>
      <c r="G80" s="65"/>
      <c r="H80" s="65"/>
      <c r="I80" s="66"/>
      <c r="O80" s="64"/>
    </row>
  </sheetData>
  <mergeCells count="3">
    <mergeCell ref="C4:I4"/>
    <mergeCell ref="C59:I59"/>
    <mergeCell ref="H1:O1"/>
  </mergeCells>
  <printOptions horizontalCentered="1" verticalCentered="1"/>
  <pageMargins left="0.19685039370078741" right="0.19685039370078741" top="0.19685039370078741" bottom="0.19685039370078741" header="0.19685039370078741" footer="0.19685039370078741"/>
  <pageSetup paperSize="14" scale="61" orientation="portrait" horizontalDpi="360" verticalDpi="360" r:id="rId1"/>
  <colBreaks count="1" manualBreakCount="1">
    <brk id="18" max="80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B5E07-550A-4B34-9157-F824269C12F8}">
  <sheetPr>
    <pageSetUpPr fitToPage="1"/>
  </sheetPr>
  <dimension ref="A1:BB80"/>
  <sheetViews>
    <sheetView topLeftCell="A31" zoomScaleNormal="100" zoomScaleSheetLayoutView="115" workbookViewId="0">
      <selection activeCell="H14" sqref="H14"/>
    </sheetView>
  </sheetViews>
  <sheetFormatPr defaultColWidth="9.140625" defaultRowHeight="18.75" x14ac:dyDescent="0.25"/>
  <cols>
    <col min="1" max="1" width="4.140625" style="57" bestFit="1" customWidth="1"/>
    <col min="2" max="2" width="12.28515625" style="76" customWidth="1"/>
    <col min="3" max="6" width="10" style="57" customWidth="1"/>
    <col min="7" max="7" width="6.85546875" style="57" customWidth="1"/>
    <col min="8" max="8" width="6.7109375" style="57" customWidth="1"/>
    <col min="9" max="9" width="5.5703125" style="57" bestFit="1" customWidth="1"/>
    <col min="10" max="10" width="6.85546875" style="57" customWidth="1"/>
    <col min="11" max="11" width="5.5703125" style="57" bestFit="1" customWidth="1"/>
    <col min="12" max="12" width="1.42578125" style="57" customWidth="1"/>
    <col min="13" max="13" width="10" style="57" customWidth="1"/>
    <col min="14" max="14" width="5.5703125" style="57" bestFit="1" customWidth="1"/>
    <col min="15" max="15" width="10" style="57" customWidth="1"/>
    <col min="16" max="16" width="5.5703125" style="57" customWidth="1"/>
    <col min="17" max="17" width="10" style="57" customWidth="1"/>
    <col min="18" max="18" width="5.5703125" style="57" bestFit="1" customWidth="1"/>
    <col min="19" max="19" width="1.42578125" style="57" customWidth="1"/>
    <col min="20" max="20" width="12.5703125" style="57" bestFit="1" customWidth="1"/>
    <col min="21" max="21" width="14.28515625" style="57" customWidth="1"/>
    <col min="22" max="22" width="19.42578125" style="57" bestFit="1" customWidth="1"/>
    <col min="23" max="49" width="7.28515625" style="57" customWidth="1"/>
    <col min="50" max="50" width="1.5703125" style="57" customWidth="1"/>
    <col min="51" max="51" width="9.42578125" style="57" customWidth="1"/>
    <col min="52" max="52" width="1.28515625" style="57" customWidth="1"/>
    <col min="53" max="53" width="12.7109375" style="57" bestFit="1" customWidth="1"/>
    <col min="54" max="54" width="10.28515625" style="57" bestFit="1" customWidth="1"/>
    <col min="55" max="16384" width="9.140625" style="57"/>
  </cols>
  <sheetData>
    <row r="1" spans="1:54" ht="15" customHeight="1" x14ac:dyDescent="0.25">
      <c r="B1" s="75" t="s">
        <v>51</v>
      </c>
      <c r="I1" s="194" t="s">
        <v>53</v>
      </c>
      <c r="J1" s="194"/>
      <c r="K1" s="194"/>
      <c r="L1" s="194"/>
      <c r="M1" s="194"/>
      <c r="N1" s="194"/>
      <c r="O1" s="194"/>
      <c r="P1" s="194"/>
      <c r="Q1" s="194"/>
      <c r="R1" s="194"/>
      <c r="S1" s="194"/>
      <c r="T1" s="194"/>
      <c r="U1" s="194"/>
    </row>
    <row r="2" spans="1:54" x14ac:dyDescent="0.25">
      <c r="B2" s="76" t="s">
        <v>82</v>
      </c>
    </row>
    <row r="3" spans="1:54" ht="19.5" thickBot="1" x14ac:dyDescent="0.3"/>
    <row r="4" spans="1:54" s="58" customFormat="1" ht="15.75" x14ac:dyDescent="0.25">
      <c r="B4" s="93" t="s">
        <v>63</v>
      </c>
      <c r="C4" s="189" t="s">
        <v>49</v>
      </c>
      <c r="D4" s="189"/>
      <c r="E4" s="189"/>
      <c r="F4" s="189"/>
      <c r="G4" s="189"/>
      <c r="H4" s="189"/>
      <c r="I4" s="189"/>
      <c r="J4" s="199"/>
      <c r="K4" s="190"/>
      <c r="M4" s="82" t="s">
        <v>0</v>
      </c>
      <c r="N4" s="117" t="s">
        <v>72</v>
      </c>
      <c r="O4" s="84" t="s">
        <v>45</v>
      </c>
      <c r="P4" s="117" t="s">
        <v>72</v>
      </c>
      <c r="Q4" s="85" t="s">
        <v>46</v>
      </c>
      <c r="R4" s="117" t="s">
        <v>72</v>
      </c>
      <c r="S4" s="57"/>
      <c r="T4" s="200" t="s">
        <v>80</v>
      </c>
      <c r="U4" s="202" t="s">
        <v>79</v>
      </c>
      <c r="V4" s="195" t="s">
        <v>78</v>
      </c>
      <c r="AF4" s="59"/>
      <c r="AG4" s="59"/>
      <c r="AH4" s="59"/>
      <c r="AI4" s="59"/>
      <c r="AJ4" s="59"/>
      <c r="AK4" s="59"/>
      <c r="AL4" s="59"/>
      <c r="AM4" s="59"/>
      <c r="AN4" s="59"/>
      <c r="AO4" s="59"/>
      <c r="AP4" s="59"/>
      <c r="AQ4" s="59"/>
      <c r="AR4" s="59"/>
      <c r="AS4" s="59"/>
      <c r="AT4" s="59"/>
      <c r="AU4" s="59"/>
      <c r="AV4" s="59"/>
      <c r="AW4" s="59"/>
      <c r="AX4" s="59"/>
      <c r="AY4" s="59"/>
      <c r="AZ4" s="59"/>
      <c r="BA4" s="59"/>
      <c r="BB4" s="59"/>
    </row>
    <row r="5" spans="1:54" s="58" customFormat="1" ht="15.75" x14ac:dyDescent="0.25">
      <c r="B5" s="87"/>
      <c r="C5" s="92"/>
      <c r="D5" s="92"/>
      <c r="E5" s="92"/>
      <c r="F5" s="92"/>
      <c r="G5" s="92"/>
      <c r="H5" s="92" t="s">
        <v>76</v>
      </c>
      <c r="I5" s="92" t="s">
        <v>71</v>
      </c>
      <c r="J5" s="197" t="s">
        <v>77</v>
      </c>
      <c r="K5" s="198"/>
      <c r="M5" s="87"/>
      <c r="N5" s="118"/>
      <c r="O5" s="92"/>
      <c r="P5" s="127"/>
      <c r="Q5" s="127"/>
      <c r="R5" s="89"/>
      <c r="S5" s="57"/>
      <c r="T5" s="201"/>
      <c r="U5" s="203"/>
      <c r="V5" s="196"/>
      <c r="AF5" s="59"/>
      <c r="AG5" s="59"/>
      <c r="AH5" s="59"/>
      <c r="AI5" s="59"/>
      <c r="AJ5" s="59"/>
      <c r="AK5" s="59"/>
      <c r="AL5" s="59"/>
      <c r="AM5" s="59"/>
      <c r="AN5" s="59"/>
      <c r="AO5" s="59"/>
      <c r="AP5" s="59"/>
      <c r="AQ5" s="59"/>
      <c r="AR5" s="59"/>
      <c r="AS5" s="59"/>
      <c r="AT5" s="59"/>
      <c r="AU5" s="59"/>
      <c r="AV5" s="59"/>
      <c r="AW5" s="59"/>
      <c r="AX5" s="59"/>
      <c r="AY5" s="59"/>
      <c r="AZ5" s="59"/>
      <c r="BA5" s="59"/>
      <c r="BB5" s="59"/>
    </row>
    <row r="6" spans="1:54" s="58" customFormat="1" ht="15.75" x14ac:dyDescent="0.25">
      <c r="B6" s="87"/>
      <c r="C6" s="92"/>
      <c r="D6" s="92"/>
      <c r="E6" s="92"/>
      <c r="F6" s="92"/>
      <c r="G6" s="92"/>
      <c r="H6" s="92"/>
      <c r="I6" s="92"/>
      <c r="J6" s="127"/>
      <c r="K6" s="89"/>
      <c r="M6" s="87"/>
      <c r="N6" s="118"/>
      <c r="O6" s="92"/>
      <c r="P6" s="127"/>
      <c r="Q6" s="127"/>
      <c r="R6" s="89"/>
      <c r="S6" s="57"/>
      <c r="T6" s="90"/>
      <c r="U6" s="90"/>
      <c r="V6" s="90"/>
      <c r="AF6" s="59"/>
      <c r="AG6" s="59"/>
      <c r="AH6" s="59"/>
      <c r="AI6" s="59"/>
      <c r="AJ6" s="59"/>
      <c r="AK6" s="59"/>
      <c r="AL6" s="59"/>
      <c r="AM6" s="59"/>
      <c r="AN6" s="59"/>
      <c r="AO6" s="59"/>
      <c r="AP6" s="59"/>
      <c r="AQ6" s="59"/>
      <c r="AR6" s="59"/>
      <c r="AS6" s="59"/>
      <c r="AT6" s="59"/>
      <c r="AU6" s="59"/>
      <c r="AV6" s="59"/>
      <c r="AW6" s="59"/>
      <c r="AX6" s="59"/>
      <c r="AY6" s="59"/>
      <c r="AZ6" s="59"/>
      <c r="BA6" s="59"/>
      <c r="BB6" s="59"/>
    </row>
    <row r="7" spans="1:54" x14ac:dyDescent="0.25">
      <c r="A7" s="75">
        <v>1</v>
      </c>
      <c r="B7" s="74" t="s">
        <v>34</v>
      </c>
      <c r="C7" s="48">
        <v>38</v>
      </c>
      <c r="D7" s="48"/>
      <c r="E7" s="48"/>
      <c r="F7" s="48"/>
      <c r="G7" s="48"/>
      <c r="H7" s="48">
        <v>17</v>
      </c>
      <c r="I7" s="48">
        <v>1</v>
      </c>
      <c r="J7" s="109"/>
      <c r="K7" s="69">
        <v>6</v>
      </c>
      <c r="M7" s="88">
        <v>2</v>
      </c>
      <c r="N7" s="119"/>
      <c r="O7" s="48">
        <v>3</v>
      </c>
      <c r="P7" s="109"/>
      <c r="Q7" s="109"/>
      <c r="R7" s="69"/>
      <c r="T7" s="91">
        <f>H7+I7+J7+K7+N7+P7+R7</f>
        <v>24</v>
      </c>
      <c r="U7" s="91">
        <f>C7*24+M7*24+O7*24+Q7*24+T7</f>
        <v>1056</v>
      </c>
      <c r="V7" s="91">
        <f>U7/24</f>
        <v>44</v>
      </c>
      <c r="W7" s="123"/>
      <c r="AF7" s="60"/>
      <c r="AG7" s="60"/>
      <c r="AH7" s="60"/>
      <c r="AI7" s="60"/>
      <c r="AJ7" s="60"/>
      <c r="AK7" s="60"/>
      <c r="AL7" s="60"/>
      <c r="AM7" s="60"/>
      <c r="AN7" s="60"/>
      <c r="AO7" s="60"/>
      <c r="AP7" s="60"/>
      <c r="AQ7" s="60"/>
      <c r="AR7" s="60"/>
      <c r="AS7" s="60"/>
      <c r="AT7" s="60"/>
      <c r="AU7" s="60"/>
      <c r="AV7" s="60"/>
      <c r="AW7" s="60"/>
      <c r="AX7" s="60"/>
      <c r="AY7" s="60"/>
      <c r="AZ7" s="60"/>
      <c r="BA7" s="60"/>
      <c r="BB7" s="60"/>
    </row>
    <row r="8" spans="1:54" ht="19.5" thickBot="1" x14ac:dyDescent="0.3">
      <c r="A8" s="75">
        <f>A7+1</f>
        <v>2</v>
      </c>
      <c r="B8" s="94" t="s">
        <v>37</v>
      </c>
      <c r="C8" s="95">
        <f>63+44</f>
        <v>107</v>
      </c>
      <c r="D8" s="95"/>
      <c r="E8" s="95"/>
      <c r="F8" s="95"/>
      <c r="G8" s="95"/>
      <c r="H8" s="95"/>
      <c r="I8" s="95"/>
      <c r="J8" s="110"/>
      <c r="K8" s="96"/>
      <c r="L8" s="102"/>
      <c r="M8" s="103"/>
      <c r="N8" s="120"/>
      <c r="O8" s="97"/>
      <c r="P8" s="113"/>
      <c r="Q8" s="113">
        <v>3</v>
      </c>
      <c r="R8" s="98"/>
      <c r="S8" s="102"/>
      <c r="T8" s="126">
        <f t="shared" ref="T8:T40" si="0">H8+I8+J8+K8+N8+P8+R8</f>
        <v>0</v>
      </c>
      <c r="U8" s="124">
        <f>C8*24+M8*24+O8*24+Q8*24+T8</f>
        <v>2640</v>
      </c>
      <c r="V8" s="124">
        <f>U8/24</f>
        <v>110</v>
      </c>
      <c r="W8" s="123"/>
      <c r="AF8" s="60"/>
      <c r="AG8" s="60"/>
      <c r="AH8" s="60"/>
      <c r="AI8" s="60"/>
      <c r="AJ8" s="60"/>
      <c r="AK8" s="60"/>
      <c r="AL8" s="60"/>
      <c r="AM8" s="60"/>
      <c r="AN8" s="60"/>
      <c r="AO8" s="60"/>
      <c r="AP8" s="60"/>
      <c r="AQ8" s="60"/>
      <c r="AR8" s="60"/>
      <c r="AS8" s="60"/>
      <c r="AT8" s="60"/>
      <c r="AU8" s="60"/>
      <c r="AV8" s="60"/>
      <c r="AW8" s="60"/>
      <c r="AX8" s="60"/>
      <c r="AY8" s="60"/>
      <c r="AZ8" s="60"/>
      <c r="BA8" s="60"/>
      <c r="BB8" s="60"/>
    </row>
    <row r="9" spans="1:54" x14ac:dyDescent="0.25">
      <c r="A9" s="75">
        <f t="shared" ref="A9:A56" si="1">A8+1</f>
        <v>3</v>
      </c>
      <c r="B9" s="73" t="s">
        <v>35</v>
      </c>
      <c r="C9" s="47"/>
      <c r="D9" s="47"/>
      <c r="E9" s="47"/>
      <c r="F9" s="47"/>
      <c r="G9" s="47"/>
      <c r="H9" s="47"/>
      <c r="I9" s="47"/>
      <c r="J9" s="111"/>
      <c r="K9" s="46"/>
      <c r="M9" s="52"/>
      <c r="N9" s="121"/>
      <c r="O9" s="47"/>
      <c r="P9" s="111"/>
      <c r="Q9" s="111"/>
      <c r="R9" s="46"/>
      <c r="T9" s="50">
        <f t="shared" si="0"/>
        <v>0</v>
      </c>
      <c r="U9" s="125">
        <f t="shared" ref="U9:U11" si="2">C9*24+M9*24+O9*24+Q9*24+T9</f>
        <v>0</v>
      </c>
      <c r="V9" s="125">
        <f t="shared" ref="V9:V11" si="3">U9/24</f>
        <v>0</v>
      </c>
      <c r="W9" s="123"/>
      <c r="AF9" s="60"/>
      <c r="AG9" s="60"/>
      <c r="AH9" s="60"/>
      <c r="AI9" s="60"/>
      <c r="AJ9" s="60"/>
      <c r="AK9" s="60"/>
      <c r="AL9" s="60"/>
      <c r="AM9" s="60"/>
      <c r="AN9" s="60"/>
      <c r="AO9" s="60"/>
      <c r="AP9" s="60"/>
      <c r="AQ9" s="60"/>
      <c r="AR9" s="60"/>
      <c r="AS9" s="60"/>
      <c r="AT9" s="60"/>
      <c r="AU9" s="60"/>
      <c r="AV9" s="60"/>
      <c r="AW9" s="60"/>
      <c r="AX9" s="60"/>
      <c r="AY9" s="60"/>
      <c r="AZ9" s="60"/>
      <c r="BA9" s="60"/>
      <c r="BB9" s="60"/>
    </row>
    <row r="10" spans="1:54" x14ac:dyDescent="0.25">
      <c r="A10" s="75">
        <f t="shared" si="1"/>
        <v>4</v>
      </c>
      <c r="B10" s="74" t="s">
        <v>38</v>
      </c>
      <c r="C10" s="47">
        <v>139</v>
      </c>
      <c r="D10" s="47"/>
      <c r="E10" s="47"/>
      <c r="F10" s="47"/>
      <c r="G10" s="47"/>
      <c r="H10" s="47"/>
      <c r="I10" s="47"/>
      <c r="J10" s="111"/>
      <c r="K10" s="46"/>
      <c r="M10" s="52">
        <v>2</v>
      </c>
      <c r="N10" s="121"/>
      <c r="O10" s="47">
        <v>1</v>
      </c>
      <c r="P10" s="111"/>
      <c r="Q10" s="111">
        <v>2</v>
      </c>
      <c r="R10" s="46"/>
      <c r="T10" s="91">
        <f t="shared" si="0"/>
        <v>0</v>
      </c>
      <c r="U10" s="91">
        <f t="shared" si="2"/>
        <v>3456</v>
      </c>
      <c r="V10" s="91">
        <f t="shared" si="3"/>
        <v>144</v>
      </c>
      <c r="W10" s="123"/>
      <c r="AF10" s="60"/>
      <c r="AG10" s="60"/>
      <c r="AH10" s="60"/>
      <c r="AI10" s="60"/>
      <c r="AJ10" s="60"/>
      <c r="AK10" s="60"/>
      <c r="AL10" s="60"/>
      <c r="AM10" s="60"/>
      <c r="AN10" s="60"/>
      <c r="AO10" s="60"/>
      <c r="AP10" s="60"/>
      <c r="AQ10" s="60"/>
      <c r="AR10" s="60"/>
      <c r="AS10" s="60"/>
      <c r="AT10" s="60"/>
      <c r="AU10" s="60"/>
      <c r="AV10" s="60"/>
      <c r="AW10" s="60"/>
      <c r="AX10" s="60"/>
      <c r="AY10" s="60"/>
      <c r="AZ10" s="60"/>
      <c r="BA10" s="60"/>
      <c r="BB10" s="60"/>
    </row>
    <row r="11" spans="1:54" x14ac:dyDescent="0.25">
      <c r="A11" s="75">
        <f t="shared" si="1"/>
        <v>5</v>
      </c>
      <c r="B11" s="74" t="s">
        <v>36</v>
      </c>
      <c r="C11" s="47">
        <v>1</v>
      </c>
      <c r="D11" s="47"/>
      <c r="E11" s="47"/>
      <c r="F11" s="47"/>
      <c r="G11" s="47"/>
      <c r="H11" s="47">
        <v>22</v>
      </c>
      <c r="I11" s="47"/>
      <c r="J11" s="111"/>
      <c r="K11" s="46">
        <v>2</v>
      </c>
      <c r="M11" s="52">
        <v>2</v>
      </c>
      <c r="N11" s="121"/>
      <c r="O11" s="47"/>
      <c r="P11" s="111"/>
      <c r="Q11" s="111"/>
      <c r="R11" s="46"/>
      <c r="T11" s="91">
        <f t="shared" si="0"/>
        <v>24</v>
      </c>
      <c r="U11" s="91">
        <f t="shared" si="2"/>
        <v>96</v>
      </c>
      <c r="V11" s="91">
        <f t="shared" si="3"/>
        <v>4</v>
      </c>
      <c r="AF11" s="60"/>
      <c r="AG11" s="60"/>
      <c r="AH11" s="60"/>
      <c r="AI11" s="60"/>
      <c r="AJ11" s="60"/>
      <c r="AK11" s="60"/>
      <c r="AL11" s="60"/>
      <c r="AM11" s="60"/>
      <c r="AN11" s="60"/>
      <c r="AO11" s="60"/>
      <c r="AP11" s="60"/>
      <c r="AQ11" s="60"/>
      <c r="AR11" s="60"/>
      <c r="AS11" s="60"/>
      <c r="AT11" s="60"/>
      <c r="AU11" s="60"/>
      <c r="AV11" s="60"/>
      <c r="AW11" s="60"/>
      <c r="AX11" s="60"/>
      <c r="AY11" s="60"/>
      <c r="AZ11" s="60"/>
      <c r="BA11" s="60"/>
      <c r="BB11" s="60"/>
    </row>
    <row r="12" spans="1:54" s="61" customFormat="1" ht="19.5" thickBot="1" x14ac:dyDescent="0.3">
      <c r="A12" s="75">
        <v>7</v>
      </c>
      <c r="B12" s="94" t="s">
        <v>32</v>
      </c>
      <c r="C12" s="95">
        <f>72+1656+47+576+1440</f>
        <v>3791</v>
      </c>
      <c r="D12" s="95"/>
      <c r="E12" s="95"/>
      <c r="F12" s="95"/>
      <c r="G12" s="95"/>
      <c r="H12" s="95"/>
      <c r="I12" s="95"/>
      <c r="J12" s="110"/>
      <c r="K12" s="96"/>
      <c r="L12" s="102"/>
      <c r="M12" s="103">
        <v>10</v>
      </c>
      <c r="N12" s="120">
        <v>1</v>
      </c>
      <c r="O12" s="97">
        <v>10</v>
      </c>
      <c r="P12" s="113">
        <v>16</v>
      </c>
      <c r="Q12" s="113">
        <v>18</v>
      </c>
      <c r="R12" s="98"/>
      <c r="S12" s="102"/>
      <c r="T12" s="91">
        <f t="shared" si="0"/>
        <v>17</v>
      </c>
      <c r="U12" s="124">
        <f>C12*24+M12*24+O12*24+Q12*24+T12</f>
        <v>91913</v>
      </c>
      <c r="V12" s="124">
        <f>U12/24</f>
        <v>3829.7083333333335</v>
      </c>
      <c r="W12" s="57"/>
      <c r="X12" s="57"/>
      <c r="Y12" s="57"/>
      <c r="Z12" s="57"/>
      <c r="AA12" s="57"/>
      <c r="AB12" s="57"/>
      <c r="AC12" s="57"/>
      <c r="AD12" s="57"/>
      <c r="AE12" s="57"/>
      <c r="AF12" s="60"/>
      <c r="AG12" s="60"/>
      <c r="AH12" s="60"/>
      <c r="AI12" s="60"/>
      <c r="AJ12" s="60"/>
      <c r="AK12" s="60"/>
      <c r="AL12" s="60"/>
      <c r="AM12" s="60"/>
      <c r="AN12" s="60"/>
      <c r="AO12" s="60"/>
      <c r="AP12" s="60"/>
      <c r="AQ12" s="60"/>
      <c r="AR12" s="60"/>
      <c r="AS12" s="60"/>
      <c r="AT12" s="60"/>
      <c r="AU12" s="60"/>
      <c r="AV12" s="60"/>
      <c r="AW12" s="60"/>
      <c r="AX12" s="60"/>
      <c r="AY12" s="60"/>
      <c r="AZ12" s="60"/>
      <c r="BA12" s="60"/>
      <c r="BB12" s="60"/>
    </row>
    <row r="13" spans="1:54" x14ac:dyDescent="0.25">
      <c r="A13" s="75">
        <v>11</v>
      </c>
      <c r="B13" s="73" t="s">
        <v>1</v>
      </c>
      <c r="C13" s="47">
        <v>5</v>
      </c>
      <c r="D13" s="47"/>
      <c r="E13" s="47"/>
      <c r="F13" s="47"/>
      <c r="G13" s="47"/>
      <c r="H13" s="47"/>
      <c r="I13" s="47"/>
      <c r="J13" s="111"/>
      <c r="K13" s="46"/>
      <c r="M13" s="52"/>
      <c r="N13" s="121"/>
      <c r="O13" s="47"/>
      <c r="P13" s="111"/>
      <c r="Q13" s="111"/>
      <c r="R13" s="46"/>
      <c r="T13" s="91">
        <f t="shared" si="0"/>
        <v>0</v>
      </c>
      <c r="U13" s="125">
        <f>C13*24+M13*24+O13*24+Q13*24+T13</f>
        <v>120</v>
      </c>
      <c r="V13" s="125">
        <f>U13/24</f>
        <v>5</v>
      </c>
      <c r="AF13" s="60"/>
      <c r="AG13" s="60"/>
      <c r="AH13" s="60"/>
      <c r="AI13" s="60"/>
      <c r="AJ13" s="60"/>
      <c r="AK13" s="60"/>
      <c r="AL13" s="60"/>
      <c r="AM13" s="60"/>
      <c r="AN13" s="60"/>
      <c r="AO13" s="60"/>
      <c r="AP13" s="60"/>
      <c r="AQ13" s="60"/>
      <c r="AR13" s="60"/>
      <c r="AS13" s="60"/>
      <c r="AT13" s="60"/>
      <c r="AU13" s="60"/>
      <c r="AV13" s="60"/>
      <c r="AW13" s="60"/>
      <c r="AX13" s="60"/>
      <c r="AY13" s="60"/>
      <c r="AZ13" s="60"/>
      <c r="BA13" s="60"/>
      <c r="BB13" s="60"/>
    </row>
    <row r="14" spans="1:54" x14ac:dyDescent="0.25">
      <c r="A14" s="75">
        <f t="shared" si="1"/>
        <v>12</v>
      </c>
      <c r="B14" s="74" t="s">
        <v>2</v>
      </c>
      <c r="C14" s="47"/>
      <c r="D14" s="47"/>
      <c r="E14" s="47"/>
      <c r="F14" s="47"/>
      <c r="G14" s="47"/>
      <c r="H14" s="47"/>
      <c r="I14" s="47"/>
      <c r="J14" s="111"/>
      <c r="K14" s="46"/>
      <c r="M14" s="52"/>
      <c r="N14" s="121"/>
      <c r="O14" s="47"/>
      <c r="P14" s="111"/>
      <c r="Q14" s="111"/>
      <c r="R14" s="46"/>
      <c r="T14" s="91">
        <f t="shared" si="0"/>
        <v>0</v>
      </c>
      <c r="U14" s="50">
        <f t="shared" ref="U14:U36" si="4">C14*24+M14*24+O14*24+Q14*24+T14</f>
        <v>0</v>
      </c>
      <c r="V14" s="50">
        <f t="shared" ref="V14:V36" si="5">U14/24</f>
        <v>0</v>
      </c>
      <c r="AF14" s="60"/>
      <c r="AG14" s="60"/>
      <c r="AH14" s="60"/>
      <c r="AI14" s="60"/>
      <c r="AJ14" s="60"/>
      <c r="AK14" s="60"/>
      <c r="AL14" s="60"/>
      <c r="AM14" s="60"/>
      <c r="AN14" s="60"/>
      <c r="AO14" s="60"/>
      <c r="AP14" s="60"/>
      <c r="AQ14" s="60"/>
      <c r="AR14" s="60"/>
      <c r="AS14" s="60"/>
      <c r="AT14" s="60"/>
      <c r="AU14" s="60"/>
      <c r="AV14" s="60"/>
      <c r="AW14" s="60"/>
      <c r="AX14" s="60"/>
      <c r="AY14" s="60"/>
      <c r="AZ14" s="60"/>
      <c r="BA14" s="60"/>
      <c r="BB14" s="60"/>
    </row>
    <row r="15" spans="1:54" x14ac:dyDescent="0.25">
      <c r="A15" s="75">
        <f t="shared" si="1"/>
        <v>13</v>
      </c>
      <c r="B15" s="74" t="s">
        <v>3</v>
      </c>
      <c r="C15" s="47"/>
      <c r="D15" s="47"/>
      <c r="E15" s="47"/>
      <c r="F15" s="47"/>
      <c r="G15" s="47"/>
      <c r="H15" s="47"/>
      <c r="I15" s="47"/>
      <c r="J15" s="111"/>
      <c r="K15" s="46"/>
      <c r="M15" s="52"/>
      <c r="N15" s="121"/>
      <c r="O15" s="47"/>
      <c r="P15" s="111"/>
      <c r="Q15" s="111"/>
      <c r="R15" s="46"/>
      <c r="T15" s="91">
        <f t="shared" si="0"/>
        <v>0</v>
      </c>
      <c r="U15" s="50">
        <f t="shared" si="4"/>
        <v>0</v>
      </c>
      <c r="V15" s="50">
        <f t="shared" si="5"/>
        <v>0</v>
      </c>
      <c r="AF15" s="60"/>
      <c r="AG15" s="60"/>
      <c r="AH15" s="60"/>
      <c r="AI15" s="60"/>
      <c r="AJ15" s="60"/>
      <c r="AK15" s="60"/>
      <c r="AL15" s="60"/>
      <c r="AM15" s="60"/>
      <c r="AN15" s="60"/>
      <c r="AO15" s="60"/>
      <c r="AP15" s="60"/>
      <c r="AQ15" s="60"/>
      <c r="AR15" s="60"/>
      <c r="AS15" s="60"/>
      <c r="AT15" s="60"/>
      <c r="AU15" s="60"/>
      <c r="AV15" s="60"/>
      <c r="AW15" s="60"/>
      <c r="AX15" s="60"/>
      <c r="AY15" s="60"/>
      <c r="AZ15" s="60"/>
      <c r="BA15" s="60"/>
      <c r="BB15" s="60"/>
    </row>
    <row r="16" spans="1:54" x14ac:dyDescent="0.25">
      <c r="A16" s="75">
        <f t="shared" si="1"/>
        <v>14</v>
      </c>
      <c r="B16" s="74" t="s">
        <v>4</v>
      </c>
      <c r="C16" s="47"/>
      <c r="D16" s="47"/>
      <c r="E16" s="47"/>
      <c r="F16" s="47"/>
      <c r="G16" s="47"/>
      <c r="H16" s="47"/>
      <c r="I16" s="47"/>
      <c r="J16" s="111"/>
      <c r="K16" s="46"/>
      <c r="M16" s="52"/>
      <c r="N16" s="121"/>
      <c r="O16" s="47"/>
      <c r="P16" s="111"/>
      <c r="Q16" s="111"/>
      <c r="R16" s="46"/>
      <c r="T16" s="91">
        <f t="shared" si="0"/>
        <v>0</v>
      </c>
      <c r="U16" s="50">
        <f t="shared" si="4"/>
        <v>0</v>
      </c>
      <c r="V16" s="50">
        <f t="shared" si="5"/>
        <v>0</v>
      </c>
      <c r="AF16" s="60"/>
      <c r="AG16" s="60"/>
      <c r="AH16" s="60"/>
      <c r="AI16" s="60"/>
      <c r="AJ16" s="60"/>
      <c r="AK16" s="60"/>
      <c r="AL16" s="60"/>
      <c r="AM16" s="60"/>
      <c r="AN16" s="60"/>
      <c r="AO16" s="60"/>
      <c r="AP16" s="60"/>
      <c r="AQ16" s="60"/>
      <c r="AR16" s="60"/>
      <c r="AS16" s="60"/>
      <c r="AT16" s="60"/>
      <c r="AU16" s="60"/>
      <c r="AV16" s="60"/>
      <c r="AW16" s="60"/>
      <c r="AX16" s="60"/>
      <c r="AY16" s="60"/>
      <c r="AZ16" s="60"/>
      <c r="BA16" s="60"/>
      <c r="BB16" s="60"/>
    </row>
    <row r="17" spans="1:54" x14ac:dyDescent="0.25">
      <c r="A17" s="75">
        <f t="shared" si="1"/>
        <v>15</v>
      </c>
      <c r="B17" s="74" t="s">
        <v>5</v>
      </c>
      <c r="C17" s="47">
        <v>5</v>
      </c>
      <c r="D17" s="47"/>
      <c r="E17" s="47"/>
      <c r="F17" s="47"/>
      <c r="G17" s="47"/>
      <c r="H17" s="47"/>
      <c r="I17" s="47"/>
      <c r="J17" s="111"/>
      <c r="K17" s="46"/>
      <c r="M17" s="52"/>
      <c r="N17" s="121"/>
      <c r="O17" s="47"/>
      <c r="P17" s="111"/>
      <c r="Q17" s="111"/>
      <c r="R17" s="46"/>
      <c r="T17" s="91">
        <f t="shared" si="0"/>
        <v>0</v>
      </c>
      <c r="U17" s="50">
        <f t="shared" si="4"/>
        <v>120</v>
      </c>
      <c r="V17" s="50">
        <f t="shared" si="5"/>
        <v>5</v>
      </c>
      <c r="AF17" s="60"/>
      <c r="AG17" s="60"/>
      <c r="AH17" s="60"/>
      <c r="AI17" s="60"/>
      <c r="AJ17" s="60"/>
      <c r="AK17" s="60"/>
      <c r="AL17" s="60"/>
      <c r="AM17" s="60"/>
      <c r="AN17" s="60"/>
      <c r="AO17" s="60"/>
      <c r="AP17" s="60"/>
      <c r="AQ17" s="60"/>
      <c r="AR17" s="60"/>
      <c r="AS17" s="60"/>
      <c r="AT17" s="60"/>
      <c r="AU17" s="60"/>
      <c r="AV17" s="60"/>
      <c r="AW17" s="60"/>
      <c r="AX17" s="60"/>
      <c r="AY17" s="60"/>
      <c r="AZ17" s="60"/>
      <c r="BA17" s="60"/>
      <c r="BB17" s="60"/>
    </row>
    <row r="18" spans="1:54" hidden="1" x14ac:dyDescent="0.25">
      <c r="A18" s="75">
        <f t="shared" si="1"/>
        <v>16</v>
      </c>
      <c r="B18" s="74" t="s">
        <v>10</v>
      </c>
      <c r="C18" s="47"/>
      <c r="D18" s="47"/>
      <c r="E18" s="47"/>
      <c r="F18" s="47"/>
      <c r="G18" s="47"/>
      <c r="H18" s="47"/>
      <c r="I18" s="47"/>
      <c r="J18" s="111"/>
      <c r="K18" s="46"/>
      <c r="M18" s="52"/>
      <c r="N18" s="121"/>
      <c r="O18" s="47"/>
      <c r="P18" s="111"/>
      <c r="Q18" s="111"/>
      <c r="R18" s="46"/>
      <c r="T18" s="91">
        <f t="shared" si="0"/>
        <v>0</v>
      </c>
      <c r="U18" s="50">
        <f t="shared" si="4"/>
        <v>0</v>
      </c>
      <c r="V18" s="50">
        <f t="shared" si="5"/>
        <v>0</v>
      </c>
      <c r="AF18" s="60"/>
      <c r="AG18" s="60"/>
      <c r="AH18" s="60"/>
      <c r="AI18" s="60"/>
      <c r="AJ18" s="60"/>
      <c r="AK18" s="60"/>
      <c r="AL18" s="60"/>
      <c r="AM18" s="60"/>
      <c r="AN18" s="60"/>
      <c r="AO18" s="60"/>
      <c r="AP18" s="60"/>
      <c r="AQ18" s="60"/>
      <c r="AR18" s="60"/>
      <c r="AS18" s="60"/>
      <c r="AT18" s="60"/>
      <c r="AU18" s="60"/>
      <c r="AV18" s="60"/>
      <c r="AW18" s="60"/>
      <c r="AX18" s="60"/>
      <c r="AY18" s="60"/>
      <c r="AZ18" s="60"/>
      <c r="BA18" s="60"/>
      <c r="BB18" s="60"/>
    </row>
    <row r="19" spans="1:54" x14ac:dyDescent="0.25">
      <c r="A19" s="75">
        <v>16</v>
      </c>
      <c r="B19" s="74" t="s">
        <v>64</v>
      </c>
      <c r="C19" s="47">
        <v>4</v>
      </c>
      <c r="D19" s="47"/>
      <c r="E19" s="47"/>
      <c r="F19" s="47"/>
      <c r="G19" s="47"/>
      <c r="H19" s="47"/>
      <c r="I19" s="47"/>
      <c r="J19" s="111"/>
      <c r="K19" s="46"/>
      <c r="M19" s="52"/>
      <c r="N19" s="121"/>
      <c r="O19" s="47"/>
      <c r="P19" s="111"/>
      <c r="Q19" s="111"/>
      <c r="R19" s="46"/>
      <c r="T19" s="91">
        <f t="shared" si="0"/>
        <v>0</v>
      </c>
      <c r="U19" s="50">
        <f t="shared" si="4"/>
        <v>96</v>
      </c>
      <c r="V19" s="50">
        <f t="shared" si="5"/>
        <v>4</v>
      </c>
      <c r="AF19" s="60"/>
      <c r="AG19" s="60"/>
      <c r="AH19" s="60"/>
      <c r="AI19" s="60"/>
      <c r="AJ19" s="60"/>
      <c r="AK19" s="60"/>
      <c r="AL19" s="60"/>
      <c r="AM19" s="60"/>
      <c r="AN19" s="60"/>
      <c r="AO19" s="60"/>
      <c r="AP19" s="60"/>
      <c r="AQ19" s="60"/>
      <c r="AR19" s="60"/>
      <c r="AS19" s="60"/>
      <c r="AT19" s="60"/>
      <c r="AU19" s="60"/>
      <c r="AV19" s="60"/>
      <c r="AW19" s="60"/>
      <c r="AX19" s="60"/>
      <c r="AY19" s="60"/>
      <c r="AZ19" s="60"/>
      <c r="BA19" s="60"/>
      <c r="BB19" s="60"/>
    </row>
    <row r="20" spans="1:54" x14ac:dyDescent="0.25">
      <c r="A20" s="75">
        <f t="shared" si="1"/>
        <v>17</v>
      </c>
      <c r="B20" s="74" t="s">
        <v>6</v>
      </c>
      <c r="C20" s="47">
        <v>6</v>
      </c>
      <c r="D20" s="47"/>
      <c r="E20" s="47"/>
      <c r="F20" s="47"/>
      <c r="G20" s="47"/>
      <c r="H20" s="47"/>
      <c r="I20" s="47"/>
      <c r="J20" s="111"/>
      <c r="K20" s="46"/>
      <c r="M20" s="52"/>
      <c r="N20" s="121"/>
      <c r="O20" s="47"/>
      <c r="P20" s="111"/>
      <c r="Q20" s="111"/>
      <c r="R20" s="46"/>
      <c r="T20" s="91">
        <f t="shared" si="0"/>
        <v>0</v>
      </c>
      <c r="U20" s="50">
        <f t="shared" si="4"/>
        <v>144</v>
      </c>
      <c r="V20" s="50">
        <f t="shared" si="5"/>
        <v>6</v>
      </c>
      <c r="AF20" s="60"/>
      <c r="AG20" s="60"/>
      <c r="AH20" s="60"/>
      <c r="AI20" s="60"/>
      <c r="AJ20" s="60"/>
      <c r="AK20" s="60"/>
      <c r="AL20" s="60"/>
      <c r="AM20" s="60"/>
      <c r="AN20" s="60"/>
      <c r="AO20" s="60"/>
      <c r="AP20" s="60"/>
      <c r="AQ20" s="60"/>
      <c r="AR20" s="60"/>
      <c r="AS20" s="60"/>
      <c r="AT20" s="60"/>
      <c r="AU20" s="60"/>
      <c r="AV20" s="60"/>
      <c r="AW20" s="60"/>
      <c r="AX20" s="60"/>
      <c r="AY20" s="60"/>
      <c r="AZ20" s="60"/>
      <c r="BA20" s="60"/>
      <c r="BB20" s="60"/>
    </row>
    <row r="21" spans="1:54" x14ac:dyDescent="0.25">
      <c r="A21" s="75">
        <f t="shared" si="1"/>
        <v>18</v>
      </c>
      <c r="B21" s="74" t="s">
        <v>7</v>
      </c>
      <c r="C21" s="47">
        <v>4</v>
      </c>
      <c r="D21" s="47"/>
      <c r="E21" s="47"/>
      <c r="F21" s="47"/>
      <c r="G21" s="47"/>
      <c r="H21" s="47"/>
      <c r="I21" s="47"/>
      <c r="J21" s="111"/>
      <c r="K21" s="46"/>
      <c r="M21" s="52"/>
      <c r="N21" s="121"/>
      <c r="O21" s="47"/>
      <c r="P21" s="111"/>
      <c r="Q21" s="111"/>
      <c r="R21" s="46"/>
      <c r="T21" s="91">
        <f t="shared" si="0"/>
        <v>0</v>
      </c>
      <c r="U21" s="50">
        <f t="shared" si="4"/>
        <v>96</v>
      </c>
      <c r="V21" s="50">
        <f t="shared" si="5"/>
        <v>4</v>
      </c>
      <c r="AF21" s="60"/>
      <c r="AG21" s="60"/>
      <c r="AH21" s="60"/>
      <c r="AI21" s="60"/>
      <c r="AJ21" s="60"/>
      <c r="AK21" s="60"/>
      <c r="AL21" s="60"/>
      <c r="AM21" s="60"/>
      <c r="AN21" s="60"/>
      <c r="AO21" s="60"/>
      <c r="AP21" s="60"/>
      <c r="AQ21" s="60"/>
      <c r="AR21" s="60"/>
      <c r="AS21" s="60"/>
      <c r="AT21" s="60"/>
      <c r="AU21" s="60"/>
      <c r="AV21" s="60"/>
      <c r="AW21" s="60"/>
      <c r="AX21" s="60"/>
      <c r="AY21" s="60"/>
      <c r="AZ21" s="60"/>
      <c r="BA21" s="60"/>
      <c r="BB21" s="60"/>
    </row>
    <row r="22" spans="1:54" s="61" customFormat="1" x14ac:dyDescent="0.25">
      <c r="A22" s="75">
        <f t="shared" si="1"/>
        <v>19</v>
      </c>
      <c r="B22" s="74" t="s">
        <v>65</v>
      </c>
      <c r="C22" s="47">
        <v>3</v>
      </c>
      <c r="D22" s="47"/>
      <c r="E22" s="47"/>
      <c r="F22" s="47"/>
      <c r="G22" s="47"/>
      <c r="H22" s="47"/>
      <c r="I22" s="47"/>
      <c r="J22" s="111"/>
      <c r="K22" s="46"/>
      <c r="L22" s="57"/>
      <c r="M22" s="52"/>
      <c r="N22" s="121"/>
      <c r="O22" s="47"/>
      <c r="P22" s="111"/>
      <c r="Q22" s="111"/>
      <c r="R22" s="46"/>
      <c r="S22" s="57"/>
      <c r="T22" s="91">
        <f t="shared" si="0"/>
        <v>0</v>
      </c>
      <c r="U22" s="50">
        <f t="shared" si="4"/>
        <v>72</v>
      </c>
      <c r="V22" s="50">
        <f t="shared" si="5"/>
        <v>3</v>
      </c>
      <c r="W22" s="57"/>
      <c r="X22" s="57"/>
      <c r="Y22" s="57"/>
      <c r="Z22" s="57"/>
      <c r="AA22" s="57"/>
      <c r="AB22" s="57"/>
      <c r="AC22" s="57"/>
      <c r="AD22" s="57"/>
      <c r="AE22" s="57"/>
      <c r="AF22" s="60"/>
      <c r="AG22" s="60"/>
      <c r="AH22" s="60"/>
      <c r="AI22" s="60"/>
      <c r="AJ22" s="60"/>
      <c r="AK22" s="60"/>
      <c r="AL22" s="60"/>
      <c r="AM22" s="60"/>
      <c r="AN22" s="60"/>
      <c r="AO22" s="60"/>
      <c r="AP22" s="60"/>
      <c r="AQ22" s="60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</row>
    <row r="23" spans="1:54" s="61" customFormat="1" x14ac:dyDescent="0.25">
      <c r="A23" s="75">
        <f t="shared" si="1"/>
        <v>20</v>
      </c>
      <c r="B23" s="74" t="s">
        <v>66</v>
      </c>
      <c r="C23" s="47">
        <v>54</v>
      </c>
      <c r="D23" s="47"/>
      <c r="E23" s="47"/>
      <c r="F23" s="47"/>
      <c r="G23" s="47"/>
      <c r="H23" s="47"/>
      <c r="I23" s="47"/>
      <c r="J23" s="111"/>
      <c r="K23" s="46"/>
      <c r="L23" s="57"/>
      <c r="M23" s="52"/>
      <c r="N23" s="121"/>
      <c r="O23" s="47"/>
      <c r="P23" s="111"/>
      <c r="Q23" s="111"/>
      <c r="R23" s="46"/>
      <c r="S23" s="57"/>
      <c r="T23" s="91">
        <f t="shared" si="0"/>
        <v>0</v>
      </c>
      <c r="U23" s="50">
        <f t="shared" si="4"/>
        <v>1296</v>
      </c>
      <c r="V23" s="50">
        <f t="shared" si="5"/>
        <v>54</v>
      </c>
      <c r="W23" s="57"/>
      <c r="X23" s="57"/>
      <c r="Y23" s="57"/>
      <c r="Z23" s="57"/>
      <c r="AA23" s="57"/>
      <c r="AB23" s="57"/>
      <c r="AC23" s="57"/>
      <c r="AD23" s="57"/>
      <c r="AE23" s="57"/>
      <c r="AF23" s="60"/>
      <c r="AG23" s="60"/>
      <c r="AH23" s="60"/>
      <c r="AI23" s="60"/>
      <c r="AJ23" s="60"/>
      <c r="AK23" s="60"/>
      <c r="AL23" s="60"/>
      <c r="AM23" s="60"/>
      <c r="AN23" s="60"/>
      <c r="AO23" s="60"/>
      <c r="AP23" s="60"/>
      <c r="AQ23" s="60"/>
      <c r="AR23" s="60"/>
      <c r="AS23" s="60"/>
      <c r="AT23" s="60"/>
      <c r="AU23" s="60"/>
      <c r="AV23" s="60"/>
      <c r="AW23" s="60"/>
      <c r="AX23" s="60"/>
      <c r="AY23" s="60"/>
      <c r="AZ23" s="60"/>
      <c r="BA23" s="60"/>
      <c r="BB23" s="60"/>
    </row>
    <row r="24" spans="1:54" s="61" customFormat="1" x14ac:dyDescent="0.25">
      <c r="A24" s="75">
        <f t="shared" si="1"/>
        <v>21</v>
      </c>
      <c r="B24" s="74" t="s">
        <v>75</v>
      </c>
      <c r="C24" s="47">
        <v>3</v>
      </c>
      <c r="D24" s="47"/>
      <c r="E24" s="47"/>
      <c r="F24" s="47"/>
      <c r="G24" s="47"/>
      <c r="H24" s="47"/>
      <c r="I24" s="47"/>
      <c r="J24" s="111"/>
      <c r="K24" s="46"/>
      <c r="L24" s="57"/>
      <c r="M24" s="52"/>
      <c r="N24" s="121"/>
      <c r="O24" s="47"/>
      <c r="P24" s="111"/>
      <c r="Q24" s="111"/>
      <c r="R24" s="46"/>
      <c r="S24" s="57"/>
      <c r="T24" s="91">
        <f t="shared" si="0"/>
        <v>0</v>
      </c>
      <c r="U24" s="50">
        <f t="shared" si="4"/>
        <v>72</v>
      </c>
      <c r="V24" s="50">
        <f t="shared" si="5"/>
        <v>3</v>
      </c>
      <c r="W24" s="57"/>
      <c r="X24" s="57"/>
      <c r="Y24" s="57"/>
      <c r="Z24" s="57"/>
      <c r="AA24" s="57"/>
      <c r="AB24" s="57"/>
      <c r="AC24" s="57"/>
      <c r="AD24" s="57"/>
      <c r="AE24" s="57"/>
      <c r="AF24" s="60"/>
      <c r="AG24" s="60"/>
      <c r="AH24" s="60"/>
      <c r="AI24" s="60"/>
      <c r="AJ24" s="60"/>
      <c r="AK24" s="60"/>
      <c r="AL24" s="60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</row>
    <row r="25" spans="1:54" x14ac:dyDescent="0.25">
      <c r="A25" s="75">
        <f t="shared" si="1"/>
        <v>22</v>
      </c>
      <c r="B25" s="74" t="s">
        <v>67</v>
      </c>
      <c r="C25" s="47">
        <v>7</v>
      </c>
      <c r="D25" s="47"/>
      <c r="E25" s="47"/>
      <c r="F25" s="47"/>
      <c r="G25" s="47"/>
      <c r="H25" s="47"/>
      <c r="I25" s="47"/>
      <c r="J25" s="111"/>
      <c r="K25" s="46"/>
      <c r="M25" s="52"/>
      <c r="N25" s="121"/>
      <c r="O25" s="47"/>
      <c r="P25" s="111"/>
      <c r="Q25" s="111"/>
      <c r="R25" s="46"/>
      <c r="T25" s="91">
        <f t="shared" si="0"/>
        <v>0</v>
      </c>
      <c r="U25" s="50">
        <f t="shared" si="4"/>
        <v>168</v>
      </c>
      <c r="V25" s="50">
        <f t="shared" si="5"/>
        <v>7</v>
      </c>
      <c r="AF25" s="60"/>
      <c r="AG25" s="60"/>
      <c r="AH25" s="60"/>
      <c r="AI25" s="60"/>
      <c r="AJ25" s="60"/>
      <c r="AK25" s="60"/>
      <c r="AL25" s="60"/>
      <c r="AM25" s="60"/>
      <c r="AN25" s="60"/>
      <c r="AO25" s="60"/>
      <c r="AP25" s="60"/>
      <c r="AQ25" s="60"/>
      <c r="AR25" s="60"/>
      <c r="AS25" s="60"/>
      <c r="AT25" s="60"/>
      <c r="AU25" s="60"/>
      <c r="AV25" s="60"/>
      <c r="AW25" s="60"/>
      <c r="AX25" s="60"/>
      <c r="AY25" s="60"/>
      <c r="AZ25" s="60"/>
      <c r="BA25" s="60"/>
      <c r="BB25" s="60"/>
    </row>
    <row r="26" spans="1:54" x14ac:dyDescent="0.25">
      <c r="A26" s="75">
        <f t="shared" si="1"/>
        <v>23</v>
      </c>
      <c r="B26" s="74" t="s">
        <v>9</v>
      </c>
      <c r="C26" s="47">
        <f>63+48</f>
        <v>111</v>
      </c>
      <c r="D26" s="47"/>
      <c r="E26" s="47"/>
      <c r="F26" s="47"/>
      <c r="G26" s="47"/>
      <c r="H26" s="47">
        <v>22</v>
      </c>
      <c r="I26" s="47">
        <v>1</v>
      </c>
      <c r="J26" s="111"/>
      <c r="K26" s="46"/>
      <c r="M26" s="52"/>
      <c r="N26" s="121">
        <v>12</v>
      </c>
      <c r="O26" s="47">
        <v>2</v>
      </c>
      <c r="P26" s="111"/>
      <c r="Q26" s="111">
        <v>2</v>
      </c>
      <c r="R26" s="46"/>
      <c r="T26" s="91">
        <f t="shared" si="0"/>
        <v>35</v>
      </c>
      <c r="U26" s="50">
        <f t="shared" si="4"/>
        <v>2795</v>
      </c>
      <c r="V26" s="50">
        <f t="shared" si="5"/>
        <v>116.45833333333333</v>
      </c>
      <c r="AY26" s="62" t="e">
        <f>#REF!-AY25</f>
        <v>#REF!</v>
      </c>
    </row>
    <row r="27" spans="1:54" s="61" customFormat="1" x14ac:dyDescent="0.25">
      <c r="A27" s="75">
        <f t="shared" si="1"/>
        <v>24</v>
      </c>
      <c r="B27" s="74" t="s">
        <v>11</v>
      </c>
      <c r="C27" s="47">
        <v>2</v>
      </c>
      <c r="D27" s="47"/>
      <c r="E27" s="47"/>
      <c r="F27" s="47"/>
      <c r="G27" s="47"/>
      <c r="H27" s="47"/>
      <c r="I27" s="47"/>
      <c r="J27" s="111"/>
      <c r="K27" s="46"/>
      <c r="L27" s="57"/>
      <c r="M27" s="52"/>
      <c r="N27" s="121"/>
      <c r="O27" s="47"/>
      <c r="P27" s="111"/>
      <c r="Q27" s="111">
        <v>1</v>
      </c>
      <c r="R27" s="46"/>
      <c r="S27" s="57"/>
      <c r="T27" s="91">
        <f t="shared" si="0"/>
        <v>0</v>
      </c>
      <c r="U27" s="50">
        <f t="shared" si="4"/>
        <v>72</v>
      </c>
      <c r="V27" s="50">
        <f t="shared" si="5"/>
        <v>3</v>
      </c>
      <c r="W27" s="57"/>
      <c r="X27" s="57"/>
      <c r="Y27" s="57"/>
      <c r="Z27" s="57"/>
      <c r="AA27" s="57"/>
      <c r="AB27" s="57"/>
      <c r="AC27" s="57"/>
      <c r="AD27" s="57"/>
      <c r="AE27" s="57"/>
    </row>
    <row r="28" spans="1:54" s="61" customFormat="1" x14ac:dyDescent="0.25">
      <c r="A28" s="75">
        <f t="shared" si="1"/>
        <v>25</v>
      </c>
      <c r="B28" s="74" t="s">
        <v>12</v>
      </c>
      <c r="C28" s="47">
        <f>63+4</f>
        <v>67</v>
      </c>
      <c r="D28" s="47"/>
      <c r="E28" s="47"/>
      <c r="F28" s="47"/>
      <c r="G28" s="47"/>
      <c r="H28" s="47"/>
      <c r="I28" s="47"/>
      <c r="J28" s="111"/>
      <c r="K28" s="46"/>
      <c r="L28" s="57"/>
      <c r="M28" s="52">
        <v>1</v>
      </c>
      <c r="N28" s="121"/>
      <c r="O28" s="47">
        <v>2</v>
      </c>
      <c r="P28" s="111"/>
      <c r="Q28" s="111">
        <v>3</v>
      </c>
      <c r="R28" s="46"/>
      <c r="S28" s="57"/>
      <c r="T28" s="91">
        <f t="shared" si="0"/>
        <v>0</v>
      </c>
      <c r="U28" s="50">
        <f t="shared" si="4"/>
        <v>1752</v>
      </c>
      <c r="V28" s="50">
        <f t="shared" si="5"/>
        <v>73</v>
      </c>
      <c r="W28" s="57"/>
      <c r="X28" s="57"/>
      <c r="Y28" s="57"/>
      <c r="Z28" s="57"/>
      <c r="AA28" s="57"/>
      <c r="AB28" s="57"/>
      <c r="AC28" s="57"/>
      <c r="AD28" s="57"/>
      <c r="AE28" s="57"/>
    </row>
    <row r="29" spans="1:54" x14ac:dyDescent="0.25">
      <c r="A29" s="75">
        <f t="shared" si="1"/>
        <v>26</v>
      </c>
      <c r="B29" s="74" t="s">
        <v>14</v>
      </c>
      <c r="C29" s="47"/>
      <c r="D29" s="47"/>
      <c r="E29" s="47"/>
      <c r="F29" s="47"/>
      <c r="G29" s="47"/>
      <c r="H29" s="47"/>
      <c r="I29" s="47"/>
      <c r="J29" s="111"/>
      <c r="K29" s="46"/>
      <c r="M29" s="52"/>
      <c r="N29" s="121"/>
      <c r="O29" s="47"/>
      <c r="P29" s="111"/>
      <c r="Q29" s="111"/>
      <c r="R29" s="46"/>
      <c r="T29" s="91">
        <f t="shared" si="0"/>
        <v>0</v>
      </c>
      <c r="U29" s="50">
        <f t="shared" si="4"/>
        <v>0</v>
      </c>
      <c r="V29" s="50">
        <f t="shared" si="5"/>
        <v>0</v>
      </c>
    </row>
    <row r="30" spans="1:54" x14ac:dyDescent="0.25">
      <c r="A30" s="75">
        <f t="shared" si="1"/>
        <v>27</v>
      </c>
      <c r="B30" s="74" t="s">
        <v>16</v>
      </c>
      <c r="C30" s="47">
        <f>63+13</f>
        <v>76</v>
      </c>
      <c r="D30" s="47"/>
      <c r="E30" s="47"/>
      <c r="F30" s="47"/>
      <c r="G30" s="47"/>
      <c r="H30" s="47"/>
      <c r="I30" s="47"/>
      <c r="J30" s="111"/>
      <c r="K30" s="46"/>
      <c r="M30" s="52"/>
      <c r="N30" s="121">
        <v>12</v>
      </c>
      <c r="O30" s="47">
        <v>2</v>
      </c>
      <c r="P30" s="111"/>
      <c r="Q30" s="111"/>
      <c r="R30" s="46"/>
      <c r="T30" s="91">
        <f t="shared" si="0"/>
        <v>12</v>
      </c>
      <c r="U30" s="50">
        <f t="shared" si="4"/>
        <v>1884</v>
      </c>
      <c r="V30" s="50">
        <f t="shared" si="5"/>
        <v>78.5</v>
      </c>
    </row>
    <row r="31" spans="1:54" x14ac:dyDescent="0.25">
      <c r="A31" s="75">
        <f t="shared" si="1"/>
        <v>28</v>
      </c>
      <c r="B31" s="74" t="s">
        <v>13</v>
      </c>
      <c r="C31" s="47">
        <v>2</v>
      </c>
      <c r="D31" s="47"/>
      <c r="E31" s="47"/>
      <c r="F31" s="47"/>
      <c r="G31" s="47"/>
      <c r="H31" s="47"/>
      <c r="I31" s="47"/>
      <c r="J31" s="111"/>
      <c r="K31" s="46"/>
      <c r="M31" s="52"/>
      <c r="N31" s="121"/>
      <c r="O31" s="47">
        <v>1</v>
      </c>
      <c r="P31" s="111"/>
      <c r="Q31" s="111"/>
      <c r="R31" s="46"/>
      <c r="T31" s="91">
        <f t="shared" si="0"/>
        <v>0</v>
      </c>
      <c r="U31" s="50">
        <f t="shared" si="4"/>
        <v>72</v>
      </c>
      <c r="V31" s="50">
        <f t="shared" si="5"/>
        <v>3</v>
      </c>
    </row>
    <row r="32" spans="1:54" x14ac:dyDescent="0.25">
      <c r="A32" s="75">
        <f t="shared" si="1"/>
        <v>29</v>
      </c>
      <c r="B32" s="74" t="s">
        <v>15</v>
      </c>
      <c r="C32" s="47">
        <v>3</v>
      </c>
      <c r="D32" s="47"/>
      <c r="E32" s="47"/>
      <c r="F32" s="47"/>
      <c r="G32" s="47"/>
      <c r="H32" s="47"/>
      <c r="I32" s="47"/>
      <c r="J32" s="111"/>
      <c r="K32" s="46"/>
      <c r="M32" s="52"/>
      <c r="N32" s="121"/>
      <c r="O32" s="47"/>
      <c r="P32" s="111"/>
      <c r="Q32" s="111"/>
      <c r="R32" s="46"/>
      <c r="T32" s="91">
        <f t="shared" si="0"/>
        <v>0</v>
      </c>
      <c r="U32" s="50">
        <f t="shared" si="4"/>
        <v>72</v>
      </c>
      <c r="V32" s="50">
        <f t="shared" si="5"/>
        <v>3</v>
      </c>
    </row>
    <row r="33" spans="1:23" x14ac:dyDescent="0.25">
      <c r="A33" s="75">
        <f t="shared" si="1"/>
        <v>30</v>
      </c>
      <c r="B33" s="74" t="s">
        <v>17</v>
      </c>
      <c r="C33" s="47"/>
      <c r="D33" s="47"/>
      <c r="E33" s="47"/>
      <c r="F33" s="47"/>
      <c r="G33" s="47"/>
      <c r="H33" s="47"/>
      <c r="I33" s="47"/>
      <c r="J33" s="111"/>
      <c r="K33" s="46"/>
      <c r="M33" s="52"/>
      <c r="N33" s="121"/>
      <c r="O33" s="47"/>
      <c r="P33" s="111"/>
      <c r="Q33" s="111"/>
      <c r="R33" s="46"/>
      <c r="T33" s="91">
        <f t="shared" si="0"/>
        <v>0</v>
      </c>
      <c r="U33" s="50">
        <f t="shared" si="4"/>
        <v>0</v>
      </c>
      <c r="V33" s="50">
        <f t="shared" si="5"/>
        <v>0</v>
      </c>
    </row>
    <row r="34" spans="1:23" x14ac:dyDescent="0.25">
      <c r="A34" s="75">
        <f t="shared" si="1"/>
        <v>31</v>
      </c>
      <c r="B34" s="74" t="s">
        <v>18</v>
      </c>
      <c r="C34" s="47">
        <f>144+52</f>
        <v>196</v>
      </c>
      <c r="D34" s="47"/>
      <c r="E34" s="47"/>
      <c r="F34" s="47"/>
      <c r="G34" s="47"/>
      <c r="H34" s="47">
        <v>22</v>
      </c>
      <c r="I34" s="47"/>
      <c r="J34" s="111"/>
      <c r="K34" s="46">
        <v>1</v>
      </c>
      <c r="M34" s="52"/>
      <c r="N34" s="121"/>
      <c r="O34" s="47">
        <v>3</v>
      </c>
      <c r="P34" s="111"/>
      <c r="Q34" s="111"/>
      <c r="R34" s="46"/>
      <c r="T34" s="91">
        <f t="shared" si="0"/>
        <v>23</v>
      </c>
      <c r="U34" s="50">
        <f t="shared" si="4"/>
        <v>4799</v>
      </c>
      <c r="V34" s="50">
        <f t="shared" si="5"/>
        <v>199.95833333333334</v>
      </c>
    </row>
    <row r="35" spans="1:23" hidden="1" x14ac:dyDescent="0.25">
      <c r="A35" s="75">
        <f t="shared" si="1"/>
        <v>32</v>
      </c>
      <c r="B35" s="74" t="s">
        <v>26</v>
      </c>
      <c r="C35" s="47"/>
      <c r="D35" s="47"/>
      <c r="E35" s="47"/>
      <c r="F35" s="47"/>
      <c r="G35" s="47"/>
      <c r="H35" s="47"/>
      <c r="I35" s="47"/>
      <c r="J35" s="111"/>
      <c r="K35" s="46"/>
      <c r="M35" s="52"/>
      <c r="N35" s="121"/>
      <c r="O35" s="47"/>
      <c r="P35" s="111"/>
      <c r="Q35" s="111"/>
      <c r="R35" s="46"/>
      <c r="T35" s="91">
        <f t="shared" si="0"/>
        <v>0</v>
      </c>
      <c r="U35" s="50">
        <f t="shared" si="4"/>
        <v>0</v>
      </c>
      <c r="V35" s="50">
        <f t="shared" si="5"/>
        <v>0</v>
      </c>
    </row>
    <row r="36" spans="1:23" x14ac:dyDescent="0.25">
      <c r="A36" s="75">
        <f t="shared" si="1"/>
        <v>33</v>
      </c>
      <c r="B36" s="74" t="s">
        <v>19</v>
      </c>
      <c r="C36" s="47"/>
      <c r="D36" s="47"/>
      <c r="E36" s="47"/>
      <c r="F36" s="47"/>
      <c r="G36" s="47"/>
      <c r="H36" s="47"/>
      <c r="I36" s="47"/>
      <c r="J36" s="111"/>
      <c r="K36" s="46"/>
      <c r="M36" s="52"/>
      <c r="N36" s="121"/>
      <c r="O36" s="47"/>
      <c r="P36" s="111"/>
      <c r="Q36" s="111"/>
      <c r="R36" s="46"/>
      <c r="T36" s="91">
        <f t="shared" si="0"/>
        <v>0</v>
      </c>
      <c r="U36" s="50">
        <f t="shared" si="4"/>
        <v>0</v>
      </c>
      <c r="V36" s="50">
        <f t="shared" si="5"/>
        <v>0</v>
      </c>
    </row>
    <row r="37" spans="1:23" ht="19.5" thickBot="1" x14ac:dyDescent="0.3">
      <c r="A37" s="75">
        <f t="shared" si="1"/>
        <v>34</v>
      </c>
      <c r="B37" s="94" t="s">
        <v>20</v>
      </c>
      <c r="C37" s="95">
        <f>35+2376+3024+40</f>
        <v>5475</v>
      </c>
      <c r="D37" s="95"/>
      <c r="E37" s="95"/>
      <c r="F37" s="95"/>
      <c r="G37" s="95"/>
      <c r="H37" s="95">
        <v>2</v>
      </c>
      <c r="I37" s="95"/>
      <c r="J37" s="110">
        <v>4</v>
      </c>
      <c r="K37" s="96">
        <v>2</v>
      </c>
      <c r="L37" s="102"/>
      <c r="M37" s="103">
        <v>20</v>
      </c>
      <c r="N37" s="120"/>
      <c r="O37" s="97">
        <v>30</v>
      </c>
      <c r="P37" s="113"/>
      <c r="Q37" s="113">
        <v>72</v>
      </c>
      <c r="R37" s="98"/>
      <c r="S37" s="102"/>
      <c r="T37" s="104">
        <f t="shared" si="0"/>
        <v>8</v>
      </c>
      <c r="U37" s="104">
        <f>C37*6+M37*6+O37*6+Q37*6+T37</f>
        <v>33590</v>
      </c>
      <c r="V37" s="104">
        <f>U37/6</f>
        <v>5598.333333333333</v>
      </c>
      <c r="W37" s="123"/>
    </row>
    <row r="38" spans="1:23" x14ac:dyDescent="0.25">
      <c r="A38" s="75">
        <f t="shared" si="1"/>
        <v>35</v>
      </c>
      <c r="B38" s="73" t="s">
        <v>21</v>
      </c>
      <c r="C38" s="47">
        <v>11</v>
      </c>
      <c r="D38" s="47"/>
      <c r="E38" s="47"/>
      <c r="F38" s="47"/>
      <c r="G38" s="47"/>
      <c r="H38" s="47"/>
      <c r="I38" s="47"/>
      <c r="J38" s="111"/>
      <c r="K38" s="46"/>
      <c r="M38" s="52"/>
      <c r="N38" s="121"/>
      <c r="O38" s="47"/>
      <c r="P38" s="111"/>
      <c r="Q38" s="111">
        <v>1</v>
      </c>
      <c r="R38" s="46"/>
      <c r="T38" s="50">
        <f t="shared" si="0"/>
        <v>0</v>
      </c>
      <c r="U38" s="50">
        <f>C38*24+M38*24+O38*24+Q38*24+T38</f>
        <v>288</v>
      </c>
      <c r="V38" s="50">
        <f>U38/24</f>
        <v>12</v>
      </c>
    </row>
    <row r="39" spans="1:23" ht="19.5" thickBot="1" x14ac:dyDescent="0.3">
      <c r="A39" s="75">
        <f t="shared" si="1"/>
        <v>36</v>
      </c>
      <c r="B39" s="94" t="s">
        <v>22</v>
      </c>
      <c r="C39" s="95">
        <f>756+66</f>
        <v>822</v>
      </c>
      <c r="D39" s="95"/>
      <c r="E39" s="95"/>
      <c r="F39" s="95"/>
      <c r="G39" s="95"/>
      <c r="H39" s="95">
        <v>9</v>
      </c>
      <c r="I39" s="95"/>
      <c r="J39" s="110"/>
      <c r="K39" s="96">
        <v>15</v>
      </c>
      <c r="L39" s="102"/>
      <c r="M39" s="103"/>
      <c r="N39" s="120"/>
      <c r="O39" s="97"/>
      <c r="P39" s="113"/>
      <c r="Q39" s="113"/>
      <c r="R39" s="98">
        <v>12</v>
      </c>
      <c r="S39" s="102"/>
      <c r="T39" s="104">
        <f t="shared" si="0"/>
        <v>36</v>
      </c>
      <c r="U39" s="104">
        <f>C39*24+M39*24+O39*24+Q39*24+T39</f>
        <v>19764</v>
      </c>
      <c r="V39" s="104">
        <f>U39/24</f>
        <v>823.5</v>
      </c>
    </row>
    <row r="40" spans="1:23" ht="19.5" thickBot="1" x14ac:dyDescent="0.3">
      <c r="A40" s="75">
        <f t="shared" si="1"/>
        <v>37</v>
      </c>
      <c r="B40" s="99" t="s">
        <v>23</v>
      </c>
      <c r="C40" s="100">
        <f>1824+76</f>
        <v>1900</v>
      </c>
      <c r="D40" s="100"/>
      <c r="E40" s="100"/>
      <c r="F40" s="100"/>
      <c r="G40" s="100"/>
      <c r="H40" s="100"/>
      <c r="I40" s="100"/>
      <c r="J40" s="112"/>
      <c r="K40" s="101"/>
      <c r="L40" s="105"/>
      <c r="M40" s="106">
        <v>10</v>
      </c>
      <c r="N40" s="122"/>
      <c r="O40" s="100">
        <v>10</v>
      </c>
      <c r="P40" s="112"/>
      <c r="Q40" s="112">
        <v>15</v>
      </c>
      <c r="R40" s="101"/>
      <c r="S40" s="105"/>
      <c r="T40" s="107">
        <f t="shared" si="0"/>
        <v>0</v>
      </c>
      <c r="U40" s="107">
        <f>C40*12+M40*12+O40*12+Q40*12+T40</f>
        <v>23220</v>
      </c>
      <c r="V40" s="107">
        <f>U40/12</f>
        <v>1935</v>
      </c>
    </row>
    <row r="41" spans="1:23" hidden="1" x14ac:dyDescent="0.25">
      <c r="A41" s="75">
        <f t="shared" si="1"/>
        <v>38</v>
      </c>
      <c r="B41" s="73" t="s">
        <v>31</v>
      </c>
      <c r="C41" s="47"/>
      <c r="D41" s="47"/>
      <c r="E41" s="47"/>
      <c r="F41" s="47"/>
      <c r="G41" s="47"/>
      <c r="H41" s="47"/>
      <c r="I41" s="47"/>
      <c r="J41" s="111"/>
      <c r="K41" s="46"/>
      <c r="M41" s="52"/>
      <c r="N41" s="121"/>
      <c r="O41" s="47"/>
      <c r="P41" s="111"/>
      <c r="Q41" s="111"/>
      <c r="R41" s="46"/>
      <c r="T41" s="50"/>
      <c r="U41" s="50"/>
      <c r="V41" s="50"/>
    </row>
    <row r="42" spans="1:23" ht="19.5" thickBot="1" x14ac:dyDescent="0.3">
      <c r="A42" s="75">
        <f t="shared" si="1"/>
        <v>39</v>
      </c>
      <c r="B42" s="94" t="s">
        <v>24</v>
      </c>
      <c r="C42" s="97">
        <f>6048+6048+8424+1296+41+7128</f>
        <v>28985</v>
      </c>
      <c r="D42" s="97"/>
      <c r="E42" s="97"/>
      <c r="F42" s="97"/>
      <c r="G42" s="97"/>
      <c r="H42" s="97">
        <v>3</v>
      </c>
      <c r="I42" s="97">
        <v>6</v>
      </c>
      <c r="J42" s="113">
        <f>6*2+5</f>
        <v>17</v>
      </c>
      <c r="K42" s="98">
        <f>75*6+4</f>
        <v>454</v>
      </c>
      <c r="L42" s="102"/>
      <c r="M42" s="103">
        <v>327</v>
      </c>
      <c r="N42" s="120"/>
      <c r="O42" s="97">
        <v>257</v>
      </c>
      <c r="P42" s="113"/>
      <c r="Q42" s="113">
        <v>528</v>
      </c>
      <c r="R42" s="98"/>
      <c r="S42" s="102"/>
      <c r="T42" s="104">
        <f t="shared" ref="T42" si="6">H42+I42+J42+K42+N42+P42+R42</f>
        <v>480</v>
      </c>
      <c r="U42" s="104">
        <f>C42*6+M42*6+O42*6+Q42*6+T42</f>
        <v>181062</v>
      </c>
      <c r="V42" s="104">
        <f>U42/6</f>
        <v>30177</v>
      </c>
    </row>
    <row r="43" spans="1:23" hidden="1" x14ac:dyDescent="0.25">
      <c r="A43" s="75">
        <f t="shared" si="1"/>
        <v>40</v>
      </c>
      <c r="B43" s="73" t="s">
        <v>33</v>
      </c>
      <c r="C43" s="47"/>
      <c r="D43" s="47"/>
      <c r="E43" s="47"/>
      <c r="F43" s="47"/>
      <c r="G43" s="47"/>
      <c r="H43" s="47"/>
      <c r="I43" s="47"/>
      <c r="J43" s="111"/>
      <c r="K43" s="46"/>
      <c r="M43" s="52"/>
      <c r="N43" s="121"/>
      <c r="O43" s="47"/>
      <c r="P43" s="111"/>
      <c r="Q43" s="111"/>
      <c r="R43" s="46"/>
      <c r="T43" s="50"/>
      <c r="U43" s="50"/>
      <c r="V43" s="50"/>
    </row>
    <row r="44" spans="1:23" x14ac:dyDescent="0.25">
      <c r="A44" s="75">
        <f t="shared" si="1"/>
        <v>41</v>
      </c>
      <c r="B44" s="74" t="s">
        <v>25</v>
      </c>
      <c r="C44" s="47"/>
      <c r="D44" s="47"/>
      <c r="E44" s="47"/>
      <c r="F44" s="47"/>
      <c r="G44" s="47"/>
      <c r="H44" s="47"/>
      <c r="I44" s="47"/>
      <c r="J44" s="111"/>
      <c r="K44" s="46"/>
      <c r="M44" s="52"/>
      <c r="N44" s="121"/>
      <c r="O44" s="47"/>
      <c r="P44" s="111"/>
      <c r="Q44" s="111"/>
      <c r="R44" s="46"/>
      <c r="T44" s="50">
        <f t="shared" ref="T44:T53" si="7">H44+I44+J44+K44+N44+P44+R44</f>
        <v>0</v>
      </c>
      <c r="U44" s="50">
        <f>C44*24+M44*24+O44*24+Q44*24+T44</f>
        <v>0</v>
      </c>
      <c r="V44" s="50">
        <f>U44/24</f>
        <v>0</v>
      </c>
    </row>
    <row r="45" spans="1:23" x14ac:dyDescent="0.25">
      <c r="A45" s="75">
        <f t="shared" si="1"/>
        <v>42</v>
      </c>
      <c r="B45" s="74" t="s">
        <v>68</v>
      </c>
      <c r="C45" s="47"/>
      <c r="D45" s="47"/>
      <c r="E45" s="47"/>
      <c r="F45" s="47"/>
      <c r="G45" s="47"/>
      <c r="H45" s="47"/>
      <c r="I45" s="47"/>
      <c r="J45" s="111"/>
      <c r="K45" s="46"/>
      <c r="M45" s="52"/>
      <c r="N45" s="121"/>
      <c r="O45" s="47"/>
      <c r="P45" s="111"/>
      <c r="Q45" s="111"/>
      <c r="R45" s="46"/>
      <c r="T45" s="50">
        <f t="shared" si="7"/>
        <v>0</v>
      </c>
      <c r="U45" s="50">
        <f t="shared" ref="U45:U47" si="8">C45*24+M45*24+O45*24+Q45*24+T45</f>
        <v>0</v>
      </c>
      <c r="V45" s="50">
        <f t="shared" ref="V45:V53" si="9">U45/24</f>
        <v>0</v>
      </c>
    </row>
    <row r="46" spans="1:23" x14ac:dyDescent="0.25">
      <c r="A46" s="75">
        <f t="shared" si="1"/>
        <v>43</v>
      </c>
      <c r="B46" s="74" t="s">
        <v>73</v>
      </c>
      <c r="C46" s="47">
        <v>2</v>
      </c>
      <c r="D46" s="47"/>
      <c r="E46" s="47"/>
      <c r="F46" s="47"/>
      <c r="G46" s="47"/>
      <c r="H46" s="47"/>
      <c r="I46" s="47"/>
      <c r="J46" s="111"/>
      <c r="K46" s="46"/>
      <c r="M46" s="52"/>
      <c r="N46" s="121"/>
      <c r="O46" s="47"/>
      <c r="P46" s="111"/>
      <c r="Q46" s="111"/>
      <c r="R46" s="46"/>
      <c r="T46" s="50">
        <f t="shared" si="7"/>
        <v>0</v>
      </c>
      <c r="U46" s="50">
        <f t="shared" si="8"/>
        <v>48</v>
      </c>
      <c r="V46" s="50">
        <f t="shared" si="9"/>
        <v>2</v>
      </c>
    </row>
    <row r="47" spans="1:23" x14ac:dyDescent="0.25">
      <c r="A47" s="75">
        <f t="shared" si="1"/>
        <v>44</v>
      </c>
      <c r="B47" s="74" t="s">
        <v>83</v>
      </c>
      <c r="C47" s="47">
        <v>2</v>
      </c>
      <c r="D47" s="47"/>
      <c r="E47" s="47"/>
      <c r="F47" s="47"/>
      <c r="G47" s="47"/>
      <c r="H47" s="47"/>
      <c r="I47" s="47"/>
      <c r="J47" s="111"/>
      <c r="K47" s="46"/>
      <c r="M47" s="52"/>
      <c r="N47" s="121"/>
      <c r="O47" s="47"/>
      <c r="P47" s="111"/>
      <c r="Q47" s="111"/>
      <c r="R47" s="46"/>
      <c r="T47" s="50">
        <f t="shared" si="7"/>
        <v>0</v>
      </c>
      <c r="U47" s="50">
        <f t="shared" si="8"/>
        <v>48</v>
      </c>
      <c r="V47" s="50">
        <f t="shared" si="9"/>
        <v>2</v>
      </c>
    </row>
    <row r="48" spans="1:23" x14ac:dyDescent="0.25">
      <c r="A48" s="75">
        <f t="shared" si="1"/>
        <v>45</v>
      </c>
      <c r="B48" s="74" t="s">
        <v>26</v>
      </c>
      <c r="C48" s="47">
        <f>47+55+2268</f>
        <v>2370</v>
      </c>
      <c r="D48" s="47"/>
      <c r="E48" s="47"/>
      <c r="F48" s="47"/>
      <c r="G48" s="47"/>
      <c r="H48" s="47">
        <v>3</v>
      </c>
      <c r="I48" s="47"/>
      <c r="J48" s="111"/>
      <c r="K48" s="46">
        <v>6</v>
      </c>
      <c r="M48" s="52">
        <v>10</v>
      </c>
      <c r="N48" s="121"/>
      <c r="O48" s="47">
        <v>9</v>
      </c>
      <c r="P48" s="111">
        <v>2</v>
      </c>
      <c r="Q48" s="111">
        <v>10</v>
      </c>
      <c r="R48" s="46"/>
      <c r="T48" s="50">
        <f t="shared" si="7"/>
        <v>11</v>
      </c>
      <c r="U48" s="50">
        <f>C48*6+M48*6+O48*6+Q48*6+T48</f>
        <v>14405</v>
      </c>
      <c r="V48" s="50">
        <f>U48/6</f>
        <v>2400.8333333333335</v>
      </c>
    </row>
    <row r="49" spans="1:22" x14ac:dyDescent="0.25">
      <c r="A49" s="75">
        <f t="shared" si="1"/>
        <v>46</v>
      </c>
      <c r="B49" s="74" t="s">
        <v>69</v>
      </c>
      <c r="C49" s="47"/>
      <c r="D49" s="47"/>
      <c r="E49" s="47"/>
      <c r="F49" s="47"/>
      <c r="G49" s="47"/>
      <c r="H49" s="47"/>
      <c r="I49" s="47"/>
      <c r="J49" s="111"/>
      <c r="K49" s="46"/>
      <c r="M49" s="52"/>
      <c r="N49" s="121"/>
      <c r="O49" s="47"/>
      <c r="P49" s="111"/>
      <c r="Q49" s="111"/>
      <c r="R49" s="46"/>
      <c r="T49" s="50">
        <f t="shared" si="7"/>
        <v>0</v>
      </c>
      <c r="U49" s="50">
        <f t="shared" ref="U49:U51" si="10">C49*24+M49*24+O49*24+Q49*24+T49</f>
        <v>0</v>
      </c>
      <c r="V49" s="50">
        <f t="shared" si="9"/>
        <v>0</v>
      </c>
    </row>
    <row r="50" spans="1:22" x14ac:dyDescent="0.25">
      <c r="A50" s="75">
        <f t="shared" si="1"/>
        <v>47</v>
      </c>
      <c r="B50" s="74" t="s">
        <v>28</v>
      </c>
      <c r="C50" s="47">
        <v>1</v>
      </c>
      <c r="D50" s="47"/>
      <c r="E50" s="47"/>
      <c r="F50" s="47"/>
      <c r="G50" s="47"/>
      <c r="H50" s="47"/>
      <c r="I50" s="47"/>
      <c r="J50" s="111"/>
      <c r="K50" s="46"/>
      <c r="M50" s="52"/>
      <c r="N50" s="121"/>
      <c r="O50" s="47"/>
      <c r="P50" s="111"/>
      <c r="Q50" s="111"/>
      <c r="R50" s="46"/>
      <c r="T50" s="50">
        <f t="shared" si="7"/>
        <v>0</v>
      </c>
      <c r="U50" s="50">
        <f t="shared" si="10"/>
        <v>24</v>
      </c>
      <c r="V50" s="50">
        <f t="shared" si="9"/>
        <v>1</v>
      </c>
    </row>
    <row r="51" spans="1:22" x14ac:dyDescent="0.25">
      <c r="A51" s="75">
        <f t="shared" si="1"/>
        <v>48</v>
      </c>
      <c r="B51" s="74" t="s">
        <v>70</v>
      </c>
      <c r="C51" s="47"/>
      <c r="D51" s="47"/>
      <c r="E51" s="47"/>
      <c r="F51" s="47"/>
      <c r="G51" s="47"/>
      <c r="H51" s="47"/>
      <c r="I51" s="47"/>
      <c r="J51" s="111"/>
      <c r="K51" s="46"/>
      <c r="M51" s="52"/>
      <c r="N51" s="121"/>
      <c r="O51" s="47"/>
      <c r="P51" s="111"/>
      <c r="Q51" s="111"/>
      <c r="R51" s="46"/>
      <c r="T51" s="50">
        <f t="shared" si="7"/>
        <v>0</v>
      </c>
      <c r="U51" s="50">
        <f t="shared" si="10"/>
        <v>0</v>
      </c>
      <c r="V51" s="50">
        <f t="shared" si="9"/>
        <v>0</v>
      </c>
    </row>
    <row r="52" spans="1:22" x14ac:dyDescent="0.25">
      <c r="A52" s="75">
        <f t="shared" si="1"/>
        <v>49</v>
      </c>
      <c r="B52" s="74" t="s">
        <v>29</v>
      </c>
      <c r="C52" s="47">
        <v>34</v>
      </c>
      <c r="D52" s="47"/>
      <c r="E52" s="47"/>
      <c r="F52" s="47"/>
      <c r="G52" s="47"/>
      <c r="H52" s="47"/>
      <c r="I52" s="47"/>
      <c r="J52" s="111"/>
      <c r="K52" s="46"/>
      <c r="M52" s="52"/>
      <c r="N52" s="121"/>
      <c r="O52" s="47"/>
      <c r="P52" s="111"/>
      <c r="Q52" s="111"/>
      <c r="R52" s="46"/>
      <c r="T52" s="50">
        <f t="shared" si="7"/>
        <v>0</v>
      </c>
      <c r="U52" s="50">
        <f>C52*6+M52*6+O52*6+Q52*6+T52</f>
        <v>204</v>
      </c>
      <c r="V52" s="50">
        <f>U52/6</f>
        <v>34</v>
      </c>
    </row>
    <row r="53" spans="1:22" x14ac:dyDescent="0.25">
      <c r="A53" s="75">
        <f t="shared" si="1"/>
        <v>50</v>
      </c>
      <c r="B53" s="74" t="s">
        <v>30</v>
      </c>
      <c r="C53" s="47"/>
      <c r="D53" s="47"/>
      <c r="E53" s="47"/>
      <c r="F53" s="47"/>
      <c r="G53" s="47"/>
      <c r="H53" s="47"/>
      <c r="I53" s="47"/>
      <c r="J53" s="111"/>
      <c r="K53" s="46"/>
      <c r="M53" s="52"/>
      <c r="N53" s="121"/>
      <c r="O53" s="47"/>
      <c r="P53" s="111"/>
      <c r="Q53" s="111"/>
      <c r="R53" s="46"/>
      <c r="T53" s="50">
        <f t="shared" si="7"/>
        <v>0</v>
      </c>
      <c r="U53" s="50">
        <f t="shared" ref="U53" si="11">C53*24+M53*24+O53*24+Q53*24+T53</f>
        <v>0</v>
      </c>
      <c r="V53" s="50">
        <f t="shared" si="9"/>
        <v>0</v>
      </c>
    </row>
    <row r="54" spans="1:22" x14ac:dyDescent="0.25">
      <c r="A54" s="75">
        <f t="shared" si="1"/>
        <v>51</v>
      </c>
      <c r="B54" s="74"/>
      <c r="C54" s="47"/>
      <c r="D54" s="47"/>
      <c r="E54" s="47"/>
      <c r="F54" s="47"/>
      <c r="G54" s="47"/>
      <c r="H54" s="47"/>
      <c r="I54" s="47"/>
      <c r="J54" s="111"/>
      <c r="K54" s="46"/>
      <c r="M54" s="52"/>
      <c r="N54" s="121"/>
      <c r="O54" s="47"/>
      <c r="P54" s="111"/>
      <c r="Q54" s="111"/>
      <c r="R54" s="46"/>
      <c r="T54" s="50"/>
      <c r="U54" s="50"/>
      <c r="V54" s="50"/>
    </row>
    <row r="55" spans="1:22" x14ac:dyDescent="0.25">
      <c r="A55" s="75">
        <f t="shared" si="1"/>
        <v>52</v>
      </c>
      <c r="B55" s="74"/>
      <c r="C55" s="47"/>
      <c r="D55" s="47"/>
      <c r="E55" s="47"/>
      <c r="F55" s="47"/>
      <c r="G55" s="47"/>
      <c r="H55" s="47"/>
      <c r="I55" s="47"/>
      <c r="J55" s="111"/>
      <c r="K55" s="46"/>
      <c r="M55" s="52"/>
      <c r="N55" s="121"/>
      <c r="O55" s="47"/>
      <c r="P55" s="111"/>
      <c r="Q55" s="111"/>
      <c r="R55" s="46"/>
      <c r="T55" s="50"/>
      <c r="U55" s="50"/>
      <c r="V55" s="50"/>
    </row>
    <row r="56" spans="1:22" x14ac:dyDescent="0.25">
      <c r="A56" s="75">
        <f t="shared" si="1"/>
        <v>53</v>
      </c>
      <c r="B56" s="74"/>
      <c r="C56" s="47"/>
      <c r="D56" s="47"/>
      <c r="E56" s="47"/>
      <c r="F56" s="47"/>
      <c r="G56" s="47"/>
      <c r="H56" s="47"/>
      <c r="I56" s="47"/>
      <c r="J56" s="111"/>
      <c r="K56" s="46"/>
      <c r="M56" s="52"/>
      <c r="N56" s="121"/>
      <c r="O56" s="47"/>
      <c r="P56" s="111"/>
      <c r="Q56" s="111"/>
      <c r="R56" s="46"/>
      <c r="T56" s="50"/>
      <c r="U56" s="50"/>
      <c r="V56" s="50"/>
    </row>
    <row r="57" spans="1:22" s="63" customFormat="1" ht="19.5" thickBot="1" x14ac:dyDescent="0.3">
      <c r="B57" s="77" t="s">
        <v>60</v>
      </c>
      <c r="C57" s="49">
        <f>SUM(C7:C56)</f>
        <v>44226</v>
      </c>
      <c r="D57" s="49"/>
      <c r="E57" s="49"/>
      <c r="F57" s="49">
        <f t="shared" ref="F57:K57" si="12">SUM(F7:F56)</f>
        <v>0</v>
      </c>
      <c r="G57" s="49">
        <f t="shared" si="12"/>
        <v>0</v>
      </c>
      <c r="H57" s="49">
        <f t="shared" si="12"/>
        <v>100</v>
      </c>
      <c r="I57" s="54">
        <f t="shared" si="12"/>
        <v>8</v>
      </c>
      <c r="J57" s="54">
        <f t="shared" si="12"/>
        <v>21</v>
      </c>
      <c r="K57" s="54">
        <f t="shared" si="12"/>
        <v>486</v>
      </c>
      <c r="M57" s="53">
        <f t="shared" ref="M57:R57" si="13">SUM(M7:M56)</f>
        <v>384</v>
      </c>
      <c r="N57" s="53">
        <f t="shared" si="13"/>
        <v>25</v>
      </c>
      <c r="O57" s="53">
        <f t="shared" si="13"/>
        <v>330</v>
      </c>
      <c r="P57" s="53">
        <f t="shared" si="13"/>
        <v>18</v>
      </c>
      <c r="Q57" s="53">
        <f t="shared" si="13"/>
        <v>655</v>
      </c>
      <c r="R57" s="53">
        <f t="shared" si="13"/>
        <v>12</v>
      </c>
      <c r="S57" s="57"/>
      <c r="T57" s="51">
        <f>SUM(T7:T56)</f>
        <v>670</v>
      </c>
      <c r="U57" s="51">
        <f>SUM(U7:U56)</f>
        <v>385444</v>
      </c>
      <c r="V57" s="51">
        <f>SUM(V7:V56)</f>
        <v>45685.291666666664</v>
      </c>
    </row>
    <row r="58" spans="1:22" ht="7.5" customHeight="1" thickBot="1" x14ac:dyDescent="0.3"/>
    <row r="59" spans="1:22" ht="19.5" thickBot="1" x14ac:dyDescent="0.3">
      <c r="B59" s="78" t="s">
        <v>39</v>
      </c>
      <c r="C59" s="191" t="s">
        <v>49</v>
      </c>
      <c r="D59" s="192"/>
      <c r="E59" s="192"/>
      <c r="F59" s="192"/>
      <c r="G59" s="192"/>
      <c r="H59" s="192"/>
      <c r="I59" s="192"/>
      <c r="J59" s="192"/>
      <c r="K59" s="193"/>
      <c r="U59" s="72" t="s">
        <v>62</v>
      </c>
    </row>
    <row r="60" spans="1:22" x14ac:dyDescent="0.25">
      <c r="B60" s="79" t="s">
        <v>18</v>
      </c>
      <c r="C60" s="67"/>
      <c r="D60" s="67"/>
      <c r="E60" s="67"/>
      <c r="F60" s="67"/>
      <c r="G60" s="67"/>
      <c r="H60" s="67"/>
      <c r="I60" s="67"/>
      <c r="J60" s="114"/>
      <c r="K60" s="68"/>
      <c r="U60" s="55"/>
    </row>
    <row r="61" spans="1:22" x14ac:dyDescent="0.25">
      <c r="B61" s="80" t="s">
        <v>55</v>
      </c>
      <c r="C61" s="48"/>
      <c r="D61" s="48"/>
      <c r="E61" s="48"/>
      <c r="F61" s="48"/>
      <c r="G61" s="48"/>
      <c r="H61" s="48"/>
      <c r="I61" s="48"/>
      <c r="J61" s="109"/>
      <c r="K61" s="69"/>
      <c r="U61" s="50"/>
    </row>
    <row r="62" spans="1:22" ht="19.5" thickBot="1" x14ac:dyDescent="0.3">
      <c r="B62" s="81" t="s">
        <v>54</v>
      </c>
      <c r="C62" s="70"/>
      <c r="D62" s="70"/>
      <c r="E62" s="70"/>
      <c r="F62" s="70"/>
      <c r="G62" s="70"/>
      <c r="H62" s="70"/>
      <c r="I62" s="70"/>
      <c r="J62" s="115"/>
      <c r="K62" s="71"/>
      <c r="U62" s="56"/>
    </row>
    <row r="63" spans="1:22" ht="7.5" customHeight="1" thickBot="1" x14ac:dyDescent="0.3"/>
    <row r="64" spans="1:22" x14ac:dyDescent="0.25">
      <c r="B64" s="79" t="s">
        <v>56</v>
      </c>
      <c r="C64" s="67"/>
      <c r="D64" s="67"/>
      <c r="E64" s="67"/>
      <c r="F64" s="67"/>
      <c r="G64" s="67"/>
      <c r="H64" s="67"/>
      <c r="I64" s="67"/>
      <c r="J64" s="114"/>
      <c r="K64" s="68"/>
      <c r="U64" s="55"/>
    </row>
    <row r="65" spans="2:21" x14ac:dyDescent="0.25">
      <c r="B65" s="80" t="s">
        <v>55</v>
      </c>
      <c r="C65" s="48"/>
      <c r="D65" s="48"/>
      <c r="E65" s="48"/>
      <c r="F65" s="48"/>
      <c r="G65" s="48"/>
      <c r="H65" s="48"/>
      <c r="I65" s="48"/>
      <c r="J65" s="109"/>
      <c r="K65" s="69"/>
      <c r="U65" s="50"/>
    </row>
    <row r="66" spans="2:21" ht="19.5" thickBot="1" x14ac:dyDescent="0.3">
      <c r="B66" s="81" t="s">
        <v>54</v>
      </c>
      <c r="C66" s="70"/>
      <c r="D66" s="70"/>
      <c r="E66" s="70"/>
      <c r="F66" s="70"/>
      <c r="G66" s="70"/>
      <c r="H66" s="70"/>
      <c r="I66" s="70"/>
      <c r="J66" s="115"/>
      <c r="K66" s="71"/>
      <c r="U66" s="56"/>
    </row>
    <row r="67" spans="2:21" ht="7.5" customHeight="1" thickBot="1" x14ac:dyDescent="0.3"/>
    <row r="68" spans="2:21" x14ac:dyDescent="0.25">
      <c r="B68" s="79" t="s">
        <v>41</v>
      </c>
      <c r="C68" s="67"/>
      <c r="D68" s="67"/>
      <c r="E68" s="67"/>
      <c r="F68" s="67"/>
      <c r="G68" s="67"/>
      <c r="H68" s="67"/>
      <c r="I68" s="67"/>
      <c r="J68" s="114"/>
      <c r="K68" s="68"/>
      <c r="U68" s="55"/>
    </row>
    <row r="69" spans="2:21" x14ac:dyDescent="0.25">
      <c r="B69" s="80" t="s">
        <v>55</v>
      </c>
      <c r="C69" s="48"/>
      <c r="D69" s="48"/>
      <c r="E69" s="48"/>
      <c r="F69" s="48"/>
      <c r="G69" s="48"/>
      <c r="H69" s="48"/>
      <c r="I69" s="48"/>
      <c r="J69" s="109"/>
      <c r="K69" s="69"/>
      <c r="U69" s="50"/>
    </row>
    <row r="70" spans="2:21" ht="19.5" thickBot="1" x14ac:dyDescent="0.3">
      <c r="B70" s="81" t="s">
        <v>54</v>
      </c>
      <c r="C70" s="70"/>
      <c r="D70" s="70"/>
      <c r="E70" s="70"/>
      <c r="F70" s="70"/>
      <c r="G70" s="70"/>
      <c r="H70" s="70"/>
      <c r="I70" s="70"/>
      <c r="J70" s="115"/>
      <c r="K70" s="71"/>
      <c r="U70" s="56"/>
    </row>
    <row r="71" spans="2:21" ht="7.5" customHeight="1" thickBot="1" x14ac:dyDescent="0.3"/>
    <row r="72" spans="2:21" x14ac:dyDescent="0.25">
      <c r="B72" s="79" t="s">
        <v>57</v>
      </c>
      <c r="C72" s="67"/>
      <c r="D72" s="67"/>
      <c r="E72" s="67"/>
      <c r="F72" s="67"/>
      <c r="G72" s="67"/>
      <c r="H72" s="67"/>
      <c r="I72" s="67"/>
      <c r="J72" s="114"/>
      <c r="K72" s="68"/>
      <c r="U72" s="55"/>
    </row>
    <row r="73" spans="2:21" x14ac:dyDescent="0.25">
      <c r="B73" s="80" t="s">
        <v>55</v>
      </c>
      <c r="C73" s="48"/>
      <c r="D73" s="48"/>
      <c r="E73" s="48"/>
      <c r="F73" s="48"/>
      <c r="G73" s="48"/>
      <c r="H73" s="48"/>
      <c r="I73" s="48"/>
      <c r="J73" s="109"/>
      <c r="K73" s="69"/>
      <c r="U73" s="50"/>
    </row>
    <row r="74" spans="2:21" ht="19.5" thickBot="1" x14ac:dyDescent="0.3">
      <c r="B74" s="81" t="s">
        <v>54</v>
      </c>
      <c r="C74" s="70"/>
      <c r="D74" s="70"/>
      <c r="E74" s="70"/>
      <c r="F74" s="70"/>
      <c r="G74" s="70"/>
      <c r="H74" s="70"/>
      <c r="I74" s="70"/>
      <c r="J74" s="115"/>
      <c r="K74" s="71"/>
      <c r="U74" s="56"/>
    </row>
    <row r="75" spans="2:21" ht="7.5" customHeight="1" thickBot="1" x14ac:dyDescent="0.3"/>
    <row r="76" spans="2:21" x14ac:dyDescent="0.25">
      <c r="B76" s="79" t="s">
        <v>58</v>
      </c>
      <c r="C76" s="67"/>
      <c r="D76" s="67"/>
      <c r="E76" s="67"/>
      <c r="F76" s="67"/>
      <c r="G76" s="67"/>
      <c r="H76" s="67"/>
      <c r="I76" s="67"/>
      <c r="J76" s="114"/>
      <c r="K76" s="68"/>
      <c r="U76" s="55"/>
    </row>
    <row r="77" spans="2:21" x14ac:dyDescent="0.25">
      <c r="B77" s="80" t="s">
        <v>55</v>
      </c>
      <c r="C77" s="48"/>
      <c r="D77" s="48"/>
      <c r="E77" s="48"/>
      <c r="F77" s="48"/>
      <c r="G77" s="48"/>
      <c r="H77" s="48"/>
      <c r="I77" s="48"/>
      <c r="J77" s="109"/>
      <c r="K77" s="69"/>
      <c r="U77" s="50"/>
    </row>
    <row r="78" spans="2:21" ht="19.5" thickBot="1" x14ac:dyDescent="0.3">
      <c r="B78" s="81" t="s">
        <v>54</v>
      </c>
      <c r="C78" s="70"/>
      <c r="D78" s="70"/>
      <c r="E78" s="70"/>
      <c r="F78" s="70"/>
      <c r="G78" s="70"/>
      <c r="H78" s="70"/>
      <c r="I78" s="70"/>
      <c r="J78" s="115"/>
      <c r="K78" s="71"/>
      <c r="U78" s="56"/>
    </row>
    <row r="79" spans="2:21" ht="7.5" customHeight="1" thickBot="1" x14ac:dyDescent="0.3"/>
    <row r="80" spans="2:21" ht="19.5" thickBot="1" x14ac:dyDescent="0.3">
      <c r="B80" s="78" t="s">
        <v>59</v>
      </c>
      <c r="C80" s="65"/>
      <c r="D80" s="65"/>
      <c r="E80" s="65"/>
      <c r="F80" s="65"/>
      <c r="G80" s="65"/>
      <c r="H80" s="65"/>
      <c r="I80" s="65"/>
      <c r="J80" s="116"/>
      <c r="K80" s="66"/>
      <c r="U80" s="64"/>
    </row>
  </sheetData>
  <mergeCells count="7">
    <mergeCell ref="V4:V5"/>
    <mergeCell ref="J5:K5"/>
    <mergeCell ref="C59:K59"/>
    <mergeCell ref="I1:U1"/>
    <mergeCell ref="C4:K4"/>
    <mergeCell ref="T4:T5"/>
    <mergeCell ref="U4:U5"/>
  </mergeCells>
  <printOptions horizontalCentered="1" verticalCentered="1"/>
  <pageMargins left="0.19685039370078741" right="0.19685039370078741" top="0.19685039370078741" bottom="0.19685039370078741" header="0.19685039370078741" footer="0.19685039370078741"/>
  <pageSetup paperSize="14" scale="70" orientation="portrait" horizontalDpi="360" verticalDpi="360" r:id="rId1"/>
  <colBreaks count="1" manualBreakCount="1">
    <brk id="24" max="80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5EF4A-2320-49A1-A07A-A82F8C5A9EE7}">
  <sheetPr>
    <pageSetUpPr fitToPage="1"/>
  </sheetPr>
  <dimension ref="A1:BB80"/>
  <sheetViews>
    <sheetView zoomScaleNormal="100" zoomScaleSheetLayoutView="115" workbookViewId="0">
      <selection activeCell="C53" sqref="C53"/>
    </sheetView>
  </sheetViews>
  <sheetFormatPr defaultColWidth="9.140625" defaultRowHeight="18.75" x14ac:dyDescent="0.25"/>
  <cols>
    <col min="1" max="1" width="4.140625" style="57" bestFit="1" customWidth="1"/>
    <col min="2" max="2" width="12.28515625" style="76" customWidth="1"/>
    <col min="3" max="6" width="10" style="57" customWidth="1"/>
    <col min="7" max="7" width="6.85546875" style="57" customWidth="1"/>
    <col min="8" max="8" width="6.7109375" style="57" customWidth="1"/>
    <col min="9" max="9" width="5.5703125" style="57" bestFit="1" customWidth="1"/>
    <col min="10" max="10" width="6.85546875" style="57" customWidth="1"/>
    <col min="11" max="11" width="5.5703125" style="57" bestFit="1" customWidth="1"/>
    <col min="12" max="12" width="1.42578125" style="57" customWidth="1"/>
    <col min="13" max="13" width="10" style="57" customWidth="1"/>
    <col min="14" max="14" width="5.5703125" style="57" bestFit="1" customWidth="1"/>
    <col min="15" max="15" width="10" style="57" customWidth="1"/>
    <col min="16" max="16" width="5.5703125" style="57" customWidth="1"/>
    <col min="17" max="17" width="10" style="57" customWidth="1"/>
    <col min="18" max="18" width="5.5703125" style="57" bestFit="1" customWidth="1"/>
    <col min="19" max="19" width="1.42578125" style="57" customWidth="1"/>
    <col min="20" max="20" width="12.5703125" style="57" bestFit="1" customWidth="1"/>
    <col min="21" max="21" width="14.28515625" style="57" customWidth="1"/>
    <col min="22" max="22" width="19.42578125" style="57" bestFit="1" customWidth="1"/>
    <col min="23" max="49" width="7.28515625" style="57" customWidth="1"/>
    <col min="50" max="50" width="1.5703125" style="57" customWidth="1"/>
    <col min="51" max="51" width="9.42578125" style="57" customWidth="1"/>
    <col min="52" max="52" width="1.28515625" style="57" customWidth="1"/>
    <col min="53" max="53" width="12.7109375" style="57" bestFit="1" customWidth="1"/>
    <col min="54" max="54" width="10.28515625" style="57" bestFit="1" customWidth="1"/>
    <col min="55" max="16384" width="9.140625" style="57"/>
  </cols>
  <sheetData>
    <row r="1" spans="1:54" ht="15" customHeight="1" x14ac:dyDescent="0.25">
      <c r="B1" s="75" t="s">
        <v>51</v>
      </c>
      <c r="I1" s="194" t="s">
        <v>53</v>
      </c>
      <c r="J1" s="194"/>
      <c r="K1" s="194"/>
      <c r="L1" s="194"/>
      <c r="M1" s="194"/>
      <c r="N1" s="194"/>
      <c r="O1" s="194"/>
      <c r="P1" s="194"/>
      <c r="Q1" s="194"/>
      <c r="R1" s="194"/>
      <c r="S1" s="194"/>
      <c r="T1" s="194"/>
      <c r="U1" s="194"/>
    </row>
    <row r="2" spans="1:54" x14ac:dyDescent="0.25">
      <c r="B2" s="76" t="s">
        <v>84</v>
      </c>
    </row>
    <row r="3" spans="1:54" ht="19.5" thickBot="1" x14ac:dyDescent="0.3"/>
    <row r="4" spans="1:54" s="58" customFormat="1" ht="15.75" x14ac:dyDescent="0.25">
      <c r="B4" s="93" t="s">
        <v>63</v>
      </c>
      <c r="C4" s="189" t="s">
        <v>49</v>
      </c>
      <c r="D4" s="189"/>
      <c r="E4" s="189"/>
      <c r="F4" s="189"/>
      <c r="G4" s="189"/>
      <c r="H4" s="189"/>
      <c r="I4" s="189"/>
      <c r="J4" s="199"/>
      <c r="K4" s="190"/>
      <c r="M4" s="82" t="s">
        <v>0</v>
      </c>
      <c r="N4" s="117" t="s">
        <v>72</v>
      </c>
      <c r="O4" s="84" t="s">
        <v>45</v>
      </c>
      <c r="P4" s="117" t="s">
        <v>72</v>
      </c>
      <c r="Q4" s="85" t="s">
        <v>46</v>
      </c>
      <c r="R4" s="117" t="s">
        <v>72</v>
      </c>
      <c r="S4" s="57"/>
      <c r="T4" s="200" t="s">
        <v>80</v>
      </c>
      <c r="U4" s="202" t="s">
        <v>79</v>
      </c>
      <c r="V4" s="195" t="s">
        <v>78</v>
      </c>
      <c r="AF4" s="59"/>
      <c r="AG4" s="59"/>
      <c r="AH4" s="59"/>
      <c r="AI4" s="59"/>
      <c r="AJ4" s="59"/>
      <c r="AK4" s="59"/>
      <c r="AL4" s="59"/>
      <c r="AM4" s="59"/>
      <c r="AN4" s="59"/>
      <c r="AO4" s="59"/>
      <c r="AP4" s="59"/>
      <c r="AQ4" s="59"/>
      <c r="AR4" s="59"/>
      <c r="AS4" s="59"/>
      <c r="AT4" s="59"/>
      <c r="AU4" s="59"/>
      <c r="AV4" s="59"/>
      <c r="AW4" s="59"/>
      <c r="AX4" s="59"/>
      <c r="AY4" s="59"/>
      <c r="AZ4" s="59"/>
      <c r="BA4" s="59"/>
      <c r="BB4" s="59"/>
    </row>
    <row r="5" spans="1:54" s="58" customFormat="1" ht="15.75" x14ac:dyDescent="0.25">
      <c r="B5" s="87"/>
      <c r="C5" s="92"/>
      <c r="D5" s="92"/>
      <c r="E5" s="92"/>
      <c r="F5" s="92"/>
      <c r="G5" s="92"/>
      <c r="H5" s="92" t="s">
        <v>76</v>
      </c>
      <c r="I5" s="92" t="s">
        <v>71</v>
      </c>
      <c r="J5" s="197" t="s">
        <v>77</v>
      </c>
      <c r="K5" s="198"/>
      <c r="M5" s="87"/>
      <c r="N5" s="118"/>
      <c r="O5" s="92"/>
      <c r="P5" s="128"/>
      <c r="Q5" s="128"/>
      <c r="R5" s="89"/>
      <c r="S5" s="57"/>
      <c r="T5" s="201"/>
      <c r="U5" s="203"/>
      <c r="V5" s="196"/>
      <c r="AF5" s="59"/>
      <c r="AG5" s="59"/>
      <c r="AH5" s="59"/>
      <c r="AI5" s="59"/>
      <c r="AJ5" s="59"/>
      <c r="AK5" s="59"/>
      <c r="AL5" s="59"/>
      <c r="AM5" s="59"/>
      <c r="AN5" s="59"/>
      <c r="AO5" s="59"/>
      <c r="AP5" s="59"/>
      <c r="AQ5" s="59"/>
      <c r="AR5" s="59"/>
      <c r="AS5" s="59"/>
      <c r="AT5" s="59"/>
      <c r="AU5" s="59"/>
      <c r="AV5" s="59"/>
      <c r="AW5" s="59"/>
      <c r="AX5" s="59"/>
      <c r="AY5" s="59"/>
      <c r="AZ5" s="59"/>
      <c r="BA5" s="59"/>
      <c r="BB5" s="59"/>
    </row>
    <row r="6" spans="1:54" s="58" customFormat="1" ht="15.75" x14ac:dyDescent="0.25">
      <c r="B6" s="87"/>
      <c r="C6" s="92"/>
      <c r="D6" s="92"/>
      <c r="E6" s="92"/>
      <c r="F6" s="92"/>
      <c r="G6" s="92"/>
      <c r="H6" s="92"/>
      <c r="I6" s="92"/>
      <c r="J6" s="128"/>
      <c r="K6" s="89"/>
      <c r="M6" s="87"/>
      <c r="N6" s="118"/>
      <c r="O6" s="92"/>
      <c r="P6" s="128"/>
      <c r="Q6" s="128"/>
      <c r="R6" s="89"/>
      <c r="S6" s="57"/>
      <c r="T6" s="90"/>
      <c r="U6" s="90"/>
      <c r="V6" s="90"/>
      <c r="AF6" s="59"/>
      <c r="AG6" s="59"/>
      <c r="AH6" s="59"/>
      <c r="AI6" s="59"/>
      <c r="AJ6" s="59"/>
      <c r="AK6" s="59"/>
      <c r="AL6" s="59"/>
      <c r="AM6" s="59"/>
      <c r="AN6" s="59"/>
      <c r="AO6" s="59"/>
      <c r="AP6" s="59"/>
      <c r="AQ6" s="59"/>
      <c r="AR6" s="59"/>
      <c r="AS6" s="59"/>
      <c r="AT6" s="59"/>
      <c r="AU6" s="59"/>
      <c r="AV6" s="59"/>
      <c r="AW6" s="59"/>
      <c r="AX6" s="59"/>
      <c r="AY6" s="59"/>
      <c r="AZ6" s="59"/>
      <c r="BA6" s="59"/>
      <c r="BB6" s="59"/>
    </row>
    <row r="7" spans="1:54" x14ac:dyDescent="0.25">
      <c r="A7" s="75">
        <v>1</v>
      </c>
      <c r="B7" s="74" t="s">
        <v>34</v>
      </c>
      <c r="C7" s="48">
        <f>37</f>
        <v>37</v>
      </c>
      <c r="D7" s="48"/>
      <c r="E7" s="48"/>
      <c r="F7" s="48"/>
      <c r="G7" s="48"/>
      <c r="H7" s="48">
        <v>17</v>
      </c>
      <c r="I7" s="48">
        <v>1</v>
      </c>
      <c r="J7" s="109"/>
      <c r="K7" s="69">
        <v>6</v>
      </c>
      <c r="M7" s="88">
        <v>2</v>
      </c>
      <c r="N7" s="119"/>
      <c r="O7" s="48">
        <v>3</v>
      </c>
      <c r="P7" s="109"/>
      <c r="Q7" s="109">
        <v>1</v>
      </c>
      <c r="R7" s="69"/>
      <c r="T7" s="91">
        <f>H7+I7+J7+K7+N7+P7+R7</f>
        <v>24</v>
      </c>
      <c r="U7" s="91">
        <f>C7*24+M7*24+O7*24+Q7*24+T7</f>
        <v>1056</v>
      </c>
      <c r="V7" s="91">
        <f>U7/24</f>
        <v>44</v>
      </c>
      <c r="W7" s="123"/>
      <c r="AF7" s="60"/>
      <c r="AG7" s="60"/>
      <c r="AH7" s="60"/>
      <c r="AI7" s="60"/>
      <c r="AJ7" s="60"/>
      <c r="AK7" s="60"/>
      <c r="AL7" s="60"/>
      <c r="AM7" s="60"/>
      <c r="AN7" s="60"/>
      <c r="AO7" s="60"/>
      <c r="AP7" s="60"/>
      <c r="AQ7" s="60"/>
      <c r="AR7" s="60"/>
      <c r="AS7" s="60"/>
      <c r="AT7" s="60"/>
      <c r="AU7" s="60"/>
      <c r="AV7" s="60"/>
      <c r="AW7" s="60"/>
      <c r="AX7" s="60"/>
      <c r="AY7" s="60"/>
      <c r="AZ7" s="60"/>
      <c r="BA7" s="60"/>
      <c r="BB7" s="60"/>
    </row>
    <row r="8" spans="1:54" ht="19.5" thickBot="1" x14ac:dyDescent="0.3">
      <c r="A8" s="75">
        <f>A7+1</f>
        <v>2</v>
      </c>
      <c r="B8" s="94" t="s">
        <v>37</v>
      </c>
      <c r="C8" s="95">
        <f>63+44</f>
        <v>107</v>
      </c>
      <c r="D8" s="95"/>
      <c r="E8" s="95"/>
      <c r="F8" s="95"/>
      <c r="G8" s="95"/>
      <c r="H8" s="95"/>
      <c r="I8" s="95"/>
      <c r="J8" s="110"/>
      <c r="K8" s="96"/>
      <c r="L8" s="102"/>
      <c r="M8" s="103"/>
      <c r="N8" s="120"/>
      <c r="O8" s="97"/>
      <c r="P8" s="113"/>
      <c r="Q8" s="113">
        <v>1</v>
      </c>
      <c r="R8" s="98"/>
      <c r="S8" s="102"/>
      <c r="T8" s="126">
        <f t="shared" ref="T8:T40" si="0">H8+I8+J8+K8+N8+P8+R8</f>
        <v>0</v>
      </c>
      <c r="U8" s="124">
        <f>C8*24+M8*24+O8*24+Q8*24+T8</f>
        <v>2592</v>
      </c>
      <c r="V8" s="124">
        <f>U8/24</f>
        <v>108</v>
      </c>
      <c r="W8" s="123"/>
      <c r="AF8" s="60"/>
      <c r="AG8" s="60"/>
      <c r="AH8" s="60"/>
      <c r="AI8" s="60"/>
      <c r="AJ8" s="60"/>
      <c r="AK8" s="60"/>
      <c r="AL8" s="60"/>
      <c r="AM8" s="60"/>
      <c r="AN8" s="60"/>
      <c r="AO8" s="60"/>
      <c r="AP8" s="60"/>
      <c r="AQ8" s="60"/>
      <c r="AR8" s="60"/>
      <c r="AS8" s="60"/>
      <c r="AT8" s="60"/>
      <c r="AU8" s="60"/>
      <c r="AV8" s="60"/>
      <c r="AW8" s="60"/>
      <c r="AX8" s="60"/>
      <c r="AY8" s="60"/>
      <c r="AZ8" s="60"/>
      <c r="BA8" s="60"/>
      <c r="BB8" s="60"/>
    </row>
    <row r="9" spans="1:54" x14ac:dyDescent="0.25">
      <c r="A9" s="75">
        <f t="shared" ref="A9:A56" si="1">A8+1</f>
        <v>3</v>
      </c>
      <c r="B9" s="73" t="s">
        <v>35</v>
      </c>
      <c r="C9" s="47"/>
      <c r="D9" s="47"/>
      <c r="E9" s="47"/>
      <c r="F9" s="47"/>
      <c r="G9" s="47"/>
      <c r="H9" s="47"/>
      <c r="I9" s="47"/>
      <c r="J9" s="111"/>
      <c r="K9" s="46"/>
      <c r="M9" s="52"/>
      <c r="N9" s="121"/>
      <c r="O9" s="47"/>
      <c r="P9" s="111"/>
      <c r="Q9" s="111"/>
      <c r="R9" s="46"/>
      <c r="T9" s="50">
        <f t="shared" si="0"/>
        <v>0</v>
      </c>
      <c r="U9" s="125">
        <f t="shared" ref="U9:U11" si="2">C9*24+M9*24+O9*24+Q9*24+T9</f>
        <v>0</v>
      </c>
      <c r="V9" s="125">
        <f t="shared" ref="V9:V11" si="3">U9/24</f>
        <v>0</v>
      </c>
      <c r="W9" s="123"/>
      <c r="AF9" s="60"/>
      <c r="AG9" s="60"/>
      <c r="AH9" s="60"/>
      <c r="AI9" s="60"/>
      <c r="AJ9" s="60"/>
      <c r="AK9" s="60"/>
      <c r="AL9" s="60"/>
      <c r="AM9" s="60"/>
      <c r="AN9" s="60"/>
      <c r="AO9" s="60"/>
      <c r="AP9" s="60"/>
      <c r="AQ9" s="60"/>
      <c r="AR9" s="60"/>
      <c r="AS9" s="60"/>
      <c r="AT9" s="60"/>
      <c r="AU9" s="60"/>
      <c r="AV9" s="60"/>
      <c r="AW9" s="60"/>
      <c r="AX9" s="60"/>
      <c r="AY9" s="60"/>
      <c r="AZ9" s="60"/>
      <c r="BA9" s="60"/>
      <c r="BB9" s="60"/>
    </row>
    <row r="10" spans="1:54" x14ac:dyDescent="0.25">
      <c r="A10" s="75">
        <f t="shared" si="1"/>
        <v>4</v>
      </c>
      <c r="B10" s="74" t="s">
        <v>38</v>
      </c>
      <c r="C10" s="47">
        <v>132</v>
      </c>
      <c r="D10" s="47"/>
      <c r="E10" s="47"/>
      <c r="F10" s="47"/>
      <c r="G10" s="47"/>
      <c r="H10" s="47"/>
      <c r="I10" s="47"/>
      <c r="J10" s="111"/>
      <c r="K10" s="46"/>
      <c r="M10" s="52"/>
      <c r="N10" s="121"/>
      <c r="O10" s="47"/>
      <c r="P10" s="111"/>
      <c r="Q10" s="111">
        <v>7</v>
      </c>
      <c r="R10" s="46"/>
      <c r="T10" s="91">
        <f t="shared" si="0"/>
        <v>0</v>
      </c>
      <c r="U10" s="91">
        <f t="shared" si="2"/>
        <v>3336</v>
      </c>
      <c r="V10" s="91">
        <f t="shared" si="3"/>
        <v>139</v>
      </c>
      <c r="W10" s="123"/>
      <c r="AF10" s="60"/>
      <c r="AG10" s="60"/>
      <c r="AH10" s="60"/>
      <c r="AI10" s="60"/>
      <c r="AJ10" s="60"/>
      <c r="AK10" s="60"/>
      <c r="AL10" s="60"/>
      <c r="AM10" s="60"/>
      <c r="AN10" s="60"/>
      <c r="AO10" s="60"/>
      <c r="AP10" s="60"/>
      <c r="AQ10" s="60"/>
      <c r="AR10" s="60"/>
      <c r="AS10" s="60"/>
      <c r="AT10" s="60"/>
      <c r="AU10" s="60"/>
      <c r="AV10" s="60"/>
      <c r="AW10" s="60"/>
      <c r="AX10" s="60"/>
      <c r="AY10" s="60"/>
      <c r="AZ10" s="60"/>
      <c r="BA10" s="60"/>
      <c r="BB10" s="60"/>
    </row>
    <row r="11" spans="1:54" x14ac:dyDescent="0.25">
      <c r="A11" s="75">
        <f t="shared" si="1"/>
        <v>5</v>
      </c>
      <c r="B11" s="74" t="s">
        <v>36</v>
      </c>
      <c r="C11" s="47">
        <v>1</v>
      </c>
      <c r="D11" s="47"/>
      <c r="E11" s="47"/>
      <c r="F11" s="47"/>
      <c r="G11" s="47"/>
      <c r="H11" s="47">
        <v>22</v>
      </c>
      <c r="I11" s="47"/>
      <c r="J11" s="111"/>
      <c r="K11" s="46">
        <v>2</v>
      </c>
      <c r="M11" s="52"/>
      <c r="N11" s="121"/>
      <c r="O11" s="47"/>
      <c r="P11" s="111"/>
      <c r="Q11" s="111"/>
      <c r="R11" s="46"/>
      <c r="T11" s="91">
        <f t="shared" si="0"/>
        <v>24</v>
      </c>
      <c r="U11" s="91">
        <f t="shared" si="2"/>
        <v>48</v>
      </c>
      <c r="V11" s="91">
        <f t="shared" si="3"/>
        <v>2</v>
      </c>
      <c r="AF11" s="60"/>
      <c r="AG11" s="60"/>
      <c r="AH11" s="60"/>
      <c r="AI11" s="60"/>
      <c r="AJ11" s="60"/>
      <c r="AK11" s="60"/>
      <c r="AL11" s="60"/>
      <c r="AM11" s="60"/>
      <c r="AN11" s="60"/>
      <c r="AO11" s="60"/>
      <c r="AP11" s="60"/>
      <c r="AQ11" s="60"/>
      <c r="AR11" s="60"/>
      <c r="AS11" s="60"/>
      <c r="AT11" s="60"/>
      <c r="AU11" s="60"/>
      <c r="AV11" s="60"/>
      <c r="AW11" s="60"/>
      <c r="AX11" s="60"/>
      <c r="AY11" s="60"/>
      <c r="AZ11" s="60"/>
      <c r="BA11" s="60"/>
      <c r="BB11" s="60"/>
    </row>
    <row r="12" spans="1:54" s="61" customFormat="1" ht="19.5" thickBot="1" x14ac:dyDescent="0.3">
      <c r="A12" s="75">
        <v>7</v>
      </c>
      <c r="B12" s="94" t="s">
        <v>32</v>
      </c>
      <c r="C12" s="95">
        <f>72+1656+33+576+1440</f>
        <v>3777</v>
      </c>
      <c r="D12" s="95"/>
      <c r="E12" s="95"/>
      <c r="F12" s="95"/>
      <c r="G12" s="95"/>
      <c r="H12" s="95"/>
      <c r="I12" s="95"/>
      <c r="J12" s="110"/>
      <c r="K12" s="96"/>
      <c r="L12" s="102"/>
      <c r="M12" s="103">
        <v>7</v>
      </c>
      <c r="N12" s="120">
        <v>23</v>
      </c>
      <c r="O12" s="97">
        <v>10</v>
      </c>
      <c r="P12" s="113">
        <v>7</v>
      </c>
      <c r="Q12" s="113">
        <v>15</v>
      </c>
      <c r="R12" s="98">
        <v>20</v>
      </c>
      <c r="S12" s="102"/>
      <c r="T12" s="91">
        <f t="shared" si="0"/>
        <v>50</v>
      </c>
      <c r="U12" s="124">
        <f>C12*24+M12*24+O12*24+Q12*24+T12</f>
        <v>91466</v>
      </c>
      <c r="V12" s="124">
        <f>U12/24</f>
        <v>3811.0833333333335</v>
      </c>
      <c r="W12" s="57"/>
      <c r="X12" s="57"/>
      <c r="Y12" s="57"/>
      <c r="Z12" s="57"/>
      <c r="AA12" s="57"/>
      <c r="AB12" s="57"/>
      <c r="AC12" s="57"/>
      <c r="AD12" s="57"/>
      <c r="AE12" s="57"/>
      <c r="AF12" s="60"/>
      <c r="AG12" s="60"/>
      <c r="AH12" s="60"/>
      <c r="AI12" s="60"/>
      <c r="AJ12" s="60"/>
      <c r="AK12" s="60"/>
      <c r="AL12" s="60"/>
      <c r="AM12" s="60"/>
      <c r="AN12" s="60"/>
      <c r="AO12" s="60"/>
      <c r="AP12" s="60"/>
      <c r="AQ12" s="60"/>
      <c r="AR12" s="60"/>
      <c r="AS12" s="60"/>
      <c r="AT12" s="60"/>
      <c r="AU12" s="60"/>
      <c r="AV12" s="60"/>
      <c r="AW12" s="60"/>
      <c r="AX12" s="60"/>
      <c r="AY12" s="60"/>
      <c r="AZ12" s="60"/>
      <c r="BA12" s="60"/>
      <c r="BB12" s="60"/>
    </row>
    <row r="13" spans="1:54" x14ac:dyDescent="0.25">
      <c r="A13" s="75">
        <v>11</v>
      </c>
      <c r="B13" s="73" t="s">
        <v>1</v>
      </c>
      <c r="C13" s="47">
        <v>5</v>
      </c>
      <c r="D13" s="47"/>
      <c r="E13" s="47"/>
      <c r="F13" s="47"/>
      <c r="G13" s="47"/>
      <c r="H13" s="47"/>
      <c r="I13" s="47"/>
      <c r="J13" s="111"/>
      <c r="K13" s="46"/>
      <c r="M13" s="52"/>
      <c r="N13" s="121"/>
      <c r="O13" s="47"/>
      <c r="P13" s="111"/>
      <c r="Q13" s="111"/>
      <c r="R13" s="46"/>
      <c r="T13" s="91">
        <f t="shared" si="0"/>
        <v>0</v>
      </c>
      <c r="U13" s="125">
        <f>C13*24+M13*24+O13*24+Q13*24+T13</f>
        <v>120</v>
      </c>
      <c r="V13" s="125">
        <f>U13/24</f>
        <v>5</v>
      </c>
      <c r="AF13" s="60"/>
      <c r="AG13" s="60"/>
      <c r="AH13" s="60"/>
      <c r="AI13" s="60"/>
      <c r="AJ13" s="60"/>
      <c r="AK13" s="60"/>
      <c r="AL13" s="60"/>
      <c r="AM13" s="60"/>
      <c r="AN13" s="60"/>
      <c r="AO13" s="60"/>
      <c r="AP13" s="60"/>
      <c r="AQ13" s="60"/>
      <c r="AR13" s="60"/>
      <c r="AS13" s="60"/>
      <c r="AT13" s="60"/>
      <c r="AU13" s="60"/>
      <c r="AV13" s="60"/>
      <c r="AW13" s="60"/>
      <c r="AX13" s="60"/>
      <c r="AY13" s="60"/>
      <c r="AZ13" s="60"/>
      <c r="BA13" s="60"/>
      <c r="BB13" s="60"/>
    </row>
    <row r="14" spans="1:54" x14ac:dyDescent="0.25">
      <c r="A14" s="75">
        <f t="shared" si="1"/>
        <v>12</v>
      </c>
      <c r="B14" s="74" t="s">
        <v>2</v>
      </c>
      <c r="C14" s="47"/>
      <c r="D14" s="47"/>
      <c r="E14" s="47"/>
      <c r="F14" s="47"/>
      <c r="G14" s="47"/>
      <c r="H14" s="47"/>
      <c r="I14" s="47"/>
      <c r="J14" s="111"/>
      <c r="K14" s="46"/>
      <c r="M14" s="52"/>
      <c r="N14" s="121"/>
      <c r="O14" s="47"/>
      <c r="P14" s="111"/>
      <c r="Q14" s="111"/>
      <c r="R14" s="46"/>
      <c r="T14" s="91">
        <f t="shared" si="0"/>
        <v>0</v>
      </c>
      <c r="U14" s="50">
        <f t="shared" ref="U14:U36" si="4">C14*24+M14*24+O14*24+Q14*24+T14</f>
        <v>0</v>
      </c>
      <c r="V14" s="50">
        <f t="shared" ref="V14:V36" si="5">U14/24</f>
        <v>0</v>
      </c>
      <c r="AF14" s="60"/>
      <c r="AG14" s="60"/>
      <c r="AH14" s="60"/>
      <c r="AI14" s="60"/>
      <c r="AJ14" s="60"/>
      <c r="AK14" s="60"/>
      <c r="AL14" s="60"/>
      <c r="AM14" s="60"/>
      <c r="AN14" s="60"/>
      <c r="AO14" s="60"/>
      <c r="AP14" s="60"/>
      <c r="AQ14" s="60"/>
      <c r="AR14" s="60"/>
      <c r="AS14" s="60"/>
      <c r="AT14" s="60"/>
      <c r="AU14" s="60"/>
      <c r="AV14" s="60"/>
      <c r="AW14" s="60"/>
      <c r="AX14" s="60"/>
      <c r="AY14" s="60"/>
      <c r="AZ14" s="60"/>
      <c r="BA14" s="60"/>
      <c r="BB14" s="60"/>
    </row>
    <row r="15" spans="1:54" x14ac:dyDescent="0.25">
      <c r="A15" s="75">
        <f t="shared" si="1"/>
        <v>13</v>
      </c>
      <c r="B15" s="74" t="s">
        <v>3</v>
      </c>
      <c r="C15" s="47"/>
      <c r="D15" s="47"/>
      <c r="E15" s="47"/>
      <c r="F15" s="47"/>
      <c r="G15" s="47"/>
      <c r="H15" s="47"/>
      <c r="I15" s="47"/>
      <c r="J15" s="111"/>
      <c r="K15" s="46"/>
      <c r="M15" s="52"/>
      <c r="N15" s="121"/>
      <c r="O15" s="47"/>
      <c r="P15" s="111"/>
      <c r="Q15" s="111"/>
      <c r="R15" s="46"/>
      <c r="T15" s="91">
        <f t="shared" si="0"/>
        <v>0</v>
      </c>
      <c r="U15" s="50">
        <f t="shared" si="4"/>
        <v>0</v>
      </c>
      <c r="V15" s="50">
        <f t="shared" si="5"/>
        <v>0</v>
      </c>
      <c r="AF15" s="60"/>
      <c r="AG15" s="60"/>
      <c r="AH15" s="60"/>
      <c r="AI15" s="60"/>
      <c r="AJ15" s="60"/>
      <c r="AK15" s="60"/>
      <c r="AL15" s="60"/>
      <c r="AM15" s="60"/>
      <c r="AN15" s="60"/>
      <c r="AO15" s="60"/>
      <c r="AP15" s="60"/>
      <c r="AQ15" s="60"/>
      <c r="AR15" s="60"/>
      <c r="AS15" s="60"/>
      <c r="AT15" s="60"/>
      <c r="AU15" s="60"/>
      <c r="AV15" s="60"/>
      <c r="AW15" s="60"/>
      <c r="AX15" s="60"/>
      <c r="AY15" s="60"/>
      <c r="AZ15" s="60"/>
      <c r="BA15" s="60"/>
      <c r="BB15" s="60"/>
    </row>
    <row r="16" spans="1:54" x14ac:dyDescent="0.25">
      <c r="A16" s="75">
        <f t="shared" si="1"/>
        <v>14</v>
      </c>
      <c r="B16" s="74" t="s">
        <v>4</v>
      </c>
      <c r="C16" s="47"/>
      <c r="D16" s="47"/>
      <c r="E16" s="47"/>
      <c r="F16" s="47"/>
      <c r="G16" s="47"/>
      <c r="H16" s="47"/>
      <c r="I16" s="47"/>
      <c r="J16" s="111"/>
      <c r="K16" s="46"/>
      <c r="M16" s="52"/>
      <c r="N16" s="121"/>
      <c r="O16" s="47"/>
      <c r="P16" s="111"/>
      <c r="Q16" s="111"/>
      <c r="R16" s="46"/>
      <c r="T16" s="91">
        <f t="shared" si="0"/>
        <v>0</v>
      </c>
      <c r="U16" s="50">
        <f t="shared" si="4"/>
        <v>0</v>
      </c>
      <c r="V16" s="50">
        <f t="shared" si="5"/>
        <v>0</v>
      </c>
      <c r="AF16" s="60"/>
      <c r="AG16" s="60"/>
      <c r="AH16" s="60"/>
      <c r="AI16" s="60"/>
      <c r="AJ16" s="60"/>
      <c r="AK16" s="60"/>
      <c r="AL16" s="60"/>
      <c r="AM16" s="60"/>
      <c r="AN16" s="60"/>
      <c r="AO16" s="60"/>
      <c r="AP16" s="60"/>
      <c r="AQ16" s="60"/>
      <c r="AR16" s="60"/>
      <c r="AS16" s="60"/>
      <c r="AT16" s="60"/>
      <c r="AU16" s="60"/>
      <c r="AV16" s="60"/>
      <c r="AW16" s="60"/>
      <c r="AX16" s="60"/>
      <c r="AY16" s="60"/>
      <c r="AZ16" s="60"/>
      <c r="BA16" s="60"/>
      <c r="BB16" s="60"/>
    </row>
    <row r="17" spans="1:54" x14ac:dyDescent="0.25">
      <c r="A17" s="75">
        <f t="shared" si="1"/>
        <v>15</v>
      </c>
      <c r="B17" s="74" t="s">
        <v>5</v>
      </c>
      <c r="C17" s="47">
        <v>5</v>
      </c>
      <c r="D17" s="47"/>
      <c r="E17" s="47"/>
      <c r="F17" s="47"/>
      <c r="G17" s="47"/>
      <c r="H17" s="47"/>
      <c r="I17" s="47"/>
      <c r="J17" s="111"/>
      <c r="K17" s="46"/>
      <c r="M17" s="52"/>
      <c r="N17" s="121"/>
      <c r="O17" s="47"/>
      <c r="P17" s="111"/>
      <c r="Q17" s="111"/>
      <c r="R17" s="46"/>
      <c r="T17" s="91">
        <f t="shared" si="0"/>
        <v>0</v>
      </c>
      <c r="U17" s="50">
        <f t="shared" si="4"/>
        <v>120</v>
      </c>
      <c r="V17" s="50">
        <f t="shared" si="5"/>
        <v>5</v>
      </c>
      <c r="AF17" s="60"/>
      <c r="AG17" s="60"/>
      <c r="AH17" s="60"/>
      <c r="AI17" s="60"/>
      <c r="AJ17" s="60"/>
      <c r="AK17" s="60"/>
      <c r="AL17" s="60"/>
      <c r="AM17" s="60"/>
      <c r="AN17" s="60"/>
      <c r="AO17" s="60"/>
      <c r="AP17" s="60"/>
      <c r="AQ17" s="60"/>
      <c r="AR17" s="60"/>
      <c r="AS17" s="60"/>
      <c r="AT17" s="60"/>
      <c r="AU17" s="60"/>
      <c r="AV17" s="60"/>
      <c r="AW17" s="60"/>
      <c r="AX17" s="60"/>
      <c r="AY17" s="60"/>
      <c r="AZ17" s="60"/>
      <c r="BA17" s="60"/>
      <c r="BB17" s="60"/>
    </row>
    <row r="18" spans="1:54" hidden="1" x14ac:dyDescent="0.25">
      <c r="A18" s="75">
        <f t="shared" si="1"/>
        <v>16</v>
      </c>
      <c r="B18" s="74" t="s">
        <v>10</v>
      </c>
      <c r="C18" s="47"/>
      <c r="D18" s="47"/>
      <c r="E18" s="47"/>
      <c r="F18" s="47"/>
      <c r="G18" s="47"/>
      <c r="H18" s="47"/>
      <c r="I18" s="47"/>
      <c r="J18" s="111"/>
      <c r="K18" s="46"/>
      <c r="M18" s="52"/>
      <c r="N18" s="121"/>
      <c r="O18" s="47"/>
      <c r="P18" s="111"/>
      <c r="Q18" s="111"/>
      <c r="R18" s="46"/>
      <c r="T18" s="91">
        <f t="shared" si="0"/>
        <v>0</v>
      </c>
      <c r="U18" s="50">
        <f t="shared" si="4"/>
        <v>0</v>
      </c>
      <c r="V18" s="50">
        <f t="shared" si="5"/>
        <v>0</v>
      </c>
      <c r="AF18" s="60"/>
      <c r="AG18" s="60"/>
      <c r="AH18" s="60"/>
      <c r="AI18" s="60"/>
      <c r="AJ18" s="60"/>
      <c r="AK18" s="60"/>
      <c r="AL18" s="60"/>
      <c r="AM18" s="60"/>
      <c r="AN18" s="60"/>
      <c r="AO18" s="60"/>
      <c r="AP18" s="60"/>
      <c r="AQ18" s="60"/>
      <c r="AR18" s="60"/>
      <c r="AS18" s="60"/>
      <c r="AT18" s="60"/>
      <c r="AU18" s="60"/>
      <c r="AV18" s="60"/>
      <c r="AW18" s="60"/>
      <c r="AX18" s="60"/>
      <c r="AY18" s="60"/>
      <c r="AZ18" s="60"/>
      <c r="BA18" s="60"/>
      <c r="BB18" s="60"/>
    </row>
    <row r="19" spans="1:54" x14ac:dyDescent="0.25">
      <c r="A19" s="75">
        <v>16</v>
      </c>
      <c r="B19" s="74" t="s">
        <v>64</v>
      </c>
      <c r="C19" s="47">
        <v>4</v>
      </c>
      <c r="D19" s="47"/>
      <c r="E19" s="47"/>
      <c r="F19" s="47"/>
      <c r="G19" s="47"/>
      <c r="H19" s="47"/>
      <c r="I19" s="47"/>
      <c r="J19" s="111"/>
      <c r="K19" s="46"/>
      <c r="M19" s="52"/>
      <c r="N19" s="121"/>
      <c r="O19" s="47"/>
      <c r="P19" s="111"/>
      <c r="Q19" s="111"/>
      <c r="R19" s="46"/>
      <c r="T19" s="91">
        <f t="shared" si="0"/>
        <v>0</v>
      </c>
      <c r="U19" s="50">
        <f t="shared" si="4"/>
        <v>96</v>
      </c>
      <c r="V19" s="50">
        <f t="shared" si="5"/>
        <v>4</v>
      </c>
      <c r="AF19" s="60"/>
      <c r="AG19" s="60"/>
      <c r="AH19" s="60"/>
      <c r="AI19" s="60"/>
      <c r="AJ19" s="60"/>
      <c r="AK19" s="60"/>
      <c r="AL19" s="60"/>
      <c r="AM19" s="60"/>
      <c r="AN19" s="60"/>
      <c r="AO19" s="60"/>
      <c r="AP19" s="60"/>
      <c r="AQ19" s="60"/>
      <c r="AR19" s="60"/>
      <c r="AS19" s="60"/>
      <c r="AT19" s="60"/>
      <c r="AU19" s="60"/>
      <c r="AV19" s="60"/>
      <c r="AW19" s="60"/>
      <c r="AX19" s="60"/>
      <c r="AY19" s="60"/>
      <c r="AZ19" s="60"/>
      <c r="BA19" s="60"/>
      <c r="BB19" s="60"/>
    </row>
    <row r="20" spans="1:54" x14ac:dyDescent="0.25">
      <c r="A20" s="75">
        <f t="shared" si="1"/>
        <v>17</v>
      </c>
      <c r="B20" s="74" t="s">
        <v>6</v>
      </c>
      <c r="C20" s="47">
        <v>6</v>
      </c>
      <c r="D20" s="47"/>
      <c r="E20" s="47"/>
      <c r="F20" s="47"/>
      <c r="G20" s="47"/>
      <c r="H20" s="47"/>
      <c r="I20" s="47"/>
      <c r="J20" s="111"/>
      <c r="K20" s="46"/>
      <c r="M20" s="52"/>
      <c r="N20" s="121"/>
      <c r="O20" s="47"/>
      <c r="P20" s="111"/>
      <c r="Q20" s="111"/>
      <c r="R20" s="46"/>
      <c r="T20" s="91">
        <f t="shared" si="0"/>
        <v>0</v>
      </c>
      <c r="U20" s="50">
        <f t="shared" si="4"/>
        <v>144</v>
      </c>
      <c r="V20" s="50">
        <f t="shared" si="5"/>
        <v>6</v>
      </c>
      <c r="AF20" s="60"/>
      <c r="AG20" s="60"/>
      <c r="AH20" s="60"/>
      <c r="AI20" s="60"/>
      <c r="AJ20" s="60"/>
      <c r="AK20" s="60"/>
      <c r="AL20" s="60"/>
      <c r="AM20" s="60"/>
      <c r="AN20" s="60"/>
      <c r="AO20" s="60"/>
      <c r="AP20" s="60"/>
      <c r="AQ20" s="60"/>
      <c r="AR20" s="60"/>
      <c r="AS20" s="60"/>
      <c r="AT20" s="60"/>
      <c r="AU20" s="60"/>
      <c r="AV20" s="60"/>
      <c r="AW20" s="60"/>
      <c r="AX20" s="60"/>
      <c r="AY20" s="60"/>
      <c r="AZ20" s="60"/>
      <c r="BA20" s="60"/>
      <c r="BB20" s="60"/>
    </row>
    <row r="21" spans="1:54" x14ac:dyDescent="0.25">
      <c r="A21" s="75">
        <f t="shared" si="1"/>
        <v>18</v>
      </c>
      <c r="B21" s="74" t="s">
        <v>7</v>
      </c>
      <c r="C21" s="47">
        <v>4</v>
      </c>
      <c r="D21" s="47"/>
      <c r="E21" s="47"/>
      <c r="F21" s="47"/>
      <c r="G21" s="47"/>
      <c r="H21" s="47"/>
      <c r="I21" s="47"/>
      <c r="J21" s="111"/>
      <c r="K21" s="46"/>
      <c r="M21" s="52"/>
      <c r="N21" s="121"/>
      <c r="O21" s="47"/>
      <c r="P21" s="111"/>
      <c r="Q21" s="111"/>
      <c r="R21" s="46"/>
      <c r="T21" s="91">
        <f t="shared" si="0"/>
        <v>0</v>
      </c>
      <c r="U21" s="50">
        <f t="shared" si="4"/>
        <v>96</v>
      </c>
      <c r="V21" s="50">
        <f t="shared" si="5"/>
        <v>4</v>
      </c>
      <c r="AF21" s="60"/>
      <c r="AG21" s="60"/>
      <c r="AH21" s="60"/>
      <c r="AI21" s="60"/>
      <c r="AJ21" s="60"/>
      <c r="AK21" s="60"/>
      <c r="AL21" s="60"/>
      <c r="AM21" s="60"/>
      <c r="AN21" s="60"/>
      <c r="AO21" s="60"/>
      <c r="AP21" s="60"/>
      <c r="AQ21" s="60"/>
      <c r="AR21" s="60"/>
      <c r="AS21" s="60"/>
      <c r="AT21" s="60"/>
      <c r="AU21" s="60"/>
      <c r="AV21" s="60"/>
      <c r="AW21" s="60"/>
      <c r="AX21" s="60"/>
      <c r="AY21" s="60"/>
      <c r="AZ21" s="60"/>
      <c r="BA21" s="60"/>
      <c r="BB21" s="60"/>
    </row>
    <row r="22" spans="1:54" s="61" customFormat="1" x14ac:dyDescent="0.25">
      <c r="A22" s="75">
        <f t="shared" si="1"/>
        <v>19</v>
      </c>
      <c r="B22" s="74" t="s">
        <v>65</v>
      </c>
      <c r="C22" s="47">
        <v>3</v>
      </c>
      <c r="D22" s="47"/>
      <c r="E22" s="47"/>
      <c r="F22" s="47"/>
      <c r="G22" s="47"/>
      <c r="H22" s="47"/>
      <c r="I22" s="47"/>
      <c r="J22" s="111"/>
      <c r="K22" s="46"/>
      <c r="L22" s="57"/>
      <c r="M22" s="52"/>
      <c r="N22" s="121"/>
      <c r="O22" s="47"/>
      <c r="P22" s="111"/>
      <c r="Q22" s="111"/>
      <c r="R22" s="46"/>
      <c r="S22" s="57"/>
      <c r="T22" s="91">
        <f t="shared" si="0"/>
        <v>0</v>
      </c>
      <c r="U22" s="50">
        <f t="shared" si="4"/>
        <v>72</v>
      </c>
      <c r="V22" s="50">
        <f t="shared" si="5"/>
        <v>3</v>
      </c>
      <c r="W22" s="57"/>
      <c r="X22" s="57"/>
      <c r="Y22" s="57"/>
      <c r="Z22" s="57"/>
      <c r="AA22" s="57"/>
      <c r="AB22" s="57"/>
      <c r="AC22" s="57"/>
      <c r="AD22" s="57"/>
      <c r="AE22" s="57"/>
      <c r="AF22" s="60"/>
      <c r="AG22" s="60"/>
      <c r="AH22" s="60"/>
      <c r="AI22" s="60"/>
      <c r="AJ22" s="60"/>
      <c r="AK22" s="60"/>
      <c r="AL22" s="60"/>
      <c r="AM22" s="60"/>
      <c r="AN22" s="60"/>
      <c r="AO22" s="60"/>
      <c r="AP22" s="60"/>
      <c r="AQ22" s="60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</row>
    <row r="23" spans="1:54" s="61" customFormat="1" x14ac:dyDescent="0.25">
      <c r="A23" s="75">
        <f t="shared" si="1"/>
        <v>20</v>
      </c>
      <c r="B23" s="74" t="s">
        <v>66</v>
      </c>
      <c r="C23" s="47">
        <v>54</v>
      </c>
      <c r="D23" s="47"/>
      <c r="E23" s="47"/>
      <c r="F23" s="47"/>
      <c r="G23" s="47"/>
      <c r="H23" s="47"/>
      <c r="I23" s="47"/>
      <c r="J23" s="111"/>
      <c r="K23" s="46"/>
      <c r="L23" s="57"/>
      <c r="M23" s="52"/>
      <c r="N23" s="121"/>
      <c r="O23" s="47"/>
      <c r="P23" s="111"/>
      <c r="Q23" s="111"/>
      <c r="R23" s="46"/>
      <c r="S23" s="57"/>
      <c r="T23" s="91">
        <f t="shared" si="0"/>
        <v>0</v>
      </c>
      <c r="U23" s="50">
        <f t="shared" si="4"/>
        <v>1296</v>
      </c>
      <c r="V23" s="50">
        <f t="shared" si="5"/>
        <v>54</v>
      </c>
      <c r="W23" s="57"/>
      <c r="X23" s="57"/>
      <c r="Y23" s="57"/>
      <c r="Z23" s="57"/>
      <c r="AA23" s="57"/>
      <c r="AB23" s="57"/>
      <c r="AC23" s="57"/>
      <c r="AD23" s="57"/>
      <c r="AE23" s="57"/>
      <c r="AF23" s="60"/>
      <c r="AG23" s="60"/>
      <c r="AH23" s="60"/>
      <c r="AI23" s="60"/>
      <c r="AJ23" s="60"/>
      <c r="AK23" s="60"/>
      <c r="AL23" s="60"/>
      <c r="AM23" s="60"/>
      <c r="AN23" s="60"/>
      <c r="AO23" s="60"/>
      <c r="AP23" s="60"/>
      <c r="AQ23" s="60"/>
      <c r="AR23" s="60"/>
      <c r="AS23" s="60"/>
      <c r="AT23" s="60"/>
      <c r="AU23" s="60"/>
      <c r="AV23" s="60"/>
      <c r="AW23" s="60"/>
      <c r="AX23" s="60"/>
      <c r="AY23" s="60"/>
      <c r="AZ23" s="60"/>
      <c r="BA23" s="60"/>
      <c r="BB23" s="60"/>
    </row>
    <row r="24" spans="1:54" s="61" customFormat="1" x14ac:dyDescent="0.25">
      <c r="A24" s="75">
        <f t="shared" si="1"/>
        <v>21</v>
      </c>
      <c r="B24" s="74" t="s">
        <v>75</v>
      </c>
      <c r="C24" s="47">
        <v>3</v>
      </c>
      <c r="D24" s="47"/>
      <c r="E24" s="47"/>
      <c r="F24" s="47"/>
      <c r="G24" s="47"/>
      <c r="H24" s="47"/>
      <c r="I24" s="47"/>
      <c r="J24" s="111"/>
      <c r="K24" s="46"/>
      <c r="L24" s="57"/>
      <c r="M24" s="52"/>
      <c r="N24" s="121"/>
      <c r="O24" s="47"/>
      <c r="P24" s="111"/>
      <c r="Q24" s="111"/>
      <c r="R24" s="46"/>
      <c r="S24" s="57"/>
      <c r="T24" s="91">
        <f t="shared" si="0"/>
        <v>0</v>
      </c>
      <c r="U24" s="50">
        <f t="shared" si="4"/>
        <v>72</v>
      </c>
      <c r="V24" s="50">
        <f t="shared" si="5"/>
        <v>3</v>
      </c>
      <c r="W24" s="57"/>
      <c r="X24" s="57"/>
      <c r="Y24" s="57"/>
      <c r="Z24" s="57"/>
      <c r="AA24" s="57"/>
      <c r="AB24" s="57"/>
      <c r="AC24" s="57"/>
      <c r="AD24" s="57"/>
      <c r="AE24" s="57"/>
      <c r="AF24" s="60"/>
      <c r="AG24" s="60"/>
      <c r="AH24" s="60"/>
      <c r="AI24" s="60"/>
      <c r="AJ24" s="60"/>
      <c r="AK24" s="60"/>
      <c r="AL24" s="60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</row>
    <row r="25" spans="1:54" x14ac:dyDescent="0.25">
      <c r="A25" s="75">
        <f t="shared" si="1"/>
        <v>22</v>
      </c>
      <c r="B25" s="74" t="s">
        <v>67</v>
      </c>
      <c r="C25" s="47">
        <v>7</v>
      </c>
      <c r="D25" s="47"/>
      <c r="E25" s="47"/>
      <c r="F25" s="47"/>
      <c r="G25" s="47"/>
      <c r="H25" s="47"/>
      <c r="I25" s="47"/>
      <c r="J25" s="111"/>
      <c r="K25" s="46"/>
      <c r="M25" s="52"/>
      <c r="N25" s="121"/>
      <c r="O25" s="47"/>
      <c r="P25" s="111"/>
      <c r="Q25" s="111"/>
      <c r="R25" s="46"/>
      <c r="T25" s="91">
        <f t="shared" si="0"/>
        <v>0</v>
      </c>
      <c r="U25" s="50">
        <f t="shared" si="4"/>
        <v>168</v>
      </c>
      <c r="V25" s="50">
        <f t="shared" si="5"/>
        <v>7</v>
      </c>
      <c r="AF25" s="60"/>
      <c r="AG25" s="60"/>
      <c r="AH25" s="60"/>
      <c r="AI25" s="60"/>
      <c r="AJ25" s="60"/>
      <c r="AK25" s="60"/>
      <c r="AL25" s="60"/>
      <c r="AM25" s="60"/>
      <c r="AN25" s="60"/>
      <c r="AO25" s="60"/>
      <c r="AP25" s="60"/>
      <c r="AQ25" s="60"/>
      <c r="AR25" s="60"/>
      <c r="AS25" s="60"/>
      <c r="AT25" s="60"/>
      <c r="AU25" s="60"/>
      <c r="AV25" s="60"/>
      <c r="AW25" s="60"/>
      <c r="AX25" s="60"/>
      <c r="AY25" s="60"/>
      <c r="AZ25" s="60"/>
      <c r="BA25" s="60"/>
      <c r="BB25" s="60"/>
    </row>
    <row r="26" spans="1:54" x14ac:dyDescent="0.25">
      <c r="A26" s="75">
        <f t="shared" si="1"/>
        <v>23</v>
      </c>
      <c r="B26" s="74" t="s">
        <v>9</v>
      </c>
      <c r="C26" s="47">
        <f>63+48</f>
        <v>111</v>
      </c>
      <c r="D26" s="47"/>
      <c r="E26" s="47"/>
      <c r="F26" s="47"/>
      <c r="G26" s="47"/>
      <c r="H26" s="47">
        <v>22</v>
      </c>
      <c r="I26" s="47">
        <v>1</v>
      </c>
      <c r="J26" s="111"/>
      <c r="K26" s="46"/>
      <c r="M26" s="52"/>
      <c r="N26" s="121"/>
      <c r="O26" s="47">
        <v>2</v>
      </c>
      <c r="P26" s="111"/>
      <c r="Q26" s="111">
        <v>2</v>
      </c>
      <c r="R26" s="46"/>
      <c r="T26" s="91">
        <f t="shared" si="0"/>
        <v>23</v>
      </c>
      <c r="U26" s="50">
        <f t="shared" si="4"/>
        <v>2783</v>
      </c>
      <c r="V26" s="50">
        <f t="shared" si="5"/>
        <v>115.95833333333333</v>
      </c>
      <c r="AY26" s="62" t="e">
        <f>#REF!-AY25</f>
        <v>#REF!</v>
      </c>
    </row>
    <row r="27" spans="1:54" s="61" customFormat="1" x14ac:dyDescent="0.25">
      <c r="A27" s="75">
        <f t="shared" si="1"/>
        <v>24</v>
      </c>
      <c r="B27" s="74" t="s">
        <v>11</v>
      </c>
      <c r="C27" s="47">
        <v>2</v>
      </c>
      <c r="D27" s="47"/>
      <c r="E27" s="47"/>
      <c r="F27" s="47"/>
      <c r="G27" s="47"/>
      <c r="H27" s="47"/>
      <c r="I27" s="47"/>
      <c r="J27" s="111"/>
      <c r="K27" s="46"/>
      <c r="L27" s="57"/>
      <c r="M27" s="52"/>
      <c r="N27" s="121"/>
      <c r="O27" s="47"/>
      <c r="P27" s="111"/>
      <c r="Q27" s="111"/>
      <c r="R27" s="46"/>
      <c r="S27" s="57"/>
      <c r="T27" s="91">
        <f t="shared" si="0"/>
        <v>0</v>
      </c>
      <c r="U27" s="50">
        <f t="shared" si="4"/>
        <v>48</v>
      </c>
      <c r="V27" s="50">
        <f t="shared" si="5"/>
        <v>2</v>
      </c>
      <c r="W27" s="57"/>
      <c r="X27" s="57"/>
      <c r="Y27" s="57"/>
      <c r="Z27" s="57"/>
      <c r="AA27" s="57"/>
      <c r="AB27" s="57"/>
      <c r="AC27" s="57"/>
      <c r="AD27" s="57"/>
      <c r="AE27" s="57"/>
    </row>
    <row r="28" spans="1:54" s="61" customFormat="1" x14ac:dyDescent="0.25">
      <c r="A28" s="75">
        <f t="shared" si="1"/>
        <v>25</v>
      </c>
      <c r="B28" s="74" t="s">
        <v>12</v>
      </c>
      <c r="C28" s="47">
        <v>62</v>
      </c>
      <c r="D28" s="47"/>
      <c r="E28" s="47"/>
      <c r="F28" s="47"/>
      <c r="G28" s="47"/>
      <c r="H28" s="47"/>
      <c r="I28" s="47"/>
      <c r="J28" s="111"/>
      <c r="K28" s="46"/>
      <c r="L28" s="57"/>
      <c r="M28" s="52"/>
      <c r="N28" s="121"/>
      <c r="O28" s="47">
        <v>2</v>
      </c>
      <c r="P28" s="111"/>
      <c r="Q28" s="111">
        <v>5</v>
      </c>
      <c r="R28" s="46"/>
      <c r="S28" s="57"/>
      <c r="T28" s="91">
        <f t="shared" si="0"/>
        <v>0</v>
      </c>
      <c r="U28" s="50">
        <f t="shared" si="4"/>
        <v>1656</v>
      </c>
      <c r="V28" s="50">
        <f t="shared" si="5"/>
        <v>69</v>
      </c>
      <c r="W28" s="57"/>
      <c r="X28" s="57"/>
      <c r="Y28" s="57"/>
      <c r="Z28" s="57"/>
      <c r="AA28" s="57"/>
      <c r="AB28" s="57"/>
      <c r="AC28" s="57"/>
      <c r="AD28" s="57"/>
      <c r="AE28" s="57"/>
    </row>
    <row r="29" spans="1:54" x14ac:dyDescent="0.25">
      <c r="A29" s="75">
        <f t="shared" si="1"/>
        <v>26</v>
      </c>
      <c r="B29" s="74" t="s">
        <v>14</v>
      </c>
      <c r="C29" s="47"/>
      <c r="D29" s="47"/>
      <c r="E29" s="47"/>
      <c r="F29" s="47"/>
      <c r="G29" s="47"/>
      <c r="H29" s="47"/>
      <c r="I29" s="47"/>
      <c r="J29" s="111"/>
      <c r="K29" s="46"/>
      <c r="M29" s="52"/>
      <c r="N29" s="121"/>
      <c r="O29" s="47"/>
      <c r="P29" s="111"/>
      <c r="Q29" s="111"/>
      <c r="R29" s="46"/>
      <c r="T29" s="91">
        <f t="shared" si="0"/>
        <v>0</v>
      </c>
      <c r="U29" s="50">
        <f t="shared" si="4"/>
        <v>0</v>
      </c>
      <c r="V29" s="50">
        <f t="shared" si="5"/>
        <v>0</v>
      </c>
    </row>
    <row r="30" spans="1:54" x14ac:dyDescent="0.25">
      <c r="A30" s="75">
        <f t="shared" si="1"/>
        <v>27</v>
      </c>
      <c r="B30" s="74" t="s">
        <v>16</v>
      </c>
      <c r="C30" s="47">
        <f>63+13</f>
        <v>76</v>
      </c>
      <c r="D30" s="47"/>
      <c r="E30" s="47"/>
      <c r="F30" s="47"/>
      <c r="G30" s="47"/>
      <c r="H30" s="47"/>
      <c r="I30" s="47"/>
      <c r="J30" s="111"/>
      <c r="K30" s="46"/>
      <c r="M30" s="52"/>
      <c r="N30" s="121"/>
      <c r="O30" s="47">
        <v>2</v>
      </c>
      <c r="P30" s="111"/>
      <c r="Q30" s="111"/>
      <c r="R30" s="46"/>
      <c r="T30" s="91">
        <f t="shared" si="0"/>
        <v>0</v>
      </c>
      <c r="U30" s="50">
        <f t="shared" si="4"/>
        <v>1872</v>
      </c>
      <c r="V30" s="50">
        <f t="shared" si="5"/>
        <v>78</v>
      </c>
    </row>
    <row r="31" spans="1:54" x14ac:dyDescent="0.25">
      <c r="A31" s="75">
        <f t="shared" si="1"/>
        <v>28</v>
      </c>
      <c r="B31" s="74" t="s">
        <v>13</v>
      </c>
      <c r="C31" s="47">
        <v>2</v>
      </c>
      <c r="D31" s="47"/>
      <c r="E31" s="47"/>
      <c r="F31" s="47"/>
      <c r="G31" s="47"/>
      <c r="H31" s="47"/>
      <c r="I31" s="47"/>
      <c r="J31" s="111"/>
      <c r="K31" s="46"/>
      <c r="M31" s="52"/>
      <c r="N31" s="121"/>
      <c r="O31" s="47"/>
      <c r="P31" s="111"/>
      <c r="Q31" s="111"/>
      <c r="R31" s="46"/>
      <c r="T31" s="91">
        <f t="shared" si="0"/>
        <v>0</v>
      </c>
      <c r="U31" s="50">
        <f t="shared" si="4"/>
        <v>48</v>
      </c>
      <c r="V31" s="50">
        <f t="shared" si="5"/>
        <v>2</v>
      </c>
    </row>
    <row r="32" spans="1:54" x14ac:dyDescent="0.25">
      <c r="A32" s="75">
        <f t="shared" si="1"/>
        <v>29</v>
      </c>
      <c r="B32" s="74" t="s">
        <v>15</v>
      </c>
      <c r="C32" s="47">
        <v>3</v>
      </c>
      <c r="D32" s="47"/>
      <c r="E32" s="47"/>
      <c r="F32" s="47"/>
      <c r="G32" s="47"/>
      <c r="H32" s="47"/>
      <c r="I32" s="47"/>
      <c r="J32" s="111"/>
      <c r="K32" s="46"/>
      <c r="M32" s="52"/>
      <c r="N32" s="121"/>
      <c r="O32" s="47"/>
      <c r="P32" s="111"/>
      <c r="Q32" s="111"/>
      <c r="R32" s="46"/>
      <c r="T32" s="91">
        <f t="shared" si="0"/>
        <v>0</v>
      </c>
      <c r="U32" s="50">
        <f t="shared" si="4"/>
        <v>72</v>
      </c>
      <c r="V32" s="50">
        <f t="shared" si="5"/>
        <v>3</v>
      </c>
    </row>
    <row r="33" spans="1:23" x14ac:dyDescent="0.25">
      <c r="A33" s="75">
        <f t="shared" si="1"/>
        <v>30</v>
      </c>
      <c r="B33" s="74" t="s">
        <v>17</v>
      </c>
      <c r="C33" s="47"/>
      <c r="D33" s="47"/>
      <c r="E33" s="47"/>
      <c r="F33" s="47"/>
      <c r="G33" s="47"/>
      <c r="H33" s="47"/>
      <c r="I33" s="47"/>
      <c r="J33" s="111"/>
      <c r="K33" s="46"/>
      <c r="M33" s="52"/>
      <c r="N33" s="121"/>
      <c r="O33" s="47"/>
      <c r="P33" s="111"/>
      <c r="Q33" s="111"/>
      <c r="R33" s="46"/>
      <c r="T33" s="91">
        <f t="shared" si="0"/>
        <v>0</v>
      </c>
      <c r="U33" s="50">
        <f t="shared" si="4"/>
        <v>0</v>
      </c>
      <c r="V33" s="50">
        <f t="shared" si="5"/>
        <v>0</v>
      </c>
    </row>
    <row r="34" spans="1:23" x14ac:dyDescent="0.25">
      <c r="A34" s="75">
        <f t="shared" si="1"/>
        <v>31</v>
      </c>
      <c r="B34" s="74" t="s">
        <v>18</v>
      </c>
      <c r="C34" s="47">
        <f>144+49</f>
        <v>193</v>
      </c>
      <c r="D34" s="47"/>
      <c r="E34" s="47"/>
      <c r="F34" s="47"/>
      <c r="G34" s="47"/>
      <c r="H34" s="47">
        <v>22</v>
      </c>
      <c r="I34" s="47"/>
      <c r="J34" s="111"/>
      <c r="K34" s="46">
        <v>1</v>
      </c>
      <c r="M34" s="52"/>
      <c r="N34" s="121"/>
      <c r="O34" s="47">
        <v>3</v>
      </c>
      <c r="P34" s="111"/>
      <c r="Q34" s="111">
        <v>3</v>
      </c>
      <c r="R34" s="46">
        <v>12</v>
      </c>
      <c r="T34" s="91">
        <f t="shared" si="0"/>
        <v>35</v>
      </c>
      <c r="U34" s="50">
        <f t="shared" si="4"/>
        <v>4811</v>
      </c>
      <c r="V34" s="50">
        <f t="shared" si="5"/>
        <v>200.45833333333334</v>
      </c>
    </row>
    <row r="35" spans="1:23" hidden="1" x14ac:dyDescent="0.25">
      <c r="A35" s="75">
        <f t="shared" si="1"/>
        <v>32</v>
      </c>
      <c r="B35" s="74" t="s">
        <v>26</v>
      </c>
      <c r="C35" s="47"/>
      <c r="D35" s="47"/>
      <c r="E35" s="47"/>
      <c r="F35" s="47"/>
      <c r="G35" s="47"/>
      <c r="H35" s="47"/>
      <c r="I35" s="47"/>
      <c r="J35" s="111"/>
      <c r="K35" s="46"/>
      <c r="M35" s="52"/>
      <c r="N35" s="121"/>
      <c r="O35" s="47"/>
      <c r="P35" s="111"/>
      <c r="Q35" s="111"/>
      <c r="R35" s="46"/>
      <c r="T35" s="91">
        <f t="shared" si="0"/>
        <v>0</v>
      </c>
      <c r="U35" s="50">
        <f t="shared" si="4"/>
        <v>0</v>
      </c>
      <c r="V35" s="50">
        <f t="shared" si="5"/>
        <v>0</v>
      </c>
    </row>
    <row r="36" spans="1:23" x14ac:dyDescent="0.25">
      <c r="A36" s="75">
        <f t="shared" si="1"/>
        <v>33</v>
      </c>
      <c r="B36" s="74" t="s">
        <v>19</v>
      </c>
      <c r="C36" s="47"/>
      <c r="D36" s="47"/>
      <c r="E36" s="47"/>
      <c r="F36" s="47"/>
      <c r="G36" s="47"/>
      <c r="H36" s="47"/>
      <c r="I36" s="47"/>
      <c r="J36" s="111"/>
      <c r="K36" s="46"/>
      <c r="M36" s="52"/>
      <c r="N36" s="121"/>
      <c r="O36" s="47"/>
      <c r="P36" s="111"/>
      <c r="Q36" s="111"/>
      <c r="R36" s="46"/>
      <c r="T36" s="91">
        <f t="shared" si="0"/>
        <v>0</v>
      </c>
      <c r="U36" s="50">
        <f t="shared" si="4"/>
        <v>0</v>
      </c>
      <c r="V36" s="50">
        <f t="shared" si="5"/>
        <v>0</v>
      </c>
    </row>
    <row r="37" spans="1:23" ht="19.5" thickBot="1" x14ac:dyDescent="0.3">
      <c r="A37" s="75">
        <f t="shared" si="1"/>
        <v>34</v>
      </c>
      <c r="B37" s="94" t="s">
        <v>20</v>
      </c>
      <c r="C37" s="95">
        <f>2376+2916+6</f>
        <v>5298</v>
      </c>
      <c r="D37" s="95"/>
      <c r="E37" s="95"/>
      <c r="F37" s="95"/>
      <c r="G37" s="95"/>
      <c r="H37" s="95">
        <v>2</v>
      </c>
      <c r="I37" s="95"/>
      <c r="J37" s="110">
        <v>4</v>
      </c>
      <c r="K37" s="96">
        <v>2</v>
      </c>
      <c r="L37" s="102"/>
      <c r="M37" s="103">
        <v>36</v>
      </c>
      <c r="N37" s="120"/>
      <c r="O37" s="97">
        <v>30</v>
      </c>
      <c r="P37" s="113"/>
      <c r="Q37" s="113">
        <v>145</v>
      </c>
      <c r="R37" s="98"/>
      <c r="S37" s="102"/>
      <c r="T37" s="104">
        <f t="shared" si="0"/>
        <v>8</v>
      </c>
      <c r="U37" s="104">
        <f>C37*6+M37*6+O37*6+Q37*6+T37</f>
        <v>33062</v>
      </c>
      <c r="V37" s="104">
        <f>U37/6</f>
        <v>5510.333333333333</v>
      </c>
      <c r="W37" s="123"/>
    </row>
    <row r="38" spans="1:23" x14ac:dyDescent="0.25">
      <c r="A38" s="75">
        <f t="shared" si="1"/>
        <v>35</v>
      </c>
      <c r="B38" s="73" t="s">
        <v>21</v>
      </c>
      <c r="C38" s="47">
        <v>11</v>
      </c>
      <c r="D38" s="47"/>
      <c r="E38" s="47"/>
      <c r="F38" s="47"/>
      <c r="G38" s="47"/>
      <c r="H38" s="47"/>
      <c r="I38" s="47"/>
      <c r="J38" s="111"/>
      <c r="K38" s="46"/>
      <c r="M38" s="52"/>
      <c r="N38" s="121"/>
      <c r="O38" s="47"/>
      <c r="P38" s="111"/>
      <c r="Q38" s="111"/>
      <c r="R38" s="46"/>
      <c r="T38" s="50">
        <f t="shared" si="0"/>
        <v>0</v>
      </c>
      <c r="U38" s="50">
        <f>C38*24+M38*24+O38*24+Q38*24+T38</f>
        <v>264</v>
      </c>
      <c r="V38" s="50">
        <f>U38/24</f>
        <v>11</v>
      </c>
    </row>
    <row r="39" spans="1:23" ht="19.5" thickBot="1" x14ac:dyDescent="0.3">
      <c r="A39" s="75">
        <f t="shared" si="1"/>
        <v>36</v>
      </c>
      <c r="B39" s="94" t="s">
        <v>22</v>
      </c>
      <c r="C39" s="95">
        <f>819</f>
        <v>819</v>
      </c>
      <c r="D39" s="95"/>
      <c r="E39" s="95"/>
      <c r="F39" s="95"/>
      <c r="G39" s="95"/>
      <c r="H39" s="95">
        <v>9</v>
      </c>
      <c r="I39" s="95"/>
      <c r="J39" s="110"/>
      <c r="K39" s="96">
        <v>15</v>
      </c>
      <c r="L39" s="102"/>
      <c r="M39" s="103"/>
      <c r="N39" s="120"/>
      <c r="O39" s="97"/>
      <c r="P39" s="113"/>
      <c r="Q39" s="113">
        <v>3</v>
      </c>
      <c r="R39" s="98">
        <v>12</v>
      </c>
      <c r="S39" s="102"/>
      <c r="T39" s="104">
        <f>H39+I39+J39+K39+N39+P39+R39</f>
        <v>36</v>
      </c>
      <c r="U39" s="104">
        <f>C39*24+M39*24+O39*24+Q39*24+T39</f>
        <v>19764</v>
      </c>
      <c r="V39" s="104">
        <f>U39/24</f>
        <v>823.5</v>
      </c>
    </row>
    <row r="40" spans="1:23" ht="19.5" thickBot="1" x14ac:dyDescent="0.3">
      <c r="A40" s="75">
        <f t="shared" si="1"/>
        <v>37</v>
      </c>
      <c r="B40" s="99" t="s">
        <v>23</v>
      </c>
      <c r="C40" s="100">
        <f>1824+60</f>
        <v>1884</v>
      </c>
      <c r="D40" s="100"/>
      <c r="E40" s="100"/>
      <c r="F40" s="100"/>
      <c r="G40" s="100"/>
      <c r="H40" s="100"/>
      <c r="I40" s="100"/>
      <c r="J40" s="112"/>
      <c r="K40" s="101"/>
      <c r="L40" s="105"/>
      <c r="M40" s="106">
        <v>2</v>
      </c>
      <c r="N40" s="122"/>
      <c r="O40" s="100">
        <v>10</v>
      </c>
      <c r="P40" s="112"/>
      <c r="Q40" s="112">
        <v>20</v>
      </c>
      <c r="R40" s="101"/>
      <c r="S40" s="105"/>
      <c r="T40" s="107">
        <f t="shared" si="0"/>
        <v>0</v>
      </c>
      <c r="U40" s="107">
        <f>C40*12+M40*12+O40*12+Q40*12+T40</f>
        <v>22992</v>
      </c>
      <c r="V40" s="107">
        <f>U40/12</f>
        <v>1916</v>
      </c>
    </row>
    <row r="41" spans="1:23" hidden="1" x14ac:dyDescent="0.25">
      <c r="A41" s="75">
        <f t="shared" si="1"/>
        <v>38</v>
      </c>
      <c r="B41" s="73" t="s">
        <v>31</v>
      </c>
      <c r="C41" s="47"/>
      <c r="D41" s="47"/>
      <c r="E41" s="47"/>
      <c r="F41" s="47"/>
      <c r="G41" s="47"/>
      <c r="H41" s="47"/>
      <c r="I41" s="47"/>
      <c r="J41" s="111"/>
      <c r="K41" s="46"/>
      <c r="M41" s="52"/>
      <c r="N41" s="121"/>
      <c r="O41" s="47"/>
      <c r="P41" s="111"/>
      <c r="Q41" s="111"/>
      <c r="R41" s="46"/>
      <c r="T41" s="50"/>
      <c r="U41" s="50"/>
      <c r="V41" s="50"/>
    </row>
    <row r="42" spans="1:23" ht="19.5" thickBot="1" x14ac:dyDescent="0.3">
      <c r="A42" s="75">
        <f t="shared" si="1"/>
        <v>39</v>
      </c>
      <c r="B42" s="94" t="s">
        <v>24</v>
      </c>
      <c r="C42" s="97">
        <f>6048+6048+8424+432+13+7128</f>
        <v>28093</v>
      </c>
      <c r="D42" s="97"/>
      <c r="E42" s="97"/>
      <c r="F42" s="97"/>
      <c r="G42" s="97"/>
      <c r="H42" s="97">
        <v>2</v>
      </c>
      <c r="I42" s="97">
        <v>6</v>
      </c>
      <c r="J42" s="113">
        <f>3*6</f>
        <v>18</v>
      </c>
      <c r="K42" s="98">
        <f>75*6+4</f>
        <v>454</v>
      </c>
      <c r="L42" s="102"/>
      <c r="M42" s="103">
        <v>236</v>
      </c>
      <c r="N42" s="120"/>
      <c r="O42" s="97">
        <v>259</v>
      </c>
      <c r="P42" s="113"/>
      <c r="Q42" s="113">
        <v>546</v>
      </c>
      <c r="R42" s="98"/>
      <c r="S42" s="102"/>
      <c r="T42" s="104">
        <f t="shared" ref="T42" si="6">H42+I42+J42+K42+N42+P42+R42</f>
        <v>480</v>
      </c>
      <c r="U42" s="104">
        <f>C42*6+M42*6+O42*6+Q42*6+T42</f>
        <v>175284</v>
      </c>
      <c r="V42" s="104">
        <f>U42/6</f>
        <v>29214</v>
      </c>
    </row>
    <row r="43" spans="1:23" hidden="1" x14ac:dyDescent="0.25">
      <c r="A43" s="75">
        <f t="shared" si="1"/>
        <v>40</v>
      </c>
      <c r="B43" s="73" t="s">
        <v>33</v>
      </c>
      <c r="C43" s="47"/>
      <c r="D43" s="47"/>
      <c r="E43" s="47"/>
      <c r="F43" s="47"/>
      <c r="G43" s="47"/>
      <c r="H43" s="47"/>
      <c r="I43" s="47"/>
      <c r="J43" s="111"/>
      <c r="K43" s="46"/>
      <c r="M43" s="52"/>
      <c r="N43" s="121"/>
      <c r="O43" s="47"/>
      <c r="P43" s="111"/>
      <c r="Q43" s="111"/>
      <c r="R43" s="46"/>
      <c r="T43" s="50"/>
      <c r="U43" s="50"/>
      <c r="V43" s="50"/>
    </row>
    <row r="44" spans="1:23" x14ac:dyDescent="0.25">
      <c r="A44" s="75">
        <f t="shared" si="1"/>
        <v>41</v>
      </c>
      <c r="B44" s="74" t="s">
        <v>25</v>
      </c>
      <c r="C44" s="47"/>
      <c r="D44" s="47"/>
      <c r="E44" s="47"/>
      <c r="F44" s="47"/>
      <c r="G44" s="47"/>
      <c r="H44" s="47"/>
      <c r="I44" s="47"/>
      <c r="J44" s="111"/>
      <c r="K44" s="46"/>
      <c r="M44" s="52"/>
      <c r="N44" s="121"/>
      <c r="O44" s="47"/>
      <c r="P44" s="111"/>
      <c r="Q44" s="111"/>
      <c r="R44" s="46"/>
      <c r="T44" s="50">
        <f t="shared" ref="T44:T53" si="7">H44+I44+J44+K44+N44+P44+R44</f>
        <v>0</v>
      </c>
      <c r="U44" s="50">
        <f>C44*24+M44*24+O44*24+Q44*24+T44</f>
        <v>0</v>
      </c>
      <c r="V44" s="50">
        <f>U44/24</f>
        <v>0</v>
      </c>
    </row>
    <row r="45" spans="1:23" x14ac:dyDescent="0.25">
      <c r="A45" s="75">
        <f t="shared" si="1"/>
        <v>42</v>
      </c>
      <c r="B45" s="74" t="s">
        <v>68</v>
      </c>
      <c r="C45" s="47"/>
      <c r="D45" s="47"/>
      <c r="E45" s="47"/>
      <c r="F45" s="47"/>
      <c r="G45" s="47"/>
      <c r="H45" s="47"/>
      <c r="I45" s="47"/>
      <c r="J45" s="111"/>
      <c r="K45" s="46"/>
      <c r="M45" s="52"/>
      <c r="N45" s="121"/>
      <c r="O45" s="47"/>
      <c r="P45" s="111"/>
      <c r="Q45" s="111"/>
      <c r="R45" s="46"/>
      <c r="T45" s="50">
        <f t="shared" si="7"/>
        <v>0</v>
      </c>
      <c r="U45" s="50">
        <f t="shared" ref="U45:U47" si="8">C45*24+M45*24+O45*24+Q45*24+T45</f>
        <v>0</v>
      </c>
      <c r="V45" s="50">
        <f t="shared" ref="V45:V53" si="9">U45/24</f>
        <v>0</v>
      </c>
    </row>
    <row r="46" spans="1:23" x14ac:dyDescent="0.25">
      <c r="A46" s="75">
        <f t="shared" si="1"/>
        <v>43</v>
      </c>
      <c r="B46" s="74" t="s">
        <v>73</v>
      </c>
      <c r="C46" s="47">
        <v>2</v>
      </c>
      <c r="D46" s="47"/>
      <c r="E46" s="47"/>
      <c r="F46" s="47"/>
      <c r="G46" s="47"/>
      <c r="H46" s="47"/>
      <c r="I46" s="47"/>
      <c r="J46" s="111"/>
      <c r="K46" s="46"/>
      <c r="M46" s="52"/>
      <c r="N46" s="121"/>
      <c r="O46" s="47"/>
      <c r="P46" s="111"/>
      <c r="Q46" s="111"/>
      <c r="R46" s="46"/>
      <c r="T46" s="50">
        <f t="shared" si="7"/>
        <v>0</v>
      </c>
      <c r="U46" s="50">
        <f t="shared" si="8"/>
        <v>48</v>
      </c>
      <c r="V46" s="50">
        <f t="shared" si="9"/>
        <v>2</v>
      </c>
    </row>
    <row r="47" spans="1:23" x14ac:dyDescent="0.25">
      <c r="A47" s="75">
        <f t="shared" si="1"/>
        <v>44</v>
      </c>
      <c r="B47" s="74" t="s">
        <v>83</v>
      </c>
      <c r="C47" s="47">
        <v>2</v>
      </c>
      <c r="D47" s="47"/>
      <c r="E47" s="47"/>
      <c r="F47" s="47"/>
      <c r="G47" s="47"/>
      <c r="H47" s="47"/>
      <c r="I47" s="47"/>
      <c r="J47" s="111"/>
      <c r="K47" s="46"/>
      <c r="M47" s="52"/>
      <c r="N47" s="121"/>
      <c r="O47" s="47"/>
      <c r="P47" s="111"/>
      <c r="Q47" s="111"/>
      <c r="R47" s="46"/>
      <c r="T47" s="50">
        <f t="shared" si="7"/>
        <v>0</v>
      </c>
      <c r="U47" s="50">
        <f t="shared" si="8"/>
        <v>48</v>
      </c>
      <c r="V47" s="50">
        <f t="shared" si="9"/>
        <v>2</v>
      </c>
    </row>
    <row r="48" spans="1:23" x14ac:dyDescent="0.25">
      <c r="A48" s="75">
        <f t="shared" si="1"/>
        <v>45</v>
      </c>
      <c r="B48" s="74" t="s">
        <v>26</v>
      </c>
      <c r="C48" s="47">
        <f>47+2268+55</f>
        <v>2370</v>
      </c>
      <c r="D48" s="47"/>
      <c r="E48" s="47"/>
      <c r="F48" s="47"/>
      <c r="G48" s="47"/>
      <c r="H48" s="47">
        <v>3</v>
      </c>
      <c r="I48" s="47"/>
      <c r="J48" s="111"/>
      <c r="K48" s="46">
        <f>6</f>
        <v>6</v>
      </c>
      <c r="M48" s="52">
        <v>5</v>
      </c>
      <c r="N48" s="121"/>
      <c r="O48" s="47">
        <v>9</v>
      </c>
      <c r="P48" s="111">
        <v>2</v>
      </c>
      <c r="Q48" s="111">
        <v>10</v>
      </c>
      <c r="R48" s="46"/>
      <c r="T48" s="50">
        <f t="shared" si="7"/>
        <v>11</v>
      </c>
      <c r="U48" s="50">
        <f>C48*6+M48*6+O48*6+Q48*6+T48</f>
        <v>14375</v>
      </c>
      <c r="V48" s="50">
        <f>U48/6</f>
        <v>2395.8333333333335</v>
      </c>
    </row>
    <row r="49" spans="1:22" x14ac:dyDescent="0.25">
      <c r="A49" s="75">
        <f t="shared" si="1"/>
        <v>46</v>
      </c>
      <c r="B49" s="74" t="s">
        <v>69</v>
      </c>
      <c r="C49" s="47"/>
      <c r="D49" s="47"/>
      <c r="E49" s="47"/>
      <c r="F49" s="47"/>
      <c r="G49" s="47"/>
      <c r="H49" s="47"/>
      <c r="I49" s="47"/>
      <c r="J49" s="111"/>
      <c r="K49" s="46"/>
      <c r="M49" s="52"/>
      <c r="N49" s="121"/>
      <c r="O49" s="47"/>
      <c r="P49" s="111"/>
      <c r="Q49" s="111"/>
      <c r="R49" s="46"/>
      <c r="T49" s="50">
        <f t="shared" si="7"/>
        <v>0</v>
      </c>
      <c r="U49" s="50">
        <f t="shared" ref="U49:U51" si="10">C49*24+M49*24+O49*24+Q49*24+T49</f>
        <v>0</v>
      </c>
      <c r="V49" s="50">
        <f t="shared" si="9"/>
        <v>0</v>
      </c>
    </row>
    <row r="50" spans="1:22" x14ac:dyDescent="0.25">
      <c r="A50" s="75">
        <f t="shared" si="1"/>
        <v>47</v>
      </c>
      <c r="B50" s="74" t="s">
        <v>28</v>
      </c>
      <c r="C50" s="47">
        <v>1</v>
      </c>
      <c r="D50" s="47"/>
      <c r="E50" s="47"/>
      <c r="F50" s="47"/>
      <c r="G50" s="47"/>
      <c r="H50" s="47"/>
      <c r="I50" s="47"/>
      <c r="J50" s="111"/>
      <c r="K50" s="46"/>
      <c r="M50" s="52"/>
      <c r="N50" s="121"/>
      <c r="O50" s="47"/>
      <c r="P50" s="111"/>
      <c r="Q50" s="111"/>
      <c r="R50" s="46"/>
      <c r="T50" s="50">
        <f t="shared" si="7"/>
        <v>0</v>
      </c>
      <c r="U50" s="50">
        <f t="shared" si="10"/>
        <v>24</v>
      </c>
      <c r="V50" s="50">
        <f t="shared" si="9"/>
        <v>1</v>
      </c>
    </row>
    <row r="51" spans="1:22" x14ac:dyDescent="0.25">
      <c r="A51" s="75">
        <f t="shared" si="1"/>
        <v>48</v>
      </c>
      <c r="B51" s="74" t="s">
        <v>70</v>
      </c>
      <c r="C51" s="47"/>
      <c r="D51" s="47"/>
      <c r="E51" s="47"/>
      <c r="F51" s="47"/>
      <c r="G51" s="47"/>
      <c r="H51" s="47"/>
      <c r="I51" s="47"/>
      <c r="J51" s="111"/>
      <c r="K51" s="46"/>
      <c r="M51" s="52"/>
      <c r="N51" s="121"/>
      <c r="O51" s="47"/>
      <c r="P51" s="111"/>
      <c r="Q51" s="111"/>
      <c r="R51" s="46"/>
      <c r="T51" s="50">
        <f t="shared" si="7"/>
        <v>0</v>
      </c>
      <c r="U51" s="50">
        <f t="shared" si="10"/>
        <v>0</v>
      </c>
      <c r="V51" s="50">
        <f t="shared" si="9"/>
        <v>0</v>
      </c>
    </row>
    <row r="52" spans="1:22" x14ac:dyDescent="0.25">
      <c r="A52" s="75">
        <f t="shared" si="1"/>
        <v>49</v>
      </c>
      <c r="B52" s="74" t="s">
        <v>29</v>
      </c>
      <c r="C52" s="47">
        <v>34</v>
      </c>
      <c r="D52" s="47"/>
      <c r="E52" s="47"/>
      <c r="F52" s="47"/>
      <c r="G52" s="47"/>
      <c r="H52" s="47"/>
      <c r="I52" s="47"/>
      <c r="J52" s="111"/>
      <c r="K52" s="46"/>
      <c r="M52" s="52"/>
      <c r="N52" s="121"/>
      <c r="O52" s="47"/>
      <c r="P52" s="111"/>
      <c r="Q52" s="111"/>
      <c r="R52" s="46"/>
      <c r="T52" s="50">
        <f t="shared" si="7"/>
        <v>0</v>
      </c>
      <c r="U52" s="50">
        <f>C52*6+M52*6+O52*6+Q52*6+T52</f>
        <v>204</v>
      </c>
      <c r="V52" s="50">
        <f>U52/6</f>
        <v>34</v>
      </c>
    </row>
    <row r="53" spans="1:22" x14ac:dyDescent="0.25">
      <c r="A53" s="75">
        <f t="shared" si="1"/>
        <v>50</v>
      </c>
      <c r="B53" s="74" t="s">
        <v>30</v>
      </c>
      <c r="C53" s="47"/>
      <c r="D53" s="47"/>
      <c r="E53" s="47"/>
      <c r="F53" s="47"/>
      <c r="G53" s="47"/>
      <c r="H53" s="47"/>
      <c r="I53" s="47"/>
      <c r="J53" s="111"/>
      <c r="K53" s="46"/>
      <c r="M53" s="52"/>
      <c r="N53" s="121"/>
      <c r="O53" s="47"/>
      <c r="P53" s="111"/>
      <c r="Q53" s="111"/>
      <c r="R53" s="46"/>
      <c r="T53" s="50">
        <f t="shared" si="7"/>
        <v>0</v>
      </c>
      <c r="U53" s="50">
        <f t="shared" ref="U53" si="11">C53*24+M53*24+O53*24+Q53*24+T53</f>
        <v>0</v>
      </c>
      <c r="V53" s="50">
        <f t="shared" si="9"/>
        <v>0</v>
      </c>
    </row>
    <row r="54" spans="1:22" x14ac:dyDescent="0.25">
      <c r="A54" s="75">
        <f t="shared" si="1"/>
        <v>51</v>
      </c>
      <c r="B54" s="74"/>
      <c r="C54" s="47"/>
      <c r="D54" s="47"/>
      <c r="E54" s="47"/>
      <c r="F54" s="47"/>
      <c r="G54" s="47"/>
      <c r="H54" s="47"/>
      <c r="I54" s="47"/>
      <c r="J54" s="111"/>
      <c r="K54" s="46"/>
      <c r="M54" s="52"/>
      <c r="N54" s="121"/>
      <c r="O54" s="47"/>
      <c r="P54" s="111"/>
      <c r="Q54" s="111"/>
      <c r="R54" s="46"/>
      <c r="T54" s="50"/>
      <c r="U54" s="50"/>
      <c r="V54" s="50"/>
    </row>
    <row r="55" spans="1:22" x14ac:dyDescent="0.25">
      <c r="A55" s="75">
        <f t="shared" si="1"/>
        <v>52</v>
      </c>
      <c r="B55" s="74"/>
      <c r="C55" s="47"/>
      <c r="D55" s="47"/>
      <c r="E55" s="47"/>
      <c r="F55" s="47"/>
      <c r="G55" s="47"/>
      <c r="H55" s="47"/>
      <c r="I55" s="47"/>
      <c r="J55" s="111"/>
      <c r="K55" s="46"/>
      <c r="M55" s="52"/>
      <c r="N55" s="121"/>
      <c r="O55" s="47"/>
      <c r="P55" s="111"/>
      <c r="Q55" s="111"/>
      <c r="R55" s="46"/>
      <c r="T55" s="50"/>
      <c r="U55" s="50"/>
      <c r="V55" s="50"/>
    </row>
    <row r="56" spans="1:22" x14ac:dyDescent="0.25">
      <c r="A56" s="75">
        <f t="shared" si="1"/>
        <v>53</v>
      </c>
      <c r="B56" s="74"/>
      <c r="C56" s="47"/>
      <c r="D56" s="47"/>
      <c r="E56" s="47"/>
      <c r="F56" s="47"/>
      <c r="G56" s="47"/>
      <c r="H56" s="47"/>
      <c r="I56" s="47"/>
      <c r="J56" s="111"/>
      <c r="K56" s="46"/>
      <c r="M56" s="52"/>
      <c r="N56" s="121"/>
      <c r="O56" s="47"/>
      <c r="P56" s="111"/>
      <c r="Q56" s="111"/>
      <c r="R56" s="46"/>
      <c r="T56" s="50"/>
      <c r="U56" s="50"/>
      <c r="V56" s="50"/>
    </row>
    <row r="57" spans="1:22" s="63" customFormat="1" ht="19.5" thickBot="1" x14ac:dyDescent="0.3">
      <c r="B57" s="77" t="s">
        <v>60</v>
      </c>
      <c r="C57" s="49">
        <f>SUM(C7:C56)</f>
        <v>43108</v>
      </c>
      <c r="D57" s="49"/>
      <c r="E57" s="49"/>
      <c r="F57" s="49">
        <f t="shared" ref="F57:K57" si="12">SUM(F7:F56)</f>
        <v>0</v>
      </c>
      <c r="G57" s="49">
        <f t="shared" si="12"/>
        <v>0</v>
      </c>
      <c r="H57" s="49">
        <f t="shared" si="12"/>
        <v>99</v>
      </c>
      <c r="I57" s="54">
        <f t="shared" si="12"/>
        <v>8</v>
      </c>
      <c r="J57" s="54">
        <f t="shared" si="12"/>
        <v>22</v>
      </c>
      <c r="K57" s="54">
        <f t="shared" si="12"/>
        <v>486</v>
      </c>
      <c r="M57" s="53">
        <f t="shared" ref="M57:R57" si="13">SUM(M7:M56)</f>
        <v>288</v>
      </c>
      <c r="N57" s="53">
        <f t="shared" si="13"/>
        <v>23</v>
      </c>
      <c r="O57" s="53">
        <f t="shared" si="13"/>
        <v>330</v>
      </c>
      <c r="P57" s="53">
        <f t="shared" si="13"/>
        <v>9</v>
      </c>
      <c r="Q57" s="53">
        <f t="shared" si="13"/>
        <v>758</v>
      </c>
      <c r="R57" s="53">
        <f t="shared" si="13"/>
        <v>44</v>
      </c>
      <c r="S57" s="57"/>
      <c r="T57" s="51">
        <f>SUM(T7:T56)</f>
        <v>691</v>
      </c>
      <c r="U57" s="51">
        <f>SUM(U7:U56)</f>
        <v>378037</v>
      </c>
      <c r="V57" s="51">
        <f>SUM(V7:V56)</f>
        <v>44575.166666666664</v>
      </c>
    </row>
    <row r="58" spans="1:22" ht="7.5" customHeight="1" thickBot="1" x14ac:dyDescent="0.3"/>
    <row r="59" spans="1:22" ht="19.5" thickBot="1" x14ac:dyDescent="0.3">
      <c r="B59" s="78" t="s">
        <v>39</v>
      </c>
      <c r="C59" s="191" t="s">
        <v>49</v>
      </c>
      <c r="D59" s="192"/>
      <c r="E59" s="192"/>
      <c r="F59" s="192"/>
      <c r="G59" s="192"/>
      <c r="H59" s="192"/>
      <c r="I59" s="192"/>
      <c r="J59" s="192"/>
      <c r="K59" s="193"/>
      <c r="U59" s="72" t="s">
        <v>62</v>
      </c>
    </row>
    <row r="60" spans="1:22" x14ac:dyDescent="0.25">
      <c r="B60" s="79" t="s">
        <v>18</v>
      </c>
      <c r="C60" s="67"/>
      <c r="D60" s="67"/>
      <c r="E60" s="67"/>
      <c r="F60" s="67"/>
      <c r="G60" s="67"/>
      <c r="H60" s="67"/>
      <c r="I60" s="67"/>
      <c r="J60" s="114"/>
      <c r="K60" s="68"/>
      <c r="U60" s="55"/>
    </row>
    <row r="61" spans="1:22" x14ac:dyDescent="0.25">
      <c r="B61" s="80" t="s">
        <v>55</v>
      </c>
      <c r="C61" s="48"/>
      <c r="D61" s="48"/>
      <c r="E61" s="48"/>
      <c r="F61" s="48"/>
      <c r="G61" s="48"/>
      <c r="H61" s="48"/>
      <c r="I61" s="48"/>
      <c r="J61" s="109"/>
      <c r="K61" s="69"/>
      <c r="U61" s="50"/>
    </row>
    <row r="62" spans="1:22" ht="19.5" thickBot="1" x14ac:dyDescent="0.3">
      <c r="B62" s="81" t="s">
        <v>54</v>
      </c>
      <c r="C62" s="70"/>
      <c r="D62" s="70"/>
      <c r="E62" s="70"/>
      <c r="F62" s="70"/>
      <c r="G62" s="70"/>
      <c r="H62" s="70"/>
      <c r="I62" s="70"/>
      <c r="J62" s="115"/>
      <c r="K62" s="71"/>
      <c r="U62" s="56"/>
    </row>
    <row r="63" spans="1:22" ht="7.5" customHeight="1" thickBot="1" x14ac:dyDescent="0.3"/>
    <row r="64" spans="1:22" x14ac:dyDescent="0.25">
      <c r="B64" s="79" t="s">
        <v>56</v>
      </c>
      <c r="C64" s="67"/>
      <c r="D64" s="67"/>
      <c r="E64" s="67"/>
      <c r="F64" s="67"/>
      <c r="G64" s="67"/>
      <c r="H64" s="67"/>
      <c r="I64" s="67"/>
      <c r="J64" s="114"/>
      <c r="K64" s="68"/>
      <c r="U64" s="55"/>
    </row>
    <row r="65" spans="2:21" x14ac:dyDescent="0.25">
      <c r="B65" s="80" t="s">
        <v>55</v>
      </c>
      <c r="C65" s="48"/>
      <c r="D65" s="48"/>
      <c r="E65" s="48"/>
      <c r="F65" s="48"/>
      <c r="G65" s="48"/>
      <c r="H65" s="48"/>
      <c r="I65" s="48"/>
      <c r="J65" s="109"/>
      <c r="K65" s="69"/>
      <c r="U65" s="50"/>
    </row>
    <row r="66" spans="2:21" ht="19.5" thickBot="1" x14ac:dyDescent="0.3">
      <c r="B66" s="81" t="s">
        <v>54</v>
      </c>
      <c r="C66" s="70"/>
      <c r="D66" s="70"/>
      <c r="E66" s="70"/>
      <c r="F66" s="70"/>
      <c r="G66" s="70"/>
      <c r="H66" s="70"/>
      <c r="I66" s="70"/>
      <c r="J66" s="115"/>
      <c r="K66" s="71"/>
      <c r="U66" s="56"/>
    </row>
    <row r="67" spans="2:21" ht="7.5" customHeight="1" thickBot="1" x14ac:dyDescent="0.3"/>
    <row r="68" spans="2:21" x14ac:dyDescent="0.25">
      <c r="B68" s="79" t="s">
        <v>41</v>
      </c>
      <c r="C68" s="67"/>
      <c r="D68" s="67"/>
      <c r="E68" s="67"/>
      <c r="F68" s="67"/>
      <c r="G68" s="67"/>
      <c r="H68" s="67"/>
      <c r="I68" s="67"/>
      <c r="J68" s="114"/>
      <c r="K68" s="68"/>
      <c r="U68" s="55"/>
    </row>
    <row r="69" spans="2:21" x14ac:dyDescent="0.25">
      <c r="B69" s="80" t="s">
        <v>55</v>
      </c>
      <c r="C69" s="48"/>
      <c r="D69" s="48"/>
      <c r="E69" s="48"/>
      <c r="F69" s="48"/>
      <c r="G69" s="48"/>
      <c r="H69" s="48"/>
      <c r="I69" s="48"/>
      <c r="J69" s="109"/>
      <c r="K69" s="69"/>
      <c r="U69" s="50"/>
    </row>
    <row r="70" spans="2:21" ht="19.5" thickBot="1" x14ac:dyDescent="0.3">
      <c r="B70" s="81" t="s">
        <v>54</v>
      </c>
      <c r="C70" s="70"/>
      <c r="D70" s="70"/>
      <c r="E70" s="70"/>
      <c r="F70" s="70"/>
      <c r="G70" s="70"/>
      <c r="H70" s="70"/>
      <c r="I70" s="70"/>
      <c r="J70" s="115"/>
      <c r="K70" s="71"/>
      <c r="U70" s="56"/>
    </row>
    <row r="71" spans="2:21" ht="7.5" customHeight="1" thickBot="1" x14ac:dyDescent="0.3"/>
    <row r="72" spans="2:21" x14ac:dyDescent="0.25">
      <c r="B72" s="79" t="s">
        <v>57</v>
      </c>
      <c r="C72" s="67"/>
      <c r="D72" s="67"/>
      <c r="E72" s="67"/>
      <c r="F72" s="67"/>
      <c r="G72" s="67"/>
      <c r="H72" s="67"/>
      <c r="I72" s="67"/>
      <c r="J72" s="114"/>
      <c r="K72" s="68"/>
      <c r="U72" s="55"/>
    </row>
    <row r="73" spans="2:21" x14ac:dyDescent="0.25">
      <c r="B73" s="80" t="s">
        <v>55</v>
      </c>
      <c r="C73" s="48"/>
      <c r="D73" s="48"/>
      <c r="E73" s="48"/>
      <c r="F73" s="48"/>
      <c r="G73" s="48"/>
      <c r="H73" s="48"/>
      <c r="I73" s="48"/>
      <c r="J73" s="109"/>
      <c r="K73" s="69"/>
      <c r="U73" s="50"/>
    </row>
    <row r="74" spans="2:21" ht="19.5" thickBot="1" x14ac:dyDescent="0.3">
      <c r="B74" s="81" t="s">
        <v>54</v>
      </c>
      <c r="C74" s="70"/>
      <c r="D74" s="70"/>
      <c r="E74" s="70"/>
      <c r="F74" s="70"/>
      <c r="G74" s="70"/>
      <c r="H74" s="70"/>
      <c r="I74" s="70"/>
      <c r="J74" s="115"/>
      <c r="K74" s="71"/>
      <c r="U74" s="56"/>
    </row>
    <row r="75" spans="2:21" ht="7.5" customHeight="1" thickBot="1" x14ac:dyDescent="0.3"/>
    <row r="76" spans="2:21" x14ac:dyDescent="0.25">
      <c r="B76" s="79" t="s">
        <v>58</v>
      </c>
      <c r="C76" s="67"/>
      <c r="D76" s="67"/>
      <c r="E76" s="67"/>
      <c r="F76" s="67"/>
      <c r="G76" s="67"/>
      <c r="H76" s="67"/>
      <c r="I76" s="67"/>
      <c r="J76" s="114"/>
      <c r="K76" s="68"/>
      <c r="U76" s="55"/>
    </row>
    <row r="77" spans="2:21" x14ac:dyDescent="0.25">
      <c r="B77" s="80" t="s">
        <v>55</v>
      </c>
      <c r="C77" s="48"/>
      <c r="D77" s="48"/>
      <c r="E77" s="48"/>
      <c r="F77" s="48"/>
      <c r="G77" s="48"/>
      <c r="H77" s="48"/>
      <c r="I77" s="48"/>
      <c r="J77" s="109"/>
      <c r="K77" s="69"/>
      <c r="U77" s="50"/>
    </row>
    <row r="78" spans="2:21" ht="19.5" thickBot="1" x14ac:dyDescent="0.3">
      <c r="B78" s="81" t="s">
        <v>54</v>
      </c>
      <c r="C78" s="70"/>
      <c r="D78" s="70"/>
      <c r="E78" s="70"/>
      <c r="F78" s="70"/>
      <c r="G78" s="70"/>
      <c r="H78" s="70"/>
      <c r="I78" s="70"/>
      <c r="J78" s="115"/>
      <c r="K78" s="71"/>
      <c r="U78" s="56"/>
    </row>
    <row r="79" spans="2:21" ht="7.5" customHeight="1" thickBot="1" x14ac:dyDescent="0.3"/>
    <row r="80" spans="2:21" ht="19.5" thickBot="1" x14ac:dyDescent="0.3">
      <c r="B80" s="78" t="s">
        <v>59</v>
      </c>
      <c r="C80" s="65"/>
      <c r="D80" s="65"/>
      <c r="E80" s="65"/>
      <c r="F80" s="65"/>
      <c r="G80" s="65"/>
      <c r="H80" s="65"/>
      <c r="I80" s="65"/>
      <c r="J80" s="116"/>
      <c r="K80" s="66"/>
      <c r="U80" s="64"/>
    </row>
  </sheetData>
  <mergeCells count="7">
    <mergeCell ref="V4:V5"/>
    <mergeCell ref="J5:K5"/>
    <mergeCell ref="C59:K59"/>
    <mergeCell ref="I1:U1"/>
    <mergeCell ref="C4:K4"/>
    <mergeCell ref="T4:T5"/>
    <mergeCell ref="U4:U5"/>
  </mergeCells>
  <printOptions horizontalCentered="1" verticalCentered="1"/>
  <pageMargins left="0.19685039370078741" right="0.19685039370078741" top="0.19685039370078741" bottom="0.19685039370078741" header="0.19685039370078741" footer="0.19685039370078741"/>
  <pageSetup paperSize="14" scale="70" orientation="portrait" horizontalDpi="360" verticalDpi="360" r:id="rId1"/>
  <colBreaks count="1" manualBreakCount="1">
    <brk id="24" max="80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C74AF-27D7-44F8-B3E5-904B24ECC338}">
  <sheetPr>
    <pageSetUpPr fitToPage="1"/>
  </sheetPr>
  <dimension ref="A1:BB80"/>
  <sheetViews>
    <sheetView zoomScaleNormal="100" zoomScaleSheetLayoutView="115" workbookViewId="0">
      <selection activeCell="B2" sqref="B2"/>
    </sheetView>
  </sheetViews>
  <sheetFormatPr defaultColWidth="9.140625" defaultRowHeight="18.75" x14ac:dyDescent="0.25"/>
  <cols>
    <col min="1" max="1" width="4.140625" style="57" bestFit="1" customWidth="1"/>
    <col min="2" max="2" width="12.28515625" style="76" customWidth="1"/>
    <col min="3" max="6" width="10" style="57" customWidth="1"/>
    <col min="7" max="7" width="6.85546875" style="57" customWidth="1"/>
    <col min="8" max="8" width="6.7109375" style="57" customWidth="1"/>
    <col min="9" max="9" width="5.5703125" style="57" bestFit="1" customWidth="1"/>
    <col min="10" max="10" width="6.85546875" style="57" customWidth="1"/>
    <col min="11" max="11" width="5.5703125" style="57" bestFit="1" customWidth="1"/>
    <col min="12" max="12" width="1.42578125" style="57" customWidth="1"/>
    <col min="13" max="13" width="10" style="57" customWidth="1"/>
    <col min="14" max="14" width="5.5703125" style="57" bestFit="1" customWidth="1"/>
    <col min="15" max="15" width="10" style="57" customWidth="1"/>
    <col min="16" max="16" width="5.5703125" style="57" customWidth="1"/>
    <col min="17" max="17" width="10" style="57" customWidth="1"/>
    <col min="18" max="18" width="5.5703125" style="57" bestFit="1" customWidth="1"/>
    <col min="19" max="19" width="1.42578125" style="57" customWidth="1"/>
    <col min="20" max="20" width="12.5703125" style="57" bestFit="1" customWidth="1"/>
    <col min="21" max="21" width="14.28515625" style="57" customWidth="1"/>
    <col min="22" max="22" width="19.42578125" style="57" bestFit="1" customWidth="1"/>
    <col min="23" max="49" width="7.28515625" style="57" customWidth="1"/>
    <col min="50" max="50" width="1.5703125" style="57" customWidth="1"/>
    <col min="51" max="51" width="9.42578125" style="57" customWidth="1"/>
    <col min="52" max="52" width="1.28515625" style="57" customWidth="1"/>
    <col min="53" max="53" width="12.7109375" style="57" bestFit="1" customWidth="1"/>
    <col min="54" max="54" width="10.28515625" style="57" bestFit="1" customWidth="1"/>
    <col min="55" max="16384" width="9.140625" style="57"/>
  </cols>
  <sheetData>
    <row r="1" spans="1:54" ht="15" customHeight="1" x14ac:dyDescent="0.25">
      <c r="B1" s="75" t="s">
        <v>51</v>
      </c>
      <c r="I1" s="194" t="s">
        <v>53</v>
      </c>
      <c r="J1" s="194"/>
      <c r="K1" s="194"/>
      <c r="L1" s="194"/>
      <c r="M1" s="194"/>
      <c r="N1" s="194"/>
      <c r="O1" s="194"/>
      <c r="P1" s="194"/>
      <c r="Q1" s="194"/>
      <c r="R1" s="194"/>
      <c r="S1" s="194"/>
      <c r="T1" s="194"/>
      <c r="U1" s="194"/>
    </row>
    <row r="2" spans="1:54" x14ac:dyDescent="0.25">
      <c r="B2" s="76" t="s">
        <v>85</v>
      </c>
    </row>
    <row r="3" spans="1:54" ht="19.5" thickBot="1" x14ac:dyDescent="0.3"/>
    <row r="4" spans="1:54" s="58" customFormat="1" ht="15.75" x14ac:dyDescent="0.25">
      <c r="B4" s="93" t="s">
        <v>63</v>
      </c>
      <c r="C4" s="189" t="s">
        <v>49</v>
      </c>
      <c r="D4" s="189"/>
      <c r="E4" s="189"/>
      <c r="F4" s="189"/>
      <c r="G4" s="189"/>
      <c r="H4" s="189"/>
      <c r="I4" s="189"/>
      <c r="J4" s="199"/>
      <c r="K4" s="190"/>
      <c r="M4" s="82" t="s">
        <v>0</v>
      </c>
      <c r="N4" s="117" t="s">
        <v>72</v>
      </c>
      <c r="O4" s="84" t="s">
        <v>45</v>
      </c>
      <c r="P4" s="117" t="s">
        <v>72</v>
      </c>
      <c r="Q4" s="85" t="s">
        <v>46</v>
      </c>
      <c r="R4" s="117" t="s">
        <v>72</v>
      </c>
      <c r="S4" s="57"/>
      <c r="T4" s="200" t="s">
        <v>80</v>
      </c>
      <c r="U4" s="202" t="s">
        <v>79</v>
      </c>
      <c r="V4" s="195" t="s">
        <v>78</v>
      </c>
      <c r="AF4" s="59"/>
      <c r="AG4" s="59"/>
      <c r="AH4" s="59"/>
      <c r="AI4" s="59"/>
      <c r="AJ4" s="59"/>
      <c r="AK4" s="59"/>
      <c r="AL4" s="59"/>
      <c r="AM4" s="59"/>
      <c r="AN4" s="59"/>
      <c r="AO4" s="59"/>
      <c r="AP4" s="59"/>
      <c r="AQ4" s="59"/>
      <c r="AR4" s="59"/>
      <c r="AS4" s="59"/>
      <c r="AT4" s="59"/>
      <c r="AU4" s="59"/>
      <c r="AV4" s="59"/>
      <c r="AW4" s="59"/>
      <c r="AX4" s="59"/>
      <c r="AY4" s="59"/>
      <c r="AZ4" s="59"/>
      <c r="BA4" s="59"/>
      <c r="BB4" s="59"/>
    </row>
    <row r="5" spans="1:54" s="58" customFormat="1" ht="15.75" x14ac:dyDescent="0.25">
      <c r="B5" s="87"/>
      <c r="C5" s="92"/>
      <c r="D5" s="92"/>
      <c r="E5" s="92"/>
      <c r="F5" s="92"/>
      <c r="G5" s="92"/>
      <c r="H5" s="92" t="s">
        <v>76</v>
      </c>
      <c r="I5" s="92" t="s">
        <v>71</v>
      </c>
      <c r="J5" s="197" t="s">
        <v>77</v>
      </c>
      <c r="K5" s="198"/>
      <c r="M5" s="87"/>
      <c r="N5" s="118"/>
      <c r="O5" s="92"/>
      <c r="P5" s="128"/>
      <c r="Q5" s="128"/>
      <c r="R5" s="89"/>
      <c r="S5" s="57"/>
      <c r="T5" s="201"/>
      <c r="U5" s="203"/>
      <c r="V5" s="196"/>
      <c r="AF5" s="59"/>
      <c r="AG5" s="59"/>
      <c r="AH5" s="59"/>
      <c r="AI5" s="59"/>
      <c r="AJ5" s="59"/>
      <c r="AK5" s="59"/>
      <c r="AL5" s="59"/>
      <c r="AM5" s="59"/>
      <c r="AN5" s="59"/>
      <c r="AO5" s="59"/>
      <c r="AP5" s="59"/>
      <c r="AQ5" s="59"/>
      <c r="AR5" s="59"/>
      <c r="AS5" s="59"/>
      <c r="AT5" s="59"/>
      <c r="AU5" s="59"/>
      <c r="AV5" s="59"/>
      <c r="AW5" s="59"/>
      <c r="AX5" s="59"/>
      <c r="AY5" s="59"/>
      <c r="AZ5" s="59"/>
      <c r="BA5" s="59"/>
      <c r="BB5" s="59"/>
    </row>
    <row r="6" spans="1:54" s="58" customFormat="1" ht="15.75" x14ac:dyDescent="0.25">
      <c r="B6" s="87"/>
      <c r="C6" s="92"/>
      <c r="D6" s="92"/>
      <c r="E6" s="92"/>
      <c r="F6" s="92"/>
      <c r="G6" s="92"/>
      <c r="H6" s="92"/>
      <c r="I6" s="92"/>
      <c r="J6" s="128"/>
      <c r="K6" s="89"/>
      <c r="M6" s="87"/>
      <c r="N6" s="118"/>
      <c r="O6" s="92"/>
      <c r="P6" s="128"/>
      <c r="Q6" s="128"/>
      <c r="R6" s="89"/>
      <c r="S6" s="57"/>
      <c r="T6" s="90"/>
      <c r="U6" s="90"/>
      <c r="V6" s="90"/>
      <c r="AF6" s="59"/>
      <c r="AG6" s="59"/>
      <c r="AH6" s="59"/>
      <c r="AI6" s="59"/>
      <c r="AJ6" s="59"/>
      <c r="AK6" s="59"/>
      <c r="AL6" s="59"/>
      <c r="AM6" s="59"/>
      <c r="AN6" s="59"/>
      <c r="AO6" s="59"/>
      <c r="AP6" s="59"/>
      <c r="AQ6" s="59"/>
      <c r="AR6" s="59"/>
      <c r="AS6" s="59"/>
      <c r="AT6" s="59"/>
      <c r="AU6" s="59"/>
      <c r="AV6" s="59"/>
      <c r="AW6" s="59"/>
      <c r="AX6" s="59"/>
      <c r="AY6" s="59"/>
      <c r="AZ6" s="59"/>
      <c r="BA6" s="59"/>
      <c r="BB6" s="59"/>
    </row>
    <row r="7" spans="1:54" x14ac:dyDescent="0.25">
      <c r="A7" s="75">
        <v>1</v>
      </c>
      <c r="B7" s="74" t="s">
        <v>34</v>
      </c>
      <c r="C7" s="48">
        <v>37</v>
      </c>
      <c r="D7" s="48"/>
      <c r="E7" s="48"/>
      <c r="F7" s="48"/>
      <c r="G7" s="48"/>
      <c r="H7" s="48">
        <v>17</v>
      </c>
      <c r="I7" s="48">
        <v>1</v>
      </c>
      <c r="J7" s="109"/>
      <c r="K7" s="69">
        <v>6</v>
      </c>
      <c r="M7" s="88">
        <v>2</v>
      </c>
      <c r="N7" s="119"/>
      <c r="O7" s="48">
        <v>3</v>
      </c>
      <c r="P7" s="109"/>
      <c r="Q7" s="109">
        <v>1</v>
      </c>
      <c r="R7" s="69"/>
      <c r="T7" s="91">
        <f>H7+I7+J7+K7+N7+P7+R7</f>
        <v>24</v>
      </c>
      <c r="U7" s="91">
        <f>C7*24+M7*24+O7*24+Q7*24+T7</f>
        <v>1056</v>
      </c>
      <c r="V7" s="91">
        <f>U7/24</f>
        <v>44</v>
      </c>
      <c r="W7" s="123"/>
      <c r="AF7" s="60"/>
      <c r="AG7" s="60"/>
      <c r="AH7" s="60"/>
      <c r="AI7" s="60"/>
      <c r="AJ7" s="60"/>
      <c r="AK7" s="60"/>
      <c r="AL7" s="60"/>
      <c r="AM7" s="60"/>
      <c r="AN7" s="60"/>
      <c r="AO7" s="60"/>
      <c r="AP7" s="60"/>
      <c r="AQ7" s="60"/>
      <c r="AR7" s="60"/>
      <c r="AS7" s="60"/>
      <c r="AT7" s="60"/>
      <c r="AU7" s="60"/>
      <c r="AV7" s="60"/>
      <c r="AW7" s="60"/>
      <c r="AX7" s="60"/>
      <c r="AY7" s="60"/>
      <c r="AZ7" s="60"/>
      <c r="BA7" s="60"/>
      <c r="BB7" s="60"/>
    </row>
    <row r="8" spans="1:54" ht="19.5" thickBot="1" x14ac:dyDescent="0.3">
      <c r="A8" s="75">
        <f>A7+1</f>
        <v>2</v>
      </c>
      <c r="B8" s="94" t="s">
        <v>37</v>
      </c>
      <c r="C8" s="95">
        <f>63+44</f>
        <v>107</v>
      </c>
      <c r="D8" s="95"/>
      <c r="E8" s="95"/>
      <c r="F8" s="95"/>
      <c r="G8" s="95"/>
      <c r="H8" s="95"/>
      <c r="I8" s="95"/>
      <c r="J8" s="110"/>
      <c r="K8" s="96"/>
      <c r="L8" s="102"/>
      <c r="M8" s="103"/>
      <c r="N8" s="120"/>
      <c r="O8" s="97"/>
      <c r="P8" s="113"/>
      <c r="Q8" s="113">
        <v>1</v>
      </c>
      <c r="R8" s="98"/>
      <c r="S8" s="102"/>
      <c r="T8" s="126">
        <f t="shared" ref="T8:T40" si="0">H8+I8+J8+K8+N8+P8+R8</f>
        <v>0</v>
      </c>
      <c r="U8" s="124">
        <f>C8*24+M8*24+O8*24+Q8*24+T8</f>
        <v>2592</v>
      </c>
      <c r="V8" s="124">
        <f>U8/24</f>
        <v>108</v>
      </c>
      <c r="W8" s="123"/>
      <c r="AF8" s="60"/>
      <c r="AG8" s="60"/>
      <c r="AH8" s="60"/>
      <c r="AI8" s="60"/>
      <c r="AJ8" s="60"/>
      <c r="AK8" s="60"/>
      <c r="AL8" s="60"/>
      <c r="AM8" s="60"/>
      <c r="AN8" s="60"/>
      <c r="AO8" s="60"/>
      <c r="AP8" s="60"/>
      <c r="AQ8" s="60"/>
      <c r="AR8" s="60"/>
      <c r="AS8" s="60"/>
      <c r="AT8" s="60"/>
      <c r="AU8" s="60"/>
      <c r="AV8" s="60"/>
      <c r="AW8" s="60"/>
      <c r="AX8" s="60"/>
      <c r="AY8" s="60"/>
      <c r="AZ8" s="60"/>
      <c r="BA8" s="60"/>
      <c r="BB8" s="60"/>
    </row>
    <row r="9" spans="1:54" x14ac:dyDescent="0.25">
      <c r="A9" s="75">
        <f t="shared" ref="A9:A56" si="1">A8+1</f>
        <v>3</v>
      </c>
      <c r="B9" s="73" t="s">
        <v>35</v>
      </c>
      <c r="C9" s="47"/>
      <c r="D9" s="47"/>
      <c r="E9" s="47"/>
      <c r="F9" s="47"/>
      <c r="G9" s="47"/>
      <c r="H9" s="47"/>
      <c r="I9" s="47"/>
      <c r="J9" s="111"/>
      <c r="K9" s="46"/>
      <c r="M9" s="52"/>
      <c r="N9" s="121"/>
      <c r="O9" s="47"/>
      <c r="P9" s="111"/>
      <c r="Q9" s="111"/>
      <c r="R9" s="46"/>
      <c r="T9" s="50">
        <f t="shared" si="0"/>
        <v>0</v>
      </c>
      <c r="U9" s="125">
        <f t="shared" ref="U9:U11" si="2">C9*24+M9*24+O9*24+Q9*24+T9</f>
        <v>0</v>
      </c>
      <c r="V9" s="125">
        <f t="shared" ref="V9:V11" si="3">U9/24</f>
        <v>0</v>
      </c>
      <c r="W9" s="123"/>
      <c r="AF9" s="60"/>
      <c r="AG9" s="60"/>
      <c r="AH9" s="60"/>
      <c r="AI9" s="60"/>
      <c r="AJ9" s="60"/>
      <c r="AK9" s="60"/>
      <c r="AL9" s="60"/>
      <c r="AM9" s="60"/>
      <c r="AN9" s="60"/>
      <c r="AO9" s="60"/>
      <c r="AP9" s="60"/>
      <c r="AQ9" s="60"/>
      <c r="AR9" s="60"/>
      <c r="AS9" s="60"/>
      <c r="AT9" s="60"/>
      <c r="AU9" s="60"/>
      <c r="AV9" s="60"/>
      <c r="AW9" s="60"/>
      <c r="AX9" s="60"/>
      <c r="AY9" s="60"/>
      <c r="AZ9" s="60"/>
      <c r="BA9" s="60"/>
      <c r="BB9" s="60"/>
    </row>
    <row r="10" spans="1:54" x14ac:dyDescent="0.25">
      <c r="A10" s="75">
        <f t="shared" si="1"/>
        <v>4</v>
      </c>
      <c r="B10" s="74" t="s">
        <v>38</v>
      </c>
      <c r="C10" s="47">
        <f>124</f>
        <v>124</v>
      </c>
      <c r="D10" s="47"/>
      <c r="E10" s="47"/>
      <c r="F10" s="47"/>
      <c r="G10" s="47"/>
      <c r="H10" s="47"/>
      <c r="I10" s="47"/>
      <c r="J10" s="111"/>
      <c r="K10" s="46"/>
      <c r="M10" s="52">
        <v>4</v>
      </c>
      <c r="N10" s="121"/>
      <c r="O10" s="47">
        <v>4</v>
      </c>
      <c r="P10" s="111"/>
      <c r="Q10" s="111"/>
      <c r="R10" s="46"/>
      <c r="T10" s="91">
        <f t="shared" si="0"/>
        <v>0</v>
      </c>
      <c r="U10" s="91">
        <f t="shared" si="2"/>
        <v>3168</v>
      </c>
      <c r="V10" s="91">
        <f t="shared" si="3"/>
        <v>132</v>
      </c>
      <c r="W10" s="123"/>
      <c r="AF10" s="60"/>
      <c r="AG10" s="60"/>
      <c r="AH10" s="60"/>
      <c r="AI10" s="60"/>
      <c r="AJ10" s="60"/>
      <c r="AK10" s="60"/>
      <c r="AL10" s="60"/>
      <c r="AM10" s="60"/>
      <c r="AN10" s="60"/>
      <c r="AO10" s="60"/>
      <c r="AP10" s="60"/>
      <c r="AQ10" s="60"/>
      <c r="AR10" s="60"/>
      <c r="AS10" s="60"/>
      <c r="AT10" s="60"/>
      <c r="AU10" s="60"/>
      <c r="AV10" s="60"/>
      <c r="AW10" s="60"/>
      <c r="AX10" s="60"/>
      <c r="AY10" s="60"/>
      <c r="AZ10" s="60"/>
      <c r="BA10" s="60"/>
      <c r="BB10" s="60"/>
    </row>
    <row r="11" spans="1:54" x14ac:dyDescent="0.25">
      <c r="A11" s="75">
        <f t="shared" si="1"/>
        <v>5</v>
      </c>
      <c r="B11" s="74" t="s">
        <v>36</v>
      </c>
      <c r="C11" s="47">
        <v>1</v>
      </c>
      <c r="D11" s="47"/>
      <c r="E11" s="47"/>
      <c r="F11" s="47"/>
      <c r="G11" s="47"/>
      <c r="H11" s="47">
        <v>22</v>
      </c>
      <c r="I11" s="47"/>
      <c r="J11" s="111"/>
      <c r="K11" s="46">
        <v>2</v>
      </c>
      <c r="M11" s="52"/>
      <c r="N11" s="121"/>
      <c r="O11" s="47"/>
      <c r="P11" s="111"/>
      <c r="Q11" s="111"/>
      <c r="R11" s="46"/>
      <c r="T11" s="91">
        <f t="shared" si="0"/>
        <v>24</v>
      </c>
      <c r="U11" s="91">
        <f t="shared" si="2"/>
        <v>48</v>
      </c>
      <c r="V11" s="91">
        <f t="shared" si="3"/>
        <v>2</v>
      </c>
      <c r="AF11" s="60"/>
      <c r="AG11" s="60"/>
      <c r="AH11" s="60"/>
      <c r="AI11" s="60"/>
      <c r="AJ11" s="60"/>
      <c r="AK11" s="60"/>
      <c r="AL11" s="60"/>
      <c r="AM11" s="60"/>
      <c r="AN11" s="60"/>
      <c r="AO11" s="60"/>
      <c r="AP11" s="60"/>
      <c r="AQ11" s="60"/>
      <c r="AR11" s="60"/>
      <c r="AS11" s="60"/>
      <c r="AT11" s="60"/>
      <c r="AU11" s="60"/>
      <c r="AV11" s="60"/>
      <c r="AW11" s="60"/>
      <c r="AX11" s="60"/>
      <c r="AY11" s="60"/>
      <c r="AZ11" s="60"/>
      <c r="BA11" s="60"/>
      <c r="BB11" s="60"/>
    </row>
    <row r="12" spans="1:54" s="61" customFormat="1" ht="19.5" thickBot="1" x14ac:dyDescent="0.3">
      <c r="A12" s="75">
        <v>7</v>
      </c>
      <c r="B12" s="94" t="s">
        <v>32</v>
      </c>
      <c r="C12" s="95">
        <f>72+5+1656+576+1440</f>
        <v>3749</v>
      </c>
      <c r="D12" s="95"/>
      <c r="E12" s="95"/>
      <c r="F12" s="95"/>
      <c r="G12" s="95"/>
      <c r="H12" s="95"/>
      <c r="I12" s="95"/>
      <c r="J12" s="110"/>
      <c r="K12" s="96"/>
      <c r="L12" s="102"/>
      <c r="M12" s="103">
        <v>12</v>
      </c>
      <c r="N12" s="120">
        <v>20</v>
      </c>
      <c r="O12" s="97">
        <v>10</v>
      </c>
      <c r="P12" s="113">
        <v>6</v>
      </c>
      <c r="Q12" s="113">
        <v>12</v>
      </c>
      <c r="R12" s="98">
        <v>20</v>
      </c>
      <c r="S12" s="102"/>
      <c r="T12" s="91">
        <f t="shared" si="0"/>
        <v>46</v>
      </c>
      <c r="U12" s="124">
        <f>C12*24+M12*24+O12*24+Q12*24+T12</f>
        <v>90838</v>
      </c>
      <c r="V12" s="124">
        <f>U12/24</f>
        <v>3784.9166666666665</v>
      </c>
      <c r="W12" s="57"/>
      <c r="X12" s="57"/>
      <c r="Y12" s="57"/>
      <c r="Z12" s="57"/>
      <c r="AA12" s="57"/>
      <c r="AB12" s="57"/>
      <c r="AC12" s="57"/>
      <c r="AD12" s="57"/>
      <c r="AE12" s="57"/>
      <c r="AF12" s="60"/>
      <c r="AG12" s="60"/>
      <c r="AH12" s="60"/>
      <c r="AI12" s="60"/>
      <c r="AJ12" s="60"/>
      <c r="AK12" s="60"/>
      <c r="AL12" s="60"/>
      <c r="AM12" s="60"/>
      <c r="AN12" s="60"/>
      <c r="AO12" s="60"/>
      <c r="AP12" s="60"/>
      <c r="AQ12" s="60"/>
      <c r="AR12" s="60"/>
      <c r="AS12" s="60"/>
      <c r="AT12" s="60"/>
      <c r="AU12" s="60"/>
      <c r="AV12" s="60"/>
      <c r="AW12" s="60"/>
      <c r="AX12" s="60"/>
      <c r="AY12" s="60"/>
      <c r="AZ12" s="60"/>
      <c r="BA12" s="60"/>
      <c r="BB12" s="60"/>
    </row>
    <row r="13" spans="1:54" x14ac:dyDescent="0.25">
      <c r="A13" s="75">
        <v>11</v>
      </c>
      <c r="B13" s="73" t="s">
        <v>1</v>
      </c>
      <c r="C13" s="47">
        <v>5</v>
      </c>
      <c r="D13" s="47"/>
      <c r="E13" s="47"/>
      <c r="F13" s="47"/>
      <c r="G13" s="47"/>
      <c r="H13" s="47"/>
      <c r="I13" s="47"/>
      <c r="J13" s="111"/>
      <c r="K13" s="46"/>
      <c r="M13" s="52"/>
      <c r="N13" s="121"/>
      <c r="O13" s="47"/>
      <c r="P13" s="111"/>
      <c r="Q13" s="111"/>
      <c r="R13" s="46"/>
      <c r="T13" s="91">
        <f t="shared" si="0"/>
        <v>0</v>
      </c>
      <c r="U13" s="125">
        <f>C13*24+M13*24+O13*24+Q13*24+T13</f>
        <v>120</v>
      </c>
      <c r="V13" s="125">
        <f>U13/24</f>
        <v>5</v>
      </c>
      <c r="AF13" s="60"/>
      <c r="AG13" s="60"/>
      <c r="AH13" s="60"/>
      <c r="AI13" s="60"/>
      <c r="AJ13" s="60"/>
      <c r="AK13" s="60"/>
      <c r="AL13" s="60"/>
      <c r="AM13" s="60"/>
      <c r="AN13" s="60"/>
      <c r="AO13" s="60"/>
      <c r="AP13" s="60"/>
      <c r="AQ13" s="60"/>
      <c r="AR13" s="60"/>
      <c r="AS13" s="60"/>
      <c r="AT13" s="60"/>
      <c r="AU13" s="60"/>
      <c r="AV13" s="60"/>
      <c r="AW13" s="60"/>
      <c r="AX13" s="60"/>
      <c r="AY13" s="60"/>
      <c r="AZ13" s="60"/>
      <c r="BA13" s="60"/>
      <c r="BB13" s="60"/>
    </row>
    <row r="14" spans="1:54" x14ac:dyDescent="0.25">
      <c r="A14" s="75">
        <f t="shared" si="1"/>
        <v>12</v>
      </c>
      <c r="B14" s="74" t="s">
        <v>2</v>
      </c>
      <c r="C14" s="47"/>
      <c r="D14" s="47"/>
      <c r="E14" s="47"/>
      <c r="F14" s="47"/>
      <c r="G14" s="47"/>
      <c r="H14" s="47"/>
      <c r="I14" s="47"/>
      <c r="J14" s="111"/>
      <c r="K14" s="46"/>
      <c r="M14" s="52"/>
      <c r="N14" s="121"/>
      <c r="O14" s="47"/>
      <c r="P14" s="111"/>
      <c r="Q14" s="111"/>
      <c r="R14" s="46"/>
      <c r="T14" s="91">
        <f t="shared" si="0"/>
        <v>0</v>
      </c>
      <c r="U14" s="50">
        <f t="shared" ref="U14:U36" si="4">C14*24+M14*24+O14*24+Q14*24+T14</f>
        <v>0</v>
      </c>
      <c r="V14" s="50">
        <f t="shared" ref="V14:V36" si="5">U14/24</f>
        <v>0</v>
      </c>
      <c r="AF14" s="60"/>
      <c r="AG14" s="60"/>
      <c r="AH14" s="60"/>
      <c r="AI14" s="60"/>
      <c r="AJ14" s="60"/>
      <c r="AK14" s="60"/>
      <c r="AL14" s="60"/>
      <c r="AM14" s="60"/>
      <c r="AN14" s="60"/>
      <c r="AO14" s="60"/>
      <c r="AP14" s="60"/>
      <c r="AQ14" s="60"/>
      <c r="AR14" s="60"/>
      <c r="AS14" s="60"/>
      <c r="AT14" s="60"/>
      <c r="AU14" s="60"/>
      <c r="AV14" s="60"/>
      <c r="AW14" s="60"/>
      <c r="AX14" s="60"/>
      <c r="AY14" s="60"/>
      <c r="AZ14" s="60"/>
      <c r="BA14" s="60"/>
      <c r="BB14" s="60"/>
    </row>
    <row r="15" spans="1:54" x14ac:dyDescent="0.25">
      <c r="A15" s="75">
        <f t="shared" si="1"/>
        <v>13</v>
      </c>
      <c r="B15" s="74" t="s">
        <v>3</v>
      </c>
      <c r="C15" s="47"/>
      <c r="D15" s="47"/>
      <c r="E15" s="47"/>
      <c r="F15" s="47"/>
      <c r="G15" s="47"/>
      <c r="H15" s="47"/>
      <c r="I15" s="47"/>
      <c r="J15" s="111"/>
      <c r="K15" s="46"/>
      <c r="M15" s="52"/>
      <c r="N15" s="121"/>
      <c r="O15" s="47"/>
      <c r="P15" s="111"/>
      <c r="Q15" s="111"/>
      <c r="R15" s="46"/>
      <c r="T15" s="91">
        <f t="shared" si="0"/>
        <v>0</v>
      </c>
      <c r="U15" s="50">
        <f t="shared" si="4"/>
        <v>0</v>
      </c>
      <c r="V15" s="50">
        <f t="shared" si="5"/>
        <v>0</v>
      </c>
      <c r="AF15" s="60"/>
      <c r="AG15" s="60"/>
      <c r="AH15" s="60"/>
      <c r="AI15" s="60"/>
      <c r="AJ15" s="60"/>
      <c r="AK15" s="60"/>
      <c r="AL15" s="60"/>
      <c r="AM15" s="60"/>
      <c r="AN15" s="60"/>
      <c r="AO15" s="60"/>
      <c r="AP15" s="60"/>
      <c r="AQ15" s="60"/>
      <c r="AR15" s="60"/>
      <c r="AS15" s="60"/>
      <c r="AT15" s="60"/>
      <c r="AU15" s="60"/>
      <c r="AV15" s="60"/>
      <c r="AW15" s="60"/>
      <c r="AX15" s="60"/>
      <c r="AY15" s="60"/>
      <c r="AZ15" s="60"/>
      <c r="BA15" s="60"/>
      <c r="BB15" s="60"/>
    </row>
    <row r="16" spans="1:54" x14ac:dyDescent="0.25">
      <c r="A16" s="75">
        <f t="shared" si="1"/>
        <v>14</v>
      </c>
      <c r="B16" s="74" t="s">
        <v>4</v>
      </c>
      <c r="C16" s="47"/>
      <c r="D16" s="47"/>
      <c r="E16" s="47"/>
      <c r="F16" s="47"/>
      <c r="G16" s="47"/>
      <c r="H16" s="47"/>
      <c r="I16" s="47"/>
      <c r="J16" s="111"/>
      <c r="K16" s="46"/>
      <c r="M16" s="52"/>
      <c r="N16" s="121"/>
      <c r="O16" s="47"/>
      <c r="P16" s="111"/>
      <c r="Q16" s="111"/>
      <c r="R16" s="46"/>
      <c r="T16" s="91">
        <f t="shared" si="0"/>
        <v>0</v>
      </c>
      <c r="U16" s="50">
        <f t="shared" si="4"/>
        <v>0</v>
      </c>
      <c r="V16" s="50">
        <f t="shared" si="5"/>
        <v>0</v>
      </c>
      <c r="AF16" s="60"/>
      <c r="AG16" s="60"/>
      <c r="AH16" s="60"/>
      <c r="AI16" s="60"/>
      <c r="AJ16" s="60"/>
      <c r="AK16" s="60"/>
      <c r="AL16" s="60"/>
      <c r="AM16" s="60"/>
      <c r="AN16" s="60"/>
      <c r="AO16" s="60"/>
      <c r="AP16" s="60"/>
      <c r="AQ16" s="60"/>
      <c r="AR16" s="60"/>
      <c r="AS16" s="60"/>
      <c r="AT16" s="60"/>
      <c r="AU16" s="60"/>
      <c r="AV16" s="60"/>
      <c r="AW16" s="60"/>
      <c r="AX16" s="60"/>
      <c r="AY16" s="60"/>
      <c r="AZ16" s="60"/>
      <c r="BA16" s="60"/>
      <c r="BB16" s="60"/>
    </row>
    <row r="17" spans="1:54" x14ac:dyDescent="0.25">
      <c r="A17" s="75">
        <f t="shared" si="1"/>
        <v>15</v>
      </c>
      <c r="B17" s="74" t="s">
        <v>5</v>
      </c>
      <c r="C17" s="47">
        <v>5</v>
      </c>
      <c r="D17" s="47"/>
      <c r="E17" s="47"/>
      <c r="F17" s="47"/>
      <c r="G17" s="47"/>
      <c r="H17" s="47"/>
      <c r="I17" s="47"/>
      <c r="J17" s="111"/>
      <c r="K17" s="46"/>
      <c r="M17" s="52"/>
      <c r="N17" s="121"/>
      <c r="O17" s="47"/>
      <c r="P17" s="111"/>
      <c r="Q17" s="111"/>
      <c r="R17" s="46"/>
      <c r="T17" s="91">
        <f t="shared" si="0"/>
        <v>0</v>
      </c>
      <c r="U17" s="50">
        <f t="shared" si="4"/>
        <v>120</v>
      </c>
      <c r="V17" s="50">
        <f t="shared" si="5"/>
        <v>5</v>
      </c>
      <c r="AF17" s="60"/>
      <c r="AG17" s="60"/>
      <c r="AH17" s="60"/>
      <c r="AI17" s="60"/>
      <c r="AJ17" s="60"/>
      <c r="AK17" s="60"/>
      <c r="AL17" s="60"/>
      <c r="AM17" s="60"/>
      <c r="AN17" s="60"/>
      <c r="AO17" s="60"/>
      <c r="AP17" s="60"/>
      <c r="AQ17" s="60"/>
      <c r="AR17" s="60"/>
      <c r="AS17" s="60"/>
      <c r="AT17" s="60"/>
      <c r="AU17" s="60"/>
      <c r="AV17" s="60"/>
      <c r="AW17" s="60"/>
      <c r="AX17" s="60"/>
      <c r="AY17" s="60"/>
      <c r="AZ17" s="60"/>
      <c r="BA17" s="60"/>
      <c r="BB17" s="60"/>
    </row>
    <row r="18" spans="1:54" hidden="1" x14ac:dyDescent="0.25">
      <c r="A18" s="75">
        <f t="shared" si="1"/>
        <v>16</v>
      </c>
      <c r="B18" s="74" t="s">
        <v>10</v>
      </c>
      <c r="C18" s="47"/>
      <c r="D18" s="47"/>
      <c r="E18" s="47"/>
      <c r="F18" s="47"/>
      <c r="G18" s="47"/>
      <c r="H18" s="47"/>
      <c r="I18" s="47"/>
      <c r="J18" s="111"/>
      <c r="K18" s="46"/>
      <c r="M18" s="52"/>
      <c r="N18" s="121"/>
      <c r="O18" s="47"/>
      <c r="P18" s="111"/>
      <c r="Q18" s="111"/>
      <c r="R18" s="46"/>
      <c r="T18" s="91">
        <f t="shared" si="0"/>
        <v>0</v>
      </c>
      <c r="U18" s="50">
        <f t="shared" si="4"/>
        <v>0</v>
      </c>
      <c r="V18" s="50">
        <f t="shared" si="5"/>
        <v>0</v>
      </c>
      <c r="AF18" s="60"/>
      <c r="AG18" s="60"/>
      <c r="AH18" s="60"/>
      <c r="AI18" s="60"/>
      <c r="AJ18" s="60"/>
      <c r="AK18" s="60"/>
      <c r="AL18" s="60"/>
      <c r="AM18" s="60"/>
      <c r="AN18" s="60"/>
      <c r="AO18" s="60"/>
      <c r="AP18" s="60"/>
      <c r="AQ18" s="60"/>
      <c r="AR18" s="60"/>
      <c r="AS18" s="60"/>
      <c r="AT18" s="60"/>
      <c r="AU18" s="60"/>
      <c r="AV18" s="60"/>
      <c r="AW18" s="60"/>
      <c r="AX18" s="60"/>
      <c r="AY18" s="60"/>
      <c r="AZ18" s="60"/>
      <c r="BA18" s="60"/>
      <c r="BB18" s="60"/>
    </row>
    <row r="19" spans="1:54" x14ac:dyDescent="0.25">
      <c r="A19" s="75">
        <v>16</v>
      </c>
      <c r="B19" s="74" t="s">
        <v>64</v>
      </c>
      <c r="C19" s="47">
        <v>4</v>
      </c>
      <c r="D19" s="47"/>
      <c r="E19" s="47"/>
      <c r="F19" s="47"/>
      <c r="G19" s="47"/>
      <c r="H19" s="47"/>
      <c r="I19" s="47"/>
      <c r="J19" s="111"/>
      <c r="K19" s="46"/>
      <c r="M19" s="52"/>
      <c r="N19" s="121"/>
      <c r="O19" s="47"/>
      <c r="P19" s="111"/>
      <c r="Q19" s="111"/>
      <c r="R19" s="46"/>
      <c r="T19" s="91">
        <f t="shared" si="0"/>
        <v>0</v>
      </c>
      <c r="U19" s="50">
        <f t="shared" si="4"/>
        <v>96</v>
      </c>
      <c r="V19" s="50">
        <f t="shared" si="5"/>
        <v>4</v>
      </c>
      <c r="AF19" s="60"/>
      <c r="AG19" s="60"/>
      <c r="AH19" s="60"/>
      <c r="AI19" s="60"/>
      <c r="AJ19" s="60"/>
      <c r="AK19" s="60"/>
      <c r="AL19" s="60"/>
      <c r="AM19" s="60"/>
      <c r="AN19" s="60"/>
      <c r="AO19" s="60"/>
      <c r="AP19" s="60"/>
      <c r="AQ19" s="60"/>
      <c r="AR19" s="60"/>
      <c r="AS19" s="60"/>
      <c r="AT19" s="60"/>
      <c r="AU19" s="60"/>
      <c r="AV19" s="60"/>
      <c r="AW19" s="60"/>
      <c r="AX19" s="60"/>
      <c r="AY19" s="60"/>
      <c r="AZ19" s="60"/>
      <c r="BA19" s="60"/>
      <c r="BB19" s="60"/>
    </row>
    <row r="20" spans="1:54" x14ac:dyDescent="0.25">
      <c r="A20" s="75">
        <f t="shared" si="1"/>
        <v>17</v>
      </c>
      <c r="B20" s="74" t="s">
        <v>6</v>
      </c>
      <c r="C20" s="47">
        <v>6</v>
      </c>
      <c r="D20" s="47"/>
      <c r="E20" s="47"/>
      <c r="F20" s="47"/>
      <c r="G20" s="47"/>
      <c r="H20" s="47"/>
      <c r="I20" s="47"/>
      <c r="J20" s="111"/>
      <c r="K20" s="46"/>
      <c r="M20" s="52"/>
      <c r="N20" s="121"/>
      <c r="O20" s="47"/>
      <c r="P20" s="111"/>
      <c r="Q20" s="111"/>
      <c r="R20" s="46"/>
      <c r="T20" s="91">
        <f t="shared" si="0"/>
        <v>0</v>
      </c>
      <c r="U20" s="50">
        <f t="shared" si="4"/>
        <v>144</v>
      </c>
      <c r="V20" s="50">
        <f t="shared" si="5"/>
        <v>6</v>
      </c>
      <c r="AF20" s="60"/>
      <c r="AG20" s="60"/>
      <c r="AH20" s="60"/>
      <c r="AI20" s="60"/>
      <c r="AJ20" s="60"/>
      <c r="AK20" s="60"/>
      <c r="AL20" s="60"/>
      <c r="AM20" s="60"/>
      <c r="AN20" s="60"/>
      <c r="AO20" s="60"/>
      <c r="AP20" s="60"/>
      <c r="AQ20" s="60"/>
      <c r="AR20" s="60"/>
      <c r="AS20" s="60"/>
      <c r="AT20" s="60"/>
      <c r="AU20" s="60"/>
      <c r="AV20" s="60"/>
      <c r="AW20" s="60"/>
      <c r="AX20" s="60"/>
      <c r="AY20" s="60"/>
      <c r="AZ20" s="60"/>
      <c r="BA20" s="60"/>
      <c r="BB20" s="60"/>
    </row>
    <row r="21" spans="1:54" x14ac:dyDescent="0.25">
      <c r="A21" s="75">
        <f t="shared" si="1"/>
        <v>18</v>
      </c>
      <c r="B21" s="74" t="s">
        <v>7</v>
      </c>
      <c r="C21" s="47">
        <v>4</v>
      </c>
      <c r="D21" s="47"/>
      <c r="E21" s="47"/>
      <c r="F21" s="47"/>
      <c r="G21" s="47"/>
      <c r="H21" s="47"/>
      <c r="I21" s="47"/>
      <c r="J21" s="111"/>
      <c r="K21" s="46"/>
      <c r="M21" s="52"/>
      <c r="N21" s="121"/>
      <c r="O21" s="47"/>
      <c r="P21" s="111"/>
      <c r="Q21" s="111"/>
      <c r="R21" s="46"/>
      <c r="T21" s="91">
        <f t="shared" si="0"/>
        <v>0</v>
      </c>
      <c r="U21" s="50">
        <f t="shared" si="4"/>
        <v>96</v>
      </c>
      <c r="V21" s="50">
        <f t="shared" si="5"/>
        <v>4</v>
      </c>
      <c r="AF21" s="60"/>
      <c r="AG21" s="60"/>
      <c r="AH21" s="60"/>
      <c r="AI21" s="60"/>
      <c r="AJ21" s="60"/>
      <c r="AK21" s="60"/>
      <c r="AL21" s="60"/>
      <c r="AM21" s="60"/>
      <c r="AN21" s="60"/>
      <c r="AO21" s="60"/>
      <c r="AP21" s="60"/>
      <c r="AQ21" s="60"/>
      <c r="AR21" s="60"/>
      <c r="AS21" s="60"/>
      <c r="AT21" s="60"/>
      <c r="AU21" s="60"/>
      <c r="AV21" s="60"/>
      <c r="AW21" s="60"/>
      <c r="AX21" s="60"/>
      <c r="AY21" s="60"/>
      <c r="AZ21" s="60"/>
      <c r="BA21" s="60"/>
      <c r="BB21" s="60"/>
    </row>
    <row r="22" spans="1:54" s="61" customFormat="1" x14ac:dyDescent="0.25">
      <c r="A22" s="75">
        <f t="shared" si="1"/>
        <v>19</v>
      </c>
      <c r="B22" s="74" t="s">
        <v>65</v>
      </c>
      <c r="C22" s="47">
        <v>3</v>
      </c>
      <c r="D22" s="47"/>
      <c r="E22" s="47"/>
      <c r="F22" s="47"/>
      <c r="G22" s="47"/>
      <c r="H22" s="47"/>
      <c r="I22" s="47"/>
      <c r="J22" s="111"/>
      <c r="K22" s="46"/>
      <c r="L22" s="57"/>
      <c r="M22" s="52"/>
      <c r="N22" s="121"/>
      <c r="O22" s="47"/>
      <c r="P22" s="111"/>
      <c r="Q22" s="111"/>
      <c r="R22" s="46"/>
      <c r="S22" s="57"/>
      <c r="T22" s="91">
        <f t="shared" si="0"/>
        <v>0</v>
      </c>
      <c r="U22" s="50">
        <f t="shared" si="4"/>
        <v>72</v>
      </c>
      <c r="V22" s="50">
        <f t="shared" si="5"/>
        <v>3</v>
      </c>
      <c r="W22" s="57"/>
      <c r="X22" s="57"/>
      <c r="Y22" s="57"/>
      <c r="Z22" s="57"/>
      <c r="AA22" s="57"/>
      <c r="AB22" s="57"/>
      <c r="AC22" s="57"/>
      <c r="AD22" s="57"/>
      <c r="AE22" s="57"/>
      <c r="AF22" s="60"/>
      <c r="AG22" s="60"/>
      <c r="AH22" s="60"/>
      <c r="AI22" s="60"/>
      <c r="AJ22" s="60"/>
      <c r="AK22" s="60"/>
      <c r="AL22" s="60"/>
      <c r="AM22" s="60"/>
      <c r="AN22" s="60"/>
      <c r="AO22" s="60"/>
      <c r="AP22" s="60"/>
      <c r="AQ22" s="60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</row>
    <row r="23" spans="1:54" s="61" customFormat="1" x14ac:dyDescent="0.25">
      <c r="A23" s="75">
        <f t="shared" si="1"/>
        <v>20</v>
      </c>
      <c r="B23" s="74" t="s">
        <v>66</v>
      </c>
      <c r="C23" s="47">
        <v>48</v>
      </c>
      <c r="D23" s="47"/>
      <c r="E23" s="47"/>
      <c r="F23" s="47"/>
      <c r="G23" s="47"/>
      <c r="H23" s="47"/>
      <c r="I23" s="47"/>
      <c r="J23" s="111"/>
      <c r="K23" s="46"/>
      <c r="L23" s="57"/>
      <c r="M23" s="52"/>
      <c r="N23" s="121"/>
      <c r="O23" s="47"/>
      <c r="P23" s="111"/>
      <c r="Q23" s="111"/>
      <c r="R23" s="46"/>
      <c r="S23" s="57"/>
      <c r="T23" s="91">
        <f t="shared" si="0"/>
        <v>0</v>
      </c>
      <c r="U23" s="50">
        <f t="shared" si="4"/>
        <v>1152</v>
      </c>
      <c r="V23" s="50">
        <f t="shared" si="5"/>
        <v>48</v>
      </c>
      <c r="W23" s="57"/>
      <c r="X23" s="57"/>
      <c r="Y23" s="57"/>
      <c r="Z23" s="57"/>
      <c r="AA23" s="57"/>
      <c r="AB23" s="57"/>
      <c r="AC23" s="57"/>
      <c r="AD23" s="57"/>
      <c r="AE23" s="57"/>
      <c r="AF23" s="60"/>
      <c r="AG23" s="60"/>
      <c r="AH23" s="60"/>
      <c r="AI23" s="60"/>
      <c r="AJ23" s="60"/>
      <c r="AK23" s="60"/>
      <c r="AL23" s="60"/>
      <c r="AM23" s="60"/>
      <c r="AN23" s="60"/>
      <c r="AO23" s="60"/>
      <c r="AP23" s="60"/>
      <c r="AQ23" s="60"/>
      <c r="AR23" s="60"/>
      <c r="AS23" s="60"/>
      <c r="AT23" s="60"/>
      <c r="AU23" s="60"/>
      <c r="AV23" s="60"/>
      <c r="AW23" s="60"/>
      <c r="AX23" s="60"/>
      <c r="AY23" s="60"/>
      <c r="AZ23" s="60"/>
      <c r="BA23" s="60"/>
      <c r="BB23" s="60"/>
    </row>
    <row r="24" spans="1:54" s="61" customFormat="1" x14ac:dyDescent="0.25">
      <c r="A24" s="75">
        <f t="shared" si="1"/>
        <v>21</v>
      </c>
      <c r="B24" s="74" t="s">
        <v>75</v>
      </c>
      <c r="C24" s="47">
        <v>3</v>
      </c>
      <c r="D24" s="47"/>
      <c r="E24" s="47"/>
      <c r="F24" s="47"/>
      <c r="G24" s="47"/>
      <c r="H24" s="47"/>
      <c r="I24" s="47"/>
      <c r="J24" s="111"/>
      <c r="K24" s="46"/>
      <c r="L24" s="57"/>
      <c r="M24" s="52"/>
      <c r="N24" s="121"/>
      <c r="O24" s="47"/>
      <c r="P24" s="111"/>
      <c r="Q24" s="111"/>
      <c r="R24" s="46"/>
      <c r="S24" s="57"/>
      <c r="T24" s="91">
        <f t="shared" si="0"/>
        <v>0</v>
      </c>
      <c r="U24" s="50">
        <f t="shared" si="4"/>
        <v>72</v>
      </c>
      <c r="V24" s="50">
        <f t="shared" si="5"/>
        <v>3</v>
      </c>
      <c r="W24" s="57"/>
      <c r="X24" s="57"/>
      <c r="Y24" s="57"/>
      <c r="Z24" s="57"/>
      <c r="AA24" s="57"/>
      <c r="AB24" s="57"/>
      <c r="AC24" s="57"/>
      <c r="AD24" s="57"/>
      <c r="AE24" s="57"/>
      <c r="AF24" s="60"/>
      <c r="AG24" s="60"/>
      <c r="AH24" s="60"/>
      <c r="AI24" s="60"/>
      <c r="AJ24" s="60"/>
      <c r="AK24" s="60"/>
      <c r="AL24" s="60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</row>
    <row r="25" spans="1:54" x14ac:dyDescent="0.25">
      <c r="A25" s="75">
        <f t="shared" si="1"/>
        <v>22</v>
      </c>
      <c r="B25" s="74" t="s">
        <v>67</v>
      </c>
      <c r="C25" s="47">
        <v>7</v>
      </c>
      <c r="D25" s="47"/>
      <c r="E25" s="47"/>
      <c r="F25" s="47"/>
      <c r="G25" s="47"/>
      <c r="H25" s="47"/>
      <c r="I25" s="47"/>
      <c r="J25" s="111"/>
      <c r="K25" s="46"/>
      <c r="M25" s="52"/>
      <c r="N25" s="121"/>
      <c r="O25" s="47"/>
      <c r="P25" s="111"/>
      <c r="Q25" s="111"/>
      <c r="R25" s="46"/>
      <c r="T25" s="91">
        <f t="shared" si="0"/>
        <v>0</v>
      </c>
      <c r="U25" s="50">
        <f t="shared" si="4"/>
        <v>168</v>
      </c>
      <c r="V25" s="50">
        <f t="shared" si="5"/>
        <v>7</v>
      </c>
      <c r="AF25" s="60"/>
      <c r="AG25" s="60"/>
      <c r="AH25" s="60"/>
      <c r="AI25" s="60"/>
      <c r="AJ25" s="60"/>
      <c r="AK25" s="60"/>
      <c r="AL25" s="60"/>
      <c r="AM25" s="60"/>
      <c r="AN25" s="60"/>
      <c r="AO25" s="60"/>
      <c r="AP25" s="60"/>
      <c r="AQ25" s="60"/>
      <c r="AR25" s="60"/>
      <c r="AS25" s="60"/>
      <c r="AT25" s="60"/>
      <c r="AU25" s="60"/>
      <c r="AV25" s="60"/>
      <c r="AW25" s="60"/>
      <c r="AX25" s="60"/>
      <c r="AY25" s="60"/>
      <c r="AZ25" s="60"/>
      <c r="BA25" s="60"/>
      <c r="BB25" s="60"/>
    </row>
    <row r="26" spans="1:54" x14ac:dyDescent="0.25">
      <c r="A26" s="75">
        <f t="shared" si="1"/>
        <v>23</v>
      </c>
      <c r="B26" s="74" t="s">
        <v>9</v>
      </c>
      <c r="C26" s="47">
        <f>63+42</f>
        <v>105</v>
      </c>
      <c r="D26" s="47"/>
      <c r="E26" s="47"/>
      <c r="F26" s="47"/>
      <c r="G26" s="47"/>
      <c r="H26" s="47">
        <v>22</v>
      </c>
      <c r="I26" s="47">
        <v>1</v>
      </c>
      <c r="J26" s="111"/>
      <c r="K26" s="46"/>
      <c r="M26" s="52">
        <v>2</v>
      </c>
      <c r="N26" s="121"/>
      <c r="O26" s="47">
        <v>2</v>
      </c>
      <c r="P26" s="111"/>
      <c r="Q26" s="111">
        <v>4</v>
      </c>
      <c r="R26" s="46"/>
      <c r="T26" s="91">
        <f t="shared" si="0"/>
        <v>23</v>
      </c>
      <c r="U26" s="50">
        <f t="shared" si="4"/>
        <v>2735</v>
      </c>
      <c r="V26" s="50">
        <f t="shared" si="5"/>
        <v>113.95833333333333</v>
      </c>
      <c r="AY26" s="62" t="e">
        <f>#REF!-AY25</f>
        <v>#REF!</v>
      </c>
    </row>
    <row r="27" spans="1:54" s="61" customFormat="1" x14ac:dyDescent="0.25">
      <c r="A27" s="75">
        <f t="shared" si="1"/>
        <v>24</v>
      </c>
      <c r="B27" s="74" t="s">
        <v>11</v>
      </c>
      <c r="C27" s="47">
        <v>1</v>
      </c>
      <c r="D27" s="47"/>
      <c r="E27" s="47"/>
      <c r="F27" s="47"/>
      <c r="G27" s="47"/>
      <c r="H27" s="47"/>
      <c r="I27" s="47"/>
      <c r="J27" s="111"/>
      <c r="K27" s="46"/>
      <c r="L27" s="57"/>
      <c r="M27" s="52">
        <v>1</v>
      </c>
      <c r="N27" s="121"/>
      <c r="O27" s="47"/>
      <c r="P27" s="111"/>
      <c r="Q27" s="111"/>
      <c r="R27" s="46"/>
      <c r="S27" s="57"/>
      <c r="T27" s="91">
        <f t="shared" si="0"/>
        <v>0</v>
      </c>
      <c r="U27" s="50">
        <f t="shared" si="4"/>
        <v>48</v>
      </c>
      <c r="V27" s="50">
        <f t="shared" si="5"/>
        <v>2</v>
      </c>
      <c r="W27" s="57"/>
      <c r="X27" s="57"/>
      <c r="Y27" s="57"/>
      <c r="Z27" s="57"/>
      <c r="AA27" s="57"/>
      <c r="AB27" s="57"/>
      <c r="AC27" s="57"/>
      <c r="AD27" s="57"/>
      <c r="AE27" s="57"/>
    </row>
    <row r="28" spans="1:54" s="61" customFormat="1" x14ac:dyDescent="0.25">
      <c r="A28" s="75">
        <f t="shared" si="1"/>
        <v>25</v>
      </c>
      <c r="B28" s="74" t="s">
        <v>12</v>
      </c>
      <c r="C28" s="47">
        <v>57</v>
      </c>
      <c r="D28" s="47"/>
      <c r="E28" s="47"/>
      <c r="F28" s="47"/>
      <c r="G28" s="47"/>
      <c r="H28" s="47"/>
      <c r="I28" s="47"/>
      <c r="J28" s="111"/>
      <c r="K28" s="46"/>
      <c r="L28" s="57"/>
      <c r="M28" s="52">
        <v>2</v>
      </c>
      <c r="N28" s="121"/>
      <c r="O28" s="47">
        <v>2</v>
      </c>
      <c r="P28" s="111"/>
      <c r="Q28" s="111">
        <v>3</v>
      </c>
      <c r="R28" s="46"/>
      <c r="S28" s="57"/>
      <c r="T28" s="91">
        <f t="shared" si="0"/>
        <v>0</v>
      </c>
      <c r="U28" s="50">
        <f t="shared" si="4"/>
        <v>1536</v>
      </c>
      <c r="V28" s="50">
        <f t="shared" si="5"/>
        <v>64</v>
      </c>
      <c r="W28" s="57"/>
      <c r="X28" s="57"/>
      <c r="Y28" s="57"/>
      <c r="Z28" s="57"/>
      <c r="AA28" s="57"/>
      <c r="AB28" s="57"/>
      <c r="AC28" s="57"/>
      <c r="AD28" s="57"/>
      <c r="AE28" s="57"/>
    </row>
    <row r="29" spans="1:54" x14ac:dyDescent="0.25">
      <c r="A29" s="75">
        <f t="shared" si="1"/>
        <v>26</v>
      </c>
      <c r="B29" s="74" t="s">
        <v>14</v>
      </c>
      <c r="C29" s="47"/>
      <c r="D29" s="47"/>
      <c r="E29" s="47"/>
      <c r="F29" s="47"/>
      <c r="G29" s="47"/>
      <c r="H29" s="47"/>
      <c r="I29" s="47"/>
      <c r="J29" s="111"/>
      <c r="K29" s="46"/>
      <c r="M29" s="52"/>
      <c r="N29" s="121"/>
      <c r="O29" s="47"/>
      <c r="P29" s="111"/>
      <c r="Q29" s="111"/>
      <c r="R29" s="46"/>
      <c r="T29" s="91">
        <f t="shared" si="0"/>
        <v>0</v>
      </c>
      <c r="U29" s="50">
        <f t="shared" si="4"/>
        <v>0</v>
      </c>
      <c r="V29" s="50">
        <f t="shared" si="5"/>
        <v>0</v>
      </c>
    </row>
    <row r="30" spans="1:54" x14ac:dyDescent="0.25">
      <c r="A30" s="75">
        <f t="shared" si="1"/>
        <v>27</v>
      </c>
      <c r="B30" s="74" t="s">
        <v>16</v>
      </c>
      <c r="C30" s="47">
        <f>63+13</f>
        <v>76</v>
      </c>
      <c r="D30" s="47"/>
      <c r="E30" s="47"/>
      <c r="F30" s="47"/>
      <c r="G30" s="47"/>
      <c r="H30" s="47"/>
      <c r="I30" s="47"/>
      <c r="J30" s="111"/>
      <c r="K30" s="46"/>
      <c r="M30" s="52"/>
      <c r="N30" s="121"/>
      <c r="O30" s="47">
        <v>2</v>
      </c>
      <c r="P30" s="111"/>
      <c r="Q30" s="111"/>
      <c r="R30" s="46"/>
      <c r="T30" s="91">
        <f t="shared" si="0"/>
        <v>0</v>
      </c>
      <c r="U30" s="50">
        <f t="shared" si="4"/>
        <v>1872</v>
      </c>
      <c r="V30" s="50">
        <f t="shared" si="5"/>
        <v>78</v>
      </c>
    </row>
    <row r="31" spans="1:54" x14ac:dyDescent="0.25">
      <c r="A31" s="75">
        <f t="shared" si="1"/>
        <v>28</v>
      </c>
      <c r="B31" s="74" t="s">
        <v>13</v>
      </c>
      <c r="C31" s="47">
        <v>2</v>
      </c>
      <c r="D31" s="47"/>
      <c r="E31" s="47"/>
      <c r="F31" s="47"/>
      <c r="G31" s="47"/>
      <c r="H31" s="47"/>
      <c r="I31" s="47"/>
      <c r="J31" s="111"/>
      <c r="K31" s="46"/>
      <c r="M31" s="52"/>
      <c r="N31" s="121"/>
      <c r="O31" s="47"/>
      <c r="P31" s="111"/>
      <c r="Q31" s="111"/>
      <c r="R31" s="46"/>
      <c r="T31" s="91">
        <f t="shared" si="0"/>
        <v>0</v>
      </c>
      <c r="U31" s="50">
        <f t="shared" si="4"/>
        <v>48</v>
      </c>
      <c r="V31" s="50">
        <f t="shared" si="5"/>
        <v>2</v>
      </c>
    </row>
    <row r="32" spans="1:54" x14ac:dyDescent="0.25">
      <c r="A32" s="75">
        <f t="shared" si="1"/>
        <v>29</v>
      </c>
      <c r="B32" s="74" t="s">
        <v>15</v>
      </c>
      <c r="C32" s="47">
        <v>2</v>
      </c>
      <c r="D32" s="47"/>
      <c r="E32" s="47"/>
      <c r="F32" s="47"/>
      <c r="G32" s="47"/>
      <c r="H32" s="47"/>
      <c r="I32" s="47"/>
      <c r="J32" s="111"/>
      <c r="K32" s="46"/>
      <c r="M32" s="52"/>
      <c r="N32" s="121"/>
      <c r="O32" s="47">
        <v>1</v>
      </c>
      <c r="P32" s="111"/>
      <c r="Q32" s="111"/>
      <c r="R32" s="46"/>
      <c r="T32" s="91">
        <f t="shared" si="0"/>
        <v>0</v>
      </c>
      <c r="U32" s="50">
        <f t="shared" si="4"/>
        <v>72</v>
      </c>
      <c r="V32" s="50">
        <f t="shared" si="5"/>
        <v>3</v>
      </c>
    </row>
    <row r="33" spans="1:23" x14ac:dyDescent="0.25">
      <c r="A33" s="75">
        <f t="shared" si="1"/>
        <v>30</v>
      </c>
      <c r="B33" s="74" t="s">
        <v>17</v>
      </c>
      <c r="C33" s="47"/>
      <c r="D33" s="47"/>
      <c r="E33" s="47"/>
      <c r="F33" s="47"/>
      <c r="G33" s="47"/>
      <c r="H33" s="47"/>
      <c r="I33" s="47"/>
      <c r="J33" s="111"/>
      <c r="K33" s="46"/>
      <c r="M33" s="52"/>
      <c r="N33" s="121"/>
      <c r="O33" s="47"/>
      <c r="P33" s="111"/>
      <c r="Q33" s="111"/>
      <c r="R33" s="46"/>
      <c r="T33" s="91">
        <f t="shared" si="0"/>
        <v>0</v>
      </c>
      <c r="U33" s="50">
        <f t="shared" si="4"/>
        <v>0</v>
      </c>
      <c r="V33" s="50">
        <f t="shared" si="5"/>
        <v>0</v>
      </c>
    </row>
    <row r="34" spans="1:23" x14ac:dyDescent="0.25">
      <c r="A34" s="75">
        <f t="shared" si="1"/>
        <v>31</v>
      </c>
      <c r="B34" s="74" t="s">
        <v>18</v>
      </c>
      <c r="C34" s="47">
        <f>144+47</f>
        <v>191</v>
      </c>
      <c r="D34" s="47"/>
      <c r="E34" s="47"/>
      <c r="F34" s="47"/>
      <c r="G34" s="47"/>
      <c r="H34" s="47">
        <v>22</v>
      </c>
      <c r="I34" s="47"/>
      <c r="J34" s="111"/>
      <c r="K34" s="46">
        <v>1</v>
      </c>
      <c r="M34" s="52">
        <v>2</v>
      </c>
      <c r="N34" s="121"/>
      <c r="O34" s="47">
        <v>3</v>
      </c>
      <c r="P34" s="111"/>
      <c r="Q34" s="111"/>
      <c r="R34" s="46">
        <v>12</v>
      </c>
      <c r="T34" s="91">
        <f t="shared" si="0"/>
        <v>35</v>
      </c>
      <c r="U34" s="50">
        <f t="shared" si="4"/>
        <v>4739</v>
      </c>
      <c r="V34" s="50">
        <f t="shared" si="5"/>
        <v>197.45833333333334</v>
      </c>
    </row>
    <row r="35" spans="1:23" hidden="1" x14ac:dyDescent="0.25">
      <c r="A35" s="75">
        <f t="shared" si="1"/>
        <v>32</v>
      </c>
      <c r="B35" s="74" t="s">
        <v>26</v>
      </c>
      <c r="C35" s="47"/>
      <c r="D35" s="47"/>
      <c r="E35" s="47"/>
      <c r="F35" s="47"/>
      <c r="G35" s="47"/>
      <c r="H35" s="47"/>
      <c r="I35" s="47"/>
      <c r="J35" s="111"/>
      <c r="K35" s="46"/>
      <c r="M35" s="52"/>
      <c r="N35" s="121"/>
      <c r="O35" s="47"/>
      <c r="P35" s="111"/>
      <c r="Q35" s="111"/>
      <c r="R35" s="46"/>
      <c r="T35" s="91">
        <f t="shared" si="0"/>
        <v>0</v>
      </c>
      <c r="U35" s="50">
        <f t="shared" si="4"/>
        <v>0</v>
      </c>
      <c r="V35" s="50">
        <f t="shared" si="5"/>
        <v>0</v>
      </c>
    </row>
    <row r="36" spans="1:23" x14ac:dyDescent="0.25">
      <c r="A36" s="75">
        <f t="shared" si="1"/>
        <v>33</v>
      </c>
      <c r="B36" s="74" t="s">
        <v>19</v>
      </c>
      <c r="C36" s="47"/>
      <c r="D36" s="47"/>
      <c r="E36" s="47"/>
      <c r="F36" s="47"/>
      <c r="G36" s="47"/>
      <c r="H36" s="47"/>
      <c r="I36" s="47"/>
      <c r="J36" s="111"/>
      <c r="K36" s="46"/>
      <c r="M36" s="52"/>
      <c r="N36" s="121"/>
      <c r="O36" s="47"/>
      <c r="P36" s="111"/>
      <c r="Q36" s="111"/>
      <c r="R36" s="46"/>
      <c r="T36" s="91">
        <f t="shared" si="0"/>
        <v>0</v>
      </c>
      <c r="U36" s="50">
        <f t="shared" si="4"/>
        <v>0</v>
      </c>
      <c r="V36" s="50">
        <f t="shared" si="5"/>
        <v>0</v>
      </c>
    </row>
    <row r="37" spans="1:23" ht="19.5" thickBot="1" x14ac:dyDescent="0.3">
      <c r="A37" s="75">
        <f t="shared" si="1"/>
        <v>34</v>
      </c>
      <c r="B37" s="94" t="s">
        <v>20</v>
      </c>
      <c r="C37" s="95">
        <f>2376+70+6+2700</f>
        <v>5152</v>
      </c>
      <c r="D37" s="95"/>
      <c r="E37" s="95"/>
      <c r="F37" s="95"/>
      <c r="G37" s="95"/>
      <c r="H37" s="95">
        <v>2</v>
      </c>
      <c r="I37" s="95"/>
      <c r="J37" s="110">
        <v>4</v>
      </c>
      <c r="K37" s="96">
        <v>2</v>
      </c>
      <c r="L37" s="102"/>
      <c r="M37" s="103">
        <v>34</v>
      </c>
      <c r="N37" s="120"/>
      <c r="O37" s="97">
        <v>30</v>
      </c>
      <c r="P37" s="113"/>
      <c r="Q37" s="113">
        <v>110</v>
      </c>
      <c r="R37" s="98"/>
      <c r="S37" s="102"/>
      <c r="T37" s="104">
        <f t="shared" si="0"/>
        <v>8</v>
      </c>
      <c r="U37" s="104">
        <f>C37*6+M37*6+O37*6+Q37*6+T37</f>
        <v>31964</v>
      </c>
      <c r="V37" s="104">
        <f>U37/6</f>
        <v>5327.333333333333</v>
      </c>
      <c r="W37" s="123"/>
    </row>
    <row r="38" spans="1:23" x14ac:dyDescent="0.25">
      <c r="A38" s="75">
        <f t="shared" si="1"/>
        <v>35</v>
      </c>
      <c r="B38" s="73" t="s">
        <v>21</v>
      </c>
      <c r="C38" s="47">
        <v>10</v>
      </c>
      <c r="D38" s="47"/>
      <c r="E38" s="47"/>
      <c r="F38" s="47"/>
      <c r="G38" s="47"/>
      <c r="H38" s="47"/>
      <c r="I38" s="47"/>
      <c r="J38" s="111"/>
      <c r="K38" s="46"/>
      <c r="M38" s="52">
        <v>1</v>
      </c>
      <c r="N38" s="121"/>
      <c r="O38" s="47"/>
      <c r="P38" s="111"/>
      <c r="Q38" s="111"/>
      <c r="R38" s="46"/>
      <c r="T38" s="50">
        <f t="shared" si="0"/>
        <v>0</v>
      </c>
      <c r="U38" s="50">
        <f>C38*24+M38*24+O38*24+Q38*24+T38</f>
        <v>264</v>
      </c>
      <c r="V38" s="50">
        <f>U38/24</f>
        <v>11</v>
      </c>
    </row>
    <row r="39" spans="1:23" ht="19.5" thickBot="1" x14ac:dyDescent="0.3">
      <c r="A39" s="75">
        <f t="shared" si="1"/>
        <v>36</v>
      </c>
      <c r="B39" s="94" t="s">
        <v>22</v>
      </c>
      <c r="C39" s="95">
        <f>756+63</f>
        <v>819</v>
      </c>
      <c r="D39" s="95"/>
      <c r="E39" s="95"/>
      <c r="F39" s="95"/>
      <c r="G39" s="95"/>
      <c r="H39" s="95">
        <v>9</v>
      </c>
      <c r="I39" s="95"/>
      <c r="J39" s="110"/>
      <c r="K39" s="96">
        <v>15</v>
      </c>
      <c r="L39" s="102"/>
      <c r="M39" s="103"/>
      <c r="N39" s="120"/>
      <c r="O39" s="97"/>
      <c r="P39" s="113"/>
      <c r="Q39" s="113">
        <v>1</v>
      </c>
      <c r="R39" s="98">
        <v>12</v>
      </c>
      <c r="S39" s="102"/>
      <c r="T39" s="104">
        <f>H39+I39+J39+K39+N39+P39+R39</f>
        <v>36</v>
      </c>
      <c r="U39" s="104">
        <f>C39*24+M39*24+O39*24+Q39*24+T39</f>
        <v>19716</v>
      </c>
      <c r="V39" s="104">
        <f>U39/24</f>
        <v>821.5</v>
      </c>
    </row>
    <row r="40" spans="1:23" ht="19.5" thickBot="1" x14ac:dyDescent="0.3">
      <c r="A40" s="75">
        <f t="shared" si="1"/>
        <v>37</v>
      </c>
      <c r="B40" s="99" t="s">
        <v>23</v>
      </c>
      <c r="C40" s="100">
        <f>1728+86+45</f>
        <v>1859</v>
      </c>
      <c r="D40" s="100"/>
      <c r="E40" s="100"/>
      <c r="F40" s="100"/>
      <c r="G40" s="100"/>
      <c r="H40" s="100"/>
      <c r="I40" s="100"/>
      <c r="J40" s="112"/>
      <c r="K40" s="101"/>
      <c r="L40" s="105"/>
      <c r="M40" s="106">
        <v>10</v>
      </c>
      <c r="N40" s="122"/>
      <c r="O40" s="100">
        <v>10</v>
      </c>
      <c r="P40" s="112"/>
      <c r="Q40" s="112">
        <v>10</v>
      </c>
      <c r="R40" s="101"/>
      <c r="S40" s="105"/>
      <c r="T40" s="107">
        <f t="shared" si="0"/>
        <v>0</v>
      </c>
      <c r="U40" s="107">
        <f>C40*12+M40*12+O40*12+Q40*12+T40</f>
        <v>22668</v>
      </c>
      <c r="V40" s="107">
        <f>U40/12</f>
        <v>1889</v>
      </c>
    </row>
    <row r="41" spans="1:23" hidden="1" x14ac:dyDescent="0.25">
      <c r="A41" s="75">
        <f t="shared" si="1"/>
        <v>38</v>
      </c>
      <c r="B41" s="73" t="s">
        <v>31</v>
      </c>
      <c r="C41" s="47"/>
      <c r="D41" s="47"/>
      <c r="E41" s="47"/>
      <c r="F41" s="47"/>
      <c r="G41" s="47"/>
      <c r="H41" s="47"/>
      <c r="I41" s="47"/>
      <c r="J41" s="111"/>
      <c r="K41" s="46"/>
      <c r="M41" s="52"/>
      <c r="N41" s="121"/>
      <c r="O41" s="47"/>
      <c r="P41" s="111"/>
      <c r="Q41" s="111"/>
      <c r="R41" s="46"/>
      <c r="T41" s="50"/>
      <c r="U41" s="50"/>
      <c r="V41" s="50"/>
    </row>
    <row r="42" spans="1:23" ht="19.5" thickBot="1" x14ac:dyDescent="0.3">
      <c r="A42" s="75">
        <f t="shared" si="1"/>
        <v>39</v>
      </c>
      <c r="B42" s="94" t="s">
        <v>24</v>
      </c>
      <c r="C42" s="97">
        <f>6048+6048+8100+12+7128+1</f>
        <v>27337</v>
      </c>
      <c r="D42" s="97"/>
      <c r="E42" s="97"/>
      <c r="F42" s="97"/>
      <c r="G42" s="97"/>
      <c r="H42" s="97">
        <v>1</v>
      </c>
      <c r="I42" s="97">
        <v>6</v>
      </c>
      <c r="J42" s="113">
        <f>4*6+1</f>
        <v>25</v>
      </c>
      <c r="K42" s="98">
        <f>75*6+4</f>
        <v>454</v>
      </c>
      <c r="L42" s="102"/>
      <c r="M42" s="103">
        <v>216</v>
      </c>
      <c r="N42" s="120"/>
      <c r="O42" s="97">
        <v>272</v>
      </c>
      <c r="P42" s="113"/>
      <c r="Q42" s="113">
        <v>396</v>
      </c>
      <c r="R42" s="98"/>
      <c r="S42" s="102"/>
      <c r="T42" s="104">
        <f t="shared" ref="T42" si="6">H42+I42+J42+K42+N42+P42+R42</f>
        <v>486</v>
      </c>
      <c r="U42" s="104">
        <f>C42*6+M42*6+O42*6+Q42*6+T42</f>
        <v>169812</v>
      </c>
      <c r="V42" s="104">
        <f>U42/6</f>
        <v>28302</v>
      </c>
    </row>
    <row r="43" spans="1:23" hidden="1" x14ac:dyDescent="0.25">
      <c r="A43" s="75">
        <f t="shared" si="1"/>
        <v>40</v>
      </c>
      <c r="B43" s="73" t="s">
        <v>33</v>
      </c>
      <c r="C43" s="47"/>
      <c r="D43" s="47"/>
      <c r="E43" s="47"/>
      <c r="F43" s="47"/>
      <c r="G43" s="47"/>
      <c r="H43" s="47"/>
      <c r="I43" s="47"/>
      <c r="J43" s="111"/>
      <c r="K43" s="46"/>
      <c r="M43" s="52"/>
      <c r="N43" s="121"/>
      <c r="O43" s="47"/>
      <c r="P43" s="111"/>
      <c r="Q43" s="111"/>
      <c r="R43" s="46"/>
      <c r="T43" s="50"/>
      <c r="U43" s="50"/>
      <c r="V43" s="50"/>
    </row>
    <row r="44" spans="1:23" x14ac:dyDescent="0.25">
      <c r="A44" s="75">
        <f t="shared" si="1"/>
        <v>41</v>
      </c>
      <c r="B44" s="74" t="s">
        <v>25</v>
      </c>
      <c r="C44" s="47"/>
      <c r="D44" s="47"/>
      <c r="E44" s="47"/>
      <c r="F44" s="47"/>
      <c r="G44" s="47"/>
      <c r="H44" s="47"/>
      <c r="I44" s="47"/>
      <c r="J44" s="111"/>
      <c r="K44" s="46"/>
      <c r="M44" s="52"/>
      <c r="N44" s="121"/>
      <c r="O44" s="47"/>
      <c r="P44" s="111"/>
      <c r="Q44" s="111"/>
      <c r="R44" s="46"/>
      <c r="T44" s="50">
        <f t="shared" ref="T44:T53" si="7">H44+I44+J44+K44+N44+P44+R44</f>
        <v>0</v>
      </c>
      <c r="U44" s="50">
        <f>C44*24+M44*24+O44*24+Q44*24+T44</f>
        <v>0</v>
      </c>
      <c r="V44" s="50">
        <f>U44/24</f>
        <v>0</v>
      </c>
    </row>
    <row r="45" spans="1:23" x14ac:dyDescent="0.25">
      <c r="A45" s="75">
        <f t="shared" si="1"/>
        <v>42</v>
      </c>
      <c r="B45" s="74" t="s">
        <v>68</v>
      </c>
      <c r="C45" s="47"/>
      <c r="D45" s="47"/>
      <c r="E45" s="47"/>
      <c r="F45" s="47"/>
      <c r="G45" s="47"/>
      <c r="H45" s="47"/>
      <c r="I45" s="47"/>
      <c r="J45" s="111"/>
      <c r="K45" s="46"/>
      <c r="M45" s="52"/>
      <c r="N45" s="121"/>
      <c r="O45" s="47"/>
      <c r="P45" s="111"/>
      <c r="Q45" s="111"/>
      <c r="R45" s="46"/>
      <c r="T45" s="50">
        <f t="shared" si="7"/>
        <v>0</v>
      </c>
      <c r="U45" s="50">
        <f t="shared" ref="U45:U47" si="8">C45*24+M45*24+O45*24+Q45*24+T45</f>
        <v>0</v>
      </c>
      <c r="V45" s="50">
        <f t="shared" ref="V45:V53" si="9">U45/24</f>
        <v>0</v>
      </c>
    </row>
    <row r="46" spans="1:23" x14ac:dyDescent="0.25">
      <c r="A46" s="75">
        <f t="shared" si="1"/>
        <v>43</v>
      </c>
      <c r="B46" s="74" t="s">
        <v>73</v>
      </c>
      <c r="C46" s="47">
        <v>2</v>
      </c>
      <c r="D46" s="47"/>
      <c r="E46" s="47"/>
      <c r="F46" s="47"/>
      <c r="G46" s="47"/>
      <c r="H46" s="47"/>
      <c r="I46" s="47"/>
      <c r="J46" s="111"/>
      <c r="K46" s="46"/>
      <c r="M46" s="52"/>
      <c r="N46" s="121"/>
      <c r="O46" s="47"/>
      <c r="P46" s="111"/>
      <c r="Q46" s="111"/>
      <c r="R46" s="46"/>
      <c r="T46" s="50">
        <f t="shared" si="7"/>
        <v>0</v>
      </c>
      <c r="U46" s="50">
        <f t="shared" si="8"/>
        <v>48</v>
      </c>
      <c r="V46" s="50">
        <f t="shared" si="9"/>
        <v>2</v>
      </c>
    </row>
    <row r="47" spans="1:23" x14ac:dyDescent="0.25">
      <c r="A47" s="75">
        <f t="shared" si="1"/>
        <v>44</v>
      </c>
      <c r="B47" s="74" t="s">
        <v>83</v>
      </c>
      <c r="C47" s="47">
        <v>2</v>
      </c>
      <c r="D47" s="47"/>
      <c r="E47" s="47"/>
      <c r="F47" s="47"/>
      <c r="G47" s="47"/>
      <c r="H47" s="47"/>
      <c r="I47" s="47"/>
      <c r="J47" s="111"/>
      <c r="K47" s="46"/>
      <c r="M47" s="52"/>
      <c r="N47" s="121"/>
      <c r="O47" s="47"/>
      <c r="P47" s="111"/>
      <c r="Q47" s="111"/>
      <c r="R47" s="46"/>
      <c r="T47" s="50">
        <f t="shared" si="7"/>
        <v>0</v>
      </c>
      <c r="U47" s="50">
        <f t="shared" si="8"/>
        <v>48</v>
      </c>
      <c r="V47" s="50">
        <f t="shared" si="9"/>
        <v>2</v>
      </c>
    </row>
    <row r="48" spans="1:23" x14ac:dyDescent="0.25">
      <c r="A48" s="75">
        <f t="shared" si="1"/>
        <v>45</v>
      </c>
      <c r="B48" s="74" t="s">
        <v>26</v>
      </c>
      <c r="C48" s="47">
        <f>38+2268+55</f>
        <v>2361</v>
      </c>
      <c r="D48" s="47"/>
      <c r="E48" s="47"/>
      <c r="F48" s="47"/>
      <c r="G48" s="47"/>
      <c r="H48" s="47">
        <v>3</v>
      </c>
      <c r="I48" s="47"/>
      <c r="J48" s="111"/>
      <c r="K48" s="46">
        <v>6</v>
      </c>
      <c r="M48" s="52">
        <v>10</v>
      </c>
      <c r="N48" s="121"/>
      <c r="O48" s="47">
        <v>6</v>
      </c>
      <c r="P48" s="111">
        <v>2</v>
      </c>
      <c r="Q48" s="111">
        <v>10</v>
      </c>
      <c r="R48" s="46"/>
      <c r="T48" s="50">
        <f t="shared" si="7"/>
        <v>11</v>
      </c>
      <c r="U48" s="50">
        <f>C48*6+M48*6+O48*6+Q48*6+T48</f>
        <v>14333</v>
      </c>
      <c r="V48" s="50">
        <f>U48/6</f>
        <v>2388.8333333333335</v>
      </c>
    </row>
    <row r="49" spans="1:22" x14ac:dyDescent="0.25">
      <c r="A49" s="75">
        <f t="shared" si="1"/>
        <v>46</v>
      </c>
      <c r="B49" s="74" t="s">
        <v>69</v>
      </c>
      <c r="C49" s="47"/>
      <c r="D49" s="47"/>
      <c r="E49" s="47"/>
      <c r="F49" s="47"/>
      <c r="G49" s="47"/>
      <c r="H49" s="47"/>
      <c r="I49" s="47"/>
      <c r="J49" s="111"/>
      <c r="K49" s="46"/>
      <c r="M49" s="52"/>
      <c r="N49" s="121"/>
      <c r="O49" s="47"/>
      <c r="P49" s="111"/>
      <c r="Q49" s="111"/>
      <c r="R49" s="46"/>
      <c r="T49" s="50">
        <f t="shared" si="7"/>
        <v>0</v>
      </c>
      <c r="U49" s="50">
        <f t="shared" ref="U49:U51" si="10">C49*24+M49*24+O49*24+Q49*24+T49</f>
        <v>0</v>
      </c>
      <c r="V49" s="50">
        <f t="shared" si="9"/>
        <v>0</v>
      </c>
    </row>
    <row r="50" spans="1:22" x14ac:dyDescent="0.25">
      <c r="A50" s="75">
        <f t="shared" si="1"/>
        <v>47</v>
      </c>
      <c r="B50" s="74" t="s">
        <v>28</v>
      </c>
      <c r="C50" s="47"/>
      <c r="D50" s="47"/>
      <c r="E50" s="47"/>
      <c r="F50" s="47"/>
      <c r="G50" s="47"/>
      <c r="H50" s="47"/>
      <c r="I50" s="47"/>
      <c r="J50" s="111"/>
      <c r="K50" s="46"/>
      <c r="M50" s="52"/>
      <c r="N50" s="121"/>
      <c r="O50" s="47"/>
      <c r="P50" s="111"/>
      <c r="Q50" s="111"/>
      <c r="R50" s="46"/>
      <c r="T50" s="50">
        <f t="shared" si="7"/>
        <v>0</v>
      </c>
      <c r="U50" s="50">
        <f t="shared" si="10"/>
        <v>0</v>
      </c>
      <c r="V50" s="50">
        <f t="shared" si="9"/>
        <v>0</v>
      </c>
    </row>
    <row r="51" spans="1:22" x14ac:dyDescent="0.25">
      <c r="A51" s="75">
        <f t="shared" si="1"/>
        <v>48</v>
      </c>
      <c r="B51" s="74" t="s">
        <v>70</v>
      </c>
      <c r="C51" s="47"/>
      <c r="D51" s="47"/>
      <c r="E51" s="47"/>
      <c r="F51" s="47"/>
      <c r="G51" s="47"/>
      <c r="H51" s="47"/>
      <c r="I51" s="47"/>
      <c r="J51" s="111"/>
      <c r="K51" s="46"/>
      <c r="M51" s="52"/>
      <c r="N51" s="121"/>
      <c r="O51" s="47"/>
      <c r="P51" s="111"/>
      <c r="Q51" s="111"/>
      <c r="R51" s="46"/>
      <c r="T51" s="50">
        <f t="shared" si="7"/>
        <v>0</v>
      </c>
      <c r="U51" s="50">
        <f t="shared" si="10"/>
        <v>0</v>
      </c>
      <c r="V51" s="50">
        <f t="shared" si="9"/>
        <v>0</v>
      </c>
    </row>
    <row r="52" spans="1:22" x14ac:dyDescent="0.25">
      <c r="A52" s="75">
        <f t="shared" si="1"/>
        <v>49</v>
      </c>
      <c r="B52" s="74" t="s">
        <v>29</v>
      </c>
      <c r="C52" s="47">
        <v>34</v>
      </c>
      <c r="D52" s="47"/>
      <c r="E52" s="47"/>
      <c r="F52" s="47"/>
      <c r="G52" s="47"/>
      <c r="H52" s="47"/>
      <c r="I52" s="47"/>
      <c r="J52" s="111"/>
      <c r="K52" s="46"/>
      <c r="M52" s="52"/>
      <c r="N52" s="121"/>
      <c r="O52" s="47"/>
      <c r="P52" s="111"/>
      <c r="Q52" s="111"/>
      <c r="R52" s="46"/>
      <c r="T52" s="50">
        <f t="shared" si="7"/>
        <v>0</v>
      </c>
      <c r="U52" s="50">
        <f>C52*6+M52*6+O52*6+Q52*6+T52</f>
        <v>204</v>
      </c>
      <c r="V52" s="50">
        <f>U52/6</f>
        <v>34</v>
      </c>
    </row>
    <row r="53" spans="1:22" x14ac:dyDescent="0.25">
      <c r="A53" s="75">
        <f t="shared" si="1"/>
        <v>50</v>
      </c>
      <c r="B53" s="74" t="s">
        <v>30</v>
      </c>
      <c r="C53" s="47"/>
      <c r="D53" s="47"/>
      <c r="E53" s="47"/>
      <c r="F53" s="47"/>
      <c r="G53" s="47"/>
      <c r="H53" s="47"/>
      <c r="I53" s="47"/>
      <c r="J53" s="111"/>
      <c r="K53" s="46"/>
      <c r="M53" s="52"/>
      <c r="N53" s="121"/>
      <c r="O53" s="47"/>
      <c r="P53" s="111"/>
      <c r="Q53" s="111"/>
      <c r="R53" s="46"/>
      <c r="T53" s="50">
        <f t="shared" si="7"/>
        <v>0</v>
      </c>
      <c r="U53" s="50">
        <f t="shared" ref="U53" si="11">C53*24+M53*24+O53*24+Q53*24+T53</f>
        <v>0</v>
      </c>
      <c r="V53" s="50">
        <f t="shared" si="9"/>
        <v>0</v>
      </c>
    </row>
    <row r="54" spans="1:22" x14ac:dyDescent="0.25">
      <c r="A54" s="75">
        <f t="shared" si="1"/>
        <v>51</v>
      </c>
      <c r="B54" s="74"/>
      <c r="C54" s="47"/>
      <c r="D54" s="47"/>
      <c r="E54" s="47"/>
      <c r="F54" s="47"/>
      <c r="G54" s="47"/>
      <c r="H54" s="47"/>
      <c r="I54" s="47"/>
      <c r="J54" s="111"/>
      <c r="K54" s="46"/>
      <c r="M54" s="52"/>
      <c r="N54" s="121"/>
      <c r="O54" s="47"/>
      <c r="P54" s="111"/>
      <c r="Q54" s="111"/>
      <c r="R54" s="46"/>
      <c r="T54" s="50"/>
      <c r="U54" s="50"/>
      <c r="V54" s="50"/>
    </row>
    <row r="55" spans="1:22" x14ac:dyDescent="0.25">
      <c r="A55" s="75">
        <f t="shared" si="1"/>
        <v>52</v>
      </c>
      <c r="B55" s="74"/>
      <c r="C55" s="47"/>
      <c r="D55" s="47"/>
      <c r="E55" s="47"/>
      <c r="F55" s="47"/>
      <c r="G55" s="47"/>
      <c r="H55" s="47"/>
      <c r="I55" s="47"/>
      <c r="J55" s="111"/>
      <c r="K55" s="46"/>
      <c r="M55" s="52"/>
      <c r="N55" s="121"/>
      <c r="O55" s="47"/>
      <c r="P55" s="111"/>
      <c r="Q55" s="111"/>
      <c r="R55" s="46"/>
      <c r="T55" s="50"/>
      <c r="U55" s="50"/>
      <c r="V55" s="50"/>
    </row>
    <row r="56" spans="1:22" x14ac:dyDescent="0.25">
      <c r="A56" s="75">
        <f t="shared" si="1"/>
        <v>53</v>
      </c>
      <c r="B56" s="74"/>
      <c r="C56" s="47"/>
      <c r="D56" s="47"/>
      <c r="E56" s="47"/>
      <c r="F56" s="47"/>
      <c r="G56" s="47"/>
      <c r="H56" s="47"/>
      <c r="I56" s="47"/>
      <c r="J56" s="111"/>
      <c r="K56" s="46"/>
      <c r="M56" s="52"/>
      <c r="N56" s="121"/>
      <c r="O56" s="47"/>
      <c r="P56" s="111"/>
      <c r="Q56" s="111"/>
      <c r="R56" s="46"/>
      <c r="T56" s="50"/>
      <c r="U56" s="50"/>
      <c r="V56" s="50"/>
    </row>
    <row r="57" spans="1:22" s="63" customFormat="1" ht="19.5" thickBot="1" x14ac:dyDescent="0.3">
      <c r="B57" s="77" t="s">
        <v>60</v>
      </c>
      <c r="C57" s="49">
        <f>SUM(C7:C56)</f>
        <v>42113</v>
      </c>
      <c r="D57" s="49"/>
      <c r="E57" s="49"/>
      <c r="F57" s="49">
        <f t="shared" ref="F57:K57" si="12">SUM(F7:F56)</f>
        <v>0</v>
      </c>
      <c r="G57" s="49">
        <f t="shared" si="12"/>
        <v>0</v>
      </c>
      <c r="H57" s="49">
        <f t="shared" si="12"/>
        <v>98</v>
      </c>
      <c r="I57" s="54">
        <f t="shared" si="12"/>
        <v>8</v>
      </c>
      <c r="J57" s="54">
        <f t="shared" si="12"/>
        <v>29</v>
      </c>
      <c r="K57" s="54">
        <f t="shared" si="12"/>
        <v>486</v>
      </c>
      <c r="M57" s="53">
        <f t="shared" ref="M57:R57" si="13">SUM(M7:M56)</f>
        <v>296</v>
      </c>
      <c r="N57" s="53">
        <f t="shared" si="13"/>
        <v>20</v>
      </c>
      <c r="O57" s="53">
        <f t="shared" si="13"/>
        <v>345</v>
      </c>
      <c r="P57" s="53">
        <f t="shared" si="13"/>
        <v>8</v>
      </c>
      <c r="Q57" s="53">
        <f t="shared" si="13"/>
        <v>548</v>
      </c>
      <c r="R57" s="53">
        <f t="shared" si="13"/>
        <v>44</v>
      </c>
      <c r="S57" s="57"/>
      <c r="T57" s="51">
        <f>SUM(T7:T56)</f>
        <v>693</v>
      </c>
      <c r="U57" s="51">
        <f>SUM(U7:U56)</f>
        <v>369849</v>
      </c>
      <c r="V57" s="51">
        <f>SUM(V7:V56)</f>
        <v>43394</v>
      </c>
    </row>
    <row r="58" spans="1:22" ht="7.5" customHeight="1" thickBot="1" x14ac:dyDescent="0.3"/>
    <row r="59" spans="1:22" ht="19.5" thickBot="1" x14ac:dyDescent="0.3">
      <c r="B59" s="78" t="s">
        <v>39</v>
      </c>
      <c r="C59" s="191" t="s">
        <v>49</v>
      </c>
      <c r="D59" s="192"/>
      <c r="E59" s="192"/>
      <c r="F59" s="192"/>
      <c r="G59" s="192"/>
      <c r="H59" s="192"/>
      <c r="I59" s="192"/>
      <c r="J59" s="192"/>
      <c r="K59" s="193"/>
      <c r="U59" s="72" t="s">
        <v>62</v>
      </c>
    </row>
    <row r="60" spans="1:22" x14ac:dyDescent="0.25">
      <c r="B60" s="79" t="s">
        <v>18</v>
      </c>
      <c r="C60" s="67"/>
      <c r="D60" s="67"/>
      <c r="E60" s="67"/>
      <c r="F60" s="67"/>
      <c r="G60" s="67"/>
      <c r="H60" s="67"/>
      <c r="I60" s="67"/>
      <c r="J60" s="114"/>
      <c r="K60" s="68"/>
      <c r="U60" s="55"/>
    </row>
    <row r="61" spans="1:22" x14ac:dyDescent="0.25">
      <c r="B61" s="80" t="s">
        <v>55</v>
      </c>
      <c r="C61" s="48"/>
      <c r="D61" s="48"/>
      <c r="E61" s="48"/>
      <c r="F61" s="48"/>
      <c r="G61" s="48"/>
      <c r="H61" s="48"/>
      <c r="I61" s="48"/>
      <c r="J61" s="109"/>
      <c r="K61" s="69"/>
      <c r="U61" s="50"/>
    </row>
    <row r="62" spans="1:22" ht="19.5" thickBot="1" x14ac:dyDescent="0.3">
      <c r="B62" s="81" t="s">
        <v>54</v>
      </c>
      <c r="C62" s="70"/>
      <c r="D62" s="70"/>
      <c r="E62" s="70"/>
      <c r="F62" s="70"/>
      <c r="G62" s="70"/>
      <c r="H62" s="70"/>
      <c r="I62" s="70"/>
      <c r="J62" s="115"/>
      <c r="K62" s="71"/>
      <c r="U62" s="56"/>
    </row>
    <row r="63" spans="1:22" ht="7.5" customHeight="1" thickBot="1" x14ac:dyDescent="0.3"/>
    <row r="64" spans="1:22" x14ac:dyDescent="0.25">
      <c r="B64" s="79" t="s">
        <v>56</v>
      </c>
      <c r="C64" s="67"/>
      <c r="D64" s="67"/>
      <c r="E64" s="67"/>
      <c r="F64" s="67"/>
      <c r="G64" s="67"/>
      <c r="H64" s="67"/>
      <c r="I64" s="67"/>
      <c r="J64" s="114"/>
      <c r="K64" s="68"/>
      <c r="U64" s="55"/>
    </row>
    <row r="65" spans="2:21" x14ac:dyDescent="0.25">
      <c r="B65" s="80" t="s">
        <v>55</v>
      </c>
      <c r="C65" s="48"/>
      <c r="D65" s="48"/>
      <c r="E65" s="48"/>
      <c r="F65" s="48"/>
      <c r="G65" s="48"/>
      <c r="H65" s="48"/>
      <c r="I65" s="48"/>
      <c r="J65" s="109"/>
      <c r="K65" s="69"/>
      <c r="U65" s="50"/>
    </row>
    <row r="66" spans="2:21" ht="19.5" thickBot="1" x14ac:dyDescent="0.3">
      <c r="B66" s="81" t="s">
        <v>54</v>
      </c>
      <c r="C66" s="70"/>
      <c r="D66" s="70"/>
      <c r="E66" s="70"/>
      <c r="F66" s="70"/>
      <c r="G66" s="70"/>
      <c r="H66" s="70"/>
      <c r="I66" s="70"/>
      <c r="J66" s="115"/>
      <c r="K66" s="71"/>
      <c r="U66" s="56"/>
    </row>
    <row r="67" spans="2:21" ht="7.5" customHeight="1" thickBot="1" x14ac:dyDescent="0.3"/>
    <row r="68" spans="2:21" x14ac:dyDescent="0.25">
      <c r="B68" s="79" t="s">
        <v>41</v>
      </c>
      <c r="C68" s="67"/>
      <c r="D68" s="67"/>
      <c r="E68" s="67"/>
      <c r="F68" s="67"/>
      <c r="G68" s="67"/>
      <c r="H68" s="67"/>
      <c r="I68" s="67"/>
      <c r="J68" s="114"/>
      <c r="K68" s="68"/>
      <c r="U68" s="55"/>
    </row>
    <row r="69" spans="2:21" x14ac:dyDescent="0.25">
      <c r="B69" s="80" t="s">
        <v>55</v>
      </c>
      <c r="C69" s="48"/>
      <c r="D69" s="48"/>
      <c r="E69" s="48"/>
      <c r="F69" s="48"/>
      <c r="G69" s="48"/>
      <c r="H69" s="48"/>
      <c r="I69" s="48"/>
      <c r="J69" s="109"/>
      <c r="K69" s="69"/>
      <c r="U69" s="50"/>
    </row>
    <row r="70" spans="2:21" ht="19.5" thickBot="1" x14ac:dyDescent="0.3">
      <c r="B70" s="81" t="s">
        <v>54</v>
      </c>
      <c r="C70" s="70"/>
      <c r="D70" s="70"/>
      <c r="E70" s="70"/>
      <c r="F70" s="70"/>
      <c r="G70" s="70"/>
      <c r="H70" s="70"/>
      <c r="I70" s="70"/>
      <c r="J70" s="115"/>
      <c r="K70" s="71"/>
      <c r="U70" s="56"/>
    </row>
    <row r="71" spans="2:21" ht="7.5" customHeight="1" thickBot="1" x14ac:dyDescent="0.3"/>
    <row r="72" spans="2:21" x14ac:dyDescent="0.25">
      <c r="B72" s="79" t="s">
        <v>57</v>
      </c>
      <c r="C72" s="67"/>
      <c r="D72" s="67"/>
      <c r="E72" s="67"/>
      <c r="F72" s="67"/>
      <c r="G72" s="67"/>
      <c r="H72" s="67"/>
      <c r="I72" s="67"/>
      <c r="J72" s="114"/>
      <c r="K72" s="68"/>
      <c r="U72" s="55"/>
    </row>
    <row r="73" spans="2:21" x14ac:dyDescent="0.25">
      <c r="B73" s="80" t="s">
        <v>55</v>
      </c>
      <c r="C73" s="48"/>
      <c r="D73" s="48"/>
      <c r="E73" s="48"/>
      <c r="F73" s="48"/>
      <c r="G73" s="48"/>
      <c r="H73" s="48"/>
      <c r="I73" s="48"/>
      <c r="J73" s="109"/>
      <c r="K73" s="69"/>
      <c r="U73" s="50"/>
    </row>
    <row r="74" spans="2:21" ht="19.5" thickBot="1" x14ac:dyDescent="0.3">
      <c r="B74" s="81" t="s">
        <v>54</v>
      </c>
      <c r="C74" s="70"/>
      <c r="D74" s="70"/>
      <c r="E74" s="70"/>
      <c r="F74" s="70"/>
      <c r="G74" s="70"/>
      <c r="H74" s="70"/>
      <c r="I74" s="70"/>
      <c r="J74" s="115"/>
      <c r="K74" s="71"/>
      <c r="U74" s="56"/>
    </row>
    <row r="75" spans="2:21" ht="7.5" customHeight="1" thickBot="1" x14ac:dyDescent="0.3"/>
    <row r="76" spans="2:21" x14ac:dyDescent="0.25">
      <c r="B76" s="79" t="s">
        <v>58</v>
      </c>
      <c r="C76" s="67"/>
      <c r="D76" s="67"/>
      <c r="E76" s="67"/>
      <c r="F76" s="67"/>
      <c r="G76" s="67"/>
      <c r="H76" s="67"/>
      <c r="I76" s="67"/>
      <c r="J76" s="114"/>
      <c r="K76" s="68"/>
      <c r="U76" s="55"/>
    </row>
    <row r="77" spans="2:21" x14ac:dyDescent="0.25">
      <c r="B77" s="80" t="s">
        <v>55</v>
      </c>
      <c r="C77" s="48"/>
      <c r="D77" s="48"/>
      <c r="E77" s="48"/>
      <c r="F77" s="48"/>
      <c r="G77" s="48"/>
      <c r="H77" s="48"/>
      <c r="I77" s="48"/>
      <c r="J77" s="109"/>
      <c r="K77" s="69"/>
      <c r="U77" s="50"/>
    </row>
    <row r="78" spans="2:21" ht="19.5" thickBot="1" x14ac:dyDescent="0.3">
      <c r="B78" s="81" t="s">
        <v>54</v>
      </c>
      <c r="C78" s="70"/>
      <c r="D78" s="70"/>
      <c r="E78" s="70"/>
      <c r="F78" s="70"/>
      <c r="G78" s="70"/>
      <c r="H78" s="70"/>
      <c r="I78" s="70"/>
      <c r="J78" s="115"/>
      <c r="K78" s="71"/>
      <c r="U78" s="56"/>
    </row>
    <row r="79" spans="2:21" ht="7.5" customHeight="1" thickBot="1" x14ac:dyDescent="0.3"/>
    <row r="80" spans="2:21" ht="19.5" thickBot="1" x14ac:dyDescent="0.3">
      <c r="B80" s="78" t="s">
        <v>59</v>
      </c>
      <c r="C80" s="65"/>
      <c r="D80" s="65"/>
      <c r="E80" s="65"/>
      <c r="F80" s="65"/>
      <c r="G80" s="65"/>
      <c r="H80" s="65"/>
      <c r="I80" s="65"/>
      <c r="J80" s="116"/>
      <c r="K80" s="66"/>
      <c r="U80" s="64"/>
    </row>
  </sheetData>
  <mergeCells count="7">
    <mergeCell ref="V4:V5"/>
    <mergeCell ref="J5:K5"/>
    <mergeCell ref="C59:K59"/>
    <mergeCell ref="I1:U1"/>
    <mergeCell ref="C4:K4"/>
    <mergeCell ref="T4:T5"/>
    <mergeCell ref="U4:U5"/>
  </mergeCells>
  <printOptions horizontalCentered="1" verticalCentered="1"/>
  <pageMargins left="0.19685039370078741" right="0.19685039370078741" top="0.19685039370078741" bottom="0.19685039370078741" header="0.19685039370078741" footer="0.19685039370078741"/>
  <pageSetup paperSize="14" scale="70" orientation="portrait" horizontalDpi="360" verticalDpi="360" r:id="rId1"/>
  <colBreaks count="1" manualBreakCount="1">
    <brk id="24" max="80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5C7E0-B01A-41E9-95A0-4E4918AB2C96}">
  <sheetPr>
    <pageSetUpPr fitToPage="1"/>
  </sheetPr>
  <dimension ref="A1:BB80"/>
  <sheetViews>
    <sheetView zoomScaleNormal="100" zoomScaleSheetLayoutView="115" workbookViewId="0">
      <selection activeCell="B2" sqref="B2"/>
    </sheetView>
  </sheetViews>
  <sheetFormatPr defaultColWidth="9.140625" defaultRowHeight="18.75" x14ac:dyDescent="0.25"/>
  <cols>
    <col min="1" max="1" width="4.140625" style="57" bestFit="1" customWidth="1"/>
    <col min="2" max="2" width="12.28515625" style="76" customWidth="1"/>
    <col min="3" max="6" width="10" style="57" customWidth="1"/>
    <col min="7" max="7" width="6.85546875" style="57" customWidth="1"/>
    <col min="8" max="8" width="6.7109375" style="57" customWidth="1"/>
    <col min="9" max="9" width="5.5703125" style="57" bestFit="1" customWidth="1"/>
    <col min="10" max="10" width="6.85546875" style="57" customWidth="1"/>
    <col min="11" max="11" width="5.5703125" style="57" bestFit="1" customWidth="1"/>
    <col min="12" max="12" width="1.42578125" style="57" customWidth="1"/>
    <col min="13" max="13" width="10" style="57" customWidth="1"/>
    <col min="14" max="14" width="5.5703125" style="57" bestFit="1" customWidth="1"/>
    <col min="15" max="15" width="10" style="57" customWidth="1"/>
    <col min="16" max="16" width="5.5703125" style="57" customWidth="1"/>
    <col min="17" max="17" width="10" style="57" customWidth="1"/>
    <col min="18" max="18" width="5.5703125" style="57" bestFit="1" customWidth="1"/>
    <col min="19" max="19" width="1.42578125" style="57" customWidth="1"/>
    <col min="20" max="20" width="12.5703125" style="57" bestFit="1" customWidth="1"/>
    <col min="21" max="21" width="14.28515625" style="57" customWidth="1"/>
    <col min="22" max="22" width="19.42578125" style="57" bestFit="1" customWidth="1"/>
    <col min="23" max="49" width="7.28515625" style="57" customWidth="1"/>
    <col min="50" max="50" width="1.5703125" style="57" customWidth="1"/>
    <col min="51" max="51" width="9.42578125" style="57" customWidth="1"/>
    <col min="52" max="52" width="1.28515625" style="57" customWidth="1"/>
    <col min="53" max="53" width="12.7109375" style="57" bestFit="1" customWidth="1"/>
    <col min="54" max="54" width="10.28515625" style="57" bestFit="1" customWidth="1"/>
    <col min="55" max="16384" width="9.140625" style="57"/>
  </cols>
  <sheetData>
    <row r="1" spans="1:54" ht="15" customHeight="1" x14ac:dyDescent="0.25">
      <c r="B1" s="75" t="s">
        <v>51</v>
      </c>
      <c r="I1" s="194" t="s">
        <v>53</v>
      </c>
      <c r="J1" s="194"/>
      <c r="K1" s="194"/>
      <c r="L1" s="194"/>
      <c r="M1" s="194"/>
      <c r="N1" s="194"/>
      <c r="O1" s="194"/>
      <c r="P1" s="194"/>
      <c r="Q1" s="194"/>
      <c r="R1" s="194"/>
      <c r="S1" s="194"/>
      <c r="T1" s="194"/>
      <c r="U1" s="194"/>
    </row>
    <row r="2" spans="1:54" x14ac:dyDescent="0.25">
      <c r="B2" s="76" t="s">
        <v>86</v>
      </c>
    </row>
    <row r="3" spans="1:54" ht="19.5" thickBot="1" x14ac:dyDescent="0.3"/>
    <row r="4" spans="1:54" s="58" customFormat="1" ht="15.75" x14ac:dyDescent="0.25">
      <c r="B4" s="93" t="s">
        <v>63</v>
      </c>
      <c r="C4" s="189" t="s">
        <v>49</v>
      </c>
      <c r="D4" s="189"/>
      <c r="E4" s="189"/>
      <c r="F4" s="189"/>
      <c r="G4" s="189"/>
      <c r="H4" s="189"/>
      <c r="I4" s="189"/>
      <c r="J4" s="199"/>
      <c r="K4" s="190"/>
      <c r="M4" s="82" t="s">
        <v>0</v>
      </c>
      <c r="N4" s="117" t="s">
        <v>72</v>
      </c>
      <c r="O4" s="84" t="s">
        <v>45</v>
      </c>
      <c r="P4" s="117" t="s">
        <v>72</v>
      </c>
      <c r="Q4" s="85" t="s">
        <v>46</v>
      </c>
      <c r="R4" s="117" t="s">
        <v>72</v>
      </c>
      <c r="S4" s="57"/>
      <c r="T4" s="200" t="s">
        <v>80</v>
      </c>
      <c r="U4" s="202" t="s">
        <v>79</v>
      </c>
      <c r="V4" s="195" t="s">
        <v>78</v>
      </c>
      <c r="AF4" s="59"/>
      <c r="AG4" s="59"/>
      <c r="AH4" s="59"/>
      <c r="AI4" s="59"/>
      <c r="AJ4" s="59"/>
      <c r="AK4" s="59"/>
      <c r="AL4" s="59"/>
      <c r="AM4" s="59"/>
      <c r="AN4" s="59"/>
      <c r="AO4" s="59"/>
      <c r="AP4" s="59"/>
      <c r="AQ4" s="59"/>
      <c r="AR4" s="59"/>
      <c r="AS4" s="59"/>
      <c r="AT4" s="59"/>
      <c r="AU4" s="59"/>
      <c r="AV4" s="59"/>
      <c r="AW4" s="59"/>
      <c r="AX4" s="59"/>
      <c r="AY4" s="59"/>
      <c r="AZ4" s="59"/>
      <c r="BA4" s="59"/>
      <c r="BB4" s="59"/>
    </row>
    <row r="5" spans="1:54" s="58" customFormat="1" ht="15.75" x14ac:dyDescent="0.25">
      <c r="B5" s="87"/>
      <c r="C5" s="92"/>
      <c r="D5" s="92"/>
      <c r="E5" s="92"/>
      <c r="F5" s="92"/>
      <c r="G5" s="92"/>
      <c r="H5" s="92" t="s">
        <v>76</v>
      </c>
      <c r="I5" s="92" t="s">
        <v>71</v>
      </c>
      <c r="J5" s="197" t="s">
        <v>77</v>
      </c>
      <c r="K5" s="198"/>
      <c r="M5" s="87"/>
      <c r="N5" s="118"/>
      <c r="O5" s="92"/>
      <c r="P5" s="128"/>
      <c r="Q5" s="128"/>
      <c r="R5" s="89"/>
      <c r="S5" s="57"/>
      <c r="T5" s="201"/>
      <c r="U5" s="203"/>
      <c r="V5" s="196"/>
      <c r="AF5" s="59"/>
      <c r="AG5" s="59"/>
      <c r="AH5" s="59"/>
      <c r="AI5" s="59"/>
      <c r="AJ5" s="59"/>
      <c r="AK5" s="59"/>
      <c r="AL5" s="59"/>
      <c r="AM5" s="59"/>
      <c r="AN5" s="59"/>
      <c r="AO5" s="59"/>
      <c r="AP5" s="59"/>
      <c r="AQ5" s="59"/>
      <c r="AR5" s="59"/>
      <c r="AS5" s="59"/>
      <c r="AT5" s="59"/>
      <c r="AU5" s="59"/>
      <c r="AV5" s="59"/>
      <c r="AW5" s="59"/>
      <c r="AX5" s="59"/>
      <c r="AY5" s="59"/>
      <c r="AZ5" s="59"/>
      <c r="BA5" s="59"/>
      <c r="BB5" s="59"/>
    </row>
    <row r="6" spans="1:54" s="58" customFormat="1" ht="15.75" x14ac:dyDescent="0.25">
      <c r="B6" s="87"/>
      <c r="C6" s="92"/>
      <c r="D6" s="92"/>
      <c r="E6" s="92"/>
      <c r="F6" s="92"/>
      <c r="G6" s="92"/>
      <c r="H6" s="92"/>
      <c r="I6" s="92"/>
      <c r="J6" s="128"/>
      <c r="K6" s="89"/>
      <c r="M6" s="87"/>
      <c r="N6" s="118"/>
      <c r="O6" s="92"/>
      <c r="P6" s="128"/>
      <c r="Q6" s="128"/>
      <c r="R6" s="89"/>
      <c r="S6" s="57"/>
      <c r="T6" s="90"/>
      <c r="U6" s="90"/>
      <c r="V6" s="90"/>
      <c r="AF6" s="59"/>
      <c r="AG6" s="59"/>
      <c r="AH6" s="59"/>
      <c r="AI6" s="59"/>
      <c r="AJ6" s="59"/>
      <c r="AK6" s="59"/>
      <c r="AL6" s="59"/>
      <c r="AM6" s="59"/>
      <c r="AN6" s="59"/>
      <c r="AO6" s="59"/>
      <c r="AP6" s="59"/>
      <c r="AQ6" s="59"/>
      <c r="AR6" s="59"/>
      <c r="AS6" s="59"/>
      <c r="AT6" s="59"/>
      <c r="AU6" s="59"/>
      <c r="AV6" s="59"/>
      <c r="AW6" s="59"/>
      <c r="AX6" s="59"/>
      <c r="AY6" s="59"/>
      <c r="AZ6" s="59"/>
      <c r="BA6" s="59"/>
      <c r="BB6" s="59"/>
    </row>
    <row r="7" spans="1:54" x14ac:dyDescent="0.25">
      <c r="A7" s="75">
        <v>1</v>
      </c>
      <c r="B7" s="74" t="s">
        <v>34</v>
      </c>
      <c r="C7" s="48">
        <v>32</v>
      </c>
      <c r="D7" s="48"/>
      <c r="E7" s="48"/>
      <c r="F7" s="48"/>
      <c r="G7" s="48"/>
      <c r="H7" s="48">
        <v>17</v>
      </c>
      <c r="I7" s="48">
        <v>1</v>
      </c>
      <c r="J7" s="109"/>
      <c r="K7" s="69">
        <v>6</v>
      </c>
      <c r="M7" s="88">
        <v>6</v>
      </c>
      <c r="N7" s="119"/>
      <c r="O7" s="48">
        <v>3</v>
      </c>
      <c r="P7" s="109"/>
      <c r="Q7" s="109"/>
      <c r="R7" s="69"/>
      <c r="T7" s="91">
        <f>H7+I7+J7+K7+N7+P7+R7</f>
        <v>24</v>
      </c>
      <c r="U7" s="91">
        <f>C7*24+M7*24+O7*24+Q7*24+T7</f>
        <v>1008</v>
      </c>
      <c r="V7" s="91">
        <f>U7/24</f>
        <v>42</v>
      </c>
      <c r="W7" s="123"/>
      <c r="AF7" s="60"/>
      <c r="AG7" s="60"/>
      <c r="AH7" s="60"/>
      <c r="AI7" s="60"/>
      <c r="AJ7" s="60"/>
      <c r="AK7" s="60"/>
      <c r="AL7" s="60"/>
      <c r="AM7" s="60"/>
      <c r="AN7" s="60"/>
      <c r="AO7" s="60"/>
      <c r="AP7" s="60"/>
      <c r="AQ7" s="60"/>
      <c r="AR7" s="60"/>
      <c r="AS7" s="60"/>
      <c r="AT7" s="60"/>
      <c r="AU7" s="60"/>
      <c r="AV7" s="60"/>
      <c r="AW7" s="60"/>
      <c r="AX7" s="60"/>
      <c r="AY7" s="60"/>
      <c r="AZ7" s="60"/>
      <c r="BA7" s="60"/>
      <c r="BB7" s="60"/>
    </row>
    <row r="8" spans="1:54" ht="19.5" thickBot="1" x14ac:dyDescent="0.3">
      <c r="A8" s="75">
        <f>A7+1</f>
        <v>2</v>
      </c>
      <c r="B8" s="94" t="s">
        <v>37</v>
      </c>
      <c r="C8" s="95">
        <f>63+34</f>
        <v>97</v>
      </c>
      <c r="D8" s="95"/>
      <c r="E8" s="95"/>
      <c r="F8" s="95"/>
      <c r="G8" s="95"/>
      <c r="H8" s="95"/>
      <c r="I8" s="95"/>
      <c r="J8" s="110"/>
      <c r="K8" s="96"/>
      <c r="L8" s="102"/>
      <c r="M8" s="103">
        <v>10</v>
      </c>
      <c r="N8" s="120"/>
      <c r="O8" s="97"/>
      <c r="P8" s="113"/>
      <c r="Q8" s="113"/>
      <c r="R8" s="98"/>
      <c r="S8" s="102"/>
      <c r="T8" s="126">
        <f t="shared" ref="T8:T40" si="0">H8+I8+J8+K8+N8+P8+R8</f>
        <v>0</v>
      </c>
      <c r="U8" s="124">
        <f>C8*24+M8*24+O8*24+Q8*24+T8</f>
        <v>2568</v>
      </c>
      <c r="V8" s="124">
        <f>U8/24</f>
        <v>107</v>
      </c>
      <c r="W8" s="123"/>
      <c r="AF8" s="60"/>
      <c r="AG8" s="60"/>
      <c r="AH8" s="60"/>
      <c r="AI8" s="60"/>
      <c r="AJ8" s="60"/>
      <c r="AK8" s="60"/>
      <c r="AL8" s="60"/>
      <c r="AM8" s="60"/>
      <c r="AN8" s="60"/>
      <c r="AO8" s="60"/>
      <c r="AP8" s="60"/>
      <c r="AQ8" s="60"/>
      <c r="AR8" s="60"/>
      <c r="AS8" s="60"/>
      <c r="AT8" s="60"/>
      <c r="AU8" s="60"/>
      <c r="AV8" s="60"/>
      <c r="AW8" s="60"/>
      <c r="AX8" s="60"/>
      <c r="AY8" s="60"/>
      <c r="AZ8" s="60"/>
      <c r="BA8" s="60"/>
      <c r="BB8" s="60"/>
    </row>
    <row r="9" spans="1:54" x14ac:dyDescent="0.25">
      <c r="A9" s="75">
        <f t="shared" ref="A9:A56" si="1">A8+1</f>
        <v>3</v>
      </c>
      <c r="B9" s="73" t="s">
        <v>35</v>
      </c>
      <c r="C9" s="47"/>
      <c r="D9" s="47"/>
      <c r="E9" s="47"/>
      <c r="F9" s="47"/>
      <c r="G9" s="47"/>
      <c r="H9" s="47"/>
      <c r="I9" s="47"/>
      <c r="J9" s="111"/>
      <c r="K9" s="46"/>
      <c r="M9" s="52"/>
      <c r="N9" s="121"/>
      <c r="O9" s="47"/>
      <c r="P9" s="111"/>
      <c r="Q9" s="111"/>
      <c r="R9" s="46"/>
      <c r="T9" s="50">
        <f t="shared" si="0"/>
        <v>0</v>
      </c>
      <c r="U9" s="125">
        <f t="shared" ref="U9:U11" si="2">C9*24+M9*24+O9*24+Q9*24+T9</f>
        <v>0</v>
      </c>
      <c r="V9" s="125">
        <f t="shared" ref="V9:V11" si="3">U9/24</f>
        <v>0</v>
      </c>
      <c r="W9" s="123"/>
      <c r="AF9" s="60"/>
      <c r="AG9" s="60"/>
      <c r="AH9" s="60"/>
      <c r="AI9" s="60"/>
      <c r="AJ9" s="60"/>
      <c r="AK9" s="60"/>
      <c r="AL9" s="60"/>
      <c r="AM9" s="60"/>
      <c r="AN9" s="60"/>
      <c r="AO9" s="60"/>
      <c r="AP9" s="60"/>
      <c r="AQ9" s="60"/>
      <c r="AR9" s="60"/>
      <c r="AS9" s="60"/>
      <c r="AT9" s="60"/>
      <c r="AU9" s="60"/>
      <c r="AV9" s="60"/>
      <c r="AW9" s="60"/>
      <c r="AX9" s="60"/>
      <c r="AY9" s="60"/>
      <c r="AZ9" s="60"/>
      <c r="BA9" s="60"/>
      <c r="BB9" s="60"/>
    </row>
    <row r="10" spans="1:54" x14ac:dyDescent="0.25">
      <c r="A10" s="75">
        <f t="shared" si="1"/>
        <v>4</v>
      </c>
      <c r="B10" s="74" t="s">
        <v>38</v>
      </c>
      <c r="C10" s="47">
        <v>119</v>
      </c>
      <c r="D10" s="47"/>
      <c r="E10" s="47"/>
      <c r="F10" s="47"/>
      <c r="G10" s="47"/>
      <c r="H10" s="47"/>
      <c r="I10" s="47"/>
      <c r="J10" s="111"/>
      <c r="K10" s="46"/>
      <c r="M10" s="52">
        <v>5</v>
      </c>
      <c r="N10" s="121"/>
      <c r="O10" s="47"/>
      <c r="P10" s="111"/>
      <c r="Q10" s="111"/>
      <c r="R10" s="46"/>
      <c r="T10" s="91">
        <f t="shared" si="0"/>
        <v>0</v>
      </c>
      <c r="U10" s="91">
        <f t="shared" si="2"/>
        <v>2976</v>
      </c>
      <c r="V10" s="91">
        <f t="shared" si="3"/>
        <v>124</v>
      </c>
      <c r="W10" s="123"/>
      <c r="AF10" s="60"/>
      <c r="AG10" s="60"/>
      <c r="AH10" s="60"/>
      <c r="AI10" s="60"/>
      <c r="AJ10" s="60"/>
      <c r="AK10" s="60"/>
      <c r="AL10" s="60"/>
      <c r="AM10" s="60"/>
      <c r="AN10" s="60"/>
      <c r="AO10" s="60"/>
      <c r="AP10" s="60"/>
      <c r="AQ10" s="60"/>
      <c r="AR10" s="60"/>
      <c r="AS10" s="60"/>
      <c r="AT10" s="60"/>
      <c r="AU10" s="60"/>
      <c r="AV10" s="60"/>
      <c r="AW10" s="60"/>
      <c r="AX10" s="60"/>
      <c r="AY10" s="60"/>
      <c r="AZ10" s="60"/>
      <c r="BA10" s="60"/>
      <c r="BB10" s="60"/>
    </row>
    <row r="11" spans="1:54" x14ac:dyDescent="0.25">
      <c r="A11" s="75">
        <f t="shared" si="1"/>
        <v>5</v>
      </c>
      <c r="B11" s="74" t="s">
        <v>36</v>
      </c>
      <c r="C11" s="47"/>
      <c r="D11" s="47"/>
      <c r="E11" s="47"/>
      <c r="F11" s="47"/>
      <c r="G11" s="47"/>
      <c r="H11" s="47">
        <v>22</v>
      </c>
      <c r="I11" s="47"/>
      <c r="J11" s="111"/>
      <c r="K11" s="46">
        <v>2</v>
      </c>
      <c r="M11" s="52">
        <v>1</v>
      </c>
      <c r="N11" s="121"/>
      <c r="O11" s="47"/>
      <c r="P11" s="111"/>
      <c r="Q11" s="111"/>
      <c r="R11" s="46"/>
      <c r="T11" s="91">
        <f t="shared" si="0"/>
        <v>24</v>
      </c>
      <c r="U11" s="91">
        <f t="shared" si="2"/>
        <v>48</v>
      </c>
      <c r="V11" s="91">
        <f t="shared" si="3"/>
        <v>2</v>
      </c>
      <c r="AF11" s="60"/>
      <c r="AG11" s="60"/>
      <c r="AH11" s="60"/>
      <c r="AI11" s="60"/>
      <c r="AJ11" s="60"/>
      <c r="AK11" s="60"/>
      <c r="AL11" s="60"/>
      <c r="AM11" s="60"/>
      <c r="AN11" s="60"/>
      <c r="AO11" s="60"/>
      <c r="AP11" s="60"/>
      <c r="AQ11" s="60"/>
      <c r="AR11" s="60"/>
      <c r="AS11" s="60"/>
      <c r="AT11" s="60"/>
      <c r="AU11" s="60"/>
      <c r="AV11" s="60"/>
      <c r="AW11" s="60"/>
      <c r="AX11" s="60"/>
      <c r="AY11" s="60"/>
      <c r="AZ11" s="60"/>
      <c r="BA11" s="60"/>
      <c r="BB11" s="60"/>
    </row>
    <row r="12" spans="1:54" s="61" customFormat="1" ht="19.5" thickBot="1" x14ac:dyDescent="0.3">
      <c r="A12" s="75">
        <v>7</v>
      </c>
      <c r="B12" s="94" t="s">
        <v>32</v>
      </c>
      <c r="C12" s="95">
        <f>72+1584+576+1440+70</f>
        <v>3742</v>
      </c>
      <c r="D12" s="95"/>
      <c r="E12" s="95"/>
      <c r="F12" s="95"/>
      <c r="G12" s="95"/>
      <c r="H12" s="95"/>
      <c r="I12" s="95"/>
      <c r="J12" s="110"/>
      <c r="K12" s="96"/>
      <c r="L12" s="102"/>
      <c r="M12" s="103">
        <v>8</v>
      </c>
      <c r="N12" s="120">
        <v>14</v>
      </c>
      <c r="O12" s="97">
        <v>9</v>
      </c>
      <c r="P12" s="113">
        <v>4</v>
      </c>
      <c r="Q12" s="113">
        <v>2</v>
      </c>
      <c r="R12" s="98">
        <v>11</v>
      </c>
      <c r="S12" s="102"/>
      <c r="T12" s="91">
        <f t="shared" si="0"/>
        <v>29</v>
      </c>
      <c r="U12" s="124">
        <f>C12*24+M12*24+O12*24+Q12*24+T12</f>
        <v>90293</v>
      </c>
      <c r="V12" s="124">
        <f>U12/24</f>
        <v>3762.2083333333335</v>
      </c>
      <c r="W12" s="57"/>
      <c r="X12" s="57"/>
      <c r="Y12" s="57"/>
      <c r="Z12" s="57"/>
      <c r="AA12" s="57"/>
      <c r="AB12" s="57"/>
      <c r="AC12" s="57"/>
      <c r="AD12" s="57"/>
      <c r="AE12" s="57"/>
      <c r="AF12" s="60"/>
      <c r="AG12" s="60"/>
      <c r="AH12" s="60"/>
      <c r="AI12" s="60"/>
      <c r="AJ12" s="60"/>
      <c r="AK12" s="60"/>
      <c r="AL12" s="60"/>
      <c r="AM12" s="60"/>
      <c r="AN12" s="60"/>
      <c r="AO12" s="60"/>
      <c r="AP12" s="60"/>
      <c r="AQ12" s="60"/>
      <c r="AR12" s="60"/>
      <c r="AS12" s="60"/>
      <c r="AT12" s="60"/>
      <c r="AU12" s="60"/>
      <c r="AV12" s="60"/>
      <c r="AW12" s="60"/>
      <c r="AX12" s="60"/>
      <c r="AY12" s="60"/>
      <c r="AZ12" s="60"/>
      <c r="BA12" s="60"/>
      <c r="BB12" s="60"/>
    </row>
    <row r="13" spans="1:54" x14ac:dyDescent="0.25">
      <c r="A13" s="75">
        <v>11</v>
      </c>
      <c r="B13" s="73" t="s">
        <v>1</v>
      </c>
      <c r="C13" s="47">
        <v>5</v>
      </c>
      <c r="D13" s="47"/>
      <c r="E13" s="47"/>
      <c r="F13" s="47"/>
      <c r="G13" s="47"/>
      <c r="H13" s="47"/>
      <c r="I13" s="47"/>
      <c r="J13" s="111"/>
      <c r="K13" s="46"/>
      <c r="M13" s="52"/>
      <c r="N13" s="121"/>
      <c r="O13" s="47"/>
      <c r="P13" s="111"/>
      <c r="Q13" s="111"/>
      <c r="R13" s="46"/>
      <c r="T13" s="91">
        <f t="shared" si="0"/>
        <v>0</v>
      </c>
      <c r="U13" s="125">
        <f>C13*24+M13*24+O13*24+Q13*24+T13</f>
        <v>120</v>
      </c>
      <c r="V13" s="125">
        <f>U13/24</f>
        <v>5</v>
      </c>
      <c r="AF13" s="60"/>
      <c r="AG13" s="60"/>
      <c r="AH13" s="60"/>
      <c r="AI13" s="60"/>
      <c r="AJ13" s="60"/>
      <c r="AK13" s="60"/>
      <c r="AL13" s="60"/>
      <c r="AM13" s="60"/>
      <c r="AN13" s="60"/>
      <c r="AO13" s="60"/>
      <c r="AP13" s="60"/>
      <c r="AQ13" s="60"/>
      <c r="AR13" s="60"/>
      <c r="AS13" s="60"/>
      <c r="AT13" s="60"/>
      <c r="AU13" s="60"/>
      <c r="AV13" s="60"/>
      <c r="AW13" s="60"/>
      <c r="AX13" s="60"/>
      <c r="AY13" s="60"/>
      <c r="AZ13" s="60"/>
      <c r="BA13" s="60"/>
      <c r="BB13" s="60"/>
    </row>
    <row r="14" spans="1:54" x14ac:dyDescent="0.25">
      <c r="A14" s="75">
        <f t="shared" si="1"/>
        <v>12</v>
      </c>
      <c r="B14" s="74" t="s">
        <v>2</v>
      </c>
      <c r="C14" s="47"/>
      <c r="D14" s="47"/>
      <c r="E14" s="47"/>
      <c r="F14" s="47"/>
      <c r="G14" s="47"/>
      <c r="H14" s="47"/>
      <c r="I14" s="47"/>
      <c r="J14" s="111"/>
      <c r="K14" s="46"/>
      <c r="M14" s="52"/>
      <c r="N14" s="121"/>
      <c r="O14" s="47"/>
      <c r="P14" s="111"/>
      <c r="Q14" s="111"/>
      <c r="R14" s="46"/>
      <c r="T14" s="91">
        <f t="shared" si="0"/>
        <v>0</v>
      </c>
      <c r="U14" s="50">
        <f t="shared" ref="U14:U36" si="4">C14*24+M14*24+O14*24+Q14*24+T14</f>
        <v>0</v>
      </c>
      <c r="V14" s="50">
        <f t="shared" ref="V14:V36" si="5">U14/24</f>
        <v>0</v>
      </c>
      <c r="AF14" s="60"/>
      <c r="AG14" s="60"/>
      <c r="AH14" s="60"/>
      <c r="AI14" s="60"/>
      <c r="AJ14" s="60"/>
      <c r="AK14" s="60"/>
      <c r="AL14" s="60"/>
      <c r="AM14" s="60"/>
      <c r="AN14" s="60"/>
      <c r="AO14" s="60"/>
      <c r="AP14" s="60"/>
      <c r="AQ14" s="60"/>
      <c r="AR14" s="60"/>
      <c r="AS14" s="60"/>
      <c r="AT14" s="60"/>
      <c r="AU14" s="60"/>
      <c r="AV14" s="60"/>
      <c r="AW14" s="60"/>
      <c r="AX14" s="60"/>
      <c r="AY14" s="60"/>
      <c r="AZ14" s="60"/>
      <c r="BA14" s="60"/>
      <c r="BB14" s="60"/>
    </row>
    <row r="15" spans="1:54" x14ac:dyDescent="0.25">
      <c r="A15" s="75">
        <f t="shared" si="1"/>
        <v>13</v>
      </c>
      <c r="B15" s="74" t="s">
        <v>3</v>
      </c>
      <c r="C15" s="47"/>
      <c r="D15" s="47"/>
      <c r="E15" s="47"/>
      <c r="F15" s="47"/>
      <c r="G15" s="47"/>
      <c r="H15" s="47"/>
      <c r="I15" s="47"/>
      <c r="J15" s="111"/>
      <c r="K15" s="46"/>
      <c r="M15" s="52"/>
      <c r="N15" s="121"/>
      <c r="O15" s="47"/>
      <c r="P15" s="111"/>
      <c r="Q15" s="111"/>
      <c r="R15" s="46"/>
      <c r="T15" s="91">
        <f t="shared" si="0"/>
        <v>0</v>
      </c>
      <c r="U15" s="50">
        <f t="shared" si="4"/>
        <v>0</v>
      </c>
      <c r="V15" s="50">
        <f t="shared" si="5"/>
        <v>0</v>
      </c>
      <c r="AF15" s="60"/>
      <c r="AG15" s="60"/>
      <c r="AH15" s="60"/>
      <c r="AI15" s="60"/>
      <c r="AJ15" s="60"/>
      <c r="AK15" s="60"/>
      <c r="AL15" s="60"/>
      <c r="AM15" s="60"/>
      <c r="AN15" s="60"/>
      <c r="AO15" s="60"/>
      <c r="AP15" s="60"/>
      <c r="AQ15" s="60"/>
      <c r="AR15" s="60"/>
      <c r="AS15" s="60"/>
      <c r="AT15" s="60"/>
      <c r="AU15" s="60"/>
      <c r="AV15" s="60"/>
      <c r="AW15" s="60"/>
      <c r="AX15" s="60"/>
      <c r="AY15" s="60"/>
      <c r="AZ15" s="60"/>
      <c r="BA15" s="60"/>
      <c r="BB15" s="60"/>
    </row>
    <row r="16" spans="1:54" x14ac:dyDescent="0.25">
      <c r="A16" s="75">
        <f t="shared" si="1"/>
        <v>14</v>
      </c>
      <c r="B16" s="74" t="s">
        <v>4</v>
      </c>
      <c r="C16" s="47"/>
      <c r="D16" s="47"/>
      <c r="E16" s="47"/>
      <c r="F16" s="47"/>
      <c r="G16" s="47"/>
      <c r="H16" s="47"/>
      <c r="I16" s="47"/>
      <c r="J16" s="111"/>
      <c r="K16" s="46"/>
      <c r="M16" s="52"/>
      <c r="N16" s="121"/>
      <c r="O16" s="47"/>
      <c r="P16" s="111"/>
      <c r="Q16" s="111"/>
      <c r="R16" s="46"/>
      <c r="T16" s="91">
        <f t="shared" si="0"/>
        <v>0</v>
      </c>
      <c r="U16" s="50">
        <f t="shared" si="4"/>
        <v>0</v>
      </c>
      <c r="V16" s="50">
        <f t="shared" si="5"/>
        <v>0</v>
      </c>
      <c r="AF16" s="60"/>
      <c r="AG16" s="60"/>
      <c r="AH16" s="60"/>
      <c r="AI16" s="60"/>
      <c r="AJ16" s="60"/>
      <c r="AK16" s="60"/>
      <c r="AL16" s="60"/>
      <c r="AM16" s="60"/>
      <c r="AN16" s="60"/>
      <c r="AO16" s="60"/>
      <c r="AP16" s="60"/>
      <c r="AQ16" s="60"/>
      <c r="AR16" s="60"/>
      <c r="AS16" s="60"/>
      <c r="AT16" s="60"/>
      <c r="AU16" s="60"/>
      <c r="AV16" s="60"/>
      <c r="AW16" s="60"/>
      <c r="AX16" s="60"/>
      <c r="AY16" s="60"/>
      <c r="AZ16" s="60"/>
      <c r="BA16" s="60"/>
      <c r="BB16" s="60"/>
    </row>
    <row r="17" spans="1:54" x14ac:dyDescent="0.25">
      <c r="A17" s="75">
        <f t="shared" si="1"/>
        <v>15</v>
      </c>
      <c r="B17" s="74" t="s">
        <v>5</v>
      </c>
      <c r="C17" s="47">
        <v>4</v>
      </c>
      <c r="D17" s="47"/>
      <c r="E17" s="47"/>
      <c r="F17" s="47"/>
      <c r="G17" s="47"/>
      <c r="H17" s="47"/>
      <c r="I17" s="47"/>
      <c r="J17" s="111"/>
      <c r="K17" s="46"/>
      <c r="M17" s="52">
        <v>1</v>
      </c>
      <c r="N17" s="121"/>
      <c r="O17" s="47"/>
      <c r="P17" s="111"/>
      <c r="Q17" s="111"/>
      <c r="R17" s="46"/>
      <c r="T17" s="91">
        <f t="shared" si="0"/>
        <v>0</v>
      </c>
      <c r="U17" s="50">
        <f t="shared" si="4"/>
        <v>120</v>
      </c>
      <c r="V17" s="50">
        <f t="shared" si="5"/>
        <v>5</v>
      </c>
      <c r="AF17" s="60"/>
      <c r="AG17" s="60"/>
      <c r="AH17" s="60"/>
      <c r="AI17" s="60"/>
      <c r="AJ17" s="60"/>
      <c r="AK17" s="60"/>
      <c r="AL17" s="60"/>
      <c r="AM17" s="60"/>
      <c r="AN17" s="60"/>
      <c r="AO17" s="60"/>
      <c r="AP17" s="60"/>
      <c r="AQ17" s="60"/>
      <c r="AR17" s="60"/>
      <c r="AS17" s="60"/>
      <c r="AT17" s="60"/>
      <c r="AU17" s="60"/>
      <c r="AV17" s="60"/>
      <c r="AW17" s="60"/>
      <c r="AX17" s="60"/>
      <c r="AY17" s="60"/>
      <c r="AZ17" s="60"/>
      <c r="BA17" s="60"/>
      <c r="BB17" s="60"/>
    </row>
    <row r="18" spans="1:54" hidden="1" x14ac:dyDescent="0.25">
      <c r="A18" s="75">
        <f t="shared" si="1"/>
        <v>16</v>
      </c>
      <c r="B18" s="74" t="s">
        <v>10</v>
      </c>
      <c r="C18" s="47"/>
      <c r="D18" s="47"/>
      <c r="E18" s="47"/>
      <c r="F18" s="47"/>
      <c r="G18" s="47"/>
      <c r="H18" s="47"/>
      <c r="I18" s="47"/>
      <c r="J18" s="111"/>
      <c r="K18" s="46"/>
      <c r="M18" s="52"/>
      <c r="N18" s="121"/>
      <c r="O18" s="47"/>
      <c r="P18" s="111"/>
      <c r="Q18" s="111"/>
      <c r="R18" s="46"/>
      <c r="T18" s="91">
        <f t="shared" si="0"/>
        <v>0</v>
      </c>
      <c r="U18" s="50">
        <f t="shared" si="4"/>
        <v>0</v>
      </c>
      <c r="V18" s="50">
        <f t="shared" si="5"/>
        <v>0</v>
      </c>
      <c r="AF18" s="60"/>
      <c r="AG18" s="60"/>
      <c r="AH18" s="60"/>
      <c r="AI18" s="60"/>
      <c r="AJ18" s="60"/>
      <c r="AK18" s="60"/>
      <c r="AL18" s="60"/>
      <c r="AM18" s="60"/>
      <c r="AN18" s="60"/>
      <c r="AO18" s="60"/>
      <c r="AP18" s="60"/>
      <c r="AQ18" s="60"/>
      <c r="AR18" s="60"/>
      <c r="AS18" s="60"/>
      <c r="AT18" s="60"/>
      <c r="AU18" s="60"/>
      <c r="AV18" s="60"/>
      <c r="AW18" s="60"/>
      <c r="AX18" s="60"/>
      <c r="AY18" s="60"/>
      <c r="AZ18" s="60"/>
      <c r="BA18" s="60"/>
      <c r="BB18" s="60"/>
    </row>
    <row r="19" spans="1:54" x14ac:dyDescent="0.25">
      <c r="A19" s="75">
        <v>16</v>
      </c>
      <c r="B19" s="74" t="s">
        <v>64</v>
      </c>
      <c r="C19" s="47">
        <v>4</v>
      </c>
      <c r="D19" s="47"/>
      <c r="E19" s="47"/>
      <c r="F19" s="47"/>
      <c r="G19" s="47"/>
      <c r="H19" s="47"/>
      <c r="I19" s="47"/>
      <c r="J19" s="111"/>
      <c r="K19" s="46"/>
      <c r="M19" s="52"/>
      <c r="N19" s="121"/>
      <c r="O19" s="47"/>
      <c r="P19" s="111"/>
      <c r="Q19" s="111"/>
      <c r="R19" s="46"/>
      <c r="T19" s="91">
        <f t="shared" si="0"/>
        <v>0</v>
      </c>
      <c r="U19" s="50">
        <f t="shared" si="4"/>
        <v>96</v>
      </c>
      <c r="V19" s="50">
        <f t="shared" si="5"/>
        <v>4</v>
      </c>
      <c r="AF19" s="60"/>
      <c r="AG19" s="60"/>
      <c r="AH19" s="60"/>
      <c r="AI19" s="60"/>
      <c r="AJ19" s="60"/>
      <c r="AK19" s="60"/>
      <c r="AL19" s="60"/>
      <c r="AM19" s="60"/>
      <c r="AN19" s="60"/>
      <c r="AO19" s="60"/>
      <c r="AP19" s="60"/>
      <c r="AQ19" s="60"/>
      <c r="AR19" s="60"/>
      <c r="AS19" s="60"/>
      <c r="AT19" s="60"/>
      <c r="AU19" s="60"/>
      <c r="AV19" s="60"/>
      <c r="AW19" s="60"/>
      <c r="AX19" s="60"/>
      <c r="AY19" s="60"/>
      <c r="AZ19" s="60"/>
      <c r="BA19" s="60"/>
      <c r="BB19" s="60"/>
    </row>
    <row r="20" spans="1:54" x14ac:dyDescent="0.25">
      <c r="A20" s="75">
        <f t="shared" si="1"/>
        <v>17</v>
      </c>
      <c r="B20" s="74" t="s">
        <v>6</v>
      </c>
      <c r="C20" s="47">
        <v>6</v>
      </c>
      <c r="D20" s="47"/>
      <c r="E20" s="47"/>
      <c r="F20" s="47"/>
      <c r="G20" s="47"/>
      <c r="H20" s="47"/>
      <c r="I20" s="47"/>
      <c r="J20" s="111"/>
      <c r="K20" s="46"/>
      <c r="M20" s="52"/>
      <c r="N20" s="121"/>
      <c r="O20" s="47"/>
      <c r="P20" s="111"/>
      <c r="Q20" s="111"/>
      <c r="R20" s="46"/>
      <c r="T20" s="91">
        <f t="shared" si="0"/>
        <v>0</v>
      </c>
      <c r="U20" s="50">
        <f t="shared" si="4"/>
        <v>144</v>
      </c>
      <c r="V20" s="50">
        <f t="shared" si="5"/>
        <v>6</v>
      </c>
      <c r="AF20" s="60"/>
      <c r="AG20" s="60"/>
      <c r="AH20" s="60"/>
      <c r="AI20" s="60"/>
      <c r="AJ20" s="60"/>
      <c r="AK20" s="60"/>
      <c r="AL20" s="60"/>
      <c r="AM20" s="60"/>
      <c r="AN20" s="60"/>
      <c r="AO20" s="60"/>
      <c r="AP20" s="60"/>
      <c r="AQ20" s="60"/>
      <c r="AR20" s="60"/>
      <c r="AS20" s="60"/>
      <c r="AT20" s="60"/>
      <c r="AU20" s="60"/>
      <c r="AV20" s="60"/>
      <c r="AW20" s="60"/>
      <c r="AX20" s="60"/>
      <c r="AY20" s="60"/>
      <c r="AZ20" s="60"/>
      <c r="BA20" s="60"/>
      <c r="BB20" s="60"/>
    </row>
    <row r="21" spans="1:54" x14ac:dyDescent="0.25">
      <c r="A21" s="75">
        <f t="shared" si="1"/>
        <v>18</v>
      </c>
      <c r="B21" s="74" t="s">
        <v>7</v>
      </c>
      <c r="C21" s="47">
        <v>4</v>
      </c>
      <c r="D21" s="47"/>
      <c r="E21" s="47"/>
      <c r="F21" s="47"/>
      <c r="G21" s="47"/>
      <c r="H21" s="47"/>
      <c r="I21" s="47"/>
      <c r="J21" s="111"/>
      <c r="K21" s="46"/>
      <c r="M21" s="52"/>
      <c r="N21" s="121"/>
      <c r="O21" s="47"/>
      <c r="P21" s="111"/>
      <c r="Q21" s="111"/>
      <c r="R21" s="46"/>
      <c r="T21" s="91">
        <f t="shared" si="0"/>
        <v>0</v>
      </c>
      <c r="U21" s="50">
        <f t="shared" si="4"/>
        <v>96</v>
      </c>
      <c r="V21" s="50">
        <f t="shared" si="5"/>
        <v>4</v>
      </c>
      <c r="AF21" s="60"/>
      <c r="AG21" s="60"/>
      <c r="AH21" s="60"/>
      <c r="AI21" s="60"/>
      <c r="AJ21" s="60"/>
      <c r="AK21" s="60"/>
      <c r="AL21" s="60"/>
      <c r="AM21" s="60"/>
      <c r="AN21" s="60"/>
      <c r="AO21" s="60"/>
      <c r="AP21" s="60"/>
      <c r="AQ21" s="60"/>
      <c r="AR21" s="60"/>
      <c r="AS21" s="60"/>
      <c r="AT21" s="60"/>
      <c r="AU21" s="60"/>
      <c r="AV21" s="60"/>
      <c r="AW21" s="60"/>
      <c r="AX21" s="60"/>
      <c r="AY21" s="60"/>
      <c r="AZ21" s="60"/>
      <c r="BA21" s="60"/>
      <c r="BB21" s="60"/>
    </row>
    <row r="22" spans="1:54" s="61" customFormat="1" x14ac:dyDescent="0.25">
      <c r="A22" s="75">
        <f t="shared" si="1"/>
        <v>19</v>
      </c>
      <c r="B22" s="74" t="s">
        <v>65</v>
      </c>
      <c r="C22" s="47">
        <v>2</v>
      </c>
      <c r="D22" s="47"/>
      <c r="E22" s="47"/>
      <c r="F22" s="47"/>
      <c r="G22" s="47"/>
      <c r="H22" s="47"/>
      <c r="I22" s="47"/>
      <c r="J22" s="111"/>
      <c r="K22" s="46"/>
      <c r="L22" s="57"/>
      <c r="M22" s="52">
        <v>1</v>
      </c>
      <c r="N22" s="121"/>
      <c r="O22" s="47"/>
      <c r="P22" s="111"/>
      <c r="Q22" s="111"/>
      <c r="R22" s="46"/>
      <c r="S22" s="57"/>
      <c r="T22" s="91">
        <f t="shared" si="0"/>
        <v>0</v>
      </c>
      <c r="U22" s="50">
        <f t="shared" si="4"/>
        <v>72</v>
      </c>
      <c r="V22" s="50">
        <f t="shared" si="5"/>
        <v>3</v>
      </c>
      <c r="W22" s="57"/>
      <c r="X22" s="57"/>
      <c r="Y22" s="57"/>
      <c r="Z22" s="57"/>
      <c r="AA22" s="57"/>
      <c r="AB22" s="57"/>
      <c r="AC22" s="57"/>
      <c r="AD22" s="57"/>
      <c r="AE22" s="57"/>
      <c r="AF22" s="60"/>
      <c r="AG22" s="60"/>
      <c r="AH22" s="60"/>
      <c r="AI22" s="60"/>
      <c r="AJ22" s="60"/>
      <c r="AK22" s="60"/>
      <c r="AL22" s="60"/>
      <c r="AM22" s="60"/>
      <c r="AN22" s="60"/>
      <c r="AO22" s="60"/>
      <c r="AP22" s="60"/>
      <c r="AQ22" s="60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</row>
    <row r="23" spans="1:54" s="61" customFormat="1" x14ac:dyDescent="0.25">
      <c r="A23" s="75">
        <f t="shared" si="1"/>
        <v>20</v>
      </c>
      <c r="B23" s="74" t="s">
        <v>66</v>
      </c>
      <c r="C23" s="47">
        <v>48</v>
      </c>
      <c r="D23" s="47"/>
      <c r="E23" s="47"/>
      <c r="F23" s="47"/>
      <c r="G23" s="47"/>
      <c r="H23" s="47"/>
      <c r="I23" s="47"/>
      <c r="J23" s="111"/>
      <c r="K23" s="46"/>
      <c r="L23" s="57"/>
      <c r="M23" s="52">
        <v>3</v>
      </c>
      <c r="N23" s="121"/>
      <c r="O23" s="47"/>
      <c r="P23" s="111"/>
      <c r="Q23" s="111"/>
      <c r="R23" s="46"/>
      <c r="S23" s="57"/>
      <c r="T23" s="91">
        <f t="shared" si="0"/>
        <v>0</v>
      </c>
      <c r="U23" s="50">
        <f t="shared" si="4"/>
        <v>1224</v>
      </c>
      <c r="V23" s="50">
        <f t="shared" si="5"/>
        <v>51</v>
      </c>
      <c r="W23" s="57"/>
      <c r="X23" s="57"/>
      <c r="Y23" s="57"/>
      <c r="Z23" s="57"/>
      <c r="AA23" s="57"/>
      <c r="AB23" s="57"/>
      <c r="AC23" s="57"/>
      <c r="AD23" s="57"/>
      <c r="AE23" s="57"/>
      <c r="AF23" s="60"/>
      <c r="AG23" s="60"/>
      <c r="AH23" s="60"/>
      <c r="AI23" s="60"/>
      <c r="AJ23" s="60"/>
      <c r="AK23" s="60"/>
      <c r="AL23" s="60"/>
      <c r="AM23" s="60"/>
      <c r="AN23" s="60"/>
      <c r="AO23" s="60"/>
      <c r="AP23" s="60"/>
      <c r="AQ23" s="60"/>
      <c r="AR23" s="60"/>
      <c r="AS23" s="60"/>
      <c r="AT23" s="60"/>
      <c r="AU23" s="60"/>
      <c r="AV23" s="60"/>
      <c r="AW23" s="60"/>
      <c r="AX23" s="60"/>
      <c r="AY23" s="60"/>
      <c r="AZ23" s="60"/>
      <c r="BA23" s="60"/>
      <c r="BB23" s="60"/>
    </row>
    <row r="24" spans="1:54" s="61" customFormat="1" x14ac:dyDescent="0.25">
      <c r="A24" s="75">
        <f t="shared" si="1"/>
        <v>21</v>
      </c>
      <c r="B24" s="74" t="s">
        <v>75</v>
      </c>
      <c r="C24" s="47">
        <v>3</v>
      </c>
      <c r="D24" s="47"/>
      <c r="E24" s="47"/>
      <c r="F24" s="47"/>
      <c r="G24" s="47"/>
      <c r="H24" s="47"/>
      <c r="I24" s="47"/>
      <c r="J24" s="111"/>
      <c r="K24" s="46"/>
      <c r="L24" s="57"/>
      <c r="M24" s="52"/>
      <c r="N24" s="121"/>
      <c r="O24" s="47"/>
      <c r="P24" s="111"/>
      <c r="Q24" s="111"/>
      <c r="R24" s="46"/>
      <c r="S24" s="57"/>
      <c r="T24" s="91">
        <f t="shared" si="0"/>
        <v>0</v>
      </c>
      <c r="U24" s="50">
        <f t="shared" si="4"/>
        <v>72</v>
      </c>
      <c r="V24" s="50">
        <f t="shared" si="5"/>
        <v>3</v>
      </c>
      <c r="W24" s="57"/>
      <c r="X24" s="57"/>
      <c r="Y24" s="57"/>
      <c r="Z24" s="57"/>
      <c r="AA24" s="57"/>
      <c r="AB24" s="57"/>
      <c r="AC24" s="57"/>
      <c r="AD24" s="57"/>
      <c r="AE24" s="57"/>
      <c r="AF24" s="60"/>
      <c r="AG24" s="60"/>
      <c r="AH24" s="60"/>
      <c r="AI24" s="60"/>
      <c r="AJ24" s="60"/>
      <c r="AK24" s="60"/>
      <c r="AL24" s="60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</row>
    <row r="25" spans="1:54" x14ac:dyDescent="0.25">
      <c r="A25" s="75">
        <f t="shared" si="1"/>
        <v>22</v>
      </c>
      <c r="B25" s="74" t="s">
        <v>67</v>
      </c>
      <c r="C25" s="47">
        <v>7</v>
      </c>
      <c r="D25" s="47"/>
      <c r="E25" s="47"/>
      <c r="F25" s="47"/>
      <c r="G25" s="47"/>
      <c r="H25" s="47"/>
      <c r="I25" s="47"/>
      <c r="J25" s="111"/>
      <c r="K25" s="46"/>
      <c r="M25" s="52"/>
      <c r="N25" s="121"/>
      <c r="O25" s="47"/>
      <c r="P25" s="111"/>
      <c r="Q25" s="111"/>
      <c r="R25" s="46"/>
      <c r="T25" s="91">
        <f t="shared" si="0"/>
        <v>0</v>
      </c>
      <c r="U25" s="50">
        <f t="shared" si="4"/>
        <v>168</v>
      </c>
      <c r="V25" s="50">
        <f t="shared" si="5"/>
        <v>7</v>
      </c>
      <c r="AF25" s="60"/>
      <c r="AG25" s="60"/>
      <c r="AH25" s="60"/>
      <c r="AI25" s="60"/>
      <c r="AJ25" s="60"/>
      <c r="AK25" s="60"/>
      <c r="AL25" s="60"/>
      <c r="AM25" s="60"/>
      <c r="AN25" s="60"/>
      <c r="AO25" s="60"/>
      <c r="AP25" s="60"/>
      <c r="AQ25" s="60"/>
      <c r="AR25" s="60"/>
      <c r="AS25" s="60"/>
      <c r="AT25" s="60"/>
      <c r="AU25" s="60"/>
      <c r="AV25" s="60"/>
      <c r="AW25" s="60"/>
      <c r="AX25" s="60"/>
      <c r="AY25" s="60"/>
      <c r="AZ25" s="60"/>
      <c r="BA25" s="60"/>
      <c r="BB25" s="60"/>
    </row>
    <row r="26" spans="1:54" x14ac:dyDescent="0.25">
      <c r="A26" s="75">
        <f t="shared" si="1"/>
        <v>23</v>
      </c>
      <c r="B26" s="74" t="s">
        <v>9</v>
      </c>
      <c r="C26" s="47">
        <f>63+42</f>
        <v>105</v>
      </c>
      <c r="D26" s="47"/>
      <c r="E26" s="47"/>
      <c r="F26" s="47"/>
      <c r="G26" s="47"/>
      <c r="H26" s="47">
        <v>22</v>
      </c>
      <c r="I26" s="47">
        <v>1</v>
      </c>
      <c r="J26" s="111"/>
      <c r="K26" s="46"/>
      <c r="M26" s="52">
        <v>2</v>
      </c>
      <c r="N26" s="121"/>
      <c r="O26" s="47">
        <v>2</v>
      </c>
      <c r="P26" s="111"/>
      <c r="Q26" s="111"/>
      <c r="R26" s="46"/>
      <c r="T26" s="91">
        <f t="shared" si="0"/>
        <v>23</v>
      </c>
      <c r="U26" s="50">
        <f t="shared" si="4"/>
        <v>2639</v>
      </c>
      <c r="V26" s="50">
        <f t="shared" si="5"/>
        <v>109.95833333333333</v>
      </c>
      <c r="AY26" s="62" t="e">
        <f>#REF!-AY25</f>
        <v>#REF!</v>
      </c>
    </row>
    <row r="27" spans="1:54" s="61" customFormat="1" x14ac:dyDescent="0.25">
      <c r="A27" s="75">
        <f t="shared" si="1"/>
        <v>24</v>
      </c>
      <c r="B27" s="74" t="s">
        <v>11</v>
      </c>
      <c r="C27" s="47"/>
      <c r="D27" s="47"/>
      <c r="E27" s="47"/>
      <c r="F27" s="47"/>
      <c r="G27" s="47"/>
      <c r="H27" s="47"/>
      <c r="I27" s="47"/>
      <c r="J27" s="111"/>
      <c r="K27" s="46"/>
      <c r="L27" s="57"/>
      <c r="M27" s="52">
        <v>2</v>
      </c>
      <c r="N27" s="121"/>
      <c r="O27" s="47"/>
      <c r="P27" s="111"/>
      <c r="Q27" s="111"/>
      <c r="R27" s="46"/>
      <c r="S27" s="57"/>
      <c r="T27" s="91">
        <f t="shared" si="0"/>
        <v>0</v>
      </c>
      <c r="U27" s="50">
        <f t="shared" si="4"/>
        <v>48</v>
      </c>
      <c r="V27" s="50">
        <f t="shared" si="5"/>
        <v>2</v>
      </c>
      <c r="W27" s="57"/>
      <c r="X27" s="57"/>
      <c r="Y27" s="57"/>
      <c r="Z27" s="57"/>
      <c r="AA27" s="57"/>
      <c r="AB27" s="57"/>
      <c r="AC27" s="57"/>
      <c r="AD27" s="57"/>
      <c r="AE27" s="57"/>
    </row>
    <row r="28" spans="1:54" s="61" customFormat="1" x14ac:dyDescent="0.25">
      <c r="A28" s="75">
        <f t="shared" si="1"/>
        <v>25</v>
      </c>
      <c r="B28" s="74" t="s">
        <v>12</v>
      </c>
      <c r="C28" s="47">
        <v>6</v>
      </c>
      <c r="D28" s="47"/>
      <c r="E28" s="47"/>
      <c r="F28" s="47"/>
      <c r="G28" s="47"/>
      <c r="H28" s="47"/>
      <c r="I28" s="47"/>
      <c r="J28" s="111"/>
      <c r="K28" s="46"/>
      <c r="L28" s="57"/>
      <c r="M28" s="52">
        <v>50</v>
      </c>
      <c r="N28" s="121"/>
      <c r="O28" s="47">
        <v>2</v>
      </c>
      <c r="P28" s="111"/>
      <c r="Q28" s="111"/>
      <c r="R28" s="46"/>
      <c r="S28" s="57"/>
      <c r="T28" s="91">
        <f t="shared" si="0"/>
        <v>0</v>
      </c>
      <c r="U28" s="50">
        <f t="shared" si="4"/>
        <v>1392</v>
      </c>
      <c r="V28" s="50">
        <f t="shared" si="5"/>
        <v>58</v>
      </c>
      <c r="W28" s="57"/>
      <c r="X28" s="57"/>
      <c r="Y28" s="57"/>
      <c r="Z28" s="57"/>
      <c r="AA28" s="57"/>
      <c r="AB28" s="57"/>
      <c r="AC28" s="57"/>
      <c r="AD28" s="57"/>
      <c r="AE28" s="57"/>
    </row>
    <row r="29" spans="1:54" x14ac:dyDescent="0.25">
      <c r="A29" s="75">
        <f t="shared" si="1"/>
        <v>26</v>
      </c>
      <c r="B29" s="74" t="s">
        <v>14</v>
      </c>
      <c r="C29" s="47"/>
      <c r="D29" s="47"/>
      <c r="E29" s="47"/>
      <c r="F29" s="47"/>
      <c r="G29" s="47"/>
      <c r="H29" s="47"/>
      <c r="I29" s="47"/>
      <c r="J29" s="111"/>
      <c r="K29" s="46"/>
      <c r="M29" s="52"/>
      <c r="N29" s="121"/>
      <c r="O29" s="47"/>
      <c r="P29" s="111"/>
      <c r="Q29" s="111"/>
      <c r="R29" s="46"/>
      <c r="T29" s="91">
        <f t="shared" si="0"/>
        <v>0</v>
      </c>
      <c r="U29" s="50">
        <f t="shared" si="4"/>
        <v>0</v>
      </c>
      <c r="V29" s="50">
        <f t="shared" si="5"/>
        <v>0</v>
      </c>
    </row>
    <row r="30" spans="1:54" x14ac:dyDescent="0.25">
      <c r="A30" s="75">
        <f t="shared" si="1"/>
        <v>27</v>
      </c>
      <c r="B30" s="74" t="s">
        <v>16</v>
      </c>
      <c r="C30" s="47">
        <f>8+63</f>
        <v>71</v>
      </c>
      <c r="D30" s="47"/>
      <c r="E30" s="47"/>
      <c r="F30" s="47"/>
      <c r="G30" s="47"/>
      <c r="H30" s="47"/>
      <c r="I30" s="47"/>
      <c r="J30" s="111"/>
      <c r="K30" s="46"/>
      <c r="M30" s="52">
        <v>5</v>
      </c>
      <c r="N30" s="121"/>
      <c r="O30" s="47">
        <v>2</v>
      </c>
      <c r="P30" s="111"/>
      <c r="Q30" s="111"/>
      <c r="R30" s="46"/>
      <c r="T30" s="91">
        <f t="shared" si="0"/>
        <v>0</v>
      </c>
      <c r="U30" s="50">
        <f t="shared" si="4"/>
        <v>1872</v>
      </c>
      <c r="V30" s="50">
        <f t="shared" si="5"/>
        <v>78</v>
      </c>
    </row>
    <row r="31" spans="1:54" x14ac:dyDescent="0.25">
      <c r="A31" s="75">
        <f t="shared" si="1"/>
        <v>28</v>
      </c>
      <c r="B31" s="74" t="s">
        <v>13</v>
      </c>
      <c r="C31" s="47"/>
      <c r="D31" s="47"/>
      <c r="E31" s="47"/>
      <c r="F31" s="47"/>
      <c r="G31" s="47"/>
      <c r="H31" s="47"/>
      <c r="I31" s="47"/>
      <c r="J31" s="111"/>
      <c r="K31" s="46"/>
      <c r="M31" s="52"/>
      <c r="N31" s="121"/>
      <c r="O31" s="47"/>
      <c r="P31" s="111"/>
      <c r="Q31" s="111"/>
      <c r="R31" s="46"/>
      <c r="T31" s="91">
        <f t="shared" si="0"/>
        <v>0</v>
      </c>
      <c r="U31" s="50">
        <f t="shared" si="4"/>
        <v>0</v>
      </c>
      <c r="V31" s="50">
        <f t="shared" si="5"/>
        <v>0</v>
      </c>
    </row>
    <row r="32" spans="1:54" x14ac:dyDescent="0.25">
      <c r="A32" s="75">
        <f t="shared" si="1"/>
        <v>29</v>
      </c>
      <c r="B32" s="74" t="s">
        <v>15</v>
      </c>
      <c r="C32" s="47"/>
      <c r="D32" s="47"/>
      <c r="E32" s="47"/>
      <c r="F32" s="47"/>
      <c r="G32" s="47"/>
      <c r="H32" s="47"/>
      <c r="I32" s="47"/>
      <c r="J32" s="111"/>
      <c r="K32" s="46"/>
      <c r="M32" s="52">
        <v>2</v>
      </c>
      <c r="N32" s="121"/>
      <c r="O32" s="47"/>
      <c r="P32" s="111"/>
      <c r="Q32" s="111"/>
      <c r="R32" s="46"/>
      <c r="T32" s="91">
        <f t="shared" si="0"/>
        <v>0</v>
      </c>
      <c r="U32" s="50">
        <f t="shared" si="4"/>
        <v>48</v>
      </c>
      <c r="V32" s="50">
        <f t="shared" si="5"/>
        <v>2</v>
      </c>
    </row>
    <row r="33" spans="1:23" x14ac:dyDescent="0.25">
      <c r="A33" s="75">
        <f t="shared" si="1"/>
        <v>30</v>
      </c>
      <c r="B33" s="74" t="s">
        <v>17</v>
      </c>
      <c r="C33" s="47"/>
      <c r="D33" s="47"/>
      <c r="E33" s="47"/>
      <c r="F33" s="47"/>
      <c r="G33" s="47"/>
      <c r="H33" s="47"/>
      <c r="I33" s="47"/>
      <c r="J33" s="111"/>
      <c r="K33" s="46"/>
      <c r="M33" s="52"/>
      <c r="N33" s="121"/>
      <c r="O33" s="47"/>
      <c r="P33" s="111"/>
      <c r="Q33" s="111"/>
      <c r="R33" s="46"/>
      <c r="T33" s="91">
        <f t="shared" si="0"/>
        <v>0</v>
      </c>
      <c r="U33" s="50">
        <f t="shared" si="4"/>
        <v>0</v>
      </c>
      <c r="V33" s="50">
        <f t="shared" si="5"/>
        <v>0</v>
      </c>
    </row>
    <row r="34" spans="1:23" x14ac:dyDescent="0.25">
      <c r="A34" s="75">
        <f t="shared" si="1"/>
        <v>31</v>
      </c>
      <c r="B34" s="74" t="s">
        <v>18</v>
      </c>
      <c r="C34" s="47">
        <f>144+45</f>
        <v>189</v>
      </c>
      <c r="D34" s="47"/>
      <c r="E34" s="47"/>
      <c r="F34" s="47"/>
      <c r="G34" s="47"/>
      <c r="H34" s="47">
        <v>22</v>
      </c>
      <c r="I34" s="47"/>
      <c r="J34" s="111"/>
      <c r="K34" s="46">
        <v>1</v>
      </c>
      <c r="M34" s="52">
        <v>2</v>
      </c>
      <c r="N34" s="121"/>
      <c r="O34" s="47">
        <v>3</v>
      </c>
      <c r="P34" s="111"/>
      <c r="Q34" s="111"/>
      <c r="R34" s="46"/>
      <c r="T34" s="91">
        <f t="shared" si="0"/>
        <v>23</v>
      </c>
      <c r="U34" s="50">
        <f t="shared" si="4"/>
        <v>4679</v>
      </c>
      <c r="V34" s="50">
        <f t="shared" si="5"/>
        <v>194.95833333333334</v>
      </c>
    </row>
    <row r="35" spans="1:23" hidden="1" x14ac:dyDescent="0.25">
      <c r="A35" s="75">
        <f t="shared" si="1"/>
        <v>32</v>
      </c>
      <c r="B35" s="74" t="s">
        <v>26</v>
      </c>
      <c r="C35" s="47"/>
      <c r="D35" s="47"/>
      <c r="E35" s="47"/>
      <c r="F35" s="47"/>
      <c r="G35" s="47"/>
      <c r="H35" s="47"/>
      <c r="I35" s="47"/>
      <c r="J35" s="111"/>
      <c r="K35" s="46"/>
      <c r="M35" s="52"/>
      <c r="N35" s="121"/>
      <c r="O35" s="47"/>
      <c r="P35" s="111"/>
      <c r="Q35" s="111"/>
      <c r="R35" s="46"/>
      <c r="T35" s="91">
        <f t="shared" si="0"/>
        <v>0</v>
      </c>
      <c r="U35" s="50">
        <f t="shared" si="4"/>
        <v>0</v>
      </c>
      <c r="V35" s="50">
        <f t="shared" si="5"/>
        <v>0</v>
      </c>
    </row>
    <row r="36" spans="1:23" x14ac:dyDescent="0.25">
      <c r="A36" s="75">
        <f t="shared" si="1"/>
        <v>33</v>
      </c>
      <c r="B36" s="74" t="s">
        <v>19</v>
      </c>
      <c r="C36" s="47"/>
      <c r="D36" s="47"/>
      <c r="E36" s="47"/>
      <c r="F36" s="47"/>
      <c r="G36" s="47"/>
      <c r="H36" s="47"/>
      <c r="I36" s="47"/>
      <c r="J36" s="111"/>
      <c r="K36" s="46"/>
      <c r="M36" s="52"/>
      <c r="N36" s="121"/>
      <c r="O36" s="47"/>
      <c r="P36" s="111"/>
      <c r="Q36" s="111"/>
      <c r="R36" s="46"/>
      <c r="T36" s="91">
        <f t="shared" si="0"/>
        <v>0</v>
      </c>
      <c r="U36" s="50">
        <f t="shared" si="4"/>
        <v>0</v>
      </c>
      <c r="V36" s="50">
        <f t="shared" si="5"/>
        <v>0</v>
      </c>
    </row>
    <row r="37" spans="1:23" ht="19.5" thickBot="1" x14ac:dyDescent="0.3">
      <c r="A37" s="75">
        <f t="shared" si="1"/>
        <v>34</v>
      </c>
      <c r="B37" s="94" t="s">
        <v>20</v>
      </c>
      <c r="C37" s="95">
        <f>2376+2700+47</f>
        <v>5123</v>
      </c>
      <c r="D37" s="95"/>
      <c r="E37" s="95"/>
      <c r="F37" s="95"/>
      <c r="G37" s="95"/>
      <c r="H37" s="95">
        <v>2</v>
      </c>
      <c r="I37" s="95"/>
      <c r="J37" s="110">
        <v>4</v>
      </c>
      <c r="K37" s="96">
        <v>2</v>
      </c>
      <c r="L37" s="102"/>
      <c r="M37" s="103">
        <v>1</v>
      </c>
      <c r="N37" s="120"/>
      <c r="O37" s="97">
        <v>30</v>
      </c>
      <c r="P37" s="113"/>
      <c r="Q37" s="113">
        <v>104</v>
      </c>
      <c r="R37" s="98"/>
      <c r="S37" s="102"/>
      <c r="T37" s="104">
        <f t="shared" si="0"/>
        <v>8</v>
      </c>
      <c r="U37" s="104">
        <f>C37*6+M37*6+O37*6+Q37*6+T37</f>
        <v>31556</v>
      </c>
      <c r="V37" s="104">
        <f>U37/6</f>
        <v>5259.333333333333</v>
      </c>
      <c r="W37" s="123"/>
    </row>
    <row r="38" spans="1:23" x14ac:dyDescent="0.25">
      <c r="A38" s="75">
        <f t="shared" si="1"/>
        <v>35</v>
      </c>
      <c r="B38" s="73" t="s">
        <v>21</v>
      </c>
      <c r="C38" s="47">
        <v>6</v>
      </c>
      <c r="D38" s="47"/>
      <c r="E38" s="47"/>
      <c r="F38" s="47"/>
      <c r="G38" s="47"/>
      <c r="H38" s="47"/>
      <c r="I38" s="47"/>
      <c r="J38" s="111"/>
      <c r="K38" s="46"/>
      <c r="M38" s="52">
        <v>5</v>
      </c>
      <c r="N38" s="121"/>
      <c r="O38" s="47"/>
      <c r="P38" s="111"/>
      <c r="Q38" s="111"/>
      <c r="R38" s="46"/>
      <c r="T38" s="50">
        <f t="shared" si="0"/>
        <v>0</v>
      </c>
      <c r="U38" s="50">
        <f>C38*24+M38*24+O38*24+Q38*24+T38</f>
        <v>264</v>
      </c>
      <c r="V38" s="50">
        <f>U38/24</f>
        <v>11</v>
      </c>
    </row>
    <row r="39" spans="1:23" ht="19.5" thickBot="1" x14ac:dyDescent="0.3">
      <c r="A39" s="75">
        <f t="shared" si="1"/>
        <v>36</v>
      </c>
      <c r="B39" s="94" t="s">
        <v>22</v>
      </c>
      <c r="C39" s="95">
        <f>756+53</f>
        <v>809</v>
      </c>
      <c r="D39" s="95"/>
      <c r="E39" s="95"/>
      <c r="F39" s="95"/>
      <c r="G39" s="95"/>
      <c r="H39" s="95">
        <v>9</v>
      </c>
      <c r="I39" s="95"/>
      <c r="J39" s="110"/>
      <c r="K39" s="96">
        <v>15</v>
      </c>
      <c r="L39" s="102"/>
      <c r="M39" s="103">
        <v>10</v>
      </c>
      <c r="N39" s="120"/>
      <c r="O39" s="97"/>
      <c r="P39" s="113"/>
      <c r="Q39" s="113">
        <v>1</v>
      </c>
      <c r="R39" s="98">
        <v>12</v>
      </c>
      <c r="S39" s="102"/>
      <c r="T39" s="104">
        <f>H39+I39+J39+K39+N39+P39+R39</f>
        <v>36</v>
      </c>
      <c r="U39" s="104">
        <f>C39*24+M39*24+O39*24+Q39*24+T39</f>
        <v>19716</v>
      </c>
      <c r="V39" s="104">
        <f>U39/24</f>
        <v>821.5</v>
      </c>
    </row>
    <row r="40" spans="1:23" ht="19.5" thickBot="1" x14ac:dyDescent="0.3">
      <c r="A40" s="75">
        <f t="shared" si="1"/>
        <v>37</v>
      </c>
      <c r="B40" s="99" t="s">
        <v>23</v>
      </c>
      <c r="C40" s="100">
        <f>1728+75+45</f>
        <v>1848</v>
      </c>
      <c r="D40" s="100"/>
      <c r="E40" s="100"/>
      <c r="F40" s="100"/>
      <c r="G40" s="100"/>
      <c r="H40" s="100"/>
      <c r="I40" s="100"/>
      <c r="J40" s="112"/>
      <c r="K40" s="101"/>
      <c r="L40" s="105"/>
      <c r="M40" s="106">
        <v>20</v>
      </c>
      <c r="N40" s="122"/>
      <c r="O40" s="100">
        <v>10</v>
      </c>
      <c r="P40" s="112"/>
      <c r="Q40" s="112">
        <v>10</v>
      </c>
      <c r="R40" s="101"/>
      <c r="S40" s="105"/>
      <c r="T40" s="107">
        <f t="shared" si="0"/>
        <v>0</v>
      </c>
      <c r="U40" s="107">
        <f>C40*12+M40*12+O40*12+Q40*12+T40</f>
        <v>22656</v>
      </c>
      <c r="V40" s="107">
        <f>U40/12</f>
        <v>1888</v>
      </c>
    </row>
    <row r="41" spans="1:23" hidden="1" x14ac:dyDescent="0.25">
      <c r="A41" s="75">
        <f t="shared" si="1"/>
        <v>38</v>
      </c>
      <c r="B41" s="73" t="s">
        <v>31</v>
      </c>
      <c r="C41" s="47"/>
      <c r="D41" s="47"/>
      <c r="E41" s="47"/>
      <c r="F41" s="47"/>
      <c r="G41" s="47"/>
      <c r="H41" s="47"/>
      <c r="I41" s="47"/>
      <c r="J41" s="111"/>
      <c r="K41" s="46"/>
      <c r="M41" s="52"/>
      <c r="N41" s="121"/>
      <c r="O41" s="47"/>
      <c r="P41" s="111"/>
      <c r="Q41" s="111"/>
      <c r="R41" s="46"/>
      <c r="T41" s="50"/>
      <c r="U41" s="50"/>
      <c r="V41" s="50"/>
    </row>
    <row r="42" spans="1:23" ht="19.5" thickBot="1" x14ac:dyDescent="0.3">
      <c r="A42" s="75">
        <f t="shared" si="1"/>
        <v>39</v>
      </c>
      <c r="B42" s="94" t="s">
        <v>24</v>
      </c>
      <c r="C42" s="97">
        <f>6048+6048+7884+12+7128+1</f>
        <v>27121</v>
      </c>
      <c r="D42" s="97"/>
      <c r="E42" s="97"/>
      <c r="F42" s="97"/>
      <c r="G42" s="97"/>
      <c r="H42" s="97">
        <v>1</v>
      </c>
      <c r="I42" s="97">
        <v>6</v>
      </c>
      <c r="J42" s="113">
        <f>4*6+1</f>
        <v>25</v>
      </c>
      <c r="K42" s="98">
        <f>75*6+8</f>
        <v>458</v>
      </c>
      <c r="L42" s="102"/>
      <c r="M42" s="103">
        <v>9</v>
      </c>
      <c r="N42" s="120"/>
      <c r="O42" s="97">
        <v>283</v>
      </c>
      <c r="P42" s="113"/>
      <c r="Q42" s="113">
        <v>148</v>
      </c>
      <c r="R42" s="98"/>
      <c r="S42" s="102"/>
      <c r="T42" s="104">
        <f t="shared" ref="T42" si="6">H42+I42+J42+K42+N42+P42+R42</f>
        <v>490</v>
      </c>
      <c r="U42" s="104">
        <f>C42*6+M42*6+O42*6+Q42*6+T42</f>
        <v>165856</v>
      </c>
      <c r="V42" s="104">
        <f>U42/6</f>
        <v>27642.666666666668</v>
      </c>
    </row>
    <row r="43" spans="1:23" hidden="1" x14ac:dyDescent="0.25">
      <c r="A43" s="75">
        <f t="shared" si="1"/>
        <v>40</v>
      </c>
      <c r="B43" s="73" t="s">
        <v>33</v>
      </c>
      <c r="C43" s="47"/>
      <c r="D43" s="47"/>
      <c r="E43" s="47"/>
      <c r="F43" s="47"/>
      <c r="G43" s="47"/>
      <c r="H43" s="47"/>
      <c r="I43" s="47"/>
      <c r="J43" s="111"/>
      <c r="K43" s="46"/>
      <c r="M43" s="52"/>
      <c r="N43" s="121"/>
      <c r="O43" s="47"/>
      <c r="P43" s="111"/>
      <c r="Q43" s="111"/>
      <c r="R43" s="46"/>
      <c r="T43" s="50"/>
      <c r="U43" s="50"/>
      <c r="V43" s="50"/>
    </row>
    <row r="44" spans="1:23" x14ac:dyDescent="0.25">
      <c r="A44" s="75">
        <f t="shared" si="1"/>
        <v>41</v>
      </c>
      <c r="B44" s="74" t="s">
        <v>25</v>
      </c>
      <c r="C44" s="47"/>
      <c r="D44" s="47"/>
      <c r="E44" s="47"/>
      <c r="F44" s="47"/>
      <c r="G44" s="47"/>
      <c r="H44" s="47"/>
      <c r="I44" s="47"/>
      <c r="J44" s="111"/>
      <c r="K44" s="46"/>
      <c r="M44" s="52"/>
      <c r="N44" s="121"/>
      <c r="O44" s="47"/>
      <c r="P44" s="111"/>
      <c r="Q44" s="111"/>
      <c r="R44" s="46"/>
      <c r="T44" s="50">
        <f t="shared" ref="T44:T53" si="7">H44+I44+J44+K44+N44+P44+R44</f>
        <v>0</v>
      </c>
      <c r="U44" s="50">
        <f>C44*24+M44*24+O44*24+Q44*24+T44</f>
        <v>0</v>
      </c>
      <c r="V44" s="50">
        <f>U44/24</f>
        <v>0</v>
      </c>
    </row>
    <row r="45" spans="1:23" x14ac:dyDescent="0.25">
      <c r="A45" s="75">
        <f t="shared" si="1"/>
        <v>42</v>
      </c>
      <c r="B45" s="74" t="s">
        <v>68</v>
      </c>
      <c r="C45" s="47"/>
      <c r="D45" s="47"/>
      <c r="E45" s="47"/>
      <c r="F45" s="47"/>
      <c r="G45" s="47"/>
      <c r="H45" s="47"/>
      <c r="I45" s="47"/>
      <c r="J45" s="111"/>
      <c r="K45" s="46"/>
      <c r="M45" s="52"/>
      <c r="N45" s="121"/>
      <c r="O45" s="47"/>
      <c r="P45" s="111"/>
      <c r="Q45" s="111"/>
      <c r="R45" s="46"/>
      <c r="T45" s="50">
        <f t="shared" si="7"/>
        <v>0</v>
      </c>
      <c r="U45" s="50">
        <f t="shared" ref="U45:U47" si="8">C45*24+M45*24+O45*24+Q45*24+T45</f>
        <v>0</v>
      </c>
      <c r="V45" s="50">
        <f t="shared" ref="V45:V53" si="9">U45/24</f>
        <v>0</v>
      </c>
    </row>
    <row r="46" spans="1:23" x14ac:dyDescent="0.25">
      <c r="A46" s="75">
        <f t="shared" si="1"/>
        <v>43</v>
      </c>
      <c r="B46" s="74" t="s">
        <v>73</v>
      </c>
      <c r="C46" s="47">
        <v>2</v>
      </c>
      <c r="D46" s="47"/>
      <c r="E46" s="47"/>
      <c r="F46" s="47"/>
      <c r="G46" s="47"/>
      <c r="H46" s="47"/>
      <c r="I46" s="47"/>
      <c r="J46" s="111"/>
      <c r="K46" s="46"/>
      <c r="M46" s="52"/>
      <c r="N46" s="121"/>
      <c r="O46" s="47"/>
      <c r="P46" s="111"/>
      <c r="Q46" s="111"/>
      <c r="R46" s="46"/>
      <c r="T46" s="50">
        <f t="shared" si="7"/>
        <v>0</v>
      </c>
      <c r="U46" s="50">
        <f t="shared" si="8"/>
        <v>48</v>
      </c>
      <c r="V46" s="50">
        <f t="shared" si="9"/>
        <v>2</v>
      </c>
    </row>
    <row r="47" spans="1:23" x14ac:dyDescent="0.25">
      <c r="A47" s="75">
        <f t="shared" si="1"/>
        <v>44</v>
      </c>
      <c r="B47" s="74" t="s">
        <v>83</v>
      </c>
      <c r="C47" s="47">
        <v>2</v>
      </c>
      <c r="D47" s="47"/>
      <c r="E47" s="47"/>
      <c r="F47" s="47"/>
      <c r="G47" s="47"/>
      <c r="H47" s="47"/>
      <c r="I47" s="47"/>
      <c r="J47" s="111"/>
      <c r="K47" s="46"/>
      <c r="M47" s="52"/>
      <c r="N47" s="121"/>
      <c r="O47" s="47"/>
      <c r="P47" s="111"/>
      <c r="Q47" s="111"/>
      <c r="R47" s="46"/>
      <c r="T47" s="50">
        <f t="shared" si="7"/>
        <v>0</v>
      </c>
      <c r="U47" s="50">
        <f t="shared" si="8"/>
        <v>48</v>
      </c>
      <c r="V47" s="50">
        <f t="shared" si="9"/>
        <v>2</v>
      </c>
    </row>
    <row r="48" spans="1:23" x14ac:dyDescent="0.25">
      <c r="A48" s="75">
        <f t="shared" si="1"/>
        <v>45</v>
      </c>
      <c r="B48" s="74" t="s">
        <v>26</v>
      </c>
      <c r="C48" s="47">
        <f>38+2268+55</f>
        <v>2361</v>
      </c>
      <c r="D48" s="47"/>
      <c r="E48" s="47"/>
      <c r="F48" s="47"/>
      <c r="G48" s="47"/>
      <c r="H48" s="47">
        <v>3</v>
      </c>
      <c r="I48" s="47"/>
      <c r="J48" s="111"/>
      <c r="K48" s="46">
        <v>6</v>
      </c>
      <c r="M48" s="52">
        <v>10</v>
      </c>
      <c r="N48" s="121"/>
      <c r="O48" s="47">
        <v>6</v>
      </c>
      <c r="P48" s="111">
        <v>2</v>
      </c>
      <c r="Q48" s="111">
        <v>10</v>
      </c>
      <c r="R48" s="46"/>
      <c r="T48" s="50">
        <f t="shared" si="7"/>
        <v>11</v>
      </c>
      <c r="U48" s="50">
        <f>C48*6+M48*6+O48*6+Q48*6+T48</f>
        <v>14333</v>
      </c>
      <c r="V48" s="50">
        <f>U48/6</f>
        <v>2388.8333333333335</v>
      </c>
    </row>
    <row r="49" spans="1:22" x14ac:dyDescent="0.25">
      <c r="A49" s="75">
        <f t="shared" si="1"/>
        <v>46</v>
      </c>
      <c r="B49" s="74" t="s">
        <v>69</v>
      </c>
      <c r="C49" s="47"/>
      <c r="D49" s="47"/>
      <c r="E49" s="47"/>
      <c r="F49" s="47"/>
      <c r="G49" s="47"/>
      <c r="H49" s="47"/>
      <c r="I49" s="47"/>
      <c r="J49" s="111"/>
      <c r="K49" s="46"/>
      <c r="M49" s="52"/>
      <c r="N49" s="121"/>
      <c r="O49" s="47"/>
      <c r="P49" s="111"/>
      <c r="Q49" s="111"/>
      <c r="R49" s="46"/>
      <c r="T49" s="50">
        <f t="shared" si="7"/>
        <v>0</v>
      </c>
      <c r="U49" s="50">
        <f t="shared" ref="U49:U51" si="10">C49*24+M49*24+O49*24+Q49*24+T49</f>
        <v>0</v>
      </c>
      <c r="V49" s="50">
        <f t="shared" si="9"/>
        <v>0</v>
      </c>
    </row>
    <row r="50" spans="1:22" x14ac:dyDescent="0.25">
      <c r="A50" s="75">
        <f t="shared" si="1"/>
        <v>47</v>
      </c>
      <c r="B50" s="74" t="s">
        <v>28</v>
      </c>
      <c r="C50" s="47"/>
      <c r="D50" s="47"/>
      <c r="E50" s="47"/>
      <c r="F50" s="47"/>
      <c r="G50" s="47"/>
      <c r="H50" s="47"/>
      <c r="I50" s="47"/>
      <c r="J50" s="111"/>
      <c r="K50" s="46"/>
      <c r="M50" s="52"/>
      <c r="N50" s="121"/>
      <c r="O50" s="47"/>
      <c r="P50" s="111"/>
      <c r="Q50" s="111"/>
      <c r="R50" s="46"/>
      <c r="T50" s="50">
        <f t="shared" si="7"/>
        <v>0</v>
      </c>
      <c r="U50" s="50">
        <f t="shared" si="10"/>
        <v>0</v>
      </c>
      <c r="V50" s="50">
        <f t="shared" si="9"/>
        <v>0</v>
      </c>
    </row>
    <row r="51" spans="1:22" x14ac:dyDescent="0.25">
      <c r="A51" s="75">
        <f t="shared" si="1"/>
        <v>48</v>
      </c>
      <c r="B51" s="74" t="s">
        <v>70</v>
      </c>
      <c r="C51" s="47"/>
      <c r="D51" s="47"/>
      <c r="E51" s="47"/>
      <c r="F51" s="47"/>
      <c r="G51" s="47"/>
      <c r="H51" s="47"/>
      <c r="I51" s="47"/>
      <c r="J51" s="111"/>
      <c r="K51" s="46"/>
      <c r="M51" s="52"/>
      <c r="N51" s="121"/>
      <c r="O51" s="47"/>
      <c r="P51" s="111"/>
      <c r="Q51" s="111"/>
      <c r="R51" s="46"/>
      <c r="T51" s="50">
        <f t="shared" si="7"/>
        <v>0</v>
      </c>
      <c r="U51" s="50">
        <f t="shared" si="10"/>
        <v>0</v>
      </c>
      <c r="V51" s="50">
        <f t="shared" si="9"/>
        <v>0</v>
      </c>
    </row>
    <row r="52" spans="1:22" x14ac:dyDescent="0.25">
      <c r="A52" s="75">
        <f t="shared" si="1"/>
        <v>49</v>
      </c>
      <c r="B52" s="74" t="s">
        <v>29</v>
      </c>
      <c r="C52" s="47">
        <v>34</v>
      </c>
      <c r="D52" s="47"/>
      <c r="E52" s="47"/>
      <c r="F52" s="47"/>
      <c r="G52" s="47"/>
      <c r="H52" s="47"/>
      <c r="I52" s="47"/>
      <c r="J52" s="111"/>
      <c r="K52" s="46"/>
      <c r="M52" s="52"/>
      <c r="N52" s="121"/>
      <c r="O52" s="47"/>
      <c r="P52" s="111"/>
      <c r="Q52" s="111"/>
      <c r="R52" s="46"/>
      <c r="T52" s="50">
        <f t="shared" si="7"/>
        <v>0</v>
      </c>
      <c r="U52" s="50">
        <f>C52*6+M52*6+O52*6+Q52*6+T52</f>
        <v>204</v>
      </c>
      <c r="V52" s="50">
        <f>U52/6</f>
        <v>34</v>
      </c>
    </row>
    <row r="53" spans="1:22" x14ac:dyDescent="0.25">
      <c r="A53" s="75">
        <f t="shared" si="1"/>
        <v>50</v>
      </c>
      <c r="B53" s="74" t="s">
        <v>30</v>
      </c>
      <c r="C53" s="47"/>
      <c r="D53" s="47"/>
      <c r="E53" s="47"/>
      <c r="F53" s="47"/>
      <c r="G53" s="47"/>
      <c r="H53" s="47"/>
      <c r="I53" s="47"/>
      <c r="J53" s="111"/>
      <c r="K53" s="46"/>
      <c r="M53" s="52"/>
      <c r="N53" s="121"/>
      <c r="O53" s="47"/>
      <c r="P53" s="111"/>
      <c r="Q53" s="111"/>
      <c r="R53" s="46"/>
      <c r="T53" s="50">
        <f t="shared" si="7"/>
        <v>0</v>
      </c>
      <c r="U53" s="50">
        <f t="shared" ref="U53" si="11">C53*24+M53*24+O53*24+Q53*24+T53</f>
        <v>0</v>
      </c>
      <c r="V53" s="50">
        <f t="shared" si="9"/>
        <v>0</v>
      </c>
    </row>
    <row r="54" spans="1:22" x14ac:dyDescent="0.25">
      <c r="A54" s="75">
        <f t="shared" si="1"/>
        <v>51</v>
      </c>
      <c r="B54" s="74"/>
      <c r="C54" s="47"/>
      <c r="D54" s="47"/>
      <c r="E54" s="47"/>
      <c r="F54" s="47"/>
      <c r="G54" s="47"/>
      <c r="H54" s="47"/>
      <c r="I54" s="47"/>
      <c r="J54" s="111"/>
      <c r="K54" s="46"/>
      <c r="M54" s="52"/>
      <c r="N54" s="121"/>
      <c r="O54" s="47"/>
      <c r="P54" s="111"/>
      <c r="Q54" s="111"/>
      <c r="R54" s="46"/>
      <c r="T54" s="50"/>
      <c r="U54" s="50"/>
      <c r="V54" s="50"/>
    </row>
    <row r="55" spans="1:22" x14ac:dyDescent="0.25">
      <c r="A55" s="75">
        <f t="shared" si="1"/>
        <v>52</v>
      </c>
      <c r="B55" s="74"/>
      <c r="C55" s="47"/>
      <c r="D55" s="47"/>
      <c r="E55" s="47"/>
      <c r="F55" s="47"/>
      <c r="G55" s="47"/>
      <c r="H55" s="47"/>
      <c r="I55" s="47"/>
      <c r="J55" s="111"/>
      <c r="K55" s="46"/>
      <c r="M55" s="52"/>
      <c r="N55" s="121"/>
      <c r="O55" s="47"/>
      <c r="P55" s="111"/>
      <c r="Q55" s="111"/>
      <c r="R55" s="46"/>
      <c r="T55" s="50"/>
      <c r="U55" s="50"/>
      <c r="V55" s="50"/>
    </row>
    <row r="56" spans="1:22" x14ac:dyDescent="0.25">
      <c r="A56" s="75">
        <f t="shared" si="1"/>
        <v>53</v>
      </c>
      <c r="B56" s="74"/>
      <c r="C56" s="47"/>
      <c r="D56" s="47"/>
      <c r="E56" s="47"/>
      <c r="F56" s="47"/>
      <c r="G56" s="47"/>
      <c r="H56" s="47"/>
      <c r="I56" s="47"/>
      <c r="J56" s="111"/>
      <c r="K56" s="46"/>
      <c r="M56" s="52"/>
      <c r="N56" s="121"/>
      <c r="O56" s="47"/>
      <c r="P56" s="111"/>
      <c r="Q56" s="111"/>
      <c r="R56" s="46"/>
      <c r="T56" s="50"/>
      <c r="U56" s="50"/>
      <c r="V56" s="50"/>
    </row>
    <row r="57" spans="1:22" s="63" customFormat="1" ht="19.5" thickBot="1" x14ac:dyDescent="0.3">
      <c r="B57" s="77" t="s">
        <v>60</v>
      </c>
      <c r="C57" s="49">
        <f>SUM(C7:C56)</f>
        <v>41750</v>
      </c>
      <c r="D57" s="49"/>
      <c r="E57" s="49"/>
      <c r="F57" s="49">
        <f t="shared" ref="F57:K57" si="12">SUM(F7:F56)</f>
        <v>0</v>
      </c>
      <c r="G57" s="49">
        <f t="shared" si="12"/>
        <v>0</v>
      </c>
      <c r="H57" s="49">
        <f t="shared" si="12"/>
        <v>98</v>
      </c>
      <c r="I57" s="54">
        <f t="shared" si="12"/>
        <v>8</v>
      </c>
      <c r="J57" s="54">
        <f t="shared" si="12"/>
        <v>29</v>
      </c>
      <c r="K57" s="54">
        <f t="shared" si="12"/>
        <v>490</v>
      </c>
      <c r="M57" s="53">
        <f t="shared" ref="M57:R57" si="13">SUM(M7:M56)</f>
        <v>153</v>
      </c>
      <c r="N57" s="53">
        <f t="shared" si="13"/>
        <v>14</v>
      </c>
      <c r="O57" s="53">
        <f t="shared" si="13"/>
        <v>350</v>
      </c>
      <c r="P57" s="53">
        <f t="shared" si="13"/>
        <v>6</v>
      </c>
      <c r="Q57" s="53">
        <f t="shared" si="13"/>
        <v>275</v>
      </c>
      <c r="R57" s="53">
        <f t="shared" si="13"/>
        <v>23</v>
      </c>
      <c r="S57" s="57"/>
      <c r="T57" s="51">
        <f>SUM(T7:T56)</f>
        <v>668</v>
      </c>
      <c r="U57" s="51">
        <f>SUM(U7:U56)</f>
        <v>364364</v>
      </c>
      <c r="V57" s="51">
        <f>SUM(V7:V56)</f>
        <v>42619.458333333336</v>
      </c>
    </row>
    <row r="58" spans="1:22" ht="7.5" customHeight="1" thickBot="1" x14ac:dyDescent="0.3"/>
    <row r="59" spans="1:22" ht="19.5" thickBot="1" x14ac:dyDescent="0.3">
      <c r="B59" s="78" t="s">
        <v>39</v>
      </c>
      <c r="C59" s="191" t="s">
        <v>49</v>
      </c>
      <c r="D59" s="192"/>
      <c r="E59" s="192"/>
      <c r="F59" s="192"/>
      <c r="G59" s="192"/>
      <c r="H59" s="192"/>
      <c r="I59" s="192"/>
      <c r="J59" s="192"/>
      <c r="K59" s="193"/>
      <c r="U59" s="72" t="s">
        <v>62</v>
      </c>
    </row>
    <row r="60" spans="1:22" x14ac:dyDescent="0.25">
      <c r="B60" s="79" t="s">
        <v>18</v>
      </c>
      <c r="C60" s="67"/>
      <c r="D60" s="67"/>
      <c r="E60" s="67"/>
      <c r="F60" s="67"/>
      <c r="G60" s="67"/>
      <c r="H60" s="67"/>
      <c r="I60" s="67"/>
      <c r="J60" s="114"/>
      <c r="K60" s="68"/>
      <c r="U60" s="55"/>
    </row>
    <row r="61" spans="1:22" x14ac:dyDescent="0.25">
      <c r="B61" s="80" t="s">
        <v>55</v>
      </c>
      <c r="C61" s="48"/>
      <c r="D61" s="48"/>
      <c r="E61" s="48"/>
      <c r="F61" s="48"/>
      <c r="G61" s="48"/>
      <c r="H61" s="48"/>
      <c r="I61" s="48"/>
      <c r="J61" s="109"/>
      <c r="K61" s="69"/>
      <c r="U61" s="50"/>
    </row>
    <row r="62" spans="1:22" ht="19.5" thickBot="1" x14ac:dyDescent="0.3">
      <c r="B62" s="81" t="s">
        <v>54</v>
      </c>
      <c r="C62" s="70"/>
      <c r="D62" s="70"/>
      <c r="E62" s="70"/>
      <c r="F62" s="70"/>
      <c r="G62" s="70"/>
      <c r="H62" s="70"/>
      <c r="I62" s="70"/>
      <c r="J62" s="115"/>
      <c r="K62" s="71"/>
      <c r="U62" s="56"/>
    </row>
    <row r="63" spans="1:22" ht="7.5" customHeight="1" thickBot="1" x14ac:dyDescent="0.3"/>
    <row r="64" spans="1:22" x14ac:dyDescent="0.25">
      <c r="B64" s="79" t="s">
        <v>56</v>
      </c>
      <c r="C64" s="67"/>
      <c r="D64" s="67"/>
      <c r="E64" s="67"/>
      <c r="F64" s="67"/>
      <c r="G64" s="67"/>
      <c r="H64" s="67"/>
      <c r="I64" s="67"/>
      <c r="J64" s="114"/>
      <c r="K64" s="68"/>
      <c r="U64" s="55"/>
    </row>
    <row r="65" spans="2:21" x14ac:dyDescent="0.25">
      <c r="B65" s="80" t="s">
        <v>55</v>
      </c>
      <c r="C65" s="48"/>
      <c r="D65" s="48"/>
      <c r="E65" s="48"/>
      <c r="F65" s="48"/>
      <c r="G65" s="48"/>
      <c r="H65" s="48"/>
      <c r="I65" s="48"/>
      <c r="J65" s="109"/>
      <c r="K65" s="69"/>
      <c r="U65" s="50"/>
    </row>
    <row r="66" spans="2:21" ht="19.5" thickBot="1" x14ac:dyDescent="0.3">
      <c r="B66" s="81" t="s">
        <v>54</v>
      </c>
      <c r="C66" s="70"/>
      <c r="D66" s="70"/>
      <c r="E66" s="70"/>
      <c r="F66" s="70"/>
      <c r="G66" s="70"/>
      <c r="H66" s="70"/>
      <c r="I66" s="70"/>
      <c r="J66" s="115"/>
      <c r="K66" s="71"/>
      <c r="U66" s="56"/>
    </row>
    <row r="67" spans="2:21" ht="7.5" customHeight="1" thickBot="1" x14ac:dyDescent="0.3"/>
    <row r="68" spans="2:21" x14ac:dyDescent="0.25">
      <c r="B68" s="79" t="s">
        <v>41</v>
      </c>
      <c r="C68" s="67"/>
      <c r="D68" s="67"/>
      <c r="E68" s="67"/>
      <c r="F68" s="67"/>
      <c r="G68" s="67"/>
      <c r="H68" s="67"/>
      <c r="I68" s="67"/>
      <c r="J68" s="114"/>
      <c r="K68" s="68"/>
      <c r="U68" s="55"/>
    </row>
    <row r="69" spans="2:21" x14ac:dyDescent="0.25">
      <c r="B69" s="80" t="s">
        <v>55</v>
      </c>
      <c r="C69" s="48"/>
      <c r="D69" s="48"/>
      <c r="E69" s="48"/>
      <c r="F69" s="48"/>
      <c r="G69" s="48"/>
      <c r="H69" s="48"/>
      <c r="I69" s="48"/>
      <c r="J69" s="109"/>
      <c r="K69" s="69"/>
      <c r="U69" s="50"/>
    </row>
    <row r="70" spans="2:21" ht="19.5" thickBot="1" x14ac:dyDescent="0.3">
      <c r="B70" s="81" t="s">
        <v>54</v>
      </c>
      <c r="C70" s="70"/>
      <c r="D70" s="70"/>
      <c r="E70" s="70"/>
      <c r="F70" s="70"/>
      <c r="G70" s="70"/>
      <c r="H70" s="70"/>
      <c r="I70" s="70"/>
      <c r="J70" s="115"/>
      <c r="K70" s="71"/>
      <c r="U70" s="56"/>
    </row>
    <row r="71" spans="2:21" ht="7.5" customHeight="1" thickBot="1" x14ac:dyDescent="0.3"/>
    <row r="72" spans="2:21" x14ac:dyDescent="0.25">
      <c r="B72" s="79" t="s">
        <v>57</v>
      </c>
      <c r="C72" s="67"/>
      <c r="D72" s="67"/>
      <c r="E72" s="67"/>
      <c r="F72" s="67"/>
      <c r="G72" s="67"/>
      <c r="H72" s="67"/>
      <c r="I72" s="67"/>
      <c r="J72" s="114"/>
      <c r="K72" s="68"/>
      <c r="U72" s="55"/>
    </row>
    <row r="73" spans="2:21" x14ac:dyDescent="0.25">
      <c r="B73" s="80" t="s">
        <v>55</v>
      </c>
      <c r="C73" s="48"/>
      <c r="D73" s="48"/>
      <c r="E73" s="48"/>
      <c r="F73" s="48"/>
      <c r="G73" s="48"/>
      <c r="H73" s="48"/>
      <c r="I73" s="48"/>
      <c r="J73" s="109"/>
      <c r="K73" s="69"/>
      <c r="U73" s="50"/>
    </row>
    <row r="74" spans="2:21" ht="19.5" thickBot="1" x14ac:dyDescent="0.3">
      <c r="B74" s="81" t="s">
        <v>54</v>
      </c>
      <c r="C74" s="70"/>
      <c r="D74" s="70"/>
      <c r="E74" s="70"/>
      <c r="F74" s="70"/>
      <c r="G74" s="70"/>
      <c r="H74" s="70"/>
      <c r="I74" s="70"/>
      <c r="J74" s="115"/>
      <c r="K74" s="71"/>
      <c r="U74" s="56"/>
    </row>
    <row r="75" spans="2:21" ht="7.5" customHeight="1" thickBot="1" x14ac:dyDescent="0.3"/>
    <row r="76" spans="2:21" x14ac:dyDescent="0.25">
      <c r="B76" s="79" t="s">
        <v>58</v>
      </c>
      <c r="C76" s="67"/>
      <c r="D76" s="67"/>
      <c r="E76" s="67"/>
      <c r="F76" s="67"/>
      <c r="G76" s="67"/>
      <c r="H76" s="67"/>
      <c r="I76" s="67"/>
      <c r="J76" s="114"/>
      <c r="K76" s="68"/>
      <c r="U76" s="55"/>
    </row>
    <row r="77" spans="2:21" x14ac:dyDescent="0.25">
      <c r="B77" s="80" t="s">
        <v>55</v>
      </c>
      <c r="C77" s="48"/>
      <c r="D77" s="48"/>
      <c r="E77" s="48"/>
      <c r="F77" s="48"/>
      <c r="G77" s="48"/>
      <c r="H77" s="48"/>
      <c r="I77" s="48"/>
      <c r="J77" s="109"/>
      <c r="K77" s="69"/>
      <c r="U77" s="50"/>
    </row>
    <row r="78" spans="2:21" ht="19.5" thickBot="1" x14ac:dyDescent="0.3">
      <c r="B78" s="81" t="s">
        <v>54</v>
      </c>
      <c r="C78" s="70"/>
      <c r="D78" s="70"/>
      <c r="E78" s="70"/>
      <c r="F78" s="70"/>
      <c r="G78" s="70"/>
      <c r="H78" s="70"/>
      <c r="I78" s="70"/>
      <c r="J78" s="115"/>
      <c r="K78" s="71"/>
      <c r="U78" s="56"/>
    </row>
    <row r="79" spans="2:21" ht="7.5" customHeight="1" thickBot="1" x14ac:dyDescent="0.3"/>
    <row r="80" spans="2:21" ht="19.5" thickBot="1" x14ac:dyDescent="0.3">
      <c r="B80" s="78" t="s">
        <v>59</v>
      </c>
      <c r="C80" s="65"/>
      <c r="D80" s="65"/>
      <c r="E80" s="65"/>
      <c r="F80" s="65"/>
      <c r="G80" s="65"/>
      <c r="H80" s="65"/>
      <c r="I80" s="65"/>
      <c r="J80" s="116"/>
      <c r="K80" s="66"/>
      <c r="U80" s="64"/>
    </row>
  </sheetData>
  <mergeCells count="7">
    <mergeCell ref="V4:V5"/>
    <mergeCell ref="J5:K5"/>
    <mergeCell ref="C59:K59"/>
    <mergeCell ref="I1:U1"/>
    <mergeCell ref="C4:K4"/>
    <mergeCell ref="T4:T5"/>
    <mergeCell ref="U4:U5"/>
  </mergeCells>
  <printOptions horizontalCentered="1" verticalCentered="1"/>
  <pageMargins left="0.19685039370078741" right="0.19685039370078741" top="0.19685039370078741" bottom="0.19685039370078741" header="0.19685039370078741" footer="0.19685039370078741"/>
  <pageSetup paperSize="14" scale="70" orientation="portrait" horizontalDpi="360" verticalDpi="360" r:id="rId1"/>
  <colBreaks count="1" manualBreakCount="1">
    <brk id="24" max="80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336D0-711C-4B48-84B2-8AAC5D618571}">
  <sheetPr>
    <pageSetUpPr fitToPage="1"/>
  </sheetPr>
  <dimension ref="A1:BB80"/>
  <sheetViews>
    <sheetView zoomScaleNormal="100" zoomScaleSheetLayoutView="115" workbookViewId="0">
      <selection activeCell="C23" sqref="C23"/>
    </sheetView>
  </sheetViews>
  <sheetFormatPr defaultColWidth="9.140625" defaultRowHeight="18.75" x14ac:dyDescent="0.25"/>
  <cols>
    <col min="1" max="1" width="4.140625" style="57" bestFit="1" customWidth="1"/>
    <col min="2" max="2" width="12.28515625" style="76" customWidth="1"/>
    <col min="3" max="6" width="10" style="57" customWidth="1"/>
    <col min="7" max="7" width="6.85546875" style="57" customWidth="1"/>
    <col min="8" max="8" width="6.7109375" style="57" customWidth="1"/>
    <col min="9" max="9" width="5.5703125" style="57" bestFit="1" customWidth="1"/>
    <col min="10" max="10" width="6.85546875" style="57" customWidth="1"/>
    <col min="11" max="11" width="5.5703125" style="57" bestFit="1" customWidth="1"/>
    <col min="12" max="12" width="1.42578125" style="57" customWidth="1"/>
    <col min="13" max="13" width="10" style="57" customWidth="1"/>
    <col min="14" max="14" width="5.5703125" style="57" bestFit="1" customWidth="1"/>
    <col min="15" max="15" width="10" style="57" customWidth="1"/>
    <col min="16" max="16" width="5.5703125" style="57" customWidth="1"/>
    <col min="17" max="17" width="10" style="57" customWidth="1"/>
    <col min="18" max="18" width="5.5703125" style="57" bestFit="1" customWidth="1"/>
    <col min="19" max="19" width="1.42578125" style="57" customWidth="1"/>
    <col min="20" max="20" width="12.5703125" style="57" bestFit="1" customWidth="1"/>
    <col min="21" max="21" width="14.28515625" style="57" customWidth="1"/>
    <col min="22" max="22" width="19.42578125" style="57" bestFit="1" customWidth="1"/>
    <col min="23" max="49" width="7.28515625" style="57" customWidth="1"/>
    <col min="50" max="50" width="1.5703125" style="57" customWidth="1"/>
    <col min="51" max="51" width="9.42578125" style="57" customWidth="1"/>
    <col min="52" max="52" width="1.28515625" style="57" customWidth="1"/>
    <col min="53" max="53" width="12.7109375" style="57" bestFit="1" customWidth="1"/>
    <col min="54" max="54" width="10.28515625" style="57" bestFit="1" customWidth="1"/>
    <col min="55" max="16384" width="9.140625" style="57"/>
  </cols>
  <sheetData>
    <row r="1" spans="1:54" ht="15" customHeight="1" x14ac:dyDescent="0.25">
      <c r="B1" s="75" t="s">
        <v>51</v>
      </c>
      <c r="I1" s="194" t="s">
        <v>53</v>
      </c>
      <c r="J1" s="194"/>
      <c r="K1" s="194"/>
      <c r="L1" s="194"/>
      <c r="M1" s="194"/>
      <c r="N1" s="194"/>
      <c r="O1" s="194"/>
      <c r="P1" s="194"/>
      <c r="Q1" s="194"/>
      <c r="R1" s="194"/>
      <c r="S1" s="194"/>
      <c r="T1" s="194"/>
      <c r="U1" s="194"/>
    </row>
    <row r="2" spans="1:54" x14ac:dyDescent="0.25">
      <c r="B2" s="76" t="s">
        <v>87</v>
      </c>
    </row>
    <row r="3" spans="1:54" ht="19.5" thickBot="1" x14ac:dyDescent="0.3"/>
    <row r="4" spans="1:54" s="58" customFormat="1" ht="15.75" x14ac:dyDescent="0.25">
      <c r="B4" s="93" t="s">
        <v>63</v>
      </c>
      <c r="C4" s="189" t="s">
        <v>49</v>
      </c>
      <c r="D4" s="189"/>
      <c r="E4" s="189"/>
      <c r="F4" s="189"/>
      <c r="G4" s="189"/>
      <c r="H4" s="189"/>
      <c r="I4" s="189"/>
      <c r="J4" s="199"/>
      <c r="K4" s="190"/>
      <c r="M4" s="82" t="s">
        <v>0</v>
      </c>
      <c r="N4" s="117" t="s">
        <v>72</v>
      </c>
      <c r="O4" s="84" t="s">
        <v>45</v>
      </c>
      <c r="P4" s="117" t="s">
        <v>72</v>
      </c>
      <c r="Q4" s="85" t="s">
        <v>46</v>
      </c>
      <c r="R4" s="117" t="s">
        <v>72</v>
      </c>
      <c r="S4" s="57"/>
      <c r="T4" s="200" t="s">
        <v>80</v>
      </c>
      <c r="U4" s="202" t="s">
        <v>79</v>
      </c>
      <c r="V4" s="195" t="s">
        <v>78</v>
      </c>
      <c r="AF4" s="59"/>
      <c r="AG4" s="59"/>
      <c r="AH4" s="59"/>
      <c r="AI4" s="59"/>
      <c r="AJ4" s="59"/>
      <c r="AK4" s="59"/>
      <c r="AL4" s="59"/>
      <c r="AM4" s="59"/>
      <c r="AN4" s="59"/>
      <c r="AO4" s="59"/>
      <c r="AP4" s="59"/>
      <c r="AQ4" s="59"/>
      <c r="AR4" s="59"/>
      <c r="AS4" s="59"/>
      <c r="AT4" s="59"/>
      <c r="AU4" s="59"/>
      <c r="AV4" s="59"/>
      <c r="AW4" s="59"/>
      <c r="AX4" s="59"/>
      <c r="AY4" s="59"/>
      <c r="AZ4" s="59"/>
      <c r="BA4" s="59"/>
      <c r="BB4" s="59"/>
    </row>
    <row r="5" spans="1:54" s="58" customFormat="1" ht="15.75" x14ac:dyDescent="0.25">
      <c r="B5" s="87"/>
      <c r="C5" s="92"/>
      <c r="D5" s="92"/>
      <c r="E5" s="92"/>
      <c r="F5" s="92"/>
      <c r="G5" s="92"/>
      <c r="H5" s="92" t="s">
        <v>76</v>
      </c>
      <c r="I5" s="92" t="s">
        <v>71</v>
      </c>
      <c r="J5" s="197" t="s">
        <v>77</v>
      </c>
      <c r="K5" s="198"/>
      <c r="M5" s="87"/>
      <c r="N5" s="118"/>
      <c r="O5" s="92"/>
      <c r="P5" s="128"/>
      <c r="Q5" s="128"/>
      <c r="R5" s="89"/>
      <c r="S5" s="57"/>
      <c r="T5" s="201"/>
      <c r="U5" s="203"/>
      <c r="V5" s="196"/>
      <c r="AF5" s="59"/>
      <c r="AG5" s="59"/>
      <c r="AH5" s="59"/>
      <c r="AI5" s="59"/>
      <c r="AJ5" s="59"/>
      <c r="AK5" s="59"/>
      <c r="AL5" s="59"/>
      <c r="AM5" s="59"/>
      <c r="AN5" s="59"/>
      <c r="AO5" s="59"/>
      <c r="AP5" s="59"/>
      <c r="AQ5" s="59"/>
      <c r="AR5" s="59"/>
      <c r="AS5" s="59"/>
      <c r="AT5" s="59"/>
      <c r="AU5" s="59"/>
      <c r="AV5" s="59"/>
      <c r="AW5" s="59"/>
      <c r="AX5" s="59"/>
      <c r="AY5" s="59"/>
      <c r="AZ5" s="59"/>
      <c r="BA5" s="59"/>
      <c r="BB5" s="59"/>
    </row>
    <row r="6" spans="1:54" s="58" customFormat="1" ht="15.75" x14ac:dyDescent="0.25">
      <c r="B6" s="87"/>
      <c r="C6" s="92"/>
      <c r="D6" s="92"/>
      <c r="E6" s="92"/>
      <c r="F6" s="92"/>
      <c r="G6" s="92"/>
      <c r="H6" s="92"/>
      <c r="I6" s="92"/>
      <c r="J6" s="128"/>
      <c r="K6" s="89"/>
      <c r="M6" s="87"/>
      <c r="N6" s="118"/>
      <c r="O6" s="92"/>
      <c r="P6" s="128"/>
      <c r="Q6" s="128"/>
      <c r="R6" s="89"/>
      <c r="S6" s="57"/>
      <c r="T6" s="90"/>
      <c r="U6" s="90"/>
      <c r="V6" s="90"/>
      <c r="AF6" s="59"/>
      <c r="AG6" s="59"/>
      <c r="AH6" s="59"/>
      <c r="AI6" s="59"/>
      <c r="AJ6" s="59"/>
      <c r="AK6" s="59"/>
      <c r="AL6" s="59"/>
      <c r="AM6" s="59"/>
      <c r="AN6" s="59"/>
      <c r="AO6" s="59"/>
      <c r="AP6" s="59"/>
      <c r="AQ6" s="59"/>
      <c r="AR6" s="59"/>
      <c r="AS6" s="59"/>
      <c r="AT6" s="59"/>
      <c r="AU6" s="59"/>
      <c r="AV6" s="59"/>
      <c r="AW6" s="59"/>
      <c r="AX6" s="59"/>
      <c r="AY6" s="59"/>
      <c r="AZ6" s="59"/>
      <c r="BA6" s="59"/>
      <c r="BB6" s="59"/>
    </row>
    <row r="7" spans="1:54" x14ac:dyDescent="0.25">
      <c r="A7" s="75">
        <v>1</v>
      </c>
      <c r="B7" s="74" t="s">
        <v>34</v>
      </c>
      <c r="C7" s="48">
        <v>30</v>
      </c>
      <c r="D7" s="48"/>
      <c r="E7" s="48"/>
      <c r="F7" s="48"/>
      <c r="G7" s="48"/>
      <c r="H7" s="48">
        <v>17</v>
      </c>
      <c r="I7" s="48">
        <v>1</v>
      </c>
      <c r="J7" s="109"/>
      <c r="K7" s="69">
        <v>6</v>
      </c>
      <c r="M7" s="88">
        <v>1</v>
      </c>
      <c r="N7" s="119"/>
      <c r="O7" s="48">
        <v>3</v>
      </c>
      <c r="P7" s="109"/>
      <c r="Q7" s="109">
        <v>2</v>
      </c>
      <c r="R7" s="69"/>
      <c r="T7" s="91">
        <f>H7+I7+J7+K7+N7+P7+R7</f>
        <v>24</v>
      </c>
      <c r="U7" s="91">
        <f>C7*24+M7*24+O7*24+Q7*24+T7</f>
        <v>888</v>
      </c>
      <c r="V7" s="91">
        <f>U7/24</f>
        <v>37</v>
      </c>
      <c r="W7" s="123"/>
      <c r="AF7" s="60"/>
      <c r="AG7" s="60"/>
      <c r="AH7" s="60"/>
      <c r="AI7" s="60"/>
      <c r="AJ7" s="60"/>
      <c r="AK7" s="60"/>
      <c r="AL7" s="60"/>
      <c r="AM7" s="60"/>
      <c r="AN7" s="60"/>
      <c r="AO7" s="60"/>
      <c r="AP7" s="60"/>
      <c r="AQ7" s="60"/>
      <c r="AR7" s="60"/>
      <c r="AS7" s="60"/>
      <c r="AT7" s="60"/>
      <c r="AU7" s="60"/>
      <c r="AV7" s="60"/>
      <c r="AW7" s="60"/>
      <c r="AX7" s="60"/>
      <c r="AY7" s="60"/>
      <c r="AZ7" s="60"/>
      <c r="BA7" s="60"/>
      <c r="BB7" s="60"/>
    </row>
    <row r="8" spans="1:54" ht="19.5" thickBot="1" x14ac:dyDescent="0.3">
      <c r="A8" s="75">
        <f>A7+1</f>
        <v>2</v>
      </c>
      <c r="B8" s="94" t="s">
        <v>37</v>
      </c>
      <c r="C8" s="95">
        <f>63+32</f>
        <v>95</v>
      </c>
      <c r="D8" s="95"/>
      <c r="E8" s="95"/>
      <c r="F8" s="95"/>
      <c r="G8" s="95"/>
      <c r="H8" s="95"/>
      <c r="I8" s="95"/>
      <c r="J8" s="110"/>
      <c r="K8" s="96"/>
      <c r="L8" s="102"/>
      <c r="M8" s="103">
        <v>2</v>
      </c>
      <c r="N8" s="120"/>
      <c r="O8" s="97"/>
      <c r="P8" s="113"/>
      <c r="Q8" s="113"/>
      <c r="R8" s="98"/>
      <c r="S8" s="102"/>
      <c r="T8" s="126">
        <f t="shared" ref="T8:T40" si="0">H8+I8+J8+K8+N8+P8+R8</f>
        <v>0</v>
      </c>
      <c r="U8" s="124">
        <f>C8*24+M8*24+O8*24+Q8*24+T8</f>
        <v>2328</v>
      </c>
      <c r="V8" s="124">
        <f>U8/24</f>
        <v>97</v>
      </c>
      <c r="W8" s="123"/>
      <c r="AF8" s="60"/>
      <c r="AG8" s="60"/>
      <c r="AH8" s="60"/>
      <c r="AI8" s="60"/>
      <c r="AJ8" s="60"/>
      <c r="AK8" s="60"/>
      <c r="AL8" s="60"/>
      <c r="AM8" s="60"/>
      <c r="AN8" s="60"/>
      <c r="AO8" s="60"/>
      <c r="AP8" s="60"/>
      <c r="AQ8" s="60"/>
      <c r="AR8" s="60"/>
      <c r="AS8" s="60"/>
      <c r="AT8" s="60"/>
      <c r="AU8" s="60"/>
      <c r="AV8" s="60"/>
      <c r="AW8" s="60"/>
      <c r="AX8" s="60"/>
      <c r="AY8" s="60"/>
      <c r="AZ8" s="60"/>
      <c r="BA8" s="60"/>
      <c r="BB8" s="60"/>
    </row>
    <row r="9" spans="1:54" x14ac:dyDescent="0.25">
      <c r="A9" s="75">
        <f t="shared" ref="A9:A56" si="1">A8+1</f>
        <v>3</v>
      </c>
      <c r="B9" s="73" t="s">
        <v>35</v>
      </c>
      <c r="C9" s="47"/>
      <c r="D9" s="47"/>
      <c r="E9" s="47"/>
      <c r="F9" s="47"/>
      <c r="G9" s="47"/>
      <c r="H9" s="47"/>
      <c r="I9" s="47"/>
      <c r="J9" s="111"/>
      <c r="K9" s="46"/>
      <c r="M9" s="52"/>
      <c r="N9" s="121"/>
      <c r="O9" s="47"/>
      <c r="P9" s="111"/>
      <c r="Q9" s="111"/>
      <c r="R9" s="46"/>
      <c r="T9" s="50">
        <f t="shared" si="0"/>
        <v>0</v>
      </c>
      <c r="U9" s="125">
        <f t="shared" ref="U9:U11" si="2">C9*24+M9*24+O9*24+Q9*24+T9</f>
        <v>0</v>
      </c>
      <c r="V9" s="125">
        <f t="shared" ref="V9:V11" si="3">U9/24</f>
        <v>0</v>
      </c>
      <c r="W9" s="123"/>
      <c r="AF9" s="60"/>
      <c r="AG9" s="60"/>
      <c r="AH9" s="60"/>
      <c r="AI9" s="60"/>
      <c r="AJ9" s="60"/>
      <c r="AK9" s="60"/>
      <c r="AL9" s="60"/>
      <c r="AM9" s="60"/>
      <c r="AN9" s="60"/>
      <c r="AO9" s="60"/>
      <c r="AP9" s="60"/>
      <c r="AQ9" s="60"/>
      <c r="AR9" s="60"/>
      <c r="AS9" s="60"/>
      <c r="AT9" s="60"/>
      <c r="AU9" s="60"/>
      <c r="AV9" s="60"/>
      <c r="AW9" s="60"/>
      <c r="AX9" s="60"/>
      <c r="AY9" s="60"/>
      <c r="AZ9" s="60"/>
      <c r="BA9" s="60"/>
      <c r="BB9" s="60"/>
    </row>
    <row r="10" spans="1:54" x14ac:dyDescent="0.25">
      <c r="A10" s="75">
        <f t="shared" si="1"/>
        <v>4</v>
      </c>
      <c r="B10" s="74" t="s">
        <v>38</v>
      </c>
      <c r="C10" s="47">
        <v>117</v>
      </c>
      <c r="D10" s="47"/>
      <c r="E10" s="47"/>
      <c r="F10" s="47"/>
      <c r="G10" s="47"/>
      <c r="H10" s="47"/>
      <c r="I10" s="47"/>
      <c r="J10" s="111"/>
      <c r="K10" s="46"/>
      <c r="M10" s="52">
        <v>2</v>
      </c>
      <c r="N10" s="121"/>
      <c r="O10" s="47"/>
      <c r="P10" s="111"/>
      <c r="Q10" s="111"/>
      <c r="R10" s="46"/>
      <c r="T10" s="91">
        <f t="shared" si="0"/>
        <v>0</v>
      </c>
      <c r="U10" s="91">
        <f t="shared" si="2"/>
        <v>2856</v>
      </c>
      <c r="V10" s="91">
        <f t="shared" si="3"/>
        <v>119</v>
      </c>
      <c r="W10" s="123"/>
      <c r="AF10" s="60"/>
      <c r="AG10" s="60"/>
      <c r="AH10" s="60"/>
      <c r="AI10" s="60"/>
      <c r="AJ10" s="60"/>
      <c r="AK10" s="60"/>
      <c r="AL10" s="60"/>
      <c r="AM10" s="60"/>
      <c r="AN10" s="60"/>
      <c r="AO10" s="60"/>
      <c r="AP10" s="60"/>
      <c r="AQ10" s="60"/>
      <c r="AR10" s="60"/>
      <c r="AS10" s="60"/>
      <c r="AT10" s="60"/>
      <c r="AU10" s="60"/>
      <c r="AV10" s="60"/>
      <c r="AW10" s="60"/>
      <c r="AX10" s="60"/>
      <c r="AY10" s="60"/>
      <c r="AZ10" s="60"/>
      <c r="BA10" s="60"/>
      <c r="BB10" s="60"/>
    </row>
    <row r="11" spans="1:54" x14ac:dyDescent="0.25">
      <c r="A11" s="75">
        <f t="shared" si="1"/>
        <v>5</v>
      </c>
      <c r="B11" s="74" t="s">
        <v>36</v>
      </c>
      <c r="C11" s="47"/>
      <c r="D11" s="47"/>
      <c r="E11" s="47"/>
      <c r="F11" s="47"/>
      <c r="G11" s="47"/>
      <c r="H11" s="47">
        <v>22</v>
      </c>
      <c r="I11" s="47"/>
      <c r="J11" s="111"/>
      <c r="K11" s="46">
        <v>2</v>
      </c>
      <c r="M11" s="52"/>
      <c r="N11" s="121"/>
      <c r="O11" s="47"/>
      <c r="P11" s="111"/>
      <c r="Q11" s="111"/>
      <c r="R11" s="46"/>
      <c r="T11" s="91">
        <f t="shared" si="0"/>
        <v>24</v>
      </c>
      <c r="U11" s="91">
        <f t="shared" si="2"/>
        <v>24</v>
      </c>
      <c r="V11" s="91">
        <f t="shared" si="3"/>
        <v>1</v>
      </c>
      <c r="AF11" s="60"/>
      <c r="AG11" s="60"/>
      <c r="AH11" s="60"/>
      <c r="AI11" s="60"/>
      <c r="AJ11" s="60"/>
      <c r="AK11" s="60"/>
      <c r="AL11" s="60"/>
      <c r="AM11" s="60"/>
      <c r="AN11" s="60"/>
      <c r="AO11" s="60"/>
      <c r="AP11" s="60"/>
      <c r="AQ11" s="60"/>
      <c r="AR11" s="60"/>
      <c r="AS11" s="60"/>
      <c r="AT11" s="60"/>
      <c r="AU11" s="60"/>
      <c r="AV11" s="60"/>
      <c r="AW11" s="60"/>
      <c r="AX11" s="60"/>
      <c r="AY11" s="60"/>
      <c r="AZ11" s="60"/>
      <c r="BA11" s="60"/>
      <c r="BB11" s="60"/>
    </row>
    <row r="12" spans="1:54" s="61" customFormat="1" ht="19.5" thickBot="1" x14ac:dyDescent="0.3">
      <c r="A12" s="75">
        <v>7</v>
      </c>
      <c r="B12" s="94" t="s">
        <v>32</v>
      </c>
      <c r="C12" s="95">
        <f>72+1584+45+576+1440</f>
        <v>3717</v>
      </c>
      <c r="D12" s="95"/>
      <c r="E12" s="95"/>
      <c r="F12" s="95"/>
      <c r="G12" s="95"/>
      <c r="H12" s="95"/>
      <c r="I12" s="95"/>
      <c r="J12" s="110"/>
      <c r="K12" s="96"/>
      <c r="L12" s="102"/>
      <c r="M12" s="103">
        <v>11</v>
      </c>
      <c r="N12" s="120">
        <v>3</v>
      </c>
      <c r="O12" s="97">
        <v>3</v>
      </c>
      <c r="P12" s="113">
        <v>18</v>
      </c>
      <c r="Q12" s="113">
        <v>20</v>
      </c>
      <c r="R12" s="98">
        <v>11</v>
      </c>
      <c r="S12" s="102"/>
      <c r="T12" s="91">
        <f t="shared" si="0"/>
        <v>32</v>
      </c>
      <c r="U12" s="124">
        <f>C12*24+M12*24+O12*24+Q12*24+T12</f>
        <v>90056</v>
      </c>
      <c r="V12" s="124">
        <f>U12/24</f>
        <v>3752.3333333333335</v>
      </c>
      <c r="W12" s="57"/>
      <c r="X12" s="57"/>
      <c r="Y12" s="57"/>
      <c r="Z12" s="57"/>
      <c r="AA12" s="57"/>
      <c r="AB12" s="57"/>
      <c r="AC12" s="57"/>
      <c r="AD12" s="57"/>
      <c r="AE12" s="57"/>
      <c r="AF12" s="60"/>
      <c r="AG12" s="60"/>
      <c r="AH12" s="60"/>
      <c r="AI12" s="60"/>
      <c r="AJ12" s="60"/>
      <c r="AK12" s="60"/>
      <c r="AL12" s="60"/>
      <c r="AM12" s="60"/>
      <c r="AN12" s="60"/>
      <c r="AO12" s="60"/>
      <c r="AP12" s="60"/>
      <c r="AQ12" s="60"/>
      <c r="AR12" s="60"/>
      <c r="AS12" s="60"/>
      <c r="AT12" s="60"/>
      <c r="AU12" s="60"/>
      <c r="AV12" s="60"/>
      <c r="AW12" s="60"/>
      <c r="AX12" s="60"/>
      <c r="AY12" s="60"/>
      <c r="AZ12" s="60"/>
      <c r="BA12" s="60"/>
      <c r="BB12" s="60"/>
    </row>
    <row r="13" spans="1:54" x14ac:dyDescent="0.25">
      <c r="A13" s="75">
        <v>11</v>
      </c>
      <c r="B13" s="73" t="s">
        <v>1</v>
      </c>
      <c r="C13" s="47">
        <v>5</v>
      </c>
      <c r="D13" s="47"/>
      <c r="E13" s="47"/>
      <c r="F13" s="47"/>
      <c r="G13" s="47"/>
      <c r="H13" s="47"/>
      <c r="I13" s="47"/>
      <c r="J13" s="111"/>
      <c r="K13" s="46"/>
      <c r="M13" s="52"/>
      <c r="N13" s="121"/>
      <c r="O13" s="47"/>
      <c r="P13" s="111"/>
      <c r="Q13" s="111"/>
      <c r="R13" s="46"/>
      <c r="T13" s="91">
        <f t="shared" si="0"/>
        <v>0</v>
      </c>
      <c r="U13" s="125">
        <f>C13*24+M13*24+O13*24+Q13*24+T13</f>
        <v>120</v>
      </c>
      <c r="V13" s="125">
        <f>U13/24</f>
        <v>5</v>
      </c>
      <c r="AF13" s="60"/>
      <c r="AG13" s="60"/>
      <c r="AH13" s="60"/>
      <c r="AI13" s="60"/>
      <c r="AJ13" s="60"/>
      <c r="AK13" s="60"/>
      <c r="AL13" s="60"/>
      <c r="AM13" s="60"/>
      <c r="AN13" s="60"/>
      <c r="AO13" s="60"/>
      <c r="AP13" s="60"/>
      <c r="AQ13" s="60"/>
      <c r="AR13" s="60"/>
      <c r="AS13" s="60"/>
      <c r="AT13" s="60"/>
      <c r="AU13" s="60"/>
      <c r="AV13" s="60"/>
      <c r="AW13" s="60"/>
      <c r="AX13" s="60"/>
      <c r="AY13" s="60"/>
      <c r="AZ13" s="60"/>
      <c r="BA13" s="60"/>
      <c r="BB13" s="60"/>
    </row>
    <row r="14" spans="1:54" x14ac:dyDescent="0.25">
      <c r="A14" s="75">
        <f t="shared" si="1"/>
        <v>12</v>
      </c>
      <c r="B14" s="74" t="s">
        <v>2</v>
      </c>
      <c r="C14" s="47"/>
      <c r="D14" s="47"/>
      <c r="E14" s="47"/>
      <c r="F14" s="47"/>
      <c r="G14" s="47"/>
      <c r="H14" s="47"/>
      <c r="I14" s="47"/>
      <c r="J14" s="111"/>
      <c r="K14" s="46"/>
      <c r="M14" s="52"/>
      <c r="N14" s="121"/>
      <c r="O14" s="47"/>
      <c r="P14" s="111"/>
      <c r="Q14" s="111"/>
      <c r="R14" s="46"/>
      <c r="T14" s="91">
        <f t="shared" si="0"/>
        <v>0</v>
      </c>
      <c r="U14" s="50">
        <f t="shared" ref="U14:U36" si="4">C14*24+M14*24+O14*24+Q14*24+T14</f>
        <v>0</v>
      </c>
      <c r="V14" s="50">
        <f t="shared" ref="V14:V36" si="5">U14/24</f>
        <v>0</v>
      </c>
      <c r="AF14" s="60"/>
      <c r="AG14" s="60"/>
      <c r="AH14" s="60"/>
      <c r="AI14" s="60"/>
      <c r="AJ14" s="60"/>
      <c r="AK14" s="60"/>
      <c r="AL14" s="60"/>
      <c r="AM14" s="60"/>
      <c r="AN14" s="60"/>
      <c r="AO14" s="60"/>
      <c r="AP14" s="60"/>
      <c r="AQ14" s="60"/>
      <c r="AR14" s="60"/>
      <c r="AS14" s="60"/>
      <c r="AT14" s="60"/>
      <c r="AU14" s="60"/>
      <c r="AV14" s="60"/>
      <c r="AW14" s="60"/>
      <c r="AX14" s="60"/>
      <c r="AY14" s="60"/>
      <c r="AZ14" s="60"/>
      <c r="BA14" s="60"/>
      <c r="BB14" s="60"/>
    </row>
    <row r="15" spans="1:54" x14ac:dyDescent="0.25">
      <c r="A15" s="75">
        <f t="shared" si="1"/>
        <v>13</v>
      </c>
      <c r="B15" s="74" t="s">
        <v>3</v>
      </c>
      <c r="C15" s="47"/>
      <c r="D15" s="47"/>
      <c r="E15" s="47"/>
      <c r="F15" s="47"/>
      <c r="G15" s="47"/>
      <c r="H15" s="47"/>
      <c r="I15" s="47"/>
      <c r="J15" s="111"/>
      <c r="K15" s="46"/>
      <c r="M15" s="52"/>
      <c r="N15" s="121"/>
      <c r="O15" s="47"/>
      <c r="P15" s="111"/>
      <c r="Q15" s="111"/>
      <c r="R15" s="46"/>
      <c r="T15" s="91">
        <f t="shared" si="0"/>
        <v>0</v>
      </c>
      <c r="U15" s="50">
        <f t="shared" si="4"/>
        <v>0</v>
      </c>
      <c r="V15" s="50">
        <f t="shared" si="5"/>
        <v>0</v>
      </c>
      <c r="AF15" s="60"/>
      <c r="AG15" s="60"/>
      <c r="AH15" s="60"/>
      <c r="AI15" s="60"/>
      <c r="AJ15" s="60"/>
      <c r="AK15" s="60"/>
      <c r="AL15" s="60"/>
      <c r="AM15" s="60"/>
      <c r="AN15" s="60"/>
      <c r="AO15" s="60"/>
      <c r="AP15" s="60"/>
      <c r="AQ15" s="60"/>
      <c r="AR15" s="60"/>
      <c r="AS15" s="60"/>
      <c r="AT15" s="60"/>
      <c r="AU15" s="60"/>
      <c r="AV15" s="60"/>
      <c r="AW15" s="60"/>
      <c r="AX15" s="60"/>
      <c r="AY15" s="60"/>
      <c r="AZ15" s="60"/>
      <c r="BA15" s="60"/>
      <c r="BB15" s="60"/>
    </row>
    <row r="16" spans="1:54" x14ac:dyDescent="0.25">
      <c r="A16" s="75">
        <f t="shared" si="1"/>
        <v>14</v>
      </c>
      <c r="B16" s="74" t="s">
        <v>4</v>
      </c>
      <c r="C16" s="47"/>
      <c r="D16" s="47"/>
      <c r="E16" s="47"/>
      <c r="F16" s="47"/>
      <c r="G16" s="47"/>
      <c r="H16" s="47"/>
      <c r="I16" s="47"/>
      <c r="J16" s="111"/>
      <c r="K16" s="46"/>
      <c r="M16" s="52"/>
      <c r="N16" s="121"/>
      <c r="O16" s="47"/>
      <c r="P16" s="111"/>
      <c r="Q16" s="111"/>
      <c r="R16" s="46"/>
      <c r="T16" s="91">
        <f t="shared" si="0"/>
        <v>0</v>
      </c>
      <c r="U16" s="50">
        <f t="shared" si="4"/>
        <v>0</v>
      </c>
      <c r="V16" s="50">
        <f t="shared" si="5"/>
        <v>0</v>
      </c>
      <c r="AF16" s="60"/>
      <c r="AG16" s="60"/>
      <c r="AH16" s="60"/>
      <c r="AI16" s="60"/>
      <c r="AJ16" s="60"/>
      <c r="AK16" s="60"/>
      <c r="AL16" s="60"/>
      <c r="AM16" s="60"/>
      <c r="AN16" s="60"/>
      <c r="AO16" s="60"/>
      <c r="AP16" s="60"/>
      <c r="AQ16" s="60"/>
      <c r="AR16" s="60"/>
      <c r="AS16" s="60"/>
      <c r="AT16" s="60"/>
      <c r="AU16" s="60"/>
      <c r="AV16" s="60"/>
      <c r="AW16" s="60"/>
      <c r="AX16" s="60"/>
      <c r="AY16" s="60"/>
      <c r="AZ16" s="60"/>
      <c r="BA16" s="60"/>
      <c r="BB16" s="60"/>
    </row>
    <row r="17" spans="1:54" x14ac:dyDescent="0.25">
      <c r="A17" s="75">
        <f t="shared" si="1"/>
        <v>15</v>
      </c>
      <c r="B17" s="74" t="s">
        <v>5</v>
      </c>
      <c r="C17" s="47">
        <v>4</v>
      </c>
      <c r="D17" s="47"/>
      <c r="E17" s="47"/>
      <c r="F17" s="47"/>
      <c r="G17" s="47"/>
      <c r="H17" s="47"/>
      <c r="I17" s="47"/>
      <c r="J17" s="111"/>
      <c r="K17" s="46"/>
      <c r="M17" s="52"/>
      <c r="N17" s="121"/>
      <c r="O17" s="47"/>
      <c r="P17" s="111"/>
      <c r="Q17" s="111"/>
      <c r="R17" s="46"/>
      <c r="T17" s="91">
        <f t="shared" si="0"/>
        <v>0</v>
      </c>
      <c r="U17" s="50">
        <f t="shared" si="4"/>
        <v>96</v>
      </c>
      <c r="V17" s="50">
        <f t="shared" si="5"/>
        <v>4</v>
      </c>
      <c r="AF17" s="60"/>
      <c r="AG17" s="60"/>
      <c r="AH17" s="60"/>
      <c r="AI17" s="60"/>
      <c r="AJ17" s="60"/>
      <c r="AK17" s="60"/>
      <c r="AL17" s="60"/>
      <c r="AM17" s="60"/>
      <c r="AN17" s="60"/>
      <c r="AO17" s="60"/>
      <c r="AP17" s="60"/>
      <c r="AQ17" s="60"/>
      <c r="AR17" s="60"/>
      <c r="AS17" s="60"/>
      <c r="AT17" s="60"/>
      <c r="AU17" s="60"/>
      <c r="AV17" s="60"/>
      <c r="AW17" s="60"/>
      <c r="AX17" s="60"/>
      <c r="AY17" s="60"/>
      <c r="AZ17" s="60"/>
      <c r="BA17" s="60"/>
      <c r="BB17" s="60"/>
    </row>
    <row r="18" spans="1:54" hidden="1" x14ac:dyDescent="0.25">
      <c r="A18" s="75">
        <f t="shared" si="1"/>
        <v>16</v>
      </c>
      <c r="B18" s="74" t="s">
        <v>10</v>
      </c>
      <c r="C18" s="47"/>
      <c r="D18" s="47"/>
      <c r="E18" s="47"/>
      <c r="F18" s="47"/>
      <c r="G18" s="47"/>
      <c r="H18" s="47"/>
      <c r="I18" s="47"/>
      <c r="J18" s="111"/>
      <c r="K18" s="46"/>
      <c r="M18" s="52"/>
      <c r="N18" s="121"/>
      <c r="O18" s="47"/>
      <c r="P18" s="111"/>
      <c r="Q18" s="111"/>
      <c r="R18" s="46"/>
      <c r="T18" s="91">
        <f t="shared" si="0"/>
        <v>0</v>
      </c>
      <c r="U18" s="50">
        <f t="shared" si="4"/>
        <v>0</v>
      </c>
      <c r="V18" s="50">
        <f t="shared" si="5"/>
        <v>0</v>
      </c>
      <c r="AF18" s="60"/>
      <c r="AG18" s="60"/>
      <c r="AH18" s="60"/>
      <c r="AI18" s="60"/>
      <c r="AJ18" s="60"/>
      <c r="AK18" s="60"/>
      <c r="AL18" s="60"/>
      <c r="AM18" s="60"/>
      <c r="AN18" s="60"/>
      <c r="AO18" s="60"/>
      <c r="AP18" s="60"/>
      <c r="AQ18" s="60"/>
      <c r="AR18" s="60"/>
      <c r="AS18" s="60"/>
      <c r="AT18" s="60"/>
      <c r="AU18" s="60"/>
      <c r="AV18" s="60"/>
      <c r="AW18" s="60"/>
      <c r="AX18" s="60"/>
      <c r="AY18" s="60"/>
      <c r="AZ18" s="60"/>
      <c r="BA18" s="60"/>
      <c r="BB18" s="60"/>
    </row>
    <row r="19" spans="1:54" x14ac:dyDescent="0.25">
      <c r="A19" s="75">
        <v>16</v>
      </c>
      <c r="B19" s="74" t="s">
        <v>64</v>
      </c>
      <c r="C19" s="47">
        <v>4</v>
      </c>
      <c r="D19" s="47"/>
      <c r="E19" s="47"/>
      <c r="F19" s="47"/>
      <c r="G19" s="47"/>
      <c r="H19" s="47"/>
      <c r="I19" s="47"/>
      <c r="J19" s="111"/>
      <c r="K19" s="46"/>
      <c r="M19" s="52"/>
      <c r="N19" s="121"/>
      <c r="O19" s="47"/>
      <c r="P19" s="111"/>
      <c r="Q19" s="111"/>
      <c r="R19" s="46"/>
      <c r="T19" s="91">
        <f t="shared" si="0"/>
        <v>0</v>
      </c>
      <c r="U19" s="50">
        <f t="shared" si="4"/>
        <v>96</v>
      </c>
      <c r="V19" s="50">
        <f t="shared" si="5"/>
        <v>4</v>
      </c>
      <c r="AF19" s="60"/>
      <c r="AG19" s="60"/>
      <c r="AH19" s="60"/>
      <c r="AI19" s="60"/>
      <c r="AJ19" s="60"/>
      <c r="AK19" s="60"/>
      <c r="AL19" s="60"/>
      <c r="AM19" s="60"/>
      <c r="AN19" s="60"/>
      <c r="AO19" s="60"/>
      <c r="AP19" s="60"/>
      <c r="AQ19" s="60"/>
      <c r="AR19" s="60"/>
      <c r="AS19" s="60"/>
      <c r="AT19" s="60"/>
      <c r="AU19" s="60"/>
      <c r="AV19" s="60"/>
      <c r="AW19" s="60"/>
      <c r="AX19" s="60"/>
      <c r="AY19" s="60"/>
      <c r="AZ19" s="60"/>
      <c r="BA19" s="60"/>
      <c r="BB19" s="60"/>
    </row>
    <row r="20" spans="1:54" x14ac:dyDescent="0.25">
      <c r="A20" s="75">
        <f t="shared" si="1"/>
        <v>17</v>
      </c>
      <c r="B20" s="74" t="s">
        <v>6</v>
      </c>
      <c r="C20" s="47">
        <v>6</v>
      </c>
      <c r="D20" s="47"/>
      <c r="E20" s="47"/>
      <c r="F20" s="47"/>
      <c r="G20" s="47"/>
      <c r="H20" s="47"/>
      <c r="I20" s="47"/>
      <c r="J20" s="111"/>
      <c r="K20" s="46"/>
      <c r="M20" s="52"/>
      <c r="N20" s="121"/>
      <c r="O20" s="47"/>
      <c r="P20" s="111"/>
      <c r="Q20" s="111"/>
      <c r="R20" s="46"/>
      <c r="T20" s="91">
        <f t="shared" si="0"/>
        <v>0</v>
      </c>
      <c r="U20" s="50">
        <f t="shared" si="4"/>
        <v>144</v>
      </c>
      <c r="V20" s="50">
        <f t="shared" si="5"/>
        <v>6</v>
      </c>
      <c r="AF20" s="60"/>
      <c r="AG20" s="60"/>
      <c r="AH20" s="60"/>
      <c r="AI20" s="60"/>
      <c r="AJ20" s="60"/>
      <c r="AK20" s="60"/>
      <c r="AL20" s="60"/>
      <c r="AM20" s="60"/>
      <c r="AN20" s="60"/>
      <c r="AO20" s="60"/>
      <c r="AP20" s="60"/>
      <c r="AQ20" s="60"/>
      <c r="AR20" s="60"/>
      <c r="AS20" s="60"/>
      <c r="AT20" s="60"/>
      <c r="AU20" s="60"/>
      <c r="AV20" s="60"/>
      <c r="AW20" s="60"/>
      <c r="AX20" s="60"/>
      <c r="AY20" s="60"/>
      <c r="AZ20" s="60"/>
      <c r="BA20" s="60"/>
      <c r="BB20" s="60"/>
    </row>
    <row r="21" spans="1:54" x14ac:dyDescent="0.25">
      <c r="A21" s="75">
        <f t="shared" si="1"/>
        <v>18</v>
      </c>
      <c r="B21" s="74" t="s">
        <v>7</v>
      </c>
      <c r="C21" s="47">
        <v>4</v>
      </c>
      <c r="D21" s="47"/>
      <c r="E21" s="47"/>
      <c r="F21" s="47"/>
      <c r="G21" s="47"/>
      <c r="H21" s="47"/>
      <c r="I21" s="47"/>
      <c r="J21" s="111"/>
      <c r="K21" s="46"/>
      <c r="M21" s="52"/>
      <c r="N21" s="121"/>
      <c r="O21" s="47"/>
      <c r="P21" s="111"/>
      <c r="Q21" s="111"/>
      <c r="R21" s="46"/>
      <c r="T21" s="91">
        <f t="shared" si="0"/>
        <v>0</v>
      </c>
      <c r="U21" s="50">
        <f t="shared" si="4"/>
        <v>96</v>
      </c>
      <c r="V21" s="50">
        <f t="shared" si="5"/>
        <v>4</v>
      </c>
      <c r="AF21" s="60"/>
      <c r="AG21" s="60"/>
      <c r="AH21" s="60"/>
      <c r="AI21" s="60"/>
      <c r="AJ21" s="60"/>
      <c r="AK21" s="60"/>
      <c r="AL21" s="60"/>
      <c r="AM21" s="60"/>
      <c r="AN21" s="60"/>
      <c r="AO21" s="60"/>
      <c r="AP21" s="60"/>
      <c r="AQ21" s="60"/>
      <c r="AR21" s="60"/>
      <c r="AS21" s="60"/>
      <c r="AT21" s="60"/>
      <c r="AU21" s="60"/>
      <c r="AV21" s="60"/>
      <c r="AW21" s="60"/>
      <c r="AX21" s="60"/>
      <c r="AY21" s="60"/>
      <c r="AZ21" s="60"/>
      <c r="BA21" s="60"/>
      <c r="BB21" s="60"/>
    </row>
    <row r="22" spans="1:54" s="61" customFormat="1" x14ac:dyDescent="0.25">
      <c r="A22" s="75">
        <f t="shared" si="1"/>
        <v>19</v>
      </c>
      <c r="B22" s="74" t="s">
        <v>65</v>
      </c>
      <c r="C22" s="47">
        <v>2</v>
      </c>
      <c r="D22" s="47"/>
      <c r="E22" s="47"/>
      <c r="F22" s="47"/>
      <c r="G22" s="47"/>
      <c r="H22" s="47"/>
      <c r="I22" s="47"/>
      <c r="J22" s="111"/>
      <c r="K22" s="46"/>
      <c r="L22" s="57"/>
      <c r="M22" s="52"/>
      <c r="N22" s="121"/>
      <c r="O22" s="47"/>
      <c r="P22" s="111"/>
      <c r="Q22" s="111"/>
      <c r="R22" s="46"/>
      <c r="S22" s="57"/>
      <c r="T22" s="91">
        <f t="shared" si="0"/>
        <v>0</v>
      </c>
      <c r="U22" s="50">
        <f t="shared" si="4"/>
        <v>48</v>
      </c>
      <c r="V22" s="50">
        <f t="shared" si="5"/>
        <v>2</v>
      </c>
      <c r="W22" s="57"/>
      <c r="X22" s="57"/>
      <c r="Y22" s="57"/>
      <c r="Z22" s="57"/>
      <c r="AA22" s="57"/>
      <c r="AB22" s="57"/>
      <c r="AC22" s="57"/>
      <c r="AD22" s="57"/>
      <c r="AE22" s="57"/>
      <c r="AF22" s="60"/>
      <c r="AG22" s="60"/>
      <c r="AH22" s="60"/>
      <c r="AI22" s="60"/>
      <c r="AJ22" s="60"/>
      <c r="AK22" s="60"/>
      <c r="AL22" s="60"/>
      <c r="AM22" s="60"/>
      <c r="AN22" s="60"/>
      <c r="AO22" s="60"/>
      <c r="AP22" s="60"/>
      <c r="AQ22" s="60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</row>
    <row r="23" spans="1:54" s="61" customFormat="1" x14ac:dyDescent="0.25">
      <c r="A23" s="75">
        <f t="shared" si="1"/>
        <v>20</v>
      </c>
      <c r="B23" s="74" t="s">
        <v>66</v>
      </c>
      <c r="C23" s="47">
        <v>54</v>
      </c>
      <c r="D23" s="47"/>
      <c r="E23" s="47"/>
      <c r="F23" s="47"/>
      <c r="G23" s="47"/>
      <c r="H23" s="47"/>
      <c r="I23" s="47"/>
      <c r="J23" s="111"/>
      <c r="K23" s="46"/>
      <c r="L23" s="57"/>
      <c r="M23" s="52">
        <v>3</v>
      </c>
      <c r="N23" s="121"/>
      <c r="O23" s="47"/>
      <c r="P23" s="111"/>
      <c r="Q23" s="111"/>
      <c r="R23" s="46"/>
      <c r="S23" s="57"/>
      <c r="T23" s="91">
        <f t="shared" si="0"/>
        <v>0</v>
      </c>
      <c r="U23" s="50">
        <f t="shared" si="4"/>
        <v>1368</v>
      </c>
      <c r="V23" s="50">
        <f t="shared" si="5"/>
        <v>57</v>
      </c>
      <c r="W23" s="57"/>
      <c r="X23" s="57"/>
      <c r="Y23" s="57"/>
      <c r="Z23" s="57"/>
      <c r="AA23" s="57"/>
      <c r="AB23" s="57"/>
      <c r="AC23" s="57"/>
      <c r="AD23" s="57"/>
      <c r="AE23" s="57"/>
      <c r="AF23" s="60"/>
      <c r="AG23" s="60"/>
      <c r="AH23" s="60"/>
      <c r="AI23" s="60"/>
      <c r="AJ23" s="60"/>
      <c r="AK23" s="60"/>
      <c r="AL23" s="60"/>
      <c r="AM23" s="60"/>
      <c r="AN23" s="60"/>
      <c r="AO23" s="60"/>
      <c r="AP23" s="60"/>
      <c r="AQ23" s="60"/>
      <c r="AR23" s="60"/>
      <c r="AS23" s="60"/>
      <c r="AT23" s="60"/>
      <c r="AU23" s="60"/>
      <c r="AV23" s="60"/>
      <c r="AW23" s="60"/>
      <c r="AX23" s="60"/>
      <c r="AY23" s="60"/>
      <c r="AZ23" s="60"/>
      <c r="BA23" s="60"/>
      <c r="BB23" s="60"/>
    </row>
    <row r="24" spans="1:54" s="61" customFormat="1" x14ac:dyDescent="0.25">
      <c r="A24" s="75">
        <f t="shared" si="1"/>
        <v>21</v>
      </c>
      <c r="B24" s="74" t="s">
        <v>75</v>
      </c>
      <c r="C24" s="47">
        <v>3</v>
      </c>
      <c r="D24" s="47"/>
      <c r="E24" s="47"/>
      <c r="F24" s="47"/>
      <c r="G24" s="47"/>
      <c r="H24" s="47"/>
      <c r="I24" s="47"/>
      <c r="J24" s="111"/>
      <c r="K24" s="46"/>
      <c r="L24" s="57"/>
      <c r="M24" s="52"/>
      <c r="N24" s="121"/>
      <c r="O24" s="47"/>
      <c r="P24" s="111"/>
      <c r="Q24" s="111"/>
      <c r="R24" s="46"/>
      <c r="S24" s="57"/>
      <c r="T24" s="91">
        <f t="shared" si="0"/>
        <v>0</v>
      </c>
      <c r="U24" s="50">
        <f t="shared" si="4"/>
        <v>72</v>
      </c>
      <c r="V24" s="50">
        <f t="shared" si="5"/>
        <v>3</v>
      </c>
      <c r="W24" s="57"/>
      <c r="X24" s="57"/>
      <c r="Y24" s="57"/>
      <c r="Z24" s="57"/>
      <c r="AA24" s="57"/>
      <c r="AB24" s="57"/>
      <c r="AC24" s="57"/>
      <c r="AD24" s="57"/>
      <c r="AE24" s="57"/>
      <c r="AF24" s="60"/>
      <c r="AG24" s="60"/>
      <c r="AH24" s="60"/>
      <c r="AI24" s="60"/>
      <c r="AJ24" s="60"/>
      <c r="AK24" s="60"/>
      <c r="AL24" s="60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</row>
    <row r="25" spans="1:54" x14ac:dyDescent="0.25">
      <c r="A25" s="75">
        <f t="shared" si="1"/>
        <v>22</v>
      </c>
      <c r="B25" s="74" t="s">
        <v>67</v>
      </c>
      <c r="C25" s="47">
        <v>7</v>
      </c>
      <c r="D25" s="47"/>
      <c r="E25" s="47"/>
      <c r="F25" s="47"/>
      <c r="G25" s="47"/>
      <c r="H25" s="47"/>
      <c r="I25" s="47"/>
      <c r="J25" s="111"/>
      <c r="K25" s="46"/>
      <c r="M25" s="52"/>
      <c r="N25" s="121"/>
      <c r="O25" s="47"/>
      <c r="P25" s="111"/>
      <c r="Q25" s="111"/>
      <c r="R25" s="46"/>
      <c r="T25" s="91">
        <f t="shared" si="0"/>
        <v>0</v>
      </c>
      <c r="U25" s="50">
        <f t="shared" si="4"/>
        <v>168</v>
      </c>
      <c r="V25" s="50">
        <f t="shared" si="5"/>
        <v>7</v>
      </c>
      <c r="AF25" s="60"/>
      <c r="AG25" s="60"/>
      <c r="AH25" s="60"/>
      <c r="AI25" s="60"/>
      <c r="AJ25" s="60"/>
      <c r="AK25" s="60"/>
      <c r="AL25" s="60"/>
      <c r="AM25" s="60"/>
      <c r="AN25" s="60"/>
      <c r="AO25" s="60"/>
      <c r="AP25" s="60"/>
      <c r="AQ25" s="60"/>
      <c r="AR25" s="60"/>
      <c r="AS25" s="60"/>
      <c r="AT25" s="60"/>
      <c r="AU25" s="60"/>
      <c r="AV25" s="60"/>
      <c r="AW25" s="60"/>
      <c r="AX25" s="60"/>
      <c r="AY25" s="60"/>
      <c r="AZ25" s="60"/>
      <c r="BA25" s="60"/>
      <c r="BB25" s="60"/>
    </row>
    <row r="26" spans="1:54" x14ac:dyDescent="0.25">
      <c r="A26" s="75">
        <f t="shared" si="1"/>
        <v>23</v>
      </c>
      <c r="B26" s="74" t="s">
        <v>9</v>
      </c>
      <c r="C26" s="47">
        <f>63+40</f>
        <v>103</v>
      </c>
      <c r="D26" s="47"/>
      <c r="E26" s="47"/>
      <c r="F26" s="47"/>
      <c r="G26" s="47"/>
      <c r="H26" s="47">
        <v>22</v>
      </c>
      <c r="I26" s="47">
        <v>1</v>
      </c>
      <c r="J26" s="111"/>
      <c r="K26" s="46"/>
      <c r="M26" s="52">
        <v>2</v>
      </c>
      <c r="N26" s="121"/>
      <c r="O26" s="47">
        <v>2</v>
      </c>
      <c r="P26" s="111"/>
      <c r="Q26" s="111">
        <v>2</v>
      </c>
      <c r="R26" s="46"/>
      <c r="T26" s="91">
        <f t="shared" si="0"/>
        <v>23</v>
      </c>
      <c r="U26" s="50">
        <f t="shared" si="4"/>
        <v>2639</v>
      </c>
      <c r="V26" s="50">
        <f t="shared" si="5"/>
        <v>109.95833333333333</v>
      </c>
      <c r="AY26" s="62" t="e">
        <f>#REF!-AY25</f>
        <v>#REF!</v>
      </c>
    </row>
    <row r="27" spans="1:54" s="61" customFormat="1" x14ac:dyDescent="0.25">
      <c r="A27" s="75">
        <f t="shared" si="1"/>
        <v>24</v>
      </c>
      <c r="B27" s="74" t="s">
        <v>11</v>
      </c>
      <c r="C27" s="47"/>
      <c r="D27" s="47"/>
      <c r="E27" s="47"/>
      <c r="F27" s="47"/>
      <c r="G27" s="47"/>
      <c r="H27" s="47"/>
      <c r="I27" s="47"/>
      <c r="J27" s="111"/>
      <c r="K27" s="46"/>
      <c r="L27" s="57"/>
      <c r="M27" s="52"/>
      <c r="N27" s="121"/>
      <c r="O27" s="47"/>
      <c r="P27" s="111"/>
      <c r="Q27" s="111"/>
      <c r="R27" s="46"/>
      <c r="S27" s="57"/>
      <c r="T27" s="91">
        <f t="shared" si="0"/>
        <v>0</v>
      </c>
      <c r="U27" s="50">
        <f t="shared" si="4"/>
        <v>0</v>
      </c>
      <c r="V27" s="50">
        <f t="shared" si="5"/>
        <v>0</v>
      </c>
      <c r="W27" s="57"/>
      <c r="X27" s="57"/>
      <c r="Y27" s="57"/>
      <c r="Z27" s="57"/>
      <c r="AA27" s="57"/>
      <c r="AB27" s="57"/>
      <c r="AC27" s="57"/>
      <c r="AD27" s="57"/>
      <c r="AE27" s="57"/>
    </row>
    <row r="28" spans="1:54" s="61" customFormat="1" x14ac:dyDescent="0.25">
      <c r="A28" s="75">
        <f t="shared" si="1"/>
        <v>25</v>
      </c>
      <c r="B28" s="74" t="s">
        <v>12</v>
      </c>
      <c r="C28" s="47"/>
      <c r="D28" s="47"/>
      <c r="E28" s="47"/>
      <c r="F28" s="47"/>
      <c r="G28" s="47"/>
      <c r="H28" s="47"/>
      <c r="I28" s="47"/>
      <c r="J28" s="111"/>
      <c r="K28" s="46"/>
      <c r="L28" s="57"/>
      <c r="M28" s="52">
        <v>1</v>
      </c>
      <c r="N28" s="121"/>
      <c r="O28" s="47">
        <v>2</v>
      </c>
      <c r="P28" s="111"/>
      <c r="Q28" s="111"/>
      <c r="R28" s="46"/>
      <c r="S28" s="57"/>
      <c r="T28" s="91">
        <f t="shared" si="0"/>
        <v>0</v>
      </c>
      <c r="U28" s="50">
        <f t="shared" si="4"/>
        <v>72</v>
      </c>
      <c r="V28" s="50">
        <f t="shared" si="5"/>
        <v>3</v>
      </c>
      <c r="W28" s="57"/>
      <c r="X28" s="57"/>
      <c r="Y28" s="57"/>
      <c r="Z28" s="57"/>
      <c r="AA28" s="57"/>
      <c r="AB28" s="57"/>
      <c r="AC28" s="57"/>
      <c r="AD28" s="57"/>
      <c r="AE28" s="57"/>
    </row>
    <row r="29" spans="1:54" x14ac:dyDescent="0.25">
      <c r="A29" s="75">
        <f t="shared" si="1"/>
        <v>26</v>
      </c>
      <c r="B29" s="74" t="s">
        <v>14</v>
      </c>
      <c r="C29" s="47"/>
      <c r="D29" s="47"/>
      <c r="E29" s="47"/>
      <c r="F29" s="47"/>
      <c r="G29" s="47"/>
      <c r="H29" s="47"/>
      <c r="I29" s="47"/>
      <c r="J29" s="111"/>
      <c r="K29" s="46"/>
      <c r="M29" s="52"/>
      <c r="N29" s="121"/>
      <c r="O29" s="47"/>
      <c r="P29" s="111"/>
      <c r="Q29" s="111"/>
      <c r="R29" s="46"/>
      <c r="T29" s="91">
        <f t="shared" si="0"/>
        <v>0</v>
      </c>
      <c r="U29" s="50">
        <f t="shared" si="4"/>
        <v>0</v>
      </c>
      <c r="V29" s="50">
        <f t="shared" si="5"/>
        <v>0</v>
      </c>
    </row>
    <row r="30" spans="1:54" x14ac:dyDescent="0.25">
      <c r="A30" s="75">
        <f t="shared" si="1"/>
        <v>27</v>
      </c>
      <c r="B30" s="74" t="s">
        <v>16</v>
      </c>
      <c r="C30" s="47">
        <f>63+7</f>
        <v>70</v>
      </c>
      <c r="D30" s="47"/>
      <c r="E30" s="47"/>
      <c r="F30" s="47"/>
      <c r="G30" s="47"/>
      <c r="H30" s="47"/>
      <c r="I30" s="47"/>
      <c r="J30" s="111"/>
      <c r="K30" s="46"/>
      <c r="M30" s="52"/>
      <c r="N30" s="121"/>
      <c r="O30" s="47">
        <v>2</v>
      </c>
      <c r="P30" s="111"/>
      <c r="Q30" s="111">
        <v>1</v>
      </c>
      <c r="R30" s="46"/>
      <c r="T30" s="91">
        <f t="shared" si="0"/>
        <v>0</v>
      </c>
      <c r="U30" s="50">
        <f t="shared" si="4"/>
        <v>1752</v>
      </c>
      <c r="V30" s="50">
        <f t="shared" si="5"/>
        <v>73</v>
      </c>
    </row>
    <row r="31" spans="1:54" x14ac:dyDescent="0.25">
      <c r="A31" s="75">
        <f t="shared" si="1"/>
        <v>28</v>
      </c>
      <c r="B31" s="74" t="s">
        <v>13</v>
      </c>
      <c r="C31" s="47"/>
      <c r="D31" s="47"/>
      <c r="E31" s="47"/>
      <c r="F31" s="47"/>
      <c r="G31" s="47"/>
      <c r="H31" s="47"/>
      <c r="I31" s="47"/>
      <c r="J31" s="111"/>
      <c r="K31" s="46"/>
      <c r="M31" s="52"/>
      <c r="N31" s="121"/>
      <c r="O31" s="47"/>
      <c r="P31" s="111"/>
      <c r="Q31" s="111"/>
      <c r="R31" s="46"/>
      <c r="T31" s="91">
        <f t="shared" si="0"/>
        <v>0</v>
      </c>
      <c r="U31" s="50">
        <f t="shared" si="4"/>
        <v>0</v>
      </c>
      <c r="V31" s="50">
        <f t="shared" si="5"/>
        <v>0</v>
      </c>
    </row>
    <row r="32" spans="1:54" x14ac:dyDescent="0.25">
      <c r="A32" s="75">
        <f t="shared" si="1"/>
        <v>29</v>
      </c>
      <c r="B32" s="74" t="s">
        <v>15</v>
      </c>
      <c r="C32" s="47"/>
      <c r="D32" s="47"/>
      <c r="E32" s="47"/>
      <c r="F32" s="47"/>
      <c r="G32" s="47"/>
      <c r="H32" s="47"/>
      <c r="I32" s="47"/>
      <c r="J32" s="111"/>
      <c r="K32" s="46"/>
      <c r="M32" s="52"/>
      <c r="N32" s="121"/>
      <c r="O32" s="47"/>
      <c r="P32" s="111"/>
      <c r="Q32" s="111"/>
      <c r="R32" s="46"/>
      <c r="T32" s="91">
        <f t="shared" si="0"/>
        <v>0</v>
      </c>
      <c r="U32" s="50">
        <f t="shared" si="4"/>
        <v>0</v>
      </c>
      <c r="V32" s="50">
        <f t="shared" si="5"/>
        <v>0</v>
      </c>
    </row>
    <row r="33" spans="1:23" x14ac:dyDescent="0.25">
      <c r="A33" s="75">
        <f t="shared" si="1"/>
        <v>30</v>
      </c>
      <c r="B33" s="74" t="s">
        <v>17</v>
      </c>
      <c r="C33" s="47"/>
      <c r="D33" s="47"/>
      <c r="E33" s="47"/>
      <c r="F33" s="47"/>
      <c r="G33" s="47"/>
      <c r="H33" s="47"/>
      <c r="I33" s="47"/>
      <c r="J33" s="111"/>
      <c r="K33" s="46"/>
      <c r="M33" s="52"/>
      <c r="N33" s="121"/>
      <c r="O33" s="47"/>
      <c r="P33" s="111"/>
      <c r="Q33" s="111"/>
      <c r="R33" s="46"/>
      <c r="T33" s="91">
        <f t="shared" si="0"/>
        <v>0</v>
      </c>
      <c r="U33" s="50">
        <f t="shared" si="4"/>
        <v>0</v>
      </c>
      <c r="V33" s="50">
        <f t="shared" si="5"/>
        <v>0</v>
      </c>
    </row>
    <row r="34" spans="1:23" x14ac:dyDescent="0.25">
      <c r="A34" s="75">
        <f t="shared" si="1"/>
        <v>31</v>
      </c>
      <c r="B34" s="74" t="s">
        <v>18</v>
      </c>
      <c r="C34" s="47">
        <f>144+43</f>
        <v>187</v>
      </c>
      <c r="D34" s="47"/>
      <c r="E34" s="47"/>
      <c r="F34" s="47"/>
      <c r="G34" s="47"/>
      <c r="H34" s="47">
        <v>22</v>
      </c>
      <c r="I34" s="47"/>
      <c r="J34" s="111"/>
      <c r="K34" s="46">
        <v>1</v>
      </c>
      <c r="M34" s="52">
        <v>2</v>
      </c>
      <c r="N34" s="121"/>
      <c r="O34" s="47">
        <v>2</v>
      </c>
      <c r="P34" s="111"/>
      <c r="Q34" s="111">
        <v>2</v>
      </c>
      <c r="R34" s="46"/>
      <c r="T34" s="91">
        <f t="shared" si="0"/>
        <v>23</v>
      </c>
      <c r="U34" s="50">
        <f t="shared" si="4"/>
        <v>4655</v>
      </c>
      <c r="V34" s="50">
        <f t="shared" si="5"/>
        <v>193.95833333333334</v>
      </c>
    </row>
    <row r="35" spans="1:23" hidden="1" x14ac:dyDescent="0.25">
      <c r="A35" s="75">
        <f t="shared" si="1"/>
        <v>32</v>
      </c>
      <c r="B35" s="74" t="s">
        <v>26</v>
      </c>
      <c r="C35" s="47"/>
      <c r="D35" s="47"/>
      <c r="E35" s="47"/>
      <c r="F35" s="47"/>
      <c r="G35" s="47"/>
      <c r="H35" s="47"/>
      <c r="I35" s="47"/>
      <c r="J35" s="111"/>
      <c r="K35" s="46"/>
      <c r="M35" s="52"/>
      <c r="N35" s="121"/>
      <c r="O35" s="47"/>
      <c r="P35" s="111"/>
      <c r="Q35" s="111"/>
      <c r="R35" s="46"/>
      <c r="T35" s="91">
        <f t="shared" si="0"/>
        <v>0</v>
      </c>
      <c r="U35" s="50">
        <f t="shared" si="4"/>
        <v>0</v>
      </c>
      <c r="V35" s="50">
        <f t="shared" si="5"/>
        <v>0</v>
      </c>
    </row>
    <row r="36" spans="1:23" x14ac:dyDescent="0.25">
      <c r="A36" s="75">
        <f t="shared" si="1"/>
        <v>33</v>
      </c>
      <c r="B36" s="74" t="s">
        <v>19</v>
      </c>
      <c r="C36" s="47"/>
      <c r="D36" s="47"/>
      <c r="E36" s="47"/>
      <c r="F36" s="47"/>
      <c r="G36" s="47"/>
      <c r="H36" s="47"/>
      <c r="I36" s="47"/>
      <c r="J36" s="111"/>
      <c r="K36" s="46"/>
      <c r="M36" s="52"/>
      <c r="N36" s="121"/>
      <c r="O36" s="47"/>
      <c r="P36" s="111"/>
      <c r="Q36" s="111"/>
      <c r="R36" s="46"/>
      <c r="T36" s="91">
        <f t="shared" si="0"/>
        <v>0</v>
      </c>
      <c r="U36" s="50">
        <f t="shared" si="4"/>
        <v>0</v>
      </c>
      <c r="V36" s="50">
        <f t="shared" si="5"/>
        <v>0</v>
      </c>
    </row>
    <row r="37" spans="1:23" ht="19.5" thickBot="1" x14ac:dyDescent="0.3">
      <c r="A37" s="75">
        <f t="shared" si="1"/>
        <v>34</v>
      </c>
      <c r="B37" s="94" t="s">
        <v>20</v>
      </c>
      <c r="C37" s="95">
        <f>2376+2592+56</f>
        <v>5024</v>
      </c>
      <c r="D37" s="95"/>
      <c r="E37" s="95"/>
      <c r="F37" s="95"/>
      <c r="G37" s="95"/>
      <c r="H37" s="95">
        <v>2</v>
      </c>
      <c r="I37" s="95"/>
      <c r="J37" s="110">
        <v>4</v>
      </c>
      <c r="K37" s="96">
        <v>2</v>
      </c>
      <c r="L37" s="102"/>
      <c r="M37" s="103">
        <v>39</v>
      </c>
      <c r="N37" s="120"/>
      <c r="O37" s="97">
        <v>30</v>
      </c>
      <c r="P37" s="113"/>
      <c r="Q37" s="113">
        <v>104</v>
      </c>
      <c r="R37" s="98"/>
      <c r="S37" s="102"/>
      <c r="T37" s="104">
        <f t="shared" si="0"/>
        <v>8</v>
      </c>
      <c r="U37" s="104">
        <f>C37*6+M37*6+O37*6+Q37*6+T37</f>
        <v>31190</v>
      </c>
      <c r="V37" s="104">
        <f>U37/6</f>
        <v>5198.333333333333</v>
      </c>
      <c r="W37" s="123"/>
    </row>
    <row r="38" spans="1:23" x14ac:dyDescent="0.25">
      <c r="A38" s="75">
        <f t="shared" si="1"/>
        <v>35</v>
      </c>
      <c r="B38" s="73" t="s">
        <v>21</v>
      </c>
      <c r="C38" s="47">
        <v>6</v>
      </c>
      <c r="D38" s="47"/>
      <c r="E38" s="47"/>
      <c r="F38" s="47"/>
      <c r="G38" s="47"/>
      <c r="H38" s="47"/>
      <c r="I38" s="47"/>
      <c r="J38" s="111"/>
      <c r="K38" s="46"/>
      <c r="M38" s="52"/>
      <c r="N38" s="121"/>
      <c r="O38" s="47"/>
      <c r="P38" s="111"/>
      <c r="Q38" s="111"/>
      <c r="R38" s="46"/>
      <c r="T38" s="50">
        <f t="shared" si="0"/>
        <v>0</v>
      </c>
      <c r="U38" s="50">
        <f>C38*24+M38*24+O38*24+Q38*24+T38</f>
        <v>144</v>
      </c>
      <c r="V38" s="50">
        <f>U38/24</f>
        <v>6</v>
      </c>
    </row>
    <row r="39" spans="1:23" ht="19.5" thickBot="1" x14ac:dyDescent="0.3">
      <c r="A39" s="75">
        <f t="shared" si="1"/>
        <v>36</v>
      </c>
      <c r="B39" s="94" t="s">
        <v>22</v>
      </c>
      <c r="C39" s="95">
        <f>756+53</f>
        <v>809</v>
      </c>
      <c r="D39" s="95"/>
      <c r="E39" s="95"/>
      <c r="F39" s="95"/>
      <c r="G39" s="95"/>
      <c r="H39" s="95">
        <v>9</v>
      </c>
      <c r="I39" s="95"/>
      <c r="J39" s="110"/>
      <c r="K39" s="96">
        <v>15</v>
      </c>
      <c r="L39" s="102"/>
      <c r="M39" s="103"/>
      <c r="N39" s="120"/>
      <c r="O39" s="97"/>
      <c r="P39" s="113"/>
      <c r="Q39" s="113">
        <v>1</v>
      </c>
      <c r="R39" s="98">
        <v>12</v>
      </c>
      <c r="S39" s="102"/>
      <c r="T39" s="104">
        <f>H39+I39+J39+K39+N39+P39+R39</f>
        <v>36</v>
      </c>
      <c r="U39" s="104">
        <f>C39*24+M39*24+O39*24+Q39*24+T39</f>
        <v>19476</v>
      </c>
      <c r="V39" s="104">
        <f>U39/24</f>
        <v>811.5</v>
      </c>
    </row>
    <row r="40" spans="1:23" ht="19.5" thickBot="1" x14ac:dyDescent="0.3">
      <c r="A40" s="75">
        <f t="shared" si="1"/>
        <v>37</v>
      </c>
      <c r="B40" s="99" t="s">
        <v>23</v>
      </c>
      <c r="C40" s="100">
        <f>1728+75+23</f>
        <v>1826</v>
      </c>
      <c r="D40" s="100"/>
      <c r="E40" s="100"/>
      <c r="F40" s="100"/>
      <c r="G40" s="100"/>
      <c r="H40" s="100"/>
      <c r="I40" s="100"/>
      <c r="J40" s="112"/>
      <c r="K40" s="101"/>
      <c r="L40" s="105"/>
      <c r="M40" s="106">
        <v>10</v>
      </c>
      <c r="N40" s="122"/>
      <c r="O40" s="100">
        <v>10</v>
      </c>
      <c r="P40" s="112"/>
      <c r="Q40" s="112">
        <v>10</v>
      </c>
      <c r="R40" s="101"/>
      <c r="S40" s="105"/>
      <c r="T40" s="107">
        <f t="shared" si="0"/>
        <v>0</v>
      </c>
      <c r="U40" s="107">
        <f>C40*12+M40*12+O40*12+Q40*12+T40</f>
        <v>22272</v>
      </c>
      <c r="V40" s="107">
        <f>U40/12</f>
        <v>1856</v>
      </c>
    </row>
    <row r="41" spans="1:23" hidden="1" x14ac:dyDescent="0.25">
      <c r="A41" s="75">
        <f t="shared" si="1"/>
        <v>38</v>
      </c>
      <c r="B41" s="73" t="s">
        <v>31</v>
      </c>
      <c r="C41" s="47"/>
      <c r="D41" s="47"/>
      <c r="E41" s="47"/>
      <c r="F41" s="47"/>
      <c r="G41" s="47"/>
      <c r="H41" s="47"/>
      <c r="I41" s="47"/>
      <c r="J41" s="111"/>
      <c r="K41" s="46"/>
      <c r="M41" s="52"/>
      <c r="N41" s="121"/>
      <c r="O41" s="47"/>
      <c r="P41" s="111"/>
      <c r="Q41" s="111"/>
      <c r="R41" s="46"/>
      <c r="T41" s="50"/>
      <c r="U41" s="50"/>
      <c r="V41" s="50"/>
    </row>
    <row r="42" spans="1:23" ht="19.5" thickBot="1" x14ac:dyDescent="0.3">
      <c r="A42" s="75">
        <f t="shared" si="1"/>
        <v>39</v>
      </c>
      <c r="B42" s="94" t="s">
        <v>24</v>
      </c>
      <c r="C42" s="97">
        <f>6048+6048+7236+7128+1</f>
        <v>26461</v>
      </c>
      <c r="D42" s="97"/>
      <c r="E42" s="97"/>
      <c r="F42" s="97"/>
      <c r="G42" s="97"/>
      <c r="H42" s="97"/>
      <c r="I42" s="97">
        <v>6</v>
      </c>
      <c r="J42" s="113">
        <f>4*6+2</f>
        <v>26</v>
      </c>
      <c r="K42" s="98">
        <f>75*6+4</f>
        <v>454</v>
      </c>
      <c r="L42" s="102"/>
      <c r="M42" s="103">
        <v>222</v>
      </c>
      <c r="N42" s="120"/>
      <c r="O42" s="97">
        <v>211</v>
      </c>
      <c r="P42" s="113"/>
      <c r="Q42" s="113">
        <v>430</v>
      </c>
      <c r="R42" s="98"/>
      <c r="S42" s="102"/>
      <c r="T42" s="104">
        <f t="shared" ref="T42" si="6">H42+I42+J42+K42+N42+P42+R42</f>
        <v>486</v>
      </c>
      <c r="U42" s="104">
        <f>C42*6+M42*6+O42*6+Q42*6+T42</f>
        <v>164430</v>
      </c>
      <c r="V42" s="104">
        <f>U42/6</f>
        <v>27405</v>
      </c>
    </row>
    <row r="43" spans="1:23" hidden="1" x14ac:dyDescent="0.25">
      <c r="A43" s="75">
        <f t="shared" si="1"/>
        <v>40</v>
      </c>
      <c r="B43" s="73" t="s">
        <v>33</v>
      </c>
      <c r="C43" s="47"/>
      <c r="D43" s="47"/>
      <c r="E43" s="47"/>
      <c r="F43" s="47"/>
      <c r="G43" s="47"/>
      <c r="H43" s="47"/>
      <c r="I43" s="47"/>
      <c r="J43" s="111"/>
      <c r="K43" s="46"/>
      <c r="M43" s="52"/>
      <c r="N43" s="121"/>
      <c r="O43" s="47"/>
      <c r="P43" s="111"/>
      <c r="Q43" s="111"/>
      <c r="R43" s="46"/>
      <c r="T43" s="50"/>
      <c r="U43" s="50"/>
      <c r="V43" s="50"/>
    </row>
    <row r="44" spans="1:23" x14ac:dyDescent="0.25">
      <c r="A44" s="75">
        <f t="shared" si="1"/>
        <v>41</v>
      </c>
      <c r="B44" s="74" t="s">
        <v>25</v>
      </c>
      <c r="C44" s="47"/>
      <c r="D44" s="47"/>
      <c r="E44" s="47"/>
      <c r="F44" s="47"/>
      <c r="G44" s="47"/>
      <c r="H44" s="47"/>
      <c r="I44" s="47"/>
      <c r="J44" s="111"/>
      <c r="K44" s="46"/>
      <c r="M44" s="52"/>
      <c r="N44" s="121"/>
      <c r="O44" s="47"/>
      <c r="P44" s="111"/>
      <c r="Q44" s="111"/>
      <c r="R44" s="46"/>
      <c r="T44" s="50">
        <f t="shared" ref="T44:T53" si="7">H44+I44+J44+K44+N44+P44+R44</f>
        <v>0</v>
      </c>
      <c r="U44" s="50">
        <f>C44*24+M44*24+O44*24+Q44*24+T44</f>
        <v>0</v>
      </c>
      <c r="V44" s="50">
        <f>U44/24</f>
        <v>0</v>
      </c>
    </row>
    <row r="45" spans="1:23" x14ac:dyDescent="0.25">
      <c r="A45" s="75">
        <f t="shared" si="1"/>
        <v>42</v>
      </c>
      <c r="B45" s="74" t="s">
        <v>68</v>
      </c>
      <c r="C45" s="47"/>
      <c r="D45" s="47"/>
      <c r="E45" s="47"/>
      <c r="F45" s="47"/>
      <c r="G45" s="47"/>
      <c r="H45" s="47"/>
      <c r="I45" s="47"/>
      <c r="J45" s="111"/>
      <c r="K45" s="46"/>
      <c r="M45" s="52"/>
      <c r="N45" s="121"/>
      <c r="O45" s="47"/>
      <c r="P45" s="111"/>
      <c r="Q45" s="111"/>
      <c r="R45" s="46"/>
      <c r="T45" s="50">
        <f t="shared" si="7"/>
        <v>0</v>
      </c>
      <c r="U45" s="50">
        <f t="shared" ref="U45:U47" si="8">C45*24+M45*24+O45*24+Q45*24+T45</f>
        <v>0</v>
      </c>
      <c r="V45" s="50">
        <f t="shared" ref="V45:V53" si="9">U45/24</f>
        <v>0</v>
      </c>
    </row>
    <row r="46" spans="1:23" x14ac:dyDescent="0.25">
      <c r="A46" s="75">
        <f t="shared" si="1"/>
        <v>43</v>
      </c>
      <c r="B46" s="74" t="s">
        <v>73</v>
      </c>
      <c r="C46" s="47"/>
      <c r="D46" s="47"/>
      <c r="E46" s="47"/>
      <c r="F46" s="47"/>
      <c r="G46" s="47"/>
      <c r="H46" s="47"/>
      <c r="I46" s="47"/>
      <c r="J46" s="111"/>
      <c r="K46" s="46"/>
      <c r="M46" s="52"/>
      <c r="N46" s="121"/>
      <c r="O46" s="47"/>
      <c r="P46" s="111"/>
      <c r="Q46" s="111"/>
      <c r="R46" s="46"/>
      <c r="T46" s="50">
        <f t="shared" si="7"/>
        <v>0</v>
      </c>
      <c r="U46" s="50">
        <f t="shared" si="8"/>
        <v>0</v>
      </c>
      <c r="V46" s="50">
        <f t="shared" si="9"/>
        <v>0</v>
      </c>
    </row>
    <row r="47" spans="1:23" x14ac:dyDescent="0.25">
      <c r="A47" s="75">
        <f t="shared" si="1"/>
        <v>44</v>
      </c>
      <c r="B47" s="74" t="s">
        <v>83</v>
      </c>
      <c r="C47" s="47"/>
      <c r="D47" s="47"/>
      <c r="E47" s="47"/>
      <c r="F47" s="47"/>
      <c r="G47" s="47"/>
      <c r="H47" s="47"/>
      <c r="I47" s="47"/>
      <c r="J47" s="111"/>
      <c r="K47" s="46"/>
      <c r="M47" s="52"/>
      <c r="N47" s="121"/>
      <c r="O47" s="47"/>
      <c r="P47" s="111"/>
      <c r="Q47" s="111"/>
      <c r="R47" s="46"/>
      <c r="T47" s="50">
        <f t="shared" si="7"/>
        <v>0</v>
      </c>
      <c r="U47" s="50">
        <f t="shared" si="8"/>
        <v>0</v>
      </c>
      <c r="V47" s="50">
        <f t="shared" si="9"/>
        <v>0</v>
      </c>
    </row>
    <row r="48" spans="1:23" x14ac:dyDescent="0.25">
      <c r="A48" s="75">
        <f t="shared" si="1"/>
        <v>45</v>
      </c>
      <c r="B48" s="74" t="s">
        <v>26</v>
      </c>
      <c r="C48" s="47">
        <f>38+55+2268</f>
        <v>2361</v>
      </c>
      <c r="D48" s="47"/>
      <c r="E48" s="47"/>
      <c r="F48" s="47"/>
      <c r="G48" s="47"/>
      <c r="H48" s="47">
        <v>3</v>
      </c>
      <c r="I48" s="47"/>
      <c r="J48" s="111"/>
      <c r="K48" s="46">
        <v>6</v>
      </c>
      <c r="M48" s="52"/>
      <c r="N48" s="121"/>
      <c r="O48" s="47">
        <v>4</v>
      </c>
      <c r="P48" s="111">
        <v>2</v>
      </c>
      <c r="Q48" s="111">
        <v>10</v>
      </c>
      <c r="R48" s="46"/>
      <c r="T48" s="50">
        <f t="shared" si="7"/>
        <v>11</v>
      </c>
      <c r="U48" s="50">
        <f>C48*6+M48*6+O48*6+Q48*6+T48</f>
        <v>14261</v>
      </c>
      <c r="V48" s="50">
        <f>U48/6</f>
        <v>2376.8333333333335</v>
      </c>
    </row>
    <row r="49" spans="1:22" x14ac:dyDescent="0.25">
      <c r="A49" s="75">
        <f t="shared" si="1"/>
        <v>46</v>
      </c>
      <c r="B49" s="74" t="s">
        <v>69</v>
      </c>
      <c r="C49" s="47"/>
      <c r="D49" s="47"/>
      <c r="E49" s="47"/>
      <c r="F49" s="47"/>
      <c r="G49" s="47"/>
      <c r="H49" s="47"/>
      <c r="I49" s="47"/>
      <c r="J49" s="111"/>
      <c r="K49" s="46"/>
      <c r="M49" s="52"/>
      <c r="N49" s="121"/>
      <c r="O49" s="47"/>
      <c r="P49" s="111"/>
      <c r="Q49" s="111"/>
      <c r="R49" s="46"/>
      <c r="T49" s="50">
        <f t="shared" si="7"/>
        <v>0</v>
      </c>
      <c r="U49" s="50">
        <f t="shared" ref="U49:U51" si="10">C49*24+M49*24+O49*24+Q49*24+T49</f>
        <v>0</v>
      </c>
      <c r="V49" s="50">
        <f t="shared" si="9"/>
        <v>0</v>
      </c>
    </row>
    <row r="50" spans="1:22" x14ac:dyDescent="0.25">
      <c r="A50" s="75">
        <f t="shared" si="1"/>
        <v>47</v>
      </c>
      <c r="B50" s="74" t="s">
        <v>28</v>
      </c>
      <c r="C50" s="47"/>
      <c r="D50" s="47"/>
      <c r="E50" s="47"/>
      <c r="F50" s="47"/>
      <c r="G50" s="47"/>
      <c r="H50" s="47"/>
      <c r="I50" s="47"/>
      <c r="J50" s="111"/>
      <c r="K50" s="46"/>
      <c r="M50" s="52"/>
      <c r="N50" s="121"/>
      <c r="O50" s="47"/>
      <c r="P50" s="111"/>
      <c r="Q50" s="111"/>
      <c r="R50" s="46"/>
      <c r="T50" s="50">
        <f t="shared" si="7"/>
        <v>0</v>
      </c>
      <c r="U50" s="50">
        <f t="shared" si="10"/>
        <v>0</v>
      </c>
      <c r="V50" s="50">
        <f t="shared" si="9"/>
        <v>0</v>
      </c>
    </row>
    <row r="51" spans="1:22" x14ac:dyDescent="0.25">
      <c r="A51" s="75">
        <f t="shared" si="1"/>
        <v>48</v>
      </c>
      <c r="B51" s="74" t="s">
        <v>70</v>
      </c>
      <c r="C51" s="47"/>
      <c r="D51" s="47"/>
      <c r="E51" s="47"/>
      <c r="F51" s="47"/>
      <c r="G51" s="47"/>
      <c r="H51" s="47"/>
      <c r="I51" s="47"/>
      <c r="J51" s="111"/>
      <c r="K51" s="46"/>
      <c r="M51" s="52"/>
      <c r="N51" s="121"/>
      <c r="O51" s="47"/>
      <c r="P51" s="111"/>
      <c r="Q51" s="111"/>
      <c r="R51" s="46"/>
      <c r="T51" s="50">
        <f t="shared" si="7"/>
        <v>0</v>
      </c>
      <c r="U51" s="50">
        <f t="shared" si="10"/>
        <v>0</v>
      </c>
      <c r="V51" s="50">
        <f t="shared" si="9"/>
        <v>0</v>
      </c>
    </row>
    <row r="52" spans="1:22" x14ac:dyDescent="0.25">
      <c r="A52" s="75">
        <f t="shared" si="1"/>
        <v>49</v>
      </c>
      <c r="B52" s="74" t="s">
        <v>29</v>
      </c>
      <c r="C52" s="47">
        <v>34</v>
      </c>
      <c r="D52" s="47"/>
      <c r="E52" s="47"/>
      <c r="F52" s="47"/>
      <c r="G52" s="47"/>
      <c r="H52" s="47"/>
      <c r="I52" s="47"/>
      <c r="J52" s="111"/>
      <c r="K52" s="46"/>
      <c r="M52" s="52"/>
      <c r="N52" s="121"/>
      <c r="O52" s="47"/>
      <c r="P52" s="111"/>
      <c r="Q52" s="111"/>
      <c r="R52" s="46"/>
      <c r="T52" s="50">
        <f t="shared" si="7"/>
        <v>0</v>
      </c>
      <c r="U52" s="50">
        <f>C52*6+M52*6+O52*6+Q52*6+T52</f>
        <v>204</v>
      </c>
      <c r="V52" s="50">
        <f>U52/6</f>
        <v>34</v>
      </c>
    </row>
    <row r="53" spans="1:22" x14ac:dyDescent="0.25">
      <c r="A53" s="75">
        <f t="shared" si="1"/>
        <v>50</v>
      </c>
      <c r="B53" s="74" t="s">
        <v>30</v>
      </c>
      <c r="C53" s="47"/>
      <c r="D53" s="47"/>
      <c r="E53" s="47"/>
      <c r="F53" s="47"/>
      <c r="G53" s="47"/>
      <c r="H53" s="47"/>
      <c r="I53" s="47"/>
      <c r="J53" s="111"/>
      <c r="K53" s="46"/>
      <c r="M53" s="52"/>
      <c r="N53" s="121"/>
      <c r="O53" s="47"/>
      <c r="P53" s="111"/>
      <c r="Q53" s="111"/>
      <c r="R53" s="46"/>
      <c r="T53" s="50">
        <f t="shared" si="7"/>
        <v>0</v>
      </c>
      <c r="U53" s="50">
        <f t="shared" ref="U53" si="11">C53*24+M53*24+O53*24+Q53*24+T53</f>
        <v>0</v>
      </c>
      <c r="V53" s="50">
        <f t="shared" si="9"/>
        <v>0</v>
      </c>
    </row>
    <row r="54" spans="1:22" x14ac:dyDescent="0.25">
      <c r="A54" s="75">
        <f t="shared" si="1"/>
        <v>51</v>
      </c>
      <c r="B54" s="74"/>
      <c r="C54" s="47"/>
      <c r="D54" s="47"/>
      <c r="E54" s="47"/>
      <c r="F54" s="47"/>
      <c r="G54" s="47"/>
      <c r="H54" s="47"/>
      <c r="I54" s="47"/>
      <c r="J54" s="111"/>
      <c r="K54" s="46"/>
      <c r="M54" s="52"/>
      <c r="N54" s="121"/>
      <c r="O54" s="47"/>
      <c r="P54" s="111"/>
      <c r="Q54" s="111"/>
      <c r="R54" s="46"/>
      <c r="T54" s="50"/>
      <c r="U54" s="50"/>
      <c r="V54" s="50"/>
    </row>
    <row r="55" spans="1:22" x14ac:dyDescent="0.25">
      <c r="A55" s="75">
        <f t="shared" si="1"/>
        <v>52</v>
      </c>
      <c r="B55" s="74"/>
      <c r="C55" s="47"/>
      <c r="D55" s="47"/>
      <c r="E55" s="47"/>
      <c r="F55" s="47"/>
      <c r="G55" s="47"/>
      <c r="H55" s="47"/>
      <c r="I55" s="47"/>
      <c r="J55" s="111"/>
      <c r="K55" s="46"/>
      <c r="M55" s="52"/>
      <c r="N55" s="121"/>
      <c r="O55" s="47"/>
      <c r="P55" s="111"/>
      <c r="Q55" s="111"/>
      <c r="R55" s="46"/>
      <c r="T55" s="50"/>
      <c r="U55" s="50"/>
      <c r="V55" s="50"/>
    </row>
    <row r="56" spans="1:22" x14ac:dyDescent="0.25">
      <c r="A56" s="75">
        <f t="shared" si="1"/>
        <v>53</v>
      </c>
      <c r="B56" s="74"/>
      <c r="C56" s="47"/>
      <c r="D56" s="47"/>
      <c r="E56" s="47"/>
      <c r="F56" s="47"/>
      <c r="G56" s="47"/>
      <c r="H56" s="47"/>
      <c r="I56" s="47"/>
      <c r="J56" s="111"/>
      <c r="K56" s="46"/>
      <c r="M56" s="52"/>
      <c r="N56" s="121"/>
      <c r="O56" s="47"/>
      <c r="P56" s="111"/>
      <c r="Q56" s="111"/>
      <c r="R56" s="46"/>
      <c r="T56" s="50"/>
      <c r="U56" s="50"/>
      <c r="V56" s="50"/>
    </row>
    <row r="57" spans="1:22" s="63" customFormat="1" ht="19.5" thickBot="1" x14ac:dyDescent="0.3">
      <c r="B57" s="77" t="s">
        <v>60</v>
      </c>
      <c r="C57" s="49">
        <f>SUM(C7:C56)</f>
        <v>40929</v>
      </c>
      <c r="D57" s="49"/>
      <c r="E57" s="49"/>
      <c r="F57" s="49">
        <f t="shared" ref="F57:K57" si="12">SUM(F7:F56)</f>
        <v>0</v>
      </c>
      <c r="G57" s="49">
        <f t="shared" si="12"/>
        <v>0</v>
      </c>
      <c r="H57" s="49">
        <f t="shared" si="12"/>
        <v>97</v>
      </c>
      <c r="I57" s="54">
        <f t="shared" si="12"/>
        <v>8</v>
      </c>
      <c r="J57" s="54">
        <f t="shared" si="12"/>
        <v>30</v>
      </c>
      <c r="K57" s="54">
        <f t="shared" si="12"/>
        <v>486</v>
      </c>
      <c r="M57" s="53">
        <f t="shared" ref="M57:R57" si="13">SUM(M7:M56)</f>
        <v>295</v>
      </c>
      <c r="N57" s="53">
        <f t="shared" si="13"/>
        <v>3</v>
      </c>
      <c r="O57" s="53">
        <f t="shared" si="13"/>
        <v>269</v>
      </c>
      <c r="P57" s="53">
        <f t="shared" si="13"/>
        <v>20</v>
      </c>
      <c r="Q57" s="53">
        <f t="shared" si="13"/>
        <v>582</v>
      </c>
      <c r="R57" s="53">
        <f t="shared" si="13"/>
        <v>23</v>
      </c>
      <c r="S57" s="57"/>
      <c r="T57" s="51">
        <f>SUM(T7:T56)</f>
        <v>667</v>
      </c>
      <c r="U57" s="51">
        <f>SUM(U7:U56)</f>
        <v>359455</v>
      </c>
      <c r="V57" s="51">
        <f>SUM(V7:V56)</f>
        <v>42165.916666666664</v>
      </c>
    </row>
    <row r="58" spans="1:22" ht="7.5" customHeight="1" thickBot="1" x14ac:dyDescent="0.3"/>
    <row r="59" spans="1:22" ht="19.5" thickBot="1" x14ac:dyDescent="0.3">
      <c r="B59" s="78" t="s">
        <v>39</v>
      </c>
      <c r="C59" s="191" t="s">
        <v>49</v>
      </c>
      <c r="D59" s="192"/>
      <c r="E59" s="192"/>
      <c r="F59" s="192"/>
      <c r="G59" s="192"/>
      <c r="H59" s="192"/>
      <c r="I59" s="192"/>
      <c r="J59" s="192"/>
      <c r="K59" s="193"/>
      <c r="U59" s="72" t="s">
        <v>62</v>
      </c>
    </row>
    <row r="60" spans="1:22" x14ac:dyDescent="0.25">
      <c r="B60" s="79" t="s">
        <v>18</v>
      </c>
      <c r="C60" s="67"/>
      <c r="D60" s="67"/>
      <c r="E60" s="67"/>
      <c r="F60" s="67"/>
      <c r="G60" s="67"/>
      <c r="H60" s="67"/>
      <c r="I60" s="67"/>
      <c r="J60" s="114"/>
      <c r="K60" s="68"/>
      <c r="U60" s="55"/>
    </row>
    <row r="61" spans="1:22" x14ac:dyDescent="0.25">
      <c r="B61" s="80" t="s">
        <v>55</v>
      </c>
      <c r="C61" s="48"/>
      <c r="D61" s="48"/>
      <c r="E61" s="48"/>
      <c r="F61" s="48"/>
      <c r="G61" s="48"/>
      <c r="H61" s="48"/>
      <c r="I61" s="48"/>
      <c r="J61" s="109"/>
      <c r="K61" s="69"/>
      <c r="U61" s="50"/>
    </row>
    <row r="62" spans="1:22" ht="19.5" thickBot="1" x14ac:dyDescent="0.3">
      <c r="B62" s="81" t="s">
        <v>54</v>
      </c>
      <c r="C62" s="70"/>
      <c r="D62" s="70"/>
      <c r="E62" s="70"/>
      <c r="F62" s="70"/>
      <c r="G62" s="70"/>
      <c r="H62" s="70"/>
      <c r="I62" s="70"/>
      <c r="J62" s="115"/>
      <c r="K62" s="71"/>
      <c r="U62" s="56"/>
    </row>
    <row r="63" spans="1:22" ht="7.5" customHeight="1" thickBot="1" x14ac:dyDescent="0.3"/>
    <row r="64" spans="1:22" x14ac:dyDescent="0.25">
      <c r="B64" s="79" t="s">
        <v>56</v>
      </c>
      <c r="C64" s="67"/>
      <c r="D64" s="67"/>
      <c r="E64" s="67"/>
      <c r="F64" s="67"/>
      <c r="G64" s="67"/>
      <c r="H64" s="67"/>
      <c r="I64" s="67"/>
      <c r="J64" s="114"/>
      <c r="K64" s="68"/>
      <c r="U64" s="55"/>
    </row>
    <row r="65" spans="2:21" x14ac:dyDescent="0.25">
      <c r="B65" s="80" t="s">
        <v>55</v>
      </c>
      <c r="C65" s="48"/>
      <c r="D65" s="48"/>
      <c r="E65" s="48"/>
      <c r="F65" s="48"/>
      <c r="G65" s="48"/>
      <c r="H65" s="48"/>
      <c r="I65" s="48"/>
      <c r="J65" s="109"/>
      <c r="K65" s="69"/>
      <c r="U65" s="50"/>
    </row>
    <row r="66" spans="2:21" ht="19.5" thickBot="1" x14ac:dyDescent="0.3">
      <c r="B66" s="81" t="s">
        <v>54</v>
      </c>
      <c r="C66" s="70"/>
      <c r="D66" s="70"/>
      <c r="E66" s="70"/>
      <c r="F66" s="70"/>
      <c r="G66" s="70"/>
      <c r="H66" s="70"/>
      <c r="I66" s="70"/>
      <c r="J66" s="115"/>
      <c r="K66" s="71"/>
      <c r="U66" s="56"/>
    </row>
    <row r="67" spans="2:21" ht="7.5" customHeight="1" thickBot="1" x14ac:dyDescent="0.3"/>
    <row r="68" spans="2:21" x14ac:dyDescent="0.25">
      <c r="B68" s="79" t="s">
        <v>41</v>
      </c>
      <c r="C68" s="67"/>
      <c r="D68" s="67"/>
      <c r="E68" s="67"/>
      <c r="F68" s="67"/>
      <c r="G68" s="67"/>
      <c r="H68" s="67"/>
      <c r="I68" s="67"/>
      <c r="J68" s="114"/>
      <c r="K68" s="68"/>
      <c r="U68" s="55"/>
    </row>
    <row r="69" spans="2:21" x14ac:dyDescent="0.25">
      <c r="B69" s="80" t="s">
        <v>55</v>
      </c>
      <c r="C69" s="48"/>
      <c r="D69" s="48"/>
      <c r="E69" s="48"/>
      <c r="F69" s="48"/>
      <c r="G69" s="48"/>
      <c r="H69" s="48"/>
      <c r="I69" s="48"/>
      <c r="J69" s="109"/>
      <c r="K69" s="69"/>
      <c r="U69" s="50"/>
    </row>
    <row r="70" spans="2:21" ht="19.5" thickBot="1" x14ac:dyDescent="0.3">
      <c r="B70" s="81" t="s">
        <v>54</v>
      </c>
      <c r="C70" s="70"/>
      <c r="D70" s="70"/>
      <c r="E70" s="70"/>
      <c r="F70" s="70"/>
      <c r="G70" s="70"/>
      <c r="H70" s="70"/>
      <c r="I70" s="70"/>
      <c r="J70" s="115"/>
      <c r="K70" s="71"/>
      <c r="U70" s="56"/>
    </row>
    <row r="71" spans="2:21" ht="7.5" customHeight="1" thickBot="1" x14ac:dyDescent="0.3"/>
    <row r="72" spans="2:21" x14ac:dyDescent="0.25">
      <c r="B72" s="79" t="s">
        <v>57</v>
      </c>
      <c r="C72" s="67"/>
      <c r="D72" s="67"/>
      <c r="E72" s="67"/>
      <c r="F72" s="67"/>
      <c r="G72" s="67"/>
      <c r="H72" s="67"/>
      <c r="I72" s="67"/>
      <c r="J72" s="114"/>
      <c r="K72" s="68"/>
      <c r="U72" s="55"/>
    </row>
    <row r="73" spans="2:21" x14ac:dyDescent="0.25">
      <c r="B73" s="80" t="s">
        <v>55</v>
      </c>
      <c r="C73" s="48"/>
      <c r="D73" s="48"/>
      <c r="E73" s="48"/>
      <c r="F73" s="48"/>
      <c r="G73" s="48"/>
      <c r="H73" s="48"/>
      <c r="I73" s="48"/>
      <c r="J73" s="109"/>
      <c r="K73" s="69"/>
      <c r="U73" s="50"/>
    </row>
    <row r="74" spans="2:21" ht="19.5" thickBot="1" x14ac:dyDescent="0.3">
      <c r="B74" s="81" t="s">
        <v>54</v>
      </c>
      <c r="C74" s="70"/>
      <c r="D74" s="70"/>
      <c r="E74" s="70"/>
      <c r="F74" s="70"/>
      <c r="G74" s="70"/>
      <c r="H74" s="70"/>
      <c r="I74" s="70"/>
      <c r="J74" s="115"/>
      <c r="K74" s="71"/>
      <c r="U74" s="56"/>
    </row>
    <row r="75" spans="2:21" ht="7.5" customHeight="1" thickBot="1" x14ac:dyDescent="0.3"/>
    <row r="76" spans="2:21" x14ac:dyDescent="0.25">
      <c r="B76" s="79" t="s">
        <v>58</v>
      </c>
      <c r="C76" s="67"/>
      <c r="D76" s="67"/>
      <c r="E76" s="67"/>
      <c r="F76" s="67"/>
      <c r="G76" s="67"/>
      <c r="H76" s="67"/>
      <c r="I76" s="67"/>
      <c r="J76" s="114"/>
      <c r="K76" s="68"/>
      <c r="U76" s="55"/>
    </row>
    <row r="77" spans="2:21" x14ac:dyDescent="0.25">
      <c r="B77" s="80" t="s">
        <v>55</v>
      </c>
      <c r="C77" s="48"/>
      <c r="D77" s="48"/>
      <c r="E77" s="48"/>
      <c r="F77" s="48"/>
      <c r="G77" s="48"/>
      <c r="H77" s="48"/>
      <c r="I77" s="48"/>
      <c r="J77" s="109"/>
      <c r="K77" s="69"/>
      <c r="U77" s="50"/>
    </row>
    <row r="78" spans="2:21" ht="19.5" thickBot="1" x14ac:dyDescent="0.3">
      <c r="B78" s="81" t="s">
        <v>54</v>
      </c>
      <c r="C78" s="70"/>
      <c r="D78" s="70"/>
      <c r="E78" s="70"/>
      <c r="F78" s="70"/>
      <c r="G78" s="70"/>
      <c r="H78" s="70"/>
      <c r="I78" s="70"/>
      <c r="J78" s="115"/>
      <c r="K78" s="71"/>
      <c r="U78" s="56"/>
    </row>
    <row r="79" spans="2:21" ht="7.5" customHeight="1" thickBot="1" x14ac:dyDescent="0.3"/>
    <row r="80" spans="2:21" ht="19.5" thickBot="1" x14ac:dyDescent="0.3">
      <c r="B80" s="78" t="s">
        <v>59</v>
      </c>
      <c r="C80" s="65"/>
      <c r="D80" s="65"/>
      <c r="E80" s="65"/>
      <c r="F80" s="65"/>
      <c r="G80" s="65"/>
      <c r="H80" s="65"/>
      <c r="I80" s="65"/>
      <c r="J80" s="116"/>
      <c r="K80" s="66"/>
      <c r="U80" s="64"/>
    </row>
  </sheetData>
  <mergeCells count="7">
    <mergeCell ref="V4:V5"/>
    <mergeCell ref="J5:K5"/>
    <mergeCell ref="C59:K59"/>
    <mergeCell ref="I1:U1"/>
    <mergeCell ref="C4:K4"/>
    <mergeCell ref="T4:T5"/>
    <mergeCell ref="U4:U5"/>
  </mergeCells>
  <printOptions horizontalCentered="1" verticalCentered="1"/>
  <pageMargins left="0.19685039370078741" right="0.19685039370078741" top="0.19685039370078741" bottom="0.19685039370078741" header="0.19685039370078741" footer="0.19685039370078741"/>
  <pageSetup paperSize="14" scale="70" orientation="portrait" horizontalDpi="360" verticalDpi="360" r:id="rId1"/>
  <colBreaks count="1" manualBreakCount="1">
    <brk id="24" max="80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DF872-3DFF-4410-A733-EE7D6D4A88E2}">
  <sheetPr>
    <pageSetUpPr fitToPage="1"/>
  </sheetPr>
  <dimension ref="A1:BB80"/>
  <sheetViews>
    <sheetView zoomScaleNormal="100" zoomScaleSheetLayoutView="115" workbookViewId="0">
      <selection activeCell="H40" sqref="H40"/>
    </sheetView>
  </sheetViews>
  <sheetFormatPr defaultColWidth="9.140625" defaultRowHeight="18.75" x14ac:dyDescent="0.25"/>
  <cols>
    <col min="1" max="1" width="4.140625" style="57" bestFit="1" customWidth="1"/>
    <col min="2" max="2" width="12.28515625" style="76" customWidth="1"/>
    <col min="3" max="6" width="10" style="57" customWidth="1"/>
    <col min="7" max="7" width="6.85546875" style="57" customWidth="1"/>
    <col min="8" max="8" width="6.7109375" style="57" customWidth="1"/>
    <col min="9" max="9" width="5.5703125" style="57" bestFit="1" customWidth="1"/>
    <col min="10" max="10" width="6.85546875" style="57" customWidth="1"/>
    <col min="11" max="11" width="5.5703125" style="57" bestFit="1" customWidth="1"/>
    <col min="12" max="12" width="1.42578125" style="57" customWidth="1"/>
    <col min="13" max="13" width="10" style="57" customWidth="1"/>
    <col min="14" max="14" width="5.5703125" style="57" bestFit="1" customWidth="1"/>
    <col min="15" max="15" width="10" style="57" customWidth="1"/>
    <col min="16" max="16" width="5.5703125" style="57" customWidth="1"/>
    <col min="17" max="17" width="10" style="57" customWidth="1"/>
    <col min="18" max="18" width="5.5703125" style="57" bestFit="1" customWidth="1"/>
    <col min="19" max="19" width="1.42578125" style="57" customWidth="1"/>
    <col min="20" max="20" width="12.5703125" style="57" bestFit="1" customWidth="1"/>
    <col min="21" max="21" width="14.28515625" style="57" customWidth="1"/>
    <col min="22" max="22" width="19.42578125" style="57" bestFit="1" customWidth="1"/>
    <col min="23" max="49" width="7.28515625" style="57" customWidth="1"/>
    <col min="50" max="50" width="1.5703125" style="57" customWidth="1"/>
    <col min="51" max="51" width="9.42578125" style="57" customWidth="1"/>
    <col min="52" max="52" width="1.28515625" style="57" customWidth="1"/>
    <col min="53" max="53" width="12.7109375" style="57" bestFit="1" customWidth="1"/>
    <col min="54" max="54" width="10.28515625" style="57" bestFit="1" customWidth="1"/>
    <col min="55" max="16384" width="9.140625" style="57"/>
  </cols>
  <sheetData>
    <row r="1" spans="1:54" ht="15" customHeight="1" x14ac:dyDescent="0.25">
      <c r="B1" s="75" t="s">
        <v>51</v>
      </c>
      <c r="I1" s="194" t="s">
        <v>53</v>
      </c>
      <c r="J1" s="194"/>
      <c r="K1" s="194"/>
      <c r="L1" s="194"/>
      <c r="M1" s="194"/>
      <c r="N1" s="194"/>
      <c r="O1" s="194"/>
      <c r="P1" s="194"/>
      <c r="Q1" s="194"/>
      <c r="R1" s="194"/>
      <c r="S1" s="194"/>
      <c r="T1" s="194"/>
      <c r="U1" s="194"/>
    </row>
    <row r="2" spans="1:54" x14ac:dyDescent="0.25">
      <c r="B2" s="76" t="s">
        <v>88</v>
      </c>
    </row>
    <row r="3" spans="1:54" ht="19.5" thickBot="1" x14ac:dyDescent="0.3"/>
    <row r="4" spans="1:54" s="58" customFormat="1" ht="15.75" x14ac:dyDescent="0.25">
      <c r="B4" s="93" t="s">
        <v>63</v>
      </c>
      <c r="C4" s="189" t="s">
        <v>49</v>
      </c>
      <c r="D4" s="189"/>
      <c r="E4" s="189"/>
      <c r="F4" s="189"/>
      <c r="G4" s="189"/>
      <c r="H4" s="189"/>
      <c r="I4" s="189"/>
      <c r="J4" s="199"/>
      <c r="K4" s="190"/>
      <c r="M4" s="82" t="s">
        <v>0</v>
      </c>
      <c r="N4" s="117" t="s">
        <v>72</v>
      </c>
      <c r="O4" s="84" t="s">
        <v>45</v>
      </c>
      <c r="P4" s="117" t="s">
        <v>72</v>
      </c>
      <c r="Q4" s="85" t="s">
        <v>46</v>
      </c>
      <c r="R4" s="117" t="s">
        <v>72</v>
      </c>
      <c r="S4" s="57"/>
      <c r="T4" s="200" t="s">
        <v>80</v>
      </c>
      <c r="U4" s="202" t="s">
        <v>79</v>
      </c>
      <c r="V4" s="195" t="s">
        <v>78</v>
      </c>
      <c r="AF4" s="59"/>
      <c r="AG4" s="59"/>
      <c r="AH4" s="59"/>
      <c r="AI4" s="59"/>
      <c r="AJ4" s="59"/>
      <c r="AK4" s="59"/>
      <c r="AL4" s="59"/>
      <c r="AM4" s="59"/>
      <c r="AN4" s="59"/>
      <c r="AO4" s="59"/>
      <c r="AP4" s="59"/>
      <c r="AQ4" s="59"/>
      <c r="AR4" s="59"/>
      <c r="AS4" s="59"/>
      <c r="AT4" s="59"/>
      <c r="AU4" s="59"/>
      <c r="AV4" s="59"/>
      <c r="AW4" s="59"/>
      <c r="AX4" s="59"/>
      <c r="AY4" s="59"/>
      <c r="AZ4" s="59"/>
      <c r="BA4" s="59"/>
      <c r="BB4" s="59"/>
    </row>
    <row r="5" spans="1:54" s="58" customFormat="1" ht="15.75" x14ac:dyDescent="0.25">
      <c r="B5" s="87"/>
      <c r="C5" s="92"/>
      <c r="D5" s="92"/>
      <c r="E5" s="92"/>
      <c r="F5" s="92"/>
      <c r="G5" s="92"/>
      <c r="H5" s="92" t="s">
        <v>76</v>
      </c>
      <c r="I5" s="92" t="s">
        <v>71</v>
      </c>
      <c r="J5" s="197" t="s">
        <v>77</v>
      </c>
      <c r="K5" s="198"/>
      <c r="M5" s="87"/>
      <c r="N5" s="118"/>
      <c r="O5" s="92"/>
      <c r="P5" s="128"/>
      <c r="Q5" s="128"/>
      <c r="R5" s="89"/>
      <c r="S5" s="57"/>
      <c r="T5" s="201"/>
      <c r="U5" s="203"/>
      <c r="V5" s="196"/>
      <c r="AF5" s="59"/>
      <c r="AG5" s="59"/>
      <c r="AH5" s="59"/>
      <c r="AI5" s="59"/>
      <c r="AJ5" s="59"/>
      <c r="AK5" s="59"/>
      <c r="AL5" s="59"/>
      <c r="AM5" s="59"/>
      <c r="AN5" s="59"/>
      <c r="AO5" s="59"/>
      <c r="AP5" s="59"/>
      <c r="AQ5" s="59"/>
      <c r="AR5" s="59"/>
      <c r="AS5" s="59"/>
      <c r="AT5" s="59"/>
      <c r="AU5" s="59"/>
      <c r="AV5" s="59"/>
      <c r="AW5" s="59"/>
      <c r="AX5" s="59"/>
      <c r="AY5" s="59"/>
      <c r="AZ5" s="59"/>
      <c r="BA5" s="59"/>
      <c r="BB5" s="59"/>
    </row>
    <row r="6" spans="1:54" s="58" customFormat="1" ht="15.75" x14ac:dyDescent="0.25">
      <c r="B6" s="87"/>
      <c r="C6" s="92"/>
      <c r="D6" s="92"/>
      <c r="E6" s="92"/>
      <c r="F6" s="92"/>
      <c r="G6" s="92"/>
      <c r="H6" s="92"/>
      <c r="I6" s="92"/>
      <c r="J6" s="128"/>
      <c r="K6" s="89"/>
      <c r="M6" s="87"/>
      <c r="N6" s="118"/>
      <c r="O6" s="92"/>
      <c r="P6" s="128"/>
      <c r="Q6" s="128"/>
      <c r="R6" s="89"/>
      <c r="S6" s="57"/>
      <c r="T6" s="90"/>
      <c r="U6" s="90"/>
      <c r="V6" s="90"/>
      <c r="AF6" s="59"/>
      <c r="AG6" s="59"/>
      <c r="AH6" s="59"/>
      <c r="AI6" s="59"/>
      <c r="AJ6" s="59"/>
      <c r="AK6" s="59"/>
      <c r="AL6" s="59"/>
      <c r="AM6" s="59"/>
      <c r="AN6" s="59"/>
      <c r="AO6" s="59"/>
      <c r="AP6" s="59"/>
      <c r="AQ6" s="59"/>
      <c r="AR6" s="59"/>
      <c r="AS6" s="59"/>
      <c r="AT6" s="59"/>
      <c r="AU6" s="59"/>
      <c r="AV6" s="59"/>
      <c r="AW6" s="59"/>
      <c r="AX6" s="59"/>
      <c r="AY6" s="59"/>
      <c r="AZ6" s="59"/>
      <c r="BA6" s="59"/>
      <c r="BB6" s="59"/>
    </row>
    <row r="7" spans="1:54" x14ac:dyDescent="0.25">
      <c r="A7" s="75">
        <v>1</v>
      </c>
      <c r="B7" s="74" t="s">
        <v>34</v>
      </c>
      <c r="C7" s="48">
        <v>28</v>
      </c>
      <c r="D7" s="48"/>
      <c r="E7" s="48"/>
      <c r="F7" s="48"/>
      <c r="G7" s="48"/>
      <c r="H7" s="48">
        <v>17</v>
      </c>
      <c r="I7" s="48">
        <v>1</v>
      </c>
      <c r="J7" s="109"/>
      <c r="K7" s="69">
        <v>6</v>
      </c>
      <c r="M7" s="88">
        <v>1</v>
      </c>
      <c r="N7" s="119"/>
      <c r="O7" s="48">
        <v>3</v>
      </c>
      <c r="P7" s="109"/>
      <c r="Q7" s="109">
        <v>2</v>
      </c>
      <c r="R7" s="69"/>
      <c r="T7" s="91">
        <f>H7+I7+J7+K7+N7+P7+R7</f>
        <v>24</v>
      </c>
      <c r="U7" s="91">
        <f>C7*24+M7*24+O7*24+Q7*24+T7</f>
        <v>840</v>
      </c>
      <c r="V7" s="91">
        <f>U7/24</f>
        <v>35</v>
      </c>
      <c r="W7" s="123"/>
      <c r="AF7" s="60"/>
      <c r="AG7" s="60"/>
      <c r="AH7" s="60"/>
      <c r="AI7" s="60"/>
      <c r="AJ7" s="60"/>
      <c r="AK7" s="60"/>
      <c r="AL7" s="60"/>
      <c r="AM7" s="60"/>
      <c r="AN7" s="60"/>
      <c r="AO7" s="60"/>
      <c r="AP7" s="60"/>
      <c r="AQ7" s="60"/>
      <c r="AR7" s="60"/>
      <c r="AS7" s="60"/>
      <c r="AT7" s="60"/>
      <c r="AU7" s="60"/>
      <c r="AV7" s="60"/>
      <c r="AW7" s="60"/>
      <c r="AX7" s="60"/>
      <c r="AY7" s="60"/>
      <c r="AZ7" s="60"/>
      <c r="BA7" s="60"/>
      <c r="BB7" s="60"/>
    </row>
    <row r="8" spans="1:54" ht="19.5" thickBot="1" x14ac:dyDescent="0.3">
      <c r="A8" s="75">
        <f>A7+1</f>
        <v>2</v>
      </c>
      <c r="B8" s="94" t="s">
        <v>37</v>
      </c>
      <c r="C8" s="95">
        <f>63+32</f>
        <v>95</v>
      </c>
      <c r="D8" s="95"/>
      <c r="E8" s="95"/>
      <c r="F8" s="95"/>
      <c r="G8" s="95"/>
      <c r="H8" s="95"/>
      <c r="I8" s="95"/>
      <c r="J8" s="110"/>
      <c r="K8" s="96"/>
      <c r="L8" s="102"/>
      <c r="M8" s="103">
        <v>2</v>
      </c>
      <c r="N8" s="120"/>
      <c r="O8" s="97"/>
      <c r="P8" s="113"/>
      <c r="Q8" s="113"/>
      <c r="R8" s="98"/>
      <c r="S8" s="102"/>
      <c r="T8" s="126">
        <f t="shared" ref="T8:T40" si="0">H8+I8+J8+K8+N8+P8+R8</f>
        <v>0</v>
      </c>
      <c r="U8" s="124">
        <f>C8*24+M8*24+O8*24+Q8*24+T8</f>
        <v>2328</v>
      </c>
      <c r="V8" s="124">
        <f>U8/24</f>
        <v>97</v>
      </c>
      <c r="W8" s="123"/>
      <c r="AF8" s="60"/>
      <c r="AG8" s="60"/>
      <c r="AH8" s="60"/>
      <c r="AI8" s="60"/>
      <c r="AJ8" s="60"/>
      <c r="AK8" s="60"/>
      <c r="AL8" s="60"/>
      <c r="AM8" s="60"/>
      <c r="AN8" s="60"/>
      <c r="AO8" s="60"/>
      <c r="AP8" s="60"/>
      <c r="AQ8" s="60"/>
      <c r="AR8" s="60"/>
      <c r="AS8" s="60"/>
      <c r="AT8" s="60"/>
      <c r="AU8" s="60"/>
      <c r="AV8" s="60"/>
      <c r="AW8" s="60"/>
      <c r="AX8" s="60"/>
      <c r="AY8" s="60"/>
      <c r="AZ8" s="60"/>
      <c r="BA8" s="60"/>
      <c r="BB8" s="60"/>
    </row>
    <row r="9" spans="1:54" x14ac:dyDescent="0.25">
      <c r="A9" s="75">
        <f t="shared" ref="A9:A56" si="1">A8+1</f>
        <v>3</v>
      </c>
      <c r="B9" s="73" t="s">
        <v>35</v>
      </c>
      <c r="C9" s="47"/>
      <c r="D9" s="47"/>
      <c r="E9" s="47"/>
      <c r="F9" s="47"/>
      <c r="G9" s="47"/>
      <c r="H9" s="47"/>
      <c r="I9" s="47"/>
      <c r="J9" s="111"/>
      <c r="K9" s="46"/>
      <c r="M9" s="52"/>
      <c r="N9" s="121"/>
      <c r="O9" s="47"/>
      <c r="P9" s="111"/>
      <c r="Q9" s="111"/>
      <c r="R9" s="46"/>
      <c r="T9" s="50">
        <f t="shared" si="0"/>
        <v>0</v>
      </c>
      <c r="U9" s="125">
        <f t="shared" ref="U9:U11" si="2">C9*24+M9*24+O9*24+Q9*24+T9</f>
        <v>0</v>
      </c>
      <c r="V9" s="125">
        <f t="shared" ref="V9:V11" si="3">U9/24</f>
        <v>0</v>
      </c>
      <c r="W9" s="123"/>
      <c r="AF9" s="60"/>
      <c r="AG9" s="60"/>
      <c r="AH9" s="60"/>
      <c r="AI9" s="60"/>
      <c r="AJ9" s="60"/>
      <c r="AK9" s="60"/>
      <c r="AL9" s="60"/>
      <c r="AM9" s="60"/>
      <c r="AN9" s="60"/>
      <c r="AO9" s="60"/>
      <c r="AP9" s="60"/>
      <c r="AQ9" s="60"/>
      <c r="AR9" s="60"/>
      <c r="AS9" s="60"/>
      <c r="AT9" s="60"/>
      <c r="AU9" s="60"/>
      <c r="AV9" s="60"/>
      <c r="AW9" s="60"/>
      <c r="AX9" s="60"/>
      <c r="AY9" s="60"/>
      <c r="AZ9" s="60"/>
      <c r="BA9" s="60"/>
      <c r="BB9" s="60"/>
    </row>
    <row r="10" spans="1:54" x14ac:dyDescent="0.25">
      <c r="A10" s="75">
        <f t="shared" si="1"/>
        <v>4</v>
      </c>
      <c r="B10" s="74" t="s">
        <v>38</v>
      </c>
      <c r="C10" s="47">
        <v>114</v>
      </c>
      <c r="D10" s="47"/>
      <c r="E10" s="47"/>
      <c r="F10" s="47"/>
      <c r="G10" s="47"/>
      <c r="H10" s="47"/>
      <c r="I10" s="47"/>
      <c r="J10" s="111"/>
      <c r="K10" s="46"/>
      <c r="M10" s="52">
        <v>2</v>
      </c>
      <c r="N10" s="121"/>
      <c r="O10" s="47">
        <v>1</v>
      </c>
      <c r="P10" s="111"/>
      <c r="Q10" s="111"/>
      <c r="R10" s="46"/>
      <c r="T10" s="91">
        <f t="shared" si="0"/>
        <v>0</v>
      </c>
      <c r="U10" s="91">
        <f t="shared" si="2"/>
        <v>2808</v>
      </c>
      <c r="V10" s="91">
        <f t="shared" si="3"/>
        <v>117</v>
      </c>
      <c r="W10" s="123"/>
      <c r="AF10" s="60"/>
      <c r="AG10" s="60"/>
      <c r="AH10" s="60"/>
      <c r="AI10" s="60"/>
      <c r="AJ10" s="60"/>
      <c r="AK10" s="60"/>
      <c r="AL10" s="60"/>
      <c r="AM10" s="60"/>
      <c r="AN10" s="60"/>
      <c r="AO10" s="60"/>
      <c r="AP10" s="60"/>
      <c r="AQ10" s="60"/>
      <c r="AR10" s="60"/>
      <c r="AS10" s="60"/>
      <c r="AT10" s="60"/>
      <c r="AU10" s="60"/>
      <c r="AV10" s="60"/>
      <c r="AW10" s="60"/>
      <c r="AX10" s="60"/>
      <c r="AY10" s="60"/>
      <c r="AZ10" s="60"/>
      <c r="BA10" s="60"/>
      <c r="BB10" s="60"/>
    </row>
    <row r="11" spans="1:54" x14ac:dyDescent="0.25">
      <c r="A11" s="75">
        <f t="shared" si="1"/>
        <v>5</v>
      </c>
      <c r="B11" s="74" t="s">
        <v>36</v>
      </c>
      <c r="C11" s="47"/>
      <c r="D11" s="47"/>
      <c r="E11" s="47"/>
      <c r="F11" s="47"/>
      <c r="G11" s="47"/>
      <c r="H11" s="47">
        <v>22</v>
      </c>
      <c r="I11" s="47"/>
      <c r="J11" s="111"/>
      <c r="K11" s="46">
        <v>2</v>
      </c>
      <c r="M11" s="52"/>
      <c r="N11" s="121"/>
      <c r="O11" s="47"/>
      <c r="P11" s="111"/>
      <c r="Q11" s="111"/>
      <c r="R11" s="46"/>
      <c r="T11" s="91">
        <f t="shared" si="0"/>
        <v>24</v>
      </c>
      <c r="U11" s="91">
        <f t="shared" si="2"/>
        <v>24</v>
      </c>
      <c r="V11" s="91">
        <f t="shared" si="3"/>
        <v>1</v>
      </c>
      <c r="AF11" s="60"/>
      <c r="AG11" s="60"/>
      <c r="AH11" s="60"/>
      <c r="AI11" s="60"/>
      <c r="AJ11" s="60"/>
      <c r="AK11" s="60"/>
      <c r="AL11" s="60"/>
      <c r="AM11" s="60"/>
      <c r="AN11" s="60"/>
      <c r="AO11" s="60"/>
      <c r="AP11" s="60"/>
      <c r="AQ11" s="60"/>
      <c r="AR11" s="60"/>
      <c r="AS11" s="60"/>
      <c r="AT11" s="60"/>
      <c r="AU11" s="60"/>
      <c r="AV11" s="60"/>
      <c r="AW11" s="60"/>
      <c r="AX11" s="60"/>
      <c r="AY11" s="60"/>
      <c r="AZ11" s="60"/>
      <c r="BA11" s="60"/>
      <c r="BB11" s="60"/>
    </row>
    <row r="12" spans="1:54" s="61" customFormat="1" ht="19.5" thickBot="1" x14ac:dyDescent="0.3">
      <c r="A12" s="75">
        <v>7</v>
      </c>
      <c r="B12" s="94" t="s">
        <v>32</v>
      </c>
      <c r="C12" s="95">
        <f>72+1584+8+576+1440</f>
        <v>3680</v>
      </c>
      <c r="D12" s="95"/>
      <c r="E12" s="95"/>
      <c r="F12" s="95"/>
      <c r="G12" s="95"/>
      <c r="H12" s="95"/>
      <c r="I12" s="95"/>
      <c r="J12" s="110"/>
      <c r="K12" s="96"/>
      <c r="L12" s="102"/>
      <c r="M12" s="103">
        <v>14</v>
      </c>
      <c r="N12" s="120">
        <v>13</v>
      </c>
      <c r="O12" s="97">
        <v>21</v>
      </c>
      <c r="P12" s="113">
        <v>3</v>
      </c>
      <c r="Q12" s="113">
        <v>20</v>
      </c>
      <c r="R12" s="98">
        <v>6</v>
      </c>
      <c r="S12" s="102"/>
      <c r="T12" s="91">
        <f t="shared" si="0"/>
        <v>22</v>
      </c>
      <c r="U12" s="124">
        <f>C12*24+M12*24+O12*24+Q12*24+T12</f>
        <v>89662</v>
      </c>
      <c r="V12" s="124">
        <f>U12/24</f>
        <v>3735.9166666666665</v>
      </c>
      <c r="W12" s="57"/>
      <c r="X12" s="57"/>
      <c r="Y12" s="57"/>
      <c r="Z12" s="57"/>
      <c r="AA12" s="57"/>
      <c r="AB12" s="57"/>
      <c r="AC12" s="57"/>
      <c r="AD12" s="57"/>
      <c r="AE12" s="57"/>
      <c r="AF12" s="60"/>
      <c r="AG12" s="60"/>
      <c r="AH12" s="60"/>
      <c r="AI12" s="60"/>
      <c r="AJ12" s="60"/>
      <c r="AK12" s="60"/>
      <c r="AL12" s="60"/>
      <c r="AM12" s="60"/>
      <c r="AN12" s="60"/>
      <c r="AO12" s="60"/>
      <c r="AP12" s="60"/>
      <c r="AQ12" s="60"/>
      <c r="AR12" s="60"/>
      <c r="AS12" s="60"/>
      <c r="AT12" s="60"/>
      <c r="AU12" s="60"/>
      <c r="AV12" s="60"/>
      <c r="AW12" s="60"/>
      <c r="AX12" s="60"/>
      <c r="AY12" s="60"/>
      <c r="AZ12" s="60"/>
      <c r="BA12" s="60"/>
      <c r="BB12" s="60"/>
    </row>
    <row r="13" spans="1:54" x14ac:dyDescent="0.25">
      <c r="A13" s="75">
        <v>11</v>
      </c>
      <c r="B13" s="73" t="s">
        <v>1</v>
      </c>
      <c r="C13" s="47">
        <v>5</v>
      </c>
      <c r="D13" s="47"/>
      <c r="E13" s="47"/>
      <c r="F13" s="47"/>
      <c r="G13" s="47"/>
      <c r="H13" s="47"/>
      <c r="I13" s="47"/>
      <c r="J13" s="111"/>
      <c r="K13" s="46"/>
      <c r="M13" s="52"/>
      <c r="N13" s="121"/>
      <c r="O13" s="47"/>
      <c r="P13" s="111"/>
      <c r="Q13" s="111"/>
      <c r="R13" s="46"/>
      <c r="T13" s="91">
        <f t="shared" si="0"/>
        <v>0</v>
      </c>
      <c r="U13" s="125">
        <f>C13*24+M13*24+O13*24+Q13*24+T13</f>
        <v>120</v>
      </c>
      <c r="V13" s="125">
        <f>U13/24</f>
        <v>5</v>
      </c>
      <c r="AF13" s="60"/>
      <c r="AG13" s="60"/>
      <c r="AH13" s="60"/>
      <c r="AI13" s="60"/>
      <c r="AJ13" s="60"/>
      <c r="AK13" s="60"/>
      <c r="AL13" s="60"/>
      <c r="AM13" s="60"/>
      <c r="AN13" s="60"/>
      <c r="AO13" s="60"/>
      <c r="AP13" s="60"/>
      <c r="AQ13" s="60"/>
      <c r="AR13" s="60"/>
      <c r="AS13" s="60"/>
      <c r="AT13" s="60"/>
      <c r="AU13" s="60"/>
      <c r="AV13" s="60"/>
      <c r="AW13" s="60"/>
      <c r="AX13" s="60"/>
      <c r="AY13" s="60"/>
      <c r="AZ13" s="60"/>
      <c r="BA13" s="60"/>
      <c r="BB13" s="60"/>
    </row>
    <row r="14" spans="1:54" x14ac:dyDescent="0.25">
      <c r="A14" s="75">
        <f t="shared" si="1"/>
        <v>12</v>
      </c>
      <c r="B14" s="74" t="s">
        <v>2</v>
      </c>
      <c r="C14" s="47"/>
      <c r="D14" s="47"/>
      <c r="E14" s="47"/>
      <c r="F14" s="47"/>
      <c r="G14" s="47"/>
      <c r="H14" s="47"/>
      <c r="I14" s="47"/>
      <c r="J14" s="111"/>
      <c r="K14" s="46"/>
      <c r="M14" s="52"/>
      <c r="N14" s="121"/>
      <c r="O14" s="47"/>
      <c r="P14" s="111"/>
      <c r="Q14" s="111"/>
      <c r="R14" s="46"/>
      <c r="T14" s="91">
        <f t="shared" si="0"/>
        <v>0</v>
      </c>
      <c r="U14" s="50">
        <f t="shared" ref="U14:U36" si="4">C14*24+M14*24+O14*24+Q14*24+T14</f>
        <v>0</v>
      </c>
      <c r="V14" s="50">
        <f t="shared" ref="V14:V36" si="5">U14/24</f>
        <v>0</v>
      </c>
      <c r="AF14" s="60"/>
      <c r="AG14" s="60"/>
      <c r="AH14" s="60"/>
      <c r="AI14" s="60"/>
      <c r="AJ14" s="60"/>
      <c r="AK14" s="60"/>
      <c r="AL14" s="60"/>
      <c r="AM14" s="60"/>
      <c r="AN14" s="60"/>
      <c r="AO14" s="60"/>
      <c r="AP14" s="60"/>
      <c r="AQ14" s="60"/>
      <c r="AR14" s="60"/>
      <c r="AS14" s="60"/>
      <c r="AT14" s="60"/>
      <c r="AU14" s="60"/>
      <c r="AV14" s="60"/>
      <c r="AW14" s="60"/>
      <c r="AX14" s="60"/>
      <c r="AY14" s="60"/>
      <c r="AZ14" s="60"/>
      <c r="BA14" s="60"/>
      <c r="BB14" s="60"/>
    </row>
    <row r="15" spans="1:54" x14ac:dyDescent="0.25">
      <c r="A15" s="75">
        <f t="shared" si="1"/>
        <v>13</v>
      </c>
      <c r="B15" s="74" t="s">
        <v>3</v>
      </c>
      <c r="C15" s="47"/>
      <c r="D15" s="47"/>
      <c r="E15" s="47"/>
      <c r="F15" s="47"/>
      <c r="G15" s="47"/>
      <c r="H15" s="47"/>
      <c r="I15" s="47"/>
      <c r="J15" s="111"/>
      <c r="K15" s="46"/>
      <c r="M15" s="52"/>
      <c r="N15" s="121"/>
      <c r="O15" s="47"/>
      <c r="P15" s="111"/>
      <c r="Q15" s="111"/>
      <c r="R15" s="46"/>
      <c r="T15" s="91">
        <f t="shared" si="0"/>
        <v>0</v>
      </c>
      <c r="U15" s="50">
        <f t="shared" si="4"/>
        <v>0</v>
      </c>
      <c r="V15" s="50">
        <f t="shared" si="5"/>
        <v>0</v>
      </c>
      <c r="AF15" s="60"/>
      <c r="AG15" s="60"/>
      <c r="AH15" s="60"/>
      <c r="AI15" s="60"/>
      <c r="AJ15" s="60"/>
      <c r="AK15" s="60"/>
      <c r="AL15" s="60"/>
      <c r="AM15" s="60"/>
      <c r="AN15" s="60"/>
      <c r="AO15" s="60"/>
      <c r="AP15" s="60"/>
      <c r="AQ15" s="60"/>
      <c r="AR15" s="60"/>
      <c r="AS15" s="60"/>
      <c r="AT15" s="60"/>
      <c r="AU15" s="60"/>
      <c r="AV15" s="60"/>
      <c r="AW15" s="60"/>
      <c r="AX15" s="60"/>
      <c r="AY15" s="60"/>
      <c r="AZ15" s="60"/>
      <c r="BA15" s="60"/>
      <c r="BB15" s="60"/>
    </row>
    <row r="16" spans="1:54" x14ac:dyDescent="0.25">
      <c r="A16" s="75">
        <f t="shared" si="1"/>
        <v>14</v>
      </c>
      <c r="B16" s="74" t="s">
        <v>4</v>
      </c>
      <c r="C16" s="47"/>
      <c r="D16" s="47"/>
      <c r="E16" s="47"/>
      <c r="F16" s="47"/>
      <c r="G16" s="47"/>
      <c r="H16" s="47"/>
      <c r="I16" s="47"/>
      <c r="J16" s="111"/>
      <c r="K16" s="46"/>
      <c r="M16" s="52"/>
      <c r="N16" s="121"/>
      <c r="O16" s="47"/>
      <c r="P16" s="111"/>
      <c r="Q16" s="111"/>
      <c r="R16" s="46"/>
      <c r="T16" s="91">
        <f t="shared" si="0"/>
        <v>0</v>
      </c>
      <c r="U16" s="50">
        <f t="shared" si="4"/>
        <v>0</v>
      </c>
      <c r="V16" s="50">
        <f t="shared" si="5"/>
        <v>0</v>
      </c>
      <c r="AF16" s="60"/>
      <c r="AG16" s="60"/>
      <c r="AH16" s="60"/>
      <c r="AI16" s="60"/>
      <c r="AJ16" s="60"/>
      <c r="AK16" s="60"/>
      <c r="AL16" s="60"/>
      <c r="AM16" s="60"/>
      <c r="AN16" s="60"/>
      <c r="AO16" s="60"/>
      <c r="AP16" s="60"/>
      <c r="AQ16" s="60"/>
      <c r="AR16" s="60"/>
      <c r="AS16" s="60"/>
      <c r="AT16" s="60"/>
      <c r="AU16" s="60"/>
      <c r="AV16" s="60"/>
      <c r="AW16" s="60"/>
      <c r="AX16" s="60"/>
      <c r="AY16" s="60"/>
      <c r="AZ16" s="60"/>
      <c r="BA16" s="60"/>
      <c r="BB16" s="60"/>
    </row>
    <row r="17" spans="1:54" x14ac:dyDescent="0.25">
      <c r="A17" s="75">
        <f t="shared" si="1"/>
        <v>15</v>
      </c>
      <c r="B17" s="74" t="s">
        <v>5</v>
      </c>
      <c r="C17" s="47">
        <v>4</v>
      </c>
      <c r="D17" s="47"/>
      <c r="E17" s="47"/>
      <c r="F17" s="47"/>
      <c r="G17" s="47"/>
      <c r="H17" s="47"/>
      <c r="I17" s="47"/>
      <c r="J17" s="111"/>
      <c r="K17" s="46"/>
      <c r="M17" s="52"/>
      <c r="N17" s="121"/>
      <c r="O17" s="47"/>
      <c r="P17" s="111"/>
      <c r="Q17" s="111"/>
      <c r="R17" s="46"/>
      <c r="T17" s="91">
        <f t="shared" si="0"/>
        <v>0</v>
      </c>
      <c r="U17" s="50">
        <f t="shared" si="4"/>
        <v>96</v>
      </c>
      <c r="V17" s="50">
        <f t="shared" si="5"/>
        <v>4</v>
      </c>
      <c r="AF17" s="60"/>
      <c r="AG17" s="60"/>
      <c r="AH17" s="60"/>
      <c r="AI17" s="60"/>
      <c r="AJ17" s="60"/>
      <c r="AK17" s="60"/>
      <c r="AL17" s="60"/>
      <c r="AM17" s="60"/>
      <c r="AN17" s="60"/>
      <c r="AO17" s="60"/>
      <c r="AP17" s="60"/>
      <c r="AQ17" s="60"/>
      <c r="AR17" s="60"/>
      <c r="AS17" s="60"/>
      <c r="AT17" s="60"/>
      <c r="AU17" s="60"/>
      <c r="AV17" s="60"/>
      <c r="AW17" s="60"/>
      <c r="AX17" s="60"/>
      <c r="AY17" s="60"/>
      <c r="AZ17" s="60"/>
      <c r="BA17" s="60"/>
      <c r="BB17" s="60"/>
    </row>
    <row r="18" spans="1:54" hidden="1" x14ac:dyDescent="0.25">
      <c r="A18" s="75">
        <f t="shared" si="1"/>
        <v>16</v>
      </c>
      <c r="B18" s="74" t="s">
        <v>10</v>
      </c>
      <c r="C18" s="47"/>
      <c r="D18" s="47"/>
      <c r="E18" s="47"/>
      <c r="F18" s="47"/>
      <c r="G18" s="47"/>
      <c r="H18" s="47"/>
      <c r="I18" s="47"/>
      <c r="J18" s="111"/>
      <c r="K18" s="46"/>
      <c r="M18" s="52"/>
      <c r="N18" s="121"/>
      <c r="O18" s="47"/>
      <c r="P18" s="111"/>
      <c r="Q18" s="111"/>
      <c r="R18" s="46"/>
      <c r="T18" s="91">
        <f t="shared" si="0"/>
        <v>0</v>
      </c>
      <c r="U18" s="50">
        <f t="shared" si="4"/>
        <v>0</v>
      </c>
      <c r="V18" s="50">
        <f t="shared" si="5"/>
        <v>0</v>
      </c>
      <c r="AF18" s="60"/>
      <c r="AG18" s="60"/>
      <c r="AH18" s="60"/>
      <c r="AI18" s="60"/>
      <c r="AJ18" s="60"/>
      <c r="AK18" s="60"/>
      <c r="AL18" s="60"/>
      <c r="AM18" s="60"/>
      <c r="AN18" s="60"/>
      <c r="AO18" s="60"/>
      <c r="AP18" s="60"/>
      <c r="AQ18" s="60"/>
      <c r="AR18" s="60"/>
      <c r="AS18" s="60"/>
      <c r="AT18" s="60"/>
      <c r="AU18" s="60"/>
      <c r="AV18" s="60"/>
      <c r="AW18" s="60"/>
      <c r="AX18" s="60"/>
      <c r="AY18" s="60"/>
      <c r="AZ18" s="60"/>
      <c r="BA18" s="60"/>
      <c r="BB18" s="60"/>
    </row>
    <row r="19" spans="1:54" x14ac:dyDescent="0.25">
      <c r="A19" s="75">
        <v>16</v>
      </c>
      <c r="B19" s="74" t="s">
        <v>64</v>
      </c>
      <c r="C19" s="47">
        <v>4</v>
      </c>
      <c r="D19" s="47"/>
      <c r="E19" s="47"/>
      <c r="F19" s="47"/>
      <c r="G19" s="47"/>
      <c r="H19" s="47"/>
      <c r="I19" s="47"/>
      <c r="J19" s="111"/>
      <c r="K19" s="46"/>
      <c r="M19" s="52"/>
      <c r="N19" s="121"/>
      <c r="O19" s="47"/>
      <c r="P19" s="111"/>
      <c r="Q19" s="111"/>
      <c r="R19" s="46"/>
      <c r="T19" s="91">
        <f t="shared" si="0"/>
        <v>0</v>
      </c>
      <c r="U19" s="50">
        <f t="shared" si="4"/>
        <v>96</v>
      </c>
      <c r="V19" s="50">
        <f t="shared" si="5"/>
        <v>4</v>
      </c>
      <c r="AF19" s="60"/>
      <c r="AG19" s="60"/>
      <c r="AH19" s="60"/>
      <c r="AI19" s="60"/>
      <c r="AJ19" s="60"/>
      <c r="AK19" s="60"/>
      <c r="AL19" s="60"/>
      <c r="AM19" s="60"/>
      <c r="AN19" s="60"/>
      <c r="AO19" s="60"/>
      <c r="AP19" s="60"/>
      <c r="AQ19" s="60"/>
      <c r="AR19" s="60"/>
      <c r="AS19" s="60"/>
      <c r="AT19" s="60"/>
      <c r="AU19" s="60"/>
      <c r="AV19" s="60"/>
      <c r="AW19" s="60"/>
      <c r="AX19" s="60"/>
      <c r="AY19" s="60"/>
      <c r="AZ19" s="60"/>
      <c r="BA19" s="60"/>
      <c r="BB19" s="60"/>
    </row>
    <row r="20" spans="1:54" x14ac:dyDescent="0.25">
      <c r="A20" s="75">
        <f t="shared" si="1"/>
        <v>17</v>
      </c>
      <c r="B20" s="74" t="s">
        <v>6</v>
      </c>
      <c r="C20" s="47">
        <v>6</v>
      </c>
      <c r="D20" s="47"/>
      <c r="E20" s="47"/>
      <c r="F20" s="47"/>
      <c r="G20" s="47"/>
      <c r="H20" s="47"/>
      <c r="I20" s="47"/>
      <c r="J20" s="111"/>
      <c r="K20" s="46"/>
      <c r="M20" s="52"/>
      <c r="N20" s="121"/>
      <c r="O20" s="47"/>
      <c r="P20" s="111"/>
      <c r="Q20" s="111"/>
      <c r="R20" s="46"/>
      <c r="T20" s="91">
        <f t="shared" si="0"/>
        <v>0</v>
      </c>
      <c r="U20" s="50">
        <f t="shared" si="4"/>
        <v>144</v>
      </c>
      <c r="V20" s="50">
        <f t="shared" si="5"/>
        <v>6</v>
      </c>
      <c r="AF20" s="60"/>
      <c r="AG20" s="60"/>
      <c r="AH20" s="60"/>
      <c r="AI20" s="60"/>
      <c r="AJ20" s="60"/>
      <c r="AK20" s="60"/>
      <c r="AL20" s="60"/>
      <c r="AM20" s="60"/>
      <c r="AN20" s="60"/>
      <c r="AO20" s="60"/>
      <c r="AP20" s="60"/>
      <c r="AQ20" s="60"/>
      <c r="AR20" s="60"/>
      <c r="AS20" s="60"/>
      <c r="AT20" s="60"/>
      <c r="AU20" s="60"/>
      <c r="AV20" s="60"/>
      <c r="AW20" s="60"/>
      <c r="AX20" s="60"/>
      <c r="AY20" s="60"/>
      <c r="AZ20" s="60"/>
      <c r="BA20" s="60"/>
      <c r="BB20" s="60"/>
    </row>
    <row r="21" spans="1:54" x14ac:dyDescent="0.25">
      <c r="A21" s="75">
        <f t="shared" si="1"/>
        <v>18</v>
      </c>
      <c r="B21" s="74" t="s">
        <v>7</v>
      </c>
      <c r="C21" s="47">
        <v>4</v>
      </c>
      <c r="D21" s="47"/>
      <c r="E21" s="47"/>
      <c r="F21" s="47"/>
      <c r="G21" s="47"/>
      <c r="H21" s="47"/>
      <c r="I21" s="47"/>
      <c r="J21" s="111"/>
      <c r="K21" s="46"/>
      <c r="M21" s="52"/>
      <c r="N21" s="121"/>
      <c r="O21" s="47"/>
      <c r="P21" s="111"/>
      <c r="Q21" s="111"/>
      <c r="R21" s="46"/>
      <c r="T21" s="91">
        <f t="shared" si="0"/>
        <v>0</v>
      </c>
      <c r="U21" s="50">
        <f t="shared" si="4"/>
        <v>96</v>
      </c>
      <c r="V21" s="50">
        <f t="shared" si="5"/>
        <v>4</v>
      </c>
      <c r="AF21" s="60"/>
      <c r="AG21" s="60"/>
      <c r="AH21" s="60"/>
      <c r="AI21" s="60"/>
      <c r="AJ21" s="60"/>
      <c r="AK21" s="60"/>
      <c r="AL21" s="60"/>
      <c r="AM21" s="60"/>
      <c r="AN21" s="60"/>
      <c r="AO21" s="60"/>
      <c r="AP21" s="60"/>
      <c r="AQ21" s="60"/>
      <c r="AR21" s="60"/>
      <c r="AS21" s="60"/>
      <c r="AT21" s="60"/>
      <c r="AU21" s="60"/>
      <c r="AV21" s="60"/>
      <c r="AW21" s="60"/>
      <c r="AX21" s="60"/>
      <c r="AY21" s="60"/>
      <c r="AZ21" s="60"/>
      <c r="BA21" s="60"/>
      <c r="BB21" s="60"/>
    </row>
    <row r="22" spans="1:54" s="61" customFormat="1" x14ac:dyDescent="0.25">
      <c r="A22" s="75">
        <f t="shared" si="1"/>
        <v>19</v>
      </c>
      <c r="B22" s="74" t="s">
        <v>65</v>
      </c>
      <c r="C22" s="47">
        <v>2</v>
      </c>
      <c r="D22" s="47"/>
      <c r="E22" s="47"/>
      <c r="F22" s="47"/>
      <c r="G22" s="47"/>
      <c r="H22" s="47"/>
      <c r="I22" s="47"/>
      <c r="J22" s="111"/>
      <c r="K22" s="46"/>
      <c r="L22" s="57"/>
      <c r="M22" s="52"/>
      <c r="N22" s="121"/>
      <c r="O22" s="47"/>
      <c r="P22" s="111"/>
      <c r="Q22" s="111"/>
      <c r="R22" s="46"/>
      <c r="S22" s="57"/>
      <c r="T22" s="91">
        <f t="shared" si="0"/>
        <v>0</v>
      </c>
      <c r="U22" s="50">
        <f t="shared" si="4"/>
        <v>48</v>
      </c>
      <c r="V22" s="50">
        <f t="shared" si="5"/>
        <v>2</v>
      </c>
      <c r="W22" s="57"/>
      <c r="X22" s="57"/>
      <c r="Y22" s="57"/>
      <c r="Z22" s="57"/>
      <c r="AA22" s="57"/>
      <c r="AB22" s="57"/>
      <c r="AC22" s="57"/>
      <c r="AD22" s="57"/>
      <c r="AE22" s="57"/>
      <c r="AF22" s="60"/>
      <c r="AG22" s="60"/>
      <c r="AH22" s="60"/>
      <c r="AI22" s="60"/>
      <c r="AJ22" s="60"/>
      <c r="AK22" s="60"/>
      <c r="AL22" s="60"/>
      <c r="AM22" s="60"/>
      <c r="AN22" s="60"/>
      <c r="AO22" s="60"/>
      <c r="AP22" s="60"/>
      <c r="AQ22" s="60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</row>
    <row r="23" spans="1:54" s="61" customFormat="1" x14ac:dyDescent="0.25">
      <c r="A23" s="75">
        <f t="shared" si="1"/>
        <v>20</v>
      </c>
      <c r="B23" s="74" t="s">
        <v>66</v>
      </c>
      <c r="C23" s="47">
        <v>48</v>
      </c>
      <c r="D23" s="47"/>
      <c r="E23" s="47"/>
      <c r="F23" s="47"/>
      <c r="G23" s="47"/>
      <c r="H23" s="47"/>
      <c r="I23" s="47"/>
      <c r="J23" s="111"/>
      <c r="K23" s="46"/>
      <c r="L23" s="57"/>
      <c r="M23" s="52"/>
      <c r="N23" s="121"/>
      <c r="O23" s="47"/>
      <c r="P23" s="111"/>
      <c r="Q23" s="111"/>
      <c r="R23" s="46"/>
      <c r="S23" s="57"/>
      <c r="T23" s="91">
        <f t="shared" si="0"/>
        <v>0</v>
      </c>
      <c r="U23" s="50">
        <f t="shared" si="4"/>
        <v>1152</v>
      </c>
      <c r="V23" s="50">
        <f t="shared" si="5"/>
        <v>48</v>
      </c>
      <c r="W23" s="57"/>
      <c r="X23" s="57"/>
      <c r="Y23" s="57"/>
      <c r="Z23" s="57"/>
      <c r="AA23" s="57"/>
      <c r="AB23" s="57"/>
      <c r="AC23" s="57"/>
      <c r="AD23" s="57"/>
      <c r="AE23" s="57"/>
      <c r="AF23" s="60"/>
      <c r="AG23" s="60"/>
      <c r="AH23" s="60"/>
      <c r="AI23" s="60"/>
      <c r="AJ23" s="60"/>
      <c r="AK23" s="60"/>
      <c r="AL23" s="60"/>
      <c r="AM23" s="60"/>
      <c r="AN23" s="60"/>
      <c r="AO23" s="60"/>
      <c r="AP23" s="60"/>
      <c r="AQ23" s="60"/>
      <c r="AR23" s="60"/>
      <c r="AS23" s="60"/>
      <c r="AT23" s="60"/>
      <c r="AU23" s="60"/>
      <c r="AV23" s="60"/>
      <c r="AW23" s="60"/>
      <c r="AX23" s="60"/>
      <c r="AY23" s="60"/>
      <c r="AZ23" s="60"/>
      <c r="BA23" s="60"/>
      <c r="BB23" s="60"/>
    </row>
    <row r="24" spans="1:54" s="61" customFormat="1" x14ac:dyDescent="0.25">
      <c r="A24" s="75">
        <f t="shared" si="1"/>
        <v>21</v>
      </c>
      <c r="B24" s="74" t="s">
        <v>75</v>
      </c>
      <c r="C24" s="47">
        <v>3</v>
      </c>
      <c r="D24" s="47"/>
      <c r="E24" s="47"/>
      <c r="F24" s="47"/>
      <c r="G24" s="47"/>
      <c r="H24" s="47"/>
      <c r="I24" s="47"/>
      <c r="J24" s="111"/>
      <c r="K24" s="46"/>
      <c r="L24" s="57"/>
      <c r="M24" s="52"/>
      <c r="N24" s="121"/>
      <c r="O24" s="47"/>
      <c r="P24" s="111"/>
      <c r="Q24" s="111"/>
      <c r="R24" s="46"/>
      <c r="S24" s="57"/>
      <c r="T24" s="91">
        <f t="shared" si="0"/>
        <v>0</v>
      </c>
      <c r="U24" s="50">
        <f t="shared" si="4"/>
        <v>72</v>
      </c>
      <c r="V24" s="50">
        <f t="shared" si="5"/>
        <v>3</v>
      </c>
      <c r="W24" s="57"/>
      <c r="X24" s="57"/>
      <c r="Y24" s="57"/>
      <c r="Z24" s="57"/>
      <c r="AA24" s="57"/>
      <c r="AB24" s="57"/>
      <c r="AC24" s="57"/>
      <c r="AD24" s="57"/>
      <c r="AE24" s="57"/>
      <c r="AF24" s="60"/>
      <c r="AG24" s="60"/>
      <c r="AH24" s="60"/>
      <c r="AI24" s="60"/>
      <c r="AJ24" s="60"/>
      <c r="AK24" s="60"/>
      <c r="AL24" s="60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</row>
    <row r="25" spans="1:54" x14ac:dyDescent="0.25">
      <c r="A25" s="75">
        <f t="shared" si="1"/>
        <v>22</v>
      </c>
      <c r="B25" s="74" t="s">
        <v>67</v>
      </c>
      <c r="C25" s="47">
        <v>7</v>
      </c>
      <c r="D25" s="47"/>
      <c r="E25" s="47"/>
      <c r="F25" s="47"/>
      <c r="G25" s="47"/>
      <c r="H25" s="47"/>
      <c r="I25" s="47"/>
      <c r="J25" s="111"/>
      <c r="K25" s="46"/>
      <c r="M25" s="52"/>
      <c r="N25" s="121"/>
      <c r="O25" s="47"/>
      <c r="P25" s="111"/>
      <c r="Q25" s="111"/>
      <c r="R25" s="46"/>
      <c r="T25" s="91">
        <f t="shared" si="0"/>
        <v>0</v>
      </c>
      <c r="U25" s="50">
        <f t="shared" si="4"/>
        <v>168</v>
      </c>
      <c r="V25" s="50">
        <f t="shared" si="5"/>
        <v>7</v>
      </c>
      <c r="AF25" s="60"/>
      <c r="AG25" s="60"/>
      <c r="AH25" s="60"/>
      <c r="AI25" s="60"/>
      <c r="AJ25" s="60"/>
      <c r="AK25" s="60"/>
      <c r="AL25" s="60"/>
      <c r="AM25" s="60"/>
      <c r="AN25" s="60"/>
      <c r="AO25" s="60"/>
      <c r="AP25" s="60"/>
      <c r="AQ25" s="60"/>
      <c r="AR25" s="60"/>
      <c r="AS25" s="60"/>
      <c r="AT25" s="60"/>
      <c r="AU25" s="60"/>
      <c r="AV25" s="60"/>
      <c r="AW25" s="60"/>
      <c r="AX25" s="60"/>
      <c r="AY25" s="60"/>
      <c r="AZ25" s="60"/>
      <c r="BA25" s="60"/>
      <c r="BB25" s="60"/>
    </row>
    <row r="26" spans="1:54" x14ac:dyDescent="0.25">
      <c r="A26" s="75">
        <f t="shared" si="1"/>
        <v>23</v>
      </c>
      <c r="B26" s="74" t="s">
        <v>9</v>
      </c>
      <c r="C26" s="47">
        <f>63+35</f>
        <v>98</v>
      </c>
      <c r="D26" s="47"/>
      <c r="E26" s="47"/>
      <c r="F26" s="47"/>
      <c r="G26" s="47"/>
      <c r="H26" s="47">
        <v>22</v>
      </c>
      <c r="I26" s="47">
        <v>1</v>
      </c>
      <c r="J26" s="111"/>
      <c r="K26" s="46"/>
      <c r="M26" s="52">
        <v>5</v>
      </c>
      <c r="N26" s="121"/>
      <c r="O26" s="47">
        <v>2</v>
      </c>
      <c r="P26" s="111"/>
      <c r="Q26" s="111">
        <v>2</v>
      </c>
      <c r="R26" s="46"/>
      <c r="T26" s="91">
        <f t="shared" si="0"/>
        <v>23</v>
      </c>
      <c r="U26" s="50">
        <f t="shared" si="4"/>
        <v>2591</v>
      </c>
      <c r="V26" s="50">
        <f t="shared" si="5"/>
        <v>107.95833333333333</v>
      </c>
      <c r="AY26" s="62" t="e">
        <f>#REF!-AY25</f>
        <v>#REF!</v>
      </c>
    </row>
    <row r="27" spans="1:54" s="61" customFormat="1" x14ac:dyDescent="0.25">
      <c r="A27" s="75">
        <f t="shared" si="1"/>
        <v>24</v>
      </c>
      <c r="B27" s="74" t="s">
        <v>11</v>
      </c>
      <c r="C27" s="47"/>
      <c r="D27" s="47"/>
      <c r="E27" s="47"/>
      <c r="F27" s="47"/>
      <c r="G27" s="47"/>
      <c r="H27" s="47"/>
      <c r="I27" s="47"/>
      <c r="J27" s="111"/>
      <c r="K27" s="46"/>
      <c r="L27" s="57"/>
      <c r="M27" s="52"/>
      <c r="N27" s="121"/>
      <c r="O27" s="47"/>
      <c r="P27" s="111"/>
      <c r="Q27" s="111"/>
      <c r="R27" s="46"/>
      <c r="S27" s="57"/>
      <c r="T27" s="91">
        <f t="shared" si="0"/>
        <v>0</v>
      </c>
      <c r="U27" s="50">
        <f t="shared" si="4"/>
        <v>0</v>
      </c>
      <c r="V27" s="50">
        <f t="shared" si="5"/>
        <v>0</v>
      </c>
      <c r="W27" s="57"/>
      <c r="X27" s="57"/>
      <c r="Y27" s="57"/>
      <c r="Z27" s="57"/>
      <c r="AA27" s="57"/>
      <c r="AB27" s="57"/>
      <c r="AC27" s="57"/>
      <c r="AD27" s="57"/>
      <c r="AE27" s="57"/>
    </row>
    <row r="28" spans="1:54" s="61" customFormat="1" x14ac:dyDescent="0.25">
      <c r="A28" s="75">
        <f t="shared" si="1"/>
        <v>25</v>
      </c>
      <c r="B28" s="74" t="s">
        <v>12</v>
      </c>
      <c r="C28" s="47"/>
      <c r="D28" s="47"/>
      <c r="E28" s="47"/>
      <c r="F28" s="47"/>
      <c r="G28" s="47"/>
      <c r="H28" s="47"/>
      <c r="I28" s="47"/>
      <c r="J28" s="111"/>
      <c r="K28" s="46"/>
      <c r="L28" s="57"/>
      <c r="M28" s="52"/>
      <c r="N28" s="121"/>
      <c r="O28" s="47">
        <v>2</v>
      </c>
      <c r="P28" s="111"/>
      <c r="Q28" s="111"/>
      <c r="R28" s="46"/>
      <c r="S28" s="57"/>
      <c r="T28" s="91">
        <f t="shared" si="0"/>
        <v>0</v>
      </c>
      <c r="U28" s="50">
        <f t="shared" si="4"/>
        <v>48</v>
      </c>
      <c r="V28" s="50">
        <f t="shared" si="5"/>
        <v>2</v>
      </c>
      <c r="W28" s="57"/>
      <c r="X28" s="57"/>
      <c r="Y28" s="57"/>
      <c r="Z28" s="57"/>
      <c r="AA28" s="57"/>
      <c r="AB28" s="57"/>
      <c r="AC28" s="57"/>
      <c r="AD28" s="57"/>
      <c r="AE28" s="57"/>
    </row>
    <row r="29" spans="1:54" x14ac:dyDescent="0.25">
      <c r="A29" s="75">
        <f t="shared" si="1"/>
        <v>26</v>
      </c>
      <c r="B29" s="74" t="s">
        <v>14</v>
      </c>
      <c r="C29" s="47"/>
      <c r="D29" s="47"/>
      <c r="E29" s="47"/>
      <c r="F29" s="47"/>
      <c r="G29" s="47"/>
      <c r="H29" s="47"/>
      <c r="I29" s="47"/>
      <c r="J29" s="111"/>
      <c r="K29" s="46"/>
      <c r="M29" s="52"/>
      <c r="N29" s="121"/>
      <c r="O29" s="47"/>
      <c r="P29" s="111"/>
      <c r="Q29" s="111"/>
      <c r="R29" s="46"/>
      <c r="T29" s="91">
        <f t="shared" si="0"/>
        <v>0</v>
      </c>
      <c r="U29" s="50">
        <f t="shared" si="4"/>
        <v>0</v>
      </c>
      <c r="V29" s="50">
        <f t="shared" si="5"/>
        <v>0</v>
      </c>
    </row>
    <row r="30" spans="1:54" x14ac:dyDescent="0.25">
      <c r="A30" s="75">
        <f t="shared" si="1"/>
        <v>27</v>
      </c>
      <c r="B30" s="74" t="s">
        <v>16</v>
      </c>
      <c r="C30" s="47">
        <f>63+5</f>
        <v>68</v>
      </c>
      <c r="D30" s="47"/>
      <c r="E30" s="47"/>
      <c r="F30" s="47"/>
      <c r="G30" s="47"/>
      <c r="H30" s="47"/>
      <c r="I30" s="47"/>
      <c r="J30" s="111"/>
      <c r="K30" s="46"/>
      <c r="M30" s="52"/>
      <c r="N30" s="121"/>
      <c r="O30" s="47">
        <v>2</v>
      </c>
      <c r="P30" s="111"/>
      <c r="Q30" s="111">
        <v>1</v>
      </c>
      <c r="R30" s="46"/>
      <c r="T30" s="91">
        <f t="shared" si="0"/>
        <v>0</v>
      </c>
      <c r="U30" s="50">
        <f t="shared" si="4"/>
        <v>1704</v>
      </c>
      <c r="V30" s="50">
        <f t="shared" si="5"/>
        <v>71</v>
      </c>
    </row>
    <row r="31" spans="1:54" x14ac:dyDescent="0.25">
      <c r="A31" s="75">
        <f t="shared" si="1"/>
        <v>28</v>
      </c>
      <c r="B31" s="74" t="s">
        <v>13</v>
      </c>
      <c r="C31" s="47"/>
      <c r="D31" s="47"/>
      <c r="E31" s="47"/>
      <c r="F31" s="47"/>
      <c r="G31" s="47"/>
      <c r="H31" s="47"/>
      <c r="I31" s="47"/>
      <c r="J31" s="111"/>
      <c r="K31" s="46"/>
      <c r="M31" s="52"/>
      <c r="N31" s="121"/>
      <c r="O31" s="47"/>
      <c r="P31" s="111"/>
      <c r="Q31" s="111"/>
      <c r="R31" s="46"/>
      <c r="T31" s="91">
        <f t="shared" si="0"/>
        <v>0</v>
      </c>
      <c r="U31" s="50">
        <f t="shared" si="4"/>
        <v>0</v>
      </c>
      <c r="V31" s="50">
        <f t="shared" si="5"/>
        <v>0</v>
      </c>
    </row>
    <row r="32" spans="1:54" x14ac:dyDescent="0.25">
      <c r="A32" s="75">
        <f t="shared" si="1"/>
        <v>29</v>
      </c>
      <c r="B32" s="74" t="s">
        <v>15</v>
      </c>
      <c r="C32" s="47"/>
      <c r="D32" s="47"/>
      <c r="E32" s="47"/>
      <c r="F32" s="47"/>
      <c r="G32" s="47"/>
      <c r="H32" s="47"/>
      <c r="I32" s="47"/>
      <c r="J32" s="111"/>
      <c r="K32" s="46"/>
      <c r="M32" s="52"/>
      <c r="N32" s="121"/>
      <c r="O32" s="47"/>
      <c r="P32" s="111"/>
      <c r="Q32" s="111"/>
      <c r="R32" s="46"/>
      <c r="T32" s="91">
        <f t="shared" si="0"/>
        <v>0</v>
      </c>
      <c r="U32" s="50">
        <f t="shared" si="4"/>
        <v>0</v>
      </c>
      <c r="V32" s="50">
        <f t="shared" si="5"/>
        <v>0</v>
      </c>
    </row>
    <row r="33" spans="1:23" x14ac:dyDescent="0.25">
      <c r="A33" s="75">
        <f t="shared" si="1"/>
        <v>30</v>
      </c>
      <c r="B33" s="74" t="s">
        <v>17</v>
      </c>
      <c r="C33" s="47"/>
      <c r="D33" s="47"/>
      <c r="E33" s="47"/>
      <c r="F33" s="47"/>
      <c r="G33" s="47"/>
      <c r="H33" s="47"/>
      <c r="I33" s="47"/>
      <c r="J33" s="111"/>
      <c r="K33" s="46"/>
      <c r="M33" s="52"/>
      <c r="N33" s="121"/>
      <c r="O33" s="47"/>
      <c r="P33" s="111"/>
      <c r="Q33" s="111"/>
      <c r="R33" s="46"/>
      <c r="T33" s="91">
        <f t="shared" si="0"/>
        <v>0</v>
      </c>
      <c r="U33" s="50">
        <f t="shared" si="4"/>
        <v>0</v>
      </c>
      <c r="V33" s="50">
        <f t="shared" si="5"/>
        <v>0</v>
      </c>
    </row>
    <row r="34" spans="1:23" x14ac:dyDescent="0.25">
      <c r="A34" s="75">
        <f t="shared" si="1"/>
        <v>31</v>
      </c>
      <c r="B34" s="74" t="s">
        <v>18</v>
      </c>
      <c r="C34" s="47">
        <f>144+31</f>
        <v>175</v>
      </c>
      <c r="D34" s="47"/>
      <c r="E34" s="47"/>
      <c r="F34" s="47"/>
      <c r="G34" s="47"/>
      <c r="H34" s="47">
        <v>22</v>
      </c>
      <c r="I34" s="47"/>
      <c r="J34" s="111"/>
      <c r="K34" s="46">
        <v>1</v>
      </c>
      <c r="M34" s="52">
        <v>10</v>
      </c>
      <c r="N34" s="121"/>
      <c r="O34" s="47">
        <v>2</v>
      </c>
      <c r="P34" s="111"/>
      <c r="Q34" s="111">
        <v>2</v>
      </c>
      <c r="R34" s="46"/>
      <c r="T34" s="91">
        <f t="shared" si="0"/>
        <v>23</v>
      </c>
      <c r="U34" s="50">
        <f t="shared" si="4"/>
        <v>4559</v>
      </c>
      <c r="V34" s="50">
        <f t="shared" si="5"/>
        <v>189.95833333333334</v>
      </c>
    </row>
    <row r="35" spans="1:23" hidden="1" x14ac:dyDescent="0.25">
      <c r="A35" s="75">
        <f t="shared" si="1"/>
        <v>32</v>
      </c>
      <c r="B35" s="74" t="s">
        <v>26</v>
      </c>
      <c r="C35" s="47"/>
      <c r="D35" s="47"/>
      <c r="E35" s="47"/>
      <c r="F35" s="47"/>
      <c r="G35" s="47"/>
      <c r="H35" s="47"/>
      <c r="I35" s="47"/>
      <c r="J35" s="111"/>
      <c r="K35" s="46"/>
      <c r="M35" s="52"/>
      <c r="N35" s="121"/>
      <c r="O35" s="47"/>
      <c r="P35" s="111"/>
      <c r="Q35" s="111"/>
      <c r="R35" s="46"/>
      <c r="T35" s="91">
        <f t="shared" si="0"/>
        <v>0</v>
      </c>
      <c r="U35" s="50">
        <f t="shared" si="4"/>
        <v>0</v>
      </c>
      <c r="V35" s="50">
        <f t="shared" si="5"/>
        <v>0</v>
      </c>
    </row>
    <row r="36" spans="1:23" x14ac:dyDescent="0.25">
      <c r="A36" s="75">
        <f t="shared" si="1"/>
        <v>33</v>
      </c>
      <c r="B36" s="74" t="s">
        <v>19</v>
      </c>
      <c r="C36" s="47"/>
      <c r="D36" s="47"/>
      <c r="E36" s="47"/>
      <c r="F36" s="47"/>
      <c r="G36" s="47"/>
      <c r="H36" s="47"/>
      <c r="I36" s="47"/>
      <c r="J36" s="111"/>
      <c r="K36" s="46"/>
      <c r="M36" s="52"/>
      <c r="N36" s="121"/>
      <c r="O36" s="47"/>
      <c r="P36" s="111"/>
      <c r="Q36" s="111"/>
      <c r="R36" s="46"/>
      <c r="T36" s="91">
        <f t="shared" si="0"/>
        <v>0</v>
      </c>
      <c r="U36" s="50">
        <f t="shared" si="4"/>
        <v>0</v>
      </c>
      <c r="V36" s="50">
        <f t="shared" si="5"/>
        <v>0</v>
      </c>
    </row>
    <row r="37" spans="1:23" ht="19.5" thickBot="1" x14ac:dyDescent="0.3">
      <c r="A37" s="75">
        <f t="shared" si="1"/>
        <v>34</v>
      </c>
      <c r="B37" s="94" t="s">
        <v>20</v>
      </c>
      <c r="C37" s="95">
        <f>2376+2484+53</f>
        <v>4913</v>
      </c>
      <c r="D37" s="95"/>
      <c r="E37" s="95"/>
      <c r="F37" s="95"/>
      <c r="G37" s="95"/>
      <c r="H37" s="95">
        <v>2</v>
      </c>
      <c r="I37" s="95"/>
      <c r="J37" s="110">
        <v>4</v>
      </c>
      <c r="K37" s="96">
        <v>2</v>
      </c>
      <c r="L37" s="102"/>
      <c r="M37" s="103">
        <v>17</v>
      </c>
      <c r="N37" s="120"/>
      <c r="O37" s="97">
        <v>135</v>
      </c>
      <c r="P37" s="113"/>
      <c r="Q37" s="113">
        <v>91</v>
      </c>
      <c r="R37" s="98"/>
      <c r="S37" s="102"/>
      <c r="T37" s="104">
        <f t="shared" si="0"/>
        <v>8</v>
      </c>
      <c r="U37" s="104">
        <f>C37*6+M37*6+O37*6+Q37*6+T37</f>
        <v>30944</v>
      </c>
      <c r="V37" s="104">
        <f>U37/6</f>
        <v>5157.333333333333</v>
      </c>
      <c r="W37" s="123"/>
    </row>
    <row r="38" spans="1:23" x14ac:dyDescent="0.25">
      <c r="A38" s="75">
        <f t="shared" si="1"/>
        <v>35</v>
      </c>
      <c r="B38" s="73" t="s">
        <v>21</v>
      </c>
      <c r="C38" s="47">
        <v>6</v>
      </c>
      <c r="D38" s="47"/>
      <c r="E38" s="47"/>
      <c r="F38" s="47"/>
      <c r="G38" s="47"/>
      <c r="H38" s="47"/>
      <c r="I38" s="47"/>
      <c r="J38" s="111"/>
      <c r="K38" s="46"/>
      <c r="M38" s="52"/>
      <c r="N38" s="121"/>
      <c r="O38" s="47"/>
      <c r="P38" s="111"/>
      <c r="Q38" s="111"/>
      <c r="R38" s="46"/>
      <c r="T38" s="50">
        <f t="shared" si="0"/>
        <v>0</v>
      </c>
      <c r="U38" s="50">
        <f>C38*24+M38*24+O38*24+Q38*24+T38</f>
        <v>144</v>
      </c>
      <c r="V38" s="50">
        <f>U38/24</f>
        <v>6</v>
      </c>
    </row>
    <row r="39" spans="1:23" ht="19.5" thickBot="1" x14ac:dyDescent="0.3">
      <c r="A39" s="75">
        <f t="shared" si="1"/>
        <v>36</v>
      </c>
      <c r="B39" s="94" t="s">
        <v>22</v>
      </c>
      <c r="C39" s="95">
        <f>756+38</f>
        <v>794</v>
      </c>
      <c r="D39" s="95"/>
      <c r="E39" s="95"/>
      <c r="F39" s="95"/>
      <c r="G39" s="95"/>
      <c r="H39" s="95">
        <v>9</v>
      </c>
      <c r="I39" s="95"/>
      <c r="J39" s="110"/>
      <c r="K39" s="96">
        <v>15</v>
      </c>
      <c r="L39" s="102"/>
      <c r="M39" s="103"/>
      <c r="N39" s="120"/>
      <c r="O39" s="97"/>
      <c r="P39" s="113"/>
      <c r="Q39" s="113">
        <v>1</v>
      </c>
      <c r="R39" s="98">
        <v>12</v>
      </c>
      <c r="S39" s="102"/>
      <c r="T39" s="104">
        <f>H39+I39+J39+K39+N39+P39+R39</f>
        <v>36</v>
      </c>
      <c r="U39" s="104">
        <f>C39*24+M39*24+O39*24+Q39*24+T39</f>
        <v>19116</v>
      </c>
      <c r="V39" s="104">
        <f>U39/24</f>
        <v>796.5</v>
      </c>
    </row>
    <row r="40" spans="1:23" ht="19.5" thickBot="1" x14ac:dyDescent="0.3">
      <c r="A40" s="75">
        <f t="shared" si="1"/>
        <v>37</v>
      </c>
      <c r="B40" s="99" t="s">
        <v>23</v>
      </c>
      <c r="C40" s="100">
        <f>1728+72</f>
        <v>1800</v>
      </c>
      <c r="D40" s="100"/>
      <c r="E40" s="100"/>
      <c r="F40" s="100"/>
      <c r="G40" s="100"/>
      <c r="H40" s="100"/>
      <c r="I40" s="100"/>
      <c r="J40" s="112"/>
      <c r="K40" s="101"/>
      <c r="L40" s="105"/>
      <c r="M40" s="106">
        <v>10</v>
      </c>
      <c r="N40" s="122"/>
      <c r="O40" s="100"/>
      <c r="P40" s="112"/>
      <c r="Q40" s="112">
        <v>20</v>
      </c>
      <c r="R40" s="101"/>
      <c r="S40" s="105"/>
      <c r="T40" s="107">
        <f t="shared" si="0"/>
        <v>0</v>
      </c>
      <c r="U40" s="107">
        <f>C40*12+M40*12+O40*12+Q40*12+T40</f>
        <v>21960</v>
      </c>
      <c r="V40" s="107">
        <f>U40/12</f>
        <v>1830</v>
      </c>
    </row>
    <row r="41" spans="1:23" hidden="1" x14ac:dyDescent="0.25">
      <c r="A41" s="75">
        <f t="shared" si="1"/>
        <v>38</v>
      </c>
      <c r="B41" s="73" t="s">
        <v>31</v>
      </c>
      <c r="C41" s="47"/>
      <c r="D41" s="47"/>
      <c r="E41" s="47"/>
      <c r="F41" s="47"/>
      <c r="G41" s="47"/>
      <c r="H41" s="47"/>
      <c r="I41" s="47"/>
      <c r="J41" s="111"/>
      <c r="K41" s="46"/>
      <c r="M41" s="52"/>
      <c r="N41" s="121"/>
      <c r="O41" s="47"/>
      <c r="P41" s="111"/>
      <c r="Q41" s="111"/>
      <c r="R41" s="46"/>
      <c r="T41" s="50"/>
      <c r="U41" s="50"/>
      <c r="V41" s="50"/>
    </row>
    <row r="42" spans="1:23" ht="19.5" thickBot="1" x14ac:dyDescent="0.3">
      <c r="A42" s="75">
        <f t="shared" si="1"/>
        <v>39</v>
      </c>
      <c r="B42" s="94" t="s">
        <v>24</v>
      </c>
      <c r="C42" s="97">
        <f>6048+6048+6048+7128</f>
        <v>25272</v>
      </c>
      <c r="D42" s="97"/>
      <c r="E42" s="97"/>
      <c r="F42" s="97"/>
      <c r="G42" s="97"/>
      <c r="H42" s="97">
        <v>5</v>
      </c>
      <c r="I42" s="97">
        <v>6</v>
      </c>
      <c r="J42" s="113">
        <f>4*6+3</f>
        <v>27</v>
      </c>
      <c r="K42" s="98">
        <f>75*6+4</f>
        <v>454</v>
      </c>
      <c r="L42" s="102"/>
      <c r="M42" s="103">
        <v>279</v>
      </c>
      <c r="N42" s="120"/>
      <c r="O42" s="97">
        <v>418</v>
      </c>
      <c r="P42" s="113"/>
      <c r="Q42" s="113">
        <v>504</v>
      </c>
      <c r="R42" s="98"/>
      <c r="S42" s="102"/>
      <c r="T42" s="104">
        <f t="shared" ref="T42" si="6">H42+I42+J42+K42+N42+P42+R42</f>
        <v>492</v>
      </c>
      <c r="U42" s="104">
        <f>C42*6+M42*6+O42*6+Q42*6+T42</f>
        <v>159330</v>
      </c>
      <c r="V42" s="104">
        <f>U42/6</f>
        <v>26555</v>
      </c>
    </row>
    <row r="43" spans="1:23" hidden="1" x14ac:dyDescent="0.25">
      <c r="A43" s="75">
        <f t="shared" si="1"/>
        <v>40</v>
      </c>
      <c r="B43" s="73" t="s">
        <v>33</v>
      </c>
      <c r="C43" s="47"/>
      <c r="D43" s="47"/>
      <c r="E43" s="47"/>
      <c r="F43" s="47"/>
      <c r="G43" s="47"/>
      <c r="H43" s="47"/>
      <c r="I43" s="47"/>
      <c r="J43" s="111"/>
      <c r="K43" s="46"/>
      <c r="M43" s="52"/>
      <c r="N43" s="121"/>
      <c r="O43" s="47"/>
      <c r="P43" s="111"/>
      <c r="Q43" s="111"/>
      <c r="R43" s="46"/>
      <c r="T43" s="50"/>
      <c r="U43" s="50"/>
      <c r="V43" s="50"/>
    </row>
    <row r="44" spans="1:23" x14ac:dyDescent="0.25">
      <c r="A44" s="75">
        <f t="shared" si="1"/>
        <v>41</v>
      </c>
      <c r="B44" s="74" t="s">
        <v>25</v>
      </c>
      <c r="C44" s="47"/>
      <c r="D44" s="47"/>
      <c r="E44" s="47"/>
      <c r="F44" s="47"/>
      <c r="G44" s="47"/>
      <c r="H44" s="47"/>
      <c r="I44" s="47"/>
      <c r="J44" s="111"/>
      <c r="K44" s="46"/>
      <c r="M44" s="52"/>
      <c r="N44" s="121"/>
      <c r="O44" s="47"/>
      <c r="P44" s="111"/>
      <c r="Q44" s="111"/>
      <c r="R44" s="46"/>
      <c r="T44" s="50">
        <f t="shared" ref="T44:T53" si="7">H44+I44+J44+K44+N44+P44+R44</f>
        <v>0</v>
      </c>
      <c r="U44" s="50">
        <f>C44*24+M44*24+O44*24+Q44*24+T44</f>
        <v>0</v>
      </c>
      <c r="V44" s="50">
        <f>U44/24</f>
        <v>0</v>
      </c>
    </row>
    <row r="45" spans="1:23" x14ac:dyDescent="0.25">
      <c r="A45" s="75">
        <f t="shared" si="1"/>
        <v>42</v>
      </c>
      <c r="B45" s="74" t="s">
        <v>68</v>
      </c>
      <c r="C45" s="47"/>
      <c r="D45" s="47"/>
      <c r="E45" s="47"/>
      <c r="F45" s="47"/>
      <c r="G45" s="47"/>
      <c r="H45" s="47"/>
      <c r="I45" s="47"/>
      <c r="J45" s="111"/>
      <c r="K45" s="46"/>
      <c r="M45" s="52"/>
      <c r="N45" s="121"/>
      <c r="O45" s="47"/>
      <c r="P45" s="111"/>
      <c r="Q45" s="111"/>
      <c r="R45" s="46"/>
      <c r="T45" s="50">
        <f t="shared" si="7"/>
        <v>0</v>
      </c>
      <c r="U45" s="50">
        <f t="shared" ref="U45:U47" si="8">C45*24+M45*24+O45*24+Q45*24+T45</f>
        <v>0</v>
      </c>
      <c r="V45" s="50">
        <f t="shared" ref="V45:V53" si="9">U45/24</f>
        <v>0</v>
      </c>
    </row>
    <row r="46" spans="1:23" x14ac:dyDescent="0.25">
      <c r="A46" s="75">
        <f t="shared" si="1"/>
        <v>43</v>
      </c>
      <c r="B46" s="74" t="s">
        <v>73</v>
      </c>
      <c r="C46" s="47"/>
      <c r="D46" s="47"/>
      <c r="E46" s="47"/>
      <c r="F46" s="47"/>
      <c r="G46" s="47"/>
      <c r="H46" s="47"/>
      <c r="I46" s="47"/>
      <c r="J46" s="111"/>
      <c r="K46" s="46"/>
      <c r="M46" s="52"/>
      <c r="N46" s="121"/>
      <c r="O46" s="47"/>
      <c r="P46" s="111"/>
      <c r="Q46" s="111"/>
      <c r="R46" s="46"/>
      <c r="T46" s="50">
        <f t="shared" si="7"/>
        <v>0</v>
      </c>
      <c r="U46" s="50">
        <f t="shared" si="8"/>
        <v>0</v>
      </c>
      <c r="V46" s="50">
        <f t="shared" si="9"/>
        <v>0</v>
      </c>
    </row>
    <row r="47" spans="1:23" x14ac:dyDescent="0.25">
      <c r="A47" s="75">
        <f t="shared" si="1"/>
        <v>44</v>
      </c>
      <c r="B47" s="74" t="s">
        <v>83</v>
      </c>
      <c r="C47" s="47"/>
      <c r="D47" s="47"/>
      <c r="E47" s="47"/>
      <c r="F47" s="47"/>
      <c r="G47" s="47"/>
      <c r="H47" s="47"/>
      <c r="I47" s="47"/>
      <c r="J47" s="111"/>
      <c r="K47" s="46"/>
      <c r="M47" s="52"/>
      <c r="N47" s="121"/>
      <c r="O47" s="47"/>
      <c r="P47" s="111"/>
      <c r="Q47" s="111"/>
      <c r="R47" s="46"/>
      <c r="T47" s="50">
        <f t="shared" si="7"/>
        <v>0</v>
      </c>
      <c r="U47" s="50">
        <f t="shared" si="8"/>
        <v>0</v>
      </c>
      <c r="V47" s="50">
        <f t="shared" si="9"/>
        <v>0</v>
      </c>
    </row>
    <row r="48" spans="1:23" x14ac:dyDescent="0.25">
      <c r="A48" s="75">
        <f t="shared" si="1"/>
        <v>45</v>
      </c>
      <c r="B48" s="74" t="s">
        <v>26</v>
      </c>
      <c r="C48" s="47">
        <f>38+55+2268</f>
        <v>2361</v>
      </c>
      <c r="D48" s="47"/>
      <c r="E48" s="47"/>
      <c r="F48" s="47"/>
      <c r="G48" s="47"/>
      <c r="H48" s="47">
        <v>3</v>
      </c>
      <c r="I48" s="47"/>
      <c r="J48" s="111"/>
      <c r="K48" s="46">
        <v>6</v>
      </c>
      <c r="M48" s="52"/>
      <c r="N48" s="121"/>
      <c r="O48" s="47">
        <v>4</v>
      </c>
      <c r="P48" s="111">
        <v>2</v>
      </c>
      <c r="Q48" s="111">
        <v>10</v>
      </c>
      <c r="R48" s="46"/>
      <c r="T48" s="50">
        <f t="shared" si="7"/>
        <v>11</v>
      </c>
      <c r="U48" s="50">
        <f>C48*6+M48*6+O48*6+Q48*6+T48</f>
        <v>14261</v>
      </c>
      <c r="V48" s="50">
        <f>U48/6</f>
        <v>2376.8333333333335</v>
      </c>
    </row>
    <row r="49" spans="1:22" x14ac:dyDescent="0.25">
      <c r="A49" s="75">
        <f t="shared" si="1"/>
        <v>46</v>
      </c>
      <c r="B49" s="74" t="s">
        <v>69</v>
      </c>
      <c r="C49" s="47"/>
      <c r="D49" s="47"/>
      <c r="E49" s="47"/>
      <c r="F49" s="47"/>
      <c r="G49" s="47"/>
      <c r="H49" s="47"/>
      <c r="I49" s="47"/>
      <c r="J49" s="111"/>
      <c r="K49" s="46"/>
      <c r="M49" s="52"/>
      <c r="N49" s="121"/>
      <c r="O49" s="47"/>
      <c r="P49" s="111"/>
      <c r="Q49" s="111"/>
      <c r="R49" s="46"/>
      <c r="T49" s="50">
        <f t="shared" si="7"/>
        <v>0</v>
      </c>
      <c r="U49" s="50">
        <f t="shared" ref="U49:U51" si="10">C49*24+M49*24+O49*24+Q49*24+T49</f>
        <v>0</v>
      </c>
      <c r="V49" s="50">
        <f t="shared" si="9"/>
        <v>0</v>
      </c>
    </row>
    <row r="50" spans="1:22" x14ac:dyDescent="0.25">
      <c r="A50" s="75">
        <f t="shared" si="1"/>
        <v>47</v>
      </c>
      <c r="B50" s="74" t="s">
        <v>28</v>
      </c>
      <c r="C50" s="47"/>
      <c r="D50" s="47"/>
      <c r="E50" s="47"/>
      <c r="F50" s="47"/>
      <c r="G50" s="47"/>
      <c r="H50" s="47"/>
      <c r="I50" s="47"/>
      <c r="J50" s="111"/>
      <c r="K50" s="46"/>
      <c r="M50" s="52"/>
      <c r="N50" s="121"/>
      <c r="O50" s="47"/>
      <c r="P50" s="111"/>
      <c r="Q50" s="111"/>
      <c r="R50" s="46"/>
      <c r="T50" s="50">
        <f t="shared" si="7"/>
        <v>0</v>
      </c>
      <c r="U50" s="50">
        <f t="shared" si="10"/>
        <v>0</v>
      </c>
      <c r="V50" s="50">
        <f t="shared" si="9"/>
        <v>0</v>
      </c>
    </row>
    <row r="51" spans="1:22" x14ac:dyDescent="0.25">
      <c r="A51" s="75">
        <f t="shared" si="1"/>
        <v>48</v>
      </c>
      <c r="B51" s="74" t="s">
        <v>70</v>
      </c>
      <c r="C51" s="47"/>
      <c r="D51" s="47"/>
      <c r="E51" s="47"/>
      <c r="F51" s="47"/>
      <c r="G51" s="47"/>
      <c r="H51" s="47"/>
      <c r="I51" s="47"/>
      <c r="J51" s="111"/>
      <c r="K51" s="46"/>
      <c r="M51" s="52"/>
      <c r="N51" s="121"/>
      <c r="O51" s="47"/>
      <c r="P51" s="111"/>
      <c r="Q51" s="111"/>
      <c r="R51" s="46"/>
      <c r="T51" s="50">
        <f t="shared" si="7"/>
        <v>0</v>
      </c>
      <c r="U51" s="50">
        <f t="shared" si="10"/>
        <v>0</v>
      </c>
      <c r="V51" s="50">
        <f t="shared" si="9"/>
        <v>0</v>
      </c>
    </row>
    <row r="52" spans="1:22" x14ac:dyDescent="0.25">
      <c r="A52" s="75">
        <f t="shared" si="1"/>
        <v>49</v>
      </c>
      <c r="B52" s="74" t="s">
        <v>29</v>
      </c>
      <c r="C52" s="47">
        <v>34</v>
      </c>
      <c r="D52" s="47"/>
      <c r="E52" s="47"/>
      <c r="F52" s="47"/>
      <c r="G52" s="47"/>
      <c r="H52" s="47"/>
      <c r="I52" s="47"/>
      <c r="J52" s="111"/>
      <c r="K52" s="46"/>
      <c r="M52" s="52"/>
      <c r="N52" s="121"/>
      <c r="O52" s="47"/>
      <c r="P52" s="111"/>
      <c r="Q52" s="111"/>
      <c r="R52" s="46"/>
      <c r="T52" s="50">
        <f t="shared" si="7"/>
        <v>0</v>
      </c>
      <c r="U52" s="50">
        <f>C52*6+M52*6+O52*6+Q52*6+T52</f>
        <v>204</v>
      </c>
      <c r="V52" s="50">
        <f>U52/6</f>
        <v>34</v>
      </c>
    </row>
    <row r="53" spans="1:22" x14ac:dyDescent="0.25">
      <c r="A53" s="75">
        <f t="shared" si="1"/>
        <v>50</v>
      </c>
      <c r="B53" s="74" t="s">
        <v>30</v>
      </c>
      <c r="C53" s="47"/>
      <c r="D53" s="47"/>
      <c r="E53" s="47"/>
      <c r="F53" s="47"/>
      <c r="G53" s="47"/>
      <c r="H53" s="47"/>
      <c r="I53" s="47"/>
      <c r="J53" s="111"/>
      <c r="K53" s="46"/>
      <c r="M53" s="52"/>
      <c r="N53" s="121"/>
      <c r="O53" s="47"/>
      <c r="P53" s="111"/>
      <c r="Q53" s="111"/>
      <c r="R53" s="46"/>
      <c r="T53" s="50">
        <f t="shared" si="7"/>
        <v>0</v>
      </c>
      <c r="U53" s="50">
        <f t="shared" ref="U53" si="11">C53*24+M53*24+O53*24+Q53*24+T53</f>
        <v>0</v>
      </c>
      <c r="V53" s="50">
        <f t="shared" si="9"/>
        <v>0</v>
      </c>
    </row>
    <row r="54" spans="1:22" x14ac:dyDescent="0.25">
      <c r="A54" s="75">
        <f t="shared" si="1"/>
        <v>51</v>
      </c>
      <c r="B54" s="74"/>
      <c r="C54" s="47"/>
      <c r="D54" s="47"/>
      <c r="E54" s="47"/>
      <c r="F54" s="47"/>
      <c r="G54" s="47"/>
      <c r="H54" s="47"/>
      <c r="I54" s="47"/>
      <c r="J54" s="111"/>
      <c r="K54" s="46"/>
      <c r="M54" s="52"/>
      <c r="N54" s="121"/>
      <c r="O54" s="47"/>
      <c r="P54" s="111"/>
      <c r="Q54" s="111"/>
      <c r="R54" s="46"/>
      <c r="T54" s="50"/>
      <c r="U54" s="50"/>
      <c r="V54" s="50"/>
    </row>
    <row r="55" spans="1:22" x14ac:dyDescent="0.25">
      <c r="A55" s="75">
        <f t="shared" si="1"/>
        <v>52</v>
      </c>
      <c r="B55" s="74"/>
      <c r="C55" s="47"/>
      <c r="D55" s="47"/>
      <c r="E55" s="47"/>
      <c r="F55" s="47"/>
      <c r="G55" s="47"/>
      <c r="H55" s="47"/>
      <c r="I55" s="47"/>
      <c r="J55" s="111"/>
      <c r="K55" s="46"/>
      <c r="M55" s="52"/>
      <c r="N55" s="121"/>
      <c r="O55" s="47"/>
      <c r="P55" s="111"/>
      <c r="Q55" s="111"/>
      <c r="R55" s="46"/>
      <c r="T55" s="50"/>
      <c r="U55" s="50"/>
      <c r="V55" s="50"/>
    </row>
    <row r="56" spans="1:22" x14ac:dyDescent="0.25">
      <c r="A56" s="75">
        <f t="shared" si="1"/>
        <v>53</v>
      </c>
      <c r="B56" s="74"/>
      <c r="C56" s="47"/>
      <c r="D56" s="47"/>
      <c r="E56" s="47"/>
      <c r="F56" s="47"/>
      <c r="G56" s="47"/>
      <c r="H56" s="47"/>
      <c r="I56" s="47"/>
      <c r="J56" s="111"/>
      <c r="K56" s="46"/>
      <c r="M56" s="52"/>
      <c r="N56" s="121"/>
      <c r="O56" s="47"/>
      <c r="P56" s="111"/>
      <c r="Q56" s="111"/>
      <c r="R56" s="46"/>
      <c r="T56" s="50"/>
      <c r="U56" s="50"/>
      <c r="V56" s="50"/>
    </row>
    <row r="57" spans="1:22" s="63" customFormat="1" ht="19.5" thickBot="1" x14ac:dyDescent="0.3">
      <c r="B57" s="77" t="s">
        <v>60</v>
      </c>
      <c r="C57" s="49">
        <f>SUM(C7:C56)</f>
        <v>39521</v>
      </c>
      <c r="D57" s="49"/>
      <c r="E57" s="49"/>
      <c r="F57" s="49">
        <f t="shared" ref="F57:K57" si="12">SUM(F7:F56)</f>
        <v>0</v>
      </c>
      <c r="G57" s="49">
        <f t="shared" si="12"/>
        <v>0</v>
      </c>
      <c r="H57" s="49">
        <f t="shared" si="12"/>
        <v>102</v>
      </c>
      <c r="I57" s="54">
        <f t="shared" si="12"/>
        <v>8</v>
      </c>
      <c r="J57" s="54">
        <f t="shared" si="12"/>
        <v>31</v>
      </c>
      <c r="K57" s="54">
        <f t="shared" si="12"/>
        <v>486</v>
      </c>
      <c r="M57" s="53">
        <f t="shared" ref="M57:R57" si="13">SUM(M7:M56)</f>
        <v>340</v>
      </c>
      <c r="N57" s="53">
        <f t="shared" si="13"/>
        <v>13</v>
      </c>
      <c r="O57" s="53">
        <f t="shared" si="13"/>
        <v>590</v>
      </c>
      <c r="P57" s="53">
        <f t="shared" si="13"/>
        <v>5</v>
      </c>
      <c r="Q57" s="53">
        <f t="shared" si="13"/>
        <v>653</v>
      </c>
      <c r="R57" s="53">
        <f t="shared" si="13"/>
        <v>18</v>
      </c>
      <c r="S57" s="57"/>
      <c r="T57" s="51">
        <f>SUM(T7:T56)</f>
        <v>663</v>
      </c>
      <c r="U57" s="51">
        <f>SUM(U7:U56)</f>
        <v>352515</v>
      </c>
      <c r="V57" s="51">
        <f>SUM(V7:V56)</f>
        <v>41195.5</v>
      </c>
    </row>
    <row r="58" spans="1:22" ht="7.5" customHeight="1" thickBot="1" x14ac:dyDescent="0.3"/>
    <row r="59" spans="1:22" ht="19.5" thickBot="1" x14ac:dyDescent="0.3">
      <c r="B59" s="78" t="s">
        <v>39</v>
      </c>
      <c r="C59" s="191" t="s">
        <v>49</v>
      </c>
      <c r="D59" s="192"/>
      <c r="E59" s="192"/>
      <c r="F59" s="192"/>
      <c r="G59" s="192"/>
      <c r="H59" s="192"/>
      <c r="I59" s="192"/>
      <c r="J59" s="192"/>
      <c r="K59" s="193"/>
      <c r="U59" s="72" t="s">
        <v>62</v>
      </c>
    </row>
    <row r="60" spans="1:22" x14ac:dyDescent="0.25">
      <c r="B60" s="79" t="s">
        <v>18</v>
      </c>
      <c r="C60" s="67"/>
      <c r="D60" s="67"/>
      <c r="E60" s="67"/>
      <c r="F60" s="67"/>
      <c r="G60" s="67"/>
      <c r="H60" s="67"/>
      <c r="I60" s="67"/>
      <c r="J60" s="114"/>
      <c r="K60" s="68"/>
      <c r="U60" s="55"/>
    </row>
    <row r="61" spans="1:22" x14ac:dyDescent="0.25">
      <c r="B61" s="80" t="s">
        <v>55</v>
      </c>
      <c r="C61" s="48"/>
      <c r="D61" s="48"/>
      <c r="E61" s="48"/>
      <c r="F61" s="48"/>
      <c r="G61" s="48"/>
      <c r="H61" s="48"/>
      <c r="I61" s="48"/>
      <c r="J61" s="109"/>
      <c r="K61" s="69"/>
      <c r="U61" s="50"/>
    </row>
    <row r="62" spans="1:22" ht="19.5" thickBot="1" x14ac:dyDescent="0.3">
      <c r="B62" s="81" t="s">
        <v>54</v>
      </c>
      <c r="C62" s="70"/>
      <c r="D62" s="70"/>
      <c r="E62" s="70"/>
      <c r="F62" s="70"/>
      <c r="G62" s="70"/>
      <c r="H62" s="70"/>
      <c r="I62" s="70"/>
      <c r="J62" s="115"/>
      <c r="K62" s="71"/>
      <c r="U62" s="56"/>
    </row>
    <row r="63" spans="1:22" ht="7.5" customHeight="1" thickBot="1" x14ac:dyDescent="0.3"/>
    <row r="64" spans="1:22" x14ac:dyDescent="0.25">
      <c r="B64" s="79" t="s">
        <v>56</v>
      </c>
      <c r="C64" s="67"/>
      <c r="D64" s="67"/>
      <c r="E64" s="67"/>
      <c r="F64" s="67"/>
      <c r="G64" s="67"/>
      <c r="H64" s="67"/>
      <c r="I64" s="67"/>
      <c r="J64" s="114"/>
      <c r="K64" s="68"/>
      <c r="U64" s="55"/>
    </row>
    <row r="65" spans="2:21" x14ac:dyDescent="0.25">
      <c r="B65" s="80" t="s">
        <v>55</v>
      </c>
      <c r="C65" s="48"/>
      <c r="D65" s="48"/>
      <c r="E65" s="48"/>
      <c r="F65" s="48"/>
      <c r="G65" s="48"/>
      <c r="H65" s="48"/>
      <c r="I65" s="48"/>
      <c r="J65" s="109"/>
      <c r="K65" s="69"/>
      <c r="U65" s="50"/>
    </row>
    <row r="66" spans="2:21" ht="19.5" thickBot="1" x14ac:dyDescent="0.3">
      <c r="B66" s="81" t="s">
        <v>54</v>
      </c>
      <c r="C66" s="70"/>
      <c r="D66" s="70"/>
      <c r="E66" s="70"/>
      <c r="F66" s="70"/>
      <c r="G66" s="70"/>
      <c r="H66" s="70"/>
      <c r="I66" s="70"/>
      <c r="J66" s="115"/>
      <c r="K66" s="71"/>
      <c r="U66" s="56"/>
    </row>
    <row r="67" spans="2:21" ht="7.5" customHeight="1" thickBot="1" x14ac:dyDescent="0.3"/>
    <row r="68" spans="2:21" x14ac:dyDescent="0.25">
      <c r="B68" s="79" t="s">
        <v>41</v>
      </c>
      <c r="C68" s="67"/>
      <c r="D68" s="67"/>
      <c r="E68" s="67"/>
      <c r="F68" s="67"/>
      <c r="G68" s="67"/>
      <c r="H68" s="67"/>
      <c r="I68" s="67"/>
      <c r="J68" s="114"/>
      <c r="K68" s="68"/>
      <c r="U68" s="55"/>
    </row>
    <row r="69" spans="2:21" x14ac:dyDescent="0.25">
      <c r="B69" s="80" t="s">
        <v>55</v>
      </c>
      <c r="C69" s="48"/>
      <c r="D69" s="48"/>
      <c r="E69" s="48"/>
      <c r="F69" s="48"/>
      <c r="G69" s="48"/>
      <c r="H69" s="48"/>
      <c r="I69" s="48"/>
      <c r="J69" s="109"/>
      <c r="K69" s="69"/>
      <c r="U69" s="50"/>
    </row>
    <row r="70" spans="2:21" ht="19.5" thickBot="1" x14ac:dyDescent="0.3">
      <c r="B70" s="81" t="s">
        <v>54</v>
      </c>
      <c r="C70" s="70"/>
      <c r="D70" s="70"/>
      <c r="E70" s="70"/>
      <c r="F70" s="70"/>
      <c r="G70" s="70"/>
      <c r="H70" s="70"/>
      <c r="I70" s="70"/>
      <c r="J70" s="115"/>
      <c r="K70" s="71"/>
      <c r="U70" s="56"/>
    </row>
    <row r="71" spans="2:21" ht="7.5" customHeight="1" thickBot="1" x14ac:dyDescent="0.3"/>
    <row r="72" spans="2:21" x14ac:dyDescent="0.25">
      <c r="B72" s="79" t="s">
        <v>57</v>
      </c>
      <c r="C72" s="67"/>
      <c r="D72" s="67"/>
      <c r="E72" s="67"/>
      <c r="F72" s="67"/>
      <c r="G72" s="67"/>
      <c r="H72" s="67"/>
      <c r="I72" s="67"/>
      <c r="J72" s="114"/>
      <c r="K72" s="68"/>
      <c r="U72" s="55"/>
    </row>
    <row r="73" spans="2:21" x14ac:dyDescent="0.25">
      <c r="B73" s="80" t="s">
        <v>55</v>
      </c>
      <c r="C73" s="48"/>
      <c r="D73" s="48"/>
      <c r="E73" s="48"/>
      <c r="F73" s="48"/>
      <c r="G73" s="48"/>
      <c r="H73" s="48"/>
      <c r="I73" s="48"/>
      <c r="J73" s="109"/>
      <c r="K73" s="69"/>
      <c r="U73" s="50"/>
    </row>
    <row r="74" spans="2:21" ht="19.5" thickBot="1" x14ac:dyDescent="0.3">
      <c r="B74" s="81" t="s">
        <v>54</v>
      </c>
      <c r="C74" s="70"/>
      <c r="D74" s="70"/>
      <c r="E74" s="70"/>
      <c r="F74" s="70"/>
      <c r="G74" s="70"/>
      <c r="H74" s="70"/>
      <c r="I74" s="70"/>
      <c r="J74" s="115"/>
      <c r="K74" s="71"/>
      <c r="U74" s="56"/>
    </row>
    <row r="75" spans="2:21" ht="7.5" customHeight="1" thickBot="1" x14ac:dyDescent="0.3"/>
    <row r="76" spans="2:21" x14ac:dyDescent="0.25">
      <c r="B76" s="79" t="s">
        <v>58</v>
      </c>
      <c r="C76" s="67"/>
      <c r="D76" s="67"/>
      <c r="E76" s="67"/>
      <c r="F76" s="67"/>
      <c r="G76" s="67"/>
      <c r="H76" s="67"/>
      <c r="I76" s="67"/>
      <c r="J76" s="114"/>
      <c r="K76" s="68"/>
      <c r="U76" s="55"/>
    </row>
    <row r="77" spans="2:21" x14ac:dyDescent="0.25">
      <c r="B77" s="80" t="s">
        <v>55</v>
      </c>
      <c r="C77" s="48"/>
      <c r="D77" s="48"/>
      <c r="E77" s="48"/>
      <c r="F77" s="48"/>
      <c r="G77" s="48"/>
      <c r="H77" s="48"/>
      <c r="I77" s="48"/>
      <c r="J77" s="109"/>
      <c r="K77" s="69"/>
      <c r="U77" s="50"/>
    </row>
    <row r="78" spans="2:21" ht="19.5" thickBot="1" x14ac:dyDescent="0.3">
      <c r="B78" s="81" t="s">
        <v>54</v>
      </c>
      <c r="C78" s="70"/>
      <c r="D78" s="70"/>
      <c r="E78" s="70"/>
      <c r="F78" s="70"/>
      <c r="G78" s="70"/>
      <c r="H78" s="70"/>
      <c r="I78" s="70"/>
      <c r="J78" s="115"/>
      <c r="K78" s="71"/>
      <c r="U78" s="56"/>
    </row>
    <row r="79" spans="2:21" ht="7.5" customHeight="1" thickBot="1" x14ac:dyDescent="0.3"/>
    <row r="80" spans="2:21" ht="19.5" thickBot="1" x14ac:dyDescent="0.3">
      <c r="B80" s="78" t="s">
        <v>59</v>
      </c>
      <c r="C80" s="65"/>
      <c r="D80" s="65"/>
      <c r="E80" s="65"/>
      <c r="F80" s="65"/>
      <c r="G80" s="65"/>
      <c r="H80" s="65"/>
      <c r="I80" s="65"/>
      <c r="J80" s="116"/>
      <c r="K80" s="66"/>
      <c r="U80" s="64"/>
    </row>
  </sheetData>
  <mergeCells count="7">
    <mergeCell ref="V4:V5"/>
    <mergeCell ref="J5:K5"/>
    <mergeCell ref="C59:K59"/>
    <mergeCell ref="I1:U1"/>
    <mergeCell ref="C4:K4"/>
    <mergeCell ref="T4:T5"/>
    <mergeCell ref="U4:U5"/>
  </mergeCells>
  <printOptions horizontalCentered="1" verticalCentered="1"/>
  <pageMargins left="0.19685039370078741" right="0.19685039370078741" top="0.19685039370078741" bottom="0.19685039370078741" header="0.19685039370078741" footer="0.19685039370078741"/>
  <pageSetup paperSize="14" scale="70" orientation="portrait" horizontalDpi="360" verticalDpi="360" r:id="rId1"/>
  <colBreaks count="1" manualBreakCount="1">
    <brk id="24" max="80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D0C48-08FB-44C0-8AEA-583D74C842D9}">
  <sheetPr>
    <pageSetUpPr fitToPage="1"/>
  </sheetPr>
  <dimension ref="A1:BB80"/>
  <sheetViews>
    <sheetView zoomScaleNormal="100" zoomScaleSheetLayoutView="115" workbookViewId="0">
      <selection activeCell="C13" sqref="C13"/>
    </sheetView>
  </sheetViews>
  <sheetFormatPr defaultColWidth="9.140625" defaultRowHeight="18.75" x14ac:dyDescent="0.25"/>
  <cols>
    <col min="1" max="1" width="4.140625" style="57" bestFit="1" customWidth="1"/>
    <col min="2" max="2" width="12.28515625" style="76" customWidth="1"/>
    <col min="3" max="6" width="10" style="57" customWidth="1"/>
    <col min="7" max="7" width="6.85546875" style="57" customWidth="1"/>
    <col min="8" max="8" width="6.7109375" style="57" customWidth="1"/>
    <col min="9" max="9" width="5.5703125" style="57" bestFit="1" customWidth="1"/>
    <col min="10" max="10" width="6.85546875" style="57" customWidth="1"/>
    <col min="11" max="11" width="5.5703125" style="57" bestFit="1" customWidth="1"/>
    <col min="12" max="12" width="1.42578125" style="57" customWidth="1"/>
    <col min="13" max="13" width="10" style="57" customWidth="1"/>
    <col min="14" max="14" width="5.5703125" style="57" bestFit="1" customWidth="1"/>
    <col min="15" max="15" width="10" style="57" customWidth="1"/>
    <col min="16" max="16" width="5.5703125" style="57" customWidth="1"/>
    <col min="17" max="17" width="10" style="57" customWidth="1"/>
    <col min="18" max="18" width="5.5703125" style="57" bestFit="1" customWidth="1"/>
    <col min="19" max="19" width="1.42578125" style="57" customWidth="1"/>
    <col min="20" max="20" width="12.5703125" style="57" bestFit="1" customWidth="1"/>
    <col min="21" max="21" width="14.28515625" style="57" customWidth="1"/>
    <col min="22" max="22" width="19.42578125" style="57" bestFit="1" customWidth="1"/>
    <col min="23" max="49" width="7.28515625" style="57" customWidth="1"/>
    <col min="50" max="50" width="1.5703125" style="57" customWidth="1"/>
    <col min="51" max="51" width="9.42578125" style="57" customWidth="1"/>
    <col min="52" max="52" width="1.28515625" style="57" customWidth="1"/>
    <col min="53" max="53" width="12.7109375" style="57" bestFit="1" customWidth="1"/>
    <col min="54" max="54" width="10.28515625" style="57" bestFit="1" customWidth="1"/>
    <col min="55" max="16384" width="9.140625" style="57"/>
  </cols>
  <sheetData>
    <row r="1" spans="1:54" ht="15" customHeight="1" x14ac:dyDescent="0.25">
      <c r="B1" s="75" t="s">
        <v>51</v>
      </c>
      <c r="I1" s="194" t="s">
        <v>53</v>
      </c>
      <c r="J1" s="194"/>
      <c r="K1" s="194"/>
      <c r="L1" s="194"/>
      <c r="M1" s="194"/>
      <c r="N1" s="194"/>
      <c r="O1" s="194"/>
      <c r="P1" s="194"/>
      <c r="Q1" s="194"/>
      <c r="R1" s="194"/>
      <c r="S1" s="194"/>
      <c r="T1" s="194"/>
      <c r="U1" s="194"/>
    </row>
    <row r="2" spans="1:54" x14ac:dyDescent="0.25">
      <c r="B2" s="76" t="s">
        <v>89</v>
      </c>
    </row>
    <row r="3" spans="1:54" ht="19.5" thickBot="1" x14ac:dyDescent="0.3"/>
    <row r="4" spans="1:54" s="58" customFormat="1" ht="15.75" x14ac:dyDescent="0.25">
      <c r="B4" s="93" t="s">
        <v>63</v>
      </c>
      <c r="C4" s="189" t="s">
        <v>49</v>
      </c>
      <c r="D4" s="189"/>
      <c r="E4" s="189"/>
      <c r="F4" s="189"/>
      <c r="G4" s="189"/>
      <c r="H4" s="189"/>
      <c r="I4" s="189"/>
      <c r="J4" s="199"/>
      <c r="K4" s="190"/>
      <c r="M4" s="82" t="s">
        <v>0</v>
      </c>
      <c r="N4" s="117" t="s">
        <v>72</v>
      </c>
      <c r="O4" s="84" t="s">
        <v>45</v>
      </c>
      <c r="P4" s="117" t="s">
        <v>72</v>
      </c>
      <c r="Q4" s="85" t="s">
        <v>46</v>
      </c>
      <c r="R4" s="117" t="s">
        <v>72</v>
      </c>
      <c r="S4" s="57"/>
      <c r="T4" s="200" t="s">
        <v>80</v>
      </c>
      <c r="U4" s="202" t="s">
        <v>79</v>
      </c>
      <c r="V4" s="195" t="s">
        <v>78</v>
      </c>
      <c r="AF4" s="59"/>
      <c r="AG4" s="59"/>
      <c r="AH4" s="59"/>
      <c r="AI4" s="59"/>
      <c r="AJ4" s="59"/>
      <c r="AK4" s="59"/>
      <c r="AL4" s="59"/>
      <c r="AM4" s="59"/>
      <c r="AN4" s="59"/>
      <c r="AO4" s="59"/>
      <c r="AP4" s="59"/>
      <c r="AQ4" s="59"/>
      <c r="AR4" s="59"/>
      <c r="AS4" s="59"/>
      <c r="AT4" s="59"/>
      <c r="AU4" s="59"/>
      <c r="AV4" s="59"/>
      <c r="AW4" s="59"/>
      <c r="AX4" s="59"/>
      <c r="AY4" s="59"/>
      <c r="AZ4" s="59"/>
      <c r="BA4" s="59"/>
      <c r="BB4" s="59"/>
    </row>
    <row r="5" spans="1:54" s="58" customFormat="1" ht="15.75" x14ac:dyDescent="0.25">
      <c r="B5" s="87"/>
      <c r="C5" s="92"/>
      <c r="D5" s="92"/>
      <c r="E5" s="92"/>
      <c r="F5" s="92"/>
      <c r="G5" s="92"/>
      <c r="H5" s="92" t="s">
        <v>76</v>
      </c>
      <c r="I5" s="92" t="s">
        <v>71</v>
      </c>
      <c r="J5" s="197" t="s">
        <v>77</v>
      </c>
      <c r="K5" s="198"/>
      <c r="M5" s="87"/>
      <c r="N5" s="118"/>
      <c r="O5" s="92"/>
      <c r="P5" s="128"/>
      <c r="Q5" s="128"/>
      <c r="R5" s="89"/>
      <c r="S5" s="57"/>
      <c r="T5" s="201"/>
      <c r="U5" s="203"/>
      <c r="V5" s="196"/>
      <c r="AF5" s="59"/>
      <c r="AG5" s="59"/>
      <c r="AH5" s="59"/>
      <c r="AI5" s="59"/>
      <c r="AJ5" s="59"/>
      <c r="AK5" s="59"/>
      <c r="AL5" s="59"/>
      <c r="AM5" s="59"/>
      <c r="AN5" s="59"/>
      <c r="AO5" s="59"/>
      <c r="AP5" s="59"/>
      <c r="AQ5" s="59"/>
      <c r="AR5" s="59"/>
      <c r="AS5" s="59"/>
      <c r="AT5" s="59"/>
      <c r="AU5" s="59"/>
      <c r="AV5" s="59"/>
      <c r="AW5" s="59"/>
      <c r="AX5" s="59"/>
      <c r="AY5" s="59"/>
      <c r="AZ5" s="59"/>
      <c r="BA5" s="59"/>
      <c r="BB5" s="59"/>
    </row>
    <row r="6" spans="1:54" s="58" customFormat="1" ht="15.75" x14ac:dyDescent="0.25">
      <c r="B6" s="87"/>
      <c r="C6" s="92"/>
      <c r="D6" s="92"/>
      <c r="E6" s="92"/>
      <c r="F6" s="92"/>
      <c r="G6" s="92"/>
      <c r="H6" s="92"/>
      <c r="I6" s="92"/>
      <c r="J6" s="128"/>
      <c r="K6" s="89"/>
      <c r="M6" s="87"/>
      <c r="N6" s="118"/>
      <c r="O6" s="92"/>
      <c r="P6" s="128"/>
      <c r="Q6" s="128"/>
      <c r="R6" s="89"/>
      <c r="S6" s="57"/>
      <c r="T6" s="90"/>
      <c r="U6" s="90"/>
      <c r="V6" s="90"/>
      <c r="AF6" s="59"/>
      <c r="AG6" s="59"/>
      <c r="AH6" s="59"/>
      <c r="AI6" s="59"/>
      <c r="AJ6" s="59"/>
      <c r="AK6" s="59"/>
      <c r="AL6" s="59"/>
      <c r="AM6" s="59"/>
      <c r="AN6" s="59"/>
      <c r="AO6" s="59"/>
      <c r="AP6" s="59"/>
      <c r="AQ6" s="59"/>
      <c r="AR6" s="59"/>
      <c r="AS6" s="59"/>
      <c r="AT6" s="59"/>
      <c r="AU6" s="59"/>
      <c r="AV6" s="59"/>
      <c r="AW6" s="59"/>
      <c r="AX6" s="59"/>
      <c r="AY6" s="59"/>
      <c r="AZ6" s="59"/>
      <c r="BA6" s="59"/>
      <c r="BB6" s="59"/>
    </row>
    <row r="7" spans="1:54" x14ac:dyDescent="0.25">
      <c r="A7" s="75">
        <v>1</v>
      </c>
      <c r="B7" s="74" t="s">
        <v>34</v>
      </c>
      <c r="C7" s="48">
        <v>28</v>
      </c>
      <c r="D7" s="48"/>
      <c r="E7" s="48"/>
      <c r="F7" s="48"/>
      <c r="G7" s="48"/>
      <c r="H7" s="48">
        <v>17</v>
      </c>
      <c r="I7" s="48">
        <v>1</v>
      </c>
      <c r="J7" s="109"/>
      <c r="K7" s="69">
        <v>6</v>
      </c>
      <c r="M7" s="88">
        <v>1</v>
      </c>
      <c r="N7" s="119"/>
      <c r="O7" s="48">
        <v>3</v>
      </c>
      <c r="P7" s="109"/>
      <c r="Q7" s="109">
        <v>2</v>
      </c>
      <c r="R7" s="69"/>
      <c r="T7" s="91">
        <f>H7+I7+J7+K7+N7+P7+R7</f>
        <v>24</v>
      </c>
      <c r="U7" s="91">
        <f>C7*24+M7*24+O7*24+Q7*24+T7</f>
        <v>840</v>
      </c>
      <c r="V7" s="91">
        <f>U7/24</f>
        <v>35</v>
      </c>
      <c r="W7" s="123"/>
      <c r="AF7" s="60"/>
      <c r="AG7" s="60"/>
      <c r="AH7" s="60"/>
      <c r="AI7" s="60"/>
      <c r="AJ7" s="60"/>
      <c r="AK7" s="60"/>
      <c r="AL7" s="60"/>
      <c r="AM7" s="60"/>
      <c r="AN7" s="60"/>
      <c r="AO7" s="60"/>
      <c r="AP7" s="60"/>
      <c r="AQ7" s="60"/>
      <c r="AR7" s="60"/>
      <c r="AS7" s="60"/>
      <c r="AT7" s="60"/>
      <c r="AU7" s="60"/>
      <c r="AV7" s="60"/>
      <c r="AW7" s="60"/>
      <c r="AX7" s="60"/>
      <c r="AY7" s="60"/>
      <c r="AZ7" s="60"/>
      <c r="BA7" s="60"/>
      <c r="BB7" s="60"/>
    </row>
    <row r="8" spans="1:54" ht="19.5" thickBot="1" x14ac:dyDescent="0.3">
      <c r="A8" s="75">
        <f>A7+1</f>
        <v>2</v>
      </c>
      <c r="B8" s="94" t="s">
        <v>37</v>
      </c>
      <c r="C8" s="95">
        <f>63+32</f>
        <v>95</v>
      </c>
      <c r="D8" s="95"/>
      <c r="E8" s="95"/>
      <c r="F8" s="95"/>
      <c r="G8" s="95"/>
      <c r="H8" s="95"/>
      <c r="I8" s="95"/>
      <c r="J8" s="110"/>
      <c r="K8" s="96"/>
      <c r="L8" s="102"/>
      <c r="M8" s="103">
        <v>2</v>
      </c>
      <c r="N8" s="120"/>
      <c r="O8" s="97"/>
      <c r="P8" s="113"/>
      <c r="Q8" s="113"/>
      <c r="R8" s="98"/>
      <c r="S8" s="102"/>
      <c r="T8" s="126">
        <f t="shared" ref="T8:T40" si="0">H8+I8+J8+K8+N8+P8+R8</f>
        <v>0</v>
      </c>
      <c r="U8" s="124">
        <f>C8*24+M8*24+O8*24+Q8*24+T8</f>
        <v>2328</v>
      </c>
      <c r="V8" s="124">
        <f>U8/24</f>
        <v>97</v>
      </c>
      <c r="W8" s="123"/>
      <c r="AF8" s="60"/>
      <c r="AG8" s="60"/>
      <c r="AH8" s="60"/>
      <c r="AI8" s="60"/>
      <c r="AJ8" s="60"/>
      <c r="AK8" s="60"/>
      <c r="AL8" s="60"/>
      <c r="AM8" s="60"/>
      <c r="AN8" s="60"/>
      <c r="AO8" s="60"/>
      <c r="AP8" s="60"/>
      <c r="AQ8" s="60"/>
      <c r="AR8" s="60"/>
      <c r="AS8" s="60"/>
      <c r="AT8" s="60"/>
      <c r="AU8" s="60"/>
      <c r="AV8" s="60"/>
      <c r="AW8" s="60"/>
      <c r="AX8" s="60"/>
      <c r="AY8" s="60"/>
      <c r="AZ8" s="60"/>
      <c r="BA8" s="60"/>
      <c r="BB8" s="60"/>
    </row>
    <row r="9" spans="1:54" x14ac:dyDescent="0.25">
      <c r="A9" s="75">
        <f t="shared" ref="A9:A56" si="1">A8+1</f>
        <v>3</v>
      </c>
      <c r="B9" s="73" t="s">
        <v>35</v>
      </c>
      <c r="C9" s="47"/>
      <c r="D9" s="47"/>
      <c r="E9" s="47"/>
      <c r="F9" s="47"/>
      <c r="G9" s="47"/>
      <c r="H9" s="47"/>
      <c r="I9" s="47"/>
      <c r="J9" s="111"/>
      <c r="K9" s="46"/>
      <c r="M9" s="52"/>
      <c r="N9" s="121"/>
      <c r="O9" s="47"/>
      <c r="P9" s="111"/>
      <c r="Q9" s="111"/>
      <c r="R9" s="46"/>
      <c r="T9" s="50">
        <f t="shared" si="0"/>
        <v>0</v>
      </c>
      <c r="U9" s="125">
        <f t="shared" ref="U9:U11" si="2">C9*24+M9*24+O9*24+Q9*24+T9</f>
        <v>0</v>
      </c>
      <c r="V9" s="125">
        <f t="shared" ref="V9:V11" si="3">U9/24</f>
        <v>0</v>
      </c>
      <c r="W9" s="123"/>
      <c r="AF9" s="60"/>
      <c r="AG9" s="60"/>
      <c r="AH9" s="60"/>
      <c r="AI9" s="60"/>
      <c r="AJ9" s="60"/>
      <c r="AK9" s="60"/>
      <c r="AL9" s="60"/>
      <c r="AM9" s="60"/>
      <c r="AN9" s="60"/>
      <c r="AO9" s="60"/>
      <c r="AP9" s="60"/>
      <c r="AQ9" s="60"/>
      <c r="AR9" s="60"/>
      <c r="AS9" s="60"/>
      <c r="AT9" s="60"/>
      <c r="AU9" s="60"/>
      <c r="AV9" s="60"/>
      <c r="AW9" s="60"/>
      <c r="AX9" s="60"/>
      <c r="AY9" s="60"/>
      <c r="AZ9" s="60"/>
      <c r="BA9" s="60"/>
      <c r="BB9" s="60"/>
    </row>
    <row r="10" spans="1:54" x14ac:dyDescent="0.25">
      <c r="A10" s="75">
        <f t="shared" si="1"/>
        <v>4</v>
      </c>
      <c r="B10" s="74" t="s">
        <v>38</v>
      </c>
      <c r="C10" s="47">
        <v>102</v>
      </c>
      <c r="D10" s="47"/>
      <c r="E10" s="47"/>
      <c r="F10" s="47"/>
      <c r="G10" s="47"/>
      <c r="H10" s="47"/>
      <c r="I10" s="47"/>
      <c r="J10" s="111"/>
      <c r="K10" s="46"/>
      <c r="M10" s="52">
        <v>2</v>
      </c>
      <c r="N10" s="121"/>
      <c r="O10" s="47"/>
      <c r="P10" s="111"/>
      <c r="Q10" s="111">
        <v>10</v>
      </c>
      <c r="R10" s="46"/>
      <c r="T10" s="91">
        <f t="shared" si="0"/>
        <v>0</v>
      </c>
      <c r="U10" s="91">
        <f t="shared" si="2"/>
        <v>2736</v>
      </c>
      <c r="V10" s="91">
        <f t="shared" si="3"/>
        <v>114</v>
      </c>
      <c r="W10" s="123"/>
      <c r="AF10" s="60"/>
      <c r="AG10" s="60"/>
      <c r="AH10" s="60"/>
      <c r="AI10" s="60"/>
      <c r="AJ10" s="60"/>
      <c r="AK10" s="60"/>
      <c r="AL10" s="60"/>
      <c r="AM10" s="60"/>
      <c r="AN10" s="60"/>
      <c r="AO10" s="60"/>
      <c r="AP10" s="60"/>
      <c r="AQ10" s="60"/>
      <c r="AR10" s="60"/>
      <c r="AS10" s="60"/>
      <c r="AT10" s="60"/>
      <c r="AU10" s="60"/>
      <c r="AV10" s="60"/>
      <c r="AW10" s="60"/>
      <c r="AX10" s="60"/>
      <c r="AY10" s="60"/>
      <c r="AZ10" s="60"/>
      <c r="BA10" s="60"/>
      <c r="BB10" s="60"/>
    </row>
    <row r="11" spans="1:54" x14ac:dyDescent="0.25">
      <c r="A11" s="75">
        <f t="shared" si="1"/>
        <v>5</v>
      </c>
      <c r="B11" s="74" t="s">
        <v>36</v>
      </c>
      <c r="C11" s="47"/>
      <c r="D11" s="47"/>
      <c r="E11" s="47"/>
      <c r="F11" s="47"/>
      <c r="G11" s="47"/>
      <c r="H11" s="47">
        <v>22</v>
      </c>
      <c r="I11" s="47"/>
      <c r="J11" s="111"/>
      <c r="K11" s="46">
        <v>2</v>
      </c>
      <c r="M11" s="52"/>
      <c r="N11" s="121"/>
      <c r="O11" s="47"/>
      <c r="P11" s="111"/>
      <c r="Q11" s="111"/>
      <c r="R11" s="46"/>
      <c r="T11" s="91">
        <f t="shared" si="0"/>
        <v>24</v>
      </c>
      <c r="U11" s="91">
        <f t="shared" si="2"/>
        <v>24</v>
      </c>
      <c r="V11" s="91">
        <f t="shared" si="3"/>
        <v>1</v>
      </c>
      <c r="AF11" s="60"/>
      <c r="AG11" s="60"/>
      <c r="AH11" s="60"/>
      <c r="AI11" s="60"/>
      <c r="AJ11" s="60"/>
      <c r="AK11" s="60"/>
      <c r="AL11" s="60"/>
      <c r="AM11" s="60"/>
      <c r="AN11" s="60"/>
      <c r="AO11" s="60"/>
      <c r="AP11" s="60"/>
      <c r="AQ11" s="60"/>
      <c r="AR11" s="60"/>
      <c r="AS11" s="60"/>
      <c r="AT11" s="60"/>
      <c r="AU11" s="60"/>
      <c r="AV11" s="60"/>
      <c r="AW11" s="60"/>
      <c r="AX11" s="60"/>
      <c r="AY11" s="60"/>
      <c r="AZ11" s="60"/>
      <c r="BA11" s="60"/>
      <c r="BB11" s="60"/>
    </row>
    <row r="12" spans="1:54" s="61" customFormat="1" ht="19.5" thickBot="1" x14ac:dyDescent="0.3">
      <c r="A12" s="75">
        <v>7</v>
      </c>
      <c r="B12" s="94" t="s">
        <v>32</v>
      </c>
      <c r="C12" s="95">
        <f>72+1512+62+1440+576</f>
        <v>3662</v>
      </c>
      <c r="D12" s="95"/>
      <c r="E12" s="95"/>
      <c r="F12" s="95"/>
      <c r="G12" s="95"/>
      <c r="H12" s="95"/>
      <c r="I12" s="95"/>
      <c r="J12" s="110"/>
      <c r="K12" s="96"/>
      <c r="L12" s="102"/>
      <c r="M12" s="103">
        <v>13</v>
      </c>
      <c r="N12" s="120">
        <v>18</v>
      </c>
      <c r="O12" s="97">
        <v>8</v>
      </c>
      <c r="P12" s="113">
        <v>3</v>
      </c>
      <c r="Q12" s="113">
        <v>7</v>
      </c>
      <c r="R12" s="98">
        <v>2</v>
      </c>
      <c r="S12" s="102"/>
      <c r="T12" s="91">
        <f t="shared" si="0"/>
        <v>23</v>
      </c>
      <c r="U12" s="124">
        <f>C12*24+M12*24+O12*24+Q12*24+T12</f>
        <v>88583</v>
      </c>
      <c r="V12" s="124">
        <f>U12/24</f>
        <v>3690.9583333333335</v>
      </c>
      <c r="W12" s="57"/>
      <c r="X12" s="57"/>
      <c r="Y12" s="57"/>
      <c r="Z12" s="57"/>
      <c r="AA12" s="57"/>
      <c r="AB12" s="57"/>
      <c r="AC12" s="57"/>
      <c r="AD12" s="57"/>
      <c r="AE12" s="57"/>
      <c r="AF12" s="60"/>
      <c r="AG12" s="60"/>
      <c r="AH12" s="60"/>
      <c r="AI12" s="60"/>
      <c r="AJ12" s="60"/>
      <c r="AK12" s="60"/>
      <c r="AL12" s="60"/>
      <c r="AM12" s="60"/>
      <c r="AN12" s="60"/>
      <c r="AO12" s="60"/>
      <c r="AP12" s="60"/>
      <c r="AQ12" s="60"/>
      <c r="AR12" s="60"/>
      <c r="AS12" s="60"/>
      <c r="AT12" s="60"/>
      <c r="AU12" s="60"/>
      <c r="AV12" s="60"/>
      <c r="AW12" s="60"/>
      <c r="AX12" s="60"/>
      <c r="AY12" s="60"/>
      <c r="AZ12" s="60"/>
      <c r="BA12" s="60"/>
      <c r="BB12" s="60"/>
    </row>
    <row r="13" spans="1:54" x14ac:dyDescent="0.25">
      <c r="A13" s="75">
        <v>11</v>
      </c>
      <c r="B13" s="73" t="s">
        <v>1</v>
      </c>
      <c r="C13" s="47">
        <v>5</v>
      </c>
      <c r="D13" s="47"/>
      <c r="E13" s="47"/>
      <c r="F13" s="47"/>
      <c r="G13" s="47"/>
      <c r="H13" s="47"/>
      <c r="I13" s="47"/>
      <c r="J13" s="111"/>
      <c r="K13" s="46"/>
      <c r="M13" s="52"/>
      <c r="N13" s="121"/>
      <c r="O13" s="47"/>
      <c r="P13" s="111"/>
      <c r="Q13" s="111"/>
      <c r="R13" s="46"/>
      <c r="T13" s="91">
        <f t="shared" si="0"/>
        <v>0</v>
      </c>
      <c r="U13" s="125">
        <f>C13*24+M13*24+O13*24+Q13*24+T13</f>
        <v>120</v>
      </c>
      <c r="V13" s="125">
        <f>U13/24</f>
        <v>5</v>
      </c>
      <c r="AF13" s="60"/>
      <c r="AG13" s="60"/>
      <c r="AH13" s="60"/>
      <c r="AI13" s="60"/>
      <c r="AJ13" s="60"/>
      <c r="AK13" s="60"/>
      <c r="AL13" s="60"/>
      <c r="AM13" s="60"/>
      <c r="AN13" s="60"/>
      <c r="AO13" s="60"/>
      <c r="AP13" s="60"/>
      <c r="AQ13" s="60"/>
      <c r="AR13" s="60"/>
      <c r="AS13" s="60"/>
      <c r="AT13" s="60"/>
      <c r="AU13" s="60"/>
      <c r="AV13" s="60"/>
      <c r="AW13" s="60"/>
      <c r="AX13" s="60"/>
      <c r="AY13" s="60"/>
      <c r="AZ13" s="60"/>
      <c r="BA13" s="60"/>
      <c r="BB13" s="60"/>
    </row>
    <row r="14" spans="1:54" x14ac:dyDescent="0.25">
      <c r="A14" s="75">
        <f t="shared" si="1"/>
        <v>12</v>
      </c>
      <c r="B14" s="74" t="s">
        <v>2</v>
      </c>
      <c r="C14" s="47"/>
      <c r="D14" s="47"/>
      <c r="E14" s="47"/>
      <c r="F14" s="47"/>
      <c r="G14" s="47"/>
      <c r="H14" s="47"/>
      <c r="I14" s="47"/>
      <c r="J14" s="111"/>
      <c r="K14" s="46"/>
      <c r="M14" s="52"/>
      <c r="N14" s="121"/>
      <c r="O14" s="47"/>
      <c r="P14" s="111"/>
      <c r="Q14" s="111"/>
      <c r="R14" s="46"/>
      <c r="T14" s="91">
        <f t="shared" si="0"/>
        <v>0</v>
      </c>
      <c r="U14" s="50">
        <f t="shared" ref="U14:U36" si="4">C14*24+M14*24+O14*24+Q14*24+T14</f>
        <v>0</v>
      </c>
      <c r="V14" s="50">
        <f t="shared" ref="V14:V36" si="5">U14/24</f>
        <v>0</v>
      </c>
      <c r="AF14" s="60"/>
      <c r="AG14" s="60"/>
      <c r="AH14" s="60"/>
      <c r="AI14" s="60"/>
      <c r="AJ14" s="60"/>
      <c r="AK14" s="60"/>
      <c r="AL14" s="60"/>
      <c r="AM14" s="60"/>
      <c r="AN14" s="60"/>
      <c r="AO14" s="60"/>
      <c r="AP14" s="60"/>
      <c r="AQ14" s="60"/>
      <c r="AR14" s="60"/>
      <c r="AS14" s="60"/>
      <c r="AT14" s="60"/>
      <c r="AU14" s="60"/>
      <c r="AV14" s="60"/>
      <c r="AW14" s="60"/>
      <c r="AX14" s="60"/>
      <c r="AY14" s="60"/>
      <c r="AZ14" s="60"/>
      <c r="BA14" s="60"/>
      <c r="BB14" s="60"/>
    </row>
    <row r="15" spans="1:54" x14ac:dyDescent="0.25">
      <c r="A15" s="75">
        <f t="shared" si="1"/>
        <v>13</v>
      </c>
      <c r="B15" s="74" t="s">
        <v>3</v>
      </c>
      <c r="C15" s="47"/>
      <c r="D15" s="47"/>
      <c r="E15" s="47"/>
      <c r="F15" s="47"/>
      <c r="G15" s="47"/>
      <c r="H15" s="47"/>
      <c r="I15" s="47"/>
      <c r="J15" s="111"/>
      <c r="K15" s="46"/>
      <c r="M15" s="52"/>
      <c r="N15" s="121"/>
      <c r="O15" s="47"/>
      <c r="P15" s="111"/>
      <c r="Q15" s="111"/>
      <c r="R15" s="46"/>
      <c r="T15" s="91">
        <f t="shared" si="0"/>
        <v>0</v>
      </c>
      <c r="U15" s="50">
        <f t="shared" si="4"/>
        <v>0</v>
      </c>
      <c r="V15" s="50">
        <f t="shared" si="5"/>
        <v>0</v>
      </c>
      <c r="AF15" s="60"/>
      <c r="AG15" s="60"/>
      <c r="AH15" s="60"/>
      <c r="AI15" s="60"/>
      <c r="AJ15" s="60"/>
      <c r="AK15" s="60"/>
      <c r="AL15" s="60"/>
      <c r="AM15" s="60"/>
      <c r="AN15" s="60"/>
      <c r="AO15" s="60"/>
      <c r="AP15" s="60"/>
      <c r="AQ15" s="60"/>
      <c r="AR15" s="60"/>
      <c r="AS15" s="60"/>
      <c r="AT15" s="60"/>
      <c r="AU15" s="60"/>
      <c r="AV15" s="60"/>
      <c r="AW15" s="60"/>
      <c r="AX15" s="60"/>
      <c r="AY15" s="60"/>
      <c r="AZ15" s="60"/>
      <c r="BA15" s="60"/>
      <c r="BB15" s="60"/>
    </row>
    <row r="16" spans="1:54" x14ac:dyDescent="0.25">
      <c r="A16" s="75">
        <f t="shared" si="1"/>
        <v>14</v>
      </c>
      <c r="B16" s="74" t="s">
        <v>4</v>
      </c>
      <c r="C16" s="47"/>
      <c r="D16" s="47"/>
      <c r="E16" s="47"/>
      <c r="F16" s="47"/>
      <c r="G16" s="47"/>
      <c r="H16" s="47"/>
      <c r="I16" s="47"/>
      <c r="J16" s="111"/>
      <c r="K16" s="46"/>
      <c r="M16" s="52"/>
      <c r="N16" s="121"/>
      <c r="O16" s="47"/>
      <c r="P16" s="111"/>
      <c r="Q16" s="111"/>
      <c r="R16" s="46"/>
      <c r="T16" s="91">
        <f t="shared" si="0"/>
        <v>0</v>
      </c>
      <c r="U16" s="50">
        <f t="shared" si="4"/>
        <v>0</v>
      </c>
      <c r="V16" s="50">
        <f t="shared" si="5"/>
        <v>0</v>
      </c>
      <c r="AF16" s="60"/>
      <c r="AG16" s="60"/>
      <c r="AH16" s="60"/>
      <c r="AI16" s="60"/>
      <c r="AJ16" s="60"/>
      <c r="AK16" s="60"/>
      <c r="AL16" s="60"/>
      <c r="AM16" s="60"/>
      <c r="AN16" s="60"/>
      <c r="AO16" s="60"/>
      <c r="AP16" s="60"/>
      <c r="AQ16" s="60"/>
      <c r="AR16" s="60"/>
      <c r="AS16" s="60"/>
      <c r="AT16" s="60"/>
      <c r="AU16" s="60"/>
      <c r="AV16" s="60"/>
      <c r="AW16" s="60"/>
      <c r="AX16" s="60"/>
      <c r="AY16" s="60"/>
      <c r="AZ16" s="60"/>
      <c r="BA16" s="60"/>
      <c r="BB16" s="60"/>
    </row>
    <row r="17" spans="1:54" x14ac:dyDescent="0.25">
      <c r="A17" s="75">
        <f t="shared" si="1"/>
        <v>15</v>
      </c>
      <c r="B17" s="74" t="s">
        <v>5</v>
      </c>
      <c r="C17" s="47">
        <v>4</v>
      </c>
      <c r="D17" s="47"/>
      <c r="E17" s="47"/>
      <c r="F17" s="47"/>
      <c r="G17" s="47"/>
      <c r="H17" s="47"/>
      <c r="I17" s="47"/>
      <c r="J17" s="111"/>
      <c r="K17" s="46"/>
      <c r="M17" s="52"/>
      <c r="N17" s="121"/>
      <c r="O17" s="47"/>
      <c r="P17" s="111"/>
      <c r="Q17" s="111"/>
      <c r="R17" s="46"/>
      <c r="T17" s="91">
        <f t="shared" si="0"/>
        <v>0</v>
      </c>
      <c r="U17" s="50">
        <f t="shared" si="4"/>
        <v>96</v>
      </c>
      <c r="V17" s="50">
        <f t="shared" si="5"/>
        <v>4</v>
      </c>
      <c r="AF17" s="60"/>
      <c r="AG17" s="60"/>
      <c r="AH17" s="60"/>
      <c r="AI17" s="60"/>
      <c r="AJ17" s="60"/>
      <c r="AK17" s="60"/>
      <c r="AL17" s="60"/>
      <c r="AM17" s="60"/>
      <c r="AN17" s="60"/>
      <c r="AO17" s="60"/>
      <c r="AP17" s="60"/>
      <c r="AQ17" s="60"/>
      <c r="AR17" s="60"/>
      <c r="AS17" s="60"/>
      <c r="AT17" s="60"/>
      <c r="AU17" s="60"/>
      <c r="AV17" s="60"/>
      <c r="AW17" s="60"/>
      <c r="AX17" s="60"/>
      <c r="AY17" s="60"/>
      <c r="AZ17" s="60"/>
      <c r="BA17" s="60"/>
      <c r="BB17" s="60"/>
    </row>
    <row r="18" spans="1:54" hidden="1" x14ac:dyDescent="0.25">
      <c r="A18" s="75">
        <f t="shared" si="1"/>
        <v>16</v>
      </c>
      <c r="B18" s="74" t="s">
        <v>10</v>
      </c>
      <c r="C18" s="47"/>
      <c r="D18" s="47"/>
      <c r="E18" s="47"/>
      <c r="F18" s="47"/>
      <c r="G18" s="47"/>
      <c r="H18" s="47"/>
      <c r="I18" s="47"/>
      <c r="J18" s="111"/>
      <c r="K18" s="46"/>
      <c r="M18" s="52"/>
      <c r="N18" s="121"/>
      <c r="O18" s="47"/>
      <c r="P18" s="111"/>
      <c r="Q18" s="111"/>
      <c r="R18" s="46"/>
      <c r="T18" s="91">
        <f t="shared" si="0"/>
        <v>0</v>
      </c>
      <c r="U18" s="50">
        <f t="shared" si="4"/>
        <v>0</v>
      </c>
      <c r="V18" s="50">
        <f t="shared" si="5"/>
        <v>0</v>
      </c>
      <c r="AF18" s="60"/>
      <c r="AG18" s="60"/>
      <c r="AH18" s="60"/>
      <c r="AI18" s="60"/>
      <c r="AJ18" s="60"/>
      <c r="AK18" s="60"/>
      <c r="AL18" s="60"/>
      <c r="AM18" s="60"/>
      <c r="AN18" s="60"/>
      <c r="AO18" s="60"/>
      <c r="AP18" s="60"/>
      <c r="AQ18" s="60"/>
      <c r="AR18" s="60"/>
      <c r="AS18" s="60"/>
      <c r="AT18" s="60"/>
      <c r="AU18" s="60"/>
      <c r="AV18" s="60"/>
      <c r="AW18" s="60"/>
      <c r="AX18" s="60"/>
      <c r="AY18" s="60"/>
      <c r="AZ18" s="60"/>
      <c r="BA18" s="60"/>
      <c r="BB18" s="60"/>
    </row>
    <row r="19" spans="1:54" x14ac:dyDescent="0.25">
      <c r="A19" s="75">
        <v>16</v>
      </c>
      <c r="B19" s="74" t="s">
        <v>64</v>
      </c>
      <c r="C19" s="47">
        <v>4</v>
      </c>
      <c r="D19" s="47"/>
      <c r="E19" s="47"/>
      <c r="F19" s="47"/>
      <c r="G19" s="47"/>
      <c r="H19" s="47"/>
      <c r="I19" s="47"/>
      <c r="J19" s="111"/>
      <c r="K19" s="46"/>
      <c r="M19" s="52"/>
      <c r="N19" s="121"/>
      <c r="O19" s="47"/>
      <c r="P19" s="111"/>
      <c r="Q19" s="111"/>
      <c r="R19" s="46"/>
      <c r="T19" s="91">
        <f t="shared" si="0"/>
        <v>0</v>
      </c>
      <c r="U19" s="50">
        <f t="shared" si="4"/>
        <v>96</v>
      </c>
      <c r="V19" s="50">
        <f t="shared" si="5"/>
        <v>4</v>
      </c>
      <c r="AF19" s="60"/>
      <c r="AG19" s="60"/>
      <c r="AH19" s="60"/>
      <c r="AI19" s="60"/>
      <c r="AJ19" s="60"/>
      <c r="AK19" s="60"/>
      <c r="AL19" s="60"/>
      <c r="AM19" s="60"/>
      <c r="AN19" s="60"/>
      <c r="AO19" s="60"/>
      <c r="AP19" s="60"/>
      <c r="AQ19" s="60"/>
      <c r="AR19" s="60"/>
      <c r="AS19" s="60"/>
      <c r="AT19" s="60"/>
      <c r="AU19" s="60"/>
      <c r="AV19" s="60"/>
      <c r="AW19" s="60"/>
      <c r="AX19" s="60"/>
      <c r="AY19" s="60"/>
      <c r="AZ19" s="60"/>
      <c r="BA19" s="60"/>
      <c r="BB19" s="60"/>
    </row>
    <row r="20" spans="1:54" x14ac:dyDescent="0.25">
      <c r="A20" s="75">
        <f t="shared" si="1"/>
        <v>17</v>
      </c>
      <c r="B20" s="74" t="s">
        <v>6</v>
      </c>
      <c r="C20" s="47">
        <v>5</v>
      </c>
      <c r="D20" s="47"/>
      <c r="E20" s="47"/>
      <c r="F20" s="47"/>
      <c r="G20" s="47"/>
      <c r="H20" s="47"/>
      <c r="I20" s="47"/>
      <c r="J20" s="111"/>
      <c r="K20" s="46"/>
      <c r="M20" s="52"/>
      <c r="N20" s="121"/>
      <c r="O20" s="47"/>
      <c r="P20" s="111"/>
      <c r="Q20" s="111">
        <v>1</v>
      </c>
      <c r="R20" s="46"/>
      <c r="T20" s="91">
        <f t="shared" si="0"/>
        <v>0</v>
      </c>
      <c r="U20" s="50">
        <f t="shared" si="4"/>
        <v>144</v>
      </c>
      <c r="V20" s="50">
        <f t="shared" si="5"/>
        <v>6</v>
      </c>
      <c r="AF20" s="60"/>
      <c r="AG20" s="60"/>
      <c r="AH20" s="60"/>
      <c r="AI20" s="60"/>
      <c r="AJ20" s="60"/>
      <c r="AK20" s="60"/>
      <c r="AL20" s="60"/>
      <c r="AM20" s="60"/>
      <c r="AN20" s="60"/>
      <c r="AO20" s="60"/>
      <c r="AP20" s="60"/>
      <c r="AQ20" s="60"/>
      <c r="AR20" s="60"/>
      <c r="AS20" s="60"/>
      <c r="AT20" s="60"/>
      <c r="AU20" s="60"/>
      <c r="AV20" s="60"/>
      <c r="AW20" s="60"/>
      <c r="AX20" s="60"/>
      <c r="AY20" s="60"/>
      <c r="AZ20" s="60"/>
      <c r="BA20" s="60"/>
      <c r="BB20" s="60"/>
    </row>
    <row r="21" spans="1:54" x14ac:dyDescent="0.25">
      <c r="A21" s="75">
        <f t="shared" si="1"/>
        <v>18</v>
      </c>
      <c r="B21" s="74" t="s">
        <v>7</v>
      </c>
      <c r="C21" s="47">
        <v>3</v>
      </c>
      <c r="D21" s="47"/>
      <c r="E21" s="47"/>
      <c r="F21" s="47"/>
      <c r="G21" s="47"/>
      <c r="H21" s="47"/>
      <c r="I21" s="47"/>
      <c r="J21" s="111"/>
      <c r="K21" s="46"/>
      <c r="M21" s="52"/>
      <c r="N21" s="121"/>
      <c r="O21" s="47"/>
      <c r="P21" s="111"/>
      <c r="Q21" s="111">
        <v>1</v>
      </c>
      <c r="R21" s="46"/>
      <c r="T21" s="91">
        <f t="shared" si="0"/>
        <v>0</v>
      </c>
      <c r="U21" s="50">
        <f t="shared" si="4"/>
        <v>96</v>
      </c>
      <c r="V21" s="50">
        <f t="shared" si="5"/>
        <v>4</v>
      </c>
      <c r="AF21" s="60"/>
      <c r="AG21" s="60"/>
      <c r="AH21" s="60"/>
      <c r="AI21" s="60"/>
      <c r="AJ21" s="60"/>
      <c r="AK21" s="60"/>
      <c r="AL21" s="60"/>
      <c r="AM21" s="60"/>
      <c r="AN21" s="60"/>
      <c r="AO21" s="60"/>
      <c r="AP21" s="60"/>
      <c r="AQ21" s="60"/>
      <c r="AR21" s="60"/>
      <c r="AS21" s="60"/>
      <c r="AT21" s="60"/>
      <c r="AU21" s="60"/>
      <c r="AV21" s="60"/>
      <c r="AW21" s="60"/>
      <c r="AX21" s="60"/>
      <c r="AY21" s="60"/>
      <c r="AZ21" s="60"/>
      <c r="BA21" s="60"/>
      <c r="BB21" s="60"/>
    </row>
    <row r="22" spans="1:54" s="61" customFormat="1" x14ac:dyDescent="0.25">
      <c r="A22" s="75">
        <f t="shared" si="1"/>
        <v>19</v>
      </c>
      <c r="B22" s="74" t="s">
        <v>65</v>
      </c>
      <c r="C22" s="47">
        <v>2</v>
      </c>
      <c r="D22" s="47"/>
      <c r="E22" s="47"/>
      <c r="F22" s="47"/>
      <c r="G22" s="47"/>
      <c r="H22" s="47"/>
      <c r="I22" s="47"/>
      <c r="J22" s="111"/>
      <c r="K22" s="46"/>
      <c r="L22" s="57"/>
      <c r="M22" s="52"/>
      <c r="N22" s="121"/>
      <c r="O22" s="47"/>
      <c r="P22" s="111"/>
      <c r="Q22" s="111"/>
      <c r="R22" s="46"/>
      <c r="S22" s="57"/>
      <c r="T22" s="91">
        <f t="shared" si="0"/>
        <v>0</v>
      </c>
      <c r="U22" s="50">
        <f t="shared" si="4"/>
        <v>48</v>
      </c>
      <c r="V22" s="50">
        <f t="shared" si="5"/>
        <v>2</v>
      </c>
      <c r="W22" s="57"/>
      <c r="X22" s="57"/>
      <c r="Y22" s="57"/>
      <c r="Z22" s="57"/>
      <c r="AA22" s="57"/>
      <c r="AB22" s="57"/>
      <c r="AC22" s="57"/>
      <c r="AD22" s="57"/>
      <c r="AE22" s="57"/>
      <c r="AF22" s="60"/>
      <c r="AG22" s="60"/>
      <c r="AH22" s="60"/>
      <c r="AI22" s="60"/>
      <c r="AJ22" s="60"/>
      <c r="AK22" s="60"/>
      <c r="AL22" s="60"/>
      <c r="AM22" s="60"/>
      <c r="AN22" s="60"/>
      <c r="AO22" s="60"/>
      <c r="AP22" s="60"/>
      <c r="AQ22" s="60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</row>
    <row r="23" spans="1:54" s="61" customFormat="1" x14ac:dyDescent="0.25">
      <c r="A23" s="75">
        <f t="shared" si="1"/>
        <v>20</v>
      </c>
      <c r="B23" s="74" t="s">
        <v>66</v>
      </c>
      <c r="C23" s="47">
        <v>48</v>
      </c>
      <c r="D23" s="47"/>
      <c r="E23" s="47"/>
      <c r="F23" s="47"/>
      <c r="G23" s="47"/>
      <c r="H23" s="47"/>
      <c r="I23" s="47"/>
      <c r="J23" s="111"/>
      <c r="K23" s="46"/>
      <c r="L23" s="57"/>
      <c r="M23" s="52"/>
      <c r="N23" s="121"/>
      <c r="O23" s="47"/>
      <c r="P23" s="111"/>
      <c r="Q23" s="111"/>
      <c r="R23" s="46"/>
      <c r="S23" s="57"/>
      <c r="T23" s="91">
        <f t="shared" si="0"/>
        <v>0</v>
      </c>
      <c r="U23" s="50">
        <f t="shared" si="4"/>
        <v>1152</v>
      </c>
      <c r="V23" s="50">
        <f t="shared" si="5"/>
        <v>48</v>
      </c>
      <c r="W23" s="57"/>
      <c r="X23" s="57"/>
      <c r="Y23" s="57"/>
      <c r="Z23" s="57"/>
      <c r="AA23" s="57"/>
      <c r="AB23" s="57"/>
      <c r="AC23" s="57"/>
      <c r="AD23" s="57"/>
      <c r="AE23" s="57"/>
      <c r="AF23" s="60"/>
      <c r="AG23" s="60"/>
      <c r="AH23" s="60"/>
      <c r="AI23" s="60"/>
      <c r="AJ23" s="60"/>
      <c r="AK23" s="60"/>
      <c r="AL23" s="60"/>
      <c r="AM23" s="60"/>
      <c r="AN23" s="60"/>
      <c r="AO23" s="60"/>
      <c r="AP23" s="60"/>
      <c r="AQ23" s="60"/>
      <c r="AR23" s="60"/>
      <c r="AS23" s="60"/>
      <c r="AT23" s="60"/>
      <c r="AU23" s="60"/>
      <c r="AV23" s="60"/>
      <c r="AW23" s="60"/>
      <c r="AX23" s="60"/>
      <c r="AY23" s="60"/>
      <c r="AZ23" s="60"/>
      <c r="BA23" s="60"/>
      <c r="BB23" s="60"/>
    </row>
    <row r="24" spans="1:54" s="61" customFormat="1" x14ac:dyDescent="0.25">
      <c r="A24" s="75">
        <f t="shared" si="1"/>
        <v>21</v>
      </c>
      <c r="B24" s="74" t="s">
        <v>75</v>
      </c>
      <c r="C24" s="47">
        <v>3</v>
      </c>
      <c r="D24" s="47"/>
      <c r="E24" s="47"/>
      <c r="F24" s="47"/>
      <c r="G24" s="47"/>
      <c r="H24" s="47"/>
      <c r="I24" s="47"/>
      <c r="J24" s="111"/>
      <c r="K24" s="46"/>
      <c r="L24" s="57"/>
      <c r="M24" s="52"/>
      <c r="N24" s="121"/>
      <c r="O24" s="47"/>
      <c r="P24" s="111"/>
      <c r="Q24" s="111"/>
      <c r="R24" s="46"/>
      <c r="S24" s="57"/>
      <c r="T24" s="91">
        <f t="shared" si="0"/>
        <v>0</v>
      </c>
      <c r="U24" s="50">
        <f t="shared" si="4"/>
        <v>72</v>
      </c>
      <c r="V24" s="50">
        <f t="shared" si="5"/>
        <v>3</v>
      </c>
      <c r="W24" s="57"/>
      <c r="X24" s="57"/>
      <c r="Y24" s="57"/>
      <c r="Z24" s="57"/>
      <c r="AA24" s="57"/>
      <c r="AB24" s="57"/>
      <c r="AC24" s="57"/>
      <c r="AD24" s="57"/>
      <c r="AE24" s="57"/>
      <c r="AF24" s="60"/>
      <c r="AG24" s="60"/>
      <c r="AH24" s="60"/>
      <c r="AI24" s="60"/>
      <c r="AJ24" s="60"/>
      <c r="AK24" s="60"/>
      <c r="AL24" s="60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</row>
    <row r="25" spans="1:54" x14ac:dyDescent="0.25">
      <c r="A25" s="75">
        <f t="shared" si="1"/>
        <v>22</v>
      </c>
      <c r="B25" s="74" t="s">
        <v>67</v>
      </c>
      <c r="C25" s="47">
        <v>7</v>
      </c>
      <c r="D25" s="47"/>
      <c r="E25" s="47"/>
      <c r="F25" s="47"/>
      <c r="G25" s="47"/>
      <c r="H25" s="47"/>
      <c r="I25" s="47"/>
      <c r="J25" s="111"/>
      <c r="K25" s="46"/>
      <c r="M25" s="52"/>
      <c r="N25" s="121"/>
      <c r="O25" s="47"/>
      <c r="P25" s="111"/>
      <c r="Q25" s="111"/>
      <c r="R25" s="46"/>
      <c r="T25" s="91">
        <f t="shared" si="0"/>
        <v>0</v>
      </c>
      <c r="U25" s="50">
        <f t="shared" si="4"/>
        <v>168</v>
      </c>
      <c r="V25" s="50">
        <f t="shared" si="5"/>
        <v>7</v>
      </c>
      <c r="AF25" s="60"/>
      <c r="AG25" s="60"/>
      <c r="AH25" s="60"/>
      <c r="AI25" s="60"/>
      <c r="AJ25" s="60"/>
      <c r="AK25" s="60"/>
      <c r="AL25" s="60"/>
      <c r="AM25" s="60"/>
      <c r="AN25" s="60"/>
      <c r="AO25" s="60"/>
      <c r="AP25" s="60"/>
      <c r="AQ25" s="60"/>
      <c r="AR25" s="60"/>
      <c r="AS25" s="60"/>
      <c r="AT25" s="60"/>
      <c r="AU25" s="60"/>
      <c r="AV25" s="60"/>
      <c r="AW25" s="60"/>
      <c r="AX25" s="60"/>
      <c r="AY25" s="60"/>
      <c r="AZ25" s="60"/>
      <c r="BA25" s="60"/>
      <c r="BB25" s="60"/>
    </row>
    <row r="26" spans="1:54" x14ac:dyDescent="0.25">
      <c r="A26" s="75">
        <f t="shared" si="1"/>
        <v>23</v>
      </c>
      <c r="B26" s="74" t="s">
        <v>9</v>
      </c>
      <c r="C26" s="47">
        <f>63+33</f>
        <v>96</v>
      </c>
      <c r="D26" s="47"/>
      <c r="E26" s="47"/>
      <c r="F26" s="47"/>
      <c r="G26" s="47"/>
      <c r="H26" s="47">
        <v>22</v>
      </c>
      <c r="I26" s="47">
        <v>1</v>
      </c>
      <c r="J26" s="111"/>
      <c r="K26" s="46"/>
      <c r="M26" s="52">
        <v>2</v>
      </c>
      <c r="N26" s="121"/>
      <c r="O26" s="47">
        <v>2</v>
      </c>
      <c r="P26" s="111"/>
      <c r="Q26" s="111">
        <v>2</v>
      </c>
      <c r="R26" s="46"/>
      <c r="T26" s="91">
        <f t="shared" si="0"/>
        <v>23</v>
      </c>
      <c r="U26" s="50">
        <f t="shared" si="4"/>
        <v>2471</v>
      </c>
      <c r="V26" s="50">
        <f t="shared" si="5"/>
        <v>102.95833333333333</v>
      </c>
      <c r="AY26" s="62" t="e">
        <f>#REF!-AY25</f>
        <v>#REF!</v>
      </c>
    </row>
    <row r="27" spans="1:54" s="61" customFormat="1" x14ac:dyDescent="0.25">
      <c r="A27" s="75">
        <f t="shared" si="1"/>
        <v>24</v>
      </c>
      <c r="B27" s="74" t="s">
        <v>11</v>
      </c>
      <c r="C27" s="47"/>
      <c r="D27" s="47"/>
      <c r="E27" s="47"/>
      <c r="F27" s="47"/>
      <c r="G27" s="47"/>
      <c r="H27" s="47"/>
      <c r="I27" s="47"/>
      <c r="J27" s="111"/>
      <c r="K27" s="46"/>
      <c r="L27" s="57"/>
      <c r="M27" s="52"/>
      <c r="N27" s="121"/>
      <c r="O27" s="47"/>
      <c r="P27" s="111"/>
      <c r="Q27" s="111"/>
      <c r="R27" s="46"/>
      <c r="S27" s="57"/>
      <c r="T27" s="91">
        <f t="shared" si="0"/>
        <v>0</v>
      </c>
      <c r="U27" s="50">
        <f t="shared" si="4"/>
        <v>0</v>
      </c>
      <c r="V27" s="50">
        <f t="shared" si="5"/>
        <v>0</v>
      </c>
      <c r="W27" s="57"/>
      <c r="X27" s="57"/>
      <c r="Y27" s="57"/>
      <c r="Z27" s="57"/>
      <c r="AA27" s="57"/>
      <c r="AB27" s="57"/>
      <c r="AC27" s="57"/>
      <c r="AD27" s="57"/>
      <c r="AE27" s="57"/>
    </row>
    <row r="28" spans="1:54" s="61" customFormat="1" x14ac:dyDescent="0.25">
      <c r="A28" s="75">
        <f t="shared" si="1"/>
        <v>25</v>
      </c>
      <c r="B28" s="74" t="s">
        <v>12</v>
      </c>
      <c r="C28" s="47"/>
      <c r="D28" s="47"/>
      <c r="E28" s="47"/>
      <c r="F28" s="47"/>
      <c r="G28" s="47"/>
      <c r="H28" s="47"/>
      <c r="I28" s="47"/>
      <c r="J28" s="111"/>
      <c r="K28" s="46"/>
      <c r="L28" s="57"/>
      <c r="M28" s="52"/>
      <c r="N28" s="121"/>
      <c r="O28" s="47">
        <v>1</v>
      </c>
      <c r="P28" s="111"/>
      <c r="Q28" s="111"/>
      <c r="R28" s="46"/>
      <c r="S28" s="57"/>
      <c r="T28" s="91">
        <f t="shared" si="0"/>
        <v>0</v>
      </c>
      <c r="U28" s="50">
        <f t="shared" si="4"/>
        <v>24</v>
      </c>
      <c r="V28" s="50">
        <f t="shared" si="5"/>
        <v>1</v>
      </c>
      <c r="W28" s="57"/>
      <c r="X28" s="57"/>
      <c r="Y28" s="57"/>
      <c r="Z28" s="57"/>
      <c r="AA28" s="57"/>
      <c r="AB28" s="57"/>
      <c r="AC28" s="57"/>
      <c r="AD28" s="57"/>
      <c r="AE28" s="57"/>
    </row>
    <row r="29" spans="1:54" x14ac:dyDescent="0.25">
      <c r="A29" s="75">
        <f t="shared" si="1"/>
        <v>26</v>
      </c>
      <c r="B29" s="74" t="s">
        <v>14</v>
      </c>
      <c r="C29" s="47"/>
      <c r="D29" s="47"/>
      <c r="E29" s="47"/>
      <c r="F29" s="47"/>
      <c r="G29" s="47"/>
      <c r="H29" s="47"/>
      <c r="I29" s="47"/>
      <c r="J29" s="111"/>
      <c r="K29" s="46"/>
      <c r="M29" s="52"/>
      <c r="N29" s="121"/>
      <c r="O29" s="47"/>
      <c r="P29" s="111"/>
      <c r="Q29" s="111"/>
      <c r="R29" s="46"/>
      <c r="T29" s="91">
        <f t="shared" si="0"/>
        <v>0</v>
      </c>
      <c r="U29" s="50">
        <f t="shared" si="4"/>
        <v>0</v>
      </c>
      <c r="V29" s="50">
        <f t="shared" si="5"/>
        <v>0</v>
      </c>
    </row>
    <row r="30" spans="1:54" x14ac:dyDescent="0.25">
      <c r="A30" s="75">
        <f t="shared" si="1"/>
        <v>27</v>
      </c>
      <c r="B30" s="74" t="s">
        <v>16</v>
      </c>
      <c r="C30" s="47">
        <f>63+1</f>
        <v>64</v>
      </c>
      <c r="D30" s="47"/>
      <c r="E30" s="47"/>
      <c r="F30" s="47"/>
      <c r="G30" s="47"/>
      <c r="H30" s="47"/>
      <c r="I30" s="47"/>
      <c r="J30" s="111"/>
      <c r="K30" s="46"/>
      <c r="M30" s="52"/>
      <c r="N30" s="121"/>
      <c r="O30" s="47">
        <v>1</v>
      </c>
      <c r="P30" s="111"/>
      <c r="Q30" s="111">
        <v>5</v>
      </c>
      <c r="R30" s="46"/>
      <c r="T30" s="91">
        <f t="shared" si="0"/>
        <v>0</v>
      </c>
      <c r="U30" s="50">
        <f t="shared" si="4"/>
        <v>1680</v>
      </c>
      <c r="V30" s="50">
        <f t="shared" si="5"/>
        <v>70</v>
      </c>
    </row>
    <row r="31" spans="1:54" x14ac:dyDescent="0.25">
      <c r="A31" s="75">
        <f t="shared" si="1"/>
        <v>28</v>
      </c>
      <c r="B31" s="74" t="s">
        <v>13</v>
      </c>
      <c r="C31" s="47"/>
      <c r="D31" s="47"/>
      <c r="E31" s="47"/>
      <c r="F31" s="47"/>
      <c r="G31" s="47"/>
      <c r="H31" s="47"/>
      <c r="I31" s="47"/>
      <c r="J31" s="111"/>
      <c r="K31" s="46"/>
      <c r="M31" s="52"/>
      <c r="N31" s="121"/>
      <c r="O31" s="47"/>
      <c r="P31" s="111"/>
      <c r="Q31" s="111"/>
      <c r="R31" s="46"/>
      <c r="T31" s="91">
        <f t="shared" si="0"/>
        <v>0</v>
      </c>
      <c r="U31" s="50">
        <f t="shared" si="4"/>
        <v>0</v>
      </c>
      <c r="V31" s="50">
        <f t="shared" si="5"/>
        <v>0</v>
      </c>
    </row>
    <row r="32" spans="1:54" x14ac:dyDescent="0.25">
      <c r="A32" s="75">
        <f t="shared" si="1"/>
        <v>29</v>
      </c>
      <c r="B32" s="74" t="s">
        <v>15</v>
      </c>
      <c r="C32" s="47"/>
      <c r="D32" s="47"/>
      <c r="E32" s="47"/>
      <c r="F32" s="47"/>
      <c r="G32" s="47"/>
      <c r="H32" s="47"/>
      <c r="I32" s="47"/>
      <c r="J32" s="111"/>
      <c r="K32" s="46"/>
      <c r="M32" s="52"/>
      <c r="N32" s="121"/>
      <c r="O32" s="47"/>
      <c r="P32" s="111"/>
      <c r="Q32" s="111"/>
      <c r="R32" s="46"/>
      <c r="T32" s="91">
        <f t="shared" si="0"/>
        <v>0</v>
      </c>
      <c r="U32" s="50">
        <f t="shared" si="4"/>
        <v>0</v>
      </c>
      <c r="V32" s="50">
        <f t="shared" si="5"/>
        <v>0</v>
      </c>
    </row>
    <row r="33" spans="1:23" x14ac:dyDescent="0.25">
      <c r="A33" s="75">
        <f t="shared" si="1"/>
        <v>30</v>
      </c>
      <c r="B33" s="74" t="s">
        <v>17</v>
      </c>
      <c r="C33" s="47"/>
      <c r="D33" s="47"/>
      <c r="E33" s="47"/>
      <c r="F33" s="47"/>
      <c r="G33" s="47"/>
      <c r="H33" s="47"/>
      <c r="I33" s="47"/>
      <c r="J33" s="111"/>
      <c r="K33" s="46"/>
      <c r="M33" s="52"/>
      <c r="N33" s="121"/>
      <c r="O33" s="47"/>
      <c r="P33" s="111"/>
      <c r="Q33" s="111"/>
      <c r="R33" s="46"/>
      <c r="T33" s="91">
        <f t="shared" si="0"/>
        <v>0</v>
      </c>
      <c r="U33" s="50">
        <f t="shared" si="4"/>
        <v>0</v>
      </c>
      <c r="V33" s="50">
        <f t="shared" si="5"/>
        <v>0</v>
      </c>
    </row>
    <row r="34" spans="1:23" x14ac:dyDescent="0.25">
      <c r="A34" s="75">
        <f t="shared" si="1"/>
        <v>31</v>
      </c>
      <c r="B34" s="74" t="s">
        <v>18</v>
      </c>
      <c r="C34" s="47">
        <f>144+18</f>
        <v>162</v>
      </c>
      <c r="D34" s="47"/>
      <c r="E34" s="47"/>
      <c r="F34" s="47"/>
      <c r="G34" s="47"/>
      <c r="H34" s="47">
        <v>23</v>
      </c>
      <c r="I34" s="47"/>
      <c r="J34" s="111"/>
      <c r="K34" s="46">
        <v>1</v>
      </c>
      <c r="M34" s="52">
        <v>2</v>
      </c>
      <c r="N34" s="121"/>
      <c r="O34" s="47">
        <v>3</v>
      </c>
      <c r="P34" s="111"/>
      <c r="Q34" s="111">
        <v>10</v>
      </c>
      <c r="R34" s="46"/>
      <c r="T34" s="91">
        <f t="shared" si="0"/>
        <v>24</v>
      </c>
      <c r="U34" s="50">
        <f t="shared" si="4"/>
        <v>4272</v>
      </c>
      <c r="V34" s="50">
        <f t="shared" si="5"/>
        <v>178</v>
      </c>
    </row>
    <row r="35" spans="1:23" hidden="1" x14ac:dyDescent="0.25">
      <c r="A35" s="75">
        <f t="shared" si="1"/>
        <v>32</v>
      </c>
      <c r="B35" s="74" t="s">
        <v>26</v>
      </c>
      <c r="C35" s="47"/>
      <c r="D35" s="47"/>
      <c r="E35" s="47"/>
      <c r="F35" s="47"/>
      <c r="G35" s="47"/>
      <c r="H35" s="47"/>
      <c r="I35" s="47"/>
      <c r="J35" s="111"/>
      <c r="K35" s="46"/>
      <c r="M35" s="52"/>
      <c r="N35" s="121"/>
      <c r="O35" s="47"/>
      <c r="P35" s="111"/>
      <c r="Q35" s="111"/>
      <c r="R35" s="46"/>
      <c r="T35" s="91">
        <f t="shared" si="0"/>
        <v>0</v>
      </c>
      <c r="U35" s="50">
        <f t="shared" si="4"/>
        <v>0</v>
      </c>
      <c r="V35" s="50">
        <f t="shared" si="5"/>
        <v>0</v>
      </c>
    </row>
    <row r="36" spans="1:23" x14ac:dyDescent="0.25">
      <c r="A36" s="75">
        <f t="shared" si="1"/>
        <v>33</v>
      </c>
      <c r="B36" s="74" t="s">
        <v>19</v>
      </c>
      <c r="C36" s="47"/>
      <c r="D36" s="47"/>
      <c r="E36" s="47"/>
      <c r="F36" s="47"/>
      <c r="G36" s="47"/>
      <c r="H36" s="47"/>
      <c r="I36" s="47"/>
      <c r="J36" s="111"/>
      <c r="K36" s="46"/>
      <c r="M36" s="52"/>
      <c r="N36" s="121"/>
      <c r="O36" s="47"/>
      <c r="P36" s="111"/>
      <c r="Q36" s="111"/>
      <c r="R36" s="46"/>
      <c r="T36" s="91">
        <f t="shared" si="0"/>
        <v>0</v>
      </c>
      <c r="U36" s="50">
        <f t="shared" si="4"/>
        <v>0</v>
      </c>
      <c r="V36" s="50">
        <f t="shared" si="5"/>
        <v>0</v>
      </c>
    </row>
    <row r="37" spans="1:23" ht="19.5" thickBot="1" x14ac:dyDescent="0.3">
      <c r="A37" s="75">
        <f t="shared" si="1"/>
        <v>34</v>
      </c>
      <c r="B37" s="94" t="s">
        <v>20</v>
      </c>
      <c r="C37" s="95">
        <f>2376+2484</f>
        <v>4860</v>
      </c>
      <c r="D37" s="95"/>
      <c r="E37" s="95"/>
      <c r="F37" s="95"/>
      <c r="G37" s="95"/>
      <c r="H37" s="95">
        <v>2</v>
      </c>
      <c r="I37" s="95"/>
      <c r="J37" s="110">
        <v>4</v>
      </c>
      <c r="K37" s="96">
        <v>2</v>
      </c>
      <c r="L37" s="102"/>
      <c r="M37" s="103">
        <v>56</v>
      </c>
      <c r="N37" s="120"/>
      <c r="O37" s="97">
        <v>29</v>
      </c>
      <c r="P37" s="113"/>
      <c r="Q37" s="113">
        <v>6</v>
      </c>
      <c r="R37" s="98"/>
      <c r="S37" s="102"/>
      <c r="T37" s="104">
        <f t="shared" si="0"/>
        <v>8</v>
      </c>
      <c r="U37" s="104">
        <f>C37*6+M37*6+O37*6+Q37*6+T37</f>
        <v>29714</v>
      </c>
      <c r="V37" s="104">
        <f>U37/6</f>
        <v>4952.333333333333</v>
      </c>
      <c r="W37" s="123"/>
    </row>
    <row r="38" spans="1:23" x14ac:dyDescent="0.25">
      <c r="A38" s="75">
        <f t="shared" si="1"/>
        <v>35</v>
      </c>
      <c r="B38" s="73" t="s">
        <v>21</v>
      </c>
      <c r="C38" s="47">
        <v>6</v>
      </c>
      <c r="D38" s="47"/>
      <c r="E38" s="47"/>
      <c r="F38" s="47"/>
      <c r="G38" s="47"/>
      <c r="H38" s="47"/>
      <c r="I38" s="47"/>
      <c r="J38" s="111"/>
      <c r="K38" s="46"/>
      <c r="M38" s="52"/>
      <c r="N38" s="121"/>
      <c r="O38" s="47"/>
      <c r="P38" s="111"/>
      <c r="Q38" s="111"/>
      <c r="R38" s="46"/>
      <c r="T38" s="50">
        <f t="shared" si="0"/>
        <v>0</v>
      </c>
      <c r="U38" s="50">
        <f>C38*24+M38*24+O38*24+Q38*24+T38</f>
        <v>144</v>
      </c>
      <c r="V38" s="50">
        <f>U38/24</f>
        <v>6</v>
      </c>
    </row>
    <row r="39" spans="1:23" ht="19.5" thickBot="1" x14ac:dyDescent="0.3">
      <c r="A39" s="75">
        <f t="shared" si="1"/>
        <v>36</v>
      </c>
      <c r="B39" s="94" t="s">
        <v>22</v>
      </c>
      <c r="C39" s="95">
        <f>756+28</f>
        <v>784</v>
      </c>
      <c r="D39" s="95"/>
      <c r="E39" s="95"/>
      <c r="F39" s="95"/>
      <c r="G39" s="95"/>
      <c r="H39" s="95">
        <v>9</v>
      </c>
      <c r="I39" s="95"/>
      <c r="J39" s="110"/>
      <c r="K39" s="96">
        <v>15</v>
      </c>
      <c r="L39" s="102"/>
      <c r="M39" s="103"/>
      <c r="N39" s="120"/>
      <c r="O39" s="97"/>
      <c r="P39" s="113"/>
      <c r="Q39" s="113">
        <v>10</v>
      </c>
      <c r="R39" s="98"/>
      <c r="S39" s="102"/>
      <c r="T39" s="104">
        <f>H39+I39+J39+K39+N39+P39+R39</f>
        <v>24</v>
      </c>
      <c r="U39" s="104">
        <f>C39*24+M39*24+O39*24+Q39*24+T39</f>
        <v>19080</v>
      </c>
      <c r="V39" s="104">
        <f>U39/24</f>
        <v>795</v>
      </c>
    </row>
    <row r="40" spans="1:23" ht="19.5" thickBot="1" x14ac:dyDescent="0.3">
      <c r="A40" s="75">
        <f t="shared" si="1"/>
        <v>37</v>
      </c>
      <c r="B40" s="99" t="s">
        <v>23</v>
      </c>
      <c r="C40" s="100">
        <f>1728+21</f>
        <v>1749</v>
      </c>
      <c r="D40" s="100"/>
      <c r="E40" s="100"/>
      <c r="F40" s="100"/>
      <c r="G40" s="100"/>
      <c r="H40" s="100"/>
      <c r="I40" s="100"/>
      <c r="J40" s="112"/>
      <c r="K40" s="101"/>
      <c r="L40" s="105"/>
      <c r="M40" s="106">
        <v>10</v>
      </c>
      <c r="N40" s="122"/>
      <c r="O40" s="100">
        <v>15</v>
      </c>
      <c r="P40" s="112"/>
      <c r="Q40" s="112">
        <v>35</v>
      </c>
      <c r="R40" s="101"/>
      <c r="S40" s="105"/>
      <c r="T40" s="107">
        <f t="shared" si="0"/>
        <v>0</v>
      </c>
      <c r="U40" s="107">
        <f>C40*12+M40*12+O40*12+Q40*12+T40</f>
        <v>21708</v>
      </c>
      <c r="V40" s="107">
        <f>U40/12</f>
        <v>1809</v>
      </c>
    </row>
    <row r="41" spans="1:23" hidden="1" x14ac:dyDescent="0.25">
      <c r="A41" s="75">
        <f t="shared" si="1"/>
        <v>38</v>
      </c>
      <c r="B41" s="73" t="s">
        <v>31</v>
      </c>
      <c r="C41" s="47"/>
      <c r="D41" s="47"/>
      <c r="E41" s="47"/>
      <c r="F41" s="47"/>
      <c r="G41" s="47"/>
      <c r="H41" s="47"/>
      <c r="I41" s="47"/>
      <c r="J41" s="111"/>
      <c r="K41" s="46"/>
      <c r="M41" s="52"/>
      <c r="N41" s="121"/>
      <c r="O41" s="47"/>
      <c r="P41" s="111"/>
      <c r="Q41" s="111"/>
      <c r="R41" s="46"/>
      <c r="T41" s="50"/>
      <c r="U41" s="50"/>
      <c r="V41" s="50"/>
    </row>
    <row r="42" spans="1:23" ht="19.5" thickBot="1" x14ac:dyDescent="0.3">
      <c r="A42" s="75">
        <f t="shared" si="1"/>
        <v>39</v>
      </c>
      <c r="B42" s="94" t="s">
        <v>24</v>
      </c>
      <c r="C42" s="97">
        <f>6048+6048+5292+57+7128</f>
        <v>24573</v>
      </c>
      <c r="D42" s="97"/>
      <c r="E42" s="97"/>
      <c r="F42" s="97"/>
      <c r="G42" s="97"/>
      <c r="H42" s="97">
        <v>4</v>
      </c>
      <c r="I42" s="97">
        <v>6</v>
      </c>
      <c r="J42" s="113">
        <f>6*5+4</f>
        <v>34</v>
      </c>
      <c r="K42" s="98">
        <f>75*6+4</f>
        <v>454</v>
      </c>
      <c r="L42" s="102"/>
      <c r="M42" s="103">
        <v>230</v>
      </c>
      <c r="N42" s="120"/>
      <c r="O42" s="97">
        <v>271</v>
      </c>
      <c r="P42" s="113"/>
      <c r="Q42" s="113">
        <v>415</v>
      </c>
      <c r="R42" s="98"/>
      <c r="S42" s="102"/>
      <c r="T42" s="104">
        <f t="shared" ref="T42" si="6">H42+I42+J42+K42+N42+P42+R42</f>
        <v>498</v>
      </c>
      <c r="U42" s="104">
        <f>C42*6+M42*6+O42*6+Q42*6+T42</f>
        <v>153432</v>
      </c>
      <c r="V42" s="104">
        <f>U42/6</f>
        <v>25572</v>
      </c>
    </row>
    <row r="43" spans="1:23" hidden="1" x14ac:dyDescent="0.25">
      <c r="A43" s="75">
        <f t="shared" si="1"/>
        <v>40</v>
      </c>
      <c r="B43" s="73" t="s">
        <v>33</v>
      </c>
      <c r="C43" s="47"/>
      <c r="D43" s="47"/>
      <c r="E43" s="47"/>
      <c r="F43" s="47"/>
      <c r="G43" s="47"/>
      <c r="H43" s="47"/>
      <c r="I43" s="47"/>
      <c r="J43" s="111"/>
      <c r="K43" s="46"/>
      <c r="M43" s="52"/>
      <c r="N43" s="121"/>
      <c r="O43" s="47"/>
      <c r="P43" s="111"/>
      <c r="Q43" s="111"/>
      <c r="R43" s="46"/>
      <c r="T43" s="50"/>
      <c r="U43" s="50"/>
      <c r="V43" s="50"/>
    </row>
    <row r="44" spans="1:23" x14ac:dyDescent="0.25">
      <c r="A44" s="75">
        <f t="shared" si="1"/>
        <v>41</v>
      </c>
      <c r="B44" s="74" t="s">
        <v>25</v>
      </c>
      <c r="C44" s="47"/>
      <c r="D44" s="47"/>
      <c r="E44" s="47"/>
      <c r="F44" s="47"/>
      <c r="G44" s="47"/>
      <c r="H44" s="47"/>
      <c r="I44" s="47"/>
      <c r="J44" s="111"/>
      <c r="K44" s="46"/>
      <c r="M44" s="52"/>
      <c r="N44" s="121"/>
      <c r="O44" s="47"/>
      <c r="P44" s="111"/>
      <c r="Q44" s="111"/>
      <c r="R44" s="46"/>
      <c r="T44" s="50">
        <f t="shared" ref="T44:T53" si="7">H44+I44+J44+K44+N44+P44+R44</f>
        <v>0</v>
      </c>
      <c r="U44" s="50">
        <f>C44*24+M44*24+O44*24+Q44*24+T44</f>
        <v>0</v>
      </c>
      <c r="V44" s="50">
        <f>U44/24</f>
        <v>0</v>
      </c>
    </row>
    <row r="45" spans="1:23" x14ac:dyDescent="0.25">
      <c r="A45" s="75">
        <f t="shared" si="1"/>
        <v>42</v>
      </c>
      <c r="B45" s="74" t="s">
        <v>68</v>
      </c>
      <c r="C45" s="47"/>
      <c r="D45" s="47"/>
      <c r="E45" s="47"/>
      <c r="F45" s="47"/>
      <c r="G45" s="47"/>
      <c r="H45" s="47"/>
      <c r="I45" s="47"/>
      <c r="J45" s="111"/>
      <c r="K45" s="46"/>
      <c r="M45" s="52"/>
      <c r="N45" s="121"/>
      <c r="O45" s="47"/>
      <c r="P45" s="111"/>
      <c r="Q45" s="111"/>
      <c r="R45" s="46"/>
      <c r="T45" s="50">
        <f t="shared" si="7"/>
        <v>0</v>
      </c>
      <c r="U45" s="50">
        <f t="shared" ref="U45:U47" si="8">C45*24+M45*24+O45*24+Q45*24+T45</f>
        <v>0</v>
      </c>
      <c r="V45" s="50">
        <f t="shared" ref="V45:V53" si="9">U45/24</f>
        <v>0</v>
      </c>
    </row>
    <row r="46" spans="1:23" x14ac:dyDescent="0.25">
      <c r="A46" s="75">
        <f t="shared" si="1"/>
        <v>43</v>
      </c>
      <c r="B46" s="74" t="s">
        <v>73</v>
      </c>
      <c r="C46" s="47"/>
      <c r="D46" s="47"/>
      <c r="E46" s="47"/>
      <c r="F46" s="47"/>
      <c r="G46" s="47"/>
      <c r="H46" s="47"/>
      <c r="I46" s="47"/>
      <c r="J46" s="111"/>
      <c r="K46" s="46"/>
      <c r="M46" s="52"/>
      <c r="N46" s="121"/>
      <c r="O46" s="47"/>
      <c r="P46" s="111"/>
      <c r="Q46" s="111"/>
      <c r="R46" s="46"/>
      <c r="T46" s="50">
        <f t="shared" si="7"/>
        <v>0</v>
      </c>
      <c r="U46" s="50">
        <f t="shared" si="8"/>
        <v>0</v>
      </c>
      <c r="V46" s="50">
        <f t="shared" si="9"/>
        <v>0</v>
      </c>
    </row>
    <row r="47" spans="1:23" x14ac:dyDescent="0.25">
      <c r="A47" s="75">
        <f t="shared" si="1"/>
        <v>44</v>
      </c>
      <c r="B47" s="74" t="s">
        <v>83</v>
      </c>
      <c r="C47" s="47"/>
      <c r="D47" s="47"/>
      <c r="E47" s="47"/>
      <c r="F47" s="47"/>
      <c r="G47" s="47"/>
      <c r="H47" s="47"/>
      <c r="I47" s="47"/>
      <c r="J47" s="111"/>
      <c r="K47" s="46"/>
      <c r="M47" s="52"/>
      <c r="N47" s="121"/>
      <c r="O47" s="47"/>
      <c r="P47" s="111"/>
      <c r="Q47" s="111"/>
      <c r="R47" s="46"/>
      <c r="T47" s="50">
        <f t="shared" si="7"/>
        <v>0</v>
      </c>
      <c r="U47" s="50">
        <f t="shared" si="8"/>
        <v>0</v>
      </c>
      <c r="V47" s="50">
        <f t="shared" si="9"/>
        <v>0</v>
      </c>
    </row>
    <row r="48" spans="1:23" x14ac:dyDescent="0.25">
      <c r="A48" s="75">
        <f t="shared" si="1"/>
        <v>45</v>
      </c>
      <c r="B48" s="74" t="s">
        <v>26</v>
      </c>
      <c r="C48" s="47">
        <f>28+55+2268</f>
        <v>2351</v>
      </c>
      <c r="D48" s="47"/>
      <c r="E48" s="47"/>
      <c r="F48" s="47"/>
      <c r="G48" s="47"/>
      <c r="H48" s="47">
        <v>3</v>
      </c>
      <c r="I48" s="47"/>
      <c r="J48" s="111"/>
      <c r="K48" s="46">
        <v>6</v>
      </c>
      <c r="M48" s="52">
        <v>10</v>
      </c>
      <c r="N48" s="121"/>
      <c r="O48" s="47">
        <f>4</f>
        <v>4</v>
      </c>
      <c r="P48" s="111">
        <v>2</v>
      </c>
      <c r="Q48" s="111">
        <v>10</v>
      </c>
      <c r="R48" s="46"/>
      <c r="T48" s="50">
        <f t="shared" si="7"/>
        <v>11</v>
      </c>
      <c r="U48" s="50">
        <f>C48*6+M48*6+O48*6+Q48*6+T48</f>
        <v>14261</v>
      </c>
      <c r="V48" s="50">
        <f>U48/6</f>
        <v>2376.8333333333335</v>
      </c>
    </row>
    <row r="49" spans="1:22" x14ac:dyDescent="0.25">
      <c r="A49" s="75">
        <f t="shared" si="1"/>
        <v>46</v>
      </c>
      <c r="B49" s="74" t="s">
        <v>69</v>
      </c>
      <c r="C49" s="47"/>
      <c r="D49" s="47"/>
      <c r="E49" s="47"/>
      <c r="F49" s="47"/>
      <c r="G49" s="47"/>
      <c r="H49" s="47"/>
      <c r="I49" s="47"/>
      <c r="J49" s="111"/>
      <c r="K49" s="46"/>
      <c r="M49" s="52"/>
      <c r="N49" s="121"/>
      <c r="O49" s="47"/>
      <c r="P49" s="111"/>
      <c r="Q49" s="111"/>
      <c r="R49" s="46"/>
      <c r="T49" s="50">
        <f t="shared" si="7"/>
        <v>0</v>
      </c>
      <c r="U49" s="50">
        <f t="shared" ref="U49:U51" si="10">C49*24+M49*24+O49*24+Q49*24+T49</f>
        <v>0</v>
      </c>
      <c r="V49" s="50">
        <f t="shared" si="9"/>
        <v>0</v>
      </c>
    </row>
    <row r="50" spans="1:22" x14ac:dyDescent="0.25">
      <c r="A50" s="75">
        <f t="shared" si="1"/>
        <v>47</v>
      </c>
      <c r="B50" s="74" t="s">
        <v>28</v>
      </c>
      <c r="C50" s="47"/>
      <c r="D50" s="47"/>
      <c r="E50" s="47"/>
      <c r="F50" s="47"/>
      <c r="G50" s="47"/>
      <c r="H50" s="47"/>
      <c r="I50" s="47"/>
      <c r="J50" s="111"/>
      <c r="K50" s="46"/>
      <c r="M50" s="52"/>
      <c r="N50" s="121"/>
      <c r="O50" s="47"/>
      <c r="P50" s="111"/>
      <c r="Q50" s="111"/>
      <c r="R50" s="46"/>
      <c r="T50" s="50">
        <f t="shared" si="7"/>
        <v>0</v>
      </c>
      <c r="U50" s="50">
        <f t="shared" si="10"/>
        <v>0</v>
      </c>
      <c r="V50" s="50">
        <f t="shared" si="9"/>
        <v>0</v>
      </c>
    </row>
    <row r="51" spans="1:22" x14ac:dyDescent="0.25">
      <c r="A51" s="75">
        <f t="shared" si="1"/>
        <v>48</v>
      </c>
      <c r="B51" s="74" t="s">
        <v>70</v>
      </c>
      <c r="C51" s="47"/>
      <c r="D51" s="47"/>
      <c r="E51" s="47"/>
      <c r="F51" s="47"/>
      <c r="G51" s="47"/>
      <c r="H51" s="47"/>
      <c r="I51" s="47"/>
      <c r="J51" s="111"/>
      <c r="K51" s="46"/>
      <c r="M51" s="52"/>
      <c r="N51" s="121"/>
      <c r="O51" s="47"/>
      <c r="P51" s="111"/>
      <c r="Q51" s="111"/>
      <c r="R51" s="46"/>
      <c r="T51" s="50">
        <f t="shared" si="7"/>
        <v>0</v>
      </c>
      <c r="U51" s="50">
        <f t="shared" si="10"/>
        <v>0</v>
      </c>
      <c r="V51" s="50">
        <f t="shared" si="9"/>
        <v>0</v>
      </c>
    </row>
    <row r="52" spans="1:22" x14ac:dyDescent="0.25">
      <c r="A52" s="75">
        <f t="shared" si="1"/>
        <v>49</v>
      </c>
      <c r="B52" s="74" t="s">
        <v>29</v>
      </c>
      <c r="C52" s="47">
        <v>34</v>
      </c>
      <c r="D52" s="47"/>
      <c r="E52" s="47"/>
      <c r="F52" s="47"/>
      <c r="G52" s="47"/>
      <c r="H52" s="47"/>
      <c r="I52" s="47"/>
      <c r="J52" s="111"/>
      <c r="K52" s="46"/>
      <c r="M52" s="52"/>
      <c r="N52" s="121"/>
      <c r="O52" s="47"/>
      <c r="P52" s="111"/>
      <c r="Q52" s="111"/>
      <c r="R52" s="46"/>
      <c r="T52" s="50">
        <f t="shared" si="7"/>
        <v>0</v>
      </c>
      <c r="U52" s="50">
        <f>C52*6+M52*6+O52*6+Q52*6+T52</f>
        <v>204</v>
      </c>
      <c r="V52" s="50">
        <f>U52/6</f>
        <v>34</v>
      </c>
    </row>
    <row r="53" spans="1:22" x14ac:dyDescent="0.25">
      <c r="A53" s="75">
        <f t="shared" si="1"/>
        <v>50</v>
      </c>
      <c r="B53" s="74" t="s">
        <v>30</v>
      </c>
      <c r="C53" s="47"/>
      <c r="D53" s="47"/>
      <c r="E53" s="47"/>
      <c r="F53" s="47"/>
      <c r="G53" s="47"/>
      <c r="H53" s="47"/>
      <c r="I53" s="47"/>
      <c r="J53" s="111"/>
      <c r="K53" s="46"/>
      <c r="M53" s="52"/>
      <c r="N53" s="121"/>
      <c r="O53" s="47"/>
      <c r="P53" s="111"/>
      <c r="Q53" s="111"/>
      <c r="R53" s="46"/>
      <c r="T53" s="50">
        <f t="shared" si="7"/>
        <v>0</v>
      </c>
      <c r="U53" s="50">
        <f t="shared" ref="U53" si="11">C53*24+M53*24+O53*24+Q53*24+T53</f>
        <v>0</v>
      </c>
      <c r="V53" s="50">
        <f t="shared" si="9"/>
        <v>0</v>
      </c>
    </row>
    <row r="54" spans="1:22" x14ac:dyDescent="0.25">
      <c r="A54" s="75">
        <f t="shared" si="1"/>
        <v>51</v>
      </c>
      <c r="B54" s="74"/>
      <c r="C54" s="47"/>
      <c r="D54" s="47"/>
      <c r="E54" s="47"/>
      <c r="F54" s="47"/>
      <c r="G54" s="47"/>
      <c r="H54" s="47"/>
      <c r="I54" s="47"/>
      <c r="J54" s="111"/>
      <c r="K54" s="46"/>
      <c r="M54" s="52"/>
      <c r="N54" s="121"/>
      <c r="O54" s="47"/>
      <c r="P54" s="111"/>
      <c r="Q54" s="111"/>
      <c r="R54" s="46"/>
      <c r="T54" s="50"/>
      <c r="U54" s="50"/>
      <c r="V54" s="50"/>
    </row>
    <row r="55" spans="1:22" x14ac:dyDescent="0.25">
      <c r="A55" s="75">
        <f t="shared" si="1"/>
        <v>52</v>
      </c>
      <c r="B55" s="74"/>
      <c r="C55" s="47"/>
      <c r="D55" s="47"/>
      <c r="E55" s="47"/>
      <c r="F55" s="47"/>
      <c r="G55" s="47"/>
      <c r="H55" s="47"/>
      <c r="I55" s="47"/>
      <c r="J55" s="111"/>
      <c r="K55" s="46"/>
      <c r="M55" s="52"/>
      <c r="N55" s="121"/>
      <c r="O55" s="47"/>
      <c r="P55" s="111"/>
      <c r="Q55" s="111"/>
      <c r="R55" s="46"/>
      <c r="T55" s="50"/>
      <c r="U55" s="50"/>
      <c r="V55" s="50"/>
    </row>
    <row r="56" spans="1:22" x14ac:dyDescent="0.25">
      <c r="A56" s="75">
        <f t="shared" si="1"/>
        <v>53</v>
      </c>
      <c r="B56" s="74"/>
      <c r="C56" s="47"/>
      <c r="D56" s="47"/>
      <c r="E56" s="47"/>
      <c r="F56" s="47"/>
      <c r="G56" s="47"/>
      <c r="H56" s="47"/>
      <c r="I56" s="47"/>
      <c r="J56" s="111"/>
      <c r="K56" s="46"/>
      <c r="M56" s="52"/>
      <c r="N56" s="121"/>
      <c r="O56" s="47"/>
      <c r="P56" s="111"/>
      <c r="Q56" s="111"/>
      <c r="R56" s="46"/>
      <c r="T56" s="50"/>
      <c r="U56" s="50"/>
      <c r="V56" s="50"/>
    </row>
    <row r="57" spans="1:22" s="63" customFormat="1" ht="19.5" thickBot="1" x14ac:dyDescent="0.3">
      <c r="B57" s="77" t="s">
        <v>60</v>
      </c>
      <c r="C57" s="49">
        <f>SUM(C7:C56)</f>
        <v>38647</v>
      </c>
      <c r="D57" s="49"/>
      <c r="E57" s="49"/>
      <c r="F57" s="49">
        <f t="shared" ref="F57:K57" si="12">SUM(F7:F56)</f>
        <v>0</v>
      </c>
      <c r="G57" s="49">
        <f t="shared" si="12"/>
        <v>0</v>
      </c>
      <c r="H57" s="49">
        <f t="shared" si="12"/>
        <v>102</v>
      </c>
      <c r="I57" s="54">
        <f t="shared" si="12"/>
        <v>8</v>
      </c>
      <c r="J57" s="54">
        <f t="shared" si="12"/>
        <v>38</v>
      </c>
      <c r="K57" s="54">
        <f t="shared" si="12"/>
        <v>486</v>
      </c>
      <c r="M57" s="53">
        <f t="shared" ref="M57:R57" si="13">SUM(M7:M56)</f>
        <v>328</v>
      </c>
      <c r="N57" s="53">
        <f t="shared" si="13"/>
        <v>18</v>
      </c>
      <c r="O57" s="53">
        <f t="shared" si="13"/>
        <v>337</v>
      </c>
      <c r="P57" s="53">
        <f t="shared" si="13"/>
        <v>5</v>
      </c>
      <c r="Q57" s="53">
        <f t="shared" si="13"/>
        <v>514</v>
      </c>
      <c r="R57" s="53">
        <f t="shared" si="13"/>
        <v>2</v>
      </c>
      <c r="S57" s="57"/>
      <c r="T57" s="51">
        <f>SUM(T7:T56)</f>
        <v>659</v>
      </c>
      <c r="U57" s="51">
        <f>SUM(U7:U56)</f>
        <v>343493</v>
      </c>
      <c r="V57" s="51">
        <f>SUM(V7:V56)</f>
        <v>39918.083333333336</v>
      </c>
    </row>
    <row r="58" spans="1:22" ht="7.5" customHeight="1" thickBot="1" x14ac:dyDescent="0.3"/>
    <row r="59" spans="1:22" ht="19.5" thickBot="1" x14ac:dyDescent="0.3">
      <c r="B59" s="78" t="s">
        <v>39</v>
      </c>
      <c r="C59" s="191" t="s">
        <v>49</v>
      </c>
      <c r="D59" s="192"/>
      <c r="E59" s="192"/>
      <c r="F59" s="192"/>
      <c r="G59" s="192"/>
      <c r="H59" s="192"/>
      <c r="I59" s="192"/>
      <c r="J59" s="192"/>
      <c r="K59" s="193"/>
      <c r="U59" s="72" t="s">
        <v>62</v>
      </c>
    </row>
    <row r="60" spans="1:22" x14ac:dyDescent="0.25">
      <c r="B60" s="79" t="s">
        <v>18</v>
      </c>
      <c r="C60" s="67"/>
      <c r="D60" s="67"/>
      <c r="E60" s="67"/>
      <c r="F60" s="67"/>
      <c r="G60" s="67"/>
      <c r="H60" s="67"/>
      <c r="I60" s="67"/>
      <c r="J60" s="114"/>
      <c r="K60" s="68"/>
      <c r="U60" s="55"/>
    </row>
    <row r="61" spans="1:22" x14ac:dyDescent="0.25">
      <c r="B61" s="80" t="s">
        <v>55</v>
      </c>
      <c r="C61" s="48"/>
      <c r="D61" s="48"/>
      <c r="E61" s="48"/>
      <c r="F61" s="48"/>
      <c r="G61" s="48"/>
      <c r="H61" s="48"/>
      <c r="I61" s="48"/>
      <c r="J61" s="109"/>
      <c r="K61" s="69"/>
      <c r="U61" s="50"/>
    </row>
    <row r="62" spans="1:22" ht="19.5" thickBot="1" x14ac:dyDescent="0.3">
      <c r="B62" s="81" t="s">
        <v>54</v>
      </c>
      <c r="C62" s="70"/>
      <c r="D62" s="70"/>
      <c r="E62" s="70"/>
      <c r="F62" s="70"/>
      <c r="G62" s="70"/>
      <c r="H62" s="70"/>
      <c r="I62" s="70"/>
      <c r="J62" s="115"/>
      <c r="K62" s="71"/>
      <c r="U62" s="56"/>
    </row>
    <row r="63" spans="1:22" ht="7.5" customHeight="1" thickBot="1" x14ac:dyDescent="0.3"/>
    <row r="64" spans="1:22" x14ac:dyDescent="0.25">
      <c r="B64" s="79" t="s">
        <v>56</v>
      </c>
      <c r="C64" s="67"/>
      <c r="D64" s="67"/>
      <c r="E64" s="67"/>
      <c r="F64" s="67"/>
      <c r="G64" s="67"/>
      <c r="H64" s="67"/>
      <c r="I64" s="67"/>
      <c r="J64" s="114"/>
      <c r="K64" s="68"/>
      <c r="U64" s="55"/>
    </row>
    <row r="65" spans="2:21" x14ac:dyDescent="0.25">
      <c r="B65" s="80" t="s">
        <v>55</v>
      </c>
      <c r="C65" s="48"/>
      <c r="D65" s="48"/>
      <c r="E65" s="48"/>
      <c r="F65" s="48"/>
      <c r="G65" s="48"/>
      <c r="H65" s="48"/>
      <c r="I65" s="48"/>
      <c r="J65" s="109"/>
      <c r="K65" s="69"/>
      <c r="U65" s="50"/>
    </row>
    <row r="66" spans="2:21" ht="19.5" thickBot="1" x14ac:dyDescent="0.3">
      <c r="B66" s="81" t="s">
        <v>54</v>
      </c>
      <c r="C66" s="70"/>
      <c r="D66" s="70"/>
      <c r="E66" s="70"/>
      <c r="F66" s="70"/>
      <c r="G66" s="70"/>
      <c r="H66" s="70"/>
      <c r="I66" s="70"/>
      <c r="J66" s="115"/>
      <c r="K66" s="71"/>
      <c r="U66" s="56"/>
    </row>
    <row r="67" spans="2:21" ht="7.5" customHeight="1" thickBot="1" x14ac:dyDescent="0.3"/>
    <row r="68" spans="2:21" x14ac:dyDescent="0.25">
      <c r="B68" s="79" t="s">
        <v>41</v>
      </c>
      <c r="C68" s="67"/>
      <c r="D68" s="67"/>
      <c r="E68" s="67"/>
      <c r="F68" s="67"/>
      <c r="G68" s="67"/>
      <c r="H68" s="67"/>
      <c r="I68" s="67"/>
      <c r="J68" s="114"/>
      <c r="K68" s="68"/>
      <c r="U68" s="55"/>
    </row>
    <row r="69" spans="2:21" x14ac:dyDescent="0.25">
      <c r="B69" s="80" t="s">
        <v>55</v>
      </c>
      <c r="C69" s="48"/>
      <c r="D69" s="48"/>
      <c r="E69" s="48"/>
      <c r="F69" s="48"/>
      <c r="G69" s="48"/>
      <c r="H69" s="48"/>
      <c r="I69" s="48"/>
      <c r="J69" s="109"/>
      <c r="K69" s="69"/>
      <c r="U69" s="50"/>
    </row>
    <row r="70" spans="2:21" ht="19.5" thickBot="1" x14ac:dyDescent="0.3">
      <c r="B70" s="81" t="s">
        <v>54</v>
      </c>
      <c r="C70" s="70"/>
      <c r="D70" s="70"/>
      <c r="E70" s="70"/>
      <c r="F70" s="70"/>
      <c r="G70" s="70"/>
      <c r="H70" s="70"/>
      <c r="I70" s="70"/>
      <c r="J70" s="115"/>
      <c r="K70" s="71"/>
      <c r="U70" s="56"/>
    </row>
    <row r="71" spans="2:21" ht="7.5" customHeight="1" thickBot="1" x14ac:dyDescent="0.3"/>
    <row r="72" spans="2:21" x14ac:dyDescent="0.25">
      <c r="B72" s="79" t="s">
        <v>57</v>
      </c>
      <c r="C72" s="67"/>
      <c r="D72" s="67"/>
      <c r="E72" s="67"/>
      <c r="F72" s="67"/>
      <c r="G72" s="67"/>
      <c r="H72" s="67"/>
      <c r="I72" s="67"/>
      <c r="J72" s="114"/>
      <c r="K72" s="68"/>
      <c r="U72" s="55"/>
    </row>
    <row r="73" spans="2:21" x14ac:dyDescent="0.25">
      <c r="B73" s="80" t="s">
        <v>55</v>
      </c>
      <c r="C73" s="48"/>
      <c r="D73" s="48"/>
      <c r="E73" s="48"/>
      <c r="F73" s="48"/>
      <c r="G73" s="48"/>
      <c r="H73" s="48"/>
      <c r="I73" s="48"/>
      <c r="J73" s="109"/>
      <c r="K73" s="69"/>
      <c r="U73" s="50"/>
    </row>
    <row r="74" spans="2:21" ht="19.5" thickBot="1" x14ac:dyDescent="0.3">
      <c r="B74" s="81" t="s">
        <v>54</v>
      </c>
      <c r="C74" s="70"/>
      <c r="D74" s="70"/>
      <c r="E74" s="70"/>
      <c r="F74" s="70"/>
      <c r="G74" s="70"/>
      <c r="H74" s="70"/>
      <c r="I74" s="70"/>
      <c r="J74" s="115"/>
      <c r="K74" s="71"/>
      <c r="U74" s="56"/>
    </row>
    <row r="75" spans="2:21" ht="7.5" customHeight="1" thickBot="1" x14ac:dyDescent="0.3"/>
    <row r="76" spans="2:21" x14ac:dyDescent="0.25">
      <c r="B76" s="79" t="s">
        <v>58</v>
      </c>
      <c r="C76" s="67"/>
      <c r="D76" s="67"/>
      <c r="E76" s="67"/>
      <c r="F76" s="67"/>
      <c r="G76" s="67"/>
      <c r="H76" s="67"/>
      <c r="I76" s="67"/>
      <c r="J76" s="114"/>
      <c r="K76" s="68"/>
      <c r="U76" s="55"/>
    </row>
    <row r="77" spans="2:21" x14ac:dyDescent="0.25">
      <c r="B77" s="80" t="s">
        <v>55</v>
      </c>
      <c r="C77" s="48"/>
      <c r="D77" s="48"/>
      <c r="E77" s="48"/>
      <c r="F77" s="48"/>
      <c r="G77" s="48"/>
      <c r="H77" s="48"/>
      <c r="I77" s="48"/>
      <c r="J77" s="109"/>
      <c r="K77" s="69"/>
      <c r="U77" s="50"/>
    </row>
    <row r="78" spans="2:21" ht="19.5" thickBot="1" x14ac:dyDescent="0.3">
      <c r="B78" s="81" t="s">
        <v>54</v>
      </c>
      <c r="C78" s="70"/>
      <c r="D78" s="70"/>
      <c r="E78" s="70"/>
      <c r="F78" s="70"/>
      <c r="G78" s="70"/>
      <c r="H78" s="70"/>
      <c r="I78" s="70"/>
      <c r="J78" s="115"/>
      <c r="K78" s="71"/>
      <c r="U78" s="56"/>
    </row>
    <row r="79" spans="2:21" ht="7.5" customHeight="1" thickBot="1" x14ac:dyDescent="0.3"/>
    <row r="80" spans="2:21" ht="19.5" thickBot="1" x14ac:dyDescent="0.3">
      <c r="B80" s="78" t="s">
        <v>59</v>
      </c>
      <c r="C80" s="65"/>
      <c r="D80" s="65"/>
      <c r="E80" s="65"/>
      <c r="F80" s="65"/>
      <c r="G80" s="65"/>
      <c r="H80" s="65"/>
      <c r="I80" s="65"/>
      <c r="J80" s="116"/>
      <c r="K80" s="66"/>
      <c r="U80" s="64"/>
    </row>
  </sheetData>
  <mergeCells count="7">
    <mergeCell ref="V4:V5"/>
    <mergeCell ref="J5:K5"/>
    <mergeCell ref="C59:K59"/>
    <mergeCell ref="I1:U1"/>
    <mergeCell ref="C4:K4"/>
    <mergeCell ref="T4:T5"/>
    <mergeCell ref="U4:U5"/>
  </mergeCells>
  <printOptions horizontalCentered="1" verticalCentered="1"/>
  <pageMargins left="0.19685039370078741" right="0.19685039370078741" top="0.19685039370078741" bottom="0.19685039370078741" header="0.19685039370078741" footer="0.19685039370078741"/>
  <pageSetup paperSize="14" scale="70" orientation="portrait" horizontalDpi="360" verticalDpi="360" r:id="rId1"/>
  <colBreaks count="1" manualBreakCount="1">
    <brk id="24" max="80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AB11A-D91C-4386-B75A-49C8668A772A}">
  <sheetPr>
    <pageSetUpPr fitToPage="1"/>
  </sheetPr>
  <dimension ref="A1:BB80"/>
  <sheetViews>
    <sheetView zoomScaleNormal="100" zoomScaleSheetLayoutView="115" workbookViewId="0">
      <selection activeCell="B2" sqref="B2"/>
    </sheetView>
  </sheetViews>
  <sheetFormatPr defaultColWidth="9.140625" defaultRowHeight="18.75" x14ac:dyDescent="0.25"/>
  <cols>
    <col min="1" max="1" width="4.140625" style="57" bestFit="1" customWidth="1"/>
    <col min="2" max="2" width="12.28515625" style="76" customWidth="1"/>
    <col min="3" max="6" width="10" style="57" customWidth="1"/>
    <col min="7" max="7" width="6.85546875" style="57" customWidth="1"/>
    <col min="8" max="8" width="6.7109375" style="57" customWidth="1"/>
    <col min="9" max="9" width="5.5703125" style="57" bestFit="1" customWidth="1"/>
    <col min="10" max="10" width="6.85546875" style="57" customWidth="1"/>
    <col min="11" max="11" width="5.5703125" style="57" bestFit="1" customWidth="1"/>
    <col min="12" max="12" width="1.42578125" style="57" customWidth="1"/>
    <col min="13" max="13" width="10" style="57" customWidth="1"/>
    <col min="14" max="14" width="5.5703125" style="57" bestFit="1" customWidth="1"/>
    <col min="15" max="15" width="10" style="57" customWidth="1"/>
    <col min="16" max="16" width="5.5703125" style="57" customWidth="1"/>
    <col min="17" max="17" width="10" style="57" customWidth="1"/>
    <col min="18" max="18" width="5.5703125" style="57" bestFit="1" customWidth="1"/>
    <col min="19" max="19" width="1.42578125" style="57" customWidth="1"/>
    <col min="20" max="20" width="12.5703125" style="57" bestFit="1" customWidth="1"/>
    <col min="21" max="21" width="14.28515625" style="57" customWidth="1"/>
    <col min="22" max="22" width="19.42578125" style="57" bestFit="1" customWidth="1"/>
    <col min="23" max="49" width="7.28515625" style="57" customWidth="1"/>
    <col min="50" max="50" width="1.5703125" style="57" customWidth="1"/>
    <col min="51" max="51" width="9.42578125" style="57" customWidth="1"/>
    <col min="52" max="52" width="1.28515625" style="57" customWidth="1"/>
    <col min="53" max="53" width="12.7109375" style="57" bestFit="1" customWidth="1"/>
    <col min="54" max="54" width="10.28515625" style="57" bestFit="1" customWidth="1"/>
    <col min="55" max="16384" width="9.140625" style="57"/>
  </cols>
  <sheetData>
    <row r="1" spans="1:54" ht="15" customHeight="1" x14ac:dyDescent="0.25">
      <c r="B1" s="75" t="s">
        <v>51</v>
      </c>
      <c r="I1" s="194" t="s">
        <v>53</v>
      </c>
      <c r="J1" s="194"/>
      <c r="K1" s="194"/>
      <c r="L1" s="194"/>
      <c r="M1" s="194"/>
      <c r="N1" s="194"/>
      <c r="O1" s="194"/>
      <c r="P1" s="194"/>
      <c r="Q1" s="194"/>
      <c r="R1" s="194"/>
      <c r="S1" s="194"/>
      <c r="T1" s="194"/>
      <c r="U1" s="194"/>
    </row>
    <row r="2" spans="1:54" x14ac:dyDescent="0.25">
      <c r="B2" s="76" t="s">
        <v>90</v>
      </c>
    </row>
    <row r="3" spans="1:54" ht="19.5" thickBot="1" x14ac:dyDescent="0.3"/>
    <row r="4" spans="1:54" s="58" customFormat="1" ht="15.75" x14ac:dyDescent="0.25">
      <c r="B4" s="93" t="s">
        <v>63</v>
      </c>
      <c r="C4" s="189" t="s">
        <v>49</v>
      </c>
      <c r="D4" s="189"/>
      <c r="E4" s="189"/>
      <c r="F4" s="189"/>
      <c r="G4" s="189"/>
      <c r="H4" s="189"/>
      <c r="I4" s="189"/>
      <c r="J4" s="199"/>
      <c r="K4" s="190"/>
      <c r="M4" s="82" t="s">
        <v>0</v>
      </c>
      <c r="N4" s="117" t="s">
        <v>72</v>
      </c>
      <c r="O4" s="84" t="s">
        <v>45</v>
      </c>
      <c r="P4" s="117" t="s">
        <v>72</v>
      </c>
      <c r="Q4" s="85" t="s">
        <v>46</v>
      </c>
      <c r="R4" s="117" t="s">
        <v>72</v>
      </c>
      <c r="S4" s="57"/>
      <c r="T4" s="200" t="s">
        <v>80</v>
      </c>
      <c r="U4" s="202" t="s">
        <v>79</v>
      </c>
      <c r="V4" s="195" t="s">
        <v>78</v>
      </c>
      <c r="AF4" s="59"/>
      <c r="AG4" s="59"/>
      <c r="AH4" s="59"/>
      <c r="AI4" s="59"/>
      <c r="AJ4" s="59"/>
      <c r="AK4" s="59"/>
      <c r="AL4" s="59"/>
      <c r="AM4" s="59"/>
      <c r="AN4" s="59"/>
      <c r="AO4" s="59"/>
      <c r="AP4" s="59"/>
      <c r="AQ4" s="59"/>
      <c r="AR4" s="59"/>
      <c r="AS4" s="59"/>
      <c r="AT4" s="59"/>
      <c r="AU4" s="59"/>
      <c r="AV4" s="59"/>
      <c r="AW4" s="59"/>
      <c r="AX4" s="59"/>
      <c r="AY4" s="59"/>
      <c r="AZ4" s="59"/>
      <c r="BA4" s="59"/>
      <c r="BB4" s="59"/>
    </row>
    <row r="5" spans="1:54" s="58" customFormat="1" ht="15.75" x14ac:dyDescent="0.25">
      <c r="B5" s="87"/>
      <c r="C5" s="92"/>
      <c r="D5" s="92"/>
      <c r="E5" s="92"/>
      <c r="F5" s="92"/>
      <c r="G5" s="92"/>
      <c r="H5" s="92" t="s">
        <v>76</v>
      </c>
      <c r="I5" s="92" t="s">
        <v>71</v>
      </c>
      <c r="J5" s="197" t="s">
        <v>77</v>
      </c>
      <c r="K5" s="198"/>
      <c r="M5" s="87"/>
      <c r="N5" s="118"/>
      <c r="O5" s="92"/>
      <c r="P5" s="129"/>
      <c r="Q5" s="129"/>
      <c r="R5" s="89"/>
      <c r="S5" s="57"/>
      <c r="T5" s="201"/>
      <c r="U5" s="203"/>
      <c r="V5" s="196"/>
      <c r="AF5" s="59"/>
      <c r="AG5" s="59"/>
      <c r="AH5" s="59"/>
      <c r="AI5" s="59"/>
      <c r="AJ5" s="59"/>
      <c r="AK5" s="59"/>
      <c r="AL5" s="59"/>
      <c r="AM5" s="59"/>
      <c r="AN5" s="59"/>
      <c r="AO5" s="59"/>
      <c r="AP5" s="59"/>
      <c r="AQ5" s="59"/>
      <c r="AR5" s="59"/>
      <c r="AS5" s="59"/>
      <c r="AT5" s="59"/>
      <c r="AU5" s="59"/>
      <c r="AV5" s="59"/>
      <c r="AW5" s="59"/>
      <c r="AX5" s="59"/>
      <c r="AY5" s="59"/>
      <c r="AZ5" s="59"/>
      <c r="BA5" s="59"/>
      <c r="BB5" s="59"/>
    </row>
    <row r="6" spans="1:54" s="58" customFormat="1" ht="15.75" x14ac:dyDescent="0.25">
      <c r="B6" s="87"/>
      <c r="C6" s="92"/>
      <c r="D6" s="92"/>
      <c r="E6" s="92"/>
      <c r="F6" s="92"/>
      <c r="G6" s="92"/>
      <c r="H6" s="92"/>
      <c r="I6" s="92"/>
      <c r="J6" s="129"/>
      <c r="K6" s="89"/>
      <c r="M6" s="87"/>
      <c r="N6" s="118"/>
      <c r="O6" s="92"/>
      <c r="P6" s="129"/>
      <c r="Q6" s="129"/>
      <c r="R6" s="89"/>
      <c r="S6" s="57"/>
      <c r="T6" s="90"/>
      <c r="U6" s="90"/>
      <c r="V6" s="90"/>
      <c r="AF6" s="59"/>
      <c r="AG6" s="59"/>
      <c r="AH6" s="59"/>
      <c r="AI6" s="59"/>
      <c r="AJ6" s="59"/>
      <c r="AK6" s="59"/>
      <c r="AL6" s="59"/>
      <c r="AM6" s="59"/>
      <c r="AN6" s="59"/>
      <c r="AO6" s="59"/>
      <c r="AP6" s="59"/>
      <c r="AQ6" s="59"/>
      <c r="AR6" s="59"/>
      <c r="AS6" s="59"/>
      <c r="AT6" s="59"/>
      <c r="AU6" s="59"/>
      <c r="AV6" s="59"/>
      <c r="AW6" s="59"/>
      <c r="AX6" s="59"/>
      <c r="AY6" s="59"/>
      <c r="AZ6" s="59"/>
      <c r="BA6" s="59"/>
      <c r="BB6" s="59"/>
    </row>
    <row r="7" spans="1:54" x14ac:dyDescent="0.25">
      <c r="A7" s="75">
        <v>1</v>
      </c>
      <c r="B7" s="74" t="s">
        <v>34</v>
      </c>
      <c r="C7" s="48">
        <v>28</v>
      </c>
      <c r="D7" s="48"/>
      <c r="E7" s="48"/>
      <c r="F7" s="48"/>
      <c r="G7" s="48"/>
      <c r="H7" s="48">
        <v>17</v>
      </c>
      <c r="I7" s="48">
        <v>1</v>
      </c>
      <c r="J7" s="109"/>
      <c r="K7" s="69">
        <v>6</v>
      </c>
      <c r="M7" s="88">
        <v>1</v>
      </c>
      <c r="N7" s="119"/>
      <c r="O7" s="48">
        <v>3</v>
      </c>
      <c r="P7" s="109"/>
      <c r="Q7" s="109">
        <v>2</v>
      </c>
      <c r="R7" s="69"/>
      <c r="T7" s="91">
        <f>H7+I7+J7+K7+N7+P7+R7</f>
        <v>24</v>
      </c>
      <c r="U7" s="91">
        <f>C7*24+M7*24+O7*24+Q7*24+T7</f>
        <v>840</v>
      </c>
      <c r="V7" s="91">
        <f>U7/24</f>
        <v>35</v>
      </c>
      <c r="W7" s="123"/>
      <c r="AF7" s="60"/>
      <c r="AG7" s="60"/>
      <c r="AH7" s="60"/>
      <c r="AI7" s="60"/>
      <c r="AJ7" s="60"/>
      <c r="AK7" s="60"/>
      <c r="AL7" s="60"/>
      <c r="AM7" s="60"/>
      <c r="AN7" s="60"/>
      <c r="AO7" s="60"/>
      <c r="AP7" s="60"/>
      <c r="AQ7" s="60"/>
      <c r="AR7" s="60"/>
      <c r="AS7" s="60"/>
      <c r="AT7" s="60"/>
      <c r="AU7" s="60"/>
      <c r="AV7" s="60"/>
      <c r="AW7" s="60"/>
      <c r="AX7" s="60"/>
      <c r="AY7" s="60"/>
      <c r="AZ7" s="60"/>
      <c r="BA7" s="60"/>
      <c r="BB7" s="60"/>
    </row>
    <row r="8" spans="1:54" ht="19.5" thickBot="1" x14ac:dyDescent="0.3">
      <c r="A8" s="75">
        <f>A7+1</f>
        <v>2</v>
      </c>
      <c r="B8" s="94" t="s">
        <v>37</v>
      </c>
      <c r="C8" s="95">
        <f>63+32</f>
        <v>95</v>
      </c>
      <c r="D8" s="95"/>
      <c r="E8" s="95"/>
      <c r="F8" s="95"/>
      <c r="G8" s="95"/>
      <c r="H8" s="95"/>
      <c r="I8" s="95"/>
      <c r="J8" s="110"/>
      <c r="K8" s="96"/>
      <c r="L8" s="102"/>
      <c r="M8" s="103">
        <v>2</v>
      </c>
      <c r="N8" s="120"/>
      <c r="O8" s="97"/>
      <c r="P8" s="113"/>
      <c r="Q8" s="113"/>
      <c r="R8" s="98"/>
      <c r="S8" s="102"/>
      <c r="T8" s="126">
        <f t="shared" ref="T8:T40" si="0">H8+I8+J8+K8+N8+P8+R8</f>
        <v>0</v>
      </c>
      <c r="U8" s="124">
        <f>C8*24+M8*24+O8*24+Q8*24+T8</f>
        <v>2328</v>
      </c>
      <c r="V8" s="124">
        <f>U8/24</f>
        <v>97</v>
      </c>
      <c r="W8" s="123"/>
      <c r="AF8" s="60"/>
      <c r="AG8" s="60"/>
      <c r="AH8" s="60"/>
      <c r="AI8" s="60"/>
      <c r="AJ8" s="60"/>
      <c r="AK8" s="60"/>
      <c r="AL8" s="60"/>
      <c r="AM8" s="60"/>
      <c r="AN8" s="60"/>
      <c r="AO8" s="60"/>
      <c r="AP8" s="60"/>
      <c r="AQ8" s="60"/>
      <c r="AR8" s="60"/>
      <c r="AS8" s="60"/>
      <c r="AT8" s="60"/>
      <c r="AU8" s="60"/>
      <c r="AV8" s="60"/>
      <c r="AW8" s="60"/>
      <c r="AX8" s="60"/>
      <c r="AY8" s="60"/>
      <c r="AZ8" s="60"/>
      <c r="BA8" s="60"/>
      <c r="BB8" s="60"/>
    </row>
    <row r="9" spans="1:54" x14ac:dyDescent="0.25">
      <c r="A9" s="75">
        <f t="shared" ref="A9:A56" si="1">A8+1</f>
        <v>3</v>
      </c>
      <c r="B9" s="73" t="s">
        <v>35</v>
      </c>
      <c r="C9" s="47"/>
      <c r="D9" s="47"/>
      <c r="E9" s="47"/>
      <c r="F9" s="47"/>
      <c r="G9" s="47"/>
      <c r="H9" s="47"/>
      <c r="I9" s="47"/>
      <c r="J9" s="111"/>
      <c r="K9" s="46"/>
      <c r="M9" s="52"/>
      <c r="N9" s="121"/>
      <c r="O9" s="47"/>
      <c r="P9" s="111"/>
      <c r="Q9" s="111"/>
      <c r="R9" s="46"/>
      <c r="T9" s="50">
        <f t="shared" si="0"/>
        <v>0</v>
      </c>
      <c r="U9" s="125">
        <f t="shared" ref="U9:U11" si="2">C9*24+M9*24+O9*24+Q9*24+T9</f>
        <v>0</v>
      </c>
      <c r="V9" s="125">
        <f t="shared" ref="V9:V11" si="3">U9/24</f>
        <v>0</v>
      </c>
      <c r="W9" s="123"/>
      <c r="AF9" s="60"/>
      <c r="AG9" s="60"/>
      <c r="AH9" s="60"/>
      <c r="AI9" s="60"/>
      <c r="AJ9" s="60"/>
      <c r="AK9" s="60"/>
      <c r="AL9" s="60"/>
      <c r="AM9" s="60"/>
      <c r="AN9" s="60"/>
      <c r="AO9" s="60"/>
      <c r="AP9" s="60"/>
      <c r="AQ9" s="60"/>
      <c r="AR9" s="60"/>
      <c r="AS9" s="60"/>
      <c r="AT9" s="60"/>
      <c r="AU9" s="60"/>
      <c r="AV9" s="60"/>
      <c r="AW9" s="60"/>
      <c r="AX9" s="60"/>
      <c r="AY9" s="60"/>
      <c r="AZ9" s="60"/>
      <c r="BA9" s="60"/>
      <c r="BB9" s="60"/>
    </row>
    <row r="10" spans="1:54" x14ac:dyDescent="0.25">
      <c r="A10" s="75">
        <f t="shared" si="1"/>
        <v>4</v>
      </c>
      <c r="B10" s="74" t="s">
        <v>38</v>
      </c>
      <c r="C10" s="47">
        <v>91</v>
      </c>
      <c r="D10" s="47"/>
      <c r="E10" s="47"/>
      <c r="F10" s="47"/>
      <c r="G10" s="47"/>
      <c r="H10" s="47"/>
      <c r="I10" s="47"/>
      <c r="J10" s="111"/>
      <c r="K10" s="46"/>
      <c r="M10" s="52">
        <v>1</v>
      </c>
      <c r="N10" s="121"/>
      <c r="O10" s="47">
        <v>2</v>
      </c>
      <c r="P10" s="111"/>
      <c r="Q10" s="111">
        <v>3</v>
      </c>
      <c r="R10" s="46"/>
      <c r="T10" s="91">
        <f t="shared" si="0"/>
        <v>0</v>
      </c>
      <c r="U10" s="91">
        <f t="shared" si="2"/>
        <v>2328</v>
      </c>
      <c r="V10" s="91">
        <f t="shared" si="3"/>
        <v>97</v>
      </c>
      <c r="W10" s="123"/>
      <c r="AF10" s="60"/>
      <c r="AG10" s="60"/>
      <c r="AH10" s="60"/>
      <c r="AI10" s="60"/>
      <c r="AJ10" s="60"/>
      <c r="AK10" s="60"/>
      <c r="AL10" s="60"/>
      <c r="AM10" s="60"/>
      <c r="AN10" s="60"/>
      <c r="AO10" s="60"/>
      <c r="AP10" s="60"/>
      <c r="AQ10" s="60"/>
      <c r="AR10" s="60"/>
      <c r="AS10" s="60"/>
      <c r="AT10" s="60"/>
      <c r="AU10" s="60"/>
      <c r="AV10" s="60"/>
      <c r="AW10" s="60"/>
      <c r="AX10" s="60"/>
      <c r="AY10" s="60"/>
      <c r="AZ10" s="60"/>
      <c r="BA10" s="60"/>
      <c r="BB10" s="60"/>
    </row>
    <row r="11" spans="1:54" x14ac:dyDescent="0.25">
      <c r="A11" s="75">
        <f t="shared" si="1"/>
        <v>5</v>
      </c>
      <c r="B11" s="74" t="s">
        <v>36</v>
      </c>
      <c r="C11" s="47"/>
      <c r="D11" s="47"/>
      <c r="E11" s="47"/>
      <c r="F11" s="47"/>
      <c r="G11" s="47"/>
      <c r="H11" s="47">
        <v>22</v>
      </c>
      <c r="I11" s="47"/>
      <c r="J11" s="111"/>
      <c r="K11" s="46">
        <v>2</v>
      </c>
      <c r="M11" s="52"/>
      <c r="N11" s="121"/>
      <c r="O11" s="47"/>
      <c r="P11" s="111"/>
      <c r="Q11" s="111"/>
      <c r="R11" s="46"/>
      <c r="T11" s="91">
        <f t="shared" si="0"/>
        <v>24</v>
      </c>
      <c r="U11" s="91">
        <f t="shared" si="2"/>
        <v>24</v>
      </c>
      <c r="V11" s="91">
        <f t="shared" si="3"/>
        <v>1</v>
      </c>
      <c r="AF11" s="60"/>
      <c r="AG11" s="60"/>
      <c r="AH11" s="60"/>
      <c r="AI11" s="60"/>
      <c r="AJ11" s="60"/>
      <c r="AK11" s="60"/>
      <c r="AL11" s="60"/>
      <c r="AM11" s="60"/>
      <c r="AN11" s="60"/>
      <c r="AO11" s="60"/>
      <c r="AP11" s="60"/>
      <c r="AQ11" s="60"/>
      <c r="AR11" s="60"/>
      <c r="AS11" s="60"/>
      <c r="AT11" s="60"/>
      <c r="AU11" s="60"/>
      <c r="AV11" s="60"/>
      <c r="AW11" s="60"/>
      <c r="AX11" s="60"/>
      <c r="AY11" s="60"/>
      <c r="AZ11" s="60"/>
      <c r="BA11" s="60"/>
      <c r="BB11" s="60"/>
    </row>
    <row r="12" spans="1:54" s="61" customFormat="1" ht="19.5" thickBot="1" x14ac:dyDescent="0.3">
      <c r="A12" s="75">
        <v>7</v>
      </c>
      <c r="B12" s="94" t="s">
        <v>32</v>
      </c>
      <c r="C12" s="95">
        <f>72+1512+39+576+1440</f>
        <v>3639</v>
      </c>
      <c r="D12" s="95"/>
      <c r="E12" s="95"/>
      <c r="F12" s="95"/>
      <c r="G12" s="95"/>
      <c r="H12" s="95"/>
      <c r="I12" s="95"/>
      <c r="J12" s="110"/>
      <c r="K12" s="96"/>
      <c r="L12" s="102"/>
      <c r="M12" s="103">
        <v>13</v>
      </c>
      <c r="N12" s="120">
        <v>7</v>
      </c>
      <c r="O12" s="97">
        <v>9</v>
      </c>
      <c r="P12" s="113">
        <v>12</v>
      </c>
      <c r="Q12" s="113">
        <v>16</v>
      </c>
      <c r="R12" s="98">
        <v>20</v>
      </c>
      <c r="S12" s="102"/>
      <c r="T12" s="91">
        <f t="shared" si="0"/>
        <v>39</v>
      </c>
      <c r="U12" s="124">
        <f>C12*24+M12*24+O12*24+Q12*24+T12</f>
        <v>88287</v>
      </c>
      <c r="V12" s="124">
        <f>U12/24</f>
        <v>3678.625</v>
      </c>
      <c r="W12" s="57"/>
      <c r="X12" s="57"/>
      <c r="Y12" s="57"/>
      <c r="Z12" s="57"/>
      <c r="AA12" s="57"/>
      <c r="AB12" s="57"/>
      <c r="AC12" s="57"/>
      <c r="AD12" s="57"/>
      <c r="AE12" s="57"/>
      <c r="AF12" s="60"/>
      <c r="AG12" s="60"/>
      <c r="AH12" s="60"/>
      <c r="AI12" s="60"/>
      <c r="AJ12" s="60"/>
      <c r="AK12" s="60"/>
      <c r="AL12" s="60"/>
      <c r="AM12" s="60"/>
      <c r="AN12" s="60"/>
      <c r="AO12" s="60"/>
      <c r="AP12" s="60"/>
      <c r="AQ12" s="60"/>
      <c r="AR12" s="60"/>
      <c r="AS12" s="60"/>
      <c r="AT12" s="60"/>
      <c r="AU12" s="60"/>
      <c r="AV12" s="60"/>
      <c r="AW12" s="60"/>
      <c r="AX12" s="60"/>
      <c r="AY12" s="60"/>
      <c r="AZ12" s="60"/>
      <c r="BA12" s="60"/>
      <c r="BB12" s="60"/>
    </row>
    <row r="13" spans="1:54" x14ac:dyDescent="0.25">
      <c r="A13" s="75">
        <v>11</v>
      </c>
      <c r="B13" s="73" t="s">
        <v>1</v>
      </c>
      <c r="C13" s="47">
        <v>5</v>
      </c>
      <c r="D13" s="47"/>
      <c r="E13" s="47"/>
      <c r="F13" s="47"/>
      <c r="G13" s="47"/>
      <c r="H13" s="47"/>
      <c r="I13" s="47"/>
      <c r="J13" s="111"/>
      <c r="K13" s="46"/>
      <c r="M13" s="52"/>
      <c r="N13" s="121"/>
      <c r="O13" s="47"/>
      <c r="P13" s="111"/>
      <c r="Q13" s="111"/>
      <c r="R13" s="46"/>
      <c r="T13" s="91">
        <f t="shared" si="0"/>
        <v>0</v>
      </c>
      <c r="U13" s="125">
        <f>C13*24+M13*24+O13*24+Q13*24+T13</f>
        <v>120</v>
      </c>
      <c r="V13" s="125">
        <f>U13/24</f>
        <v>5</v>
      </c>
      <c r="AF13" s="60"/>
      <c r="AG13" s="60"/>
      <c r="AH13" s="60"/>
      <c r="AI13" s="60"/>
      <c r="AJ13" s="60"/>
      <c r="AK13" s="60"/>
      <c r="AL13" s="60"/>
      <c r="AM13" s="60"/>
      <c r="AN13" s="60"/>
      <c r="AO13" s="60"/>
      <c r="AP13" s="60"/>
      <c r="AQ13" s="60"/>
      <c r="AR13" s="60"/>
      <c r="AS13" s="60"/>
      <c r="AT13" s="60"/>
      <c r="AU13" s="60"/>
      <c r="AV13" s="60"/>
      <c r="AW13" s="60"/>
      <c r="AX13" s="60"/>
      <c r="AY13" s="60"/>
      <c r="AZ13" s="60"/>
      <c r="BA13" s="60"/>
      <c r="BB13" s="60"/>
    </row>
    <row r="14" spans="1:54" x14ac:dyDescent="0.25">
      <c r="A14" s="75">
        <f t="shared" si="1"/>
        <v>12</v>
      </c>
      <c r="B14" s="74" t="s">
        <v>2</v>
      </c>
      <c r="C14" s="47"/>
      <c r="D14" s="47"/>
      <c r="E14" s="47"/>
      <c r="F14" s="47"/>
      <c r="G14" s="47"/>
      <c r="H14" s="47"/>
      <c r="I14" s="47"/>
      <c r="J14" s="111"/>
      <c r="K14" s="46"/>
      <c r="M14" s="52"/>
      <c r="N14" s="121"/>
      <c r="O14" s="47"/>
      <c r="P14" s="111"/>
      <c r="Q14" s="111"/>
      <c r="R14" s="46"/>
      <c r="T14" s="91">
        <f t="shared" si="0"/>
        <v>0</v>
      </c>
      <c r="U14" s="50">
        <f t="shared" ref="U14:U36" si="4">C14*24+M14*24+O14*24+Q14*24+T14</f>
        <v>0</v>
      </c>
      <c r="V14" s="50">
        <f t="shared" ref="V14:V36" si="5">U14/24</f>
        <v>0</v>
      </c>
      <c r="AF14" s="60"/>
      <c r="AG14" s="60"/>
      <c r="AH14" s="60"/>
      <c r="AI14" s="60"/>
      <c r="AJ14" s="60"/>
      <c r="AK14" s="60"/>
      <c r="AL14" s="60"/>
      <c r="AM14" s="60"/>
      <c r="AN14" s="60"/>
      <c r="AO14" s="60"/>
      <c r="AP14" s="60"/>
      <c r="AQ14" s="60"/>
      <c r="AR14" s="60"/>
      <c r="AS14" s="60"/>
      <c r="AT14" s="60"/>
      <c r="AU14" s="60"/>
      <c r="AV14" s="60"/>
      <c r="AW14" s="60"/>
      <c r="AX14" s="60"/>
      <c r="AY14" s="60"/>
      <c r="AZ14" s="60"/>
      <c r="BA14" s="60"/>
      <c r="BB14" s="60"/>
    </row>
    <row r="15" spans="1:54" x14ac:dyDescent="0.25">
      <c r="A15" s="75">
        <f t="shared" si="1"/>
        <v>13</v>
      </c>
      <c r="B15" s="74" t="s">
        <v>3</v>
      </c>
      <c r="C15" s="47"/>
      <c r="D15" s="47"/>
      <c r="E15" s="47"/>
      <c r="F15" s="47"/>
      <c r="G15" s="47"/>
      <c r="H15" s="47"/>
      <c r="I15" s="47"/>
      <c r="J15" s="111"/>
      <c r="K15" s="46"/>
      <c r="M15" s="52"/>
      <c r="N15" s="121"/>
      <c r="O15" s="47"/>
      <c r="P15" s="111"/>
      <c r="Q15" s="111"/>
      <c r="R15" s="46"/>
      <c r="T15" s="91">
        <f t="shared" si="0"/>
        <v>0</v>
      </c>
      <c r="U15" s="50">
        <f t="shared" si="4"/>
        <v>0</v>
      </c>
      <c r="V15" s="50">
        <f t="shared" si="5"/>
        <v>0</v>
      </c>
      <c r="AF15" s="60"/>
      <c r="AG15" s="60"/>
      <c r="AH15" s="60"/>
      <c r="AI15" s="60"/>
      <c r="AJ15" s="60"/>
      <c r="AK15" s="60"/>
      <c r="AL15" s="60"/>
      <c r="AM15" s="60"/>
      <c r="AN15" s="60"/>
      <c r="AO15" s="60"/>
      <c r="AP15" s="60"/>
      <c r="AQ15" s="60"/>
      <c r="AR15" s="60"/>
      <c r="AS15" s="60"/>
      <c r="AT15" s="60"/>
      <c r="AU15" s="60"/>
      <c r="AV15" s="60"/>
      <c r="AW15" s="60"/>
      <c r="AX15" s="60"/>
      <c r="AY15" s="60"/>
      <c r="AZ15" s="60"/>
      <c r="BA15" s="60"/>
      <c r="BB15" s="60"/>
    </row>
    <row r="16" spans="1:54" x14ac:dyDescent="0.25">
      <c r="A16" s="75">
        <f t="shared" si="1"/>
        <v>14</v>
      </c>
      <c r="B16" s="74" t="s">
        <v>4</v>
      </c>
      <c r="C16" s="47"/>
      <c r="D16" s="47"/>
      <c r="E16" s="47"/>
      <c r="F16" s="47"/>
      <c r="G16" s="47"/>
      <c r="H16" s="47"/>
      <c r="I16" s="47"/>
      <c r="J16" s="111"/>
      <c r="K16" s="46"/>
      <c r="M16" s="52"/>
      <c r="N16" s="121"/>
      <c r="O16" s="47"/>
      <c r="P16" s="111"/>
      <c r="Q16" s="111"/>
      <c r="R16" s="46"/>
      <c r="T16" s="91">
        <f t="shared" si="0"/>
        <v>0</v>
      </c>
      <c r="U16" s="50">
        <f t="shared" si="4"/>
        <v>0</v>
      </c>
      <c r="V16" s="50">
        <f t="shared" si="5"/>
        <v>0</v>
      </c>
      <c r="AF16" s="60"/>
      <c r="AG16" s="60"/>
      <c r="AH16" s="60"/>
      <c r="AI16" s="60"/>
      <c r="AJ16" s="60"/>
      <c r="AK16" s="60"/>
      <c r="AL16" s="60"/>
      <c r="AM16" s="60"/>
      <c r="AN16" s="60"/>
      <c r="AO16" s="60"/>
      <c r="AP16" s="60"/>
      <c r="AQ16" s="60"/>
      <c r="AR16" s="60"/>
      <c r="AS16" s="60"/>
      <c r="AT16" s="60"/>
      <c r="AU16" s="60"/>
      <c r="AV16" s="60"/>
      <c r="AW16" s="60"/>
      <c r="AX16" s="60"/>
      <c r="AY16" s="60"/>
      <c r="AZ16" s="60"/>
      <c r="BA16" s="60"/>
      <c r="BB16" s="60"/>
    </row>
    <row r="17" spans="1:54" x14ac:dyDescent="0.25">
      <c r="A17" s="75">
        <f t="shared" si="1"/>
        <v>15</v>
      </c>
      <c r="B17" s="74" t="s">
        <v>5</v>
      </c>
      <c r="C17" s="47">
        <v>4</v>
      </c>
      <c r="D17" s="47"/>
      <c r="E17" s="47"/>
      <c r="F17" s="47"/>
      <c r="G17" s="47"/>
      <c r="H17" s="47"/>
      <c r="I17" s="47"/>
      <c r="J17" s="111"/>
      <c r="K17" s="46"/>
      <c r="M17" s="52"/>
      <c r="N17" s="121"/>
      <c r="O17" s="47"/>
      <c r="P17" s="111"/>
      <c r="Q17" s="111"/>
      <c r="R17" s="46"/>
      <c r="T17" s="91">
        <f t="shared" si="0"/>
        <v>0</v>
      </c>
      <c r="U17" s="50">
        <f t="shared" si="4"/>
        <v>96</v>
      </c>
      <c r="V17" s="50">
        <f t="shared" si="5"/>
        <v>4</v>
      </c>
      <c r="AF17" s="60"/>
      <c r="AG17" s="60"/>
      <c r="AH17" s="60"/>
      <c r="AI17" s="60"/>
      <c r="AJ17" s="60"/>
      <c r="AK17" s="60"/>
      <c r="AL17" s="60"/>
      <c r="AM17" s="60"/>
      <c r="AN17" s="60"/>
      <c r="AO17" s="60"/>
      <c r="AP17" s="60"/>
      <c r="AQ17" s="60"/>
      <c r="AR17" s="60"/>
      <c r="AS17" s="60"/>
      <c r="AT17" s="60"/>
      <c r="AU17" s="60"/>
      <c r="AV17" s="60"/>
      <c r="AW17" s="60"/>
      <c r="AX17" s="60"/>
      <c r="AY17" s="60"/>
      <c r="AZ17" s="60"/>
      <c r="BA17" s="60"/>
      <c r="BB17" s="60"/>
    </row>
    <row r="18" spans="1:54" hidden="1" x14ac:dyDescent="0.25">
      <c r="A18" s="75">
        <f t="shared" si="1"/>
        <v>16</v>
      </c>
      <c r="B18" s="74" t="s">
        <v>10</v>
      </c>
      <c r="C18" s="47"/>
      <c r="D18" s="47"/>
      <c r="E18" s="47"/>
      <c r="F18" s="47"/>
      <c r="G18" s="47"/>
      <c r="H18" s="47"/>
      <c r="I18" s="47"/>
      <c r="J18" s="111"/>
      <c r="K18" s="46"/>
      <c r="M18" s="52"/>
      <c r="N18" s="121"/>
      <c r="O18" s="47"/>
      <c r="P18" s="111"/>
      <c r="Q18" s="111"/>
      <c r="R18" s="46"/>
      <c r="T18" s="91">
        <f t="shared" si="0"/>
        <v>0</v>
      </c>
      <c r="U18" s="50">
        <f t="shared" si="4"/>
        <v>0</v>
      </c>
      <c r="V18" s="50">
        <f t="shared" si="5"/>
        <v>0</v>
      </c>
      <c r="AF18" s="60"/>
      <c r="AG18" s="60"/>
      <c r="AH18" s="60"/>
      <c r="AI18" s="60"/>
      <c r="AJ18" s="60"/>
      <c r="AK18" s="60"/>
      <c r="AL18" s="60"/>
      <c r="AM18" s="60"/>
      <c r="AN18" s="60"/>
      <c r="AO18" s="60"/>
      <c r="AP18" s="60"/>
      <c r="AQ18" s="60"/>
      <c r="AR18" s="60"/>
      <c r="AS18" s="60"/>
      <c r="AT18" s="60"/>
      <c r="AU18" s="60"/>
      <c r="AV18" s="60"/>
      <c r="AW18" s="60"/>
      <c r="AX18" s="60"/>
      <c r="AY18" s="60"/>
      <c r="AZ18" s="60"/>
      <c r="BA18" s="60"/>
      <c r="BB18" s="60"/>
    </row>
    <row r="19" spans="1:54" x14ac:dyDescent="0.25">
      <c r="A19" s="75">
        <v>16</v>
      </c>
      <c r="B19" s="74" t="s">
        <v>64</v>
      </c>
      <c r="C19" s="47">
        <v>4</v>
      </c>
      <c r="D19" s="47"/>
      <c r="E19" s="47"/>
      <c r="F19" s="47"/>
      <c r="G19" s="47"/>
      <c r="H19" s="47"/>
      <c r="I19" s="47"/>
      <c r="J19" s="111"/>
      <c r="K19" s="46"/>
      <c r="M19" s="52"/>
      <c r="N19" s="121"/>
      <c r="O19" s="47"/>
      <c r="P19" s="111"/>
      <c r="Q19" s="111"/>
      <c r="R19" s="46"/>
      <c r="T19" s="91">
        <f t="shared" si="0"/>
        <v>0</v>
      </c>
      <c r="U19" s="50">
        <f t="shared" si="4"/>
        <v>96</v>
      </c>
      <c r="V19" s="50">
        <f t="shared" si="5"/>
        <v>4</v>
      </c>
      <c r="AF19" s="60"/>
      <c r="AG19" s="60"/>
      <c r="AH19" s="60"/>
      <c r="AI19" s="60"/>
      <c r="AJ19" s="60"/>
      <c r="AK19" s="60"/>
      <c r="AL19" s="60"/>
      <c r="AM19" s="60"/>
      <c r="AN19" s="60"/>
      <c r="AO19" s="60"/>
      <c r="AP19" s="60"/>
      <c r="AQ19" s="60"/>
      <c r="AR19" s="60"/>
      <c r="AS19" s="60"/>
      <c r="AT19" s="60"/>
      <c r="AU19" s="60"/>
      <c r="AV19" s="60"/>
      <c r="AW19" s="60"/>
      <c r="AX19" s="60"/>
      <c r="AY19" s="60"/>
      <c r="AZ19" s="60"/>
      <c r="BA19" s="60"/>
      <c r="BB19" s="60"/>
    </row>
    <row r="20" spans="1:54" x14ac:dyDescent="0.25">
      <c r="A20" s="75">
        <f t="shared" si="1"/>
        <v>17</v>
      </c>
      <c r="B20" s="74" t="s">
        <v>6</v>
      </c>
      <c r="C20" s="47">
        <v>6</v>
      </c>
      <c r="D20" s="47"/>
      <c r="E20" s="47"/>
      <c r="F20" s="47"/>
      <c r="G20" s="47"/>
      <c r="H20" s="47"/>
      <c r="I20" s="47"/>
      <c r="J20" s="111"/>
      <c r="K20" s="46"/>
      <c r="M20" s="52"/>
      <c r="N20" s="121"/>
      <c r="O20" s="47"/>
      <c r="P20" s="111"/>
      <c r="Q20" s="111"/>
      <c r="R20" s="46"/>
      <c r="T20" s="91">
        <f t="shared" si="0"/>
        <v>0</v>
      </c>
      <c r="U20" s="50">
        <f t="shared" si="4"/>
        <v>144</v>
      </c>
      <c r="V20" s="50">
        <f t="shared" si="5"/>
        <v>6</v>
      </c>
      <c r="AF20" s="60"/>
      <c r="AG20" s="60"/>
      <c r="AH20" s="60"/>
      <c r="AI20" s="60"/>
      <c r="AJ20" s="60"/>
      <c r="AK20" s="60"/>
      <c r="AL20" s="60"/>
      <c r="AM20" s="60"/>
      <c r="AN20" s="60"/>
      <c r="AO20" s="60"/>
      <c r="AP20" s="60"/>
      <c r="AQ20" s="60"/>
      <c r="AR20" s="60"/>
      <c r="AS20" s="60"/>
      <c r="AT20" s="60"/>
      <c r="AU20" s="60"/>
      <c r="AV20" s="60"/>
      <c r="AW20" s="60"/>
      <c r="AX20" s="60"/>
      <c r="AY20" s="60"/>
      <c r="AZ20" s="60"/>
      <c r="BA20" s="60"/>
      <c r="BB20" s="60"/>
    </row>
    <row r="21" spans="1:54" x14ac:dyDescent="0.25">
      <c r="A21" s="75">
        <f t="shared" si="1"/>
        <v>18</v>
      </c>
      <c r="B21" s="74" t="s">
        <v>7</v>
      </c>
      <c r="C21" s="47">
        <v>4</v>
      </c>
      <c r="D21" s="47"/>
      <c r="E21" s="47"/>
      <c r="F21" s="47"/>
      <c r="G21" s="47"/>
      <c r="H21" s="47"/>
      <c r="I21" s="47"/>
      <c r="J21" s="111"/>
      <c r="K21" s="46"/>
      <c r="M21" s="52"/>
      <c r="N21" s="121"/>
      <c r="O21" s="47"/>
      <c r="P21" s="111"/>
      <c r="Q21" s="111"/>
      <c r="R21" s="46"/>
      <c r="T21" s="91">
        <f t="shared" si="0"/>
        <v>0</v>
      </c>
      <c r="U21" s="50">
        <f t="shared" si="4"/>
        <v>96</v>
      </c>
      <c r="V21" s="50">
        <f t="shared" si="5"/>
        <v>4</v>
      </c>
      <c r="AF21" s="60"/>
      <c r="AG21" s="60"/>
      <c r="AH21" s="60"/>
      <c r="AI21" s="60"/>
      <c r="AJ21" s="60"/>
      <c r="AK21" s="60"/>
      <c r="AL21" s="60"/>
      <c r="AM21" s="60"/>
      <c r="AN21" s="60"/>
      <c r="AO21" s="60"/>
      <c r="AP21" s="60"/>
      <c r="AQ21" s="60"/>
      <c r="AR21" s="60"/>
      <c r="AS21" s="60"/>
      <c r="AT21" s="60"/>
      <c r="AU21" s="60"/>
      <c r="AV21" s="60"/>
      <c r="AW21" s="60"/>
      <c r="AX21" s="60"/>
      <c r="AY21" s="60"/>
      <c r="AZ21" s="60"/>
      <c r="BA21" s="60"/>
      <c r="BB21" s="60"/>
    </row>
    <row r="22" spans="1:54" s="61" customFormat="1" x14ac:dyDescent="0.25">
      <c r="A22" s="75">
        <f t="shared" si="1"/>
        <v>19</v>
      </c>
      <c r="B22" s="74" t="s">
        <v>65</v>
      </c>
      <c r="C22" s="47">
        <v>2</v>
      </c>
      <c r="D22" s="47"/>
      <c r="E22" s="47"/>
      <c r="F22" s="47"/>
      <c r="G22" s="47"/>
      <c r="H22" s="47"/>
      <c r="I22" s="47"/>
      <c r="J22" s="111"/>
      <c r="K22" s="46"/>
      <c r="L22" s="57"/>
      <c r="M22" s="52"/>
      <c r="N22" s="121"/>
      <c r="O22" s="47"/>
      <c r="P22" s="111"/>
      <c r="Q22" s="111"/>
      <c r="R22" s="46"/>
      <c r="S22" s="57"/>
      <c r="T22" s="91">
        <f t="shared" si="0"/>
        <v>0</v>
      </c>
      <c r="U22" s="50">
        <f t="shared" si="4"/>
        <v>48</v>
      </c>
      <c r="V22" s="50">
        <f t="shared" si="5"/>
        <v>2</v>
      </c>
      <c r="W22" s="57"/>
      <c r="X22" s="57"/>
      <c r="Y22" s="57"/>
      <c r="Z22" s="57"/>
      <c r="AA22" s="57"/>
      <c r="AB22" s="57"/>
      <c r="AC22" s="57"/>
      <c r="AD22" s="57"/>
      <c r="AE22" s="57"/>
      <c r="AF22" s="60"/>
      <c r="AG22" s="60"/>
      <c r="AH22" s="60"/>
      <c r="AI22" s="60"/>
      <c r="AJ22" s="60"/>
      <c r="AK22" s="60"/>
      <c r="AL22" s="60"/>
      <c r="AM22" s="60"/>
      <c r="AN22" s="60"/>
      <c r="AO22" s="60"/>
      <c r="AP22" s="60"/>
      <c r="AQ22" s="60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</row>
    <row r="23" spans="1:54" s="61" customFormat="1" x14ac:dyDescent="0.25">
      <c r="A23" s="75">
        <f t="shared" si="1"/>
        <v>20</v>
      </c>
      <c r="B23" s="74" t="s">
        <v>66</v>
      </c>
      <c r="C23" s="47">
        <v>48</v>
      </c>
      <c r="D23" s="47"/>
      <c r="E23" s="47"/>
      <c r="F23" s="47"/>
      <c r="G23" s="47"/>
      <c r="H23" s="47"/>
      <c r="I23" s="47"/>
      <c r="J23" s="111"/>
      <c r="K23" s="46"/>
      <c r="L23" s="57"/>
      <c r="M23" s="52"/>
      <c r="N23" s="121"/>
      <c r="O23" s="47"/>
      <c r="P23" s="111"/>
      <c r="Q23" s="111"/>
      <c r="R23" s="46"/>
      <c r="S23" s="57"/>
      <c r="T23" s="91">
        <f t="shared" si="0"/>
        <v>0</v>
      </c>
      <c r="U23" s="50">
        <f t="shared" si="4"/>
        <v>1152</v>
      </c>
      <c r="V23" s="50">
        <f t="shared" si="5"/>
        <v>48</v>
      </c>
      <c r="W23" s="57"/>
      <c r="X23" s="57"/>
      <c r="Y23" s="57"/>
      <c r="Z23" s="57"/>
      <c r="AA23" s="57"/>
      <c r="AB23" s="57"/>
      <c r="AC23" s="57"/>
      <c r="AD23" s="57"/>
      <c r="AE23" s="57"/>
      <c r="AF23" s="60"/>
      <c r="AG23" s="60"/>
      <c r="AH23" s="60"/>
      <c r="AI23" s="60"/>
      <c r="AJ23" s="60"/>
      <c r="AK23" s="60"/>
      <c r="AL23" s="60"/>
      <c r="AM23" s="60"/>
      <c r="AN23" s="60"/>
      <c r="AO23" s="60"/>
      <c r="AP23" s="60"/>
      <c r="AQ23" s="60"/>
      <c r="AR23" s="60"/>
      <c r="AS23" s="60"/>
      <c r="AT23" s="60"/>
      <c r="AU23" s="60"/>
      <c r="AV23" s="60"/>
      <c r="AW23" s="60"/>
      <c r="AX23" s="60"/>
      <c r="AY23" s="60"/>
      <c r="AZ23" s="60"/>
      <c r="BA23" s="60"/>
      <c r="BB23" s="60"/>
    </row>
    <row r="24" spans="1:54" s="61" customFormat="1" x14ac:dyDescent="0.25">
      <c r="A24" s="75">
        <f t="shared" si="1"/>
        <v>21</v>
      </c>
      <c r="B24" s="74" t="s">
        <v>75</v>
      </c>
      <c r="C24" s="47">
        <v>2</v>
      </c>
      <c r="D24" s="47"/>
      <c r="E24" s="47"/>
      <c r="F24" s="47"/>
      <c r="G24" s="47"/>
      <c r="H24" s="47"/>
      <c r="I24" s="47"/>
      <c r="J24" s="111"/>
      <c r="K24" s="46"/>
      <c r="L24" s="57"/>
      <c r="M24" s="52"/>
      <c r="N24" s="121"/>
      <c r="O24" s="47"/>
      <c r="P24" s="111"/>
      <c r="Q24" s="111"/>
      <c r="R24" s="46"/>
      <c r="S24" s="57"/>
      <c r="T24" s="91">
        <f t="shared" si="0"/>
        <v>0</v>
      </c>
      <c r="U24" s="50">
        <f t="shared" si="4"/>
        <v>48</v>
      </c>
      <c r="V24" s="50">
        <f t="shared" si="5"/>
        <v>2</v>
      </c>
      <c r="W24" s="57"/>
      <c r="X24" s="57"/>
      <c r="Y24" s="57"/>
      <c r="Z24" s="57"/>
      <c r="AA24" s="57"/>
      <c r="AB24" s="57"/>
      <c r="AC24" s="57"/>
      <c r="AD24" s="57"/>
      <c r="AE24" s="57"/>
      <c r="AF24" s="60"/>
      <c r="AG24" s="60"/>
      <c r="AH24" s="60"/>
      <c r="AI24" s="60"/>
      <c r="AJ24" s="60"/>
      <c r="AK24" s="60"/>
      <c r="AL24" s="60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</row>
    <row r="25" spans="1:54" x14ac:dyDescent="0.25">
      <c r="A25" s="75">
        <f t="shared" si="1"/>
        <v>22</v>
      </c>
      <c r="B25" s="74" t="s">
        <v>67</v>
      </c>
      <c r="C25" s="47">
        <v>7</v>
      </c>
      <c r="D25" s="47"/>
      <c r="E25" s="47"/>
      <c r="F25" s="47"/>
      <c r="G25" s="47"/>
      <c r="H25" s="47"/>
      <c r="I25" s="47"/>
      <c r="J25" s="111"/>
      <c r="K25" s="46"/>
      <c r="M25" s="52"/>
      <c r="N25" s="121"/>
      <c r="O25" s="47"/>
      <c r="P25" s="111"/>
      <c r="Q25" s="111"/>
      <c r="R25" s="46"/>
      <c r="T25" s="91">
        <f t="shared" si="0"/>
        <v>0</v>
      </c>
      <c r="U25" s="50">
        <f t="shared" si="4"/>
        <v>168</v>
      </c>
      <c r="V25" s="50">
        <f t="shared" si="5"/>
        <v>7</v>
      </c>
      <c r="AF25" s="60"/>
      <c r="AG25" s="60"/>
      <c r="AH25" s="60"/>
      <c r="AI25" s="60"/>
      <c r="AJ25" s="60"/>
      <c r="AK25" s="60"/>
      <c r="AL25" s="60"/>
      <c r="AM25" s="60"/>
      <c r="AN25" s="60"/>
      <c r="AO25" s="60"/>
      <c r="AP25" s="60"/>
      <c r="AQ25" s="60"/>
      <c r="AR25" s="60"/>
      <c r="AS25" s="60"/>
      <c r="AT25" s="60"/>
      <c r="AU25" s="60"/>
      <c r="AV25" s="60"/>
      <c r="AW25" s="60"/>
      <c r="AX25" s="60"/>
      <c r="AY25" s="60"/>
      <c r="AZ25" s="60"/>
      <c r="BA25" s="60"/>
      <c r="BB25" s="60"/>
    </row>
    <row r="26" spans="1:54" x14ac:dyDescent="0.25">
      <c r="A26" s="75">
        <f t="shared" si="1"/>
        <v>23</v>
      </c>
      <c r="B26" s="74" t="s">
        <v>9</v>
      </c>
      <c r="C26" s="47">
        <f>63+33</f>
        <v>96</v>
      </c>
      <c r="D26" s="47"/>
      <c r="E26" s="47"/>
      <c r="F26" s="47"/>
      <c r="G26" s="47"/>
      <c r="H26" s="47">
        <v>22</v>
      </c>
      <c r="I26" s="47">
        <v>1</v>
      </c>
      <c r="J26" s="111"/>
      <c r="K26" s="46"/>
      <c r="M26" s="52">
        <v>2</v>
      </c>
      <c r="N26" s="121"/>
      <c r="O26" s="47">
        <v>2</v>
      </c>
      <c r="P26" s="111"/>
      <c r="Q26" s="111">
        <v>2</v>
      </c>
      <c r="R26" s="46"/>
      <c r="T26" s="91">
        <f t="shared" si="0"/>
        <v>23</v>
      </c>
      <c r="U26" s="50">
        <f t="shared" si="4"/>
        <v>2471</v>
      </c>
      <c r="V26" s="50">
        <f t="shared" si="5"/>
        <v>102.95833333333333</v>
      </c>
      <c r="AY26" s="62" t="e">
        <f>#REF!-AY25</f>
        <v>#REF!</v>
      </c>
    </row>
    <row r="27" spans="1:54" s="61" customFormat="1" x14ac:dyDescent="0.25">
      <c r="A27" s="75">
        <f t="shared" si="1"/>
        <v>24</v>
      </c>
      <c r="B27" s="74" t="s">
        <v>11</v>
      </c>
      <c r="C27" s="47"/>
      <c r="D27" s="47"/>
      <c r="E27" s="47"/>
      <c r="F27" s="47"/>
      <c r="G27" s="47"/>
      <c r="H27" s="47"/>
      <c r="I27" s="47"/>
      <c r="J27" s="111"/>
      <c r="K27" s="46"/>
      <c r="L27" s="57"/>
      <c r="M27" s="52"/>
      <c r="N27" s="121"/>
      <c r="O27" s="47"/>
      <c r="P27" s="111"/>
      <c r="Q27" s="111"/>
      <c r="R27" s="46"/>
      <c r="S27" s="57"/>
      <c r="T27" s="91">
        <f t="shared" si="0"/>
        <v>0</v>
      </c>
      <c r="U27" s="50">
        <f t="shared" si="4"/>
        <v>0</v>
      </c>
      <c r="V27" s="50">
        <f t="shared" si="5"/>
        <v>0</v>
      </c>
      <c r="W27" s="57"/>
      <c r="X27" s="57"/>
      <c r="Y27" s="57"/>
      <c r="Z27" s="57"/>
      <c r="AA27" s="57"/>
      <c r="AB27" s="57"/>
      <c r="AC27" s="57"/>
      <c r="AD27" s="57"/>
      <c r="AE27" s="57"/>
    </row>
    <row r="28" spans="1:54" s="61" customFormat="1" x14ac:dyDescent="0.25">
      <c r="A28" s="75">
        <f t="shared" si="1"/>
        <v>25</v>
      </c>
      <c r="B28" s="74" t="s">
        <v>12</v>
      </c>
      <c r="C28" s="47"/>
      <c r="D28" s="47"/>
      <c r="E28" s="47"/>
      <c r="F28" s="47"/>
      <c r="G28" s="47"/>
      <c r="H28" s="47"/>
      <c r="I28" s="47"/>
      <c r="J28" s="111"/>
      <c r="K28" s="46"/>
      <c r="L28" s="57"/>
      <c r="M28" s="52"/>
      <c r="N28" s="121"/>
      <c r="O28" s="47"/>
      <c r="P28" s="111"/>
      <c r="Q28" s="111"/>
      <c r="R28" s="46"/>
      <c r="S28" s="57"/>
      <c r="T28" s="91">
        <f t="shared" si="0"/>
        <v>0</v>
      </c>
      <c r="U28" s="50">
        <f t="shared" si="4"/>
        <v>0</v>
      </c>
      <c r="V28" s="50">
        <f t="shared" si="5"/>
        <v>0</v>
      </c>
      <c r="W28" s="57"/>
      <c r="X28" s="57"/>
      <c r="Y28" s="57"/>
      <c r="Z28" s="57"/>
      <c r="AA28" s="57"/>
      <c r="AB28" s="57"/>
      <c r="AC28" s="57"/>
      <c r="AD28" s="57"/>
      <c r="AE28" s="57"/>
    </row>
    <row r="29" spans="1:54" x14ac:dyDescent="0.25">
      <c r="A29" s="75">
        <f t="shared" si="1"/>
        <v>26</v>
      </c>
      <c r="B29" s="74" t="s">
        <v>14</v>
      </c>
      <c r="C29" s="47"/>
      <c r="D29" s="47"/>
      <c r="E29" s="47"/>
      <c r="F29" s="47"/>
      <c r="G29" s="47"/>
      <c r="H29" s="47"/>
      <c r="I29" s="47"/>
      <c r="J29" s="111"/>
      <c r="K29" s="46"/>
      <c r="M29" s="52"/>
      <c r="N29" s="121"/>
      <c r="O29" s="47"/>
      <c r="P29" s="111"/>
      <c r="Q29" s="111"/>
      <c r="R29" s="46"/>
      <c r="T29" s="91">
        <f t="shared" si="0"/>
        <v>0</v>
      </c>
      <c r="U29" s="50">
        <f t="shared" si="4"/>
        <v>0</v>
      </c>
      <c r="V29" s="50">
        <f t="shared" si="5"/>
        <v>0</v>
      </c>
    </row>
    <row r="30" spans="1:54" x14ac:dyDescent="0.25">
      <c r="A30" s="75">
        <f t="shared" si="1"/>
        <v>27</v>
      </c>
      <c r="B30" s="74" t="s">
        <v>16</v>
      </c>
      <c r="C30" s="47">
        <v>62</v>
      </c>
      <c r="D30" s="47"/>
      <c r="E30" s="47"/>
      <c r="F30" s="47"/>
      <c r="G30" s="47"/>
      <c r="H30" s="47"/>
      <c r="I30" s="47"/>
      <c r="J30" s="111"/>
      <c r="K30" s="46"/>
      <c r="M30" s="52"/>
      <c r="N30" s="121"/>
      <c r="O30" s="47">
        <v>1</v>
      </c>
      <c r="P30" s="111"/>
      <c r="Q30" s="111">
        <v>2</v>
      </c>
      <c r="R30" s="46"/>
      <c r="T30" s="91">
        <f t="shared" si="0"/>
        <v>0</v>
      </c>
      <c r="U30" s="50">
        <f t="shared" si="4"/>
        <v>1560</v>
      </c>
      <c r="V30" s="50">
        <f t="shared" si="5"/>
        <v>65</v>
      </c>
    </row>
    <row r="31" spans="1:54" x14ac:dyDescent="0.25">
      <c r="A31" s="75">
        <f t="shared" si="1"/>
        <v>28</v>
      </c>
      <c r="B31" s="74" t="s">
        <v>13</v>
      </c>
      <c r="C31" s="47"/>
      <c r="D31" s="47"/>
      <c r="E31" s="47"/>
      <c r="F31" s="47"/>
      <c r="G31" s="47"/>
      <c r="H31" s="47"/>
      <c r="I31" s="47"/>
      <c r="J31" s="111"/>
      <c r="K31" s="46"/>
      <c r="M31" s="52"/>
      <c r="N31" s="121"/>
      <c r="O31" s="47"/>
      <c r="P31" s="111"/>
      <c r="Q31" s="111"/>
      <c r="R31" s="46"/>
      <c r="T31" s="91">
        <f t="shared" si="0"/>
        <v>0</v>
      </c>
      <c r="U31" s="50">
        <f t="shared" si="4"/>
        <v>0</v>
      </c>
      <c r="V31" s="50">
        <f t="shared" si="5"/>
        <v>0</v>
      </c>
    </row>
    <row r="32" spans="1:54" x14ac:dyDescent="0.25">
      <c r="A32" s="75">
        <f t="shared" si="1"/>
        <v>29</v>
      </c>
      <c r="B32" s="74" t="s">
        <v>15</v>
      </c>
      <c r="C32" s="47"/>
      <c r="D32" s="47"/>
      <c r="E32" s="47"/>
      <c r="F32" s="47"/>
      <c r="G32" s="47"/>
      <c r="H32" s="47"/>
      <c r="I32" s="47"/>
      <c r="J32" s="111"/>
      <c r="K32" s="46"/>
      <c r="M32" s="52"/>
      <c r="N32" s="121"/>
      <c r="O32" s="47"/>
      <c r="P32" s="111"/>
      <c r="Q32" s="111"/>
      <c r="R32" s="46"/>
      <c r="T32" s="91">
        <f t="shared" si="0"/>
        <v>0</v>
      </c>
      <c r="U32" s="50">
        <f t="shared" si="4"/>
        <v>0</v>
      </c>
      <c r="V32" s="50">
        <f t="shared" si="5"/>
        <v>0</v>
      </c>
    </row>
    <row r="33" spans="1:23" x14ac:dyDescent="0.25">
      <c r="A33" s="75">
        <f t="shared" si="1"/>
        <v>30</v>
      </c>
      <c r="B33" s="74" t="s">
        <v>17</v>
      </c>
      <c r="C33" s="47"/>
      <c r="D33" s="47"/>
      <c r="E33" s="47"/>
      <c r="F33" s="47"/>
      <c r="G33" s="47"/>
      <c r="H33" s="47"/>
      <c r="I33" s="47"/>
      <c r="J33" s="111"/>
      <c r="K33" s="46"/>
      <c r="M33" s="52"/>
      <c r="N33" s="121"/>
      <c r="O33" s="47"/>
      <c r="P33" s="111"/>
      <c r="Q33" s="111"/>
      <c r="R33" s="46"/>
      <c r="T33" s="91">
        <f t="shared" si="0"/>
        <v>0</v>
      </c>
      <c r="U33" s="50">
        <f t="shared" si="4"/>
        <v>0</v>
      </c>
      <c r="V33" s="50">
        <f t="shared" si="5"/>
        <v>0</v>
      </c>
    </row>
    <row r="34" spans="1:23" x14ac:dyDescent="0.25">
      <c r="A34" s="75">
        <f t="shared" si="1"/>
        <v>31</v>
      </c>
      <c r="B34" s="74" t="s">
        <v>18</v>
      </c>
      <c r="C34" s="47">
        <f>144+15</f>
        <v>159</v>
      </c>
      <c r="D34" s="47"/>
      <c r="E34" s="47"/>
      <c r="F34" s="47"/>
      <c r="G34" s="47"/>
      <c r="H34" s="47">
        <v>22</v>
      </c>
      <c r="I34" s="47"/>
      <c r="J34" s="111"/>
      <c r="K34" s="46">
        <v>1</v>
      </c>
      <c r="M34" s="52">
        <v>2</v>
      </c>
      <c r="N34" s="121"/>
      <c r="O34" s="47">
        <v>3</v>
      </c>
      <c r="P34" s="111"/>
      <c r="Q34" s="111">
        <v>3</v>
      </c>
      <c r="R34" s="46"/>
      <c r="T34" s="91">
        <f t="shared" si="0"/>
        <v>23</v>
      </c>
      <c r="U34" s="50">
        <f t="shared" si="4"/>
        <v>4031</v>
      </c>
      <c r="V34" s="50">
        <f t="shared" si="5"/>
        <v>167.95833333333334</v>
      </c>
    </row>
    <row r="35" spans="1:23" hidden="1" x14ac:dyDescent="0.25">
      <c r="A35" s="75">
        <f t="shared" si="1"/>
        <v>32</v>
      </c>
      <c r="B35" s="74" t="s">
        <v>26</v>
      </c>
      <c r="C35" s="47"/>
      <c r="D35" s="47"/>
      <c r="E35" s="47"/>
      <c r="F35" s="47"/>
      <c r="G35" s="47"/>
      <c r="H35" s="47"/>
      <c r="I35" s="47"/>
      <c r="J35" s="111"/>
      <c r="K35" s="46"/>
      <c r="M35" s="52"/>
      <c r="N35" s="121"/>
      <c r="O35" s="47"/>
      <c r="P35" s="111"/>
      <c r="Q35" s="111"/>
      <c r="R35" s="46"/>
      <c r="T35" s="91">
        <f t="shared" si="0"/>
        <v>0</v>
      </c>
      <c r="U35" s="50">
        <f t="shared" si="4"/>
        <v>0</v>
      </c>
      <c r="V35" s="50">
        <f t="shared" si="5"/>
        <v>0</v>
      </c>
    </row>
    <row r="36" spans="1:23" x14ac:dyDescent="0.25">
      <c r="A36" s="75">
        <f t="shared" si="1"/>
        <v>33</v>
      </c>
      <c r="B36" s="74" t="s">
        <v>19</v>
      </c>
      <c r="C36" s="47"/>
      <c r="D36" s="47"/>
      <c r="E36" s="47"/>
      <c r="F36" s="47"/>
      <c r="G36" s="47"/>
      <c r="H36" s="47"/>
      <c r="I36" s="47"/>
      <c r="J36" s="111"/>
      <c r="K36" s="46"/>
      <c r="M36" s="52"/>
      <c r="N36" s="121"/>
      <c r="O36" s="47"/>
      <c r="P36" s="111"/>
      <c r="Q36" s="111"/>
      <c r="R36" s="46"/>
      <c r="T36" s="91">
        <f t="shared" si="0"/>
        <v>0</v>
      </c>
      <c r="U36" s="50">
        <f t="shared" si="4"/>
        <v>0</v>
      </c>
      <c r="V36" s="50">
        <f t="shared" si="5"/>
        <v>0</v>
      </c>
    </row>
    <row r="37" spans="1:23" ht="19.5" thickBot="1" x14ac:dyDescent="0.3">
      <c r="A37" s="75">
        <f t="shared" si="1"/>
        <v>34</v>
      </c>
      <c r="B37" s="94" t="s">
        <v>20</v>
      </c>
      <c r="C37" s="95">
        <f>2376+2376+85</f>
        <v>4837</v>
      </c>
      <c r="D37" s="95"/>
      <c r="E37" s="95"/>
      <c r="F37" s="95"/>
      <c r="G37" s="95"/>
      <c r="H37" s="95">
        <v>2</v>
      </c>
      <c r="I37" s="95"/>
      <c r="J37" s="110">
        <v>4</v>
      </c>
      <c r="K37" s="96">
        <v>2</v>
      </c>
      <c r="L37" s="102"/>
      <c r="M37" s="103"/>
      <c r="N37" s="120"/>
      <c r="O37" s="97">
        <v>30</v>
      </c>
      <c r="P37" s="113"/>
      <c r="Q37" s="113">
        <v>37</v>
      </c>
      <c r="R37" s="98"/>
      <c r="S37" s="102"/>
      <c r="T37" s="104">
        <f t="shared" si="0"/>
        <v>8</v>
      </c>
      <c r="U37" s="104">
        <f>C37*6+M37*6+O37*6+Q37*6+T37</f>
        <v>29432</v>
      </c>
      <c r="V37" s="104">
        <f>U37/6</f>
        <v>4905.333333333333</v>
      </c>
      <c r="W37" s="123"/>
    </row>
    <row r="38" spans="1:23" x14ac:dyDescent="0.25">
      <c r="A38" s="75">
        <f t="shared" si="1"/>
        <v>35</v>
      </c>
      <c r="B38" s="73" t="s">
        <v>21</v>
      </c>
      <c r="C38" s="47">
        <v>3</v>
      </c>
      <c r="D38" s="47"/>
      <c r="E38" s="47"/>
      <c r="F38" s="47"/>
      <c r="G38" s="47"/>
      <c r="H38" s="47"/>
      <c r="I38" s="47"/>
      <c r="J38" s="111"/>
      <c r="K38" s="46"/>
      <c r="M38" s="52"/>
      <c r="N38" s="121"/>
      <c r="O38" s="47">
        <v>1</v>
      </c>
      <c r="P38" s="111"/>
      <c r="Q38" s="111">
        <v>1</v>
      </c>
      <c r="R38" s="46"/>
      <c r="T38" s="50">
        <f t="shared" si="0"/>
        <v>0</v>
      </c>
      <c r="U38" s="50">
        <f>C38*24+M38*24+O38*24+Q38*24+T38</f>
        <v>120</v>
      </c>
      <c r="V38" s="50">
        <f>U38/24</f>
        <v>5</v>
      </c>
    </row>
    <row r="39" spans="1:23" ht="19.5" thickBot="1" x14ac:dyDescent="0.3">
      <c r="A39" s="75">
        <f t="shared" si="1"/>
        <v>36</v>
      </c>
      <c r="B39" s="94" t="s">
        <v>22</v>
      </c>
      <c r="C39" s="95">
        <f>756+26</f>
        <v>782</v>
      </c>
      <c r="D39" s="95"/>
      <c r="E39" s="95"/>
      <c r="F39" s="95"/>
      <c r="G39" s="95"/>
      <c r="H39" s="95">
        <v>9</v>
      </c>
      <c r="I39" s="95"/>
      <c r="J39" s="110"/>
      <c r="K39" s="96">
        <v>15</v>
      </c>
      <c r="L39" s="102"/>
      <c r="M39" s="103"/>
      <c r="N39" s="120"/>
      <c r="O39" s="97"/>
      <c r="P39" s="113"/>
      <c r="Q39" s="113">
        <v>2</v>
      </c>
      <c r="R39" s="98"/>
      <c r="S39" s="102"/>
      <c r="T39" s="104">
        <f>H39+I39+J39+K39+N39+P39+R39</f>
        <v>24</v>
      </c>
      <c r="U39" s="104">
        <f>C39*24+M39*24+O39*24+Q39*24+T39</f>
        <v>18840</v>
      </c>
      <c r="V39" s="104">
        <f>U39/24</f>
        <v>785</v>
      </c>
    </row>
    <row r="40" spans="1:23" ht="19.5" thickBot="1" x14ac:dyDescent="0.3">
      <c r="A40" s="75">
        <f t="shared" si="1"/>
        <v>37</v>
      </c>
      <c r="B40" s="99" t="s">
        <v>23</v>
      </c>
      <c r="C40" s="100">
        <f>1728+11</f>
        <v>1739</v>
      </c>
      <c r="D40" s="100"/>
      <c r="E40" s="100"/>
      <c r="F40" s="100"/>
      <c r="G40" s="100"/>
      <c r="H40" s="100"/>
      <c r="I40" s="100"/>
      <c r="J40" s="112"/>
      <c r="K40" s="101"/>
      <c r="L40" s="105"/>
      <c r="M40" s="106">
        <v>6</v>
      </c>
      <c r="N40" s="122"/>
      <c r="O40" s="100">
        <v>11</v>
      </c>
      <c r="P40" s="112"/>
      <c r="Q40" s="112">
        <v>10</v>
      </c>
      <c r="R40" s="101"/>
      <c r="S40" s="105"/>
      <c r="T40" s="107">
        <f t="shared" si="0"/>
        <v>0</v>
      </c>
      <c r="U40" s="107">
        <f>C40*12+M40*12+O40*12+Q40*12+T40</f>
        <v>21192</v>
      </c>
      <c r="V40" s="107">
        <f>U40/12</f>
        <v>1766</v>
      </c>
    </row>
    <row r="41" spans="1:23" hidden="1" x14ac:dyDescent="0.25">
      <c r="A41" s="75">
        <f t="shared" si="1"/>
        <v>38</v>
      </c>
      <c r="B41" s="73" t="s">
        <v>31</v>
      </c>
      <c r="C41" s="47"/>
      <c r="D41" s="47"/>
      <c r="E41" s="47"/>
      <c r="F41" s="47"/>
      <c r="G41" s="47"/>
      <c r="H41" s="47"/>
      <c r="I41" s="47"/>
      <c r="J41" s="111"/>
      <c r="K41" s="46"/>
      <c r="M41" s="52"/>
      <c r="N41" s="121"/>
      <c r="O41" s="47"/>
      <c r="P41" s="111"/>
      <c r="Q41" s="111"/>
      <c r="R41" s="46"/>
      <c r="T41" s="50"/>
      <c r="U41" s="50"/>
      <c r="V41" s="50"/>
    </row>
    <row r="42" spans="1:23" ht="19.5" thickBot="1" x14ac:dyDescent="0.3">
      <c r="A42" s="75">
        <f t="shared" si="1"/>
        <v>39</v>
      </c>
      <c r="B42" s="94" t="s">
        <v>24</v>
      </c>
      <c r="C42" s="97">
        <f>6048+6048+4320+99+1876+7128</f>
        <v>25519</v>
      </c>
      <c r="D42" s="97"/>
      <c r="E42" s="97"/>
      <c r="F42" s="97"/>
      <c r="G42" s="97"/>
      <c r="H42" s="97">
        <v>5</v>
      </c>
      <c r="I42" s="97">
        <v>6</v>
      </c>
      <c r="J42" s="113">
        <f>6*6+3</f>
        <v>39</v>
      </c>
      <c r="K42" s="98">
        <f>75*6+4</f>
        <v>454</v>
      </c>
      <c r="L42" s="102"/>
      <c r="M42" s="103">
        <v>334</v>
      </c>
      <c r="N42" s="120"/>
      <c r="O42" s="97">
        <v>256</v>
      </c>
      <c r="P42" s="113"/>
      <c r="Q42" s="113">
        <v>468</v>
      </c>
      <c r="R42" s="98"/>
      <c r="S42" s="102"/>
      <c r="T42" s="104">
        <f t="shared" ref="T42" si="6">H42+I42+J42+K42+N42+P42+R42</f>
        <v>504</v>
      </c>
      <c r="U42" s="104">
        <f>C42*6+M42*6+O42*6+Q42*6+T42</f>
        <v>159966</v>
      </c>
      <c r="V42" s="104">
        <f>U42/6</f>
        <v>26661</v>
      </c>
    </row>
    <row r="43" spans="1:23" hidden="1" x14ac:dyDescent="0.25">
      <c r="A43" s="75">
        <f t="shared" si="1"/>
        <v>40</v>
      </c>
      <c r="B43" s="73" t="s">
        <v>33</v>
      </c>
      <c r="C43" s="47"/>
      <c r="D43" s="47"/>
      <c r="E43" s="47"/>
      <c r="F43" s="47"/>
      <c r="G43" s="47"/>
      <c r="H43" s="47"/>
      <c r="I43" s="47"/>
      <c r="J43" s="111"/>
      <c r="K43" s="46"/>
      <c r="M43" s="52"/>
      <c r="N43" s="121"/>
      <c r="O43" s="47"/>
      <c r="P43" s="111"/>
      <c r="Q43" s="111"/>
      <c r="R43" s="46"/>
      <c r="T43" s="50"/>
      <c r="U43" s="50"/>
      <c r="V43" s="50"/>
    </row>
    <row r="44" spans="1:23" x14ac:dyDescent="0.25">
      <c r="A44" s="75">
        <f t="shared" si="1"/>
        <v>41</v>
      </c>
      <c r="B44" s="74" t="s">
        <v>25</v>
      </c>
      <c r="C44" s="47"/>
      <c r="D44" s="47"/>
      <c r="E44" s="47"/>
      <c r="F44" s="47"/>
      <c r="G44" s="47"/>
      <c r="H44" s="47"/>
      <c r="I44" s="47"/>
      <c r="J44" s="111"/>
      <c r="K44" s="46"/>
      <c r="M44" s="52"/>
      <c r="N44" s="121"/>
      <c r="O44" s="47"/>
      <c r="P44" s="111"/>
      <c r="Q44" s="111"/>
      <c r="R44" s="46"/>
      <c r="T44" s="50">
        <f t="shared" ref="T44:T53" si="7">H44+I44+J44+K44+N44+P44+R44</f>
        <v>0</v>
      </c>
      <c r="U44" s="50">
        <f>C44*24+M44*24+O44*24+Q44*24+T44</f>
        <v>0</v>
      </c>
      <c r="V44" s="50">
        <f>U44/24</f>
        <v>0</v>
      </c>
    </row>
    <row r="45" spans="1:23" x14ac:dyDescent="0.25">
      <c r="A45" s="75">
        <f t="shared" si="1"/>
        <v>42</v>
      </c>
      <c r="B45" s="74" t="s">
        <v>68</v>
      </c>
      <c r="C45" s="47"/>
      <c r="D45" s="47"/>
      <c r="E45" s="47"/>
      <c r="F45" s="47"/>
      <c r="G45" s="47"/>
      <c r="H45" s="47"/>
      <c r="I45" s="47"/>
      <c r="J45" s="111"/>
      <c r="K45" s="46"/>
      <c r="M45" s="52"/>
      <c r="N45" s="121"/>
      <c r="O45" s="47"/>
      <c r="P45" s="111"/>
      <c r="Q45" s="111"/>
      <c r="R45" s="46"/>
      <c r="T45" s="50">
        <f t="shared" si="7"/>
        <v>0</v>
      </c>
      <c r="U45" s="50">
        <f t="shared" ref="U45:U47" si="8">C45*24+M45*24+O45*24+Q45*24+T45</f>
        <v>0</v>
      </c>
      <c r="V45" s="50">
        <f t="shared" ref="V45:V53" si="9">U45/24</f>
        <v>0</v>
      </c>
    </row>
    <row r="46" spans="1:23" x14ac:dyDescent="0.25">
      <c r="A46" s="75">
        <f t="shared" si="1"/>
        <v>43</v>
      </c>
      <c r="B46" s="74" t="s">
        <v>73</v>
      </c>
      <c r="C46" s="47"/>
      <c r="D46" s="47"/>
      <c r="E46" s="47"/>
      <c r="F46" s="47"/>
      <c r="G46" s="47"/>
      <c r="H46" s="47"/>
      <c r="I46" s="47"/>
      <c r="J46" s="111"/>
      <c r="K46" s="46"/>
      <c r="M46" s="52"/>
      <c r="N46" s="121"/>
      <c r="O46" s="47"/>
      <c r="P46" s="111"/>
      <c r="Q46" s="111"/>
      <c r="R46" s="46"/>
      <c r="T46" s="50">
        <f t="shared" si="7"/>
        <v>0</v>
      </c>
      <c r="U46" s="50">
        <f t="shared" si="8"/>
        <v>0</v>
      </c>
      <c r="V46" s="50">
        <f t="shared" si="9"/>
        <v>0</v>
      </c>
    </row>
    <row r="47" spans="1:23" x14ac:dyDescent="0.25">
      <c r="A47" s="75">
        <f t="shared" si="1"/>
        <v>44</v>
      </c>
      <c r="B47" s="74" t="s">
        <v>83</v>
      </c>
      <c r="C47" s="47"/>
      <c r="D47" s="47"/>
      <c r="E47" s="47"/>
      <c r="F47" s="47"/>
      <c r="G47" s="47"/>
      <c r="H47" s="47"/>
      <c r="I47" s="47"/>
      <c r="J47" s="111"/>
      <c r="K47" s="46"/>
      <c r="M47" s="52"/>
      <c r="N47" s="121"/>
      <c r="O47" s="47"/>
      <c r="P47" s="111"/>
      <c r="Q47" s="111"/>
      <c r="R47" s="46"/>
      <c r="T47" s="50">
        <f t="shared" si="7"/>
        <v>0</v>
      </c>
      <c r="U47" s="50">
        <f t="shared" si="8"/>
        <v>0</v>
      </c>
      <c r="V47" s="50">
        <f t="shared" si="9"/>
        <v>0</v>
      </c>
    </row>
    <row r="48" spans="1:23" x14ac:dyDescent="0.25">
      <c r="A48" s="75">
        <f t="shared" si="1"/>
        <v>45</v>
      </c>
      <c r="B48" s="74" t="s">
        <v>26</v>
      </c>
      <c r="C48" s="47">
        <f>24+44+2268</f>
        <v>2336</v>
      </c>
      <c r="D48" s="47"/>
      <c r="E48" s="47"/>
      <c r="F48" s="47"/>
      <c r="G48" s="47"/>
      <c r="H48" s="47">
        <v>3</v>
      </c>
      <c r="I48" s="47"/>
      <c r="J48" s="111"/>
      <c r="K48" s="46">
        <v>6</v>
      </c>
      <c r="M48" s="52">
        <v>10</v>
      </c>
      <c r="N48" s="121"/>
      <c r="O48" s="47">
        <v>9</v>
      </c>
      <c r="P48" s="111">
        <v>2</v>
      </c>
      <c r="Q48" s="111">
        <v>10</v>
      </c>
      <c r="R48" s="46"/>
      <c r="T48" s="50">
        <f t="shared" si="7"/>
        <v>11</v>
      </c>
      <c r="U48" s="50">
        <f>C48*6+M48*6+O48*6+Q48*6+T48</f>
        <v>14201</v>
      </c>
      <c r="V48" s="50">
        <f>U48/6</f>
        <v>2366.8333333333335</v>
      </c>
    </row>
    <row r="49" spans="1:22" x14ac:dyDescent="0.25">
      <c r="A49" s="75">
        <f t="shared" si="1"/>
        <v>46</v>
      </c>
      <c r="B49" s="74" t="s">
        <v>69</v>
      </c>
      <c r="C49" s="47"/>
      <c r="D49" s="47"/>
      <c r="E49" s="47"/>
      <c r="F49" s="47"/>
      <c r="G49" s="47"/>
      <c r="H49" s="47"/>
      <c r="I49" s="47"/>
      <c r="J49" s="111"/>
      <c r="K49" s="46"/>
      <c r="M49" s="52"/>
      <c r="N49" s="121"/>
      <c r="O49" s="47"/>
      <c r="P49" s="111"/>
      <c r="Q49" s="111"/>
      <c r="R49" s="46"/>
      <c r="T49" s="50">
        <f t="shared" si="7"/>
        <v>0</v>
      </c>
      <c r="U49" s="50">
        <f t="shared" ref="U49:U51" si="10">C49*24+M49*24+O49*24+Q49*24+T49</f>
        <v>0</v>
      </c>
      <c r="V49" s="50">
        <f t="shared" si="9"/>
        <v>0</v>
      </c>
    </row>
    <row r="50" spans="1:22" x14ac:dyDescent="0.25">
      <c r="A50" s="75">
        <f t="shared" si="1"/>
        <v>47</v>
      </c>
      <c r="B50" s="74" t="s">
        <v>28</v>
      </c>
      <c r="C50" s="47"/>
      <c r="D50" s="47"/>
      <c r="E50" s="47"/>
      <c r="F50" s="47"/>
      <c r="G50" s="47"/>
      <c r="H50" s="47"/>
      <c r="I50" s="47"/>
      <c r="J50" s="111"/>
      <c r="K50" s="46"/>
      <c r="M50" s="52"/>
      <c r="N50" s="121"/>
      <c r="O50" s="47"/>
      <c r="P50" s="111"/>
      <c r="Q50" s="111"/>
      <c r="R50" s="46"/>
      <c r="T50" s="50">
        <f t="shared" si="7"/>
        <v>0</v>
      </c>
      <c r="U50" s="50">
        <f t="shared" si="10"/>
        <v>0</v>
      </c>
      <c r="V50" s="50">
        <f t="shared" si="9"/>
        <v>0</v>
      </c>
    </row>
    <row r="51" spans="1:22" x14ac:dyDescent="0.25">
      <c r="A51" s="75">
        <f t="shared" si="1"/>
        <v>48</v>
      </c>
      <c r="B51" s="74" t="s">
        <v>70</v>
      </c>
      <c r="C51" s="47"/>
      <c r="D51" s="47"/>
      <c r="E51" s="47"/>
      <c r="F51" s="47"/>
      <c r="G51" s="47"/>
      <c r="H51" s="47"/>
      <c r="I51" s="47"/>
      <c r="J51" s="111"/>
      <c r="K51" s="46"/>
      <c r="M51" s="52"/>
      <c r="N51" s="121"/>
      <c r="O51" s="47"/>
      <c r="P51" s="111"/>
      <c r="Q51" s="111"/>
      <c r="R51" s="46"/>
      <c r="T51" s="50">
        <f t="shared" si="7"/>
        <v>0</v>
      </c>
      <c r="U51" s="50">
        <f t="shared" si="10"/>
        <v>0</v>
      </c>
      <c r="V51" s="50">
        <f t="shared" si="9"/>
        <v>0</v>
      </c>
    </row>
    <row r="52" spans="1:22" x14ac:dyDescent="0.25">
      <c r="A52" s="75">
        <f t="shared" si="1"/>
        <v>49</v>
      </c>
      <c r="B52" s="74" t="s">
        <v>29</v>
      </c>
      <c r="C52" s="47">
        <v>34</v>
      </c>
      <c r="D52" s="47"/>
      <c r="E52" s="47"/>
      <c r="F52" s="47"/>
      <c r="G52" s="47"/>
      <c r="H52" s="47"/>
      <c r="I52" s="47"/>
      <c r="J52" s="111"/>
      <c r="K52" s="46"/>
      <c r="M52" s="52"/>
      <c r="N52" s="121"/>
      <c r="O52" s="47"/>
      <c r="P52" s="111"/>
      <c r="Q52" s="111"/>
      <c r="R52" s="46"/>
      <c r="T52" s="50">
        <f t="shared" si="7"/>
        <v>0</v>
      </c>
      <c r="U52" s="50">
        <f>C52*6+M52*6+O52*6+Q52*6+T52</f>
        <v>204</v>
      </c>
      <c r="V52" s="50">
        <f>U52/6</f>
        <v>34</v>
      </c>
    </row>
    <row r="53" spans="1:22" x14ac:dyDescent="0.25">
      <c r="A53" s="75">
        <f t="shared" si="1"/>
        <v>50</v>
      </c>
      <c r="B53" s="74" t="s">
        <v>30</v>
      </c>
      <c r="C53" s="47"/>
      <c r="D53" s="47"/>
      <c r="E53" s="47"/>
      <c r="F53" s="47"/>
      <c r="G53" s="47"/>
      <c r="H53" s="47"/>
      <c r="I53" s="47"/>
      <c r="J53" s="111"/>
      <c r="K53" s="46"/>
      <c r="M53" s="52"/>
      <c r="N53" s="121"/>
      <c r="O53" s="47"/>
      <c r="P53" s="111"/>
      <c r="Q53" s="111"/>
      <c r="R53" s="46"/>
      <c r="T53" s="50">
        <f t="shared" si="7"/>
        <v>0</v>
      </c>
      <c r="U53" s="50">
        <f t="shared" ref="U53" si="11">C53*24+M53*24+O53*24+Q53*24+T53</f>
        <v>0</v>
      </c>
      <c r="V53" s="50">
        <f t="shared" si="9"/>
        <v>0</v>
      </c>
    </row>
    <row r="54" spans="1:22" x14ac:dyDescent="0.25">
      <c r="A54" s="75">
        <f t="shared" si="1"/>
        <v>51</v>
      </c>
      <c r="B54" s="74"/>
      <c r="C54" s="47"/>
      <c r="D54" s="47"/>
      <c r="E54" s="47"/>
      <c r="F54" s="47"/>
      <c r="G54" s="47"/>
      <c r="H54" s="47"/>
      <c r="I54" s="47"/>
      <c r="J54" s="111"/>
      <c r="K54" s="46"/>
      <c r="M54" s="52"/>
      <c r="N54" s="121"/>
      <c r="O54" s="47"/>
      <c r="P54" s="111"/>
      <c r="Q54" s="111"/>
      <c r="R54" s="46"/>
      <c r="T54" s="50"/>
      <c r="U54" s="50"/>
      <c r="V54" s="50"/>
    </row>
    <row r="55" spans="1:22" x14ac:dyDescent="0.25">
      <c r="A55" s="75">
        <f t="shared" si="1"/>
        <v>52</v>
      </c>
      <c r="B55" s="74"/>
      <c r="C55" s="47"/>
      <c r="D55" s="47"/>
      <c r="E55" s="47"/>
      <c r="F55" s="47"/>
      <c r="G55" s="47"/>
      <c r="H55" s="47"/>
      <c r="I55" s="47"/>
      <c r="J55" s="111"/>
      <c r="K55" s="46"/>
      <c r="M55" s="52"/>
      <c r="N55" s="121"/>
      <c r="O55" s="47"/>
      <c r="P55" s="111"/>
      <c r="Q55" s="111"/>
      <c r="R55" s="46"/>
      <c r="T55" s="50"/>
      <c r="U55" s="50"/>
      <c r="V55" s="50"/>
    </row>
    <row r="56" spans="1:22" x14ac:dyDescent="0.25">
      <c r="A56" s="75">
        <f t="shared" si="1"/>
        <v>53</v>
      </c>
      <c r="B56" s="74"/>
      <c r="C56" s="47"/>
      <c r="D56" s="47"/>
      <c r="E56" s="47"/>
      <c r="F56" s="47"/>
      <c r="G56" s="47"/>
      <c r="H56" s="47"/>
      <c r="I56" s="47"/>
      <c r="J56" s="111"/>
      <c r="K56" s="46"/>
      <c r="M56" s="52"/>
      <c r="N56" s="121"/>
      <c r="O56" s="47"/>
      <c r="P56" s="111"/>
      <c r="Q56" s="111"/>
      <c r="R56" s="46"/>
      <c r="T56" s="50"/>
      <c r="U56" s="50"/>
      <c r="V56" s="50"/>
    </row>
    <row r="57" spans="1:22" s="63" customFormat="1" ht="19.5" thickBot="1" x14ac:dyDescent="0.3">
      <c r="B57" s="77" t="s">
        <v>60</v>
      </c>
      <c r="C57" s="49">
        <f>SUM(C7:C56)</f>
        <v>39502</v>
      </c>
      <c r="D57" s="49"/>
      <c r="E57" s="49"/>
      <c r="F57" s="49">
        <f t="shared" ref="F57:K57" si="12">SUM(F7:F56)</f>
        <v>0</v>
      </c>
      <c r="G57" s="49">
        <f t="shared" si="12"/>
        <v>0</v>
      </c>
      <c r="H57" s="49">
        <f t="shared" si="12"/>
        <v>102</v>
      </c>
      <c r="I57" s="54">
        <f t="shared" si="12"/>
        <v>8</v>
      </c>
      <c r="J57" s="54">
        <f t="shared" si="12"/>
        <v>43</v>
      </c>
      <c r="K57" s="54">
        <f t="shared" si="12"/>
        <v>486</v>
      </c>
      <c r="M57" s="53">
        <f t="shared" ref="M57:R57" si="13">SUM(M7:M56)</f>
        <v>371</v>
      </c>
      <c r="N57" s="53">
        <f t="shared" si="13"/>
        <v>7</v>
      </c>
      <c r="O57" s="53">
        <f t="shared" si="13"/>
        <v>327</v>
      </c>
      <c r="P57" s="53">
        <f t="shared" si="13"/>
        <v>14</v>
      </c>
      <c r="Q57" s="53">
        <f t="shared" si="13"/>
        <v>556</v>
      </c>
      <c r="R57" s="53">
        <f t="shared" si="13"/>
        <v>20</v>
      </c>
      <c r="S57" s="57"/>
      <c r="T57" s="51">
        <f>SUM(T7:T56)</f>
        <v>680</v>
      </c>
      <c r="U57" s="51">
        <f>SUM(U7:U56)</f>
        <v>347792</v>
      </c>
      <c r="V57" s="51">
        <f>SUM(V7:V56)</f>
        <v>40849.708333333336</v>
      </c>
    </row>
    <row r="58" spans="1:22" ht="7.5" customHeight="1" thickBot="1" x14ac:dyDescent="0.3"/>
    <row r="59" spans="1:22" ht="19.5" thickBot="1" x14ac:dyDescent="0.3">
      <c r="B59" s="78" t="s">
        <v>39</v>
      </c>
      <c r="C59" s="191" t="s">
        <v>49</v>
      </c>
      <c r="D59" s="192"/>
      <c r="E59" s="192"/>
      <c r="F59" s="192"/>
      <c r="G59" s="192"/>
      <c r="H59" s="192"/>
      <c r="I59" s="192"/>
      <c r="J59" s="192"/>
      <c r="K59" s="193"/>
      <c r="U59" s="72" t="s">
        <v>62</v>
      </c>
    </row>
    <row r="60" spans="1:22" x14ac:dyDescent="0.25">
      <c r="B60" s="79" t="s">
        <v>18</v>
      </c>
      <c r="C60" s="67"/>
      <c r="D60" s="67"/>
      <c r="E60" s="67"/>
      <c r="F60" s="67"/>
      <c r="G60" s="67"/>
      <c r="H60" s="67"/>
      <c r="I60" s="67"/>
      <c r="J60" s="114"/>
      <c r="K60" s="68"/>
      <c r="U60" s="55"/>
    </row>
    <row r="61" spans="1:22" x14ac:dyDescent="0.25">
      <c r="B61" s="80" t="s">
        <v>55</v>
      </c>
      <c r="C61" s="48"/>
      <c r="D61" s="48"/>
      <c r="E61" s="48"/>
      <c r="F61" s="48"/>
      <c r="G61" s="48"/>
      <c r="H61" s="48"/>
      <c r="I61" s="48"/>
      <c r="J61" s="109"/>
      <c r="K61" s="69"/>
      <c r="U61" s="50"/>
    </row>
    <row r="62" spans="1:22" ht="19.5" thickBot="1" x14ac:dyDescent="0.3">
      <c r="B62" s="81" t="s">
        <v>54</v>
      </c>
      <c r="C62" s="70"/>
      <c r="D62" s="70"/>
      <c r="E62" s="70"/>
      <c r="F62" s="70"/>
      <c r="G62" s="70"/>
      <c r="H62" s="70"/>
      <c r="I62" s="70"/>
      <c r="J62" s="115"/>
      <c r="K62" s="71"/>
      <c r="U62" s="56"/>
    </row>
    <row r="63" spans="1:22" ht="7.5" customHeight="1" thickBot="1" x14ac:dyDescent="0.3"/>
    <row r="64" spans="1:22" x14ac:dyDescent="0.25">
      <c r="B64" s="79" t="s">
        <v>56</v>
      </c>
      <c r="C64" s="67"/>
      <c r="D64" s="67"/>
      <c r="E64" s="67"/>
      <c r="F64" s="67"/>
      <c r="G64" s="67"/>
      <c r="H64" s="67"/>
      <c r="I64" s="67"/>
      <c r="J64" s="114"/>
      <c r="K64" s="68"/>
      <c r="U64" s="55"/>
    </row>
    <row r="65" spans="2:21" x14ac:dyDescent="0.25">
      <c r="B65" s="80" t="s">
        <v>55</v>
      </c>
      <c r="C65" s="48"/>
      <c r="D65" s="48"/>
      <c r="E65" s="48"/>
      <c r="F65" s="48"/>
      <c r="G65" s="48"/>
      <c r="H65" s="48"/>
      <c r="I65" s="48"/>
      <c r="J65" s="109"/>
      <c r="K65" s="69"/>
      <c r="U65" s="50"/>
    </row>
    <row r="66" spans="2:21" ht="19.5" thickBot="1" x14ac:dyDescent="0.3">
      <c r="B66" s="81" t="s">
        <v>54</v>
      </c>
      <c r="C66" s="70"/>
      <c r="D66" s="70"/>
      <c r="E66" s="70"/>
      <c r="F66" s="70"/>
      <c r="G66" s="70"/>
      <c r="H66" s="70"/>
      <c r="I66" s="70"/>
      <c r="J66" s="115"/>
      <c r="K66" s="71"/>
      <c r="U66" s="56"/>
    </row>
    <row r="67" spans="2:21" ht="7.5" customHeight="1" thickBot="1" x14ac:dyDescent="0.3"/>
    <row r="68" spans="2:21" x14ac:dyDescent="0.25">
      <c r="B68" s="79" t="s">
        <v>41</v>
      </c>
      <c r="C68" s="67"/>
      <c r="D68" s="67"/>
      <c r="E68" s="67"/>
      <c r="F68" s="67"/>
      <c r="G68" s="67"/>
      <c r="H68" s="67"/>
      <c r="I68" s="67"/>
      <c r="J68" s="114"/>
      <c r="K68" s="68"/>
      <c r="U68" s="55"/>
    </row>
    <row r="69" spans="2:21" x14ac:dyDescent="0.25">
      <c r="B69" s="80" t="s">
        <v>55</v>
      </c>
      <c r="C69" s="48"/>
      <c r="D69" s="48"/>
      <c r="E69" s="48"/>
      <c r="F69" s="48"/>
      <c r="G69" s="48"/>
      <c r="H69" s="48"/>
      <c r="I69" s="48"/>
      <c r="J69" s="109"/>
      <c r="K69" s="69"/>
      <c r="U69" s="50"/>
    </row>
    <row r="70" spans="2:21" ht="19.5" thickBot="1" x14ac:dyDescent="0.3">
      <c r="B70" s="81" t="s">
        <v>54</v>
      </c>
      <c r="C70" s="70"/>
      <c r="D70" s="70"/>
      <c r="E70" s="70"/>
      <c r="F70" s="70"/>
      <c r="G70" s="70"/>
      <c r="H70" s="70"/>
      <c r="I70" s="70"/>
      <c r="J70" s="115"/>
      <c r="K70" s="71"/>
      <c r="U70" s="56"/>
    </row>
    <row r="71" spans="2:21" ht="7.5" customHeight="1" thickBot="1" x14ac:dyDescent="0.3"/>
    <row r="72" spans="2:21" x14ac:dyDescent="0.25">
      <c r="B72" s="79" t="s">
        <v>57</v>
      </c>
      <c r="C72" s="67"/>
      <c r="D72" s="67"/>
      <c r="E72" s="67"/>
      <c r="F72" s="67"/>
      <c r="G72" s="67"/>
      <c r="H72" s="67"/>
      <c r="I72" s="67"/>
      <c r="J72" s="114"/>
      <c r="K72" s="68"/>
      <c r="U72" s="55"/>
    </row>
    <row r="73" spans="2:21" x14ac:dyDescent="0.25">
      <c r="B73" s="80" t="s">
        <v>55</v>
      </c>
      <c r="C73" s="48"/>
      <c r="D73" s="48"/>
      <c r="E73" s="48"/>
      <c r="F73" s="48"/>
      <c r="G73" s="48"/>
      <c r="H73" s="48"/>
      <c r="I73" s="48"/>
      <c r="J73" s="109"/>
      <c r="K73" s="69"/>
      <c r="U73" s="50"/>
    </row>
    <row r="74" spans="2:21" ht="19.5" thickBot="1" x14ac:dyDescent="0.3">
      <c r="B74" s="81" t="s">
        <v>54</v>
      </c>
      <c r="C74" s="70"/>
      <c r="D74" s="70"/>
      <c r="E74" s="70"/>
      <c r="F74" s="70"/>
      <c r="G74" s="70"/>
      <c r="H74" s="70"/>
      <c r="I74" s="70"/>
      <c r="J74" s="115"/>
      <c r="K74" s="71"/>
      <c r="U74" s="56"/>
    </row>
    <row r="75" spans="2:21" ht="7.5" customHeight="1" thickBot="1" x14ac:dyDescent="0.3"/>
    <row r="76" spans="2:21" x14ac:dyDescent="0.25">
      <c r="B76" s="79" t="s">
        <v>58</v>
      </c>
      <c r="C76" s="67"/>
      <c r="D76" s="67"/>
      <c r="E76" s="67"/>
      <c r="F76" s="67"/>
      <c r="G76" s="67"/>
      <c r="H76" s="67"/>
      <c r="I76" s="67"/>
      <c r="J76" s="114"/>
      <c r="K76" s="68"/>
      <c r="U76" s="55"/>
    </row>
    <row r="77" spans="2:21" x14ac:dyDescent="0.25">
      <c r="B77" s="80" t="s">
        <v>55</v>
      </c>
      <c r="C77" s="48"/>
      <c r="D77" s="48"/>
      <c r="E77" s="48"/>
      <c r="F77" s="48"/>
      <c r="G77" s="48"/>
      <c r="H77" s="48"/>
      <c r="I77" s="48"/>
      <c r="J77" s="109"/>
      <c r="K77" s="69"/>
      <c r="U77" s="50"/>
    </row>
    <row r="78" spans="2:21" ht="19.5" thickBot="1" x14ac:dyDescent="0.3">
      <c r="B78" s="81" t="s">
        <v>54</v>
      </c>
      <c r="C78" s="70"/>
      <c r="D78" s="70"/>
      <c r="E78" s="70"/>
      <c r="F78" s="70"/>
      <c r="G78" s="70"/>
      <c r="H78" s="70"/>
      <c r="I78" s="70"/>
      <c r="J78" s="115"/>
      <c r="K78" s="71"/>
      <c r="U78" s="56"/>
    </row>
    <row r="79" spans="2:21" ht="7.5" customHeight="1" thickBot="1" x14ac:dyDescent="0.3"/>
    <row r="80" spans="2:21" ht="19.5" thickBot="1" x14ac:dyDescent="0.3">
      <c r="B80" s="78" t="s">
        <v>59</v>
      </c>
      <c r="C80" s="65"/>
      <c r="D80" s="65"/>
      <c r="E80" s="65"/>
      <c r="F80" s="65"/>
      <c r="G80" s="65"/>
      <c r="H80" s="65"/>
      <c r="I80" s="65"/>
      <c r="J80" s="116"/>
      <c r="K80" s="66"/>
      <c r="U80" s="64"/>
    </row>
  </sheetData>
  <mergeCells count="7">
    <mergeCell ref="V4:V5"/>
    <mergeCell ref="J5:K5"/>
    <mergeCell ref="C59:K59"/>
    <mergeCell ref="I1:U1"/>
    <mergeCell ref="C4:K4"/>
    <mergeCell ref="T4:T5"/>
    <mergeCell ref="U4:U5"/>
  </mergeCells>
  <printOptions horizontalCentered="1" verticalCentered="1"/>
  <pageMargins left="0.19685039370078741" right="0.19685039370078741" top="0.19685039370078741" bottom="0.19685039370078741" header="0.19685039370078741" footer="0.19685039370078741"/>
  <pageSetup paperSize="14" scale="70" orientation="portrait" horizontalDpi="360" verticalDpi="360" r:id="rId1"/>
  <colBreaks count="1" manualBreakCount="1">
    <brk id="24" max="80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C5DE5-45D8-40EF-B18A-CF99B7B8E24A}">
  <sheetPr>
    <pageSetUpPr fitToPage="1"/>
  </sheetPr>
  <dimension ref="A1:BB80"/>
  <sheetViews>
    <sheetView zoomScaleNormal="100" zoomScaleSheetLayoutView="115" workbookViewId="0">
      <selection activeCell="B2" sqref="B2"/>
    </sheetView>
  </sheetViews>
  <sheetFormatPr defaultColWidth="9.140625" defaultRowHeight="18.75" x14ac:dyDescent="0.25"/>
  <cols>
    <col min="1" max="1" width="4.140625" style="57" bestFit="1" customWidth="1"/>
    <col min="2" max="2" width="12.28515625" style="76" customWidth="1"/>
    <col min="3" max="6" width="10" style="57" customWidth="1"/>
    <col min="7" max="7" width="6.85546875" style="57" customWidth="1"/>
    <col min="8" max="8" width="6.7109375" style="57" customWidth="1"/>
    <col min="9" max="9" width="5.5703125" style="57" bestFit="1" customWidth="1"/>
    <col min="10" max="10" width="6.85546875" style="57" customWidth="1"/>
    <col min="11" max="11" width="5.5703125" style="57" bestFit="1" customWidth="1"/>
    <col min="12" max="12" width="1.42578125" style="57" customWidth="1"/>
    <col min="13" max="13" width="10" style="57" customWidth="1"/>
    <col min="14" max="14" width="5.5703125" style="57" bestFit="1" customWidth="1"/>
    <col min="15" max="15" width="10" style="57" customWidth="1"/>
    <col min="16" max="16" width="5.5703125" style="57" customWidth="1"/>
    <col min="17" max="17" width="10" style="57" customWidth="1"/>
    <col min="18" max="18" width="5.5703125" style="57" bestFit="1" customWidth="1"/>
    <col min="19" max="19" width="1.42578125" style="57" customWidth="1"/>
    <col min="20" max="20" width="12.5703125" style="57" bestFit="1" customWidth="1"/>
    <col min="21" max="21" width="14.28515625" style="57" customWidth="1"/>
    <col min="22" max="22" width="19.42578125" style="57" bestFit="1" customWidth="1"/>
    <col min="23" max="49" width="7.28515625" style="57" customWidth="1"/>
    <col min="50" max="50" width="1.5703125" style="57" customWidth="1"/>
    <col min="51" max="51" width="9.42578125" style="57" customWidth="1"/>
    <col min="52" max="52" width="1.28515625" style="57" customWidth="1"/>
    <col min="53" max="53" width="12.7109375" style="57" bestFit="1" customWidth="1"/>
    <col min="54" max="54" width="10.28515625" style="57" bestFit="1" customWidth="1"/>
    <col min="55" max="16384" width="9.140625" style="57"/>
  </cols>
  <sheetData>
    <row r="1" spans="1:54" ht="15" customHeight="1" x14ac:dyDescent="0.25">
      <c r="B1" s="75" t="s">
        <v>51</v>
      </c>
      <c r="I1" s="194" t="s">
        <v>53</v>
      </c>
      <c r="J1" s="194"/>
      <c r="K1" s="194"/>
      <c r="L1" s="194"/>
      <c r="M1" s="194"/>
      <c r="N1" s="194"/>
      <c r="O1" s="194"/>
      <c r="P1" s="194"/>
      <c r="Q1" s="194"/>
      <c r="R1" s="194"/>
      <c r="S1" s="194"/>
      <c r="T1" s="194"/>
      <c r="U1" s="194"/>
    </row>
    <row r="2" spans="1:54" x14ac:dyDescent="0.25">
      <c r="B2" s="76" t="s">
        <v>91</v>
      </c>
    </row>
    <row r="3" spans="1:54" ht="19.5" thickBot="1" x14ac:dyDescent="0.3"/>
    <row r="4" spans="1:54" s="58" customFormat="1" ht="15.75" x14ac:dyDescent="0.25">
      <c r="B4" s="93" t="s">
        <v>63</v>
      </c>
      <c r="C4" s="189" t="s">
        <v>49</v>
      </c>
      <c r="D4" s="189"/>
      <c r="E4" s="189"/>
      <c r="F4" s="189"/>
      <c r="G4" s="189"/>
      <c r="H4" s="189"/>
      <c r="I4" s="189"/>
      <c r="J4" s="199"/>
      <c r="K4" s="190"/>
      <c r="M4" s="82" t="s">
        <v>0</v>
      </c>
      <c r="N4" s="117" t="s">
        <v>72</v>
      </c>
      <c r="O4" s="84" t="s">
        <v>45</v>
      </c>
      <c r="P4" s="117" t="s">
        <v>72</v>
      </c>
      <c r="Q4" s="85" t="s">
        <v>46</v>
      </c>
      <c r="R4" s="117" t="s">
        <v>72</v>
      </c>
      <c r="S4" s="57"/>
      <c r="T4" s="200" t="s">
        <v>80</v>
      </c>
      <c r="U4" s="202" t="s">
        <v>79</v>
      </c>
      <c r="V4" s="195" t="s">
        <v>78</v>
      </c>
      <c r="AF4" s="59"/>
      <c r="AG4" s="59"/>
      <c r="AH4" s="59"/>
      <c r="AI4" s="59"/>
      <c r="AJ4" s="59"/>
      <c r="AK4" s="59"/>
      <c r="AL4" s="59"/>
      <c r="AM4" s="59"/>
      <c r="AN4" s="59"/>
      <c r="AO4" s="59"/>
      <c r="AP4" s="59"/>
      <c r="AQ4" s="59"/>
      <c r="AR4" s="59"/>
      <c r="AS4" s="59"/>
      <c r="AT4" s="59"/>
      <c r="AU4" s="59"/>
      <c r="AV4" s="59"/>
      <c r="AW4" s="59"/>
      <c r="AX4" s="59"/>
      <c r="AY4" s="59"/>
      <c r="AZ4" s="59"/>
      <c r="BA4" s="59"/>
      <c r="BB4" s="59"/>
    </row>
    <row r="5" spans="1:54" s="58" customFormat="1" ht="15.75" x14ac:dyDescent="0.25">
      <c r="B5" s="87"/>
      <c r="C5" s="92"/>
      <c r="D5" s="92"/>
      <c r="E5" s="92"/>
      <c r="F5" s="92"/>
      <c r="G5" s="92"/>
      <c r="H5" s="92" t="s">
        <v>76</v>
      </c>
      <c r="I5" s="92" t="s">
        <v>71</v>
      </c>
      <c r="J5" s="197" t="s">
        <v>77</v>
      </c>
      <c r="K5" s="198"/>
      <c r="M5" s="87"/>
      <c r="N5" s="118"/>
      <c r="O5" s="92"/>
      <c r="P5" s="129"/>
      <c r="Q5" s="129"/>
      <c r="R5" s="89"/>
      <c r="S5" s="57"/>
      <c r="T5" s="201"/>
      <c r="U5" s="203"/>
      <c r="V5" s="196"/>
      <c r="AF5" s="59"/>
      <c r="AG5" s="59"/>
      <c r="AH5" s="59"/>
      <c r="AI5" s="59"/>
      <c r="AJ5" s="59"/>
      <c r="AK5" s="59"/>
      <c r="AL5" s="59"/>
      <c r="AM5" s="59"/>
      <c r="AN5" s="59"/>
      <c r="AO5" s="59"/>
      <c r="AP5" s="59"/>
      <c r="AQ5" s="59"/>
      <c r="AR5" s="59"/>
      <c r="AS5" s="59"/>
      <c r="AT5" s="59"/>
      <c r="AU5" s="59"/>
      <c r="AV5" s="59"/>
      <c r="AW5" s="59"/>
      <c r="AX5" s="59"/>
      <c r="AY5" s="59"/>
      <c r="AZ5" s="59"/>
      <c r="BA5" s="59"/>
      <c r="BB5" s="59"/>
    </row>
    <row r="6" spans="1:54" s="58" customFormat="1" ht="15.75" x14ac:dyDescent="0.25">
      <c r="B6" s="87"/>
      <c r="C6" s="92"/>
      <c r="D6" s="92"/>
      <c r="E6" s="92"/>
      <c r="F6" s="92"/>
      <c r="G6" s="92"/>
      <c r="H6" s="92"/>
      <c r="I6" s="92"/>
      <c r="J6" s="129"/>
      <c r="K6" s="89"/>
      <c r="M6" s="87"/>
      <c r="N6" s="118"/>
      <c r="O6" s="92"/>
      <c r="P6" s="129"/>
      <c r="Q6" s="129"/>
      <c r="R6" s="89"/>
      <c r="S6" s="57"/>
      <c r="T6" s="90"/>
      <c r="U6" s="90"/>
      <c r="V6" s="90"/>
      <c r="AF6" s="59"/>
      <c r="AG6" s="59"/>
      <c r="AH6" s="59"/>
      <c r="AI6" s="59"/>
      <c r="AJ6" s="59"/>
      <c r="AK6" s="59"/>
      <c r="AL6" s="59"/>
      <c r="AM6" s="59"/>
      <c r="AN6" s="59"/>
      <c r="AO6" s="59"/>
      <c r="AP6" s="59"/>
      <c r="AQ6" s="59"/>
      <c r="AR6" s="59"/>
      <c r="AS6" s="59"/>
      <c r="AT6" s="59"/>
      <c r="AU6" s="59"/>
      <c r="AV6" s="59"/>
      <c r="AW6" s="59"/>
      <c r="AX6" s="59"/>
      <c r="AY6" s="59"/>
      <c r="AZ6" s="59"/>
      <c r="BA6" s="59"/>
      <c r="BB6" s="59"/>
    </row>
    <row r="7" spans="1:54" x14ac:dyDescent="0.25">
      <c r="A7" s="75">
        <v>1</v>
      </c>
      <c r="B7" s="74" t="s">
        <v>34</v>
      </c>
      <c r="C7" s="48">
        <v>28</v>
      </c>
      <c r="D7" s="48"/>
      <c r="E7" s="48"/>
      <c r="F7" s="48"/>
      <c r="G7" s="48"/>
      <c r="H7" s="48">
        <v>17</v>
      </c>
      <c r="I7" s="48">
        <v>1</v>
      </c>
      <c r="J7" s="109"/>
      <c r="K7" s="69">
        <v>6</v>
      </c>
      <c r="M7" s="88">
        <v>1</v>
      </c>
      <c r="N7" s="119"/>
      <c r="O7" s="48">
        <v>3</v>
      </c>
      <c r="P7" s="109"/>
      <c r="Q7" s="109">
        <v>2</v>
      </c>
      <c r="R7" s="69"/>
      <c r="T7" s="91">
        <f>H7+I7+J7+K7+N7+P7+R7</f>
        <v>24</v>
      </c>
      <c r="U7" s="91">
        <f>C7*24+M7*24+O7*24+Q7*24+T7</f>
        <v>840</v>
      </c>
      <c r="V7" s="91">
        <f>U7/24</f>
        <v>35</v>
      </c>
      <c r="W7" s="123"/>
      <c r="AF7" s="60"/>
      <c r="AG7" s="60"/>
      <c r="AH7" s="60"/>
      <c r="AI7" s="60"/>
      <c r="AJ7" s="60"/>
      <c r="AK7" s="60"/>
      <c r="AL7" s="60"/>
      <c r="AM7" s="60"/>
      <c r="AN7" s="60"/>
      <c r="AO7" s="60"/>
      <c r="AP7" s="60"/>
      <c r="AQ7" s="60"/>
      <c r="AR7" s="60"/>
      <c r="AS7" s="60"/>
      <c r="AT7" s="60"/>
      <c r="AU7" s="60"/>
      <c r="AV7" s="60"/>
      <c r="AW7" s="60"/>
      <c r="AX7" s="60"/>
      <c r="AY7" s="60"/>
      <c r="AZ7" s="60"/>
      <c r="BA7" s="60"/>
      <c r="BB7" s="60"/>
    </row>
    <row r="8" spans="1:54" ht="19.5" thickBot="1" x14ac:dyDescent="0.3">
      <c r="A8" s="75">
        <f>A7+1</f>
        <v>2</v>
      </c>
      <c r="B8" s="94" t="s">
        <v>37</v>
      </c>
      <c r="C8" s="95">
        <f>63+32</f>
        <v>95</v>
      </c>
      <c r="D8" s="95"/>
      <c r="E8" s="95"/>
      <c r="F8" s="95"/>
      <c r="G8" s="95"/>
      <c r="H8" s="95"/>
      <c r="I8" s="95"/>
      <c r="J8" s="110"/>
      <c r="K8" s="96"/>
      <c r="L8" s="102"/>
      <c r="M8" s="103">
        <v>2</v>
      </c>
      <c r="N8" s="120"/>
      <c r="O8" s="97"/>
      <c r="P8" s="113"/>
      <c r="Q8" s="113"/>
      <c r="R8" s="98"/>
      <c r="S8" s="102"/>
      <c r="T8" s="126">
        <f t="shared" ref="T8:T40" si="0">H8+I8+J8+K8+N8+P8+R8</f>
        <v>0</v>
      </c>
      <c r="U8" s="124">
        <f>C8*24+M8*24+O8*24+Q8*24+T8</f>
        <v>2328</v>
      </c>
      <c r="V8" s="124">
        <f>U8/24</f>
        <v>97</v>
      </c>
      <c r="W8" s="123"/>
      <c r="AF8" s="60"/>
      <c r="AG8" s="60"/>
      <c r="AH8" s="60"/>
      <c r="AI8" s="60"/>
      <c r="AJ8" s="60"/>
      <c r="AK8" s="60"/>
      <c r="AL8" s="60"/>
      <c r="AM8" s="60"/>
      <c r="AN8" s="60"/>
      <c r="AO8" s="60"/>
      <c r="AP8" s="60"/>
      <c r="AQ8" s="60"/>
      <c r="AR8" s="60"/>
      <c r="AS8" s="60"/>
      <c r="AT8" s="60"/>
      <c r="AU8" s="60"/>
      <c r="AV8" s="60"/>
      <c r="AW8" s="60"/>
      <c r="AX8" s="60"/>
      <c r="AY8" s="60"/>
      <c r="AZ8" s="60"/>
      <c r="BA8" s="60"/>
      <c r="BB8" s="60"/>
    </row>
    <row r="9" spans="1:54" x14ac:dyDescent="0.25">
      <c r="A9" s="75">
        <f t="shared" ref="A9:A56" si="1">A8+1</f>
        <v>3</v>
      </c>
      <c r="B9" s="73" t="s">
        <v>35</v>
      </c>
      <c r="C9" s="47"/>
      <c r="D9" s="47"/>
      <c r="E9" s="47"/>
      <c r="F9" s="47"/>
      <c r="G9" s="47"/>
      <c r="H9" s="47"/>
      <c r="I9" s="47"/>
      <c r="J9" s="111"/>
      <c r="K9" s="46"/>
      <c r="M9" s="52"/>
      <c r="N9" s="121"/>
      <c r="O9" s="47"/>
      <c r="P9" s="111"/>
      <c r="Q9" s="111"/>
      <c r="R9" s="46"/>
      <c r="T9" s="50">
        <f t="shared" si="0"/>
        <v>0</v>
      </c>
      <c r="U9" s="125">
        <f t="shared" ref="U9:U11" si="2">C9*24+M9*24+O9*24+Q9*24+T9</f>
        <v>0</v>
      </c>
      <c r="V9" s="125">
        <f t="shared" ref="V9:V11" si="3">U9/24</f>
        <v>0</v>
      </c>
      <c r="W9" s="123"/>
      <c r="AF9" s="60"/>
      <c r="AG9" s="60"/>
      <c r="AH9" s="60"/>
      <c r="AI9" s="60"/>
      <c r="AJ9" s="60"/>
      <c r="AK9" s="60"/>
      <c r="AL9" s="60"/>
      <c r="AM9" s="60"/>
      <c r="AN9" s="60"/>
      <c r="AO9" s="60"/>
      <c r="AP9" s="60"/>
      <c r="AQ9" s="60"/>
      <c r="AR9" s="60"/>
      <c r="AS9" s="60"/>
      <c r="AT9" s="60"/>
      <c r="AU9" s="60"/>
      <c r="AV9" s="60"/>
      <c r="AW9" s="60"/>
      <c r="AX9" s="60"/>
      <c r="AY9" s="60"/>
      <c r="AZ9" s="60"/>
      <c r="BA9" s="60"/>
      <c r="BB9" s="60"/>
    </row>
    <row r="10" spans="1:54" x14ac:dyDescent="0.25">
      <c r="A10" s="75">
        <f t="shared" si="1"/>
        <v>4</v>
      </c>
      <c r="B10" s="74" t="s">
        <v>38</v>
      </c>
      <c r="C10" s="47">
        <v>65</v>
      </c>
      <c r="D10" s="47"/>
      <c r="E10" s="47"/>
      <c r="F10" s="47"/>
      <c r="G10" s="47"/>
      <c r="H10" s="47"/>
      <c r="I10" s="47"/>
      <c r="J10" s="111"/>
      <c r="K10" s="46"/>
      <c r="M10" s="52"/>
      <c r="N10" s="121"/>
      <c r="O10" s="47">
        <v>8</v>
      </c>
      <c r="P10" s="111"/>
      <c r="Q10" s="111">
        <v>1</v>
      </c>
      <c r="R10" s="46"/>
      <c r="T10" s="91">
        <f t="shared" si="0"/>
        <v>0</v>
      </c>
      <c r="U10" s="91">
        <f t="shared" si="2"/>
        <v>1776</v>
      </c>
      <c r="V10" s="91">
        <f t="shared" si="3"/>
        <v>74</v>
      </c>
      <c r="W10" s="123"/>
      <c r="AF10" s="60"/>
      <c r="AG10" s="60"/>
      <c r="AH10" s="60"/>
      <c r="AI10" s="60"/>
      <c r="AJ10" s="60"/>
      <c r="AK10" s="60"/>
      <c r="AL10" s="60"/>
      <c r="AM10" s="60"/>
      <c r="AN10" s="60"/>
      <c r="AO10" s="60"/>
      <c r="AP10" s="60"/>
      <c r="AQ10" s="60"/>
      <c r="AR10" s="60"/>
      <c r="AS10" s="60"/>
      <c r="AT10" s="60"/>
      <c r="AU10" s="60"/>
      <c r="AV10" s="60"/>
      <c r="AW10" s="60"/>
      <c r="AX10" s="60"/>
      <c r="AY10" s="60"/>
      <c r="AZ10" s="60"/>
      <c r="BA10" s="60"/>
      <c r="BB10" s="60"/>
    </row>
    <row r="11" spans="1:54" x14ac:dyDescent="0.25">
      <c r="A11" s="75">
        <f t="shared" si="1"/>
        <v>5</v>
      </c>
      <c r="B11" s="74" t="s">
        <v>36</v>
      </c>
      <c r="C11" s="47"/>
      <c r="D11" s="47"/>
      <c r="E11" s="47"/>
      <c r="F11" s="47"/>
      <c r="G11" s="47"/>
      <c r="H11" s="47">
        <v>22</v>
      </c>
      <c r="I11" s="47"/>
      <c r="J11" s="111"/>
      <c r="K11" s="46">
        <v>2</v>
      </c>
      <c r="M11" s="52"/>
      <c r="N11" s="121"/>
      <c r="O11" s="47"/>
      <c r="P11" s="111"/>
      <c r="Q11" s="111"/>
      <c r="R11" s="46"/>
      <c r="T11" s="91">
        <f t="shared" si="0"/>
        <v>24</v>
      </c>
      <c r="U11" s="91">
        <f t="shared" si="2"/>
        <v>24</v>
      </c>
      <c r="V11" s="91">
        <f t="shared" si="3"/>
        <v>1</v>
      </c>
      <c r="AF11" s="60"/>
      <c r="AG11" s="60"/>
      <c r="AH11" s="60"/>
      <c r="AI11" s="60"/>
      <c r="AJ11" s="60"/>
      <c r="AK11" s="60"/>
      <c r="AL11" s="60"/>
      <c r="AM11" s="60"/>
      <c r="AN11" s="60"/>
      <c r="AO11" s="60"/>
      <c r="AP11" s="60"/>
      <c r="AQ11" s="60"/>
      <c r="AR11" s="60"/>
      <c r="AS11" s="60"/>
      <c r="AT11" s="60"/>
      <c r="AU11" s="60"/>
      <c r="AV11" s="60"/>
      <c r="AW11" s="60"/>
      <c r="AX11" s="60"/>
      <c r="AY11" s="60"/>
      <c r="AZ11" s="60"/>
      <c r="BA11" s="60"/>
      <c r="BB11" s="60"/>
    </row>
    <row r="12" spans="1:54" s="61" customFormat="1" ht="19.5" thickBot="1" x14ac:dyDescent="0.3">
      <c r="A12" s="75">
        <v>7</v>
      </c>
      <c r="B12" s="94" t="s">
        <v>32</v>
      </c>
      <c r="C12" s="95">
        <f>72+1440+47+1440+576</f>
        <v>3575</v>
      </c>
      <c r="D12" s="95"/>
      <c r="E12" s="95"/>
      <c r="F12" s="95"/>
      <c r="G12" s="95"/>
      <c r="H12" s="95"/>
      <c r="I12" s="95"/>
      <c r="J12" s="110"/>
      <c r="K12" s="96"/>
      <c r="L12" s="102"/>
      <c r="M12" s="103">
        <v>10</v>
      </c>
      <c r="N12" s="120">
        <v>2</v>
      </c>
      <c r="O12" s="97">
        <v>9</v>
      </c>
      <c r="P12" s="113">
        <v>1</v>
      </c>
      <c r="Q12" s="113">
        <v>14</v>
      </c>
      <c r="R12" s="98">
        <v>6</v>
      </c>
      <c r="S12" s="102"/>
      <c r="T12" s="91">
        <f t="shared" si="0"/>
        <v>9</v>
      </c>
      <c r="U12" s="124">
        <f>C12*24+M12*24+O12*24+Q12*24+T12</f>
        <v>86601</v>
      </c>
      <c r="V12" s="124">
        <f>U12/24</f>
        <v>3608.375</v>
      </c>
      <c r="W12" s="57"/>
      <c r="X12" s="57"/>
      <c r="Y12" s="57"/>
      <c r="Z12" s="57"/>
      <c r="AA12" s="57"/>
      <c r="AB12" s="57"/>
      <c r="AC12" s="57"/>
      <c r="AD12" s="57"/>
      <c r="AE12" s="57"/>
      <c r="AF12" s="60"/>
      <c r="AG12" s="60"/>
      <c r="AH12" s="60"/>
      <c r="AI12" s="60"/>
      <c r="AJ12" s="60"/>
      <c r="AK12" s="60"/>
      <c r="AL12" s="60"/>
      <c r="AM12" s="60"/>
      <c r="AN12" s="60"/>
      <c r="AO12" s="60"/>
      <c r="AP12" s="60"/>
      <c r="AQ12" s="60"/>
      <c r="AR12" s="60"/>
      <c r="AS12" s="60"/>
      <c r="AT12" s="60"/>
      <c r="AU12" s="60"/>
      <c r="AV12" s="60"/>
      <c r="AW12" s="60"/>
      <c r="AX12" s="60"/>
      <c r="AY12" s="60"/>
      <c r="AZ12" s="60"/>
      <c r="BA12" s="60"/>
      <c r="BB12" s="60"/>
    </row>
    <row r="13" spans="1:54" x14ac:dyDescent="0.25">
      <c r="A13" s="75">
        <v>11</v>
      </c>
      <c r="B13" s="73" t="s">
        <v>1</v>
      </c>
      <c r="C13" s="47">
        <v>5</v>
      </c>
      <c r="D13" s="47"/>
      <c r="E13" s="47"/>
      <c r="F13" s="47"/>
      <c r="G13" s="47"/>
      <c r="H13" s="47"/>
      <c r="I13" s="47"/>
      <c r="J13" s="111"/>
      <c r="K13" s="46"/>
      <c r="M13" s="52"/>
      <c r="N13" s="121"/>
      <c r="O13" s="47"/>
      <c r="P13" s="111"/>
      <c r="Q13" s="111"/>
      <c r="R13" s="46"/>
      <c r="T13" s="91">
        <f t="shared" si="0"/>
        <v>0</v>
      </c>
      <c r="U13" s="125">
        <f>C13*24+M13*24+O13*24+Q13*24+T13</f>
        <v>120</v>
      </c>
      <c r="V13" s="125">
        <f>U13/24</f>
        <v>5</v>
      </c>
      <c r="AF13" s="60"/>
      <c r="AG13" s="60"/>
      <c r="AH13" s="60"/>
      <c r="AI13" s="60"/>
      <c r="AJ13" s="60"/>
      <c r="AK13" s="60"/>
      <c r="AL13" s="60"/>
      <c r="AM13" s="60"/>
      <c r="AN13" s="60"/>
      <c r="AO13" s="60"/>
      <c r="AP13" s="60"/>
      <c r="AQ13" s="60"/>
      <c r="AR13" s="60"/>
      <c r="AS13" s="60"/>
      <c r="AT13" s="60"/>
      <c r="AU13" s="60"/>
      <c r="AV13" s="60"/>
      <c r="AW13" s="60"/>
      <c r="AX13" s="60"/>
      <c r="AY13" s="60"/>
      <c r="AZ13" s="60"/>
      <c r="BA13" s="60"/>
      <c r="BB13" s="60"/>
    </row>
    <row r="14" spans="1:54" x14ac:dyDescent="0.25">
      <c r="A14" s="75">
        <f t="shared" si="1"/>
        <v>12</v>
      </c>
      <c r="B14" s="74" t="s">
        <v>2</v>
      </c>
      <c r="C14" s="47"/>
      <c r="D14" s="47"/>
      <c r="E14" s="47"/>
      <c r="F14" s="47"/>
      <c r="G14" s="47"/>
      <c r="H14" s="47"/>
      <c r="I14" s="47"/>
      <c r="J14" s="111"/>
      <c r="K14" s="46"/>
      <c r="M14" s="52"/>
      <c r="N14" s="121"/>
      <c r="O14" s="47"/>
      <c r="P14" s="111"/>
      <c r="Q14" s="111"/>
      <c r="R14" s="46"/>
      <c r="T14" s="91">
        <f t="shared" si="0"/>
        <v>0</v>
      </c>
      <c r="U14" s="50">
        <f t="shared" ref="U14:U36" si="4">C14*24+M14*24+O14*24+Q14*24+T14</f>
        <v>0</v>
      </c>
      <c r="V14" s="50">
        <f t="shared" ref="V14:V36" si="5">U14/24</f>
        <v>0</v>
      </c>
      <c r="AF14" s="60"/>
      <c r="AG14" s="60"/>
      <c r="AH14" s="60"/>
      <c r="AI14" s="60"/>
      <c r="AJ14" s="60"/>
      <c r="AK14" s="60"/>
      <c r="AL14" s="60"/>
      <c r="AM14" s="60"/>
      <c r="AN14" s="60"/>
      <c r="AO14" s="60"/>
      <c r="AP14" s="60"/>
      <c r="AQ14" s="60"/>
      <c r="AR14" s="60"/>
      <c r="AS14" s="60"/>
      <c r="AT14" s="60"/>
      <c r="AU14" s="60"/>
      <c r="AV14" s="60"/>
      <c r="AW14" s="60"/>
      <c r="AX14" s="60"/>
      <c r="AY14" s="60"/>
      <c r="AZ14" s="60"/>
      <c r="BA14" s="60"/>
      <c r="BB14" s="60"/>
    </row>
    <row r="15" spans="1:54" x14ac:dyDescent="0.25">
      <c r="A15" s="75">
        <f t="shared" si="1"/>
        <v>13</v>
      </c>
      <c r="B15" s="74" t="s">
        <v>3</v>
      </c>
      <c r="C15" s="47"/>
      <c r="D15" s="47"/>
      <c r="E15" s="47"/>
      <c r="F15" s="47"/>
      <c r="G15" s="47"/>
      <c r="H15" s="47"/>
      <c r="I15" s="47"/>
      <c r="J15" s="111"/>
      <c r="K15" s="46"/>
      <c r="M15" s="52"/>
      <c r="N15" s="121"/>
      <c r="O15" s="47"/>
      <c r="P15" s="111"/>
      <c r="Q15" s="111"/>
      <c r="R15" s="46"/>
      <c r="T15" s="91">
        <f t="shared" si="0"/>
        <v>0</v>
      </c>
      <c r="U15" s="50">
        <f t="shared" si="4"/>
        <v>0</v>
      </c>
      <c r="V15" s="50">
        <f t="shared" si="5"/>
        <v>0</v>
      </c>
      <c r="AF15" s="60"/>
      <c r="AG15" s="60"/>
      <c r="AH15" s="60"/>
      <c r="AI15" s="60"/>
      <c r="AJ15" s="60"/>
      <c r="AK15" s="60"/>
      <c r="AL15" s="60"/>
      <c r="AM15" s="60"/>
      <c r="AN15" s="60"/>
      <c r="AO15" s="60"/>
      <c r="AP15" s="60"/>
      <c r="AQ15" s="60"/>
      <c r="AR15" s="60"/>
      <c r="AS15" s="60"/>
      <c r="AT15" s="60"/>
      <c r="AU15" s="60"/>
      <c r="AV15" s="60"/>
      <c r="AW15" s="60"/>
      <c r="AX15" s="60"/>
      <c r="AY15" s="60"/>
      <c r="AZ15" s="60"/>
      <c r="BA15" s="60"/>
      <c r="BB15" s="60"/>
    </row>
    <row r="16" spans="1:54" x14ac:dyDescent="0.25">
      <c r="A16" s="75">
        <f t="shared" si="1"/>
        <v>14</v>
      </c>
      <c r="B16" s="74" t="s">
        <v>4</v>
      </c>
      <c r="C16" s="47"/>
      <c r="D16" s="47"/>
      <c r="E16" s="47"/>
      <c r="F16" s="47"/>
      <c r="G16" s="47"/>
      <c r="H16" s="47"/>
      <c r="I16" s="47"/>
      <c r="J16" s="111"/>
      <c r="K16" s="46"/>
      <c r="M16" s="52"/>
      <c r="N16" s="121"/>
      <c r="O16" s="47"/>
      <c r="P16" s="111"/>
      <c r="Q16" s="111"/>
      <c r="R16" s="46"/>
      <c r="T16" s="91">
        <f t="shared" si="0"/>
        <v>0</v>
      </c>
      <c r="U16" s="50">
        <f t="shared" si="4"/>
        <v>0</v>
      </c>
      <c r="V16" s="50">
        <f t="shared" si="5"/>
        <v>0</v>
      </c>
      <c r="AF16" s="60"/>
      <c r="AG16" s="60"/>
      <c r="AH16" s="60"/>
      <c r="AI16" s="60"/>
      <c r="AJ16" s="60"/>
      <c r="AK16" s="60"/>
      <c r="AL16" s="60"/>
      <c r="AM16" s="60"/>
      <c r="AN16" s="60"/>
      <c r="AO16" s="60"/>
      <c r="AP16" s="60"/>
      <c r="AQ16" s="60"/>
      <c r="AR16" s="60"/>
      <c r="AS16" s="60"/>
      <c r="AT16" s="60"/>
      <c r="AU16" s="60"/>
      <c r="AV16" s="60"/>
      <c r="AW16" s="60"/>
      <c r="AX16" s="60"/>
      <c r="AY16" s="60"/>
      <c r="AZ16" s="60"/>
      <c r="BA16" s="60"/>
      <c r="BB16" s="60"/>
    </row>
    <row r="17" spans="1:54" x14ac:dyDescent="0.25">
      <c r="A17" s="75">
        <f t="shared" si="1"/>
        <v>15</v>
      </c>
      <c r="B17" s="74" t="s">
        <v>5</v>
      </c>
      <c r="C17" s="47">
        <v>4</v>
      </c>
      <c r="D17" s="47"/>
      <c r="E17" s="47"/>
      <c r="F17" s="47"/>
      <c r="G17" s="47"/>
      <c r="H17" s="47"/>
      <c r="I17" s="47"/>
      <c r="J17" s="111"/>
      <c r="K17" s="46"/>
      <c r="M17" s="52"/>
      <c r="N17" s="121"/>
      <c r="O17" s="47"/>
      <c r="P17" s="111"/>
      <c r="Q17" s="111"/>
      <c r="R17" s="46"/>
      <c r="T17" s="91">
        <f t="shared" si="0"/>
        <v>0</v>
      </c>
      <c r="U17" s="50">
        <f t="shared" si="4"/>
        <v>96</v>
      </c>
      <c r="V17" s="50">
        <f t="shared" si="5"/>
        <v>4</v>
      </c>
      <c r="AF17" s="60"/>
      <c r="AG17" s="60"/>
      <c r="AH17" s="60"/>
      <c r="AI17" s="60"/>
      <c r="AJ17" s="60"/>
      <c r="AK17" s="60"/>
      <c r="AL17" s="60"/>
      <c r="AM17" s="60"/>
      <c r="AN17" s="60"/>
      <c r="AO17" s="60"/>
      <c r="AP17" s="60"/>
      <c r="AQ17" s="60"/>
      <c r="AR17" s="60"/>
      <c r="AS17" s="60"/>
      <c r="AT17" s="60"/>
      <c r="AU17" s="60"/>
      <c r="AV17" s="60"/>
      <c r="AW17" s="60"/>
      <c r="AX17" s="60"/>
      <c r="AY17" s="60"/>
      <c r="AZ17" s="60"/>
      <c r="BA17" s="60"/>
      <c r="BB17" s="60"/>
    </row>
    <row r="18" spans="1:54" hidden="1" x14ac:dyDescent="0.25">
      <c r="A18" s="75">
        <f t="shared" si="1"/>
        <v>16</v>
      </c>
      <c r="B18" s="74" t="s">
        <v>10</v>
      </c>
      <c r="C18" s="47"/>
      <c r="D18" s="47"/>
      <c r="E18" s="47"/>
      <c r="F18" s="47"/>
      <c r="G18" s="47"/>
      <c r="H18" s="47"/>
      <c r="I18" s="47"/>
      <c r="J18" s="111"/>
      <c r="K18" s="46"/>
      <c r="M18" s="52"/>
      <c r="N18" s="121"/>
      <c r="O18" s="47"/>
      <c r="P18" s="111"/>
      <c r="Q18" s="111"/>
      <c r="R18" s="46"/>
      <c r="T18" s="91">
        <f t="shared" si="0"/>
        <v>0</v>
      </c>
      <c r="U18" s="50">
        <f t="shared" si="4"/>
        <v>0</v>
      </c>
      <c r="V18" s="50">
        <f t="shared" si="5"/>
        <v>0</v>
      </c>
      <c r="AF18" s="60"/>
      <c r="AG18" s="60"/>
      <c r="AH18" s="60"/>
      <c r="AI18" s="60"/>
      <c r="AJ18" s="60"/>
      <c r="AK18" s="60"/>
      <c r="AL18" s="60"/>
      <c r="AM18" s="60"/>
      <c r="AN18" s="60"/>
      <c r="AO18" s="60"/>
      <c r="AP18" s="60"/>
      <c r="AQ18" s="60"/>
      <c r="AR18" s="60"/>
      <c r="AS18" s="60"/>
      <c r="AT18" s="60"/>
      <c r="AU18" s="60"/>
      <c r="AV18" s="60"/>
      <c r="AW18" s="60"/>
      <c r="AX18" s="60"/>
      <c r="AY18" s="60"/>
      <c r="AZ18" s="60"/>
      <c r="BA18" s="60"/>
      <c r="BB18" s="60"/>
    </row>
    <row r="19" spans="1:54" x14ac:dyDescent="0.25">
      <c r="A19" s="75">
        <v>16</v>
      </c>
      <c r="B19" s="74" t="s">
        <v>64</v>
      </c>
      <c r="C19" s="47">
        <v>4</v>
      </c>
      <c r="D19" s="47"/>
      <c r="E19" s="47"/>
      <c r="F19" s="47"/>
      <c r="G19" s="47"/>
      <c r="H19" s="47"/>
      <c r="I19" s="47"/>
      <c r="J19" s="111"/>
      <c r="K19" s="46"/>
      <c r="M19" s="52"/>
      <c r="N19" s="121"/>
      <c r="O19" s="47"/>
      <c r="P19" s="111"/>
      <c r="Q19" s="111"/>
      <c r="R19" s="46"/>
      <c r="T19" s="91">
        <f t="shared" si="0"/>
        <v>0</v>
      </c>
      <c r="U19" s="50">
        <f t="shared" si="4"/>
        <v>96</v>
      </c>
      <c r="V19" s="50">
        <f t="shared" si="5"/>
        <v>4</v>
      </c>
      <c r="AF19" s="60"/>
      <c r="AG19" s="60"/>
      <c r="AH19" s="60"/>
      <c r="AI19" s="60"/>
      <c r="AJ19" s="60"/>
      <c r="AK19" s="60"/>
      <c r="AL19" s="60"/>
      <c r="AM19" s="60"/>
      <c r="AN19" s="60"/>
      <c r="AO19" s="60"/>
      <c r="AP19" s="60"/>
      <c r="AQ19" s="60"/>
      <c r="AR19" s="60"/>
      <c r="AS19" s="60"/>
      <c r="AT19" s="60"/>
      <c r="AU19" s="60"/>
      <c r="AV19" s="60"/>
      <c r="AW19" s="60"/>
      <c r="AX19" s="60"/>
      <c r="AY19" s="60"/>
      <c r="AZ19" s="60"/>
      <c r="BA19" s="60"/>
      <c r="BB19" s="60"/>
    </row>
    <row r="20" spans="1:54" x14ac:dyDescent="0.25">
      <c r="A20" s="75">
        <f t="shared" si="1"/>
        <v>17</v>
      </c>
      <c r="B20" s="74" t="s">
        <v>6</v>
      </c>
      <c r="C20" s="47">
        <v>6</v>
      </c>
      <c r="D20" s="47"/>
      <c r="E20" s="47"/>
      <c r="F20" s="47"/>
      <c r="G20" s="47"/>
      <c r="H20" s="47"/>
      <c r="I20" s="47"/>
      <c r="J20" s="111"/>
      <c r="K20" s="46"/>
      <c r="M20" s="52"/>
      <c r="N20" s="121"/>
      <c r="O20" s="47"/>
      <c r="P20" s="111"/>
      <c r="Q20" s="111"/>
      <c r="R20" s="46"/>
      <c r="T20" s="91">
        <f t="shared" si="0"/>
        <v>0</v>
      </c>
      <c r="U20" s="50">
        <f t="shared" si="4"/>
        <v>144</v>
      </c>
      <c r="V20" s="50">
        <f t="shared" si="5"/>
        <v>6</v>
      </c>
      <c r="AF20" s="60"/>
      <c r="AG20" s="60"/>
      <c r="AH20" s="60"/>
      <c r="AI20" s="60"/>
      <c r="AJ20" s="60"/>
      <c r="AK20" s="60"/>
      <c r="AL20" s="60"/>
      <c r="AM20" s="60"/>
      <c r="AN20" s="60"/>
      <c r="AO20" s="60"/>
      <c r="AP20" s="60"/>
      <c r="AQ20" s="60"/>
      <c r="AR20" s="60"/>
      <c r="AS20" s="60"/>
      <c r="AT20" s="60"/>
      <c r="AU20" s="60"/>
      <c r="AV20" s="60"/>
      <c r="AW20" s="60"/>
      <c r="AX20" s="60"/>
      <c r="AY20" s="60"/>
      <c r="AZ20" s="60"/>
      <c r="BA20" s="60"/>
      <c r="BB20" s="60"/>
    </row>
    <row r="21" spans="1:54" x14ac:dyDescent="0.25">
      <c r="A21" s="75">
        <f t="shared" si="1"/>
        <v>18</v>
      </c>
      <c r="B21" s="74" t="s">
        <v>7</v>
      </c>
      <c r="C21" s="47">
        <v>4</v>
      </c>
      <c r="D21" s="47"/>
      <c r="E21" s="47"/>
      <c r="F21" s="47"/>
      <c r="G21" s="47"/>
      <c r="H21" s="47"/>
      <c r="I21" s="47"/>
      <c r="J21" s="111"/>
      <c r="K21" s="46"/>
      <c r="M21" s="52"/>
      <c r="N21" s="121"/>
      <c r="O21" s="47"/>
      <c r="P21" s="111"/>
      <c r="Q21" s="111"/>
      <c r="R21" s="46"/>
      <c r="T21" s="91">
        <f t="shared" si="0"/>
        <v>0</v>
      </c>
      <c r="U21" s="50">
        <f t="shared" si="4"/>
        <v>96</v>
      </c>
      <c r="V21" s="50">
        <f t="shared" si="5"/>
        <v>4</v>
      </c>
      <c r="AF21" s="60"/>
      <c r="AG21" s="60"/>
      <c r="AH21" s="60"/>
      <c r="AI21" s="60"/>
      <c r="AJ21" s="60"/>
      <c r="AK21" s="60"/>
      <c r="AL21" s="60"/>
      <c r="AM21" s="60"/>
      <c r="AN21" s="60"/>
      <c r="AO21" s="60"/>
      <c r="AP21" s="60"/>
      <c r="AQ21" s="60"/>
      <c r="AR21" s="60"/>
      <c r="AS21" s="60"/>
      <c r="AT21" s="60"/>
      <c r="AU21" s="60"/>
      <c r="AV21" s="60"/>
      <c r="AW21" s="60"/>
      <c r="AX21" s="60"/>
      <c r="AY21" s="60"/>
      <c r="AZ21" s="60"/>
      <c r="BA21" s="60"/>
      <c r="BB21" s="60"/>
    </row>
    <row r="22" spans="1:54" s="61" customFormat="1" x14ac:dyDescent="0.25">
      <c r="A22" s="75">
        <f t="shared" si="1"/>
        <v>19</v>
      </c>
      <c r="B22" s="74" t="s">
        <v>65</v>
      </c>
      <c r="C22" s="47">
        <v>2</v>
      </c>
      <c r="D22" s="47"/>
      <c r="E22" s="47"/>
      <c r="F22" s="47"/>
      <c r="G22" s="47"/>
      <c r="H22" s="47"/>
      <c r="I22" s="47"/>
      <c r="J22" s="111"/>
      <c r="K22" s="46"/>
      <c r="L22" s="57"/>
      <c r="M22" s="52"/>
      <c r="N22" s="121"/>
      <c r="O22" s="47"/>
      <c r="P22" s="111"/>
      <c r="Q22" s="111"/>
      <c r="R22" s="46"/>
      <c r="S22" s="57"/>
      <c r="T22" s="91">
        <f t="shared" si="0"/>
        <v>0</v>
      </c>
      <c r="U22" s="50">
        <f t="shared" si="4"/>
        <v>48</v>
      </c>
      <c r="V22" s="50">
        <f t="shared" si="5"/>
        <v>2</v>
      </c>
      <c r="W22" s="57"/>
      <c r="X22" s="57"/>
      <c r="Y22" s="57"/>
      <c r="Z22" s="57"/>
      <c r="AA22" s="57"/>
      <c r="AB22" s="57"/>
      <c r="AC22" s="57"/>
      <c r="AD22" s="57"/>
      <c r="AE22" s="57"/>
      <c r="AF22" s="60"/>
      <c r="AG22" s="60"/>
      <c r="AH22" s="60"/>
      <c r="AI22" s="60"/>
      <c r="AJ22" s="60"/>
      <c r="AK22" s="60"/>
      <c r="AL22" s="60"/>
      <c r="AM22" s="60"/>
      <c r="AN22" s="60"/>
      <c r="AO22" s="60"/>
      <c r="AP22" s="60"/>
      <c r="AQ22" s="60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</row>
    <row r="23" spans="1:54" s="61" customFormat="1" x14ac:dyDescent="0.25">
      <c r="A23" s="75">
        <f t="shared" si="1"/>
        <v>20</v>
      </c>
      <c r="B23" s="74" t="s">
        <v>66</v>
      </c>
      <c r="C23" s="47">
        <v>48</v>
      </c>
      <c r="D23" s="47"/>
      <c r="E23" s="47"/>
      <c r="F23" s="47"/>
      <c r="G23" s="47"/>
      <c r="H23" s="47"/>
      <c r="I23" s="47"/>
      <c r="J23" s="111"/>
      <c r="K23" s="46"/>
      <c r="L23" s="57"/>
      <c r="M23" s="52"/>
      <c r="N23" s="121"/>
      <c r="O23" s="47"/>
      <c r="P23" s="111"/>
      <c r="Q23" s="111"/>
      <c r="R23" s="46"/>
      <c r="S23" s="57"/>
      <c r="T23" s="91">
        <f t="shared" si="0"/>
        <v>0</v>
      </c>
      <c r="U23" s="50">
        <f t="shared" si="4"/>
        <v>1152</v>
      </c>
      <c r="V23" s="50">
        <f t="shared" si="5"/>
        <v>48</v>
      </c>
      <c r="W23" s="57"/>
      <c r="X23" s="57"/>
      <c r="Y23" s="57"/>
      <c r="Z23" s="57"/>
      <c r="AA23" s="57"/>
      <c r="AB23" s="57"/>
      <c r="AC23" s="57"/>
      <c r="AD23" s="57"/>
      <c r="AE23" s="57"/>
      <c r="AF23" s="60"/>
      <c r="AG23" s="60"/>
      <c r="AH23" s="60"/>
      <c r="AI23" s="60"/>
      <c r="AJ23" s="60"/>
      <c r="AK23" s="60"/>
      <c r="AL23" s="60"/>
      <c r="AM23" s="60"/>
      <c r="AN23" s="60"/>
      <c r="AO23" s="60"/>
      <c r="AP23" s="60"/>
      <c r="AQ23" s="60"/>
      <c r="AR23" s="60"/>
      <c r="AS23" s="60"/>
      <c r="AT23" s="60"/>
      <c r="AU23" s="60"/>
      <c r="AV23" s="60"/>
      <c r="AW23" s="60"/>
      <c r="AX23" s="60"/>
      <c r="AY23" s="60"/>
      <c r="AZ23" s="60"/>
      <c r="BA23" s="60"/>
      <c r="BB23" s="60"/>
    </row>
    <row r="24" spans="1:54" s="61" customFormat="1" x14ac:dyDescent="0.25">
      <c r="A24" s="75">
        <f t="shared" si="1"/>
        <v>21</v>
      </c>
      <c r="B24" s="74" t="s">
        <v>75</v>
      </c>
      <c r="C24" s="47">
        <v>2</v>
      </c>
      <c r="D24" s="47"/>
      <c r="E24" s="47"/>
      <c r="F24" s="47"/>
      <c r="G24" s="47"/>
      <c r="H24" s="47"/>
      <c r="I24" s="47"/>
      <c r="J24" s="111"/>
      <c r="K24" s="46"/>
      <c r="L24" s="57"/>
      <c r="M24" s="52"/>
      <c r="N24" s="121"/>
      <c r="O24" s="47"/>
      <c r="P24" s="111"/>
      <c r="Q24" s="111"/>
      <c r="R24" s="46"/>
      <c r="S24" s="57"/>
      <c r="T24" s="91">
        <f t="shared" si="0"/>
        <v>0</v>
      </c>
      <c r="U24" s="50">
        <f t="shared" si="4"/>
        <v>48</v>
      </c>
      <c r="V24" s="50">
        <f t="shared" si="5"/>
        <v>2</v>
      </c>
      <c r="W24" s="57"/>
      <c r="X24" s="57"/>
      <c r="Y24" s="57"/>
      <c r="Z24" s="57"/>
      <c r="AA24" s="57"/>
      <c r="AB24" s="57"/>
      <c r="AC24" s="57"/>
      <c r="AD24" s="57"/>
      <c r="AE24" s="57"/>
      <c r="AF24" s="60"/>
      <c r="AG24" s="60"/>
      <c r="AH24" s="60"/>
      <c r="AI24" s="60"/>
      <c r="AJ24" s="60"/>
      <c r="AK24" s="60"/>
      <c r="AL24" s="60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</row>
    <row r="25" spans="1:54" x14ac:dyDescent="0.25">
      <c r="A25" s="75">
        <f t="shared" si="1"/>
        <v>22</v>
      </c>
      <c r="B25" s="74" t="s">
        <v>67</v>
      </c>
      <c r="C25" s="47">
        <v>7</v>
      </c>
      <c r="D25" s="47"/>
      <c r="E25" s="47"/>
      <c r="F25" s="47"/>
      <c r="G25" s="47"/>
      <c r="H25" s="47"/>
      <c r="I25" s="47"/>
      <c r="J25" s="111"/>
      <c r="K25" s="46"/>
      <c r="M25" s="52"/>
      <c r="N25" s="121"/>
      <c r="O25" s="47"/>
      <c r="P25" s="111"/>
      <c r="Q25" s="111"/>
      <c r="R25" s="46"/>
      <c r="T25" s="91">
        <f t="shared" si="0"/>
        <v>0</v>
      </c>
      <c r="U25" s="50">
        <f t="shared" si="4"/>
        <v>168</v>
      </c>
      <c r="V25" s="50">
        <f t="shared" si="5"/>
        <v>7</v>
      </c>
      <c r="AF25" s="60"/>
      <c r="AG25" s="60"/>
      <c r="AH25" s="60"/>
      <c r="AI25" s="60"/>
      <c r="AJ25" s="60"/>
      <c r="AK25" s="60"/>
      <c r="AL25" s="60"/>
      <c r="AM25" s="60"/>
      <c r="AN25" s="60"/>
      <c r="AO25" s="60"/>
      <c r="AP25" s="60"/>
      <c r="AQ25" s="60"/>
      <c r="AR25" s="60"/>
      <c r="AS25" s="60"/>
      <c r="AT25" s="60"/>
      <c r="AU25" s="60"/>
      <c r="AV25" s="60"/>
      <c r="AW25" s="60"/>
      <c r="AX25" s="60"/>
      <c r="AY25" s="60"/>
      <c r="AZ25" s="60"/>
      <c r="BA25" s="60"/>
      <c r="BB25" s="60"/>
    </row>
    <row r="26" spans="1:54" x14ac:dyDescent="0.25">
      <c r="A26" s="75">
        <f t="shared" si="1"/>
        <v>23</v>
      </c>
      <c r="B26" s="74" t="s">
        <v>9</v>
      </c>
      <c r="C26" s="47">
        <f>63+25</f>
        <v>88</v>
      </c>
      <c r="D26" s="47"/>
      <c r="E26" s="47"/>
      <c r="F26" s="47"/>
      <c r="G26" s="47"/>
      <c r="H26" s="47">
        <v>22</v>
      </c>
      <c r="I26" s="47">
        <v>1</v>
      </c>
      <c r="J26" s="111"/>
      <c r="K26" s="46"/>
      <c r="M26" s="52"/>
      <c r="N26" s="121"/>
      <c r="O26" s="47">
        <v>2</v>
      </c>
      <c r="P26" s="111"/>
      <c r="Q26" s="111">
        <v>2</v>
      </c>
      <c r="R26" s="46"/>
      <c r="T26" s="91">
        <f t="shared" si="0"/>
        <v>23</v>
      </c>
      <c r="U26" s="50">
        <f t="shared" si="4"/>
        <v>2231</v>
      </c>
      <c r="V26" s="50">
        <f t="shared" si="5"/>
        <v>92.958333333333329</v>
      </c>
      <c r="AY26" s="62" t="e">
        <f>#REF!-AY25</f>
        <v>#REF!</v>
      </c>
    </row>
    <row r="27" spans="1:54" s="61" customFormat="1" x14ac:dyDescent="0.25">
      <c r="A27" s="75">
        <f t="shared" si="1"/>
        <v>24</v>
      </c>
      <c r="B27" s="74" t="s">
        <v>11</v>
      </c>
      <c r="C27" s="47"/>
      <c r="D27" s="47"/>
      <c r="E27" s="47"/>
      <c r="F27" s="47"/>
      <c r="G27" s="47"/>
      <c r="H27" s="47"/>
      <c r="I27" s="47"/>
      <c r="J27" s="111"/>
      <c r="K27" s="46"/>
      <c r="L27" s="57"/>
      <c r="M27" s="52"/>
      <c r="N27" s="121"/>
      <c r="O27" s="47"/>
      <c r="P27" s="111"/>
      <c r="Q27" s="111"/>
      <c r="R27" s="46"/>
      <c r="S27" s="57"/>
      <c r="T27" s="91">
        <f t="shared" si="0"/>
        <v>0</v>
      </c>
      <c r="U27" s="50">
        <f t="shared" si="4"/>
        <v>0</v>
      </c>
      <c r="V27" s="50">
        <f t="shared" si="5"/>
        <v>0</v>
      </c>
      <c r="W27" s="57"/>
      <c r="X27" s="57"/>
      <c r="Y27" s="57"/>
      <c r="Z27" s="57"/>
      <c r="AA27" s="57"/>
      <c r="AB27" s="57"/>
      <c r="AC27" s="57"/>
      <c r="AD27" s="57"/>
      <c r="AE27" s="57"/>
    </row>
    <row r="28" spans="1:54" s="61" customFormat="1" x14ac:dyDescent="0.25">
      <c r="A28" s="75">
        <f t="shared" si="1"/>
        <v>25</v>
      </c>
      <c r="B28" s="74" t="s">
        <v>12</v>
      </c>
      <c r="C28" s="47">
        <v>63</v>
      </c>
      <c r="D28" s="47"/>
      <c r="E28" s="47"/>
      <c r="F28" s="47"/>
      <c r="G28" s="47"/>
      <c r="H28" s="47"/>
      <c r="I28" s="47"/>
      <c r="J28" s="111"/>
      <c r="K28" s="46"/>
      <c r="L28" s="57"/>
      <c r="M28" s="52"/>
      <c r="N28" s="121"/>
      <c r="O28" s="47"/>
      <c r="P28" s="111"/>
      <c r="Q28" s="111"/>
      <c r="R28" s="46"/>
      <c r="S28" s="57"/>
      <c r="T28" s="91">
        <f t="shared" si="0"/>
        <v>0</v>
      </c>
      <c r="U28" s="50">
        <f t="shared" si="4"/>
        <v>1512</v>
      </c>
      <c r="V28" s="50">
        <f t="shared" si="5"/>
        <v>63</v>
      </c>
      <c r="W28" s="57"/>
      <c r="X28" s="57"/>
      <c r="Y28" s="57"/>
      <c r="Z28" s="57"/>
      <c r="AA28" s="57"/>
      <c r="AB28" s="57"/>
      <c r="AC28" s="57"/>
      <c r="AD28" s="57"/>
      <c r="AE28" s="57"/>
    </row>
    <row r="29" spans="1:54" x14ac:dyDescent="0.25">
      <c r="A29" s="75">
        <f t="shared" si="1"/>
        <v>26</v>
      </c>
      <c r="B29" s="74" t="s">
        <v>14</v>
      </c>
      <c r="C29" s="47"/>
      <c r="D29" s="47"/>
      <c r="E29" s="47"/>
      <c r="F29" s="47"/>
      <c r="G29" s="47"/>
      <c r="H29" s="47"/>
      <c r="I29" s="47"/>
      <c r="J29" s="111"/>
      <c r="K29" s="46"/>
      <c r="M29" s="52"/>
      <c r="N29" s="121"/>
      <c r="O29" s="47"/>
      <c r="P29" s="111"/>
      <c r="Q29" s="111"/>
      <c r="R29" s="46"/>
      <c r="T29" s="91">
        <f t="shared" si="0"/>
        <v>0</v>
      </c>
      <c r="U29" s="50">
        <f t="shared" si="4"/>
        <v>0</v>
      </c>
      <c r="V29" s="50">
        <f t="shared" si="5"/>
        <v>0</v>
      </c>
    </row>
    <row r="30" spans="1:54" x14ac:dyDescent="0.25">
      <c r="A30" s="75">
        <f t="shared" si="1"/>
        <v>27</v>
      </c>
      <c r="B30" s="74" t="s">
        <v>16</v>
      </c>
      <c r="C30" s="47">
        <v>62</v>
      </c>
      <c r="D30" s="47"/>
      <c r="E30" s="47"/>
      <c r="F30" s="47"/>
      <c r="G30" s="47"/>
      <c r="H30" s="47"/>
      <c r="I30" s="47"/>
      <c r="J30" s="111"/>
      <c r="K30" s="46"/>
      <c r="M30" s="52"/>
      <c r="N30" s="121"/>
      <c r="O30" s="47">
        <v>1</v>
      </c>
      <c r="P30" s="111"/>
      <c r="Q30" s="111">
        <v>1</v>
      </c>
      <c r="R30" s="46"/>
      <c r="T30" s="91">
        <f t="shared" si="0"/>
        <v>0</v>
      </c>
      <c r="U30" s="50">
        <f t="shared" si="4"/>
        <v>1536</v>
      </c>
      <c r="V30" s="50">
        <f t="shared" si="5"/>
        <v>64</v>
      </c>
    </row>
    <row r="31" spans="1:54" x14ac:dyDescent="0.25">
      <c r="A31" s="75">
        <f t="shared" si="1"/>
        <v>28</v>
      </c>
      <c r="B31" s="74" t="s">
        <v>13</v>
      </c>
      <c r="C31" s="47"/>
      <c r="D31" s="47"/>
      <c r="E31" s="47"/>
      <c r="F31" s="47"/>
      <c r="G31" s="47"/>
      <c r="H31" s="47"/>
      <c r="I31" s="47"/>
      <c r="J31" s="111"/>
      <c r="K31" s="46"/>
      <c r="M31" s="52"/>
      <c r="N31" s="121"/>
      <c r="O31" s="47"/>
      <c r="P31" s="111"/>
      <c r="Q31" s="111"/>
      <c r="R31" s="46"/>
      <c r="T31" s="91">
        <f t="shared" si="0"/>
        <v>0</v>
      </c>
      <c r="U31" s="50">
        <f t="shared" si="4"/>
        <v>0</v>
      </c>
      <c r="V31" s="50">
        <f t="shared" si="5"/>
        <v>0</v>
      </c>
    </row>
    <row r="32" spans="1:54" x14ac:dyDescent="0.25">
      <c r="A32" s="75">
        <f t="shared" si="1"/>
        <v>29</v>
      </c>
      <c r="B32" s="74" t="s">
        <v>15</v>
      </c>
      <c r="C32" s="47"/>
      <c r="D32" s="47"/>
      <c r="E32" s="47"/>
      <c r="F32" s="47"/>
      <c r="G32" s="47"/>
      <c r="H32" s="47"/>
      <c r="I32" s="47"/>
      <c r="J32" s="111"/>
      <c r="K32" s="46"/>
      <c r="M32" s="52"/>
      <c r="N32" s="121"/>
      <c r="O32" s="47"/>
      <c r="P32" s="111"/>
      <c r="Q32" s="111"/>
      <c r="R32" s="46"/>
      <c r="T32" s="91">
        <f t="shared" si="0"/>
        <v>0</v>
      </c>
      <c r="U32" s="50">
        <f t="shared" si="4"/>
        <v>0</v>
      </c>
      <c r="V32" s="50">
        <f t="shared" si="5"/>
        <v>0</v>
      </c>
    </row>
    <row r="33" spans="1:23" x14ac:dyDescent="0.25">
      <c r="A33" s="75">
        <f t="shared" si="1"/>
        <v>30</v>
      </c>
      <c r="B33" s="74" t="s">
        <v>17</v>
      </c>
      <c r="C33" s="47"/>
      <c r="D33" s="47"/>
      <c r="E33" s="47"/>
      <c r="F33" s="47"/>
      <c r="G33" s="47"/>
      <c r="H33" s="47"/>
      <c r="I33" s="47"/>
      <c r="J33" s="111"/>
      <c r="K33" s="46"/>
      <c r="M33" s="52"/>
      <c r="N33" s="121"/>
      <c r="O33" s="47"/>
      <c r="P33" s="111"/>
      <c r="Q33" s="111"/>
      <c r="R33" s="46"/>
      <c r="T33" s="91">
        <f t="shared" si="0"/>
        <v>0</v>
      </c>
      <c r="U33" s="50">
        <f t="shared" si="4"/>
        <v>0</v>
      </c>
      <c r="V33" s="50">
        <f t="shared" si="5"/>
        <v>0</v>
      </c>
    </row>
    <row r="34" spans="1:23" x14ac:dyDescent="0.25">
      <c r="A34" s="75">
        <f t="shared" si="1"/>
        <v>31</v>
      </c>
      <c r="B34" s="74" t="s">
        <v>18</v>
      </c>
      <c r="C34" s="47">
        <f>72+37+15</f>
        <v>124</v>
      </c>
      <c r="D34" s="47"/>
      <c r="E34" s="47"/>
      <c r="F34" s="47"/>
      <c r="G34" s="47"/>
      <c r="H34" s="47">
        <v>16</v>
      </c>
      <c r="I34" s="47"/>
      <c r="J34" s="111"/>
      <c r="K34" s="46">
        <v>1</v>
      </c>
      <c r="M34" s="52"/>
      <c r="N34" s="121"/>
      <c r="O34" s="47">
        <v>10</v>
      </c>
      <c r="P34" s="111">
        <v>6</v>
      </c>
      <c r="Q34" s="111"/>
      <c r="R34" s="46"/>
      <c r="T34" s="91">
        <f t="shared" si="0"/>
        <v>23</v>
      </c>
      <c r="U34" s="50">
        <f t="shared" si="4"/>
        <v>3239</v>
      </c>
      <c r="V34" s="50">
        <f t="shared" si="5"/>
        <v>134.95833333333334</v>
      </c>
    </row>
    <row r="35" spans="1:23" hidden="1" x14ac:dyDescent="0.25">
      <c r="A35" s="75">
        <f t="shared" si="1"/>
        <v>32</v>
      </c>
      <c r="B35" s="74" t="s">
        <v>26</v>
      </c>
      <c r="C35" s="47"/>
      <c r="D35" s="47"/>
      <c r="E35" s="47"/>
      <c r="F35" s="47"/>
      <c r="G35" s="47"/>
      <c r="H35" s="47"/>
      <c r="I35" s="47"/>
      <c r="J35" s="111"/>
      <c r="K35" s="46"/>
      <c r="M35" s="52"/>
      <c r="N35" s="121"/>
      <c r="O35" s="47"/>
      <c r="P35" s="111"/>
      <c r="Q35" s="111"/>
      <c r="R35" s="46"/>
      <c r="T35" s="91">
        <f t="shared" si="0"/>
        <v>0</v>
      </c>
      <c r="U35" s="50">
        <f t="shared" si="4"/>
        <v>0</v>
      </c>
      <c r="V35" s="50">
        <f t="shared" si="5"/>
        <v>0</v>
      </c>
    </row>
    <row r="36" spans="1:23" x14ac:dyDescent="0.25">
      <c r="A36" s="75">
        <f t="shared" si="1"/>
        <v>33</v>
      </c>
      <c r="B36" s="74" t="s">
        <v>19</v>
      </c>
      <c r="C36" s="47"/>
      <c r="D36" s="47"/>
      <c r="E36" s="47"/>
      <c r="F36" s="47"/>
      <c r="G36" s="47"/>
      <c r="H36" s="47"/>
      <c r="I36" s="47"/>
      <c r="J36" s="111"/>
      <c r="K36" s="46"/>
      <c r="M36" s="52"/>
      <c r="N36" s="121"/>
      <c r="O36" s="47"/>
      <c r="P36" s="111"/>
      <c r="Q36" s="111"/>
      <c r="R36" s="46"/>
      <c r="T36" s="91">
        <f t="shared" si="0"/>
        <v>0</v>
      </c>
      <c r="U36" s="50">
        <f t="shared" si="4"/>
        <v>0</v>
      </c>
      <c r="V36" s="50">
        <f t="shared" si="5"/>
        <v>0</v>
      </c>
    </row>
    <row r="37" spans="1:23" ht="19.5" thickBot="1" x14ac:dyDescent="0.3">
      <c r="A37" s="75">
        <f t="shared" si="1"/>
        <v>34</v>
      </c>
      <c r="B37" s="94" t="s">
        <v>20</v>
      </c>
      <c r="C37" s="95">
        <f>2376+2160+68</f>
        <v>4604</v>
      </c>
      <c r="D37" s="95"/>
      <c r="E37" s="95"/>
      <c r="F37" s="95"/>
      <c r="G37" s="95"/>
      <c r="H37" s="95">
        <v>2</v>
      </c>
      <c r="I37" s="95"/>
      <c r="J37" s="110">
        <v>4</v>
      </c>
      <c r="K37" s="96">
        <v>2</v>
      </c>
      <c r="L37" s="102"/>
      <c r="M37" s="103">
        <v>10</v>
      </c>
      <c r="N37" s="120"/>
      <c r="O37" s="97">
        <v>30</v>
      </c>
      <c r="P37" s="113"/>
      <c r="Q37" s="113">
        <v>86</v>
      </c>
      <c r="R37" s="98"/>
      <c r="S37" s="102"/>
      <c r="T37" s="104">
        <f t="shared" si="0"/>
        <v>8</v>
      </c>
      <c r="U37" s="104">
        <f>C37*6+M37*6+O37*6+Q37*6+T37</f>
        <v>28388</v>
      </c>
      <c r="V37" s="104">
        <f>U37/6</f>
        <v>4731.333333333333</v>
      </c>
      <c r="W37" s="123"/>
    </row>
    <row r="38" spans="1:23" x14ac:dyDescent="0.25">
      <c r="A38" s="75">
        <f t="shared" si="1"/>
        <v>35</v>
      </c>
      <c r="B38" s="73" t="s">
        <v>21</v>
      </c>
      <c r="C38" s="47">
        <v>3</v>
      </c>
      <c r="D38" s="47"/>
      <c r="E38" s="47"/>
      <c r="F38" s="47"/>
      <c r="G38" s="47"/>
      <c r="H38" s="47"/>
      <c r="I38" s="47"/>
      <c r="J38" s="111"/>
      <c r="K38" s="46"/>
      <c r="M38" s="52"/>
      <c r="N38" s="121"/>
      <c r="O38" s="47">
        <v>1</v>
      </c>
      <c r="P38" s="111"/>
      <c r="Q38" s="111"/>
      <c r="R38" s="46"/>
      <c r="T38" s="50">
        <f t="shared" si="0"/>
        <v>0</v>
      </c>
      <c r="U38" s="50">
        <f>C38*24+M38*24+O38*24+Q38*24+T38</f>
        <v>96</v>
      </c>
      <c r="V38" s="50">
        <f>U38/24</f>
        <v>4</v>
      </c>
    </row>
    <row r="39" spans="1:23" ht="19.5" thickBot="1" x14ac:dyDescent="0.3">
      <c r="A39" s="75">
        <f t="shared" si="1"/>
        <v>36</v>
      </c>
      <c r="B39" s="94" t="s">
        <v>22</v>
      </c>
      <c r="C39" s="95">
        <f>756+16</f>
        <v>772</v>
      </c>
      <c r="D39" s="95"/>
      <c r="E39" s="95"/>
      <c r="F39" s="95"/>
      <c r="G39" s="95"/>
      <c r="H39" s="95">
        <v>4</v>
      </c>
      <c r="I39" s="95"/>
      <c r="J39" s="110"/>
      <c r="K39" s="96">
        <v>15</v>
      </c>
      <c r="L39" s="102"/>
      <c r="M39" s="103"/>
      <c r="N39" s="120"/>
      <c r="O39" s="97">
        <v>10</v>
      </c>
      <c r="P39" s="113"/>
      <c r="Q39" s="113">
        <v>2</v>
      </c>
      <c r="R39" s="98"/>
      <c r="S39" s="102"/>
      <c r="T39" s="104">
        <f>H39+I39+J39+K39+N39+P39+R39</f>
        <v>19</v>
      </c>
      <c r="U39" s="104">
        <f>C39*24+M39*24+O39*24+Q39*24+T39</f>
        <v>18835</v>
      </c>
      <c r="V39" s="104">
        <f>U39/24</f>
        <v>784.79166666666663</v>
      </c>
    </row>
    <row r="40" spans="1:23" ht="19.5" thickBot="1" x14ac:dyDescent="0.3">
      <c r="A40" s="75">
        <f t="shared" si="1"/>
        <v>37</v>
      </c>
      <c r="B40" s="99" t="s">
        <v>23</v>
      </c>
      <c r="C40" s="100">
        <f>1632+50</f>
        <v>1682</v>
      </c>
      <c r="D40" s="100"/>
      <c r="E40" s="100"/>
      <c r="F40" s="100"/>
      <c r="G40" s="100"/>
      <c r="H40" s="100"/>
      <c r="I40" s="100"/>
      <c r="J40" s="112"/>
      <c r="K40" s="101"/>
      <c r="L40" s="105"/>
      <c r="M40" s="106"/>
      <c r="N40" s="122"/>
      <c r="O40" s="100">
        <v>11</v>
      </c>
      <c r="P40" s="112"/>
      <c r="Q40" s="112">
        <v>15</v>
      </c>
      <c r="R40" s="101"/>
      <c r="S40" s="105"/>
      <c r="T40" s="107">
        <f t="shared" si="0"/>
        <v>0</v>
      </c>
      <c r="U40" s="107">
        <f>C40*12+M40*12+O40*12+Q40*12+T40</f>
        <v>20496</v>
      </c>
      <c r="V40" s="107">
        <f>U40/12</f>
        <v>1708</v>
      </c>
    </row>
    <row r="41" spans="1:23" hidden="1" x14ac:dyDescent="0.25">
      <c r="A41" s="75">
        <f t="shared" si="1"/>
        <v>38</v>
      </c>
      <c r="B41" s="73" t="s">
        <v>31</v>
      </c>
      <c r="C41" s="47"/>
      <c r="D41" s="47"/>
      <c r="E41" s="47"/>
      <c r="F41" s="47"/>
      <c r="G41" s="47"/>
      <c r="H41" s="47"/>
      <c r="I41" s="47"/>
      <c r="J41" s="111"/>
      <c r="K41" s="46"/>
      <c r="M41" s="52"/>
      <c r="N41" s="121"/>
      <c r="O41" s="47"/>
      <c r="P41" s="111"/>
      <c r="Q41" s="111"/>
      <c r="R41" s="46"/>
      <c r="T41" s="50"/>
      <c r="U41" s="50"/>
      <c r="V41" s="50"/>
    </row>
    <row r="42" spans="1:23" ht="19.5" thickBot="1" x14ac:dyDescent="0.3">
      <c r="A42" s="75">
        <f t="shared" si="1"/>
        <v>39</v>
      </c>
      <c r="B42" s="94" t="s">
        <v>24</v>
      </c>
      <c r="C42" s="97">
        <f>6048+6048+3132+7128+3564</f>
        <v>25920</v>
      </c>
      <c r="D42" s="97"/>
      <c r="E42" s="97"/>
      <c r="F42" s="97"/>
      <c r="G42" s="97"/>
      <c r="H42" s="97">
        <v>4</v>
      </c>
      <c r="I42" s="97">
        <v>6</v>
      </c>
      <c r="J42" s="113">
        <f>6*6+4</f>
        <v>40</v>
      </c>
      <c r="K42" s="98">
        <f>75*6+4</f>
        <v>454</v>
      </c>
      <c r="L42" s="102"/>
      <c r="M42" s="103">
        <v>356</v>
      </c>
      <c r="N42" s="120"/>
      <c r="O42" s="97">
        <v>281</v>
      </c>
      <c r="P42" s="113"/>
      <c r="Q42" s="113">
        <v>371</v>
      </c>
      <c r="R42" s="98"/>
      <c r="S42" s="102"/>
      <c r="T42" s="104">
        <f t="shared" ref="T42" si="6">H42+I42+J42+K42+N42+P42+R42</f>
        <v>504</v>
      </c>
      <c r="U42" s="104">
        <f>C42*6+M42*6+O42*6+Q42*6+T42</f>
        <v>162072</v>
      </c>
      <c r="V42" s="104">
        <f>U42/6</f>
        <v>27012</v>
      </c>
    </row>
    <row r="43" spans="1:23" hidden="1" x14ac:dyDescent="0.25">
      <c r="A43" s="75">
        <f t="shared" si="1"/>
        <v>40</v>
      </c>
      <c r="B43" s="73" t="s">
        <v>33</v>
      </c>
      <c r="C43" s="47"/>
      <c r="D43" s="47"/>
      <c r="E43" s="47"/>
      <c r="F43" s="47"/>
      <c r="G43" s="47"/>
      <c r="H43" s="47"/>
      <c r="I43" s="47"/>
      <c r="J43" s="111"/>
      <c r="K43" s="46"/>
      <c r="M43" s="52"/>
      <c r="N43" s="121"/>
      <c r="O43" s="47"/>
      <c r="P43" s="111"/>
      <c r="Q43" s="111"/>
      <c r="R43" s="46"/>
      <c r="T43" s="50"/>
      <c r="U43" s="50"/>
      <c r="V43" s="50"/>
    </row>
    <row r="44" spans="1:23" x14ac:dyDescent="0.25">
      <c r="A44" s="75">
        <f t="shared" si="1"/>
        <v>41</v>
      </c>
      <c r="B44" s="74" t="s">
        <v>25</v>
      </c>
      <c r="C44" s="47"/>
      <c r="D44" s="47"/>
      <c r="E44" s="47"/>
      <c r="F44" s="47"/>
      <c r="G44" s="47"/>
      <c r="H44" s="47"/>
      <c r="I44" s="47"/>
      <c r="J44" s="111"/>
      <c r="K44" s="46"/>
      <c r="M44" s="52"/>
      <c r="N44" s="121"/>
      <c r="O44" s="47"/>
      <c r="P44" s="111"/>
      <c r="Q44" s="111"/>
      <c r="R44" s="46"/>
      <c r="T44" s="50">
        <f t="shared" ref="T44:T53" si="7">H44+I44+J44+K44+N44+P44+R44</f>
        <v>0</v>
      </c>
      <c r="U44" s="50">
        <f>C44*24+M44*24+O44*24+Q44*24+T44</f>
        <v>0</v>
      </c>
      <c r="V44" s="50">
        <f>U44/24</f>
        <v>0</v>
      </c>
    </row>
    <row r="45" spans="1:23" x14ac:dyDescent="0.25">
      <c r="A45" s="75">
        <f t="shared" si="1"/>
        <v>42</v>
      </c>
      <c r="B45" s="74" t="s">
        <v>68</v>
      </c>
      <c r="C45" s="47"/>
      <c r="D45" s="47"/>
      <c r="E45" s="47"/>
      <c r="F45" s="47"/>
      <c r="G45" s="47"/>
      <c r="H45" s="47"/>
      <c r="I45" s="47"/>
      <c r="J45" s="111"/>
      <c r="K45" s="46"/>
      <c r="M45" s="52"/>
      <c r="N45" s="121"/>
      <c r="O45" s="47"/>
      <c r="P45" s="111"/>
      <c r="Q45" s="111"/>
      <c r="R45" s="46"/>
      <c r="T45" s="50">
        <f t="shared" si="7"/>
        <v>0</v>
      </c>
      <c r="U45" s="50">
        <f t="shared" ref="U45:U47" si="8">C45*24+M45*24+O45*24+Q45*24+T45</f>
        <v>0</v>
      </c>
      <c r="V45" s="50">
        <f t="shared" ref="V45:V53" si="9">U45/24</f>
        <v>0</v>
      </c>
    </row>
    <row r="46" spans="1:23" x14ac:dyDescent="0.25">
      <c r="A46" s="75">
        <f t="shared" si="1"/>
        <v>43</v>
      </c>
      <c r="B46" s="74" t="s">
        <v>73</v>
      </c>
      <c r="C46" s="47"/>
      <c r="D46" s="47"/>
      <c r="E46" s="47"/>
      <c r="F46" s="47"/>
      <c r="G46" s="47"/>
      <c r="H46" s="47"/>
      <c r="I46" s="47"/>
      <c r="J46" s="111"/>
      <c r="K46" s="46"/>
      <c r="M46" s="52"/>
      <c r="N46" s="121"/>
      <c r="O46" s="47"/>
      <c r="P46" s="111"/>
      <c r="Q46" s="111"/>
      <c r="R46" s="46"/>
      <c r="T46" s="50">
        <f t="shared" si="7"/>
        <v>0</v>
      </c>
      <c r="U46" s="50">
        <f t="shared" si="8"/>
        <v>0</v>
      </c>
      <c r="V46" s="50">
        <f t="shared" si="9"/>
        <v>0</v>
      </c>
    </row>
    <row r="47" spans="1:23" x14ac:dyDescent="0.25">
      <c r="A47" s="75">
        <f t="shared" si="1"/>
        <v>44</v>
      </c>
      <c r="B47" s="74" t="s">
        <v>83</v>
      </c>
      <c r="C47" s="47"/>
      <c r="D47" s="47"/>
      <c r="E47" s="47"/>
      <c r="F47" s="47"/>
      <c r="G47" s="47"/>
      <c r="H47" s="47"/>
      <c r="I47" s="47"/>
      <c r="J47" s="111"/>
      <c r="K47" s="46"/>
      <c r="M47" s="52"/>
      <c r="N47" s="121"/>
      <c r="O47" s="47"/>
      <c r="P47" s="111"/>
      <c r="Q47" s="111"/>
      <c r="R47" s="46"/>
      <c r="T47" s="50">
        <f t="shared" si="7"/>
        <v>0</v>
      </c>
      <c r="U47" s="50">
        <f t="shared" si="8"/>
        <v>0</v>
      </c>
      <c r="V47" s="50">
        <f t="shared" si="9"/>
        <v>0</v>
      </c>
    </row>
    <row r="48" spans="1:23" x14ac:dyDescent="0.25">
      <c r="A48" s="75">
        <f t="shared" si="1"/>
        <v>45</v>
      </c>
      <c r="B48" s="74" t="s">
        <v>26</v>
      </c>
      <c r="C48" s="47">
        <f>24+44+2268</f>
        <v>2336</v>
      </c>
      <c r="D48" s="47"/>
      <c r="E48" s="47"/>
      <c r="F48" s="47"/>
      <c r="G48" s="47"/>
      <c r="H48" s="47">
        <v>3</v>
      </c>
      <c r="I48" s="47"/>
      <c r="J48" s="111"/>
      <c r="K48" s="46">
        <v>6</v>
      </c>
      <c r="M48" s="52">
        <v>10</v>
      </c>
      <c r="N48" s="121"/>
      <c r="O48" s="47">
        <v>8</v>
      </c>
      <c r="P48" s="111">
        <v>2</v>
      </c>
      <c r="Q48" s="111">
        <v>10</v>
      </c>
      <c r="R48" s="46"/>
      <c r="T48" s="50">
        <f t="shared" si="7"/>
        <v>11</v>
      </c>
      <c r="U48" s="50">
        <f>C48*6+M48*6+O48*6+Q48*6+T48</f>
        <v>14195</v>
      </c>
      <c r="V48" s="50">
        <f>U48/6</f>
        <v>2365.8333333333335</v>
      </c>
    </row>
    <row r="49" spans="1:22" x14ac:dyDescent="0.25">
      <c r="A49" s="75">
        <f t="shared" si="1"/>
        <v>46</v>
      </c>
      <c r="B49" s="74" t="s">
        <v>69</v>
      </c>
      <c r="C49" s="47"/>
      <c r="D49" s="47"/>
      <c r="E49" s="47"/>
      <c r="F49" s="47"/>
      <c r="G49" s="47"/>
      <c r="H49" s="47"/>
      <c r="I49" s="47"/>
      <c r="J49" s="111"/>
      <c r="K49" s="46"/>
      <c r="M49" s="52"/>
      <c r="N49" s="121"/>
      <c r="O49" s="47"/>
      <c r="P49" s="111"/>
      <c r="Q49" s="111"/>
      <c r="R49" s="46"/>
      <c r="T49" s="50">
        <f t="shared" si="7"/>
        <v>0</v>
      </c>
      <c r="U49" s="50">
        <f t="shared" ref="U49:U51" si="10">C49*24+M49*24+O49*24+Q49*24+T49</f>
        <v>0</v>
      </c>
      <c r="V49" s="50">
        <f t="shared" si="9"/>
        <v>0</v>
      </c>
    </row>
    <row r="50" spans="1:22" x14ac:dyDescent="0.25">
      <c r="A50" s="75">
        <f t="shared" si="1"/>
        <v>47</v>
      </c>
      <c r="B50" s="74" t="s">
        <v>28</v>
      </c>
      <c r="C50" s="47"/>
      <c r="D50" s="47"/>
      <c r="E50" s="47"/>
      <c r="F50" s="47"/>
      <c r="G50" s="47"/>
      <c r="H50" s="47"/>
      <c r="I50" s="47"/>
      <c r="J50" s="111"/>
      <c r="K50" s="46"/>
      <c r="M50" s="52"/>
      <c r="N50" s="121"/>
      <c r="O50" s="47"/>
      <c r="P50" s="111"/>
      <c r="Q50" s="111"/>
      <c r="R50" s="46"/>
      <c r="T50" s="50">
        <f t="shared" si="7"/>
        <v>0</v>
      </c>
      <c r="U50" s="50">
        <f t="shared" si="10"/>
        <v>0</v>
      </c>
      <c r="V50" s="50">
        <f t="shared" si="9"/>
        <v>0</v>
      </c>
    </row>
    <row r="51" spans="1:22" x14ac:dyDescent="0.25">
      <c r="A51" s="75">
        <f t="shared" si="1"/>
        <v>48</v>
      </c>
      <c r="B51" s="74" t="s">
        <v>70</v>
      </c>
      <c r="C51" s="47"/>
      <c r="D51" s="47"/>
      <c r="E51" s="47"/>
      <c r="F51" s="47"/>
      <c r="G51" s="47"/>
      <c r="H51" s="47"/>
      <c r="I51" s="47"/>
      <c r="J51" s="111"/>
      <c r="K51" s="46"/>
      <c r="M51" s="52"/>
      <c r="N51" s="121"/>
      <c r="O51" s="47"/>
      <c r="P51" s="111"/>
      <c r="Q51" s="111"/>
      <c r="R51" s="46"/>
      <c r="T51" s="50">
        <f t="shared" si="7"/>
        <v>0</v>
      </c>
      <c r="U51" s="50">
        <f t="shared" si="10"/>
        <v>0</v>
      </c>
      <c r="V51" s="50">
        <f t="shared" si="9"/>
        <v>0</v>
      </c>
    </row>
    <row r="52" spans="1:22" x14ac:dyDescent="0.25">
      <c r="A52" s="75">
        <f t="shared" si="1"/>
        <v>49</v>
      </c>
      <c r="B52" s="74" t="s">
        <v>29</v>
      </c>
      <c r="C52" s="47">
        <v>34</v>
      </c>
      <c r="D52" s="47"/>
      <c r="E52" s="47"/>
      <c r="F52" s="47"/>
      <c r="G52" s="47"/>
      <c r="H52" s="47"/>
      <c r="I52" s="47"/>
      <c r="J52" s="111"/>
      <c r="K52" s="46"/>
      <c r="M52" s="52"/>
      <c r="N52" s="121"/>
      <c r="O52" s="47"/>
      <c r="P52" s="111"/>
      <c r="Q52" s="111"/>
      <c r="R52" s="46"/>
      <c r="T52" s="50">
        <f t="shared" si="7"/>
        <v>0</v>
      </c>
      <c r="U52" s="50">
        <f>C52*6+M52*6+O52*6+Q52*6+T52</f>
        <v>204</v>
      </c>
      <c r="V52" s="50">
        <f>U52/6</f>
        <v>34</v>
      </c>
    </row>
    <row r="53" spans="1:22" x14ac:dyDescent="0.25">
      <c r="A53" s="75">
        <f t="shared" si="1"/>
        <v>50</v>
      </c>
      <c r="B53" s="74" t="s">
        <v>30</v>
      </c>
      <c r="C53" s="47"/>
      <c r="D53" s="47"/>
      <c r="E53" s="47"/>
      <c r="F53" s="47"/>
      <c r="G53" s="47"/>
      <c r="H53" s="47"/>
      <c r="I53" s="47"/>
      <c r="J53" s="111"/>
      <c r="K53" s="46"/>
      <c r="M53" s="52"/>
      <c r="N53" s="121"/>
      <c r="O53" s="47"/>
      <c r="P53" s="111"/>
      <c r="Q53" s="111"/>
      <c r="R53" s="46"/>
      <c r="T53" s="50">
        <f t="shared" si="7"/>
        <v>0</v>
      </c>
      <c r="U53" s="50">
        <f t="shared" ref="U53" si="11">C53*24+M53*24+O53*24+Q53*24+T53</f>
        <v>0</v>
      </c>
      <c r="V53" s="50">
        <f t="shared" si="9"/>
        <v>0</v>
      </c>
    </row>
    <row r="54" spans="1:22" x14ac:dyDescent="0.25">
      <c r="A54" s="75">
        <f t="shared" si="1"/>
        <v>51</v>
      </c>
      <c r="B54" s="74"/>
      <c r="C54" s="47"/>
      <c r="D54" s="47"/>
      <c r="E54" s="47"/>
      <c r="F54" s="47"/>
      <c r="G54" s="47"/>
      <c r="H54" s="47"/>
      <c r="I54" s="47"/>
      <c r="J54" s="111"/>
      <c r="K54" s="46"/>
      <c r="M54" s="52"/>
      <c r="N54" s="121"/>
      <c r="O54" s="47"/>
      <c r="P54" s="111"/>
      <c r="Q54" s="111"/>
      <c r="R54" s="46"/>
      <c r="T54" s="50"/>
      <c r="U54" s="50"/>
      <c r="V54" s="50"/>
    </row>
    <row r="55" spans="1:22" x14ac:dyDescent="0.25">
      <c r="A55" s="75">
        <f t="shared" si="1"/>
        <v>52</v>
      </c>
      <c r="B55" s="74"/>
      <c r="C55" s="47"/>
      <c r="D55" s="47"/>
      <c r="E55" s="47"/>
      <c r="F55" s="47"/>
      <c r="G55" s="47"/>
      <c r="H55" s="47"/>
      <c r="I55" s="47"/>
      <c r="J55" s="111"/>
      <c r="K55" s="46"/>
      <c r="M55" s="52"/>
      <c r="N55" s="121"/>
      <c r="O55" s="47"/>
      <c r="P55" s="111"/>
      <c r="Q55" s="111"/>
      <c r="R55" s="46"/>
      <c r="T55" s="50"/>
      <c r="U55" s="50"/>
      <c r="V55" s="50"/>
    </row>
    <row r="56" spans="1:22" x14ac:dyDescent="0.25">
      <c r="A56" s="75">
        <f t="shared" si="1"/>
        <v>53</v>
      </c>
      <c r="B56" s="74"/>
      <c r="C56" s="47"/>
      <c r="D56" s="47"/>
      <c r="E56" s="47"/>
      <c r="F56" s="47"/>
      <c r="G56" s="47"/>
      <c r="H56" s="47"/>
      <c r="I56" s="47"/>
      <c r="J56" s="111"/>
      <c r="K56" s="46"/>
      <c r="M56" s="52"/>
      <c r="N56" s="121"/>
      <c r="O56" s="47"/>
      <c r="P56" s="111"/>
      <c r="Q56" s="111"/>
      <c r="R56" s="46"/>
      <c r="T56" s="50"/>
      <c r="U56" s="50"/>
      <c r="V56" s="50"/>
    </row>
    <row r="57" spans="1:22" s="63" customFormat="1" ht="19.5" thickBot="1" x14ac:dyDescent="0.3">
      <c r="B57" s="77" t="s">
        <v>60</v>
      </c>
      <c r="C57" s="49">
        <f>SUM(C7:C56)</f>
        <v>39533</v>
      </c>
      <c r="D57" s="49"/>
      <c r="E57" s="49"/>
      <c r="F57" s="49">
        <f t="shared" ref="F57:K57" si="12">SUM(F7:F56)</f>
        <v>0</v>
      </c>
      <c r="G57" s="49">
        <f t="shared" si="12"/>
        <v>0</v>
      </c>
      <c r="H57" s="49">
        <f t="shared" si="12"/>
        <v>90</v>
      </c>
      <c r="I57" s="54">
        <f t="shared" si="12"/>
        <v>8</v>
      </c>
      <c r="J57" s="54">
        <f t="shared" si="12"/>
        <v>44</v>
      </c>
      <c r="K57" s="54">
        <f t="shared" si="12"/>
        <v>486</v>
      </c>
      <c r="M57" s="53">
        <f t="shared" ref="M57:R57" si="13">SUM(M7:M56)</f>
        <v>389</v>
      </c>
      <c r="N57" s="53">
        <f t="shared" si="13"/>
        <v>2</v>
      </c>
      <c r="O57" s="53">
        <f t="shared" si="13"/>
        <v>374</v>
      </c>
      <c r="P57" s="53">
        <f t="shared" si="13"/>
        <v>9</v>
      </c>
      <c r="Q57" s="53">
        <f t="shared" si="13"/>
        <v>504</v>
      </c>
      <c r="R57" s="53">
        <f t="shared" si="13"/>
        <v>6</v>
      </c>
      <c r="S57" s="57"/>
      <c r="T57" s="51">
        <f>SUM(T7:T56)</f>
        <v>645</v>
      </c>
      <c r="U57" s="51">
        <f>SUM(U7:U56)</f>
        <v>346341</v>
      </c>
      <c r="V57" s="51">
        <f>SUM(V7:V56)</f>
        <v>40892.25</v>
      </c>
    </row>
    <row r="58" spans="1:22" ht="7.5" customHeight="1" thickBot="1" x14ac:dyDescent="0.3"/>
    <row r="59" spans="1:22" ht="19.5" thickBot="1" x14ac:dyDescent="0.3">
      <c r="B59" s="78" t="s">
        <v>39</v>
      </c>
      <c r="C59" s="191" t="s">
        <v>49</v>
      </c>
      <c r="D59" s="192"/>
      <c r="E59" s="192"/>
      <c r="F59" s="192"/>
      <c r="G59" s="192"/>
      <c r="H59" s="192"/>
      <c r="I59" s="192"/>
      <c r="J59" s="192"/>
      <c r="K59" s="193"/>
      <c r="U59" s="72" t="s">
        <v>62</v>
      </c>
    </row>
    <row r="60" spans="1:22" x14ac:dyDescent="0.25">
      <c r="B60" s="79" t="s">
        <v>18</v>
      </c>
      <c r="C60" s="67"/>
      <c r="D60" s="67"/>
      <c r="E60" s="67"/>
      <c r="F60" s="67"/>
      <c r="G60" s="67"/>
      <c r="H60" s="67"/>
      <c r="I60" s="67"/>
      <c r="J60" s="114"/>
      <c r="K60" s="68"/>
      <c r="U60" s="55"/>
    </row>
    <row r="61" spans="1:22" x14ac:dyDescent="0.25">
      <c r="B61" s="80" t="s">
        <v>55</v>
      </c>
      <c r="C61" s="48"/>
      <c r="D61" s="48"/>
      <c r="E61" s="48"/>
      <c r="F61" s="48"/>
      <c r="G61" s="48"/>
      <c r="H61" s="48"/>
      <c r="I61" s="48"/>
      <c r="J61" s="109"/>
      <c r="K61" s="69"/>
      <c r="U61" s="50"/>
    </row>
    <row r="62" spans="1:22" ht="19.5" thickBot="1" x14ac:dyDescent="0.3">
      <c r="B62" s="81" t="s">
        <v>54</v>
      </c>
      <c r="C62" s="70"/>
      <c r="D62" s="70"/>
      <c r="E62" s="70"/>
      <c r="F62" s="70"/>
      <c r="G62" s="70"/>
      <c r="H62" s="70"/>
      <c r="I62" s="70"/>
      <c r="J62" s="115"/>
      <c r="K62" s="71"/>
      <c r="U62" s="56"/>
    </row>
    <row r="63" spans="1:22" ht="7.5" customHeight="1" thickBot="1" x14ac:dyDescent="0.3"/>
    <row r="64" spans="1:22" x14ac:dyDescent="0.25">
      <c r="B64" s="79" t="s">
        <v>56</v>
      </c>
      <c r="C64" s="67"/>
      <c r="D64" s="67"/>
      <c r="E64" s="67"/>
      <c r="F64" s="67"/>
      <c r="G64" s="67"/>
      <c r="H64" s="67"/>
      <c r="I64" s="67"/>
      <c r="J64" s="114"/>
      <c r="K64" s="68"/>
      <c r="U64" s="55"/>
    </row>
    <row r="65" spans="2:21" x14ac:dyDescent="0.25">
      <c r="B65" s="80" t="s">
        <v>55</v>
      </c>
      <c r="C65" s="48"/>
      <c r="D65" s="48"/>
      <c r="E65" s="48"/>
      <c r="F65" s="48"/>
      <c r="G65" s="48"/>
      <c r="H65" s="48"/>
      <c r="I65" s="48"/>
      <c r="J65" s="109"/>
      <c r="K65" s="69"/>
      <c r="U65" s="50"/>
    </row>
    <row r="66" spans="2:21" ht="19.5" thickBot="1" x14ac:dyDescent="0.3">
      <c r="B66" s="81" t="s">
        <v>54</v>
      </c>
      <c r="C66" s="70"/>
      <c r="D66" s="70"/>
      <c r="E66" s="70"/>
      <c r="F66" s="70"/>
      <c r="G66" s="70"/>
      <c r="H66" s="70"/>
      <c r="I66" s="70"/>
      <c r="J66" s="115"/>
      <c r="K66" s="71"/>
      <c r="U66" s="56"/>
    </row>
    <row r="67" spans="2:21" ht="7.5" customHeight="1" thickBot="1" x14ac:dyDescent="0.3"/>
    <row r="68" spans="2:21" x14ac:dyDescent="0.25">
      <c r="B68" s="79" t="s">
        <v>41</v>
      </c>
      <c r="C68" s="67"/>
      <c r="D68" s="67"/>
      <c r="E68" s="67"/>
      <c r="F68" s="67"/>
      <c r="G68" s="67"/>
      <c r="H68" s="67"/>
      <c r="I68" s="67"/>
      <c r="J68" s="114"/>
      <c r="K68" s="68"/>
      <c r="U68" s="55"/>
    </row>
    <row r="69" spans="2:21" x14ac:dyDescent="0.25">
      <c r="B69" s="80" t="s">
        <v>55</v>
      </c>
      <c r="C69" s="48"/>
      <c r="D69" s="48"/>
      <c r="E69" s="48"/>
      <c r="F69" s="48"/>
      <c r="G69" s="48"/>
      <c r="H69" s="48"/>
      <c r="I69" s="48"/>
      <c r="J69" s="109"/>
      <c r="K69" s="69"/>
      <c r="U69" s="50"/>
    </row>
    <row r="70" spans="2:21" ht="19.5" thickBot="1" x14ac:dyDescent="0.3">
      <c r="B70" s="81" t="s">
        <v>54</v>
      </c>
      <c r="C70" s="70"/>
      <c r="D70" s="70"/>
      <c r="E70" s="70"/>
      <c r="F70" s="70"/>
      <c r="G70" s="70"/>
      <c r="H70" s="70"/>
      <c r="I70" s="70"/>
      <c r="J70" s="115"/>
      <c r="K70" s="71"/>
      <c r="U70" s="56"/>
    </row>
    <row r="71" spans="2:21" ht="7.5" customHeight="1" thickBot="1" x14ac:dyDescent="0.3"/>
    <row r="72" spans="2:21" x14ac:dyDescent="0.25">
      <c r="B72" s="79" t="s">
        <v>57</v>
      </c>
      <c r="C72" s="67"/>
      <c r="D72" s="67"/>
      <c r="E72" s="67"/>
      <c r="F72" s="67"/>
      <c r="G72" s="67"/>
      <c r="H72" s="67"/>
      <c r="I72" s="67"/>
      <c r="J72" s="114"/>
      <c r="K72" s="68"/>
      <c r="U72" s="55"/>
    </row>
    <row r="73" spans="2:21" x14ac:dyDescent="0.25">
      <c r="B73" s="80" t="s">
        <v>55</v>
      </c>
      <c r="C73" s="48"/>
      <c r="D73" s="48"/>
      <c r="E73" s="48"/>
      <c r="F73" s="48"/>
      <c r="G73" s="48"/>
      <c r="H73" s="48"/>
      <c r="I73" s="48"/>
      <c r="J73" s="109"/>
      <c r="K73" s="69"/>
      <c r="U73" s="50"/>
    </row>
    <row r="74" spans="2:21" ht="19.5" thickBot="1" x14ac:dyDescent="0.3">
      <c r="B74" s="81" t="s">
        <v>54</v>
      </c>
      <c r="C74" s="70"/>
      <c r="D74" s="70"/>
      <c r="E74" s="70"/>
      <c r="F74" s="70"/>
      <c r="G74" s="70"/>
      <c r="H74" s="70"/>
      <c r="I74" s="70"/>
      <c r="J74" s="115"/>
      <c r="K74" s="71"/>
      <c r="U74" s="56"/>
    </row>
    <row r="75" spans="2:21" ht="7.5" customHeight="1" thickBot="1" x14ac:dyDescent="0.3"/>
    <row r="76" spans="2:21" x14ac:dyDescent="0.25">
      <c r="B76" s="79" t="s">
        <v>58</v>
      </c>
      <c r="C76" s="67"/>
      <c r="D76" s="67"/>
      <c r="E76" s="67"/>
      <c r="F76" s="67"/>
      <c r="G76" s="67"/>
      <c r="H76" s="67"/>
      <c r="I76" s="67"/>
      <c r="J76" s="114"/>
      <c r="K76" s="68"/>
      <c r="U76" s="55"/>
    </row>
    <row r="77" spans="2:21" x14ac:dyDescent="0.25">
      <c r="B77" s="80" t="s">
        <v>55</v>
      </c>
      <c r="C77" s="48"/>
      <c r="D77" s="48"/>
      <c r="E77" s="48"/>
      <c r="F77" s="48"/>
      <c r="G77" s="48"/>
      <c r="H77" s="48"/>
      <c r="I77" s="48"/>
      <c r="J77" s="109"/>
      <c r="K77" s="69"/>
      <c r="U77" s="50"/>
    </row>
    <row r="78" spans="2:21" ht="19.5" thickBot="1" x14ac:dyDescent="0.3">
      <c r="B78" s="81" t="s">
        <v>54</v>
      </c>
      <c r="C78" s="70"/>
      <c r="D78" s="70"/>
      <c r="E78" s="70"/>
      <c r="F78" s="70"/>
      <c r="G78" s="70"/>
      <c r="H78" s="70"/>
      <c r="I78" s="70"/>
      <c r="J78" s="115"/>
      <c r="K78" s="71"/>
      <c r="U78" s="56"/>
    </row>
    <row r="79" spans="2:21" ht="7.5" customHeight="1" thickBot="1" x14ac:dyDescent="0.3"/>
    <row r="80" spans="2:21" ht="19.5" thickBot="1" x14ac:dyDescent="0.3">
      <c r="B80" s="78" t="s">
        <v>59</v>
      </c>
      <c r="C80" s="65"/>
      <c r="D80" s="65"/>
      <c r="E80" s="65"/>
      <c r="F80" s="65"/>
      <c r="G80" s="65"/>
      <c r="H80" s="65"/>
      <c r="I80" s="65"/>
      <c r="J80" s="116"/>
      <c r="K80" s="66"/>
      <c r="U80" s="64"/>
    </row>
  </sheetData>
  <mergeCells count="7">
    <mergeCell ref="V4:V5"/>
    <mergeCell ref="J5:K5"/>
    <mergeCell ref="C59:K59"/>
    <mergeCell ref="I1:U1"/>
    <mergeCell ref="C4:K4"/>
    <mergeCell ref="T4:T5"/>
    <mergeCell ref="U4:U5"/>
  </mergeCells>
  <printOptions horizontalCentered="1" verticalCentered="1"/>
  <pageMargins left="0.19685039370078741" right="0.19685039370078741" top="0.19685039370078741" bottom="0.19685039370078741" header="0.19685039370078741" footer="0.19685039370078741"/>
  <pageSetup paperSize="14" scale="70" orientation="portrait" horizontalDpi="360" verticalDpi="360" r:id="rId1"/>
  <colBreaks count="1" manualBreakCount="1">
    <brk id="24" max="80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2DD76-19AA-4478-81E4-7402F406C272}">
  <sheetPr>
    <pageSetUpPr fitToPage="1"/>
  </sheetPr>
  <dimension ref="A1:BB80"/>
  <sheetViews>
    <sheetView zoomScaleNormal="100" zoomScaleSheetLayoutView="115" workbookViewId="0">
      <selection activeCell="B2" sqref="B2"/>
    </sheetView>
  </sheetViews>
  <sheetFormatPr defaultColWidth="9.140625" defaultRowHeight="18.75" x14ac:dyDescent="0.25"/>
  <cols>
    <col min="1" max="1" width="4.140625" style="57" bestFit="1" customWidth="1"/>
    <col min="2" max="2" width="12.28515625" style="76" customWidth="1"/>
    <col min="3" max="6" width="10" style="57" customWidth="1"/>
    <col min="7" max="7" width="6.85546875" style="57" customWidth="1"/>
    <col min="8" max="8" width="6.7109375" style="57" customWidth="1"/>
    <col min="9" max="9" width="5.5703125" style="57" bestFit="1" customWidth="1"/>
    <col min="10" max="10" width="6.85546875" style="57" customWidth="1"/>
    <col min="11" max="11" width="5.5703125" style="57" bestFit="1" customWidth="1"/>
    <col min="12" max="12" width="1.42578125" style="57" customWidth="1"/>
    <col min="13" max="13" width="10" style="57" customWidth="1"/>
    <col min="14" max="14" width="5.5703125" style="57" bestFit="1" customWidth="1"/>
    <col min="15" max="15" width="10" style="57" customWidth="1"/>
    <col min="16" max="16" width="5.5703125" style="57" customWidth="1"/>
    <col min="17" max="17" width="10" style="57" customWidth="1"/>
    <col min="18" max="18" width="5.5703125" style="57" bestFit="1" customWidth="1"/>
    <col min="19" max="19" width="1.42578125" style="57" customWidth="1"/>
    <col min="20" max="20" width="12.5703125" style="57" bestFit="1" customWidth="1"/>
    <col min="21" max="21" width="14.28515625" style="57" customWidth="1"/>
    <col min="22" max="22" width="19.42578125" style="57" bestFit="1" customWidth="1"/>
    <col min="23" max="49" width="7.28515625" style="57" customWidth="1"/>
    <col min="50" max="50" width="1.5703125" style="57" customWidth="1"/>
    <col min="51" max="51" width="9.42578125" style="57" customWidth="1"/>
    <col min="52" max="52" width="1.28515625" style="57" customWidth="1"/>
    <col min="53" max="53" width="12.7109375" style="57" bestFit="1" customWidth="1"/>
    <col min="54" max="54" width="10.28515625" style="57" bestFit="1" customWidth="1"/>
    <col min="55" max="16384" width="9.140625" style="57"/>
  </cols>
  <sheetData>
    <row r="1" spans="1:54" ht="15" customHeight="1" x14ac:dyDescent="0.25">
      <c r="B1" s="75" t="s">
        <v>51</v>
      </c>
      <c r="I1" s="194" t="s">
        <v>53</v>
      </c>
      <c r="J1" s="194"/>
      <c r="K1" s="194"/>
      <c r="L1" s="194"/>
      <c r="M1" s="194"/>
      <c r="N1" s="194"/>
      <c r="O1" s="194"/>
      <c r="P1" s="194"/>
      <c r="Q1" s="194"/>
      <c r="R1" s="194"/>
      <c r="S1" s="194"/>
      <c r="T1" s="194"/>
      <c r="U1" s="194"/>
    </row>
    <row r="2" spans="1:54" x14ac:dyDescent="0.25">
      <c r="B2" s="76" t="s">
        <v>81</v>
      </c>
    </row>
    <row r="3" spans="1:54" ht="19.5" thickBot="1" x14ac:dyDescent="0.3"/>
    <row r="4" spans="1:54" s="58" customFormat="1" ht="15.75" x14ac:dyDescent="0.25">
      <c r="B4" s="93" t="s">
        <v>63</v>
      </c>
      <c r="C4" s="189" t="s">
        <v>49</v>
      </c>
      <c r="D4" s="189"/>
      <c r="E4" s="189"/>
      <c r="F4" s="189"/>
      <c r="G4" s="189"/>
      <c r="H4" s="189"/>
      <c r="I4" s="189"/>
      <c r="J4" s="199"/>
      <c r="K4" s="190"/>
      <c r="M4" s="82" t="s">
        <v>0</v>
      </c>
      <c r="N4" s="117" t="s">
        <v>72</v>
      </c>
      <c r="O4" s="84" t="s">
        <v>45</v>
      </c>
      <c r="P4" s="117" t="s">
        <v>72</v>
      </c>
      <c r="Q4" s="85" t="s">
        <v>46</v>
      </c>
      <c r="R4" s="117" t="s">
        <v>72</v>
      </c>
      <c r="S4" s="57"/>
      <c r="T4" s="200" t="s">
        <v>80</v>
      </c>
      <c r="U4" s="202" t="s">
        <v>79</v>
      </c>
      <c r="V4" s="195" t="s">
        <v>78</v>
      </c>
      <c r="AF4" s="59"/>
      <c r="AG4" s="59"/>
      <c r="AH4" s="59"/>
      <c r="AI4" s="59"/>
      <c r="AJ4" s="59"/>
      <c r="AK4" s="59"/>
      <c r="AL4" s="59"/>
      <c r="AM4" s="59"/>
      <c r="AN4" s="59"/>
      <c r="AO4" s="59"/>
      <c r="AP4" s="59"/>
      <c r="AQ4" s="59"/>
      <c r="AR4" s="59"/>
      <c r="AS4" s="59"/>
      <c r="AT4" s="59"/>
      <c r="AU4" s="59"/>
      <c r="AV4" s="59"/>
      <c r="AW4" s="59"/>
      <c r="AX4" s="59"/>
      <c r="AY4" s="59"/>
      <c r="AZ4" s="59"/>
      <c r="BA4" s="59"/>
      <c r="BB4" s="59"/>
    </row>
    <row r="5" spans="1:54" s="58" customFormat="1" ht="15.75" x14ac:dyDescent="0.25">
      <c r="B5" s="87"/>
      <c r="C5" s="92"/>
      <c r="D5" s="92"/>
      <c r="E5" s="92"/>
      <c r="F5" s="92"/>
      <c r="G5" s="92"/>
      <c r="H5" s="92" t="s">
        <v>76</v>
      </c>
      <c r="I5" s="92" t="s">
        <v>71</v>
      </c>
      <c r="J5" s="197" t="s">
        <v>77</v>
      </c>
      <c r="K5" s="198"/>
      <c r="M5" s="87"/>
      <c r="N5" s="118"/>
      <c r="O5" s="92"/>
      <c r="P5" s="108"/>
      <c r="Q5" s="108"/>
      <c r="R5" s="89"/>
      <c r="S5" s="57"/>
      <c r="T5" s="201"/>
      <c r="U5" s="203"/>
      <c r="V5" s="196"/>
      <c r="AF5" s="59"/>
      <c r="AG5" s="59"/>
      <c r="AH5" s="59"/>
      <c r="AI5" s="59"/>
      <c r="AJ5" s="59"/>
      <c r="AK5" s="59"/>
      <c r="AL5" s="59"/>
      <c r="AM5" s="59"/>
      <c r="AN5" s="59"/>
      <c r="AO5" s="59"/>
      <c r="AP5" s="59"/>
      <c r="AQ5" s="59"/>
      <c r="AR5" s="59"/>
      <c r="AS5" s="59"/>
      <c r="AT5" s="59"/>
      <c r="AU5" s="59"/>
      <c r="AV5" s="59"/>
      <c r="AW5" s="59"/>
      <c r="AX5" s="59"/>
      <c r="AY5" s="59"/>
      <c r="AZ5" s="59"/>
      <c r="BA5" s="59"/>
      <c r="BB5" s="59"/>
    </row>
    <row r="6" spans="1:54" s="58" customFormat="1" ht="15.75" x14ac:dyDescent="0.25">
      <c r="B6" s="87"/>
      <c r="C6" s="92"/>
      <c r="D6" s="92"/>
      <c r="E6" s="92"/>
      <c r="F6" s="92"/>
      <c r="G6" s="92"/>
      <c r="H6" s="92"/>
      <c r="I6" s="92"/>
      <c r="J6" s="108"/>
      <c r="K6" s="89"/>
      <c r="M6" s="87"/>
      <c r="N6" s="118"/>
      <c r="O6" s="92"/>
      <c r="P6" s="108"/>
      <c r="Q6" s="108"/>
      <c r="R6" s="89"/>
      <c r="S6" s="57"/>
      <c r="T6" s="90"/>
      <c r="U6" s="90"/>
      <c r="V6" s="90"/>
      <c r="AF6" s="59"/>
      <c r="AG6" s="59"/>
      <c r="AH6" s="59"/>
      <c r="AI6" s="59"/>
      <c r="AJ6" s="59"/>
      <c r="AK6" s="59"/>
      <c r="AL6" s="59"/>
      <c r="AM6" s="59"/>
      <c r="AN6" s="59"/>
      <c r="AO6" s="59"/>
      <c r="AP6" s="59"/>
      <c r="AQ6" s="59"/>
      <c r="AR6" s="59"/>
      <c r="AS6" s="59"/>
      <c r="AT6" s="59"/>
      <c r="AU6" s="59"/>
      <c r="AV6" s="59"/>
      <c r="AW6" s="59"/>
      <c r="AX6" s="59"/>
      <c r="AY6" s="59"/>
      <c r="AZ6" s="59"/>
      <c r="BA6" s="59"/>
      <c r="BB6" s="59"/>
    </row>
    <row r="7" spans="1:54" x14ac:dyDescent="0.25">
      <c r="A7" s="75">
        <v>1</v>
      </c>
      <c r="B7" s="74" t="s">
        <v>34</v>
      </c>
      <c r="C7" s="48">
        <v>28</v>
      </c>
      <c r="D7" s="48"/>
      <c r="E7" s="48"/>
      <c r="F7" s="48"/>
      <c r="G7" s="48"/>
      <c r="H7" s="48">
        <v>17</v>
      </c>
      <c r="I7" s="48">
        <v>1</v>
      </c>
      <c r="J7" s="109"/>
      <c r="K7" s="69">
        <v>6</v>
      </c>
      <c r="M7" s="88">
        <v>1</v>
      </c>
      <c r="N7" s="119"/>
      <c r="O7" s="48">
        <v>3</v>
      </c>
      <c r="P7" s="109"/>
      <c r="Q7" s="109">
        <v>2</v>
      </c>
      <c r="R7" s="69"/>
      <c r="T7" s="91">
        <f>H7+I7+J7+K7+N7+P7+R7</f>
        <v>24</v>
      </c>
      <c r="U7" s="91">
        <f>C7*24+M7*24+O7*24+Q7*24+T7</f>
        <v>840</v>
      </c>
      <c r="V7" s="91">
        <f>U7/24</f>
        <v>35</v>
      </c>
      <c r="W7" s="123"/>
      <c r="AF7" s="60"/>
      <c r="AG7" s="60"/>
      <c r="AH7" s="60"/>
      <c r="AI7" s="60"/>
      <c r="AJ7" s="60"/>
      <c r="AK7" s="60"/>
      <c r="AL7" s="60"/>
      <c r="AM7" s="60"/>
      <c r="AN7" s="60"/>
      <c r="AO7" s="60"/>
      <c r="AP7" s="60"/>
      <c r="AQ7" s="60"/>
      <c r="AR7" s="60"/>
      <c r="AS7" s="60"/>
      <c r="AT7" s="60"/>
      <c r="AU7" s="60"/>
      <c r="AV7" s="60"/>
      <c r="AW7" s="60"/>
      <c r="AX7" s="60"/>
      <c r="AY7" s="60"/>
      <c r="AZ7" s="60"/>
      <c r="BA7" s="60"/>
      <c r="BB7" s="60"/>
    </row>
    <row r="8" spans="1:54" ht="19.5" thickBot="1" x14ac:dyDescent="0.3">
      <c r="A8" s="75">
        <f>A7+1</f>
        <v>2</v>
      </c>
      <c r="B8" s="94" t="s">
        <v>37</v>
      </c>
      <c r="C8" s="95">
        <f>63+32</f>
        <v>95</v>
      </c>
      <c r="D8" s="95"/>
      <c r="E8" s="95"/>
      <c r="F8" s="95"/>
      <c r="G8" s="95"/>
      <c r="H8" s="95"/>
      <c r="I8" s="95"/>
      <c r="J8" s="110"/>
      <c r="K8" s="96"/>
      <c r="L8" s="102"/>
      <c r="M8" s="103">
        <v>2</v>
      </c>
      <c r="N8" s="120"/>
      <c r="O8" s="97"/>
      <c r="P8" s="113"/>
      <c r="Q8" s="113"/>
      <c r="R8" s="98"/>
      <c r="S8" s="102"/>
      <c r="T8" s="126">
        <f t="shared" ref="T8:T38" si="0">H8+I8+J8+K8+N8+P8+R8</f>
        <v>0</v>
      </c>
      <c r="U8" s="124">
        <f>C8*24+M8*24+O8*24+Q8*24+T8</f>
        <v>2328</v>
      </c>
      <c r="V8" s="124">
        <f>U8/24</f>
        <v>97</v>
      </c>
      <c r="W8" s="123"/>
      <c r="AF8" s="60"/>
      <c r="AG8" s="60"/>
      <c r="AH8" s="60"/>
      <c r="AI8" s="60"/>
      <c r="AJ8" s="60"/>
      <c r="AK8" s="60"/>
      <c r="AL8" s="60"/>
      <c r="AM8" s="60"/>
      <c r="AN8" s="60"/>
      <c r="AO8" s="60"/>
      <c r="AP8" s="60"/>
      <c r="AQ8" s="60"/>
      <c r="AR8" s="60"/>
      <c r="AS8" s="60"/>
      <c r="AT8" s="60"/>
      <c r="AU8" s="60"/>
      <c r="AV8" s="60"/>
      <c r="AW8" s="60"/>
      <c r="AX8" s="60"/>
      <c r="AY8" s="60"/>
      <c r="AZ8" s="60"/>
      <c r="BA8" s="60"/>
      <c r="BB8" s="60"/>
    </row>
    <row r="9" spans="1:54" x14ac:dyDescent="0.25">
      <c r="A9" s="75">
        <f t="shared" ref="A9:A56" si="1">A8+1</f>
        <v>3</v>
      </c>
      <c r="B9" s="73" t="s">
        <v>35</v>
      </c>
      <c r="C9" s="47"/>
      <c r="D9" s="47"/>
      <c r="E9" s="47"/>
      <c r="F9" s="47"/>
      <c r="G9" s="47"/>
      <c r="H9" s="47"/>
      <c r="I9" s="47"/>
      <c r="J9" s="111"/>
      <c r="K9" s="46"/>
      <c r="M9" s="52"/>
      <c r="N9" s="121"/>
      <c r="O9" s="47"/>
      <c r="P9" s="111"/>
      <c r="Q9" s="111"/>
      <c r="R9" s="46"/>
      <c r="T9" s="50">
        <f t="shared" si="0"/>
        <v>0</v>
      </c>
      <c r="U9" s="125">
        <f t="shared" ref="U9:U11" si="2">C9*24+M9*24+O9*24+Q9*24+T9</f>
        <v>0</v>
      </c>
      <c r="V9" s="125">
        <f t="shared" ref="V9:V11" si="3">U9/24</f>
        <v>0</v>
      </c>
      <c r="W9" s="123"/>
      <c r="AF9" s="60"/>
      <c r="AG9" s="60"/>
      <c r="AH9" s="60"/>
      <c r="AI9" s="60"/>
      <c r="AJ9" s="60"/>
      <c r="AK9" s="60"/>
      <c r="AL9" s="60"/>
      <c r="AM9" s="60"/>
      <c r="AN9" s="60"/>
      <c r="AO9" s="60"/>
      <c r="AP9" s="60"/>
      <c r="AQ9" s="60"/>
      <c r="AR9" s="60"/>
      <c r="AS9" s="60"/>
      <c r="AT9" s="60"/>
      <c r="AU9" s="60"/>
      <c r="AV9" s="60"/>
      <c r="AW9" s="60"/>
      <c r="AX9" s="60"/>
      <c r="AY9" s="60"/>
      <c r="AZ9" s="60"/>
      <c r="BA9" s="60"/>
      <c r="BB9" s="60"/>
    </row>
    <row r="10" spans="1:54" x14ac:dyDescent="0.25">
      <c r="A10" s="75">
        <f t="shared" si="1"/>
        <v>4</v>
      </c>
      <c r="B10" s="74" t="s">
        <v>38</v>
      </c>
      <c r="C10" s="47">
        <v>66</v>
      </c>
      <c r="D10" s="47"/>
      <c r="E10" s="47"/>
      <c r="F10" s="47"/>
      <c r="G10" s="47"/>
      <c r="H10" s="47"/>
      <c r="I10" s="47"/>
      <c r="J10" s="111"/>
      <c r="K10" s="46"/>
      <c r="M10" s="52"/>
      <c r="N10" s="121"/>
      <c r="O10" s="47"/>
      <c r="P10" s="111"/>
      <c r="Q10" s="111"/>
      <c r="R10" s="46"/>
      <c r="T10" s="91">
        <f t="shared" si="0"/>
        <v>0</v>
      </c>
      <c r="U10" s="91">
        <f t="shared" si="2"/>
        <v>1584</v>
      </c>
      <c r="V10" s="91">
        <f t="shared" si="3"/>
        <v>66</v>
      </c>
      <c r="W10" s="123"/>
      <c r="AF10" s="60"/>
      <c r="AG10" s="60"/>
      <c r="AH10" s="60"/>
      <c r="AI10" s="60"/>
      <c r="AJ10" s="60"/>
      <c r="AK10" s="60"/>
      <c r="AL10" s="60"/>
      <c r="AM10" s="60"/>
      <c r="AN10" s="60"/>
      <c r="AO10" s="60"/>
      <c r="AP10" s="60"/>
      <c r="AQ10" s="60"/>
      <c r="AR10" s="60"/>
      <c r="AS10" s="60"/>
      <c r="AT10" s="60"/>
      <c r="AU10" s="60"/>
      <c r="AV10" s="60"/>
      <c r="AW10" s="60"/>
      <c r="AX10" s="60"/>
      <c r="AY10" s="60"/>
      <c r="AZ10" s="60"/>
      <c r="BA10" s="60"/>
      <c r="BB10" s="60"/>
    </row>
    <row r="11" spans="1:54" x14ac:dyDescent="0.25">
      <c r="A11" s="75">
        <f t="shared" si="1"/>
        <v>5</v>
      </c>
      <c r="B11" s="74" t="s">
        <v>36</v>
      </c>
      <c r="C11" s="47"/>
      <c r="D11" s="47"/>
      <c r="E11" s="47"/>
      <c r="F11" s="47"/>
      <c r="G11" s="47"/>
      <c r="H11" s="47">
        <v>22</v>
      </c>
      <c r="I11" s="47"/>
      <c r="J11" s="111"/>
      <c r="K11" s="46">
        <v>2</v>
      </c>
      <c r="M11" s="52"/>
      <c r="N11" s="121"/>
      <c r="O11" s="47"/>
      <c r="P11" s="111"/>
      <c r="Q11" s="111"/>
      <c r="R11" s="46"/>
      <c r="T11" s="91">
        <f t="shared" si="0"/>
        <v>24</v>
      </c>
      <c r="U11" s="91">
        <f t="shared" si="2"/>
        <v>24</v>
      </c>
      <c r="V11" s="91">
        <f t="shared" si="3"/>
        <v>1</v>
      </c>
      <c r="AF11" s="60"/>
      <c r="AG11" s="60"/>
      <c r="AH11" s="60"/>
      <c r="AI11" s="60"/>
      <c r="AJ11" s="60"/>
      <c r="AK11" s="60"/>
      <c r="AL11" s="60"/>
      <c r="AM11" s="60"/>
      <c r="AN11" s="60"/>
      <c r="AO11" s="60"/>
      <c r="AP11" s="60"/>
      <c r="AQ11" s="60"/>
      <c r="AR11" s="60"/>
      <c r="AS11" s="60"/>
      <c r="AT11" s="60"/>
      <c r="AU11" s="60"/>
      <c r="AV11" s="60"/>
      <c r="AW11" s="60"/>
      <c r="AX11" s="60"/>
      <c r="AY11" s="60"/>
      <c r="AZ11" s="60"/>
      <c r="BA11" s="60"/>
      <c r="BB11" s="60"/>
    </row>
    <row r="12" spans="1:54" s="61" customFormat="1" ht="19.5" thickBot="1" x14ac:dyDescent="0.3">
      <c r="A12" s="75">
        <v>7</v>
      </c>
      <c r="B12" s="94" t="s">
        <v>32</v>
      </c>
      <c r="C12" s="95">
        <f>72+1440+25+1440+576</f>
        <v>3553</v>
      </c>
      <c r="D12" s="95"/>
      <c r="E12" s="95"/>
      <c r="F12" s="95"/>
      <c r="G12" s="95"/>
      <c r="H12" s="95"/>
      <c r="I12" s="95"/>
      <c r="J12" s="110"/>
      <c r="K12" s="96"/>
      <c r="L12" s="102"/>
      <c r="M12" s="103"/>
      <c r="N12" s="120"/>
      <c r="O12" s="97">
        <v>12</v>
      </c>
      <c r="P12" s="113">
        <v>15</v>
      </c>
      <c r="Q12" s="113">
        <v>19</v>
      </c>
      <c r="R12" s="98">
        <v>6</v>
      </c>
      <c r="S12" s="102"/>
      <c r="T12" s="91">
        <f t="shared" si="0"/>
        <v>21</v>
      </c>
      <c r="U12" s="124">
        <f>C12*24+M12*24+O12*24+Q12*24+T12</f>
        <v>86037</v>
      </c>
      <c r="V12" s="124">
        <f>U12/24</f>
        <v>3584.875</v>
      </c>
      <c r="W12" s="57"/>
      <c r="X12" s="57"/>
      <c r="Y12" s="57"/>
      <c r="Z12" s="57"/>
      <c r="AA12" s="57"/>
      <c r="AB12" s="57"/>
      <c r="AC12" s="57"/>
      <c r="AD12" s="57"/>
      <c r="AE12" s="57"/>
      <c r="AF12" s="60"/>
      <c r="AG12" s="60"/>
      <c r="AH12" s="60"/>
      <c r="AI12" s="60"/>
      <c r="AJ12" s="60"/>
      <c r="AK12" s="60"/>
      <c r="AL12" s="60"/>
      <c r="AM12" s="60"/>
      <c r="AN12" s="60"/>
      <c r="AO12" s="60"/>
      <c r="AP12" s="60"/>
      <c r="AQ12" s="60"/>
      <c r="AR12" s="60"/>
      <c r="AS12" s="60"/>
      <c r="AT12" s="60"/>
      <c r="AU12" s="60"/>
      <c r="AV12" s="60"/>
      <c r="AW12" s="60"/>
      <c r="AX12" s="60"/>
      <c r="AY12" s="60"/>
      <c r="AZ12" s="60"/>
      <c r="BA12" s="60"/>
      <c r="BB12" s="60"/>
    </row>
    <row r="13" spans="1:54" x14ac:dyDescent="0.25">
      <c r="A13" s="75">
        <v>11</v>
      </c>
      <c r="B13" s="73" t="s">
        <v>1</v>
      </c>
      <c r="C13" s="47">
        <v>5</v>
      </c>
      <c r="D13" s="47"/>
      <c r="E13" s="47"/>
      <c r="F13" s="47"/>
      <c r="G13" s="47"/>
      <c r="H13" s="47"/>
      <c r="I13" s="47"/>
      <c r="J13" s="111"/>
      <c r="K13" s="46"/>
      <c r="M13" s="52"/>
      <c r="N13" s="121"/>
      <c r="O13" s="47"/>
      <c r="P13" s="111"/>
      <c r="Q13" s="111"/>
      <c r="R13" s="46"/>
      <c r="T13" s="91">
        <f t="shared" si="0"/>
        <v>0</v>
      </c>
      <c r="U13" s="125">
        <f>C13*24+M13*24+O13*24+Q13*24+T13</f>
        <v>120</v>
      </c>
      <c r="V13" s="125">
        <f>U13/24</f>
        <v>5</v>
      </c>
      <c r="AF13" s="60"/>
      <c r="AG13" s="60"/>
      <c r="AH13" s="60"/>
      <c r="AI13" s="60"/>
      <c r="AJ13" s="60"/>
      <c r="AK13" s="60"/>
      <c r="AL13" s="60"/>
      <c r="AM13" s="60"/>
      <c r="AN13" s="60"/>
      <c r="AO13" s="60"/>
      <c r="AP13" s="60"/>
      <c r="AQ13" s="60"/>
      <c r="AR13" s="60"/>
      <c r="AS13" s="60"/>
      <c r="AT13" s="60"/>
      <c r="AU13" s="60"/>
      <c r="AV13" s="60"/>
      <c r="AW13" s="60"/>
      <c r="AX13" s="60"/>
      <c r="AY13" s="60"/>
      <c r="AZ13" s="60"/>
      <c r="BA13" s="60"/>
      <c r="BB13" s="60"/>
    </row>
    <row r="14" spans="1:54" x14ac:dyDescent="0.25">
      <c r="A14" s="75">
        <f t="shared" si="1"/>
        <v>12</v>
      </c>
      <c r="B14" s="74" t="s">
        <v>2</v>
      </c>
      <c r="C14" s="47"/>
      <c r="D14" s="47"/>
      <c r="E14" s="47"/>
      <c r="F14" s="47"/>
      <c r="G14" s="47"/>
      <c r="H14" s="47"/>
      <c r="I14" s="47"/>
      <c r="J14" s="111"/>
      <c r="K14" s="46"/>
      <c r="M14" s="52"/>
      <c r="N14" s="121"/>
      <c r="O14" s="47"/>
      <c r="P14" s="111"/>
      <c r="Q14" s="111"/>
      <c r="R14" s="46"/>
      <c r="T14" s="91">
        <f t="shared" si="0"/>
        <v>0</v>
      </c>
      <c r="U14" s="50">
        <f t="shared" ref="U14:U36" si="4">C14*24+M14*24+O14*24+Q14*24+T14</f>
        <v>0</v>
      </c>
      <c r="V14" s="50">
        <f t="shared" ref="V14:V36" si="5">U14/24</f>
        <v>0</v>
      </c>
      <c r="AF14" s="60"/>
      <c r="AG14" s="60"/>
      <c r="AH14" s="60"/>
      <c r="AI14" s="60"/>
      <c r="AJ14" s="60"/>
      <c r="AK14" s="60"/>
      <c r="AL14" s="60"/>
      <c r="AM14" s="60"/>
      <c r="AN14" s="60"/>
      <c r="AO14" s="60"/>
      <c r="AP14" s="60"/>
      <c r="AQ14" s="60"/>
      <c r="AR14" s="60"/>
      <c r="AS14" s="60"/>
      <c r="AT14" s="60"/>
      <c r="AU14" s="60"/>
      <c r="AV14" s="60"/>
      <c r="AW14" s="60"/>
      <c r="AX14" s="60"/>
      <c r="AY14" s="60"/>
      <c r="AZ14" s="60"/>
      <c r="BA14" s="60"/>
      <c r="BB14" s="60"/>
    </row>
    <row r="15" spans="1:54" x14ac:dyDescent="0.25">
      <c r="A15" s="75">
        <f t="shared" si="1"/>
        <v>13</v>
      </c>
      <c r="B15" s="74" t="s">
        <v>3</v>
      </c>
      <c r="C15" s="47"/>
      <c r="D15" s="47"/>
      <c r="E15" s="47"/>
      <c r="F15" s="47"/>
      <c r="G15" s="47"/>
      <c r="H15" s="47"/>
      <c r="I15" s="47"/>
      <c r="J15" s="111"/>
      <c r="K15" s="46"/>
      <c r="M15" s="52"/>
      <c r="N15" s="121"/>
      <c r="O15" s="47"/>
      <c r="P15" s="111"/>
      <c r="Q15" s="111"/>
      <c r="R15" s="46"/>
      <c r="T15" s="91">
        <f t="shared" si="0"/>
        <v>0</v>
      </c>
      <c r="U15" s="50">
        <f t="shared" si="4"/>
        <v>0</v>
      </c>
      <c r="V15" s="50">
        <f t="shared" si="5"/>
        <v>0</v>
      </c>
      <c r="AF15" s="60"/>
      <c r="AG15" s="60"/>
      <c r="AH15" s="60"/>
      <c r="AI15" s="60"/>
      <c r="AJ15" s="60"/>
      <c r="AK15" s="60"/>
      <c r="AL15" s="60"/>
      <c r="AM15" s="60"/>
      <c r="AN15" s="60"/>
      <c r="AO15" s="60"/>
      <c r="AP15" s="60"/>
      <c r="AQ15" s="60"/>
      <c r="AR15" s="60"/>
      <c r="AS15" s="60"/>
      <c r="AT15" s="60"/>
      <c r="AU15" s="60"/>
      <c r="AV15" s="60"/>
      <c r="AW15" s="60"/>
      <c r="AX15" s="60"/>
      <c r="AY15" s="60"/>
      <c r="AZ15" s="60"/>
      <c r="BA15" s="60"/>
      <c r="BB15" s="60"/>
    </row>
    <row r="16" spans="1:54" x14ac:dyDescent="0.25">
      <c r="A16" s="75">
        <f t="shared" si="1"/>
        <v>14</v>
      </c>
      <c r="B16" s="74" t="s">
        <v>4</v>
      </c>
      <c r="C16" s="47"/>
      <c r="D16" s="47"/>
      <c r="E16" s="47"/>
      <c r="F16" s="47"/>
      <c r="G16" s="47"/>
      <c r="H16" s="47"/>
      <c r="I16" s="47"/>
      <c r="J16" s="111"/>
      <c r="K16" s="46"/>
      <c r="M16" s="52"/>
      <c r="N16" s="121"/>
      <c r="O16" s="47"/>
      <c r="P16" s="111"/>
      <c r="Q16" s="111"/>
      <c r="R16" s="46"/>
      <c r="T16" s="91">
        <f t="shared" si="0"/>
        <v>0</v>
      </c>
      <c r="U16" s="50">
        <f t="shared" si="4"/>
        <v>0</v>
      </c>
      <c r="V16" s="50">
        <f t="shared" si="5"/>
        <v>0</v>
      </c>
      <c r="AF16" s="60"/>
      <c r="AG16" s="60"/>
      <c r="AH16" s="60"/>
      <c r="AI16" s="60"/>
      <c r="AJ16" s="60"/>
      <c r="AK16" s="60"/>
      <c r="AL16" s="60"/>
      <c r="AM16" s="60"/>
      <c r="AN16" s="60"/>
      <c r="AO16" s="60"/>
      <c r="AP16" s="60"/>
      <c r="AQ16" s="60"/>
      <c r="AR16" s="60"/>
      <c r="AS16" s="60"/>
      <c r="AT16" s="60"/>
      <c r="AU16" s="60"/>
      <c r="AV16" s="60"/>
      <c r="AW16" s="60"/>
      <c r="AX16" s="60"/>
      <c r="AY16" s="60"/>
      <c r="AZ16" s="60"/>
      <c r="BA16" s="60"/>
      <c r="BB16" s="60"/>
    </row>
    <row r="17" spans="1:54" x14ac:dyDescent="0.25">
      <c r="A17" s="75">
        <f t="shared" si="1"/>
        <v>15</v>
      </c>
      <c r="B17" s="74" t="s">
        <v>5</v>
      </c>
      <c r="C17" s="47">
        <v>4</v>
      </c>
      <c r="D17" s="47"/>
      <c r="E17" s="47"/>
      <c r="F17" s="47"/>
      <c r="G17" s="47"/>
      <c r="H17" s="47"/>
      <c r="I17" s="47"/>
      <c r="J17" s="111"/>
      <c r="K17" s="46"/>
      <c r="M17" s="52"/>
      <c r="N17" s="121"/>
      <c r="O17" s="47"/>
      <c r="P17" s="111"/>
      <c r="Q17" s="111"/>
      <c r="R17" s="46"/>
      <c r="T17" s="91">
        <f t="shared" si="0"/>
        <v>0</v>
      </c>
      <c r="U17" s="50">
        <f t="shared" si="4"/>
        <v>96</v>
      </c>
      <c r="V17" s="50">
        <f t="shared" si="5"/>
        <v>4</v>
      </c>
      <c r="AF17" s="60"/>
      <c r="AG17" s="60"/>
      <c r="AH17" s="60"/>
      <c r="AI17" s="60"/>
      <c r="AJ17" s="60"/>
      <c r="AK17" s="60"/>
      <c r="AL17" s="60"/>
      <c r="AM17" s="60"/>
      <c r="AN17" s="60"/>
      <c r="AO17" s="60"/>
      <c r="AP17" s="60"/>
      <c r="AQ17" s="60"/>
      <c r="AR17" s="60"/>
      <c r="AS17" s="60"/>
      <c r="AT17" s="60"/>
      <c r="AU17" s="60"/>
      <c r="AV17" s="60"/>
      <c r="AW17" s="60"/>
      <c r="AX17" s="60"/>
      <c r="AY17" s="60"/>
      <c r="AZ17" s="60"/>
      <c r="BA17" s="60"/>
      <c r="BB17" s="60"/>
    </row>
    <row r="18" spans="1:54" hidden="1" x14ac:dyDescent="0.25">
      <c r="A18" s="75">
        <f t="shared" si="1"/>
        <v>16</v>
      </c>
      <c r="B18" s="74" t="s">
        <v>10</v>
      </c>
      <c r="C18" s="47"/>
      <c r="D18" s="47"/>
      <c r="E18" s="47"/>
      <c r="F18" s="47"/>
      <c r="G18" s="47"/>
      <c r="H18" s="47"/>
      <c r="I18" s="47"/>
      <c r="J18" s="111"/>
      <c r="K18" s="46"/>
      <c r="M18" s="52"/>
      <c r="N18" s="121"/>
      <c r="O18" s="47"/>
      <c r="P18" s="111"/>
      <c r="Q18" s="111"/>
      <c r="R18" s="46"/>
      <c r="T18" s="91">
        <f t="shared" si="0"/>
        <v>0</v>
      </c>
      <c r="U18" s="50">
        <f t="shared" si="4"/>
        <v>0</v>
      </c>
      <c r="V18" s="50">
        <f t="shared" si="5"/>
        <v>0</v>
      </c>
      <c r="AF18" s="60"/>
      <c r="AG18" s="60"/>
      <c r="AH18" s="60"/>
      <c r="AI18" s="60"/>
      <c r="AJ18" s="60"/>
      <c r="AK18" s="60"/>
      <c r="AL18" s="60"/>
      <c r="AM18" s="60"/>
      <c r="AN18" s="60"/>
      <c r="AO18" s="60"/>
      <c r="AP18" s="60"/>
      <c r="AQ18" s="60"/>
      <c r="AR18" s="60"/>
      <c r="AS18" s="60"/>
      <c r="AT18" s="60"/>
      <c r="AU18" s="60"/>
      <c r="AV18" s="60"/>
      <c r="AW18" s="60"/>
      <c r="AX18" s="60"/>
      <c r="AY18" s="60"/>
      <c r="AZ18" s="60"/>
      <c r="BA18" s="60"/>
      <c r="BB18" s="60"/>
    </row>
    <row r="19" spans="1:54" x14ac:dyDescent="0.25">
      <c r="A19" s="75">
        <v>16</v>
      </c>
      <c r="B19" s="74" t="s">
        <v>64</v>
      </c>
      <c r="C19" s="47">
        <v>4</v>
      </c>
      <c r="D19" s="47"/>
      <c r="E19" s="47"/>
      <c r="F19" s="47"/>
      <c r="G19" s="47"/>
      <c r="H19" s="47"/>
      <c r="I19" s="47"/>
      <c r="J19" s="111"/>
      <c r="K19" s="46"/>
      <c r="M19" s="52"/>
      <c r="N19" s="121"/>
      <c r="O19" s="47"/>
      <c r="P19" s="111"/>
      <c r="Q19" s="111"/>
      <c r="R19" s="46"/>
      <c r="T19" s="91">
        <f t="shared" si="0"/>
        <v>0</v>
      </c>
      <c r="U19" s="50">
        <f t="shared" si="4"/>
        <v>96</v>
      </c>
      <c r="V19" s="50">
        <f t="shared" si="5"/>
        <v>4</v>
      </c>
      <c r="AF19" s="60"/>
      <c r="AG19" s="60"/>
      <c r="AH19" s="60"/>
      <c r="AI19" s="60"/>
      <c r="AJ19" s="60"/>
      <c r="AK19" s="60"/>
      <c r="AL19" s="60"/>
      <c r="AM19" s="60"/>
      <c r="AN19" s="60"/>
      <c r="AO19" s="60"/>
      <c r="AP19" s="60"/>
      <c r="AQ19" s="60"/>
      <c r="AR19" s="60"/>
      <c r="AS19" s="60"/>
      <c r="AT19" s="60"/>
      <c r="AU19" s="60"/>
      <c r="AV19" s="60"/>
      <c r="AW19" s="60"/>
      <c r="AX19" s="60"/>
      <c r="AY19" s="60"/>
      <c r="AZ19" s="60"/>
      <c r="BA19" s="60"/>
      <c r="BB19" s="60"/>
    </row>
    <row r="20" spans="1:54" x14ac:dyDescent="0.25">
      <c r="A20" s="75">
        <f t="shared" si="1"/>
        <v>17</v>
      </c>
      <c r="B20" s="74" t="s">
        <v>6</v>
      </c>
      <c r="C20" s="47">
        <v>6</v>
      </c>
      <c r="D20" s="47"/>
      <c r="E20" s="47"/>
      <c r="F20" s="47"/>
      <c r="G20" s="47"/>
      <c r="H20" s="47"/>
      <c r="I20" s="47"/>
      <c r="J20" s="111"/>
      <c r="K20" s="46"/>
      <c r="M20" s="52"/>
      <c r="N20" s="121"/>
      <c r="O20" s="47"/>
      <c r="P20" s="111"/>
      <c r="Q20" s="111"/>
      <c r="R20" s="46"/>
      <c r="T20" s="91">
        <f t="shared" si="0"/>
        <v>0</v>
      </c>
      <c r="U20" s="50">
        <f t="shared" si="4"/>
        <v>144</v>
      </c>
      <c r="V20" s="50">
        <f t="shared" si="5"/>
        <v>6</v>
      </c>
      <c r="AF20" s="60"/>
      <c r="AG20" s="60"/>
      <c r="AH20" s="60"/>
      <c r="AI20" s="60"/>
      <c r="AJ20" s="60"/>
      <c r="AK20" s="60"/>
      <c r="AL20" s="60"/>
      <c r="AM20" s="60"/>
      <c r="AN20" s="60"/>
      <c r="AO20" s="60"/>
      <c r="AP20" s="60"/>
      <c r="AQ20" s="60"/>
      <c r="AR20" s="60"/>
      <c r="AS20" s="60"/>
      <c r="AT20" s="60"/>
      <c r="AU20" s="60"/>
      <c r="AV20" s="60"/>
      <c r="AW20" s="60"/>
      <c r="AX20" s="60"/>
      <c r="AY20" s="60"/>
      <c r="AZ20" s="60"/>
      <c r="BA20" s="60"/>
      <c r="BB20" s="60"/>
    </row>
    <row r="21" spans="1:54" x14ac:dyDescent="0.25">
      <c r="A21" s="75">
        <f t="shared" si="1"/>
        <v>18</v>
      </c>
      <c r="B21" s="74" t="s">
        <v>7</v>
      </c>
      <c r="C21" s="47">
        <v>4</v>
      </c>
      <c r="D21" s="47"/>
      <c r="E21" s="47"/>
      <c r="F21" s="47"/>
      <c r="G21" s="47"/>
      <c r="H21" s="47"/>
      <c r="I21" s="47"/>
      <c r="J21" s="111"/>
      <c r="K21" s="46"/>
      <c r="M21" s="52"/>
      <c r="N21" s="121"/>
      <c r="O21" s="47"/>
      <c r="P21" s="111"/>
      <c r="Q21" s="111"/>
      <c r="R21" s="46"/>
      <c r="T21" s="91">
        <f t="shared" si="0"/>
        <v>0</v>
      </c>
      <c r="U21" s="50">
        <f t="shared" si="4"/>
        <v>96</v>
      </c>
      <c r="V21" s="50">
        <f t="shared" si="5"/>
        <v>4</v>
      </c>
      <c r="AF21" s="60"/>
      <c r="AG21" s="60"/>
      <c r="AH21" s="60"/>
      <c r="AI21" s="60"/>
      <c r="AJ21" s="60"/>
      <c r="AK21" s="60"/>
      <c r="AL21" s="60"/>
      <c r="AM21" s="60"/>
      <c r="AN21" s="60"/>
      <c r="AO21" s="60"/>
      <c r="AP21" s="60"/>
      <c r="AQ21" s="60"/>
      <c r="AR21" s="60"/>
      <c r="AS21" s="60"/>
      <c r="AT21" s="60"/>
      <c r="AU21" s="60"/>
      <c r="AV21" s="60"/>
      <c r="AW21" s="60"/>
      <c r="AX21" s="60"/>
      <c r="AY21" s="60"/>
      <c r="AZ21" s="60"/>
      <c r="BA21" s="60"/>
      <c r="BB21" s="60"/>
    </row>
    <row r="22" spans="1:54" s="61" customFormat="1" x14ac:dyDescent="0.25">
      <c r="A22" s="75">
        <f t="shared" si="1"/>
        <v>19</v>
      </c>
      <c r="B22" s="74" t="s">
        <v>65</v>
      </c>
      <c r="C22" s="47">
        <v>2</v>
      </c>
      <c r="D22" s="47"/>
      <c r="E22" s="47"/>
      <c r="F22" s="47"/>
      <c r="G22" s="47"/>
      <c r="H22" s="47"/>
      <c r="I22" s="47"/>
      <c r="J22" s="111"/>
      <c r="K22" s="46"/>
      <c r="L22" s="57"/>
      <c r="M22" s="52"/>
      <c r="N22" s="121"/>
      <c r="O22" s="47"/>
      <c r="P22" s="111"/>
      <c r="Q22" s="111"/>
      <c r="R22" s="46"/>
      <c r="S22" s="57"/>
      <c r="T22" s="91">
        <f t="shared" si="0"/>
        <v>0</v>
      </c>
      <c r="U22" s="50">
        <f t="shared" si="4"/>
        <v>48</v>
      </c>
      <c r="V22" s="50">
        <f t="shared" si="5"/>
        <v>2</v>
      </c>
      <c r="W22" s="57"/>
      <c r="X22" s="57"/>
      <c r="Y22" s="57"/>
      <c r="Z22" s="57"/>
      <c r="AA22" s="57"/>
      <c r="AB22" s="57"/>
      <c r="AC22" s="57"/>
      <c r="AD22" s="57"/>
      <c r="AE22" s="57"/>
      <c r="AF22" s="60"/>
      <c r="AG22" s="60"/>
      <c r="AH22" s="60"/>
      <c r="AI22" s="60"/>
      <c r="AJ22" s="60"/>
      <c r="AK22" s="60"/>
      <c r="AL22" s="60"/>
      <c r="AM22" s="60"/>
      <c r="AN22" s="60"/>
      <c r="AO22" s="60"/>
      <c r="AP22" s="60"/>
      <c r="AQ22" s="60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</row>
    <row r="23" spans="1:54" s="61" customFormat="1" x14ac:dyDescent="0.25">
      <c r="A23" s="75">
        <f t="shared" si="1"/>
        <v>20</v>
      </c>
      <c r="B23" s="74" t="s">
        <v>66</v>
      </c>
      <c r="C23" s="47">
        <v>48</v>
      </c>
      <c r="D23" s="47"/>
      <c r="E23" s="47"/>
      <c r="F23" s="47"/>
      <c r="G23" s="47"/>
      <c r="H23" s="47"/>
      <c r="I23" s="47"/>
      <c r="J23" s="111"/>
      <c r="K23" s="46"/>
      <c r="L23" s="57"/>
      <c r="M23" s="52"/>
      <c r="N23" s="121"/>
      <c r="O23" s="47"/>
      <c r="P23" s="111"/>
      <c r="Q23" s="111"/>
      <c r="R23" s="46"/>
      <c r="S23" s="57"/>
      <c r="T23" s="91">
        <f t="shared" si="0"/>
        <v>0</v>
      </c>
      <c r="U23" s="50">
        <f t="shared" si="4"/>
        <v>1152</v>
      </c>
      <c r="V23" s="50">
        <f t="shared" si="5"/>
        <v>48</v>
      </c>
      <c r="W23" s="57"/>
      <c r="X23" s="57"/>
      <c r="Y23" s="57"/>
      <c r="Z23" s="57"/>
      <c r="AA23" s="57"/>
      <c r="AB23" s="57"/>
      <c r="AC23" s="57"/>
      <c r="AD23" s="57"/>
      <c r="AE23" s="57"/>
      <c r="AF23" s="60"/>
      <c r="AG23" s="60"/>
      <c r="AH23" s="60"/>
      <c r="AI23" s="60"/>
      <c r="AJ23" s="60"/>
      <c r="AK23" s="60"/>
      <c r="AL23" s="60"/>
      <c r="AM23" s="60"/>
      <c r="AN23" s="60"/>
      <c r="AO23" s="60"/>
      <c r="AP23" s="60"/>
      <c r="AQ23" s="60"/>
      <c r="AR23" s="60"/>
      <c r="AS23" s="60"/>
      <c r="AT23" s="60"/>
      <c r="AU23" s="60"/>
      <c r="AV23" s="60"/>
      <c r="AW23" s="60"/>
      <c r="AX23" s="60"/>
      <c r="AY23" s="60"/>
      <c r="AZ23" s="60"/>
      <c r="BA23" s="60"/>
      <c r="BB23" s="60"/>
    </row>
    <row r="24" spans="1:54" s="61" customFormat="1" x14ac:dyDescent="0.25">
      <c r="A24" s="75">
        <f t="shared" si="1"/>
        <v>21</v>
      </c>
      <c r="B24" s="74" t="s">
        <v>75</v>
      </c>
      <c r="C24" s="47">
        <f>2</f>
        <v>2</v>
      </c>
      <c r="D24" s="47"/>
      <c r="E24" s="47"/>
      <c r="F24" s="47"/>
      <c r="G24" s="47"/>
      <c r="H24" s="47"/>
      <c r="I24" s="47"/>
      <c r="J24" s="111"/>
      <c r="K24" s="46"/>
      <c r="L24" s="57"/>
      <c r="M24" s="52"/>
      <c r="N24" s="121"/>
      <c r="O24" s="47"/>
      <c r="P24" s="111"/>
      <c r="Q24" s="111"/>
      <c r="R24" s="46"/>
      <c r="S24" s="57"/>
      <c r="T24" s="91">
        <f t="shared" si="0"/>
        <v>0</v>
      </c>
      <c r="U24" s="50">
        <f t="shared" si="4"/>
        <v>48</v>
      </c>
      <c r="V24" s="50">
        <f t="shared" si="5"/>
        <v>2</v>
      </c>
      <c r="W24" s="57"/>
      <c r="X24" s="57"/>
      <c r="Y24" s="57"/>
      <c r="Z24" s="57"/>
      <c r="AA24" s="57"/>
      <c r="AB24" s="57"/>
      <c r="AC24" s="57"/>
      <c r="AD24" s="57"/>
      <c r="AE24" s="57"/>
      <c r="AF24" s="60"/>
      <c r="AG24" s="60"/>
      <c r="AH24" s="60"/>
      <c r="AI24" s="60"/>
      <c r="AJ24" s="60"/>
      <c r="AK24" s="60"/>
      <c r="AL24" s="60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</row>
    <row r="25" spans="1:54" x14ac:dyDescent="0.25">
      <c r="A25" s="75">
        <f t="shared" si="1"/>
        <v>22</v>
      </c>
      <c r="B25" s="74" t="s">
        <v>67</v>
      </c>
      <c r="C25" s="47">
        <v>7</v>
      </c>
      <c r="D25" s="47"/>
      <c r="E25" s="47"/>
      <c r="F25" s="47"/>
      <c r="G25" s="47"/>
      <c r="H25" s="47"/>
      <c r="I25" s="47"/>
      <c r="J25" s="111"/>
      <c r="K25" s="46"/>
      <c r="M25" s="52"/>
      <c r="N25" s="121"/>
      <c r="O25" s="47"/>
      <c r="P25" s="111"/>
      <c r="Q25" s="111"/>
      <c r="R25" s="46"/>
      <c r="T25" s="91">
        <f t="shared" si="0"/>
        <v>0</v>
      </c>
      <c r="U25" s="50">
        <f t="shared" si="4"/>
        <v>168</v>
      </c>
      <c r="V25" s="50">
        <f t="shared" si="5"/>
        <v>7</v>
      </c>
      <c r="AF25" s="60"/>
      <c r="AG25" s="60"/>
      <c r="AH25" s="60"/>
      <c r="AI25" s="60"/>
      <c r="AJ25" s="60"/>
      <c r="AK25" s="60"/>
      <c r="AL25" s="60"/>
      <c r="AM25" s="60"/>
      <c r="AN25" s="60"/>
      <c r="AO25" s="60"/>
      <c r="AP25" s="60"/>
      <c r="AQ25" s="60"/>
      <c r="AR25" s="60"/>
      <c r="AS25" s="60"/>
      <c r="AT25" s="60"/>
      <c r="AU25" s="60"/>
      <c r="AV25" s="60"/>
      <c r="AW25" s="60"/>
      <c r="AX25" s="60"/>
      <c r="AY25" s="60"/>
      <c r="AZ25" s="60"/>
      <c r="BA25" s="60"/>
      <c r="BB25" s="60"/>
    </row>
    <row r="26" spans="1:54" x14ac:dyDescent="0.25">
      <c r="A26" s="75">
        <f t="shared" si="1"/>
        <v>23</v>
      </c>
      <c r="B26" s="74" t="s">
        <v>9</v>
      </c>
      <c r="C26" s="47">
        <f>63+25</f>
        <v>88</v>
      </c>
      <c r="D26" s="47"/>
      <c r="E26" s="47"/>
      <c r="F26" s="47"/>
      <c r="G26" s="47"/>
      <c r="H26" s="47">
        <v>22</v>
      </c>
      <c r="I26" s="47">
        <v>1</v>
      </c>
      <c r="J26" s="111"/>
      <c r="K26" s="46"/>
      <c r="M26" s="52"/>
      <c r="N26" s="121"/>
      <c r="O26" s="47">
        <v>2</v>
      </c>
      <c r="P26" s="111"/>
      <c r="Q26" s="111">
        <v>2</v>
      </c>
      <c r="R26" s="46"/>
      <c r="T26" s="91">
        <f t="shared" si="0"/>
        <v>23</v>
      </c>
      <c r="U26" s="50">
        <f t="shared" si="4"/>
        <v>2231</v>
      </c>
      <c r="V26" s="50">
        <f t="shared" si="5"/>
        <v>92.958333333333329</v>
      </c>
      <c r="AY26" s="62" t="e">
        <f>#REF!-AY25</f>
        <v>#REF!</v>
      </c>
    </row>
    <row r="27" spans="1:54" s="61" customFormat="1" x14ac:dyDescent="0.25">
      <c r="A27" s="75">
        <f t="shared" si="1"/>
        <v>24</v>
      </c>
      <c r="B27" s="74" t="s">
        <v>11</v>
      </c>
      <c r="C27" s="47"/>
      <c r="D27" s="47"/>
      <c r="E27" s="47"/>
      <c r="F27" s="47"/>
      <c r="G27" s="47"/>
      <c r="H27" s="47"/>
      <c r="I27" s="47"/>
      <c r="J27" s="111"/>
      <c r="K27" s="46"/>
      <c r="L27" s="57"/>
      <c r="M27" s="52"/>
      <c r="N27" s="121"/>
      <c r="O27" s="47"/>
      <c r="P27" s="111"/>
      <c r="Q27" s="111"/>
      <c r="R27" s="46"/>
      <c r="S27" s="57"/>
      <c r="T27" s="91">
        <f t="shared" si="0"/>
        <v>0</v>
      </c>
      <c r="U27" s="50">
        <f t="shared" si="4"/>
        <v>0</v>
      </c>
      <c r="V27" s="50">
        <f t="shared" si="5"/>
        <v>0</v>
      </c>
      <c r="W27" s="57"/>
      <c r="X27" s="57"/>
      <c r="Y27" s="57"/>
      <c r="Z27" s="57"/>
      <c r="AA27" s="57"/>
      <c r="AB27" s="57"/>
      <c r="AC27" s="57"/>
      <c r="AD27" s="57"/>
      <c r="AE27" s="57"/>
    </row>
    <row r="28" spans="1:54" s="61" customFormat="1" x14ac:dyDescent="0.25">
      <c r="A28" s="75">
        <f t="shared" si="1"/>
        <v>25</v>
      </c>
      <c r="B28" s="74" t="s">
        <v>12</v>
      </c>
      <c r="C28" s="47">
        <v>56</v>
      </c>
      <c r="D28" s="47"/>
      <c r="E28" s="47"/>
      <c r="F28" s="47"/>
      <c r="G28" s="47"/>
      <c r="H28" s="47"/>
      <c r="I28" s="47"/>
      <c r="J28" s="111"/>
      <c r="K28" s="46"/>
      <c r="L28" s="57"/>
      <c r="M28" s="52"/>
      <c r="N28" s="121"/>
      <c r="O28" s="47">
        <v>2</v>
      </c>
      <c r="P28" s="111"/>
      <c r="Q28" s="111">
        <v>5</v>
      </c>
      <c r="R28" s="46"/>
      <c r="S28" s="57"/>
      <c r="T28" s="91">
        <f t="shared" si="0"/>
        <v>0</v>
      </c>
      <c r="U28" s="50">
        <f t="shared" si="4"/>
        <v>1512</v>
      </c>
      <c r="V28" s="50">
        <f t="shared" si="5"/>
        <v>63</v>
      </c>
      <c r="W28" s="57"/>
      <c r="X28" s="57"/>
      <c r="Y28" s="57"/>
      <c r="Z28" s="57"/>
      <c r="AA28" s="57"/>
      <c r="AB28" s="57"/>
      <c r="AC28" s="57"/>
      <c r="AD28" s="57"/>
      <c r="AE28" s="57"/>
    </row>
    <row r="29" spans="1:54" x14ac:dyDescent="0.25">
      <c r="A29" s="75">
        <f t="shared" si="1"/>
        <v>26</v>
      </c>
      <c r="B29" s="74" t="s">
        <v>14</v>
      </c>
      <c r="C29" s="47"/>
      <c r="D29" s="47"/>
      <c r="E29" s="47"/>
      <c r="F29" s="47"/>
      <c r="G29" s="47"/>
      <c r="H29" s="47"/>
      <c r="I29" s="47"/>
      <c r="J29" s="111"/>
      <c r="K29" s="46"/>
      <c r="M29" s="52"/>
      <c r="N29" s="121"/>
      <c r="O29" s="47"/>
      <c r="P29" s="111"/>
      <c r="Q29" s="111"/>
      <c r="R29" s="46"/>
      <c r="T29" s="91">
        <f t="shared" si="0"/>
        <v>0</v>
      </c>
      <c r="U29" s="50">
        <f t="shared" si="4"/>
        <v>0</v>
      </c>
      <c r="V29" s="50">
        <f t="shared" si="5"/>
        <v>0</v>
      </c>
    </row>
    <row r="30" spans="1:54" x14ac:dyDescent="0.25">
      <c r="A30" s="75">
        <f t="shared" si="1"/>
        <v>27</v>
      </c>
      <c r="B30" s="74" t="s">
        <v>16</v>
      </c>
      <c r="C30" s="47">
        <v>62</v>
      </c>
      <c r="D30" s="47"/>
      <c r="E30" s="47"/>
      <c r="F30" s="47"/>
      <c r="G30" s="47"/>
      <c r="H30" s="47"/>
      <c r="I30" s="47"/>
      <c r="J30" s="111"/>
      <c r="K30" s="46"/>
      <c r="M30" s="52"/>
      <c r="N30" s="121"/>
      <c r="O30" s="47">
        <v>1</v>
      </c>
      <c r="P30" s="111"/>
      <c r="Q30" s="111">
        <v>1</v>
      </c>
      <c r="R30" s="46"/>
      <c r="T30" s="91">
        <f t="shared" si="0"/>
        <v>0</v>
      </c>
      <c r="U30" s="50">
        <f t="shared" si="4"/>
        <v>1536</v>
      </c>
      <c r="V30" s="50">
        <f t="shared" si="5"/>
        <v>64</v>
      </c>
    </row>
    <row r="31" spans="1:54" x14ac:dyDescent="0.25">
      <c r="A31" s="75">
        <f t="shared" si="1"/>
        <v>28</v>
      </c>
      <c r="B31" s="74" t="s">
        <v>13</v>
      </c>
      <c r="C31" s="47"/>
      <c r="D31" s="47"/>
      <c r="E31" s="47"/>
      <c r="F31" s="47"/>
      <c r="G31" s="47"/>
      <c r="H31" s="47"/>
      <c r="I31" s="47"/>
      <c r="J31" s="111"/>
      <c r="K31" s="46"/>
      <c r="M31" s="52"/>
      <c r="N31" s="121"/>
      <c r="O31" s="47"/>
      <c r="P31" s="111"/>
      <c r="Q31" s="111"/>
      <c r="R31" s="46"/>
      <c r="T31" s="91">
        <f t="shared" si="0"/>
        <v>0</v>
      </c>
      <c r="U31" s="50">
        <f t="shared" si="4"/>
        <v>0</v>
      </c>
      <c r="V31" s="50">
        <f t="shared" si="5"/>
        <v>0</v>
      </c>
    </row>
    <row r="32" spans="1:54" x14ac:dyDescent="0.25">
      <c r="A32" s="75">
        <f t="shared" si="1"/>
        <v>29</v>
      </c>
      <c r="B32" s="74" t="s">
        <v>15</v>
      </c>
      <c r="C32" s="47"/>
      <c r="D32" s="47"/>
      <c r="E32" s="47"/>
      <c r="F32" s="47"/>
      <c r="G32" s="47"/>
      <c r="H32" s="47"/>
      <c r="I32" s="47"/>
      <c r="J32" s="111"/>
      <c r="K32" s="46"/>
      <c r="M32" s="52"/>
      <c r="N32" s="121"/>
      <c r="O32" s="47"/>
      <c r="P32" s="111"/>
      <c r="Q32" s="111"/>
      <c r="R32" s="46"/>
      <c r="T32" s="91">
        <f t="shared" si="0"/>
        <v>0</v>
      </c>
      <c r="U32" s="50">
        <f t="shared" si="4"/>
        <v>0</v>
      </c>
      <c r="V32" s="50">
        <f t="shared" si="5"/>
        <v>0</v>
      </c>
    </row>
    <row r="33" spans="1:23" x14ac:dyDescent="0.25">
      <c r="A33" s="75">
        <f t="shared" si="1"/>
        <v>30</v>
      </c>
      <c r="B33" s="74" t="s">
        <v>17</v>
      </c>
      <c r="C33" s="47"/>
      <c r="D33" s="47"/>
      <c r="E33" s="47"/>
      <c r="F33" s="47"/>
      <c r="G33" s="47"/>
      <c r="H33" s="47"/>
      <c r="I33" s="47"/>
      <c r="J33" s="111"/>
      <c r="K33" s="46"/>
      <c r="M33" s="52"/>
      <c r="N33" s="121"/>
      <c r="O33" s="47"/>
      <c r="P33" s="111"/>
      <c r="Q33" s="111"/>
      <c r="R33" s="46"/>
      <c r="T33" s="91">
        <f t="shared" si="0"/>
        <v>0</v>
      </c>
      <c r="U33" s="50">
        <f t="shared" si="4"/>
        <v>0</v>
      </c>
      <c r="V33" s="50">
        <f t="shared" si="5"/>
        <v>0</v>
      </c>
    </row>
    <row r="34" spans="1:23" x14ac:dyDescent="0.25">
      <c r="A34" s="75">
        <f t="shared" si="1"/>
        <v>31</v>
      </c>
      <c r="B34" s="74" t="s">
        <v>18</v>
      </c>
      <c r="C34" s="47">
        <f>72+21+15</f>
        <v>108</v>
      </c>
      <c r="D34" s="47"/>
      <c r="E34" s="47"/>
      <c r="F34" s="47"/>
      <c r="G34" s="47"/>
      <c r="H34" s="47">
        <v>16</v>
      </c>
      <c r="I34" s="47"/>
      <c r="J34" s="111"/>
      <c r="K34" s="46">
        <v>1</v>
      </c>
      <c r="M34" s="52"/>
      <c r="N34" s="121"/>
      <c r="O34" s="47">
        <v>3</v>
      </c>
      <c r="P34" s="111"/>
      <c r="Q34" s="111">
        <v>3</v>
      </c>
      <c r="R34" s="46"/>
      <c r="T34" s="91">
        <f t="shared" si="0"/>
        <v>17</v>
      </c>
      <c r="U34" s="50">
        <f t="shared" si="4"/>
        <v>2753</v>
      </c>
      <c r="V34" s="50">
        <f t="shared" si="5"/>
        <v>114.70833333333333</v>
      </c>
    </row>
    <row r="35" spans="1:23" hidden="1" x14ac:dyDescent="0.25">
      <c r="A35" s="75">
        <f t="shared" si="1"/>
        <v>32</v>
      </c>
      <c r="B35" s="74" t="s">
        <v>26</v>
      </c>
      <c r="C35" s="47"/>
      <c r="D35" s="47"/>
      <c r="E35" s="47"/>
      <c r="F35" s="47"/>
      <c r="G35" s="47"/>
      <c r="H35" s="47"/>
      <c r="I35" s="47"/>
      <c r="J35" s="111"/>
      <c r="K35" s="46"/>
      <c r="M35" s="52"/>
      <c r="N35" s="121"/>
      <c r="O35" s="47"/>
      <c r="P35" s="111"/>
      <c r="Q35" s="111"/>
      <c r="R35" s="46"/>
      <c r="T35" s="91">
        <f t="shared" si="0"/>
        <v>0</v>
      </c>
      <c r="U35" s="50">
        <f t="shared" si="4"/>
        <v>0</v>
      </c>
      <c r="V35" s="50">
        <f t="shared" si="5"/>
        <v>0</v>
      </c>
    </row>
    <row r="36" spans="1:23" x14ac:dyDescent="0.25">
      <c r="A36" s="75">
        <f t="shared" si="1"/>
        <v>33</v>
      </c>
      <c r="B36" s="74" t="s">
        <v>19</v>
      </c>
      <c r="C36" s="47"/>
      <c r="D36" s="47"/>
      <c r="E36" s="47"/>
      <c r="F36" s="47"/>
      <c r="G36" s="47"/>
      <c r="H36" s="47"/>
      <c r="I36" s="47"/>
      <c r="J36" s="111"/>
      <c r="K36" s="46"/>
      <c r="M36" s="52"/>
      <c r="N36" s="121"/>
      <c r="O36" s="47"/>
      <c r="P36" s="111"/>
      <c r="Q36" s="111"/>
      <c r="R36" s="46"/>
      <c r="T36" s="91">
        <f t="shared" si="0"/>
        <v>0</v>
      </c>
      <c r="U36" s="50">
        <f t="shared" si="4"/>
        <v>0</v>
      </c>
      <c r="V36" s="50">
        <f t="shared" si="5"/>
        <v>0</v>
      </c>
    </row>
    <row r="37" spans="1:23" ht="19.5" thickBot="1" x14ac:dyDescent="0.3">
      <c r="A37" s="75">
        <f t="shared" si="1"/>
        <v>34</v>
      </c>
      <c r="B37" s="94" t="s">
        <v>20</v>
      </c>
      <c r="C37" s="95">
        <f>2376+2160</f>
        <v>4536</v>
      </c>
      <c r="D37" s="95"/>
      <c r="E37" s="95"/>
      <c r="F37" s="95"/>
      <c r="G37" s="95"/>
      <c r="H37" s="95">
        <v>2</v>
      </c>
      <c r="I37" s="95"/>
      <c r="J37" s="110">
        <v>4</v>
      </c>
      <c r="K37" s="96">
        <v>2</v>
      </c>
      <c r="L37" s="102"/>
      <c r="M37" s="103"/>
      <c r="N37" s="120"/>
      <c r="O37" s="97">
        <v>68</v>
      </c>
      <c r="P37" s="113"/>
      <c r="Q37" s="113">
        <v>56</v>
      </c>
      <c r="R37" s="98"/>
      <c r="S37" s="102"/>
      <c r="T37" s="104">
        <f t="shared" si="0"/>
        <v>8</v>
      </c>
      <c r="U37" s="104">
        <f>C37*6+M37*6+O37*6+Q37*6+T37</f>
        <v>27968</v>
      </c>
      <c r="V37" s="104">
        <f>U37/6</f>
        <v>4661.333333333333</v>
      </c>
      <c r="W37" s="123"/>
    </row>
    <row r="38" spans="1:23" x14ac:dyDescent="0.25">
      <c r="A38" s="75">
        <f t="shared" si="1"/>
        <v>35</v>
      </c>
      <c r="B38" s="73" t="s">
        <v>21</v>
      </c>
      <c r="C38" s="47">
        <f>3+1</f>
        <v>4</v>
      </c>
      <c r="D38" s="47"/>
      <c r="E38" s="47"/>
      <c r="F38" s="47"/>
      <c r="G38" s="47"/>
      <c r="H38" s="47"/>
      <c r="I38" s="47"/>
      <c r="J38" s="111"/>
      <c r="K38" s="46"/>
      <c r="M38" s="52"/>
      <c r="N38" s="121"/>
      <c r="O38" s="47"/>
      <c r="P38" s="111"/>
      <c r="Q38" s="111"/>
      <c r="R38" s="46"/>
      <c r="T38" s="50">
        <f t="shared" si="0"/>
        <v>0</v>
      </c>
      <c r="U38" s="50">
        <f>C38*24+M38*24+O38*24+Q38*24+T38</f>
        <v>96</v>
      </c>
      <c r="V38" s="50">
        <f>U38/24</f>
        <v>4</v>
      </c>
    </row>
    <row r="39" spans="1:23" ht="19.5" thickBot="1" x14ac:dyDescent="0.3">
      <c r="A39" s="75">
        <f t="shared" si="1"/>
        <v>36</v>
      </c>
      <c r="B39" s="94" t="s">
        <v>22</v>
      </c>
      <c r="C39" s="95">
        <f>756+5</f>
        <v>761</v>
      </c>
      <c r="D39" s="95"/>
      <c r="E39" s="95"/>
      <c r="F39" s="95"/>
      <c r="G39" s="95"/>
      <c r="H39" s="95">
        <v>9</v>
      </c>
      <c r="I39" s="95"/>
      <c r="J39" s="110"/>
      <c r="K39" s="96">
        <v>15</v>
      </c>
      <c r="L39" s="102"/>
      <c r="M39" s="103"/>
      <c r="N39" s="120"/>
      <c r="O39" s="97">
        <v>1</v>
      </c>
      <c r="P39" s="113"/>
      <c r="Q39" s="113">
        <v>2</v>
      </c>
      <c r="R39" s="98"/>
      <c r="S39" s="102"/>
      <c r="T39" s="104">
        <f t="shared" ref="T39" si="6">H39+I39+J39+K39+N39+P39+R39</f>
        <v>24</v>
      </c>
      <c r="U39" s="104">
        <f>C39*24+M39*24+O39*24+Q39*24+T39</f>
        <v>18360</v>
      </c>
      <c r="V39" s="104">
        <f>U39/24</f>
        <v>765</v>
      </c>
    </row>
    <row r="40" spans="1:23" ht="19.5" thickBot="1" x14ac:dyDescent="0.3">
      <c r="A40" s="75">
        <f t="shared" si="1"/>
        <v>37</v>
      </c>
      <c r="B40" s="99" t="s">
        <v>23</v>
      </c>
      <c r="C40" s="100">
        <f>1632+38</f>
        <v>1670</v>
      </c>
      <c r="D40" s="100"/>
      <c r="E40" s="100"/>
      <c r="F40" s="100"/>
      <c r="G40" s="100"/>
      <c r="H40" s="100"/>
      <c r="I40" s="100"/>
      <c r="J40" s="112"/>
      <c r="K40" s="101"/>
      <c r="L40" s="105"/>
      <c r="M40" s="106"/>
      <c r="N40" s="122"/>
      <c r="O40" s="100">
        <v>11</v>
      </c>
      <c r="P40" s="112"/>
      <c r="Q40" s="112">
        <v>15</v>
      </c>
      <c r="R40" s="101"/>
      <c r="S40" s="105"/>
      <c r="T40" s="107">
        <f t="shared" ref="T40" si="7">H40+I40+J40+K40+N40+P40+R40</f>
        <v>0</v>
      </c>
      <c r="U40" s="107">
        <f>C40*12+M40*12+O40*12+Q40*12+T40</f>
        <v>20352</v>
      </c>
      <c r="V40" s="107">
        <f>U40/12</f>
        <v>1696</v>
      </c>
    </row>
    <row r="41" spans="1:23" hidden="1" x14ac:dyDescent="0.25">
      <c r="A41" s="75">
        <f t="shared" si="1"/>
        <v>38</v>
      </c>
      <c r="B41" s="73" t="s">
        <v>31</v>
      </c>
      <c r="C41" s="47"/>
      <c r="D41" s="47"/>
      <c r="E41" s="47"/>
      <c r="F41" s="47"/>
      <c r="G41" s="47"/>
      <c r="H41" s="47"/>
      <c r="I41" s="47"/>
      <c r="J41" s="111"/>
      <c r="K41" s="46"/>
      <c r="M41" s="52"/>
      <c r="N41" s="121"/>
      <c r="O41" s="47"/>
      <c r="P41" s="111"/>
      <c r="Q41" s="111"/>
      <c r="R41" s="46"/>
      <c r="T41" s="50"/>
      <c r="U41" s="50"/>
      <c r="V41" s="50"/>
    </row>
    <row r="42" spans="1:23" ht="19.5" thickBot="1" x14ac:dyDescent="0.3">
      <c r="A42" s="75">
        <f t="shared" si="1"/>
        <v>39</v>
      </c>
      <c r="B42" s="94" t="s">
        <v>24</v>
      </c>
      <c r="C42" s="97">
        <f>6048+6048+2700+3564+7128</f>
        <v>25488</v>
      </c>
      <c r="D42" s="97"/>
      <c r="E42" s="97"/>
      <c r="F42" s="97"/>
      <c r="G42" s="97"/>
      <c r="H42" s="97">
        <v>2</v>
      </c>
      <c r="I42" s="97">
        <v>6</v>
      </c>
      <c r="J42" s="113">
        <v>48</v>
      </c>
      <c r="K42" s="98">
        <f>454</f>
        <v>454</v>
      </c>
      <c r="L42" s="102"/>
      <c r="M42" s="103"/>
      <c r="N42" s="120"/>
      <c r="O42" s="97">
        <v>285</v>
      </c>
      <c r="P42" s="113"/>
      <c r="Q42" s="113">
        <v>383</v>
      </c>
      <c r="R42" s="98"/>
      <c r="S42" s="102"/>
      <c r="T42" s="104">
        <f t="shared" ref="T42" si="8">H42+I42+J42+K42+N42+P42+R42</f>
        <v>510</v>
      </c>
      <c r="U42" s="104">
        <f>C42*6+M42*6+O42*6+Q42*6+T42</f>
        <v>157446</v>
      </c>
      <c r="V42" s="104">
        <f>U42/6</f>
        <v>26241</v>
      </c>
    </row>
    <row r="43" spans="1:23" hidden="1" x14ac:dyDescent="0.25">
      <c r="A43" s="75">
        <f t="shared" si="1"/>
        <v>40</v>
      </c>
      <c r="B43" s="73" t="s">
        <v>33</v>
      </c>
      <c r="C43" s="47"/>
      <c r="D43" s="47"/>
      <c r="E43" s="47"/>
      <c r="F43" s="47"/>
      <c r="G43" s="47"/>
      <c r="H43" s="47"/>
      <c r="I43" s="47"/>
      <c r="J43" s="111"/>
      <c r="K43" s="46"/>
      <c r="M43" s="52"/>
      <c r="N43" s="121"/>
      <c r="O43" s="47"/>
      <c r="P43" s="111"/>
      <c r="Q43" s="111"/>
      <c r="R43" s="46"/>
      <c r="T43" s="50"/>
      <c r="U43" s="50"/>
      <c r="V43" s="50"/>
    </row>
    <row r="44" spans="1:23" x14ac:dyDescent="0.25">
      <c r="A44" s="75">
        <f t="shared" si="1"/>
        <v>41</v>
      </c>
      <c r="B44" s="74" t="s">
        <v>25</v>
      </c>
      <c r="C44" s="47"/>
      <c r="D44" s="47"/>
      <c r="E44" s="47"/>
      <c r="F44" s="47"/>
      <c r="G44" s="47"/>
      <c r="H44" s="47"/>
      <c r="I44" s="47"/>
      <c r="J44" s="111"/>
      <c r="K44" s="46"/>
      <c r="M44" s="52"/>
      <c r="N44" s="121"/>
      <c r="O44" s="47"/>
      <c r="P44" s="111"/>
      <c r="Q44" s="111"/>
      <c r="R44" s="46"/>
      <c r="T44" s="50">
        <f t="shared" ref="T44" si="9">H44+I44+J44+K44+N44+P44+R44</f>
        <v>0</v>
      </c>
      <c r="U44" s="50">
        <f>C44*24+M44*24+O44*24+Q44*24+T44</f>
        <v>0</v>
      </c>
      <c r="V44" s="50">
        <f>U44/24</f>
        <v>0</v>
      </c>
    </row>
    <row r="45" spans="1:23" x14ac:dyDescent="0.25">
      <c r="A45" s="75">
        <f t="shared" si="1"/>
        <v>42</v>
      </c>
      <c r="B45" s="74" t="s">
        <v>68</v>
      </c>
      <c r="C45" s="47"/>
      <c r="D45" s="47"/>
      <c r="E45" s="47"/>
      <c r="F45" s="47"/>
      <c r="G45" s="47"/>
      <c r="H45" s="47"/>
      <c r="I45" s="47"/>
      <c r="J45" s="111"/>
      <c r="K45" s="46"/>
      <c r="M45" s="52"/>
      <c r="N45" s="121"/>
      <c r="O45" s="47"/>
      <c r="P45" s="111"/>
      <c r="Q45" s="111"/>
      <c r="R45" s="46"/>
      <c r="T45" s="50">
        <f t="shared" ref="T45:T48" si="10">H45+I45+J45+K45+N45+P45+R45</f>
        <v>0</v>
      </c>
      <c r="U45" s="50">
        <f t="shared" ref="U45:U47" si="11">C45*24+M45*24+O45*24+Q45*24+T45</f>
        <v>0</v>
      </c>
      <c r="V45" s="50">
        <f t="shared" ref="V45:V53" si="12">U45/24</f>
        <v>0</v>
      </c>
    </row>
    <row r="46" spans="1:23" x14ac:dyDescent="0.25">
      <c r="A46" s="75">
        <f t="shared" si="1"/>
        <v>43</v>
      </c>
      <c r="B46" s="74" t="s">
        <v>73</v>
      </c>
      <c r="C46" s="47"/>
      <c r="D46" s="47"/>
      <c r="E46" s="47"/>
      <c r="F46" s="47"/>
      <c r="G46" s="47"/>
      <c r="H46" s="47"/>
      <c r="I46" s="47"/>
      <c r="J46" s="111"/>
      <c r="K46" s="46"/>
      <c r="M46" s="52"/>
      <c r="N46" s="121"/>
      <c r="O46" s="47"/>
      <c r="P46" s="111"/>
      <c r="Q46" s="111"/>
      <c r="R46" s="46"/>
      <c r="T46" s="50">
        <f t="shared" si="10"/>
        <v>0</v>
      </c>
      <c r="U46" s="50">
        <f t="shared" si="11"/>
        <v>0</v>
      </c>
      <c r="V46" s="50">
        <f t="shared" si="12"/>
        <v>0</v>
      </c>
    </row>
    <row r="47" spans="1:23" x14ac:dyDescent="0.25">
      <c r="A47" s="75">
        <f t="shared" si="1"/>
        <v>44</v>
      </c>
      <c r="B47" s="74" t="s">
        <v>74</v>
      </c>
      <c r="C47" s="47"/>
      <c r="D47" s="47"/>
      <c r="E47" s="47"/>
      <c r="F47" s="47"/>
      <c r="G47" s="47"/>
      <c r="H47" s="47"/>
      <c r="I47" s="47"/>
      <c r="J47" s="111"/>
      <c r="K47" s="46"/>
      <c r="M47" s="52"/>
      <c r="N47" s="121"/>
      <c r="O47" s="47"/>
      <c r="P47" s="111"/>
      <c r="Q47" s="111"/>
      <c r="R47" s="46"/>
      <c r="T47" s="50">
        <f t="shared" si="10"/>
        <v>0</v>
      </c>
      <c r="U47" s="50">
        <f t="shared" si="11"/>
        <v>0</v>
      </c>
      <c r="V47" s="50">
        <f t="shared" si="12"/>
        <v>0</v>
      </c>
    </row>
    <row r="48" spans="1:23" x14ac:dyDescent="0.25">
      <c r="A48" s="75">
        <f t="shared" si="1"/>
        <v>45</v>
      </c>
      <c r="B48" s="74" t="s">
        <v>26</v>
      </c>
      <c r="C48" s="47">
        <f>24+44+2268</f>
        <v>2336</v>
      </c>
      <c r="D48" s="47"/>
      <c r="E48" s="47"/>
      <c r="F48" s="47"/>
      <c r="G48" s="47"/>
      <c r="H48" s="47">
        <v>3</v>
      </c>
      <c r="I48" s="47"/>
      <c r="J48" s="111"/>
      <c r="K48" s="46">
        <v>6</v>
      </c>
      <c r="M48" s="52">
        <v>10</v>
      </c>
      <c r="N48" s="121"/>
      <c r="O48" s="47">
        <v>8</v>
      </c>
      <c r="P48" s="111">
        <v>2</v>
      </c>
      <c r="Q48" s="111">
        <v>10</v>
      </c>
      <c r="R48" s="46"/>
      <c r="T48" s="50">
        <f t="shared" si="10"/>
        <v>11</v>
      </c>
      <c r="U48" s="50">
        <f>C48*6+M48*6+O48*6+Q48*6+T48</f>
        <v>14195</v>
      </c>
      <c r="V48" s="50">
        <f>U48/6</f>
        <v>2365.8333333333335</v>
      </c>
    </row>
    <row r="49" spans="1:22" x14ac:dyDescent="0.25">
      <c r="A49" s="75">
        <f t="shared" si="1"/>
        <v>46</v>
      </c>
      <c r="B49" s="74" t="s">
        <v>69</v>
      </c>
      <c r="C49" s="47"/>
      <c r="D49" s="47"/>
      <c r="E49" s="47"/>
      <c r="F49" s="47"/>
      <c r="G49" s="47"/>
      <c r="H49" s="47"/>
      <c r="I49" s="47"/>
      <c r="J49" s="111"/>
      <c r="K49" s="46"/>
      <c r="M49" s="52"/>
      <c r="N49" s="121"/>
      <c r="O49" s="47"/>
      <c r="P49" s="111"/>
      <c r="Q49" s="111"/>
      <c r="R49" s="46"/>
      <c r="T49" s="50">
        <f t="shared" ref="T49:T50" si="13">H49+I49+J49+K49+N49+P49+R49</f>
        <v>0</v>
      </c>
      <c r="U49" s="50">
        <f t="shared" ref="U49:U50" si="14">C49*24+M49*24+O49*24+Q49*24+T49</f>
        <v>0</v>
      </c>
      <c r="V49" s="50">
        <f t="shared" si="12"/>
        <v>0</v>
      </c>
    </row>
    <row r="50" spans="1:22" x14ac:dyDescent="0.25">
      <c r="A50" s="75">
        <f t="shared" si="1"/>
        <v>47</v>
      </c>
      <c r="B50" s="74" t="s">
        <v>28</v>
      </c>
      <c r="C50" s="47"/>
      <c r="D50" s="47"/>
      <c r="E50" s="47"/>
      <c r="F50" s="47"/>
      <c r="G50" s="47"/>
      <c r="H50" s="47"/>
      <c r="I50" s="47"/>
      <c r="J50" s="111"/>
      <c r="K50" s="46"/>
      <c r="M50" s="52"/>
      <c r="N50" s="121"/>
      <c r="O50" s="47"/>
      <c r="P50" s="111"/>
      <c r="Q50" s="111"/>
      <c r="R50" s="46"/>
      <c r="T50" s="50">
        <f t="shared" si="13"/>
        <v>0</v>
      </c>
      <c r="U50" s="50">
        <f t="shared" si="14"/>
        <v>0</v>
      </c>
      <c r="V50" s="50">
        <f t="shared" si="12"/>
        <v>0</v>
      </c>
    </row>
    <row r="51" spans="1:22" x14ac:dyDescent="0.25">
      <c r="A51" s="75">
        <f t="shared" si="1"/>
        <v>48</v>
      </c>
      <c r="B51" s="74" t="s">
        <v>70</v>
      </c>
      <c r="C51" s="47"/>
      <c r="D51" s="47"/>
      <c r="E51" s="47"/>
      <c r="F51" s="47"/>
      <c r="G51" s="47"/>
      <c r="H51" s="47"/>
      <c r="I51" s="47"/>
      <c r="J51" s="111"/>
      <c r="K51" s="46"/>
      <c r="M51" s="52"/>
      <c r="N51" s="121"/>
      <c r="O51" s="47"/>
      <c r="P51" s="111"/>
      <c r="Q51" s="111"/>
      <c r="R51" s="46"/>
      <c r="T51" s="50">
        <f t="shared" ref="T51:T52" si="15">H51+I51+J51+K51+N51+P51+R51</f>
        <v>0</v>
      </c>
      <c r="U51" s="50">
        <f t="shared" ref="U51" si="16">C51*24+M51*24+O51*24+Q51*24+T51</f>
        <v>0</v>
      </c>
      <c r="V51" s="50">
        <f t="shared" si="12"/>
        <v>0</v>
      </c>
    </row>
    <row r="52" spans="1:22" x14ac:dyDescent="0.25">
      <c r="A52" s="75">
        <f t="shared" si="1"/>
        <v>49</v>
      </c>
      <c r="B52" s="74" t="s">
        <v>29</v>
      </c>
      <c r="C52" s="47">
        <v>34</v>
      </c>
      <c r="D52" s="47"/>
      <c r="E52" s="47"/>
      <c r="F52" s="47"/>
      <c r="G52" s="47"/>
      <c r="H52" s="47"/>
      <c r="I52" s="47"/>
      <c r="J52" s="111"/>
      <c r="K52" s="46"/>
      <c r="M52" s="52"/>
      <c r="N52" s="121"/>
      <c r="O52" s="47"/>
      <c r="P52" s="111"/>
      <c r="Q52" s="111"/>
      <c r="R52" s="46"/>
      <c r="T52" s="50">
        <f t="shared" si="15"/>
        <v>0</v>
      </c>
      <c r="U52" s="50">
        <f>C52*6+M52*6+O52*6+Q52*6+T52</f>
        <v>204</v>
      </c>
      <c r="V52" s="50">
        <f>U52/6</f>
        <v>34</v>
      </c>
    </row>
    <row r="53" spans="1:22" x14ac:dyDescent="0.25">
      <c r="A53" s="75">
        <f t="shared" si="1"/>
        <v>50</v>
      </c>
      <c r="B53" s="74" t="s">
        <v>30</v>
      </c>
      <c r="C53" s="47"/>
      <c r="D53" s="47"/>
      <c r="E53" s="47"/>
      <c r="F53" s="47"/>
      <c r="G53" s="47"/>
      <c r="H53" s="47"/>
      <c r="I53" s="47"/>
      <c r="J53" s="111"/>
      <c r="K53" s="46"/>
      <c r="M53" s="52"/>
      <c r="N53" s="121"/>
      <c r="O53" s="47"/>
      <c r="P53" s="111"/>
      <c r="Q53" s="111"/>
      <c r="R53" s="46"/>
      <c r="T53" s="50">
        <f t="shared" ref="T53" si="17">H53+I53+J53+K53+N53+P53+R53</f>
        <v>0</v>
      </c>
      <c r="U53" s="50">
        <f t="shared" ref="U53" si="18">C53*24+M53*24+O53*24+Q53*24+T53</f>
        <v>0</v>
      </c>
      <c r="V53" s="50">
        <f t="shared" si="12"/>
        <v>0</v>
      </c>
    </row>
    <row r="54" spans="1:22" x14ac:dyDescent="0.25">
      <c r="A54" s="75">
        <f t="shared" si="1"/>
        <v>51</v>
      </c>
      <c r="B54" s="74"/>
      <c r="C54" s="47"/>
      <c r="D54" s="47"/>
      <c r="E54" s="47"/>
      <c r="F54" s="47"/>
      <c r="G54" s="47"/>
      <c r="H54" s="47"/>
      <c r="I54" s="47"/>
      <c r="J54" s="111"/>
      <c r="K54" s="46"/>
      <c r="M54" s="52"/>
      <c r="N54" s="121"/>
      <c r="O54" s="47"/>
      <c r="P54" s="111"/>
      <c r="Q54" s="111"/>
      <c r="R54" s="46"/>
      <c r="T54" s="50"/>
      <c r="U54" s="50"/>
      <c r="V54" s="50"/>
    </row>
    <row r="55" spans="1:22" x14ac:dyDescent="0.25">
      <c r="A55" s="75">
        <f t="shared" si="1"/>
        <v>52</v>
      </c>
      <c r="B55" s="74"/>
      <c r="C55" s="47"/>
      <c r="D55" s="47"/>
      <c r="E55" s="47"/>
      <c r="F55" s="47"/>
      <c r="G55" s="47"/>
      <c r="H55" s="47"/>
      <c r="I55" s="47"/>
      <c r="J55" s="111"/>
      <c r="K55" s="46"/>
      <c r="M55" s="52"/>
      <c r="N55" s="121"/>
      <c r="O55" s="47"/>
      <c r="P55" s="111"/>
      <c r="Q55" s="111"/>
      <c r="R55" s="46"/>
      <c r="T55" s="50"/>
      <c r="U55" s="50"/>
      <c r="V55" s="50"/>
    </row>
    <row r="56" spans="1:22" x14ac:dyDescent="0.25">
      <c r="A56" s="75">
        <f t="shared" si="1"/>
        <v>53</v>
      </c>
      <c r="B56" s="74"/>
      <c r="C56" s="47"/>
      <c r="D56" s="47"/>
      <c r="E56" s="47"/>
      <c r="F56" s="47"/>
      <c r="G56" s="47"/>
      <c r="H56" s="47"/>
      <c r="I56" s="47"/>
      <c r="J56" s="111"/>
      <c r="K56" s="46"/>
      <c r="M56" s="52"/>
      <c r="N56" s="121"/>
      <c r="O56" s="47"/>
      <c r="P56" s="111"/>
      <c r="Q56" s="111"/>
      <c r="R56" s="46"/>
      <c r="T56" s="50"/>
      <c r="U56" s="50"/>
      <c r="V56" s="50"/>
    </row>
    <row r="57" spans="1:22" s="63" customFormat="1" ht="19.5" thickBot="1" x14ac:dyDescent="0.3">
      <c r="B57" s="77" t="s">
        <v>60</v>
      </c>
      <c r="C57" s="49">
        <f>SUM(C7:C56)</f>
        <v>38967</v>
      </c>
      <c r="D57" s="49"/>
      <c r="E57" s="49"/>
      <c r="F57" s="49">
        <f t="shared" ref="F57:K57" si="19">SUM(F7:F56)</f>
        <v>0</v>
      </c>
      <c r="G57" s="49">
        <f t="shared" si="19"/>
        <v>0</v>
      </c>
      <c r="H57" s="49">
        <f t="shared" si="19"/>
        <v>93</v>
      </c>
      <c r="I57" s="54">
        <f t="shared" si="19"/>
        <v>8</v>
      </c>
      <c r="J57" s="54">
        <f t="shared" si="19"/>
        <v>52</v>
      </c>
      <c r="K57" s="54">
        <f t="shared" si="19"/>
        <v>486</v>
      </c>
      <c r="M57" s="53">
        <f t="shared" ref="M57:R57" si="20">SUM(M7:M56)</f>
        <v>13</v>
      </c>
      <c r="N57" s="53">
        <f t="shared" si="20"/>
        <v>0</v>
      </c>
      <c r="O57" s="53">
        <f t="shared" si="20"/>
        <v>396</v>
      </c>
      <c r="P57" s="53">
        <f t="shared" si="20"/>
        <v>17</v>
      </c>
      <c r="Q57" s="53">
        <f t="shared" si="20"/>
        <v>498</v>
      </c>
      <c r="R57" s="53">
        <f t="shared" si="20"/>
        <v>6</v>
      </c>
      <c r="S57" s="57"/>
      <c r="T57" s="51">
        <f>SUM(T7:T56)</f>
        <v>662</v>
      </c>
      <c r="U57" s="51">
        <f>SUM(U7:U56)</f>
        <v>339434</v>
      </c>
      <c r="V57" s="51">
        <f>SUM(V7:V56)</f>
        <v>39967.708333333336</v>
      </c>
    </row>
    <row r="58" spans="1:22" ht="7.5" customHeight="1" thickBot="1" x14ac:dyDescent="0.3"/>
    <row r="59" spans="1:22" ht="19.5" thickBot="1" x14ac:dyDescent="0.3">
      <c r="B59" s="78" t="s">
        <v>39</v>
      </c>
      <c r="C59" s="191" t="s">
        <v>49</v>
      </c>
      <c r="D59" s="192"/>
      <c r="E59" s="192"/>
      <c r="F59" s="192"/>
      <c r="G59" s="192"/>
      <c r="H59" s="192"/>
      <c r="I59" s="192"/>
      <c r="J59" s="192"/>
      <c r="K59" s="193"/>
      <c r="U59" s="72" t="s">
        <v>62</v>
      </c>
    </row>
    <row r="60" spans="1:22" x14ac:dyDescent="0.25">
      <c r="B60" s="79" t="s">
        <v>18</v>
      </c>
      <c r="C60" s="67"/>
      <c r="D60" s="67"/>
      <c r="E60" s="67"/>
      <c r="F60" s="67"/>
      <c r="G60" s="67"/>
      <c r="H60" s="67"/>
      <c r="I60" s="67"/>
      <c r="J60" s="114"/>
      <c r="K60" s="68"/>
      <c r="U60" s="55"/>
    </row>
    <row r="61" spans="1:22" x14ac:dyDescent="0.25">
      <c r="B61" s="80" t="s">
        <v>55</v>
      </c>
      <c r="C61" s="48"/>
      <c r="D61" s="48"/>
      <c r="E61" s="48"/>
      <c r="F61" s="48"/>
      <c r="G61" s="48"/>
      <c r="H61" s="48"/>
      <c r="I61" s="48"/>
      <c r="J61" s="109"/>
      <c r="K61" s="69"/>
      <c r="U61" s="50"/>
    </row>
    <row r="62" spans="1:22" ht="19.5" thickBot="1" x14ac:dyDescent="0.3">
      <c r="B62" s="81" t="s">
        <v>54</v>
      </c>
      <c r="C62" s="70"/>
      <c r="D62" s="70"/>
      <c r="E62" s="70"/>
      <c r="F62" s="70"/>
      <c r="G62" s="70"/>
      <c r="H62" s="70"/>
      <c r="I62" s="70"/>
      <c r="J62" s="115"/>
      <c r="K62" s="71"/>
      <c r="U62" s="56"/>
    </row>
    <row r="63" spans="1:22" ht="7.5" customHeight="1" thickBot="1" x14ac:dyDescent="0.3"/>
    <row r="64" spans="1:22" x14ac:dyDescent="0.25">
      <c r="B64" s="79" t="s">
        <v>56</v>
      </c>
      <c r="C64" s="67"/>
      <c r="D64" s="67"/>
      <c r="E64" s="67"/>
      <c r="F64" s="67"/>
      <c r="G64" s="67"/>
      <c r="H64" s="67"/>
      <c r="I64" s="67"/>
      <c r="J64" s="114"/>
      <c r="K64" s="68"/>
      <c r="U64" s="55"/>
    </row>
    <row r="65" spans="2:21" x14ac:dyDescent="0.25">
      <c r="B65" s="80" t="s">
        <v>55</v>
      </c>
      <c r="C65" s="48"/>
      <c r="D65" s="48"/>
      <c r="E65" s="48"/>
      <c r="F65" s="48"/>
      <c r="G65" s="48"/>
      <c r="H65" s="48"/>
      <c r="I65" s="48"/>
      <c r="J65" s="109"/>
      <c r="K65" s="69"/>
      <c r="U65" s="50"/>
    </row>
    <row r="66" spans="2:21" ht="19.5" thickBot="1" x14ac:dyDescent="0.3">
      <c r="B66" s="81" t="s">
        <v>54</v>
      </c>
      <c r="C66" s="70"/>
      <c r="D66" s="70"/>
      <c r="E66" s="70"/>
      <c r="F66" s="70"/>
      <c r="G66" s="70"/>
      <c r="H66" s="70"/>
      <c r="I66" s="70"/>
      <c r="J66" s="115"/>
      <c r="K66" s="71"/>
      <c r="U66" s="56"/>
    </row>
    <row r="67" spans="2:21" ht="7.5" customHeight="1" thickBot="1" x14ac:dyDescent="0.3"/>
    <row r="68" spans="2:21" x14ac:dyDescent="0.25">
      <c r="B68" s="79" t="s">
        <v>41</v>
      </c>
      <c r="C68" s="67"/>
      <c r="D68" s="67"/>
      <c r="E68" s="67"/>
      <c r="F68" s="67"/>
      <c r="G68" s="67"/>
      <c r="H68" s="67"/>
      <c r="I68" s="67"/>
      <c r="J68" s="114"/>
      <c r="K68" s="68"/>
      <c r="U68" s="55"/>
    </row>
    <row r="69" spans="2:21" x14ac:dyDescent="0.25">
      <c r="B69" s="80" t="s">
        <v>55</v>
      </c>
      <c r="C69" s="48"/>
      <c r="D69" s="48"/>
      <c r="E69" s="48"/>
      <c r="F69" s="48"/>
      <c r="G69" s="48"/>
      <c r="H69" s="48"/>
      <c r="I69" s="48"/>
      <c r="J69" s="109"/>
      <c r="K69" s="69"/>
      <c r="U69" s="50"/>
    </row>
    <row r="70" spans="2:21" ht="19.5" thickBot="1" x14ac:dyDescent="0.3">
      <c r="B70" s="81" t="s">
        <v>54</v>
      </c>
      <c r="C70" s="70"/>
      <c r="D70" s="70"/>
      <c r="E70" s="70"/>
      <c r="F70" s="70"/>
      <c r="G70" s="70"/>
      <c r="H70" s="70"/>
      <c r="I70" s="70"/>
      <c r="J70" s="115"/>
      <c r="K70" s="71"/>
      <c r="U70" s="56"/>
    </row>
    <row r="71" spans="2:21" ht="7.5" customHeight="1" thickBot="1" x14ac:dyDescent="0.3"/>
    <row r="72" spans="2:21" x14ac:dyDescent="0.25">
      <c r="B72" s="79" t="s">
        <v>57</v>
      </c>
      <c r="C72" s="67"/>
      <c r="D72" s="67"/>
      <c r="E72" s="67"/>
      <c r="F72" s="67"/>
      <c r="G72" s="67"/>
      <c r="H72" s="67"/>
      <c r="I72" s="67"/>
      <c r="J72" s="114"/>
      <c r="K72" s="68"/>
      <c r="U72" s="55"/>
    </row>
    <row r="73" spans="2:21" x14ac:dyDescent="0.25">
      <c r="B73" s="80" t="s">
        <v>55</v>
      </c>
      <c r="C73" s="48"/>
      <c r="D73" s="48"/>
      <c r="E73" s="48"/>
      <c r="F73" s="48"/>
      <c r="G73" s="48"/>
      <c r="H73" s="48"/>
      <c r="I73" s="48"/>
      <c r="J73" s="109"/>
      <c r="K73" s="69"/>
      <c r="U73" s="50"/>
    </row>
    <row r="74" spans="2:21" ht="19.5" thickBot="1" x14ac:dyDescent="0.3">
      <c r="B74" s="81" t="s">
        <v>54</v>
      </c>
      <c r="C74" s="70"/>
      <c r="D74" s="70"/>
      <c r="E74" s="70"/>
      <c r="F74" s="70"/>
      <c r="G74" s="70"/>
      <c r="H74" s="70"/>
      <c r="I74" s="70"/>
      <c r="J74" s="115"/>
      <c r="K74" s="71"/>
      <c r="U74" s="56"/>
    </row>
    <row r="75" spans="2:21" ht="7.5" customHeight="1" thickBot="1" x14ac:dyDescent="0.3"/>
    <row r="76" spans="2:21" x14ac:dyDescent="0.25">
      <c r="B76" s="79" t="s">
        <v>58</v>
      </c>
      <c r="C76" s="67"/>
      <c r="D76" s="67"/>
      <c r="E76" s="67"/>
      <c r="F76" s="67"/>
      <c r="G76" s="67"/>
      <c r="H76" s="67"/>
      <c r="I76" s="67"/>
      <c r="J76" s="114"/>
      <c r="K76" s="68"/>
      <c r="U76" s="55"/>
    </row>
    <row r="77" spans="2:21" x14ac:dyDescent="0.25">
      <c r="B77" s="80" t="s">
        <v>55</v>
      </c>
      <c r="C77" s="48"/>
      <c r="D77" s="48"/>
      <c r="E77" s="48"/>
      <c r="F77" s="48"/>
      <c r="G77" s="48"/>
      <c r="H77" s="48"/>
      <c r="I77" s="48"/>
      <c r="J77" s="109"/>
      <c r="K77" s="69"/>
      <c r="U77" s="50"/>
    </row>
    <row r="78" spans="2:21" ht="19.5" thickBot="1" x14ac:dyDescent="0.3">
      <c r="B78" s="81" t="s">
        <v>54</v>
      </c>
      <c r="C78" s="70"/>
      <c r="D78" s="70"/>
      <c r="E78" s="70"/>
      <c r="F78" s="70"/>
      <c r="G78" s="70"/>
      <c r="H78" s="70"/>
      <c r="I78" s="70"/>
      <c r="J78" s="115"/>
      <c r="K78" s="71"/>
      <c r="U78" s="56"/>
    </row>
    <row r="79" spans="2:21" ht="7.5" customHeight="1" thickBot="1" x14ac:dyDescent="0.3"/>
    <row r="80" spans="2:21" ht="19.5" thickBot="1" x14ac:dyDescent="0.3">
      <c r="B80" s="78" t="s">
        <v>59</v>
      </c>
      <c r="C80" s="65"/>
      <c r="D80" s="65"/>
      <c r="E80" s="65"/>
      <c r="F80" s="65"/>
      <c r="G80" s="65"/>
      <c r="H80" s="65"/>
      <c r="I80" s="65"/>
      <c r="J80" s="116"/>
      <c r="K80" s="66"/>
      <c r="U80" s="64"/>
    </row>
  </sheetData>
  <mergeCells count="7">
    <mergeCell ref="I1:U1"/>
    <mergeCell ref="C4:K4"/>
    <mergeCell ref="C59:K59"/>
    <mergeCell ref="J5:K5"/>
    <mergeCell ref="V4:V5"/>
    <mergeCell ref="U4:U5"/>
    <mergeCell ref="T4:T5"/>
  </mergeCells>
  <printOptions horizontalCentered="1" verticalCentered="1"/>
  <pageMargins left="0.19685039370078741" right="0.19685039370078741" top="0.19685039370078741" bottom="0.19685039370078741" header="0.19685039370078741" footer="0.19685039370078741"/>
  <pageSetup paperSize="14" scale="70" orientation="portrait" horizontalDpi="360" verticalDpi="360" r:id="rId1"/>
  <colBreaks count="1" manualBreakCount="1">
    <brk id="24" max="80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68898-5C5E-451B-A249-FA584C9514B7}">
  <sheetPr>
    <pageSetUpPr fitToPage="1"/>
  </sheetPr>
  <dimension ref="A1:BB80"/>
  <sheetViews>
    <sheetView topLeftCell="A13" zoomScaleNormal="100" zoomScaleSheetLayoutView="115" workbookViewId="0">
      <selection activeCell="U40" sqref="U40"/>
    </sheetView>
  </sheetViews>
  <sheetFormatPr defaultColWidth="9.140625" defaultRowHeight="18.75" x14ac:dyDescent="0.25"/>
  <cols>
    <col min="1" max="1" width="4.140625" style="57" bestFit="1" customWidth="1"/>
    <col min="2" max="2" width="12.28515625" style="76" customWidth="1"/>
    <col min="3" max="6" width="10" style="57" customWidth="1"/>
    <col min="7" max="7" width="6.85546875" style="57" customWidth="1"/>
    <col min="8" max="8" width="6.7109375" style="57" customWidth="1"/>
    <col min="9" max="9" width="5.5703125" style="57" bestFit="1" customWidth="1"/>
    <col min="10" max="10" width="6.85546875" style="57" customWidth="1"/>
    <col min="11" max="11" width="5.5703125" style="57" bestFit="1" customWidth="1"/>
    <col min="12" max="12" width="1.42578125" style="57" customWidth="1"/>
    <col min="13" max="13" width="10" style="57" customWidth="1"/>
    <col min="14" max="14" width="5.5703125" style="57" bestFit="1" customWidth="1"/>
    <col min="15" max="15" width="10" style="57" customWidth="1"/>
    <col min="16" max="16" width="5.5703125" style="57" customWidth="1"/>
    <col min="17" max="17" width="10" style="57" customWidth="1"/>
    <col min="18" max="18" width="5.5703125" style="57" bestFit="1" customWidth="1"/>
    <col min="19" max="19" width="1.42578125" style="57" customWidth="1"/>
    <col min="20" max="20" width="12.5703125" style="57" bestFit="1" customWidth="1"/>
    <col min="21" max="21" width="14.28515625" style="57" customWidth="1"/>
    <col min="22" max="22" width="19.42578125" style="57" bestFit="1" customWidth="1"/>
    <col min="23" max="49" width="7.28515625" style="57" customWidth="1"/>
    <col min="50" max="50" width="1.5703125" style="57" customWidth="1"/>
    <col min="51" max="51" width="9.42578125" style="57" customWidth="1"/>
    <col min="52" max="52" width="1.28515625" style="57" customWidth="1"/>
    <col min="53" max="53" width="12.7109375" style="57" bestFit="1" customWidth="1"/>
    <col min="54" max="54" width="10.28515625" style="57" bestFit="1" customWidth="1"/>
    <col min="55" max="16384" width="9.140625" style="57"/>
  </cols>
  <sheetData>
    <row r="1" spans="1:54" ht="15" customHeight="1" x14ac:dyDescent="0.25">
      <c r="B1" s="75" t="s">
        <v>51</v>
      </c>
      <c r="I1" s="194" t="s">
        <v>53</v>
      </c>
      <c r="J1" s="194"/>
      <c r="K1" s="194"/>
      <c r="L1" s="194"/>
      <c r="M1" s="194"/>
      <c r="N1" s="194"/>
      <c r="O1" s="194"/>
      <c r="P1" s="194"/>
      <c r="Q1" s="194"/>
      <c r="R1" s="194"/>
      <c r="S1" s="194"/>
      <c r="T1" s="194"/>
      <c r="U1" s="194"/>
    </row>
    <row r="2" spans="1:54" x14ac:dyDescent="0.25">
      <c r="B2" s="76" t="s">
        <v>92</v>
      </c>
    </row>
    <row r="3" spans="1:54" ht="19.5" thickBot="1" x14ac:dyDescent="0.3"/>
    <row r="4" spans="1:54" s="58" customFormat="1" ht="15.75" x14ac:dyDescent="0.25">
      <c r="B4" s="93" t="s">
        <v>63</v>
      </c>
      <c r="C4" s="189" t="s">
        <v>49</v>
      </c>
      <c r="D4" s="189"/>
      <c r="E4" s="189"/>
      <c r="F4" s="189"/>
      <c r="G4" s="189"/>
      <c r="H4" s="189"/>
      <c r="I4" s="189"/>
      <c r="J4" s="199"/>
      <c r="K4" s="190"/>
      <c r="M4" s="82" t="s">
        <v>0</v>
      </c>
      <c r="N4" s="117" t="s">
        <v>72</v>
      </c>
      <c r="O4" s="84" t="s">
        <v>45</v>
      </c>
      <c r="P4" s="117" t="s">
        <v>72</v>
      </c>
      <c r="Q4" s="85" t="s">
        <v>46</v>
      </c>
      <c r="R4" s="117" t="s">
        <v>72</v>
      </c>
      <c r="S4" s="57"/>
      <c r="T4" s="200" t="s">
        <v>80</v>
      </c>
      <c r="U4" s="202" t="s">
        <v>79</v>
      </c>
      <c r="V4" s="195" t="s">
        <v>78</v>
      </c>
      <c r="AF4" s="59"/>
      <c r="AG4" s="59"/>
      <c r="AH4" s="59"/>
      <c r="AI4" s="59"/>
      <c r="AJ4" s="59"/>
      <c r="AK4" s="59"/>
      <c r="AL4" s="59"/>
      <c r="AM4" s="59"/>
      <c r="AN4" s="59"/>
      <c r="AO4" s="59"/>
      <c r="AP4" s="59"/>
      <c r="AQ4" s="59"/>
      <c r="AR4" s="59"/>
      <c r="AS4" s="59"/>
      <c r="AT4" s="59"/>
      <c r="AU4" s="59"/>
      <c r="AV4" s="59"/>
      <c r="AW4" s="59"/>
      <c r="AX4" s="59"/>
      <c r="AY4" s="59"/>
      <c r="AZ4" s="59"/>
      <c r="BA4" s="59"/>
      <c r="BB4" s="59"/>
    </row>
    <row r="5" spans="1:54" s="58" customFormat="1" ht="15.75" x14ac:dyDescent="0.25">
      <c r="B5" s="87"/>
      <c r="C5" s="92"/>
      <c r="D5" s="92"/>
      <c r="E5" s="92"/>
      <c r="F5" s="92"/>
      <c r="G5" s="92"/>
      <c r="H5" s="92" t="s">
        <v>76</v>
      </c>
      <c r="I5" s="92" t="s">
        <v>71</v>
      </c>
      <c r="J5" s="197" t="s">
        <v>77</v>
      </c>
      <c r="K5" s="198"/>
      <c r="M5" s="87"/>
      <c r="N5" s="118"/>
      <c r="O5" s="92"/>
      <c r="P5" s="129"/>
      <c r="Q5" s="129"/>
      <c r="R5" s="89"/>
      <c r="S5" s="57"/>
      <c r="T5" s="201"/>
      <c r="U5" s="203"/>
      <c r="V5" s="196"/>
      <c r="AF5" s="59"/>
      <c r="AG5" s="59"/>
      <c r="AH5" s="59"/>
      <c r="AI5" s="59"/>
      <c r="AJ5" s="59"/>
      <c r="AK5" s="59"/>
      <c r="AL5" s="59"/>
      <c r="AM5" s="59"/>
      <c r="AN5" s="59"/>
      <c r="AO5" s="59"/>
      <c r="AP5" s="59"/>
      <c r="AQ5" s="59"/>
      <c r="AR5" s="59"/>
      <c r="AS5" s="59"/>
      <c r="AT5" s="59"/>
      <c r="AU5" s="59"/>
      <c r="AV5" s="59"/>
      <c r="AW5" s="59"/>
      <c r="AX5" s="59"/>
      <c r="AY5" s="59"/>
      <c r="AZ5" s="59"/>
      <c r="BA5" s="59"/>
      <c r="BB5" s="59"/>
    </row>
    <row r="6" spans="1:54" s="58" customFormat="1" ht="15.75" x14ac:dyDescent="0.25">
      <c r="B6" s="87"/>
      <c r="C6" s="92"/>
      <c r="D6" s="92"/>
      <c r="E6" s="92"/>
      <c r="F6" s="92"/>
      <c r="G6" s="92"/>
      <c r="H6" s="92"/>
      <c r="I6" s="92"/>
      <c r="J6" s="129"/>
      <c r="K6" s="89"/>
      <c r="M6" s="87"/>
      <c r="N6" s="118"/>
      <c r="O6" s="92"/>
      <c r="P6" s="129"/>
      <c r="Q6" s="129"/>
      <c r="R6" s="89"/>
      <c r="S6" s="57"/>
      <c r="T6" s="90"/>
      <c r="U6" s="90"/>
      <c r="V6" s="90"/>
      <c r="AF6" s="59"/>
      <c r="AG6" s="59"/>
      <c r="AH6" s="59"/>
      <c r="AI6" s="59"/>
      <c r="AJ6" s="59"/>
      <c r="AK6" s="59"/>
      <c r="AL6" s="59"/>
      <c r="AM6" s="59"/>
      <c r="AN6" s="59"/>
      <c r="AO6" s="59"/>
      <c r="AP6" s="59"/>
      <c r="AQ6" s="59"/>
      <c r="AR6" s="59"/>
      <c r="AS6" s="59"/>
      <c r="AT6" s="59"/>
      <c r="AU6" s="59"/>
      <c r="AV6" s="59"/>
      <c r="AW6" s="59"/>
      <c r="AX6" s="59"/>
      <c r="AY6" s="59"/>
      <c r="AZ6" s="59"/>
      <c r="BA6" s="59"/>
      <c r="BB6" s="59"/>
    </row>
    <row r="7" spans="1:54" x14ac:dyDescent="0.25">
      <c r="A7" s="75">
        <v>1</v>
      </c>
      <c r="B7" s="74" t="s">
        <v>34</v>
      </c>
      <c r="C7" s="48">
        <v>28</v>
      </c>
      <c r="D7" s="48"/>
      <c r="E7" s="48"/>
      <c r="F7" s="48"/>
      <c r="G7" s="48"/>
      <c r="H7" s="48">
        <v>17</v>
      </c>
      <c r="I7" s="48">
        <v>1</v>
      </c>
      <c r="J7" s="109"/>
      <c r="K7" s="69">
        <v>6</v>
      </c>
      <c r="M7" s="88">
        <v>1</v>
      </c>
      <c r="N7" s="119"/>
      <c r="O7" s="48">
        <v>3</v>
      </c>
      <c r="P7" s="109"/>
      <c r="Q7" s="109">
        <v>2</v>
      </c>
      <c r="R7" s="69"/>
      <c r="T7" s="91">
        <f>H7+I7+J7+K7+N7+P7+R7</f>
        <v>24</v>
      </c>
      <c r="U7" s="91">
        <f>C7*24+M7*24+O7*24+Q7*24+T7</f>
        <v>840</v>
      </c>
      <c r="V7" s="91">
        <f>U7/24</f>
        <v>35</v>
      </c>
      <c r="W7" s="123"/>
      <c r="AF7" s="60"/>
      <c r="AG7" s="60"/>
      <c r="AH7" s="60"/>
      <c r="AI7" s="60"/>
      <c r="AJ7" s="60"/>
      <c r="AK7" s="60"/>
      <c r="AL7" s="60"/>
      <c r="AM7" s="60"/>
      <c r="AN7" s="60"/>
      <c r="AO7" s="60"/>
      <c r="AP7" s="60"/>
      <c r="AQ7" s="60"/>
      <c r="AR7" s="60"/>
      <c r="AS7" s="60"/>
      <c r="AT7" s="60"/>
      <c r="AU7" s="60"/>
      <c r="AV7" s="60"/>
      <c r="AW7" s="60"/>
      <c r="AX7" s="60"/>
      <c r="AY7" s="60"/>
      <c r="AZ7" s="60"/>
      <c r="BA7" s="60"/>
      <c r="BB7" s="60"/>
    </row>
    <row r="8" spans="1:54" ht="19.5" thickBot="1" x14ac:dyDescent="0.3">
      <c r="A8" s="75">
        <f>A7+1</f>
        <v>2</v>
      </c>
      <c r="B8" s="94" t="s">
        <v>37</v>
      </c>
      <c r="C8" s="95">
        <f>63+31</f>
        <v>94</v>
      </c>
      <c r="D8" s="95"/>
      <c r="E8" s="95"/>
      <c r="F8" s="95"/>
      <c r="G8" s="95"/>
      <c r="H8" s="95"/>
      <c r="I8" s="95"/>
      <c r="J8" s="110"/>
      <c r="K8" s="96"/>
      <c r="L8" s="102"/>
      <c r="M8" s="103">
        <v>3</v>
      </c>
      <c r="N8" s="120"/>
      <c r="O8" s="97"/>
      <c r="P8" s="113"/>
      <c r="Q8" s="113"/>
      <c r="R8" s="98"/>
      <c r="S8" s="102"/>
      <c r="T8" s="126">
        <f t="shared" ref="T8:T40" si="0">H8+I8+J8+K8+N8+P8+R8</f>
        <v>0</v>
      </c>
      <c r="U8" s="124">
        <f>C8*24+M8*24+O8*24+Q8*24+T8</f>
        <v>2328</v>
      </c>
      <c r="V8" s="124">
        <f>U8/24</f>
        <v>97</v>
      </c>
      <c r="W8" s="123"/>
      <c r="AF8" s="60"/>
      <c r="AG8" s="60"/>
      <c r="AH8" s="60"/>
      <c r="AI8" s="60"/>
      <c r="AJ8" s="60"/>
      <c r="AK8" s="60"/>
      <c r="AL8" s="60"/>
      <c r="AM8" s="60"/>
      <c r="AN8" s="60"/>
      <c r="AO8" s="60"/>
      <c r="AP8" s="60"/>
      <c r="AQ8" s="60"/>
      <c r="AR8" s="60"/>
      <c r="AS8" s="60"/>
      <c r="AT8" s="60"/>
      <c r="AU8" s="60"/>
      <c r="AV8" s="60"/>
      <c r="AW8" s="60"/>
      <c r="AX8" s="60"/>
      <c r="AY8" s="60"/>
      <c r="AZ8" s="60"/>
      <c r="BA8" s="60"/>
      <c r="BB8" s="60"/>
    </row>
    <row r="9" spans="1:54" x14ac:dyDescent="0.25">
      <c r="A9" s="75">
        <f t="shared" ref="A9:A56" si="1">A8+1</f>
        <v>3</v>
      </c>
      <c r="B9" s="73" t="s">
        <v>35</v>
      </c>
      <c r="C9" s="47"/>
      <c r="D9" s="47"/>
      <c r="E9" s="47"/>
      <c r="F9" s="47"/>
      <c r="G9" s="47"/>
      <c r="H9" s="47"/>
      <c r="I9" s="47"/>
      <c r="J9" s="111"/>
      <c r="K9" s="46"/>
      <c r="M9" s="52"/>
      <c r="N9" s="121"/>
      <c r="O9" s="47"/>
      <c r="P9" s="111"/>
      <c r="Q9" s="111"/>
      <c r="R9" s="46"/>
      <c r="T9" s="50">
        <f t="shared" si="0"/>
        <v>0</v>
      </c>
      <c r="U9" s="125">
        <f t="shared" ref="U9:U11" si="2">C9*24+M9*24+O9*24+Q9*24+T9</f>
        <v>0</v>
      </c>
      <c r="V9" s="125">
        <f t="shared" ref="V9:V11" si="3">U9/24</f>
        <v>0</v>
      </c>
      <c r="W9" s="123"/>
      <c r="AF9" s="60"/>
      <c r="AG9" s="60"/>
      <c r="AH9" s="60"/>
      <c r="AI9" s="60"/>
      <c r="AJ9" s="60"/>
      <c r="AK9" s="60"/>
      <c r="AL9" s="60"/>
      <c r="AM9" s="60"/>
      <c r="AN9" s="60"/>
      <c r="AO9" s="60"/>
      <c r="AP9" s="60"/>
      <c r="AQ9" s="60"/>
      <c r="AR9" s="60"/>
      <c r="AS9" s="60"/>
      <c r="AT9" s="60"/>
      <c r="AU9" s="60"/>
      <c r="AV9" s="60"/>
      <c r="AW9" s="60"/>
      <c r="AX9" s="60"/>
      <c r="AY9" s="60"/>
      <c r="AZ9" s="60"/>
      <c r="BA9" s="60"/>
      <c r="BB9" s="60"/>
    </row>
    <row r="10" spans="1:54" x14ac:dyDescent="0.25">
      <c r="A10" s="75">
        <f t="shared" si="1"/>
        <v>4</v>
      </c>
      <c r="B10" s="74" t="s">
        <v>38</v>
      </c>
      <c r="C10" s="47">
        <v>64</v>
      </c>
      <c r="D10" s="47"/>
      <c r="E10" s="47"/>
      <c r="F10" s="47"/>
      <c r="G10" s="47"/>
      <c r="H10" s="47"/>
      <c r="I10" s="47"/>
      <c r="J10" s="111"/>
      <c r="K10" s="46"/>
      <c r="M10" s="52">
        <v>2</v>
      </c>
      <c r="N10" s="121"/>
      <c r="O10" s="47"/>
      <c r="P10" s="111"/>
      <c r="Q10" s="111"/>
      <c r="R10" s="46"/>
      <c r="T10" s="91">
        <f t="shared" si="0"/>
        <v>0</v>
      </c>
      <c r="U10" s="91">
        <f t="shared" si="2"/>
        <v>1584</v>
      </c>
      <c r="V10" s="91">
        <f t="shared" si="3"/>
        <v>66</v>
      </c>
      <c r="W10" s="123"/>
      <c r="AF10" s="60"/>
      <c r="AG10" s="60"/>
      <c r="AH10" s="60"/>
      <c r="AI10" s="60"/>
      <c r="AJ10" s="60"/>
      <c r="AK10" s="60"/>
      <c r="AL10" s="60"/>
      <c r="AM10" s="60"/>
      <c r="AN10" s="60"/>
      <c r="AO10" s="60"/>
      <c r="AP10" s="60"/>
      <c r="AQ10" s="60"/>
      <c r="AR10" s="60"/>
      <c r="AS10" s="60"/>
      <c r="AT10" s="60"/>
      <c r="AU10" s="60"/>
      <c r="AV10" s="60"/>
      <c r="AW10" s="60"/>
      <c r="AX10" s="60"/>
      <c r="AY10" s="60"/>
      <c r="AZ10" s="60"/>
      <c r="BA10" s="60"/>
      <c r="BB10" s="60"/>
    </row>
    <row r="11" spans="1:54" x14ac:dyDescent="0.25">
      <c r="A11" s="75">
        <f t="shared" si="1"/>
        <v>5</v>
      </c>
      <c r="B11" s="74" t="s">
        <v>36</v>
      </c>
      <c r="C11" s="47"/>
      <c r="D11" s="47"/>
      <c r="E11" s="47"/>
      <c r="F11" s="47"/>
      <c r="G11" s="47"/>
      <c r="H11" s="47">
        <v>22</v>
      </c>
      <c r="I11" s="47"/>
      <c r="J11" s="111"/>
      <c r="K11" s="46">
        <v>2</v>
      </c>
      <c r="M11" s="52"/>
      <c r="N11" s="121"/>
      <c r="O11" s="47"/>
      <c r="P11" s="111"/>
      <c r="Q11" s="111"/>
      <c r="R11" s="46"/>
      <c r="T11" s="91">
        <f t="shared" si="0"/>
        <v>24</v>
      </c>
      <c r="U11" s="91">
        <f t="shared" si="2"/>
        <v>24</v>
      </c>
      <c r="V11" s="91">
        <f t="shared" si="3"/>
        <v>1</v>
      </c>
      <c r="AF11" s="60"/>
      <c r="AG11" s="60"/>
      <c r="AH11" s="60"/>
      <c r="AI11" s="60"/>
      <c r="AJ11" s="60"/>
      <c r="AK11" s="60"/>
      <c r="AL11" s="60"/>
      <c r="AM11" s="60"/>
      <c r="AN11" s="60"/>
      <c r="AO11" s="60"/>
      <c r="AP11" s="60"/>
      <c r="AQ11" s="60"/>
      <c r="AR11" s="60"/>
      <c r="AS11" s="60"/>
      <c r="AT11" s="60"/>
      <c r="AU11" s="60"/>
      <c r="AV11" s="60"/>
      <c r="AW11" s="60"/>
      <c r="AX11" s="60"/>
      <c r="AY11" s="60"/>
      <c r="AZ11" s="60"/>
      <c r="BA11" s="60"/>
      <c r="BB11" s="60"/>
    </row>
    <row r="12" spans="1:54" s="61" customFormat="1" ht="19.5" thickBot="1" x14ac:dyDescent="0.3">
      <c r="A12" s="75">
        <v>7</v>
      </c>
      <c r="B12" s="94" t="s">
        <v>32</v>
      </c>
      <c r="C12" s="95">
        <f>72+1440+1440+576</f>
        <v>3528</v>
      </c>
      <c r="D12" s="95"/>
      <c r="E12" s="95"/>
      <c r="F12" s="95"/>
      <c r="G12" s="95"/>
      <c r="H12" s="95"/>
      <c r="I12" s="95"/>
      <c r="J12" s="110"/>
      <c r="K12" s="96"/>
      <c r="L12" s="102"/>
      <c r="M12" s="103">
        <v>10</v>
      </c>
      <c r="N12" s="120"/>
      <c r="O12" s="97">
        <v>9</v>
      </c>
      <c r="P12" s="113">
        <v>15</v>
      </c>
      <c r="Q12" s="113">
        <v>22</v>
      </c>
      <c r="R12" s="98">
        <v>4</v>
      </c>
      <c r="S12" s="102"/>
      <c r="T12" s="91">
        <f t="shared" si="0"/>
        <v>19</v>
      </c>
      <c r="U12" s="124">
        <f>C12*24+M12*24+O12*24+Q12*24+T12</f>
        <v>85675</v>
      </c>
      <c r="V12" s="124">
        <f>U12/24</f>
        <v>3569.7916666666665</v>
      </c>
      <c r="W12" s="57"/>
      <c r="X12" s="57"/>
      <c r="Y12" s="57"/>
      <c r="Z12" s="57"/>
      <c r="AA12" s="57"/>
      <c r="AB12" s="57"/>
      <c r="AC12" s="57"/>
      <c r="AD12" s="57"/>
      <c r="AE12" s="57"/>
      <c r="AF12" s="60"/>
      <c r="AG12" s="60"/>
      <c r="AH12" s="60"/>
      <c r="AI12" s="60"/>
      <c r="AJ12" s="60"/>
      <c r="AK12" s="60"/>
      <c r="AL12" s="60"/>
      <c r="AM12" s="60"/>
      <c r="AN12" s="60"/>
      <c r="AO12" s="60"/>
      <c r="AP12" s="60"/>
      <c r="AQ12" s="60"/>
      <c r="AR12" s="60"/>
      <c r="AS12" s="60"/>
      <c r="AT12" s="60"/>
      <c r="AU12" s="60"/>
      <c r="AV12" s="60"/>
      <c r="AW12" s="60"/>
      <c r="AX12" s="60"/>
      <c r="AY12" s="60"/>
      <c r="AZ12" s="60"/>
      <c r="BA12" s="60"/>
      <c r="BB12" s="60"/>
    </row>
    <row r="13" spans="1:54" x14ac:dyDescent="0.25">
      <c r="A13" s="75">
        <v>11</v>
      </c>
      <c r="B13" s="73" t="s">
        <v>1</v>
      </c>
      <c r="C13" s="47">
        <v>5</v>
      </c>
      <c r="D13" s="47"/>
      <c r="E13" s="47"/>
      <c r="F13" s="47"/>
      <c r="G13" s="47"/>
      <c r="H13" s="47"/>
      <c r="I13" s="47"/>
      <c r="J13" s="111"/>
      <c r="K13" s="46"/>
      <c r="M13" s="52"/>
      <c r="N13" s="121"/>
      <c r="O13" s="47"/>
      <c r="P13" s="111"/>
      <c r="Q13" s="111"/>
      <c r="R13" s="46"/>
      <c r="T13" s="91">
        <f t="shared" si="0"/>
        <v>0</v>
      </c>
      <c r="U13" s="125">
        <f>C13*24+M13*24+O13*24+Q13*24+T13</f>
        <v>120</v>
      </c>
      <c r="V13" s="125">
        <f>U13/24</f>
        <v>5</v>
      </c>
      <c r="AF13" s="60"/>
      <c r="AG13" s="60"/>
      <c r="AH13" s="60"/>
      <c r="AI13" s="60"/>
      <c r="AJ13" s="60"/>
      <c r="AK13" s="60"/>
      <c r="AL13" s="60"/>
      <c r="AM13" s="60"/>
      <c r="AN13" s="60"/>
      <c r="AO13" s="60"/>
      <c r="AP13" s="60"/>
      <c r="AQ13" s="60"/>
      <c r="AR13" s="60"/>
      <c r="AS13" s="60"/>
      <c r="AT13" s="60"/>
      <c r="AU13" s="60"/>
      <c r="AV13" s="60"/>
      <c r="AW13" s="60"/>
      <c r="AX13" s="60"/>
      <c r="AY13" s="60"/>
      <c r="AZ13" s="60"/>
      <c r="BA13" s="60"/>
      <c r="BB13" s="60"/>
    </row>
    <row r="14" spans="1:54" x14ac:dyDescent="0.25">
      <c r="A14" s="75">
        <f t="shared" si="1"/>
        <v>12</v>
      </c>
      <c r="B14" s="74" t="s">
        <v>2</v>
      </c>
      <c r="C14" s="47"/>
      <c r="D14" s="47"/>
      <c r="E14" s="47"/>
      <c r="F14" s="47"/>
      <c r="G14" s="47"/>
      <c r="H14" s="47"/>
      <c r="I14" s="47"/>
      <c r="J14" s="111"/>
      <c r="K14" s="46"/>
      <c r="M14" s="52"/>
      <c r="N14" s="121"/>
      <c r="O14" s="47"/>
      <c r="P14" s="111"/>
      <c r="Q14" s="111"/>
      <c r="R14" s="46"/>
      <c r="T14" s="91">
        <f t="shared" si="0"/>
        <v>0</v>
      </c>
      <c r="U14" s="50">
        <f t="shared" ref="U14:U36" si="4">C14*24+M14*24+O14*24+Q14*24+T14</f>
        <v>0</v>
      </c>
      <c r="V14" s="50">
        <f t="shared" ref="V14:V36" si="5">U14/24</f>
        <v>0</v>
      </c>
      <c r="AF14" s="60"/>
      <c r="AG14" s="60"/>
      <c r="AH14" s="60"/>
      <c r="AI14" s="60"/>
      <c r="AJ14" s="60"/>
      <c r="AK14" s="60"/>
      <c r="AL14" s="60"/>
      <c r="AM14" s="60"/>
      <c r="AN14" s="60"/>
      <c r="AO14" s="60"/>
      <c r="AP14" s="60"/>
      <c r="AQ14" s="60"/>
      <c r="AR14" s="60"/>
      <c r="AS14" s="60"/>
      <c r="AT14" s="60"/>
      <c r="AU14" s="60"/>
      <c r="AV14" s="60"/>
      <c r="AW14" s="60"/>
      <c r="AX14" s="60"/>
      <c r="AY14" s="60"/>
      <c r="AZ14" s="60"/>
      <c r="BA14" s="60"/>
      <c r="BB14" s="60"/>
    </row>
    <row r="15" spans="1:54" x14ac:dyDescent="0.25">
      <c r="A15" s="75">
        <f t="shared" si="1"/>
        <v>13</v>
      </c>
      <c r="B15" s="74" t="s">
        <v>3</v>
      </c>
      <c r="C15" s="47"/>
      <c r="D15" s="47"/>
      <c r="E15" s="47"/>
      <c r="F15" s="47"/>
      <c r="G15" s="47"/>
      <c r="H15" s="47"/>
      <c r="I15" s="47"/>
      <c r="J15" s="111"/>
      <c r="K15" s="46"/>
      <c r="M15" s="52"/>
      <c r="N15" s="121"/>
      <c r="O15" s="47"/>
      <c r="P15" s="111"/>
      <c r="Q15" s="111"/>
      <c r="R15" s="46"/>
      <c r="T15" s="91">
        <f t="shared" si="0"/>
        <v>0</v>
      </c>
      <c r="U15" s="50">
        <f t="shared" si="4"/>
        <v>0</v>
      </c>
      <c r="V15" s="50">
        <f t="shared" si="5"/>
        <v>0</v>
      </c>
      <c r="AF15" s="60"/>
      <c r="AG15" s="60"/>
      <c r="AH15" s="60"/>
      <c r="AI15" s="60"/>
      <c r="AJ15" s="60"/>
      <c r="AK15" s="60"/>
      <c r="AL15" s="60"/>
      <c r="AM15" s="60"/>
      <c r="AN15" s="60"/>
      <c r="AO15" s="60"/>
      <c r="AP15" s="60"/>
      <c r="AQ15" s="60"/>
      <c r="AR15" s="60"/>
      <c r="AS15" s="60"/>
      <c r="AT15" s="60"/>
      <c r="AU15" s="60"/>
      <c r="AV15" s="60"/>
      <c r="AW15" s="60"/>
      <c r="AX15" s="60"/>
      <c r="AY15" s="60"/>
      <c r="AZ15" s="60"/>
      <c r="BA15" s="60"/>
      <c r="BB15" s="60"/>
    </row>
    <row r="16" spans="1:54" x14ac:dyDescent="0.25">
      <c r="A16" s="75">
        <f t="shared" si="1"/>
        <v>14</v>
      </c>
      <c r="B16" s="74" t="s">
        <v>4</v>
      </c>
      <c r="C16" s="47"/>
      <c r="D16" s="47"/>
      <c r="E16" s="47"/>
      <c r="F16" s="47"/>
      <c r="G16" s="47"/>
      <c r="H16" s="47"/>
      <c r="I16" s="47"/>
      <c r="J16" s="111"/>
      <c r="K16" s="46"/>
      <c r="M16" s="52"/>
      <c r="N16" s="121"/>
      <c r="O16" s="47"/>
      <c r="P16" s="111"/>
      <c r="Q16" s="111"/>
      <c r="R16" s="46"/>
      <c r="T16" s="91">
        <f t="shared" si="0"/>
        <v>0</v>
      </c>
      <c r="U16" s="50">
        <f t="shared" si="4"/>
        <v>0</v>
      </c>
      <c r="V16" s="50">
        <f t="shared" si="5"/>
        <v>0</v>
      </c>
      <c r="AF16" s="60"/>
      <c r="AG16" s="60"/>
      <c r="AH16" s="60"/>
      <c r="AI16" s="60"/>
      <c r="AJ16" s="60"/>
      <c r="AK16" s="60"/>
      <c r="AL16" s="60"/>
      <c r="AM16" s="60"/>
      <c r="AN16" s="60"/>
      <c r="AO16" s="60"/>
      <c r="AP16" s="60"/>
      <c r="AQ16" s="60"/>
      <c r="AR16" s="60"/>
      <c r="AS16" s="60"/>
      <c r="AT16" s="60"/>
      <c r="AU16" s="60"/>
      <c r="AV16" s="60"/>
      <c r="AW16" s="60"/>
      <c r="AX16" s="60"/>
      <c r="AY16" s="60"/>
      <c r="AZ16" s="60"/>
      <c r="BA16" s="60"/>
      <c r="BB16" s="60"/>
    </row>
    <row r="17" spans="1:54" x14ac:dyDescent="0.25">
      <c r="A17" s="75">
        <f t="shared" si="1"/>
        <v>15</v>
      </c>
      <c r="B17" s="74" t="s">
        <v>5</v>
      </c>
      <c r="C17" s="47">
        <v>4</v>
      </c>
      <c r="D17" s="47"/>
      <c r="E17" s="47"/>
      <c r="F17" s="47"/>
      <c r="G17" s="47"/>
      <c r="H17" s="47"/>
      <c r="I17" s="47"/>
      <c r="J17" s="111"/>
      <c r="K17" s="46"/>
      <c r="M17" s="52"/>
      <c r="N17" s="121"/>
      <c r="O17" s="47"/>
      <c r="P17" s="111"/>
      <c r="Q17" s="111"/>
      <c r="R17" s="46"/>
      <c r="T17" s="91">
        <f t="shared" si="0"/>
        <v>0</v>
      </c>
      <c r="U17" s="50">
        <f t="shared" si="4"/>
        <v>96</v>
      </c>
      <c r="V17" s="50">
        <f t="shared" si="5"/>
        <v>4</v>
      </c>
      <c r="AF17" s="60"/>
      <c r="AG17" s="60"/>
      <c r="AH17" s="60"/>
      <c r="AI17" s="60"/>
      <c r="AJ17" s="60"/>
      <c r="AK17" s="60"/>
      <c r="AL17" s="60"/>
      <c r="AM17" s="60"/>
      <c r="AN17" s="60"/>
      <c r="AO17" s="60"/>
      <c r="AP17" s="60"/>
      <c r="AQ17" s="60"/>
      <c r="AR17" s="60"/>
      <c r="AS17" s="60"/>
      <c r="AT17" s="60"/>
      <c r="AU17" s="60"/>
      <c r="AV17" s="60"/>
      <c r="AW17" s="60"/>
      <c r="AX17" s="60"/>
      <c r="AY17" s="60"/>
      <c r="AZ17" s="60"/>
      <c r="BA17" s="60"/>
      <c r="BB17" s="60"/>
    </row>
    <row r="18" spans="1:54" hidden="1" x14ac:dyDescent="0.25">
      <c r="A18" s="75">
        <f t="shared" si="1"/>
        <v>16</v>
      </c>
      <c r="B18" s="74" t="s">
        <v>10</v>
      </c>
      <c r="C18" s="47"/>
      <c r="D18" s="47"/>
      <c r="E18" s="47"/>
      <c r="F18" s="47"/>
      <c r="G18" s="47"/>
      <c r="H18" s="47"/>
      <c r="I18" s="47"/>
      <c r="J18" s="111"/>
      <c r="K18" s="46"/>
      <c r="M18" s="52"/>
      <c r="N18" s="121"/>
      <c r="O18" s="47"/>
      <c r="P18" s="111"/>
      <c r="Q18" s="111"/>
      <c r="R18" s="46"/>
      <c r="T18" s="91">
        <f t="shared" si="0"/>
        <v>0</v>
      </c>
      <c r="U18" s="50">
        <f t="shared" si="4"/>
        <v>0</v>
      </c>
      <c r="V18" s="50">
        <f t="shared" si="5"/>
        <v>0</v>
      </c>
      <c r="AF18" s="60"/>
      <c r="AG18" s="60"/>
      <c r="AH18" s="60"/>
      <c r="AI18" s="60"/>
      <c r="AJ18" s="60"/>
      <c r="AK18" s="60"/>
      <c r="AL18" s="60"/>
      <c r="AM18" s="60"/>
      <c r="AN18" s="60"/>
      <c r="AO18" s="60"/>
      <c r="AP18" s="60"/>
      <c r="AQ18" s="60"/>
      <c r="AR18" s="60"/>
      <c r="AS18" s="60"/>
      <c r="AT18" s="60"/>
      <c r="AU18" s="60"/>
      <c r="AV18" s="60"/>
      <c r="AW18" s="60"/>
      <c r="AX18" s="60"/>
      <c r="AY18" s="60"/>
      <c r="AZ18" s="60"/>
      <c r="BA18" s="60"/>
      <c r="BB18" s="60"/>
    </row>
    <row r="19" spans="1:54" x14ac:dyDescent="0.25">
      <c r="A19" s="75">
        <v>16</v>
      </c>
      <c r="B19" s="74" t="s">
        <v>64</v>
      </c>
      <c r="C19" s="47">
        <v>4</v>
      </c>
      <c r="D19" s="47"/>
      <c r="E19" s="47"/>
      <c r="F19" s="47"/>
      <c r="G19" s="47"/>
      <c r="H19" s="47"/>
      <c r="I19" s="47"/>
      <c r="J19" s="111"/>
      <c r="K19" s="46"/>
      <c r="M19" s="52"/>
      <c r="N19" s="121"/>
      <c r="O19" s="47"/>
      <c r="P19" s="111"/>
      <c r="Q19" s="111"/>
      <c r="R19" s="46"/>
      <c r="T19" s="91">
        <f t="shared" si="0"/>
        <v>0</v>
      </c>
      <c r="U19" s="50">
        <f t="shared" si="4"/>
        <v>96</v>
      </c>
      <c r="V19" s="50">
        <f t="shared" si="5"/>
        <v>4</v>
      </c>
      <c r="AF19" s="60"/>
      <c r="AG19" s="60"/>
      <c r="AH19" s="60"/>
      <c r="AI19" s="60"/>
      <c r="AJ19" s="60"/>
      <c r="AK19" s="60"/>
      <c r="AL19" s="60"/>
      <c r="AM19" s="60"/>
      <c r="AN19" s="60"/>
      <c r="AO19" s="60"/>
      <c r="AP19" s="60"/>
      <c r="AQ19" s="60"/>
      <c r="AR19" s="60"/>
      <c r="AS19" s="60"/>
      <c r="AT19" s="60"/>
      <c r="AU19" s="60"/>
      <c r="AV19" s="60"/>
      <c r="AW19" s="60"/>
      <c r="AX19" s="60"/>
      <c r="AY19" s="60"/>
      <c r="AZ19" s="60"/>
      <c r="BA19" s="60"/>
      <c r="BB19" s="60"/>
    </row>
    <row r="20" spans="1:54" x14ac:dyDescent="0.25">
      <c r="A20" s="75">
        <f t="shared" si="1"/>
        <v>17</v>
      </c>
      <c r="B20" s="74" t="s">
        <v>6</v>
      </c>
      <c r="C20" s="47">
        <v>6</v>
      </c>
      <c r="D20" s="47"/>
      <c r="E20" s="47"/>
      <c r="F20" s="47"/>
      <c r="G20" s="47"/>
      <c r="H20" s="47"/>
      <c r="I20" s="47"/>
      <c r="J20" s="111"/>
      <c r="K20" s="46"/>
      <c r="M20" s="52"/>
      <c r="N20" s="121"/>
      <c r="O20" s="47"/>
      <c r="P20" s="111"/>
      <c r="Q20" s="111"/>
      <c r="R20" s="46"/>
      <c r="T20" s="91">
        <f t="shared" si="0"/>
        <v>0</v>
      </c>
      <c r="U20" s="50">
        <f t="shared" si="4"/>
        <v>144</v>
      </c>
      <c r="V20" s="50">
        <f t="shared" si="5"/>
        <v>6</v>
      </c>
      <c r="AF20" s="60"/>
      <c r="AG20" s="60"/>
      <c r="AH20" s="60"/>
      <c r="AI20" s="60"/>
      <c r="AJ20" s="60"/>
      <c r="AK20" s="60"/>
      <c r="AL20" s="60"/>
      <c r="AM20" s="60"/>
      <c r="AN20" s="60"/>
      <c r="AO20" s="60"/>
      <c r="AP20" s="60"/>
      <c r="AQ20" s="60"/>
      <c r="AR20" s="60"/>
      <c r="AS20" s="60"/>
      <c r="AT20" s="60"/>
      <c r="AU20" s="60"/>
      <c r="AV20" s="60"/>
      <c r="AW20" s="60"/>
      <c r="AX20" s="60"/>
      <c r="AY20" s="60"/>
      <c r="AZ20" s="60"/>
      <c r="BA20" s="60"/>
      <c r="BB20" s="60"/>
    </row>
    <row r="21" spans="1:54" x14ac:dyDescent="0.25">
      <c r="A21" s="75">
        <f t="shared" si="1"/>
        <v>18</v>
      </c>
      <c r="B21" s="74" t="s">
        <v>7</v>
      </c>
      <c r="C21" s="47">
        <v>4</v>
      </c>
      <c r="D21" s="47"/>
      <c r="E21" s="47"/>
      <c r="F21" s="47"/>
      <c r="G21" s="47"/>
      <c r="H21" s="47"/>
      <c r="I21" s="47"/>
      <c r="J21" s="111"/>
      <c r="K21" s="46"/>
      <c r="M21" s="52"/>
      <c r="N21" s="121"/>
      <c r="O21" s="47"/>
      <c r="P21" s="111"/>
      <c r="Q21" s="111"/>
      <c r="R21" s="46"/>
      <c r="T21" s="91">
        <f t="shared" si="0"/>
        <v>0</v>
      </c>
      <c r="U21" s="50">
        <f t="shared" si="4"/>
        <v>96</v>
      </c>
      <c r="V21" s="50">
        <f t="shared" si="5"/>
        <v>4</v>
      </c>
      <c r="AF21" s="60"/>
      <c r="AG21" s="60"/>
      <c r="AH21" s="60"/>
      <c r="AI21" s="60"/>
      <c r="AJ21" s="60"/>
      <c r="AK21" s="60"/>
      <c r="AL21" s="60"/>
      <c r="AM21" s="60"/>
      <c r="AN21" s="60"/>
      <c r="AO21" s="60"/>
      <c r="AP21" s="60"/>
      <c r="AQ21" s="60"/>
      <c r="AR21" s="60"/>
      <c r="AS21" s="60"/>
      <c r="AT21" s="60"/>
      <c r="AU21" s="60"/>
      <c r="AV21" s="60"/>
      <c r="AW21" s="60"/>
      <c r="AX21" s="60"/>
      <c r="AY21" s="60"/>
      <c r="AZ21" s="60"/>
      <c r="BA21" s="60"/>
      <c r="BB21" s="60"/>
    </row>
    <row r="22" spans="1:54" s="61" customFormat="1" x14ac:dyDescent="0.25">
      <c r="A22" s="75">
        <f t="shared" si="1"/>
        <v>19</v>
      </c>
      <c r="B22" s="74" t="s">
        <v>65</v>
      </c>
      <c r="C22" s="47">
        <v>2</v>
      </c>
      <c r="D22" s="47"/>
      <c r="E22" s="47"/>
      <c r="F22" s="47"/>
      <c r="G22" s="47"/>
      <c r="H22" s="47"/>
      <c r="I22" s="47"/>
      <c r="J22" s="111"/>
      <c r="K22" s="46"/>
      <c r="L22" s="57"/>
      <c r="M22" s="52"/>
      <c r="N22" s="121"/>
      <c r="O22" s="47"/>
      <c r="P22" s="111"/>
      <c r="Q22" s="111"/>
      <c r="R22" s="46"/>
      <c r="S22" s="57"/>
      <c r="T22" s="91">
        <f t="shared" si="0"/>
        <v>0</v>
      </c>
      <c r="U22" s="50">
        <f t="shared" si="4"/>
        <v>48</v>
      </c>
      <c r="V22" s="50">
        <f t="shared" si="5"/>
        <v>2</v>
      </c>
      <c r="W22" s="57"/>
      <c r="X22" s="57"/>
      <c r="Y22" s="57"/>
      <c r="Z22" s="57"/>
      <c r="AA22" s="57"/>
      <c r="AB22" s="57"/>
      <c r="AC22" s="57"/>
      <c r="AD22" s="57"/>
      <c r="AE22" s="57"/>
      <c r="AF22" s="60"/>
      <c r="AG22" s="60"/>
      <c r="AH22" s="60"/>
      <c r="AI22" s="60"/>
      <c r="AJ22" s="60"/>
      <c r="AK22" s="60"/>
      <c r="AL22" s="60"/>
      <c r="AM22" s="60"/>
      <c r="AN22" s="60"/>
      <c r="AO22" s="60"/>
      <c r="AP22" s="60"/>
      <c r="AQ22" s="60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</row>
    <row r="23" spans="1:54" s="61" customFormat="1" x14ac:dyDescent="0.25">
      <c r="A23" s="75">
        <f t="shared" si="1"/>
        <v>20</v>
      </c>
      <c r="B23" s="74" t="s">
        <v>66</v>
      </c>
      <c r="C23" s="47">
        <v>48</v>
      </c>
      <c r="D23" s="47"/>
      <c r="E23" s="47"/>
      <c r="F23" s="47"/>
      <c r="G23" s="47"/>
      <c r="H23" s="47"/>
      <c r="I23" s="47"/>
      <c r="J23" s="111"/>
      <c r="K23" s="46"/>
      <c r="L23" s="57"/>
      <c r="M23" s="52"/>
      <c r="N23" s="121"/>
      <c r="O23" s="47"/>
      <c r="P23" s="111"/>
      <c r="Q23" s="111"/>
      <c r="R23" s="46"/>
      <c r="S23" s="57"/>
      <c r="T23" s="91">
        <f t="shared" si="0"/>
        <v>0</v>
      </c>
      <c r="U23" s="50">
        <f t="shared" si="4"/>
        <v>1152</v>
      </c>
      <c r="V23" s="50">
        <f t="shared" si="5"/>
        <v>48</v>
      </c>
      <c r="W23" s="57"/>
      <c r="X23" s="57"/>
      <c r="Y23" s="57"/>
      <c r="Z23" s="57"/>
      <c r="AA23" s="57"/>
      <c r="AB23" s="57"/>
      <c r="AC23" s="57"/>
      <c r="AD23" s="57"/>
      <c r="AE23" s="57"/>
      <c r="AF23" s="60"/>
      <c r="AG23" s="60"/>
      <c r="AH23" s="60"/>
      <c r="AI23" s="60"/>
      <c r="AJ23" s="60"/>
      <c r="AK23" s="60"/>
      <c r="AL23" s="60"/>
      <c r="AM23" s="60"/>
      <c r="AN23" s="60"/>
      <c r="AO23" s="60"/>
      <c r="AP23" s="60"/>
      <c r="AQ23" s="60"/>
      <c r="AR23" s="60"/>
      <c r="AS23" s="60"/>
      <c r="AT23" s="60"/>
      <c r="AU23" s="60"/>
      <c r="AV23" s="60"/>
      <c r="AW23" s="60"/>
      <c r="AX23" s="60"/>
      <c r="AY23" s="60"/>
      <c r="AZ23" s="60"/>
      <c r="BA23" s="60"/>
      <c r="BB23" s="60"/>
    </row>
    <row r="24" spans="1:54" s="61" customFormat="1" x14ac:dyDescent="0.25">
      <c r="A24" s="75">
        <f t="shared" si="1"/>
        <v>21</v>
      </c>
      <c r="B24" s="74" t="s">
        <v>75</v>
      </c>
      <c r="C24" s="47">
        <v>2</v>
      </c>
      <c r="D24" s="47"/>
      <c r="E24" s="47"/>
      <c r="F24" s="47"/>
      <c r="G24" s="47"/>
      <c r="H24" s="47"/>
      <c r="I24" s="47"/>
      <c r="J24" s="111"/>
      <c r="K24" s="46"/>
      <c r="L24" s="57"/>
      <c r="M24" s="52"/>
      <c r="N24" s="121"/>
      <c r="O24" s="47"/>
      <c r="P24" s="111"/>
      <c r="Q24" s="111"/>
      <c r="R24" s="46"/>
      <c r="S24" s="57"/>
      <c r="T24" s="91">
        <f t="shared" si="0"/>
        <v>0</v>
      </c>
      <c r="U24" s="50">
        <f t="shared" si="4"/>
        <v>48</v>
      </c>
      <c r="V24" s="50">
        <f t="shared" si="5"/>
        <v>2</v>
      </c>
      <c r="W24" s="57"/>
      <c r="X24" s="57"/>
      <c r="Y24" s="57"/>
      <c r="Z24" s="57"/>
      <c r="AA24" s="57"/>
      <c r="AB24" s="57"/>
      <c r="AC24" s="57"/>
      <c r="AD24" s="57"/>
      <c r="AE24" s="57"/>
      <c r="AF24" s="60"/>
      <c r="AG24" s="60"/>
      <c r="AH24" s="60"/>
      <c r="AI24" s="60"/>
      <c r="AJ24" s="60"/>
      <c r="AK24" s="60"/>
      <c r="AL24" s="60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</row>
    <row r="25" spans="1:54" x14ac:dyDescent="0.25">
      <c r="A25" s="75">
        <f t="shared" si="1"/>
        <v>22</v>
      </c>
      <c r="B25" s="74" t="s">
        <v>67</v>
      </c>
      <c r="C25" s="47">
        <v>7</v>
      </c>
      <c r="D25" s="47"/>
      <c r="E25" s="47"/>
      <c r="F25" s="47"/>
      <c r="G25" s="47"/>
      <c r="H25" s="47"/>
      <c r="I25" s="47"/>
      <c r="J25" s="111"/>
      <c r="K25" s="46"/>
      <c r="M25" s="52"/>
      <c r="N25" s="121"/>
      <c r="O25" s="47"/>
      <c r="P25" s="111"/>
      <c r="Q25" s="111"/>
      <c r="R25" s="46"/>
      <c r="T25" s="91">
        <f t="shared" si="0"/>
        <v>0</v>
      </c>
      <c r="U25" s="50">
        <f t="shared" si="4"/>
        <v>168</v>
      </c>
      <c r="V25" s="50">
        <f t="shared" si="5"/>
        <v>7</v>
      </c>
      <c r="AF25" s="60"/>
      <c r="AG25" s="60"/>
      <c r="AH25" s="60"/>
      <c r="AI25" s="60"/>
      <c r="AJ25" s="60"/>
      <c r="AK25" s="60"/>
      <c r="AL25" s="60"/>
      <c r="AM25" s="60"/>
      <c r="AN25" s="60"/>
      <c r="AO25" s="60"/>
      <c r="AP25" s="60"/>
      <c r="AQ25" s="60"/>
      <c r="AR25" s="60"/>
      <c r="AS25" s="60"/>
      <c r="AT25" s="60"/>
      <c r="AU25" s="60"/>
      <c r="AV25" s="60"/>
      <c r="AW25" s="60"/>
      <c r="AX25" s="60"/>
      <c r="AY25" s="60"/>
      <c r="AZ25" s="60"/>
      <c r="BA25" s="60"/>
      <c r="BB25" s="60"/>
    </row>
    <row r="26" spans="1:54" x14ac:dyDescent="0.25">
      <c r="A26" s="75">
        <f t="shared" si="1"/>
        <v>23</v>
      </c>
      <c r="B26" s="74" t="s">
        <v>9</v>
      </c>
      <c r="C26" s="47">
        <f>63+23</f>
        <v>86</v>
      </c>
      <c r="D26" s="47"/>
      <c r="E26" s="47"/>
      <c r="F26" s="47"/>
      <c r="G26" s="47"/>
      <c r="H26" s="47">
        <v>22</v>
      </c>
      <c r="I26" s="47">
        <v>1</v>
      </c>
      <c r="J26" s="111"/>
      <c r="K26" s="46"/>
      <c r="M26" s="52">
        <v>2</v>
      </c>
      <c r="N26" s="121"/>
      <c r="O26" s="47">
        <v>2</v>
      </c>
      <c r="P26" s="111"/>
      <c r="Q26" s="111">
        <v>2</v>
      </c>
      <c r="R26" s="46"/>
      <c r="T26" s="91">
        <f t="shared" si="0"/>
        <v>23</v>
      </c>
      <c r="U26" s="50">
        <f t="shared" si="4"/>
        <v>2231</v>
      </c>
      <c r="V26" s="50">
        <f t="shared" si="5"/>
        <v>92.958333333333329</v>
      </c>
      <c r="AY26" s="62" t="e">
        <f>#REF!-AY25</f>
        <v>#REF!</v>
      </c>
    </row>
    <row r="27" spans="1:54" s="61" customFormat="1" x14ac:dyDescent="0.25">
      <c r="A27" s="75">
        <f t="shared" si="1"/>
        <v>24</v>
      </c>
      <c r="B27" s="74" t="s">
        <v>11</v>
      </c>
      <c r="C27" s="47"/>
      <c r="D27" s="47"/>
      <c r="E27" s="47"/>
      <c r="F27" s="47"/>
      <c r="G27" s="47"/>
      <c r="H27" s="47"/>
      <c r="I27" s="47"/>
      <c r="J27" s="111"/>
      <c r="K27" s="46"/>
      <c r="L27" s="57"/>
      <c r="M27" s="52"/>
      <c r="N27" s="121"/>
      <c r="O27" s="47"/>
      <c r="P27" s="111"/>
      <c r="Q27" s="111"/>
      <c r="R27" s="46"/>
      <c r="S27" s="57"/>
      <c r="T27" s="91">
        <f t="shared" si="0"/>
        <v>0</v>
      </c>
      <c r="U27" s="50">
        <f t="shared" si="4"/>
        <v>0</v>
      </c>
      <c r="V27" s="50">
        <f t="shared" si="5"/>
        <v>0</v>
      </c>
      <c r="W27" s="57"/>
      <c r="X27" s="57"/>
      <c r="Y27" s="57"/>
      <c r="Z27" s="57"/>
      <c r="AA27" s="57"/>
      <c r="AB27" s="57"/>
      <c r="AC27" s="57"/>
      <c r="AD27" s="57"/>
      <c r="AE27" s="57"/>
    </row>
    <row r="28" spans="1:54" s="61" customFormat="1" x14ac:dyDescent="0.25">
      <c r="A28" s="75">
        <f t="shared" si="1"/>
        <v>25</v>
      </c>
      <c r="B28" s="74" t="s">
        <v>12</v>
      </c>
      <c r="C28" s="47">
        <v>51</v>
      </c>
      <c r="D28" s="47"/>
      <c r="E28" s="47"/>
      <c r="F28" s="47"/>
      <c r="G28" s="47"/>
      <c r="H28" s="47"/>
      <c r="I28" s="47"/>
      <c r="J28" s="111"/>
      <c r="K28" s="46"/>
      <c r="L28" s="57"/>
      <c r="M28" s="52">
        <v>2</v>
      </c>
      <c r="N28" s="121"/>
      <c r="O28" s="47">
        <v>2</v>
      </c>
      <c r="P28" s="111"/>
      <c r="Q28" s="111">
        <v>3</v>
      </c>
      <c r="R28" s="46"/>
      <c r="S28" s="57"/>
      <c r="T28" s="91">
        <f t="shared" si="0"/>
        <v>0</v>
      </c>
      <c r="U28" s="50">
        <f t="shared" si="4"/>
        <v>1392</v>
      </c>
      <c r="V28" s="50">
        <f t="shared" si="5"/>
        <v>58</v>
      </c>
      <c r="W28" s="57"/>
      <c r="X28" s="57"/>
      <c r="Y28" s="57"/>
      <c r="Z28" s="57"/>
      <c r="AA28" s="57"/>
      <c r="AB28" s="57"/>
      <c r="AC28" s="57"/>
      <c r="AD28" s="57"/>
      <c r="AE28" s="57"/>
    </row>
    <row r="29" spans="1:54" x14ac:dyDescent="0.25">
      <c r="A29" s="75">
        <f t="shared" si="1"/>
        <v>26</v>
      </c>
      <c r="B29" s="74" t="s">
        <v>14</v>
      </c>
      <c r="C29" s="47"/>
      <c r="D29" s="47"/>
      <c r="E29" s="47"/>
      <c r="F29" s="47"/>
      <c r="G29" s="47"/>
      <c r="H29" s="47"/>
      <c r="I29" s="47"/>
      <c r="J29" s="111"/>
      <c r="K29" s="46"/>
      <c r="M29" s="52"/>
      <c r="N29" s="121"/>
      <c r="O29" s="47"/>
      <c r="P29" s="111"/>
      <c r="Q29" s="111"/>
      <c r="R29" s="46"/>
      <c r="T29" s="91">
        <f t="shared" si="0"/>
        <v>0</v>
      </c>
      <c r="U29" s="50">
        <f t="shared" si="4"/>
        <v>0</v>
      </c>
      <c r="V29" s="50">
        <f t="shared" si="5"/>
        <v>0</v>
      </c>
    </row>
    <row r="30" spans="1:54" x14ac:dyDescent="0.25">
      <c r="A30" s="75">
        <f t="shared" si="1"/>
        <v>27</v>
      </c>
      <c r="B30" s="74" t="s">
        <v>16</v>
      </c>
      <c r="C30" s="47">
        <v>62</v>
      </c>
      <c r="D30" s="47"/>
      <c r="E30" s="47"/>
      <c r="F30" s="47"/>
      <c r="G30" s="47"/>
      <c r="H30" s="47"/>
      <c r="I30" s="47"/>
      <c r="J30" s="111"/>
      <c r="K30" s="46"/>
      <c r="M30" s="52"/>
      <c r="N30" s="121"/>
      <c r="O30" s="47">
        <v>1</v>
      </c>
      <c r="P30" s="111"/>
      <c r="Q30" s="111">
        <v>1</v>
      </c>
      <c r="R30" s="46"/>
      <c r="T30" s="91">
        <f t="shared" si="0"/>
        <v>0</v>
      </c>
      <c r="U30" s="50">
        <f t="shared" si="4"/>
        <v>1536</v>
      </c>
      <c r="V30" s="50">
        <f t="shared" si="5"/>
        <v>64</v>
      </c>
    </row>
    <row r="31" spans="1:54" x14ac:dyDescent="0.25">
      <c r="A31" s="75">
        <f t="shared" si="1"/>
        <v>28</v>
      </c>
      <c r="B31" s="74" t="s">
        <v>13</v>
      </c>
      <c r="C31" s="47"/>
      <c r="D31" s="47"/>
      <c r="E31" s="47"/>
      <c r="F31" s="47"/>
      <c r="G31" s="47"/>
      <c r="H31" s="47"/>
      <c r="I31" s="47"/>
      <c r="J31" s="111"/>
      <c r="K31" s="46"/>
      <c r="M31" s="52"/>
      <c r="N31" s="121"/>
      <c r="O31" s="47"/>
      <c r="P31" s="111"/>
      <c r="Q31" s="111"/>
      <c r="R31" s="46"/>
      <c r="T31" s="91">
        <f t="shared" si="0"/>
        <v>0</v>
      </c>
      <c r="U31" s="50">
        <f t="shared" si="4"/>
        <v>0</v>
      </c>
      <c r="V31" s="50">
        <f t="shared" si="5"/>
        <v>0</v>
      </c>
    </row>
    <row r="32" spans="1:54" x14ac:dyDescent="0.25">
      <c r="A32" s="75">
        <f t="shared" si="1"/>
        <v>29</v>
      </c>
      <c r="B32" s="74" t="s">
        <v>15</v>
      </c>
      <c r="C32" s="47"/>
      <c r="D32" s="47"/>
      <c r="E32" s="47"/>
      <c r="F32" s="47"/>
      <c r="G32" s="47"/>
      <c r="H32" s="47"/>
      <c r="I32" s="47"/>
      <c r="J32" s="111"/>
      <c r="K32" s="46"/>
      <c r="M32" s="52"/>
      <c r="N32" s="121"/>
      <c r="O32" s="47"/>
      <c r="P32" s="111"/>
      <c r="Q32" s="111"/>
      <c r="R32" s="46"/>
      <c r="T32" s="91">
        <f t="shared" si="0"/>
        <v>0</v>
      </c>
      <c r="U32" s="50">
        <f t="shared" si="4"/>
        <v>0</v>
      </c>
      <c r="V32" s="50">
        <f t="shared" si="5"/>
        <v>0</v>
      </c>
    </row>
    <row r="33" spans="1:23" x14ac:dyDescent="0.25">
      <c r="A33" s="75">
        <f t="shared" si="1"/>
        <v>30</v>
      </c>
      <c r="B33" s="74" t="s">
        <v>17</v>
      </c>
      <c r="C33" s="47"/>
      <c r="D33" s="47"/>
      <c r="E33" s="47"/>
      <c r="F33" s="47"/>
      <c r="G33" s="47"/>
      <c r="H33" s="47"/>
      <c r="I33" s="47"/>
      <c r="J33" s="111"/>
      <c r="K33" s="46"/>
      <c r="M33" s="52"/>
      <c r="N33" s="121"/>
      <c r="O33" s="47"/>
      <c r="P33" s="111"/>
      <c r="Q33" s="111"/>
      <c r="R33" s="46"/>
      <c r="T33" s="91">
        <f t="shared" si="0"/>
        <v>0</v>
      </c>
      <c r="U33" s="50">
        <f t="shared" si="4"/>
        <v>0</v>
      </c>
      <c r="V33" s="50">
        <f t="shared" si="5"/>
        <v>0</v>
      </c>
    </row>
    <row r="34" spans="1:23" x14ac:dyDescent="0.25">
      <c r="A34" s="75">
        <f t="shared" si="1"/>
        <v>31</v>
      </c>
      <c r="B34" s="74" t="s">
        <v>18</v>
      </c>
      <c r="C34" s="47">
        <f>19+72+13</f>
        <v>104</v>
      </c>
      <c r="D34" s="47"/>
      <c r="E34" s="47"/>
      <c r="F34" s="47"/>
      <c r="G34" s="47"/>
      <c r="H34" s="47">
        <v>16</v>
      </c>
      <c r="I34" s="47"/>
      <c r="J34" s="111"/>
      <c r="K34" s="46">
        <v>1</v>
      </c>
      <c r="M34" s="52"/>
      <c r="N34" s="121"/>
      <c r="O34" s="47">
        <v>2</v>
      </c>
      <c r="P34" s="111"/>
      <c r="Q34" s="111">
        <v>3</v>
      </c>
      <c r="R34" s="46"/>
      <c r="T34" s="91">
        <f t="shared" si="0"/>
        <v>17</v>
      </c>
      <c r="U34" s="50">
        <f t="shared" si="4"/>
        <v>2633</v>
      </c>
      <c r="V34" s="50">
        <f t="shared" si="5"/>
        <v>109.70833333333333</v>
      </c>
    </row>
    <row r="35" spans="1:23" hidden="1" x14ac:dyDescent="0.25">
      <c r="A35" s="75">
        <f t="shared" si="1"/>
        <v>32</v>
      </c>
      <c r="B35" s="74" t="s">
        <v>26</v>
      </c>
      <c r="C35" s="47"/>
      <c r="D35" s="47"/>
      <c r="E35" s="47"/>
      <c r="F35" s="47"/>
      <c r="G35" s="47"/>
      <c r="H35" s="47"/>
      <c r="I35" s="47"/>
      <c r="J35" s="111"/>
      <c r="K35" s="46"/>
      <c r="M35" s="52"/>
      <c r="N35" s="121"/>
      <c r="O35" s="47"/>
      <c r="P35" s="111"/>
      <c r="Q35" s="111"/>
      <c r="R35" s="46"/>
      <c r="T35" s="91">
        <f t="shared" si="0"/>
        <v>0</v>
      </c>
      <c r="U35" s="50">
        <f t="shared" si="4"/>
        <v>0</v>
      </c>
      <c r="V35" s="50">
        <f t="shared" si="5"/>
        <v>0</v>
      </c>
    </row>
    <row r="36" spans="1:23" x14ac:dyDescent="0.25">
      <c r="A36" s="75">
        <f t="shared" si="1"/>
        <v>33</v>
      </c>
      <c r="B36" s="74" t="s">
        <v>19</v>
      </c>
      <c r="C36" s="47"/>
      <c r="D36" s="47"/>
      <c r="E36" s="47"/>
      <c r="F36" s="47"/>
      <c r="G36" s="47"/>
      <c r="H36" s="47"/>
      <c r="I36" s="47"/>
      <c r="J36" s="111"/>
      <c r="K36" s="46"/>
      <c r="M36" s="52"/>
      <c r="N36" s="121"/>
      <c r="O36" s="47"/>
      <c r="P36" s="111"/>
      <c r="Q36" s="111"/>
      <c r="R36" s="46"/>
      <c r="T36" s="91">
        <f t="shared" si="0"/>
        <v>0</v>
      </c>
      <c r="U36" s="50">
        <f t="shared" si="4"/>
        <v>0</v>
      </c>
      <c r="V36" s="50">
        <f t="shared" si="5"/>
        <v>0</v>
      </c>
    </row>
    <row r="37" spans="1:23" ht="19.5" thickBot="1" x14ac:dyDescent="0.3">
      <c r="A37" s="75">
        <f t="shared" si="1"/>
        <v>34</v>
      </c>
      <c r="B37" s="94" t="s">
        <v>20</v>
      </c>
      <c r="C37" s="95">
        <f>2376+2052+52</f>
        <v>4480</v>
      </c>
      <c r="D37" s="95"/>
      <c r="E37" s="95"/>
      <c r="F37" s="95"/>
      <c r="G37" s="95"/>
      <c r="H37" s="95">
        <v>2</v>
      </c>
      <c r="I37" s="95"/>
      <c r="J37" s="110">
        <v>4</v>
      </c>
      <c r="K37" s="96">
        <v>2</v>
      </c>
      <c r="L37" s="102"/>
      <c r="M37" s="103">
        <v>40</v>
      </c>
      <c r="N37" s="120"/>
      <c r="O37" s="97">
        <v>34</v>
      </c>
      <c r="P37" s="113"/>
      <c r="Q37" s="113">
        <v>50</v>
      </c>
      <c r="R37" s="98"/>
      <c r="S37" s="102"/>
      <c r="T37" s="104">
        <f t="shared" si="0"/>
        <v>8</v>
      </c>
      <c r="U37" s="104">
        <f>C37*6+M37*6+O37*6+Q37*6+T37</f>
        <v>27632</v>
      </c>
      <c r="V37" s="104">
        <f>U37/6</f>
        <v>4605.333333333333</v>
      </c>
      <c r="W37" s="123"/>
    </row>
    <row r="38" spans="1:23" x14ac:dyDescent="0.25">
      <c r="A38" s="75">
        <f t="shared" si="1"/>
        <v>35</v>
      </c>
      <c r="B38" s="73" t="s">
        <v>21</v>
      </c>
      <c r="C38" s="47">
        <f>1+3</f>
        <v>4</v>
      </c>
      <c r="D38" s="47"/>
      <c r="E38" s="47"/>
      <c r="F38" s="47"/>
      <c r="G38" s="47"/>
      <c r="H38" s="47"/>
      <c r="I38" s="47"/>
      <c r="J38" s="111"/>
      <c r="K38" s="46"/>
      <c r="M38" s="52"/>
      <c r="N38" s="121"/>
      <c r="O38" s="47"/>
      <c r="P38" s="111"/>
      <c r="Q38" s="111"/>
      <c r="R38" s="46"/>
      <c r="T38" s="50">
        <f t="shared" si="0"/>
        <v>0</v>
      </c>
      <c r="U38" s="50">
        <f>C38*24+M38*24+O38*24+Q38*24+T38</f>
        <v>96</v>
      </c>
      <c r="V38" s="50">
        <f>U38/24</f>
        <v>4</v>
      </c>
    </row>
    <row r="39" spans="1:23" ht="19.5" thickBot="1" x14ac:dyDescent="0.3">
      <c r="A39" s="75">
        <f t="shared" si="1"/>
        <v>36</v>
      </c>
      <c r="B39" s="94" t="s">
        <v>22</v>
      </c>
      <c r="C39" s="95">
        <f>756</f>
        <v>756</v>
      </c>
      <c r="D39" s="95"/>
      <c r="E39" s="95"/>
      <c r="F39" s="95"/>
      <c r="G39" s="95"/>
      <c r="H39" s="95">
        <v>9</v>
      </c>
      <c r="I39" s="95"/>
      <c r="J39" s="110"/>
      <c r="K39" s="96">
        <v>15</v>
      </c>
      <c r="L39" s="102"/>
      <c r="M39" s="103"/>
      <c r="N39" s="120"/>
      <c r="O39" s="97">
        <v>1</v>
      </c>
      <c r="P39" s="113"/>
      <c r="Q39" s="113">
        <v>2</v>
      </c>
      <c r="R39" s="98"/>
      <c r="S39" s="102"/>
      <c r="T39" s="104">
        <f t="shared" si="0"/>
        <v>24</v>
      </c>
      <c r="U39" s="104">
        <f>C39*24+M39*24+O39*24+Q39*24+T39</f>
        <v>18240</v>
      </c>
      <c r="V39" s="104">
        <f>U39/24</f>
        <v>760</v>
      </c>
    </row>
    <row r="40" spans="1:23" ht="19.5" thickBot="1" x14ac:dyDescent="0.3">
      <c r="A40" s="75">
        <f t="shared" si="1"/>
        <v>37</v>
      </c>
      <c r="B40" s="99" t="s">
        <v>23</v>
      </c>
      <c r="C40" s="100">
        <f>1632+38</f>
        <v>1670</v>
      </c>
      <c r="D40" s="100"/>
      <c r="E40" s="100"/>
      <c r="F40" s="100"/>
      <c r="G40" s="100"/>
      <c r="H40" s="100"/>
      <c r="I40" s="100"/>
      <c r="J40" s="112"/>
      <c r="K40" s="101"/>
      <c r="L40" s="105"/>
      <c r="M40" s="106"/>
      <c r="N40" s="122"/>
      <c r="O40" s="100">
        <v>11</v>
      </c>
      <c r="P40" s="112"/>
      <c r="Q40" s="112">
        <v>10</v>
      </c>
      <c r="R40" s="101"/>
      <c r="S40" s="105"/>
      <c r="T40" s="107">
        <f t="shared" si="0"/>
        <v>0</v>
      </c>
      <c r="U40" s="107">
        <f>C40*12+M40*12+O40*12+Q40*12+T40</f>
        <v>20292</v>
      </c>
      <c r="V40" s="107">
        <f>U40/12</f>
        <v>1691</v>
      </c>
    </row>
    <row r="41" spans="1:23" hidden="1" x14ac:dyDescent="0.25">
      <c r="A41" s="75">
        <f t="shared" si="1"/>
        <v>38</v>
      </c>
      <c r="B41" s="73" t="s">
        <v>31</v>
      </c>
      <c r="C41" s="47"/>
      <c r="D41" s="47"/>
      <c r="E41" s="47"/>
      <c r="F41" s="47"/>
      <c r="G41" s="47"/>
      <c r="H41" s="47"/>
      <c r="I41" s="47"/>
      <c r="J41" s="111"/>
      <c r="K41" s="46"/>
      <c r="M41" s="52"/>
      <c r="N41" s="121"/>
      <c r="O41" s="47"/>
      <c r="P41" s="111"/>
      <c r="Q41" s="111"/>
      <c r="R41" s="46"/>
      <c r="T41" s="50"/>
      <c r="U41" s="50"/>
      <c r="V41" s="50"/>
    </row>
    <row r="42" spans="1:23" ht="19.5" thickBot="1" x14ac:dyDescent="0.3">
      <c r="A42" s="75">
        <f t="shared" si="1"/>
        <v>39</v>
      </c>
      <c r="B42" s="94" t="s">
        <v>24</v>
      </c>
      <c r="C42" s="97">
        <f>6048+6048+1836+3564+7128</f>
        <v>24624</v>
      </c>
      <c r="D42" s="97"/>
      <c r="E42" s="97"/>
      <c r="F42" s="97"/>
      <c r="G42" s="97"/>
      <c r="H42" s="97">
        <v>3</v>
      </c>
      <c r="I42" s="97">
        <v>6</v>
      </c>
      <c r="J42" s="113">
        <f>8*6+3</f>
        <v>51</v>
      </c>
      <c r="K42" s="98">
        <f>75*6+4</f>
        <v>454</v>
      </c>
      <c r="L42" s="102"/>
      <c r="M42" s="103">
        <v>324</v>
      </c>
      <c r="N42" s="120">
        <v>2</v>
      </c>
      <c r="O42" s="97">
        <v>351</v>
      </c>
      <c r="P42" s="113"/>
      <c r="Q42" s="113">
        <v>469</v>
      </c>
      <c r="R42" s="98"/>
      <c r="S42" s="102"/>
      <c r="T42" s="104">
        <f t="shared" ref="T42" si="6">H42+I42+J42+K42+N42+P42+R42</f>
        <v>516</v>
      </c>
      <c r="U42" s="104">
        <f>C42*6+M42*6+O42*6+Q42*6+T42</f>
        <v>155124</v>
      </c>
      <c r="V42" s="104">
        <f>U42/6</f>
        <v>25854</v>
      </c>
    </row>
    <row r="43" spans="1:23" hidden="1" x14ac:dyDescent="0.25">
      <c r="A43" s="75">
        <f t="shared" si="1"/>
        <v>40</v>
      </c>
      <c r="B43" s="73" t="s">
        <v>33</v>
      </c>
      <c r="C43" s="47"/>
      <c r="D43" s="47"/>
      <c r="E43" s="47"/>
      <c r="F43" s="47"/>
      <c r="G43" s="47"/>
      <c r="H43" s="47"/>
      <c r="I43" s="47"/>
      <c r="J43" s="111"/>
      <c r="K43" s="46"/>
      <c r="M43" s="52"/>
      <c r="N43" s="121"/>
      <c r="O43" s="47"/>
      <c r="P43" s="111"/>
      <c r="Q43" s="111"/>
      <c r="R43" s="46"/>
      <c r="T43" s="50"/>
      <c r="U43" s="50"/>
      <c r="V43" s="50"/>
    </row>
    <row r="44" spans="1:23" x14ac:dyDescent="0.25">
      <c r="A44" s="75">
        <f t="shared" si="1"/>
        <v>41</v>
      </c>
      <c r="B44" s="74" t="s">
        <v>25</v>
      </c>
      <c r="C44" s="47"/>
      <c r="D44" s="47"/>
      <c r="E44" s="47"/>
      <c r="F44" s="47"/>
      <c r="G44" s="47"/>
      <c r="H44" s="47"/>
      <c r="I44" s="47"/>
      <c r="J44" s="111"/>
      <c r="K44" s="46"/>
      <c r="M44" s="52"/>
      <c r="N44" s="121"/>
      <c r="O44" s="47"/>
      <c r="P44" s="111"/>
      <c r="Q44" s="111"/>
      <c r="R44" s="46"/>
      <c r="T44" s="50">
        <f t="shared" ref="T44:T53" si="7">H44+I44+J44+K44+N44+P44+R44</f>
        <v>0</v>
      </c>
      <c r="U44" s="50">
        <f>C44*24+M44*24+O44*24+Q44*24+T44</f>
        <v>0</v>
      </c>
      <c r="V44" s="50">
        <f>U44/24</f>
        <v>0</v>
      </c>
    </row>
    <row r="45" spans="1:23" x14ac:dyDescent="0.25">
      <c r="A45" s="75">
        <f t="shared" si="1"/>
        <v>42</v>
      </c>
      <c r="B45" s="74" t="s">
        <v>68</v>
      </c>
      <c r="C45" s="47"/>
      <c r="D45" s="47"/>
      <c r="E45" s="47"/>
      <c r="F45" s="47"/>
      <c r="G45" s="47"/>
      <c r="H45" s="47"/>
      <c r="I45" s="47"/>
      <c r="J45" s="111"/>
      <c r="K45" s="46"/>
      <c r="M45" s="52"/>
      <c r="N45" s="121"/>
      <c r="O45" s="47"/>
      <c r="P45" s="111"/>
      <c r="Q45" s="111"/>
      <c r="R45" s="46"/>
      <c r="T45" s="50">
        <f t="shared" si="7"/>
        <v>0</v>
      </c>
      <c r="U45" s="50">
        <f t="shared" ref="U45:U47" si="8">C45*24+M45*24+O45*24+Q45*24+T45</f>
        <v>0</v>
      </c>
      <c r="V45" s="50">
        <f t="shared" ref="V45:V53" si="9">U45/24</f>
        <v>0</v>
      </c>
    </row>
    <row r="46" spans="1:23" x14ac:dyDescent="0.25">
      <c r="A46" s="75">
        <f t="shared" si="1"/>
        <v>43</v>
      </c>
      <c r="B46" s="74" t="s">
        <v>73</v>
      </c>
      <c r="C46" s="47"/>
      <c r="D46" s="47"/>
      <c r="E46" s="47"/>
      <c r="F46" s="47"/>
      <c r="G46" s="47"/>
      <c r="H46" s="47"/>
      <c r="I46" s="47"/>
      <c r="J46" s="111"/>
      <c r="K46" s="46"/>
      <c r="M46" s="52"/>
      <c r="N46" s="121"/>
      <c r="O46" s="47"/>
      <c r="P46" s="111"/>
      <c r="Q46" s="111"/>
      <c r="R46" s="46"/>
      <c r="T46" s="50">
        <f t="shared" si="7"/>
        <v>0</v>
      </c>
      <c r="U46" s="50">
        <f t="shared" si="8"/>
        <v>0</v>
      </c>
      <c r="V46" s="50">
        <f t="shared" si="9"/>
        <v>0</v>
      </c>
    </row>
    <row r="47" spans="1:23" x14ac:dyDescent="0.25">
      <c r="A47" s="75">
        <f t="shared" si="1"/>
        <v>44</v>
      </c>
      <c r="B47" s="74" t="s">
        <v>74</v>
      </c>
      <c r="C47" s="47"/>
      <c r="D47" s="47"/>
      <c r="E47" s="47"/>
      <c r="F47" s="47"/>
      <c r="G47" s="47"/>
      <c r="H47" s="47"/>
      <c r="I47" s="47"/>
      <c r="J47" s="111"/>
      <c r="K47" s="46"/>
      <c r="M47" s="52"/>
      <c r="N47" s="121"/>
      <c r="O47" s="47"/>
      <c r="P47" s="111"/>
      <c r="Q47" s="111"/>
      <c r="R47" s="46"/>
      <c r="T47" s="50">
        <f t="shared" si="7"/>
        <v>0</v>
      </c>
      <c r="U47" s="50">
        <f t="shared" si="8"/>
        <v>0</v>
      </c>
      <c r="V47" s="50">
        <f t="shared" si="9"/>
        <v>0</v>
      </c>
    </row>
    <row r="48" spans="1:23" x14ac:dyDescent="0.25">
      <c r="A48" s="75">
        <f t="shared" si="1"/>
        <v>45</v>
      </c>
      <c r="B48" s="74" t="s">
        <v>26</v>
      </c>
      <c r="C48" s="47">
        <f>24+44+2268</f>
        <v>2336</v>
      </c>
      <c r="D48" s="47"/>
      <c r="E48" s="47"/>
      <c r="F48" s="47"/>
      <c r="G48" s="47"/>
      <c r="H48" s="47">
        <v>3</v>
      </c>
      <c r="I48" s="47"/>
      <c r="J48" s="111"/>
      <c r="K48" s="46">
        <v>6</v>
      </c>
      <c r="M48" s="52">
        <v>10</v>
      </c>
      <c r="N48" s="121"/>
      <c r="O48" s="47">
        <v>8</v>
      </c>
      <c r="P48" s="111">
        <v>2</v>
      </c>
      <c r="Q48" s="111">
        <v>10</v>
      </c>
      <c r="R48" s="46"/>
      <c r="T48" s="50">
        <f t="shared" si="7"/>
        <v>11</v>
      </c>
      <c r="U48" s="50">
        <f>C48*6+M48*6+O48*6+Q48*6+T48</f>
        <v>14195</v>
      </c>
      <c r="V48" s="50">
        <f>U48/6</f>
        <v>2365.8333333333335</v>
      </c>
    </row>
    <row r="49" spans="1:22" x14ac:dyDescent="0.25">
      <c r="A49" s="75">
        <f t="shared" si="1"/>
        <v>46</v>
      </c>
      <c r="B49" s="74" t="s">
        <v>69</v>
      </c>
      <c r="C49" s="47"/>
      <c r="D49" s="47"/>
      <c r="E49" s="47"/>
      <c r="F49" s="47"/>
      <c r="G49" s="47"/>
      <c r="H49" s="47"/>
      <c r="I49" s="47"/>
      <c r="J49" s="111"/>
      <c r="K49" s="46"/>
      <c r="M49" s="52"/>
      <c r="N49" s="121"/>
      <c r="O49" s="47"/>
      <c r="P49" s="111"/>
      <c r="Q49" s="111"/>
      <c r="R49" s="46"/>
      <c r="T49" s="50">
        <f t="shared" si="7"/>
        <v>0</v>
      </c>
      <c r="U49" s="50">
        <f t="shared" ref="U49:U51" si="10">C49*24+M49*24+O49*24+Q49*24+T49</f>
        <v>0</v>
      </c>
      <c r="V49" s="50">
        <f t="shared" si="9"/>
        <v>0</v>
      </c>
    </row>
    <row r="50" spans="1:22" x14ac:dyDescent="0.25">
      <c r="A50" s="75">
        <f t="shared" si="1"/>
        <v>47</v>
      </c>
      <c r="B50" s="74" t="s">
        <v>28</v>
      </c>
      <c r="C50" s="47"/>
      <c r="D50" s="47"/>
      <c r="E50" s="47"/>
      <c r="F50" s="47"/>
      <c r="G50" s="47"/>
      <c r="H50" s="47"/>
      <c r="I50" s="47"/>
      <c r="J50" s="111"/>
      <c r="K50" s="46"/>
      <c r="M50" s="52"/>
      <c r="N50" s="121"/>
      <c r="O50" s="47"/>
      <c r="P50" s="111"/>
      <c r="Q50" s="111"/>
      <c r="R50" s="46"/>
      <c r="T50" s="50">
        <f t="shared" si="7"/>
        <v>0</v>
      </c>
      <c r="U50" s="50">
        <f t="shared" si="10"/>
        <v>0</v>
      </c>
      <c r="V50" s="50">
        <f t="shared" si="9"/>
        <v>0</v>
      </c>
    </row>
    <row r="51" spans="1:22" x14ac:dyDescent="0.25">
      <c r="A51" s="75">
        <f t="shared" si="1"/>
        <v>48</v>
      </c>
      <c r="B51" s="74" t="s">
        <v>70</v>
      </c>
      <c r="C51" s="47"/>
      <c r="D51" s="47"/>
      <c r="E51" s="47"/>
      <c r="F51" s="47"/>
      <c r="G51" s="47"/>
      <c r="H51" s="47"/>
      <c r="I51" s="47"/>
      <c r="J51" s="111"/>
      <c r="K51" s="46"/>
      <c r="M51" s="52"/>
      <c r="N51" s="121"/>
      <c r="O51" s="47"/>
      <c r="P51" s="111"/>
      <c r="Q51" s="111"/>
      <c r="R51" s="46"/>
      <c r="T51" s="50">
        <f t="shared" si="7"/>
        <v>0</v>
      </c>
      <c r="U51" s="50">
        <f t="shared" si="10"/>
        <v>0</v>
      </c>
      <c r="V51" s="50">
        <f t="shared" si="9"/>
        <v>0</v>
      </c>
    </row>
    <row r="52" spans="1:22" x14ac:dyDescent="0.25">
      <c r="A52" s="75">
        <f t="shared" si="1"/>
        <v>49</v>
      </c>
      <c r="B52" s="74" t="s">
        <v>29</v>
      </c>
      <c r="C52" s="47">
        <v>34</v>
      </c>
      <c r="D52" s="47"/>
      <c r="E52" s="47"/>
      <c r="F52" s="47"/>
      <c r="G52" s="47"/>
      <c r="H52" s="47"/>
      <c r="I52" s="47"/>
      <c r="J52" s="111"/>
      <c r="K52" s="46"/>
      <c r="M52" s="52"/>
      <c r="N52" s="121"/>
      <c r="O52" s="47"/>
      <c r="P52" s="111"/>
      <c r="Q52" s="111"/>
      <c r="R52" s="46"/>
      <c r="T52" s="50">
        <f t="shared" si="7"/>
        <v>0</v>
      </c>
      <c r="U52" s="50">
        <f>C52*6+M52*6+O52*6+Q52*6+T52</f>
        <v>204</v>
      </c>
      <c r="V52" s="50">
        <f>U52/6</f>
        <v>34</v>
      </c>
    </row>
    <row r="53" spans="1:22" x14ac:dyDescent="0.25">
      <c r="A53" s="75">
        <f t="shared" si="1"/>
        <v>50</v>
      </c>
      <c r="B53" s="74" t="s">
        <v>30</v>
      </c>
      <c r="C53" s="47"/>
      <c r="D53" s="47"/>
      <c r="E53" s="47"/>
      <c r="F53" s="47"/>
      <c r="G53" s="47"/>
      <c r="H53" s="47"/>
      <c r="I53" s="47"/>
      <c r="J53" s="111"/>
      <c r="K53" s="46"/>
      <c r="M53" s="52"/>
      <c r="N53" s="121"/>
      <c r="O53" s="47"/>
      <c r="P53" s="111"/>
      <c r="Q53" s="111"/>
      <c r="R53" s="46"/>
      <c r="T53" s="50">
        <f t="shared" si="7"/>
        <v>0</v>
      </c>
      <c r="U53" s="50">
        <f t="shared" ref="U53" si="11">C53*24+M53*24+O53*24+Q53*24+T53</f>
        <v>0</v>
      </c>
      <c r="V53" s="50">
        <f t="shared" si="9"/>
        <v>0</v>
      </c>
    </row>
    <row r="54" spans="1:22" x14ac:dyDescent="0.25">
      <c r="A54" s="75">
        <f t="shared" si="1"/>
        <v>51</v>
      </c>
      <c r="B54" s="74"/>
      <c r="C54" s="47"/>
      <c r="D54" s="47"/>
      <c r="E54" s="47"/>
      <c r="F54" s="47"/>
      <c r="G54" s="47"/>
      <c r="H54" s="47"/>
      <c r="I54" s="47"/>
      <c r="J54" s="111"/>
      <c r="K54" s="46"/>
      <c r="M54" s="52"/>
      <c r="N54" s="121"/>
      <c r="O54" s="47"/>
      <c r="P54" s="111"/>
      <c r="Q54" s="111"/>
      <c r="R54" s="46"/>
      <c r="T54" s="50"/>
      <c r="U54" s="50"/>
      <c r="V54" s="50"/>
    </row>
    <row r="55" spans="1:22" x14ac:dyDescent="0.25">
      <c r="A55" s="75">
        <f t="shared" si="1"/>
        <v>52</v>
      </c>
      <c r="B55" s="74"/>
      <c r="C55" s="47"/>
      <c r="D55" s="47"/>
      <c r="E55" s="47"/>
      <c r="F55" s="47"/>
      <c r="G55" s="47"/>
      <c r="H55" s="47"/>
      <c r="I55" s="47"/>
      <c r="J55" s="111"/>
      <c r="K55" s="46"/>
      <c r="M55" s="52"/>
      <c r="N55" s="121"/>
      <c r="O55" s="47"/>
      <c r="P55" s="111"/>
      <c r="Q55" s="111"/>
      <c r="R55" s="46"/>
      <c r="T55" s="50"/>
      <c r="U55" s="50"/>
      <c r="V55" s="50"/>
    </row>
    <row r="56" spans="1:22" x14ac:dyDescent="0.25">
      <c r="A56" s="75">
        <f t="shared" si="1"/>
        <v>53</v>
      </c>
      <c r="B56" s="74"/>
      <c r="C56" s="47"/>
      <c r="D56" s="47"/>
      <c r="E56" s="47"/>
      <c r="F56" s="47"/>
      <c r="G56" s="47"/>
      <c r="H56" s="47"/>
      <c r="I56" s="47"/>
      <c r="J56" s="111"/>
      <c r="K56" s="46"/>
      <c r="M56" s="52"/>
      <c r="N56" s="121"/>
      <c r="O56" s="47"/>
      <c r="P56" s="111"/>
      <c r="Q56" s="111"/>
      <c r="R56" s="46"/>
      <c r="T56" s="50"/>
      <c r="U56" s="50"/>
      <c r="V56" s="50"/>
    </row>
    <row r="57" spans="1:22" s="63" customFormat="1" ht="19.5" thickBot="1" x14ac:dyDescent="0.3">
      <c r="B57" s="77" t="s">
        <v>60</v>
      </c>
      <c r="C57" s="49">
        <f>SUM(C7:C56)</f>
        <v>38003</v>
      </c>
      <c r="D57" s="49"/>
      <c r="E57" s="49"/>
      <c r="F57" s="49">
        <f t="shared" ref="F57:K57" si="12">SUM(F7:F56)</f>
        <v>0</v>
      </c>
      <c r="G57" s="49">
        <f t="shared" si="12"/>
        <v>0</v>
      </c>
      <c r="H57" s="49">
        <f t="shared" si="12"/>
        <v>94</v>
      </c>
      <c r="I57" s="54">
        <f t="shared" si="12"/>
        <v>8</v>
      </c>
      <c r="J57" s="54">
        <f t="shared" si="12"/>
        <v>55</v>
      </c>
      <c r="K57" s="54">
        <f t="shared" si="12"/>
        <v>486</v>
      </c>
      <c r="M57" s="53">
        <f t="shared" ref="M57:R57" si="13">SUM(M7:M56)</f>
        <v>394</v>
      </c>
      <c r="N57" s="53">
        <f t="shared" si="13"/>
        <v>2</v>
      </c>
      <c r="O57" s="53">
        <f t="shared" si="13"/>
        <v>424</v>
      </c>
      <c r="P57" s="53">
        <f t="shared" si="13"/>
        <v>17</v>
      </c>
      <c r="Q57" s="53">
        <f t="shared" si="13"/>
        <v>574</v>
      </c>
      <c r="R57" s="53">
        <f t="shared" si="13"/>
        <v>4</v>
      </c>
      <c r="S57" s="57"/>
      <c r="T57" s="51">
        <f>SUM(T7:T56)</f>
        <v>666</v>
      </c>
      <c r="U57" s="51">
        <f>SUM(U7:U56)</f>
        <v>335994</v>
      </c>
      <c r="V57" s="51">
        <f>SUM(V7:V56)</f>
        <v>39489.625</v>
      </c>
    </row>
    <row r="58" spans="1:22" ht="7.5" customHeight="1" thickBot="1" x14ac:dyDescent="0.3"/>
    <row r="59" spans="1:22" ht="19.5" thickBot="1" x14ac:dyDescent="0.3">
      <c r="B59" s="78" t="s">
        <v>39</v>
      </c>
      <c r="C59" s="191" t="s">
        <v>49</v>
      </c>
      <c r="D59" s="192"/>
      <c r="E59" s="192"/>
      <c r="F59" s="192"/>
      <c r="G59" s="192"/>
      <c r="H59" s="192"/>
      <c r="I59" s="192"/>
      <c r="J59" s="192"/>
      <c r="K59" s="193"/>
      <c r="U59" s="72" t="s">
        <v>62</v>
      </c>
    </row>
    <row r="60" spans="1:22" x14ac:dyDescent="0.25">
      <c r="B60" s="79" t="s">
        <v>18</v>
      </c>
      <c r="C60" s="67"/>
      <c r="D60" s="67"/>
      <c r="E60" s="67"/>
      <c r="F60" s="67"/>
      <c r="G60" s="67"/>
      <c r="H60" s="67"/>
      <c r="I60" s="67"/>
      <c r="J60" s="114"/>
      <c r="K60" s="68"/>
      <c r="U60" s="55"/>
    </row>
    <row r="61" spans="1:22" x14ac:dyDescent="0.25">
      <c r="B61" s="80" t="s">
        <v>55</v>
      </c>
      <c r="C61" s="48"/>
      <c r="D61" s="48"/>
      <c r="E61" s="48"/>
      <c r="F61" s="48"/>
      <c r="G61" s="48"/>
      <c r="H61" s="48"/>
      <c r="I61" s="48"/>
      <c r="J61" s="109"/>
      <c r="K61" s="69"/>
      <c r="U61" s="50"/>
    </row>
    <row r="62" spans="1:22" ht="19.5" thickBot="1" x14ac:dyDescent="0.3">
      <c r="B62" s="81" t="s">
        <v>54</v>
      </c>
      <c r="C62" s="70"/>
      <c r="D62" s="70"/>
      <c r="E62" s="70"/>
      <c r="F62" s="70"/>
      <c r="G62" s="70"/>
      <c r="H62" s="70"/>
      <c r="I62" s="70"/>
      <c r="J62" s="115"/>
      <c r="K62" s="71"/>
      <c r="U62" s="56"/>
    </row>
    <row r="63" spans="1:22" ht="7.5" customHeight="1" thickBot="1" x14ac:dyDescent="0.3"/>
    <row r="64" spans="1:22" x14ac:dyDescent="0.25">
      <c r="B64" s="79" t="s">
        <v>56</v>
      </c>
      <c r="C64" s="67"/>
      <c r="D64" s="67"/>
      <c r="E64" s="67"/>
      <c r="F64" s="67"/>
      <c r="G64" s="67"/>
      <c r="H64" s="67"/>
      <c r="I64" s="67"/>
      <c r="J64" s="114"/>
      <c r="K64" s="68"/>
      <c r="U64" s="55"/>
    </row>
    <row r="65" spans="2:21" x14ac:dyDescent="0.25">
      <c r="B65" s="80" t="s">
        <v>55</v>
      </c>
      <c r="C65" s="48"/>
      <c r="D65" s="48"/>
      <c r="E65" s="48"/>
      <c r="F65" s="48"/>
      <c r="G65" s="48"/>
      <c r="H65" s="48"/>
      <c r="I65" s="48"/>
      <c r="J65" s="109"/>
      <c r="K65" s="69"/>
      <c r="U65" s="50"/>
    </row>
    <row r="66" spans="2:21" ht="19.5" thickBot="1" x14ac:dyDescent="0.3">
      <c r="B66" s="81" t="s">
        <v>54</v>
      </c>
      <c r="C66" s="70"/>
      <c r="D66" s="70"/>
      <c r="E66" s="70"/>
      <c r="F66" s="70"/>
      <c r="G66" s="70"/>
      <c r="H66" s="70"/>
      <c r="I66" s="70"/>
      <c r="J66" s="115"/>
      <c r="K66" s="71"/>
      <c r="U66" s="56"/>
    </row>
    <row r="67" spans="2:21" ht="7.5" customHeight="1" thickBot="1" x14ac:dyDescent="0.3"/>
    <row r="68" spans="2:21" x14ac:dyDescent="0.25">
      <c r="B68" s="79" t="s">
        <v>41</v>
      </c>
      <c r="C68" s="67"/>
      <c r="D68" s="67"/>
      <c r="E68" s="67"/>
      <c r="F68" s="67"/>
      <c r="G68" s="67"/>
      <c r="H68" s="67"/>
      <c r="I68" s="67"/>
      <c r="J68" s="114"/>
      <c r="K68" s="68"/>
      <c r="U68" s="55"/>
    </row>
    <row r="69" spans="2:21" x14ac:dyDescent="0.25">
      <c r="B69" s="80" t="s">
        <v>55</v>
      </c>
      <c r="C69" s="48"/>
      <c r="D69" s="48"/>
      <c r="E69" s="48"/>
      <c r="F69" s="48"/>
      <c r="G69" s="48"/>
      <c r="H69" s="48"/>
      <c r="I69" s="48"/>
      <c r="J69" s="109"/>
      <c r="K69" s="69"/>
      <c r="U69" s="50"/>
    </row>
    <row r="70" spans="2:21" ht="19.5" thickBot="1" x14ac:dyDescent="0.3">
      <c r="B70" s="81" t="s">
        <v>54</v>
      </c>
      <c r="C70" s="70"/>
      <c r="D70" s="70"/>
      <c r="E70" s="70"/>
      <c r="F70" s="70"/>
      <c r="G70" s="70"/>
      <c r="H70" s="70"/>
      <c r="I70" s="70"/>
      <c r="J70" s="115"/>
      <c r="K70" s="71"/>
      <c r="U70" s="56"/>
    </row>
    <row r="71" spans="2:21" ht="7.5" customHeight="1" thickBot="1" x14ac:dyDescent="0.3"/>
    <row r="72" spans="2:21" x14ac:dyDescent="0.25">
      <c r="B72" s="79" t="s">
        <v>57</v>
      </c>
      <c r="C72" s="67"/>
      <c r="D72" s="67"/>
      <c r="E72" s="67"/>
      <c r="F72" s="67"/>
      <c r="G72" s="67"/>
      <c r="H72" s="67"/>
      <c r="I72" s="67"/>
      <c r="J72" s="114"/>
      <c r="K72" s="68"/>
      <c r="U72" s="55"/>
    </row>
    <row r="73" spans="2:21" x14ac:dyDescent="0.25">
      <c r="B73" s="80" t="s">
        <v>55</v>
      </c>
      <c r="C73" s="48"/>
      <c r="D73" s="48"/>
      <c r="E73" s="48"/>
      <c r="F73" s="48"/>
      <c r="G73" s="48"/>
      <c r="H73" s="48"/>
      <c r="I73" s="48"/>
      <c r="J73" s="109"/>
      <c r="K73" s="69"/>
      <c r="U73" s="50"/>
    </row>
    <row r="74" spans="2:21" ht="19.5" thickBot="1" x14ac:dyDescent="0.3">
      <c r="B74" s="81" t="s">
        <v>54</v>
      </c>
      <c r="C74" s="70"/>
      <c r="D74" s="70"/>
      <c r="E74" s="70"/>
      <c r="F74" s="70"/>
      <c r="G74" s="70"/>
      <c r="H74" s="70"/>
      <c r="I74" s="70"/>
      <c r="J74" s="115"/>
      <c r="K74" s="71"/>
      <c r="U74" s="56"/>
    </row>
    <row r="75" spans="2:21" ht="7.5" customHeight="1" thickBot="1" x14ac:dyDescent="0.3"/>
    <row r="76" spans="2:21" x14ac:dyDescent="0.25">
      <c r="B76" s="79" t="s">
        <v>58</v>
      </c>
      <c r="C76" s="67"/>
      <c r="D76" s="67"/>
      <c r="E76" s="67"/>
      <c r="F76" s="67"/>
      <c r="G76" s="67"/>
      <c r="H76" s="67"/>
      <c r="I76" s="67"/>
      <c r="J76" s="114"/>
      <c r="K76" s="68"/>
      <c r="U76" s="55"/>
    </row>
    <row r="77" spans="2:21" x14ac:dyDescent="0.25">
      <c r="B77" s="80" t="s">
        <v>55</v>
      </c>
      <c r="C77" s="48"/>
      <c r="D77" s="48"/>
      <c r="E77" s="48"/>
      <c r="F77" s="48"/>
      <c r="G77" s="48"/>
      <c r="H77" s="48"/>
      <c r="I77" s="48"/>
      <c r="J77" s="109"/>
      <c r="K77" s="69"/>
      <c r="U77" s="50"/>
    </row>
    <row r="78" spans="2:21" ht="19.5" thickBot="1" x14ac:dyDescent="0.3">
      <c r="B78" s="81" t="s">
        <v>54</v>
      </c>
      <c r="C78" s="70"/>
      <c r="D78" s="70"/>
      <c r="E78" s="70"/>
      <c r="F78" s="70"/>
      <c r="G78" s="70"/>
      <c r="H78" s="70"/>
      <c r="I78" s="70"/>
      <c r="J78" s="115"/>
      <c r="K78" s="71"/>
      <c r="U78" s="56"/>
    </row>
    <row r="79" spans="2:21" ht="7.5" customHeight="1" thickBot="1" x14ac:dyDescent="0.3"/>
    <row r="80" spans="2:21" ht="19.5" thickBot="1" x14ac:dyDescent="0.3">
      <c r="B80" s="78" t="s">
        <v>59</v>
      </c>
      <c r="C80" s="65"/>
      <c r="D80" s="65"/>
      <c r="E80" s="65"/>
      <c r="F80" s="65"/>
      <c r="G80" s="65"/>
      <c r="H80" s="65"/>
      <c r="I80" s="65"/>
      <c r="J80" s="116"/>
      <c r="K80" s="66"/>
      <c r="U80" s="64"/>
    </row>
  </sheetData>
  <mergeCells count="7">
    <mergeCell ref="V4:V5"/>
    <mergeCell ref="J5:K5"/>
    <mergeCell ref="C59:K59"/>
    <mergeCell ref="I1:U1"/>
    <mergeCell ref="C4:K4"/>
    <mergeCell ref="T4:T5"/>
    <mergeCell ref="U4:U5"/>
  </mergeCells>
  <printOptions horizontalCentered="1" verticalCentered="1"/>
  <pageMargins left="0.19685039370078741" right="0.19685039370078741" top="0.19685039370078741" bottom="0.19685039370078741" header="0.19685039370078741" footer="0.19685039370078741"/>
  <pageSetup paperSize="14" scale="70" orientation="portrait" horizontalDpi="360" verticalDpi="360" r:id="rId1"/>
  <colBreaks count="1" manualBreakCount="1">
    <brk id="24" max="80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A82F5-4846-4B63-B1FC-CBAEA8F57277}">
  <sheetPr>
    <pageSetUpPr fitToPage="1"/>
  </sheetPr>
  <dimension ref="A1:BB81"/>
  <sheetViews>
    <sheetView zoomScaleNormal="100" zoomScaleSheetLayoutView="115" workbookViewId="0">
      <selection activeCell="Q11" sqref="Q11"/>
    </sheetView>
  </sheetViews>
  <sheetFormatPr defaultColWidth="9.140625" defaultRowHeight="18.75" x14ac:dyDescent="0.25"/>
  <cols>
    <col min="1" max="1" width="4.140625" style="57" bestFit="1" customWidth="1"/>
    <col min="2" max="2" width="12.28515625" style="76" customWidth="1"/>
    <col min="3" max="6" width="10" style="57" customWidth="1"/>
    <col min="7" max="7" width="6.85546875" style="57" customWidth="1"/>
    <col min="8" max="8" width="6.7109375" style="57" customWidth="1"/>
    <col min="9" max="9" width="5.5703125" style="57" bestFit="1" customWidth="1"/>
    <col min="10" max="10" width="6.85546875" style="57" customWidth="1"/>
    <col min="11" max="11" width="5.5703125" style="57" bestFit="1" customWidth="1"/>
    <col min="12" max="12" width="1.42578125" style="57" customWidth="1"/>
    <col min="13" max="13" width="10" style="57" customWidth="1"/>
    <col min="14" max="14" width="5.5703125" style="57" bestFit="1" customWidth="1"/>
    <col min="15" max="15" width="10" style="57" customWidth="1"/>
    <col min="16" max="16" width="5.5703125" style="57" customWidth="1"/>
    <col min="17" max="17" width="10" style="57" customWidth="1"/>
    <col min="18" max="18" width="5.5703125" style="57" bestFit="1" customWidth="1"/>
    <col min="19" max="19" width="1.42578125" style="57" customWidth="1"/>
    <col min="20" max="20" width="12.5703125" style="57" bestFit="1" customWidth="1"/>
    <col min="21" max="21" width="14.28515625" style="57" customWidth="1"/>
    <col min="22" max="22" width="19.42578125" style="57" bestFit="1" customWidth="1"/>
    <col min="23" max="49" width="7.28515625" style="57" customWidth="1"/>
    <col min="50" max="50" width="1.5703125" style="57" customWidth="1"/>
    <col min="51" max="51" width="9.42578125" style="57" customWidth="1"/>
    <col min="52" max="52" width="1.28515625" style="57" customWidth="1"/>
    <col min="53" max="53" width="12.7109375" style="57" bestFit="1" customWidth="1"/>
    <col min="54" max="54" width="10.28515625" style="57" bestFit="1" customWidth="1"/>
    <col min="55" max="16384" width="9.140625" style="57"/>
  </cols>
  <sheetData>
    <row r="1" spans="1:54" ht="15" customHeight="1" x14ac:dyDescent="0.25">
      <c r="B1" s="75" t="s">
        <v>51</v>
      </c>
      <c r="I1" s="194" t="s">
        <v>53</v>
      </c>
      <c r="J1" s="194"/>
      <c r="K1" s="194"/>
      <c r="L1" s="194"/>
      <c r="M1" s="194"/>
      <c r="N1" s="194"/>
      <c r="O1" s="194"/>
      <c r="P1" s="194"/>
      <c r="Q1" s="194"/>
      <c r="R1" s="194"/>
      <c r="S1" s="194"/>
      <c r="T1" s="194"/>
      <c r="U1" s="194"/>
    </row>
    <row r="2" spans="1:54" x14ac:dyDescent="0.25">
      <c r="B2" s="76" t="s">
        <v>94</v>
      </c>
    </row>
    <row r="3" spans="1:54" ht="19.5" thickBot="1" x14ac:dyDescent="0.3"/>
    <row r="4" spans="1:54" s="58" customFormat="1" ht="15.75" x14ac:dyDescent="0.25">
      <c r="B4" s="93" t="s">
        <v>63</v>
      </c>
      <c r="C4" s="189" t="s">
        <v>49</v>
      </c>
      <c r="D4" s="189"/>
      <c r="E4" s="189"/>
      <c r="F4" s="189"/>
      <c r="G4" s="189"/>
      <c r="H4" s="189"/>
      <c r="I4" s="189"/>
      <c r="J4" s="199"/>
      <c r="K4" s="190"/>
      <c r="M4" s="82" t="s">
        <v>0</v>
      </c>
      <c r="N4" s="117" t="s">
        <v>72</v>
      </c>
      <c r="O4" s="84" t="s">
        <v>45</v>
      </c>
      <c r="P4" s="117" t="s">
        <v>72</v>
      </c>
      <c r="Q4" s="85" t="s">
        <v>46</v>
      </c>
      <c r="R4" s="117" t="s">
        <v>72</v>
      </c>
      <c r="S4" s="57"/>
      <c r="T4" s="200" t="s">
        <v>80</v>
      </c>
      <c r="U4" s="202" t="s">
        <v>79</v>
      </c>
      <c r="V4" s="195" t="s">
        <v>78</v>
      </c>
      <c r="AF4" s="59"/>
      <c r="AG4" s="59"/>
      <c r="AH4" s="59"/>
      <c r="AI4" s="59"/>
      <c r="AJ4" s="59"/>
      <c r="AK4" s="59"/>
      <c r="AL4" s="59"/>
      <c r="AM4" s="59"/>
      <c r="AN4" s="59"/>
      <c r="AO4" s="59"/>
      <c r="AP4" s="59"/>
      <c r="AQ4" s="59"/>
      <c r="AR4" s="59"/>
      <c r="AS4" s="59"/>
      <c r="AT4" s="59"/>
      <c r="AU4" s="59"/>
      <c r="AV4" s="59"/>
      <c r="AW4" s="59"/>
      <c r="AX4" s="59"/>
      <c r="AY4" s="59"/>
      <c r="AZ4" s="59"/>
      <c r="BA4" s="59"/>
      <c r="BB4" s="59"/>
    </row>
    <row r="5" spans="1:54" s="58" customFormat="1" ht="15.75" x14ac:dyDescent="0.25">
      <c r="B5" s="87"/>
      <c r="C5" s="92"/>
      <c r="D5" s="92"/>
      <c r="E5" s="92"/>
      <c r="F5" s="92"/>
      <c r="G5" s="92"/>
      <c r="H5" s="92" t="s">
        <v>76</v>
      </c>
      <c r="I5" s="92" t="s">
        <v>71</v>
      </c>
      <c r="J5" s="197" t="s">
        <v>77</v>
      </c>
      <c r="K5" s="198"/>
      <c r="M5" s="87"/>
      <c r="N5" s="118"/>
      <c r="O5" s="92"/>
      <c r="P5" s="130"/>
      <c r="Q5" s="130"/>
      <c r="R5" s="89"/>
      <c r="S5" s="57"/>
      <c r="T5" s="201"/>
      <c r="U5" s="203"/>
      <c r="V5" s="196"/>
      <c r="AF5" s="59"/>
      <c r="AG5" s="59"/>
      <c r="AH5" s="59"/>
      <c r="AI5" s="59"/>
      <c r="AJ5" s="59"/>
      <c r="AK5" s="59"/>
      <c r="AL5" s="59"/>
      <c r="AM5" s="59"/>
      <c r="AN5" s="59"/>
      <c r="AO5" s="59"/>
      <c r="AP5" s="59"/>
      <c r="AQ5" s="59"/>
      <c r="AR5" s="59"/>
      <c r="AS5" s="59"/>
      <c r="AT5" s="59"/>
      <c r="AU5" s="59"/>
      <c r="AV5" s="59"/>
      <c r="AW5" s="59"/>
      <c r="AX5" s="59"/>
      <c r="AY5" s="59"/>
      <c r="AZ5" s="59"/>
      <c r="BA5" s="59"/>
      <c r="BB5" s="59"/>
    </row>
    <row r="6" spans="1:54" s="58" customFormat="1" ht="15.75" x14ac:dyDescent="0.25">
      <c r="B6" s="87"/>
      <c r="C6" s="92"/>
      <c r="D6" s="92"/>
      <c r="E6" s="92"/>
      <c r="F6" s="92"/>
      <c r="G6" s="92"/>
      <c r="H6" s="92"/>
      <c r="I6" s="92"/>
      <c r="J6" s="130"/>
      <c r="K6" s="89"/>
      <c r="M6" s="87"/>
      <c r="N6" s="118"/>
      <c r="O6" s="92"/>
      <c r="P6" s="130"/>
      <c r="Q6" s="130"/>
      <c r="R6" s="89"/>
      <c r="S6" s="57"/>
      <c r="T6" s="90"/>
      <c r="U6" s="90"/>
      <c r="V6" s="90"/>
      <c r="AF6" s="59"/>
      <c r="AG6" s="59"/>
      <c r="AH6" s="59"/>
      <c r="AI6" s="59"/>
      <c r="AJ6" s="59"/>
      <c r="AK6" s="59"/>
      <c r="AL6" s="59"/>
      <c r="AM6" s="59"/>
      <c r="AN6" s="59"/>
      <c r="AO6" s="59"/>
      <c r="AP6" s="59"/>
      <c r="AQ6" s="59"/>
      <c r="AR6" s="59"/>
      <c r="AS6" s="59"/>
      <c r="AT6" s="59"/>
      <c r="AU6" s="59"/>
      <c r="AV6" s="59"/>
      <c r="AW6" s="59"/>
      <c r="AX6" s="59"/>
      <c r="AY6" s="59"/>
      <c r="AZ6" s="59"/>
      <c r="BA6" s="59"/>
      <c r="BB6" s="59"/>
    </row>
    <row r="7" spans="1:54" x14ac:dyDescent="0.25">
      <c r="A7" s="75">
        <v>1</v>
      </c>
      <c r="B7" s="74" t="s">
        <v>34</v>
      </c>
      <c r="C7" s="48">
        <v>28</v>
      </c>
      <c r="D7" s="48"/>
      <c r="E7" s="48"/>
      <c r="F7" s="48"/>
      <c r="G7" s="48"/>
      <c r="H7" s="48">
        <v>17</v>
      </c>
      <c r="I7" s="48">
        <v>1</v>
      </c>
      <c r="J7" s="109"/>
      <c r="K7" s="69">
        <v>6</v>
      </c>
      <c r="M7" s="88"/>
      <c r="N7" s="119"/>
      <c r="O7" s="48">
        <v>2</v>
      </c>
      <c r="P7" s="109"/>
      <c r="Q7" s="109">
        <v>2</v>
      </c>
      <c r="R7" s="69"/>
      <c r="T7" s="91">
        <f>H7+I7+J7+K7+N7+P7+R7</f>
        <v>24</v>
      </c>
      <c r="U7" s="91">
        <f>C7*24+M7*24+O7*24+Q7*24+T7</f>
        <v>792</v>
      </c>
      <c r="V7" s="91">
        <f>U7/24</f>
        <v>33</v>
      </c>
      <c r="W7" s="123"/>
      <c r="AF7" s="60"/>
      <c r="AG7" s="60"/>
      <c r="AH7" s="60"/>
      <c r="AI7" s="60"/>
      <c r="AJ7" s="60"/>
      <c r="AK7" s="60"/>
      <c r="AL7" s="60"/>
      <c r="AM7" s="60"/>
      <c r="AN7" s="60"/>
      <c r="AO7" s="60"/>
      <c r="AP7" s="60"/>
      <c r="AQ7" s="60"/>
      <c r="AR7" s="60"/>
      <c r="AS7" s="60"/>
      <c r="AT7" s="60"/>
      <c r="AU7" s="60"/>
      <c r="AV7" s="60"/>
      <c r="AW7" s="60"/>
      <c r="AX7" s="60"/>
      <c r="AY7" s="60"/>
      <c r="AZ7" s="60"/>
      <c r="BA7" s="60"/>
      <c r="BB7" s="60"/>
    </row>
    <row r="8" spans="1:54" ht="19.5" thickBot="1" x14ac:dyDescent="0.3">
      <c r="A8" s="75">
        <f>A7+1</f>
        <v>2</v>
      </c>
      <c r="B8" s="94" t="s">
        <v>37</v>
      </c>
      <c r="C8" s="95">
        <f>63+31</f>
        <v>94</v>
      </c>
      <c r="D8" s="95"/>
      <c r="E8" s="95"/>
      <c r="F8" s="95"/>
      <c r="G8" s="95"/>
      <c r="H8" s="95"/>
      <c r="I8" s="95"/>
      <c r="J8" s="110"/>
      <c r="K8" s="96"/>
      <c r="L8" s="102"/>
      <c r="M8" s="103">
        <v>1</v>
      </c>
      <c r="N8" s="120"/>
      <c r="O8" s="97"/>
      <c r="P8" s="113"/>
      <c r="Q8" s="113"/>
      <c r="R8" s="98"/>
      <c r="S8" s="102"/>
      <c r="T8" s="126">
        <f t="shared" ref="T8:T41" si="0">H8+I8+J8+K8+N8+P8+R8</f>
        <v>0</v>
      </c>
      <c r="U8" s="124">
        <f>C8*24+M8*24+O8*24+Q8*24+T8</f>
        <v>2280</v>
      </c>
      <c r="V8" s="124">
        <f>U8/24</f>
        <v>95</v>
      </c>
      <c r="W8" s="123"/>
      <c r="AF8" s="60"/>
      <c r="AG8" s="60"/>
      <c r="AH8" s="60"/>
      <c r="AI8" s="60"/>
      <c r="AJ8" s="60"/>
      <c r="AK8" s="60"/>
      <c r="AL8" s="60"/>
      <c r="AM8" s="60"/>
      <c r="AN8" s="60"/>
      <c r="AO8" s="60"/>
      <c r="AP8" s="60"/>
      <c r="AQ8" s="60"/>
      <c r="AR8" s="60"/>
      <c r="AS8" s="60"/>
      <c r="AT8" s="60"/>
      <c r="AU8" s="60"/>
      <c r="AV8" s="60"/>
      <c r="AW8" s="60"/>
      <c r="AX8" s="60"/>
      <c r="AY8" s="60"/>
      <c r="AZ8" s="60"/>
      <c r="BA8" s="60"/>
      <c r="BB8" s="60"/>
    </row>
    <row r="9" spans="1:54" x14ac:dyDescent="0.25">
      <c r="A9" s="75">
        <f t="shared" ref="A9:A57" si="1">A8+1</f>
        <v>3</v>
      </c>
      <c r="B9" s="73" t="s">
        <v>35</v>
      </c>
      <c r="C9" s="47"/>
      <c r="D9" s="47"/>
      <c r="E9" s="47"/>
      <c r="F9" s="47"/>
      <c r="G9" s="47"/>
      <c r="H9" s="47"/>
      <c r="I9" s="47"/>
      <c r="J9" s="111"/>
      <c r="K9" s="46"/>
      <c r="M9" s="52"/>
      <c r="N9" s="121"/>
      <c r="O9" s="47"/>
      <c r="P9" s="111"/>
      <c r="Q9" s="111"/>
      <c r="R9" s="46"/>
      <c r="T9" s="50">
        <f t="shared" si="0"/>
        <v>0</v>
      </c>
      <c r="U9" s="125">
        <f t="shared" ref="U9:U11" si="2">C9*24+M9*24+O9*24+Q9*24+T9</f>
        <v>0</v>
      </c>
      <c r="V9" s="125">
        <f t="shared" ref="V9:V11" si="3">U9/24</f>
        <v>0</v>
      </c>
      <c r="W9" s="123"/>
      <c r="AF9" s="60"/>
      <c r="AG9" s="60"/>
      <c r="AH9" s="60"/>
      <c r="AI9" s="60"/>
      <c r="AJ9" s="60"/>
      <c r="AK9" s="60"/>
      <c r="AL9" s="60"/>
      <c r="AM9" s="60"/>
      <c r="AN9" s="60"/>
      <c r="AO9" s="60"/>
      <c r="AP9" s="60"/>
      <c r="AQ9" s="60"/>
      <c r="AR9" s="60"/>
      <c r="AS9" s="60"/>
      <c r="AT9" s="60"/>
      <c r="AU9" s="60"/>
      <c r="AV9" s="60"/>
      <c r="AW9" s="60"/>
      <c r="AX9" s="60"/>
      <c r="AY9" s="60"/>
      <c r="AZ9" s="60"/>
      <c r="BA9" s="60"/>
      <c r="BB9" s="60"/>
    </row>
    <row r="10" spans="1:54" x14ac:dyDescent="0.25">
      <c r="A10" s="75">
        <f t="shared" si="1"/>
        <v>4</v>
      </c>
      <c r="B10" s="74" t="s">
        <v>38</v>
      </c>
      <c r="C10" s="47">
        <v>61</v>
      </c>
      <c r="D10" s="47"/>
      <c r="E10" s="47"/>
      <c r="F10" s="47"/>
      <c r="G10" s="47"/>
      <c r="H10" s="47"/>
      <c r="I10" s="47"/>
      <c r="J10" s="111"/>
      <c r="K10" s="46"/>
      <c r="M10" s="52"/>
      <c r="N10" s="121"/>
      <c r="O10" s="47"/>
      <c r="P10" s="111"/>
      <c r="Q10" s="111">
        <v>3</v>
      </c>
      <c r="R10" s="46"/>
      <c r="T10" s="91">
        <f t="shared" si="0"/>
        <v>0</v>
      </c>
      <c r="U10" s="91">
        <f t="shared" si="2"/>
        <v>1536</v>
      </c>
      <c r="V10" s="91">
        <f t="shared" si="3"/>
        <v>64</v>
      </c>
      <c r="W10" s="123"/>
      <c r="AF10" s="60"/>
      <c r="AG10" s="60"/>
      <c r="AH10" s="60"/>
      <c r="AI10" s="60"/>
      <c r="AJ10" s="60"/>
      <c r="AK10" s="60"/>
      <c r="AL10" s="60"/>
      <c r="AM10" s="60"/>
      <c r="AN10" s="60"/>
      <c r="AO10" s="60"/>
      <c r="AP10" s="60"/>
      <c r="AQ10" s="60"/>
      <c r="AR10" s="60"/>
      <c r="AS10" s="60"/>
      <c r="AT10" s="60"/>
      <c r="AU10" s="60"/>
      <c r="AV10" s="60"/>
      <c r="AW10" s="60"/>
      <c r="AX10" s="60"/>
      <c r="AY10" s="60"/>
      <c r="AZ10" s="60"/>
      <c r="BA10" s="60"/>
      <c r="BB10" s="60"/>
    </row>
    <row r="11" spans="1:54" x14ac:dyDescent="0.25">
      <c r="A11" s="75">
        <f t="shared" si="1"/>
        <v>5</v>
      </c>
      <c r="B11" s="74" t="s">
        <v>36</v>
      </c>
      <c r="C11" s="47"/>
      <c r="D11" s="47"/>
      <c r="E11" s="47"/>
      <c r="F11" s="47"/>
      <c r="G11" s="47"/>
      <c r="H11" s="47">
        <v>22</v>
      </c>
      <c r="I11" s="47"/>
      <c r="J11" s="111"/>
      <c r="K11" s="46">
        <v>2</v>
      </c>
      <c r="M11" s="52"/>
      <c r="N11" s="121"/>
      <c r="O11" s="47"/>
      <c r="P11" s="111"/>
      <c r="Q11" s="111"/>
      <c r="R11" s="46"/>
      <c r="T11" s="91">
        <f t="shared" si="0"/>
        <v>24</v>
      </c>
      <c r="U11" s="91">
        <f t="shared" si="2"/>
        <v>24</v>
      </c>
      <c r="V11" s="91">
        <f t="shared" si="3"/>
        <v>1</v>
      </c>
      <c r="AF11" s="60"/>
      <c r="AG11" s="60"/>
      <c r="AH11" s="60"/>
      <c r="AI11" s="60"/>
      <c r="AJ11" s="60"/>
      <c r="AK11" s="60"/>
      <c r="AL11" s="60"/>
      <c r="AM11" s="60"/>
      <c r="AN11" s="60"/>
      <c r="AO11" s="60"/>
      <c r="AP11" s="60"/>
      <c r="AQ11" s="60"/>
      <c r="AR11" s="60"/>
      <c r="AS11" s="60"/>
      <c r="AT11" s="60"/>
      <c r="AU11" s="60"/>
      <c r="AV11" s="60"/>
      <c r="AW11" s="60"/>
      <c r="AX11" s="60"/>
      <c r="AY11" s="60"/>
      <c r="AZ11" s="60"/>
      <c r="BA11" s="60"/>
      <c r="BB11" s="60"/>
    </row>
    <row r="12" spans="1:54" s="61" customFormat="1" ht="19.5" thickBot="1" x14ac:dyDescent="0.3">
      <c r="A12" s="75">
        <v>7</v>
      </c>
      <c r="B12" s="94" t="s">
        <v>32</v>
      </c>
      <c r="C12" s="95">
        <f>72+1368+53+1440+576</f>
        <v>3509</v>
      </c>
      <c r="D12" s="95"/>
      <c r="E12" s="95"/>
      <c r="F12" s="95"/>
      <c r="G12" s="95"/>
      <c r="H12" s="95"/>
      <c r="I12" s="95"/>
      <c r="J12" s="110"/>
      <c r="K12" s="96"/>
      <c r="L12" s="102"/>
      <c r="M12" s="103">
        <v>13</v>
      </c>
      <c r="N12" s="120">
        <v>11</v>
      </c>
      <c r="O12" s="97">
        <v>16</v>
      </c>
      <c r="P12" s="113"/>
      <c r="Q12" s="113">
        <v>13</v>
      </c>
      <c r="R12" s="98">
        <v>16</v>
      </c>
      <c r="S12" s="102"/>
      <c r="T12" s="91">
        <f t="shared" si="0"/>
        <v>27</v>
      </c>
      <c r="U12" s="124">
        <f>C12*24+M12*24+O12*24+Q12*24+T12</f>
        <v>85251</v>
      </c>
      <c r="V12" s="124">
        <f>U12/24</f>
        <v>3552.125</v>
      </c>
      <c r="W12" s="57"/>
      <c r="X12" s="57"/>
      <c r="Y12" s="57"/>
      <c r="Z12" s="57"/>
      <c r="AA12" s="57"/>
      <c r="AB12" s="57"/>
      <c r="AC12" s="57"/>
      <c r="AD12" s="57"/>
      <c r="AE12" s="57"/>
      <c r="AF12" s="60"/>
      <c r="AG12" s="60"/>
      <c r="AH12" s="60"/>
      <c r="AI12" s="60"/>
      <c r="AJ12" s="60"/>
      <c r="AK12" s="60"/>
      <c r="AL12" s="60"/>
      <c r="AM12" s="60"/>
      <c r="AN12" s="60"/>
      <c r="AO12" s="60"/>
      <c r="AP12" s="60"/>
      <c r="AQ12" s="60"/>
      <c r="AR12" s="60"/>
      <c r="AS12" s="60"/>
      <c r="AT12" s="60"/>
      <c r="AU12" s="60"/>
      <c r="AV12" s="60"/>
      <c r="AW12" s="60"/>
      <c r="AX12" s="60"/>
      <c r="AY12" s="60"/>
      <c r="AZ12" s="60"/>
      <c r="BA12" s="60"/>
      <c r="BB12" s="60"/>
    </row>
    <row r="13" spans="1:54" x14ac:dyDescent="0.25">
      <c r="A13" s="75">
        <v>11</v>
      </c>
      <c r="B13" s="73" t="s">
        <v>1</v>
      </c>
      <c r="C13" s="47">
        <v>5</v>
      </c>
      <c r="D13" s="47"/>
      <c r="E13" s="47"/>
      <c r="F13" s="47"/>
      <c r="G13" s="47"/>
      <c r="H13" s="47"/>
      <c r="I13" s="47"/>
      <c r="J13" s="111"/>
      <c r="K13" s="46"/>
      <c r="M13" s="52"/>
      <c r="N13" s="121"/>
      <c r="O13" s="47"/>
      <c r="P13" s="111"/>
      <c r="Q13" s="111"/>
      <c r="R13" s="46"/>
      <c r="T13" s="91">
        <f t="shared" si="0"/>
        <v>0</v>
      </c>
      <c r="U13" s="125">
        <f>C13*24+M13*24+O13*24+Q13*24+T13</f>
        <v>120</v>
      </c>
      <c r="V13" s="125">
        <f>U13/24</f>
        <v>5</v>
      </c>
      <c r="AF13" s="60"/>
      <c r="AG13" s="60"/>
      <c r="AH13" s="60"/>
      <c r="AI13" s="60"/>
      <c r="AJ13" s="60"/>
      <c r="AK13" s="60"/>
      <c r="AL13" s="60"/>
      <c r="AM13" s="60"/>
      <c r="AN13" s="60"/>
      <c r="AO13" s="60"/>
      <c r="AP13" s="60"/>
      <c r="AQ13" s="60"/>
      <c r="AR13" s="60"/>
      <c r="AS13" s="60"/>
      <c r="AT13" s="60"/>
      <c r="AU13" s="60"/>
      <c r="AV13" s="60"/>
      <c r="AW13" s="60"/>
      <c r="AX13" s="60"/>
      <c r="AY13" s="60"/>
      <c r="AZ13" s="60"/>
      <c r="BA13" s="60"/>
      <c r="BB13" s="60"/>
    </row>
    <row r="14" spans="1:54" x14ac:dyDescent="0.25">
      <c r="A14" s="75">
        <f t="shared" si="1"/>
        <v>12</v>
      </c>
      <c r="B14" s="74" t="s">
        <v>2</v>
      </c>
      <c r="C14" s="47"/>
      <c r="D14" s="47"/>
      <c r="E14" s="47"/>
      <c r="F14" s="47"/>
      <c r="G14" s="47"/>
      <c r="H14" s="47"/>
      <c r="I14" s="47"/>
      <c r="J14" s="111"/>
      <c r="K14" s="46"/>
      <c r="M14" s="52"/>
      <c r="N14" s="121"/>
      <c r="O14" s="47"/>
      <c r="P14" s="111"/>
      <c r="Q14" s="111"/>
      <c r="R14" s="46"/>
      <c r="T14" s="91">
        <f t="shared" si="0"/>
        <v>0</v>
      </c>
      <c r="U14" s="50">
        <f t="shared" ref="U14:U36" si="4">C14*24+M14*24+O14*24+Q14*24+T14</f>
        <v>0</v>
      </c>
      <c r="V14" s="50">
        <f t="shared" ref="V14:V36" si="5">U14/24</f>
        <v>0</v>
      </c>
      <c r="AF14" s="60"/>
      <c r="AG14" s="60"/>
      <c r="AH14" s="60"/>
      <c r="AI14" s="60"/>
      <c r="AJ14" s="60"/>
      <c r="AK14" s="60"/>
      <c r="AL14" s="60"/>
      <c r="AM14" s="60"/>
      <c r="AN14" s="60"/>
      <c r="AO14" s="60"/>
      <c r="AP14" s="60"/>
      <c r="AQ14" s="60"/>
      <c r="AR14" s="60"/>
      <c r="AS14" s="60"/>
      <c r="AT14" s="60"/>
      <c r="AU14" s="60"/>
      <c r="AV14" s="60"/>
      <c r="AW14" s="60"/>
      <c r="AX14" s="60"/>
      <c r="AY14" s="60"/>
      <c r="AZ14" s="60"/>
      <c r="BA14" s="60"/>
      <c r="BB14" s="60"/>
    </row>
    <row r="15" spans="1:54" x14ac:dyDescent="0.25">
      <c r="A15" s="75">
        <f t="shared" si="1"/>
        <v>13</v>
      </c>
      <c r="B15" s="74" t="s">
        <v>3</v>
      </c>
      <c r="C15" s="47"/>
      <c r="D15" s="47"/>
      <c r="E15" s="47"/>
      <c r="F15" s="47"/>
      <c r="G15" s="47"/>
      <c r="H15" s="47"/>
      <c r="I15" s="47"/>
      <c r="J15" s="111"/>
      <c r="K15" s="46"/>
      <c r="M15" s="52"/>
      <c r="N15" s="121"/>
      <c r="O15" s="47"/>
      <c r="P15" s="111"/>
      <c r="Q15" s="111"/>
      <c r="R15" s="46"/>
      <c r="T15" s="91">
        <f t="shared" si="0"/>
        <v>0</v>
      </c>
      <c r="U15" s="50">
        <f t="shared" si="4"/>
        <v>0</v>
      </c>
      <c r="V15" s="50">
        <f t="shared" si="5"/>
        <v>0</v>
      </c>
      <c r="AF15" s="60"/>
      <c r="AG15" s="60"/>
      <c r="AH15" s="60"/>
      <c r="AI15" s="60"/>
      <c r="AJ15" s="60"/>
      <c r="AK15" s="60"/>
      <c r="AL15" s="60"/>
      <c r="AM15" s="60"/>
      <c r="AN15" s="60"/>
      <c r="AO15" s="60"/>
      <c r="AP15" s="60"/>
      <c r="AQ15" s="60"/>
      <c r="AR15" s="60"/>
      <c r="AS15" s="60"/>
      <c r="AT15" s="60"/>
      <c r="AU15" s="60"/>
      <c r="AV15" s="60"/>
      <c r="AW15" s="60"/>
      <c r="AX15" s="60"/>
      <c r="AY15" s="60"/>
      <c r="AZ15" s="60"/>
      <c r="BA15" s="60"/>
      <c r="BB15" s="60"/>
    </row>
    <row r="16" spans="1:54" x14ac:dyDescent="0.25">
      <c r="A16" s="75">
        <f t="shared" si="1"/>
        <v>14</v>
      </c>
      <c r="B16" s="74" t="s">
        <v>4</v>
      </c>
      <c r="C16" s="47"/>
      <c r="D16" s="47"/>
      <c r="E16" s="47"/>
      <c r="F16" s="47"/>
      <c r="G16" s="47"/>
      <c r="H16" s="47"/>
      <c r="I16" s="47"/>
      <c r="J16" s="111"/>
      <c r="K16" s="46"/>
      <c r="M16" s="52"/>
      <c r="N16" s="121"/>
      <c r="O16" s="47"/>
      <c r="P16" s="111"/>
      <c r="Q16" s="111"/>
      <c r="R16" s="46"/>
      <c r="T16" s="91">
        <f t="shared" si="0"/>
        <v>0</v>
      </c>
      <c r="U16" s="50">
        <f t="shared" si="4"/>
        <v>0</v>
      </c>
      <c r="V16" s="50">
        <f t="shared" si="5"/>
        <v>0</v>
      </c>
      <c r="AF16" s="60"/>
      <c r="AG16" s="60"/>
      <c r="AH16" s="60"/>
      <c r="AI16" s="60"/>
      <c r="AJ16" s="60"/>
      <c r="AK16" s="60"/>
      <c r="AL16" s="60"/>
      <c r="AM16" s="60"/>
      <c r="AN16" s="60"/>
      <c r="AO16" s="60"/>
      <c r="AP16" s="60"/>
      <c r="AQ16" s="60"/>
      <c r="AR16" s="60"/>
      <c r="AS16" s="60"/>
      <c r="AT16" s="60"/>
      <c r="AU16" s="60"/>
      <c r="AV16" s="60"/>
      <c r="AW16" s="60"/>
      <c r="AX16" s="60"/>
      <c r="AY16" s="60"/>
      <c r="AZ16" s="60"/>
      <c r="BA16" s="60"/>
      <c r="BB16" s="60"/>
    </row>
    <row r="17" spans="1:54" x14ac:dyDescent="0.25">
      <c r="A17" s="75">
        <f t="shared" si="1"/>
        <v>15</v>
      </c>
      <c r="B17" s="74" t="s">
        <v>5</v>
      </c>
      <c r="C17" s="47">
        <v>4</v>
      </c>
      <c r="D17" s="47"/>
      <c r="E17" s="47"/>
      <c r="F17" s="47"/>
      <c r="G17" s="47"/>
      <c r="H17" s="47"/>
      <c r="I17" s="47"/>
      <c r="J17" s="111"/>
      <c r="K17" s="46"/>
      <c r="M17" s="52"/>
      <c r="N17" s="121"/>
      <c r="O17" s="47"/>
      <c r="P17" s="111"/>
      <c r="Q17" s="111"/>
      <c r="R17" s="46"/>
      <c r="T17" s="91">
        <f t="shared" si="0"/>
        <v>0</v>
      </c>
      <c r="U17" s="50">
        <f t="shared" si="4"/>
        <v>96</v>
      </c>
      <c r="V17" s="50">
        <f t="shared" si="5"/>
        <v>4</v>
      </c>
      <c r="AF17" s="60"/>
      <c r="AG17" s="60"/>
      <c r="AH17" s="60"/>
      <c r="AI17" s="60"/>
      <c r="AJ17" s="60"/>
      <c r="AK17" s="60"/>
      <c r="AL17" s="60"/>
      <c r="AM17" s="60"/>
      <c r="AN17" s="60"/>
      <c r="AO17" s="60"/>
      <c r="AP17" s="60"/>
      <c r="AQ17" s="60"/>
      <c r="AR17" s="60"/>
      <c r="AS17" s="60"/>
      <c r="AT17" s="60"/>
      <c r="AU17" s="60"/>
      <c r="AV17" s="60"/>
      <c r="AW17" s="60"/>
      <c r="AX17" s="60"/>
      <c r="AY17" s="60"/>
      <c r="AZ17" s="60"/>
      <c r="BA17" s="60"/>
      <c r="BB17" s="60"/>
    </row>
    <row r="18" spans="1:54" hidden="1" x14ac:dyDescent="0.25">
      <c r="A18" s="75">
        <f t="shared" si="1"/>
        <v>16</v>
      </c>
      <c r="B18" s="74" t="s">
        <v>10</v>
      </c>
      <c r="C18" s="47"/>
      <c r="D18" s="47"/>
      <c r="E18" s="47"/>
      <c r="F18" s="47"/>
      <c r="G18" s="47"/>
      <c r="H18" s="47"/>
      <c r="I18" s="47"/>
      <c r="J18" s="111"/>
      <c r="K18" s="46"/>
      <c r="M18" s="52"/>
      <c r="N18" s="121"/>
      <c r="O18" s="47"/>
      <c r="P18" s="111"/>
      <c r="Q18" s="111"/>
      <c r="R18" s="46"/>
      <c r="T18" s="91">
        <f t="shared" si="0"/>
        <v>0</v>
      </c>
      <c r="U18" s="50">
        <f t="shared" si="4"/>
        <v>0</v>
      </c>
      <c r="V18" s="50">
        <f t="shared" si="5"/>
        <v>0</v>
      </c>
      <c r="AF18" s="60"/>
      <c r="AG18" s="60"/>
      <c r="AH18" s="60"/>
      <c r="AI18" s="60"/>
      <c r="AJ18" s="60"/>
      <c r="AK18" s="60"/>
      <c r="AL18" s="60"/>
      <c r="AM18" s="60"/>
      <c r="AN18" s="60"/>
      <c r="AO18" s="60"/>
      <c r="AP18" s="60"/>
      <c r="AQ18" s="60"/>
      <c r="AR18" s="60"/>
      <c r="AS18" s="60"/>
      <c r="AT18" s="60"/>
      <c r="AU18" s="60"/>
      <c r="AV18" s="60"/>
      <c r="AW18" s="60"/>
      <c r="AX18" s="60"/>
      <c r="AY18" s="60"/>
      <c r="AZ18" s="60"/>
      <c r="BA18" s="60"/>
      <c r="BB18" s="60"/>
    </row>
    <row r="19" spans="1:54" x14ac:dyDescent="0.25">
      <c r="A19" s="75">
        <v>16</v>
      </c>
      <c r="B19" s="74" t="s">
        <v>64</v>
      </c>
      <c r="C19" s="47">
        <v>4</v>
      </c>
      <c r="D19" s="47"/>
      <c r="E19" s="47"/>
      <c r="F19" s="47"/>
      <c r="G19" s="47"/>
      <c r="H19" s="47"/>
      <c r="I19" s="47"/>
      <c r="J19" s="111"/>
      <c r="K19" s="46"/>
      <c r="M19" s="52"/>
      <c r="N19" s="121"/>
      <c r="O19" s="47"/>
      <c r="P19" s="111"/>
      <c r="Q19" s="111"/>
      <c r="R19" s="46"/>
      <c r="T19" s="91">
        <f t="shared" si="0"/>
        <v>0</v>
      </c>
      <c r="U19" s="50">
        <f t="shared" si="4"/>
        <v>96</v>
      </c>
      <c r="V19" s="50">
        <f t="shared" si="5"/>
        <v>4</v>
      </c>
      <c r="AF19" s="60"/>
      <c r="AG19" s="60"/>
      <c r="AH19" s="60"/>
      <c r="AI19" s="60"/>
      <c r="AJ19" s="60"/>
      <c r="AK19" s="60"/>
      <c r="AL19" s="60"/>
      <c r="AM19" s="60"/>
      <c r="AN19" s="60"/>
      <c r="AO19" s="60"/>
      <c r="AP19" s="60"/>
      <c r="AQ19" s="60"/>
      <c r="AR19" s="60"/>
      <c r="AS19" s="60"/>
      <c r="AT19" s="60"/>
      <c r="AU19" s="60"/>
      <c r="AV19" s="60"/>
      <c r="AW19" s="60"/>
      <c r="AX19" s="60"/>
      <c r="AY19" s="60"/>
      <c r="AZ19" s="60"/>
      <c r="BA19" s="60"/>
      <c r="BB19" s="60"/>
    </row>
    <row r="20" spans="1:54" x14ac:dyDescent="0.25">
      <c r="A20" s="75">
        <f t="shared" si="1"/>
        <v>17</v>
      </c>
      <c r="B20" s="74" t="s">
        <v>6</v>
      </c>
      <c r="C20" s="47">
        <v>6</v>
      </c>
      <c r="D20" s="47"/>
      <c r="E20" s="47"/>
      <c r="F20" s="47"/>
      <c r="G20" s="47"/>
      <c r="H20" s="47"/>
      <c r="I20" s="47"/>
      <c r="J20" s="111"/>
      <c r="K20" s="46"/>
      <c r="M20" s="52"/>
      <c r="N20" s="121"/>
      <c r="O20" s="47"/>
      <c r="P20" s="111"/>
      <c r="Q20" s="111"/>
      <c r="R20" s="46"/>
      <c r="T20" s="91">
        <f t="shared" si="0"/>
        <v>0</v>
      </c>
      <c r="U20" s="50">
        <f t="shared" si="4"/>
        <v>144</v>
      </c>
      <c r="V20" s="50">
        <f t="shared" si="5"/>
        <v>6</v>
      </c>
      <c r="AF20" s="60"/>
      <c r="AG20" s="60"/>
      <c r="AH20" s="60"/>
      <c r="AI20" s="60"/>
      <c r="AJ20" s="60"/>
      <c r="AK20" s="60"/>
      <c r="AL20" s="60"/>
      <c r="AM20" s="60"/>
      <c r="AN20" s="60"/>
      <c r="AO20" s="60"/>
      <c r="AP20" s="60"/>
      <c r="AQ20" s="60"/>
      <c r="AR20" s="60"/>
      <c r="AS20" s="60"/>
      <c r="AT20" s="60"/>
      <c r="AU20" s="60"/>
      <c r="AV20" s="60"/>
      <c r="AW20" s="60"/>
      <c r="AX20" s="60"/>
      <c r="AY20" s="60"/>
      <c r="AZ20" s="60"/>
      <c r="BA20" s="60"/>
      <c r="BB20" s="60"/>
    </row>
    <row r="21" spans="1:54" x14ac:dyDescent="0.25">
      <c r="A21" s="75">
        <f t="shared" si="1"/>
        <v>18</v>
      </c>
      <c r="B21" s="74" t="s">
        <v>7</v>
      </c>
      <c r="C21" s="47">
        <v>4</v>
      </c>
      <c r="D21" s="47"/>
      <c r="E21" s="47"/>
      <c r="F21" s="47"/>
      <c r="G21" s="47"/>
      <c r="H21" s="47"/>
      <c r="I21" s="47"/>
      <c r="J21" s="111"/>
      <c r="K21" s="46"/>
      <c r="M21" s="52"/>
      <c r="N21" s="121"/>
      <c r="O21" s="47"/>
      <c r="P21" s="111"/>
      <c r="Q21" s="111"/>
      <c r="R21" s="46"/>
      <c r="T21" s="91">
        <f t="shared" si="0"/>
        <v>0</v>
      </c>
      <c r="U21" s="50">
        <f t="shared" si="4"/>
        <v>96</v>
      </c>
      <c r="V21" s="50">
        <f t="shared" si="5"/>
        <v>4</v>
      </c>
      <c r="AF21" s="60"/>
      <c r="AG21" s="60"/>
      <c r="AH21" s="60"/>
      <c r="AI21" s="60"/>
      <c r="AJ21" s="60"/>
      <c r="AK21" s="60"/>
      <c r="AL21" s="60"/>
      <c r="AM21" s="60"/>
      <c r="AN21" s="60"/>
      <c r="AO21" s="60"/>
      <c r="AP21" s="60"/>
      <c r="AQ21" s="60"/>
      <c r="AR21" s="60"/>
      <c r="AS21" s="60"/>
      <c r="AT21" s="60"/>
      <c r="AU21" s="60"/>
      <c r="AV21" s="60"/>
      <c r="AW21" s="60"/>
      <c r="AX21" s="60"/>
      <c r="AY21" s="60"/>
      <c r="AZ21" s="60"/>
      <c r="BA21" s="60"/>
      <c r="BB21" s="60"/>
    </row>
    <row r="22" spans="1:54" s="61" customFormat="1" x14ac:dyDescent="0.25">
      <c r="A22" s="75">
        <f t="shared" si="1"/>
        <v>19</v>
      </c>
      <c r="B22" s="74" t="s">
        <v>65</v>
      </c>
      <c r="C22" s="47">
        <v>2</v>
      </c>
      <c r="D22" s="47"/>
      <c r="E22" s="47"/>
      <c r="F22" s="47"/>
      <c r="G22" s="47"/>
      <c r="H22" s="47"/>
      <c r="I22" s="47"/>
      <c r="J22" s="111"/>
      <c r="K22" s="46"/>
      <c r="L22" s="57"/>
      <c r="M22" s="52"/>
      <c r="N22" s="121"/>
      <c r="O22" s="47"/>
      <c r="P22" s="111"/>
      <c r="Q22" s="111"/>
      <c r="R22" s="46"/>
      <c r="S22" s="57"/>
      <c r="T22" s="91">
        <f t="shared" si="0"/>
        <v>0</v>
      </c>
      <c r="U22" s="50">
        <f t="shared" si="4"/>
        <v>48</v>
      </c>
      <c r="V22" s="50">
        <f t="shared" si="5"/>
        <v>2</v>
      </c>
      <c r="W22" s="57"/>
      <c r="X22" s="57"/>
      <c r="Y22" s="57"/>
      <c r="Z22" s="57"/>
      <c r="AA22" s="57"/>
      <c r="AB22" s="57"/>
      <c r="AC22" s="57"/>
      <c r="AD22" s="57"/>
      <c r="AE22" s="57"/>
      <c r="AF22" s="60"/>
      <c r="AG22" s="60"/>
      <c r="AH22" s="60"/>
      <c r="AI22" s="60"/>
      <c r="AJ22" s="60"/>
      <c r="AK22" s="60"/>
      <c r="AL22" s="60"/>
      <c r="AM22" s="60"/>
      <c r="AN22" s="60"/>
      <c r="AO22" s="60"/>
      <c r="AP22" s="60"/>
      <c r="AQ22" s="60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</row>
    <row r="23" spans="1:54" s="61" customFormat="1" x14ac:dyDescent="0.25">
      <c r="A23" s="75">
        <f t="shared" si="1"/>
        <v>20</v>
      </c>
      <c r="B23" s="74" t="s">
        <v>66</v>
      </c>
      <c r="C23" s="47">
        <v>48</v>
      </c>
      <c r="D23" s="47"/>
      <c r="E23" s="47"/>
      <c r="F23" s="47"/>
      <c r="G23" s="47"/>
      <c r="H23" s="47"/>
      <c r="I23" s="47"/>
      <c r="J23" s="111"/>
      <c r="K23" s="46"/>
      <c r="L23" s="57"/>
      <c r="M23" s="52"/>
      <c r="N23" s="121"/>
      <c r="O23" s="47"/>
      <c r="P23" s="111"/>
      <c r="Q23" s="111"/>
      <c r="R23" s="46"/>
      <c r="S23" s="57"/>
      <c r="T23" s="91">
        <f t="shared" si="0"/>
        <v>0</v>
      </c>
      <c r="U23" s="50">
        <f t="shared" si="4"/>
        <v>1152</v>
      </c>
      <c r="V23" s="50">
        <f t="shared" si="5"/>
        <v>48</v>
      </c>
      <c r="W23" s="57"/>
      <c r="X23" s="57"/>
      <c r="Y23" s="57"/>
      <c r="Z23" s="57"/>
      <c r="AA23" s="57"/>
      <c r="AB23" s="57"/>
      <c r="AC23" s="57"/>
      <c r="AD23" s="57"/>
      <c r="AE23" s="57"/>
      <c r="AF23" s="60"/>
      <c r="AG23" s="60"/>
      <c r="AH23" s="60"/>
      <c r="AI23" s="60"/>
      <c r="AJ23" s="60"/>
      <c r="AK23" s="60"/>
      <c r="AL23" s="60"/>
      <c r="AM23" s="60"/>
      <c r="AN23" s="60"/>
      <c r="AO23" s="60"/>
      <c r="AP23" s="60"/>
      <c r="AQ23" s="60"/>
      <c r="AR23" s="60"/>
      <c r="AS23" s="60"/>
      <c r="AT23" s="60"/>
      <c r="AU23" s="60"/>
      <c r="AV23" s="60"/>
      <c r="AW23" s="60"/>
      <c r="AX23" s="60"/>
      <c r="AY23" s="60"/>
      <c r="AZ23" s="60"/>
      <c r="BA23" s="60"/>
      <c r="BB23" s="60"/>
    </row>
    <row r="24" spans="1:54" x14ac:dyDescent="0.25">
      <c r="A24" s="75">
        <f t="shared" si="1"/>
        <v>21</v>
      </c>
      <c r="B24" s="74" t="s">
        <v>67</v>
      </c>
      <c r="C24" s="47">
        <v>7</v>
      </c>
      <c r="D24" s="47"/>
      <c r="E24" s="47"/>
      <c r="F24" s="47"/>
      <c r="G24" s="47"/>
      <c r="H24" s="47"/>
      <c r="I24" s="47"/>
      <c r="J24" s="111"/>
      <c r="K24" s="46"/>
      <c r="M24" s="52"/>
      <c r="N24" s="121"/>
      <c r="O24" s="47"/>
      <c r="P24" s="111"/>
      <c r="Q24" s="111"/>
      <c r="R24" s="46"/>
      <c r="T24" s="91">
        <f t="shared" si="0"/>
        <v>0</v>
      </c>
      <c r="U24" s="50">
        <f t="shared" si="4"/>
        <v>168</v>
      </c>
      <c r="V24" s="50">
        <f t="shared" si="5"/>
        <v>7</v>
      </c>
      <c r="AF24" s="60"/>
      <c r="AG24" s="60"/>
      <c r="AH24" s="60"/>
      <c r="AI24" s="60"/>
      <c r="AJ24" s="60"/>
      <c r="AK24" s="60"/>
      <c r="AL24" s="60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</row>
    <row r="25" spans="1:54" x14ac:dyDescent="0.25">
      <c r="A25" s="75">
        <f t="shared" si="1"/>
        <v>22</v>
      </c>
      <c r="B25" s="74" t="s">
        <v>9</v>
      </c>
      <c r="C25" s="47">
        <f>63+21</f>
        <v>84</v>
      </c>
      <c r="D25" s="47"/>
      <c r="E25" s="47"/>
      <c r="F25" s="47"/>
      <c r="G25" s="47"/>
      <c r="H25" s="47">
        <v>22</v>
      </c>
      <c r="I25" s="47">
        <v>1</v>
      </c>
      <c r="J25" s="111"/>
      <c r="K25" s="46"/>
      <c r="M25" s="52">
        <v>1</v>
      </c>
      <c r="N25" s="121"/>
      <c r="O25" s="47">
        <v>2</v>
      </c>
      <c r="P25" s="111"/>
      <c r="Q25" s="111">
        <v>2</v>
      </c>
      <c r="R25" s="46"/>
      <c r="T25" s="91">
        <f t="shared" si="0"/>
        <v>23</v>
      </c>
      <c r="U25" s="50">
        <f t="shared" si="4"/>
        <v>2159</v>
      </c>
      <c r="V25" s="50">
        <f t="shared" si="5"/>
        <v>89.958333333333329</v>
      </c>
      <c r="AY25" s="62" t="e">
        <f>#REF!-AY24</f>
        <v>#REF!</v>
      </c>
    </row>
    <row r="26" spans="1:54" s="61" customFormat="1" x14ac:dyDescent="0.25">
      <c r="A26" s="75">
        <f t="shared" si="1"/>
        <v>23</v>
      </c>
      <c r="B26" s="74" t="s">
        <v>11</v>
      </c>
      <c r="C26" s="47"/>
      <c r="D26" s="47"/>
      <c r="E26" s="47"/>
      <c r="F26" s="47"/>
      <c r="G26" s="47"/>
      <c r="H26" s="47"/>
      <c r="I26" s="47"/>
      <c r="J26" s="111"/>
      <c r="K26" s="46"/>
      <c r="L26" s="57"/>
      <c r="M26" s="52"/>
      <c r="N26" s="121"/>
      <c r="O26" s="47"/>
      <c r="P26" s="111"/>
      <c r="Q26" s="111"/>
      <c r="R26" s="46"/>
      <c r="S26" s="57"/>
      <c r="T26" s="91">
        <f t="shared" si="0"/>
        <v>0</v>
      </c>
      <c r="U26" s="50">
        <f t="shared" si="4"/>
        <v>0</v>
      </c>
      <c r="V26" s="50">
        <f t="shared" si="5"/>
        <v>0</v>
      </c>
      <c r="W26" s="57"/>
      <c r="X26" s="57"/>
      <c r="Y26" s="57"/>
      <c r="Z26" s="57"/>
      <c r="AA26" s="57"/>
      <c r="AB26" s="57"/>
      <c r="AC26" s="57"/>
      <c r="AD26" s="57"/>
      <c r="AE26" s="57"/>
    </row>
    <row r="27" spans="1:54" s="61" customFormat="1" x14ac:dyDescent="0.25">
      <c r="A27" s="75">
        <f t="shared" si="1"/>
        <v>24</v>
      </c>
      <c r="B27" s="74" t="s">
        <v>83</v>
      </c>
      <c r="C27" s="47"/>
      <c r="D27" s="47"/>
      <c r="E27" s="47"/>
      <c r="F27" s="47"/>
      <c r="G27" s="47"/>
      <c r="H27" s="47"/>
      <c r="I27" s="47"/>
      <c r="J27" s="111"/>
      <c r="K27" s="46"/>
      <c r="L27" s="57"/>
      <c r="M27" s="52"/>
      <c r="N27" s="121"/>
      <c r="O27" s="47"/>
      <c r="P27" s="111"/>
      <c r="Q27" s="111"/>
      <c r="R27" s="46"/>
      <c r="S27" s="57"/>
      <c r="T27" s="91"/>
      <c r="U27" s="50"/>
      <c r="V27" s="50"/>
      <c r="W27" s="57"/>
      <c r="X27" s="57"/>
      <c r="Y27" s="57"/>
      <c r="Z27" s="57"/>
      <c r="AA27" s="57"/>
      <c r="AB27" s="57"/>
      <c r="AC27" s="57"/>
      <c r="AD27" s="57"/>
      <c r="AE27" s="57"/>
    </row>
    <row r="28" spans="1:54" s="61" customFormat="1" x14ac:dyDescent="0.25">
      <c r="A28" s="75">
        <f t="shared" si="1"/>
        <v>25</v>
      </c>
      <c r="B28" s="74" t="s">
        <v>12</v>
      </c>
      <c r="C28" s="47">
        <v>33</v>
      </c>
      <c r="D28" s="47"/>
      <c r="E28" s="47"/>
      <c r="F28" s="47"/>
      <c r="G28" s="47"/>
      <c r="H28" s="47"/>
      <c r="I28" s="47"/>
      <c r="J28" s="111"/>
      <c r="K28" s="46"/>
      <c r="L28" s="57"/>
      <c r="M28" s="52">
        <v>10</v>
      </c>
      <c r="N28" s="121"/>
      <c r="O28" s="47">
        <v>4</v>
      </c>
      <c r="P28" s="111"/>
      <c r="Q28" s="111">
        <v>3</v>
      </c>
      <c r="R28" s="46"/>
      <c r="S28" s="57"/>
      <c r="T28" s="91">
        <f t="shared" si="0"/>
        <v>0</v>
      </c>
      <c r="U28" s="50">
        <f t="shared" si="4"/>
        <v>1200</v>
      </c>
      <c r="V28" s="50">
        <f t="shared" si="5"/>
        <v>50</v>
      </c>
      <c r="W28" s="57"/>
      <c r="X28" s="57"/>
      <c r="Y28" s="57"/>
      <c r="Z28" s="57"/>
      <c r="AA28" s="57"/>
      <c r="AB28" s="57"/>
      <c r="AC28" s="57"/>
      <c r="AD28" s="57"/>
      <c r="AE28" s="57"/>
    </row>
    <row r="29" spans="1:54" x14ac:dyDescent="0.25">
      <c r="A29" s="75">
        <f t="shared" si="1"/>
        <v>26</v>
      </c>
      <c r="B29" s="74" t="s">
        <v>14</v>
      </c>
      <c r="C29" s="47"/>
      <c r="D29" s="47"/>
      <c r="E29" s="47"/>
      <c r="F29" s="47"/>
      <c r="G29" s="47"/>
      <c r="H29" s="47"/>
      <c r="I29" s="47"/>
      <c r="J29" s="111"/>
      <c r="K29" s="46"/>
      <c r="M29" s="52"/>
      <c r="N29" s="121"/>
      <c r="O29" s="47"/>
      <c r="P29" s="111"/>
      <c r="Q29" s="111"/>
      <c r="R29" s="46"/>
      <c r="T29" s="91">
        <f t="shared" si="0"/>
        <v>0</v>
      </c>
      <c r="U29" s="50">
        <f t="shared" si="4"/>
        <v>0</v>
      </c>
      <c r="V29" s="50">
        <f t="shared" si="5"/>
        <v>0</v>
      </c>
    </row>
    <row r="30" spans="1:54" x14ac:dyDescent="0.25">
      <c r="A30" s="75">
        <f t="shared" si="1"/>
        <v>27</v>
      </c>
      <c r="B30" s="74" t="s">
        <v>16</v>
      </c>
      <c r="C30" s="47">
        <v>62</v>
      </c>
      <c r="D30" s="47"/>
      <c r="E30" s="47"/>
      <c r="F30" s="47"/>
      <c r="G30" s="47"/>
      <c r="H30" s="47"/>
      <c r="I30" s="47"/>
      <c r="J30" s="111"/>
      <c r="K30" s="46"/>
      <c r="M30" s="52"/>
      <c r="N30" s="121"/>
      <c r="O30" s="47">
        <v>1</v>
      </c>
      <c r="P30" s="111"/>
      <c r="Q30" s="111">
        <v>1</v>
      </c>
      <c r="R30" s="46"/>
      <c r="T30" s="91">
        <f t="shared" si="0"/>
        <v>0</v>
      </c>
      <c r="U30" s="50">
        <f t="shared" si="4"/>
        <v>1536</v>
      </c>
      <c r="V30" s="50">
        <f t="shared" si="5"/>
        <v>64</v>
      </c>
    </row>
    <row r="31" spans="1:54" x14ac:dyDescent="0.25">
      <c r="A31" s="75">
        <f t="shared" si="1"/>
        <v>28</v>
      </c>
      <c r="B31" s="74" t="s">
        <v>13</v>
      </c>
      <c r="C31" s="47"/>
      <c r="D31" s="47"/>
      <c r="E31" s="47"/>
      <c r="F31" s="47"/>
      <c r="G31" s="47"/>
      <c r="H31" s="47"/>
      <c r="I31" s="47"/>
      <c r="J31" s="111"/>
      <c r="K31" s="46"/>
      <c r="M31" s="52"/>
      <c r="N31" s="121"/>
      <c r="O31" s="47"/>
      <c r="P31" s="111"/>
      <c r="Q31" s="111"/>
      <c r="R31" s="46"/>
      <c r="T31" s="91">
        <f t="shared" si="0"/>
        <v>0</v>
      </c>
      <c r="U31" s="50">
        <f t="shared" si="4"/>
        <v>0</v>
      </c>
      <c r="V31" s="50">
        <f t="shared" si="5"/>
        <v>0</v>
      </c>
    </row>
    <row r="32" spans="1:54" x14ac:dyDescent="0.25">
      <c r="A32" s="75">
        <f t="shared" si="1"/>
        <v>29</v>
      </c>
      <c r="B32" s="74" t="s">
        <v>15</v>
      </c>
      <c r="C32" s="47"/>
      <c r="D32" s="47"/>
      <c r="E32" s="47"/>
      <c r="F32" s="47"/>
      <c r="G32" s="47"/>
      <c r="H32" s="47"/>
      <c r="I32" s="47"/>
      <c r="J32" s="111"/>
      <c r="K32" s="46"/>
      <c r="M32" s="52"/>
      <c r="N32" s="121"/>
      <c r="O32" s="47"/>
      <c r="P32" s="111"/>
      <c r="Q32" s="111"/>
      <c r="R32" s="46"/>
      <c r="T32" s="91">
        <f t="shared" si="0"/>
        <v>0</v>
      </c>
      <c r="U32" s="50">
        <f t="shared" si="4"/>
        <v>0</v>
      </c>
      <c r="V32" s="50">
        <f t="shared" si="5"/>
        <v>0</v>
      </c>
    </row>
    <row r="33" spans="1:23" x14ac:dyDescent="0.25">
      <c r="A33" s="75">
        <f t="shared" si="1"/>
        <v>30</v>
      </c>
      <c r="B33" s="74" t="s">
        <v>17</v>
      </c>
      <c r="C33" s="47"/>
      <c r="D33" s="47"/>
      <c r="E33" s="47"/>
      <c r="F33" s="47"/>
      <c r="G33" s="47"/>
      <c r="H33" s="47"/>
      <c r="I33" s="47"/>
      <c r="J33" s="111"/>
      <c r="K33" s="46"/>
      <c r="M33" s="52"/>
      <c r="N33" s="121"/>
      <c r="O33" s="47"/>
      <c r="P33" s="111"/>
      <c r="Q33" s="111"/>
      <c r="R33" s="46"/>
      <c r="T33" s="91">
        <f t="shared" si="0"/>
        <v>0</v>
      </c>
      <c r="U33" s="50">
        <f t="shared" si="4"/>
        <v>0</v>
      </c>
      <c r="V33" s="50">
        <f t="shared" si="5"/>
        <v>0</v>
      </c>
    </row>
    <row r="34" spans="1:23" x14ac:dyDescent="0.25">
      <c r="A34" s="75">
        <f t="shared" si="1"/>
        <v>31</v>
      </c>
      <c r="B34" s="74" t="s">
        <v>18</v>
      </c>
      <c r="C34" s="47">
        <f>19+8+72</f>
        <v>99</v>
      </c>
      <c r="D34" s="47"/>
      <c r="E34" s="47"/>
      <c r="F34" s="47"/>
      <c r="G34" s="47"/>
      <c r="H34" s="47">
        <v>16</v>
      </c>
      <c r="I34" s="47"/>
      <c r="J34" s="111"/>
      <c r="K34" s="46">
        <v>1</v>
      </c>
      <c r="M34" s="52">
        <v>5</v>
      </c>
      <c r="N34" s="121"/>
      <c r="O34" s="47">
        <v>2</v>
      </c>
      <c r="P34" s="111"/>
      <c r="Q34" s="111">
        <v>3</v>
      </c>
      <c r="R34" s="46"/>
      <c r="T34" s="91">
        <f t="shared" si="0"/>
        <v>17</v>
      </c>
      <c r="U34" s="50">
        <f t="shared" si="4"/>
        <v>2633</v>
      </c>
      <c r="V34" s="50">
        <f t="shared" si="5"/>
        <v>109.70833333333333</v>
      </c>
    </row>
    <row r="35" spans="1:23" hidden="1" x14ac:dyDescent="0.25">
      <c r="A35" s="75">
        <f t="shared" si="1"/>
        <v>32</v>
      </c>
      <c r="B35" s="74" t="s">
        <v>26</v>
      </c>
      <c r="C35" s="47"/>
      <c r="D35" s="47"/>
      <c r="E35" s="47"/>
      <c r="F35" s="47"/>
      <c r="G35" s="47"/>
      <c r="H35" s="47"/>
      <c r="I35" s="47"/>
      <c r="J35" s="111"/>
      <c r="K35" s="46"/>
      <c r="M35" s="52"/>
      <c r="N35" s="121"/>
      <c r="O35" s="47"/>
      <c r="P35" s="111"/>
      <c r="Q35" s="111"/>
      <c r="R35" s="46"/>
      <c r="T35" s="91">
        <f t="shared" si="0"/>
        <v>0</v>
      </c>
      <c r="U35" s="50">
        <f t="shared" si="4"/>
        <v>0</v>
      </c>
      <c r="V35" s="50">
        <f t="shared" si="5"/>
        <v>0</v>
      </c>
    </row>
    <row r="36" spans="1:23" x14ac:dyDescent="0.25">
      <c r="A36" s="75">
        <f t="shared" si="1"/>
        <v>33</v>
      </c>
      <c r="B36" s="74" t="s">
        <v>19</v>
      </c>
      <c r="C36" s="47"/>
      <c r="D36" s="47"/>
      <c r="E36" s="47"/>
      <c r="F36" s="47"/>
      <c r="G36" s="47"/>
      <c r="H36" s="47"/>
      <c r="I36" s="47"/>
      <c r="J36" s="111"/>
      <c r="K36" s="46"/>
      <c r="M36" s="52"/>
      <c r="N36" s="121"/>
      <c r="O36" s="47"/>
      <c r="P36" s="111"/>
      <c r="Q36" s="111"/>
      <c r="R36" s="46"/>
      <c r="T36" s="91">
        <f t="shared" si="0"/>
        <v>0</v>
      </c>
      <c r="U36" s="50">
        <f t="shared" si="4"/>
        <v>0</v>
      </c>
      <c r="V36" s="50">
        <f t="shared" si="5"/>
        <v>0</v>
      </c>
    </row>
    <row r="37" spans="1:23" ht="19.5" thickBot="1" x14ac:dyDescent="0.3">
      <c r="A37" s="75">
        <f t="shared" si="1"/>
        <v>34</v>
      </c>
      <c r="B37" s="94" t="s">
        <v>20</v>
      </c>
      <c r="C37" s="95">
        <f>2376+1944</f>
        <v>4320</v>
      </c>
      <c r="D37" s="95"/>
      <c r="E37" s="95"/>
      <c r="F37" s="95"/>
      <c r="G37" s="95"/>
      <c r="H37" s="95">
        <v>2</v>
      </c>
      <c r="I37" s="95"/>
      <c r="J37" s="110">
        <v>4</v>
      </c>
      <c r="K37" s="96">
        <v>2</v>
      </c>
      <c r="L37" s="102"/>
      <c r="M37" s="103">
        <v>108</v>
      </c>
      <c r="N37" s="120"/>
      <c r="O37" s="97">
        <v>34</v>
      </c>
      <c r="P37" s="113"/>
      <c r="Q37" s="113">
        <v>72</v>
      </c>
      <c r="R37" s="98"/>
      <c r="S37" s="102"/>
      <c r="T37" s="104">
        <f t="shared" si="0"/>
        <v>8</v>
      </c>
      <c r="U37" s="104">
        <f>C37*6+M37*6+O37*6+Q37*6+T37</f>
        <v>27212</v>
      </c>
      <c r="V37" s="104">
        <f>U37/6</f>
        <v>4535.333333333333</v>
      </c>
      <c r="W37" s="123"/>
    </row>
    <row r="38" spans="1:23" x14ac:dyDescent="0.25">
      <c r="A38" s="75">
        <f t="shared" si="1"/>
        <v>35</v>
      </c>
      <c r="B38" s="73" t="s">
        <v>21</v>
      </c>
      <c r="C38" s="47">
        <f>1+3</f>
        <v>4</v>
      </c>
      <c r="D38" s="47"/>
      <c r="E38" s="47"/>
      <c r="F38" s="47"/>
      <c r="G38" s="47"/>
      <c r="H38" s="47"/>
      <c r="I38" s="47"/>
      <c r="J38" s="111"/>
      <c r="K38" s="46"/>
      <c r="M38" s="52"/>
      <c r="N38" s="121"/>
      <c r="O38" s="47"/>
      <c r="P38" s="111"/>
      <c r="Q38" s="111"/>
      <c r="R38" s="46"/>
      <c r="T38" s="50">
        <f t="shared" si="0"/>
        <v>0</v>
      </c>
      <c r="U38" s="50">
        <f>C38*24+M38*24+O38*24+Q38*24+T38</f>
        <v>96</v>
      </c>
      <c r="V38" s="50">
        <f>U38/24</f>
        <v>4</v>
      </c>
    </row>
    <row r="39" spans="1:23" x14ac:dyDescent="0.25">
      <c r="A39" s="75">
        <f t="shared" si="1"/>
        <v>36</v>
      </c>
      <c r="B39" s="132" t="s">
        <v>73</v>
      </c>
      <c r="C39" s="133"/>
      <c r="D39" s="133"/>
      <c r="E39" s="133"/>
      <c r="F39" s="133"/>
      <c r="G39" s="133"/>
      <c r="H39" s="133"/>
      <c r="I39" s="133"/>
      <c r="J39" s="134"/>
      <c r="K39" s="135"/>
      <c r="M39" s="136"/>
      <c r="N39" s="137"/>
      <c r="O39" s="133"/>
      <c r="P39" s="134"/>
      <c r="Q39" s="134"/>
      <c r="R39" s="135"/>
      <c r="T39" s="138"/>
      <c r="U39" s="138"/>
      <c r="V39" s="138"/>
    </row>
    <row r="40" spans="1:23" ht="19.5" thickBot="1" x14ac:dyDescent="0.3">
      <c r="A40" s="75">
        <f t="shared" si="1"/>
        <v>37</v>
      </c>
      <c r="B40" s="94" t="s">
        <v>22</v>
      </c>
      <c r="C40" s="95">
        <f>2+693</f>
        <v>695</v>
      </c>
      <c r="D40" s="95"/>
      <c r="E40" s="95"/>
      <c r="F40" s="95"/>
      <c r="G40" s="95"/>
      <c r="H40" s="95">
        <v>9</v>
      </c>
      <c r="I40" s="95"/>
      <c r="J40" s="110"/>
      <c r="K40" s="96">
        <v>15</v>
      </c>
      <c r="L40" s="102"/>
      <c r="M40" s="103"/>
      <c r="N40" s="120"/>
      <c r="O40" s="97"/>
      <c r="P40" s="113"/>
      <c r="Q40" s="113">
        <v>2</v>
      </c>
      <c r="R40" s="98"/>
      <c r="S40" s="102"/>
      <c r="T40" s="104">
        <f t="shared" si="0"/>
        <v>24</v>
      </c>
      <c r="U40" s="104">
        <f>C40*24+M40*24+O40*24+Q40*24+T40</f>
        <v>16752</v>
      </c>
      <c r="V40" s="104">
        <f>U40/24</f>
        <v>698</v>
      </c>
    </row>
    <row r="41" spans="1:23" ht="19.5" thickBot="1" x14ac:dyDescent="0.3">
      <c r="A41" s="75">
        <f t="shared" si="1"/>
        <v>38</v>
      </c>
      <c r="B41" s="99" t="s">
        <v>23</v>
      </c>
      <c r="C41" s="100">
        <f>1632+25</f>
        <v>1657</v>
      </c>
      <c r="D41" s="100"/>
      <c r="E41" s="100"/>
      <c r="F41" s="100"/>
      <c r="G41" s="100"/>
      <c r="H41" s="100"/>
      <c r="I41" s="100"/>
      <c r="J41" s="112"/>
      <c r="K41" s="101"/>
      <c r="L41" s="105"/>
      <c r="M41" s="106"/>
      <c r="N41" s="122"/>
      <c r="O41" s="100">
        <v>6</v>
      </c>
      <c r="P41" s="112"/>
      <c r="Q41" s="112">
        <v>15</v>
      </c>
      <c r="R41" s="101"/>
      <c r="S41" s="105"/>
      <c r="T41" s="107">
        <f t="shared" si="0"/>
        <v>0</v>
      </c>
      <c r="U41" s="107">
        <f>C41*12+M41*12+O41*12+Q41*12+T41</f>
        <v>20136</v>
      </c>
      <c r="V41" s="107">
        <f>U41/12</f>
        <v>1678</v>
      </c>
    </row>
    <row r="42" spans="1:23" hidden="1" x14ac:dyDescent="0.25">
      <c r="A42" s="75">
        <f t="shared" si="1"/>
        <v>39</v>
      </c>
      <c r="B42" s="73" t="s">
        <v>31</v>
      </c>
      <c r="C42" s="47"/>
      <c r="D42" s="47"/>
      <c r="E42" s="47"/>
      <c r="F42" s="47"/>
      <c r="G42" s="47"/>
      <c r="H42" s="47"/>
      <c r="I42" s="47"/>
      <c r="J42" s="111"/>
      <c r="K42" s="46"/>
      <c r="M42" s="52"/>
      <c r="N42" s="121"/>
      <c r="O42" s="47"/>
      <c r="P42" s="111"/>
      <c r="Q42" s="111"/>
      <c r="R42" s="46"/>
      <c r="T42" s="50"/>
      <c r="U42" s="50"/>
      <c r="V42" s="50"/>
    </row>
    <row r="43" spans="1:23" ht="19.5" thickBot="1" x14ac:dyDescent="0.3">
      <c r="A43" s="75">
        <f t="shared" si="1"/>
        <v>40</v>
      </c>
      <c r="B43" s="94" t="s">
        <v>24</v>
      </c>
      <c r="C43" s="97">
        <f>6048+6048+864+5400+7128+46+1836</f>
        <v>27370</v>
      </c>
      <c r="D43" s="97"/>
      <c r="E43" s="97"/>
      <c r="F43" s="97"/>
      <c r="G43" s="97"/>
      <c r="H43" s="97">
        <v>1</v>
      </c>
      <c r="I43" s="97">
        <v>6</v>
      </c>
      <c r="J43" s="113">
        <f>9*6+5</f>
        <v>59</v>
      </c>
      <c r="K43" s="98">
        <f>75*6+4</f>
        <v>454</v>
      </c>
      <c r="L43" s="102"/>
      <c r="M43" s="103">
        <v>224</v>
      </c>
      <c r="N43" s="120"/>
      <c r="O43" s="97">
        <v>474</v>
      </c>
      <c r="P43" s="113"/>
      <c r="Q43" s="113">
        <v>411</v>
      </c>
      <c r="R43" s="98"/>
      <c r="S43" s="102"/>
      <c r="T43" s="104">
        <f t="shared" ref="T43" si="6">H43+I43+J43+K43+N43+P43+R43</f>
        <v>520</v>
      </c>
      <c r="U43" s="104">
        <f>C43*6+M43*6+O43*6+Q43*6+T43</f>
        <v>171394</v>
      </c>
      <c r="V43" s="104">
        <f>U43/6</f>
        <v>28565.666666666668</v>
      </c>
    </row>
    <row r="44" spans="1:23" hidden="1" x14ac:dyDescent="0.25">
      <c r="A44" s="75">
        <f t="shared" si="1"/>
        <v>41</v>
      </c>
      <c r="B44" s="73" t="s">
        <v>33</v>
      </c>
      <c r="C44" s="47"/>
      <c r="D44" s="47"/>
      <c r="E44" s="47"/>
      <c r="F44" s="47"/>
      <c r="G44" s="47"/>
      <c r="H44" s="47"/>
      <c r="I44" s="47"/>
      <c r="J44" s="111"/>
      <c r="K44" s="46"/>
      <c r="M44" s="52"/>
      <c r="N44" s="121"/>
      <c r="O44" s="47"/>
      <c r="P44" s="111"/>
      <c r="Q44" s="111"/>
      <c r="R44" s="46"/>
      <c r="T44" s="50"/>
      <c r="U44" s="50"/>
      <c r="V44" s="50"/>
    </row>
    <row r="45" spans="1:23" x14ac:dyDescent="0.25">
      <c r="A45" s="75">
        <f t="shared" si="1"/>
        <v>42</v>
      </c>
      <c r="B45" s="74" t="s">
        <v>25</v>
      </c>
      <c r="C45" s="47"/>
      <c r="D45" s="47"/>
      <c r="E45" s="47"/>
      <c r="F45" s="47"/>
      <c r="G45" s="47"/>
      <c r="H45" s="47"/>
      <c r="I45" s="47"/>
      <c r="J45" s="111"/>
      <c r="K45" s="46"/>
      <c r="M45" s="52"/>
      <c r="N45" s="121"/>
      <c r="O45" s="47"/>
      <c r="P45" s="111"/>
      <c r="Q45" s="111"/>
      <c r="R45" s="46"/>
      <c r="T45" s="50">
        <f t="shared" ref="T45:T54" si="7">H45+I45+J45+K45+N45+P45+R45</f>
        <v>0</v>
      </c>
      <c r="U45" s="50">
        <f>C45*24+M45*24+O45*24+Q45*24+T45</f>
        <v>0</v>
      </c>
      <c r="V45" s="50">
        <f>U45/24</f>
        <v>0</v>
      </c>
    </row>
    <row r="46" spans="1:23" x14ac:dyDescent="0.25">
      <c r="A46" s="75">
        <f t="shared" si="1"/>
        <v>43</v>
      </c>
      <c r="B46" s="74" t="s">
        <v>68</v>
      </c>
      <c r="C46" s="47"/>
      <c r="D46" s="47"/>
      <c r="E46" s="47"/>
      <c r="F46" s="47"/>
      <c r="G46" s="47"/>
      <c r="H46" s="47"/>
      <c r="I46" s="47"/>
      <c r="J46" s="111"/>
      <c r="K46" s="46"/>
      <c r="M46" s="52"/>
      <c r="N46" s="121"/>
      <c r="O46" s="47"/>
      <c r="P46" s="111"/>
      <c r="Q46" s="111"/>
      <c r="R46" s="46"/>
      <c r="T46" s="50">
        <f t="shared" si="7"/>
        <v>0</v>
      </c>
      <c r="U46" s="50">
        <f t="shared" ref="U46:U48" si="8">C46*24+M46*24+O46*24+Q46*24+T46</f>
        <v>0</v>
      </c>
      <c r="V46" s="50">
        <f t="shared" ref="V46:V54" si="9">U46/24</f>
        <v>0</v>
      </c>
    </row>
    <row r="47" spans="1:23" x14ac:dyDescent="0.25">
      <c r="A47" s="75">
        <f t="shared" si="1"/>
        <v>44</v>
      </c>
      <c r="B47" s="74" t="s">
        <v>26</v>
      </c>
      <c r="C47" s="47">
        <f>24+44+2268</f>
        <v>2336</v>
      </c>
      <c r="D47" s="47"/>
      <c r="E47" s="47"/>
      <c r="F47" s="47"/>
      <c r="G47" s="47"/>
      <c r="H47" s="47">
        <v>3</v>
      </c>
      <c r="I47" s="47"/>
      <c r="J47" s="111"/>
      <c r="K47" s="46">
        <f>1*6</f>
        <v>6</v>
      </c>
      <c r="M47" s="52">
        <v>10</v>
      </c>
      <c r="N47" s="121"/>
      <c r="O47" s="47">
        <v>8</v>
      </c>
      <c r="P47" s="111">
        <v>2</v>
      </c>
      <c r="Q47" s="111">
        <v>10</v>
      </c>
      <c r="R47" s="46"/>
      <c r="T47" s="50">
        <f t="shared" si="7"/>
        <v>11</v>
      </c>
      <c r="U47" s="50">
        <f>C47*6+M47*6+O47*6+Q47*6+T47</f>
        <v>14195</v>
      </c>
      <c r="V47" s="50">
        <f>U47/6</f>
        <v>2365.8333333333335</v>
      </c>
    </row>
    <row r="48" spans="1:23" x14ac:dyDescent="0.25">
      <c r="A48" s="75">
        <f t="shared" si="1"/>
        <v>45</v>
      </c>
      <c r="B48" s="74" t="s">
        <v>69</v>
      </c>
      <c r="C48" s="47"/>
      <c r="D48" s="47"/>
      <c r="E48" s="47"/>
      <c r="F48" s="47"/>
      <c r="G48" s="47"/>
      <c r="H48" s="47"/>
      <c r="I48" s="47"/>
      <c r="J48" s="111"/>
      <c r="K48" s="46"/>
      <c r="M48" s="52"/>
      <c r="N48" s="121"/>
      <c r="O48" s="47"/>
      <c r="P48" s="111"/>
      <c r="Q48" s="111"/>
      <c r="R48" s="46"/>
      <c r="T48" s="50">
        <f t="shared" si="7"/>
        <v>0</v>
      </c>
      <c r="U48" s="50">
        <f t="shared" si="8"/>
        <v>0</v>
      </c>
      <c r="V48" s="50">
        <f t="shared" si="9"/>
        <v>0</v>
      </c>
    </row>
    <row r="49" spans="1:22" x14ac:dyDescent="0.25">
      <c r="A49" s="75">
        <f t="shared" si="1"/>
        <v>46</v>
      </c>
      <c r="B49" s="74" t="s">
        <v>28</v>
      </c>
      <c r="C49" s="47"/>
      <c r="D49" s="47"/>
      <c r="E49" s="47"/>
      <c r="F49" s="47"/>
      <c r="G49" s="47"/>
      <c r="H49" s="47"/>
      <c r="I49" s="47"/>
      <c r="J49" s="111"/>
      <c r="K49" s="46"/>
      <c r="M49" s="52"/>
      <c r="N49" s="121"/>
      <c r="O49" s="47"/>
      <c r="P49" s="111"/>
      <c r="Q49" s="111"/>
      <c r="R49" s="46"/>
      <c r="T49" s="50">
        <f t="shared" ref="T49:T50" si="10">H49+I49+J49+K49+N49+P49+R49</f>
        <v>0</v>
      </c>
      <c r="U49" s="50">
        <f t="shared" ref="U49:U50" si="11">C49*24+M49*24+O49*24+Q49*24+T49</f>
        <v>0</v>
      </c>
      <c r="V49" s="50">
        <f t="shared" ref="V49:V50" si="12">U49/24</f>
        <v>0</v>
      </c>
    </row>
    <row r="50" spans="1:22" x14ac:dyDescent="0.25">
      <c r="A50" s="75">
        <f t="shared" si="1"/>
        <v>47</v>
      </c>
      <c r="B50" s="74" t="s">
        <v>70</v>
      </c>
      <c r="C50" s="47"/>
      <c r="D50" s="47"/>
      <c r="E50" s="47"/>
      <c r="F50" s="47"/>
      <c r="G50" s="47"/>
      <c r="H50" s="47"/>
      <c r="I50" s="47"/>
      <c r="J50" s="111"/>
      <c r="K50" s="46"/>
      <c r="M50" s="52"/>
      <c r="N50" s="121"/>
      <c r="O50" s="47"/>
      <c r="P50" s="111"/>
      <c r="Q50" s="111"/>
      <c r="R50" s="46"/>
      <c r="T50" s="50">
        <f t="shared" si="10"/>
        <v>0</v>
      </c>
      <c r="U50" s="50">
        <f t="shared" si="11"/>
        <v>0</v>
      </c>
      <c r="V50" s="50">
        <f t="shared" si="12"/>
        <v>0</v>
      </c>
    </row>
    <row r="51" spans="1:22" x14ac:dyDescent="0.25">
      <c r="A51" s="75">
        <f t="shared" si="1"/>
        <v>48</v>
      </c>
      <c r="B51" s="74" t="s">
        <v>29</v>
      </c>
      <c r="C51" s="47">
        <v>34</v>
      </c>
      <c r="D51" s="47"/>
      <c r="E51" s="47"/>
      <c r="F51" s="47"/>
      <c r="G51" s="47"/>
      <c r="H51" s="47"/>
      <c r="I51" s="47"/>
      <c r="J51" s="111"/>
      <c r="K51" s="46"/>
      <c r="M51" s="52"/>
      <c r="N51" s="121"/>
      <c r="O51" s="47"/>
      <c r="P51" s="111"/>
      <c r="Q51" s="111"/>
      <c r="R51" s="46"/>
      <c r="T51" s="50">
        <f t="shared" ref="T51" si="13">H51+I51+J51+K51+N51+P51+R51</f>
        <v>0</v>
      </c>
      <c r="U51" s="50">
        <f>C51*6+M51*6+O51*6+Q51*6+T51</f>
        <v>204</v>
      </c>
      <c r="V51" s="50">
        <f>U51/6</f>
        <v>34</v>
      </c>
    </row>
    <row r="52" spans="1:22" x14ac:dyDescent="0.25">
      <c r="A52" s="75">
        <f t="shared" si="1"/>
        <v>49</v>
      </c>
      <c r="B52" s="74" t="s">
        <v>30</v>
      </c>
      <c r="C52" s="47"/>
      <c r="D52" s="47"/>
      <c r="E52" s="47"/>
      <c r="F52" s="47"/>
      <c r="G52" s="47"/>
      <c r="H52" s="47"/>
      <c r="I52" s="47"/>
      <c r="J52" s="111"/>
      <c r="K52" s="46"/>
      <c r="M52" s="52"/>
      <c r="N52" s="121"/>
      <c r="O52" s="47"/>
      <c r="P52" s="111"/>
      <c r="Q52" s="111"/>
      <c r="R52" s="46"/>
      <c r="T52" s="50">
        <f t="shared" si="7"/>
        <v>0</v>
      </c>
      <c r="U52" s="50">
        <f t="shared" ref="U52" si="14">C52*24+M52*24+O52*24+Q52*24+T52</f>
        <v>0</v>
      </c>
      <c r="V52" s="50">
        <f t="shared" si="9"/>
        <v>0</v>
      </c>
    </row>
    <row r="53" spans="1:22" x14ac:dyDescent="0.25">
      <c r="A53" s="75">
        <f t="shared" si="1"/>
        <v>50</v>
      </c>
      <c r="B53" s="74" t="s">
        <v>75</v>
      </c>
      <c r="C53" s="47">
        <v>2</v>
      </c>
      <c r="D53" s="47"/>
      <c r="E53" s="47"/>
      <c r="F53" s="47"/>
      <c r="G53" s="47"/>
      <c r="H53" s="47"/>
      <c r="I53" s="47"/>
      <c r="J53" s="111"/>
      <c r="K53" s="46"/>
      <c r="M53" s="52"/>
      <c r="N53" s="121"/>
      <c r="O53" s="47"/>
      <c r="P53" s="111"/>
      <c r="Q53" s="111"/>
      <c r="R53" s="46"/>
      <c r="T53" s="50">
        <f t="shared" ref="T53" si="15">H53+I53+J53+K53+N53+P53+R53</f>
        <v>0</v>
      </c>
      <c r="U53" s="50">
        <f t="shared" ref="U53" si="16">C53*24+M53*24+O53*24+Q53*24+T53</f>
        <v>48</v>
      </c>
      <c r="V53" s="50">
        <f t="shared" ref="V53" si="17">U53/24</f>
        <v>2</v>
      </c>
    </row>
    <row r="54" spans="1:22" x14ac:dyDescent="0.25">
      <c r="A54" s="75">
        <f t="shared" si="1"/>
        <v>51</v>
      </c>
      <c r="B54" s="74"/>
      <c r="C54" s="47"/>
      <c r="D54" s="47"/>
      <c r="E54" s="47"/>
      <c r="F54" s="47"/>
      <c r="G54" s="47"/>
      <c r="H54" s="47"/>
      <c r="I54" s="47"/>
      <c r="J54" s="111"/>
      <c r="K54" s="46"/>
      <c r="M54" s="52"/>
      <c r="N54" s="121"/>
      <c r="O54" s="47"/>
      <c r="P54" s="111"/>
      <c r="Q54" s="111"/>
      <c r="R54" s="46"/>
      <c r="T54" s="50">
        <f t="shared" si="7"/>
        <v>0</v>
      </c>
      <c r="U54" s="50">
        <f t="shared" ref="U54" si="18">C54*24+M54*24+O54*24+Q54*24+T54</f>
        <v>0</v>
      </c>
      <c r="V54" s="50">
        <f t="shared" si="9"/>
        <v>0</v>
      </c>
    </row>
    <row r="55" spans="1:22" x14ac:dyDescent="0.25">
      <c r="A55" s="75">
        <f t="shared" si="1"/>
        <v>52</v>
      </c>
      <c r="B55" s="74"/>
      <c r="C55" s="47"/>
      <c r="D55" s="47"/>
      <c r="E55" s="47"/>
      <c r="F55" s="47"/>
      <c r="G55" s="47"/>
      <c r="H55" s="47"/>
      <c r="I55" s="47"/>
      <c r="J55" s="111"/>
      <c r="K55" s="46"/>
      <c r="M55" s="52"/>
      <c r="N55" s="121"/>
      <c r="O55" s="47"/>
      <c r="P55" s="111"/>
      <c r="Q55" s="111"/>
      <c r="R55" s="46"/>
      <c r="T55" s="50"/>
      <c r="U55" s="50"/>
      <c r="V55" s="50"/>
    </row>
    <row r="56" spans="1:22" x14ac:dyDescent="0.25">
      <c r="A56" s="75">
        <f t="shared" si="1"/>
        <v>53</v>
      </c>
      <c r="B56" s="74"/>
      <c r="C56" s="47"/>
      <c r="D56" s="47"/>
      <c r="E56" s="47"/>
      <c r="F56" s="47"/>
      <c r="G56" s="47"/>
      <c r="H56" s="47"/>
      <c r="I56" s="47"/>
      <c r="J56" s="111"/>
      <c r="K56" s="46"/>
      <c r="M56" s="52"/>
      <c r="N56" s="121"/>
      <c r="O56" s="47"/>
      <c r="P56" s="111"/>
      <c r="Q56" s="111"/>
      <c r="R56" s="46"/>
      <c r="T56" s="50"/>
      <c r="U56" s="50"/>
      <c r="V56" s="50"/>
    </row>
    <row r="57" spans="1:22" x14ac:dyDescent="0.25">
      <c r="A57" s="75">
        <f t="shared" si="1"/>
        <v>54</v>
      </c>
      <c r="B57" s="74"/>
      <c r="C57" s="47"/>
      <c r="D57" s="47"/>
      <c r="E57" s="47"/>
      <c r="F57" s="47"/>
      <c r="G57" s="47"/>
      <c r="H57" s="47"/>
      <c r="I57" s="47"/>
      <c r="J57" s="111"/>
      <c r="K57" s="46"/>
      <c r="M57" s="52"/>
      <c r="N57" s="121"/>
      <c r="O57" s="47"/>
      <c r="P57" s="111"/>
      <c r="Q57" s="111"/>
      <c r="R57" s="46"/>
      <c r="T57" s="50"/>
      <c r="U57" s="50"/>
      <c r="V57" s="50"/>
    </row>
    <row r="58" spans="1:22" s="63" customFormat="1" ht="19.5" thickBot="1" x14ac:dyDescent="0.3">
      <c r="B58" s="77" t="s">
        <v>60</v>
      </c>
      <c r="C58" s="49">
        <f>SUM(C7:C57)</f>
        <v>40468</v>
      </c>
      <c r="D58" s="49"/>
      <c r="E58" s="49"/>
      <c r="F58" s="49">
        <f t="shared" ref="F58:K58" si="19">SUM(F7:F57)</f>
        <v>0</v>
      </c>
      <c r="G58" s="49">
        <f t="shared" si="19"/>
        <v>0</v>
      </c>
      <c r="H58" s="49">
        <f t="shared" si="19"/>
        <v>92</v>
      </c>
      <c r="I58" s="54">
        <f t="shared" si="19"/>
        <v>8</v>
      </c>
      <c r="J58" s="54">
        <f t="shared" si="19"/>
        <v>63</v>
      </c>
      <c r="K58" s="54">
        <f t="shared" si="19"/>
        <v>486</v>
      </c>
      <c r="M58" s="53">
        <f t="shared" ref="M58:R58" si="20">SUM(M7:M57)</f>
        <v>372</v>
      </c>
      <c r="N58" s="53">
        <f t="shared" si="20"/>
        <v>11</v>
      </c>
      <c r="O58" s="53">
        <f t="shared" si="20"/>
        <v>549</v>
      </c>
      <c r="P58" s="53">
        <f t="shared" si="20"/>
        <v>2</v>
      </c>
      <c r="Q58" s="53">
        <f t="shared" si="20"/>
        <v>537</v>
      </c>
      <c r="R58" s="53">
        <f t="shared" si="20"/>
        <v>16</v>
      </c>
      <c r="S58" s="57"/>
      <c r="T58" s="51">
        <f>SUM(T7:T57)</f>
        <v>678</v>
      </c>
      <c r="U58" s="51">
        <f>SUM(U7:U57)</f>
        <v>349368</v>
      </c>
      <c r="V58" s="51">
        <f>SUM(V7:V57)</f>
        <v>42021.625000000007</v>
      </c>
    </row>
    <row r="59" spans="1:22" ht="7.5" customHeight="1" thickBot="1" x14ac:dyDescent="0.3"/>
    <row r="60" spans="1:22" ht="19.5" thickBot="1" x14ac:dyDescent="0.3">
      <c r="B60" s="78" t="s">
        <v>39</v>
      </c>
      <c r="C60" s="191" t="s">
        <v>49</v>
      </c>
      <c r="D60" s="192"/>
      <c r="E60" s="192"/>
      <c r="F60" s="192"/>
      <c r="G60" s="192"/>
      <c r="H60" s="192"/>
      <c r="I60" s="192"/>
      <c r="J60" s="192"/>
      <c r="K60" s="193"/>
      <c r="U60" s="72" t="s">
        <v>62</v>
      </c>
    </row>
    <row r="61" spans="1:22" x14ac:dyDescent="0.25">
      <c r="B61" s="79" t="s">
        <v>18</v>
      </c>
      <c r="C61" s="67"/>
      <c r="D61" s="67"/>
      <c r="E61" s="67"/>
      <c r="F61" s="67"/>
      <c r="G61" s="67"/>
      <c r="H61" s="67"/>
      <c r="I61" s="67"/>
      <c r="J61" s="114"/>
      <c r="K61" s="68"/>
      <c r="U61" s="55"/>
    </row>
    <row r="62" spans="1:22" x14ac:dyDescent="0.25">
      <c r="B62" s="80" t="s">
        <v>55</v>
      </c>
      <c r="C62" s="48"/>
      <c r="D62" s="48"/>
      <c r="E62" s="48"/>
      <c r="F62" s="48"/>
      <c r="G62" s="48"/>
      <c r="H62" s="48"/>
      <c r="I62" s="48"/>
      <c r="J62" s="109"/>
      <c r="K62" s="69"/>
      <c r="U62" s="50"/>
    </row>
    <row r="63" spans="1:22" ht="19.5" thickBot="1" x14ac:dyDescent="0.3">
      <c r="B63" s="81" t="s">
        <v>54</v>
      </c>
      <c r="C63" s="70"/>
      <c r="D63" s="70"/>
      <c r="E63" s="70"/>
      <c r="F63" s="70"/>
      <c r="G63" s="70"/>
      <c r="H63" s="70"/>
      <c r="I63" s="70"/>
      <c r="J63" s="115"/>
      <c r="K63" s="71"/>
      <c r="U63" s="56"/>
    </row>
    <row r="64" spans="1:22" ht="7.5" customHeight="1" thickBot="1" x14ac:dyDescent="0.3"/>
    <row r="65" spans="2:21" x14ac:dyDescent="0.25">
      <c r="B65" s="79" t="s">
        <v>56</v>
      </c>
      <c r="C65" s="67"/>
      <c r="D65" s="67"/>
      <c r="E65" s="67"/>
      <c r="F65" s="67"/>
      <c r="G65" s="67"/>
      <c r="H65" s="67"/>
      <c r="I65" s="67"/>
      <c r="J65" s="114"/>
      <c r="K65" s="68"/>
      <c r="U65" s="55"/>
    </row>
    <row r="66" spans="2:21" x14ac:dyDescent="0.25">
      <c r="B66" s="80" t="s">
        <v>55</v>
      </c>
      <c r="C66" s="48"/>
      <c r="D66" s="48"/>
      <c r="E66" s="48"/>
      <c r="F66" s="48"/>
      <c r="G66" s="48"/>
      <c r="H66" s="48"/>
      <c r="I66" s="48"/>
      <c r="J66" s="109"/>
      <c r="K66" s="69"/>
      <c r="U66" s="50"/>
    </row>
    <row r="67" spans="2:21" ht="19.5" thickBot="1" x14ac:dyDescent="0.3">
      <c r="B67" s="81" t="s">
        <v>54</v>
      </c>
      <c r="C67" s="70"/>
      <c r="D67" s="70"/>
      <c r="E67" s="70"/>
      <c r="F67" s="70"/>
      <c r="G67" s="70"/>
      <c r="H67" s="70"/>
      <c r="I67" s="70"/>
      <c r="J67" s="115"/>
      <c r="K67" s="71"/>
      <c r="U67" s="56"/>
    </row>
    <row r="68" spans="2:21" ht="7.5" customHeight="1" thickBot="1" x14ac:dyDescent="0.3"/>
    <row r="69" spans="2:21" x14ac:dyDescent="0.25">
      <c r="B69" s="79" t="s">
        <v>41</v>
      </c>
      <c r="C69" s="67"/>
      <c r="D69" s="67"/>
      <c r="E69" s="67"/>
      <c r="F69" s="67"/>
      <c r="G69" s="67"/>
      <c r="H69" s="67"/>
      <c r="I69" s="67"/>
      <c r="J69" s="114"/>
      <c r="K69" s="68"/>
      <c r="U69" s="55"/>
    </row>
    <row r="70" spans="2:21" x14ac:dyDescent="0.25">
      <c r="B70" s="80" t="s">
        <v>55</v>
      </c>
      <c r="C70" s="48"/>
      <c r="D70" s="48"/>
      <c r="E70" s="48"/>
      <c r="F70" s="48"/>
      <c r="G70" s="48"/>
      <c r="H70" s="48"/>
      <c r="I70" s="48"/>
      <c r="J70" s="109"/>
      <c r="K70" s="69"/>
      <c r="U70" s="50"/>
    </row>
    <row r="71" spans="2:21" ht="19.5" thickBot="1" x14ac:dyDescent="0.3">
      <c r="B71" s="81" t="s">
        <v>54</v>
      </c>
      <c r="C71" s="70"/>
      <c r="D71" s="70"/>
      <c r="E71" s="70"/>
      <c r="F71" s="70"/>
      <c r="G71" s="70"/>
      <c r="H71" s="70"/>
      <c r="I71" s="70"/>
      <c r="J71" s="115"/>
      <c r="K71" s="71"/>
      <c r="U71" s="56"/>
    </row>
    <row r="72" spans="2:21" ht="7.5" customHeight="1" thickBot="1" x14ac:dyDescent="0.3"/>
    <row r="73" spans="2:21" x14ac:dyDescent="0.25">
      <c r="B73" s="79" t="s">
        <v>57</v>
      </c>
      <c r="C73" s="67"/>
      <c r="D73" s="67"/>
      <c r="E73" s="67"/>
      <c r="F73" s="67"/>
      <c r="G73" s="67"/>
      <c r="H73" s="67"/>
      <c r="I73" s="67"/>
      <c r="J73" s="114"/>
      <c r="K73" s="68"/>
      <c r="U73" s="55"/>
    </row>
    <row r="74" spans="2:21" x14ac:dyDescent="0.25">
      <c r="B74" s="80" t="s">
        <v>55</v>
      </c>
      <c r="C74" s="48"/>
      <c r="D74" s="48"/>
      <c r="E74" s="48"/>
      <c r="F74" s="48"/>
      <c r="G74" s="48"/>
      <c r="H74" s="48"/>
      <c r="I74" s="48"/>
      <c r="J74" s="109"/>
      <c r="K74" s="69"/>
      <c r="U74" s="50"/>
    </row>
    <row r="75" spans="2:21" ht="19.5" thickBot="1" x14ac:dyDescent="0.3">
      <c r="B75" s="81" t="s">
        <v>54</v>
      </c>
      <c r="C75" s="70"/>
      <c r="D75" s="70"/>
      <c r="E75" s="70"/>
      <c r="F75" s="70"/>
      <c r="G75" s="70"/>
      <c r="H75" s="70"/>
      <c r="I75" s="70"/>
      <c r="J75" s="115"/>
      <c r="K75" s="71"/>
      <c r="U75" s="56"/>
    </row>
    <row r="76" spans="2:21" ht="7.5" customHeight="1" thickBot="1" x14ac:dyDescent="0.3"/>
    <row r="77" spans="2:21" x14ac:dyDescent="0.25">
      <c r="B77" s="79" t="s">
        <v>58</v>
      </c>
      <c r="C77" s="67"/>
      <c r="D77" s="67"/>
      <c r="E77" s="67"/>
      <c r="F77" s="67"/>
      <c r="G77" s="67"/>
      <c r="H77" s="67"/>
      <c r="I77" s="67"/>
      <c r="J77" s="114"/>
      <c r="K77" s="68"/>
      <c r="U77" s="55"/>
    </row>
    <row r="78" spans="2:21" x14ac:dyDescent="0.25">
      <c r="B78" s="80" t="s">
        <v>55</v>
      </c>
      <c r="C78" s="48"/>
      <c r="D78" s="48"/>
      <c r="E78" s="48"/>
      <c r="F78" s="48"/>
      <c r="G78" s="48"/>
      <c r="H78" s="48"/>
      <c r="I78" s="48"/>
      <c r="J78" s="109"/>
      <c r="K78" s="69"/>
      <c r="U78" s="50"/>
    </row>
    <row r="79" spans="2:21" ht="19.5" thickBot="1" x14ac:dyDescent="0.3">
      <c r="B79" s="81" t="s">
        <v>54</v>
      </c>
      <c r="C79" s="70"/>
      <c r="D79" s="70"/>
      <c r="E79" s="70"/>
      <c r="F79" s="70"/>
      <c r="G79" s="70"/>
      <c r="H79" s="70"/>
      <c r="I79" s="70"/>
      <c r="J79" s="115"/>
      <c r="K79" s="71"/>
      <c r="U79" s="56"/>
    </row>
    <row r="80" spans="2:21" ht="7.5" customHeight="1" thickBot="1" x14ac:dyDescent="0.3"/>
    <row r="81" spans="2:21" ht="19.5" thickBot="1" x14ac:dyDescent="0.3">
      <c r="B81" s="78" t="s">
        <v>59</v>
      </c>
      <c r="C81" s="65"/>
      <c r="D81" s="65"/>
      <c r="E81" s="65"/>
      <c r="F81" s="65"/>
      <c r="G81" s="65"/>
      <c r="H81" s="65"/>
      <c r="I81" s="65"/>
      <c r="J81" s="116"/>
      <c r="K81" s="66"/>
      <c r="U81" s="64"/>
    </row>
  </sheetData>
  <mergeCells count="7">
    <mergeCell ref="V4:V5"/>
    <mergeCell ref="J5:K5"/>
    <mergeCell ref="C60:K60"/>
    <mergeCell ref="I1:U1"/>
    <mergeCell ref="C4:K4"/>
    <mergeCell ref="T4:T5"/>
    <mergeCell ref="U4:U5"/>
  </mergeCells>
  <printOptions horizontalCentered="1" verticalCentered="1"/>
  <pageMargins left="0.19685039370078741" right="0.19685039370078741" top="0.19685039370078741" bottom="0.19685039370078741" header="0.19685039370078741" footer="0.19685039370078741"/>
  <pageSetup paperSize="14" scale="70" orientation="portrait" horizontalDpi="360" verticalDpi="360" r:id="rId1"/>
  <colBreaks count="1" manualBreakCount="1">
    <brk id="24" max="80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79239-8777-43F5-9407-4159B48ED3EF}">
  <sheetPr>
    <pageSetUpPr fitToPage="1"/>
  </sheetPr>
  <dimension ref="A1:BB81"/>
  <sheetViews>
    <sheetView topLeftCell="J1" zoomScaleNormal="100" zoomScaleSheetLayoutView="40" workbookViewId="0">
      <selection activeCell="V7" sqref="V7"/>
    </sheetView>
  </sheetViews>
  <sheetFormatPr defaultColWidth="9.140625" defaultRowHeight="18.75" x14ac:dyDescent="0.25"/>
  <cols>
    <col min="1" max="1" width="4.140625" style="57" bestFit="1" customWidth="1"/>
    <col min="2" max="2" width="12.28515625" style="76" customWidth="1"/>
    <col min="3" max="6" width="10" style="57" customWidth="1"/>
    <col min="7" max="7" width="6.85546875" style="57" customWidth="1"/>
    <col min="8" max="8" width="6.7109375" style="57" customWidth="1"/>
    <col min="9" max="9" width="5.5703125" style="57" bestFit="1" customWidth="1"/>
    <col min="10" max="10" width="6.85546875" style="57" customWidth="1"/>
    <col min="11" max="11" width="5.5703125" style="57" bestFit="1" customWidth="1"/>
    <col min="12" max="12" width="1.42578125" style="57" customWidth="1"/>
    <col min="13" max="13" width="10" style="57" customWidth="1"/>
    <col min="14" max="14" width="5.5703125" style="57" bestFit="1" customWidth="1"/>
    <col min="15" max="15" width="10" style="57" customWidth="1"/>
    <col min="16" max="16" width="5.5703125" style="57" customWidth="1"/>
    <col min="17" max="17" width="10" style="57" customWidth="1"/>
    <col min="18" max="18" width="5.5703125" style="57" bestFit="1" customWidth="1"/>
    <col min="19" max="19" width="1.42578125" style="57" customWidth="1"/>
    <col min="20" max="20" width="12.5703125" style="57" bestFit="1" customWidth="1"/>
    <col min="21" max="21" width="14.28515625" style="57" customWidth="1"/>
    <col min="22" max="22" width="19.42578125" style="57" bestFit="1" customWidth="1"/>
    <col min="23" max="49" width="7.28515625" style="57" customWidth="1"/>
    <col min="50" max="50" width="1.5703125" style="57" customWidth="1"/>
    <col min="51" max="51" width="9.42578125" style="57" customWidth="1"/>
    <col min="52" max="52" width="1.28515625" style="57" customWidth="1"/>
    <col min="53" max="53" width="12.7109375" style="57" bestFit="1" customWidth="1"/>
    <col min="54" max="54" width="10.28515625" style="57" bestFit="1" customWidth="1"/>
    <col min="55" max="16384" width="9.140625" style="57"/>
  </cols>
  <sheetData>
    <row r="1" spans="1:54" ht="15" customHeight="1" x14ac:dyDescent="0.25">
      <c r="B1" s="75" t="s">
        <v>51</v>
      </c>
      <c r="I1" s="194" t="s">
        <v>53</v>
      </c>
      <c r="J1" s="194"/>
      <c r="K1" s="194"/>
      <c r="L1" s="194"/>
      <c r="M1" s="194"/>
      <c r="N1" s="194"/>
      <c r="O1" s="194"/>
      <c r="P1" s="194"/>
      <c r="Q1" s="194"/>
      <c r="R1" s="194"/>
      <c r="S1" s="194"/>
      <c r="T1" s="194"/>
      <c r="U1" s="194"/>
    </row>
    <row r="2" spans="1:54" x14ac:dyDescent="0.25">
      <c r="B2" s="76" t="s">
        <v>93</v>
      </c>
    </row>
    <row r="3" spans="1:54" ht="19.5" thickBot="1" x14ac:dyDescent="0.3"/>
    <row r="4" spans="1:54" s="58" customFormat="1" ht="15.75" x14ac:dyDescent="0.25">
      <c r="B4" s="93" t="s">
        <v>63</v>
      </c>
      <c r="C4" s="189" t="s">
        <v>49</v>
      </c>
      <c r="D4" s="189"/>
      <c r="E4" s="189"/>
      <c r="F4" s="189"/>
      <c r="G4" s="189"/>
      <c r="H4" s="189"/>
      <c r="I4" s="189"/>
      <c r="J4" s="199"/>
      <c r="K4" s="190"/>
      <c r="M4" s="82" t="s">
        <v>0</v>
      </c>
      <c r="N4" s="117" t="s">
        <v>72</v>
      </c>
      <c r="O4" s="84" t="s">
        <v>45</v>
      </c>
      <c r="P4" s="117" t="s">
        <v>72</v>
      </c>
      <c r="Q4" s="85" t="s">
        <v>46</v>
      </c>
      <c r="R4" s="117" t="s">
        <v>72</v>
      </c>
      <c r="S4" s="57"/>
      <c r="T4" s="200" t="s">
        <v>80</v>
      </c>
      <c r="U4" s="202" t="s">
        <v>79</v>
      </c>
      <c r="V4" s="195" t="s">
        <v>78</v>
      </c>
      <c r="AF4" s="59"/>
      <c r="AG4" s="59"/>
      <c r="AH4" s="59"/>
      <c r="AI4" s="59"/>
      <c r="AJ4" s="59"/>
      <c r="AK4" s="59"/>
      <c r="AL4" s="59"/>
      <c r="AM4" s="59"/>
      <c r="AN4" s="59"/>
      <c r="AO4" s="59"/>
      <c r="AP4" s="59"/>
      <c r="AQ4" s="59"/>
      <c r="AR4" s="59"/>
      <c r="AS4" s="59"/>
      <c r="AT4" s="59"/>
      <c r="AU4" s="59"/>
      <c r="AV4" s="59"/>
      <c r="AW4" s="59"/>
      <c r="AX4" s="59"/>
      <c r="AY4" s="59"/>
      <c r="AZ4" s="59"/>
      <c r="BA4" s="59"/>
      <c r="BB4" s="59"/>
    </row>
    <row r="5" spans="1:54" s="58" customFormat="1" ht="15.75" x14ac:dyDescent="0.25">
      <c r="B5" s="87"/>
      <c r="C5" s="92"/>
      <c r="D5" s="92"/>
      <c r="E5" s="92"/>
      <c r="F5" s="92"/>
      <c r="G5" s="92"/>
      <c r="H5" s="92" t="s">
        <v>76</v>
      </c>
      <c r="I5" s="92" t="s">
        <v>71</v>
      </c>
      <c r="J5" s="197" t="s">
        <v>77</v>
      </c>
      <c r="K5" s="198"/>
      <c r="M5" s="87"/>
      <c r="N5" s="118"/>
      <c r="O5" s="92"/>
      <c r="P5" s="131"/>
      <c r="Q5" s="131"/>
      <c r="R5" s="89"/>
      <c r="S5" s="57"/>
      <c r="T5" s="201"/>
      <c r="U5" s="203"/>
      <c r="V5" s="196"/>
      <c r="AF5" s="59"/>
      <c r="AG5" s="59"/>
      <c r="AH5" s="59"/>
      <c r="AI5" s="59"/>
      <c r="AJ5" s="59"/>
      <c r="AK5" s="59"/>
      <c r="AL5" s="59"/>
      <c r="AM5" s="59"/>
      <c r="AN5" s="59"/>
      <c r="AO5" s="59"/>
      <c r="AP5" s="59"/>
      <c r="AQ5" s="59"/>
      <c r="AR5" s="59"/>
      <c r="AS5" s="59"/>
      <c r="AT5" s="59"/>
      <c r="AU5" s="59"/>
      <c r="AV5" s="59"/>
      <c r="AW5" s="59"/>
      <c r="AX5" s="59"/>
      <c r="AY5" s="59"/>
      <c r="AZ5" s="59"/>
      <c r="BA5" s="59"/>
      <c r="BB5" s="59"/>
    </row>
    <row r="6" spans="1:54" s="58" customFormat="1" ht="15.75" x14ac:dyDescent="0.25">
      <c r="B6" s="87"/>
      <c r="C6" s="92"/>
      <c r="D6" s="92"/>
      <c r="E6" s="92"/>
      <c r="F6" s="92"/>
      <c r="G6" s="92"/>
      <c r="H6" s="92"/>
      <c r="I6" s="92"/>
      <c r="J6" s="131"/>
      <c r="K6" s="89"/>
      <c r="M6" s="87"/>
      <c r="N6" s="118"/>
      <c r="O6" s="92"/>
      <c r="P6" s="131"/>
      <c r="Q6" s="131"/>
      <c r="R6" s="89"/>
      <c r="S6" s="57"/>
      <c r="T6" s="90"/>
      <c r="U6" s="90"/>
      <c r="V6" s="90"/>
      <c r="AF6" s="59"/>
      <c r="AG6" s="59"/>
      <c r="AH6" s="59"/>
      <c r="AI6" s="59"/>
      <c r="AJ6" s="59"/>
      <c r="AK6" s="59"/>
      <c r="AL6" s="59"/>
      <c r="AM6" s="59"/>
      <c r="AN6" s="59"/>
      <c r="AO6" s="59"/>
      <c r="AP6" s="59"/>
      <c r="AQ6" s="59"/>
      <c r="AR6" s="59"/>
      <c r="AS6" s="59"/>
      <c r="AT6" s="59"/>
      <c r="AU6" s="59"/>
      <c r="AV6" s="59"/>
      <c r="AW6" s="59"/>
      <c r="AX6" s="59"/>
      <c r="AY6" s="59"/>
      <c r="AZ6" s="59"/>
      <c r="BA6" s="59"/>
      <c r="BB6" s="59"/>
    </row>
    <row r="7" spans="1:54" x14ac:dyDescent="0.25">
      <c r="A7" s="75">
        <v>1</v>
      </c>
      <c r="B7" s="74" t="s">
        <v>34</v>
      </c>
      <c r="C7" s="48"/>
      <c r="D7" s="48"/>
      <c r="E7" s="48"/>
      <c r="F7" s="48"/>
      <c r="G7" s="48"/>
      <c r="H7" s="48"/>
      <c r="I7" s="48"/>
      <c r="J7" s="109"/>
      <c r="K7" s="69"/>
      <c r="M7" s="88"/>
      <c r="N7" s="119"/>
      <c r="O7" s="48"/>
      <c r="P7" s="109"/>
      <c r="Q7" s="109"/>
      <c r="R7" s="69"/>
      <c r="T7" s="91">
        <f>H7+I7+J7+K7+N7+P7+R7</f>
        <v>0</v>
      </c>
      <c r="U7" s="91">
        <f>C7*24+M7*24+O7*24+Q7*24+T7</f>
        <v>0</v>
      </c>
      <c r="V7" s="91">
        <f>U7/24</f>
        <v>0</v>
      </c>
      <c r="W7" s="123"/>
      <c r="AF7" s="60"/>
      <c r="AG7" s="60"/>
      <c r="AH7" s="60"/>
      <c r="AI7" s="60"/>
      <c r="AJ7" s="60"/>
      <c r="AK7" s="60"/>
      <c r="AL7" s="60"/>
      <c r="AM7" s="60"/>
      <c r="AN7" s="60"/>
      <c r="AO7" s="60"/>
      <c r="AP7" s="60"/>
      <c r="AQ7" s="60"/>
      <c r="AR7" s="60"/>
      <c r="AS7" s="60"/>
      <c r="AT7" s="60"/>
      <c r="AU7" s="60"/>
      <c r="AV7" s="60"/>
      <c r="AW7" s="60"/>
      <c r="AX7" s="60"/>
      <c r="AY7" s="60"/>
      <c r="AZ7" s="60"/>
      <c r="BA7" s="60"/>
      <c r="BB7" s="60"/>
    </row>
    <row r="8" spans="1:54" ht="19.5" thickBot="1" x14ac:dyDescent="0.3">
      <c r="A8" s="75">
        <f>A7+1</f>
        <v>2</v>
      </c>
      <c r="B8" s="94" t="s">
        <v>37</v>
      </c>
      <c r="C8" s="95"/>
      <c r="D8" s="95"/>
      <c r="E8" s="95"/>
      <c r="F8" s="95"/>
      <c r="G8" s="95"/>
      <c r="H8" s="95"/>
      <c r="I8" s="95"/>
      <c r="J8" s="110"/>
      <c r="K8" s="96"/>
      <c r="L8" s="102"/>
      <c r="M8" s="103"/>
      <c r="N8" s="120"/>
      <c r="O8" s="97"/>
      <c r="P8" s="113"/>
      <c r="Q8" s="113"/>
      <c r="R8" s="98"/>
      <c r="S8" s="102"/>
      <c r="T8" s="126">
        <f t="shared" ref="T8:T41" si="0">H8+I8+J8+K8+N8+P8+R8</f>
        <v>0</v>
      </c>
      <c r="U8" s="124">
        <f>C8*24+M8*24+O8*24+Q8*24+T8</f>
        <v>0</v>
      </c>
      <c r="V8" s="124">
        <f>U8/24</f>
        <v>0</v>
      </c>
      <c r="W8" s="123"/>
      <c r="AF8" s="60"/>
      <c r="AG8" s="60"/>
      <c r="AH8" s="60"/>
      <c r="AI8" s="60"/>
      <c r="AJ8" s="60"/>
      <c r="AK8" s="60"/>
      <c r="AL8" s="60"/>
      <c r="AM8" s="60"/>
      <c r="AN8" s="60"/>
      <c r="AO8" s="60"/>
      <c r="AP8" s="60"/>
      <c r="AQ8" s="60"/>
      <c r="AR8" s="60"/>
      <c r="AS8" s="60"/>
      <c r="AT8" s="60"/>
      <c r="AU8" s="60"/>
      <c r="AV8" s="60"/>
      <c r="AW8" s="60"/>
      <c r="AX8" s="60"/>
      <c r="AY8" s="60"/>
      <c r="AZ8" s="60"/>
      <c r="BA8" s="60"/>
      <c r="BB8" s="60"/>
    </row>
    <row r="9" spans="1:54" x14ac:dyDescent="0.25">
      <c r="A9" s="75">
        <f t="shared" ref="A9:A57" si="1">A8+1</f>
        <v>3</v>
      </c>
      <c r="B9" s="73" t="s">
        <v>35</v>
      </c>
      <c r="C9" s="47"/>
      <c r="D9" s="47"/>
      <c r="E9" s="47"/>
      <c r="F9" s="47"/>
      <c r="G9" s="47"/>
      <c r="H9" s="47"/>
      <c r="I9" s="47"/>
      <c r="J9" s="111"/>
      <c r="K9" s="46"/>
      <c r="M9" s="52"/>
      <c r="N9" s="121"/>
      <c r="O9" s="47"/>
      <c r="P9" s="111"/>
      <c r="Q9" s="111"/>
      <c r="R9" s="46"/>
      <c r="T9" s="50">
        <f t="shared" si="0"/>
        <v>0</v>
      </c>
      <c r="U9" s="125">
        <f t="shared" ref="U9:U11" si="2">C9*24+M9*24+O9*24+Q9*24+T9</f>
        <v>0</v>
      </c>
      <c r="V9" s="125">
        <f t="shared" ref="V9:V11" si="3">U9/24</f>
        <v>0</v>
      </c>
      <c r="W9" s="123"/>
      <c r="AF9" s="60"/>
      <c r="AG9" s="60"/>
      <c r="AH9" s="60"/>
      <c r="AI9" s="60"/>
      <c r="AJ9" s="60"/>
      <c r="AK9" s="60"/>
      <c r="AL9" s="60"/>
      <c r="AM9" s="60"/>
      <c r="AN9" s="60"/>
      <c r="AO9" s="60"/>
      <c r="AP9" s="60"/>
      <c r="AQ9" s="60"/>
      <c r="AR9" s="60"/>
      <c r="AS9" s="60"/>
      <c r="AT9" s="60"/>
      <c r="AU9" s="60"/>
      <c r="AV9" s="60"/>
      <c r="AW9" s="60"/>
      <c r="AX9" s="60"/>
      <c r="AY9" s="60"/>
      <c r="AZ9" s="60"/>
      <c r="BA9" s="60"/>
      <c r="BB9" s="60"/>
    </row>
    <row r="10" spans="1:54" x14ac:dyDescent="0.25">
      <c r="A10" s="75">
        <f t="shared" si="1"/>
        <v>4</v>
      </c>
      <c r="B10" s="74" t="s">
        <v>38</v>
      </c>
      <c r="C10" s="47"/>
      <c r="D10" s="47"/>
      <c r="E10" s="47"/>
      <c r="F10" s="47"/>
      <c r="G10" s="47"/>
      <c r="H10" s="47"/>
      <c r="I10" s="47"/>
      <c r="J10" s="111"/>
      <c r="K10" s="46"/>
      <c r="M10" s="52"/>
      <c r="N10" s="121"/>
      <c r="O10" s="47"/>
      <c r="P10" s="111"/>
      <c r="Q10" s="111"/>
      <c r="R10" s="46"/>
      <c r="T10" s="91">
        <f t="shared" si="0"/>
        <v>0</v>
      </c>
      <c r="U10" s="91">
        <f t="shared" si="2"/>
        <v>0</v>
      </c>
      <c r="V10" s="91">
        <f t="shared" si="3"/>
        <v>0</v>
      </c>
      <c r="W10" s="123"/>
      <c r="AF10" s="60"/>
      <c r="AG10" s="60"/>
      <c r="AH10" s="60"/>
      <c r="AI10" s="60"/>
      <c r="AJ10" s="60"/>
      <c r="AK10" s="60"/>
      <c r="AL10" s="60"/>
      <c r="AM10" s="60"/>
      <c r="AN10" s="60"/>
      <c r="AO10" s="60"/>
      <c r="AP10" s="60"/>
      <c r="AQ10" s="60"/>
      <c r="AR10" s="60"/>
      <c r="AS10" s="60"/>
      <c r="AT10" s="60"/>
      <c r="AU10" s="60"/>
      <c r="AV10" s="60"/>
      <c r="AW10" s="60"/>
      <c r="AX10" s="60"/>
      <c r="AY10" s="60"/>
      <c r="AZ10" s="60"/>
      <c r="BA10" s="60"/>
      <c r="BB10" s="60"/>
    </row>
    <row r="11" spans="1:54" x14ac:dyDescent="0.25">
      <c r="A11" s="75">
        <f t="shared" si="1"/>
        <v>5</v>
      </c>
      <c r="B11" s="74" t="s">
        <v>36</v>
      </c>
      <c r="C11" s="47"/>
      <c r="D11" s="47"/>
      <c r="E11" s="47"/>
      <c r="F11" s="47"/>
      <c r="G11" s="47"/>
      <c r="H11" s="47"/>
      <c r="I11" s="47"/>
      <c r="J11" s="111"/>
      <c r="K11" s="46"/>
      <c r="M11" s="52"/>
      <c r="N11" s="121"/>
      <c r="O11" s="47"/>
      <c r="P11" s="111"/>
      <c r="Q11" s="111"/>
      <c r="R11" s="46"/>
      <c r="T11" s="91">
        <f t="shared" si="0"/>
        <v>0</v>
      </c>
      <c r="U11" s="91">
        <f t="shared" si="2"/>
        <v>0</v>
      </c>
      <c r="V11" s="91">
        <f t="shared" si="3"/>
        <v>0</v>
      </c>
      <c r="AF11" s="60"/>
      <c r="AG11" s="60"/>
      <c r="AH11" s="60"/>
      <c r="AI11" s="60"/>
      <c r="AJ11" s="60"/>
      <c r="AK11" s="60"/>
      <c r="AL11" s="60"/>
      <c r="AM11" s="60"/>
      <c r="AN11" s="60"/>
      <c r="AO11" s="60"/>
      <c r="AP11" s="60"/>
      <c r="AQ11" s="60"/>
      <c r="AR11" s="60"/>
      <c r="AS11" s="60"/>
      <c r="AT11" s="60"/>
      <c r="AU11" s="60"/>
      <c r="AV11" s="60"/>
      <c r="AW11" s="60"/>
      <c r="AX11" s="60"/>
      <c r="AY11" s="60"/>
      <c r="AZ11" s="60"/>
      <c r="BA11" s="60"/>
      <c r="BB11" s="60"/>
    </row>
    <row r="12" spans="1:54" s="61" customFormat="1" ht="19.5" thickBot="1" x14ac:dyDescent="0.3">
      <c r="A12" s="75">
        <v>7</v>
      </c>
      <c r="B12" s="94" t="s">
        <v>32</v>
      </c>
      <c r="C12" s="95"/>
      <c r="D12" s="95"/>
      <c r="E12" s="95"/>
      <c r="F12" s="95"/>
      <c r="G12" s="95"/>
      <c r="H12" s="95"/>
      <c r="I12" s="95"/>
      <c r="J12" s="110"/>
      <c r="K12" s="96"/>
      <c r="L12" s="102"/>
      <c r="M12" s="103"/>
      <c r="N12" s="120"/>
      <c r="O12" s="97"/>
      <c r="P12" s="113"/>
      <c r="Q12" s="113"/>
      <c r="R12" s="98"/>
      <c r="S12" s="102"/>
      <c r="T12" s="91">
        <f t="shared" si="0"/>
        <v>0</v>
      </c>
      <c r="U12" s="124">
        <f>C12*24+M12*24+O12*24+Q12*24+T12</f>
        <v>0</v>
      </c>
      <c r="V12" s="124">
        <f>U12/24</f>
        <v>0</v>
      </c>
      <c r="W12" s="57"/>
      <c r="X12" s="57"/>
      <c r="Y12" s="57"/>
      <c r="Z12" s="57"/>
      <c r="AA12" s="57"/>
      <c r="AB12" s="57"/>
      <c r="AC12" s="57"/>
      <c r="AD12" s="57"/>
      <c r="AE12" s="57"/>
      <c r="AF12" s="60"/>
      <c r="AG12" s="60"/>
      <c r="AH12" s="60"/>
      <c r="AI12" s="60"/>
      <c r="AJ12" s="60"/>
      <c r="AK12" s="60"/>
      <c r="AL12" s="60"/>
      <c r="AM12" s="60"/>
      <c r="AN12" s="60"/>
      <c r="AO12" s="60"/>
      <c r="AP12" s="60"/>
      <c r="AQ12" s="60"/>
      <c r="AR12" s="60"/>
      <c r="AS12" s="60"/>
      <c r="AT12" s="60"/>
      <c r="AU12" s="60"/>
      <c r="AV12" s="60"/>
      <c r="AW12" s="60"/>
      <c r="AX12" s="60"/>
      <c r="AY12" s="60"/>
      <c r="AZ12" s="60"/>
      <c r="BA12" s="60"/>
      <c r="BB12" s="60"/>
    </row>
    <row r="13" spans="1:54" x14ac:dyDescent="0.25">
      <c r="A13" s="75">
        <v>11</v>
      </c>
      <c r="B13" s="73" t="s">
        <v>1</v>
      </c>
      <c r="C13" s="47"/>
      <c r="D13" s="47"/>
      <c r="E13" s="47"/>
      <c r="F13" s="47"/>
      <c r="G13" s="47"/>
      <c r="H13" s="47"/>
      <c r="I13" s="47"/>
      <c r="J13" s="111"/>
      <c r="K13" s="46"/>
      <c r="M13" s="52"/>
      <c r="N13" s="121"/>
      <c r="O13" s="47"/>
      <c r="P13" s="111"/>
      <c r="Q13" s="111"/>
      <c r="R13" s="46"/>
      <c r="T13" s="91">
        <f t="shared" si="0"/>
        <v>0</v>
      </c>
      <c r="U13" s="125">
        <f>C13*24+M13*24+O13*24+Q13*24+T13</f>
        <v>0</v>
      </c>
      <c r="V13" s="125">
        <f>U13/24</f>
        <v>0</v>
      </c>
      <c r="AF13" s="60"/>
      <c r="AG13" s="60"/>
      <c r="AH13" s="60"/>
      <c r="AI13" s="60"/>
      <c r="AJ13" s="60"/>
      <c r="AK13" s="60"/>
      <c r="AL13" s="60"/>
      <c r="AM13" s="60"/>
      <c r="AN13" s="60"/>
      <c r="AO13" s="60"/>
      <c r="AP13" s="60"/>
      <c r="AQ13" s="60"/>
      <c r="AR13" s="60"/>
      <c r="AS13" s="60"/>
      <c r="AT13" s="60"/>
      <c r="AU13" s="60"/>
      <c r="AV13" s="60"/>
      <c r="AW13" s="60"/>
      <c r="AX13" s="60"/>
      <c r="AY13" s="60"/>
      <c r="AZ13" s="60"/>
      <c r="BA13" s="60"/>
      <c r="BB13" s="60"/>
    </row>
    <row r="14" spans="1:54" x14ac:dyDescent="0.25">
      <c r="A14" s="75">
        <f t="shared" si="1"/>
        <v>12</v>
      </c>
      <c r="B14" s="74" t="s">
        <v>2</v>
      </c>
      <c r="C14" s="47"/>
      <c r="D14" s="47"/>
      <c r="E14" s="47"/>
      <c r="F14" s="47"/>
      <c r="G14" s="47"/>
      <c r="H14" s="47"/>
      <c r="I14" s="47"/>
      <c r="J14" s="111"/>
      <c r="K14" s="46"/>
      <c r="M14" s="52"/>
      <c r="N14" s="121"/>
      <c r="O14" s="47"/>
      <c r="P14" s="111"/>
      <c r="Q14" s="111"/>
      <c r="R14" s="46"/>
      <c r="T14" s="91">
        <f t="shared" si="0"/>
        <v>0</v>
      </c>
      <c r="U14" s="50">
        <f t="shared" ref="U14:U36" si="4">C14*24+M14*24+O14*24+Q14*24+T14</f>
        <v>0</v>
      </c>
      <c r="V14" s="50">
        <f t="shared" ref="V14:V36" si="5">U14/24</f>
        <v>0</v>
      </c>
      <c r="AF14" s="60"/>
      <c r="AG14" s="60"/>
      <c r="AH14" s="60"/>
      <c r="AI14" s="60"/>
      <c r="AJ14" s="60"/>
      <c r="AK14" s="60"/>
      <c r="AL14" s="60"/>
      <c r="AM14" s="60"/>
      <c r="AN14" s="60"/>
      <c r="AO14" s="60"/>
      <c r="AP14" s="60"/>
      <c r="AQ14" s="60"/>
      <c r="AR14" s="60"/>
      <c r="AS14" s="60"/>
      <c r="AT14" s="60"/>
      <c r="AU14" s="60"/>
      <c r="AV14" s="60"/>
      <c r="AW14" s="60"/>
      <c r="AX14" s="60"/>
      <c r="AY14" s="60"/>
      <c r="AZ14" s="60"/>
      <c r="BA14" s="60"/>
      <c r="BB14" s="60"/>
    </row>
    <row r="15" spans="1:54" x14ac:dyDescent="0.25">
      <c r="A15" s="75">
        <f t="shared" si="1"/>
        <v>13</v>
      </c>
      <c r="B15" s="74" t="s">
        <v>3</v>
      </c>
      <c r="C15" s="47"/>
      <c r="D15" s="47"/>
      <c r="E15" s="47"/>
      <c r="F15" s="47"/>
      <c r="G15" s="47"/>
      <c r="H15" s="47"/>
      <c r="I15" s="47"/>
      <c r="J15" s="111"/>
      <c r="K15" s="46"/>
      <c r="M15" s="52"/>
      <c r="N15" s="121"/>
      <c r="O15" s="47"/>
      <c r="P15" s="111"/>
      <c r="Q15" s="111"/>
      <c r="R15" s="46"/>
      <c r="T15" s="91">
        <f t="shared" si="0"/>
        <v>0</v>
      </c>
      <c r="U15" s="50">
        <f t="shared" si="4"/>
        <v>0</v>
      </c>
      <c r="V15" s="50">
        <f t="shared" si="5"/>
        <v>0</v>
      </c>
      <c r="AF15" s="60"/>
      <c r="AG15" s="60"/>
      <c r="AH15" s="60"/>
      <c r="AI15" s="60"/>
      <c r="AJ15" s="60"/>
      <c r="AK15" s="60"/>
      <c r="AL15" s="60"/>
      <c r="AM15" s="60"/>
      <c r="AN15" s="60"/>
      <c r="AO15" s="60"/>
      <c r="AP15" s="60"/>
      <c r="AQ15" s="60"/>
      <c r="AR15" s="60"/>
      <c r="AS15" s="60"/>
      <c r="AT15" s="60"/>
      <c r="AU15" s="60"/>
      <c r="AV15" s="60"/>
      <c r="AW15" s="60"/>
      <c r="AX15" s="60"/>
      <c r="AY15" s="60"/>
      <c r="AZ15" s="60"/>
      <c r="BA15" s="60"/>
      <c r="BB15" s="60"/>
    </row>
    <row r="16" spans="1:54" x14ac:dyDescent="0.25">
      <c r="A16" s="75">
        <f t="shared" si="1"/>
        <v>14</v>
      </c>
      <c r="B16" s="74" t="s">
        <v>4</v>
      </c>
      <c r="C16" s="47"/>
      <c r="D16" s="47"/>
      <c r="E16" s="47"/>
      <c r="F16" s="47"/>
      <c r="G16" s="47"/>
      <c r="H16" s="47"/>
      <c r="I16" s="47"/>
      <c r="J16" s="111"/>
      <c r="K16" s="46"/>
      <c r="M16" s="52"/>
      <c r="N16" s="121"/>
      <c r="O16" s="47"/>
      <c r="P16" s="111"/>
      <c r="Q16" s="111"/>
      <c r="R16" s="46"/>
      <c r="T16" s="91">
        <f t="shared" si="0"/>
        <v>0</v>
      </c>
      <c r="U16" s="50">
        <f t="shared" si="4"/>
        <v>0</v>
      </c>
      <c r="V16" s="50">
        <f t="shared" si="5"/>
        <v>0</v>
      </c>
      <c r="AF16" s="60"/>
      <c r="AG16" s="60"/>
      <c r="AH16" s="60"/>
      <c r="AI16" s="60"/>
      <c r="AJ16" s="60"/>
      <c r="AK16" s="60"/>
      <c r="AL16" s="60"/>
      <c r="AM16" s="60"/>
      <c r="AN16" s="60"/>
      <c r="AO16" s="60"/>
      <c r="AP16" s="60"/>
      <c r="AQ16" s="60"/>
      <c r="AR16" s="60"/>
      <c r="AS16" s="60"/>
      <c r="AT16" s="60"/>
      <c r="AU16" s="60"/>
      <c r="AV16" s="60"/>
      <c r="AW16" s="60"/>
      <c r="AX16" s="60"/>
      <c r="AY16" s="60"/>
      <c r="AZ16" s="60"/>
      <c r="BA16" s="60"/>
      <c r="BB16" s="60"/>
    </row>
    <row r="17" spans="1:54" x14ac:dyDescent="0.25">
      <c r="A17" s="75">
        <f t="shared" si="1"/>
        <v>15</v>
      </c>
      <c r="B17" s="74" t="s">
        <v>5</v>
      </c>
      <c r="C17" s="47"/>
      <c r="D17" s="47"/>
      <c r="E17" s="47"/>
      <c r="F17" s="47"/>
      <c r="G17" s="47"/>
      <c r="H17" s="47"/>
      <c r="I17" s="47"/>
      <c r="J17" s="111"/>
      <c r="K17" s="46"/>
      <c r="M17" s="52"/>
      <c r="N17" s="121"/>
      <c r="O17" s="47"/>
      <c r="P17" s="111"/>
      <c r="Q17" s="111"/>
      <c r="R17" s="46"/>
      <c r="T17" s="91">
        <f t="shared" si="0"/>
        <v>0</v>
      </c>
      <c r="U17" s="50">
        <f t="shared" si="4"/>
        <v>0</v>
      </c>
      <c r="V17" s="50">
        <f t="shared" si="5"/>
        <v>0</v>
      </c>
      <c r="AF17" s="60"/>
      <c r="AG17" s="60"/>
      <c r="AH17" s="60"/>
      <c r="AI17" s="60"/>
      <c r="AJ17" s="60"/>
      <c r="AK17" s="60"/>
      <c r="AL17" s="60"/>
      <c r="AM17" s="60"/>
      <c r="AN17" s="60"/>
      <c r="AO17" s="60"/>
      <c r="AP17" s="60"/>
      <c r="AQ17" s="60"/>
      <c r="AR17" s="60"/>
      <c r="AS17" s="60"/>
      <c r="AT17" s="60"/>
      <c r="AU17" s="60"/>
      <c r="AV17" s="60"/>
      <c r="AW17" s="60"/>
      <c r="AX17" s="60"/>
      <c r="AY17" s="60"/>
      <c r="AZ17" s="60"/>
      <c r="BA17" s="60"/>
      <c r="BB17" s="60"/>
    </row>
    <row r="18" spans="1:54" hidden="1" x14ac:dyDescent="0.25">
      <c r="A18" s="75">
        <f t="shared" si="1"/>
        <v>16</v>
      </c>
      <c r="B18" s="74" t="s">
        <v>10</v>
      </c>
      <c r="C18" s="47"/>
      <c r="D18" s="47"/>
      <c r="E18" s="47"/>
      <c r="F18" s="47"/>
      <c r="G18" s="47"/>
      <c r="H18" s="47"/>
      <c r="I18" s="47"/>
      <c r="J18" s="111"/>
      <c r="K18" s="46"/>
      <c r="M18" s="52"/>
      <c r="N18" s="121"/>
      <c r="O18" s="47"/>
      <c r="P18" s="111"/>
      <c r="Q18" s="111"/>
      <c r="R18" s="46"/>
      <c r="T18" s="91">
        <f t="shared" si="0"/>
        <v>0</v>
      </c>
      <c r="U18" s="50">
        <f t="shared" si="4"/>
        <v>0</v>
      </c>
      <c r="V18" s="50">
        <f t="shared" si="5"/>
        <v>0</v>
      </c>
      <c r="AF18" s="60"/>
      <c r="AG18" s="60"/>
      <c r="AH18" s="60"/>
      <c r="AI18" s="60"/>
      <c r="AJ18" s="60"/>
      <c r="AK18" s="60"/>
      <c r="AL18" s="60"/>
      <c r="AM18" s="60"/>
      <c r="AN18" s="60"/>
      <c r="AO18" s="60"/>
      <c r="AP18" s="60"/>
      <c r="AQ18" s="60"/>
      <c r="AR18" s="60"/>
      <c r="AS18" s="60"/>
      <c r="AT18" s="60"/>
      <c r="AU18" s="60"/>
      <c r="AV18" s="60"/>
      <c r="AW18" s="60"/>
      <c r="AX18" s="60"/>
      <c r="AY18" s="60"/>
      <c r="AZ18" s="60"/>
      <c r="BA18" s="60"/>
      <c r="BB18" s="60"/>
    </row>
    <row r="19" spans="1:54" x14ac:dyDescent="0.25">
      <c r="A19" s="75">
        <v>16</v>
      </c>
      <c r="B19" s="74" t="s">
        <v>64</v>
      </c>
      <c r="C19" s="47"/>
      <c r="D19" s="47"/>
      <c r="E19" s="47"/>
      <c r="F19" s="47"/>
      <c r="G19" s="47"/>
      <c r="H19" s="47"/>
      <c r="I19" s="47"/>
      <c r="J19" s="111"/>
      <c r="K19" s="46"/>
      <c r="M19" s="52"/>
      <c r="N19" s="121"/>
      <c r="O19" s="47"/>
      <c r="P19" s="111"/>
      <c r="Q19" s="111"/>
      <c r="R19" s="46"/>
      <c r="T19" s="91">
        <f t="shared" si="0"/>
        <v>0</v>
      </c>
      <c r="U19" s="50">
        <f t="shared" si="4"/>
        <v>0</v>
      </c>
      <c r="V19" s="50">
        <f t="shared" si="5"/>
        <v>0</v>
      </c>
      <c r="AF19" s="60"/>
      <c r="AG19" s="60"/>
      <c r="AH19" s="60"/>
      <c r="AI19" s="60"/>
      <c r="AJ19" s="60"/>
      <c r="AK19" s="60"/>
      <c r="AL19" s="60"/>
      <c r="AM19" s="60"/>
      <c r="AN19" s="60"/>
      <c r="AO19" s="60"/>
      <c r="AP19" s="60"/>
      <c r="AQ19" s="60"/>
      <c r="AR19" s="60"/>
      <c r="AS19" s="60"/>
      <c r="AT19" s="60"/>
      <c r="AU19" s="60"/>
      <c r="AV19" s="60"/>
      <c r="AW19" s="60"/>
      <c r="AX19" s="60"/>
      <c r="AY19" s="60"/>
      <c r="AZ19" s="60"/>
      <c r="BA19" s="60"/>
      <c r="BB19" s="60"/>
    </row>
    <row r="20" spans="1:54" x14ac:dyDescent="0.25">
      <c r="A20" s="75">
        <f t="shared" si="1"/>
        <v>17</v>
      </c>
      <c r="B20" s="74" t="s">
        <v>6</v>
      </c>
      <c r="C20" s="47"/>
      <c r="D20" s="47"/>
      <c r="E20" s="47"/>
      <c r="F20" s="47"/>
      <c r="G20" s="47"/>
      <c r="H20" s="47"/>
      <c r="I20" s="47"/>
      <c r="J20" s="111"/>
      <c r="K20" s="46"/>
      <c r="M20" s="52"/>
      <c r="N20" s="121"/>
      <c r="O20" s="47"/>
      <c r="P20" s="111"/>
      <c r="Q20" s="111"/>
      <c r="R20" s="46"/>
      <c r="T20" s="91">
        <f t="shared" si="0"/>
        <v>0</v>
      </c>
      <c r="U20" s="50">
        <f t="shared" si="4"/>
        <v>0</v>
      </c>
      <c r="V20" s="50">
        <f t="shared" si="5"/>
        <v>0</v>
      </c>
      <c r="AF20" s="60"/>
      <c r="AG20" s="60"/>
      <c r="AH20" s="60"/>
      <c r="AI20" s="60"/>
      <c r="AJ20" s="60"/>
      <c r="AK20" s="60"/>
      <c r="AL20" s="60"/>
      <c r="AM20" s="60"/>
      <c r="AN20" s="60"/>
      <c r="AO20" s="60"/>
      <c r="AP20" s="60"/>
      <c r="AQ20" s="60"/>
      <c r="AR20" s="60"/>
      <c r="AS20" s="60"/>
      <c r="AT20" s="60"/>
      <c r="AU20" s="60"/>
      <c r="AV20" s="60"/>
      <c r="AW20" s="60"/>
      <c r="AX20" s="60"/>
      <c r="AY20" s="60"/>
      <c r="AZ20" s="60"/>
      <c r="BA20" s="60"/>
      <c r="BB20" s="60"/>
    </row>
    <row r="21" spans="1:54" x14ac:dyDescent="0.25">
      <c r="A21" s="75">
        <f t="shared" si="1"/>
        <v>18</v>
      </c>
      <c r="B21" s="74" t="s">
        <v>7</v>
      </c>
      <c r="C21" s="47"/>
      <c r="D21" s="47"/>
      <c r="E21" s="47"/>
      <c r="F21" s="47"/>
      <c r="G21" s="47"/>
      <c r="H21" s="47"/>
      <c r="I21" s="47"/>
      <c r="J21" s="111"/>
      <c r="K21" s="46"/>
      <c r="M21" s="52"/>
      <c r="N21" s="121"/>
      <c r="O21" s="47"/>
      <c r="P21" s="111"/>
      <c r="Q21" s="111"/>
      <c r="R21" s="46"/>
      <c r="T21" s="91">
        <f t="shared" si="0"/>
        <v>0</v>
      </c>
      <c r="U21" s="50">
        <f t="shared" si="4"/>
        <v>0</v>
      </c>
      <c r="V21" s="50">
        <f t="shared" si="5"/>
        <v>0</v>
      </c>
      <c r="AF21" s="60"/>
      <c r="AG21" s="60"/>
      <c r="AH21" s="60"/>
      <c r="AI21" s="60"/>
      <c r="AJ21" s="60"/>
      <c r="AK21" s="60"/>
      <c r="AL21" s="60"/>
      <c r="AM21" s="60"/>
      <c r="AN21" s="60"/>
      <c r="AO21" s="60"/>
      <c r="AP21" s="60"/>
      <c r="AQ21" s="60"/>
      <c r="AR21" s="60"/>
      <c r="AS21" s="60"/>
      <c r="AT21" s="60"/>
      <c r="AU21" s="60"/>
      <c r="AV21" s="60"/>
      <c r="AW21" s="60"/>
      <c r="AX21" s="60"/>
      <c r="AY21" s="60"/>
      <c r="AZ21" s="60"/>
      <c r="BA21" s="60"/>
      <c r="BB21" s="60"/>
    </row>
    <row r="22" spans="1:54" s="61" customFormat="1" x14ac:dyDescent="0.25">
      <c r="A22" s="75">
        <f t="shared" si="1"/>
        <v>19</v>
      </c>
      <c r="B22" s="74" t="s">
        <v>65</v>
      </c>
      <c r="C22" s="47"/>
      <c r="D22" s="47"/>
      <c r="E22" s="47"/>
      <c r="F22" s="47"/>
      <c r="G22" s="47"/>
      <c r="H22" s="47"/>
      <c r="I22" s="47"/>
      <c r="J22" s="111"/>
      <c r="K22" s="46"/>
      <c r="L22" s="57"/>
      <c r="M22" s="52"/>
      <c r="N22" s="121"/>
      <c r="O22" s="47"/>
      <c r="P22" s="111"/>
      <c r="Q22" s="111"/>
      <c r="R22" s="46"/>
      <c r="S22" s="57"/>
      <c r="T22" s="91">
        <f t="shared" si="0"/>
        <v>0</v>
      </c>
      <c r="U22" s="50">
        <f t="shared" si="4"/>
        <v>0</v>
      </c>
      <c r="V22" s="50">
        <f t="shared" si="5"/>
        <v>0</v>
      </c>
      <c r="W22" s="57"/>
      <c r="X22" s="57"/>
      <c r="Y22" s="57"/>
      <c r="Z22" s="57"/>
      <c r="AA22" s="57"/>
      <c r="AB22" s="57"/>
      <c r="AC22" s="57"/>
      <c r="AD22" s="57"/>
      <c r="AE22" s="57"/>
      <c r="AF22" s="60"/>
      <c r="AG22" s="60"/>
      <c r="AH22" s="60"/>
      <c r="AI22" s="60"/>
      <c r="AJ22" s="60"/>
      <c r="AK22" s="60"/>
      <c r="AL22" s="60"/>
      <c r="AM22" s="60"/>
      <c r="AN22" s="60"/>
      <c r="AO22" s="60"/>
      <c r="AP22" s="60"/>
      <c r="AQ22" s="60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</row>
    <row r="23" spans="1:54" s="61" customFormat="1" x14ac:dyDescent="0.25">
      <c r="A23" s="75">
        <f t="shared" si="1"/>
        <v>20</v>
      </c>
      <c r="B23" s="74" t="s">
        <v>66</v>
      </c>
      <c r="C23" s="47"/>
      <c r="D23" s="47"/>
      <c r="E23" s="47"/>
      <c r="F23" s="47"/>
      <c r="G23" s="47"/>
      <c r="H23" s="47"/>
      <c r="I23" s="47"/>
      <c r="J23" s="111"/>
      <c r="K23" s="46"/>
      <c r="L23" s="57"/>
      <c r="M23" s="52"/>
      <c r="N23" s="121"/>
      <c r="O23" s="47"/>
      <c r="P23" s="111"/>
      <c r="Q23" s="111"/>
      <c r="R23" s="46"/>
      <c r="S23" s="57"/>
      <c r="T23" s="91">
        <f t="shared" si="0"/>
        <v>0</v>
      </c>
      <c r="U23" s="50">
        <f t="shared" si="4"/>
        <v>0</v>
      </c>
      <c r="V23" s="50">
        <f t="shared" si="5"/>
        <v>0</v>
      </c>
      <c r="W23" s="57"/>
      <c r="X23" s="57"/>
      <c r="Y23" s="57"/>
      <c r="Z23" s="57"/>
      <c r="AA23" s="57"/>
      <c r="AB23" s="57"/>
      <c r="AC23" s="57"/>
      <c r="AD23" s="57"/>
      <c r="AE23" s="57"/>
      <c r="AF23" s="60"/>
      <c r="AG23" s="60"/>
      <c r="AH23" s="60"/>
      <c r="AI23" s="60"/>
      <c r="AJ23" s="60"/>
      <c r="AK23" s="60"/>
      <c r="AL23" s="60"/>
      <c r="AM23" s="60"/>
      <c r="AN23" s="60"/>
      <c r="AO23" s="60"/>
      <c r="AP23" s="60"/>
      <c r="AQ23" s="60"/>
      <c r="AR23" s="60"/>
      <c r="AS23" s="60"/>
      <c r="AT23" s="60"/>
      <c r="AU23" s="60"/>
      <c r="AV23" s="60"/>
      <c r="AW23" s="60"/>
      <c r="AX23" s="60"/>
      <c r="AY23" s="60"/>
      <c r="AZ23" s="60"/>
      <c r="BA23" s="60"/>
      <c r="BB23" s="60"/>
    </row>
    <row r="24" spans="1:54" x14ac:dyDescent="0.25">
      <c r="A24" s="75">
        <f t="shared" si="1"/>
        <v>21</v>
      </c>
      <c r="B24" s="74" t="s">
        <v>67</v>
      </c>
      <c r="C24" s="47"/>
      <c r="D24" s="47"/>
      <c r="E24" s="47"/>
      <c r="F24" s="47"/>
      <c r="G24" s="47"/>
      <c r="H24" s="47"/>
      <c r="I24" s="47"/>
      <c r="J24" s="111"/>
      <c r="K24" s="46"/>
      <c r="M24" s="52"/>
      <c r="N24" s="121"/>
      <c r="O24" s="47"/>
      <c r="P24" s="111"/>
      <c r="Q24" s="111"/>
      <c r="R24" s="46"/>
      <c r="T24" s="91">
        <f t="shared" si="0"/>
        <v>0</v>
      </c>
      <c r="U24" s="50">
        <f t="shared" si="4"/>
        <v>0</v>
      </c>
      <c r="V24" s="50">
        <f t="shared" si="5"/>
        <v>0</v>
      </c>
      <c r="AF24" s="60"/>
      <c r="AG24" s="60"/>
      <c r="AH24" s="60"/>
      <c r="AI24" s="60"/>
      <c r="AJ24" s="60"/>
      <c r="AK24" s="60"/>
      <c r="AL24" s="60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</row>
    <row r="25" spans="1:54" x14ac:dyDescent="0.25">
      <c r="A25" s="75">
        <f t="shared" si="1"/>
        <v>22</v>
      </c>
      <c r="B25" s="74" t="s">
        <v>9</v>
      </c>
      <c r="C25" s="47"/>
      <c r="D25" s="47"/>
      <c r="E25" s="47"/>
      <c r="F25" s="47"/>
      <c r="G25" s="47"/>
      <c r="H25" s="47"/>
      <c r="I25" s="47"/>
      <c r="J25" s="111"/>
      <c r="K25" s="46"/>
      <c r="M25" s="52"/>
      <c r="N25" s="121"/>
      <c r="O25" s="47"/>
      <c r="P25" s="111"/>
      <c r="Q25" s="111"/>
      <c r="R25" s="46"/>
      <c r="T25" s="91">
        <f t="shared" si="0"/>
        <v>0</v>
      </c>
      <c r="U25" s="50">
        <f t="shared" si="4"/>
        <v>0</v>
      </c>
      <c r="V25" s="50">
        <f t="shared" si="5"/>
        <v>0</v>
      </c>
      <c r="AY25" s="62" t="e">
        <f>#REF!-AY24</f>
        <v>#REF!</v>
      </c>
    </row>
    <row r="26" spans="1:54" s="61" customFormat="1" x14ac:dyDescent="0.25">
      <c r="A26" s="75">
        <f t="shared" si="1"/>
        <v>23</v>
      </c>
      <c r="B26" s="74" t="s">
        <v>11</v>
      </c>
      <c r="C26" s="47"/>
      <c r="D26" s="47"/>
      <c r="E26" s="47"/>
      <c r="F26" s="47"/>
      <c r="G26" s="47"/>
      <c r="H26" s="47"/>
      <c r="I26" s="47"/>
      <c r="J26" s="111"/>
      <c r="K26" s="46"/>
      <c r="L26" s="57"/>
      <c r="M26" s="52"/>
      <c r="N26" s="121"/>
      <c r="O26" s="47"/>
      <c r="P26" s="111"/>
      <c r="Q26" s="111"/>
      <c r="R26" s="46"/>
      <c r="S26" s="57"/>
      <c r="T26" s="91">
        <f t="shared" si="0"/>
        <v>0</v>
      </c>
      <c r="U26" s="50">
        <f t="shared" si="4"/>
        <v>0</v>
      </c>
      <c r="V26" s="50">
        <f t="shared" si="5"/>
        <v>0</v>
      </c>
      <c r="W26" s="57"/>
      <c r="X26" s="57"/>
      <c r="Y26" s="57"/>
      <c r="Z26" s="57"/>
      <c r="AA26" s="57"/>
      <c r="AB26" s="57"/>
      <c r="AC26" s="57"/>
      <c r="AD26" s="57"/>
      <c r="AE26" s="57"/>
    </row>
    <row r="27" spans="1:54" s="61" customFormat="1" x14ac:dyDescent="0.25">
      <c r="A27" s="75">
        <f t="shared" si="1"/>
        <v>24</v>
      </c>
      <c r="B27" s="74" t="s">
        <v>83</v>
      </c>
      <c r="C27" s="47"/>
      <c r="D27" s="47"/>
      <c r="E27" s="47"/>
      <c r="F27" s="47"/>
      <c r="G27" s="47"/>
      <c r="H27" s="47"/>
      <c r="I27" s="47"/>
      <c r="J27" s="111"/>
      <c r="K27" s="46"/>
      <c r="L27" s="57"/>
      <c r="M27" s="52"/>
      <c r="N27" s="121"/>
      <c r="O27" s="47"/>
      <c r="P27" s="111"/>
      <c r="Q27" s="111"/>
      <c r="R27" s="46"/>
      <c r="S27" s="57"/>
      <c r="T27" s="91"/>
      <c r="U27" s="50"/>
      <c r="V27" s="50"/>
      <c r="W27" s="57"/>
      <c r="X27" s="57"/>
      <c r="Y27" s="57"/>
      <c r="Z27" s="57"/>
      <c r="AA27" s="57"/>
      <c r="AB27" s="57"/>
      <c r="AC27" s="57"/>
      <c r="AD27" s="57"/>
      <c r="AE27" s="57"/>
    </row>
    <row r="28" spans="1:54" s="61" customFormat="1" x14ac:dyDescent="0.25">
      <c r="A28" s="75">
        <f t="shared" si="1"/>
        <v>25</v>
      </c>
      <c r="B28" s="74" t="s">
        <v>12</v>
      </c>
      <c r="C28" s="47"/>
      <c r="D28" s="47"/>
      <c r="E28" s="47"/>
      <c r="F28" s="47"/>
      <c r="G28" s="47"/>
      <c r="H28" s="47"/>
      <c r="I28" s="47"/>
      <c r="J28" s="111"/>
      <c r="K28" s="46"/>
      <c r="L28" s="57"/>
      <c r="M28" s="52"/>
      <c r="N28" s="121"/>
      <c r="O28" s="47"/>
      <c r="P28" s="111"/>
      <c r="Q28" s="111"/>
      <c r="R28" s="46"/>
      <c r="S28" s="57"/>
      <c r="T28" s="91">
        <f t="shared" si="0"/>
        <v>0</v>
      </c>
      <c r="U28" s="50">
        <f t="shared" si="4"/>
        <v>0</v>
      </c>
      <c r="V28" s="50">
        <f t="shared" si="5"/>
        <v>0</v>
      </c>
      <c r="W28" s="57"/>
      <c r="X28" s="57"/>
      <c r="Y28" s="57"/>
      <c r="Z28" s="57"/>
      <c r="AA28" s="57"/>
      <c r="AB28" s="57"/>
      <c r="AC28" s="57"/>
      <c r="AD28" s="57"/>
      <c r="AE28" s="57"/>
    </row>
    <row r="29" spans="1:54" x14ac:dyDescent="0.25">
      <c r="A29" s="75">
        <f t="shared" si="1"/>
        <v>26</v>
      </c>
      <c r="B29" s="74" t="s">
        <v>14</v>
      </c>
      <c r="C29" s="47"/>
      <c r="D29" s="47"/>
      <c r="E29" s="47"/>
      <c r="F29" s="47"/>
      <c r="G29" s="47"/>
      <c r="H29" s="47"/>
      <c r="I29" s="47"/>
      <c r="J29" s="111"/>
      <c r="K29" s="46"/>
      <c r="M29" s="52"/>
      <c r="N29" s="121"/>
      <c r="O29" s="47"/>
      <c r="P29" s="111"/>
      <c r="Q29" s="111"/>
      <c r="R29" s="46"/>
      <c r="T29" s="91">
        <f t="shared" si="0"/>
        <v>0</v>
      </c>
      <c r="U29" s="50">
        <f t="shared" si="4"/>
        <v>0</v>
      </c>
      <c r="V29" s="50">
        <f t="shared" si="5"/>
        <v>0</v>
      </c>
    </row>
    <row r="30" spans="1:54" x14ac:dyDescent="0.25">
      <c r="A30" s="75">
        <f t="shared" si="1"/>
        <v>27</v>
      </c>
      <c r="B30" s="74" t="s">
        <v>16</v>
      </c>
      <c r="C30" s="47"/>
      <c r="D30" s="47"/>
      <c r="E30" s="47"/>
      <c r="F30" s="47"/>
      <c r="G30" s="47"/>
      <c r="H30" s="47"/>
      <c r="I30" s="47"/>
      <c r="J30" s="111"/>
      <c r="K30" s="46"/>
      <c r="M30" s="52"/>
      <c r="N30" s="121"/>
      <c r="O30" s="47"/>
      <c r="P30" s="111"/>
      <c r="Q30" s="111"/>
      <c r="R30" s="46"/>
      <c r="T30" s="91">
        <f t="shared" si="0"/>
        <v>0</v>
      </c>
      <c r="U30" s="50">
        <f t="shared" si="4"/>
        <v>0</v>
      </c>
      <c r="V30" s="50">
        <f t="shared" si="5"/>
        <v>0</v>
      </c>
    </row>
    <row r="31" spans="1:54" x14ac:dyDescent="0.25">
      <c r="A31" s="75">
        <f t="shared" si="1"/>
        <v>28</v>
      </c>
      <c r="B31" s="74" t="s">
        <v>13</v>
      </c>
      <c r="C31" s="47"/>
      <c r="D31" s="47"/>
      <c r="E31" s="47"/>
      <c r="F31" s="47"/>
      <c r="G31" s="47"/>
      <c r="H31" s="47"/>
      <c r="I31" s="47"/>
      <c r="J31" s="111"/>
      <c r="K31" s="46"/>
      <c r="M31" s="52"/>
      <c r="N31" s="121"/>
      <c r="O31" s="47"/>
      <c r="P31" s="111"/>
      <c r="Q31" s="111"/>
      <c r="R31" s="46"/>
      <c r="T31" s="91">
        <f t="shared" si="0"/>
        <v>0</v>
      </c>
      <c r="U31" s="50">
        <f t="shared" si="4"/>
        <v>0</v>
      </c>
      <c r="V31" s="50">
        <f t="shared" si="5"/>
        <v>0</v>
      </c>
    </row>
    <row r="32" spans="1:54" x14ac:dyDescent="0.25">
      <c r="A32" s="75">
        <f t="shared" si="1"/>
        <v>29</v>
      </c>
      <c r="B32" s="74" t="s">
        <v>15</v>
      </c>
      <c r="C32" s="47"/>
      <c r="D32" s="47"/>
      <c r="E32" s="47"/>
      <c r="F32" s="47"/>
      <c r="G32" s="47"/>
      <c r="H32" s="47"/>
      <c r="I32" s="47"/>
      <c r="J32" s="111"/>
      <c r="K32" s="46"/>
      <c r="M32" s="52"/>
      <c r="N32" s="121"/>
      <c r="O32" s="47"/>
      <c r="P32" s="111"/>
      <c r="Q32" s="111"/>
      <c r="R32" s="46"/>
      <c r="T32" s="91">
        <f t="shared" si="0"/>
        <v>0</v>
      </c>
      <c r="U32" s="50">
        <f t="shared" si="4"/>
        <v>0</v>
      </c>
      <c r="V32" s="50">
        <f t="shared" si="5"/>
        <v>0</v>
      </c>
    </row>
    <row r="33" spans="1:23" x14ac:dyDescent="0.25">
      <c r="A33" s="75">
        <f t="shared" si="1"/>
        <v>30</v>
      </c>
      <c r="B33" s="74" t="s">
        <v>17</v>
      </c>
      <c r="C33" s="47"/>
      <c r="D33" s="47"/>
      <c r="E33" s="47"/>
      <c r="F33" s="47"/>
      <c r="G33" s="47"/>
      <c r="H33" s="47"/>
      <c r="I33" s="47"/>
      <c r="J33" s="111"/>
      <c r="K33" s="46"/>
      <c r="M33" s="52"/>
      <c r="N33" s="121"/>
      <c r="O33" s="47"/>
      <c r="P33" s="111"/>
      <c r="Q33" s="111"/>
      <c r="R33" s="46"/>
      <c r="T33" s="91">
        <f t="shared" si="0"/>
        <v>0</v>
      </c>
      <c r="U33" s="50">
        <f t="shared" si="4"/>
        <v>0</v>
      </c>
      <c r="V33" s="50">
        <f t="shared" si="5"/>
        <v>0</v>
      </c>
    </row>
    <row r="34" spans="1:23" x14ac:dyDescent="0.25">
      <c r="A34" s="75">
        <f t="shared" si="1"/>
        <v>31</v>
      </c>
      <c r="B34" s="74" t="s">
        <v>18</v>
      </c>
      <c r="C34" s="47"/>
      <c r="D34" s="47"/>
      <c r="E34" s="47"/>
      <c r="F34" s="47"/>
      <c r="G34" s="47"/>
      <c r="H34" s="47"/>
      <c r="I34" s="47"/>
      <c r="J34" s="111"/>
      <c r="K34" s="46"/>
      <c r="M34" s="52"/>
      <c r="N34" s="121"/>
      <c r="O34" s="47"/>
      <c r="P34" s="111"/>
      <c r="Q34" s="111"/>
      <c r="R34" s="46"/>
      <c r="T34" s="91">
        <f t="shared" si="0"/>
        <v>0</v>
      </c>
      <c r="U34" s="50">
        <f t="shared" si="4"/>
        <v>0</v>
      </c>
      <c r="V34" s="50">
        <f t="shared" si="5"/>
        <v>0</v>
      </c>
    </row>
    <row r="35" spans="1:23" hidden="1" x14ac:dyDescent="0.25">
      <c r="A35" s="75">
        <f t="shared" si="1"/>
        <v>32</v>
      </c>
      <c r="B35" s="74" t="s">
        <v>26</v>
      </c>
      <c r="C35" s="47"/>
      <c r="D35" s="47"/>
      <c r="E35" s="47"/>
      <c r="F35" s="47"/>
      <c r="G35" s="47"/>
      <c r="H35" s="47"/>
      <c r="I35" s="47"/>
      <c r="J35" s="111"/>
      <c r="K35" s="46"/>
      <c r="M35" s="52"/>
      <c r="N35" s="121"/>
      <c r="O35" s="47"/>
      <c r="P35" s="111"/>
      <c r="Q35" s="111"/>
      <c r="R35" s="46"/>
      <c r="T35" s="91">
        <f t="shared" si="0"/>
        <v>0</v>
      </c>
      <c r="U35" s="50">
        <f t="shared" si="4"/>
        <v>0</v>
      </c>
      <c r="V35" s="50">
        <f t="shared" si="5"/>
        <v>0</v>
      </c>
    </row>
    <row r="36" spans="1:23" x14ac:dyDescent="0.25">
      <c r="A36" s="75">
        <f t="shared" si="1"/>
        <v>33</v>
      </c>
      <c r="B36" s="74" t="s">
        <v>19</v>
      </c>
      <c r="C36" s="47"/>
      <c r="D36" s="47"/>
      <c r="E36" s="47"/>
      <c r="F36" s="47"/>
      <c r="G36" s="47"/>
      <c r="H36" s="47"/>
      <c r="I36" s="47"/>
      <c r="J36" s="111"/>
      <c r="K36" s="46"/>
      <c r="M36" s="52"/>
      <c r="N36" s="121"/>
      <c r="O36" s="47"/>
      <c r="P36" s="111"/>
      <c r="Q36" s="111"/>
      <c r="R36" s="46"/>
      <c r="T36" s="91">
        <f t="shared" si="0"/>
        <v>0</v>
      </c>
      <c r="U36" s="50">
        <f t="shared" si="4"/>
        <v>0</v>
      </c>
      <c r="V36" s="50">
        <f t="shared" si="5"/>
        <v>0</v>
      </c>
    </row>
    <row r="37" spans="1:23" ht="19.5" thickBot="1" x14ac:dyDescent="0.3">
      <c r="A37" s="75">
        <f t="shared" si="1"/>
        <v>34</v>
      </c>
      <c r="B37" s="94" t="s">
        <v>20</v>
      </c>
      <c r="C37" s="95"/>
      <c r="D37" s="95"/>
      <c r="E37" s="95"/>
      <c r="F37" s="95"/>
      <c r="G37" s="95"/>
      <c r="H37" s="95"/>
      <c r="I37" s="95"/>
      <c r="J37" s="110"/>
      <c r="K37" s="96"/>
      <c r="L37" s="102"/>
      <c r="M37" s="103"/>
      <c r="N37" s="120"/>
      <c r="O37" s="97"/>
      <c r="P37" s="113"/>
      <c r="Q37" s="113"/>
      <c r="R37" s="98"/>
      <c r="S37" s="102"/>
      <c r="T37" s="104">
        <f t="shared" si="0"/>
        <v>0</v>
      </c>
      <c r="U37" s="104">
        <f>C37*6+M37*6+O37*6+Q37*6+T37</f>
        <v>0</v>
      </c>
      <c r="V37" s="104">
        <f>U37/6</f>
        <v>0</v>
      </c>
      <c r="W37" s="123"/>
    </row>
    <row r="38" spans="1:23" x14ac:dyDescent="0.25">
      <c r="A38" s="75">
        <f t="shared" si="1"/>
        <v>35</v>
      </c>
      <c r="B38" s="73" t="s">
        <v>21</v>
      </c>
      <c r="C38" s="47"/>
      <c r="D38" s="47"/>
      <c r="E38" s="47"/>
      <c r="F38" s="47"/>
      <c r="G38" s="47"/>
      <c r="H38" s="47"/>
      <c r="I38" s="47"/>
      <c r="J38" s="111"/>
      <c r="K38" s="46"/>
      <c r="M38" s="52"/>
      <c r="N38" s="121"/>
      <c r="O38" s="47"/>
      <c r="P38" s="111"/>
      <c r="Q38" s="111"/>
      <c r="R38" s="46"/>
      <c r="T38" s="50">
        <f t="shared" si="0"/>
        <v>0</v>
      </c>
      <c r="U38" s="50">
        <f>C38*24+M38*24+O38*24+Q38*24+T38</f>
        <v>0</v>
      </c>
      <c r="V38" s="50">
        <f>U38/24</f>
        <v>0</v>
      </c>
    </row>
    <row r="39" spans="1:23" x14ac:dyDescent="0.25">
      <c r="A39" s="75">
        <f t="shared" si="1"/>
        <v>36</v>
      </c>
      <c r="B39" s="132" t="s">
        <v>73</v>
      </c>
      <c r="C39" s="133"/>
      <c r="D39" s="133"/>
      <c r="E39" s="133"/>
      <c r="F39" s="133"/>
      <c r="G39" s="133"/>
      <c r="H39" s="133"/>
      <c r="I39" s="133"/>
      <c r="J39" s="134"/>
      <c r="K39" s="135"/>
      <c r="M39" s="136"/>
      <c r="N39" s="137"/>
      <c r="O39" s="133"/>
      <c r="P39" s="134"/>
      <c r="Q39" s="134"/>
      <c r="R39" s="135"/>
      <c r="T39" s="138"/>
      <c r="U39" s="138"/>
      <c r="V39" s="138"/>
    </row>
    <row r="40" spans="1:23" ht="19.5" thickBot="1" x14ac:dyDescent="0.3">
      <c r="A40" s="75">
        <f t="shared" si="1"/>
        <v>37</v>
      </c>
      <c r="B40" s="94" t="s">
        <v>22</v>
      </c>
      <c r="C40" s="95"/>
      <c r="D40" s="95"/>
      <c r="E40" s="95"/>
      <c r="F40" s="95"/>
      <c r="G40" s="95"/>
      <c r="H40" s="95"/>
      <c r="I40" s="95"/>
      <c r="J40" s="110"/>
      <c r="K40" s="96"/>
      <c r="L40" s="102"/>
      <c r="M40" s="103"/>
      <c r="N40" s="120"/>
      <c r="O40" s="97"/>
      <c r="P40" s="113"/>
      <c r="Q40" s="113"/>
      <c r="R40" s="98"/>
      <c r="S40" s="102"/>
      <c r="T40" s="104">
        <f t="shared" si="0"/>
        <v>0</v>
      </c>
      <c r="U40" s="104">
        <f>C40*24+M40*24+O40*24+Q40*24+T40</f>
        <v>0</v>
      </c>
      <c r="V40" s="104">
        <f>U40/24</f>
        <v>0</v>
      </c>
    </row>
    <row r="41" spans="1:23" ht="19.5" thickBot="1" x14ac:dyDescent="0.3">
      <c r="A41" s="75">
        <f t="shared" si="1"/>
        <v>38</v>
      </c>
      <c r="B41" s="99" t="s">
        <v>23</v>
      </c>
      <c r="C41" s="100"/>
      <c r="D41" s="100"/>
      <c r="E41" s="100"/>
      <c r="F41" s="100"/>
      <c r="G41" s="100"/>
      <c r="H41" s="100"/>
      <c r="I41" s="100"/>
      <c r="J41" s="112"/>
      <c r="K41" s="101"/>
      <c r="L41" s="105"/>
      <c r="M41" s="106"/>
      <c r="N41" s="122"/>
      <c r="O41" s="100"/>
      <c r="P41" s="112"/>
      <c r="Q41" s="112"/>
      <c r="R41" s="101"/>
      <c r="S41" s="105"/>
      <c r="T41" s="107">
        <f t="shared" si="0"/>
        <v>0</v>
      </c>
      <c r="U41" s="107">
        <f>C41*12+M41*12+O41*12+Q41*12+T41</f>
        <v>0</v>
      </c>
      <c r="V41" s="107">
        <f>U41/12</f>
        <v>0</v>
      </c>
    </row>
    <row r="42" spans="1:23" hidden="1" x14ac:dyDescent="0.25">
      <c r="A42" s="75">
        <f t="shared" si="1"/>
        <v>39</v>
      </c>
      <c r="B42" s="73" t="s">
        <v>31</v>
      </c>
      <c r="C42" s="47"/>
      <c r="D42" s="47"/>
      <c r="E42" s="47"/>
      <c r="F42" s="47"/>
      <c r="G42" s="47"/>
      <c r="H42" s="47"/>
      <c r="I42" s="47"/>
      <c r="J42" s="111"/>
      <c r="K42" s="46"/>
      <c r="M42" s="52"/>
      <c r="N42" s="121"/>
      <c r="O42" s="47"/>
      <c r="P42" s="111"/>
      <c r="Q42" s="111"/>
      <c r="R42" s="46"/>
      <c r="T42" s="50"/>
      <c r="U42" s="50"/>
      <c r="V42" s="50"/>
    </row>
    <row r="43" spans="1:23" ht="19.5" thickBot="1" x14ac:dyDescent="0.3">
      <c r="A43" s="75">
        <f t="shared" si="1"/>
        <v>40</v>
      </c>
      <c r="B43" s="94" t="s">
        <v>24</v>
      </c>
      <c r="C43" s="97"/>
      <c r="D43" s="97"/>
      <c r="E43" s="97"/>
      <c r="F43" s="97"/>
      <c r="G43" s="97"/>
      <c r="H43" s="97"/>
      <c r="I43" s="97"/>
      <c r="J43" s="113"/>
      <c r="K43" s="98"/>
      <c r="L43" s="102"/>
      <c r="M43" s="103"/>
      <c r="N43" s="120"/>
      <c r="O43" s="97"/>
      <c r="P43" s="113"/>
      <c r="Q43" s="113"/>
      <c r="R43" s="98"/>
      <c r="S43" s="102"/>
      <c r="T43" s="104">
        <f t="shared" ref="T43" si="6">H43+I43+J43+K43+N43+P43+R43</f>
        <v>0</v>
      </c>
      <c r="U43" s="104">
        <f>C43*6+M43*6+O43*6+Q43*6+T43</f>
        <v>0</v>
      </c>
      <c r="V43" s="104">
        <f>U43/6</f>
        <v>0</v>
      </c>
    </row>
    <row r="44" spans="1:23" hidden="1" x14ac:dyDescent="0.25">
      <c r="A44" s="75">
        <f t="shared" si="1"/>
        <v>41</v>
      </c>
      <c r="B44" s="73" t="s">
        <v>33</v>
      </c>
      <c r="C44" s="47"/>
      <c r="D44" s="47"/>
      <c r="E44" s="47"/>
      <c r="F44" s="47"/>
      <c r="G44" s="47"/>
      <c r="H44" s="47"/>
      <c r="I44" s="47"/>
      <c r="J44" s="111"/>
      <c r="K44" s="46"/>
      <c r="M44" s="52"/>
      <c r="N44" s="121"/>
      <c r="O44" s="47"/>
      <c r="P44" s="111"/>
      <c r="Q44" s="111"/>
      <c r="R44" s="46"/>
      <c r="T44" s="50"/>
      <c r="U44" s="50"/>
      <c r="V44" s="50"/>
    </row>
    <row r="45" spans="1:23" x14ac:dyDescent="0.25">
      <c r="A45" s="75">
        <f t="shared" si="1"/>
        <v>42</v>
      </c>
      <c r="B45" s="74" t="s">
        <v>25</v>
      </c>
      <c r="C45" s="47"/>
      <c r="D45" s="47"/>
      <c r="E45" s="47"/>
      <c r="F45" s="47"/>
      <c r="G45" s="47"/>
      <c r="H45" s="47"/>
      <c r="I45" s="47"/>
      <c r="J45" s="111"/>
      <c r="K45" s="46"/>
      <c r="M45" s="52"/>
      <c r="N45" s="121"/>
      <c r="O45" s="47"/>
      <c r="P45" s="111"/>
      <c r="Q45" s="111"/>
      <c r="R45" s="46"/>
      <c r="T45" s="50">
        <f t="shared" ref="T45:T54" si="7">H45+I45+J45+K45+N45+P45+R45</f>
        <v>0</v>
      </c>
      <c r="U45" s="50">
        <f>C45*24+M45*24+O45*24+Q45*24+T45</f>
        <v>0</v>
      </c>
      <c r="V45" s="50">
        <f>U45/24</f>
        <v>0</v>
      </c>
    </row>
    <row r="46" spans="1:23" x14ac:dyDescent="0.25">
      <c r="A46" s="75">
        <f t="shared" si="1"/>
        <v>43</v>
      </c>
      <c r="B46" s="74" t="s">
        <v>68</v>
      </c>
      <c r="C46" s="47"/>
      <c r="D46" s="47"/>
      <c r="E46" s="47"/>
      <c r="F46" s="47"/>
      <c r="G46" s="47"/>
      <c r="H46" s="47"/>
      <c r="I46" s="47"/>
      <c r="J46" s="111"/>
      <c r="K46" s="46"/>
      <c r="M46" s="52"/>
      <c r="N46" s="121"/>
      <c r="O46" s="47"/>
      <c r="P46" s="111"/>
      <c r="Q46" s="111"/>
      <c r="R46" s="46"/>
      <c r="T46" s="50">
        <f t="shared" si="7"/>
        <v>0</v>
      </c>
      <c r="U46" s="50">
        <f t="shared" ref="U46:U48" si="8">C46*24+M46*24+O46*24+Q46*24+T46</f>
        <v>0</v>
      </c>
      <c r="V46" s="50">
        <f t="shared" ref="V46:V54" si="9">U46/24</f>
        <v>0</v>
      </c>
    </row>
    <row r="47" spans="1:23" x14ac:dyDescent="0.25">
      <c r="A47" s="75">
        <f t="shared" si="1"/>
        <v>44</v>
      </c>
      <c r="B47" s="74" t="s">
        <v>26</v>
      </c>
      <c r="C47" s="47"/>
      <c r="D47" s="47"/>
      <c r="E47" s="47"/>
      <c r="F47" s="47"/>
      <c r="G47" s="47"/>
      <c r="H47" s="47"/>
      <c r="I47" s="47"/>
      <c r="J47" s="111"/>
      <c r="K47" s="46"/>
      <c r="M47" s="52"/>
      <c r="N47" s="121"/>
      <c r="O47" s="47"/>
      <c r="P47" s="111"/>
      <c r="Q47" s="111"/>
      <c r="R47" s="46"/>
      <c r="T47" s="50">
        <f t="shared" si="7"/>
        <v>0</v>
      </c>
      <c r="U47" s="50">
        <f t="shared" si="8"/>
        <v>0</v>
      </c>
      <c r="V47" s="50">
        <f t="shared" si="9"/>
        <v>0</v>
      </c>
    </row>
    <row r="48" spans="1:23" x14ac:dyDescent="0.25">
      <c r="A48" s="75">
        <f t="shared" si="1"/>
        <v>45</v>
      </c>
      <c r="B48" s="74" t="s">
        <v>69</v>
      </c>
      <c r="C48" s="47"/>
      <c r="D48" s="47"/>
      <c r="E48" s="47"/>
      <c r="F48" s="47"/>
      <c r="G48" s="47"/>
      <c r="H48" s="47"/>
      <c r="I48" s="47"/>
      <c r="J48" s="111"/>
      <c r="K48" s="46"/>
      <c r="M48" s="52"/>
      <c r="N48" s="121"/>
      <c r="O48" s="47"/>
      <c r="P48" s="111"/>
      <c r="Q48" s="111"/>
      <c r="R48" s="46"/>
      <c r="T48" s="50">
        <f t="shared" si="7"/>
        <v>0</v>
      </c>
      <c r="U48" s="50">
        <f t="shared" si="8"/>
        <v>0</v>
      </c>
      <c r="V48" s="50">
        <f t="shared" si="9"/>
        <v>0</v>
      </c>
    </row>
    <row r="49" spans="1:22" x14ac:dyDescent="0.25">
      <c r="A49" s="75">
        <f t="shared" si="1"/>
        <v>46</v>
      </c>
      <c r="B49" s="74" t="s">
        <v>28</v>
      </c>
      <c r="C49" s="47"/>
      <c r="D49" s="47"/>
      <c r="E49" s="47"/>
      <c r="F49" s="47"/>
      <c r="G49" s="47"/>
      <c r="H49" s="47"/>
      <c r="I49" s="47"/>
      <c r="J49" s="111"/>
      <c r="K49" s="46"/>
      <c r="M49" s="52"/>
      <c r="N49" s="121"/>
      <c r="O49" s="47"/>
      <c r="P49" s="111"/>
      <c r="Q49" s="111"/>
      <c r="R49" s="46"/>
      <c r="T49" s="50">
        <f t="shared" si="7"/>
        <v>0</v>
      </c>
      <c r="U49" s="50">
        <f>C49*6+M49*6+O49*6+Q49*6+T49</f>
        <v>0</v>
      </c>
      <c r="V49" s="50">
        <f>U49/6</f>
        <v>0</v>
      </c>
    </row>
    <row r="50" spans="1:22" x14ac:dyDescent="0.25">
      <c r="A50" s="75">
        <f t="shared" si="1"/>
        <v>47</v>
      </c>
      <c r="B50" s="74" t="s">
        <v>70</v>
      </c>
      <c r="C50" s="47"/>
      <c r="D50" s="47"/>
      <c r="E50" s="47"/>
      <c r="F50" s="47"/>
      <c r="G50" s="47"/>
      <c r="H50" s="47"/>
      <c r="I50" s="47"/>
      <c r="J50" s="111"/>
      <c r="K50" s="46"/>
      <c r="M50" s="52"/>
      <c r="N50" s="121"/>
      <c r="O50" s="47"/>
      <c r="P50" s="111"/>
      <c r="Q50" s="111"/>
      <c r="R50" s="46"/>
      <c r="T50" s="50">
        <f t="shared" si="7"/>
        <v>0</v>
      </c>
      <c r="U50" s="50">
        <f t="shared" ref="U50:U52" si="10">C50*24+M50*24+O50*24+Q50*24+T50</f>
        <v>0</v>
      </c>
      <c r="V50" s="50">
        <f t="shared" si="9"/>
        <v>0</v>
      </c>
    </row>
    <row r="51" spans="1:22" x14ac:dyDescent="0.25">
      <c r="A51" s="75">
        <f t="shared" si="1"/>
        <v>48</v>
      </c>
      <c r="B51" s="74" t="s">
        <v>29</v>
      </c>
      <c r="C51" s="47"/>
      <c r="D51" s="47"/>
      <c r="E51" s="47"/>
      <c r="F51" s="47"/>
      <c r="G51" s="47"/>
      <c r="H51" s="47"/>
      <c r="I51" s="47"/>
      <c r="J51" s="111"/>
      <c r="K51" s="46"/>
      <c r="M51" s="52"/>
      <c r="N51" s="121"/>
      <c r="O51" s="47"/>
      <c r="P51" s="111"/>
      <c r="Q51" s="111"/>
      <c r="R51" s="46"/>
      <c r="T51" s="50">
        <f t="shared" si="7"/>
        <v>0</v>
      </c>
      <c r="U51" s="50">
        <f t="shared" si="10"/>
        <v>0</v>
      </c>
      <c r="V51" s="50">
        <f t="shared" si="9"/>
        <v>0</v>
      </c>
    </row>
    <row r="52" spans="1:22" x14ac:dyDescent="0.25">
      <c r="A52" s="75">
        <f t="shared" si="1"/>
        <v>49</v>
      </c>
      <c r="B52" s="74" t="s">
        <v>30</v>
      </c>
      <c r="C52" s="47"/>
      <c r="D52" s="47"/>
      <c r="E52" s="47"/>
      <c r="F52" s="47"/>
      <c r="G52" s="47"/>
      <c r="H52" s="47"/>
      <c r="I52" s="47"/>
      <c r="J52" s="111"/>
      <c r="K52" s="46"/>
      <c r="M52" s="52"/>
      <c r="N52" s="121"/>
      <c r="O52" s="47"/>
      <c r="P52" s="111"/>
      <c r="Q52" s="111"/>
      <c r="R52" s="46"/>
      <c r="T52" s="50">
        <f t="shared" si="7"/>
        <v>0</v>
      </c>
      <c r="U52" s="50">
        <f t="shared" si="10"/>
        <v>0</v>
      </c>
      <c r="V52" s="50">
        <f t="shared" si="9"/>
        <v>0</v>
      </c>
    </row>
    <row r="53" spans="1:22" x14ac:dyDescent="0.25">
      <c r="A53" s="75">
        <f t="shared" si="1"/>
        <v>50</v>
      </c>
      <c r="B53" s="74" t="s">
        <v>75</v>
      </c>
      <c r="C53" s="47"/>
      <c r="D53" s="47"/>
      <c r="E53" s="47"/>
      <c r="F53" s="47"/>
      <c r="G53" s="47"/>
      <c r="H53" s="47"/>
      <c r="I53" s="47"/>
      <c r="J53" s="111"/>
      <c r="K53" s="46"/>
      <c r="M53" s="52"/>
      <c r="N53" s="121"/>
      <c r="O53" s="47"/>
      <c r="P53" s="111"/>
      <c r="Q53" s="111"/>
      <c r="R53" s="46"/>
      <c r="T53" s="50">
        <f t="shared" si="7"/>
        <v>0</v>
      </c>
      <c r="U53" s="50">
        <f>C53*6+M53*6+O53*6+Q53*6+T53</f>
        <v>0</v>
      </c>
      <c r="V53" s="50">
        <f>U53/6</f>
        <v>0</v>
      </c>
    </row>
    <row r="54" spans="1:22" x14ac:dyDescent="0.25">
      <c r="A54" s="75">
        <f t="shared" si="1"/>
        <v>51</v>
      </c>
      <c r="B54" s="74"/>
      <c r="C54" s="47"/>
      <c r="D54" s="47"/>
      <c r="E54" s="47"/>
      <c r="F54" s="47"/>
      <c r="G54" s="47"/>
      <c r="H54" s="47"/>
      <c r="I54" s="47"/>
      <c r="J54" s="111"/>
      <c r="K54" s="46"/>
      <c r="M54" s="52"/>
      <c r="N54" s="121"/>
      <c r="O54" s="47"/>
      <c r="P54" s="111"/>
      <c r="Q54" s="111"/>
      <c r="R54" s="46"/>
      <c r="T54" s="50">
        <f t="shared" si="7"/>
        <v>0</v>
      </c>
      <c r="U54" s="50">
        <f t="shared" ref="U54" si="11">C54*24+M54*24+O54*24+Q54*24+T54</f>
        <v>0</v>
      </c>
      <c r="V54" s="50">
        <f t="shared" si="9"/>
        <v>0</v>
      </c>
    </row>
    <row r="55" spans="1:22" x14ac:dyDescent="0.25">
      <c r="A55" s="75">
        <f t="shared" si="1"/>
        <v>52</v>
      </c>
      <c r="B55" s="74"/>
      <c r="C55" s="47"/>
      <c r="D55" s="47"/>
      <c r="E55" s="47"/>
      <c r="F55" s="47"/>
      <c r="G55" s="47"/>
      <c r="H55" s="47"/>
      <c r="I55" s="47"/>
      <c r="J55" s="111"/>
      <c r="K55" s="46"/>
      <c r="M55" s="52"/>
      <c r="N55" s="121"/>
      <c r="O55" s="47"/>
      <c r="P55" s="111"/>
      <c r="Q55" s="111"/>
      <c r="R55" s="46"/>
      <c r="T55" s="50"/>
      <c r="U55" s="50"/>
      <c r="V55" s="50"/>
    </row>
    <row r="56" spans="1:22" x14ac:dyDescent="0.25">
      <c r="A56" s="75">
        <f t="shared" si="1"/>
        <v>53</v>
      </c>
      <c r="B56" s="74"/>
      <c r="C56" s="47"/>
      <c r="D56" s="47"/>
      <c r="E56" s="47"/>
      <c r="F56" s="47"/>
      <c r="G56" s="47"/>
      <c r="H56" s="47"/>
      <c r="I56" s="47"/>
      <c r="J56" s="111"/>
      <c r="K56" s="46"/>
      <c r="M56" s="52"/>
      <c r="N56" s="121"/>
      <c r="O56" s="47"/>
      <c r="P56" s="111"/>
      <c r="Q56" s="111"/>
      <c r="R56" s="46"/>
      <c r="T56" s="50"/>
      <c r="U56" s="50"/>
      <c r="V56" s="50"/>
    </row>
    <row r="57" spans="1:22" x14ac:dyDescent="0.25">
      <c r="A57" s="75">
        <f t="shared" si="1"/>
        <v>54</v>
      </c>
      <c r="B57" s="74"/>
      <c r="C57" s="47"/>
      <c r="D57" s="47"/>
      <c r="E57" s="47"/>
      <c r="F57" s="47"/>
      <c r="G57" s="47"/>
      <c r="H57" s="47"/>
      <c r="I57" s="47"/>
      <c r="J57" s="111"/>
      <c r="K57" s="46"/>
      <c r="M57" s="52"/>
      <c r="N57" s="121"/>
      <c r="O57" s="47"/>
      <c r="P57" s="111"/>
      <c r="Q57" s="111"/>
      <c r="R57" s="46"/>
      <c r="T57" s="50"/>
      <c r="U57" s="50"/>
      <c r="V57" s="50"/>
    </row>
    <row r="58" spans="1:22" s="63" customFormat="1" ht="19.5" thickBot="1" x14ac:dyDescent="0.3">
      <c r="B58" s="77" t="s">
        <v>60</v>
      </c>
      <c r="C58" s="49">
        <f>SUM(C7:C57)</f>
        <v>0</v>
      </c>
      <c r="D58" s="49"/>
      <c r="E58" s="49"/>
      <c r="F58" s="49">
        <f t="shared" ref="F58:K58" si="12">SUM(F7:F57)</f>
        <v>0</v>
      </c>
      <c r="G58" s="49">
        <f t="shared" si="12"/>
        <v>0</v>
      </c>
      <c r="H58" s="49">
        <f t="shared" si="12"/>
        <v>0</v>
      </c>
      <c r="I58" s="54">
        <f t="shared" si="12"/>
        <v>0</v>
      </c>
      <c r="J58" s="54">
        <f t="shared" si="12"/>
        <v>0</v>
      </c>
      <c r="K58" s="54">
        <f t="shared" si="12"/>
        <v>0</v>
      </c>
      <c r="M58" s="53">
        <f t="shared" ref="M58:R58" si="13">SUM(M7:M57)</f>
        <v>0</v>
      </c>
      <c r="N58" s="53">
        <f t="shared" si="13"/>
        <v>0</v>
      </c>
      <c r="O58" s="53">
        <f t="shared" si="13"/>
        <v>0</v>
      </c>
      <c r="P58" s="53">
        <f t="shared" si="13"/>
        <v>0</v>
      </c>
      <c r="Q58" s="53">
        <f t="shared" si="13"/>
        <v>0</v>
      </c>
      <c r="R58" s="53">
        <f t="shared" si="13"/>
        <v>0</v>
      </c>
      <c r="S58" s="57"/>
      <c r="T58" s="51">
        <f>SUM(T7:T57)</f>
        <v>0</v>
      </c>
      <c r="U58" s="51">
        <f>SUM(U7:U57)</f>
        <v>0</v>
      </c>
      <c r="V58" s="51">
        <f>SUM(V7:V57)</f>
        <v>0</v>
      </c>
    </row>
    <row r="59" spans="1:22" ht="7.5" customHeight="1" thickBot="1" x14ac:dyDescent="0.3"/>
    <row r="60" spans="1:22" ht="19.5" thickBot="1" x14ac:dyDescent="0.3">
      <c r="B60" s="78" t="s">
        <v>39</v>
      </c>
      <c r="C60" s="191" t="s">
        <v>49</v>
      </c>
      <c r="D60" s="192"/>
      <c r="E60" s="192"/>
      <c r="F60" s="192"/>
      <c r="G60" s="192"/>
      <c r="H60" s="192"/>
      <c r="I60" s="192"/>
      <c r="J60" s="192"/>
      <c r="K60" s="193"/>
      <c r="U60" s="72" t="s">
        <v>62</v>
      </c>
    </row>
    <row r="61" spans="1:22" x14ac:dyDescent="0.25">
      <c r="B61" s="79" t="s">
        <v>18</v>
      </c>
      <c r="C61" s="67"/>
      <c r="D61" s="67"/>
      <c r="E61" s="67"/>
      <c r="F61" s="67"/>
      <c r="G61" s="67"/>
      <c r="H61" s="67"/>
      <c r="I61" s="67"/>
      <c r="J61" s="114"/>
      <c r="K61" s="68"/>
      <c r="U61" s="55"/>
    </row>
    <row r="62" spans="1:22" x14ac:dyDescent="0.25">
      <c r="B62" s="80" t="s">
        <v>55</v>
      </c>
      <c r="C62" s="48"/>
      <c r="D62" s="48"/>
      <c r="E62" s="48"/>
      <c r="F62" s="48"/>
      <c r="G62" s="48"/>
      <c r="H62" s="48"/>
      <c r="I62" s="48"/>
      <c r="J62" s="109"/>
      <c r="K62" s="69"/>
      <c r="U62" s="50"/>
    </row>
    <row r="63" spans="1:22" ht="19.5" thickBot="1" x14ac:dyDescent="0.3">
      <c r="B63" s="81" t="s">
        <v>54</v>
      </c>
      <c r="C63" s="70"/>
      <c r="D63" s="70"/>
      <c r="E63" s="70"/>
      <c r="F63" s="70"/>
      <c r="G63" s="70"/>
      <c r="H63" s="70"/>
      <c r="I63" s="70"/>
      <c r="J63" s="115"/>
      <c r="K63" s="71"/>
      <c r="U63" s="56"/>
    </row>
    <row r="64" spans="1:22" ht="7.5" customHeight="1" thickBot="1" x14ac:dyDescent="0.3"/>
    <row r="65" spans="2:21" x14ac:dyDescent="0.25">
      <c r="B65" s="79" t="s">
        <v>56</v>
      </c>
      <c r="C65" s="67"/>
      <c r="D65" s="67"/>
      <c r="E65" s="67"/>
      <c r="F65" s="67"/>
      <c r="G65" s="67"/>
      <c r="H65" s="67"/>
      <c r="I65" s="67"/>
      <c r="J65" s="114"/>
      <c r="K65" s="68"/>
      <c r="U65" s="55"/>
    </row>
    <row r="66" spans="2:21" x14ac:dyDescent="0.25">
      <c r="B66" s="80" t="s">
        <v>55</v>
      </c>
      <c r="C66" s="48"/>
      <c r="D66" s="48"/>
      <c r="E66" s="48"/>
      <c r="F66" s="48"/>
      <c r="G66" s="48"/>
      <c r="H66" s="48"/>
      <c r="I66" s="48"/>
      <c r="J66" s="109"/>
      <c r="K66" s="69"/>
      <c r="U66" s="50"/>
    </row>
    <row r="67" spans="2:21" ht="19.5" thickBot="1" x14ac:dyDescent="0.3">
      <c r="B67" s="81" t="s">
        <v>54</v>
      </c>
      <c r="C67" s="70"/>
      <c r="D67" s="70"/>
      <c r="E67" s="70"/>
      <c r="F67" s="70"/>
      <c r="G67" s="70"/>
      <c r="H67" s="70"/>
      <c r="I67" s="70"/>
      <c r="J67" s="115"/>
      <c r="K67" s="71"/>
      <c r="U67" s="56"/>
    </row>
    <row r="68" spans="2:21" ht="7.5" customHeight="1" thickBot="1" x14ac:dyDescent="0.3"/>
    <row r="69" spans="2:21" x14ac:dyDescent="0.25">
      <c r="B69" s="79" t="s">
        <v>41</v>
      </c>
      <c r="C69" s="67"/>
      <c r="D69" s="67"/>
      <c r="E69" s="67"/>
      <c r="F69" s="67"/>
      <c r="G69" s="67"/>
      <c r="H69" s="67"/>
      <c r="I69" s="67"/>
      <c r="J69" s="114"/>
      <c r="K69" s="68"/>
      <c r="U69" s="55"/>
    </row>
    <row r="70" spans="2:21" x14ac:dyDescent="0.25">
      <c r="B70" s="80" t="s">
        <v>55</v>
      </c>
      <c r="C70" s="48"/>
      <c r="D70" s="48"/>
      <c r="E70" s="48"/>
      <c r="F70" s="48"/>
      <c r="G70" s="48"/>
      <c r="H70" s="48"/>
      <c r="I70" s="48"/>
      <c r="J70" s="109"/>
      <c r="K70" s="69"/>
      <c r="U70" s="50"/>
    </row>
    <row r="71" spans="2:21" ht="19.5" thickBot="1" x14ac:dyDescent="0.3">
      <c r="B71" s="81" t="s">
        <v>54</v>
      </c>
      <c r="C71" s="70"/>
      <c r="D71" s="70"/>
      <c r="E71" s="70"/>
      <c r="F71" s="70"/>
      <c r="G71" s="70"/>
      <c r="H71" s="70"/>
      <c r="I71" s="70"/>
      <c r="J71" s="115"/>
      <c r="K71" s="71"/>
      <c r="U71" s="56"/>
    </row>
    <row r="72" spans="2:21" ht="7.5" customHeight="1" thickBot="1" x14ac:dyDescent="0.3"/>
    <row r="73" spans="2:21" x14ac:dyDescent="0.25">
      <c r="B73" s="79" t="s">
        <v>57</v>
      </c>
      <c r="C73" s="67"/>
      <c r="D73" s="67"/>
      <c r="E73" s="67"/>
      <c r="F73" s="67"/>
      <c r="G73" s="67"/>
      <c r="H73" s="67"/>
      <c r="I73" s="67"/>
      <c r="J73" s="114"/>
      <c r="K73" s="68"/>
      <c r="U73" s="55"/>
    </row>
    <row r="74" spans="2:21" x14ac:dyDescent="0.25">
      <c r="B74" s="80" t="s">
        <v>55</v>
      </c>
      <c r="C74" s="48"/>
      <c r="D74" s="48"/>
      <c r="E74" s="48"/>
      <c r="F74" s="48"/>
      <c r="G74" s="48"/>
      <c r="H74" s="48"/>
      <c r="I74" s="48"/>
      <c r="J74" s="109"/>
      <c r="K74" s="69"/>
      <c r="U74" s="50"/>
    </row>
    <row r="75" spans="2:21" ht="19.5" thickBot="1" x14ac:dyDescent="0.3">
      <c r="B75" s="81" t="s">
        <v>54</v>
      </c>
      <c r="C75" s="70"/>
      <c r="D75" s="70"/>
      <c r="E75" s="70"/>
      <c r="F75" s="70"/>
      <c r="G75" s="70"/>
      <c r="H75" s="70"/>
      <c r="I75" s="70"/>
      <c r="J75" s="115"/>
      <c r="K75" s="71"/>
      <c r="U75" s="56"/>
    </row>
    <row r="76" spans="2:21" ht="7.5" customHeight="1" thickBot="1" x14ac:dyDescent="0.3"/>
    <row r="77" spans="2:21" x14ac:dyDescent="0.25">
      <c r="B77" s="79" t="s">
        <v>58</v>
      </c>
      <c r="C77" s="67"/>
      <c r="D77" s="67"/>
      <c r="E77" s="67"/>
      <c r="F77" s="67"/>
      <c r="G77" s="67"/>
      <c r="H77" s="67"/>
      <c r="I77" s="67"/>
      <c r="J77" s="114"/>
      <c r="K77" s="68"/>
      <c r="U77" s="55"/>
    </row>
    <row r="78" spans="2:21" x14ac:dyDescent="0.25">
      <c r="B78" s="80" t="s">
        <v>55</v>
      </c>
      <c r="C78" s="48"/>
      <c r="D78" s="48"/>
      <c r="E78" s="48"/>
      <c r="F78" s="48"/>
      <c r="G78" s="48"/>
      <c r="H78" s="48"/>
      <c r="I78" s="48"/>
      <c r="J78" s="109"/>
      <c r="K78" s="69"/>
      <c r="U78" s="50"/>
    </row>
    <row r="79" spans="2:21" ht="19.5" thickBot="1" x14ac:dyDescent="0.3">
      <c r="B79" s="81" t="s">
        <v>54</v>
      </c>
      <c r="C79" s="70"/>
      <c r="D79" s="70"/>
      <c r="E79" s="70"/>
      <c r="F79" s="70"/>
      <c r="G79" s="70"/>
      <c r="H79" s="70"/>
      <c r="I79" s="70"/>
      <c r="J79" s="115"/>
      <c r="K79" s="71"/>
      <c r="U79" s="56"/>
    </row>
    <row r="80" spans="2:21" ht="7.5" customHeight="1" thickBot="1" x14ac:dyDescent="0.3"/>
    <row r="81" spans="2:21" ht="19.5" thickBot="1" x14ac:dyDescent="0.3">
      <c r="B81" s="78" t="s">
        <v>59</v>
      </c>
      <c r="C81" s="65"/>
      <c r="D81" s="65"/>
      <c r="E81" s="65"/>
      <c r="F81" s="65"/>
      <c r="G81" s="65"/>
      <c r="H81" s="65"/>
      <c r="I81" s="65"/>
      <c r="J81" s="116"/>
      <c r="K81" s="66"/>
      <c r="U81" s="64"/>
    </row>
  </sheetData>
  <mergeCells count="7">
    <mergeCell ref="V4:V5"/>
    <mergeCell ref="J5:K5"/>
    <mergeCell ref="C60:K60"/>
    <mergeCell ref="I1:U1"/>
    <mergeCell ref="C4:K4"/>
    <mergeCell ref="T4:T5"/>
    <mergeCell ref="U4:U5"/>
  </mergeCells>
  <printOptions horizontalCentered="1" verticalCentered="1"/>
  <pageMargins left="0" right="0" top="0" bottom="0" header="0" footer="0"/>
  <pageSetup paperSize="14" scale="55" orientation="portrait" horizontalDpi="360" verticalDpi="360" r:id="rId1"/>
  <colBreaks count="1" manualBreakCount="1">
    <brk id="24" max="80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D0FAF-93FD-4661-8F84-CB345153E478}">
  <sheetPr>
    <pageSetUpPr fitToPage="1"/>
  </sheetPr>
  <dimension ref="A1:BB81"/>
  <sheetViews>
    <sheetView zoomScaleNormal="100" zoomScaleSheetLayoutView="115" workbookViewId="0">
      <selection activeCell="T12" sqref="T12"/>
    </sheetView>
  </sheetViews>
  <sheetFormatPr defaultColWidth="9.140625" defaultRowHeight="18.75" x14ac:dyDescent="0.25"/>
  <cols>
    <col min="1" max="1" width="4.140625" style="57" bestFit="1" customWidth="1"/>
    <col min="2" max="2" width="12.28515625" style="76" customWidth="1"/>
    <col min="3" max="6" width="10" style="57" customWidth="1"/>
    <col min="7" max="7" width="6.85546875" style="57" customWidth="1"/>
    <col min="8" max="8" width="6.7109375" style="57" customWidth="1"/>
    <col min="9" max="9" width="5.5703125" style="57" bestFit="1" customWidth="1"/>
    <col min="10" max="10" width="6.85546875" style="57" customWidth="1"/>
    <col min="11" max="11" width="5.5703125" style="57" bestFit="1" customWidth="1"/>
    <col min="12" max="12" width="1.42578125" style="57" customWidth="1"/>
    <col min="13" max="13" width="10" style="57" customWidth="1"/>
    <col min="14" max="14" width="5.5703125" style="57" bestFit="1" customWidth="1"/>
    <col min="15" max="15" width="10" style="57" customWidth="1"/>
    <col min="16" max="16" width="5.5703125" style="57" customWidth="1"/>
    <col min="17" max="17" width="10" style="57" customWidth="1"/>
    <col min="18" max="18" width="5.5703125" style="57" bestFit="1" customWidth="1"/>
    <col min="19" max="19" width="1.42578125" style="57" customWidth="1"/>
    <col min="20" max="20" width="12.5703125" style="57" bestFit="1" customWidth="1"/>
    <col min="21" max="21" width="14.28515625" style="57" customWidth="1"/>
    <col min="22" max="22" width="19.42578125" style="57" bestFit="1" customWidth="1"/>
    <col min="23" max="49" width="7.28515625" style="57" customWidth="1"/>
    <col min="50" max="50" width="1.5703125" style="57" customWidth="1"/>
    <col min="51" max="51" width="9.42578125" style="57" customWidth="1"/>
    <col min="52" max="52" width="1.28515625" style="57" customWidth="1"/>
    <col min="53" max="53" width="12.7109375" style="57" bestFit="1" customWidth="1"/>
    <col min="54" max="54" width="10.28515625" style="57" bestFit="1" customWidth="1"/>
    <col min="55" max="16384" width="9.140625" style="57"/>
  </cols>
  <sheetData>
    <row r="1" spans="1:54" ht="15" customHeight="1" x14ac:dyDescent="0.25">
      <c r="B1" s="75" t="s">
        <v>51</v>
      </c>
      <c r="I1" s="194" t="s">
        <v>53</v>
      </c>
      <c r="J1" s="194"/>
      <c r="K1" s="194"/>
      <c r="L1" s="194"/>
      <c r="M1" s="194"/>
      <c r="N1" s="194"/>
      <c r="O1" s="194"/>
      <c r="P1" s="194"/>
      <c r="Q1" s="194"/>
      <c r="R1" s="194"/>
      <c r="S1" s="194"/>
      <c r="T1" s="194"/>
      <c r="U1" s="194"/>
    </row>
    <row r="2" spans="1:54" x14ac:dyDescent="0.25">
      <c r="B2" s="76" t="s">
        <v>95</v>
      </c>
    </row>
    <row r="3" spans="1:54" ht="19.5" thickBot="1" x14ac:dyDescent="0.3"/>
    <row r="4" spans="1:54" s="58" customFormat="1" ht="15.75" x14ac:dyDescent="0.25">
      <c r="B4" s="93" t="s">
        <v>63</v>
      </c>
      <c r="C4" s="189" t="s">
        <v>49</v>
      </c>
      <c r="D4" s="189"/>
      <c r="E4" s="189"/>
      <c r="F4" s="189"/>
      <c r="G4" s="189"/>
      <c r="H4" s="189"/>
      <c r="I4" s="189"/>
      <c r="J4" s="199"/>
      <c r="K4" s="190"/>
      <c r="M4" s="82" t="s">
        <v>0</v>
      </c>
      <c r="N4" s="117" t="s">
        <v>72</v>
      </c>
      <c r="O4" s="84" t="s">
        <v>45</v>
      </c>
      <c r="P4" s="117" t="s">
        <v>72</v>
      </c>
      <c r="Q4" s="85" t="s">
        <v>46</v>
      </c>
      <c r="R4" s="117" t="s">
        <v>72</v>
      </c>
      <c r="S4" s="57"/>
      <c r="T4" s="200" t="s">
        <v>80</v>
      </c>
      <c r="U4" s="202" t="s">
        <v>79</v>
      </c>
      <c r="V4" s="195" t="s">
        <v>78</v>
      </c>
      <c r="AF4" s="59"/>
      <c r="AG4" s="59"/>
      <c r="AH4" s="59"/>
      <c r="AI4" s="59"/>
      <c r="AJ4" s="59"/>
      <c r="AK4" s="59"/>
      <c r="AL4" s="59"/>
      <c r="AM4" s="59"/>
      <c r="AN4" s="59"/>
      <c r="AO4" s="59"/>
      <c r="AP4" s="59"/>
      <c r="AQ4" s="59"/>
      <c r="AR4" s="59"/>
      <c r="AS4" s="59"/>
      <c r="AT4" s="59"/>
      <c r="AU4" s="59"/>
      <c r="AV4" s="59"/>
      <c r="AW4" s="59"/>
      <c r="AX4" s="59"/>
      <c r="AY4" s="59"/>
      <c r="AZ4" s="59"/>
      <c r="BA4" s="59"/>
      <c r="BB4" s="59"/>
    </row>
    <row r="5" spans="1:54" s="58" customFormat="1" ht="15.75" x14ac:dyDescent="0.25">
      <c r="B5" s="87"/>
      <c r="C5" s="92"/>
      <c r="D5" s="92"/>
      <c r="E5" s="92"/>
      <c r="F5" s="92"/>
      <c r="G5" s="92"/>
      <c r="H5" s="92" t="s">
        <v>76</v>
      </c>
      <c r="I5" s="92" t="s">
        <v>71</v>
      </c>
      <c r="J5" s="197" t="s">
        <v>77</v>
      </c>
      <c r="K5" s="198"/>
      <c r="M5" s="87"/>
      <c r="N5" s="118"/>
      <c r="O5" s="92"/>
      <c r="P5" s="140"/>
      <c r="Q5" s="140"/>
      <c r="R5" s="89"/>
      <c r="S5" s="57"/>
      <c r="T5" s="201"/>
      <c r="U5" s="203"/>
      <c r="V5" s="196"/>
      <c r="AF5" s="59"/>
      <c r="AG5" s="59"/>
      <c r="AH5" s="59"/>
      <c r="AI5" s="59"/>
      <c r="AJ5" s="59"/>
      <c r="AK5" s="59"/>
      <c r="AL5" s="59"/>
      <c r="AM5" s="59"/>
      <c r="AN5" s="59"/>
      <c r="AO5" s="59"/>
      <c r="AP5" s="59"/>
      <c r="AQ5" s="59"/>
      <c r="AR5" s="59"/>
      <c r="AS5" s="59"/>
      <c r="AT5" s="59"/>
      <c r="AU5" s="59"/>
      <c r="AV5" s="59"/>
      <c r="AW5" s="59"/>
      <c r="AX5" s="59"/>
      <c r="AY5" s="59"/>
      <c r="AZ5" s="59"/>
      <c r="BA5" s="59"/>
      <c r="BB5" s="59"/>
    </row>
    <row r="6" spans="1:54" s="58" customFormat="1" ht="15.75" x14ac:dyDescent="0.25">
      <c r="B6" s="87"/>
      <c r="C6" s="92"/>
      <c r="D6" s="92"/>
      <c r="E6" s="92"/>
      <c r="F6" s="92"/>
      <c r="G6" s="92"/>
      <c r="H6" s="92"/>
      <c r="I6" s="92"/>
      <c r="J6" s="140"/>
      <c r="K6" s="89"/>
      <c r="M6" s="87"/>
      <c r="N6" s="118"/>
      <c r="O6" s="92"/>
      <c r="P6" s="140"/>
      <c r="Q6" s="140"/>
      <c r="R6" s="89"/>
      <c r="S6" s="57"/>
      <c r="T6" s="90"/>
      <c r="U6" s="90"/>
      <c r="V6" s="90"/>
      <c r="AF6" s="59"/>
      <c r="AG6" s="59"/>
      <c r="AH6" s="59"/>
      <c r="AI6" s="59"/>
      <c r="AJ6" s="59"/>
      <c r="AK6" s="59"/>
      <c r="AL6" s="59"/>
      <c r="AM6" s="59"/>
      <c r="AN6" s="59"/>
      <c r="AO6" s="59"/>
      <c r="AP6" s="59"/>
      <c r="AQ6" s="59"/>
      <c r="AR6" s="59"/>
      <c r="AS6" s="59"/>
      <c r="AT6" s="59"/>
      <c r="AU6" s="59"/>
      <c r="AV6" s="59"/>
      <c r="AW6" s="59"/>
      <c r="AX6" s="59"/>
      <c r="AY6" s="59"/>
      <c r="AZ6" s="59"/>
      <c r="BA6" s="59"/>
      <c r="BB6" s="59"/>
    </row>
    <row r="7" spans="1:54" x14ac:dyDescent="0.25">
      <c r="A7" s="75">
        <v>1</v>
      </c>
      <c r="B7" s="74" t="s">
        <v>34</v>
      </c>
      <c r="C7" s="48">
        <v>26</v>
      </c>
      <c r="D7" s="48"/>
      <c r="E7" s="48"/>
      <c r="F7" s="48"/>
      <c r="G7" s="48"/>
      <c r="H7" s="48">
        <v>5</v>
      </c>
      <c r="I7" s="48">
        <v>1</v>
      </c>
      <c r="J7" s="109"/>
      <c r="K7" s="69">
        <v>6</v>
      </c>
      <c r="M7" s="88">
        <v>2</v>
      </c>
      <c r="N7" s="119">
        <v>12</v>
      </c>
      <c r="O7" s="48">
        <v>2</v>
      </c>
      <c r="P7" s="109"/>
      <c r="Q7" s="109">
        <v>2</v>
      </c>
      <c r="R7" s="69"/>
      <c r="T7" s="91">
        <f>H7+I7+J7+K7+N7+P7+R7</f>
        <v>24</v>
      </c>
      <c r="U7" s="91">
        <f>C7*24+M7*24+O7*24+Q7*24+T7</f>
        <v>792</v>
      </c>
      <c r="V7" s="91">
        <f>U7/24</f>
        <v>33</v>
      </c>
      <c r="W7" s="123"/>
      <c r="AF7" s="60"/>
      <c r="AG7" s="60"/>
      <c r="AH7" s="60"/>
      <c r="AI7" s="60"/>
      <c r="AJ7" s="60"/>
      <c r="AK7" s="60"/>
      <c r="AL7" s="60"/>
      <c r="AM7" s="60"/>
      <c r="AN7" s="60"/>
      <c r="AO7" s="60"/>
      <c r="AP7" s="60"/>
      <c r="AQ7" s="60"/>
      <c r="AR7" s="60"/>
      <c r="AS7" s="60"/>
      <c r="AT7" s="60"/>
      <c r="AU7" s="60"/>
      <c r="AV7" s="60"/>
      <c r="AW7" s="60"/>
      <c r="AX7" s="60"/>
      <c r="AY7" s="60"/>
      <c r="AZ7" s="60"/>
      <c r="BA7" s="60"/>
      <c r="BB7" s="60"/>
    </row>
    <row r="8" spans="1:54" ht="19.5" thickBot="1" x14ac:dyDescent="0.3">
      <c r="A8" s="75">
        <f>A7+1</f>
        <v>2</v>
      </c>
      <c r="B8" s="94" t="s">
        <v>37</v>
      </c>
      <c r="C8" s="95">
        <f>63+31</f>
        <v>94</v>
      </c>
      <c r="D8" s="95"/>
      <c r="E8" s="95"/>
      <c r="F8" s="95"/>
      <c r="G8" s="95"/>
      <c r="H8" s="95"/>
      <c r="I8" s="95"/>
      <c r="J8" s="110"/>
      <c r="K8" s="96"/>
      <c r="L8" s="102"/>
      <c r="M8" s="103">
        <v>1</v>
      </c>
      <c r="N8" s="120"/>
      <c r="O8" s="97"/>
      <c r="P8" s="113"/>
      <c r="Q8" s="113"/>
      <c r="R8" s="98"/>
      <c r="S8" s="102"/>
      <c r="T8" s="126">
        <f t="shared" ref="T8:T41" si="0">H8+I8+J8+K8+N8+P8+R8</f>
        <v>0</v>
      </c>
      <c r="U8" s="124">
        <f>C8*24+M8*24+O8*24+Q8*24+T8</f>
        <v>2280</v>
      </c>
      <c r="V8" s="124">
        <f>U8/24</f>
        <v>95</v>
      </c>
      <c r="W8" s="123"/>
      <c r="AF8" s="60"/>
      <c r="AG8" s="60"/>
      <c r="AH8" s="60"/>
      <c r="AI8" s="60"/>
      <c r="AJ8" s="60"/>
      <c r="AK8" s="60"/>
      <c r="AL8" s="60"/>
      <c r="AM8" s="60"/>
      <c r="AN8" s="60"/>
      <c r="AO8" s="60"/>
      <c r="AP8" s="60"/>
      <c r="AQ8" s="60"/>
      <c r="AR8" s="60"/>
      <c r="AS8" s="60"/>
      <c r="AT8" s="60"/>
      <c r="AU8" s="60"/>
      <c r="AV8" s="60"/>
      <c r="AW8" s="60"/>
      <c r="AX8" s="60"/>
      <c r="AY8" s="60"/>
      <c r="AZ8" s="60"/>
      <c r="BA8" s="60"/>
      <c r="BB8" s="60"/>
    </row>
    <row r="9" spans="1:54" x14ac:dyDescent="0.25">
      <c r="A9" s="75">
        <f t="shared" ref="A9:A57" si="1">A8+1</f>
        <v>3</v>
      </c>
      <c r="B9" s="73" t="s">
        <v>35</v>
      </c>
      <c r="C9" s="47"/>
      <c r="D9" s="47"/>
      <c r="E9" s="47"/>
      <c r="F9" s="47"/>
      <c r="G9" s="47"/>
      <c r="H9" s="47"/>
      <c r="I9" s="47"/>
      <c r="J9" s="111"/>
      <c r="K9" s="46"/>
      <c r="M9" s="52"/>
      <c r="N9" s="121"/>
      <c r="O9" s="47"/>
      <c r="P9" s="111"/>
      <c r="Q9" s="111"/>
      <c r="R9" s="46"/>
      <c r="T9" s="50">
        <f t="shared" si="0"/>
        <v>0</v>
      </c>
      <c r="U9" s="125">
        <f t="shared" ref="U9:U11" si="2">C9*24+M9*24+O9*24+Q9*24+T9</f>
        <v>0</v>
      </c>
      <c r="V9" s="125">
        <f t="shared" ref="V9:V11" si="3">U9/24</f>
        <v>0</v>
      </c>
      <c r="W9" s="123"/>
      <c r="AF9" s="60"/>
      <c r="AG9" s="60"/>
      <c r="AH9" s="60"/>
      <c r="AI9" s="60"/>
      <c r="AJ9" s="60"/>
      <c r="AK9" s="60"/>
      <c r="AL9" s="60"/>
      <c r="AM9" s="60"/>
      <c r="AN9" s="60"/>
      <c r="AO9" s="60"/>
      <c r="AP9" s="60"/>
      <c r="AQ9" s="60"/>
      <c r="AR9" s="60"/>
      <c r="AS9" s="60"/>
      <c r="AT9" s="60"/>
      <c r="AU9" s="60"/>
      <c r="AV9" s="60"/>
      <c r="AW9" s="60"/>
      <c r="AX9" s="60"/>
      <c r="AY9" s="60"/>
      <c r="AZ9" s="60"/>
      <c r="BA9" s="60"/>
      <c r="BB9" s="60"/>
    </row>
    <row r="10" spans="1:54" x14ac:dyDescent="0.25">
      <c r="A10" s="75">
        <f t="shared" si="1"/>
        <v>4</v>
      </c>
      <c r="B10" s="74" t="s">
        <v>38</v>
      </c>
      <c r="C10" s="47">
        <f>59</f>
        <v>59</v>
      </c>
      <c r="D10" s="47"/>
      <c r="E10" s="47"/>
      <c r="F10" s="47"/>
      <c r="G10" s="47"/>
      <c r="H10" s="47"/>
      <c r="I10" s="47"/>
      <c r="J10" s="111"/>
      <c r="K10" s="46"/>
      <c r="M10" s="52"/>
      <c r="N10" s="121"/>
      <c r="O10" s="47">
        <v>2</v>
      </c>
      <c r="P10" s="111"/>
      <c r="Q10" s="111"/>
      <c r="R10" s="46"/>
      <c r="T10" s="91">
        <f t="shared" si="0"/>
        <v>0</v>
      </c>
      <c r="U10" s="91">
        <f t="shared" si="2"/>
        <v>1464</v>
      </c>
      <c r="V10" s="91">
        <f t="shared" si="3"/>
        <v>61</v>
      </c>
      <c r="W10" s="123"/>
      <c r="AF10" s="60"/>
      <c r="AG10" s="60"/>
      <c r="AH10" s="60"/>
      <c r="AI10" s="60"/>
      <c r="AJ10" s="60"/>
      <c r="AK10" s="60"/>
      <c r="AL10" s="60"/>
      <c r="AM10" s="60"/>
      <c r="AN10" s="60"/>
      <c r="AO10" s="60"/>
      <c r="AP10" s="60"/>
      <c r="AQ10" s="60"/>
      <c r="AR10" s="60"/>
      <c r="AS10" s="60"/>
      <c r="AT10" s="60"/>
      <c r="AU10" s="60"/>
      <c r="AV10" s="60"/>
      <c r="AW10" s="60"/>
      <c r="AX10" s="60"/>
      <c r="AY10" s="60"/>
      <c r="AZ10" s="60"/>
      <c r="BA10" s="60"/>
      <c r="BB10" s="60"/>
    </row>
    <row r="11" spans="1:54" x14ac:dyDescent="0.25">
      <c r="A11" s="75">
        <f t="shared" si="1"/>
        <v>5</v>
      </c>
      <c r="B11" s="74" t="s">
        <v>36</v>
      </c>
      <c r="C11" s="47"/>
      <c r="D11" s="47"/>
      <c r="E11" s="47"/>
      <c r="F11" s="47"/>
      <c r="G11" s="47"/>
      <c r="H11" s="47">
        <v>22</v>
      </c>
      <c r="I11" s="47"/>
      <c r="J11" s="111"/>
      <c r="K11" s="46">
        <v>2</v>
      </c>
      <c r="M11" s="52"/>
      <c r="N11" s="121"/>
      <c r="O11" s="47"/>
      <c r="P11" s="111"/>
      <c r="Q11" s="111"/>
      <c r="R11" s="46"/>
      <c r="T11" s="91">
        <f t="shared" si="0"/>
        <v>24</v>
      </c>
      <c r="U11" s="91">
        <f t="shared" si="2"/>
        <v>24</v>
      </c>
      <c r="V11" s="91">
        <f t="shared" si="3"/>
        <v>1</v>
      </c>
      <c r="AF11" s="60"/>
      <c r="AG11" s="60"/>
      <c r="AH11" s="60"/>
      <c r="AI11" s="60"/>
      <c r="AJ11" s="60"/>
      <c r="AK11" s="60"/>
      <c r="AL11" s="60"/>
      <c r="AM11" s="60"/>
      <c r="AN11" s="60"/>
      <c r="AO11" s="60"/>
      <c r="AP11" s="60"/>
      <c r="AQ11" s="60"/>
      <c r="AR11" s="60"/>
      <c r="AS11" s="60"/>
      <c r="AT11" s="60"/>
      <c r="AU11" s="60"/>
      <c r="AV11" s="60"/>
      <c r="AW11" s="60"/>
      <c r="AX11" s="60"/>
      <c r="AY11" s="60"/>
      <c r="AZ11" s="60"/>
      <c r="BA11" s="60"/>
      <c r="BB11" s="60"/>
    </row>
    <row r="12" spans="1:54" s="61" customFormat="1" ht="19.5" thickBot="1" x14ac:dyDescent="0.3">
      <c r="A12" s="75">
        <v>7</v>
      </c>
      <c r="B12" s="94" t="s">
        <v>32</v>
      </c>
      <c r="C12" s="95">
        <f>72+1368+16+1440+576</f>
        <v>3472</v>
      </c>
      <c r="D12" s="95"/>
      <c r="E12" s="95"/>
      <c r="F12" s="95"/>
      <c r="G12" s="95"/>
      <c r="H12" s="95"/>
      <c r="I12" s="95"/>
      <c r="J12" s="110"/>
      <c r="K12" s="96"/>
      <c r="L12" s="102"/>
      <c r="M12" s="103">
        <v>11</v>
      </c>
      <c r="N12" s="120">
        <v>8</v>
      </c>
      <c r="O12" s="97">
        <v>10</v>
      </c>
      <c r="P12" s="113">
        <v>18</v>
      </c>
      <c r="Q12" s="113">
        <v>19</v>
      </c>
      <c r="R12" s="98">
        <v>12</v>
      </c>
      <c r="S12" s="102"/>
      <c r="T12" s="91">
        <f t="shared" si="0"/>
        <v>38</v>
      </c>
      <c r="U12" s="124">
        <f>C12*24+M12*24+O12*24+Q12*24+T12</f>
        <v>84326</v>
      </c>
      <c r="V12" s="124">
        <f>U12/24</f>
        <v>3513.5833333333335</v>
      </c>
      <c r="W12" s="57"/>
      <c r="X12" s="57"/>
      <c r="Y12" s="57"/>
      <c r="Z12" s="57"/>
      <c r="AA12" s="57"/>
      <c r="AB12" s="57"/>
      <c r="AC12" s="57"/>
      <c r="AD12" s="57"/>
      <c r="AE12" s="57"/>
      <c r="AF12" s="60"/>
      <c r="AG12" s="60"/>
      <c r="AH12" s="60"/>
      <c r="AI12" s="60"/>
      <c r="AJ12" s="60"/>
      <c r="AK12" s="60"/>
      <c r="AL12" s="60"/>
      <c r="AM12" s="60"/>
      <c r="AN12" s="60"/>
      <c r="AO12" s="60"/>
      <c r="AP12" s="60"/>
      <c r="AQ12" s="60"/>
      <c r="AR12" s="60"/>
      <c r="AS12" s="60"/>
      <c r="AT12" s="60"/>
      <c r="AU12" s="60"/>
      <c r="AV12" s="60"/>
      <c r="AW12" s="60"/>
      <c r="AX12" s="60"/>
      <c r="AY12" s="60"/>
      <c r="AZ12" s="60"/>
      <c r="BA12" s="60"/>
      <c r="BB12" s="60"/>
    </row>
    <row r="13" spans="1:54" x14ac:dyDescent="0.25">
      <c r="A13" s="75">
        <v>11</v>
      </c>
      <c r="B13" s="73" t="s">
        <v>1</v>
      </c>
      <c r="C13" s="47">
        <v>5</v>
      </c>
      <c r="D13" s="47"/>
      <c r="E13" s="47"/>
      <c r="F13" s="47"/>
      <c r="G13" s="47"/>
      <c r="H13" s="47"/>
      <c r="I13" s="47"/>
      <c r="J13" s="111"/>
      <c r="K13" s="46"/>
      <c r="M13" s="52"/>
      <c r="N13" s="121"/>
      <c r="O13" s="47"/>
      <c r="P13" s="111"/>
      <c r="Q13" s="111"/>
      <c r="R13" s="46"/>
      <c r="T13" s="91">
        <f t="shared" si="0"/>
        <v>0</v>
      </c>
      <c r="U13" s="125">
        <f>C13*24+M13*24+O13*24+Q13*24+T13</f>
        <v>120</v>
      </c>
      <c r="V13" s="125">
        <f>U13/24</f>
        <v>5</v>
      </c>
      <c r="AF13" s="60"/>
      <c r="AG13" s="60"/>
      <c r="AH13" s="60"/>
      <c r="AI13" s="60"/>
      <c r="AJ13" s="60"/>
      <c r="AK13" s="60"/>
      <c r="AL13" s="60"/>
      <c r="AM13" s="60"/>
      <c r="AN13" s="60"/>
      <c r="AO13" s="60"/>
      <c r="AP13" s="60"/>
      <c r="AQ13" s="60"/>
      <c r="AR13" s="60"/>
      <c r="AS13" s="60"/>
      <c r="AT13" s="60"/>
      <c r="AU13" s="60"/>
      <c r="AV13" s="60"/>
      <c r="AW13" s="60"/>
      <c r="AX13" s="60"/>
      <c r="AY13" s="60"/>
      <c r="AZ13" s="60"/>
      <c r="BA13" s="60"/>
      <c r="BB13" s="60"/>
    </row>
    <row r="14" spans="1:54" x14ac:dyDescent="0.25">
      <c r="A14" s="75">
        <f t="shared" si="1"/>
        <v>12</v>
      </c>
      <c r="B14" s="74" t="s">
        <v>2</v>
      </c>
      <c r="C14" s="47"/>
      <c r="D14" s="47"/>
      <c r="E14" s="47"/>
      <c r="F14" s="47"/>
      <c r="G14" s="47"/>
      <c r="H14" s="47"/>
      <c r="I14" s="47"/>
      <c r="J14" s="111"/>
      <c r="K14" s="46"/>
      <c r="M14" s="52"/>
      <c r="N14" s="121"/>
      <c r="O14" s="47"/>
      <c r="P14" s="111"/>
      <c r="Q14" s="111"/>
      <c r="R14" s="46"/>
      <c r="T14" s="91">
        <f t="shared" si="0"/>
        <v>0</v>
      </c>
      <c r="U14" s="50">
        <f t="shared" ref="U14:U36" si="4">C14*24+M14*24+O14*24+Q14*24+T14</f>
        <v>0</v>
      </c>
      <c r="V14" s="50">
        <f t="shared" ref="V14:V36" si="5">U14/24</f>
        <v>0</v>
      </c>
      <c r="AF14" s="60"/>
      <c r="AG14" s="60"/>
      <c r="AH14" s="60"/>
      <c r="AI14" s="60"/>
      <c r="AJ14" s="60"/>
      <c r="AK14" s="60"/>
      <c r="AL14" s="60"/>
      <c r="AM14" s="60"/>
      <c r="AN14" s="60"/>
      <c r="AO14" s="60"/>
      <c r="AP14" s="60"/>
      <c r="AQ14" s="60"/>
      <c r="AR14" s="60"/>
      <c r="AS14" s="60"/>
      <c r="AT14" s="60"/>
      <c r="AU14" s="60"/>
      <c r="AV14" s="60"/>
      <c r="AW14" s="60"/>
      <c r="AX14" s="60"/>
      <c r="AY14" s="60"/>
      <c r="AZ14" s="60"/>
      <c r="BA14" s="60"/>
      <c r="BB14" s="60"/>
    </row>
    <row r="15" spans="1:54" x14ac:dyDescent="0.25">
      <c r="A15" s="75">
        <f t="shared" si="1"/>
        <v>13</v>
      </c>
      <c r="B15" s="74" t="s">
        <v>3</v>
      </c>
      <c r="C15" s="47"/>
      <c r="D15" s="47"/>
      <c r="E15" s="47"/>
      <c r="F15" s="47"/>
      <c r="G15" s="47"/>
      <c r="H15" s="47"/>
      <c r="I15" s="47"/>
      <c r="J15" s="111"/>
      <c r="K15" s="46"/>
      <c r="M15" s="52"/>
      <c r="N15" s="121"/>
      <c r="O15" s="47"/>
      <c r="P15" s="111"/>
      <c r="Q15" s="111"/>
      <c r="R15" s="46"/>
      <c r="T15" s="91">
        <f t="shared" si="0"/>
        <v>0</v>
      </c>
      <c r="U15" s="50">
        <f t="shared" si="4"/>
        <v>0</v>
      </c>
      <c r="V15" s="50">
        <f t="shared" si="5"/>
        <v>0</v>
      </c>
      <c r="AF15" s="60"/>
      <c r="AG15" s="60"/>
      <c r="AH15" s="60"/>
      <c r="AI15" s="60"/>
      <c r="AJ15" s="60"/>
      <c r="AK15" s="60"/>
      <c r="AL15" s="60"/>
      <c r="AM15" s="60"/>
      <c r="AN15" s="60"/>
      <c r="AO15" s="60"/>
      <c r="AP15" s="60"/>
      <c r="AQ15" s="60"/>
      <c r="AR15" s="60"/>
      <c r="AS15" s="60"/>
      <c r="AT15" s="60"/>
      <c r="AU15" s="60"/>
      <c r="AV15" s="60"/>
      <c r="AW15" s="60"/>
      <c r="AX15" s="60"/>
      <c r="AY15" s="60"/>
      <c r="AZ15" s="60"/>
      <c r="BA15" s="60"/>
      <c r="BB15" s="60"/>
    </row>
    <row r="16" spans="1:54" x14ac:dyDescent="0.25">
      <c r="A16" s="75">
        <f t="shared" si="1"/>
        <v>14</v>
      </c>
      <c r="B16" s="74" t="s">
        <v>4</v>
      </c>
      <c r="C16" s="47"/>
      <c r="D16" s="47"/>
      <c r="E16" s="47"/>
      <c r="F16" s="47"/>
      <c r="G16" s="47"/>
      <c r="H16" s="47"/>
      <c r="I16" s="47"/>
      <c r="J16" s="111"/>
      <c r="K16" s="46"/>
      <c r="M16" s="52"/>
      <c r="N16" s="121"/>
      <c r="O16" s="47"/>
      <c r="P16" s="111"/>
      <c r="Q16" s="111"/>
      <c r="R16" s="46"/>
      <c r="T16" s="91">
        <f t="shared" si="0"/>
        <v>0</v>
      </c>
      <c r="U16" s="50">
        <f t="shared" si="4"/>
        <v>0</v>
      </c>
      <c r="V16" s="50">
        <f t="shared" si="5"/>
        <v>0</v>
      </c>
      <c r="AF16" s="60"/>
      <c r="AG16" s="60"/>
      <c r="AH16" s="60"/>
      <c r="AI16" s="60"/>
      <c r="AJ16" s="60"/>
      <c r="AK16" s="60"/>
      <c r="AL16" s="60"/>
      <c r="AM16" s="60"/>
      <c r="AN16" s="60"/>
      <c r="AO16" s="60"/>
      <c r="AP16" s="60"/>
      <c r="AQ16" s="60"/>
      <c r="AR16" s="60"/>
      <c r="AS16" s="60"/>
      <c r="AT16" s="60"/>
      <c r="AU16" s="60"/>
      <c r="AV16" s="60"/>
      <c r="AW16" s="60"/>
      <c r="AX16" s="60"/>
      <c r="AY16" s="60"/>
      <c r="AZ16" s="60"/>
      <c r="BA16" s="60"/>
      <c r="BB16" s="60"/>
    </row>
    <row r="17" spans="1:54" x14ac:dyDescent="0.25">
      <c r="A17" s="75">
        <f t="shared" si="1"/>
        <v>15</v>
      </c>
      <c r="B17" s="74" t="s">
        <v>5</v>
      </c>
      <c r="C17" s="47">
        <v>4</v>
      </c>
      <c r="D17" s="47"/>
      <c r="E17" s="47"/>
      <c r="F17" s="47"/>
      <c r="G17" s="47"/>
      <c r="H17" s="47"/>
      <c r="I17" s="47"/>
      <c r="J17" s="111"/>
      <c r="K17" s="46"/>
      <c r="M17" s="52"/>
      <c r="N17" s="121"/>
      <c r="O17" s="47"/>
      <c r="P17" s="111"/>
      <c r="Q17" s="111"/>
      <c r="R17" s="46"/>
      <c r="T17" s="91">
        <f t="shared" si="0"/>
        <v>0</v>
      </c>
      <c r="U17" s="50">
        <f t="shared" si="4"/>
        <v>96</v>
      </c>
      <c r="V17" s="50">
        <f t="shared" si="5"/>
        <v>4</v>
      </c>
      <c r="AF17" s="60"/>
      <c r="AG17" s="60"/>
      <c r="AH17" s="60"/>
      <c r="AI17" s="60"/>
      <c r="AJ17" s="60"/>
      <c r="AK17" s="60"/>
      <c r="AL17" s="60"/>
      <c r="AM17" s="60"/>
      <c r="AN17" s="60"/>
      <c r="AO17" s="60"/>
      <c r="AP17" s="60"/>
      <c r="AQ17" s="60"/>
      <c r="AR17" s="60"/>
      <c r="AS17" s="60"/>
      <c r="AT17" s="60"/>
      <c r="AU17" s="60"/>
      <c r="AV17" s="60"/>
      <c r="AW17" s="60"/>
      <c r="AX17" s="60"/>
      <c r="AY17" s="60"/>
      <c r="AZ17" s="60"/>
      <c r="BA17" s="60"/>
      <c r="BB17" s="60"/>
    </row>
    <row r="18" spans="1:54" hidden="1" x14ac:dyDescent="0.25">
      <c r="A18" s="75">
        <f t="shared" si="1"/>
        <v>16</v>
      </c>
      <c r="B18" s="74" t="s">
        <v>10</v>
      </c>
      <c r="C18" s="47"/>
      <c r="D18" s="47"/>
      <c r="E18" s="47"/>
      <c r="F18" s="47"/>
      <c r="G18" s="47"/>
      <c r="H18" s="47"/>
      <c r="I18" s="47"/>
      <c r="J18" s="111"/>
      <c r="K18" s="46"/>
      <c r="M18" s="52"/>
      <c r="N18" s="121"/>
      <c r="O18" s="47"/>
      <c r="P18" s="111"/>
      <c r="Q18" s="111"/>
      <c r="R18" s="46"/>
      <c r="T18" s="91">
        <f t="shared" si="0"/>
        <v>0</v>
      </c>
      <c r="U18" s="50">
        <f t="shared" si="4"/>
        <v>0</v>
      </c>
      <c r="V18" s="50">
        <f t="shared" si="5"/>
        <v>0</v>
      </c>
      <c r="AF18" s="60"/>
      <c r="AG18" s="60"/>
      <c r="AH18" s="60"/>
      <c r="AI18" s="60"/>
      <c r="AJ18" s="60"/>
      <c r="AK18" s="60"/>
      <c r="AL18" s="60"/>
      <c r="AM18" s="60"/>
      <c r="AN18" s="60"/>
      <c r="AO18" s="60"/>
      <c r="AP18" s="60"/>
      <c r="AQ18" s="60"/>
      <c r="AR18" s="60"/>
      <c r="AS18" s="60"/>
      <c r="AT18" s="60"/>
      <c r="AU18" s="60"/>
      <c r="AV18" s="60"/>
      <c r="AW18" s="60"/>
      <c r="AX18" s="60"/>
      <c r="AY18" s="60"/>
      <c r="AZ18" s="60"/>
      <c r="BA18" s="60"/>
      <c r="BB18" s="60"/>
    </row>
    <row r="19" spans="1:54" x14ac:dyDescent="0.25">
      <c r="A19" s="75">
        <v>16</v>
      </c>
      <c r="B19" s="74" t="s">
        <v>64</v>
      </c>
      <c r="C19" s="47">
        <v>4</v>
      </c>
      <c r="D19" s="47"/>
      <c r="E19" s="47"/>
      <c r="F19" s="47"/>
      <c r="G19" s="47"/>
      <c r="H19" s="47"/>
      <c r="I19" s="47"/>
      <c r="J19" s="111"/>
      <c r="K19" s="46"/>
      <c r="M19" s="52"/>
      <c r="N19" s="121"/>
      <c r="O19" s="47"/>
      <c r="P19" s="111"/>
      <c r="Q19" s="111"/>
      <c r="R19" s="46"/>
      <c r="T19" s="91">
        <f t="shared" si="0"/>
        <v>0</v>
      </c>
      <c r="U19" s="50">
        <f t="shared" si="4"/>
        <v>96</v>
      </c>
      <c r="V19" s="50">
        <f t="shared" si="5"/>
        <v>4</v>
      </c>
      <c r="AF19" s="60"/>
      <c r="AG19" s="60"/>
      <c r="AH19" s="60"/>
      <c r="AI19" s="60"/>
      <c r="AJ19" s="60"/>
      <c r="AK19" s="60"/>
      <c r="AL19" s="60"/>
      <c r="AM19" s="60"/>
      <c r="AN19" s="60"/>
      <c r="AO19" s="60"/>
      <c r="AP19" s="60"/>
      <c r="AQ19" s="60"/>
      <c r="AR19" s="60"/>
      <c r="AS19" s="60"/>
      <c r="AT19" s="60"/>
      <c r="AU19" s="60"/>
      <c r="AV19" s="60"/>
      <c r="AW19" s="60"/>
      <c r="AX19" s="60"/>
      <c r="AY19" s="60"/>
      <c r="AZ19" s="60"/>
      <c r="BA19" s="60"/>
      <c r="BB19" s="60"/>
    </row>
    <row r="20" spans="1:54" x14ac:dyDescent="0.25">
      <c r="A20" s="75">
        <f t="shared" si="1"/>
        <v>17</v>
      </c>
      <c r="B20" s="74" t="s">
        <v>6</v>
      </c>
      <c r="C20" s="47">
        <v>6</v>
      </c>
      <c r="D20" s="47"/>
      <c r="E20" s="47"/>
      <c r="F20" s="47"/>
      <c r="G20" s="47"/>
      <c r="H20" s="47"/>
      <c r="I20" s="47"/>
      <c r="J20" s="111"/>
      <c r="K20" s="46"/>
      <c r="M20" s="52"/>
      <c r="N20" s="121"/>
      <c r="O20" s="47"/>
      <c r="P20" s="111"/>
      <c r="Q20" s="111"/>
      <c r="R20" s="46"/>
      <c r="T20" s="91">
        <f t="shared" si="0"/>
        <v>0</v>
      </c>
      <c r="U20" s="50">
        <f t="shared" si="4"/>
        <v>144</v>
      </c>
      <c r="V20" s="50">
        <f t="shared" si="5"/>
        <v>6</v>
      </c>
      <c r="AF20" s="60"/>
      <c r="AG20" s="60"/>
      <c r="AH20" s="60"/>
      <c r="AI20" s="60"/>
      <c r="AJ20" s="60"/>
      <c r="AK20" s="60"/>
      <c r="AL20" s="60"/>
      <c r="AM20" s="60"/>
      <c r="AN20" s="60"/>
      <c r="AO20" s="60"/>
      <c r="AP20" s="60"/>
      <c r="AQ20" s="60"/>
      <c r="AR20" s="60"/>
      <c r="AS20" s="60"/>
      <c r="AT20" s="60"/>
      <c r="AU20" s="60"/>
      <c r="AV20" s="60"/>
      <c r="AW20" s="60"/>
      <c r="AX20" s="60"/>
      <c r="AY20" s="60"/>
      <c r="AZ20" s="60"/>
      <c r="BA20" s="60"/>
      <c r="BB20" s="60"/>
    </row>
    <row r="21" spans="1:54" x14ac:dyDescent="0.25">
      <c r="A21" s="75">
        <f t="shared" si="1"/>
        <v>18</v>
      </c>
      <c r="B21" s="74" t="s">
        <v>7</v>
      </c>
      <c r="C21" s="47">
        <v>4</v>
      </c>
      <c r="D21" s="47"/>
      <c r="E21" s="47"/>
      <c r="F21" s="47"/>
      <c r="G21" s="47"/>
      <c r="H21" s="47"/>
      <c r="I21" s="47"/>
      <c r="J21" s="111"/>
      <c r="K21" s="46"/>
      <c r="M21" s="52"/>
      <c r="N21" s="121"/>
      <c r="O21" s="47"/>
      <c r="P21" s="111"/>
      <c r="Q21" s="111"/>
      <c r="R21" s="46"/>
      <c r="T21" s="91">
        <f t="shared" si="0"/>
        <v>0</v>
      </c>
      <c r="U21" s="50">
        <f t="shared" si="4"/>
        <v>96</v>
      </c>
      <c r="V21" s="50">
        <f t="shared" si="5"/>
        <v>4</v>
      </c>
      <c r="AF21" s="60"/>
      <c r="AG21" s="60"/>
      <c r="AH21" s="60"/>
      <c r="AI21" s="60"/>
      <c r="AJ21" s="60"/>
      <c r="AK21" s="60"/>
      <c r="AL21" s="60"/>
      <c r="AM21" s="60"/>
      <c r="AN21" s="60"/>
      <c r="AO21" s="60"/>
      <c r="AP21" s="60"/>
      <c r="AQ21" s="60"/>
      <c r="AR21" s="60"/>
      <c r="AS21" s="60"/>
      <c r="AT21" s="60"/>
      <c r="AU21" s="60"/>
      <c r="AV21" s="60"/>
      <c r="AW21" s="60"/>
      <c r="AX21" s="60"/>
      <c r="AY21" s="60"/>
      <c r="AZ21" s="60"/>
      <c r="BA21" s="60"/>
      <c r="BB21" s="60"/>
    </row>
    <row r="22" spans="1:54" s="61" customFormat="1" x14ac:dyDescent="0.25">
      <c r="A22" s="75">
        <f t="shared" si="1"/>
        <v>19</v>
      </c>
      <c r="B22" s="74" t="s">
        <v>65</v>
      </c>
      <c r="C22" s="47">
        <v>2</v>
      </c>
      <c r="D22" s="47"/>
      <c r="E22" s="47"/>
      <c r="F22" s="47"/>
      <c r="G22" s="47"/>
      <c r="H22" s="47"/>
      <c r="I22" s="47"/>
      <c r="J22" s="111"/>
      <c r="K22" s="46"/>
      <c r="L22" s="57"/>
      <c r="M22" s="52"/>
      <c r="N22" s="121"/>
      <c r="O22" s="47"/>
      <c r="P22" s="111"/>
      <c r="Q22" s="111"/>
      <c r="R22" s="46"/>
      <c r="S22" s="57"/>
      <c r="T22" s="91">
        <f t="shared" si="0"/>
        <v>0</v>
      </c>
      <c r="U22" s="50">
        <f t="shared" si="4"/>
        <v>48</v>
      </c>
      <c r="V22" s="50">
        <f t="shared" si="5"/>
        <v>2</v>
      </c>
      <c r="W22" s="57"/>
      <c r="X22" s="57"/>
      <c r="Y22" s="57"/>
      <c r="Z22" s="57"/>
      <c r="AA22" s="57"/>
      <c r="AB22" s="57"/>
      <c r="AC22" s="57"/>
      <c r="AD22" s="57"/>
      <c r="AE22" s="57"/>
      <c r="AF22" s="60"/>
      <c r="AG22" s="60"/>
      <c r="AH22" s="60"/>
      <c r="AI22" s="60"/>
      <c r="AJ22" s="60"/>
      <c r="AK22" s="60"/>
      <c r="AL22" s="60"/>
      <c r="AM22" s="60"/>
      <c r="AN22" s="60"/>
      <c r="AO22" s="60"/>
      <c r="AP22" s="60"/>
      <c r="AQ22" s="60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</row>
    <row r="23" spans="1:54" s="61" customFormat="1" x14ac:dyDescent="0.25">
      <c r="A23" s="75">
        <f t="shared" si="1"/>
        <v>20</v>
      </c>
      <c r="B23" s="74" t="s">
        <v>66</v>
      </c>
      <c r="C23" s="47">
        <v>48</v>
      </c>
      <c r="D23" s="47"/>
      <c r="E23" s="47"/>
      <c r="F23" s="47"/>
      <c r="G23" s="47"/>
      <c r="H23" s="47"/>
      <c r="I23" s="47"/>
      <c r="J23" s="111"/>
      <c r="K23" s="46"/>
      <c r="L23" s="57"/>
      <c r="M23" s="52"/>
      <c r="N23" s="121"/>
      <c r="O23" s="47"/>
      <c r="P23" s="111"/>
      <c r="Q23" s="111"/>
      <c r="R23" s="46"/>
      <c r="S23" s="57"/>
      <c r="T23" s="91">
        <f t="shared" si="0"/>
        <v>0</v>
      </c>
      <c r="U23" s="50">
        <f t="shared" si="4"/>
        <v>1152</v>
      </c>
      <c r="V23" s="50">
        <f t="shared" si="5"/>
        <v>48</v>
      </c>
      <c r="W23" s="57"/>
      <c r="X23" s="57"/>
      <c r="Y23" s="57"/>
      <c r="Z23" s="57"/>
      <c r="AA23" s="57"/>
      <c r="AB23" s="57"/>
      <c r="AC23" s="57"/>
      <c r="AD23" s="57"/>
      <c r="AE23" s="57"/>
      <c r="AF23" s="60"/>
      <c r="AG23" s="60"/>
      <c r="AH23" s="60"/>
      <c r="AI23" s="60"/>
      <c r="AJ23" s="60"/>
      <c r="AK23" s="60"/>
      <c r="AL23" s="60"/>
      <c r="AM23" s="60"/>
      <c r="AN23" s="60"/>
      <c r="AO23" s="60"/>
      <c r="AP23" s="60"/>
      <c r="AQ23" s="60"/>
      <c r="AR23" s="60"/>
      <c r="AS23" s="60"/>
      <c r="AT23" s="60"/>
      <c r="AU23" s="60"/>
      <c r="AV23" s="60"/>
      <c r="AW23" s="60"/>
      <c r="AX23" s="60"/>
      <c r="AY23" s="60"/>
      <c r="AZ23" s="60"/>
      <c r="BA23" s="60"/>
      <c r="BB23" s="60"/>
    </row>
    <row r="24" spans="1:54" x14ac:dyDescent="0.25">
      <c r="A24" s="75">
        <f t="shared" si="1"/>
        <v>21</v>
      </c>
      <c r="B24" s="74" t="s">
        <v>67</v>
      </c>
      <c r="C24" s="47">
        <v>7</v>
      </c>
      <c r="D24" s="47"/>
      <c r="E24" s="47"/>
      <c r="F24" s="47"/>
      <c r="G24" s="47"/>
      <c r="H24" s="47"/>
      <c r="I24" s="47"/>
      <c r="J24" s="111"/>
      <c r="K24" s="46"/>
      <c r="M24" s="52"/>
      <c r="N24" s="121"/>
      <c r="O24" s="47"/>
      <c r="P24" s="111"/>
      <c r="Q24" s="111"/>
      <c r="R24" s="46"/>
      <c r="T24" s="91">
        <f t="shared" si="0"/>
        <v>0</v>
      </c>
      <c r="U24" s="50">
        <f t="shared" si="4"/>
        <v>168</v>
      </c>
      <c r="V24" s="50">
        <f t="shared" si="5"/>
        <v>7</v>
      </c>
      <c r="AF24" s="60"/>
      <c r="AG24" s="60"/>
      <c r="AH24" s="60"/>
      <c r="AI24" s="60"/>
      <c r="AJ24" s="60"/>
      <c r="AK24" s="60"/>
      <c r="AL24" s="60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</row>
    <row r="25" spans="1:54" x14ac:dyDescent="0.25">
      <c r="A25" s="75">
        <f t="shared" si="1"/>
        <v>22</v>
      </c>
      <c r="B25" s="74" t="s">
        <v>9</v>
      </c>
      <c r="C25" s="47">
        <f>63+19+1</f>
        <v>83</v>
      </c>
      <c r="D25" s="47"/>
      <c r="E25" s="47"/>
      <c r="F25" s="47"/>
      <c r="G25" s="47"/>
      <c r="H25" s="47">
        <v>10</v>
      </c>
      <c r="I25" s="47">
        <v>1</v>
      </c>
      <c r="J25" s="111"/>
      <c r="K25" s="46"/>
      <c r="M25" s="52">
        <v>2</v>
      </c>
      <c r="N25" s="121">
        <v>12</v>
      </c>
      <c r="O25" s="47">
        <v>2</v>
      </c>
      <c r="P25" s="111"/>
      <c r="Q25" s="111">
        <v>2</v>
      </c>
      <c r="R25" s="46"/>
      <c r="T25" s="91">
        <f t="shared" si="0"/>
        <v>23</v>
      </c>
      <c r="U25" s="50">
        <f t="shared" si="4"/>
        <v>2159</v>
      </c>
      <c r="V25" s="50">
        <f t="shared" si="5"/>
        <v>89.958333333333329</v>
      </c>
      <c r="AY25" s="62" t="e">
        <f>#REF!-AY24</f>
        <v>#REF!</v>
      </c>
    </row>
    <row r="26" spans="1:54" s="61" customFormat="1" x14ac:dyDescent="0.25">
      <c r="A26" s="75">
        <f t="shared" si="1"/>
        <v>23</v>
      </c>
      <c r="B26" s="74" t="s">
        <v>11</v>
      </c>
      <c r="C26" s="47"/>
      <c r="D26" s="47"/>
      <c r="E26" s="47"/>
      <c r="F26" s="47"/>
      <c r="G26" s="47"/>
      <c r="H26" s="47"/>
      <c r="I26" s="47"/>
      <c r="J26" s="111"/>
      <c r="K26" s="46"/>
      <c r="L26" s="57"/>
      <c r="M26" s="52"/>
      <c r="N26" s="121"/>
      <c r="O26" s="47"/>
      <c r="P26" s="111"/>
      <c r="Q26" s="111"/>
      <c r="R26" s="46"/>
      <c r="S26" s="57"/>
      <c r="T26" s="91">
        <f t="shared" si="0"/>
        <v>0</v>
      </c>
      <c r="U26" s="50">
        <f t="shared" si="4"/>
        <v>0</v>
      </c>
      <c r="V26" s="50">
        <f t="shared" si="5"/>
        <v>0</v>
      </c>
      <c r="W26" s="57"/>
      <c r="X26" s="57"/>
      <c r="Y26" s="57"/>
      <c r="Z26" s="57"/>
      <c r="AA26" s="57"/>
      <c r="AB26" s="57"/>
      <c r="AC26" s="57"/>
      <c r="AD26" s="57"/>
      <c r="AE26" s="57"/>
    </row>
    <row r="27" spans="1:54" s="61" customFormat="1" x14ac:dyDescent="0.25">
      <c r="A27" s="75">
        <f t="shared" si="1"/>
        <v>24</v>
      </c>
      <c r="B27" s="74" t="s">
        <v>83</v>
      </c>
      <c r="C27" s="47"/>
      <c r="D27" s="47"/>
      <c r="E27" s="47"/>
      <c r="F27" s="47"/>
      <c r="G27" s="47"/>
      <c r="H27" s="47"/>
      <c r="I27" s="47"/>
      <c r="J27" s="111"/>
      <c r="K27" s="46"/>
      <c r="L27" s="57"/>
      <c r="M27" s="52"/>
      <c r="N27" s="121"/>
      <c r="O27" s="47"/>
      <c r="P27" s="111"/>
      <c r="Q27" s="111"/>
      <c r="R27" s="46"/>
      <c r="S27" s="57"/>
      <c r="T27" s="91"/>
      <c r="U27" s="50"/>
      <c r="V27" s="50"/>
      <c r="W27" s="57"/>
      <c r="X27" s="57"/>
      <c r="Y27" s="57"/>
      <c r="Z27" s="57"/>
      <c r="AA27" s="57"/>
      <c r="AB27" s="57"/>
      <c r="AC27" s="57"/>
      <c r="AD27" s="57"/>
      <c r="AE27" s="57"/>
    </row>
    <row r="28" spans="1:54" s="61" customFormat="1" x14ac:dyDescent="0.25">
      <c r="A28" s="75">
        <f t="shared" si="1"/>
        <v>25</v>
      </c>
      <c r="B28" s="74" t="s">
        <v>12</v>
      </c>
      <c r="C28" s="47">
        <v>32</v>
      </c>
      <c r="D28" s="47"/>
      <c r="E28" s="47"/>
      <c r="F28" s="47"/>
      <c r="G28" s="47"/>
      <c r="H28" s="47"/>
      <c r="I28" s="47"/>
      <c r="J28" s="111"/>
      <c r="K28" s="46"/>
      <c r="L28" s="57"/>
      <c r="M28" s="52">
        <v>2</v>
      </c>
      <c r="N28" s="121"/>
      <c r="O28" s="47">
        <v>1</v>
      </c>
      <c r="P28" s="111"/>
      <c r="Q28" s="111">
        <v>2</v>
      </c>
      <c r="R28" s="46"/>
      <c r="S28" s="57"/>
      <c r="T28" s="91">
        <f t="shared" si="0"/>
        <v>0</v>
      </c>
      <c r="U28" s="50">
        <f t="shared" si="4"/>
        <v>888</v>
      </c>
      <c r="V28" s="50">
        <f t="shared" si="5"/>
        <v>37</v>
      </c>
      <c r="W28" s="57"/>
      <c r="X28" s="57"/>
      <c r="Y28" s="57"/>
      <c r="Z28" s="57"/>
      <c r="AA28" s="57"/>
      <c r="AB28" s="57"/>
      <c r="AC28" s="57"/>
      <c r="AD28" s="57"/>
      <c r="AE28" s="57"/>
    </row>
    <row r="29" spans="1:54" x14ac:dyDescent="0.25">
      <c r="A29" s="75">
        <f t="shared" si="1"/>
        <v>26</v>
      </c>
      <c r="B29" s="74" t="s">
        <v>14</v>
      </c>
      <c r="C29" s="47"/>
      <c r="D29" s="47"/>
      <c r="E29" s="47"/>
      <c r="F29" s="47"/>
      <c r="G29" s="47"/>
      <c r="H29" s="47"/>
      <c r="I29" s="47"/>
      <c r="J29" s="111"/>
      <c r="K29" s="46"/>
      <c r="M29" s="52"/>
      <c r="N29" s="121"/>
      <c r="O29" s="47"/>
      <c r="P29" s="111"/>
      <c r="Q29" s="111"/>
      <c r="R29" s="46"/>
      <c r="T29" s="91">
        <f t="shared" si="0"/>
        <v>0</v>
      </c>
      <c r="U29" s="50">
        <f t="shared" si="4"/>
        <v>0</v>
      </c>
      <c r="V29" s="50">
        <f t="shared" si="5"/>
        <v>0</v>
      </c>
    </row>
    <row r="30" spans="1:54" x14ac:dyDescent="0.25">
      <c r="A30" s="75">
        <f t="shared" si="1"/>
        <v>27</v>
      </c>
      <c r="B30" s="74" t="s">
        <v>16</v>
      </c>
      <c r="C30" s="47">
        <v>62</v>
      </c>
      <c r="D30" s="47"/>
      <c r="E30" s="47"/>
      <c r="F30" s="47"/>
      <c r="G30" s="47"/>
      <c r="H30" s="47"/>
      <c r="I30" s="47"/>
      <c r="J30" s="111"/>
      <c r="K30" s="46"/>
      <c r="M30" s="52"/>
      <c r="N30" s="121"/>
      <c r="O30" s="47">
        <v>1</v>
      </c>
      <c r="P30" s="111"/>
      <c r="Q30" s="111">
        <v>1</v>
      </c>
      <c r="R30" s="46"/>
      <c r="T30" s="91">
        <f t="shared" si="0"/>
        <v>0</v>
      </c>
      <c r="U30" s="50">
        <f t="shared" si="4"/>
        <v>1536</v>
      </c>
      <c r="V30" s="50">
        <f t="shared" si="5"/>
        <v>64</v>
      </c>
    </row>
    <row r="31" spans="1:54" x14ac:dyDescent="0.25">
      <c r="A31" s="75">
        <f t="shared" si="1"/>
        <v>28</v>
      </c>
      <c r="B31" s="74" t="s">
        <v>13</v>
      </c>
      <c r="C31" s="47"/>
      <c r="D31" s="47"/>
      <c r="E31" s="47"/>
      <c r="F31" s="47"/>
      <c r="G31" s="47"/>
      <c r="H31" s="47"/>
      <c r="I31" s="47"/>
      <c r="J31" s="111"/>
      <c r="K31" s="46"/>
      <c r="M31" s="52"/>
      <c r="N31" s="121"/>
      <c r="O31" s="47"/>
      <c r="P31" s="111"/>
      <c r="Q31" s="111"/>
      <c r="R31" s="46"/>
      <c r="T31" s="91">
        <f t="shared" si="0"/>
        <v>0</v>
      </c>
      <c r="U31" s="50">
        <f t="shared" si="4"/>
        <v>0</v>
      </c>
      <c r="V31" s="50">
        <f t="shared" si="5"/>
        <v>0</v>
      </c>
    </row>
    <row r="32" spans="1:54" x14ac:dyDescent="0.25">
      <c r="A32" s="75">
        <f t="shared" si="1"/>
        <v>29</v>
      </c>
      <c r="B32" s="74" t="s">
        <v>15</v>
      </c>
      <c r="C32" s="47"/>
      <c r="D32" s="47"/>
      <c r="E32" s="47"/>
      <c r="F32" s="47"/>
      <c r="G32" s="47"/>
      <c r="H32" s="47"/>
      <c r="I32" s="47"/>
      <c r="J32" s="111"/>
      <c r="K32" s="46"/>
      <c r="M32" s="52"/>
      <c r="N32" s="121"/>
      <c r="O32" s="47"/>
      <c r="P32" s="111"/>
      <c r="Q32" s="111"/>
      <c r="R32" s="46"/>
      <c r="T32" s="91">
        <f t="shared" si="0"/>
        <v>0</v>
      </c>
      <c r="U32" s="50">
        <f t="shared" si="4"/>
        <v>0</v>
      </c>
      <c r="V32" s="50">
        <f t="shared" si="5"/>
        <v>0</v>
      </c>
    </row>
    <row r="33" spans="1:23" x14ac:dyDescent="0.25">
      <c r="A33" s="75">
        <f t="shared" si="1"/>
        <v>30</v>
      </c>
      <c r="B33" s="74" t="s">
        <v>17</v>
      </c>
      <c r="C33" s="47"/>
      <c r="D33" s="47"/>
      <c r="E33" s="47"/>
      <c r="F33" s="47"/>
      <c r="G33" s="47"/>
      <c r="H33" s="47"/>
      <c r="I33" s="47"/>
      <c r="J33" s="111"/>
      <c r="K33" s="46"/>
      <c r="M33" s="52"/>
      <c r="N33" s="121"/>
      <c r="O33" s="47"/>
      <c r="P33" s="111"/>
      <c r="Q33" s="111"/>
      <c r="R33" s="46"/>
      <c r="T33" s="91">
        <f t="shared" si="0"/>
        <v>0</v>
      </c>
      <c r="U33" s="50">
        <f t="shared" si="4"/>
        <v>0</v>
      </c>
      <c r="V33" s="50">
        <f t="shared" si="5"/>
        <v>0</v>
      </c>
    </row>
    <row r="34" spans="1:23" x14ac:dyDescent="0.25">
      <c r="A34" s="75">
        <f t="shared" si="1"/>
        <v>31</v>
      </c>
      <c r="B34" s="74" t="s">
        <v>18</v>
      </c>
      <c r="C34" s="47">
        <f>72+19+6</f>
        <v>97</v>
      </c>
      <c r="D34" s="47"/>
      <c r="E34" s="47"/>
      <c r="F34" s="47"/>
      <c r="G34" s="47"/>
      <c r="H34" s="47">
        <v>4</v>
      </c>
      <c r="I34" s="47"/>
      <c r="J34" s="111"/>
      <c r="K34" s="46">
        <v>1</v>
      </c>
      <c r="M34" s="52">
        <v>2</v>
      </c>
      <c r="N34" s="121">
        <v>12</v>
      </c>
      <c r="O34" s="47">
        <v>2</v>
      </c>
      <c r="P34" s="111"/>
      <c r="Q34" s="111">
        <v>3</v>
      </c>
      <c r="R34" s="46"/>
      <c r="T34" s="91">
        <f t="shared" si="0"/>
        <v>17</v>
      </c>
      <c r="U34" s="50">
        <f t="shared" si="4"/>
        <v>2513</v>
      </c>
      <c r="V34" s="50">
        <f t="shared" si="5"/>
        <v>104.70833333333333</v>
      </c>
    </row>
    <row r="35" spans="1:23" hidden="1" x14ac:dyDescent="0.25">
      <c r="A35" s="75">
        <f t="shared" si="1"/>
        <v>32</v>
      </c>
      <c r="B35" s="74" t="s">
        <v>26</v>
      </c>
      <c r="C35" s="47"/>
      <c r="D35" s="47"/>
      <c r="E35" s="47"/>
      <c r="F35" s="47"/>
      <c r="G35" s="47"/>
      <c r="H35" s="47"/>
      <c r="I35" s="47"/>
      <c r="J35" s="111"/>
      <c r="K35" s="46"/>
      <c r="M35" s="52"/>
      <c r="N35" s="121"/>
      <c r="O35" s="47"/>
      <c r="P35" s="111"/>
      <c r="Q35" s="111"/>
      <c r="R35" s="46"/>
      <c r="T35" s="91">
        <f t="shared" si="0"/>
        <v>0</v>
      </c>
      <c r="U35" s="50">
        <f t="shared" si="4"/>
        <v>0</v>
      </c>
      <c r="V35" s="50">
        <f t="shared" si="5"/>
        <v>0</v>
      </c>
    </row>
    <row r="36" spans="1:23" x14ac:dyDescent="0.25">
      <c r="A36" s="75">
        <f t="shared" si="1"/>
        <v>33</v>
      </c>
      <c r="B36" s="74" t="s">
        <v>19</v>
      </c>
      <c r="C36" s="47"/>
      <c r="D36" s="47"/>
      <c r="E36" s="47"/>
      <c r="F36" s="47"/>
      <c r="G36" s="47"/>
      <c r="H36" s="47"/>
      <c r="I36" s="47"/>
      <c r="J36" s="111"/>
      <c r="K36" s="46"/>
      <c r="M36" s="52"/>
      <c r="N36" s="121"/>
      <c r="O36" s="47"/>
      <c r="P36" s="111"/>
      <c r="Q36" s="111"/>
      <c r="R36" s="46"/>
      <c r="T36" s="91">
        <f t="shared" si="0"/>
        <v>0</v>
      </c>
      <c r="U36" s="50">
        <f t="shared" si="4"/>
        <v>0</v>
      </c>
      <c r="V36" s="50">
        <f t="shared" si="5"/>
        <v>0</v>
      </c>
    </row>
    <row r="37" spans="1:23" ht="19.5" thickBot="1" x14ac:dyDescent="0.3">
      <c r="A37" s="75">
        <f t="shared" si="1"/>
        <v>34</v>
      </c>
      <c r="B37" s="94" t="s">
        <v>20</v>
      </c>
      <c r="C37" s="95">
        <f>2376+1836+14</f>
        <v>4226</v>
      </c>
      <c r="D37" s="95"/>
      <c r="E37" s="95"/>
      <c r="F37" s="95"/>
      <c r="G37" s="95"/>
      <c r="H37" s="95">
        <v>2</v>
      </c>
      <c r="I37" s="95"/>
      <c r="J37" s="110">
        <v>4</v>
      </c>
      <c r="K37" s="96">
        <v>2</v>
      </c>
      <c r="L37" s="102"/>
      <c r="M37" s="103">
        <v>30</v>
      </c>
      <c r="N37" s="120"/>
      <c r="O37" s="97">
        <v>34</v>
      </c>
      <c r="P37" s="113"/>
      <c r="Q37" s="113">
        <v>81</v>
      </c>
      <c r="R37" s="98"/>
      <c r="S37" s="102"/>
      <c r="T37" s="104">
        <f t="shared" si="0"/>
        <v>8</v>
      </c>
      <c r="U37" s="104">
        <f>C37*6+M37*6+O37*6+Q37*6+T37</f>
        <v>26234</v>
      </c>
      <c r="V37" s="104">
        <f>U37/6</f>
        <v>4372.333333333333</v>
      </c>
      <c r="W37" s="123"/>
    </row>
    <row r="38" spans="1:23" x14ac:dyDescent="0.25">
      <c r="A38" s="75">
        <f t="shared" si="1"/>
        <v>35</v>
      </c>
      <c r="B38" s="73" t="s">
        <v>21</v>
      </c>
      <c r="C38" s="47">
        <f>1+3</f>
        <v>4</v>
      </c>
      <c r="D38" s="47"/>
      <c r="E38" s="47"/>
      <c r="F38" s="47"/>
      <c r="G38" s="47"/>
      <c r="H38" s="47"/>
      <c r="I38" s="47"/>
      <c r="J38" s="111"/>
      <c r="K38" s="46"/>
      <c r="M38" s="52"/>
      <c r="N38" s="121"/>
      <c r="O38" s="47"/>
      <c r="P38" s="111"/>
      <c r="Q38" s="111"/>
      <c r="R38" s="46"/>
      <c r="T38" s="50">
        <f t="shared" si="0"/>
        <v>0</v>
      </c>
      <c r="U38" s="50">
        <f>C38*24+M38*24+O38*24+Q38*24+T38</f>
        <v>96</v>
      </c>
      <c r="V38" s="50">
        <f>U38/24</f>
        <v>4</v>
      </c>
    </row>
    <row r="39" spans="1:23" x14ac:dyDescent="0.25">
      <c r="A39" s="75">
        <f t="shared" si="1"/>
        <v>36</v>
      </c>
      <c r="B39" s="132" t="s">
        <v>73</v>
      </c>
      <c r="C39" s="133"/>
      <c r="D39" s="133"/>
      <c r="E39" s="133"/>
      <c r="F39" s="133"/>
      <c r="G39" s="133"/>
      <c r="H39" s="133"/>
      <c r="I39" s="133"/>
      <c r="J39" s="134"/>
      <c r="K39" s="135"/>
      <c r="M39" s="136"/>
      <c r="N39" s="137"/>
      <c r="O39" s="133"/>
      <c r="P39" s="134"/>
      <c r="Q39" s="134"/>
      <c r="R39" s="135"/>
      <c r="T39" s="138"/>
      <c r="U39" s="138"/>
      <c r="V39" s="138"/>
    </row>
    <row r="40" spans="1:23" ht="19.5" thickBot="1" x14ac:dyDescent="0.3">
      <c r="A40" s="75">
        <f t="shared" si="1"/>
        <v>37</v>
      </c>
      <c r="B40" s="94" t="s">
        <v>22</v>
      </c>
      <c r="C40" s="95">
        <f>2+693</f>
        <v>695</v>
      </c>
      <c r="D40" s="95"/>
      <c r="E40" s="95"/>
      <c r="F40" s="95"/>
      <c r="G40" s="95"/>
      <c r="H40" s="95">
        <v>9</v>
      </c>
      <c r="I40" s="95"/>
      <c r="J40" s="110"/>
      <c r="K40" s="96">
        <v>15</v>
      </c>
      <c r="L40" s="102"/>
      <c r="M40" s="103"/>
      <c r="N40" s="120"/>
      <c r="O40" s="97"/>
      <c r="P40" s="113"/>
      <c r="Q40" s="113">
        <v>2</v>
      </c>
      <c r="R40" s="98"/>
      <c r="S40" s="102"/>
      <c r="T40" s="104">
        <f t="shared" si="0"/>
        <v>24</v>
      </c>
      <c r="U40" s="104">
        <f>C40*24+M40*24+O40*24+Q40*24+T40</f>
        <v>16752</v>
      </c>
      <c r="V40" s="104">
        <f>U40/24</f>
        <v>698</v>
      </c>
    </row>
    <row r="41" spans="1:23" ht="19.5" thickBot="1" x14ac:dyDescent="0.3">
      <c r="A41" s="75">
        <f t="shared" si="1"/>
        <v>38</v>
      </c>
      <c r="B41" s="99" t="s">
        <v>23</v>
      </c>
      <c r="C41" s="100">
        <f>1632+8</f>
        <v>1640</v>
      </c>
      <c r="D41" s="100"/>
      <c r="E41" s="100"/>
      <c r="F41" s="100"/>
      <c r="G41" s="100"/>
      <c r="H41" s="100"/>
      <c r="I41" s="100"/>
      <c r="J41" s="112"/>
      <c r="K41" s="101"/>
      <c r="L41" s="105"/>
      <c r="M41" s="106">
        <v>10</v>
      </c>
      <c r="N41" s="122"/>
      <c r="O41" s="100">
        <v>6</v>
      </c>
      <c r="P41" s="112"/>
      <c r="Q41" s="112">
        <v>20</v>
      </c>
      <c r="R41" s="101"/>
      <c r="S41" s="105"/>
      <c r="T41" s="107">
        <f t="shared" si="0"/>
        <v>0</v>
      </c>
      <c r="U41" s="107">
        <f>C41*12+M41*12+O41*12+Q41*12+T41</f>
        <v>20112</v>
      </c>
      <c r="V41" s="107">
        <f>U41/12</f>
        <v>1676</v>
      </c>
    </row>
    <row r="42" spans="1:23" hidden="1" x14ac:dyDescent="0.25">
      <c r="A42" s="75">
        <f t="shared" si="1"/>
        <v>39</v>
      </c>
      <c r="B42" s="73" t="s">
        <v>31</v>
      </c>
      <c r="C42" s="47"/>
      <c r="D42" s="47"/>
      <c r="E42" s="47"/>
      <c r="F42" s="47"/>
      <c r="G42" s="47"/>
      <c r="H42" s="47"/>
      <c r="I42" s="47"/>
      <c r="J42" s="111"/>
      <c r="K42" s="46"/>
      <c r="M42" s="52"/>
      <c r="N42" s="121"/>
      <c r="O42" s="47"/>
      <c r="P42" s="111"/>
      <c r="Q42" s="111"/>
      <c r="R42" s="46"/>
      <c r="T42" s="50"/>
      <c r="U42" s="50"/>
      <c r="V42" s="50"/>
    </row>
    <row r="43" spans="1:23" ht="19.5" thickBot="1" x14ac:dyDescent="0.3">
      <c r="A43" s="75">
        <f t="shared" si="1"/>
        <v>40</v>
      </c>
      <c r="B43" s="94" t="s">
        <v>24</v>
      </c>
      <c r="C43" s="97">
        <f>6048+5076+6372+5400+7128+1</f>
        <v>30025</v>
      </c>
      <c r="D43" s="97"/>
      <c r="E43" s="97"/>
      <c r="F43" s="97"/>
      <c r="G43" s="97"/>
      <c r="H43" s="97">
        <v>1</v>
      </c>
      <c r="I43" s="97">
        <v>6</v>
      </c>
      <c r="J43" s="113">
        <f>11*6+4</f>
        <v>70</v>
      </c>
      <c r="K43" s="98">
        <f>75*6+4</f>
        <v>454</v>
      </c>
      <c r="L43" s="102"/>
      <c r="M43" s="103">
        <v>305</v>
      </c>
      <c r="N43" s="120"/>
      <c r="O43" s="97">
        <v>358</v>
      </c>
      <c r="P43" s="113"/>
      <c r="Q43" s="113">
        <v>432</v>
      </c>
      <c r="R43" s="98"/>
      <c r="S43" s="102"/>
      <c r="T43" s="104">
        <f t="shared" ref="T43" si="6">H43+I43+J43+K43+N43+P43+R43</f>
        <v>531</v>
      </c>
      <c r="U43" s="104">
        <f>C43*6+M43*6+O43*6+Q43*6+T43</f>
        <v>187251</v>
      </c>
      <c r="V43" s="104">
        <f>U43/6</f>
        <v>31208.5</v>
      </c>
    </row>
    <row r="44" spans="1:23" hidden="1" x14ac:dyDescent="0.25">
      <c r="A44" s="75">
        <f t="shared" si="1"/>
        <v>41</v>
      </c>
      <c r="B44" s="73" t="s">
        <v>33</v>
      </c>
      <c r="C44" s="47"/>
      <c r="D44" s="47"/>
      <c r="E44" s="47"/>
      <c r="F44" s="47"/>
      <c r="G44" s="47"/>
      <c r="H44" s="47"/>
      <c r="I44" s="47"/>
      <c r="J44" s="111"/>
      <c r="K44" s="46"/>
      <c r="M44" s="52"/>
      <c r="N44" s="121"/>
      <c r="O44" s="47"/>
      <c r="P44" s="111"/>
      <c r="Q44" s="111"/>
      <c r="R44" s="46"/>
      <c r="T44" s="50"/>
      <c r="U44" s="50"/>
      <c r="V44" s="50"/>
    </row>
    <row r="45" spans="1:23" x14ac:dyDescent="0.25">
      <c r="A45" s="75">
        <f t="shared" si="1"/>
        <v>42</v>
      </c>
      <c r="B45" s="74" t="s">
        <v>25</v>
      </c>
      <c r="C45" s="47"/>
      <c r="D45" s="47"/>
      <c r="E45" s="47"/>
      <c r="F45" s="47"/>
      <c r="G45" s="47"/>
      <c r="H45" s="47"/>
      <c r="I45" s="47"/>
      <c r="J45" s="111"/>
      <c r="K45" s="46"/>
      <c r="M45" s="52"/>
      <c r="N45" s="121"/>
      <c r="O45" s="47"/>
      <c r="P45" s="111"/>
      <c r="Q45" s="111"/>
      <c r="R45" s="46"/>
      <c r="T45" s="50">
        <f t="shared" ref="T45:T54" si="7">H45+I45+J45+K45+N45+P45+R45</f>
        <v>0</v>
      </c>
      <c r="U45" s="50">
        <f>C45*24+M45*24+O45*24+Q45*24+T45</f>
        <v>0</v>
      </c>
      <c r="V45" s="50">
        <f>U45/24</f>
        <v>0</v>
      </c>
    </row>
    <row r="46" spans="1:23" x14ac:dyDescent="0.25">
      <c r="A46" s="75">
        <f t="shared" si="1"/>
        <v>43</v>
      </c>
      <c r="B46" s="74" t="s">
        <v>68</v>
      </c>
      <c r="C46" s="47"/>
      <c r="D46" s="47"/>
      <c r="E46" s="47"/>
      <c r="F46" s="47"/>
      <c r="G46" s="47"/>
      <c r="H46" s="47"/>
      <c r="I46" s="47"/>
      <c r="J46" s="111"/>
      <c r="K46" s="46"/>
      <c r="M46" s="52"/>
      <c r="N46" s="121"/>
      <c r="O46" s="47"/>
      <c r="P46" s="111"/>
      <c r="Q46" s="111"/>
      <c r="R46" s="46"/>
      <c r="T46" s="50">
        <f t="shared" si="7"/>
        <v>0</v>
      </c>
      <c r="U46" s="50">
        <f t="shared" ref="U46:U50" si="8">C46*24+M46*24+O46*24+Q46*24+T46</f>
        <v>0</v>
      </c>
      <c r="V46" s="50">
        <f t="shared" ref="V46:V54" si="9">U46/24</f>
        <v>0</v>
      </c>
    </row>
    <row r="47" spans="1:23" x14ac:dyDescent="0.25">
      <c r="A47" s="75">
        <f t="shared" si="1"/>
        <v>44</v>
      </c>
      <c r="B47" s="74" t="s">
        <v>26</v>
      </c>
      <c r="C47" s="47">
        <f>24+44+2268</f>
        <v>2336</v>
      </c>
      <c r="D47" s="47"/>
      <c r="E47" s="47"/>
      <c r="F47" s="47"/>
      <c r="G47" s="47"/>
      <c r="H47" s="47">
        <v>3</v>
      </c>
      <c r="I47" s="47"/>
      <c r="J47" s="111"/>
      <c r="K47" s="46">
        <v>6</v>
      </c>
      <c r="M47" s="52">
        <v>10</v>
      </c>
      <c r="N47" s="121"/>
      <c r="O47" s="47">
        <v>8</v>
      </c>
      <c r="P47" s="111">
        <v>2</v>
      </c>
      <c r="Q47" s="111">
        <v>10</v>
      </c>
      <c r="R47" s="46"/>
      <c r="T47" s="50">
        <f t="shared" si="7"/>
        <v>11</v>
      </c>
      <c r="U47" s="50">
        <f>C47*6+M47*6+O47*6+Q47*6+T47</f>
        <v>14195</v>
      </c>
      <c r="V47" s="50">
        <f>U47/6</f>
        <v>2365.8333333333335</v>
      </c>
    </row>
    <row r="48" spans="1:23" x14ac:dyDescent="0.25">
      <c r="A48" s="75">
        <f t="shared" si="1"/>
        <v>45</v>
      </c>
      <c r="B48" s="74" t="s">
        <v>69</v>
      </c>
      <c r="C48" s="47"/>
      <c r="D48" s="47"/>
      <c r="E48" s="47"/>
      <c r="F48" s="47"/>
      <c r="G48" s="47"/>
      <c r="H48" s="47"/>
      <c r="I48" s="47"/>
      <c r="J48" s="111"/>
      <c r="K48" s="46"/>
      <c r="M48" s="52"/>
      <c r="N48" s="121"/>
      <c r="O48" s="47"/>
      <c r="P48" s="111"/>
      <c r="Q48" s="111"/>
      <c r="R48" s="46"/>
      <c r="T48" s="50">
        <f t="shared" si="7"/>
        <v>0</v>
      </c>
      <c r="U48" s="50">
        <f t="shared" si="8"/>
        <v>0</v>
      </c>
      <c r="V48" s="50">
        <f t="shared" si="9"/>
        <v>0</v>
      </c>
    </row>
    <row r="49" spans="1:22" x14ac:dyDescent="0.25">
      <c r="A49" s="75">
        <f t="shared" si="1"/>
        <v>46</v>
      </c>
      <c r="B49" s="74" t="s">
        <v>28</v>
      </c>
      <c r="C49" s="47"/>
      <c r="D49" s="47"/>
      <c r="E49" s="47"/>
      <c r="F49" s="47"/>
      <c r="G49" s="47"/>
      <c r="H49" s="47"/>
      <c r="I49" s="47"/>
      <c r="J49" s="111"/>
      <c r="K49" s="46"/>
      <c r="M49" s="52"/>
      <c r="N49" s="121"/>
      <c r="O49" s="47"/>
      <c r="P49" s="111"/>
      <c r="Q49" s="111"/>
      <c r="R49" s="46"/>
      <c r="T49" s="50">
        <f t="shared" si="7"/>
        <v>0</v>
      </c>
      <c r="U49" s="50">
        <f t="shared" si="8"/>
        <v>0</v>
      </c>
      <c r="V49" s="50">
        <f t="shared" si="9"/>
        <v>0</v>
      </c>
    </row>
    <row r="50" spans="1:22" x14ac:dyDescent="0.25">
      <c r="A50" s="75">
        <f t="shared" si="1"/>
        <v>47</v>
      </c>
      <c r="B50" s="74" t="s">
        <v>70</v>
      </c>
      <c r="C50" s="47"/>
      <c r="D50" s="47"/>
      <c r="E50" s="47"/>
      <c r="F50" s="47"/>
      <c r="G50" s="47"/>
      <c r="H50" s="47"/>
      <c r="I50" s="47"/>
      <c r="J50" s="111"/>
      <c r="K50" s="46"/>
      <c r="M50" s="52"/>
      <c r="N50" s="121"/>
      <c r="O50" s="47"/>
      <c r="P50" s="111"/>
      <c r="Q50" s="111"/>
      <c r="R50" s="46"/>
      <c r="T50" s="50">
        <f t="shared" si="7"/>
        <v>0</v>
      </c>
      <c r="U50" s="50">
        <f t="shared" si="8"/>
        <v>0</v>
      </c>
      <c r="V50" s="50">
        <f t="shared" si="9"/>
        <v>0</v>
      </c>
    </row>
    <row r="51" spans="1:22" x14ac:dyDescent="0.25">
      <c r="A51" s="75">
        <f t="shared" si="1"/>
        <v>48</v>
      </c>
      <c r="B51" s="74" t="s">
        <v>29</v>
      </c>
      <c r="C51" s="47">
        <v>34</v>
      </c>
      <c r="D51" s="47"/>
      <c r="E51" s="47"/>
      <c r="F51" s="47"/>
      <c r="G51" s="47"/>
      <c r="H51" s="47"/>
      <c r="I51" s="47"/>
      <c r="J51" s="111"/>
      <c r="K51" s="46"/>
      <c r="M51" s="52"/>
      <c r="N51" s="121"/>
      <c r="O51" s="47"/>
      <c r="P51" s="111"/>
      <c r="Q51" s="111"/>
      <c r="R51" s="46"/>
      <c r="T51" s="50">
        <f t="shared" si="7"/>
        <v>0</v>
      </c>
      <c r="U51" s="50">
        <f>C51*6+M51*6+O51*6+Q51*6+T51</f>
        <v>204</v>
      </c>
      <c r="V51" s="50">
        <f>U51/6</f>
        <v>34</v>
      </c>
    </row>
    <row r="52" spans="1:22" x14ac:dyDescent="0.25">
      <c r="A52" s="75">
        <f t="shared" si="1"/>
        <v>49</v>
      </c>
      <c r="B52" s="74" t="s">
        <v>30</v>
      </c>
      <c r="C52" s="47"/>
      <c r="D52" s="47"/>
      <c r="E52" s="47"/>
      <c r="F52" s="47"/>
      <c r="G52" s="47"/>
      <c r="H52" s="47"/>
      <c r="I52" s="47"/>
      <c r="J52" s="111"/>
      <c r="K52" s="46"/>
      <c r="M52" s="52"/>
      <c r="N52" s="121"/>
      <c r="O52" s="47"/>
      <c r="P52" s="111"/>
      <c r="Q52" s="111"/>
      <c r="R52" s="46"/>
      <c r="T52" s="50">
        <f t="shared" si="7"/>
        <v>0</v>
      </c>
      <c r="U52" s="50">
        <f t="shared" ref="U52:U54" si="10">C52*24+M52*24+O52*24+Q52*24+T52</f>
        <v>0</v>
      </c>
      <c r="V52" s="50">
        <f t="shared" si="9"/>
        <v>0</v>
      </c>
    </row>
    <row r="53" spans="1:22" x14ac:dyDescent="0.25">
      <c r="A53" s="75">
        <f t="shared" si="1"/>
        <v>50</v>
      </c>
      <c r="B53" s="74" t="s">
        <v>75</v>
      </c>
      <c r="C53" s="47">
        <v>2</v>
      </c>
      <c r="D53" s="47"/>
      <c r="E53" s="47"/>
      <c r="F53" s="47"/>
      <c r="G53" s="47"/>
      <c r="H53" s="47"/>
      <c r="I53" s="47"/>
      <c r="J53" s="111"/>
      <c r="K53" s="46"/>
      <c r="M53" s="52"/>
      <c r="N53" s="121"/>
      <c r="O53" s="47"/>
      <c r="P53" s="111"/>
      <c r="Q53" s="111"/>
      <c r="R53" s="46"/>
      <c r="T53" s="50">
        <f t="shared" si="7"/>
        <v>0</v>
      </c>
      <c r="U53" s="50">
        <f t="shared" si="10"/>
        <v>48</v>
      </c>
      <c r="V53" s="50">
        <f t="shared" si="9"/>
        <v>2</v>
      </c>
    </row>
    <row r="54" spans="1:22" x14ac:dyDescent="0.25">
      <c r="A54" s="75">
        <f t="shared" si="1"/>
        <v>51</v>
      </c>
      <c r="B54" s="74"/>
      <c r="C54" s="47"/>
      <c r="D54" s="47"/>
      <c r="E54" s="47"/>
      <c r="F54" s="47"/>
      <c r="G54" s="47"/>
      <c r="H54" s="47"/>
      <c r="I54" s="47"/>
      <c r="J54" s="111"/>
      <c r="K54" s="46"/>
      <c r="M54" s="52"/>
      <c r="N54" s="121"/>
      <c r="O54" s="47"/>
      <c r="P54" s="111"/>
      <c r="Q54" s="111"/>
      <c r="R54" s="46"/>
      <c r="T54" s="50">
        <f t="shared" si="7"/>
        <v>0</v>
      </c>
      <c r="U54" s="50">
        <f t="shared" si="10"/>
        <v>0</v>
      </c>
      <c r="V54" s="50">
        <f t="shared" si="9"/>
        <v>0</v>
      </c>
    </row>
    <row r="55" spans="1:22" x14ac:dyDescent="0.25">
      <c r="A55" s="75">
        <f t="shared" si="1"/>
        <v>52</v>
      </c>
      <c r="B55" s="74"/>
      <c r="C55" s="47"/>
      <c r="D55" s="47"/>
      <c r="E55" s="47"/>
      <c r="F55" s="47"/>
      <c r="G55" s="47"/>
      <c r="H55" s="47"/>
      <c r="I55" s="47"/>
      <c r="J55" s="111"/>
      <c r="K55" s="46"/>
      <c r="M55" s="52"/>
      <c r="N55" s="121"/>
      <c r="O55" s="47"/>
      <c r="P55" s="111"/>
      <c r="Q55" s="111"/>
      <c r="R55" s="46"/>
      <c r="T55" s="50"/>
      <c r="U55" s="50"/>
      <c r="V55" s="50"/>
    </row>
    <row r="56" spans="1:22" x14ac:dyDescent="0.25">
      <c r="A56" s="75">
        <f t="shared" si="1"/>
        <v>53</v>
      </c>
      <c r="B56" s="74"/>
      <c r="C56" s="47"/>
      <c r="D56" s="47"/>
      <c r="E56" s="47"/>
      <c r="F56" s="47"/>
      <c r="G56" s="47"/>
      <c r="H56" s="47"/>
      <c r="I56" s="47"/>
      <c r="J56" s="111"/>
      <c r="K56" s="46"/>
      <c r="M56" s="52"/>
      <c r="N56" s="121"/>
      <c r="O56" s="47"/>
      <c r="P56" s="111"/>
      <c r="Q56" s="111"/>
      <c r="R56" s="46"/>
      <c r="T56" s="50"/>
      <c r="U56" s="50"/>
      <c r="V56" s="50"/>
    </row>
    <row r="57" spans="1:22" x14ac:dyDescent="0.25">
      <c r="A57" s="75">
        <f t="shared" si="1"/>
        <v>54</v>
      </c>
      <c r="B57" s="74"/>
      <c r="C57" s="47"/>
      <c r="D57" s="47"/>
      <c r="E57" s="47"/>
      <c r="F57" s="47"/>
      <c r="G57" s="47"/>
      <c r="H57" s="47"/>
      <c r="I57" s="47"/>
      <c r="J57" s="111"/>
      <c r="K57" s="46"/>
      <c r="M57" s="52"/>
      <c r="N57" s="121"/>
      <c r="O57" s="47"/>
      <c r="P57" s="111"/>
      <c r="Q57" s="111"/>
      <c r="R57" s="46"/>
      <c r="T57" s="50"/>
      <c r="U57" s="50"/>
      <c r="V57" s="50"/>
    </row>
    <row r="58" spans="1:22" s="63" customFormat="1" ht="19.5" thickBot="1" x14ac:dyDescent="0.3">
      <c r="B58" s="77" t="s">
        <v>60</v>
      </c>
      <c r="C58" s="49">
        <f>SUM(C7:C57)</f>
        <v>42967</v>
      </c>
      <c r="D58" s="49"/>
      <c r="E58" s="49"/>
      <c r="F58" s="49">
        <f t="shared" ref="F58:K58" si="11">SUM(F7:F57)</f>
        <v>0</v>
      </c>
      <c r="G58" s="49">
        <f t="shared" si="11"/>
        <v>0</v>
      </c>
      <c r="H58" s="49">
        <f t="shared" si="11"/>
        <v>56</v>
      </c>
      <c r="I58" s="54">
        <f t="shared" si="11"/>
        <v>8</v>
      </c>
      <c r="J58" s="54">
        <f t="shared" si="11"/>
        <v>74</v>
      </c>
      <c r="K58" s="54">
        <f t="shared" si="11"/>
        <v>486</v>
      </c>
      <c r="M58" s="53">
        <f t="shared" ref="M58:R58" si="12">SUM(M7:M57)</f>
        <v>375</v>
      </c>
      <c r="N58" s="53">
        <f t="shared" si="12"/>
        <v>44</v>
      </c>
      <c r="O58" s="53">
        <f t="shared" si="12"/>
        <v>426</v>
      </c>
      <c r="P58" s="53">
        <f t="shared" si="12"/>
        <v>20</v>
      </c>
      <c r="Q58" s="53">
        <f t="shared" si="12"/>
        <v>574</v>
      </c>
      <c r="R58" s="53">
        <f t="shared" si="12"/>
        <v>12</v>
      </c>
      <c r="S58" s="57"/>
      <c r="T58" s="51">
        <f>SUM(T7:T57)</f>
        <v>700</v>
      </c>
      <c r="U58" s="51">
        <f>SUM(U7:U57)</f>
        <v>362794</v>
      </c>
      <c r="V58" s="51">
        <f>SUM(V7:V57)</f>
        <v>44439.916666666672</v>
      </c>
    </row>
    <row r="59" spans="1:22" ht="7.5" customHeight="1" thickBot="1" x14ac:dyDescent="0.3"/>
    <row r="60" spans="1:22" ht="19.5" thickBot="1" x14ac:dyDescent="0.3">
      <c r="B60" s="78" t="s">
        <v>39</v>
      </c>
      <c r="C60" s="191" t="s">
        <v>49</v>
      </c>
      <c r="D60" s="192"/>
      <c r="E60" s="192"/>
      <c r="F60" s="192"/>
      <c r="G60" s="192"/>
      <c r="H60" s="192"/>
      <c r="I60" s="192"/>
      <c r="J60" s="192"/>
      <c r="K60" s="193"/>
      <c r="U60" s="72" t="s">
        <v>62</v>
      </c>
    </row>
    <row r="61" spans="1:22" x14ac:dyDescent="0.25">
      <c r="B61" s="79" t="s">
        <v>18</v>
      </c>
      <c r="C61" s="67"/>
      <c r="D61" s="67"/>
      <c r="E61" s="67"/>
      <c r="F61" s="67"/>
      <c r="G61" s="67"/>
      <c r="H61" s="67"/>
      <c r="I61" s="67"/>
      <c r="J61" s="114"/>
      <c r="K61" s="68"/>
      <c r="U61" s="55"/>
    </row>
    <row r="62" spans="1:22" x14ac:dyDescent="0.25">
      <c r="B62" s="80" t="s">
        <v>55</v>
      </c>
      <c r="C62" s="48"/>
      <c r="D62" s="48"/>
      <c r="E62" s="48"/>
      <c r="F62" s="48"/>
      <c r="G62" s="48"/>
      <c r="H62" s="48"/>
      <c r="I62" s="48"/>
      <c r="J62" s="109"/>
      <c r="K62" s="69"/>
      <c r="U62" s="50"/>
    </row>
    <row r="63" spans="1:22" ht="19.5" thickBot="1" x14ac:dyDescent="0.3">
      <c r="B63" s="81" t="s">
        <v>54</v>
      </c>
      <c r="C63" s="70"/>
      <c r="D63" s="70"/>
      <c r="E63" s="70"/>
      <c r="F63" s="70"/>
      <c r="G63" s="70"/>
      <c r="H63" s="70"/>
      <c r="I63" s="70"/>
      <c r="J63" s="115"/>
      <c r="K63" s="71"/>
      <c r="U63" s="56"/>
    </row>
    <row r="64" spans="1:22" ht="7.5" customHeight="1" thickBot="1" x14ac:dyDescent="0.3"/>
    <row r="65" spans="2:21" x14ac:dyDescent="0.25">
      <c r="B65" s="79" t="s">
        <v>56</v>
      </c>
      <c r="C65" s="67"/>
      <c r="D65" s="67"/>
      <c r="E65" s="67"/>
      <c r="F65" s="67"/>
      <c r="G65" s="67"/>
      <c r="H65" s="67"/>
      <c r="I65" s="67"/>
      <c r="J65" s="114"/>
      <c r="K65" s="68"/>
      <c r="U65" s="55"/>
    </row>
    <row r="66" spans="2:21" x14ac:dyDescent="0.25">
      <c r="B66" s="80" t="s">
        <v>55</v>
      </c>
      <c r="C66" s="48"/>
      <c r="D66" s="48"/>
      <c r="E66" s="48"/>
      <c r="F66" s="48"/>
      <c r="G66" s="48"/>
      <c r="H66" s="48"/>
      <c r="I66" s="48"/>
      <c r="J66" s="109"/>
      <c r="K66" s="69"/>
      <c r="U66" s="50"/>
    </row>
    <row r="67" spans="2:21" ht="19.5" thickBot="1" x14ac:dyDescent="0.3">
      <c r="B67" s="81" t="s">
        <v>54</v>
      </c>
      <c r="C67" s="70"/>
      <c r="D67" s="70"/>
      <c r="E67" s="70"/>
      <c r="F67" s="70"/>
      <c r="G67" s="70"/>
      <c r="H67" s="70"/>
      <c r="I67" s="70"/>
      <c r="J67" s="115"/>
      <c r="K67" s="71"/>
      <c r="U67" s="56"/>
    </row>
    <row r="68" spans="2:21" ht="7.5" customHeight="1" thickBot="1" x14ac:dyDescent="0.3"/>
    <row r="69" spans="2:21" x14ac:dyDescent="0.25">
      <c r="B69" s="79" t="s">
        <v>41</v>
      </c>
      <c r="C69" s="67"/>
      <c r="D69" s="67"/>
      <c r="E69" s="67"/>
      <c r="F69" s="67"/>
      <c r="G69" s="67"/>
      <c r="H69" s="67"/>
      <c r="I69" s="67"/>
      <c r="J69" s="114"/>
      <c r="K69" s="68"/>
      <c r="U69" s="55"/>
    </row>
    <row r="70" spans="2:21" x14ac:dyDescent="0.25">
      <c r="B70" s="80" t="s">
        <v>55</v>
      </c>
      <c r="C70" s="48"/>
      <c r="D70" s="48"/>
      <c r="E70" s="48"/>
      <c r="F70" s="48"/>
      <c r="G70" s="48"/>
      <c r="H70" s="48"/>
      <c r="I70" s="48"/>
      <c r="J70" s="109"/>
      <c r="K70" s="69"/>
      <c r="U70" s="50"/>
    </row>
    <row r="71" spans="2:21" ht="19.5" thickBot="1" x14ac:dyDescent="0.3">
      <c r="B71" s="81" t="s">
        <v>54</v>
      </c>
      <c r="C71" s="70"/>
      <c r="D71" s="70"/>
      <c r="E71" s="70"/>
      <c r="F71" s="70"/>
      <c r="G71" s="70"/>
      <c r="H71" s="70"/>
      <c r="I71" s="70"/>
      <c r="J71" s="115"/>
      <c r="K71" s="71"/>
      <c r="U71" s="56"/>
    </row>
    <row r="72" spans="2:21" ht="7.5" customHeight="1" thickBot="1" x14ac:dyDescent="0.3"/>
    <row r="73" spans="2:21" x14ac:dyDescent="0.25">
      <c r="B73" s="79" t="s">
        <v>57</v>
      </c>
      <c r="C73" s="67"/>
      <c r="D73" s="67"/>
      <c r="E73" s="67"/>
      <c r="F73" s="67"/>
      <c r="G73" s="67"/>
      <c r="H73" s="67"/>
      <c r="I73" s="67"/>
      <c r="J73" s="114"/>
      <c r="K73" s="68"/>
      <c r="U73" s="55"/>
    </row>
    <row r="74" spans="2:21" x14ac:dyDescent="0.25">
      <c r="B74" s="80" t="s">
        <v>55</v>
      </c>
      <c r="C74" s="48"/>
      <c r="D74" s="48"/>
      <c r="E74" s="48"/>
      <c r="F74" s="48"/>
      <c r="G74" s="48"/>
      <c r="H74" s="48"/>
      <c r="I74" s="48"/>
      <c r="J74" s="109"/>
      <c r="K74" s="69"/>
      <c r="U74" s="50"/>
    </row>
    <row r="75" spans="2:21" ht="19.5" thickBot="1" x14ac:dyDescent="0.3">
      <c r="B75" s="81" t="s">
        <v>54</v>
      </c>
      <c r="C75" s="70"/>
      <c r="D75" s="70"/>
      <c r="E75" s="70"/>
      <c r="F75" s="70"/>
      <c r="G75" s="70"/>
      <c r="H75" s="70"/>
      <c r="I75" s="70"/>
      <c r="J75" s="115"/>
      <c r="K75" s="71"/>
      <c r="U75" s="56"/>
    </row>
    <row r="76" spans="2:21" ht="7.5" customHeight="1" thickBot="1" x14ac:dyDescent="0.3"/>
    <row r="77" spans="2:21" x14ac:dyDescent="0.25">
      <c r="B77" s="79" t="s">
        <v>58</v>
      </c>
      <c r="C77" s="67"/>
      <c r="D77" s="67"/>
      <c r="E77" s="67"/>
      <c r="F77" s="67"/>
      <c r="G77" s="67"/>
      <c r="H77" s="67"/>
      <c r="I77" s="67"/>
      <c r="J77" s="114"/>
      <c r="K77" s="68"/>
      <c r="U77" s="55"/>
    </row>
    <row r="78" spans="2:21" x14ac:dyDescent="0.25">
      <c r="B78" s="80" t="s">
        <v>55</v>
      </c>
      <c r="C78" s="48"/>
      <c r="D78" s="48"/>
      <c r="E78" s="48"/>
      <c r="F78" s="48"/>
      <c r="G78" s="48"/>
      <c r="H78" s="48"/>
      <c r="I78" s="48"/>
      <c r="J78" s="109"/>
      <c r="K78" s="69"/>
      <c r="U78" s="50"/>
    </row>
    <row r="79" spans="2:21" ht="19.5" thickBot="1" x14ac:dyDescent="0.3">
      <c r="B79" s="81" t="s">
        <v>54</v>
      </c>
      <c r="C79" s="70"/>
      <c r="D79" s="70"/>
      <c r="E79" s="70"/>
      <c r="F79" s="70"/>
      <c r="G79" s="70"/>
      <c r="H79" s="70"/>
      <c r="I79" s="70"/>
      <c r="J79" s="115"/>
      <c r="K79" s="71"/>
      <c r="U79" s="56"/>
    </row>
    <row r="80" spans="2:21" ht="7.5" customHeight="1" thickBot="1" x14ac:dyDescent="0.3"/>
    <row r="81" spans="2:21" ht="19.5" thickBot="1" x14ac:dyDescent="0.3">
      <c r="B81" s="78" t="s">
        <v>59</v>
      </c>
      <c r="C81" s="65"/>
      <c r="D81" s="65"/>
      <c r="E81" s="65"/>
      <c r="F81" s="65"/>
      <c r="G81" s="65"/>
      <c r="H81" s="65"/>
      <c r="I81" s="65"/>
      <c r="J81" s="116"/>
      <c r="K81" s="66"/>
      <c r="U81" s="64"/>
    </row>
  </sheetData>
  <mergeCells count="7">
    <mergeCell ref="V4:V5"/>
    <mergeCell ref="J5:K5"/>
    <mergeCell ref="C60:K60"/>
    <mergeCell ref="I1:U1"/>
    <mergeCell ref="C4:K4"/>
    <mergeCell ref="T4:T5"/>
    <mergeCell ref="U4:U5"/>
  </mergeCells>
  <printOptions horizontalCentered="1" verticalCentered="1"/>
  <pageMargins left="0.19685039370078741" right="0.19685039370078741" top="0.19685039370078741" bottom="0.19685039370078741" header="0.19685039370078741" footer="0.19685039370078741"/>
  <pageSetup paperSize="14" scale="70" orientation="portrait" horizontalDpi="360" verticalDpi="360" r:id="rId1"/>
  <colBreaks count="1" manualBreakCount="1">
    <brk id="24" max="80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E6D21-8432-42F5-A0EA-128BF8928235}">
  <sheetPr>
    <pageSetUpPr fitToPage="1"/>
  </sheetPr>
  <dimension ref="A1:BB81"/>
  <sheetViews>
    <sheetView zoomScaleNormal="100" zoomScaleSheetLayoutView="115" workbookViewId="0">
      <selection activeCell="B2" sqref="B2"/>
    </sheetView>
  </sheetViews>
  <sheetFormatPr defaultColWidth="9.140625" defaultRowHeight="18.75" x14ac:dyDescent="0.25"/>
  <cols>
    <col min="1" max="1" width="4.140625" style="57" bestFit="1" customWidth="1"/>
    <col min="2" max="2" width="12.28515625" style="76" customWidth="1"/>
    <col min="3" max="6" width="10" style="57" customWidth="1"/>
    <col min="7" max="7" width="6.85546875" style="57" customWidth="1"/>
    <col min="8" max="8" width="6.7109375" style="57" customWidth="1"/>
    <col min="9" max="9" width="5.5703125" style="57" bestFit="1" customWidth="1"/>
    <col min="10" max="10" width="6.85546875" style="57" customWidth="1"/>
    <col min="11" max="11" width="5.5703125" style="57" bestFit="1" customWidth="1"/>
    <col min="12" max="12" width="1.42578125" style="57" customWidth="1"/>
    <col min="13" max="13" width="10" style="57" customWidth="1"/>
    <col min="14" max="14" width="5.5703125" style="57" bestFit="1" customWidth="1"/>
    <col min="15" max="15" width="10" style="57" customWidth="1"/>
    <col min="16" max="16" width="5.5703125" style="57" customWidth="1"/>
    <col min="17" max="17" width="10" style="57" customWidth="1"/>
    <col min="18" max="18" width="5.5703125" style="57" bestFit="1" customWidth="1"/>
    <col min="19" max="19" width="1.42578125" style="57" customWidth="1"/>
    <col min="20" max="20" width="12.5703125" style="57" bestFit="1" customWidth="1"/>
    <col min="21" max="21" width="14.28515625" style="57" customWidth="1"/>
    <col min="22" max="22" width="19.42578125" style="57" bestFit="1" customWidth="1"/>
    <col min="23" max="49" width="7.28515625" style="57" customWidth="1"/>
    <col min="50" max="50" width="1.5703125" style="57" customWidth="1"/>
    <col min="51" max="51" width="9.42578125" style="57" customWidth="1"/>
    <col min="52" max="52" width="1.28515625" style="57" customWidth="1"/>
    <col min="53" max="53" width="12.7109375" style="57" bestFit="1" customWidth="1"/>
    <col min="54" max="54" width="10.28515625" style="57" bestFit="1" customWidth="1"/>
    <col min="55" max="16384" width="9.140625" style="57"/>
  </cols>
  <sheetData>
    <row r="1" spans="1:54" ht="15" customHeight="1" x14ac:dyDescent="0.25">
      <c r="B1" s="75" t="s">
        <v>51</v>
      </c>
      <c r="I1" s="194" t="s">
        <v>53</v>
      </c>
      <c r="J1" s="194"/>
      <c r="K1" s="194"/>
      <c r="L1" s="194"/>
      <c r="M1" s="194"/>
      <c r="N1" s="194"/>
      <c r="O1" s="194"/>
      <c r="P1" s="194"/>
      <c r="Q1" s="194"/>
      <c r="R1" s="194"/>
      <c r="S1" s="194"/>
      <c r="T1" s="194"/>
      <c r="U1" s="194"/>
    </row>
    <row r="2" spans="1:54" x14ac:dyDescent="0.25">
      <c r="B2" s="76" t="s">
        <v>96</v>
      </c>
    </row>
    <row r="3" spans="1:54" ht="19.5" thickBot="1" x14ac:dyDescent="0.3"/>
    <row r="4" spans="1:54" s="58" customFormat="1" ht="15.75" x14ac:dyDescent="0.25">
      <c r="B4" s="93" t="s">
        <v>63</v>
      </c>
      <c r="C4" s="189" t="s">
        <v>49</v>
      </c>
      <c r="D4" s="189"/>
      <c r="E4" s="189"/>
      <c r="F4" s="189"/>
      <c r="G4" s="189"/>
      <c r="H4" s="189"/>
      <c r="I4" s="189"/>
      <c r="J4" s="199"/>
      <c r="K4" s="190"/>
      <c r="M4" s="82" t="s">
        <v>0</v>
      </c>
      <c r="N4" s="117" t="s">
        <v>72</v>
      </c>
      <c r="O4" s="84" t="s">
        <v>45</v>
      </c>
      <c r="P4" s="117" t="s">
        <v>72</v>
      </c>
      <c r="Q4" s="85" t="s">
        <v>46</v>
      </c>
      <c r="R4" s="117" t="s">
        <v>72</v>
      </c>
      <c r="S4" s="57"/>
      <c r="T4" s="200" t="s">
        <v>80</v>
      </c>
      <c r="U4" s="202" t="s">
        <v>79</v>
      </c>
      <c r="V4" s="195" t="s">
        <v>78</v>
      </c>
      <c r="AF4" s="59"/>
      <c r="AG4" s="59"/>
      <c r="AH4" s="59"/>
      <c r="AI4" s="59"/>
      <c r="AJ4" s="59"/>
      <c r="AK4" s="59"/>
      <c r="AL4" s="59"/>
      <c r="AM4" s="59"/>
      <c r="AN4" s="59"/>
      <c r="AO4" s="59"/>
      <c r="AP4" s="59"/>
      <c r="AQ4" s="59"/>
      <c r="AR4" s="59"/>
      <c r="AS4" s="59"/>
      <c r="AT4" s="59"/>
      <c r="AU4" s="59"/>
      <c r="AV4" s="59"/>
      <c r="AW4" s="59"/>
      <c r="AX4" s="59"/>
      <c r="AY4" s="59"/>
      <c r="AZ4" s="59"/>
      <c r="BA4" s="59"/>
      <c r="BB4" s="59"/>
    </row>
    <row r="5" spans="1:54" s="58" customFormat="1" ht="15.75" x14ac:dyDescent="0.25">
      <c r="B5" s="87"/>
      <c r="C5" s="92"/>
      <c r="D5" s="92"/>
      <c r="E5" s="92"/>
      <c r="F5" s="92"/>
      <c r="G5" s="92"/>
      <c r="H5" s="92" t="s">
        <v>76</v>
      </c>
      <c r="I5" s="92" t="s">
        <v>71</v>
      </c>
      <c r="J5" s="197" t="s">
        <v>77</v>
      </c>
      <c r="K5" s="198"/>
      <c r="M5" s="87"/>
      <c r="N5" s="118"/>
      <c r="O5" s="92"/>
      <c r="P5" s="139"/>
      <c r="Q5" s="139"/>
      <c r="R5" s="89"/>
      <c r="S5" s="57"/>
      <c r="T5" s="201"/>
      <c r="U5" s="203"/>
      <c r="V5" s="196"/>
      <c r="AF5" s="59"/>
      <c r="AG5" s="59"/>
      <c r="AH5" s="59"/>
      <c r="AI5" s="59"/>
      <c r="AJ5" s="59"/>
      <c r="AK5" s="59"/>
      <c r="AL5" s="59"/>
      <c r="AM5" s="59"/>
      <c r="AN5" s="59"/>
      <c r="AO5" s="59"/>
      <c r="AP5" s="59"/>
      <c r="AQ5" s="59"/>
      <c r="AR5" s="59"/>
      <c r="AS5" s="59"/>
      <c r="AT5" s="59"/>
      <c r="AU5" s="59"/>
      <c r="AV5" s="59"/>
      <c r="AW5" s="59"/>
      <c r="AX5" s="59"/>
      <c r="AY5" s="59"/>
      <c r="AZ5" s="59"/>
      <c r="BA5" s="59"/>
      <c r="BB5" s="59"/>
    </row>
    <row r="6" spans="1:54" s="58" customFormat="1" ht="15.75" x14ac:dyDescent="0.25">
      <c r="B6" s="87"/>
      <c r="C6" s="92"/>
      <c r="D6" s="92"/>
      <c r="E6" s="92"/>
      <c r="F6" s="92"/>
      <c r="G6" s="92"/>
      <c r="H6" s="92"/>
      <c r="I6" s="92"/>
      <c r="J6" s="139"/>
      <c r="K6" s="89"/>
      <c r="M6" s="87"/>
      <c r="N6" s="118"/>
      <c r="O6" s="92"/>
      <c r="P6" s="139"/>
      <c r="Q6" s="139"/>
      <c r="R6" s="89"/>
      <c r="S6" s="57"/>
      <c r="T6" s="90"/>
      <c r="U6" s="90"/>
      <c r="V6" s="90"/>
      <c r="AF6" s="59"/>
      <c r="AG6" s="59"/>
      <c r="AH6" s="59"/>
      <c r="AI6" s="59"/>
      <c r="AJ6" s="59"/>
      <c r="AK6" s="59"/>
      <c r="AL6" s="59"/>
      <c r="AM6" s="59"/>
      <c r="AN6" s="59"/>
      <c r="AO6" s="59"/>
      <c r="AP6" s="59"/>
      <c r="AQ6" s="59"/>
      <c r="AR6" s="59"/>
      <c r="AS6" s="59"/>
      <c r="AT6" s="59"/>
      <c r="AU6" s="59"/>
      <c r="AV6" s="59"/>
      <c r="AW6" s="59"/>
      <c r="AX6" s="59"/>
      <c r="AY6" s="59"/>
      <c r="AZ6" s="59"/>
      <c r="BA6" s="59"/>
      <c r="BB6" s="59"/>
    </row>
    <row r="7" spans="1:54" x14ac:dyDescent="0.25">
      <c r="A7" s="75">
        <v>1</v>
      </c>
      <c r="B7" s="74" t="s">
        <v>34</v>
      </c>
      <c r="C7" s="48">
        <v>26</v>
      </c>
      <c r="D7" s="48"/>
      <c r="E7" s="48"/>
      <c r="F7" s="48"/>
      <c r="G7" s="48"/>
      <c r="H7" s="48">
        <v>5</v>
      </c>
      <c r="I7" s="48">
        <v>1</v>
      </c>
      <c r="J7" s="109"/>
      <c r="K7" s="69">
        <v>6</v>
      </c>
      <c r="M7" s="88">
        <v>2</v>
      </c>
      <c r="N7" s="119">
        <v>12</v>
      </c>
      <c r="O7" s="48">
        <v>2</v>
      </c>
      <c r="P7" s="109"/>
      <c r="Q7" s="109">
        <v>2</v>
      </c>
      <c r="R7" s="69"/>
      <c r="T7" s="91">
        <f>H7+I7+J7+K7+N7+P7+R7</f>
        <v>24</v>
      </c>
      <c r="U7" s="91">
        <f>C7*24+M7*24+O7*24+Q7*24+T7</f>
        <v>792</v>
      </c>
      <c r="V7" s="91">
        <f>U7/24</f>
        <v>33</v>
      </c>
      <c r="W7" s="123"/>
      <c r="AF7" s="60"/>
      <c r="AG7" s="60"/>
      <c r="AH7" s="60"/>
      <c r="AI7" s="60"/>
      <c r="AJ7" s="60"/>
      <c r="AK7" s="60"/>
      <c r="AL7" s="60"/>
      <c r="AM7" s="60"/>
      <c r="AN7" s="60"/>
      <c r="AO7" s="60"/>
      <c r="AP7" s="60"/>
      <c r="AQ7" s="60"/>
      <c r="AR7" s="60"/>
      <c r="AS7" s="60"/>
      <c r="AT7" s="60"/>
      <c r="AU7" s="60"/>
      <c r="AV7" s="60"/>
      <c r="AW7" s="60"/>
      <c r="AX7" s="60"/>
      <c r="AY7" s="60"/>
      <c r="AZ7" s="60"/>
      <c r="BA7" s="60"/>
      <c r="BB7" s="60"/>
    </row>
    <row r="8" spans="1:54" ht="19.5" thickBot="1" x14ac:dyDescent="0.3">
      <c r="A8" s="75">
        <f>A7+1</f>
        <v>2</v>
      </c>
      <c r="B8" s="94" t="s">
        <v>37</v>
      </c>
      <c r="C8" s="95">
        <f>63+30</f>
        <v>93</v>
      </c>
      <c r="D8" s="95"/>
      <c r="E8" s="95"/>
      <c r="F8" s="95"/>
      <c r="G8" s="95"/>
      <c r="H8" s="95"/>
      <c r="I8" s="95"/>
      <c r="J8" s="110"/>
      <c r="K8" s="96"/>
      <c r="L8" s="102"/>
      <c r="M8" s="103">
        <v>1</v>
      </c>
      <c r="N8" s="120"/>
      <c r="O8" s="97">
        <v>1</v>
      </c>
      <c r="P8" s="113"/>
      <c r="Q8" s="113"/>
      <c r="R8" s="98"/>
      <c r="S8" s="102"/>
      <c r="T8" s="126">
        <f t="shared" ref="T8:T41" si="0">H8+I8+J8+K8+N8+P8+R8</f>
        <v>0</v>
      </c>
      <c r="U8" s="124">
        <f>C8*24+M8*24+O8*24+Q8*24+T8</f>
        <v>2280</v>
      </c>
      <c r="V8" s="124">
        <f>U8/24</f>
        <v>95</v>
      </c>
      <c r="W8" s="123"/>
      <c r="AF8" s="60"/>
      <c r="AG8" s="60"/>
      <c r="AH8" s="60"/>
      <c r="AI8" s="60"/>
      <c r="AJ8" s="60"/>
      <c r="AK8" s="60"/>
      <c r="AL8" s="60"/>
      <c r="AM8" s="60"/>
      <c r="AN8" s="60"/>
      <c r="AO8" s="60"/>
      <c r="AP8" s="60"/>
      <c r="AQ8" s="60"/>
      <c r="AR8" s="60"/>
      <c r="AS8" s="60"/>
      <c r="AT8" s="60"/>
      <c r="AU8" s="60"/>
      <c r="AV8" s="60"/>
      <c r="AW8" s="60"/>
      <c r="AX8" s="60"/>
      <c r="AY8" s="60"/>
      <c r="AZ8" s="60"/>
      <c r="BA8" s="60"/>
      <c r="BB8" s="60"/>
    </row>
    <row r="9" spans="1:54" x14ac:dyDescent="0.25">
      <c r="A9" s="75">
        <f t="shared" ref="A9:A57" si="1">A8+1</f>
        <v>3</v>
      </c>
      <c r="B9" s="73" t="s">
        <v>35</v>
      </c>
      <c r="C9" s="47"/>
      <c r="D9" s="47"/>
      <c r="E9" s="47"/>
      <c r="F9" s="47"/>
      <c r="G9" s="47"/>
      <c r="H9" s="47"/>
      <c r="I9" s="47"/>
      <c r="J9" s="111"/>
      <c r="K9" s="46"/>
      <c r="M9" s="52"/>
      <c r="N9" s="121"/>
      <c r="O9" s="47"/>
      <c r="P9" s="111"/>
      <c r="Q9" s="111"/>
      <c r="R9" s="46"/>
      <c r="T9" s="50">
        <f t="shared" si="0"/>
        <v>0</v>
      </c>
      <c r="U9" s="125">
        <f t="shared" ref="U9:U11" si="2">C9*24+M9*24+O9*24+Q9*24+T9</f>
        <v>0</v>
      </c>
      <c r="V9" s="125">
        <f t="shared" ref="V9:V11" si="3">U9/24</f>
        <v>0</v>
      </c>
      <c r="W9" s="123"/>
      <c r="AF9" s="60"/>
      <c r="AG9" s="60"/>
      <c r="AH9" s="60"/>
      <c r="AI9" s="60"/>
      <c r="AJ9" s="60"/>
      <c r="AK9" s="60"/>
      <c r="AL9" s="60"/>
      <c r="AM9" s="60"/>
      <c r="AN9" s="60"/>
      <c r="AO9" s="60"/>
      <c r="AP9" s="60"/>
      <c r="AQ9" s="60"/>
      <c r="AR9" s="60"/>
      <c r="AS9" s="60"/>
      <c r="AT9" s="60"/>
      <c r="AU9" s="60"/>
      <c r="AV9" s="60"/>
      <c r="AW9" s="60"/>
      <c r="AX9" s="60"/>
      <c r="AY9" s="60"/>
      <c r="AZ9" s="60"/>
      <c r="BA9" s="60"/>
      <c r="BB9" s="60"/>
    </row>
    <row r="10" spans="1:54" x14ac:dyDescent="0.25">
      <c r="A10" s="75">
        <f t="shared" si="1"/>
        <v>4</v>
      </c>
      <c r="B10" s="74" t="s">
        <v>38</v>
      </c>
      <c r="C10" s="47">
        <v>58</v>
      </c>
      <c r="D10" s="47"/>
      <c r="E10" s="47"/>
      <c r="F10" s="47"/>
      <c r="G10" s="47"/>
      <c r="H10" s="47"/>
      <c r="I10" s="47"/>
      <c r="J10" s="111"/>
      <c r="K10" s="46"/>
      <c r="M10" s="52"/>
      <c r="N10" s="121"/>
      <c r="O10" s="47">
        <v>1</v>
      </c>
      <c r="P10" s="111"/>
      <c r="Q10" s="111"/>
      <c r="R10" s="46"/>
      <c r="T10" s="91">
        <f t="shared" si="0"/>
        <v>0</v>
      </c>
      <c r="U10" s="91">
        <f t="shared" si="2"/>
        <v>1416</v>
      </c>
      <c r="V10" s="91">
        <f t="shared" si="3"/>
        <v>59</v>
      </c>
      <c r="W10" s="123"/>
      <c r="AF10" s="60"/>
      <c r="AG10" s="60"/>
      <c r="AH10" s="60"/>
      <c r="AI10" s="60"/>
      <c r="AJ10" s="60"/>
      <c r="AK10" s="60"/>
      <c r="AL10" s="60"/>
      <c r="AM10" s="60"/>
      <c r="AN10" s="60"/>
      <c r="AO10" s="60"/>
      <c r="AP10" s="60"/>
      <c r="AQ10" s="60"/>
      <c r="AR10" s="60"/>
      <c r="AS10" s="60"/>
      <c r="AT10" s="60"/>
      <c r="AU10" s="60"/>
      <c r="AV10" s="60"/>
      <c r="AW10" s="60"/>
      <c r="AX10" s="60"/>
      <c r="AY10" s="60"/>
      <c r="AZ10" s="60"/>
      <c r="BA10" s="60"/>
      <c r="BB10" s="60"/>
    </row>
    <row r="11" spans="1:54" x14ac:dyDescent="0.25">
      <c r="A11" s="75">
        <f t="shared" si="1"/>
        <v>5</v>
      </c>
      <c r="B11" s="74" t="s">
        <v>36</v>
      </c>
      <c r="C11" s="47"/>
      <c r="D11" s="47"/>
      <c r="E11" s="47"/>
      <c r="F11" s="47"/>
      <c r="G11" s="47"/>
      <c r="H11" s="47">
        <v>22</v>
      </c>
      <c r="I11" s="47"/>
      <c r="J11" s="111"/>
      <c r="K11" s="46">
        <v>2</v>
      </c>
      <c r="M11" s="52"/>
      <c r="N11" s="121"/>
      <c r="O11" s="47"/>
      <c r="P11" s="111"/>
      <c r="Q11" s="111"/>
      <c r="R11" s="46"/>
      <c r="T11" s="91">
        <f t="shared" si="0"/>
        <v>24</v>
      </c>
      <c r="U11" s="91">
        <f t="shared" si="2"/>
        <v>24</v>
      </c>
      <c r="V11" s="91">
        <f t="shared" si="3"/>
        <v>1</v>
      </c>
      <c r="AF11" s="60"/>
      <c r="AG11" s="60"/>
      <c r="AH11" s="60"/>
      <c r="AI11" s="60"/>
      <c r="AJ11" s="60"/>
      <c r="AK11" s="60"/>
      <c r="AL11" s="60"/>
      <c r="AM11" s="60"/>
      <c r="AN11" s="60"/>
      <c r="AO11" s="60"/>
      <c r="AP11" s="60"/>
      <c r="AQ11" s="60"/>
      <c r="AR11" s="60"/>
      <c r="AS11" s="60"/>
      <c r="AT11" s="60"/>
      <c r="AU11" s="60"/>
      <c r="AV11" s="60"/>
      <c r="AW11" s="60"/>
      <c r="AX11" s="60"/>
      <c r="AY11" s="60"/>
      <c r="AZ11" s="60"/>
      <c r="BA11" s="60"/>
      <c r="BB11" s="60"/>
    </row>
    <row r="12" spans="1:54" s="61" customFormat="1" ht="19.5" thickBot="1" x14ac:dyDescent="0.3">
      <c r="A12" s="75">
        <v>7</v>
      </c>
      <c r="B12" s="94" t="s">
        <v>32</v>
      </c>
      <c r="C12" s="95">
        <f>72+1368+6+1440+576</f>
        <v>3462</v>
      </c>
      <c r="D12" s="95"/>
      <c r="E12" s="95"/>
      <c r="F12" s="95"/>
      <c r="G12" s="95"/>
      <c r="H12" s="95"/>
      <c r="I12" s="95"/>
      <c r="J12" s="110"/>
      <c r="K12" s="96"/>
      <c r="L12" s="102"/>
      <c r="M12" s="103">
        <v>9</v>
      </c>
      <c r="N12" s="120"/>
      <c r="O12" s="97">
        <v>9</v>
      </c>
      <c r="P12" s="113">
        <v>12</v>
      </c>
      <c r="Q12" s="113">
        <v>14</v>
      </c>
      <c r="R12" s="98">
        <v>8</v>
      </c>
      <c r="S12" s="102"/>
      <c r="T12" s="91">
        <f t="shared" si="0"/>
        <v>20</v>
      </c>
      <c r="U12" s="124">
        <f>C12*24+M12*24+O12*24+Q12*24+T12</f>
        <v>83876</v>
      </c>
      <c r="V12" s="124">
        <f>U12/24</f>
        <v>3494.8333333333335</v>
      </c>
      <c r="W12" s="57"/>
      <c r="X12" s="57"/>
      <c r="Y12" s="57"/>
      <c r="Z12" s="57"/>
      <c r="AA12" s="57"/>
      <c r="AB12" s="57"/>
      <c r="AC12" s="57"/>
      <c r="AD12" s="57"/>
      <c r="AE12" s="57"/>
      <c r="AF12" s="60"/>
      <c r="AG12" s="60"/>
      <c r="AH12" s="60"/>
      <c r="AI12" s="60"/>
      <c r="AJ12" s="60"/>
      <c r="AK12" s="60"/>
      <c r="AL12" s="60"/>
      <c r="AM12" s="60"/>
      <c r="AN12" s="60"/>
      <c r="AO12" s="60"/>
      <c r="AP12" s="60"/>
      <c r="AQ12" s="60"/>
      <c r="AR12" s="60"/>
      <c r="AS12" s="60"/>
      <c r="AT12" s="60"/>
      <c r="AU12" s="60"/>
      <c r="AV12" s="60"/>
      <c r="AW12" s="60"/>
      <c r="AX12" s="60"/>
      <c r="AY12" s="60"/>
      <c r="AZ12" s="60"/>
      <c r="BA12" s="60"/>
      <c r="BB12" s="60"/>
    </row>
    <row r="13" spans="1:54" x14ac:dyDescent="0.25">
      <c r="A13" s="75">
        <v>11</v>
      </c>
      <c r="B13" s="73" t="s">
        <v>1</v>
      </c>
      <c r="C13" s="47">
        <v>5</v>
      </c>
      <c r="D13" s="47"/>
      <c r="E13" s="47"/>
      <c r="F13" s="47"/>
      <c r="G13" s="47"/>
      <c r="H13" s="47"/>
      <c r="I13" s="47"/>
      <c r="J13" s="111"/>
      <c r="K13" s="46"/>
      <c r="M13" s="52"/>
      <c r="N13" s="121"/>
      <c r="O13" s="47"/>
      <c r="P13" s="111"/>
      <c r="Q13" s="111"/>
      <c r="R13" s="46"/>
      <c r="T13" s="91">
        <f t="shared" si="0"/>
        <v>0</v>
      </c>
      <c r="U13" s="125">
        <f>C13*24+M13*24+O13*24+Q13*24+T13</f>
        <v>120</v>
      </c>
      <c r="V13" s="125">
        <f>U13/24</f>
        <v>5</v>
      </c>
      <c r="AF13" s="60"/>
      <c r="AG13" s="60"/>
      <c r="AH13" s="60"/>
      <c r="AI13" s="60"/>
      <c r="AJ13" s="60"/>
      <c r="AK13" s="60"/>
      <c r="AL13" s="60"/>
      <c r="AM13" s="60"/>
      <c r="AN13" s="60"/>
      <c r="AO13" s="60"/>
      <c r="AP13" s="60"/>
      <c r="AQ13" s="60"/>
      <c r="AR13" s="60"/>
      <c r="AS13" s="60"/>
      <c r="AT13" s="60"/>
      <c r="AU13" s="60"/>
      <c r="AV13" s="60"/>
      <c r="AW13" s="60"/>
      <c r="AX13" s="60"/>
      <c r="AY13" s="60"/>
      <c r="AZ13" s="60"/>
      <c r="BA13" s="60"/>
      <c r="BB13" s="60"/>
    </row>
    <row r="14" spans="1:54" x14ac:dyDescent="0.25">
      <c r="A14" s="75">
        <f t="shared" si="1"/>
        <v>12</v>
      </c>
      <c r="B14" s="74" t="s">
        <v>2</v>
      </c>
      <c r="C14" s="47"/>
      <c r="D14" s="47"/>
      <c r="E14" s="47"/>
      <c r="F14" s="47"/>
      <c r="G14" s="47"/>
      <c r="H14" s="47"/>
      <c r="I14" s="47"/>
      <c r="J14" s="111"/>
      <c r="K14" s="46"/>
      <c r="M14" s="52"/>
      <c r="N14" s="121"/>
      <c r="O14" s="47"/>
      <c r="P14" s="111"/>
      <c r="Q14" s="111"/>
      <c r="R14" s="46"/>
      <c r="T14" s="91">
        <f t="shared" si="0"/>
        <v>0</v>
      </c>
      <c r="U14" s="50">
        <f t="shared" ref="U14:U36" si="4">C14*24+M14*24+O14*24+Q14*24+T14</f>
        <v>0</v>
      </c>
      <c r="V14" s="50">
        <f t="shared" ref="V14:V36" si="5">U14/24</f>
        <v>0</v>
      </c>
      <c r="AF14" s="60"/>
      <c r="AG14" s="60"/>
      <c r="AH14" s="60"/>
      <c r="AI14" s="60"/>
      <c r="AJ14" s="60"/>
      <c r="AK14" s="60"/>
      <c r="AL14" s="60"/>
      <c r="AM14" s="60"/>
      <c r="AN14" s="60"/>
      <c r="AO14" s="60"/>
      <c r="AP14" s="60"/>
      <c r="AQ14" s="60"/>
      <c r="AR14" s="60"/>
      <c r="AS14" s="60"/>
      <c r="AT14" s="60"/>
      <c r="AU14" s="60"/>
      <c r="AV14" s="60"/>
      <c r="AW14" s="60"/>
      <c r="AX14" s="60"/>
      <c r="AY14" s="60"/>
      <c r="AZ14" s="60"/>
      <c r="BA14" s="60"/>
      <c r="BB14" s="60"/>
    </row>
    <row r="15" spans="1:54" x14ac:dyDescent="0.25">
      <c r="A15" s="75">
        <f t="shared" si="1"/>
        <v>13</v>
      </c>
      <c r="B15" s="74" t="s">
        <v>3</v>
      </c>
      <c r="C15" s="47"/>
      <c r="D15" s="47"/>
      <c r="E15" s="47"/>
      <c r="F15" s="47"/>
      <c r="G15" s="47"/>
      <c r="H15" s="47"/>
      <c r="I15" s="47"/>
      <c r="J15" s="111"/>
      <c r="K15" s="46"/>
      <c r="M15" s="52"/>
      <c r="N15" s="121"/>
      <c r="O15" s="47"/>
      <c r="P15" s="111"/>
      <c r="Q15" s="111"/>
      <c r="R15" s="46"/>
      <c r="T15" s="91">
        <f t="shared" si="0"/>
        <v>0</v>
      </c>
      <c r="U15" s="50">
        <f t="shared" si="4"/>
        <v>0</v>
      </c>
      <c r="V15" s="50">
        <f t="shared" si="5"/>
        <v>0</v>
      </c>
      <c r="AF15" s="60"/>
      <c r="AG15" s="60"/>
      <c r="AH15" s="60"/>
      <c r="AI15" s="60"/>
      <c r="AJ15" s="60"/>
      <c r="AK15" s="60"/>
      <c r="AL15" s="60"/>
      <c r="AM15" s="60"/>
      <c r="AN15" s="60"/>
      <c r="AO15" s="60"/>
      <c r="AP15" s="60"/>
      <c r="AQ15" s="60"/>
      <c r="AR15" s="60"/>
      <c r="AS15" s="60"/>
      <c r="AT15" s="60"/>
      <c r="AU15" s="60"/>
      <c r="AV15" s="60"/>
      <c r="AW15" s="60"/>
      <c r="AX15" s="60"/>
      <c r="AY15" s="60"/>
      <c r="AZ15" s="60"/>
      <c r="BA15" s="60"/>
      <c r="BB15" s="60"/>
    </row>
    <row r="16" spans="1:54" x14ac:dyDescent="0.25">
      <c r="A16" s="75">
        <f t="shared" si="1"/>
        <v>14</v>
      </c>
      <c r="B16" s="74" t="s">
        <v>4</v>
      </c>
      <c r="C16" s="47"/>
      <c r="D16" s="47"/>
      <c r="E16" s="47"/>
      <c r="F16" s="47"/>
      <c r="G16" s="47"/>
      <c r="H16" s="47"/>
      <c r="I16" s="47"/>
      <c r="J16" s="111"/>
      <c r="K16" s="46"/>
      <c r="M16" s="52"/>
      <c r="N16" s="121"/>
      <c r="O16" s="47"/>
      <c r="P16" s="111"/>
      <c r="Q16" s="111"/>
      <c r="R16" s="46"/>
      <c r="T16" s="91">
        <f t="shared" si="0"/>
        <v>0</v>
      </c>
      <c r="U16" s="50">
        <f t="shared" si="4"/>
        <v>0</v>
      </c>
      <c r="V16" s="50">
        <f t="shared" si="5"/>
        <v>0</v>
      </c>
      <c r="AF16" s="60"/>
      <c r="AG16" s="60"/>
      <c r="AH16" s="60"/>
      <c r="AI16" s="60"/>
      <c r="AJ16" s="60"/>
      <c r="AK16" s="60"/>
      <c r="AL16" s="60"/>
      <c r="AM16" s="60"/>
      <c r="AN16" s="60"/>
      <c r="AO16" s="60"/>
      <c r="AP16" s="60"/>
      <c r="AQ16" s="60"/>
      <c r="AR16" s="60"/>
      <c r="AS16" s="60"/>
      <c r="AT16" s="60"/>
      <c r="AU16" s="60"/>
      <c r="AV16" s="60"/>
      <c r="AW16" s="60"/>
      <c r="AX16" s="60"/>
      <c r="AY16" s="60"/>
      <c r="AZ16" s="60"/>
      <c r="BA16" s="60"/>
      <c r="BB16" s="60"/>
    </row>
    <row r="17" spans="1:54" x14ac:dyDescent="0.25">
      <c r="A17" s="75">
        <f t="shared" si="1"/>
        <v>15</v>
      </c>
      <c r="B17" s="74" t="s">
        <v>5</v>
      </c>
      <c r="C17" s="47">
        <v>4</v>
      </c>
      <c r="D17" s="47"/>
      <c r="E17" s="47"/>
      <c r="F17" s="47"/>
      <c r="G17" s="47"/>
      <c r="H17" s="47"/>
      <c r="I17" s="47"/>
      <c r="J17" s="111"/>
      <c r="K17" s="46"/>
      <c r="M17" s="52"/>
      <c r="N17" s="121"/>
      <c r="O17" s="47"/>
      <c r="P17" s="111"/>
      <c r="Q17" s="111"/>
      <c r="R17" s="46"/>
      <c r="T17" s="91">
        <f t="shared" si="0"/>
        <v>0</v>
      </c>
      <c r="U17" s="50">
        <f t="shared" si="4"/>
        <v>96</v>
      </c>
      <c r="V17" s="50">
        <f t="shared" si="5"/>
        <v>4</v>
      </c>
      <c r="AF17" s="60"/>
      <c r="AG17" s="60"/>
      <c r="AH17" s="60"/>
      <c r="AI17" s="60"/>
      <c r="AJ17" s="60"/>
      <c r="AK17" s="60"/>
      <c r="AL17" s="60"/>
      <c r="AM17" s="60"/>
      <c r="AN17" s="60"/>
      <c r="AO17" s="60"/>
      <c r="AP17" s="60"/>
      <c r="AQ17" s="60"/>
      <c r="AR17" s="60"/>
      <c r="AS17" s="60"/>
      <c r="AT17" s="60"/>
      <c r="AU17" s="60"/>
      <c r="AV17" s="60"/>
      <c r="AW17" s="60"/>
      <c r="AX17" s="60"/>
      <c r="AY17" s="60"/>
      <c r="AZ17" s="60"/>
      <c r="BA17" s="60"/>
      <c r="BB17" s="60"/>
    </row>
    <row r="18" spans="1:54" hidden="1" x14ac:dyDescent="0.25">
      <c r="A18" s="75">
        <f t="shared" si="1"/>
        <v>16</v>
      </c>
      <c r="B18" s="74" t="s">
        <v>10</v>
      </c>
      <c r="C18" s="47"/>
      <c r="D18" s="47"/>
      <c r="E18" s="47"/>
      <c r="F18" s="47"/>
      <c r="G18" s="47"/>
      <c r="H18" s="47"/>
      <c r="I18" s="47"/>
      <c r="J18" s="111"/>
      <c r="K18" s="46"/>
      <c r="M18" s="52"/>
      <c r="N18" s="121"/>
      <c r="O18" s="47"/>
      <c r="P18" s="111"/>
      <c r="Q18" s="111"/>
      <c r="R18" s="46"/>
      <c r="T18" s="91">
        <f t="shared" si="0"/>
        <v>0</v>
      </c>
      <c r="U18" s="50">
        <f t="shared" si="4"/>
        <v>0</v>
      </c>
      <c r="V18" s="50">
        <f t="shared" si="5"/>
        <v>0</v>
      </c>
      <c r="AF18" s="60"/>
      <c r="AG18" s="60"/>
      <c r="AH18" s="60"/>
      <c r="AI18" s="60"/>
      <c r="AJ18" s="60"/>
      <c r="AK18" s="60"/>
      <c r="AL18" s="60"/>
      <c r="AM18" s="60"/>
      <c r="AN18" s="60"/>
      <c r="AO18" s="60"/>
      <c r="AP18" s="60"/>
      <c r="AQ18" s="60"/>
      <c r="AR18" s="60"/>
      <c r="AS18" s="60"/>
      <c r="AT18" s="60"/>
      <c r="AU18" s="60"/>
      <c r="AV18" s="60"/>
      <c r="AW18" s="60"/>
      <c r="AX18" s="60"/>
      <c r="AY18" s="60"/>
      <c r="AZ18" s="60"/>
      <c r="BA18" s="60"/>
      <c r="BB18" s="60"/>
    </row>
    <row r="19" spans="1:54" x14ac:dyDescent="0.25">
      <c r="A19" s="75">
        <v>16</v>
      </c>
      <c r="B19" s="74" t="s">
        <v>64</v>
      </c>
      <c r="C19" s="47">
        <v>4</v>
      </c>
      <c r="D19" s="47"/>
      <c r="E19" s="47"/>
      <c r="F19" s="47"/>
      <c r="G19" s="47"/>
      <c r="H19" s="47"/>
      <c r="I19" s="47"/>
      <c r="J19" s="111"/>
      <c r="K19" s="46"/>
      <c r="M19" s="52"/>
      <c r="N19" s="121"/>
      <c r="O19" s="47"/>
      <c r="P19" s="111"/>
      <c r="Q19" s="111"/>
      <c r="R19" s="46"/>
      <c r="T19" s="91">
        <f t="shared" si="0"/>
        <v>0</v>
      </c>
      <c r="U19" s="50">
        <f t="shared" si="4"/>
        <v>96</v>
      </c>
      <c r="V19" s="50">
        <f t="shared" si="5"/>
        <v>4</v>
      </c>
      <c r="AF19" s="60"/>
      <c r="AG19" s="60"/>
      <c r="AH19" s="60"/>
      <c r="AI19" s="60"/>
      <c r="AJ19" s="60"/>
      <c r="AK19" s="60"/>
      <c r="AL19" s="60"/>
      <c r="AM19" s="60"/>
      <c r="AN19" s="60"/>
      <c r="AO19" s="60"/>
      <c r="AP19" s="60"/>
      <c r="AQ19" s="60"/>
      <c r="AR19" s="60"/>
      <c r="AS19" s="60"/>
      <c r="AT19" s="60"/>
      <c r="AU19" s="60"/>
      <c r="AV19" s="60"/>
      <c r="AW19" s="60"/>
      <c r="AX19" s="60"/>
      <c r="AY19" s="60"/>
      <c r="AZ19" s="60"/>
      <c r="BA19" s="60"/>
      <c r="BB19" s="60"/>
    </row>
    <row r="20" spans="1:54" x14ac:dyDescent="0.25">
      <c r="A20" s="75">
        <f t="shared" si="1"/>
        <v>17</v>
      </c>
      <c r="B20" s="74" t="s">
        <v>6</v>
      </c>
      <c r="C20" s="47">
        <v>6</v>
      </c>
      <c r="D20" s="47"/>
      <c r="E20" s="47"/>
      <c r="F20" s="47"/>
      <c r="G20" s="47"/>
      <c r="H20" s="47"/>
      <c r="I20" s="47"/>
      <c r="J20" s="111"/>
      <c r="K20" s="46"/>
      <c r="M20" s="52"/>
      <c r="N20" s="121"/>
      <c r="O20" s="47"/>
      <c r="P20" s="111"/>
      <c r="Q20" s="111"/>
      <c r="R20" s="46"/>
      <c r="T20" s="91">
        <f t="shared" si="0"/>
        <v>0</v>
      </c>
      <c r="U20" s="50">
        <f t="shared" si="4"/>
        <v>144</v>
      </c>
      <c r="V20" s="50">
        <f t="shared" si="5"/>
        <v>6</v>
      </c>
      <c r="AF20" s="60"/>
      <c r="AG20" s="60"/>
      <c r="AH20" s="60"/>
      <c r="AI20" s="60"/>
      <c r="AJ20" s="60"/>
      <c r="AK20" s="60"/>
      <c r="AL20" s="60"/>
      <c r="AM20" s="60"/>
      <c r="AN20" s="60"/>
      <c r="AO20" s="60"/>
      <c r="AP20" s="60"/>
      <c r="AQ20" s="60"/>
      <c r="AR20" s="60"/>
      <c r="AS20" s="60"/>
      <c r="AT20" s="60"/>
      <c r="AU20" s="60"/>
      <c r="AV20" s="60"/>
      <c r="AW20" s="60"/>
      <c r="AX20" s="60"/>
      <c r="AY20" s="60"/>
      <c r="AZ20" s="60"/>
      <c r="BA20" s="60"/>
      <c r="BB20" s="60"/>
    </row>
    <row r="21" spans="1:54" x14ac:dyDescent="0.25">
      <c r="A21" s="75">
        <f t="shared" si="1"/>
        <v>18</v>
      </c>
      <c r="B21" s="74" t="s">
        <v>7</v>
      </c>
      <c r="C21" s="47">
        <v>4</v>
      </c>
      <c r="D21" s="47"/>
      <c r="E21" s="47"/>
      <c r="F21" s="47"/>
      <c r="G21" s="47"/>
      <c r="H21" s="47"/>
      <c r="I21" s="47"/>
      <c r="J21" s="111"/>
      <c r="K21" s="46"/>
      <c r="M21" s="52"/>
      <c r="N21" s="121"/>
      <c r="O21" s="47"/>
      <c r="P21" s="111"/>
      <c r="Q21" s="111"/>
      <c r="R21" s="46"/>
      <c r="T21" s="91">
        <f t="shared" si="0"/>
        <v>0</v>
      </c>
      <c r="U21" s="50">
        <f t="shared" si="4"/>
        <v>96</v>
      </c>
      <c r="V21" s="50">
        <f t="shared" si="5"/>
        <v>4</v>
      </c>
      <c r="AF21" s="60"/>
      <c r="AG21" s="60"/>
      <c r="AH21" s="60"/>
      <c r="AI21" s="60"/>
      <c r="AJ21" s="60"/>
      <c r="AK21" s="60"/>
      <c r="AL21" s="60"/>
      <c r="AM21" s="60"/>
      <c r="AN21" s="60"/>
      <c r="AO21" s="60"/>
      <c r="AP21" s="60"/>
      <c r="AQ21" s="60"/>
      <c r="AR21" s="60"/>
      <c r="AS21" s="60"/>
      <c r="AT21" s="60"/>
      <c r="AU21" s="60"/>
      <c r="AV21" s="60"/>
      <c r="AW21" s="60"/>
      <c r="AX21" s="60"/>
      <c r="AY21" s="60"/>
      <c r="AZ21" s="60"/>
      <c r="BA21" s="60"/>
      <c r="BB21" s="60"/>
    </row>
    <row r="22" spans="1:54" s="61" customFormat="1" x14ac:dyDescent="0.25">
      <c r="A22" s="75">
        <f t="shared" si="1"/>
        <v>19</v>
      </c>
      <c r="B22" s="74" t="s">
        <v>65</v>
      </c>
      <c r="C22" s="47">
        <v>2</v>
      </c>
      <c r="D22" s="47"/>
      <c r="E22" s="47"/>
      <c r="F22" s="47"/>
      <c r="G22" s="47"/>
      <c r="H22" s="47"/>
      <c r="I22" s="47"/>
      <c r="J22" s="111"/>
      <c r="K22" s="46"/>
      <c r="L22" s="57"/>
      <c r="M22" s="52"/>
      <c r="N22" s="121"/>
      <c r="O22" s="47"/>
      <c r="P22" s="111"/>
      <c r="Q22" s="111"/>
      <c r="R22" s="46"/>
      <c r="S22" s="57"/>
      <c r="T22" s="91">
        <f t="shared" si="0"/>
        <v>0</v>
      </c>
      <c r="U22" s="50">
        <f t="shared" si="4"/>
        <v>48</v>
      </c>
      <c r="V22" s="50">
        <f t="shared" si="5"/>
        <v>2</v>
      </c>
      <c r="W22" s="57"/>
      <c r="X22" s="57"/>
      <c r="Y22" s="57"/>
      <c r="Z22" s="57"/>
      <c r="AA22" s="57"/>
      <c r="AB22" s="57"/>
      <c r="AC22" s="57"/>
      <c r="AD22" s="57"/>
      <c r="AE22" s="57"/>
      <c r="AF22" s="60"/>
      <c r="AG22" s="60"/>
      <c r="AH22" s="60"/>
      <c r="AI22" s="60"/>
      <c r="AJ22" s="60"/>
      <c r="AK22" s="60"/>
      <c r="AL22" s="60"/>
      <c r="AM22" s="60"/>
      <c r="AN22" s="60"/>
      <c r="AO22" s="60"/>
      <c r="AP22" s="60"/>
      <c r="AQ22" s="60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</row>
    <row r="23" spans="1:54" s="61" customFormat="1" x14ac:dyDescent="0.25">
      <c r="A23" s="75">
        <f t="shared" si="1"/>
        <v>20</v>
      </c>
      <c r="B23" s="74" t="s">
        <v>66</v>
      </c>
      <c r="C23" s="47">
        <v>48</v>
      </c>
      <c r="D23" s="47"/>
      <c r="E23" s="47"/>
      <c r="F23" s="47"/>
      <c r="G23" s="47"/>
      <c r="H23" s="47"/>
      <c r="I23" s="47"/>
      <c r="J23" s="111"/>
      <c r="K23" s="46"/>
      <c r="L23" s="57"/>
      <c r="M23" s="52"/>
      <c r="N23" s="121"/>
      <c r="O23" s="47"/>
      <c r="P23" s="111"/>
      <c r="Q23" s="111"/>
      <c r="R23" s="46"/>
      <c r="S23" s="57"/>
      <c r="T23" s="91">
        <f t="shared" si="0"/>
        <v>0</v>
      </c>
      <c r="U23" s="50">
        <f t="shared" si="4"/>
        <v>1152</v>
      </c>
      <c r="V23" s="50">
        <f t="shared" si="5"/>
        <v>48</v>
      </c>
      <c r="W23" s="57"/>
      <c r="X23" s="57"/>
      <c r="Y23" s="57"/>
      <c r="Z23" s="57"/>
      <c r="AA23" s="57"/>
      <c r="AB23" s="57"/>
      <c r="AC23" s="57"/>
      <c r="AD23" s="57"/>
      <c r="AE23" s="57"/>
      <c r="AF23" s="60"/>
      <c r="AG23" s="60"/>
      <c r="AH23" s="60"/>
      <c r="AI23" s="60"/>
      <c r="AJ23" s="60"/>
      <c r="AK23" s="60"/>
      <c r="AL23" s="60"/>
      <c r="AM23" s="60"/>
      <c r="AN23" s="60"/>
      <c r="AO23" s="60"/>
      <c r="AP23" s="60"/>
      <c r="AQ23" s="60"/>
      <c r="AR23" s="60"/>
      <c r="AS23" s="60"/>
      <c r="AT23" s="60"/>
      <c r="AU23" s="60"/>
      <c r="AV23" s="60"/>
      <c r="AW23" s="60"/>
      <c r="AX23" s="60"/>
      <c r="AY23" s="60"/>
      <c r="AZ23" s="60"/>
      <c r="BA23" s="60"/>
      <c r="BB23" s="60"/>
    </row>
    <row r="24" spans="1:54" x14ac:dyDescent="0.25">
      <c r="A24" s="75">
        <f t="shared" si="1"/>
        <v>21</v>
      </c>
      <c r="B24" s="74" t="s">
        <v>67</v>
      </c>
      <c r="C24" s="47">
        <v>7</v>
      </c>
      <c r="D24" s="47"/>
      <c r="E24" s="47"/>
      <c r="F24" s="47"/>
      <c r="G24" s="47"/>
      <c r="H24" s="47"/>
      <c r="I24" s="47"/>
      <c r="J24" s="111"/>
      <c r="K24" s="46"/>
      <c r="M24" s="52"/>
      <c r="N24" s="121"/>
      <c r="O24" s="47"/>
      <c r="P24" s="111"/>
      <c r="Q24" s="111"/>
      <c r="R24" s="46"/>
      <c r="T24" s="91">
        <f t="shared" si="0"/>
        <v>0</v>
      </c>
      <c r="U24" s="50">
        <f t="shared" si="4"/>
        <v>168</v>
      </c>
      <c r="V24" s="50">
        <f t="shared" si="5"/>
        <v>7</v>
      </c>
      <c r="AF24" s="60"/>
      <c r="AG24" s="60"/>
      <c r="AH24" s="60"/>
      <c r="AI24" s="60"/>
      <c r="AJ24" s="60"/>
      <c r="AK24" s="60"/>
      <c r="AL24" s="60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</row>
    <row r="25" spans="1:54" x14ac:dyDescent="0.25">
      <c r="A25" s="75">
        <f t="shared" si="1"/>
        <v>22</v>
      </c>
      <c r="B25" s="74" t="s">
        <v>9</v>
      </c>
      <c r="C25" s="47">
        <f>63+20</f>
        <v>83</v>
      </c>
      <c r="D25" s="47"/>
      <c r="E25" s="47"/>
      <c r="F25" s="47"/>
      <c r="G25" s="47"/>
      <c r="H25" s="47">
        <v>10</v>
      </c>
      <c r="I25" s="47">
        <v>1</v>
      </c>
      <c r="J25" s="111"/>
      <c r="K25" s="46"/>
      <c r="M25" s="52">
        <v>2</v>
      </c>
      <c r="N25" s="121">
        <v>12</v>
      </c>
      <c r="O25" s="47">
        <v>2</v>
      </c>
      <c r="P25" s="111"/>
      <c r="Q25" s="111">
        <v>2</v>
      </c>
      <c r="R25" s="46"/>
      <c r="T25" s="91">
        <f t="shared" si="0"/>
        <v>23</v>
      </c>
      <c r="U25" s="50">
        <f t="shared" si="4"/>
        <v>2159</v>
      </c>
      <c r="V25" s="50">
        <f t="shared" si="5"/>
        <v>89.958333333333329</v>
      </c>
      <c r="AY25" s="62" t="e">
        <f>#REF!-AY24</f>
        <v>#REF!</v>
      </c>
    </row>
    <row r="26" spans="1:54" s="61" customFormat="1" x14ac:dyDescent="0.25">
      <c r="A26" s="75">
        <f t="shared" si="1"/>
        <v>23</v>
      </c>
      <c r="B26" s="74" t="s">
        <v>11</v>
      </c>
      <c r="C26" s="47"/>
      <c r="D26" s="47"/>
      <c r="E26" s="47"/>
      <c r="F26" s="47"/>
      <c r="G26" s="47"/>
      <c r="H26" s="47"/>
      <c r="I26" s="47"/>
      <c r="J26" s="111"/>
      <c r="K26" s="46"/>
      <c r="L26" s="57"/>
      <c r="M26" s="52"/>
      <c r="N26" s="121"/>
      <c r="O26" s="47"/>
      <c r="P26" s="111"/>
      <c r="Q26" s="111"/>
      <c r="R26" s="46"/>
      <c r="S26" s="57"/>
      <c r="T26" s="91">
        <f t="shared" si="0"/>
        <v>0</v>
      </c>
      <c r="U26" s="50">
        <f t="shared" si="4"/>
        <v>0</v>
      </c>
      <c r="V26" s="50">
        <f t="shared" si="5"/>
        <v>0</v>
      </c>
      <c r="W26" s="57"/>
      <c r="X26" s="57"/>
      <c r="Y26" s="57"/>
      <c r="Z26" s="57"/>
      <c r="AA26" s="57"/>
      <c r="AB26" s="57"/>
      <c r="AC26" s="57"/>
      <c r="AD26" s="57"/>
      <c r="AE26" s="57"/>
    </row>
    <row r="27" spans="1:54" s="61" customFormat="1" x14ac:dyDescent="0.25">
      <c r="A27" s="75">
        <f t="shared" si="1"/>
        <v>24</v>
      </c>
      <c r="B27" s="74" t="s">
        <v>83</v>
      </c>
      <c r="C27" s="47"/>
      <c r="D27" s="47"/>
      <c r="E27" s="47"/>
      <c r="F27" s="47"/>
      <c r="G27" s="47"/>
      <c r="H27" s="47"/>
      <c r="I27" s="47"/>
      <c r="J27" s="111"/>
      <c r="K27" s="46"/>
      <c r="L27" s="57"/>
      <c r="M27" s="52"/>
      <c r="N27" s="121"/>
      <c r="O27" s="47"/>
      <c r="P27" s="111"/>
      <c r="Q27" s="111"/>
      <c r="R27" s="46"/>
      <c r="S27" s="57"/>
      <c r="T27" s="91"/>
      <c r="U27" s="50"/>
      <c r="V27" s="50"/>
      <c r="W27" s="57"/>
      <c r="X27" s="57"/>
      <c r="Y27" s="57"/>
      <c r="Z27" s="57"/>
      <c r="AA27" s="57"/>
      <c r="AB27" s="57"/>
      <c r="AC27" s="57"/>
      <c r="AD27" s="57"/>
      <c r="AE27" s="57"/>
    </row>
    <row r="28" spans="1:54" s="61" customFormat="1" x14ac:dyDescent="0.25">
      <c r="A28" s="75">
        <f t="shared" si="1"/>
        <v>25</v>
      </c>
      <c r="B28" s="74" t="s">
        <v>12</v>
      </c>
      <c r="C28" s="47">
        <v>30</v>
      </c>
      <c r="D28" s="47"/>
      <c r="E28" s="47"/>
      <c r="F28" s="47"/>
      <c r="G28" s="47"/>
      <c r="H28" s="47"/>
      <c r="I28" s="47"/>
      <c r="J28" s="111"/>
      <c r="K28" s="46"/>
      <c r="L28" s="57"/>
      <c r="M28" s="52">
        <v>2</v>
      </c>
      <c r="N28" s="121"/>
      <c r="O28" s="47">
        <v>2</v>
      </c>
      <c r="P28" s="111"/>
      <c r="Q28" s="111">
        <v>2</v>
      </c>
      <c r="R28" s="46"/>
      <c r="S28" s="57"/>
      <c r="T28" s="91">
        <f t="shared" si="0"/>
        <v>0</v>
      </c>
      <c r="U28" s="50">
        <f t="shared" si="4"/>
        <v>864</v>
      </c>
      <c r="V28" s="50">
        <f t="shared" si="5"/>
        <v>36</v>
      </c>
      <c r="W28" s="57"/>
      <c r="X28" s="57"/>
      <c r="Y28" s="57"/>
      <c r="Z28" s="57"/>
      <c r="AA28" s="57"/>
      <c r="AB28" s="57"/>
      <c r="AC28" s="57"/>
      <c r="AD28" s="57"/>
      <c r="AE28" s="57"/>
    </row>
    <row r="29" spans="1:54" x14ac:dyDescent="0.25">
      <c r="A29" s="75">
        <f t="shared" si="1"/>
        <v>26</v>
      </c>
      <c r="B29" s="74" t="s">
        <v>14</v>
      </c>
      <c r="C29" s="47"/>
      <c r="D29" s="47"/>
      <c r="E29" s="47"/>
      <c r="F29" s="47"/>
      <c r="G29" s="47"/>
      <c r="H29" s="47"/>
      <c r="I29" s="47"/>
      <c r="J29" s="111"/>
      <c r="K29" s="46"/>
      <c r="M29" s="52"/>
      <c r="N29" s="121"/>
      <c r="O29" s="47"/>
      <c r="P29" s="111"/>
      <c r="Q29" s="111"/>
      <c r="R29" s="46"/>
      <c r="T29" s="91">
        <f t="shared" si="0"/>
        <v>0</v>
      </c>
      <c r="U29" s="50">
        <f t="shared" si="4"/>
        <v>0</v>
      </c>
      <c r="V29" s="50">
        <f t="shared" si="5"/>
        <v>0</v>
      </c>
    </row>
    <row r="30" spans="1:54" x14ac:dyDescent="0.25">
      <c r="A30" s="75">
        <f t="shared" si="1"/>
        <v>27</v>
      </c>
      <c r="B30" s="74" t="s">
        <v>16</v>
      </c>
      <c r="C30" s="47">
        <v>62</v>
      </c>
      <c r="D30" s="47"/>
      <c r="E30" s="47"/>
      <c r="F30" s="47"/>
      <c r="G30" s="47"/>
      <c r="H30" s="47"/>
      <c r="I30" s="47"/>
      <c r="J30" s="111"/>
      <c r="K30" s="46"/>
      <c r="M30" s="52"/>
      <c r="N30" s="121"/>
      <c r="O30" s="47"/>
      <c r="P30" s="111"/>
      <c r="Q30" s="111">
        <v>1</v>
      </c>
      <c r="R30" s="46"/>
      <c r="T30" s="91">
        <f t="shared" si="0"/>
        <v>0</v>
      </c>
      <c r="U30" s="50">
        <f t="shared" si="4"/>
        <v>1512</v>
      </c>
      <c r="V30" s="50">
        <f t="shared" si="5"/>
        <v>63</v>
      </c>
    </row>
    <row r="31" spans="1:54" x14ac:dyDescent="0.25">
      <c r="A31" s="75">
        <f t="shared" si="1"/>
        <v>28</v>
      </c>
      <c r="B31" s="74" t="s">
        <v>13</v>
      </c>
      <c r="C31" s="47"/>
      <c r="D31" s="47"/>
      <c r="E31" s="47"/>
      <c r="F31" s="47"/>
      <c r="G31" s="47"/>
      <c r="H31" s="47"/>
      <c r="I31" s="47"/>
      <c r="J31" s="111"/>
      <c r="K31" s="46"/>
      <c r="M31" s="52"/>
      <c r="N31" s="121"/>
      <c r="O31" s="47"/>
      <c r="P31" s="111"/>
      <c r="Q31" s="111"/>
      <c r="R31" s="46"/>
      <c r="T31" s="91">
        <f t="shared" si="0"/>
        <v>0</v>
      </c>
      <c r="U31" s="50">
        <f t="shared" si="4"/>
        <v>0</v>
      </c>
      <c r="V31" s="50">
        <f t="shared" si="5"/>
        <v>0</v>
      </c>
    </row>
    <row r="32" spans="1:54" x14ac:dyDescent="0.25">
      <c r="A32" s="75">
        <f t="shared" si="1"/>
        <v>29</v>
      </c>
      <c r="B32" s="74" t="s">
        <v>15</v>
      </c>
      <c r="C32" s="47"/>
      <c r="D32" s="47"/>
      <c r="E32" s="47"/>
      <c r="F32" s="47"/>
      <c r="G32" s="47"/>
      <c r="H32" s="47"/>
      <c r="I32" s="47"/>
      <c r="J32" s="111"/>
      <c r="K32" s="46"/>
      <c r="M32" s="52"/>
      <c r="N32" s="121"/>
      <c r="O32" s="47"/>
      <c r="P32" s="111"/>
      <c r="Q32" s="111"/>
      <c r="R32" s="46"/>
      <c r="T32" s="91">
        <f t="shared" si="0"/>
        <v>0</v>
      </c>
      <c r="U32" s="50">
        <f t="shared" si="4"/>
        <v>0</v>
      </c>
      <c r="V32" s="50">
        <f t="shared" si="5"/>
        <v>0</v>
      </c>
    </row>
    <row r="33" spans="1:23" x14ac:dyDescent="0.25">
      <c r="A33" s="75">
        <f t="shared" si="1"/>
        <v>30</v>
      </c>
      <c r="B33" s="74" t="s">
        <v>17</v>
      </c>
      <c r="C33" s="47"/>
      <c r="D33" s="47"/>
      <c r="E33" s="47"/>
      <c r="F33" s="47"/>
      <c r="G33" s="47"/>
      <c r="H33" s="47"/>
      <c r="I33" s="47"/>
      <c r="J33" s="111"/>
      <c r="K33" s="46"/>
      <c r="M33" s="52"/>
      <c r="N33" s="121"/>
      <c r="O33" s="47"/>
      <c r="P33" s="111"/>
      <c r="Q33" s="111"/>
      <c r="R33" s="46"/>
      <c r="T33" s="91">
        <f t="shared" si="0"/>
        <v>0</v>
      </c>
      <c r="U33" s="50">
        <f t="shared" si="4"/>
        <v>0</v>
      </c>
      <c r="V33" s="50">
        <f t="shared" si="5"/>
        <v>0</v>
      </c>
    </row>
    <row r="34" spans="1:23" x14ac:dyDescent="0.25">
      <c r="A34" s="75">
        <f t="shared" si="1"/>
        <v>31</v>
      </c>
      <c r="B34" s="74" t="s">
        <v>18</v>
      </c>
      <c r="C34" s="47">
        <f>72+19+6</f>
        <v>97</v>
      </c>
      <c r="D34" s="47"/>
      <c r="E34" s="47"/>
      <c r="F34" s="47"/>
      <c r="G34" s="47"/>
      <c r="H34" s="47">
        <v>4</v>
      </c>
      <c r="I34" s="47"/>
      <c r="J34" s="111"/>
      <c r="K34" s="46">
        <v>1</v>
      </c>
      <c r="M34" s="52">
        <v>2</v>
      </c>
      <c r="N34" s="121">
        <v>12</v>
      </c>
      <c r="O34" s="47">
        <v>2</v>
      </c>
      <c r="P34" s="111"/>
      <c r="Q34" s="111">
        <v>3</v>
      </c>
      <c r="R34" s="46"/>
      <c r="T34" s="91">
        <f t="shared" si="0"/>
        <v>17</v>
      </c>
      <c r="U34" s="50">
        <f t="shared" si="4"/>
        <v>2513</v>
      </c>
      <c r="V34" s="50">
        <f t="shared" si="5"/>
        <v>104.70833333333333</v>
      </c>
    </row>
    <row r="35" spans="1:23" hidden="1" x14ac:dyDescent="0.25">
      <c r="A35" s="75">
        <f t="shared" si="1"/>
        <v>32</v>
      </c>
      <c r="B35" s="74" t="s">
        <v>26</v>
      </c>
      <c r="C35" s="47"/>
      <c r="D35" s="47"/>
      <c r="E35" s="47"/>
      <c r="F35" s="47"/>
      <c r="G35" s="47"/>
      <c r="H35" s="47"/>
      <c r="I35" s="47"/>
      <c r="J35" s="111"/>
      <c r="K35" s="46"/>
      <c r="M35" s="52"/>
      <c r="N35" s="121"/>
      <c r="O35" s="47"/>
      <c r="P35" s="111"/>
      <c r="Q35" s="111"/>
      <c r="R35" s="46"/>
      <c r="T35" s="91">
        <f t="shared" si="0"/>
        <v>0</v>
      </c>
      <c r="U35" s="50">
        <f t="shared" si="4"/>
        <v>0</v>
      </c>
      <c r="V35" s="50">
        <f t="shared" si="5"/>
        <v>0</v>
      </c>
    </row>
    <row r="36" spans="1:23" x14ac:dyDescent="0.25">
      <c r="A36" s="75">
        <f t="shared" si="1"/>
        <v>33</v>
      </c>
      <c r="B36" s="74" t="s">
        <v>19</v>
      </c>
      <c r="C36" s="47"/>
      <c r="D36" s="47"/>
      <c r="E36" s="47"/>
      <c r="F36" s="47"/>
      <c r="G36" s="47"/>
      <c r="H36" s="47"/>
      <c r="I36" s="47"/>
      <c r="J36" s="111"/>
      <c r="K36" s="46"/>
      <c r="M36" s="52"/>
      <c r="N36" s="121"/>
      <c r="O36" s="47"/>
      <c r="P36" s="111"/>
      <c r="Q36" s="111"/>
      <c r="R36" s="46"/>
      <c r="T36" s="91">
        <f t="shared" si="0"/>
        <v>0</v>
      </c>
      <c r="U36" s="50">
        <f t="shared" si="4"/>
        <v>0</v>
      </c>
      <c r="V36" s="50">
        <f t="shared" si="5"/>
        <v>0</v>
      </c>
    </row>
    <row r="37" spans="1:23" ht="19.5" thickBot="1" x14ac:dyDescent="0.3">
      <c r="A37" s="75">
        <f t="shared" si="1"/>
        <v>34</v>
      </c>
      <c r="B37" s="94" t="s">
        <v>20</v>
      </c>
      <c r="C37" s="95">
        <f>2376+1728+25</f>
        <v>4129</v>
      </c>
      <c r="D37" s="95"/>
      <c r="E37" s="95"/>
      <c r="F37" s="95"/>
      <c r="G37" s="95"/>
      <c r="H37" s="95">
        <v>2</v>
      </c>
      <c r="I37" s="95"/>
      <c r="J37" s="110">
        <v>4</v>
      </c>
      <c r="K37" s="96">
        <v>2</v>
      </c>
      <c r="L37" s="102"/>
      <c r="M37" s="103">
        <v>2</v>
      </c>
      <c r="N37" s="120"/>
      <c r="O37" s="97">
        <v>30</v>
      </c>
      <c r="P37" s="113"/>
      <c r="Q37" s="113">
        <v>107</v>
      </c>
      <c r="R37" s="98"/>
      <c r="S37" s="102"/>
      <c r="T37" s="104">
        <f t="shared" si="0"/>
        <v>8</v>
      </c>
      <c r="U37" s="104">
        <f>C37*6+M37*6+O37*6+Q37*6+T37</f>
        <v>25616</v>
      </c>
      <c r="V37" s="104">
        <f>U37/6</f>
        <v>4269.333333333333</v>
      </c>
      <c r="W37" s="123"/>
    </row>
    <row r="38" spans="1:23" x14ac:dyDescent="0.25">
      <c r="A38" s="75">
        <f t="shared" si="1"/>
        <v>35</v>
      </c>
      <c r="B38" s="73" t="s">
        <v>21</v>
      </c>
      <c r="C38" s="47">
        <v>3</v>
      </c>
      <c r="D38" s="47"/>
      <c r="E38" s="47"/>
      <c r="F38" s="47"/>
      <c r="G38" s="47"/>
      <c r="H38" s="47"/>
      <c r="I38" s="47"/>
      <c r="J38" s="111"/>
      <c r="K38" s="46"/>
      <c r="M38" s="52"/>
      <c r="N38" s="121"/>
      <c r="O38" s="47">
        <v>1</v>
      </c>
      <c r="P38" s="111"/>
      <c r="Q38" s="111"/>
      <c r="R38" s="46"/>
      <c r="T38" s="50">
        <f t="shared" si="0"/>
        <v>0</v>
      </c>
      <c r="U38" s="50">
        <f>C38*24+M38*24+O38*24+Q38*24+T38</f>
        <v>96</v>
      </c>
      <c r="V38" s="50">
        <f>U38/24</f>
        <v>4</v>
      </c>
    </row>
    <row r="39" spans="1:23" x14ac:dyDescent="0.25">
      <c r="A39" s="75">
        <f t="shared" si="1"/>
        <v>36</v>
      </c>
      <c r="B39" s="132" t="s">
        <v>73</v>
      </c>
      <c r="C39" s="133"/>
      <c r="D39" s="133"/>
      <c r="E39" s="133"/>
      <c r="F39" s="133"/>
      <c r="G39" s="133"/>
      <c r="H39" s="133"/>
      <c r="I39" s="133"/>
      <c r="J39" s="134"/>
      <c r="K39" s="135"/>
      <c r="M39" s="136"/>
      <c r="N39" s="137"/>
      <c r="O39" s="133"/>
      <c r="P39" s="134"/>
      <c r="Q39" s="134"/>
      <c r="R39" s="135"/>
      <c r="T39" s="138"/>
      <c r="U39" s="138"/>
      <c r="V39" s="138"/>
    </row>
    <row r="40" spans="1:23" ht="19.5" thickBot="1" x14ac:dyDescent="0.3">
      <c r="A40" s="75">
        <f t="shared" si="1"/>
        <v>37</v>
      </c>
      <c r="B40" s="94" t="s">
        <v>22</v>
      </c>
      <c r="C40" s="95">
        <f>1+693</f>
        <v>694</v>
      </c>
      <c r="D40" s="95"/>
      <c r="E40" s="95"/>
      <c r="F40" s="95"/>
      <c r="G40" s="95"/>
      <c r="H40" s="95">
        <v>9</v>
      </c>
      <c r="I40" s="95"/>
      <c r="J40" s="110"/>
      <c r="K40" s="96">
        <v>15</v>
      </c>
      <c r="L40" s="102"/>
      <c r="M40" s="103"/>
      <c r="N40" s="120"/>
      <c r="O40" s="97">
        <v>1</v>
      </c>
      <c r="P40" s="113"/>
      <c r="Q40" s="113">
        <v>2</v>
      </c>
      <c r="R40" s="98"/>
      <c r="S40" s="102"/>
      <c r="T40" s="104">
        <f t="shared" si="0"/>
        <v>24</v>
      </c>
      <c r="U40" s="104">
        <f>C40*24+M40*24+O40*24+Q40*24+T40</f>
        <v>16752</v>
      </c>
      <c r="V40" s="104">
        <f>U40/24</f>
        <v>698</v>
      </c>
    </row>
    <row r="41" spans="1:23" ht="19.5" thickBot="1" x14ac:dyDescent="0.3">
      <c r="A41" s="75">
        <f t="shared" si="1"/>
        <v>38</v>
      </c>
      <c r="B41" s="99" t="s">
        <v>23</v>
      </c>
      <c r="C41" s="100">
        <f>1536+81</f>
        <v>1617</v>
      </c>
      <c r="D41" s="100"/>
      <c r="E41" s="100"/>
      <c r="F41" s="100"/>
      <c r="G41" s="100"/>
      <c r="H41" s="100"/>
      <c r="I41" s="100"/>
      <c r="J41" s="112"/>
      <c r="K41" s="101"/>
      <c r="L41" s="105"/>
      <c r="M41" s="106">
        <v>4</v>
      </c>
      <c r="N41" s="122"/>
      <c r="O41" s="100">
        <v>12</v>
      </c>
      <c r="P41" s="112"/>
      <c r="Q41" s="112">
        <v>15</v>
      </c>
      <c r="R41" s="101"/>
      <c r="S41" s="105"/>
      <c r="T41" s="107">
        <f t="shared" si="0"/>
        <v>0</v>
      </c>
      <c r="U41" s="107">
        <f>C41*12+M41*12+O41*12+Q41*12+T41</f>
        <v>19776</v>
      </c>
      <c r="V41" s="107">
        <f>U41/12</f>
        <v>1648</v>
      </c>
    </row>
    <row r="42" spans="1:23" hidden="1" x14ac:dyDescent="0.25">
      <c r="A42" s="75">
        <f t="shared" si="1"/>
        <v>39</v>
      </c>
      <c r="B42" s="73" t="s">
        <v>31</v>
      </c>
      <c r="C42" s="47"/>
      <c r="D42" s="47"/>
      <c r="E42" s="47"/>
      <c r="F42" s="47"/>
      <c r="G42" s="47"/>
      <c r="H42" s="47"/>
      <c r="I42" s="47"/>
      <c r="J42" s="111"/>
      <c r="K42" s="46"/>
      <c r="M42" s="52"/>
      <c r="N42" s="121"/>
      <c r="O42" s="47"/>
      <c r="P42" s="111"/>
      <c r="Q42" s="111"/>
      <c r="R42" s="46"/>
      <c r="T42" s="50"/>
      <c r="U42" s="50"/>
      <c r="V42" s="50"/>
    </row>
    <row r="43" spans="1:23" ht="19.5" thickBot="1" x14ac:dyDescent="0.3">
      <c r="A43" s="75">
        <f t="shared" si="1"/>
        <v>40</v>
      </c>
      <c r="B43" s="94" t="s">
        <v>24</v>
      </c>
      <c r="C43" s="97">
        <f>6048+4536+6372+5400+7128</f>
        <v>29484</v>
      </c>
      <c r="D43" s="97"/>
      <c r="E43" s="97"/>
      <c r="F43" s="97"/>
      <c r="G43" s="97"/>
      <c r="H43" s="97">
        <v>2</v>
      </c>
      <c r="I43" s="97">
        <v>6</v>
      </c>
      <c r="J43" s="113">
        <f>12*6+3</f>
        <v>75</v>
      </c>
      <c r="K43" s="98">
        <f>75*6+4</f>
        <v>454</v>
      </c>
      <c r="L43" s="102"/>
      <c r="M43" s="103">
        <v>2</v>
      </c>
      <c r="N43" s="120"/>
      <c r="O43" s="97">
        <v>282</v>
      </c>
      <c r="P43" s="113"/>
      <c r="Q43" s="113">
        <v>384</v>
      </c>
      <c r="R43" s="98"/>
      <c r="S43" s="102"/>
      <c r="T43" s="104">
        <f t="shared" ref="T43" si="6">H43+I43+J43+K43+N43+P43+R43</f>
        <v>537</v>
      </c>
      <c r="U43" s="104">
        <f>C43*6+M43*6+O43*6+Q43*6+T43</f>
        <v>181449</v>
      </c>
      <c r="V43" s="104">
        <f>U43/6</f>
        <v>30241.5</v>
      </c>
    </row>
    <row r="44" spans="1:23" hidden="1" x14ac:dyDescent="0.25">
      <c r="A44" s="75">
        <f t="shared" si="1"/>
        <v>41</v>
      </c>
      <c r="B44" s="73" t="s">
        <v>33</v>
      </c>
      <c r="C44" s="47"/>
      <c r="D44" s="47"/>
      <c r="E44" s="47"/>
      <c r="F44" s="47"/>
      <c r="G44" s="47"/>
      <c r="H44" s="47"/>
      <c r="I44" s="47"/>
      <c r="J44" s="111"/>
      <c r="K44" s="46"/>
      <c r="M44" s="52"/>
      <c r="N44" s="121"/>
      <c r="O44" s="47"/>
      <c r="P44" s="111"/>
      <c r="Q44" s="111"/>
      <c r="R44" s="46"/>
      <c r="T44" s="50"/>
      <c r="U44" s="50"/>
      <c r="V44" s="50"/>
    </row>
    <row r="45" spans="1:23" x14ac:dyDescent="0.25">
      <c r="A45" s="75">
        <f t="shared" si="1"/>
        <v>42</v>
      </c>
      <c r="B45" s="74" t="s">
        <v>25</v>
      </c>
      <c r="C45" s="47"/>
      <c r="D45" s="47"/>
      <c r="E45" s="47"/>
      <c r="F45" s="47"/>
      <c r="G45" s="47"/>
      <c r="H45" s="47"/>
      <c r="I45" s="47"/>
      <c r="J45" s="111"/>
      <c r="K45" s="46"/>
      <c r="M45" s="52"/>
      <c r="N45" s="121"/>
      <c r="O45" s="47"/>
      <c r="P45" s="111"/>
      <c r="Q45" s="111"/>
      <c r="R45" s="46"/>
      <c r="T45" s="50">
        <f t="shared" ref="T45:T54" si="7">H45+I45+J45+K45+N45+P45+R45</f>
        <v>0</v>
      </c>
      <c r="U45" s="50">
        <f>C45*24+M45*24+O45*24+Q45*24+T45</f>
        <v>0</v>
      </c>
      <c r="V45" s="50">
        <f>U45/24</f>
        <v>0</v>
      </c>
    </row>
    <row r="46" spans="1:23" x14ac:dyDescent="0.25">
      <c r="A46" s="75">
        <f t="shared" si="1"/>
        <v>43</v>
      </c>
      <c r="B46" s="74" t="s">
        <v>68</v>
      </c>
      <c r="C46" s="47"/>
      <c r="D46" s="47"/>
      <c r="E46" s="47"/>
      <c r="F46" s="47"/>
      <c r="G46" s="47"/>
      <c r="H46" s="47"/>
      <c r="I46" s="47"/>
      <c r="J46" s="111"/>
      <c r="K46" s="46"/>
      <c r="M46" s="52"/>
      <c r="N46" s="121"/>
      <c r="O46" s="47"/>
      <c r="P46" s="111"/>
      <c r="Q46" s="111"/>
      <c r="R46" s="46"/>
      <c r="T46" s="50">
        <f t="shared" si="7"/>
        <v>0</v>
      </c>
      <c r="U46" s="50">
        <f t="shared" ref="U46:U50" si="8">C46*24+M46*24+O46*24+Q46*24+T46</f>
        <v>0</v>
      </c>
      <c r="V46" s="50">
        <f t="shared" ref="V46:V54" si="9">U46/24</f>
        <v>0</v>
      </c>
    </row>
    <row r="47" spans="1:23" x14ac:dyDescent="0.25">
      <c r="A47" s="75">
        <f t="shared" si="1"/>
        <v>44</v>
      </c>
      <c r="B47" s="74" t="s">
        <v>26</v>
      </c>
      <c r="C47" s="47">
        <f>24+2268+44</f>
        <v>2336</v>
      </c>
      <c r="D47" s="47"/>
      <c r="E47" s="47"/>
      <c r="F47" s="47"/>
      <c r="G47" s="47"/>
      <c r="H47" s="47"/>
      <c r="I47" s="47"/>
      <c r="J47" s="111"/>
      <c r="K47" s="46">
        <f>6</f>
        <v>6</v>
      </c>
      <c r="M47" s="52">
        <v>10</v>
      </c>
      <c r="N47" s="121"/>
      <c r="O47" s="47">
        <v>8</v>
      </c>
      <c r="P47" s="111">
        <v>5</v>
      </c>
      <c r="Q47" s="111">
        <v>10</v>
      </c>
      <c r="R47" s="46"/>
      <c r="T47" s="50">
        <f t="shared" si="7"/>
        <v>11</v>
      </c>
      <c r="U47" s="50">
        <f>C47*6+M47*6+O47*6+Q47*6+T47</f>
        <v>14195</v>
      </c>
      <c r="V47" s="50">
        <f>U47/6</f>
        <v>2365.8333333333335</v>
      </c>
    </row>
    <row r="48" spans="1:23" x14ac:dyDescent="0.25">
      <c r="A48" s="75">
        <f t="shared" si="1"/>
        <v>45</v>
      </c>
      <c r="B48" s="74" t="s">
        <v>69</v>
      </c>
      <c r="C48" s="47"/>
      <c r="D48" s="47"/>
      <c r="E48" s="47"/>
      <c r="F48" s="47"/>
      <c r="G48" s="47"/>
      <c r="H48" s="47"/>
      <c r="I48" s="47"/>
      <c r="J48" s="111"/>
      <c r="K48" s="46"/>
      <c r="M48" s="52"/>
      <c r="N48" s="121"/>
      <c r="O48" s="47"/>
      <c r="P48" s="111"/>
      <c r="Q48" s="111"/>
      <c r="R48" s="46"/>
      <c r="T48" s="50">
        <f t="shared" si="7"/>
        <v>0</v>
      </c>
      <c r="U48" s="50">
        <f t="shared" si="8"/>
        <v>0</v>
      </c>
      <c r="V48" s="50">
        <f t="shared" si="9"/>
        <v>0</v>
      </c>
    </row>
    <row r="49" spans="1:22" x14ac:dyDescent="0.25">
      <c r="A49" s="75">
        <f t="shared" si="1"/>
        <v>46</v>
      </c>
      <c r="B49" s="74" t="s">
        <v>28</v>
      </c>
      <c r="C49" s="47"/>
      <c r="D49" s="47"/>
      <c r="E49" s="47"/>
      <c r="F49" s="47"/>
      <c r="G49" s="47"/>
      <c r="H49" s="47"/>
      <c r="I49" s="47"/>
      <c r="J49" s="111"/>
      <c r="K49" s="46"/>
      <c r="M49" s="52"/>
      <c r="N49" s="121"/>
      <c r="O49" s="47"/>
      <c r="P49" s="111"/>
      <c r="Q49" s="111"/>
      <c r="R49" s="46"/>
      <c r="T49" s="50">
        <f t="shared" si="7"/>
        <v>0</v>
      </c>
      <c r="U49" s="50">
        <f t="shared" si="8"/>
        <v>0</v>
      </c>
      <c r="V49" s="50">
        <f t="shared" si="9"/>
        <v>0</v>
      </c>
    </row>
    <row r="50" spans="1:22" x14ac:dyDescent="0.25">
      <c r="A50" s="75">
        <f t="shared" si="1"/>
        <v>47</v>
      </c>
      <c r="B50" s="74" t="s">
        <v>70</v>
      </c>
      <c r="C50" s="47"/>
      <c r="D50" s="47"/>
      <c r="E50" s="47"/>
      <c r="F50" s="47"/>
      <c r="G50" s="47"/>
      <c r="H50" s="47"/>
      <c r="I50" s="47"/>
      <c r="J50" s="111"/>
      <c r="K50" s="46"/>
      <c r="M50" s="52"/>
      <c r="N50" s="121"/>
      <c r="O50" s="47"/>
      <c r="P50" s="111"/>
      <c r="Q50" s="111"/>
      <c r="R50" s="46"/>
      <c r="T50" s="50">
        <f t="shared" si="7"/>
        <v>0</v>
      </c>
      <c r="U50" s="50">
        <f t="shared" si="8"/>
        <v>0</v>
      </c>
      <c r="V50" s="50">
        <f t="shared" si="9"/>
        <v>0</v>
      </c>
    </row>
    <row r="51" spans="1:22" x14ac:dyDescent="0.25">
      <c r="A51" s="75">
        <f t="shared" si="1"/>
        <v>48</v>
      </c>
      <c r="B51" s="74" t="s">
        <v>29</v>
      </c>
      <c r="C51" s="47">
        <v>34</v>
      </c>
      <c r="D51" s="47"/>
      <c r="E51" s="47"/>
      <c r="F51" s="47"/>
      <c r="G51" s="47"/>
      <c r="H51" s="47"/>
      <c r="I51" s="47"/>
      <c r="J51" s="111"/>
      <c r="K51" s="46"/>
      <c r="M51" s="52"/>
      <c r="N51" s="121"/>
      <c r="O51" s="47"/>
      <c r="P51" s="111"/>
      <c r="Q51" s="111"/>
      <c r="R51" s="46"/>
      <c r="T51" s="50">
        <f t="shared" si="7"/>
        <v>0</v>
      </c>
      <c r="U51" s="50">
        <f>C51*6+M51*6+O51*6+Q51*6+T51</f>
        <v>204</v>
      </c>
      <c r="V51" s="50">
        <f>U51/6</f>
        <v>34</v>
      </c>
    </row>
    <row r="52" spans="1:22" x14ac:dyDescent="0.25">
      <c r="A52" s="75">
        <f t="shared" si="1"/>
        <v>49</v>
      </c>
      <c r="B52" s="74" t="s">
        <v>30</v>
      </c>
      <c r="C52" s="47"/>
      <c r="D52" s="47"/>
      <c r="E52" s="47"/>
      <c r="F52" s="47"/>
      <c r="G52" s="47"/>
      <c r="H52" s="47"/>
      <c r="I52" s="47"/>
      <c r="J52" s="111"/>
      <c r="K52" s="46"/>
      <c r="M52" s="52"/>
      <c r="N52" s="121"/>
      <c r="O52" s="47"/>
      <c r="P52" s="111"/>
      <c r="Q52" s="111"/>
      <c r="R52" s="46"/>
      <c r="T52" s="50">
        <f t="shared" si="7"/>
        <v>0</v>
      </c>
      <c r="U52" s="50">
        <f t="shared" ref="U52:U54" si="10">C52*24+M52*24+O52*24+Q52*24+T52</f>
        <v>0</v>
      </c>
      <c r="V52" s="50">
        <f t="shared" si="9"/>
        <v>0</v>
      </c>
    </row>
    <row r="53" spans="1:22" x14ac:dyDescent="0.25">
      <c r="A53" s="75">
        <f t="shared" si="1"/>
        <v>50</v>
      </c>
      <c r="B53" s="74" t="s">
        <v>75</v>
      </c>
      <c r="C53" s="47">
        <v>2</v>
      </c>
      <c r="D53" s="47"/>
      <c r="E53" s="47"/>
      <c r="F53" s="47"/>
      <c r="G53" s="47"/>
      <c r="H53" s="47"/>
      <c r="I53" s="47"/>
      <c r="J53" s="111"/>
      <c r="K53" s="46"/>
      <c r="M53" s="52"/>
      <c r="N53" s="121"/>
      <c r="O53" s="47"/>
      <c r="P53" s="111"/>
      <c r="Q53" s="111"/>
      <c r="R53" s="46"/>
      <c r="T53" s="50">
        <f t="shared" si="7"/>
        <v>0</v>
      </c>
      <c r="U53" s="50">
        <f t="shared" si="10"/>
        <v>48</v>
      </c>
      <c r="V53" s="50">
        <f t="shared" si="9"/>
        <v>2</v>
      </c>
    </row>
    <row r="54" spans="1:22" x14ac:dyDescent="0.25">
      <c r="A54" s="75">
        <f t="shared" si="1"/>
        <v>51</v>
      </c>
      <c r="B54" s="74"/>
      <c r="C54" s="47"/>
      <c r="D54" s="47"/>
      <c r="E54" s="47"/>
      <c r="F54" s="47"/>
      <c r="G54" s="47"/>
      <c r="H54" s="47"/>
      <c r="I54" s="47"/>
      <c r="J54" s="111"/>
      <c r="K54" s="46"/>
      <c r="M54" s="52"/>
      <c r="N54" s="121"/>
      <c r="O54" s="47"/>
      <c r="P54" s="111"/>
      <c r="Q54" s="111"/>
      <c r="R54" s="46"/>
      <c r="T54" s="50">
        <f t="shared" si="7"/>
        <v>0</v>
      </c>
      <c r="U54" s="50">
        <f t="shared" si="10"/>
        <v>0</v>
      </c>
      <c r="V54" s="50">
        <f t="shared" si="9"/>
        <v>0</v>
      </c>
    </row>
    <row r="55" spans="1:22" x14ac:dyDescent="0.25">
      <c r="A55" s="75">
        <f t="shared" si="1"/>
        <v>52</v>
      </c>
      <c r="B55" s="74"/>
      <c r="C55" s="47"/>
      <c r="D55" s="47"/>
      <c r="E55" s="47"/>
      <c r="F55" s="47"/>
      <c r="G55" s="47"/>
      <c r="H55" s="47"/>
      <c r="I55" s="47"/>
      <c r="J55" s="111"/>
      <c r="K55" s="46"/>
      <c r="M55" s="52"/>
      <c r="N55" s="121"/>
      <c r="O55" s="47"/>
      <c r="P55" s="111"/>
      <c r="Q55" s="111"/>
      <c r="R55" s="46"/>
      <c r="T55" s="50"/>
      <c r="U55" s="50"/>
      <c r="V55" s="50"/>
    </row>
    <row r="56" spans="1:22" x14ac:dyDescent="0.25">
      <c r="A56" s="75">
        <f t="shared" si="1"/>
        <v>53</v>
      </c>
      <c r="B56" s="74"/>
      <c r="C56" s="47"/>
      <c r="D56" s="47"/>
      <c r="E56" s="47"/>
      <c r="F56" s="47"/>
      <c r="G56" s="47"/>
      <c r="H56" s="47"/>
      <c r="I56" s="47"/>
      <c r="J56" s="111"/>
      <c r="K56" s="46"/>
      <c r="M56" s="52"/>
      <c r="N56" s="121"/>
      <c r="O56" s="47"/>
      <c r="P56" s="111"/>
      <c r="Q56" s="111"/>
      <c r="R56" s="46"/>
      <c r="T56" s="50"/>
      <c r="U56" s="50"/>
      <c r="V56" s="50"/>
    </row>
    <row r="57" spans="1:22" x14ac:dyDescent="0.25">
      <c r="A57" s="75">
        <f t="shared" si="1"/>
        <v>54</v>
      </c>
      <c r="B57" s="74"/>
      <c r="C57" s="47"/>
      <c r="D57" s="47"/>
      <c r="E57" s="47"/>
      <c r="F57" s="47"/>
      <c r="G57" s="47"/>
      <c r="H57" s="47"/>
      <c r="I57" s="47"/>
      <c r="J57" s="111"/>
      <c r="K57" s="46"/>
      <c r="M57" s="52"/>
      <c r="N57" s="121"/>
      <c r="O57" s="47"/>
      <c r="P57" s="111"/>
      <c r="Q57" s="111"/>
      <c r="R57" s="46"/>
      <c r="T57" s="50"/>
      <c r="U57" s="50"/>
      <c r="V57" s="50"/>
    </row>
    <row r="58" spans="1:22" s="63" customFormat="1" ht="19.5" thickBot="1" x14ac:dyDescent="0.3">
      <c r="B58" s="77" t="s">
        <v>60</v>
      </c>
      <c r="C58" s="49">
        <f>SUM(C7:C57)</f>
        <v>42290</v>
      </c>
      <c r="D58" s="49"/>
      <c r="E58" s="49"/>
      <c r="F58" s="49">
        <f t="shared" ref="F58:K58" si="11">SUM(F7:F57)</f>
        <v>0</v>
      </c>
      <c r="G58" s="49">
        <f t="shared" si="11"/>
        <v>0</v>
      </c>
      <c r="H58" s="49">
        <f t="shared" si="11"/>
        <v>54</v>
      </c>
      <c r="I58" s="54">
        <f t="shared" si="11"/>
        <v>8</v>
      </c>
      <c r="J58" s="54">
        <f t="shared" si="11"/>
        <v>79</v>
      </c>
      <c r="K58" s="54">
        <f t="shared" si="11"/>
        <v>486</v>
      </c>
      <c r="M58" s="53">
        <f t="shared" ref="M58:R58" si="12">SUM(M7:M57)</f>
        <v>36</v>
      </c>
      <c r="N58" s="53">
        <f t="shared" si="12"/>
        <v>36</v>
      </c>
      <c r="O58" s="53">
        <f t="shared" si="12"/>
        <v>353</v>
      </c>
      <c r="P58" s="53">
        <f t="shared" si="12"/>
        <v>17</v>
      </c>
      <c r="Q58" s="53">
        <f t="shared" si="12"/>
        <v>542</v>
      </c>
      <c r="R58" s="53">
        <f t="shared" si="12"/>
        <v>8</v>
      </c>
      <c r="S58" s="57"/>
      <c r="T58" s="51">
        <f>SUM(T7:T57)</f>
        <v>688</v>
      </c>
      <c r="U58" s="51">
        <f>SUM(U7:U57)</f>
        <v>355492</v>
      </c>
      <c r="V58" s="51">
        <f>SUM(V7:V57)</f>
        <v>43319.166666666672</v>
      </c>
    </row>
    <row r="59" spans="1:22" ht="7.5" customHeight="1" thickBot="1" x14ac:dyDescent="0.3"/>
    <row r="60" spans="1:22" ht="19.5" thickBot="1" x14ac:dyDescent="0.3">
      <c r="B60" s="78" t="s">
        <v>39</v>
      </c>
      <c r="C60" s="191" t="s">
        <v>49</v>
      </c>
      <c r="D60" s="192"/>
      <c r="E60" s="192"/>
      <c r="F60" s="192"/>
      <c r="G60" s="192"/>
      <c r="H60" s="192"/>
      <c r="I60" s="192"/>
      <c r="J60" s="192"/>
      <c r="K60" s="193"/>
      <c r="U60" s="72" t="s">
        <v>62</v>
      </c>
    </row>
    <row r="61" spans="1:22" x14ac:dyDescent="0.25">
      <c r="B61" s="79" t="s">
        <v>18</v>
      </c>
      <c r="C61" s="67"/>
      <c r="D61" s="67"/>
      <c r="E61" s="67"/>
      <c r="F61" s="67"/>
      <c r="G61" s="67"/>
      <c r="H61" s="67"/>
      <c r="I61" s="67"/>
      <c r="J61" s="114"/>
      <c r="K61" s="68"/>
      <c r="U61" s="55"/>
    </row>
    <row r="62" spans="1:22" x14ac:dyDescent="0.25">
      <c r="B62" s="80" t="s">
        <v>55</v>
      </c>
      <c r="C62" s="48"/>
      <c r="D62" s="48"/>
      <c r="E62" s="48"/>
      <c r="F62" s="48"/>
      <c r="G62" s="48"/>
      <c r="H62" s="48"/>
      <c r="I62" s="48"/>
      <c r="J62" s="109"/>
      <c r="K62" s="69"/>
      <c r="U62" s="50"/>
    </row>
    <row r="63" spans="1:22" ht="19.5" thickBot="1" x14ac:dyDescent="0.3">
      <c r="B63" s="81" t="s">
        <v>54</v>
      </c>
      <c r="C63" s="70"/>
      <c r="D63" s="70"/>
      <c r="E63" s="70"/>
      <c r="F63" s="70"/>
      <c r="G63" s="70"/>
      <c r="H63" s="70"/>
      <c r="I63" s="70"/>
      <c r="J63" s="115"/>
      <c r="K63" s="71"/>
      <c r="U63" s="56"/>
    </row>
    <row r="64" spans="1:22" ht="7.5" customHeight="1" thickBot="1" x14ac:dyDescent="0.3"/>
    <row r="65" spans="2:21" x14ac:dyDescent="0.25">
      <c r="B65" s="79" t="s">
        <v>56</v>
      </c>
      <c r="C65" s="67"/>
      <c r="D65" s="67"/>
      <c r="E65" s="67"/>
      <c r="F65" s="67"/>
      <c r="G65" s="67"/>
      <c r="H65" s="67"/>
      <c r="I65" s="67"/>
      <c r="J65" s="114"/>
      <c r="K65" s="68"/>
      <c r="U65" s="55"/>
    </row>
    <row r="66" spans="2:21" x14ac:dyDescent="0.25">
      <c r="B66" s="80" t="s">
        <v>55</v>
      </c>
      <c r="C66" s="48"/>
      <c r="D66" s="48"/>
      <c r="E66" s="48"/>
      <c r="F66" s="48"/>
      <c r="G66" s="48"/>
      <c r="H66" s="48"/>
      <c r="I66" s="48"/>
      <c r="J66" s="109"/>
      <c r="K66" s="69"/>
      <c r="U66" s="50"/>
    </row>
    <row r="67" spans="2:21" ht="19.5" thickBot="1" x14ac:dyDescent="0.3">
      <c r="B67" s="81" t="s">
        <v>54</v>
      </c>
      <c r="C67" s="70"/>
      <c r="D67" s="70"/>
      <c r="E67" s="70"/>
      <c r="F67" s="70"/>
      <c r="G67" s="70"/>
      <c r="H67" s="70"/>
      <c r="I67" s="70"/>
      <c r="J67" s="115"/>
      <c r="K67" s="71"/>
      <c r="U67" s="56"/>
    </row>
    <row r="68" spans="2:21" ht="7.5" customHeight="1" thickBot="1" x14ac:dyDescent="0.3"/>
    <row r="69" spans="2:21" x14ac:dyDescent="0.25">
      <c r="B69" s="79" t="s">
        <v>41</v>
      </c>
      <c r="C69" s="67"/>
      <c r="D69" s="67"/>
      <c r="E69" s="67"/>
      <c r="F69" s="67"/>
      <c r="G69" s="67"/>
      <c r="H69" s="67"/>
      <c r="I69" s="67"/>
      <c r="J69" s="114"/>
      <c r="K69" s="68"/>
      <c r="U69" s="55"/>
    </row>
    <row r="70" spans="2:21" x14ac:dyDescent="0.25">
      <c r="B70" s="80" t="s">
        <v>55</v>
      </c>
      <c r="C70" s="48"/>
      <c r="D70" s="48"/>
      <c r="E70" s="48"/>
      <c r="F70" s="48"/>
      <c r="G70" s="48"/>
      <c r="H70" s="48"/>
      <c r="I70" s="48"/>
      <c r="J70" s="109"/>
      <c r="K70" s="69"/>
      <c r="U70" s="50"/>
    </row>
    <row r="71" spans="2:21" ht="19.5" thickBot="1" x14ac:dyDescent="0.3">
      <c r="B71" s="81" t="s">
        <v>54</v>
      </c>
      <c r="C71" s="70"/>
      <c r="D71" s="70"/>
      <c r="E71" s="70"/>
      <c r="F71" s="70"/>
      <c r="G71" s="70"/>
      <c r="H71" s="70"/>
      <c r="I71" s="70"/>
      <c r="J71" s="115"/>
      <c r="K71" s="71"/>
      <c r="U71" s="56"/>
    </row>
    <row r="72" spans="2:21" ht="7.5" customHeight="1" thickBot="1" x14ac:dyDescent="0.3"/>
    <row r="73" spans="2:21" x14ac:dyDescent="0.25">
      <c r="B73" s="79" t="s">
        <v>57</v>
      </c>
      <c r="C73" s="67"/>
      <c r="D73" s="67"/>
      <c r="E73" s="67"/>
      <c r="F73" s="67"/>
      <c r="G73" s="67"/>
      <c r="H73" s="67"/>
      <c r="I73" s="67"/>
      <c r="J73" s="114"/>
      <c r="K73" s="68"/>
      <c r="U73" s="55"/>
    </row>
    <row r="74" spans="2:21" x14ac:dyDescent="0.25">
      <c r="B74" s="80" t="s">
        <v>55</v>
      </c>
      <c r="C74" s="48"/>
      <c r="D74" s="48"/>
      <c r="E74" s="48"/>
      <c r="F74" s="48"/>
      <c r="G74" s="48"/>
      <c r="H74" s="48"/>
      <c r="I74" s="48"/>
      <c r="J74" s="109"/>
      <c r="K74" s="69"/>
      <c r="U74" s="50"/>
    </row>
    <row r="75" spans="2:21" ht="19.5" thickBot="1" x14ac:dyDescent="0.3">
      <c r="B75" s="81" t="s">
        <v>54</v>
      </c>
      <c r="C75" s="70"/>
      <c r="D75" s="70"/>
      <c r="E75" s="70"/>
      <c r="F75" s="70"/>
      <c r="G75" s="70"/>
      <c r="H75" s="70"/>
      <c r="I75" s="70"/>
      <c r="J75" s="115"/>
      <c r="K75" s="71"/>
      <c r="U75" s="56"/>
    </row>
    <row r="76" spans="2:21" ht="7.5" customHeight="1" thickBot="1" x14ac:dyDescent="0.3"/>
    <row r="77" spans="2:21" x14ac:dyDescent="0.25">
      <c r="B77" s="79" t="s">
        <v>58</v>
      </c>
      <c r="C77" s="67"/>
      <c r="D77" s="67"/>
      <c r="E77" s="67"/>
      <c r="F77" s="67"/>
      <c r="G77" s="67"/>
      <c r="H77" s="67"/>
      <c r="I77" s="67"/>
      <c r="J77" s="114"/>
      <c r="K77" s="68"/>
      <c r="U77" s="55"/>
    </row>
    <row r="78" spans="2:21" x14ac:dyDescent="0.25">
      <c r="B78" s="80" t="s">
        <v>55</v>
      </c>
      <c r="C78" s="48"/>
      <c r="D78" s="48"/>
      <c r="E78" s="48"/>
      <c r="F78" s="48"/>
      <c r="G78" s="48"/>
      <c r="H78" s="48"/>
      <c r="I78" s="48"/>
      <c r="J78" s="109"/>
      <c r="K78" s="69"/>
      <c r="U78" s="50"/>
    </row>
    <row r="79" spans="2:21" ht="19.5" thickBot="1" x14ac:dyDescent="0.3">
      <c r="B79" s="81" t="s">
        <v>54</v>
      </c>
      <c r="C79" s="70"/>
      <c r="D79" s="70"/>
      <c r="E79" s="70"/>
      <c r="F79" s="70"/>
      <c r="G79" s="70"/>
      <c r="H79" s="70"/>
      <c r="I79" s="70"/>
      <c r="J79" s="115"/>
      <c r="K79" s="71"/>
      <c r="U79" s="56"/>
    </row>
    <row r="80" spans="2:21" ht="7.5" customHeight="1" thickBot="1" x14ac:dyDescent="0.3"/>
    <row r="81" spans="2:21" ht="19.5" thickBot="1" x14ac:dyDescent="0.3">
      <c r="B81" s="78" t="s">
        <v>59</v>
      </c>
      <c r="C81" s="65"/>
      <c r="D81" s="65"/>
      <c r="E81" s="65"/>
      <c r="F81" s="65"/>
      <c r="G81" s="65"/>
      <c r="H81" s="65"/>
      <c r="I81" s="65"/>
      <c r="J81" s="116"/>
      <c r="K81" s="66"/>
      <c r="U81" s="64"/>
    </row>
  </sheetData>
  <mergeCells count="7">
    <mergeCell ref="V4:V5"/>
    <mergeCell ref="J5:K5"/>
    <mergeCell ref="C60:K60"/>
    <mergeCell ref="I1:U1"/>
    <mergeCell ref="C4:K4"/>
    <mergeCell ref="T4:T5"/>
    <mergeCell ref="U4:U5"/>
  </mergeCells>
  <printOptions horizontalCentered="1" verticalCentered="1"/>
  <pageMargins left="0.19685039370078741" right="0.19685039370078741" top="0.19685039370078741" bottom="0.19685039370078741" header="0.19685039370078741" footer="0.19685039370078741"/>
  <pageSetup paperSize="14" scale="70" orientation="portrait" horizontalDpi="360" verticalDpi="360" r:id="rId1"/>
  <colBreaks count="1" manualBreakCount="1">
    <brk id="24" max="80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8C4C9-0152-4EDD-8366-FCE42DBB1118}">
  <sheetPr>
    <pageSetUpPr fitToPage="1"/>
  </sheetPr>
  <dimension ref="A1:BB81"/>
  <sheetViews>
    <sheetView zoomScaleNormal="100" zoomScaleSheetLayoutView="115" workbookViewId="0">
      <selection activeCell="T7" sqref="T7"/>
    </sheetView>
  </sheetViews>
  <sheetFormatPr defaultColWidth="9.140625" defaultRowHeight="18.75" x14ac:dyDescent="0.25"/>
  <cols>
    <col min="1" max="1" width="4.140625" style="57" bestFit="1" customWidth="1"/>
    <col min="2" max="2" width="12.28515625" style="76" customWidth="1"/>
    <col min="3" max="6" width="10" style="57" customWidth="1"/>
    <col min="7" max="7" width="6.85546875" style="57" customWidth="1"/>
    <col min="8" max="8" width="6.7109375" style="57" customWidth="1"/>
    <col min="9" max="9" width="6.7109375" style="57" bestFit="1" customWidth="1"/>
    <col min="10" max="10" width="6.85546875" style="57" customWidth="1"/>
    <col min="11" max="11" width="6.7109375" style="57" bestFit="1" customWidth="1"/>
    <col min="12" max="12" width="1.42578125" style="57" customWidth="1"/>
    <col min="13" max="13" width="10" style="57" customWidth="1"/>
    <col min="14" max="14" width="6.7109375" style="57" bestFit="1" customWidth="1"/>
    <col min="15" max="15" width="10" style="57" customWidth="1"/>
    <col min="16" max="16" width="5.5703125" style="57" customWidth="1"/>
    <col min="17" max="17" width="10" style="57" customWidth="1"/>
    <col min="18" max="18" width="6.7109375" style="57" bestFit="1" customWidth="1"/>
    <col min="19" max="19" width="1.42578125" style="57" customWidth="1"/>
    <col min="20" max="20" width="12.7109375" style="57" bestFit="1" customWidth="1"/>
    <col min="21" max="21" width="14.28515625" style="57" customWidth="1"/>
    <col min="22" max="22" width="19.5703125" style="57" bestFit="1" customWidth="1"/>
    <col min="23" max="49" width="7.28515625" style="57" customWidth="1"/>
    <col min="50" max="50" width="1.5703125" style="57" customWidth="1"/>
    <col min="51" max="51" width="9.42578125" style="57" customWidth="1"/>
    <col min="52" max="52" width="1.28515625" style="57" customWidth="1"/>
    <col min="53" max="53" width="12.7109375" style="57" bestFit="1" customWidth="1"/>
    <col min="54" max="54" width="10.28515625" style="57" bestFit="1" customWidth="1"/>
    <col min="55" max="16384" width="9.140625" style="57"/>
  </cols>
  <sheetData>
    <row r="1" spans="1:54" ht="15" customHeight="1" x14ac:dyDescent="0.25">
      <c r="B1" s="75" t="s">
        <v>51</v>
      </c>
      <c r="I1" s="194" t="s">
        <v>53</v>
      </c>
      <c r="J1" s="194"/>
      <c r="K1" s="194"/>
      <c r="L1" s="194"/>
      <c r="M1" s="194"/>
      <c r="N1" s="194"/>
      <c r="O1" s="194"/>
      <c r="P1" s="194"/>
      <c r="Q1" s="194"/>
      <c r="R1" s="194"/>
      <c r="S1" s="194"/>
      <c r="T1" s="194"/>
      <c r="U1" s="194"/>
    </row>
    <row r="2" spans="1:54" x14ac:dyDescent="0.25">
      <c r="B2" s="76" t="s">
        <v>97</v>
      </c>
    </row>
    <row r="3" spans="1:54" ht="19.5" thickBot="1" x14ac:dyDescent="0.3"/>
    <row r="4" spans="1:54" s="58" customFormat="1" ht="15.75" x14ac:dyDescent="0.25">
      <c r="B4" s="93" t="s">
        <v>63</v>
      </c>
      <c r="C4" s="189" t="s">
        <v>49</v>
      </c>
      <c r="D4" s="189"/>
      <c r="E4" s="189"/>
      <c r="F4" s="189"/>
      <c r="G4" s="189"/>
      <c r="H4" s="189"/>
      <c r="I4" s="189"/>
      <c r="J4" s="199"/>
      <c r="K4" s="190"/>
      <c r="M4" s="82" t="s">
        <v>0</v>
      </c>
      <c r="N4" s="117" t="s">
        <v>72</v>
      </c>
      <c r="O4" s="84" t="s">
        <v>45</v>
      </c>
      <c r="P4" s="117" t="s">
        <v>72</v>
      </c>
      <c r="Q4" s="85" t="s">
        <v>46</v>
      </c>
      <c r="R4" s="117" t="s">
        <v>72</v>
      </c>
      <c r="S4" s="57"/>
      <c r="T4" s="200" t="s">
        <v>80</v>
      </c>
      <c r="U4" s="202" t="s">
        <v>79</v>
      </c>
      <c r="V4" s="195" t="s">
        <v>78</v>
      </c>
      <c r="AF4" s="59"/>
      <c r="AG4" s="59"/>
      <c r="AH4" s="59"/>
      <c r="AI4" s="59"/>
      <c r="AJ4" s="59"/>
      <c r="AK4" s="59"/>
      <c r="AL4" s="59"/>
      <c r="AM4" s="59"/>
      <c r="AN4" s="59"/>
      <c r="AO4" s="59"/>
      <c r="AP4" s="59"/>
      <c r="AQ4" s="59"/>
      <c r="AR4" s="59"/>
      <c r="AS4" s="59"/>
      <c r="AT4" s="59"/>
      <c r="AU4" s="59"/>
      <c r="AV4" s="59"/>
      <c r="AW4" s="59"/>
      <c r="AX4" s="59"/>
      <c r="AY4" s="59"/>
      <c r="AZ4" s="59"/>
      <c r="BA4" s="59"/>
      <c r="BB4" s="59"/>
    </row>
    <row r="5" spans="1:54" s="58" customFormat="1" ht="15.75" x14ac:dyDescent="0.25">
      <c r="B5" s="87"/>
      <c r="C5" s="92"/>
      <c r="D5" s="92"/>
      <c r="E5" s="92"/>
      <c r="F5" s="92"/>
      <c r="G5" s="92"/>
      <c r="H5" s="92" t="s">
        <v>76</v>
      </c>
      <c r="I5" s="92" t="s">
        <v>71</v>
      </c>
      <c r="J5" s="197" t="s">
        <v>77</v>
      </c>
      <c r="K5" s="198"/>
      <c r="M5" s="87"/>
      <c r="N5" s="118"/>
      <c r="O5" s="92"/>
      <c r="P5" s="141"/>
      <c r="Q5" s="141"/>
      <c r="R5" s="89"/>
      <c r="S5" s="57"/>
      <c r="T5" s="201"/>
      <c r="U5" s="203"/>
      <c r="V5" s="196"/>
      <c r="AF5" s="59"/>
      <c r="AG5" s="59"/>
      <c r="AH5" s="59"/>
      <c r="AI5" s="59"/>
      <c r="AJ5" s="59"/>
      <c r="AK5" s="59"/>
      <c r="AL5" s="59"/>
      <c r="AM5" s="59"/>
      <c r="AN5" s="59"/>
      <c r="AO5" s="59"/>
      <c r="AP5" s="59"/>
      <c r="AQ5" s="59"/>
      <c r="AR5" s="59"/>
      <c r="AS5" s="59"/>
      <c r="AT5" s="59"/>
      <c r="AU5" s="59"/>
      <c r="AV5" s="59"/>
      <c r="AW5" s="59"/>
      <c r="AX5" s="59"/>
      <c r="AY5" s="59"/>
      <c r="AZ5" s="59"/>
      <c r="BA5" s="59"/>
      <c r="BB5" s="59"/>
    </row>
    <row r="6" spans="1:54" s="58" customFormat="1" ht="15.75" x14ac:dyDescent="0.25">
      <c r="B6" s="87"/>
      <c r="C6" s="92"/>
      <c r="D6" s="92"/>
      <c r="E6" s="92"/>
      <c r="F6" s="92"/>
      <c r="G6" s="92"/>
      <c r="H6" s="92"/>
      <c r="I6" s="92"/>
      <c r="J6" s="141"/>
      <c r="K6" s="89"/>
      <c r="M6" s="87"/>
      <c r="N6" s="118"/>
      <c r="O6" s="92"/>
      <c r="P6" s="141"/>
      <c r="Q6" s="141"/>
      <c r="R6" s="89"/>
      <c r="S6" s="57"/>
      <c r="T6" s="90"/>
      <c r="U6" s="90"/>
      <c r="V6" s="90"/>
      <c r="AF6" s="59"/>
      <c r="AG6" s="59"/>
      <c r="AH6" s="59"/>
      <c r="AI6" s="59"/>
      <c r="AJ6" s="59"/>
      <c r="AK6" s="59"/>
      <c r="AL6" s="59"/>
      <c r="AM6" s="59"/>
      <c r="AN6" s="59"/>
      <c r="AO6" s="59"/>
      <c r="AP6" s="59"/>
      <c r="AQ6" s="59"/>
      <c r="AR6" s="59"/>
      <c r="AS6" s="59"/>
      <c r="AT6" s="59"/>
      <c r="AU6" s="59"/>
      <c r="AV6" s="59"/>
      <c r="AW6" s="59"/>
      <c r="AX6" s="59"/>
      <c r="AY6" s="59"/>
      <c r="AZ6" s="59"/>
      <c r="BA6" s="59"/>
      <c r="BB6" s="59"/>
    </row>
    <row r="7" spans="1:54" x14ac:dyDescent="0.25">
      <c r="A7" s="75">
        <v>1</v>
      </c>
      <c r="B7" s="74" t="s">
        <v>34</v>
      </c>
      <c r="C7" s="144">
        <v>25</v>
      </c>
      <c r="D7" s="144"/>
      <c r="E7" s="144"/>
      <c r="F7" s="144"/>
      <c r="G7" s="144"/>
      <c r="H7" s="144">
        <v>5</v>
      </c>
      <c r="I7" s="144">
        <v>1</v>
      </c>
      <c r="J7" s="145"/>
      <c r="K7" s="146">
        <v>6</v>
      </c>
      <c r="L7" s="147"/>
      <c r="M7" s="148">
        <v>2</v>
      </c>
      <c r="N7" s="149">
        <v>12</v>
      </c>
      <c r="O7" s="144">
        <v>3</v>
      </c>
      <c r="P7" s="145"/>
      <c r="Q7" s="145">
        <v>2</v>
      </c>
      <c r="R7" s="146"/>
      <c r="S7" s="147"/>
      <c r="T7" s="150">
        <f>H7+I7+J7+K7+N7+P7+R7</f>
        <v>24</v>
      </c>
      <c r="U7" s="150">
        <f>C7*24+M7*24+O7*24+Q7*24+T7</f>
        <v>792</v>
      </c>
      <c r="V7" s="150">
        <f>U7/24</f>
        <v>33</v>
      </c>
      <c r="W7" s="123"/>
      <c r="AF7" s="60"/>
      <c r="AG7" s="60"/>
      <c r="AH7" s="60"/>
      <c r="AI7" s="60"/>
      <c r="AJ7" s="60"/>
      <c r="AK7" s="60"/>
      <c r="AL7" s="60"/>
      <c r="AM7" s="60"/>
      <c r="AN7" s="60"/>
      <c r="AO7" s="60"/>
      <c r="AP7" s="60"/>
      <c r="AQ7" s="60"/>
      <c r="AR7" s="60"/>
      <c r="AS7" s="60"/>
      <c r="AT7" s="60"/>
      <c r="AU7" s="60"/>
      <c r="AV7" s="60"/>
      <c r="AW7" s="60"/>
      <c r="AX7" s="60"/>
      <c r="AY7" s="60"/>
      <c r="AZ7" s="60"/>
      <c r="BA7" s="60"/>
      <c r="BB7" s="60"/>
    </row>
    <row r="8" spans="1:54" ht="19.5" thickBot="1" x14ac:dyDescent="0.3">
      <c r="A8" s="75">
        <f>A7+1</f>
        <v>2</v>
      </c>
      <c r="B8" s="94" t="s">
        <v>37</v>
      </c>
      <c r="C8" s="151">
        <f>63+30</f>
        <v>93</v>
      </c>
      <c r="D8" s="151"/>
      <c r="E8" s="151"/>
      <c r="F8" s="151"/>
      <c r="G8" s="151"/>
      <c r="H8" s="151"/>
      <c r="I8" s="151"/>
      <c r="J8" s="152"/>
      <c r="K8" s="153"/>
      <c r="L8" s="154"/>
      <c r="M8" s="155">
        <v>1</v>
      </c>
      <c r="N8" s="156"/>
      <c r="O8" s="157"/>
      <c r="P8" s="158"/>
      <c r="Q8" s="158"/>
      <c r="R8" s="159"/>
      <c r="S8" s="154"/>
      <c r="T8" s="160">
        <f t="shared" ref="T8:T41" si="0">H8+I8+J8+K8+N8+P8+R8</f>
        <v>0</v>
      </c>
      <c r="U8" s="161">
        <f>C8*24+M8*24+O8*24+Q8*24+T8</f>
        <v>2256</v>
      </c>
      <c r="V8" s="161">
        <f>U8/24</f>
        <v>94</v>
      </c>
      <c r="W8" s="123"/>
      <c r="AF8" s="60"/>
      <c r="AG8" s="60"/>
      <c r="AH8" s="60"/>
      <c r="AI8" s="60"/>
      <c r="AJ8" s="60"/>
      <c r="AK8" s="60"/>
      <c r="AL8" s="60"/>
      <c r="AM8" s="60"/>
      <c r="AN8" s="60"/>
      <c r="AO8" s="60"/>
      <c r="AP8" s="60"/>
      <c r="AQ8" s="60"/>
      <c r="AR8" s="60"/>
      <c r="AS8" s="60"/>
      <c r="AT8" s="60"/>
      <c r="AU8" s="60"/>
      <c r="AV8" s="60"/>
      <c r="AW8" s="60"/>
      <c r="AX8" s="60"/>
      <c r="AY8" s="60"/>
      <c r="AZ8" s="60"/>
      <c r="BA8" s="60"/>
      <c r="BB8" s="60"/>
    </row>
    <row r="9" spans="1:54" x14ac:dyDescent="0.25">
      <c r="A9" s="75">
        <f t="shared" ref="A9:A57" si="1">A8+1</f>
        <v>3</v>
      </c>
      <c r="B9" s="73" t="s">
        <v>35</v>
      </c>
      <c r="C9" s="162"/>
      <c r="D9" s="162"/>
      <c r="E9" s="162"/>
      <c r="F9" s="162"/>
      <c r="G9" s="162"/>
      <c r="H9" s="162"/>
      <c r="I9" s="162"/>
      <c r="J9" s="163"/>
      <c r="K9" s="164"/>
      <c r="L9" s="147"/>
      <c r="M9" s="165"/>
      <c r="N9" s="166"/>
      <c r="O9" s="162"/>
      <c r="P9" s="163"/>
      <c r="Q9" s="163"/>
      <c r="R9" s="164"/>
      <c r="S9" s="147"/>
      <c r="T9" s="167">
        <f t="shared" si="0"/>
        <v>0</v>
      </c>
      <c r="U9" s="168">
        <f t="shared" ref="U9:U11" si="2">C9*24+M9*24+O9*24+Q9*24+T9</f>
        <v>0</v>
      </c>
      <c r="V9" s="168">
        <f t="shared" ref="V9:V11" si="3">U9/24</f>
        <v>0</v>
      </c>
      <c r="W9" s="123"/>
      <c r="AF9" s="60"/>
      <c r="AG9" s="60"/>
      <c r="AH9" s="60"/>
      <c r="AI9" s="60"/>
      <c r="AJ9" s="60"/>
      <c r="AK9" s="60"/>
      <c r="AL9" s="60"/>
      <c r="AM9" s="60"/>
      <c r="AN9" s="60"/>
      <c r="AO9" s="60"/>
      <c r="AP9" s="60"/>
      <c r="AQ9" s="60"/>
      <c r="AR9" s="60"/>
      <c r="AS9" s="60"/>
      <c r="AT9" s="60"/>
      <c r="AU9" s="60"/>
      <c r="AV9" s="60"/>
      <c r="AW9" s="60"/>
      <c r="AX9" s="60"/>
      <c r="AY9" s="60"/>
      <c r="AZ9" s="60"/>
      <c r="BA9" s="60"/>
      <c r="BB9" s="60"/>
    </row>
    <row r="10" spans="1:54" x14ac:dyDescent="0.25">
      <c r="A10" s="75">
        <f t="shared" si="1"/>
        <v>4</v>
      </c>
      <c r="B10" s="74" t="s">
        <v>38</v>
      </c>
      <c r="C10" s="162">
        <v>54</v>
      </c>
      <c r="D10" s="162"/>
      <c r="E10" s="162"/>
      <c r="F10" s="162"/>
      <c r="G10" s="162"/>
      <c r="H10" s="162"/>
      <c r="I10" s="162"/>
      <c r="J10" s="163"/>
      <c r="K10" s="164"/>
      <c r="L10" s="147"/>
      <c r="M10" s="165">
        <v>4</v>
      </c>
      <c r="N10" s="166"/>
      <c r="O10" s="162"/>
      <c r="P10" s="163"/>
      <c r="Q10" s="163"/>
      <c r="R10" s="164"/>
      <c r="S10" s="147"/>
      <c r="T10" s="150">
        <f t="shared" si="0"/>
        <v>0</v>
      </c>
      <c r="U10" s="150">
        <f t="shared" si="2"/>
        <v>1392</v>
      </c>
      <c r="V10" s="150">
        <f t="shared" si="3"/>
        <v>58</v>
      </c>
      <c r="W10" s="123"/>
      <c r="AF10" s="60"/>
      <c r="AG10" s="60"/>
      <c r="AH10" s="60"/>
      <c r="AI10" s="60"/>
      <c r="AJ10" s="60"/>
      <c r="AK10" s="60"/>
      <c r="AL10" s="60"/>
      <c r="AM10" s="60"/>
      <c r="AN10" s="60"/>
      <c r="AO10" s="60"/>
      <c r="AP10" s="60"/>
      <c r="AQ10" s="60"/>
      <c r="AR10" s="60"/>
      <c r="AS10" s="60"/>
      <c r="AT10" s="60"/>
      <c r="AU10" s="60"/>
      <c r="AV10" s="60"/>
      <c r="AW10" s="60"/>
      <c r="AX10" s="60"/>
      <c r="AY10" s="60"/>
      <c r="AZ10" s="60"/>
      <c r="BA10" s="60"/>
      <c r="BB10" s="60"/>
    </row>
    <row r="11" spans="1:54" x14ac:dyDescent="0.25">
      <c r="A11" s="75">
        <f t="shared" si="1"/>
        <v>5</v>
      </c>
      <c r="B11" s="74" t="s">
        <v>36</v>
      </c>
      <c r="C11" s="162"/>
      <c r="D11" s="162"/>
      <c r="E11" s="162"/>
      <c r="F11" s="162"/>
      <c r="G11" s="162"/>
      <c r="H11" s="162">
        <v>22</v>
      </c>
      <c r="I11" s="162"/>
      <c r="J11" s="163"/>
      <c r="K11" s="164">
        <v>2</v>
      </c>
      <c r="L11" s="147"/>
      <c r="M11" s="165"/>
      <c r="N11" s="166"/>
      <c r="O11" s="162"/>
      <c r="P11" s="163"/>
      <c r="Q11" s="163"/>
      <c r="R11" s="164"/>
      <c r="S11" s="147"/>
      <c r="T11" s="150">
        <f t="shared" si="0"/>
        <v>24</v>
      </c>
      <c r="U11" s="150">
        <f t="shared" si="2"/>
        <v>24</v>
      </c>
      <c r="V11" s="150">
        <f t="shared" si="3"/>
        <v>1</v>
      </c>
      <c r="AF11" s="60"/>
      <c r="AG11" s="60"/>
      <c r="AH11" s="60"/>
      <c r="AI11" s="60"/>
      <c r="AJ11" s="60"/>
      <c r="AK11" s="60"/>
      <c r="AL11" s="60"/>
      <c r="AM11" s="60"/>
      <c r="AN11" s="60"/>
      <c r="AO11" s="60"/>
      <c r="AP11" s="60"/>
      <c r="AQ11" s="60"/>
      <c r="AR11" s="60"/>
      <c r="AS11" s="60"/>
      <c r="AT11" s="60"/>
      <c r="AU11" s="60"/>
      <c r="AV11" s="60"/>
      <c r="AW11" s="60"/>
      <c r="AX11" s="60"/>
      <c r="AY11" s="60"/>
      <c r="AZ11" s="60"/>
      <c r="BA11" s="60"/>
      <c r="BB11" s="60"/>
    </row>
    <row r="12" spans="1:54" s="61" customFormat="1" ht="19.5" thickBot="1" x14ac:dyDescent="0.3">
      <c r="A12" s="75">
        <v>7</v>
      </c>
      <c r="B12" s="94" t="s">
        <v>32</v>
      </c>
      <c r="C12" s="151">
        <f>72+1296+53+1440+576</f>
        <v>3437</v>
      </c>
      <c r="D12" s="151"/>
      <c r="E12" s="151"/>
      <c r="F12" s="151"/>
      <c r="G12" s="151"/>
      <c r="H12" s="151"/>
      <c r="I12" s="151"/>
      <c r="J12" s="152"/>
      <c r="K12" s="153"/>
      <c r="L12" s="154"/>
      <c r="M12" s="155">
        <v>14</v>
      </c>
      <c r="N12" s="156"/>
      <c r="O12" s="157">
        <v>8</v>
      </c>
      <c r="P12" s="158">
        <v>2</v>
      </c>
      <c r="Q12" s="158">
        <v>16</v>
      </c>
      <c r="R12" s="159">
        <v>8</v>
      </c>
      <c r="S12" s="154"/>
      <c r="T12" s="150">
        <f t="shared" si="0"/>
        <v>10</v>
      </c>
      <c r="U12" s="161">
        <f>C12*24+M12*24+O12*24+Q12*24+T12</f>
        <v>83410</v>
      </c>
      <c r="V12" s="161">
        <f>U12/24</f>
        <v>3475.4166666666665</v>
      </c>
      <c r="W12" s="57"/>
      <c r="X12" s="57"/>
      <c r="Y12" s="57"/>
      <c r="Z12" s="57"/>
      <c r="AA12" s="57"/>
      <c r="AB12" s="57"/>
      <c r="AC12" s="57"/>
      <c r="AD12" s="57"/>
      <c r="AE12" s="57"/>
      <c r="AF12" s="60"/>
      <c r="AG12" s="60"/>
      <c r="AH12" s="60"/>
      <c r="AI12" s="60"/>
      <c r="AJ12" s="60"/>
      <c r="AK12" s="60"/>
      <c r="AL12" s="60"/>
      <c r="AM12" s="60"/>
      <c r="AN12" s="60"/>
      <c r="AO12" s="60"/>
      <c r="AP12" s="60"/>
      <c r="AQ12" s="60"/>
      <c r="AR12" s="60"/>
      <c r="AS12" s="60"/>
      <c r="AT12" s="60"/>
      <c r="AU12" s="60"/>
      <c r="AV12" s="60"/>
      <c r="AW12" s="60"/>
      <c r="AX12" s="60"/>
      <c r="AY12" s="60"/>
      <c r="AZ12" s="60"/>
      <c r="BA12" s="60"/>
      <c r="BB12" s="60"/>
    </row>
    <row r="13" spans="1:54" x14ac:dyDescent="0.25">
      <c r="A13" s="75">
        <v>11</v>
      </c>
      <c r="B13" s="73" t="s">
        <v>1</v>
      </c>
      <c r="C13" s="162">
        <v>5</v>
      </c>
      <c r="D13" s="162"/>
      <c r="E13" s="162"/>
      <c r="F13" s="162"/>
      <c r="G13" s="162"/>
      <c r="H13" s="162"/>
      <c r="I13" s="162"/>
      <c r="J13" s="163"/>
      <c r="K13" s="164"/>
      <c r="L13" s="147"/>
      <c r="M13" s="165"/>
      <c r="N13" s="166"/>
      <c r="O13" s="162"/>
      <c r="P13" s="163"/>
      <c r="Q13" s="163"/>
      <c r="R13" s="164"/>
      <c r="S13" s="147"/>
      <c r="T13" s="150">
        <f t="shared" si="0"/>
        <v>0</v>
      </c>
      <c r="U13" s="168">
        <f>C13*24+M13*24+O13*24+Q13*24+T13</f>
        <v>120</v>
      </c>
      <c r="V13" s="168">
        <f>U13/24</f>
        <v>5</v>
      </c>
      <c r="AF13" s="60"/>
      <c r="AG13" s="60"/>
      <c r="AH13" s="60"/>
      <c r="AI13" s="60"/>
      <c r="AJ13" s="60"/>
      <c r="AK13" s="60"/>
      <c r="AL13" s="60"/>
      <c r="AM13" s="60"/>
      <c r="AN13" s="60"/>
      <c r="AO13" s="60"/>
      <c r="AP13" s="60"/>
      <c r="AQ13" s="60"/>
      <c r="AR13" s="60"/>
      <c r="AS13" s="60"/>
      <c r="AT13" s="60"/>
      <c r="AU13" s="60"/>
      <c r="AV13" s="60"/>
      <c r="AW13" s="60"/>
      <c r="AX13" s="60"/>
      <c r="AY13" s="60"/>
      <c r="AZ13" s="60"/>
      <c r="BA13" s="60"/>
      <c r="BB13" s="60"/>
    </row>
    <row r="14" spans="1:54" x14ac:dyDescent="0.25">
      <c r="A14" s="75">
        <f t="shared" si="1"/>
        <v>12</v>
      </c>
      <c r="B14" s="74" t="s">
        <v>2</v>
      </c>
      <c r="C14" s="162"/>
      <c r="D14" s="162"/>
      <c r="E14" s="162"/>
      <c r="F14" s="162"/>
      <c r="G14" s="162"/>
      <c r="H14" s="162"/>
      <c r="I14" s="162"/>
      <c r="J14" s="163"/>
      <c r="K14" s="164"/>
      <c r="L14" s="147"/>
      <c r="M14" s="165"/>
      <c r="N14" s="166"/>
      <c r="O14" s="162"/>
      <c r="P14" s="163"/>
      <c r="Q14" s="163"/>
      <c r="R14" s="164"/>
      <c r="S14" s="147"/>
      <c r="T14" s="150">
        <f t="shared" si="0"/>
        <v>0</v>
      </c>
      <c r="U14" s="167">
        <f t="shared" ref="U14:U36" si="4">C14*24+M14*24+O14*24+Q14*24+T14</f>
        <v>0</v>
      </c>
      <c r="V14" s="167">
        <f t="shared" ref="V14:V36" si="5">U14/24</f>
        <v>0</v>
      </c>
      <c r="AF14" s="60"/>
      <c r="AG14" s="60"/>
      <c r="AH14" s="60"/>
      <c r="AI14" s="60"/>
      <c r="AJ14" s="60"/>
      <c r="AK14" s="60"/>
      <c r="AL14" s="60"/>
      <c r="AM14" s="60"/>
      <c r="AN14" s="60"/>
      <c r="AO14" s="60"/>
      <c r="AP14" s="60"/>
      <c r="AQ14" s="60"/>
      <c r="AR14" s="60"/>
      <c r="AS14" s="60"/>
      <c r="AT14" s="60"/>
      <c r="AU14" s="60"/>
      <c r="AV14" s="60"/>
      <c r="AW14" s="60"/>
      <c r="AX14" s="60"/>
      <c r="AY14" s="60"/>
      <c r="AZ14" s="60"/>
      <c r="BA14" s="60"/>
      <c r="BB14" s="60"/>
    </row>
    <row r="15" spans="1:54" x14ac:dyDescent="0.25">
      <c r="A15" s="75">
        <f t="shared" si="1"/>
        <v>13</v>
      </c>
      <c r="B15" s="74" t="s">
        <v>3</v>
      </c>
      <c r="C15" s="162"/>
      <c r="D15" s="162"/>
      <c r="E15" s="162"/>
      <c r="F15" s="162"/>
      <c r="G15" s="162"/>
      <c r="H15" s="162"/>
      <c r="I15" s="162"/>
      <c r="J15" s="163"/>
      <c r="K15" s="164"/>
      <c r="L15" s="147"/>
      <c r="M15" s="165"/>
      <c r="N15" s="166"/>
      <c r="O15" s="162"/>
      <c r="P15" s="163"/>
      <c r="Q15" s="163"/>
      <c r="R15" s="164"/>
      <c r="S15" s="147"/>
      <c r="T15" s="150">
        <f t="shared" si="0"/>
        <v>0</v>
      </c>
      <c r="U15" s="167">
        <f t="shared" si="4"/>
        <v>0</v>
      </c>
      <c r="V15" s="167">
        <f t="shared" si="5"/>
        <v>0</v>
      </c>
      <c r="AF15" s="60"/>
      <c r="AG15" s="60"/>
      <c r="AH15" s="60"/>
      <c r="AI15" s="60"/>
      <c r="AJ15" s="60"/>
      <c r="AK15" s="60"/>
      <c r="AL15" s="60"/>
      <c r="AM15" s="60"/>
      <c r="AN15" s="60"/>
      <c r="AO15" s="60"/>
      <c r="AP15" s="60"/>
      <c r="AQ15" s="60"/>
      <c r="AR15" s="60"/>
      <c r="AS15" s="60"/>
      <c r="AT15" s="60"/>
      <c r="AU15" s="60"/>
      <c r="AV15" s="60"/>
      <c r="AW15" s="60"/>
      <c r="AX15" s="60"/>
      <c r="AY15" s="60"/>
      <c r="AZ15" s="60"/>
      <c r="BA15" s="60"/>
      <c r="BB15" s="60"/>
    </row>
    <row r="16" spans="1:54" x14ac:dyDescent="0.25">
      <c r="A16" s="75">
        <f t="shared" si="1"/>
        <v>14</v>
      </c>
      <c r="B16" s="74" t="s">
        <v>4</v>
      </c>
      <c r="C16" s="162"/>
      <c r="D16" s="162"/>
      <c r="E16" s="162"/>
      <c r="F16" s="162"/>
      <c r="G16" s="162"/>
      <c r="H16" s="162"/>
      <c r="I16" s="162"/>
      <c r="J16" s="163"/>
      <c r="K16" s="164"/>
      <c r="L16" s="147"/>
      <c r="M16" s="165"/>
      <c r="N16" s="166"/>
      <c r="O16" s="162"/>
      <c r="P16" s="163"/>
      <c r="Q16" s="163"/>
      <c r="R16" s="164"/>
      <c r="S16" s="147"/>
      <c r="T16" s="150">
        <f t="shared" si="0"/>
        <v>0</v>
      </c>
      <c r="U16" s="167">
        <f t="shared" si="4"/>
        <v>0</v>
      </c>
      <c r="V16" s="167">
        <f t="shared" si="5"/>
        <v>0</v>
      </c>
      <c r="AF16" s="60"/>
      <c r="AG16" s="60"/>
      <c r="AH16" s="60"/>
      <c r="AI16" s="60"/>
      <c r="AJ16" s="60"/>
      <c r="AK16" s="60"/>
      <c r="AL16" s="60"/>
      <c r="AM16" s="60"/>
      <c r="AN16" s="60"/>
      <c r="AO16" s="60"/>
      <c r="AP16" s="60"/>
      <c r="AQ16" s="60"/>
      <c r="AR16" s="60"/>
      <c r="AS16" s="60"/>
      <c r="AT16" s="60"/>
      <c r="AU16" s="60"/>
      <c r="AV16" s="60"/>
      <c r="AW16" s="60"/>
      <c r="AX16" s="60"/>
      <c r="AY16" s="60"/>
      <c r="AZ16" s="60"/>
      <c r="BA16" s="60"/>
      <c r="BB16" s="60"/>
    </row>
    <row r="17" spans="1:54" x14ac:dyDescent="0.25">
      <c r="A17" s="75">
        <f t="shared" si="1"/>
        <v>15</v>
      </c>
      <c r="B17" s="74" t="s">
        <v>5</v>
      </c>
      <c r="C17" s="162">
        <v>4</v>
      </c>
      <c r="D17" s="162"/>
      <c r="E17" s="162"/>
      <c r="F17" s="162"/>
      <c r="G17" s="162"/>
      <c r="H17" s="162"/>
      <c r="I17" s="162"/>
      <c r="J17" s="163"/>
      <c r="K17" s="164"/>
      <c r="L17" s="147"/>
      <c r="M17" s="165"/>
      <c r="N17" s="166"/>
      <c r="O17" s="162"/>
      <c r="P17" s="163"/>
      <c r="Q17" s="163"/>
      <c r="R17" s="164"/>
      <c r="S17" s="147"/>
      <c r="T17" s="150">
        <f t="shared" si="0"/>
        <v>0</v>
      </c>
      <c r="U17" s="167">
        <f t="shared" si="4"/>
        <v>96</v>
      </c>
      <c r="V17" s="167">
        <f t="shared" si="5"/>
        <v>4</v>
      </c>
      <c r="AF17" s="60"/>
      <c r="AG17" s="60"/>
      <c r="AH17" s="60"/>
      <c r="AI17" s="60"/>
      <c r="AJ17" s="60"/>
      <c r="AK17" s="60"/>
      <c r="AL17" s="60"/>
      <c r="AM17" s="60"/>
      <c r="AN17" s="60"/>
      <c r="AO17" s="60"/>
      <c r="AP17" s="60"/>
      <c r="AQ17" s="60"/>
      <c r="AR17" s="60"/>
      <c r="AS17" s="60"/>
      <c r="AT17" s="60"/>
      <c r="AU17" s="60"/>
      <c r="AV17" s="60"/>
      <c r="AW17" s="60"/>
      <c r="AX17" s="60"/>
      <c r="AY17" s="60"/>
      <c r="AZ17" s="60"/>
      <c r="BA17" s="60"/>
      <c r="BB17" s="60"/>
    </row>
    <row r="18" spans="1:54" hidden="1" x14ac:dyDescent="0.25">
      <c r="A18" s="75">
        <f t="shared" si="1"/>
        <v>16</v>
      </c>
      <c r="B18" s="74" t="s">
        <v>10</v>
      </c>
      <c r="C18" s="162"/>
      <c r="D18" s="162"/>
      <c r="E18" s="162"/>
      <c r="F18" s="162"/>
      <c r="G18" s="162"/>
      <c r="H18" s="162"/>
      <c r="I18" s="162"/>
      <c r="J18" s="163"/>
      <c r="K18" s="164"/>
      <c r="L18" s="147"/>
      <c r="M18" s="165"/>
      <c r="N18" s="166"/>
      <c r="O18" s="162"/>
      <c r="P18" s="163"/>
      <c r="Q18" s="163"/>
      <c r="R18" s="164"/>
      <c r="S18" s="147"/>
      <c r="T18" s="150">
        <f t="shared" si="0"/>
        <v>0</v>
      </c>
      <c r="U18" s="167">
        <f t="shared" si="4"/>
        <v>0</v>
      </c>
      <c r="V18" s="167">
        <f t="shared" si="5"/>
        <v>0</v>
      </c>
      <c r="AF18" s="60"/>
      <c r="AG18" s="60"/>
      <c r="AH18" s="60"/>
      <c r="AI18" s="60"/>
      <c r="AJ18" s="60"/>
      <c r="AK18" s="60"/>
      <c r="AL18" s="60"/>
      <c r="AM18" s="60"/>
      <c r="AN18" s="60"/>
      <c r="AO18" s="60"/>
      <c r="AP18" s="60"/>
      <c r="AQ18" s="60"/>
      <c r="AR18" s="60"/>
      <c r="AS18" s="60"/>
      <c r="AT18" s="60"/>
      <c r="AU18" s="60"/>
      <c r="AV18" s="60"/>
      <c r="AW18" s="60"/>
      <c r="AX18" s="60"/>
      <c r="AY18" s="60"/>
      <c r="AZ18" s="60"/>
      <c r="BA18" s="60"/>
      <c r="BB18" s="60"/>
    </row>
    <row r="19" spans="1:54" x14ac:dyDescent="0.25">
      <c r="A19" s="75">
        <v>16</v>
      </c>
      <c r="B19" s="74" t="s">
        <v>64</v>
      </c>
      <c r="C19" s="162">
        <v>4</v>
      </c>
      <c r="D19" s="162"/>
      <c r="E19" s="162"/>
      <c r="F19" s="162"/>
      <c r="G19" s="162"/>
      <c r="H19" s="162"/>
      <c r="I19" s="162"/>
      <c r="J19" s="163"/>
      <c r="K19" s="164"/>
      <c r="L19" s="147"/>
      <c r="M19" s="165"/>
      <c r="N19" s="166"/>
      <c r="O19" s="162"/>
      <c r="P19" s="163"/>
      <c r="Q19" s="163"/>
      <c r="R19" s="164"/>
      <c r="S19" s="147"/>
      <c r="T19" s="150">
        <f t="shared" si="0"/>
        <v>0</v>
      </c>
      <c r="U19" s="167">
        <f t="shared" si="4"/>
        <v>96</v>
      </c>
      <c r="V19" s="167">
        <f t="shared" si="5"/>
        <v>4</v>
      </c>
      <c r="AF19" s="60"/>
      <c r="AG19" s="60"/>
      <c r="AH19" s="60"/>
      <c r="AI19" s="60"/>
      <c r="AJ19" s="60"/>
      <c r="AK19" s="60"/>
      <c r="AL19" s="60"/>
      <c r="AM19" s="60"/>
      <c r="AN19" s="60"/>
      <c r="AO19" s="60"/>
      <c r="AP19" s="60"/>
      <c r="AQ19" s="60"/>
      <c r="AR19" s="60"/>
      <c r="AS19" s="60"/>
      <c r="AT19" s="60"/>
      <c r="AU19" s="60"/>
      <c r="AV19" s="60"/>
      <c r="AW19" s="60"/>
      <c r="AX19" s="60"/>
      <c r="AY19" s="60"/>
      <c r="AZ19" s="60"/>
      <c r="BA19" s="60"/>
      <c r="BB19" s="60"/>
    </row>
    <row r="20" spans="1:54" x14ac:dyDescent="0.25">
      <c r="A20" s="75">
        <f t="shared" si="1"/>
        <v>17</v>
      </c>
      <c r="B20" s="74" t="s">
        <v>6</v>
      </c>
      <c r="C20" s="162">
        <v>6</v>
      </c>
      <c r="D20" s="162"/>
      <c r="E20" s="162"/>
      <c r="F20" s="162"/>
      <c r="G20" s="162"/>
      <c r="H20" s="162"/>
      <c r="I20" s="162"/>
      <c r="J20" s="163"/>
      <c r="K20" s="164"/>
      <c r="L20" s="147"/>
      <c r="M20" s="165"/>
      <c r="N20" s="166"/>
      <c r="O20" s="162"/>
      <c r="P20" s="163"/>
      <c r="Q20" s="163"/>
      <c r="R20" s="164"/>
      <c r="S20" s="147"/>
      <c r="T20" s="150">
        <f t="shared" si="0"/>
        <v>0</v>
      </c>
      <c r="U20" s="167">
        <f t="shared" si="4"/>
        <v>144</v>
      </c>
      <c r="V20" s="167">
        <f t="shared" si="5"/>
        <v>6</v>
      </c>
      <c r="AF20" s="60"/>
      <c r="AG20" s="60"/>
      <c r="AH20" s="60"/>
      <c r="AI20" s="60"/>
      <c r="AJ20" s="60"/>
      <c r="AK20" s="60"/>
      <c r="AL20" s="60"/>
      <c r="AM20" s="60"/>
      <c r="AN20" s="60"/>
      <c r="AO20" s="60"/>
      <c r="AP20" s="60"/>
      <c r="AQ20" s="60"/>
      <c r="AR20" s="60"/>
      <c r="AS20" s="60"/>
      <c r="AT20" s="60"/>
      <c r="AU20" s="60"/>
      <c r="AV20" s="60"/>
      <c r="AW20" s="60"/>
      <c r="AX20" s="60"/>
      <c r="AY20" s="60"/>
      <c r="AZ20" s="60"/>
      <c r="BA20" s="60"/>
      <c r="BB20" s="60"/>
    </row>
    <row r="21" spans="1:54" x14ac:dyDescent="0.25">
      <c r="A21" s="75">
        <f t="shared" si="1"/>
        <v>18</v>
      </c>
      <c r="B21" s="74" t="s">
        <v>7</v>
      </c>
      <c r="C21" s="162">
        <v>4</v>
      </c>
      <c r="D21" s="162"/>
      <c r="E21" s="162"/>
      <c r="F21" s="162"/>
      <c r="G21" s="162"/>
      <c r="H21" s="162"/>
      <c r="I21" s="162"/>
      <c r="J21" s="163"/>
      <c r="K21" s="164"/>
      <c r="L21" s="147"/>
      <c r="M21" s="165"/>
      <c r="N21" s="166"/>
      <c r="O21" s="162"/>
      <c r="P21" s="163"/>
      <c r="Q21" s="163"/>
      <c r="R21" s="164"/>
      <c r="S21" s="147"/>
      <c r="T21" s="150">
        <f t="shared" si="0"/>
        <v>0</v>
      </c>
      <c r="U21" s="167">
        <f t="shared" si="4"/>
        <v>96</v>
      </c>
      <c r="V21" s="167">
        <f t="shared" si="5"/>
        <v>4</v>
      </c>
      <c r="AF21" s="60"/>
      <c r="AG21" s="60"/>
      <c r="AH21" s="60"/>
      <c r="AI21" s="60"/>
      <c r="AJ21" s="60"/>
      <c r="AK21" s="60"/>
      <c r="AL21" s="60"/>
      <c r="AM21" s="60"/>
      <c r="AN21" s="60"/>
      <c r="AO21" s="60"/>
      <c r="AP21" s="60"/>
      <c r="AQ21" s="60"/>
      <c r="AR21" s="60"/>
      <c r="AS21" s="60"/>
      <c r="AT21" s="60"/>
      <c r="AU21" s="60"/>
      <c r="AV21" s="60"/>
      <c r="AW21" s="60"/>
      <c r="AX21" s="60"/>
      <c r="AY21" s="60"/>
      <c r="AZ21" s="60"/>
      <c r="BA21" s="60"/>
      <c r="BB21" s="60"/>
    </row>
    <row r="22" spans="1:54" s="61" customFormat="1" x14ac:dyDescent="0.25">
      <c r="A22" s="75">
        <f t="shared" si="1"/>
        <v>19</v>
      </c>
      <c r="B22" s="74" t="s">
        <v>65</v>
      </c>
      <c r="C22" s="162">
        <v>2</v>
      </c>
      <c r="D22" s="162"/>
      <c r="E22" s="162"/>
      <c r="F22" s="162"/>
      <c r="G22" s="162"/>
      <c r="H22" s="162"/>
      <c r="I22" s="162"/>
      <c r="J22" s="163"/>
      <c r="K22" s="164"/>
      <c r="L22" s="147"/>
      <c r="M22" s="165"/>
      <c r="N22" s="166"/>
      <c r="O22" s="162"/>
      <c r="P22" s="163"/>
      <c r="Q22" s="163"/>
      <c r="R22" s="164"/>
      <c r="S22" s="147"/>
      <c r="T22" s="150">
        <f t="shared" si="0"/>
        <v>0</v>
      </c>
      <c r="U22" s="167">
        <f t="shared" si="4"/>
        <v>48</v>
      </c>
      <c r="V22" s="167">
        <f t="shared" si="5"/>
        <v>2</v>
      </c>
      <c r="W22" s="57"/>
      <c r="X22" s="57"/>
      <c r="Y22" s="57"/>
      <c r="Z22" s="57"/>
      <c r="AA22" s="57"/>
      <c r="AB22" s="57"/>
      <c r="AC22" s="57"/>
      <c r="AD22" s="57"/>
      <c r="AE22" s="57"/>
      <c r="AF22" s="60"/>
      <c r="AG22" s="60"/>
      <c r="AH22" s="60"/>
      <c r="AI22" s="60"/>
      <c r="AJ22" s="60"/>
      <c r="AK22" s="60"/>
      <c r="AL22" s="60"/>
      <c r="AM22" s="60"/>
      <c r="AN22" s="60"/>
      <c r="AO22" s="60"/>
      <c r="AP22" s="60"/>
      <c r="AQ22" s="60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</row>
    <row r="23" spans="1:54" s="61" customFormat="1" x14ac:dyDescent="0.25">
      <c r="A23" s="75">
        <f t="shared" si="1"/>
        <v>20</v>
      </c>
      <c r="B23" s="74" t="s">
        <v>66</v>
      </c>
      <c r="C23" s="162">
        <v>48</v>
      </c>
      <c r="D23" s="162"/>
      <c r="E23" s="162"/>
      <c r="F23" s="162"/>
      <c r="G23" s="162"/>
      <c r="H23" s="162"/>
      <c r="I23" s="162"/>
      <c r="J23" s="163"/>
      <c r="K23" s="164"/>
      <c r="L23" s="147"/>
      <c r="M23" s="165"/>
      <c r="N23" s="166"/>
      <c r="O23" s="162"/>
      <c r="P23" s="163"/>
      <c r="Q23" s="163"/>
      <c r="R23" s="164"/>
      <c r="S23" s="147"/>
      <c r="T23" s="150">
        <f t="shared" si="0"/>
        <v>0</v>
      </c>
      <c r="U23" s="167">
        <f t="shared" si="4"/>
        <v>1152</v>
      </c>
      <c r="V23" s="167">
        <f t="shared" si="5"/>
        <v>48</v>
      </c>
      <c r="W23" s="57"/>
      <c r="X23" s="57"/>
      <c r="Y23" s="57"/>
      <c r="Z23" s="57"/>
      <c r="AA23" s="57"/>
      <c r="AB23" s="57"/>
      <c r="AC23" s="57"/>
      <c r="AD23" s="57"/>
      <c r="AE23" s="57"/>
      <c r="AF23" s="60"/>
      <c r="AG23" s="60"/>
      <c r="AH23" s="60"/>
      <c r="AI23" s="60"/>
      <c r="AJ23" s="60"/>
      <c r="AK23" s="60"/>
      <c r="AL23" s="60"/>
      <c r="AM23" s="60"/>
      <c r="AN23" s="60"/>
      <c r="AO23" s="60"/>
      <c r="AP23" s="60"/>
      <c r="AQ23" s="60"/>
      <c r="AR23" s="60"/>
      <c r="AS23" s="60"/>
      <c r="AT23" s="60"/>
      <c r="AU23" s="60"/>
      <c r="AV23" s="60"/>
      <c r="AW23" s="60"/>
      <c r="AX23" s="60"/>
      <c r="AY23" s="60"/>
      <c r="AZ23" s="60"/>
      <c r="BA23" s="60"/>
      <c r="BB23" s="60"/>
    </row>
    <row r="24" spans="1:54" x14ac:dyDescent="0.25">
      <c r="A24" s="75">
        <f t="shared" si="1"/>
        <v>21</v>
      </c>
      <c r="B24" s="74" t="s">
        <v>67</v>
      </c>
      <c r="C24" s="162">
        <v>7</v>
      </c>
      <c r="D24" s="162"/>
      <c r="E24" s="162"/>
      <c r="F24" s="162"/>
      <c r="G24" s="162"/>
      <c r="H24" s="162"/>
      <c r="I24" s="162"/>
      <c r="J24" s="163"/>
      <c r="K24" s="164"/>
      <c r="L24" s="147"/>
      <c r="M24" s="165"/>
      <c r="N24" s="166"/>
      <c r="O24" s="162"/>
      <c r="P24" s="163"/>
      <c r="Q24" s="163"/>
      <c r="R24" s="164"/>
      <c r="S24" s="147"/>
      <c r="T24" s="150">
        <f t="shared" si="0"/>
        <v>0</v>
      </c>
      <c r="U24" s="167">
        <f t="shared" si="4"/>
        <v>168</v>
      </c>
      <c r="V24" s="167">
        <f t="shared" si="5"/>
        <v>7</v>
      </c>
      <c r="AF24" s="60"/>
      <c r="AG24" s="60"/>
      <c r="AH24" s="60"/>
      <c r="AI24" s="60"/>
      <c r="AJ24" s="60"/>
      <c r="AK24" s="60"/>
      <c r="AL24" s="60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</row>
    <row r="25" spans="1:54" x14ac:dyDescent="0.25">
      <c r="A25" s="75">
        <f t="shared" si="1"/>
        <v>22</v>
      </c>
      <c r="B25" s="74" t="s">
        <v>9</v>
      </c>
      <c r="C25" s="162">
        <f>63+19+1</f>
        <v>83</v>
      </c>
      <c r="D25" s="162"/>
      <c r="E25" s="162"/>
      <c r="F25" s="162"/>
      <c r="G25" s="162"/>
      <c r="H25" s="162">
        <v>10</v>
      </c>
      <c r="I25" s="162">
        <v>1</v>
      </c>
      <c r="J25" s="163"/>
      <c r="K25" s="164"/>
      <c r="L25" s="147"/>
      <c r="M25" s="165">
        <v>2</v>
      </c>
      <c r="N25" s="166">
        <v>12</v>
      </c>
      <c r="O25" s="162"/>
      <c r="P25" s="163"/>
      <c r="Q25" s="163">
        <v>2</v>
      </c>
      <c r="R25" s="164"/>
      <c r="S25" s="147"/>
      <c r="T25" s="150">
        <f t="shared" si="0"/>
        <v>23</v>
      </c>
      <c r="U25" s="167">
        <f t="shared" si="4"/>
        <v>2111</v>
      </c>
      <c r="V25" s="167">
        <f t="shared" si="5"/>
        <v>87.958333333333329</v>
      </c>
      <c r="AY25" s="62" t="e">
        <f>#REF!-AY24</f>
        <v>#REF!</v>
      </c>
    </row>
    <row r="26" spans="1:54" s="61" customFormat="1" x14ac:dyDescent="0.25">
      <c r="A26" s="75">
        <f t="shared" si="1"/>
        <v>23</v>
      </c>
      <c r="B26" s="74" t="s">
        <v>11</v>
      </c>
      <c r="C26" s="162"/>
      <c r="D26" s="162"/>
      <c r="E26" s="162"/>
      <c r="F26" s="162"/>
      <c r="G26" s="162"/>
      <c r="H26" s="162"/>
      <c r="I26" s="162"/>
      <c r="J26" s="163"/>
      <c r="K26" s="164"/>
      <c r="L26" s="147"/>
      <c r="M26" s="165"/>
      <c r="N26" s="166"/>
      <c r="O26" s="162"/>
      <c r="P26" s="163"/>
      <c r="Q26" s="163"/>
      <c r="R26" s="164"/>
      <c r="S26" s="147"/>
      <c r="T26" s="150">
        <f t="shared" si="0"/>
        <v>0</v>
      </c>
      <c r="U26" s="167">
        <f t="shared" si="4"/>
        <v>0</v>
      </c>
      <c r="V26" s="167">
        <f t="shared" si="5"/>
        <v>0</v>
      </c>
      <c r="W26" s="57"/>
      <c r="X26" s="57"/>
      <c r="Y26" s="57"/>
      <c r="Z26" s="57"/>
      <c r="AA26" s="57"/>
      <c r="AB26" s="57"/>
      <c r="AC26" s="57"/>
      <c r="AD26" s="57"/>
      <c r="AE26" s="57"/>
    </row>
    <row r="27" spans="1:54" s="61" customFormat="1" x14ac:dyDescent="0.25">
      <c r="A27" s="75">
        <f t="shared" si="1"/>
        <v>24</v>
      </c>
      <c r="B27" s="74" t="s">
        <v>83</v>
      </c>
      <c r="C27" s="162"/>
      <c r="D27" s="162"/>
      <c r="E27" s="162"/>
      <c r="F27" s="162"/>
      <c r="G27" s="162"/>
      <c r="H27" s="162"/>
      <c r="I27" s="162"/>
      <c r="J27" s="163"/>
      <c r="K27" s="164"/>
      <c r="L27" s="147"/>
      <c r="M27" s="165"/>
      <c r="N27" s="166"/>
      <c r="O27" s="162"/>
      <c r="P27" s="163"/>
      <c r="Q27" s="163"/>
      <c r="R27" s="164"/>
      <c r="S27" s="147"/>
      <c r="T27" s="150"/>
      <c r="U27" s="167"/>
      <c r="V27" s="167"/>
      <c r="W27" s="57"/>
      <c r="X27" s="57"/>
      <c r="Y27" s="57"/>
      <c r="Z27" s="57"/>
      <c r="AA27" s="57"/>
      <c r="AB27" s="57"/>
      <c r="AC27" s="57"/>
      <c r="AD27" s="57"/>
      <c r="AE27" s="57"/>
    </row>
    <row r="28" spans="1:54" s="61" customFormat="1" x14ac:dyDescent="0.25">
      <c r="A28" s="75">
        <f t="shared" si="1"/>
        <v>25</v>
      </c>
      <c r="B28" s="74" t="s">
        <v>12</v>
      </c>
      <c r="C28" s="162">
        <v>28</v>
      </c>
      <c r="D28" s="162"/>
      <c r="E28" s="162"/>
      <c r="F28" s="162"/>
      <c r="G28" s="162"/>
      <c r="H28" s="162"/>
      <c r="I28" s="162"/>
      <c r="J28" s="163"/>
      <c r="K28" s="164"/>
      <c r="L28" s="147"/>
      <c r="M28" s="165">
        <v>2</v>
      </c>
      <c r="N28" s="166"/>
      <c r="O28" s="162">
        <v>1</v>
      </c>
      <c r="P28" s="163"/>
      <c r="Q28" s="163">
        <v>2</v>
      </c>
      <c r="R28" s="164"/>
      <c r="S28" s="147"/>
      <c r="T28" s="150">
        <f t="shared" si="0"/>
        <v>0</v>
      </c>
      <c r="U28" s="167">
        <f t="shared" si="4"/>
        <v>792</v>
      </c>
      <c r="V28" s="167">
        <f t="shared" si="5"/>
        <v>33</v>
      </c>
      <c r="W28" s="57"/>
      <c r="X28" s="57"/>
      <c r="Y28" s="57"/>
      <c r="Z28" s="57"/>
      <c r="AA28" s="57"/>
      <c r="AB28" s="57"/>
      <c r="AC28" s="57"/>
      <c r="AD28" s="57"/>
      <c r="AE28" s="57"/>
    </row>
    <row r="29" spans="1:54" x14ac:dyDescent="0.25">
      <c r="A29" s="75">
        <f t="shared" si="1"/>
        <v>26</v>
      </c>
      <c r="B29" s="74" t="s">
        <v>14</v>
      </c>
      <c r="C29" s="162"/>
      <c r="D29" s="162"/>
      <c r="E29" s="162"/>
      <c r="F29" s="162"/>
      <c r="G29" s="162"/>
      <c r="H29" s="162"/>
      <c r="I29" s="162"/>
      <c r="J29" s="163"/>
      <c r="K29" s="164"/>
      <c r="L29" s="147"/>
      <c r="M29" s="165"/>
      <c r="N29" s="166"/>
      <c r="O29" s="162"/>
      <c r="P29" s="163"/>
      <c r="Q29" s="163"/>
      <c r="R29" s="164"/>
      <c r="S29" s="147"/>
      <c r="T29" s="150">
        <f t="shared" si="0"/>
        <v>0</v>
      </c>
      <c r="U29" s="167">
        <f t="shared" si="4"/>
        <v>0</v>
      </c>
      <c r="V29" s="167">
        <f t="shared" si="5"/>
        <v>0</v>
      </c>
    </row>
    <row r="30" spans="1:54" x14ac:dyDescent="0.25">
      <c r="A30" s="75">
        <f t="shared" si="1"/>
        <v>27</v>
      </c>
      <c r="B30" s="74" t="s">
        <v>16</v>
      </c>
      <c r="C30" s="162">
        <v>62</v>
      </c>
      <c r="D30" s="162"/>
      <c r="E30" s="162"/>
      <c r="F30" s="162"/>
      <c r="G30" s="162"/>
      <c r="H30" s="162"/>
      <c r="I30" s="162"/>
      <c r="J30" s="163"/>
      <c r="K30" s="164"/>
      <c r="L30" s="147"/>
      <c r="M30" s="165"/>
      <c r="N30" s="166"/>
      <c r="O30" s="162"/>
      <c r="P30" s="163"/>
      <c r="Q30" s="163">
        <v>1</v>
      </c>
      <c r="R30" s="164"/>
      <c r="S30" s="147"/>
      <c r="T30" s="150">
        <f t="shared" si="0"/>
        <v>0</v>
      </c>
      <c r="U30" s="167">
        <f t="shared" si="4"/>
        <v>1512</v>
      </c>
      <c r="V30" s="167">
        <f t="shared" si="5"/>
        <v>63</v>
      </c>
    </row>
    <row r="31" spans="1:54" x14ac:dyDescent="0.25">
      <c r="A31" s="75">
        <f t="shared" si="1"/>
        <v>28</v>
      </c>
      <c r="B31" s="74" t="s">
        <v>13</v>
      </c>
      <c r="C31" s="162"/>
      <c r="D31" s="162"/>
      <c r="E31" s="162"/>
      <c r="F31" s="162"/>
      <c r="G31" s="162"/>
      <c r="H31" s="162"/>
      <c r="I31" s="162"/>
      <c r="J31" s="163"/>
      <c r="K31" s="164"/>
      <c r="L31" s="147"/>
      <c r="M31" s="165"/>
      <c r="N31" s="166"/>
      <c r="O31" s="162"/>
      <c r="P31" s="163"/>
      <c r="Q31" s="163"/>
      <c r="R31" s="164"/>
      <c r="S31" s="147"/>
      <c r="T31" s="150">
        <f t="shared" si="0"/>
        <v>0</v>
      </c>
      <c r="U31" s="167">
        <f t="shared" si="4"/>
        <v>0</v>
      </c>
      <c r="V31" s="167">
        <f t="shared" si="5"/>
        <v>0</v>
      </c>
    </row>
    <row r="32" spans="1:54" x14ac:dyDescent="0.25">
      <c r="A32" s="75">
        <f t="shared" si="1"/>
        <v>29</v>
      </c>
      <c r="B32" s="74" t="s">
        <v>15</v>
      </c>
      <c r="C32" s="162"/>
      <c r="D32" s="162"/>
      <c r="E32" s="162"/>
      <c r="F32" s="162"/>
      <c r="G32" s="162"/>
      <c r="H32" s="162"/>
      <c r="I32" s="162"/>
      <c r="J32" s="163"/>
      <c r="K32" s="164"/>
      <c r="L32" s="147"/>
      <c r="M32" s="165"/>
      <c r="N32" s="166"/>
      <c r="O32" s="162"/>
      <c r="P32" s="163"/>
      <c r="Q32" s="163"/>
      <c r="R32" s="164"/>
      <c r="S32" s="147"/>
      <c r="T32" s="150">
        <f t="shared" si="0"/>
        <v>0</v>
      </c>
      <c r="U32" s="167">
        <f t="shared" si="4"/>
        <v>0</v>
      </c>
      <c r="V32" s="167">
        <f t="shared" si="5"/>
        <v>0</v>
      </c>
    </row>
    <row r="33" spans="1:23" x14ac:dyDescent="0.25">
      <c r="A33" s="75">
        <f t="shared" si="1"/>
        <v>30</v>
      </c>
      <c r="B33" s="74" t="s">
        <v>17</v>
      </c>
      <c r="C33" s="162"/>
      <c r="D33" s="162"/>
      <c r="E33" s="162"/>
      <c r="F33" s="162"/>
      <c r="G33" s="162"/>
      <c r="H33" s="162"/>
      <c r="I33" s="162"/>
      <c r="J33" s="163"/>
      <c r="K33" s="164"/>
      <c r="L33" s="147"/>
      <c r="M33" s="165"/>
      <c r="N33" s="166"/>
      <c r="O33" s="162"/>
      <c r="P33" s="163"/>
      <c r="Q33" s="163"/>
      <c r="R33" s="164"/>
      <c r="S33" s="147"/>
      <c r="T33" s="150">
        <f t="shared" si="0"/>
        <v>0</v>
      </c>
      <c r="U33" s="167">
        <f t="shared" si="4"/>
        <v>0</v>
      </c>
      <c r="V33" s="167">
        <f t="shared" si="5"/>
        <v>0</v>
      </c>
    </row>
    <row r="34" spans="1:23" x14ac:dyDescent="0.25">
      <c r="A34" s="75">
        <f t="shared" si="1"/>
        <v>31</v>
      </c>
      <c r="B34" s="74" t="s">
        <v>18</v>
      </c>
      <c r="C34" s="162">
        <f>72+19+6</f>
        <v>97</v>
      </c>
      <c r="D34" s="162"/>
      <c r="E34" s="162"/>
      <c r="F34" s="162"/>
      <c r="G34" s="162"/>
      <c r="H34" s="162">
        <v>4</v>
      </c>
      <c r="I34" s="162"/>
      <c r="J34" s="163"/>
      <c r="K34" s="164">
        <v>1</v>
      </c>
      <c r="L34" s="147"/>
      <c r="M34" s="165">
        <v>2</v>
      </c>
      <c r="N34" s="166">
        <v>12</v>
      </c>
      <c r="O34" s="162">
        <v>2</v>
      </c>
      <c r="P34" s="163"/>
      <c r="Q34" s="163">
        <v>3</v>
      </c>
      <c r="R34" s="164"/>
      <c r="S34" s="147"/>
      <c r="T34" s="150">
        <f t="shared" si="0"/>
        <v>17</v>
      </c>
      <c r="U34" s="167">
        <f t="shared" si="4"/>
        <v>2513</v>
      </c>
      <c r="V34" s="167">
        <f t="shared" si="5"/>
        <v>104.70833333333333</v>
      </c>
    </row>
    <row r="35" spans="1:23" hidden="1" x14ac:dyDescent="0.25">
      <c r="A35" s="75">
        <f t="shared" si="1"/>
        <v>32</v>
      </c>
      <c r="B35" s="74" t="s">
        <v>26</v>
      </c>
      <c r="C35" s="162"/>
      <c r="D35" s="162"/>
      <c r="E35" s="162"/>
      <c r="F35" s="162"/>
      <c r="G35" s="162"/>
      <c r="H35" s="162"/>
      <c r="I35" s="162"/>
      <c r="J35" s="163"/>
      <c r="K35" s="164"/>
      <c r="L35" s="147"/>
      <c r="M35" s="165"/>
      <c r="N35" s="166"/>
      <c r="O35" s="162"/>
      <c r="P35" s="163"/>
      <c r="Q35" s="163"/>
      <c r="R35" s="164"/>
      <c r="S35" s="147"/>
      <c r="T35" s="150">
        <f t="shared" si="0"/>
        <v>0</v>
      </c>
      <c r="U35" s="167">
        <f t="shared" si="4"/>
        <v>0</v>
      </c>
      <c r="V35" s="167">
        <f t="shared" si="5"/>
        <v>0</v>
      </c>
    </row>
    <row r="36" spans="1:23" x14ac:dyDescent="0.25">
      <c r="A36" s="75">
        <f t="shared" si="1"/>
        <v>33</v>
      </c>
      <c r="B36" s="74" t="s">
        <v>19</v>
      </c>
      <c r="C36" s="162"/>
      <c r="D36" s="162"/>
      <c r="E36" s="162"/>
      <c r="F36" s="162"/>
      <c r="G36" s="162"/>
      <c r="H36" s="162"/>
      <c r="I36" s="162"/>
      <c r="J36" s="163"/>
      <c r="K36" s="164"/>
      <c r="L36" s="147"/>
      <c r="M36" s="165"/>
      <c r="N36" s="166"/>
      <c r="O36" s="162"/>
      <c r="P36" s="163"/>
      <c r="Q36" s="163"/>
      <c r="R36" s="164"/>
      <c r="S36" s="147"/>
      <c r="T36" s="150">
        <f t="shared" si="0"/>
        <v>0</v>
      </c>
      <c r="U36" s="167">
        <f t="shared" si="4"/>
        <v>0</v>
      </c>
      <c r="V36" s="167">
        <f t="shared" si="5"/>
        <v>0</v>
      </c>
    </row>
    <row r="37" spans="1:23" ht="19.5" thickBot="1" x14ac:dyDescent="0.3">
      <c r="A37" s="75">
        <f t="shared" si="1"/>
        <v>34</v>
      </c>
      <c r="B37" s="94" t="s">
        <v>20</v>
      </c>
      <c r="C37" s="151">
        <f>2376+1512+80</f>
        <v>3968</v>
      </c>
      <c r="D37" s="151"/>
      <c r="E37" s="151"/>
      <c r="F37" s="151"/>
      <c r="G37" s="151"/>
      <c r="H37" s="151">
        <v>2</v>
      </c>
      <c r="I37" s="151"/>
      <c r="J37" s="152">
        <v>4</v>
      </c>
      <c r="K37" s="153">
        <v>2</v>
      </c>
      <c r="L37" s="154"/>
      <c r="M37" s="155">
        <v>30</v>
      </c>
      <c r="N37" s="156"/>
      <c r="O37" s="157">
        <v>37</v>
      </c>
      <c r="P37" s="158"/>
      <c r="Q37" s="158">
        <v>121</v>
      </c>
      <c r="R37" s="159"/>
      <c r="S37" s="154"/>
      <c r="T37" s="169">
        <f t="shared" si="0"/>
        <v>8</v>
      </c>
      <c r="U37" s="169">
        <f>C37*6+M37*6+O37*6+Q37*6+T37</f>
        <v>24944</v>
      </c>
      <c r="V37" s="169">
        <f>U37/6</f>
        <v>4157.333333333333</v>
      </c>
      <c r="W37" s="123"/>
    </row>
    <row r="38" spans="1:23" x14ac:dyDescent="0.25">
      <c r="A38" s="75">
        <f t="shared" si="1"/>
        <v>35</v>
      </c>
      <c r="B38" s="73" t="s">
        <v>21</v>
      </c>
      <c r="C38" s="162">
        <v>3</v>
      </c>
      <c r="D38" s="162"/>
      <c r="E38" s="162"/>
      <c r="F38" s="162"/>
      <c r="G38" s="162"/>
      <c r="H38" s="162"/>
      <c r="I38" s="162"/>
      <c r="J38" s="163"/>
      <c r="K38" s="164"/>
      <c r="L38" s="147"/>
      <c r="M38" s="165"/>
      <c r="N38" s="166"/>
      <c r="O38" s="162">
        <v>1</v>
      </c>
      <c r="P38" s="163"/>
      <c r="Q38" s="163"/>
      <c r="R38" s="164"/>
      <c r="S38" s="147"/>
      <c r="T38" s="167">
        <f t="shared" si="0"/>
        <v>0</v>
      </c>
      <c r="U38" s="167">
        <f>C38*24+M38*24+O38*24+Q38*24+T38</f>
        <v>96</v>
      </c>
      <c r="V38" s="167">
        <f>U38/24</f>
        <v>4</v>
      </c>
    </row>
    <row r="39" spans="1:23" x14ac:dyDescent="0.25">
      <c r="A39" s="75">
        <f t="shared" si="1"/>
        <v>36</v>
      </c>
      <c r="B39" s="132" t="s">
        <v>73</v>
      </c>
      <c r="C39" s="170"/>
      <c r="D39" s="170"/>
      <c r="E39" s="170"/>
      <c r="F39" s="170"/>
      <c r="G39" s="170"/>
      <c r="H39" s="170"/>
      <c r="I39" s="170"/>
      <c r="J39" s="171"/>
      <c r="K39" s="172"/>
      <c r="L39" s="147"/>
      <c r="M39" s="173"/>
      <c r="N39" s="174"/>
      <c r="O39" s="170"/>
      <c r="P39" s="171"/>
      <c r="Q39" s="171"/>
      <c r="R39" s="172"/>
      <c r="S39" s="147"/>
      <c r="T39" s="175"/>
      <c r="U39" s="175"/>
      <c r="V39" s="175"/>
    </row>
    <row r="40" spans="1:23" ht="19.5" thickBot="1" x14ac:dyDescent="0.3">
      <c r="A40" s="75">
        <f t="shared" si="1"/>
        <v>37</v>
      </c>
      <c r="B40" s="94" t="s">
        <v>22</v>
      </c>
      <c r="C40" s="151">
        <f>693+1</f>
        <v>694</v>
      </c>
      <c r="D40" s="151"/>
      <c r="E40" s="151"/>
      <c r="F40" s="151"/>
      <c r="G40" s="151"/>
      <c r="H40" s="151">
        <v>9</v>
      </c>
      <c r="I40" s="151"/>
      <c r="J40" s="152"/>
      <c r="K40" s="153">
        <v>15</v>
      </c>
      <c r="L40" s="154"/>
      <c r="M40" s="155"/>
      <c r="N40" s="156"/>
      <c r="O40" s="157">
        <v>1</v>
      </c>
      <c r="P40" s="158"/>
      <c r="Q40" s="158"/>
      <c r="R40" s="159"/>
      <c r="S40" s="154"/>
      <c r="T40" s="169">
        <f t="shared" si="0"/>
        <v>24</v>
      </c>
      <c r="U40" s="169">
        <f>C40*24+M40*24+O40*24+Q40*24+T40</f>
        <v>16704</v>
      </c>
      <c r="V40" s="169">
        <f>U40/24</f>
        <v>696</v>
      </c>
    </row>
    <row r="41" spans="1:23" ht="19.5" thickBot="1" x14ac:dyDescent="0.3">
      <c r="A41" s="75">
        <f t="shared" si="1"/>
        <v>38</v>
      </c>
      <c r="B41" s="99" t="s">
        <v>23</v>
      </c>
      <c r="C41" s="176">
        <f>1536+76</f>
        <v>1612</v>
      </c>
      <c r="D41" s="176"/>
      <c r="E41" s="176"/>
      <c r="F41" s="176"/>
      <c r="G41" s="176"/>
      <c r="H41" s="176"/>
      <c r="I41" s="176"/>
      <c r="J41" s="177"/>
      <c r="K41" s="178"/>
      <c r="L41" s="179"/>
      <c r="M41" s="180">
        <v>4</v>
      </c>
      <c r="N41" s="181"/>
      <c r="O41" s="176">
        <v>8</v>
      </c>
      <c r="P41" s="177"/>
      <c r="Q41" s="177">
        <v>15</v>
      </c>
      <c r="R41" s="178"/>
      <c r="S41" s="179"/>
      <c r="T41" s="182">
        <f t="shared" si="0"/>
        <v>0</v>
      </c>
      <c r="U41" s="182">
        <f>C41*12+M41*12+O41*12+Q41*12+T41</f>
        <v>19668</v>
      </c>
      <c r="V41" s="182">
        <f>U41/12</f>
        <v>1639</v>
      </c>
    </row>
    <row r="42" spans="1:23" hidden="1" x14ac:dyDescent="0.25">
      <c r="A42" s="75">
        <f t="shared" si="1"/>
        <v>39</v>
      </c>
      <c r="B42" s="73" t="s">
        <v>31</v>
      </c>
      <c r="C42" s="162"/>
      <c r="D42" s="162"/>
      <c r="E42" s="162"/>
      <c r="F42" s="162"/>
      <c r="G42" s="162"/>
      <c r="H42" s="162"/>
      <c r="I42" s="162"/>
      <c r="J42" s="163"/>
      <c r="K42" s="164"/>
      <c r="L42" s="147"/>
      <c r="M42" s="165"/>
      <c r="N42" s="166"/>
      <c r="O42" s="162"/>
      <c r="P42" s="163"/>
      <c r="Q42" s="163"/>
      <c r="R42" s="164"/>
      <c r="S42" s="147"/>
      <c r="T42" s="167"/>
      <c r="U42" s="167"/>
      <c r="V42" s="167"/>
    </row>
    <row r="43" spans="1:23" ht="19.5" thickBot="1" x14ac:dyDescent="0.3">
      <c r="A43" s="75">
        <f t="shared" si="1"/>
        <v>40</v>
      </c>
      <c r="B43" s="94" t="s">
        <v>24</v>
      </c>
      <c r="C43" s="157">
        <f>6048+3780+6372+5400+7128</f>
        <v>28728</v>
      </c>
      <c r="D43" s="157"/>
      <c r="E43" s="157"/>
      <c r="F43" s="157"/>
      <c r="G43" s="157"/>
      <c r="H43" s="157">
        <v>2</v>
      </c>
      <c r="I43" s="157">
        <v>6</v>
      </c>
      <c r="J43" s="158">
        <f>13*6+2</f>
        <v>80</v>
      </c>
      <c r="K43" s="159">
        <f>75*6+4</f>
        <v>454</v>
      </c>
      <c r="L43" s="154"/>
      <c r="M43" s="155">
        <v>325</v>
      </c>
      <c r="N43" s="156"/>
      <c r="O43" s="157">
        <v>218</v>
      </c>
      <c r="P43" s="158"/>
      <c r="Q43" s="158">
        <v>350</v>
      </c>
      <c r="R43" s="159"/>
      <c r="S43" s="154"/>
      <c r="T43" s="169">
        <f t="shared" ref="T43" si="6">H43+I43+J43+K43+N43+P43+R43</f>
        <v>542</v>
      </c>
      <c r="U43" s="169">
        <f>C43*6+M43*6+O43*6+Q43*6+T43</f>
        <v>178268</v>
      </c>
      <c r="V43" s="169">
        <f>U43/6</f>
        <v>29711.333333333332</v>
      </c>
    </row>
    <row r="44" spans="1:23" hidden="1" x14ac:dyDescent="0.25">
      <c r="A44" s="75">
        <f t="shared" si="1"/>
        <v>41</v>
      </c>
      <c r="B44" s="73" t="s">
        <v>33</v>
      </c>
      <c r="C44" s="162"/>
      <c r="D44" s="162"/>
      <c r="E44" s="162"/>
      <c r="F44" s="162"/>
      <c r="G44" s="162"/>
      <c r="H44" s="162"/>
      <c r="I44" s="162"/>
      <c r="J44" s="163"/>
      <c r="K44" s="164"/>
      <c r="L44" s="147"/>
      <c r="M44" s="165"/>
      <c r="N44" s="166"/>
      <c r="O44" s="162"/>
      <c r="P44" s="163"/>
      <c r="Q44" s="163"/>
      <c r="R44" s="164"/>
      <c r="S44" s="147"/>
      <c r="T44" s="167"/>
      <c r="U44" s="167"/>
      <c r="V44" s="167"/>
    </row>
    <row r="45" spans="1:23" x14ac:dyDescent="0.25">
      <c r="A45" s="75">
        <f t="shared" si="1"/>
        <v>42</v>
      </c>
      <c r="B45" s="74" t="s">
        <v>25</v>
      </c>
      <c r="C45" s="162"/>
      <c r="D45" s="162"/>
      <c r="E45" s="162"/>
      <c r="F45" s="162"/>
      <c r="G45" s="162"/>
      <c r="H45" s="162"/>
      <c r="I45" s="162"/>
      <c r="J45" s="163"/>
      <c r="K45" s="164"/>
      <c r="L45" s="147"/>
      <c r="M45" s="165"/>
      <c r="N45" s="166"/>
      <c r="O45" s="162"/>
      <c r="P45" s="163"/>
      <c r="Q45" s="163"/>
      <c r="R45" s="164"/>
      <c r="S45" s="147"/>
      <c r="T45" s="167">
        <f t="shared" ref="T45:T54" si="7">H45+I45+J45+K45+N45+P45+R45</f>
        <v>0</v>
      </c>
      <c r="U45" s="167">
        <f>C45*24+M45*24+O45*24+Q45*24+T45</f>
        <v>0</v>
      </c>
      <c r="V45" s="167">
        <f>U45/24</f>
        <v>0</v>
      </c>
    </row>
    <row r="46" spans="1:23" x14ac:dyDescent="0.25">
      <c r="A46" s="75">
        <f t="shared" si="1"/>
        <v>43</v>
      </c>
      <c r="B46" s="74" t="s">
        <v>68</v>
      </c>
      <c r="C46" s="162"/>
      <c r="D46" s="162"/>
      <c r="E46" s="162"/>
      <c r="F46" s="162"/>
      <c r="G46" s="162"/>
      <c r="H46" s="162"/>
      <c r="I46" s="162"/>
      <c r="J46" s="163"/>
      <c r="K46" s="164"/>
      <c r="L46" s="147"/>
      <c r="M46" s="165"/>
      <c r="N46" s="166"/>
      <c r="O46" s="162"/>
      <c r="P46" s="163"/>
      <c r="Q46" s="163"/>
      <c r="R46" s="164"/>
      <c r="S46" s="147"/>
      <c r="T46" s="167">
        <f t="shared" si="7"/>
        <v>0</v>
      </c>
      <c r="U46" s="167">
        <f t="shared" ref="U46:U50" si="8">C46*24+M46*24+O46*24+Q46*24+T46</f>
        <v>0</v>
      </c>
      <c r="V46" s="167">
        <f t="shared" ref="V46:V54" si="9">U46/24</f>
        <v>0</v>
      </c>
    </row>
    <row r="47" spans="1:23" x14ac:dyDescent="0.25">
      <c r="A47" s="75">
        <f t="shared" si="1"/>
        <v>44</v>
      </c>
      <c r="B47" s="74" t="s">
        <v>26</v>
      </c>
      <c r="C47" s="162">
        <f>24+2268+44</f>
        <v>2336</v>
      </c>
      <c r="D47" s="162"/>
      <c r="E47" s="162"/>
      <c r="F47" s="162"/>
      <c r="G47" s="162"/>
      <c r="H47" s="162"/>
      <c r="I47" s="162"/>
      <c r="J47" s="163"/>
      <c r="K47" s="164">
        <v>6</v>
      </c>
      <c r="L47" s="147"/>
      <c r="M47" s="165">
        <v>10</v>
      </c>
      <c r="N47" s="166"/>
      <c r="O47" s="162">
        <v>5</v>
      </c>
      <c r="P47" s="163">
        <v>5</v>
      </c>
      <c r="Q47" s="163">
        <v>10</v>
      </c>
      <c r="R47" s="164"/>
      <c r="S47" s="147"/>
      <c r="T47" s="167">
        <f t="shared" si="7"/>
        <v>11</v>
      </c>
      <c r="U47" s="167">
        <f>C47*6+M47*6+O47*6+Q47*6+T47</f>
        <v>14177</v>
      </c>
      <c r="V47" s="167">
        <f>U47/6</f>
        <v>2362.8333333333335</v>
      </c>
    </row>
    <row r="48" spans="1:23" x14ac:dyDescent="0.25">
      <c r="A48" s="75">
        <f t="shared" si="1"/>
        <v>45</v>
      </c>
      <c r="B48" s="74" t="s">
        <v>69</v>
      </c>
      <c r="C48" s="162"/>
      <c r="D48" s="162"/>
      <c r="E48" s="162"/>
      <c r="F48" s="162"/>
      <c r="G48" s="162"/>
      <c r="H48" s="162"/>
      <c r="I48" s="162"/>
      <c r="J48" s="163"/>
      <c r="K48" s="164"/>
      <c r="L48" s="147"/>
      <c r="M48" s="165"/>
      <c r="N48" s="166"/>
      <c r="O48" s="162"/>
      <c r="P48" s="163"/>
      <c r="Q48" s="163"/>
      <c r="R48" s="164"/>
      <c r="S48" s="147"/>
      <c r="T48" s="167">
        <f t="shared" si="7"/>
        <v>0</v>
      </c>
      <c r="U48" s="167">
        <f t="shared" si="8"/>
        <v>0</v>
      </c>
      <c r="V48" s="167">
        <f t="shared" si="9"/>
        <v>0</v>
      </c>
    </row>
    <row r="49" spans="1:22" x14ac:dyDescent="0.25">
      <c r="A49" s="75">
        <f t="shared" si="1"/>
        <v>46</v>
      </c>
      <c r="B49" s="74" t="s">
        <v>28</v>
      </c>
      <c r="C49" s="162"/>
      <c r="D49" s="162"/>
      <c r="E49" s="162"/>
      <c r="F49" s="162"/>
      <c r="G49" s="162"/>
      <c r="H49" s="162"/>
      <c r="I49" s="162"/>
      <c r="J49" s="163"/>
      <c r="K49" s="164"/>
      <c r="L49" s="147"/>
      <c r="M49" s="165"/>
      <c r="N49" s="166"/>
      <c r="O49" s="162"/>
      <c r="P49" s="163"/>
      <c r="Q49" s="163"/>
      <c r="R49" s="164"/>
      <c r="S49" s="147"/>
      <c r="T49" s="167">
        <f t="shared" si="7"/>
        <v>0</v>
      </c>
      <c r="U49" s="167">
        <f t="shared" si="8"/>
        <v>0</v>
      </c>
      <c r="V49" s="167">
        <f t="shared" si="9"/>
        <v>0</v>
      </c>
    </row>
    <row r="50" spans="1:22" x14ac:dyDescent="0.25">
      <c r="A50" s="75">
        <f t="shared" si="1"/>
        <v>47</v>
      </c>
      <c r="B50" s="74" t="s">
        <v>70</v>
      </c>
      <c r="C50" s="162"/>
      <c r="D50" s="162"/>
      <c r="E50" s="162"/>
      <c r="F50" s="162"/>
      <c r="G50" s="162"/>
      <c r="H50" s="162"/>
      <c r="I50" s="162"/>
      <c r="J50" s="163"/>
      <c r="K50" s="164"/>
      <c r="L50" s="147"/>
      <c r="M50" s="165"/>
      <c r="N50" s="166"/>
      <c r="O50" s="162"/>
      <c r="P50" s="163"/>
      <c r="Q50" s="163"/>
      <c r="R50" s="164"/>
      <c r="S50" s="147"/>
      <c r="T50" s="167">
        <f t="shared" si="7"/>
        <v>0</v>
      </c>
      <c r="U50" s="167">
        <f t="shared" si="8"/>
        <v>0</v>
      </c>
      <c r="V50" s="167">
        <f t="shared" si="9"/>
        <v>0</v>
      </c>
    </row>
    <row r="51" spans="1:22" x14ac:dyDescent="0.25">
      <c r="A51" s="75">
        <f t="shared" si="1"/>
        <v>48</v>
      </c>
      <c r="B51" s="74" t="s">
        <v>29</v>
      </c>
      <c r="C51" s="162">
        <v>34</v>
      </c>
      <c r="D51" s="162"/>
      <c r="E51" s="162"/>
      <c r="F51" s="162"/>
      <c r="G51" s="162"/>
      <c r="H51" s="162"/>
      <c r="I51" s="162"/>
      <c r="J51" s="163"/>
      <c r="K51" s="164"/>
      <c r="L51" s="147"/>
      <c r="M51" s="165"/>
      <c r="N51" s="166"/>
      <c r="O51" s="162"/>
      <c r="P51" s="163"/>
      <c r="Q51" s="163"/>
      <c r="R51" s="164"/>
      <c r="S51" s="147"/>
      <c r="T51" s="167">
        <f t="shared" si="7"/>
        <v>0</v>
      </c>
      <c r="U51" s="167">
        <f>C51*6+M51*6+O51*6+Q51*6+T51</f>
        <v>204</v>
      </c>
      <c r="V51" s="167">
        <f>U51/6</f>
        <v>34</v>
      </c>
    </row>
    <row r="52" spans="1:22" x14ac:dyDescent="0.25">
      <c r="A52" s="75">
        <f t="shared" si="1"/>
        <v>49</v>
      </c>
      <c r="B52" s="74" t="s">
        <v>30</v>
      </c>
      <c r="C52" s="162"/>
      <c r="D52" s="162"/>
      <c r="E52" s="162"/>
      <c r="F52" s="162"/>
      <c r="G52" s="162"/>
      <c r="H52" s="162"/>
      <c r="I52" s="162"/>
      <c r="J52" s="163"/>
      <c r="K52" s="164"/>
      <c r="L52" s="147"/>
      <c r="M52" s="165"/>
      <c r="N52" s="166"/>
      <c r="O52" s="162"/>
      <c r="P52" s="163"/>
      <c r="Q52" s="163"/>
      <c r="R52" s="164"/>
      <c r="S52" s="147"/>
      <c r="T52" s="167">
        <f t="shared" si="7"/>
        <v>0</v>
      </c>
      <c r="U52" s="167">
        <f t="shared" ref="U52:U54" si="10">C52*24+M52*24+O52*24+Q52*24+T52</f>
        <v>0</v>
      </c>
      <c r="V52" s="167">
        <f t="shared" si="9"/>
        <v>0</v>
      </c>
    </row>
    <row r="53" spans="1:22" x14ac:dyDescent="0.25">
      <c r="A53" s="75">
        <f t="shared" si="1"/>
        <v>50</v>
      </c>
      <c r="B53" s="74" t="s">
        <v>75</v>
      </c>
      <c r="C53" s="162">
        <v>2</v>
      </c>
      <c r="D53" s="162"/>
      <c r="E53" s="162"/>
      <c r="F53" s="162"/>
      <c r="G53" s="162"/>
      <c r="H53" s="162"/>
      <c r="I53" s="162"/>
      <c r="J53" s="163"/>
      <c r="K53" s="164"/>
      <c r="L53" s="147"/>
      <c r="M53" s="165"/>
      <c r="N53" s="166"/>
      <c r="O53" s="162"/>
      <c r="P53" s="163"/>
      <c r="Q53" s="163"/>
      <c r="R53" s="164"/>
      <c r="S53" s="147"/>
      <c r="T53" s="167">
        <f t="shared" si="7"/>
        <v>0</v>
      </c>
      <c r="U53" s="167">
        <f t="shared" si="10"/>
        <v>48</v>
      </c>
      <c r="V53" s="167">
        <f t="shared" si="9"/>
        <v>2</v>
      </c>
    </row>
    <row r="54" spans="1:22" x14ac:dyDescent="0.25">
      <c r="A54" s="75">
        <f t="shared" si="1"/>
        <v>51</v>
      </c>
      <c r="B54" s="74"/>
      <c r="C54" s="162"/>
      <c r="D54" s="162"/>
      <c r="E54" s="162"/>
      <c r="F54" s="162"/>
      <c r="G54" s="162"/>
      <c r="H54" s="162"/>
      <c r="I54" s="162"/>
      <c r="J54" s="163"/>
      <c r="K54" s="164"/>
      <c r="L54" s="147"/>
      <c r="M54" s="165"/>
      <c r="N54" s="166"/>
      <c r="O54" s="162"/>
      <c r="P54" s="163"/>
      <c r="Q54" s="163"/>
      <c r="R54" s="164"/>
      <c r="S54" s="147"/>
      <c r="T54" s="167">
        <f t="shared" si="7"/>
        <v>0</v>
      </c>
      <c r="U54" s="167">
        <f t="shared" si="10"/>
        <v>0</v>
      </c>
      <c r="V54" s="167">
        <f t="shared" si="9"/>
        <v>0</v>
      </c>
    </row>
    <row r="55" spans="1:22" x14ac:dyDescent="0.25">
      <c r="A55" s="75">
        <f t="shared" si="1"/>
        <v>52</v>
      </c>
      <c r="B55" s="74"/>
      <c r="C55" s="162"/>
      <c r="D55" s="162"/>
      <c r="E55" s="162"/>
      <c r="F55" s="162"/>
      <c r="G55" s="162"/>
      <c r="H55" s="162"/>
      <c r="I55" s="162"/>
      <c r="J55" s="163"/>
      <c r="K55" s="164"/>
      <c r="L55" s="147"/>
      <c r="M55" s="165"/>
      <c r="N55" s="166"/>
      <c r="O55" s="162"/>
      <c r="P55" s="163"/>
      <c r="Q55" s="163"/>
      <c r="R55" s="164"/>
      <c r="S55" s="147"/>
      <c r="T55" s="167"/>
      <c r="U55" s="167"/>
      <c r="V55" s="167"/>
    </row>
    <row r="56" spans="1:22" x14ac:dyDescent="0.25">
      <c r="A56" s="75">
        <f t="shared" si="1"/>
        <v>53</v>
      </c>
      <c r="B56" s="74"/>
      <c r="C56" s="162"/>
      <c r="D56" s="162"/>
      <c r="E56" s="162"/>
      <c r="F56" s="162"/>
      <c r="G56" s="162"/>
      <c r="H56" s="162"/>
      <c r="I56" s="162"/>
      <c r="J56" s="163"/>
      <c r="K56" s="164"/>
      <c r="L56" s="147"/>
      <c r="M56" s="165"/>
      <c r="N56" s="166"/>
      <c r="O56" s="162"/>
      <c r="P56" s="163"/>
      <c r="Q56" s="163"/>
      <c r="R56" s="164"/>
      <c r="S56" s="147"/>
      <c r="T56" s="167"/>
      <c r="U56" s="167"/>
      <c r="V56" s="167"/>
    </row>
    <row r="57" spans="1:22" x14ac:dyDescent="0.25">
      <c r="A57" s="75">
        <f t="shared" si="1"/>
        <v>54</v>
      </c>
      <c r="B57" s="74"/>
      <c r="C57" s="162"/>
      <c r="D57" s="162"/>
      <c r="E57" s="162"/>
      <c r="F57" s="162"/>
      <c r="G57" s="162"/>
      <c r="H57" s="162"/>
      <c r="I57" s="162"/>
      <c r="J57" s="163"/>
      <c r="K57" s="164"/>
      <c r="L57" s="147"/>
      <c r="M57" s="165"/>
      <c r="N57" s="166"/>
      <c r="O57" s="162"/>
      <c r="P57" s="163"/>
      <c r="Q57" s="163"/>
      <c r="R57" s="164"/>
      <c r="S57" s="147"/>
      <c r="T57" s="167"/>
      <c r="U57" s="167"/>
      <c r="V57" s="167"/>
    </row>
    <row r="58" spans="1:22" s="63" customFormat="1" ht="19.5" thickBot="1" x14ac:dyDescent="0.3">
      <c r="B58" s="77" t="s">
        <v>60</v>
      </c>
      <c r="C58" s="49">
        <f>SUM(C7:C57)</f>
        <v>41336</v>
      </c>
      <c r="D58" s="49"/>
      <c r="E58" s="49"/>
      <c r="F58" s="49">
        <f t="shared" ref="F58:K58" si="11">SUM(F7:F57)</f>
        <v>0</v>
      </c>
      <c r="G58" s="49">
        <f t="shared" si="11"/>
        <v>0</v>
      </c>
      <c r="H58" s="49">
        <f t="shared" si="11"/>
        <v>54</v>
      </c>
      <c r="I58" s="54">
        <f t="shared" si="11"/>
        <v>8</v>
      </c>
      <c r="J58" s="54">
        <f t="shared" si="11"/>
        <v>84</v>
      </c>
      <c r="K58" s="54">
        <f t="shared" si="11"/>
        <v>486</v>
      </c>
      <c r="M58" s="53">
        <f t="shared" ref="M58:R58" si="12">SUM(M7:M57)</f>
        <v>396</v>
      </c>
      <c r="N58" s="53">
        <f t="shared" si="12"/>
        <v>36</v>
      </c>
      <c r="O58" s="53">
        <f t="shared" si="12"/>
        <v>284</v>
      </c>
      <c r="P58" s="53">
        <f t="shared" si="12"/>
        <v>7</v>
      </c>
      <c r="Q58" s="53">
        <f t="shared" si="12"/>
        <v>522</v>
      </c>
      <c r="R58" s="53">
        <f t="shared" si="12"/>
        <v>8</v>
      </c>
      <c r="S58" s="147"/>
      <c r="T58" s="51">
        <f>SUM(T7:T57)</f>
        <v>683</v>
      </c>
      <c r="U58" s="51">
        <f>SUM(U7:U57)</f>
        <v>350831</v>
      </c>
      <c r="V58" s="51">
        <f>SUM(V7:V57)</f>
        <v>42636.583333333336</v>
      </c>
    </row>
    <row r="59" spans="1:22" ht="7.5" customHeight="1" thickBot="1" x14ac:dyDescent="0.3"/>
    <row r="60" spans="1:22" ht="19.5" thickBot="1" x14ac:dyDescent="0.3">
      <c r="B60" s="78" t="s">
        <v>39</v>
      </c>
      <c r="C60" s="191" t="s">
        <v>49</v>
      </c>
      <c r="D60" s="192"/>
      <c r="E60" s="192"/>
      <c r="F60" s="192"/>
      <c r="G60" s="192"/>
      <c r="H60" s="192"/>
      <c r="I60" s="192"/>
      <c r="J60" s="192"/>
      <c r="K60" s="193"/>
      <c r="U60" s="72" t="s">
        <v>62</v>
      </c>
    </row>
    <row r="61" spans="1:22" x14ac:dyDescent="0.25">
      <c r="B61" s="79" t="s">
        <v>18</v>
      </c>
      <c r="C61" s="67"/>
      <c r="D61" s="67"/>
      <c r="E61" s="67"/>
      <c r="F61" s="67"/>
      <c r="G61" s="67"/>
      <c r="H61" s="67"/>
      <c r="I61" s="67"/>
      <c r="J61" s="114"/>
      <c r="K61" s="68"/>
      <c r="U61" s="55"/>
    </row>
    <row r="62" spans="1:22" x14ac:dyDescent="0.25">
      <c r="B62" s="80" t="s">
        <v>55</v>
      </c>
      <c r="C62" s="48"/>
      <c r="D62" s="48"/>
      <c r="E62" s="48"/>
      <c r="F62" s="48"/>
      <c r="G62" s="48"/>
      <c r="H62" s="48"/>
      <c r="I62" s="48"/>
      <c r="J62" s="109"/>
      <c r="K62" s="69"/>
      <c r="U62" s="50"/>
    </row>
    <row r="63" spans="1:22" ht="19.5" thickBot="1" x14ac:dyDescent="0.3">
      <c r="B63" s="81" t="s">
        <v>54</v>
      </c>
      <c r="C63" s="70"/>
      <c r="D63" s="70"/>
      <c r="E63" s="70"/>
      <c r="F63" s="70"/>
      <c r="G63" s="70"/>
      <c r="H63" s="70"/>
      <c r="I63" s="70"/>
      <c r="J63" s="115"/>
      <c r="K63" s="71"/>
      <c r="U63" s="56"/>
    </row>
    <row r="64" spans="1:22" ht="7.5" customHeight="1" thickBot="1" x14ac:dyDescent="0.3"/>
    <row r="65" spans="2:21" x14ac:dyDescent="0.25">
      <c r="B65" s="79" t="s">
        <v>56</v>
      </c>
      <c r="C65" s="67"/>
      <c r="D65" s="67"/>
      <c r="E65" s="67"/>
      <c r="F65" s="67"/>
      <c r="G65" s="67"/>
      <c r="H65" s="67"/>
      <c r="I65" s="67"/>
      <c r="J65" s="114"/>
      <c r="K65" s="68"/>
      <c r="U65" s="55"/>
    </row>
    <row r="66" spans="2:21" x14ac:dyDescent="0.25">
      <c r="B66" s="80" t="s">
        <v>55</v>
      </c>
      <c r="C66" s="48"/>
      <c r="D66" s="48"/>
      <c r="E66" s="48"/>
      <c r="F66" s="48"/>
      <c r="G66" s="48"/>
      <c r="H66" s="48"/>
      <c r="I66" s="48"/>
      <c r="J66" s="109"/>
      <c r="K66" s="69"/>
      <c r="U66" s="50"/>
    </row>
    <row r="67" spans="2:21" ht="19.5" thickBot="1" x14ac:dyDescent="0.3">
      <c r="B67" s="81" t="s">
        <v>54</v>
      </c>
      <c r="C67" s="70"/>
      <c r="D67" s="70"/>
      <c r="E67" s="70"/>
      <c r="F67" s="70"/>
      <c r="G67" s="70"/>
      <c r="H67" s="70"/>
      <c r="I67" s="70"/>
      <c r="J67" s="115"/>
      <c r="K67" s="71"/>
      <c r="U67" s="56"/>
    </row>
    <row r="68" spans="2:21" ht="7.5" customHeight="1" thickBot="1" x14ac:dyDescent="0.3"/>
    <row r="69" spans="2:21" x14ac:dyDescent="0.25">
      <c r="B69" s="79" t="s">
        <v>41</v>
      </c>
      <c r="C69" s="67"/>
      <c r="D69" s="67"/>
      <c r="E69" s="67"/>
      <c r="F69" s="67"/>
      <c r="G69" s="67"/>
      <c r="H69" s="67"/>
      <c r="I69" s="67"/>
      <c r="J69" s="114"/>
      <c r="K69" s="68"/>
      <c r="U69" s="55"/>
    </row>
    <row r="70" spans="2:21" x14ac:dyDescent="0.25">
      <c r="B70" s="80" t="s">
        <v>55</v>
      </c>
      <c r="C70" s="48"/>
      <c r="D70" s="48"/>
      <c r="E70" s="48"/>
      <c r="F70" s="48"/>
      <c r="G70" s="48"/>
      <c r="H70" s="48"/>
      <c r="I70" s="48"/>
      <c r="J70" s="109"/>
      <c r="K70" s="69"/>
      <c r="U70" s="50"/>
    </row>
    <row r="71" spans="2:21" ht="19.5" thickBot="1" x14ac:dyDescent="0.3">
      <c r="B71" s="81" t="s">
        <v>54</v>
      </c>
      <c r="C71" s="70"/>
      <c r="D71" s="70"/>
      <c r="E71" s="70"/>
      <c r="F71" s="70"/>
      <c r="G71" s="70"/>
      <c r="H71" s="70"/>
      <c r="I71" s="70"/>
      <c r="J71" s="115"/>
      <c r="K71" s="71"/>
      <c r="U71" s="56"/>
    </row>
    <row r="72" spans="2:21" ht="7.5" customHeight="1" thickBot="1" x14ac:dyDescent="0.3"/>
    <row r="73" spans="2:21" x14ac:dyDescent="0.25">
      <c r="B73" s="79" t="s">
        <v>57</v>
      </c>
      <c r="C73" s="67"/>
      <c r="D73" s="67"/>
      <c r="E73" s="67"/>
      <c r="F73" s="67"/>
      <c r="G73" s="67"/>
      <c r="H73" s="67"/>
      <c r="I73" s="67"/>
      <c r="J73" s="114"/>
      <c r="K73" s="68"/>
      <c r="U73" s="55"/>
    </row>
    <row r="74" spans="2:21" x14ac:dyDescent="0.25">
      <c r="B74" s="80" t="s">
        <v>55</v>
      </c>
      <c r="C74" s="48"/>
      <c r="D74" s="48"/>
      <c r="E74" s="48"/>
      <c r="F74" s="48"/>
      <c r="G74" s="48"/>
      <c r="H74" s="48"/>
      <c r="I74" s="48"/>
      <c r="J74" s="109"/>
      <c r="K74" s="69"/>
      <c r="U74" s="50"/>
    </row>
    <row r="75" spans="2:21" ht="19.5" thickBot="1" x14ac:dyDescent="0.3">
      <c r="B75" s="81" t="s">
        <v>54</v>
      </c>
      <c r="C75" s="70"/>
      <c r="D75" s="70"/>
      <c r="E75" s="70"/>
      <c r="F75" s="70"/>
      <c r="G75" s="70"/>
      <c r="H75" s="70"/>
      <c r="I75" s="70"/>
      <c r="J75" s="115"/>
      <c r="K75" s="71"/>
      <c r="U75" s="56"/>
    </row>
    <row r="76" spans="2:21" ht="7.5" customHeight="1" thickBot="1" x14ac:dyDescent="0.3"/>
    <row r="77" spans="2:21" x14ac:dyDescent="0.25">
      <c r="B77" s="79" t="s">
        <v>58</v>
      </c>
      <c r="C77" s="67"/>
      <c r="D77" s="67"/>
      <c r="E77" s="67"/>
      <c r="F77" s="67"/>
      <c r="G77" s="67"/>
      <c r="H77" s="67"/>
      <c r="I77" s="67"/>
      <c r="J77" s="114"/>
      <c r="K77" s="68"/>
      <c r="U77" s="55"/>
    </row>
    <row r="78" spans="2:21" x14ac:dyDescent="0.25">
      <c r="B78" s="80" t="s">
        <v>55</v>
      </c>
      <c r="C78" s="48"/>
      <c r="D78" s="48"/>
      <c r="E78" s="48"/>
      <c r="F78" s="48"/>
      <c r="G78" s="48"/>
      <c r="H78" s="48"/>
      <c r="I78" s="48"/>
      <c r="J78" s="109"/>
      <c r="K78" s="69"/>
      <c r="U78" s="50"/>
    </row>
    <row r="79" spans="2:21" ht="19.5" thickBot="1" x14ac:dyDescent="0.3">
      <c r="B79" s="81" t="s">
        <v>54</v>
      </c>
      <c r="C79" s="70"/>
      <c r="D79" s="70"/>
      <c r="E79" s="70"/>
      <c r="F79" s="70"/>
      <c r="G79" s="70"/>
      <c r="H79" s="70"/>
      <c r="I79" s="70"/>
      <c r="J79" s="115"/>
      <c r="K79" s="71"/>
      <c r="U79" s="56"/>
    </row>
    <row r="80" spans="2:21" ht="7.5" customHeight="1" thickBot="1" x14ac:dyDescent="0.3"/>
    <row r="81" spans="2:21" ht="19.5" thickBot="1" x14ac:dyDescent="0.3">
      <c r="B81" s="78" t="s">
        <v>59</v>
      </c>
      <c r="C81" s="65"/>
      <c r="D81" s="65"/>
      <c r="E81" s="65"/>
      <c r="F81" s="65"/>
      <c r="G81" s="65"/>
      <c r="H81" s="65"/>
      <c r="I81" s="65"/>
      <c r="J81" s="116"/>
      <c r="K81" s="66"/>
      <c r="U81" s="64"/>
    </row>
  </sheetData>
  <mergeCells count="7">
    <mergeCell ref="V4:V5"/>
    <mergeCell ref="J5:K5"/>
    <mergeCell ref="C60:K60"/>
    <mergeCell ref="I1:U1"/>
    <mergeCell ref="C4:K4"/>
    <mergeCell ref="T4:T5"/>
    <mergeCell ref="U4:U5"/>
  </mergeCells>
  <printOptions horizontalCentered="1" verticalCentered="1"/>
  <pageMargins left="0.19685039370078741" right="0.19685039370078741" top="0.19685039370078741" bottom="0.19685039370078741" header="0.19685039370078741" footer="0.19685039370078741"/>
  <pageSetup paperSize="14" scale="70" orientation="portrait" horizontalDpi="360" verticalDpi="360" r:id="rId1"/>
  <colBreaks count="1" manualBreakCount="1">
    <brk id="24" max="80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5F771-BE68-4A3A-A924-82C895121F0F}">
  <sheetPr>
    <pageSetUpPr fitToPage="1"/>
  </sheetPr>
  <dimension ref="A1:BB81"/>
  <sheetViews>
    <sheetView zoomScale="115" zoomScaleNormal="115" zoomScaleSheetLayoutView="115" workbookViewId="0">
      <selection activeCell="B2" sqref="B2"/>
    </sheetView>
  </sheetViews>
  <sheetFormatPr defaultColWidth="9.140625" defaultRowHeight="18.75" x14ac:dyDescent="0.25"/>
  <cols>
    <col min="1" max="1" width="4.140625" style="57" bestFit="1" customWidth="1"/>
    <col min="2" max="2" width="12.28515625" style="76" customWidth="1"/>
    <col min="3" max="6" width="10" style="57" customWidth="1"/>
    <col min="7" max="7" width="6.85546875" style="57" customWidth="1"/>
    <col min="8" max="8" width="6.7109375" style="57" customWidth="1"/>
    <col min="9" max="9" width="6.7109375" style="57" bestFit="1" customWidth="1"/>
    <col min="10" max="10" width="6.85546875" style="57" customWidth="1"/>
    <col min="11" max="11" width="6.7109375" style="57" bestFit="1" customWidth="1"/>
    <col min="12" max="12" width="1.42578125" style="57" customWidth="1"/>
    <col min="13" max="13" width="10" style="57" customWidth="1"/>
    <col min="14" max="14" width="6.7109375" style="57" bestFit="1" customWidth="1"/>
    <col min="15" max="15" width="10" style="57" customWidth="1"/>
    <col min="16" max="16" width="5.5703125" style="57" customWidth="1"/>
    <col min="17" max="17" width="10" style="57" customWidth="1"/>
    <col min="18" max="18" width="6.7109375" style="57" bestFit="1" customWidth="1"/>
    <col min="19" max="19" width="1.42578125" style="57" customWidth="1"/>
    <col min="20" max="20" width="12.7109375" style="57" bestFit="1" customWidth="1"/>
    <col min="21" max="21" width="14.28515625" style="57" customWidth="1"/>
    <col min="22" max="22" width="19.5703125" style="57" bestFit="1" customWidth="1"/>
    <col min="23" max="49" width="7.28515625" style="57" customWidth="1"/>
    <col min="50" max="50" width="1.5703125" style="57" customWidth="1"/>
    <col min="51" max="51" width="9.42578125" style="57" customWidth="1"/>
    <col min="52" max="52" width="1.28515625" style="57" customWidth="1"/>
    <col min="53" max="53" width="12.7109375" style="57" bestFit="1" customWidth="1"/>
    <col min="54" max="54" width="10.28515625" style="57" bestFit="1" customWidth="1"/>
    <col min="55" max="16384" width="9.140625" style="57"/>
  </cols>
  <sheetData>
    <row r="1" spans="1:54" ht="15" customHeight="1" x14ac:dyDescent="0.25">
      <c r="B1" s="75" t="s">
        <v>51</v>
      </c>
      <c r="I1" s="194" t="s">
        <v>53</v>
      </c>
      <c r="J1" s="194"/>
      <c r="K1" s="194"/>
      <c r="L1" s="194"/>
      <c r="M1" s="194"/>
      <c r="N1" s="194"/>
      <c r="O1" s="194"/>
      <c r="P1" s="194"/>
      <c r="Q1" s="194"/>
      <c r="R1" s="194"/>
      <c r="S1" s="194"/>
      <c r="T1" s="194"/>
      <c r="U1" s="194"/>
    </row>
    <row r="2" spans="1:54" x14ac:dyDescent="0.25">
      <c r="B2" s="76" t="s">
        <v>98</v>
      </c>
    </row>
    <row r="3" spans="1:54" ht="19.5" thickBot="1" x14ac:dyDescent="0.3"/>
    <row r="4" spans="1:54" s="58" customFormat="1" ht="15.75" x14ac:dyDescent="0.25">
      <c r="B4" s="93" t="s">
        <v>63</v>
      </c>
      <c r="C4" s="189" t="s">
        <v>49</v>
      </c>
      <c r="D4" s="189"/>
      <c r="E4" s="189"/>
      <c r="F4" s="189"/>
      <c r="G4" s="189"/>
      <c r="H4" s="189"/>
      <c r="I4" s="189"/>
      <c r="J4" s="199"/>
      <c r="K4" s="190"/>
      <c r="M4" s="82" t="s">
        <v>0</v>
      </c>
      <c r="N4" s="117" t="s">
        <v>72</v>
      </c>
      <c r="O4" s="84" t="s">
        <v>45</v>
      </c>
      <c r="P4" s="117" t="s">
        <v>72</v>
      </c>
      <c r="Q4" s="85" t="s">
        <v>46</v>
      </c>
      <c r="R4" s="117" t="s">
        <v>72</v>
      </c>
      <c r="S4" s="57"/>
      <c r="T4" s="200" t="s">
        <v>80</v>
      </c>
      <c r="U4" s="202" t="s">
        <v>79</v>
      </c>
      <c r="V4" s="195" t="s">
        <v>78</v>
      </c>
      <c r="AF4" s="59"/>
      <c r="AG4" s="59"/>
      <c r="AH4" s="59"/>
      <c r="AI4" s="59"/>
      <c r="AJ4" s="59"/>
      <c r="AK4" s="59"/>
      <c r="AL4" s="59"/>
      <c r="AM4" s="59"/>
      <c r="AN4" s="59"/>
      <c r="AO4" s="59"/>
      <c r="AP4" s="59"/>
      <c r="AQ4" s="59"/>
      <c r="AR4" s="59"/>
      <c r="AS4" s="59"/>
      <c r="AT4" s="59"/>
      <c r="AU4" s="59"/>
      <c r="AV4" s="59"/>
      <c r="AW4" s="59"/>
      <c r="AX4" s="59"/>
      <c r="AY4" s="59"/>
      <c r="AZ4" s="59"/>
      <c r="BA4" s="59"/>
      <c r="BB4" s="59"/>
    </row>
    <row r="5" spans="1:54" s="58" customFormat="1" ht="15.75" x14ac:dyDescent="0.25">
      <c r="B5" s="87"/>
      <c r="C5" s="92"/>
      <c r="D5" s="92"/>
      <c r="E5" s="92"/>
      <c r="F5" s="92"/>
      <c r="G5" s="92"/>
      <c r="H5" s="92" t="s">
        <v>76</v>
      </c>
      <c r="I5" s="92" t="s">
        <v>71</v>
      </c>
      <c r="J5" s="197" t="s">
        <v>77</v>
      </c>
      <c r="K5" s="198"/>
      <c r="M5" s="87"/>
      <c r="N5" s="118"/>
      <c r="O5" s="92"/>
      <c r="P5" s="142"/>
      <c r="Q5" s="142"/>
      <c r="R5" s="89"/>
      <c r="S5" s="57"/>
      <c r="T5" s="201"/>
      <c r="U5" s="203"/>
      <c r="V5" s="196"/>
      <c r="AF5" s="59"/>
      <c r="AG5" s="59"/>
      <c r="AH5" s="59"/>
      <c r="AI5" s="59"/>
      <c r="AJ5" s="59"/>
      <c r="AK5" s="59"/>
      <c r="AL5" s="59"/>
      <c r="AM5" s="59"/>
      <c r="AN5" s="59"/>
      <c r="AO5" s="59"/>
      <c r="AP5" s="59"/>
      <c r="AQ5" s="59"/>
      <c r="AR5" s="59"/>
      <c r="AS5" s="59"/>
      <c r="AT5" s="59"/>
      <c r="AU5" s="59"/>
      <c r="AV5" s="59"/>
      <c r="AW5" s="59"/>
      <c r="AX5" s="59"/>
      <c r="AY5" s="59"/>
      <c r="AZ5" s="59"/>
      <c r="BA5" s="59"/>
      <c r="BB5" s="59"/>
    </row>
    <row r="6" spans="1:54" s="58" customFormat="1" ht="15.75" x14ac:dyDescent="0.25">
      <c r="B6" s="87"/>
      <c r="C6" s="92"/>
      <c r="D6" s="92"/>
      <c r="E6" s="92"/>
      <c r="F6" s="92"/>
      <c r="G6" s="92"/>
      <c r="H6" s="92"/>
      <c r="I6" s="92"/>
      <c r="J6" s="142"/>
      <c r="K6" s="89"/>
      <c r="M6" s="87"/>
      <c r="N6" s="118"/>
      <c r="O6" s="92"/>
      <c r="P6" s="142"/>
      <c r="Q6" s="142"/>
      <c r="R6" s="89"/>
      <c r="S6" s="57"/>
      <c r="T6" s="90"/>
      <c r="U6" s="90"/>
      <c r="V6" s="90"/>
      <c r="AF6" s="59"/>
      <c r="AG6" s="59"/>
      <c r="AH6" s="59"/>
      <c r="AI6" s="59"/>
      <c r="AJ6" s="59"/>
      <c r="AK6" s="59"/>
      <c r="AL6" s="59"/>
      <c r="AM6" s="59"/>
      <c r="AN6" s="59"/>
      <c r="AO6" s="59"/>
      <c r="AP6" s="59"/>
      <c r="AQ6" s="59"/>
      <c r="AR6" s="59"/>
      <c r="AS6" s="59"/>
      <c r="AT6" s="59"/>
      <c r="AU6" s="59"/>
      <c r="AV6" s="59"/>
      <c r="AW6" s="59"/>
      <c r="AX6" s="59"/>
      <c r="AY6" s="59"/>
      <c r="AZ6" s="59"/>
      <c r="BA6" s="59"/>
      <c r="BB6" s="59"/>
    </row>
    <row r="7" spans="1:54" x14ac:dyDescent="0.25">
      <c r="A7" s="75">
        <v>1</v>
      </c>
      <c r="B7" s="74" t="s">
        <v>34</v>
      </c>
      <c r="C7" s="144"/>
      <c r="D7" s="144"/>
      <c r="E7" s="144"/>
      <c r="F7" s="144"/>
      <c r="G7" s="144"/>
      <c r="H7" s="144"/>
      <c r="I7" s="144"/>
      <c r="J7" s="145"/>
      <c r="K7" s="146"/>
      <c r="L7" s="147"/>
      <c r="M7" s="148"/>
      <c r="N7" s="149"/>
      <c r="O7" s="144"/>
      <c r="P7" s="145"/>
      <c r="Q7" s="145"/>
      <c r="R7" s="146"/>
      <c r="S7" s="147"/>
      <c r="T7" s="150">
        <f>H7+I7+J7+K7+N7+P7+R7</f>
        <v>0</v>
      </c>
      <c r="U7" s="150">
        <f>C7*24+M7*24+O7*24+Q7*24+T7</f>
        <v>0</v>
      </c>
      <c r="V7" s="150">
        <f>U7/24</f>
        <v>0</v>
      </c>
      <c r="W7" s="123"/>
      <c r="AF7" s="60"/>
      <c r="AG7" s="60"/>
      <c r="AH7" s="60"/>
      <c r="AI7" s="60"/>
      <c r="AJ7" s="60"/>
      <c r="AK7" s="60"/>
      <c r="AL7" s="60"/>
      <c r="AM7" s="60"/>
      <c r="AN7" s="60"/>
      <c r="AO7" s="60"/>
      <c r="AP7" s="60"/>
      <c r="AQ7" s="60"/>
      <c r="AR7" s="60"/>
      <c r="AS7" s="60"/>
      <c r="AT7" s="60"/>
      <c r="AU7" s="60"/>
      <c r="AV7" s="60"/>
      <c r="AW7" s="60"/>
      <c r="AX7" s="60"/>
      <c r="AY7" s="60"/>
      <c r="AZ7" s="60"/>
      <c r="BA7" s="60"/>
      <c r="BB7" s="60"/>
    </row>
    <row r="8" spans="1:54" ht="19.5" thickBot="1" x14ac:dyDescent="0.3">
      <c r="A8" s="75">
        <f>A7+1</f>
        <v>2</v>
      </c>
      <c r="B8" s="94" t="s">
        <v>37</v>
      </c>
      <c r="C8" s="151"/>
      <c r="D8" s="151"/>
      <c r="E8" s="151"/>
      <c r="F8" s="151"/>
      <c r="G8" s="151"/>
      <c r="H8" s="151"/>
      <c r="I8" s="151"/>
      <c r="J8" s="152"/>
      <c r="K8" s="153"/>
      <c r="L8" s="154"/>
      <c r="M8" s="155"/>
      <c r="N8" s="156"/>
      <c r="O8" s="157"/>
      <c r="P8" s="158"/>
      <c r="Q8" s="158"/>
      <c r="R8" s="159"/>
      <c r="S8" s="154"/>
      <c r="T8" s="160">
        <f t="shared" ref="T8:T41" si="0">H8+I8+J8+K8+N8+P8+R8</f>
        <v>0</v>
      </c>
      <c r="U8" s="161">
        <f>C8*24+M8*24+O8*24+Q8*24+T8</f>
        <v>0</v>
      </c>
      <c r="V8" s="161">
        <f>U8/24</f>
        <v>0</v>
      </c>
      <c r="W8" s="123"/>
      <c r="AF8" s="60"/>
      <c r="AG8" s="60"/>
      <c r="AH8" s="60"/>
      <c r="AI8" s="60"/>
      <c r="AJ8" s="60"/>
      <c r="AK8" s="60"/>
      <c r="AL8" s="60"/>
      <c r="AM8" s="60"/>
      <c r="AN8" s="60"/>
      <c r="AO8" s="60"/>
      <c r="AP8" s="60"/>
      <c r="AQ8" s="60"/>
      <c r="AR8" s="60"/>
      <c r="AS8" s="60"/>
      <c r="AT8" s="60"/>
      <c r="AU8" s="60"/>
      <c r="AV8" s="60"/>
      <c r="AW8" s="60"/>
      <c r="AX8" s="60"/>
      <c r="AY8" s="60"/>
      <c r="AZ8" s="60"/>
      <c r="BA8" s="60"/>
      <c r="BB8" s="60"/>
    </row>
    <row r="9" spans="1:54" x14ac:dyDescent="0.25">
      <c r="A9" s="75">
        <f t="shared" ref="A9:A57" si="1">A8+1</f>
        <v>3</v>
      </c>
      <c r="B9" s="73" t="s">
        <v>35</v>
      </c>
      <c r="C9" s="162"/>
      <c r="D9" s="162"/>
      <c r="E9" s="162"/>
      <c r="F9" s="162"/>
      <c r="G9" s="162"/>
      <c r="H9" s="162"/>
      <c r="I9" s="162"/>
      <c r="J9" s="163"/>
      <c r="K9" s="164"/>
      <c r="L9" s="147"/>
      <c r="M9" s="165"/>
      <c r="N9" s="166"/>
      <c r="O9" s="162"/>
      <c r="P9" s="163"/>
      <c r="Q9" s="163"/>
      <c r="R9" s="164"/>
      <c r="S9" s="147"/>
      <c r="T9" s="167">
        <f t="shared" si="0"/>
        <v>0</v>
      </c>
      <c r="U9" s="168">
        <f t="shared" ref="U9:U11" si="2">C9*24+M9*24+O9*24+Q9*24+T9</f>
        <v>0</v>
      </c>
      <c r="V9" s="168">
        <f t="shared" ref="V9:V11" si="3">U9/24</f>
        <v>0</v>
      </c>
      <c r="W9" s="123"/>
      <c r="AF9" s="60"/>
      <c r="AG9" s="60"/>
      <c r="AH9" s="60"/>
      <c r="AI9" s="60"/>
      <c r="AJ9" s="60"/>
      <c r="AK9" s="60"/>
      <c r="AL9" s="60"/>
      <c r="AM9" s="60"/>
      <c r="AN9" s="60"/>
      <c r="AO9" s="60"/>
      <c r="AP9" s="60"/>
      <c r="AQ9" s="60"/>
      <c r="AR9" s="60"/>
      <c r="AS9" s="60"/>
      <c r="AT9" s="60"/>
      <c r="AU9" s="60"/>
      <c r="AV9" s="60"/>
      <c r="AW9" s="60"/>
      <c r="AX9" s="60"/>
      <c r="AY9" s="60"/>
      <c r="AZ9" s="60"/>
      <c r="BA9" s="60"/>
      <c r="BB9" s="60"/>
    </row>
    <row r="10" spans="1:54" x14ac:dyDescent="0.25">
      <c r="A10" s="75">
        <f t="shared" si="1"/>
        <v>4</v>
      </c>
      <c r="B10" s="74" t="s">
        <v>38</v>
      </c>
      <c r="C10" s="162"/>
      <c r="D10" s="162"/>
      <c r="E10" s="162"/>
      <c r="F10" s="162"/>
      <c r="G10" s="162"/>
      <c r="H10" s="162"/>
      <c r="I10" s="162"/>
      <c r="J10" s="163"/>
      <c r="K10" s="164"/>
      <c r="L10" s="147"/>
      <c r="M10" s="165"/>
      <c r="N10" s="166"/>
      <c r="O10" s="162"/>
      <c r="P10" s="163"/>
      <c r="Q10" s="163"/>
      <c r="R10" s="164"/>
      <c r="S10" s="147"/>
      <c r="T10" s="150">
        <f t="shared" si="0"/>
        <v>0</v>
      </c>
      <c r="U10" s="150">
        <f t="shared" si="2"/>
        <v>0</v>
      </c>
      <c r="V10" s="150">
        <f t="shared" si="3"/>
        <v>0</v>
      </c>
      <c r="W10" s="123"/>
      <c r="AF10" s="60"/>
      <c r="AG10" s="60"/>
      <c r="AH10" s="60"/>
      <c r="AI10" s="60"/>
      <c r="AJ10" s="60"/>
      <c r="AK10" s="60"/>
      <c r="AL10" s="60"/>
      <c r="AM10" s="60"/>
      <c r="AN10" s="60"/>
      <c r="AO10" s="60"/>
      <c r="AP10" s="60"/>
      <c r="AQ10" s="60"/>
      <c r="AR10" s="60"/>
      <c r="AS10" s="60"/>
      <c r="AT10" s="60"/>
      <c r="AU10" s="60"/>
      <c r="AV10" s="60"/>
      <c r="AW10" s="60"/>
      <c r="AX10" s="60"/>
      <c r="AY10" s="60"/>
      <c r="AZ10" s="60"/>
      <c r="BA10" s="60"/>
      <c r="BB10" s="60"/>
    </row>
    <row r="11" spans="1:54" x14ac:dyDescent="0.25">
      <c r="A11" s="75">
        <f t="shared" si="1"/>
        <v>5</v>
      </c>
      <c r="B11" s="74" t="s">
        <v>36</v>
      </c>
      <c r="C11" s="162"/>
      <c r="D11" s="162"/>
      <c r="E11" s="162"/>
      <c r="F11" s="162"/>
      <c r="G11" s="162"/>
      <c r="H11" s="162"/>
      <c r="I11" s="162"/>
      <c r="J11" s="163"/>
      <c r="K11" s="164"/>
      <c r="L11" s="147"/>
      <c r="M11" s="165"/>
      <c r="N11" s="166"/>
      <c r="O11" s="162"/>
      <c r="P11" s="163"/>
      <c r="Q11" s="163"/>
      <c r="R11" s="164"/>
      <c r="S11" s="147"/>
      <c r="T11" s="150">
        <f t="shared" si="0"/>
        <v>0</v>
      </c>
      <c r="U11" s="150">
        <f t="shared" si="2"/>
        <v>0</v>
      </c>
      <c r="V11" s="150">
        <f t="shared" si="3"/>
        <v>0</v>
      </c>
      <c r="AF11" s="60"/>
      <c r="AG11" s="60"/>
      <c r="AH11" s="60"/>
      <c r="AI11" s="60"/>
      <c r="AJ11" s="60"/>
      <c r="AK11" s="60"/>
      <c r="AL11" s="60"/>
      <c r="AM11" s="60"/>
      <c r="AN11" s="60"/>
      <c r="AO11" s="60"/>
      <c r="AP11" s="60"/>
      <c r="AQ11" s="60"/>
      <c r="AR11" s="60"/>
      <c r="AS11" s="60"/>
      <c r="AT11" s="60"/>
      <c r="AU11" s="60"/>
      <c r="AV11" s="60"/>
      <c r="AW11" s="60"/>
      <c r="AX11" s="60"/>
      <c r="AY11" s="60"/>
      <c r="AZ11" s="60"/>
      <c r="BA11" s="60"/>
      <c r="BB11" s="60"/>
    </row>
    <row r="12" spans="1:54" s="61" customFormat="1" ht="19.5" thickBot="1" x14ac:dyDescent="0.3">
      <c r="A12" s="75">
        <v>7</v>
      </c>
      <c r="B12" s="94" t="s">
        <v>32</v>
      </c>
      <c r="C12" s="151"/>
      <c r="D12" s="151"/>
      <c r="E12" s="151"/>
      <c r="F12" s="151"/>
      <c r="G12" s="151"/>
      <c r="H12" s="151"/>
      <c r="I12" s="151"/>
      <c r="J12" s="152"/>
      <c r="K12" s="153"/>
      <c r="L12" s="154"/>
      <c r="M12" s="155"/>
      <c r="N12" s="156"/>
      <c r="O12" s="157"/>
      <c r="P12" s="158"/>
      <c r="Q12" s="158"/>
      <c r="R12" s="159"/>
      <c r="S12" s="154"/>
      <c r="T12" s="150">
        <f t="shared" si="0"/>
        <v>0</v>
      </c>
      <c r="U12" s="161">
        <f>C12*24+M12*24+O12*24+Q12*24+T12</f>
        <v>0</v>
      </c>
      <c r="V12" s="161">
        <f>U12/24</f>
        <v>0</v>
      </c>
      <c r="W12" s="57"/>
      <c r="X12" s="57"/>
      <c r="Y12" s="57"/>
      <c r="Z12" s="57"/>
      <c r="AA12" s="57"/>
      <c r="AB12" s="57"/>
      <c r="AC12" s="57"/>
      <c r="AD12" s="57"/>
      <c r="AE12" s="57"/>
      <c r="AF12" s="60"/>
      <c r="AG12" s="60"/>
      <c r="AH12" s="60"/>
      <c r="AI12" s="60"/>
      <c r="AJ12" s="60"/>
      <c r="AK12" s="60"/>
      <c r="AL12" s="60"/>
      <c r="AM12" s="60"/>
      <c r="AN12" s="60"/>
      <c r="AO12" s="60"/>
      <c r="AP12" s="60"/>
      <c r="AQ12" s="60"/>
      <c r="AR12" s="60"/>
      <c r="AS12" s="60"/>
      <c r="AT12" s="60"/>
      <c r="AU12" s="60"/>
      <c r="AV12" s="60"/>
      <c r="AW12" s="60"/>
      <c r="AX12" s="60"/>
      <c r="AY12" s="60"/>
      <c r="AZ12" s="60"/>
      <c r="BA12" s="60"/>
      <c r="BB12" s="60"/>
    </row>
    <row r="13" spans="1:54" x14ac:dyDescent="0.25">
      <c r="A13" s="75">
        <v>11</v>
      </c>
      <c r="B13" s="73" t="s">
        <v>1</v>
      </c>
      <c r="C13" s="162"/>
      <c r="D13" s="162"/>
      <c r="E13" s="162"/>
      <c r="F13" s="162"/>
      <c r="G13" s="162"/>
      <c r="H13" s="162"/>
      <c r="I13" s="162"/>
      <c r="J13" s="163"/>
      <c r="K13" s="164"/>
      <c r="L13" s="147"/>
      <c r="M13" s="165"/>
      <c r="N13" s="166"/>
      <c r="O13" s="162"/>
      <c r="P13" s="163"/>
      <c r="Q13" s="163"/>
      <c r="R13" s="164"/>
      <c r="S13" s="147"/>
      <c r="T13" s="150">
        <f t="shared" si="0"/>
        <v>0</v>
      </c>
      <c r="U13" s="168">
        <f>C13*24+M13*24+O13*24+Q13*24+T13</f>
        <v>0</v>
      </c>
      <c r="V13" s="168">
        <f>U13/24</f>
        <v>0</v>
      </c>
      <c r="AF13" s="60"/>
      <c r="AG13" s="60"/>
      <c r="AH13" s="60"/>
      <c r="AI13" s="60"/>
      <c r="AJ13" s="60"/>
      <c r="AK13" s="60"/>
      <c r="AL13" s="60"/>
      <c r="AM13" s="60"/>
      <c r="AN13" s="60"/>
      <c r="AO13" s="60"/>
      <c r="AP13" s="60"/>
      <c r="AQ13" s="60"/>
      <c r="AR13" s="60"/>
      <c r="AS13" s="60"/>
      <c r="AT13" s="60"/>
      <c r="AU13" s="60"/>
      <c r="AV13" s="60"/>
      <c r="AW13" s="60"/>
      <c r="AX13" s="60"/>
      <c r="AY13" s="60"/>
      <c r="AZ13" s="60"/>
      <c r="BA13" s="60"/>
      <c r="BB13" s="60"/>
    </row>
    <row r="14" spans="1:54" x14ac:dyDescent="0.25">
      <c r="A14" s="75">
        <f t="shared" si="1"/>
        <v>12</v>
      </c>
      <c r="B14" s="74" t="s">
        <v>2</v>
      </c>
      <c r="C14" s="162"/>
      <c r="D14" s="162"/>
      <c r="E14" s="162"/>
      <c r="F14" s="162"/>
      <c r="G14" s="162"/>
      <c r="H14" s="162"/>
      <c r="I14" s="162"/>
      <c r="J14" s="163"/>
      <c r="K14" s="164"/>
      <c r="L14" s="147"/>
      <c r="M14" s="165"/>
      <c r="N14" s="166"/>
      <c r="O14" s="162"/>
      <c r="P14" s="163"/>
      <c r="Q14" s="163"/>
      <c r="R14" s="164"/>
      <c r="S14" s="147"/>
      <c r="T14" s="150">
        <f t="shared" si="0"/>
        <v>0</v>
      </c>
      <c r="U14" s="167">
        <f t="shared" ref="U14:U36" si="4">C14*24+M14*24+O14*24+Q14*24+T14</f>
        <v>0</v>
      </c>
      <c r="V14" s="167">
        <f t="shared" ref="V14:V36" si="5">U14/24</f>
        <v>0</v>
      </c>
      <c r="AF14" s="60"/>
      <c r="AG14" s="60"/>
      <c r="AH14" s="60"/>
      <c r="AI14" s="60"/>
      <c r="AJ14" s="60"/>
      <c r="AK14" s="60"/>
      <c r="AL14" s="60"/>
      <c r="AM14" s="60"/>
      <c r="AN14" s="60"/>
      <c r="AO14" s="60"/>
      <c r="AP14" s="60"/>
      <c r="AQ14" s="60"/>
      <c r="AR14" s="60"/>
      <c r="AS14" s="60"/>
      <c r="AT14" s="60"/>
      <c r="AU14" s="60"/>
      <c r="AV14" s="60"/>
      <c r="AW14" s="60"/>
      <c r="AX14" s="60"/>
      <c r="AY14" s="60"/>
      <c r="AZ14" s="60"/>
      <c r="BA14" s="60"/>
      <c r="BB14" s="60"/>
    </row>
    <row r="15" spans="1:54" x14ac:dyDescent="0.25">
      <c r="A15" s="75">
        <f t="shared" si="1"/>
        <v>13</v>
      </c>
      <c r="B15" s="74" t="s">
        <v>3</v>
      </c>
      <c r="C15" s="162"/>
      <c r="D15" s="162"/>
      <c r="E15" s="162"/>
      <c r="F15" s="162"/>
      <c r="G15" s="162"/>
      <c r="H15" s="162"/>
      <c r="I15" s="162"/>
      <c r="J15" s="163"/>
      <c r="K15" s="164"/>
      <c r="L15" s="147"/>
      <c r="M15" s="165"/>
      <c r="N15" s="166"/>
      <c r="O15" s="162"/>
      <c r="P15" s="163"/>
      <c r="Q15" s="163"/>
      <c r="R15" s="164"/>
      <c r="S15" s="147"/>
      <c r="T15" s="150">
        <f t="shared" si="0"/>
        <v>0</v>
      </c>
      <c r="U15" s="167">
        <f t="shared" si="4"/>
        <v>0</v>
      </c>
      <c r="V15" s="167">
        <f t="shared" si="5"/>
        <v>0</v>
      </c>
      <c r="AF15" s="60"/>
      <c r="AG15" s="60"/>
      <c r="AH15" s="60"/>
      <c r="AI15" s="60"/>
      <c r="AJ15" s="60"/>
      <c r="AK15" s="60"/>
      <c r="AL15" s="60"/>
      <c r="AM15" s="60"/>
      <c r="AN15" s="60"/>
      <c r="AO15" s="60"/>
      <c r="AP15" s="60"/>
      <c r="AQ15" s="60"/>
      <c r="AR15" s="60"/>
      <c r="AS15" s="60"/>
      <c r="AT15" s="60"/>
      <c r="AU15" s="60"/>
      <c r="AV15" s="60"/>
      <c r="AW15" s="60"/>
      <c r="AX15" s="60"/>
      <c r="AY15" s="60"/>
      <c r="AZ15" s="60"/>
      <c r="BA15" s="60"/>
      <c r="BB15" s="60"/>
    </row>
    <row r="16" spans="1:54" x14ac:dyDescent="0.25">
      <c r="A16" s="75">
        <f t="shared" si="1"/>
        <v>14</v>
      </c>
      <c r="B16" s="74" t="s">
        <v>4</v>
      </c>
      <c r="C16" s="162"/>
      <c r="D16" s="162"/>
      <c r="E16" s="162"/>
      <c r="F16" s="162"/>
      <c r="G16" s="162"/>
      <c r="H16" s="162"/>
      <c r="I16" s="162"/>
      <c r="J16" s="163"/>
      <c r="K16" s="164"/>
      <c r="L16" s="147"/>
      <c r="M16" s="165"/>
      <c r="N16" s="166"/>
      <c r="O16" s="162"/>
      <c r="P16" s="163"/>
      <c r="Q16" s="163"/>
      <c r="R16" s="164"/>
      <c r="S16" s="147"/>
      <c r="T16" s="150">
        <f t="shared" si="0"/>
        <v>0</v>
      </c>
      <c r="U16" s="167">
        <f t="shared" si="4"/>
        <v>0</v>
      </c>
      <c r="V16" s="167">
        <f t="shared" si="5"/>
        <v>0</v>
      </c>
      <c r="AF16" s="60"/>
      <c r="AG16" s="60"/>
      <c r="AH16" s="60"/>
      <c r="AI16" s="60"/>
      <c r="AJ16" s="60"/>
      <c r="AK16" s="60"/>
      <c r="AL16" s="60"/>
      <c r="AM16" s="60"/>
      <c r="AN16" s="60"/>
      <c r="AO16" s="60"/>
      <c r="AP16" s="60"/>
      <c r="AQ16" s="60"/>
      <c r="AR16" s="60"/>
      <c r="AS16" s="60"/>
      <c r="AT16" s="60"/>
      <c r="AU16" s="60"/>
      <c r="AV16" s="60"/>
      <c r="AW16" s="60"/>
      <c r="AX16" s="60"/>
      <c r="AY16" s="60"/>
      <c r="AZ16" s="60"/>
      <c r="BA16" s="60"/>
      <c r="BB16" s="60"/>
    </row>
    <row r="17" spans="1:54" x14ac:dyDescent="0.25">
      <c r="A17" s="75">
        <f t="shared" si="1"/>
        <v>15</v>
      </c>
      <c r="B17" s="74" t="s">
        <v>5</v>
      </c>
      <c r="C17" s="162"/>
      <c r="D17" s="162"/>
      <c r="E17" s="162"/>
      <c r="F17" s="162"/>
      <c r="G17" s="162"/>
      <c r="H17" s="162"/>
      <c r="I17" s="162"/>
      <c r="J17" s="163"/>
      <c r="K17" s="164"/>
      <c r="L17" s="147"/>
      <c r="M17" s="165"/>
      <c r="N17" s="166"/>
      <c r="O17" s="162"/>
      <c r="P17" s="163"/>
      <c r="Q17" s="163"/>
      <c r="R17" s="164"/>
      <c r="S17" s="147"/>
      <c r="T17" s="150">
        <f t="shared" si="0"/>
        <v>0</v>
      </c>
      <c r="U17" s="167">
        <f t="shared" si="4"/>
        <v>0</v>
      </c>
      <c r="V17" s="167">
        <f t="shared" si="5"/>
        <v>0</v>
      </c>
      <c r="AF17" s="60"/>
      <c r="AG17" s="60"/>
      <c r="AH17" s="60"/>
      <c r="AI17" s="60"/>
      <c r="AJ17" s="60"/>
      <c r="AK17" s="60"/>
      <c r="AL17" s="60"/>
      <c r="AM17" s="60"/>
      <c r="AN17" s="60"/>
      <c r="AO17" s="60"/>
      <c r="AP17" s="60"/>
      <c r="AQ17" s="60"/>
      <c r="AR17" s="60"/>
      <c r="AS17" s="60"/>
      <c r="AT17" s="60"/>
      <c r="AU17" s="60"/>
      <c r="AV17" s="60"/>
      <c r="AW17" s="60"/>
      <c r="AX17" s="60"/>
      <c r="AY17" s="60"/>
      <c r="AZ17" s="60"/>
      <c r="BA17" s="60"/>
      <c r="BB17" s="60"/>
    </row>
    <row r="18" spans="1:54" hidden="1" x14ac:dyDescent="0.25">
      <c r="A18" s="75">
        <f t="shared" si="1"/>
        <v>16</v>
      </c>
      <c r="B18" s="74" t="s">
        <v>10</v>
      </c>
      <c r="C18" s="162"/>
      <c r="D18" s="162"/>
      <c r="E18" s="162"/>
      <c r="F18" s="162"/>
      <c r="G18" s="162"/>
      <c r="H18" s="162"/>
      <c r="I18" s="162"/>
      <c r="J18" s="163"/>
      <c r="K18" s="164"/>
      <c r="L18" s="147"/>
      <c r="M18" s="165"/>
      <c r="N18" s="166"/>
      <c r="O18" s="162"/>
      <c r="P18" s="163"/>
      <c r="Q18" s="163"/>
      <c r="R18" s="164"/>
      <c r="S18" s="147"/>
      <c r="T18" s="150">
        <f t="shared" si="0"/>
        <v>0</v>
      </c>
      <c r="U18" s="167">
        <f t="shared" si="4"/>
        <v>0</v>
      </c>
      <c r="V18" s="167">
        <f t="shared" si="5"/>
        <v>0</v>
      </c>
      <c r="AF18" s="60"/>
      <c r="AG18" s="60"/>
      <c r="AH18" s="60"/>
      <c r="AI18" s="60"/>
      <c r="AJ18" s="60"/>
      <c r="AK18" s="60"/>
      <c r="AL18" s="60"/>
      <c r="AM18" s="60"/>
      <c r="AN18" s="60"/>
      <c r="AO18" s="60"/>
      <c r="AP18" s="60"/>
      <c r="AQ18" s="60"/>
      <c r="AR18" s="60"/>
      <c r="AS18" s="60"/>
      <c r="AT18" s="60"/>
      <c r="AU18" s="60"/>
      <c r="AV18" s="60"/>
      <c r="AW18" s="60"/>
      <c r="AX18" s="60"/>
      <c r="AY18" s="60"/>
      <c r="AZ18" s="60"/>
      <c r="BA18" s="60"/>
      <c r="BB18" s="60"/>
    </row>
    <row r="19" spans="1:54" x14ac:dyDescent="0.25">
      <c r="A19" s="75">
        <v>16</v>
      </c>
      <c r="B19" s="74" t="s">
        <v>64</v>
      </c>
      <c r="C19" s="162"/>
      <c r="D19" s="162"/>
      <c r="E19" s="162"/>
      <c r="F19" s="162"/>
      <c r="G19" s="162"/>
      <c r="H19" s="162"/>
      <c r="I19" s="162"/>
      <c r="J19" s="163"/>
      <c r="K19" s="164"/>
      <c r="L19" s="147"/>
      <c r="M19" s="165"/>
      <c r="N19" s="166"/>
      <c r="O19" s="162"/>
      <c r="P19" s="163"/>
      <c r="Q19" s="163"/>
      <c r="R19" s="164"/>
      <c r="S19" s="147"/>
      <c r="T19" s="150">
        <f t="shared" si="0"/>
        <v>0</v>
      </c>
      <c r="U19" s="167">
        <f t="shared" si="4"/>
        <v>0</v>
      </c>
      <c r="V19" s="167">
        <f t="shared" si="5"/>
        <v>0</v>
      </c>
      <c r="AF19" s="60"/>
      <c r="AG19" s="60"/>
      <c r="AH19" s="60"/>
      <c r="AI19" s="60"/>
      <c r="AJ19" s="60"/>
      <c r="AK19" s="60"/>
      <c r="AL19" s="60"/>
      <c r="AM19" s="60"/>
      <c r="AN19" s="60"/>
      <c r="AO19" s="60"/>
      <c r="AP19" s="60"/>
      <c r="AQ19" s="60"/>
      <c r="AR19" s="60"/>
      <c r="AS19" s="60"/>
      <c r="AT19" s="60"/>
      <c r="AU19" s="60"/>
      <c r="AV19" s="60"/>
      <c r="AW19" s="60"/>
      <c r="AX19" s="60"/>
      <c r="AY19" s="60"/>
      <c r="AZ19" s="60"/>
      <c r="BA19" s="60"/>
      <c r="BB19" s="60"/>
    </row>
    <row r="20" spans="1:54" x14ac:dyDescent="0.25">
      <c r="A20" s="75">
        <f t="shared" si="1"/>
        <v>17</v>
      </c>
      <c r="B20" s="74" t="s">
        <v>6</v>
      </c>
      <c r="C20" s="162"/>
      <c r="D20" s="162"/>
      <c r="E20" s="162"/>
      <c r="F20" s="162"/>
      <c r="G20" s="162"/>
      <c r="H20" s="162"/>
      <c r="I20" s="162"/>
      <c r="J20" s="163"/>
      <c r="K20" s="164"/>
      <c r="L20" s="147"/>
      <c r="M20" s="165"/>
      <c r="N20" s="166"/>
      <c r="O20" s="162"/>
      <c r="P20" s="163"/>
      <c r="Q20" s="163"/>
      <c r="R20" s="164"/>
      <c r="S20" s="147"/>
      <c r="T20" s="150">
        <f t="shared" si="0"/>
        <v>0</v>
      </c>
      <c r="U20" s="167">
        <f t="shared" si="4"/>
        <v>0</v>
      </c>
      <c r="V20" s="167">
        <f t="shared" si="5"/>
        <v>0</v>
      </c>
      <c r="AF20" s="60"/>
      <c r="AG20" s="60"/>
      <c r="AH20" s="60"/>
      <c r="AI20" s="60"/>
      <c r="AJ20" s="60"/>
      <c r="AK20" s="60"/>
      <c r="AL20" s="60"/>
      <c r="AM20" s="60"/>
      <c r="AN20" s="60"/>
      <c r="AO20" s="60"/>
      <c r="AP20" s="60"/>
      <c r="AQ20" s="60"/>
      <c r="AR20" s="60"/>
      <c r="AS20" s="60"/>
      <c r="AT20" s="60"/>
      <c r="AU20" s="60"/>
      <c r="AV20" s="60"/>
      <c r="AW20" s="60"/>
      <c r="AX20" s="60"/>
      <c r="AY20" s="60"/>
      <c r="AZ20" s="60"/>
      <c r="BA20" s="60"/>
      <c r="BB20" s="60"/>
    </row>
    <row r="21" spans="1:54" x14ac:dyDescent="0.25">
      <c r="A21" s="75">
        <f t="shared" si="1"/>
        <v>18</v>
      </c>
      <c r="B21" s="74" t="s">
        <v>7</v>
      </c>
      <c r="C21" s="162"/>
      <c r="D21" s="162"/>
      <c r="E21" s="162"/>
      <c r="F21" s="162"/>
      <c r="G21" s="162"/>
      <c r="H21" s="162"/>
      <c r="I21" s="162"/>
      <c r="J21" s="163"/>
      <c r="K21" s="164"/>
      <c r="L21" s="147"/>
      <c r="M21" s="165"/>
      <c r="N21" s="166"/>
      <c r="O21" s="162"/>
      <c r="P21" s="163"/>
      <c r="Q21" s="163"/>
      <c r="R21" s="164"/>
      <c r="S21" s="147"/>
      <c r="T21" s="150">
        <f t="shared" si="0"/>
        <v>0</v>
      </c>
      <c r="U21" s="167">
        <f t="shared" si="4"/>
        <v>0</v>
      </c>
      <c r="V21" s="167">
        <f t="shared" si="5"/>
        <v>0</v>
      </c>
      <c r="AF21" s="60"/>
      <c r="AG21" s="60"/>
      <c r="AH21" s="60"/>
      <c r="AI21" s="60"/>
      <c r="AJ21" s="60"/>
      <c r="AK21" s="60"/>
      <c r="AL21" s="60"/>
      <c r="AM21" s="60"/>
      <c r="AN21" s="60"/>
      <c r="AO21" s="60"/>
      <c r="AP21" s="60"/>
      <c r="AQ21" s="60"/>
      <c r="AR21" s="60"/>
      <c r="AS21" s="60"/>
      <c r="AT21" s="60"/>
      <c r="AU21" s="60"/>
      <c r="AV21" s="60"/>
      <c r="AW21" s="60"/>
      <c r="AX21" s="60"/>
      <c r="AY21" s="60"/>
      <c r="AZ21" s="60"/>
      <c r="BA21" s="60"/>
      <c r="BB21" s="60"/>
    </row>
    <row r="22" spans="1:54" s="61" customFormat="1" x14ac:dyDescent="0.25">
      <c r="A22" s="75">
        <f t="shared" si="1"/>
        <v>19</v>
      </c>
      <c r="B22" s="74" t="s">
        <v>65</v>
      </c>
      <c r="C22" s="162"/>
      <c r="D22" s="162"/>
      <c r="E22" s="162"/>
      <c r="F22" s="162"/>
      <c r="G22" s="162"/>
      <c r="H22" s="162"/>
      <c r="I22" s="162"/>
      <c r="J22" s="163"/>
      <c r="K22" s="164"/>
      <c r="L22" s="147"/>
      <c r="M22" s="165"/>
      <c r="N22" s="166"/>
      <c r="O22" s="162"/>
      <c r="P22" s="163"/>
      <c r="Q22" s="163"/>
      <c r="R22" s="164"/>
      <c r="S22" s="147"/>
      <c r="T22" s="150">
        <f t="shared" si="0"/>
        <v>0</v>
      </c>
      <c r="U22" s="167">
        <f t="shared" si="4"/>
        <v>0</v>
      </c>
      <c r="V22" s="167">
        <f t="shared" si="5"/>
        <v>0</v>
      </c>
      <c r="W22" s="57"/>
      <c r="X22" s="57"/>
      <c r="Y22" s="57"/>
      <c r="Z22" s="57"/>
      <c r="AA22" s="57"/>
      <c r="AB22" s="57"/>
      <c r="AC22" s="57"/>
      <c r="AD22" s="57"/>
      <c r="AE22" s="57"/>
      <c r="AF22" s="60"/>
      <c r="AG22" s="60"/>
      <c r="AH22" s="60"/>
      <c r="AI22" s="60"/>
      <c r="AJ22" s="60"/>
      <c r="AK22" s="60"/>
      <c r="AL22" s="60"/>
      <c r="AM22" s="60"/>
      <c r="AN22" s="60"/>
      <c r="AO22" s="60"/>
      <c r="AP22" s="60"/>
      <c r="AQ22" s="60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</row>
    <row r="23" spans="1:54" s="61" customFormat="1" x14ac:dyDescent="0.25">
      <c r="A23" s="75">
        <f t="shared" si="1"/>
        <v>20</v>
      </c>
      <c r="B23" s="74" t="s">
        <v>66</v>
      </c>
      <c r="C23" s="162"/>
      <c r="D23" s="162"/>
      <c r="E23" s="162"/>
      <c r="F23" s="162"/>
      <c r="G23" s="162"/>
      <c r="H23" s="162"/>
      <c r="I23" s="162"/>
      <c r="J23" s="163"/>
      <c r="K23" s="164"/>
      <c r="L23" s="147"/>
      <c r="M23" s="165"/>
      <c r="N23" s="166"/>
      <c r="O23" s="162"/>
      <c r="P23" s="163"/>
      <c r="Q23" s="163"/>
      <c r="R23" s="164"/>
      <c r="S23" s="147"/>
      <c r="T23" s="150">
        <f t="shared" si="0"/>
        <v>0</v>
      </c>
      <c r="U23" s="167">
        <f t="shared" si="4"/>
        <v>0</v>
      </c>
      <c r="V23" s="167">
        <f t="shared" si="5"/>
        <v>0</v>
      </c>
      <c r="W23" s="57"/>
      <c r="X23" s="57"/>
      <c r="Y23" s="57"/>
      <c r="Z23" s="57"/>
      <c r="AA23" s="57"/>
      <c r="AB23" s="57"/>
      <c r="AC23" s="57"/>
      <c r="AD23" s="57"/>
      <c r="AE23" s="57"/>
      <c r="AF23" s="60"/>
      <c r="AG23" s="60"/>
      <c r="AH23" s="60"/>
      <c r="AI23" s="60"/>
      <c r="AJ23" s="60"/>
      <c r="AK23" s="60"/>
      <c r="AL23" s="60"/>
      <c r="AM23" s="60"/>
      <c r="AN23" s="60"/>
      <c r="AO23" s="60"/>
      <c r="AP23" s="60"/>
      <c r="AQ23" s="60"/>
      <c r="AR23" s="60"/>
      <c r="AS23" s="60"/>
      <c r="AT23" s="60"/>
      <c r="AU23" s="60"/>
      <c r="AV23" s="60"/>
      <c r="AW23" s="60"/>
      <c r="AX23" s="60"/>
      <c r="AY23" s="60"/>
      <c r="AZ23" s="60"/>
      <c r="BA23" s="60"/>
      <c r="BB23" s="60"/>
    </row>
    <row r="24" spans="1:54" x14ac:dyDescent="0.25">
      <c r="A24" s="75">
        <f t="shared" si="1"/>
        <v>21</v>
      </c>
      <c r="B24" s="74" t="s">
        <v>67</v>
      </c>
      <c r="C24" s="162"/>
      <c r="D24" s="162"/>
      <c r="E24" s="162"/>
      <c r="F24" s="162"/>
      <c r="G24" s="162"/>
      <c r="H24" s="162"/>
      <c r="I24" s="162"/>
      <c r="J24" s="163"/>
      <c r="K24" s="164"/>
      <c r="L24" s="147"/>
      <c r="M24" s="165"/>
      <c r="N24" s="166"/>
      <c r="O24" s="162"/>
      <c r="P24" s="163"/>
      <c r="Q24" s="163"/>
      <c r="R24" s="164"/>
      <c r="S24" s="147"/>
      <c r="T24" s="150">
        <f t="shared" si="0"/>
        <v>0</v>
      </c>
      <c r="U24" s="167">
        <f t="shared" si="4"/>
        <v>0</v>
      </c>
      <c r="V24" s="167">
        <f t="shared" si="5"/>
        <v>0</v>
      </c>
      <c r="AF24" s="60"/>
      <c r="AG24" s="60"/>
      <c r="AH24" s="60"/>
      <c r="AI24" s="60"/>
      <c r="AJ24" s="60"/>
      <c r="AK24" s="60"/>
      <c r="AL24" s="60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</row>
    <row r="25" spans="1:54" x14ac:dyDescent="0.25">
      <c r="A25" s="75">
        <f t="shared" si="1"/>
        <v>22</v>
      </c>
      <c r="B25" s="74" t="s">
        <v>9</v>
      </c>
      <c r="C25" s="162"/>
      <c r="D25" s="162"/>
      <c r="E25" s="162"/>
      <c r="F25" s="162"/>
      <c r="G25" s="162"/>
      <c r="H25" s="162"/>
      <c r="I25" s="162"/>
      <c r="J25" s="163"/>
      <c r="K25" s="164"/>
      <c r="L25" s="147"/>
      <c r="M25" s="165"/>
      <c r="N25" s="166"/>
      <c r="O25" s="162"/>
      <c r="P25" s="163"/>
      <c r="Q25" s="163"/>
      <c r="R25" s="164"/>
      <c r="S25" s="147"/>
      <c r="T25" s="150">
        <f t="shared" si="0"/>
        <v>0</v>
      </c>
      <c r="U25" s="167">
        <f t="shared" si="4"/>
        <v>0</v>
      </c>
      <c r="V25" s="167">
        <f t="shared" si="5"/>
        <v>0</v>
      </c>
      <c r="AY25" s="62" t="e">
        <f>#REF!-AY24</f>
        <v>#REF!</v>
      </c>
    </row>
    <row r="26" spans="1:54" s="61" customFormat="1" x14ac:dyDescent="0.25">
      <c r="A26" s="75">
        <f t="shared" si="1"/>
        <v>23</v>
      </c>
      <c r="B26" s="74" t="s">
        <v>11</v>
      </c>
      <c r="C26" s="162"/>
      <c r="D26" s="162"/>
      <c r="E26" s="162"/>
      <c r="F26" s="162"/>
      <c r="G26" s="162"/>
      <c r="H26" s="162"/>
      <c r="I26" s="162"/>
      <c r="J26" s="163"/>
      <c r="K26" s="164"/>
      <c r="L26" s="147"/>
      <c r="M26" s="165"/>
      <c r="N26" s="166"/>
      <c r="O26" s="162"/>
      <c r="P26" s="163"/>
      <c r="Q26" s="163"/>
      <c r="R26" s="164"/>
      <c r="S26" s="147"/>
      <c r="T26" s="150">
        <f t="shared" si="0"/>
        <v>0</v>
      </c>
      <c r="U26" s="167">
        <f t="shared" si="4"/>
        <v>0</v>
      </c>
      <c r="V26" s="167">
        <f t="shared" si="5"/>
        <v>0</v>
      </c>
      <c r="W26" s="57"/>
      <c r="X26" s="57"/>
      <c r="Y26" s="57"/>
      <c r="Z26" s="57"/>
      <c r="AA26" s="57"/>
      <c r="AB26" s="57"/>
      <c r="AC26" s="57"/>
      <c r="AD26" s="57"/>
      <c r="AE26" s="57"/>
    </row>
    <row r="27" spans="1:54" s="61" customFormat="1" x14ac:dyDescent="0.25">
      <c r="A27" s="75">
        <f t="shared" si="1"/>
        <v>24</v>
      </c>
      <c r="B27" s="74" t="s">
        <v>83</v>
      </c>
      <c r="C27" s="162"/>
      <c r="D27" s="162"/>
      <c r="E27" s="162"/>
      <c r="F27" s="162"/>
      <c r="G27" s="162"/>
      <c r="H27" s="162"/>
      <c r="I27" s="162"/>
      <c r="J27" s="163"/>
      <c r="K27" s="164"/>
      <c r="L27" s="147"/>
      <c r="M27" s="165"/>
      <c r="N27" s="166"/>
      <c r="O27" s="162"/>
      <c r="P27" s="163"/>
      <c r="Q27" s="163"/>
      <c r="R27" s="164"/>
      <c r="S27" s="147"/>
      <c r="T27" s="150"/>
      <c r="U27" s="167"/>
      <c r="V27" s="167"/>
      <c r="W27" s="57"/>
      <c r="X27" s="57"/>
      <c r="Y27" s="57"/>
      <c r="Z27" s="57"/>
      <c r="AA27" s="57"/>
      <c r="AB27" s="57"/>
      <c r="AC27" s="57"/>
      <c r="AD27" s="57"/>
      <c r="AE27" s="57"/>
    </row>
    <row r="28" spans="1:54" s="61" customFormat="1" x14ac:dyDescent="0.25">
      <c r="A28" s="75">
        <f t="shared" si="1"/>
        <v>25</v>
      </c>
      <c r="B28" s="74" t="s">
        <v>12</v>
      </c>
      <c r="C28" s="162"/>
      <c r="D28" s="162"/>
      <c r="E28" s="162"/>
      <c r="F28" s="162"/>
      <c r="G28" s="162"/>
      <c r="H28" s="162"/>
      <c r="I28" s="162"/>
      <c r="J28" s="163"/>
      <c r="K28" s="164"/>
      <c r="L28" s="147"/>
      <c r="M28" s="165"/>
      <c r="N28" s="166"/>
      <c r="O28" s="162"/>
      <c r="P28" s="163"/>
      <c r="Q28" s="163"/>
      <c r="R28" s="164"/>
      <c r="S28" s="147"/>
      <c r="T28" s="150">
        <f t="shared" si="0"/>
        <v>0</v>
      </c>
      <c r="U28" s="167">
        <f t="shared" si="4"/>
        <v>0</v>
      </c>
      <c r="V28" s="167">
        <f t="shared" si="5"/>
        <v>0</v>
      </c>
      <c r="W28" s="57"/>
      <c r="X28" s="57"/>
      <c r="Y28" s="57"/>
      <c r="Z28" s="57"/>
      <c r="AA28" s="57"/>
      <c r="AB28" s="57"/>
      <c r="AC28" s="57"/>
      <c r="AD28" s="57"/>
      <c r="AE28" s="57"/>
    </row>
    <row r="29" spans="1:54" x14ac:dyDescent="0.25">
      <c r="A29" s="75">
        <f t="shared" si="1"/>
        <v>26</v>
      </c>
      <c r="B29" s="74" t="s">
        <v>14</v>
      </c>
      <c r="C29" s="162"/>
      <c r="D29" s="162"/>
      <c r="E29" s="162"/>
      <c r="F29" s="162"/>
      <c r="G29" s="162"/>
      <c r="H29" s="162"/>
      <c r="I29" s="162"/>
      <c r="J29" s="163"/>
      <c r="K29" s="164"/>
      <c r="L29" s="147"/>
      <c r="M29" s="165"/>
      <c r="N29" s="166"/>
      <c r="O29" s="162"/>
      <c r="P29" s="163"/>
      <c r="Q29" s="163"/>
      <c r="R29" s="164"/>
      <c r="S29" s="147"/>
      <c r="T29" s="150">
        <f t="shared" si="0"/>
        <v>0</v>
      </c>
      <c r="U29" s="167">
        <f t="shared" si="4"/>
        <v>0</v>
      </c>
      <c r="V29" s="167">
        <f t="shared" si="5"/>
        <v>0</v>
      </c>
    </row>
    <row r="30" spans="1:54" x14ac:dyDescent="0.25">
      <c r="A30" s="75">
        <f t="shared" si="1"/>
        <v>27</v>
      </c>
      <c r="B30" s="74" t="s">
        <v>16</v>
      </c>
      <c r="C30" s="162"/>
      <c r="D30" s="162"/>
      <c r="E30" s="162"/>
      <c r="F30" s="162"/>
      <c r="G30" s="162"/>
      <c r="H30" s="162"/>
      <c r="I30" s="162"/>
      <c r="J30" s="163"/>
      <c r="K30" s="164"/>
      <c r="L30" s="147"/>
      <c r="M30" s="165"/>
      <c r="N30" s="166"/>
      <c r="O30" s="162"/>
      <c r="P30" s="163"/>
      <c r="Q30" s="163"/>
      <c r="R30" s="164"/>
      <c r="S30" s="147"/>
      <c r="T30" s="150">
        <f t="shared" si="0"/>
        <v>0</v>
      </c>
      <c r="U30" s="167">
        <f t="shared" si="4"/>
        <v>0</v>
      </c>
      <c r="V30" s="167">
        <f t="shared" si="5"/>
        <v>0</v>
      </c>
    </row>
    <row r="31" spans="1:54" x14ac:dyDescent="0.25">
      <c r="A31" s="75">
        <f t="shared" si="1"/>
        <v>28</v>
      </c>
      <c r="B31" s="74" t="s">
        <v>13</v>
      </c>
      <c r="C31" s="162"/>
      <c r="D31" s="162"/>
      <c r="E31" s="162"/>
      <c r="F31" s="162"/>
      <c r="G31" s="162"/>
      <c r="H31" s="162"/>
      <c r="I31" s="162"/>
      <c r="J31" s="163"/>
      <c r="K31" s="164"/>
      <c r="L31" s="147"/>
      <c r="M31" s="165"/>
      <c r="N31" s="166"/>
      <c r="O31" s="162"/>
      <c r="P31" s="163"/>
      <c r="Q31" s="163"/>
      <c r="R31" s="164"/>
      <c r="S31" s="147"/>
      <c r="T31" s="150">
        <f t="shared" si="0"/>
        <v>0</v>
      </c>
      <c r="U31" s="167">
        <f t="shared" si="4"/>
        <v>0</v>
      </c>
      <c r="V31" s="167">
        <f t="shared" si="5"/>
        <v>0</v>
      </c>
    </row>
    <row r="32" spans="1:54" x14ac:dyDescent="0.25">
      <c r="A32" s="75">
        <f t="shared" si="1"/>
        <v>29</v>
      </c>
      <c r="B32" s="74" t="s">
        <v>15</v>
      </c>
      <c r="C32" s="162"/>
      <c r="D32" s="162"/>
      <c r="E32" s="162"/>
      <c r="F32" s="162"/>
      <c r="G32" s="162"/>
      <c r="H32" s="162"/>
      <c r="I32" s="162"/>
      <c r="J32" s="163"/>
      <c r="K32" s="164"/>
      <c r="L32" s="147"/>
      <c r="M32" s="165"/>
      <c r="N32" s="166"/>
      <c r="O32" s="162"/>
      <c r="P32" s="163"/>
      <c r="Q32" s="163"/>
      <c r="R32" s="164"/>
      <c r="S32" s="147"/>
      <c r="T32" s="150">
        <f t="shared" si="0"/>
        <v>0</v>
      </c>
      <c r="U32" s="167">
        <f t="shared" si="4"/>
        <v>0</v>
      </c>
      <c r="V32" s="167">
        <f t="shared" si="5"/>
        <v>0</v>
      </c>
    </row>
    <row r="33" spans="1:23" x14ac:dyDescent="0.25">
      <c r="A33" s="75">
        <f t="shared" si="1"/>
        <v>30</v>
      </c>
      <c r="B33" s="74" t="s">
        <v>17</v>
      </c>
      <c r="C33" s="162"/>
      <c r="D33" s="162"/>
      <c r="E33" s="162"/>
      <c r="F33" s="162"/>
      <c r="G33" s="162"/>
      <c r="H33" s="162"/>
      <c r="I33" s="162"/>
      <c r="J33" s="163"/>
      <c r="K33" s="164"/>
      <c r="L33" s="147"/>
      <c r="M33" s="165"/>
      <c r="N33" s="166"/>
      <c r="O33" s="162"/>
      <c r="P33" s="163"/>
      <c r="Q33" s="163"/>
      <c r="R33" s="164"/>
      <c r="S33" s="147"/>
      <c r="T33" s="150">
        <f t="shared" si="0"/>
        <v>0</v>
      </c>
      <c r="U33" s="167">
        <f t="shared" si="4"/>
        <v>0</v>
      </c>
      <c r="V33" s="167">
        <f t="shared" si="5"/>
        <v>0</v>
      </c>
    </row>
    <row r="34" spans="1:23" x14ac:dyDescent="0.25">
      <c r="A34" s="75">
        <f t="shared" si="1"/>
        <v>31</v>
      </c>
      <c r="B34" s="74" t="s">
        <v>18</v>
      </c>
      <c r="C34" s="162"/>
      <c r="D34" s="162"/>
      <c r="E34" s="162"/>
      <c r="F34" s="162"/>
      <c r="G34" s="162"/>
      <c r="H34" s="162"/>
      <c r="I34" s="162"/>
      <c r="J34" s="163"/>
      <c r="K34" s="164"/>
      <c r="L34" s="147"/>
      <c r="M34" s="165"/>
      <c r="N34" s="166"/>
      <c r="O34" s="162"/>
      <c r="P34" s="163"/>
      <c r="Q34" s="163"/>
      <c r="R34" s="164"/>
      <c r="S34" s="147"/>
      <c r="T34" s="150">
        <f t="shared" si="0"/>
        <v>0</v>
      </c>
      <c r="U34" s="167">
        <f t="shared" si="4"/>
        <v>0</v>
      </c>
      <c r="V34" s="167">
        <f t="shared" si="5"/>
        <v>0</v>
      </c>
    </row>
    <row r="35" spans="1:23" hidden="1" x14ac:dyDescent="0.25">
      <c r="A35" s="75">
        <f t="shared" si="1"/>
        <v>32</v>
      </c>
      <c r="B35" s="74" t="s">
        <v>26</v>
      </c>
      <c r="C35" s="162"/>
      <c r="D35" s="162"/>
      <c r="E35" s="162"/>
      <c r="F35" s="162"/>
      <c r="G35" s="162"/>
      <c r="H35" s="162"/>
      <c r="I35" s="162"/>
      <c r="J35" s="163"/>
      <c r="K35" s="164"/>
      <c r="L35" s="147"/>
      <c r="M35" s="165"/>
      <c r="N35" s="166"/>
      <c r="O35" s="162"/>
      <c r="P35" s="163"/>
      <c r="Q35" s="163"/>
      <c r="R35" s="164"/>
      <c r="S35" s="147"/>
      <c r="T35" s="150">
        <f t="shared" si="0"/>
        <v>0</v>
      </c>
      <c r="U35" s="167">
        <f t="shared" si="4"/>
        <v>0</v>
      </c>
      <c r="V35" s="167">
        <f t="shared" si="5"/>
        <v>0</v>
      </c>
    </row>
    <row r="36" spans="1:23" x14ac:dyDescent="0.25">
      <c r="A36" s="75">
        <f t="shared" si="1"/>
        <v>33</v>
      </c>
      <c r="B36" s="74" t="s">
        <v>19</v>
      </c>
      <c r="C36" s="162"/>
      <c r="D36" s="162"/>
      <c r="E36" s="162"/>
      <c r="F36" s="162"/>
      <c r="G36" s="162"/>
      <c r="H36" s="162"/>
      <c r="I36" s="162"/>
      <c r="J36" s="163"/>
      <c r="K36" s="164"/>
      <c r="L36" s="147"/>
      <c r="M36" s="165"/>
      <c r="N36" s="166"/>
      <c r="O36" s="162"/>
      <c r="P36" s="163"/>
      <c r="Q36" s="163"/>
      <c r="R36" s="164"/>
      <c r="S36" s="147"/>
      <c r="T36" s="150">
        <f t="shared" si="0"/>
        <v>0</v>
      </c>
      <c r="U36" s="167">
        <f t="shared" si="4"/>
        <v>0</v>
      </c>
      <c r="V36" s="167">
        <f t="shared" si="5"/>
        <v>0</v>
      </c>
    </row>
    <row r="37" spans="1:23" ht="19.5" thickBot="1" x14ac:dyDescent="0.3">
      <c r="A37" s="75">
        <f t="shared" si="1"/>
        <v>34</v>
      </c>
      <c r="B37" s="94" t="s">
        <v>20</v>
      </c>
      <c r="C37" s="151"/>
      <c r="D37" s="151"/>
      <c r="E37" s="151"/>
      <c r="F37" s="151"/>
      <c r="G37" s="151"/>
      <c r="H37" s="151"/>
      <c r="I37" s="151"/>
      <c r="J37" s="152"/>
      <c r="K37" s="153"/>
      <c r="L37" s="154"/>
      <c r="M37" s="155"/>
      <c r="N37" s="156"/>
      <c r="O37" s="157"/>
      <c r="P37" s="158"/>
      <c r="Q37" s="158"/>
      <c r="R37" s="159"/>
      <c r="S37" s="154"/>
      <c r="T37" s="169">
        <f t="shared" si="0"/>
        <v>0</v>
      </c>
      <c r="U37" s="169">
        <f>C37*6+M37*6+O37*6+Q37*6+T37</f>
        <v>0</v>
      </c>
      <c r="V37" s="169">
        <f>U37/6</f>
        <v>0</v>
      </c>
      <c r="W37" s="123"/>
    </row>
    <row r="38" spans="1:23" x14ac:dyDescent="0.25">
      <c r="A38" s="75">
        <f t="shared" si="1"/>
        <v>35</v>
      </c>
      <c r="B38" s="73" t="s">
        <v>21</v>
      </c>
      <c r="C38" s="162"/>
      <c r="D38" s="162"/>
      <c r="E38" s="162"/>
      <c r="F38" s="162"/>
      <c r="G38" s="162"/>
      <c r="H38" s="162"/>
      <c r="I38" s="162"/>
      <c r="J38" s="163"/>
      <c r="K38" s="164"/>
      <c r="L38" s="147"/>
      <c r="M38" s="165"/>
      <c r="N38" s="166"/>
      <c r="O38" s="162"/>
      <c r="P38" s="163"/>
      <c r="Q38" s="163"/>
      <c r="R38" s="164"/>
      <c r="S38" s="147"/>
      <c r="T38" s="167">
        <f t="shared" si="0"/>
        <v>0</v>
      </c>
      <c r="U38" s="167">
        <f>C38*24+M38*24+O38*24+Q38*24+T38</f>
        <v>0</v>
      </c>
      <c r="V38" s="167">
        <f>U38/24</f>
        <v>0</v>
      </c>
    </row>
    <row r="39" spans="1:23" x14ac:dyDescent="0.25">
      <c r="A39" s="75">
        <f t="shared" si="1"/>
        <v>36</v>
      </c>
      <c r="B39" s="132" t="s">
        <v>73</v>
      </c>
      <c r="C39" s="170"/>
      <c r="D39" s="170"/>
      <c r="E39" s="170"/>
      <c r="F39" s="170"/>
      <c r="G39" s="170"/>
      <c r="H39" s="170"/>
      <c r="I39" s="170"/>
      <c r="J39" s="171"/>
      <c r="K39" s="172"/>
      <c r="L39" s="147"/>
      <c r="M39" s="173"/>
      <c r="N39" s="174"/>
      <c r="O39" s="170"/>
      <c r="P39" s="171"/>
      <c r="Q39" s="171"/>
      <c r="R39" s="172"/>
      <c r="S39" s="147"/>
      <c r="T39" s="175"/>
      <c r="U39" s="175"/>
      <c r="V39" s="175"/>
    </row>
    <row r="40" spans="1:23" ht="19.5" thickBot="1" x14ac:dyDescent="0.3">
      <c r="A40" s="75">
        <f t="shared" si="1"/>
        <v>37</v>
      </c>
      <c r="B40" s="94" t="s">
        <v>22</v>
      </c>
      <c r="C40" s="151"/>
      <c r="D40" s="151"/>
      <c r="E40" s="151"/>
      <c r="F40" s="151"/>
      <c r="G40" s="151"/>
      <c r="H40" s="151"/>
      <c r="I40" s="151"/>
      <c r="J40" s="152"/>
      <c r="K40" s="153"/>
      <c r="L40" s="154"/>
      <c r="M40" s="155"/>
      <c r="N40" s="156"/>
      <c r="O40" s="157"/>
      <c r="P40" s="158"/>
      <c r="Q40" s="158"/>
      <c r="R40" s="159"/>
      <c r="S40" s="154"/>
      <c r="T40" s="169">
        <f t="shared" si="0"/>
        <v>0</v>
      </c>
      <c r="U40" s="169">
        <f>C40*24+M40*24+O40*24+Q40*24+T40</f>
        <v>0</v>
      </c>
      <c r="V40" s="169">
        <f>U40/24</f>
        <v>0</v>
      </c>
    </row>
    <row r="41" spans="1:23" ht="19.5" thickBot="1" x14ac:dyDescent="0.3">
      <c r="A41" s="75">
        <f t="shared" si="1"/>
        <v>38</v>
      </c>
      <c r="B41" s="99" t="s">
        <v>23</v>
      </c>
      <c r="C41" s="176"/>
      <c r="D41" s="176"/>
      <c r="E41" s="176"/>
      <c r="F41" s="176"/>
      <c r="G41" s="176"/>
      <c r="H41" s="176"/>
      <c r="I41" s="176"/>
      <c r="J41" s="177"/>
      <c r="K41" s="178"/>
      <c r="L41" s="179"/>
      <c r="M41" s="180"/>
      <c r="N41" s="181"/>
      <c r="O41" s="176"/>
      <c r="P41" s="177"/>
      <c r="Q41" s="177"/>
      <c r="R41" s="178"/>
      <c r="S41" s="179"/>
      <c r="T41" s="182">
        <f t="shared" si="0"/>
        <v>0</v>
      </c>
      <c r="U41" s="182">
        <f>C41*12+M41*12+O41*12+Q41*12+T41</f>
        <v>0</v>
      </c>
      <c r="V41" s="182">
        <f>U41/12</f>
        <v>0</v>
      </c>
    </row>
    <row r="42" spans="1:23" hidden="1" x14ac:dyDescent="0.25">
      <c r="A42" s="75">
        <f t="shared" si="1"/>
        <v>39</v>
      </c>
      <c r="B42" s="73" t="s">
        <v>31</v>
      </c>
      <c r="C42" s="162"/>
      <c r="D42" s="162"/>
      <c r="E42" s="162"/>
      <c r="F42" s="162"/>
      <c r="G42" s="162"/>
      <c r="H42" s="162"/>
      <c r="I42" s="162"/>
      <c r="J42" s="163"/>
      <c r="K42" s="164"/>
      <c r="L42" s="147"/>
      <c r="M42" s="165"/>
      <c r="N42" s="166"/>
      <c r="O42" s="162"/>
      <c r="P42" s="163"/>
      <c r="Q42" s="163"/>
      <c r="R42" s="164"/>
      <c r="S42" s="147"/>
      <c r="T42" s="167"/>
      <c r="U42" s="167"/>
      <c r="V42" s="167"/>
    </row>
    <row r="43" spans="1:23" ht="19.5" thickBot="1" x14ac:dyDescent="0.3">
      <c r="A43" s="75">
        <f t="shared" si="1"/>
        <v>40</v>
      </c>
      <c r="B43" s="94" t="s">
        <v>24</v>
      </c>
      <c r="C43" s="157"/>
      <c r="D43" s="157"/>
      <c r="E43" s="157"/>
      <c r="F43" s="157"/>
      <c r="G43" s="157"/>
      <c r="H43" s="157"/>
      <c r="I43" s="157"/>
      <c r="J43" s="158"/>
      <c r="K43" s="159"/>
      <c r="L43" s="154"/>
      <c r="M43" s="155"/>
      <c r="N43" s="156"/>
      <c r="O43" s="157"/>
      <c r="P43" s="158"/>
      <c r="Q43" s="158"/>
      <c r="R43" s="159"/>
      <c r="S43" s="154"/>
      <c r="T43" s="169">
        <f t="shared" ref="T43" si="6">H43+I43+J43+K43+N43+P43+R43</f>
        <v>0</v>
      </c>
      <c r="U43" s="169">
        <f>C43*6+M43*6+O43*6+Q43*6+T43</f>
        <v>0</v>
      </c>
      <c r="V43" s="169">
        <f>U43/6</f>
        <v>0</v>
      </c>
    </row>
    <row r="44" spans="1:23" hidden="1" x14ac:dyDescent="0.25">
      <c r="A44" s="75">
        <f t="shared" si="1"/>
        <v>41</v>
      </c>
      <c r="B44" s="73" t="s">
        <v>33</v>
      </c>
      <c r="C44" s="162"/>
      <c r="D44" s="162"/>
      <c r="E44" s="162"/>
      <c r="F44" s="162"/>
      <c r="G44" s="162"/>
      <c r="H44" s="162"/>
      <c r="I44" s="162"/>
      <c r="J44" s="163"/>
      <c r="K44" s="164"/>
      <c r="L44" s="147"/>
      <c r="M44" s="165"/>
      <c r="N44" s="166"/>
      <c r="O44" s="162"/>
      <c r="P44" s="163"/>
      <c r="Q44" s="163"/>
      <c r="R44" s="164"/>
      <c r="S44" s="147"/>
      <c r="T44" s="167"/>
      <c r="U44" s="167"/>
      <c r="V44" s="167"/>
    </row>
    <row r="45" spans="1:23" x14ac:dyDescent="0.25">
      <c r="A45" s="75">
        <f t="shared" si="1"/>
        <v>42</v>
      </c>
      <c r="B45" s="74" t="s">
        <v>25</v>
      </c>
      <c r="C45" s="162"/>
      <c r="D45" s="162"/>
      <c r="E45" s="162"/>
      <c r="F45" s="162"/>
      <c r="G45" s="162"/>
      <c r="H45" s="162"/>
      <c r="I45" s="162"/>
      <c r="J45" s="163"/>
      <c r="K45" s="164"/>
      <c r="L45" s="147"/>
      <c r="M45" s="165"/>
      <c r="N45" s="166"/>
      <c r="O45" s="162"/>
      <c r="P45" s="163"/>
      <c r="Q45" s="163"/>
      <c r="R45" s="164"/>
      <c r="S45" s="147"/>
      <c r="T45" s="167">
        <f t="shared" ref="T45:T54" si="7">H45+I45+J45+K45+N45+P45+R45</f>
        <v>0</v>
      </c>
      <c r="U45" s="167">
        <f>C45*24+M45*24+O45*24+Q45*24+T45</f>
        <v>0</v>
      </c>
      <c r="V45" s="167">
        <f>U45/24</f>
        <v>0</v>
      </c>
    </row>
    <row r="46" spans="1:23" x14ac:dyDescent="0.25">
      <c r="A46" s="75">
        <f t="shared" si="1"/>
        <v>43</v>
      </c>
      <c r="B46" s="74" t="s">
        <v>68</v>
      </c>
      <c r="C46" s="162"/>
      <c r="D46" s="162"/>
      <c r="E46" s="162"/>
      <c r="F46" s="162"/>
      <c r="G46" s="162"/>
      <c r="H46" s="162"/>
      <c r="I46" s="162"/>
      <c r="J46" s="163"/>
      <c r="K46" s="164"/>
      <c r="L46" s="147"/>
      <c r="M46" s="165"/>
      <c r="N46" s="166"/>
      <c r="O46" s="162"/>
      <c r="P46" s="163"/>
      <c r="Q46" s="163"/>
      <c r="R46" s="164"/>
      <c r="S46" s="147"/>
      <c r="T46" s="167">
        <f t="shared" si="7"/>
        <v>0</v>
      </c>
      <c r="U46" s="167">
        <f t="shared" ref="U46:U50" si="8">C46*24+M46*24+O46*24+Q46*24+T46</f>
        <v>0</v>
      </c>
      <c r="V46" s="167">
        <f t="shared" ref="V46:V54" si="9">U46/24</f>
        <v>0</v>
      </c>
    </row>
    <row r="47" spans="1:23" ht="19.5" thickBot="1" x14ac:dyDescent="0.3">
      <c r="A47" s="75">
        <f t="shared" si="1"/>
        <v>44</v>
      </c>
      <c r="B47" s="94" t="s">
        <v>26</v>
      </c>
      <c r="C47" s="157"/>
      <c r="D47" s="157"/>
      <c r="E47" s="157"/>
      <c r="F47" s="157"/>
      <c r="G47" s="157"/>
      <c r="H47" s="157"/>
      <c r="I47" s="157"/>
      <c r="J47" s="158"/>
      <c r="K47" s="159"/>
      <c r="L47" s="154"/>
      <c r="M47" s="155"/>
      <c r="N47" s="156"/>
      <c r="O47" s="157"/>
      <c r="P47" s="158"/>
      <c r="Q47" s="158"/>
      <c r="R47" s="159"/>
      <c r="S47" s="154"/>
      <c r="T47" s="169">
        <f t="shared" si="7"/>
        <v>0</v>
      </c>
      <c r="U47" s="169">
        <f>C47*6+M47*6+O47*6+Q47*6+T47</f>
        <v>0</v>
      </c>
      <c r="V47" s="169">
        <f>U47/6</f>
        <v>0</v>
      </c>
    </row>
    <row r="48" spans="1:23" x14ac:dyDescent="0.25">
      <c r="A48" s="75">
        <f t="shared" si="1"/>
        <v>45</v>
      </c>
      <c r="B48" s="73" t="s">
        <v>69</v>
      </c>
      <c r="C48" s="162"/>
      <c r="D48" s="162"/>
      <c r="E48" s="162"/>
      <c r="F48" s="162"/>
      <c r="G48" s="162"/>
      <c r="H48" s="162"/>
      <c r="I48" s="162"/>
      <c r="J48" s="163"/>
      <c r="K48" s="164"/>
      <c r="L48" s="147"/>
      <c r="M48" s="165"/>
      <c r="N48" s="166"/>
      <c r="O48" s="162"/>
      <c r="P48" s="163"/>
      <c r="Q48" s="163"/>
      <c r="R48" s="164"/>
      <c r="S48" s="147"/>
      <c r="T48" s="167">
        <f t="shared" si="7"/>
        <v>0</v>
      </c>
      <c r="U48" s="167">
        <f t="shared" si="8"/>
        <v>0</v>
      </c>
      <c r="V48" s="167">
        <f t="shared" si="9"/>
        <v>0</v>
      </c>
    </row>
    <row r="49" spans="1:22" x14ac:dyDescent="0.25">
      <c r="A49" s="75">
        <f t="shared" si="1"/>
        <v>46</v>
      </c>
      <c r="B49" s="74" t="s">
        <v>28</v>
      </c>
      <c r="C49" s="162"/>
      <c r="D49" s="162"/>
      <c r="E49" s="162"/>
      <c r="F49" s="162"/>
      <c r="G49" s="162"/>
      <c r="H49" s="162"/>
      <c r="I49" s="162"/>
      <c r="J49" s="163"/>
      <c r="K49" s="164"/>
      <c r="L49" s="147"/>
      <c r="M49" s="165"/>
      <c r="N49" s="166"/>
      <c r="O49" s="162"/>
      <c r="P49" s="163"/>
      <c r="Q49" s="163"/>
      <c r="R49" s="164"/>
      <c r="S49" s="147"/>
      <c r="T49" s="167">
        <f t="shared" si="7"/>
        <v>0</v>
      </c>
      <c r="U49" s="167">
        <f t="shared" si="8"/>
        <v>0</v>
      </c>
      <c r="V49" s="167">
        <f t="shared" si="9"/>
        <v>0</v>
      </c>
    </row>
    <row r="50" spans="1:22" x14ac:dyDescent="0.25">
      <c r="A50" s="75">
        <f t="shared" si="1"/>
        <v>47</v>
      </c>
      <c r="B50" s="74" t="s">
        <v>70</v>
      </c>
      <c r="C50" s="162"/>
      <c r="D50" s="162"/>
      <c r="E50" s="162"/>
      <c r="F50" s="162"/>
      <c r="G50" s="162"/>
      <c r="H50" s="162"/>
      <c r="I50" s="162"/>
      <c r="J50" s="163"/>
      <c r="K50" s="164"/>
      <c r="L50" s="147"/>
      <c r="M50" s="165"/>
      <c r="N50" s="166"/>
      <c r="O50" s="162"/>
      <c r="P50" s="163"/>
      <c r="Q50" s="163"/>
      <c r="R50" s="164"/>
      <c r="S50" s="147"/>
      <c r="T50" s="167">
        <f t="shared" si="7"/>
        <v>0</v>
      </c>
      <c r="U50" s="167">
        <f t="shared" si="8"/>
        <v>0</v>
      </c>
      <c r="V50" s="167">
        <f t="shared" si="9"/>
        <v>0</v>
      </c>
    </row>
    <row r="51" spans="1:22" ht="19.5" thickBot="1" x14ac:dyDescent="0.3">
      <c r="A51" s="75">
        <f t="shared" si="1"/>
        <v>48</v>
      </c>
      <c r="B51" s="94" t="s">
        <v>29</v>
      </c>
      <c r="C51" s="157"/>
      <c r="D51" s="157"/>
      <c r="E51" s="157"/>
      <c r="F51" s="157"/>
      <c r="G51" s="157"/>
      <c r="H51" s="157"/>
      <c r="I51" s="157"/>
      <c r="J51" s="158"/>
      <c r="K51" s="159"/>
      <c r="L51" s="154"/>
      <c r="M51" s="155"/>
      <c r="N51" s="156"/>
      <c r="O51" s="157"/>
      <c r="P51" s="158"/>
      <c r="Q51" s="158"/>
      <c r="R51" s="159"/>
      <c r="S51" s="154"/>
      <c r="T51" s="169">
        <f t="shared" si="7"/>
        <v>0</v>
      </c>
      <c r="U51" s="169">
        <f>C51*6+M51*6+O51*6+Q51*6+T51</f>
        <v>0</v>
      </c>
      <c r="V51" s="169">
        <f>U51/6</f>
        <v>0</v>
      </c>
    </row>
    <row r="52" spans="1:22" x14ac:dyDescent="0.25">
      <c r="A52" s="75">
        <f t="shared" si="1"/>
        <v>49</v>
      </c>
      <c r="B52" s="73" t="s">
        <v>30</v>
      </c>
      <c r="C52" s="162"/>
      <c r="D52" s="162"/>
      <c r="E52" s="162"/>
      <c r="F52" s="162"/>
      <c r="G52" s="162"/>
      <c r="H52" s="162"/>
      <c r="I52" s="162"/>
      <c r="J52" s="163"/>
      <c r="K52" s="164"/>
      <c r="L52" s="147"/>
      <c r="M52" s="165"/>
      <c r="N52" s="166"/>
      <c r="O52" s="162"/>
      <c r="P52" s="163"/>
      <c r="Q52" s="163"/>
      <c r="R52" s="164"/>
      <c r="S52" s="147"/>
      <c r="T52" s="167">
        <f t="shared" si="7"/>
        <v>0</v>
      </c>
      <c r="U52" s="167">
        <f t="shared" ref="U52:U54" si="10">C52*24+M52*24+O52*24+Q52*24+T52</f>
        <v>0</v>
      </c>
      <c r="V52" s="167">
        <f t="shared" si="9"/>
        <v>0</v>
      </c>
    </row>
    <row r="53" spans="1:22" x14ac:dyDescent="0.25">
      <c r="A53" s="75">
        <f t="shared" si="1"/>
        <v>50</v>
      </c>
      <c r="B53" s="74" t="s">
        <v>75</v>
      </c>
      <c r="C53" s="162"/>
      <c r="D53" s="162"/>
      <c r="E53" s="162"/>
      <c r="F53" s="162"/>
      <c r="G53" s="162"/>
      <c r="H53" s="162"/>
      <c r="I53" s="162"/>
      <c r="J53" s="163"/>
      <c r="K53" s="164"/>
      <c r="L53" s="147"/>
      <c r="M53" s="165"/>
      <c r="N53" s="166"/>
      <c r="O53" s="162"/>
      <c r="P53" s="163"/>
      <c r="Q53" s="163"/>
      <c r="R53" s="164"/>
      <c r="S53" s="147"/>
      <c r="T53" s="167">
        <f t="shared" si="7"/>
        <v>0</v>
      </c>
      <c r="U53" s="167">
        <f t="shared" si="10"/>
        <v>0</v>
      </c>
      <c r="V53" s="167">
        <f t="shared" si="9"/>
        <v>0</v>
      </c>
    </row>
    <row r="54" spans="1:22" x14ac:dyDescent="0.25">
      <c r="A54" s="75">
        <f t="shared" si="1"/>
        <v>51</v>
      </c>
      <c r="B54" s="74"/>
      <c r="C54" s="162"/>
      <c r="D54" s="162"/>
      <c r="E54" s="162"/>
      <c r="F54" s="162"/>
      <c r="G54" s="162"/>
      <c r="H54" s="162"/>
      <c r="I54" s="162"/>
      <c r="J54" s="163"/>
      <c r="K54" s="164"/>
      <c r="L54" s="147"/>
      <c r="M54" s="165"/>
      <c r="N54" s="166"/>
      <c r="O54" s="162"/>
      <c r="P54" s="163"/>
      <c r="Q54" s="163"/>
      <c r="R54" s="164"/>
      <c r="S54" s="147"/>
      <c r="T54" s="167">
        <f t="shared" si="7"/>
        <v>0</v>
      </c>
      <c r="U54" s="167">
        <f t="shared" si="10"/>
        <v>0</v>
      </c>
      <c r="V54" s="167">
        <f t="shared" si="9"/>
        <v>0</v>
      </c>
    </row>
    <row r="55" spans="1:22" x14ac:dyDescent="0.25">
      <c r="A55" s="75">
        <f t="shared" si="1"/>
        <v>52</v>
      </c>
      <c r="B55" s="74"/>
      <c r="C55" s="162"/>
      <c r="D55" s="162"/>
      <c r="E55" s="162"/>
      <c r="F55" s="162"/>
      <c r="G55" s="162"/>
      <c r="H55" s="162"/>
      <c r="I55" s="162"/>
      <c r="J55" s="163"/>
      <c r="K55" s="164"/>
      <c r="L55" s="147"/>
      <c r="M55" s="165"/>
      <c r="N55" s="166"/>
      <c r="O55" s="162"/>
      <c r="P55" s="163"/>
      <c r="Q55" s="163"/>
      <c r="R55" s="164"/>
      <c r="S55" s="147"/>
      <c r="T55" s="167"/>
      <c r="U55" s="167"/>
      <c r="V55" s="167"/>
    </row>
    <row r="56" spans="1:22" x14ac:dyDescent="0.25">
      <c r="A56" s="75">
        <f t="shared" si="1"/>
        <v>53</v>
      </c>
      <c r="B56" s="74"/>
      <c r="C56" s="162"/>
      <c r="D56" s="162"/>
      <c r="E56" s="162"/>
      <c r="F56" s="162"/>
      <c r="G56" s="162"/>
      <c r="H56" s="162"/>
      <c r="I56" s="162"/>
      <c r="J56" s="163"/>
      <c r="K56" s="164"/>
      <c r="L56" s="147"/>
      <c r="M56" s="165"/>
      <c r="N56" s="166"/>
      <c r="O56" s="162"/>
      <c r="P56" s="163"/>
      <c r="Q56" s="163"/>
      <c r="R56" s="164"/>
      <c r="S56" s="147"/>
      <c r="T56" s="167"/>
      <c r="U56" s="167"/>
      <c r="V56" s="167"/>
    </row>
    <row r="57" spans="1:22" x14ac:dyDescent="0.25">
      <c r="A57" s="75">
        <f t="shared" si="1"/>
        <v>54</v>
      </c>
      <c r="B57" s="74"/>
      <c r="C57" s="162"/>
      <c r="D57" s="162"/>
      <c r="E57" s="162"/>
      <c r="F57" s="162"/>
      <c r="G57" s="162"/>
      <c r="H57" s="162"/>
      <c r="I57" s="162"/>
      <c r="J57" s="163"/>
      <c r="K57" s="164"/>
      <c r="L57" s="147"/>
      <c r="M57" s="165"/>
      <c r="N57" s="166"/>
      <c r="O57" s="162"/>
      <c r="P57" s="163"/>
      <c r="Q57" s="163"/>
      <c r="R57" s="164"/>
      <c r="S57" s="147"/>
      <c r="T57" s="167"/>
      <c r="U57" s="167"/>
      <c r="V57" s="167"/>
    </row>
    <row r="58" spans="1:22" s="63" customFormat="1" ht="19.5" thickBot="1" x14ac:dyDescent="0.3">
      <c r="B58" s="77" t="s">
        <v>60</v>
      </c>
      <c r="C58" s="49">
        <f>SUM(C7:C57)</f>
        <v>0</v>
      </c>
      <c r="D58" s="49"/>
      <c r="E58" s="49"/>
      <c r="F58" s="49">
        <f t="shared" ref="F58:K58" si="11">SUM(F7:F57)</f>
        <v>0</v>
      </c>
      <c r="G58" s="49">
        <f t="shared" si="11"/>
        <v>0</v>
      </c>
      <c r="H58" s="49">
        <f t="shared" si="11"/>
        <v>0</v>
      </c>
      <c r="I58" s="54">
        <f t="shared" si="11"/>
        <v>0</v>
      </c>
      <c r="J58" s="54">
        <f t="shared" si="11"/>
        <v>0</v>
      </c>
      <c r="K58" s="54">
        <f t="shared" si="11"/>
        <v>0</v>
      </c>
      <c r="M58" s="53">
        <f t="shared" ref="M58:R58" si="12">SUM(M7:M57)</f>
        <v>0</v>
      </c>
      <c r="N58" s="53">
        <f t="shared" si="12"/>
        <v>0</v>
      </c>
      <c r="O58" s="53">
        <f t="shared" si="12"/>
        <v>0</v>
      </c>
      <c r="P58" s="53">
        <f t="shared" si="12"/>
        <v>0</v>
      </c>
      <c r="Q58" s="53">
        <f t="shared" si="12"/>
        <v>0</v>
      </c>
      <c r="R58" s="53">
        <f t="shared" si="12"/>
        <v>0</v>
      </c>
      <c r="S58" s="147"/>
      <c r="T58" s="51">
        <f>SUM(T7:T57)</f>
        <v>0</v>
      </c>
      <c r="U58" s="51">
        <f>SUM(U7:U57)</f>
        <v>0</v>
      </c>
      <c r="V58" s="51">
        <f>SUM(V7:V57)</f>
        <v>0</v>
      </c>
    </row>
    <row r="59" spans="1:22" ht="7.5" customHeight="1" thickBot="1" x14ac:dyDescent="0.3"/>
    <row r="60" spans="1:22" ht="19.5" thickBot="1" x14ac:dyDescent="0.3">
      <c r="B60" s="78" t="s">
        <v>39</v>
      </c>
      <c r="C60" s="191" t="s">
        <v>49</v>
      </c>
      <c r="D60" s="192"/>
      <c r="E60" s="192"/>
      <c r="F60" s="192"/>
      <c r="G60" s="192"/>
      <c r="H60" s="192"/>
      <c r="I60" s="192"/>
      <c r="J60" s="192"/>
      <c r="K60" s="193"/>
      <c r="U60" s="72" t="s">
        <v>62</v>
      </c>
    </row>
    <row r="61" spans="1:22" x14ac:dyDescent="0.25">
      <c r="B61" s="79" t="s">
        <v>18</v>
      </c>
      <c r="C61" s="67"/>
      <c r="D61" s="67"/>
      <c r="E61" s="67"/>
      <c r="F61" s="67"/>
      <c r="G61" s="67"/>
      <c r="H61" s="67"/>
      <c r="I61" s="67"/>
      <c r="J61" s="114"/>
      <c r="K61" s="68"/>
      <c r="U61" s="55"/>
    </row>
    <row r="62" spans="1:22" x14ac:dyDescent="0.25">
      <c r="B62" s="80" t="s">
        <v>55</v>
      </c>
      <c r="C62" s="48"/>
      <c r="D62" s="48"/>
      <c r="E62" s="48"/>
      <c r="F62" s="48"/>
      <c r="G62" s="48"/>
      <c r="H62" s="48"/>
      <c r="I62" s="48"/>
      <c r="J62" s="109"/>
      <c r="K62" s="69"/>
      <c r="U62" s="50"/>
    </row>
    <row r="63" spans="1:22" ht="19.5" thickBot="1" x14ac:dyDescent="0.3">
      <c r="B63" s="81" t="s">
        <v>54</v>
      </c>
      <c r="C63" s="70"/>
      <c r="D63" s="70"/>
      <c r="E63" s="70"/>
      <c r="F63" s="70"/>
      <c r="G63" s="70"/>
      <c r="H63" s="70"/>
      <c r="I63" s="70"/>
      <c r="J63" s="115"/>
      <c r="K63" s="71"/>
      <c r="U63" s="56"/>
    </row>
    <row r="64" spans="1:22" ht="7.5" customHeight="1" thickBot="1" x14ac:dyDescent="0.3"/>
    <row r="65" spans="2:21" x14ac:dyDescent="0.25">
      <c r="B65" s="79" t="s">
        <v>56</v>
      </c>
      <c r="C65" s="67"/>
      <c r="D65" s="67"/>
      <c r="E65" s="67"/>
      <c r="F65" s="67"/>
      <c r="G65" s="67"/>
      <c r="H65" s="67"/>
      <c r="I65" s="67"/>
      <c r="J65" s="114"/>
      <c r="K65" s="68"/>
      <c r="U65" s="55"/>
    </row>
    <row r="66" spans="2:21" x14ac:dyDescent="0.25">
      <c r="B66" s="80" t="s">
        <v>55</v>
      </c>
      <c r="C66" s="48"/>
      <c r="D66" s="48"/>
      <c r="E66" s="48"/>
      <c r="F66" s="48"/>
      <c r="G66" s="48"/>
      <c r="H66" s="48"/>
      <c r="I66" s="48"/>
      <c r="J66" s="109"/>
      <c r="K66" s="69"/>
      <c r="U66" s="50"/>
    </row>
    <row r="67" spans="2:21" ht="19.5" thickBot="1" x14ac:dyDescent="0.3">
      <c r="B67" s="81" t="s">
        <v>54</v>
      </c>
      <c r="C67" s="70"/>
      <c r="D67" s="70"/>
      <c r="E67" s="70"/>
      <c r="F67" s="70"/>
      <c r="G67" s="70"/>
      <c r="H67" s="70"/>
      <c r="I67" s="70"/>
      <c r="J67" s="115"/>
      <c r="K67" s="71"/>
      <c r="U67" s="56"/>
    </row>
    <row r="68" spans="2:21" ht="7.5" customHeight="1" thickBot="1" x14ac:dyDescent="0.3"/>
    <row r="69" spans="2:21" x14ac:dyDescent="0.25">
      <c r="B69" s="79" t="s">
        <v>41</v>
      </c>
      <c r="C69" s="67"/>
      <c r="D69" s="67"/>
      <c r="E69" s="67"/>
      <c r="F69" s="67"/>
      <c r="G69" s="67"/>
      <c r="H69" s="67"/>
      <c r="I69" s="67"/>
      <c r="J69" s="114"/>
      <c r="K69" s="68"/>
      <c r="U69" s="55"/>
    </row>
    <row r="70" spans="2:21" x14ac:dyDescent="0.25">
      <c r="B70" s="80" t="s">
        <v>55</v>
      </c>
      <c r="C70" s="48"/>
      <c r="D70" s="48"/>
      <c r="E70" s="48"/>
      <c r="F70" s="48"/>
      <c r="G70" s="48"/>
      <c r="H70" s="48"/>
      <c r="I70" s="48"/>
      <c r="J70" s="109"/>
      <c r="K70" s="69"/>
      <c r="U70" s="50"/>
    </row>
    <row r="71" spans="2:21" ht="19.5" thickBot="1" x14ac:dyDescent="0.3">
      <c r="B71" s="81" t="s">
        <v>54</v>
      </c>
      <c r="C71" s="70"/>
      <c r="D71" s="70"/>
      <c r="E71" s="70"/>
      <c r="F71" s="70"/>
      <c r="G71" s="70"/>
      <c r="H71" s="70"/>
      <c r="I71" s="70"/>
      <c r="J71" s="115"/>
      <c r="K71" s="71"/>
      <c r="U71" s="56"/>
    </row>
    <row r="72" spans="2:21" ht="7.5" customHeight="1" thickBot="1" x14ac:dyDescent="0.3"/>
    <row r="73" spans="2:21" x14ac:dyDescent="0.25">
      <c r="B73" s="79" t="s">
        <v>57</v>
      </c>
      <c r="C73" s="67"/>
      <c r="D73" s="67"/>
      <c r="E73" s="67"/>
      <c r="F73" s="67"/>
      <c r="G73" s="67"/>
      <c r="H73" s="67"/>
      <c r="I73" s="67"/>
      <c r="J73" s="114"/>
      <c r="K73" s="68"/>
      <c r="U73" s="55"/>
    </row>
    <row r="74" spans="2:21" x14ac:dyDescent="0.25">
      <c r="B74" s="80" t="s">
        <v>55</v>
      </c>
      <c r="C74" s="48"/>
      <c r="D74" s="48"/>
      <c r="E74" s="48"/>
      <c r="F74" s="48"/>
      <c r="G74" s="48"/>
      <c r="H74" s="48"/>
      <c r="I74" s="48"/>
      <c r="J74" s="109"/>
      <c r="K74" s="69"/>
      <c r="U74" s="50"/>
    </row>
    <row r="75" spans="2:21" ht="19.5" thickBot="1" x14ac:dyDescent="0.3">
      <c r="B75" s="81" t="s">
        <v>54</v>
      </c>
      <c r="C75" s="70"/>
      <c r="D75" s="70"/>
      <c r="E75" s="70"/>
      <c r="F75" s="70"/>
      <c r="G75" s="70"/>
      <c r="H75" s="70"/>
      <c r="I75" s="70"/>
      <c r="J75" s="115"/>
      <c r="K75" s="71"/>
      <c r="U75" s="56"/>
    </row>
    <row r="76" spans="2:21" ht="7.5" customHeight="1" thickBot="1" x14ac:dyDescent="0.3"/>
    <row r="77" spans="2:21" x14ac:dyDescent="0.25">
      <c r="B77" s="79" t="s">
        <v>58</v>
      </c>
      <c r="C77" s="67"/>
      <c r="D77" s="67"/>
      <c r="E77" s="67"/>
      <c r="F77" s="67"/>
      <c r="G77" s="67"/>
      <c r="H77" s="67"/>
      <c r="I77" s="67"/>
      <c r="J77" s="114"/>
      <c r="K77" s="68"/>
      <c r="U77" s="55"/>
    </row>
    <row r="78" spans="2:21" x14ac:dyDescent="0.25">
      <c r="B78" s="80" t="s">
        <v>55</v>
      </c>
      <c r="C78" s="48"/>
      <c r="D78" s="48"/>
      <c r="E78" s="48"/>
      <c r="F78" s="48"/>
      <c r="G78" s="48"/>
      <c r="H78" s="48"/>
      <c r="I78" s="48"/>
      <c r="J78" s="109"/>
      <c r="K78" s="69"/>
      <c r="U78" s="50"/>
    </row>
    <row r="79" spans="2:21" ht="19.5" thickBot="1" x14ac:dyDescent="0.3">
      <c r="B79" s="81" t="s">
        <v>54</v>
      </c>
      <c r="C79" s="70"/>
      <c r="D79" s="70"/>
      <c r="E79" s="70"/>
      <c r="F79" s="70"/>
      <c r="G79" s="70"/>
      <c r="H79" s="70"/>
      <c r="I79" s="70"/>
      <c r="J79" s="115"/>
      <c r="K79" s="71"/>
      <c r="U79" s="56"/>
    </row>
    <row r="80" spans="2:21" ht="7.5" customHeight="1" thickBot="1" x14ac:dyDescent="0.3"/>
    <row r="81" spans="2:21" ht="19.5" thickBot="1" x14ac:dyDescent="0.3">
      <c r="B81" s="78" t="s">
        <v>59</v>
      </c>
      <c r="C81" s="65"/>
      <c r="D81" s="65"/>
      <c r="E81" s="65"/>
      <c r="F81" s="65"/>
      <c r="G81" s="65"/>
      <c r="H81" s="65"/>
      <c r="I81" s="65"/>
      <c r="J81" s="116"/>
      <c r="K81" s="66"/>
      <c r="U81" s="64"/>
    </row>
  </sheetData>
  <mergeCells count="7">
    <mergeCell ref="V4:V5"/>
    <mergeCell ref="J5:K5"/>
    <mergeCell ref="C60:K60"/>
    <mergeCell ref="I1:U1"/>
    <mergeCell ref="C4:K4"/>
    <mergeCell ref="T4:T5"/>
    <mergeCell ref="U4:U5"/>
  </mergeCells>
  <printOptions horizontalCentered="1" verticalCentered="1"/>
  <pageMargins left="0.19685039370078741" right="0.19685039370078741" top="0.19685039370078741" bottom="0.19685039370078741" header="0.19685039370078741" footer="0.19685039370078741"/>
  <pageSetup paperSize="14" scale="70" orientation="portrait" horizontalDpi="360" verticalDpi="360" r:id="rId1"/>
  <colBreaks count="1" manualBreakCount="1">
    <brk id="24" max="80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CB38A-97B0-45C8-A623-33FB2F149B95}">
  <sheetPr>
    <pageSetUpPr fitToPage="1"/>
  </sheetPr>
  <dimension ref="A1:BB81"/>
  <sheetViews>
    <sheetView zoomScaleNormal="100" zoomScaleSheetLayoutView="115" workbookViewId="0">
      <selection activeCell="C53" sqref="C53"/>
    </sheetView>
  </sheetViews>
  <sheetFormatPr defaultColWidth="9.140625" defaultRowHeight="18.75" x14ac:dyDescent="0.25"/>
  <cols>
    <col min="1" max="1" width="4.140625" style="57" bestFit="1" customWidth="1"/>
    <col min="2" max="2" width="12.28515625" style="76" customWidth="1"/>
    <col min="3" max="6" width="10" style="57" customWidth="1"/>
    <col min="7" max="7" width="6.85546875" style="57" customWidth="1"/>
    <col min="8" max="8" width="6.7109375" style="57" customWidth="1"/>
    <col min="9" max="9" width="6.7109375" style="57" bestFit="1" customWidth="1"/>
    <col min="10" max="10" width="6.85546875" style="57" customWidth="1"/>
    <col min="11" max="11" width="6.7109375" style="57" bestFit="1" customWidth="1"/>
    <col min="12" max="12" width="1.42578125" style="57" customWidth="1"/>
    <col min="13" max="13" width="10" style="57" customWidth="1"/>
    <col min="14" max="14" width="6.7109375" style="57" bestFit="1" customWidth="1"/>
    <col min="15" max="15" width="10" style="57" customWidth="1"/>
    <col min="16" max="16" width="5.5703125" style="57" customWidth="1"/>
    <col min="17" max="17" width="10" style="57" customWidth="1"/>
    <col min="18" max="18" width="6.7109375" style="57" bestFit="1" customWidth="1"/>
    <col min="19" max="19" width="1.42578125" style="57" customWidth="1"/>
    <col min="20" max="20" width="12.7109375" style="57" bestFit="1" customWidth="1"/>
    <col min="21" max="21" width="14.28515625" style="57" customWidth="1"/>
    <col min="22" max="22" width="19.5703125" style="57" bestFit="1" customWidth="1"/>
    <col min="23" max="49" width="7.28515625" style="57" customWidth="1"/>
    <col min="50" max="50" width="1.5703125" style="57" customWidth="1"/>
    <col min="51" max="51" width="9.42578125" style="57" customWidth="1"/>
    <col min="52" max="52" width="1.28515625" style="57" customWidth="1"/>
    <col min="53" max="53" width="12.7109375" style="57" bestFit="1" customWidth="1"/>
    <col min="54" max="54" width="10.28515625" style="57" bestFit="1" customWidth="1"/>
    <col min="55" max="16384" width="9.140625" style="57"/>
  </cols>
  <sheetData>
    <row r="1" spans="1:54" ht="15" customHeight="1" x14ac:dyDescent="0.25">
      <c r="B1" s="75" t="s">
        <v>51</v>
      </c>
      <c r="I1" s="194" t="s">
        <v>53</v>
      </c>
      <c r="J1" s="194"/>
      <c r="K1" s="194"/>
      <c r="L1" s="194"/>
      <c r="M1" s="194"/>
      <c r="N1" s="194"/>
      <c r="O1" s="194"/>
      <c r="P1" s="194"/>
      <c r="Q1" s="194"/>
      <c r="R1" s="194"/>
      <c r="S1" s="194"/>
      <c r="T1" s="194"/>
      <c r="U1" s="194"/>
    </row>
    <row r="2" spans="1:54" x14ac:dyDescent="0.25">
      <c r="B2" s="76" t="s">
        <v>99</v>
      </c>
    </row>
    <row r="3" spans="1:54" ht="19.5" thickBot="1" x14ac:dyDescent="0.3"/>
    <row r="4" spans="1:54" s="58" customFormat="1" ht="15.75" x14ac:dyDescent="0.25">
      <c r="B4" s="93" t="s">
        <v>63</v>
      </c>
      <c r="C4" s="189" t="s">
        <v>49</v>
      </c>
      <c r="D4" s="189"/>
      <c r="E4" s="189"/>
      <c r="F4" s="189"/>
      <c r="G4" s="189"/>
      <c r="H4" s="189"/>
      <c r="I4" s="189"/>
      <c r="J4" s="199"/>
      <c r="K4" s="190"/>
      <c r="M4" s="82" t="s">
        <v>0</v>
      </c>
      <c r="N4" s="117" t="s">
        <v>72</v>
      </c>
      <c r="O4" s="84" t="s">
        <v>45</v>
      </c>
      <c r="P4" s="117" t="s">
        <v>72</v>
      </c>
      <c r="Q4" s="85" t="s">
        <v>46</v>
      </c>
      <c r="R4" s="117" t="s">
        <v>72</v>
      </c>
      <c r="S4" s="57"/>
      <c r="T4" s="200" t="s">
        <v>80</v>
      </c>
      <c r="U4" s="202" t="s">
        <v>79</v>
      </c>
      <c r="V4" s="195" t="s">
        <v>78</v>
      </c>
      <c r="AF4" s="59"/>
      <c r="AG4" s="59"/>
      <c r="AH4" s="59"/>
      <c r="AI4" s="59"/>
      <c r="AJ4" s="59"/>
      <c r="AK4" s="59"/>
      <c r="AL4" s="59"/>
      <c r="AM4" s="59"/>
      <c r="AN4" s="59"/>
      <c r="AO4" s="59"/>
      <c r="AP4" s="59"/>
      <c r="AQ4" s="59"/>
      <c r="AR4" s="59"/>
      <c r="AS4" s="59"/>
      <c r="AT4" s="59"/>
      <c r="AU4" s="59"/>
      <c r="AV4" s="59"/>
      <c r="AW4" s="59"/>
      <c r="AX4" s="59"/>
      <c r="AY4" s="59"/>
      <c r="AZ4" s="59"/>
      <c r="BA4" s="59"/>
      <c r="BB4" s="59"/>
    </row>
    <row r="5" spans="1:54" s="58" customFormat="1" ht="15.75" x14ac:dyDescent="0.25">
      <c r="B5" s="87"/>
      <c r="C5" s="92"/>
      <c r="D5" s="92"/>
      <c r="E5" s="92"/>
      <c r="F5" s="92"/>
      <c r="G5" s="92"/>
      <c r="H5" s="92" t="s">
        <v>76</v>
      </c>
      <c r="I5" s="92" t="s">
        <v>71</v>
      </c>
      <c r="J5" s="197" t="s">
        <v>77</v>
      </c>
      <c r="K5" s="198"/>
      <c r="M5" s="87"/>
      <c r="N5" s="118"/>
      <c r="O5" s="92"/>
      <c r="P5" s="143"/>
      <c r="Q5" s="143"/>
      <c r="R5" s="89"/>
      <c r="S5" s="57"/>
      <c r="T5" s="201"/>
      <c r="U5" s="203"/>
      <c r="V5" s="196"/>
      <c r="AF5" s="59"/>
      <c r="AG5" s="59"/>
      <c r="AH5" s="59"/>
      <c r="AI5" s="59"/>
      <c r="AJ5" s="59"/>
      <c r="AK5" s="59"/>
      <c r="AL5" s="59"/>
      <c r="AM5" s="59"/>
      <c r="AN5" s="59"/>
      <c r="AO5" s="59"/>
      <c r="AP5" s="59"/>
      <c r="AQ5" s="59"/>
      <c r="AR5" s="59"/>
      <c r="AS5" s="59"/>
      <c r="AT5" s="59"/>
      <c r="AU5" s="59"/>
      <c r="AV5" s="59"/>
      <c r="AW5" s="59"/>
      <c r="AX5" s="59"/>
      <c r="AY5" s="59"/>
      <c r="AZ5" s="59"/>
      <c r="BA5" s="59"/>
      <c r="BB5" s="59"/>
    </row>
    <row r="6" spans="1:54" s="58" customFormat="1" ht="15.75" x14ac:dyDescent="0.25">
      <c r="B6" s="87"/>
      <c r="C6" s="92"/>
      <c r="D6" s="92"/>
      <c r="E6" s="92"/>
      <c r="F6" s="92"/>
      <c r="G6" s="92"/>
      <c r="H6" s="92"/>
      <c r="I6" s="92"/>
      <c r="J6" s="143"/>
      <c r="K6" s="89"/>
      <c r="M6" s="87"/>
      <c r="N6" s="118"/>
      <c r="O6" s="92"/>
      <c r="P6" s="143"/>
      <c r="Q6" s="143"/>
      <c r="R6" s="89"/>
      <c r="S6" s="57"/>
      <c r="T6" s="90"/>
      <c r="U6" s="90"/>
      <c r="V6" s="90"/>
      <c r="AF6" s="59"/>
      <c r="AG6" s="59"/>
      <c r="AH6" s="59"/>
      <c r="AI6" s="59"/>
      <c r="AJ6" s="59"/>
      <c r="AK6" s="59"/>
      <c r="AL6" s="59"/>
      <c r="AM6" s="59"/>
      <c r="AN6" s="59"/>
      <c r="AO6" s="59"/>
      <c r="AP6" s="59"/>
      <c r="AQ6" s="59"/>
      <c r="AR6" s="59"/>
      <c r="AS6" s="59"/>
      <c r="AT6" s="59"/>
      <c r="AU6" s="59"/>
      <c r="AV6" s="59"/>
      <c r="AW6" s="59"/>
      <c r="AX6" s="59"/>
      <c r="AY6" s="59"/>
      <c r="AZ6" s="59"/>
      <c r="BA6" s="59"/>
      <c r="BB6" s="59"/>
    </row>
    <row r="7" spans="1:54" x14ac:dyDescent="0.25">
      <c r="A7" s="75">
        <v>1</v>
      </c>
      <c r="B7" s="74" t="s">
        <v>34</v>
      </c>
      <c r="C7" s="144">
        <v>25</v>
      </c>
      <c r="D7" s="144"/>
      <c r="E7" s="144"/>
      <c r="F7" s="144"/>
      <c r="G7" s="144"/>
      <c r="H7" s="144">
        <v>5</v>
      </c>
      <c r="I7" s="144">
        <v>1</v>
      </c>
      <c r="J7" s="145"/>
      <c r="K7" s="146">
        <v>6</v>
      </c>
      <c r="L7" s="147"/>
      <c r="M7" s="148">
        <v>1</v>
      </c>
      <c r="N7" s="149">
        <v>12</v>
      </c>
      <c r="O7" s="144">
        <v>3</v>
      </c>
      <c r="P7" s="145"/>
      <c r="Q7" s="145"/>
      <c r="R7" s="146"/>
      <c r="S7" s="147"/>
      <c r="T7" s="150">
        <f>H7+I7+J7+K7+N7+P7+R7</f>
        <v>24</v>
      </c>
      <c r="U7" s="150">
        <f>C7*24+M7*24+O7*24+Q7*24+T7</f>
        <v>720</v>
      </c>
      <c r="V7" s="150">
        <f>U7/24</f>
        <v>30</v>
      </c>
      <c r="W7" s="123"/>
      <c r="AF7" s="60"/>
      <c r="AG7" s="60"/>
      <c r="AH7" s="60"/>
      <c r="AI7" s="60"/>
      <c r="AJ7" s="60"/>
      <c r="AK7" s="60"/>
      <c r="AL7" s="60"/>
      <c r="AM7" s="60"/>
      <c r="AN7" s="60"/>
      <c r="AO7" s="60"/>
      <c r="AP7" s="60"/>
      <c r="AQ7" s="60"/>
      <c r="AR7" s="60"/>
      <c r="AS7" s="60"/>
      <c r="AT7" s="60"/>
      <c r="AU7" s="60"/>
      <c r="AV7" s="60"/>
      <c r="AW7" s="60"/>
      <c r="AX7" s="60"/>
      <c r="AY7" s="60"/>
      <c r="AZ7" s="60"/>
      <c r="BA7" s="60"/>
      <c r="BB7" s="60"/>
    </row>
    <row r="8" spans="1:54" ht="19.5" thickBot="1" x14ac:dyDescent="0.3">
      <c r="A8" s="75">
        <f>A7+1</f>
        <v>2</v>
      </c>
      <c r="B8" s="94" t="s">
        <v>37</v>
      </c>
      <c r="C8" s="151">
        <f>63+28</f>
        <v>91</v>
      </c>
      <c r="D8" s="151"/>
      <c r="E8" s="151"/>
      <c r="F8" s="151"/>
      <c r="G8" s="151"/>
      <c r="H8" s="151"/>
      <c r="I8" s="151"/>
      <c r="J8" s="152"/>
      <c r="K8" s="153"/>
      <c r="L8" s="154"/>
      <c r="M8" s="155"/>
      <c r="N8" s="156"/>
      <c r="O8" s="157"/>
      <c r="P8" s="158"/>
      <c r="Q8" s="158">
        <v>2</v>
      </c>
      <c r="R8" s="159"/>
      <c r="S8" s="154"/>
      <c r="T8" s="160">
        <f t="shared" ref="T8:T41" si="0">H8+I8+J8+K8+N8+P8+R8</f>
        <v>0</v>
      </c>
      <c r="U8" s="161">
        <f>C8*24+M8*24+O8*24+Q8*24+T8</f>
        <v>2232</v>
      </c>
      <c r="V8" s="161">
        <f>U8/24</f>
        <v>93</v>
      </c>
      <c r="W8" s="123"/>
      <c r="AF8" s="60"/>
      <c r="AG8" s="60"/>
      <c r="AH8" s="60"/>
      <c r="AI8" s="60"/>
      <c r="AJ8" s="60"/>
      <c r="AK8" s="60"/>
      <c r="AL8" s="60"/>
      <c r="AM8" s="60"/>
      <c r="AN8" s="60"/>
      <c r="AO8" s="60"/>
      <c r="AP8" s="60"/>
      <c r="AQ8" s="60"/>
      <c r="AR8" s="60"/>
      <c r="AS8" s="60"/>
      <c r="AT8" s="60"/>
      <c r="AU8" s="60"/>
      <c r="AV8" s="60"/>
      <c r="AW8" s="60"/>
      <c r="AX8" s="60"/>
      <c r="AY8" s="60"/>
      <c r="AZ8" s="60"/>
      <c r="BA8" s="60"/>
      <c r="BB8" s="60"/>
    </row>
    <row r="9" spans="1:54" x14ac:dyDescent="0.25">
      <c r="A9" s="75">
        <f t="shared" ref="A9:A57" si="1">A8+1</f>
        <v>3</v>
      </c>
      <c r="B9" s="73" t="s">
        <v>35</v>
      </c>
      <c r="C9" s="162"/>
      <c r="D9" s="162"/>
      <c r="E9" s="162"/>
      <c r="F9" s="162"/>
      <c r="G9" s="162"/>
      <c r="H9" s="162"/>
      <c r="I9" s="162"/>
      <c r="J9" s="163"/>
      <c r="K9" s="164"/>
      <c r="L9" s="147"/>
      <c r="M9" s="165"/>
      <c r="N9" s="166"/>
      <c r="O9" s="162"/>
      <c r="P9" s="163"/>
      <c r="Q9" s="163"/>
      <c r="R9" s="164"/>
      <c r="S9" s="147"/>
      <c r="T9" s="167">
        <f t="shared" si="0"/>
        <v>0</v>
      </c>
      <c r="U9" s="168">
        <f t="shared" ref="U9:U11" si="2">C9*24+M9*24+O9*24+Q9*24+T9</f>
        <v>0</v>
      </c>
      <c r="V9" s="168">
        <f t="shared" ref="V9:V11" si="3">U9/24</f>
        <v>0</v>
      </c>
      <c r="W9" s="123"/>
      <c r="AF9" s="60"/>
      <c r="AG9" s="60"/>
      <c r="AH9" s="60"/>
      <c r="AI9" s="60"/>
      <c r="AJ9" s="60"/>
      <c r="AK9" s="60"/>
      <c r="AL9" s="60"/>
      <c r="AM9" s="60"/>
      <c r="AN9" s="60"/>
      <c r="AO9" s="60"/>
      <c r="AP9" s="60"/>
      <c r="AQ9" s="60"/>
      <c r="AR9" s="60"/>
      <c r="AS9" s="60"/>
      <c r="AT9" s="60"/>
      <c r="AU9" s="60"/>
      <c r="AV9" s="60"/>
      <c r="AW9" s="60"/>
      <c r="AX9" s="60"/>
      <c r="AY9" s="60"/>
      <c r="AZ9" s="60"/>
      <c r="BA9" s="60"/>
      <c r="BB9" s="60"/>
    </row>
    <row r="10" spans="1:54" x14ac:dyDescent="0.25">
      <c r="A10" s="75">
        <f t="shared" si="1"/>
        <v>4</v>
      </c>
      <c r="B10" s="74" t="s">
        <v>38</v>
      </c>
      <c r="C10" s="162">
        <v>55</v>
      </c>
      <c r="D10" s="162"/>
      <c r="E10" s="162"/>
      <c r="F10" s="162"/>
      <c r="G10" s="162"/>
      <c r="H10" s="162"/>
      <c r="I10" s="162"/>
      <c r="J10" s="163"/>
      <c r="K10" s="164"/>
      <c r="L10" s="147"/>
      <c r="M10" s="165"/>
      <c r="N10" s="166"/>
      <c r="O10" s="162">
        <v>2</v>
      </c>
      <c r="P10" s="163"/>
      <c r="Q10" s="163"/>
      <c r="R10" s="164"/>
      <c r="S10" s="147"/>
      <c r="T10" s="150">
        <f t="shared" si="0"/>
        <v>0</v>
      </c>
      <c r="U10" s="150">
        <f t="shared" si="2"/>
        <v>1368</v>
      </c>
      <c r="V10" s="150">
        <f t="shared" si="3"/>
        <v>57</v>
      </c>
      <c r="W10" s="123"/>
      <c r="AF10" s="60"/>
      <c r="AG10" s="60"/>
      <c r="AH10" s="60"/>
      <c r="AI10" s="60"/>
      <c r="AJ10" s="60"/>
      <c r="AK10" s="60"/>
      <c r="AL10" s="60"/>
      <c r="AM10" s="60"/>
      <c r="AN10" s="60"/>
      <c r="AO10" s="60"/>
      <c r="AP10" s="60"/>
      <c r="AQ10" s="60"/>
      <c r="AR10" s="60"/>
      <c r="AS10" s="60"/>
      <c r="AT10" s="60"/>
      <c r="AU10" s="60"/>
      <c r="AV10" s="60"/>
      <c r="AW10" s="60"/>
      <c r="AX10" s="60"/>
      <c r="AY10" s="60"/>
      <c r="AZ10" s="60"/>
      <c r="BA10" s="60"/>
      <c r="BB10" s="60"/>
    </row>
    <row r="11" spans="1:54" x14ac:dyDescent="0.25">
      <c r="A11" s="75">
        <f t="shared" si="1"/>
        <v>5</v>
      </c>
      <c r="B11" s="74" t="s">
        <v>36</v>
      </c>
      <c r="C11" s="162"/>
      <c r="D11" s="162"/>
      <c r="E11" s="162"/>
      <c r="F11" s="162"/>
      <c r="G11" s="162"/>
      <c r="H11" s="162">
        <v>22</v>
      </c>
      <c r="I11" s="162"/>
      <c r="J11" s="163"/>
      <c r="K11" s="164">
        <v>2</v>
      </c>
      <c r="L11" s="147"/>
      <c r="M11" s="165"/>
      <c r="N11" s="166"/>
      <c r="O11" s="162"/>
      <c r="P11" s="163"/>
      <c r="Q11" s="163"/>
      <c r="R11" s="164"/>
      <c r="S11" s="147"/>
      <c r="T11" s="150">
        <f t="shared" si="0"/>
        <v>24</v>
      </c>
      <c r="U11" s="150">
        <f t="shared" si="2"/>
        <v>24</v>
      </c>
      <c r="V11" s="150">
        <f t="shared" si="3"/>
        <v>1</v>
      </c>
      <c r="AF11" s="60"/>
      <c r="AG11" s="60"/>
      <c r="AH11" s="60"/>
      <c r="AI11" s="60"/>
      <c r="AJ11" s="60"/>
      <c r="AK11" s="60"/>
      <c r="AL11" s="60"/>
      <c r="AM11" s="60"/>
      <c r="AN11" s="60"/>
      <c r="AO11" s="60"/>
      <c r="AP11" s="60"/>
      <c r="AQ11" s="60"/>
      <c r="AR11" s="60"/>
      <c r="AS11" s="60"/>
      <c r="AT11" s="60"/>
      <c r="AU11" s="60"/>
      <c r="AV11" s="60"/>
      <c r="AW11" s="60"/>
      <c r="AX11" s="60"/>
      <c r="AY11" s="60"/>
      <c r="AZ11" s="60"/>
      <c r="BA11" s="60"/>
      <c r="BB11" s="60"/>
    </row>
    <row r="12" spans="1:54" s="61" customFormat="1" ht="19.5" thickBot="1" x14ac:dyDescent="0.3">
      <c r="A12" s="75">
        <v>7</v>
      </c>
      <c r="B12" s="94" t="s">
        <v>32</v>
      </c>
      <c r="C12" s="151">
        <f>72+1224+51+1440+576</f>
        <v>3363</v>
      </c>
      <c r="D12" s="151"/>
      <c r="E12" s="151"/>
      <c r="F12" s="151"/>
      <c r="G12" s="151"/>
      <c r="H12" s="151"/>
      <c r="I12" s="151"/>
      <c r="J12" s="152"/>
      <c r="K12" s="153"/>
      <c r="L12" s="154"/>
      <c r="M12" s="155">
        <v>8</v>
      </c>
      <c r="N12" s="156">
        <v>18</v>
      </c>
      <c r="O12" s="157">
        <v>12</v>
      </c>
      <c r="P12" s="158"/>
      <c r="Q12" s="158">
        <v>20</v>
      </c>
      <c r="R12" s="159">
        <v>4</v>
      </c>
      <c r="S12" s="154"/>
      <c r="T12" s="150">
        <f t="shared" si="0"/>
        <v>22</v>
      </c>
      <c r="U12" s="161">
        <f>C12*24+M12*24+O12*24+Q12*24+T12</f>
        <v>81694</v>
      </c>
      <c r="V12" s="161">
        <f>U12/24</f>
        <v>3403.9166666666665</v>
      </c>
      <c r="W12" s="57"/>
      <c r="X12" s="57"/>
      <c r="Y12" s="57"/>
      <c r="Z12" s="57"/>
      <c r="AA12" s="57"/>
      <c r="AB12" s="57"/>
      <c r="AC12" s="57"/>
      <c r="AD12" s="57"/>
      <c r="AE12" s="57"/>
      <c r="AF12" s="60"/>
      <c r="AG12" s="60"/>
      <c r="AH12" s="60"/>
      <c r="AI12" s="60"/>
      <c r="AJ12" s="60"/>
      <c r="AK12" s="60"/>
      <c r="AL12" s="60"/>
      <c r="AM12" s="60"/>
      <c r="AN12" s="60"/>
      <c r="AO12" s="60"/>
      <c r="AP12" s="60"/>
      <c r="AQ12" s="60"/>
      <c r="AR12" s="60"/>
      <c r="AS12" s="60"/>
      <c r="AT12" s="60"/>
      <c r="AU12" s="60"/>
      <c r="AV12" s="60"/>
      <c r="AW12" s="60"/>
      <c r="AX12" s="60"/>
      <c r="AY12" s="60"/>
      <c r="AZ12" s="60"/>
      <c r="BA12" s="60"/>
      <c r="BB12" s="60"/>
    </row>
    <row r="13" spans="1:54" x14ac:dyDescent="0.25">
      <c r="A13" s="75">
        <v>11</v>
      </c>
      <c r="B13" s="73" t="s">
        <v>1</v>
      </c>
      <c r="C13" s="162">
        <v>5</v>
      </c>
      <c r="D13" s="162"/>
      <c r="E13" s="162"/>
      <c r="F13" s="162"/>
      <c r="G13" s="162"/>
      <c r="H13" s="162"/>
      <c r="I13" s="162"/>
      <c r="J13" s="163"/>
      <c r="K13" s="164"/>
      <c r="L13" s="147"/>
      <c r="M13" s="165"/>
      <c r="N13" s="166"/>
      <c r="O13" s="162"/>
      <c r="P13" s="163"/>
      <c r="Q13" s="163"/>
      <c r="R13" s="164"/>
      <c r="S13" s="147"/>
      <c r="T13" s="150">
        <f t="shared" si="0"/>
        <v>0</v>
      </c>
      <c r="U13" s="168">
        <f>C13*24+M13*24+O13*24+Q13*24+T13</f>
        <v>120</v>
      </c>
      <c r="V13" s="168">
        <f>U13/24</f>
        <v>5</v>
      </c>
      <c r="AF13" s="60"/>
      <c r="AG13" s="60"/>
      <c r="AH13" s="60"/>
      <c r="AI13" s="60"/>
      <c r="AJ13" s="60"/>
      <c r="AK13" s="60"/>
      <c r="AL13" s="60"/>
      <c r="AM13" s="60"/>
      <c r="AN13" s="60"/>
      <c r="AO13" s="60"/>
      <c r="AP13" s="60"/>
      <c r="AQ13" s="60"/>
      <c r="AR13" s="60"/>
      <c r="AS13" s="60"/>
      <c r="AT13" s="60"/>
      <c r="AU13" s="60"/>
      <c r="AV13" s="60"/>
      <c r="AW13" s="60"/>
      <c r="AX13" s="60"/>
      <c r="AY13" s="60"/>
      <c r="AZ13" s="60"/>
      <c r="BA13" s="60"/>
      <c r="BB13" s="60"/>
    </row>
    <row r="14" spans="1:54" x14ac:dyDescent="0.25">
      <c r="A14" s="75">
        <f t="shared" si="1"/>
        <v>12</v>
      </c>
      <c r="B14" s="74" t="s">
        <v>2</v>
      </c>
      <c r="C14" s="162"/>
      <c r="D14" s="162"/>
      <c r="E14" s="162"/>
      <c r="F14" s="162"/>
      <c r="G14" s="162"/>
      <c r="H14" s="162"/>
      <c r="I14" s="162"/>
      <c r="J14" s="163"/>
      <c r="K14" s="164"/>
      <c r="L14" s="147"/>
      <c r="M14" s="165"/>
      <c r="N14" s="166"/>
      <c r="O14" s="162"/>
      <c r="P14" s="163"/>
      <c r="Q14" s="163"/>
      <c r="R14" s="164"/>
      <c r="S14" s="147"/>
      <c r="T14" s="150">
        <f t="shared" si="0"/>
        <v>0</v>
      </c>
      <c r="U14" s="167">
        <f t="shared" ref="U14:U36" si="4">C14*24+M14*24+O14*24+Q14*24+T14</f>
        <v>0</v>
      </c>
      <c r="V14" s="167">
        <f t="shared" ref="V14:V36" si="5">U14/24</f>
        <v>0</v>
      </c>
      <c r="AF14" s="60"/>
      <c r="AG14" s="60"/>
      <c r="AH14" s="60"/>
      <c r="AI14" s="60"/>
      <c r="AJ14" s="60"/>
      <c r="AK14" s="60"/>
      <c r="AL14" s="60"/>
      <c r="AM14" s="60"/>
      <c r="AN14" s="60"/>
      <c r="AO14" s="60"/>
      <c r="AP14" s="60"/>
      <c r="AQ14" s="60"/>
      <c r="AR14" s="60"/>
      <c r="AS14" s="60"/>
      <c r="AT14" s="60"/>
      <c r="AU14" s="60"/>
      <c r="AV14" s="60"/>
      <c r="AW14" s="60"/>
      <c r="AX14" s="60"/>
      <c r="AY14" s="60"/>
      <c r="AZ14" s="60"/>
      <c r="BA14" s="60"/>
      <c r="BB14" s="60"/>
    </row>
    <row r="15" spans="1:54" x14ac:dyDescent="0.25">
      <c r="A15" s="75">
        <f t="shared" si="1"/>
        <v>13</v>
      </c>
      <c r="B15" s="74" t="s">
        <v>3</v>
      </c>
      <c r="C15" s="162"/>
      <c r="D15" s="162"/>
      <c r="E15" s="162"/>
      <c r="F15" s="162"/>
      <c r="G15" s="162"/>
      <c r="H15" s="162"/>
      <c r="I15" s="162"/>
      <c r="J15" s="163"/>
      <c r="K15" s="164"/>
      <c r="L15" s="147"/>
      <c r="M15" s="165"/>
      <c r="N15" s="166"/>
      <c r="O15" s="162"/>
      <c r="P15" s="163"/>
      <c r="Q15" s="163"/>
      <c r="R15" s="164"/>
      <c r="S15" s="147"/>
      <c r="T15" s="150">
        <f t="shared" si="0"/>
        <v>0</v>
      </c>
      <c r="U15" s="167">
        <f t="shared" si="4"/>
        <v>0</v>
      </c>
      <c r="V15" s="167">
        <f t="shared" si="5"/>
        <v>0</v>
      </c>
      <c r="AF15" s="60"/>
      <c r="AG15" s="60"/>
      <c r="AH15" s="60"/>
      <c r="AI15" s="60"/>
      <c r="AJ15" s="60"/>
      <c r="AK15" s="60"/>
      <c r="AL15" s="60"/>
      <c r="AM15" s="60"/>
      <c r="AN15" s="60"/>
      <c r="AO15" s="60"/>
      <c r="AP15" s="60"/>
      <c r="AQ15" s="60"/>
      <c r="AR15" s="60"/>
      <c r="AS15" s="60"/>
      <c r="AT15" s="60"/>
      <c r="AU15" s="60"/>
      <c r="AV15" s="60"/>
      <c r="AW15" s="60"/>
      <c r="AX15" s="60"/>
      <c r="AY15" s="60"/>
      <c r="AZ15" s="60"/>
      <c r="BA15" s="60"/>
      <c r="BB15" s="60"/>
    </row>
    <row r="16" spans="1:54" x14ac:dyDescent="0.25">
      <c r="A16" s="75">
        <f t="shared" si="1"/>
        <v>14</v>
      </c>
      <c r="B16" s="74" t="s">
        <v>4</v>
      </c>
      <c r="C16" s="162"/>
      <c r="D16" s="162"/>
      <c r="E16" s="162"/>
      <c r="F16" s="162"/>
      <c r="G16" s="162"/>
      <c r="H16" s="162"/>
      <c r="I16" s="162"/>
      <c r="J16" s="163"/>
      <c r="K16" s="164"/>
      <c r="L16" s="147"/>
      <c r="M16" s="165"/>
      <c r="N16" s="166"/>
      <c r="O16" s="162"/>
      <c r="P16" s="163"/>
      <c r="Q16" s="163"/>
      <c r="R16" s="164"/>
      <c r="S16" s="147"/>
      <c r="T16" s="150">
        <f t="shared" si="0"/>
        <v>0</v>
      </c>
      <c r="U16" s="167">
        <f t="shared" si="4"/>
        <v>0</v>
      </c>
      <c r="V16" s="167">
        <f t="shared" si="5"/>
        <v>0</v>
      </c>
      <c r="AF16" s="60"/>
      <c r="AG16" s="60"/>
      <c r="AH16" s="60"/>
      <c r="AI16" s="60"/>
      <c r="AJ16" s="60"/>
      <c r="AK16" s="60"/>
      <c r="AL16" s="60"/>
      <c r="AM16" s="60"/>
      <c r="AN16" s="60"/>
      <c r="AO16" s="60"/>
      <c r="AP16" s="60"/>
      <c r="AQ16" s="60"/>
      <c r="AR16" s="60"/>
      <c r="AS16" s="60"/>
      <c r="AT16" s="60"/>
      <c r="AU16" s="60"/>
      <c r="AV16" s="60"/>
      <c r="AW16" s="60"/>
      <c r="AX16" s="60"/>
      <c r="AY16" s="60"/>
      <c r="AZ16" s="60"/>
      <c r="BA16" s="60"/>
      <c r="BB16" s="60"/>
    </row>
    <row r="17" spans="1:54" x14ac:dyDescent="0.25">
      <c r="A17" s="75">
        <f t="shared" si="1"/>
        <v>15</v>
      </c>
      <c r="B17" s="74" t="s">
        <v>5</v>
      </c>
      <c r="C17" s="162">
        <v>4</v>
      </c>
      <c r="D17" s="162"/>
      <c r="E17" s="162"/>
      <c r="F17" s="162"/>
      <c r="G17" s="162"/>
      <c r="H17" s="162"/>
      <c r="I17" s="162"/>
      <c r="J17" s="163"/>
      <c r="K17" s="164"/>
      <c r="L17" s="147"/>
      <c r="M17" s="165"/>
      <c r="N17" s="166"/>
      <c r="O17" s="162"/>
      <c r="P17" s="163"/>
      <c r="Q17" s="163"/>
      <c r="R17" s="164"/>
      <c r="S17" s="147"/>
      <c r="T17" s="150">
        <f t="shared" si="0"/>
        <v>0</v>
      </c>
      <c r="U17" s="167">
        <f t="shared" si="4"/>
        <v>96</v>
      </c>
      <c r="V17" s="167">
        <f t="shared" si="5"/>
        <v>4</v>
      </c>
      <c r="AF17" s="60"/>
      <c r="AG17" s="60"/>
      <c r="AH17" s="60"/>
      <c r="AI17" s="60"/>
      <c r="AJ17" s="60"/>
      <c r="AK17" s="60"/>
      <c r="AL17" s="60"/>
      <c r="AM17" s="60"/>
      <c r="AN17" s="60"/>
      <c r="AO17" s="60"/>
      <c r="AP17" s="60"/>
      <c r="AQ17" s="60"/>
      <c r="AR17" s="60"/>
      <c r="AS17" s="60"/>
      <c r="AT17" s="60"/>
      <c r="AU17" s="60"/>
      <c r="AV17" s="60"/>
      <c r="AW17" s="60"/>
      <c r="AX17" s="60"/>
      <c r="AY17" s="60"/>
      <c r="AZ17" s="60"/>
      <c r="BA17" s="60"/>
      <c r="BB17" s="60"/>
    </row>
    <row r="18" spans="1:54" hidden="1" x14ac:dyDescent="0.25">
      <c r="A18" s="75">
        <f t="shared" si="1"/>
        <v>16</v>
      </c>
      <c r="B18" s="74" t="s">
        <v>10</v>
      </c>
      <c r="C18" s="162"/>
      <c r="D18" s="162"/>
      <c r="E18" s="162"/>
      <c r="F18" s="162"/>
      <c r="G18" s="162"/>
      <c r="H18" s="162"/>
      <c r="I18" s="162"/>
      <c r="J18" s="163"/>
      <c r="K18" s="164"/>
      <c r="L18" s="147"/>
      <c r="M18" s="165"/>
      <c r="N18" s="166"/>
      <c r="O18" s="162"/>
      <c r="P18" s="163"/>
      <c r="Q18" s="163"/>
      <c r="R18" s="164"/>
      <c r="S18" s="147"/>
      <c r="T18" s="150">
        <f t="shared" si="0"/>
        <v>0</v>
      </c>
      <c r="U18" s="167">
        <f t="shared" si="4"/>
        <v>0</v>
      </c>
      <c r="V18" s="167">
        <f t="shared" si="5"/>
        <v>0</v>
      </c>
      <c r="AF18" s="60"/>
      <c r="AG18" s="60"/>
      <c r="AH18" s="60"/>
      <c r="AI18" s="60"/>
      <c r="AJ18" s="60"/>
      <c r="AK18" s="60"/>
      <c r="AL18" s="60"/>
      <c r="AM18" s="60"/>
      <c r="AN18" s="60"/>
      <c r="AO18" s="60"/>
      <c r="AP18" s="60"/>
      <c r="AQ18" s="60"/>
      <c r="AR18" s="60"/>
      <c r="AS18" s="60"/>
      <c r="AT18" s="60"/>
      <c r="AU18" s="60"/>
      <c r="AV18" s="60"/>
      <c r="AW18" s="60"/>
      <c r="AX18" s="60"/>
      <c r="AY18" s="60"/>
      <c r="AZ18" s="60"/>
      <c r="BA18" s="60"/>
      <c r="BB18" s="60"/>
    </row>
    <row r="19" spans="1:54" x14ac:dyDescent="0.25">
      <c r="A19" s="75">
        <v>16</v>
      </c>
      <c r="B19" s="74" t="s">
        <v>64</v>
      </c>
      <c r="C19" s="162">
        <v>4</v>
      </c>
      <c r="D19" s="162"/>
      <c r="E19" s="162"/>
      <c r="F19" s="162"/>
      <c r="G19" s="162"/>
      <c r="H19" s="162"/>
      <c r="I19" s="162"/>
      <c r="J19" s="163"/>
      <c r="K19" s="164"/>
      <c r="L19" s="147"/>
      <c r="M19" s="165"/>
      <c r="N19" s="166"/>
      <c r="O19" s="162"/>
      <c r="P19" s="163"/>
      <c r="Q19" s="163"/>
      <c r="R19" s="164"/>
      <c r="S19" s="147"/>
      <c r="T19" s="150">
        <f t="shared" si="0"/>
        <v>0</v>
      </c>
      <c r="U19" s="167">
        <f t="shared" si="4"/>
        <v>96</v>
      </c>
      <c r="V19" s="167">
        <f t="shared" si="5"/>
        <v>4</v>
      </c>
      <c r="AF19" s="60"/>
      <c r="AG19" s="60"/>
      <c r="AH19" s="60"/>
      <c r="AI19" s="60"/>
      <c r="AJ19" s="60"/>
      <c r="AK19" s="60"/>
      <c r="AL19" s="60"/>
      <c r="AM19" s="60"/>
      <c r="AN19" s="60"/>
      <c r="AO19" s="60"/>
      <c r="AP19" s="60"/>
      <c r="AQ19" s="60"/>
      <c r="AR19" s="60"/>
      <c r="AS19" s="60"/>
      <c r="AT19" s="60"/>
      <c r="AU19" s="60"/>
      <c r="AV19" s="60"/>
      <c r="AW19" s="60"/>
      <c r="AX19" s="60"/>
      <c r="AY19" s="60"/>
      <c r="AZ19" s="60"/>
      <c r="BA19" s="60"/>
      <c r="BB19" s="60"/>
    </row>
    <row r="20" spans="1:54" x14ac:dyDescent="0.25">
      <c r="A20" s="75">
        <f t="shared" si="1"/>
        <v>17</v>
      </c>
      <c r="B20" s="74" t="s">
        <v>6</v>
      </c>
      <c r="C20" s="162">
        <v>6</v>
      </c>
      <c r="D20" s="162"/>
      <c r="E20" s="162"/>
      <c r="F20" s="162"/>
      <c r="G20" s="162"/>
      <c r="H20" s="162"/>
      <c r="I20" s="162"/>
      <c r="J20" s="163"/>
      <c r="K20" s="164"/>
      <c r="L20" s="147"/>
      <c r="M20" s="165"/>
      <c r="N20" s="166"/>
      <c r="O20" s="162"/>
      <c r="P20" s="163"/>
      <c r="Q20" s="163"/>
      <c r="R20" s="164"/>
      <c r="S20" s="147"/>
      <c r="T20" s="150">
        <f t="shared" si="0"/>
        <v>0</v>
      </c>
      <c r="U20" s="167">
        <f t="shared" si="4"/>
        <v>144</v>
      </c>
      <c r="V20" s="167">
        <f t="shared" si="5"/>
        <v>6</v>
      </c>
      <c r="AF20" s="60"/>
      <c r="AG20" s="60"/>
      <c r="AH20" s="60"/>
      <c r="AI20" s="60"/>
      <c r="AJ20" s="60"/>
      <c r="AK20" s="60"/>
      <c r="AL20" s="60"/>
      <c r="AM20" s="60"/>
      <c r="AN20" s="60"/>
      <c r="AO20" s="60"/>
      <c r="AP20" s="60"/>
      <c r="AQ20" s="60"/>
      <c r="AR20" s="60"/>
      <c r="AS20" s="60"/>
      <c r="AT20" s="60"/>
      <c r="AU20" s="60"/>
      <c r="AV20" s="60"/>
      <c r="AW20" s="60"/>
      <c r="AX20" s="60"/>
      <c r="AY20" s="60"/>
      <c r="AZ20" s="60"/>
      <c r="BA20" s="60"/>
      <c r="BB20" s="60"/>
    </row>
    <row r="21" spans="1:54" x14ac:dyDescent="0.25">
      <c r="A21" s="75">
        <f t="shared" si="1"/>
        <v>18</v>
      </c>
      <c r="B21" s="74" t="s">
        <v>7</v>
      </c>
      <c r="C21" s="162">
        <v>4</v>
      </c>
      <c r="D21" s="162"/>
      <c r="E21" s="162"/>
      <c r="F21" s="162"/>
      <c r="G21" s="162"/>
      <c r="H21" s="162"/>
      <c r="I21" s="162"/>
      <c r="J21" s="163"/>
      <c r="K21" s="164"/>
      <c r="L21" s="147"/>
      <c r="M21" s="165"/>
      <c r="N21" s="166"/>
      <c r="O21" s="162"/>
      <c r="P21" s="163"/>
      <c r="Q21" s="163"/>
      <c r="R21" s="164"/>
      <c r="S21" s="147"/>
      <c r="T21" s="150">
        <f t="shared" si="0"/>
        <v>0</v>
      </c>
      <c r="U21" s="167">
        <f t="shared" si="4"/>
        <v>96</v>
      </c>
      <c r="V21" s="167">
        <f t="shared" si="5"/>
        <v>4</v>
      </c>
      <c r="AF21" s="60"/>
      <c r="AG21" s="60"/>
      <c r="AH21" s="60"/>
      <c r="AI21" s="60"/>
      <c r="AJ21" s="60"/>
      <c r="AK21" s="60"/>
      <c r="AL21" s="60"/>
      <c r="AM21" s="60"/>
      <c r="AN21" s="60"/>
      <c r="AO21" s="60"/>
      <c r="AP21" s="60"/>
      <c r="AQ21" s="60"/>
      <c r="AR21" s="60"/>
      <c r="AS21" s="60"/>
      <c r="AT21" s="60"/>
      <c r="AU21" s="60"/>
      <c r="AV21" s="60"/>
      <c r="AW21" s="60"/>
      <c r="AX21" s="60"/>
      <c r="AY21" s="60"/>
      <c r="AZ21" s="60"/>
      <c r="BA21" s="60"/>
      <c r="BB21" s="60"/>
    </row>
    <row r="22" spans="1:54" s="61" customFormat="1" x14ac:dyDescent="0.25">
      <c r="A22" s="75">
        <f t="shared" si="1"/>
        <v>19</v>
      </c>
      <c r="B22" s="74" t="s">
        <v>65</v>
      </c>
      <c r="C22" s="162">
        <v>2</v>
      </c>
      <c r="D22" s="162"/>
      <c r="E22" s="162"/>
      <c r="F22" s="162"/>
      <c r="G22" s="162"/>
      <c r="H22" s="162"/>
      <c r="I22" s="162"/>
      <c r="J22" s="163"/>
      <c r="K22" s="164"/>
      <c r="L22" s="147"/>
      <c r="M22" s="165"/>
      <c r="N22" s="166"/>
      <c r="O22" s="162"/>
      <c r="P22" s="163"/>
      <c r="Q22" s="163"/>
      <c r="R22" s="164"/>
      <c r="S22" s="147"/>
      <c r="T22" s="150">
        <f t="shared" si="0"/>
        <v>0</v>
      </c>
      <c r="U22" s="167">
        <f t="shared" si="4"/>
        <v>48</v>
      </c>
      <c r="V22" s="167">
        <f t="shared" si="5"/>
        <v>2</v>
      </c>
      <c r="W22" s="57"/>
      <c r="X22" s="57"/>
      <c r="Y22" s="57"/>
      <c r="Z22" s="57"/>
      <c r="AA22" s="57"/>
      <c r="AB22" s="57"/>
      <c r="AC22" s="57"/>
      <c r="AD22" s="57"/>
      <c r="AE22" s="57"/>
      <c r="AF22" s="60"/>
      <c r="AG22" s="60"/>
      <c r="AH22" s="60"/>
      <c r="AI22" s="60"/>
      <c r="AJ22" s="60"/>
      <c r="AK22" s="60"/>
      <c r="AL22" s="60"/>
      <c r="AM22" s="60"/>
      <c r="AN22" s="60"/>
      <c r="AO22" s="60"/>
      <c r="AP22" s="60"/>
      <c r="AQ22" s="60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</row>
    <row r="23" spans="1:54" s="61" customFormat="1" x14ac:dyDescent="0.25">
      <c r="A23" s="75">
        <f t="shared" si="1"/>
        <v>20</v>
      </c>
      <c r="B23" s="74" t="s">
        <v>66</v>
      </c>
      <c r="C23" s="162">
        <v>48</v>
      </c>
      <c r="D23" s="162"/>
      <c r="E23" s="162"/>
      <c r="F23" s="162"/>
      <c r="G23" s="162"/>
      <c r="H23" s="162"/>
      <c r="I23" s="162"/>
      <c r="J23" s="163"/>
      <c r="K23" s="164"/>
      <c r="L23" s="147"/>
      <c r="M23" s="165"/>
      <c r="N23" s="166"/>
      <c r="O23" s="162"/>
      <c r="P23" s="163"/>
      <c r="Q23" s="163"/>
      <c r="R23" s="164"/>
      <c r="S23" s="147"/>
      <c r="T23" s="150">
        <f t="shared" si="0"/>
        <v>0</v>
      </c>
      <c r="U23" s="167">
        <f t="shared" si="4"/>
        <v>1152</v>
      </c>
      <c r="V23" s="167">
        <f t="shared" si="5"/>
        <v>48</v>
      </c>
      <c r="W23" s="57"/>
      <c r="X23" s="57"/>
      <c r="Y23" s="57"/>
      <c r="Z23" s="57"/>
      <c r="AA23" s="57"/>
      <c r="AB23" s="57"/>
      <c r="AC23" s="57"/>
      <c r="AD23" s="57"/>
      <c r="AE23" s="57"/>
      <c r="AF23" s="60"/>
      <c r="AG23" s="60"/>
      <c r="AH23" s="60"/>
      <c r="AI23" s="60"/>
      <c r="AJ23" s="60"/>
      <c r="AK23" s="60"/>
      <c r="AL23" s="60"/>
      <c r="AM23" s="60"/>
      <c r="AN23" s="60"/>
      <c r="AO23" s="60"/>
      <c r="AP23" s="60"/>
      <c r="AQ23" s="60"/>
      <c r="AR23" s="60"/>
      <c r="AS23" s="60"/>
      <c r="AT23" s="60"/>
      <c r="AU23" s="60"/>
      <c r="AV23" s="60"/>
      <c r="AW23" s="60"/>
      <c r="AX23" s="60"/>
      <c r="AY23" s="60"/>
      <c r="AZ23" s="60"/>
      <c r="BA23" s="60"/>
      <c r="BB23" s="60"/>
    </row>
    <row r="24" spans="1:54" x14ac:dyDescent="0.25">
      <c r="A24" s="75">
        <f t="shared" si="1"/>
        <v>21</v>
      </c>
      <c r="B24" s="74" t="s">
        <v>67</v>
      </c>
      <c r="C24" s="162">
        <v>7</v>
      </c>
      <c r="D24" s="162"/>
      <c r="E24" s="162"/>
      <c r="F24" s="162"/>
      <c r="G24" s="162"/>
      <c r="H24" s="162"/>
      <c r="I24" s="162"/>
      <c r="J24" s="163"/>
      <c r="K24" s="164"/>
      <c r="L24" s="147"/>
      <c r="M24" s="165"/>
      <c r="N24" s="166"/>
      <c r="O24" s="162"/>
      <c r="P24" s="163"/>
      <c r="Q24" s="163"/>
      <c r="R24" s="164"/>
      <c r="S24" s="147"/>
      <c r="T24" s="150">
        <f t="shared" si="0"/>
        <v>0</v>
      </c>
      <c r="U24" s="167">
        <f t="shared" si="4"/>
        <v>168</v>
      </c>
      <c r="V24" s="167">
        <f t="shared" si="5"/>
        <v>7</v>
      </c>
      <c r="AF24" s="60"/>
      <c r="AG24" s="60"/>
      <c r="AH24" s="60"/>
      <c r="AI24" s="60"/>
      <c r="AJ24" s="60"/>
      <c r="AK24" s="60"/>
      <c r="AL24" s="60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</row>
    <row r="25" spans="1:54" x14ac:dyDescent="0.25">
      <c r="A25" s="75">
        <f t="shared" si="1"/>
        <v>22</v>
      </c>
      <c r="B25" s="74" t="s">
        <v>9</v>
      </c>
      <c r="C25" s="162">
        <f>63+19</f>
        <v>82</v>
      </c>
      <c r="D25" s="162"/>
      <c r="E25" s="162"/>
      <c r="F25" s="162"/>
      <c r="G25" s="162"/>
      <c r="H25" s="162">
        <v>10</v>
      </c>
      <c r="I25" s="162">
        <v>1</v>
      </c>
      <c r="J25" s="163"/>
      <c r="K25" s="164"/>
      <c r="L25" s="147"/>
      <c r="M25" s="165"/>
      <c r="N25" s="166">
        <v>12</v>
      </c>
      <c r="O25" s="162">
        <v>1</v>
      </c>
      <c r="P25" s="163"/>
      <c r="Q25" s="163"/>
      <c r="R25" s="164"/>
      <c r="S25" s="147"/>
      <c r="T25" s="150">
        <f t="shared" si="0"/>
        <v>23</v>
      </c>
      <c r="U25" s="167">
        <f t="shared" si="4"/>
        <v>2015</v>
      </c>
      <c r="V25" s="167">
        <f t="shared" si="5"/>
        <v>83.958333333333329</v>
      </c>
      <c r="AY25" s="62" t="e">
        <f>#REF!-AY24</f>
        <v>#REF!</v>
      </c>
    </row>
    <row r="26" spans="1:54" s="61" customFormat="1" x14ac:dyDescent="0.25">
      <c r="A26" s="75">
        <f t="shared" si="1"/>
        <v>23</v>
      </c>
      <c r="B26" s="74" t="s">
        <v>11</v>
      </c>
      <c r="C26" s="162"/>
      <c r="D26" s="162"/>
      <c r="E26" s="162"/>
      <c r="F26" s="162"/>
      <c r="G26" s="162"/>
      <c r="H26" s="162"/>
      <c r="I26" s="162"/>
      <c r="J26" s="163"/>
      <c r="K26" s="164"/>
      <c r="L26" s="147"/>
      <c r="M26" s="165"/>
      <c r="N26" s="166"/>
      <c r="O26" s="162"/>
      <c r="P26" s="163"/>
      <c r="Q26" s="163"/>
      <c r="R26" s="164"/>
      <c r="S26" s="147"/>
      <c r="T26" s="150">
        <f t="shared" si="0"/>
        <v>0</v>
      </c>
      <c r="U26" s="167">
        <f t="shared" si="4"/>
        <v>0</v>
      </c>
      <c r="V26" s="167">
        <f t="shared" si="5"/>
        <v>0</v>
      </c>
      <c r="W26" s="57"/>
      <c r="X26" s="57"/>
      <c r="Y26" s="57"/>
      <c r="Z26" s="57"/>
      <c r="AA26" s="57"/>
      <c r="AB26" s="57"/>
      <c r="AC26" s="57"/>
      <c r="AD26" s="57"/>
      <c r="AE26" s="57"/>
    </row>
    <row r="27" spans="1:54" s="61" customFormat="1" x14ac:dyDescent="0.25">
      <c r="A27" s="75">
        <f t="shared" si="1"/>
        <v>24</v>
      </c>
      <c r="B27" s="74" t="s">
        <v>83</v>
      </c>
      <c r="C27" s="162"/>
      <c r="D27" s="162"/>
      <c r="E27" s="162"/>
      <c r="F27" s="162"/>
      <c r="G27" s="162"/>
      <c r="H27" s="162"/>
      <c r="I27" s="162"/>
      <c r="J27" s="163"/>
      <c r="K27" s="164"/>
      <c r="L27" s="147"/>
      <c r="M27" s="165"/>
      <c r="N27" s="166"/>
      <c r="O27" s="162"/>
      <c r="P27" s="163"/>
      <c r="Q27" s="163"/>
      <c r="R27" s="164"/>
      <c r="S27" s="147"/>
      <c r="T27" s="150"/>
      <c r="U27" s="167"/>
      <c r="V27" s="167"/>
      <c r="W27" s="57"/>
      <c r="X27" s="57"/>
      <c r="Y27" s="57"/>
      <c r="Z27" s="57"/>
      <c r="AA27" s="57"/>
      <c r="AB27" s="57"/>
      <c r="AC27" s="57"/>
      <c r="AD27" s="57"/>
      <c r="AE27" s="57"/>
    </row>
    <row r="28" spans="1:54" s="61" customFormat="1" x14ac:dyDescent="0.25">
      <c r="A28" s="75">
        <f t="shared" si="1"/>
        <v>25</v>
      </c>
      <c r="B28" s="74" t="s">
        <v>12</v>
      </c>
      <c r="C28" s="162">
        <v>17</v>
      </c>
      <c r="D28" s="162"/>
      <c r="E28" s="162"/>
      <c r="F28" s="162"/>
      <c r="G28" s="162"/>
      <c r="H28" s="162"/>
      <c r="I28" s="162"/>
      <c r="J28" s="163"/>
      <c r="K28" s="164"/>
      <c r="L28" s="147"/>
      <c r="M28" s="165"/>
      <c r="N28" s="166"/>
      <c r="O28" s="162">
        <v>1</v>
      </c>
      <c r="P28" s="163"/>
      <c r="Q28" s="163">
        <v>5</v>
      </c>
      <c r="R28" s="164"/>
      <c r="S28" s="147"/>
      <c r="T28" s="150">
        <f t="shared" si="0"/>
        <v>0</v>
      </c>
      <c r="U28" s="167">
        <f t="shared" si="4"/>
        <v>552</v>
      </c>
      <c r="V28" s="167">
        <f t="shared" si="5"/>
        <v>23</v>
      </c>
      <c r="W28" s="57"/>
      <c r="X28" s="57"/>
      <c r="Y28" s="57"/>
      <c r="Z28" s="57"/>
      <c r="AA28" s="57"/>
      <c r="AB28" s="57"/>
      <c r="AC28" s="57"/>
      <c r="AD28" s="57"/>
      <c r="AE28" s="57"/>
    </row>
    <row r="29" spans="1:54" x14ac:dyDescent="0.25">
      <c r="A29" s="75">
        <f t="shared" si="1"/>
        <v>26</v>
      </c>
      <c r="B29" s="74" t="s">
        <v>14</v>
      </c>
      <c r="C29" s="162"/>
      <c r="D29" s="162"/>
      <c r="E29" s="162"/>
      <c r="F29" s="162"/>
      <c r="G29" s="162"/>
      <c r="H29" s="162"/>
      <c r="I29" s="162"/>
      <c r="J29" s="163"/>
      <c r="K29" s="164"/>
      <c r="L29" s="147"/>
      <c r="M29" s="165"/>
      <c r="N29" s="166"/>
      <c r="O29" s="162"/>
      <c r="P29" s="163"/>
      <c r="Q29" s="163"/>
      <c r="R29" s="164"/>
      <c r="S29" s="147"/>
      <c r="T29" s="150">
        <f t="shared" si="0"/>
        <v>0</v>
      </c>
      <c r="U29" s="167">
        <f t="shared" si="4"/>
        <v>0</v>
      </c>
      <c r="V29" s="167">
        <f t="shared" si="5"/>
        <v>0</v>
      </c>
    </row>
    <row r="30" spans="1:54" x14ac:dyDescent="0.25">
      <c r="A30" s="75">
        <f t="shared" si="1"/>
        <v>27</v>
      </c>
      <c r="B30" s="74" t="s">
        <v>16</v>
      </c>
      <c r="C30" s="162">
        <v>62</v>
      </c>
      <c r="D30" s="162"/>
      <c r="E30" s="162"/>
      <c r="F30" s="162"/>
      <c r="G30" s="162"/>
      <c r="H30" s="162"/>
      <c r="I30" s="162"/>
      <c r="J30" s="163"/>
      <c r="K30" s="164"/>
      <c r="L30" s="147"/>
      <c r="M30" s="165"/>
      <c r="N30" s="166"/>
      <c r="O30" s="162"/>
      <c r="P30" s="163"/>
      <c r="Q30" s="163">
        <v>1</v>
      </c>
      <c r="R30" s="164"/>
      <c r="S30" s="147"/>
      <c r="T30" s="150">
        <f t="shared" si="0"/>
        <v>0</v>
      </c>
      <c r="U30" s="167">
        <f t="shared" si="4"/>
        <v>1512</v>
      </c>
      <c r="V30" s="167">
        <f t="shared" si="5"/>
        <v>63</v>
      </c>
    </row>
    <row r="31" spans="1:54" x14ac:dyDescent="0.25">
      <c r="A31" s="75">
        <f t="shared" si="1"/>
        <v>28</v>
      </c>
      <c r="B31" s="74" t="s">
        <v>13</v>
      </c>
      <c r="C31" s="162"/>
      <c r="D31" s="162"/>
      <c r="E31" s="162"/>
      <c r="F31" s="162"/>
      <c r="G31" s="162"/>
      <c r="H31" s="162"/>
      <c r="I31" s="162"/>
      <c r="J31" s="163"/>
      <c r="K31" s="164"/>
      <c r="L31" s="147"/>
      <c r="M31" s="165"/>
      <c r="N31" s="166"/>
      <c r="O31" s="162"/>
      <c r="P31" s="163"/>
      <c r="Q31" s="163"/>
      <c r="R31" s="164"/>
      <c r="S31" s="147"/>
      <c r="T31" s="150">
        <f t="shared" si="0"/>
        <v>0</v>
      </c>
      <c r="U31" s="167">
        <f t="shared" si="4"/>
        <v>0</v>
      </c>
      <c r="V31" s="167">
        <f t="shared" si="5"/>
        <v>0</v>
      </c>
    </row>
    <row r="32" spans="1:54" x14ac:dyDescent="0.25">
      <c r="A32" s="75">
        <f t="shared" si="1"/>
        <v>29</v>
      </c>
      <c r="B32" s="74" t="s">
        <v>15</v>
      </c>
      <c r="C32" s="162"/>
      <c r="D32" s="162"/>
      <c r="E32" s="162"/>
      <c r="F32" s="162"/>
      <c r="G32" s="162"/>
      <c r="H32" s="162"/>
      <c r="I32" s="162"/>
      <c r="J32" s="163"/>
      <c r="K32" s="164"/>
      <c r="L32" s="147"/>
      <c r="M32" s="165"/>
      <c r="N32" s="166"/>
      <c r="O32" s="162"/>
      <c r="P32" s="163"/>
      <c r="Q32" s="163"/>
      <c r="R32" s="164"/>
      <c r="S32" s="147"/>
      <c r="T32" s="150">
        <f t="shared" si="0"/>
        <v>0</v>
      </c>
      <c r="U32" s="167">
        <f t="shared" si="4"/>
        <v>0</v>
      </c>
      <c r="V32" s="167">
        <f t="shared" si="5"/>
        <v>0</v>
      </c>
    </row>
    <row r="33" spans="1:23" x14ac:dyDescent="0.25">
      <c r="A33" s="75">
        <f t="shared" si="1"/>
        <v>30</v>
      </c>
      <c r="B33" s="74" t="s">
        <v>17</v>
      </c>
      <c r="C33" s="162"/>
      <c r="D33" s="162"/>
      <c r="E33" s="162"/>
      <c r="F33" s="162"/>
      <c r="G33" s="162"/>
      <c r="H33" s="162"/>
      <c r="I33" s="162"/>
      <c r="J33" s="163"/>
      <c r="K33" s="164"/>
      <c r="L33" s="147"/>
      <c r="M33" s="165"/>
      <c r="N33" s="166"/>
      <c r="O33" s="162"/>
      <c r="P33" s="163"/>
      <c r="Q33" s="163"/>
      <c r="R33" s="164"/>
      <c r="S33" s="147"/>
      <c r="T33" s="150">
        <f t="shared" si="0"/>
        <v>0</v>
      </c>
      <c r="U33" s="167">
        <f t="shared" si="4"/>
        <v>0</v>
      </c>
      <c r="V33" s="167">
        <f t="shared" si="5"/>
        <v>0</v>
      </c>
    </row>
    <row r="34" spans="1:23" x14ac:dyDescent="0.25">
      <c r="A34" s="75">
        <f t="shared" si="1"/>
        <v>31</v>
      </c>
      <c r="B34" s="74" t="s">
        <v>18</v>
      </c>
      <c r="C34" s="162">
        <f>20+70</f>
        <v>90</v>
      </c>
      <c r="D34" s="162"/>
      <c r="E34" s="162"/>
      <c r="F34" s="162"/>
      <c r="G34" s="162"/>
      <c r="H34" s="162">
        <v>4</v>
      </c>
      <c r="I34" s="162"/>
      <c r="J34" s="163"/>
      <c r="K34" s="164">
        <v>1</v>
      </c>
      <c r="L34" s="147"/>
      <c r="M34" s="165">
        <v>2</v>
      </c>
      <c r="N34" s="166">
        <v>12</v>
      </c>
      <c r="O34" s="162">
        <v>2</v>
      </c>
      <c r="P34" s="163">
        <v>12</v>
      </c>
      <c r="Q34" s="163">
        <v>3</v>
      </c>
      <c r="R34" s="164"/>
      <c r="S34" s="147"/>
      <c r="T34" s="150">
        <f t="shared" si="0"/>
        <v>29</v>
      </c>
      <c r="U34" s="167">
        <f t="shared" si="4"/>
        <v>2357</v>
      </c>
      <c r="V34" s="167">
        <f t="shared" si="5"/>
        <v>98.208333333333329</v>
      </c>
    </row>
    <row r="35" spans="1:23" hidden="1" x14ac:dyDescent="0.25">
      <c r="A35" s="75">
        <f t="shared" si="1"/>
        <v>32</v>
      </c>
      <c r="B35" s="74" t="s">
        <v>26</v>
      </c>
      <c r="C35" s="162"/>
      <c r="D35" s="162"/>
      <c r="E35" s="162"/>
      <c r="F35" s="162"/>
      <c r="G35" s="162"/>
      <c r="H35" s="162"/>
      <c r="I35" s="162"/>
      <c r="J35" s="163"/>
      <c r="K35" s="164"/>
      <c r="L35" s="147"/>
      <c r="M35" s="165"/>
      <c r="N35" s="166"/>
      <c r="O35" s="162"/>
      <c r="P35" s="163"/>
      <c r="Q35" s="163"/>
      <c r="R35" s="164"/>
      <c r="S35" s="147"/>
      <c r="T35" s="150">
        <f t="shared" si="0"/>
        <v>0</v>
      </c>
      <c r="U35" s="167">
        <f t="shared" si="4"/>
        <v>0</v>
      </c>
      <c r="V35" s="167">
        <f t="shared" si="5"/>
        <v>0</v>
      </c>
    </row>
    <row r="36" spans="1:23" x14ac:dyDescent="0.25">
      <c r="A36" s="75">
        <f t="shared" si="1"/>
        <v>33</v>
      </c>
      <c r="B36" s="74" t="s">
        <v>19</v>
      </c>
      <c r="C36" s="162"/>
      <c r="D36" s="162"/>
      <c r="E36" s="162"/>
      <c r="F36" s="162"/>
      <c r="G36" s="162"/>
      <c r="H36" s="162"/>
      <c r="I36" s="162"/>
      <c r="J36" s="163"/>
      <c r="K36" s="164"/>
      <c r="L36" s="147"/>
      <c r="M36" s="165"/>
      <c r="N36" s="166"/>
      <c r="O36" s="162"/>
      <c r="P36" s="163"/>
      <c r="Q36" s="163"/>
      <c r="R36" s="164"/>
      <c r="S36" s="147"/>
      <c r="T36" s="150">
        <f t="shared" si="0"/>
        <v>0</v>
      </c>
      <c r="U36" s="167">
        <f t="shared" si="4"/>
        <v>0</v>
      </c>
      <c r="V36" s="167">
        <f t="shared" si="5"/>
        <v>0</v>
      </c>
    </row>
    <row r="37" spans="1:23" ht="19.5" thickBot="1" x14ac:dyDescent="0.3">
      <c r="A37" s="75">
        <f t="shared" si="1"/>
        <v>34</v>
      </c>
      <c r="B37" s="94" t="s">
        <v>20</v>
      </c>
      <c r="C37" s="151">
        <f>2376+1404+25</f>
        <v>3805</v>
      </c>
      <c r="D37" s="151"/>
      <c r="E37" s="151"/>
      <c r="F37" s="151"/>
      <c r="G37" s="151"/>
      <c r="H37" s="151">
        <v>2</v>
      </c>
      <c r="I37" s="151"/>
      <c r="J37" s="152"/>
      <c r="K37" s="153">
        <v>6</v>
      </c>
      <c r="L37" s="154"/>
      <c r="M37" s="155"/>
      <c r="N37" s="156"/>
      <c r="O37" s="157">
        <v>33</v>
      </c>
      <c r="P37" s="158"/>
      <c r="Q37" s="158">
        <v>108</v>
      </c>
      <c r="R37" s="159"/>
      <c r="S37" s="154"/>
      <c r="T37" s="169">
        <f t="shared" si="0"/>
        <v>8</v>
      </c>
      <c r="U37" s="169">
        <f>C37*6+M37*6+O37*6+Q37*6+T37</f>
        <v>23684</v>
      </c>
      <c r="V37" s="169">
        <f>U37/6</f>
        <v>3947.3333333333335</v>
      </c>
      <c r="W37" s="123"/>
    </row>
    <row r="38" spans="1:23" x14ac:dyDescent="0.25">
      <c r="A38" s="75">
        <f t="shared" si="1"/>
        <v>35</v>
      </c>
      <c r="B38" s="73" t="s">
        <v>21</v>
      </c>
      <c r="C38" s="162">
        <f>1+3</f>
        <v>4</v>
      </c>
      <c r="D38" s="162"/>
      <c r="E38" s="162"/>
      <c r="F38" s="162"/>
      <c r="G38" s="162"/>
      <c r="H38" s="162"/>
      <c r="I38" s="162"/>
      <c r="J38" s="163"/>
      <c r="K38" s="164"/>
      <c r="L38" s="147"/>
      <c r="M38" s="165"/>
      <c r="N38" s="166"/>
      <c r="O38" s="162"/>
      <c r="P38" s="163"/>
      <c r="Q38" s="163"/>
      <c r="R38" s="164"/>
      <c r="S38" s="147"/>
      <c r="T38" s="167">
        <f t="shared" si="0"/>
        <v>0</v>
      </c>
      <c r="U38" s="167">
        <f>C38*24+M38*24+O38*24+Q38*24+T38</f>
        <v>96</v>
      </c>
      <c r="V38" s="167">
        <f>U38/24</f>
        <v>4</v>
      </c>
    </row>
    <row r="39" spans="1:23" x14ac:dyDescent="0.25">
      <c r="A39" s="75">
        <f t="shared" si="1"/>
        <v>36</v>
      </c>
      <c r="B39" s="132" t="s">
        <v>73</v>
      </c>
      <c r="C39" s="170"/>
      <c r="D39" s="170"/>
      <c r="E39" s="170"/>
      <c r="F39" s="170"/>
      <c r="G39" s="170"/>
      <c r="H39" s="170"/>
      <c r="I39" s="170"/>
      <c r="J39" s="171"/>
      <c r="K39" s="172"/>
      <c r="L39" s="147"/>
      <c r="M39" s="173"/>
      <c r="N39" s="174"/>
      <c r="O39" s="170"/>
      <c r="P39" s="171"/>
      <c r="Q39" s="171"/>
      <c r="R39" s="172"/>
      <c r="S39" s="147"/>
      <c r="T39" s="175"/>
      <c r="U39" s="175"/>
      <c r="V39" s="175"/>
    </row>
    <row r="40" spans="1:23" ht="19.5" thickBot="1" x14ac:dyDescent="0.3">
      <c r="A40" s="75">
        <f t="shared" si="1"/>
        <v>37</v>
      </c>
      <c r="B40" s="94" t="s">
        <v>22</v>
      </c>
      <c r="C40" s="151">
        <f>630+61</f>
        <v>691</v>
      </c>
      <c r="D40" s="151"/>
      <c r="E40" s="151"/>
      <c r="F40" s="151"/>
      <c r="G40" s="151"/>
      <c r="H40" s="151">
        <v>9</v>
      </c>
      <c r="I40" s="151"/>
      <c r="J40" s="152"/>
      <c r="K40" s="153">
        <v>15</v>
      </c>
      <c r="L40" s="154"/>
      <c r="M40" s="155"/>
      <c r="N40" s="156"/>
      <c r="O40" s="157">
        <v>1</v>
      </c>
      <c r="P40" s="158">
        <v>12</v>
      </c>
      <c r="Q40" s="158">
        <v>2</v>
      </c>
      <c r="R40" s="159"/>
      <c r="S40" s="154"/>
      <c r="T40" s="169">
        <f t="shared" si="0"/>
        <v>36</v>
      </c>
      <c r="U40" s="169">
        <f>C40*24+M40*24+O40*24+Q40*24+T40</f>
        <v>16692</v>
      </c>
      <c r="V40" s="169">
        <f>U40/24</f>
        <v>695.5</v>
      </c>
    </row>
    <row r="41" spans="1:23" ht="19.5" thickBot="1" x14ac:dyDescent="0.3">
      <c r="A41" s="75">
        <f t="shared" si="1"/>
        <v>38</v>
      </c>
      <c r="B41" s="99" t="s">
        <v>23</v>
      </c>
      <c r="C41" s="176">
        <f>1536+28</f>
        <v>1564</v>
      </c>
      <c r="D41" s="176"/>
      <c r="E41" s="176"/>
      <c r="F41" s="176"/>
      <c r="G41" s="176"/>
      <c r="H41" s="176"/>
      <c r="I41" s="176"/>
      <c r="J41" s="177"/>
      <c r="K41" s="178"/>
      <c r="L41" s="179"/>
      <c r="M41" s="180"/>
      <c r="N41" s="181"/>
      <c r="O41" s="176">
        <v>10</v>
      </c>
      <c r="P41" s="177"/>
      <c r="Q41" s="177">
        <v>15</v>
      </c>
      <c r="R41" s="178"/>
      <c r="S41" s="179"/>
      <c r="T41" s="182">
        <f t="shared" si="0"/>
        <v>0</v>
      </c>
      <c r="U41" s="182">
        <f>C41*12+M41*12+O41*12+Q41*12+T41</f>
        <v>19068</v>
      </c>
      <c r="V41" s="182">
        <f>U41/12</f>
        <v>1589</v>
      </c>
    </row>
    <row r="42" spans="1:23" hidden="1" x14ac:dyDescent="0.25">
      <c r="A42" s="75">
        <f t="shared" si="1"/>
        <v>39</v>
      </c>
      <c r="B42" s="73" t="s">
        <v>31</v>
      </c>
      <c r="C42" s="162"/>
      <c r="D42" s="162"/>
      <c r="E42" s="162"/>
      <c r="F42" s="162"/>
      <c r="G42" s="162"/>
      <c r="H42" s="162"/>
      <c r="I42" s="162"/>
      <c r="J42" s="163"/>
      <c r="K42" s="164"/>
      <c r="L42" s="147"/>
      <c r="M42" s="165"/>
      <c r="N42" s="166"/>
      <c r="O42" s="162"/>
      <c r="P42" s="163"/>
      <c r="Q42" s="163"/>
      <c r="R42" s="164"/>
      <c r="S42" s="147"/>
      <c r="T42" s="167"/>
      <c r="U42" s="167"/>
      <c r="V42" s="167"/>
    </row>
    <row r="43" spans="1:23" ht="19.5" thickBot="1" x14ac:dyDescent="0.3">
      <c r="A43" s="75">
        <f t="shared" si="1"/>
        <v>40</v>
      </c>
      <c r="B43" s="94" t="s">
        <v>24</v>
      </c>
      <c r="C43" s="157">
        <f>6048+1728+6372+5400+7128+1836</f>
        <v>28512</v>
      </c>
      <c r="D43" s="157"/>
      <c r="E43" s="157"/>
      <c r="F43" s="157"/>
      <c r="G43" s="157"/>
      <c r="H43" s="157">
        <v>1</v>
      </c>
      <c r="I43" s="157">
        <v>7</v>
      </c>
      <c r="J43" s="158">
        <f>3*6+4</f>
        <v>22</v>
      </c>
      <c r="K43" s="159">
        <f>87*6</f>
        <v>522</v>
      </c>
      <c r="L43" s="154"/>
      <c r="M43" s="155">
        <v>245</v>
      </c>
      <c r="N43" s="156"/>
      <c r="O43" s="157">
        <v>379</v>
      </c>
      <c r="P43" s="158"/>
      <c r="Q43" s="158">
        <v>432</v>
      </c>
      <c r="R43" s="159"/>
      <c r="S43" s="154"/>
      <c r="T43" s="169">
        <f t="shared" ref="T43" si="6">H43+I43+J43+K43+N43+P43+R43</f>
        <v>552</v>
      </c>
      <c r="U43" s="169">
        <f>C43*6+M43*6+O43*6+Q43*6+T43</f>
        <v>177960</v>
      </c>
      <c r="V43" s="169">
        <f>U43/6</f>
        <v>29660</v>
      </c>
    </row>
    <row r="44" spans="1:23" hidden="1" x14ac:dyDescent="0.25">
      <c r="A44" s="75">
        <f t="shared" si="1"/>
        <v>41</v>
      </c>
      <c r="B44" s="73" t="s">
        <v>33</v>
      </c>
      <c r="C44" s="162"/>
      <c r="D44" s="162"/>
      <c r="E44" s="162"/>
      <c r="F44" s="162"/>
      <c r="G44" s="162"/>
      <c r="H44" s="162"/>
      <c r="I44" s="162"/>
      <c r="J44" s="163"/>
      <c r="K44" s="164"/>
      <c r="L44" s="147"/>
      <c r="M44" s="165"/>
      <c r="N44" s="166"/>
      <c r="O44" s="162"/>
      <c r="P44" s="163"/>
      <c r="Q44" s="163"/>
      <c r="R44" s="164"/>
      <c r="S44" s="147"/>
      <c r="T44" s="167"/>
      <c r="U44" s="167"/>
      <c r="V44" s="167"/>
    </row>
    <row r="45" spans="1:23" x14ac:dyDescent="0.25">
      <c r="A45" s="75">
        <f t="shared" si="1"/>
        <v>42</v>
      </c>
      <c r="B45" s="74" t="s">
        <v>25</v>
      </c>
      <c r="C45" s="162"/>
      <c r="D45" s="162"/>
      <c r="E45" s="162"/>
      <c r="F45" s="162"/>
      <c r="G45" s="162"/>
      <c r="H45" s="162"/>
      <c r="I45" s="162"/>
      <c r="J45" s="163"/>
      <c r="K45" s="164"/>
      <c r="L45" s="147"/>
      <c r="M45" s="165"/>
      <c r="N45" s="166"/>
      <c r="O45" s="162"/>
      <c r="P45" s="163"/>
      <c r="Q45" s="163"/>
      <c r="R45" s="164"/>
      <c r="S45" s="147"/>
      <c r="T45" s="167">
        <f t="shared" ref="T45:T54" si="7">H45+I45+J45+K45+N45+P45+R45</f>
        <v>0</v>
      </c>
      <c r="U45" s="167">
        <f>C45*24+M45*24+O45*24+Q45*24+T45</f>
        <v>0</v>
      </c>
      <c r="V45" s="167">
        <f>U45/24</f>
        <v>0</v>
      </c>
    </row>
    <row r="46" spans="1:23" x14ac:dyDescent="0.25">
      <c r="A46" s="75">
        <f t="shared" si="1"/>
        <v>43</v>
      </c>
      <c r="B46" s="74" t="s">
        <v>68</v>
      </c>
      <c r="C46" s="162"/>
      <c r="D46" s="162"/>
      <c r="E46" s="162"/>
      <c r="F46" s="162"/>
      <c r="G46" s="162"/>
      <c r="H46" s="162"/>
      <c r="I46" s="162"/>
      <c r="J46" s="163"/>
      <c r="K46" s="164"/>
      <c r="L46" s="147"/>
      <c r="M46" s="165"/>
      <c r="N46" s="166"/>
      <c r="O46" s="162"/>
      <c r="P46" s="163"/>
      <c r="Q46" s="163"/>
      <c r="R46" s="164"/>
      <c r="S46" s="147"/>
      <c r="T46" s="167">
        <f t="shared" si="7"/>
        <v>0</v>
      </c>
      <c r="U46" s="167">
        <f t="shared" ref="U46:U50" si="8">C46*24+M46*24+O46*24+Q46*24+T46</f>
        <v>0</v>
      </c>
      <c r="V46" s="167">
        <f t="shared" ref="V46:V54" si="9">U46/24</f>
        <v>0</v>
      </c>
    </row>
    <row r="47" spans="1:23" ht="19.5" thickBot="1" x14ac:dyDescent="0.3">
      <c r="A47" s="75">
        <f t="shared" si="1"/>
        <v>44</v>
      </c>
      <c r="B47" s="94" t="s">
        <v>26</v>
      </c>
      <c r="C47" s="157">
        <f>24+2268+44</f>
        <v>2336</v>
      </c>
      <c r="D47" s="157"/>
      <c r="E47" s="157"/>
      <c r="F47" s="157"/>
      <c r="G47" s="157"/>
      <c r="H47" s="157"/>
      <c r="I47" s="157"/>
      <c r="J47" s="158"/>
      <c r="K47" s="159">
        <v>6</v>
      </c>
      <c r="L47" s="154"/>
      <c r="M47" s="155">
        <v>9</v>
      </c>
      <c r="N47" s="156"/>
      <c r="O47" s="157">
        <v>3</v>
      </c>
      <c r="P47" s="158">
        <v>4</v>
      </c>
      <c r="Q47" s="158">
        <v>10</v>
      </c>
      <c r="R47" s="159"/>
      <c r="S47" s="154"/>
      <c r="T47" s="169">
        <f t="shared" si="7"/>
        <v>10</v>
      </c>
      <c r="U47" s="169">
        <f>C47*6+M47*6+O47*6+Q47*6+T47</f>
        <v>14158</v>
      </c>
      <c r="V47" s="169">
        <f>U47/6</f>
        <v>2359.6666666666665</v>
      </c>
    </row>
    <row r="48" spans="1:23" x14ac:dyDescent="0.25">
      <c r="A48" s="75">
        <f t="shared" si="1"/>
        <v>45</v>
      </c>
      <c r="B48" s="73" t="s">
        <v>69</v>
      </c>
      <c r="C48" s="162"/>
      <c r="D48" s="162"/>
      <c r="E48" s="162"/>
      <c r="F48" s="162"/>
      <c r="G48" s="162"/>
      <c r="H48" s="162"/>
      <c r="I48" s="162"/>
      <c r="J48" s="163"/>
      <c r="K48" s="164"/>
      <c r="L48" s="147"/>
      <c r="M48" s="165"/>
      <c r="N48" s="166"/>
      <c r="O48" s="162"/>
      <c r="P48" s="163"/>
      <c r="Q48" s="163"/>
      <c r="R48" s="164"/>
      <c r="S48" s="147"/>
      <c r="T48" s="167">
        <f t="shared" si="7"/>
        <v>0</v>
      </c>
      <c r="U48" s="167">
        <f t="shared" si="8"/>
        <v>0</v>
      </c>
      <c r="V48" s="167">
        <f t="shared" si="9"/>
        <v>0</v>
      </c>
    </row>
    <row r="49" spans="1:22" x14ac:dyDescent="0.25">
      <c r="A49" s="75">
        <f t="shared" si="1"/>
        <v>46</v>
      </c>
      <c r="B49" s="74" t="s">
        <v>28</v>
      </c>
      <c r="C49" s="162"/>
      <c r="D49" s="162"/>
      <c r="E49" s="162"/>
      <c r="F49" s="162"/>
      <c r="G49" s="162"/>
      <c r="H49" s="162"/>
      <c r="I49" s="162"/>
      <c r="J49" s="163"/>
      <c r="K49" s="164"/>
      <c r="L49" s="147"/>
      <c r="M49" s="165"/>
      <c r="N49" s="166"/>
      <c r="O49" s="162"/>
      <c r="P49" s="163"/>
      <c r="Q49" s="163"/>
      <c r="R49" s="164"/>
      <c r="S49" s="147"/>
      <c r="T49" s="167">
        <f t="shared" si="7"/>
        <v>0</v>
      </c>
      <c r="U49" s="167">
        <f t="shared" si="8"/>
        <v>0</v>
      </c>
      <c r="V49" s="167">
        <f t="shared" si="9"/>
        <v>0</v>
      </c>
    </row>
    <row r="50" spans="1:22" x14ac:dyDescent="0.25">
      <c r="A50" s="75">
        <f t="shared" si="1"/>
        <v>47</v>
      </c>
      <c r="B50" s="74" t="s">
        <v>70</v>
      </c>
      <c r="C50" s="162"/>
      <c r="D50" s="162"/>
      <c r="E50" s="162"/>
      <c r="F50" s="162"/>
      <c r="G50" s="162"/>
      <c r="H50" s="162"/>
      <c r="I50" s="162"/>
      <c r="J50" s="163"/>
      <c r="K50" s="164"/>
      <c r="L50" s="147"/>
      <c r="M50" s="165"/>
      <c r="N50" s="166"/>
      <c r="O50" s="162"/>
      <c r="P50" s="163"/>
      <c r="Q50" s="163"/>
      <c r="R50" s="164"/>
      <c r="S50" s="147"/>
      <c r="T50" s="167">
        <f t="shared" si="7"/>
        <v>0</v>
      </c>
      <c r="U50" s="167">
        <f t="shared" si="8"/>
        <v>0</v>
      </c>
      <c r="V50" s="167">
        <f t="shared" si="9"/>
        <v>0</v>
      </c>
    </row>
    <row r="51" spans="1:22" ht="19.5" thickBot="1" x14ac:dyDescent="0.3">
      <c r="A51" s="75">
        <f t="shared" si="1"/>
        <v>48</v>
      </c>
      <c r="B51" s="94" t="s">
        <v>29</v>
      </c>
      <c r="C51" s="157">
        <v>34</v>
      </c>
      <c r="D51" s="157"/>
      <c r="E51" s="157"/>
      <c r="F51" s="157"/>
      <c r="G51" s="157"/>
      <c r="H51" s="157"/>
      <c r="I51" s="157"/>
      <c r="J51" s="158"/>
      <c r="K51" s="159"/>
      <c r="L51" s="154"/>
      <c r="M51" s="155"/>
      <c r="N51" s="156"/>
      <c r="O51" s="157"/>
      <c r="P51" s="158"/>
      <c r="Q51" s="158"/>
      <c r="R51" s="159"/>
      <c r="S51" s="154"/>
      <c r="T51" s="169">
        <f t="shared" si="7"/>
        <v>0</v>
      </c>
      <c r="U51" s="169">
        <f>C51*6+M51*6+O51*6+Q51*6+T51</f>
        <v>204</v>
      </c>
      <c r="V51" s="169">
        <f>U51/6</f>
        <v>34</v>
      </c>
    </row>
    <row r="52" spans="1:22" x14ac:dyDescent="0.25">
      <c r="A52" s="75">
        <f t="shared" si="1"/>
        <v>49</v>
      </c>
      <c r="B52" s="73" t="s">
        <v>30</v>
      </c>
      <c r="C52" s="162"/>
      <c r="D52" s="162"/>
      <c r="E52" s="162"/>
      <c r="F52" s="162"/>
      <c r="G52" s="162"/>
      <c r="H52" s="162"/>
      <c r="I52" s="162"/>
      <c r="J52" s="163"/>
      <c r="K52" s="164"/>
      <c r="L52" s="147"/>
      <c r="M52" s="165"/>
      <c r="N52" s="166"/>
      <c r="O52" s="162"/>
      <c r="P52" s="163"/>
      <c r="Q52" s="163"/>
      <c r="R52" s="164"/>
      <c r="S52" s="147"/>
      <c r="T52" s="167">
        <f t="shared" si="7"/>
        <v>0</v>
      </c>
      <c r="U52" s="167">
        <f t="shared" ref="U52:U54" si="10">C52*24+M52*24+O52*24+Q52*24+T52</f>
        <v>0</v>
      </c>
      <c r="V52" s="167">
        <f t="shared" si="9"/>
        <v>0</v>
      </c>
    </row>
    <row r="53" spans="1:22" x14ac:dyDescent="0.25">
      <c r="A53" s="75">
        <f t="shared" si="1"/>
        <v>50</v>
      </c>
      <c r="B53" s="74" t="s">
        <v>75</v>
      </c>
      <c r="C53" s="162">
        <v>2</v>
      </c>
      <c r="D53" s="162"/>
      <c r="E53" s="162"/>
      <c r="F53" s="162"/>
      <c r="G53" s="162"/>
      <c r="H53" s="162"/>
      <c r="I53" s="162"/>
      <c r="J53" s="163"/>
      <c r="K53" s="164"/>
      <c r="L53" s="147"/>
      <c r="M53" s="165"/>
      <c r="N53" s="166"/>
      <c r="O53" s="162"/>
      <c r="P53" s="163"/>
      <c r="Q53" s="163"/>
      <c r="R53" s="164"/>
      <c r="S53" s="147"/>
      <c r="T53" s="167">
        <f t="shared" si="7"/>
        <v>0</v>
      </c>
      <c r="U53" s="167">
        <f t="shared" si="10"/>
        <v>48</v>
      </c>
      <c r="V53" s="167">
        <f t="shared" si="9"/>
        <v>2</v>
      </c>
    </row>
    <row r="54" spans="1:22" x14ac:dyDescent="0.25">
      <c r="A54" s="75">
        <f t="shared" si="1"/>
        <v>51</v>
      </c>
      <c r="B54" s="74"/>
      <c r="C54" s="162"/>
      <c r="D54" s="162"/>
      <c r="E54" s="162"/>
      <c r="F54" s="162"/>
      <c r="G54" s="162"/>
      <c r="H54" s="162"/>
      <c r="I54" s="162"/>
      <c r="J54" s="163"/>
      <c r="K54" s="164"/>
      <c r="L54" s="147"/>
      <c r="M54" s="165"/>
      <c r="N54" s="166"/>
      <c r="O54" s="162"/>
      <c r="P54" s="163"/>
      <c r="Q54" s="163"/>
      <c r="R54" s="164"/>
      <c r="S54" s="147"/>
      <c r="T54" s="167">
        <f t="shared" si="7"/>
        <v>0</v>
      </c>
      <c r="U54" s="167">
        <f t="shared" si="10"/>
        <v>0</v>
      </c>
      <c r="V54" s="167">
        <f t="shared" si="9"/>
        <v>0</v>
      </c>
    </row>
    <row r="55" spans="1:22" x14ac:dyDescent="0.25">
      <c r="A55" s="75">
        <f t="shared" si="1"/>
        <v>52</v>
      </c>
      <c r="B55" s="74"/>
      <c r="C55" s="162"/>
      <c r="D55" s="162"/>
      <c r="E55" s="162"/>
      <c r="F55" s="162"/>
      <c r="G55" s="162"/>
      <c r="H55" s="162"/>
      <c r="I55" s="162"/>
      <c r="J55" s="163"/>
      <c r="K55" s="164"/>
      <c r="L55" s="147"/>
      <c r="M55" s="165"/>
      <c r="N55" s="166"/>
      <c r="O55" s="162"/>
      <c r="P55" s="163"/>
      <c r="Q55" s="163"/>
      <c r="R55" s="164"/>
      <c r="S55" s="147"/>
      <c r="T55" s="167"/>
      <c r="U55" s="167"/>
      <c r="V55" s="167"/>
    </row>
    <row r="56" spans="1:22" x14ac:dyDescent="0.25">
      <c r="A56" s="75">
        <f t="shared" si="1"/>
        <v>53</v>
      </c>
      <c r="B56" s="74"/>
      <c r="C56" s="162"/>
      <c r="D56" s="162"/>
      <c r="E56" s="162"/>
      <c r="F56" s="162"/>
      <c r="G56" s="162"/>
      <c r="H56" s="162"/>
      <c r="I56" s="162"/>
      <c r="J56" s="163"/>
      <c r="K56" s="164"/>
      <c r="L56" s="147"/>
      <c r="M56" s="165"/>
      <c r="N56" s="166"/>
      <c r="O56" s="162"/>
      <c r="P56" s="163"/>
      <c r="Q56" s="163"/>
      <c r="R56" s="164"/>
      <c r="S56" s="147"/>
      <c r="T56" s="167"/>
      <c r="U56" s="167"/>
      <c r="V56" s="167"/>
    </row>
    <row r="57" spans="1:22" x14ac:dyDescent="0.25">
      <c r="A57" s="75">
        <f t="shared" si="1"/>
        <v>54</v>
      </c>
      <c r="B57" s="74"/>
      <c r="C57" s="162"/>
      <c r="D57" s="162"/>
      <c r="E57" s="162"/>
      <c r="F57" s="162"/>
      <c r="G57" s="162"/>
      <c r="H57" s="162"/>
      <c r="I57" s="162"/>
      <c r="J57" s="163"/>
      <c r="K57" s="164"/>
      <c r="L57" s="147"/>
      <c r="M57" s="165"/>
      <c r="N57" s="166"/>
      <c r="O57" s="162"/>
      <c r="P57" s="163"/>
      <c r="Q57" s="163"/>
      <c r="R57" s="164"/>
      <c r="S57" s="147"/>
      <c r="T57" s="167"/>
      <c r="U57" s="167"/>
      <c r="V57" s="167"/>
    </row>
    <row r="58" spans="1:22" s="63" customFormat="1" ht="19.5" thickBot="1" x14ac:dyDescent="0.3">
      <c r="B58" s="77" t="s">
        <v>60</v>
      </c>
      <c r="C58" s="49">
        <f>SUM(C7:C57)</f>
        <v>40813</v>
      </c>
      <c r="D58" s="49"/>
      <c r="E58" s="49"/>
      <c r="F58" s="49">
        <f t="shared" ref="F58:K58" si="11">SUM(F7:F57)</f>
        <v>0</v>
      </c>
      <c r="G58" s="49">
        <f t="shared" si="11"/>
        <v>0</v>
      </c>
      <c r="H58" s="49">
        <f t="shared" si="11"/>
        <v>53</v>
      </c>
      <c r="I58" s="54">
        <f t="shared" si="11"/>
        <v>9</v>
      </c>
      <c r="J58" s="54">
        <f t="shared" si="11"/>
        <v>22</v>
      </c>
      <c r="K58" s="54">
        <f t="shared" si="11"/>
        <v>558</v>
      </c>
      <c r="M58" s="53">
        <f t="shared" ref="M58:R58" si="12">SUM(M7:M57)</f>
        <v>265</v>
      </c>
      <c r="N58" s="53">
        <f t="shared" si="12"/>
        <v>54</v>
      </c>
      <c r="O58" s="53">
        <f t="shared" si="12"/>
        <v>447</v>
      </c>
      <c r="P58" s="53">
        <f t="shared" si="12"/>
        <v>28</v>
      </c>
      <c r="Q58" s="53">
        <f t="shared" si="12"/>
        <v>598</v>
      </c>
      <c r="R58" s="53">
        <f t="shared" si="12"/>
        <v>4</v>
      </c>
      <c r="S58" s="147"/>
      <c r="T58" s="51">
        <f>SUM(T7:T57)</f>
        <v>728</v>
      </c>
      <c r="U58" s="51">
        <f>SUM(U7:U57)</f>
        <v>346304</v>
      </c>
      <c r="V58" s="51">
        <f>SUM(V7:V57)</f>
        <v>42224.583333333336</v>
      </c>
    </row>
    <row r="59" spans="1:22" ht="7.5" customHeight="1" thickBot="1" x14ac:dyDescent="0.3"/>
    <row r="60" spans="1:22" ht="19.5" thickBot="1" x14ac:dyDescent="0.3">
      <c r="B60" s="78" t="s">
        <v>39</v>
      </c>
      <c r="C60" s="191" t="s">
        <v>49</v>
      </c>
      <c r="D60" s="192"/>
      <c r="E60" s="192"/>
      <c r="F60" s="192"/>
      <c r="G60" s="192"/>
      <c r="H60" s="192"/>
      <c r="I60" s="192"/>
      <c r="J60" s="192"/>
      <c r="K60" s="193"/>
      <c r="U60" s="72" t="s">
        <v>62</v>
      </c>
    </row>
    <row r="61" spans="1:22" x14ac:dyDescent="0.25">
      <c r="B61" s="79" t="s">
        <v>18</v>
      </c>
      <c r="C61" s="67"/>
      <c r="D61" s="67"/>
      <c r="E61" s="67"/>
      <c r="F61" s="67"/>
      <c r="G61" s="67"/>
      <c r="H61" s="67"/>
      <c r="I61" s="67"/>
      <c r="J61" s="114"/>
      <c r="K61" s="68"/>
      <c r="U61" s="55"/>
    </row>
    <row r="62" spans="1:22" x14ac:dyDescent="0.25">
      <c r="B62" s="80" t="s">
        <v>55</v>
      </c>
      <c r="C62" s="48"/>
      <c r="D62" s="48"/>
      <c r="E62" s="48"/>
      <c r="F62" s="48"/>
      <c r="G62" s="48"/>
      <c r="H62" s="48"/>
      <c r="I62" s="48"/>
      <c r="J62" s="109"/>
      <c r="K62" s="69"/>
      <c r="U62" s="50"/>
    </row>
    <row r="63" spans="1:22" ht="19.5" thickBot="1" x14ac:dyDescent="0.3">
      <c r="B63" s="81" t="s">
        <v>54</v>
      </c>
      <c r="C63" s="70"/>
      <c r="D63" s="70"/>
      <c r="E63" s="70"/>
      <c r="F63" s="70"/>
      <c r="G63" s="70"/>
      <c r="H63" s="70"/>
      <c r="I63" s="70"/>
      <c r="J63" s="115"/>
      <c r="K63" s="71"/>
      <c r="U63" s="56"/>
    </row>
    <row r="64" spans="1:22" ht="7.5" customHeight="1" thickBot="1" x14ac:dyDescent="0.3"/>
    <row r="65" spans="2:21" x14ac:dyDescent="0.25">
      <c r="B65" s="79" t="s">
        <v>56</v>
      </c>
      <c r="C65" s="67"/>
      <c r="D65" s="67"/>
      <c r="E65" s="67"/>
      <c r="F65" s="67"/>
      <c r="G65" s="67"/>
      <c r="H65" s="67"/>
      <c r="I65" s="67"/>
      <c r="J65" s="114"/>
      <c r="K65" s="68"/>
      <c r="U65" s="55"/>
    </row>
    <row r="66" spans="2:21" x14ac:dyDescent="0.25">
      <c r="B66" s="80" t="s">
        <v>55</v>
      </c>
      <c r="C66" s="48"/>
      <c r="D66" s="48"/>
      <c r="E66" s="48"/>
      <c r="F66" s="48"/>
      <c r="G66" s="48"/>
      <c r="H66" s="48"/>
      <c r="I66" s="48"/>
      <c r="J66" s="109"/>
      <c r="K66" s="69"/>
      <c r="U66" s="50"/>
    </row>
    <row r="67" spans="2:21" ht="19.5" thickBot="1" x14ac:dyDescent="0.3">
      <c r="B67" s="81" t="s">
        <v>54</v>
      </c>
      <c r="C67" s="70"/>
      <c r="D67" s="70"/>
      <c r="E67" s="70"/>
      <c r="F67" s="70"/>
      <c r="G67" s="70"/>
      <c r="H67" s="70"/>
      <c r="I67" s="70"/>
      <c r="J67" s="115"/>
      <c r="K67" s="71"/>
      <c r="U67" s="56"/>
    </row>
    <row r="68" spans="2:21" ht="7.5" customHeight="1" thickBot="1" x14ac:dyDescent="0.3"/>
    <row r="69" spans="2:21" x14ac:dyDescent="0.25">
      <c r="B69" s="79" t="s">
        <v>41</v>
      </c>
      <c r="C69" s="67"/>
      <c r="D69" s="67"/>
      <c r="E69" s="67"/>
      <c r="F69" s="67"/>
      <c r="G69" s="67"/>
      <c r="H69" s="67"/>
      <c r="I69" s="67"/>
      <c r="J69" s="114"/>
      <c r="K69" s="68"/>
      <c r="U69" s="55"/>
    </row>
    <row r="70" spans="2:21" x14ac:dyDescent="0.25">
      <c r="B70" s="80" t="s">
        <v>55</v>
      </c>
      <c r="C70" s="48"/>
      <c r="D70" s="48"/>
      <c r="E70" s="48"/>
      <c r="F70" s="48"/>
      <c r="G70" s="48"/>
      <c r="H70" s="48"/>
      <c r="I70" s="48"/>
      <c r="J70" s="109"/>
      <c r="K70" s="69"/>
      <c r="U70" s="50"/>
    </row>
    <row r="71" spans="2:21" ht="19.5" thickBot="1" x14ac:dyDescent="0.3">
      <c r="B71" s="81" t="s">
        <v>54</v>
      </c>
      <c r="C71" s="70"/>
      <c r="D71" s="70"/>
      <c r="E71" s="70"/>
      <c r="F71" s="70"/>
      <c r="G71" s="70"/>
      <c r="H71" s="70"/>
      <c r="I71" s="70"/>
      <c r="J71" s="115"/>
      <c r="K71" s="71"/>
      <c r="U71" s="56"/>
    </row>
    <row r="72" spans="2:21" ht="7.5" customHeight="1" thickBot="1" x14ac:dyDescent="0.3"/>
    <row r="73" spans="2:21" x14ac:dyDescent="0.25">
      <c r="B73" s="79" t="s">
        <v>57</v>
      </c>
      <c r="C73" s="67"/>
      <c r="D73" s="67"/>
      <c r="E73" s="67"/>
      <c r="F73" s="67"/>
      <c r="G73" s="67"/>
      <c r="H73" s="67"/>
      <c r="I73" s="67"/>
      <c r="J73" s="114"/>
      <c r="K73" s="68"/>
      <c r="U73" s="55"/>
    </row>
    <row r="74" spans="2:21" x14ac:dyDescent="0.25">
      <c r="B74" s="80" t="s">
        <v>55</v>
      </c>
      <c r="C74" s="48"/>
      <c r="D74" s="48"/>
      <c r="E74" s="48"/>
      <c r="F74" s="48"/>
      <c r="G74" s="48"/>
      <c r="H74" s="48"/>
      <c r="I74" s="48"/>
      <c r="J74" s="109"/>
      <c r="K74" s="69"/>
      <c r="U74" s="50"/>
    </row>
    <row r="75" spans="2:21" ht="19.5" thickBot="1" x14ac:dyDescent="0.3">
      <c r="B75" s="81" t="s">
        <v>54</v>
      </c>
      <c r="C75" s="70"/>
      <c r="D75" s="70"/>
      <c r="E75" s="70"/>
      <c r="F75" s="70"/>
      <c r="G75" s="70"/>
      <c r="H75" s="70"/>
      <c r="I75" s="70"/>
      <c r="J75" s="115"/>
      <c r="K75" s="71"/>
      <c r="U75" s="56"/>
    </row>
    <row r="76" spans="2:21" ht="7.5" customHeight="1" thickBot="1" x14ac:dyDescent="0.3"/>
    <row r="77" spans="2:21" x14ac:dyDescent="0.25">
      <c r="B77" s="79" t="s">
        <v>58</v>
      </c>
      <c r="C77" s="67"/>
      <c r="D77" s="67"/>
      <c r="E77" s="67"/>
      <c r="F77" s="67"/>
      <c r="G77" s="67"/>
      <c r="H77" s="67"/>
      <c r="I77" s="67"/>
      <c r="J77" s="114"/>
      <c r="K77" s="68"/>
      <c r="U77" s="55"/>
    </row>
    <row r="78" spans="2:21" x14ac:dyDescent="0.25">
      <c r="B78" s="80" t="s">
        <v>55</v>
      </c>
      <c r="C78" s="48"/>
      <c r="D78" s="48"/>
      <c r="E78" s="48"/>
      <c r="F78" s="48"/>
      <c r="G78" s="48"/>
      <c r="H78" s="48"/>
      <c r="I78" s="48"/>
      <c r="J78" s="109"/>
      <c r="K78" s="69"/>
      <c r="U78" s="50"/>
    </row>
    <row r="79" spans="2:21" ht="19.5" thickBot="1" x14ac:dyDescent="0.3">
      <c r="B79" s="81" t="s">
        <v>54</v>
      </c>
      <c r="C79" s="70"/>
      <c r="D79" s="70"/>
      <c r="E79" s="70"/>
      <c r="F79" s="70"/>
      <c r="G79" s="70"/>
      <c r="H79" s="70"/>
      <c r="I79" s="70"/>
      <c r="J79" s="115"/>
      <c r="K79" s="71"/>
      <c r="U79" s="56"/>
    </row>
    <row r="80" spans="2:21" ht="7.5" customHeight="1" thickBot="1" x14ac:dyDescent="0.3"/>
    <row r="81" spans="2:21" ht="19.5" thickBot="1" x14ac:dyDescent="0.3">
      <c r="B81" s="78" t="s">
        <v>59</v>
      </c>
      <c r="C81" s="65"/>
      <c r="D81" s="65"/>
      <c r="E81" s="65"/>
      <c r="F81" s="65"/>
      <c r="G81" s="65"/>
      <c r="H81" s="65"/>
      <c r="I81" s="65"/>
      <c r="J81" s="116"/>
      <c r="K81" s="66"/>
      <c r="U81" s="64"/>
    </row>
  </sheetData>
  <mergeCells count="7">
    <mergeCell ref="V4:V5"/>
    <mergeCell ref="J5:K5"/>
    <mergeCell ref="C60:K60"/>
    <mergeCell ref="I1:U1"/>
    <mergeCell ref="C4:K4"/>
    <mergeCell ref="T4:T5"/>
    <mergeCell ref="U4:U5"/>
  </mergeCells>
  <printOptions horizontalCentered="1" verticalCentered="1"/>
  <pageMargins left="0.19685039370078741" right="0.19685039370078741" top="0.19685039370078741" bottom="0.19685039370078741" header="0.19685039370078741" footer="0.19685039370078741"/>
  <pageSetup paperSize="14" scale="70" orientation="portrait" horizontalDpi="360" verticalDpi="360" r:id="rId1"/>
  <colBreaks count="1" manualBreakCount="1">
    <brk id="24" max="80" man="1"/>
  </col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E5107-2D0F-49CA-A3C8-528FF5A5B42C}">
  <sheetPr>
    <pageSetUpPr fitToPage="1"/>
  </sheetPr>
  <dimension ref="A1:BB81"/>
  <sheetViews>
    <sheetView tabSelected="1" zoomScaleNormal="100" zoomScaleSheetLayoutView="115" workbookViewId="0">
      <selection activeCell="B2" sqref="B2"/>
    </sheetView>
  </sheetViews>
  <sheetFormatPr defaultColWidth="9.140625" defaultRowHeight="18.75" x14ac:dyDescent="0.25"/>
  <cols>
    <col min="1" max="1" width="4.140625" style="57" bestFit="1" customWidth="1"/>
    <col min="2" max="2" width="12.28515625" style="76" customWidth="1"/>
    <col min="3" max="6" width="10" style="57" customWidth="1"/>
    <col min="7" max="7" width="6.85546875" style="57" customWidth="1"/>
    <col min="8" max="8" width="6.7109375" style="57" customWidth="1"/>
    <col min="9" max="9" width="6.7109375" style="57" bestFit="1" customWidth="1"/>
    <col min="10" max="10" width="6.85546875" style="57" customWidth="1"/>
    <col min="11" max="11" width="6.7109375" style="57" bestFit="1" customWidth="1"/>
    <col min="12" max="12" width="1.42578125" style="57" customWidth="1"/>
    <col min="13" max="13" width="10" style="57" customWidth="1"/>
    <col min="14" max="14" width="6.7109375" style="57" bestFit="1" customWidth="1"/>
    <col min="15" max="15" width="10" style="57" customWidth="1"/>
    <col min="16" max="16" width="5.5703125" style="57" customWidth="1"/>
    <col min="17" max="17" width="10" style="57" customWidth="1"/>
    <col min="18" max="18" width="6.7109375" style="57" bestFit="1" customWidth="1"/>
    <col min="19" max="19" width="1.42578125" style="57" customWidth="1"/>
    <col min="20" max="20" width="12.7109375" style="57" bestFit="1" customWidth="1"/>
    <col min="21" max="21" width="14.28515625" style="57" customWidth="1"/>
    <col min="22" max="22" width="19.5703125" style="57" bestFit="1" customWidth="1"/>
    <col min="23" max="49" width="7.28515625" style="57" customWidth="1"/>
    <col min="50" max="50" width="1.5703125" style="57" customWidth="1"/>
    <col min="51" max="51" width="9.42578125" style="57" customWidth="1"/>
    <col min="52" max="52" width="1.28515625" style="57" customWidth="1"/>
    <col min="53" max="53" width="12.7109375" style="57" bestFit="1" customWidth="1"/>
    <col min="54" max="54" width="10.28515625" style="57" bestFit="1" customWidth="1"/>
    <col min="55" max="16384" width="9.140625" style="57"/>
  </cols>
  <sheetData>
    <row r="1" spans="1:54" ht="15" customHeight="1" x14ac:dyDescent="0.25">
      <c r="B1" s="75" t="s">
        <v>51</v>
      </c>
      <c r="I1" s="194" t="s">
        <v>53</v>
      </c>
      <c r="J1" s="194"/>
      <c r="K1" s="194"/>
      <c r="L1" s="194"/>
      <c r="M1" s="194"/>
      <c r="N1" s="194"/>
      <c r="O1" s="194"/>
      <c r="P1" s="194"/>
      <c r="Q1" s="194"/>
      <c r="R1" s="194"/>
      <c r="S1" s="194"/>
      <c r="T1" s="194"/>
      <c r="U1" s="194"/>
    </row>
    <row r="2" spans="1:54" x14ac:dyDescent="0.25">
      <c r="B2" s="76" t="s">
        <v>100</v>
      </c>
    </row>
    <row r="3" spans="1:54" ht="19.5" thickBot="1" x14ac:dyDescent="0.3"/>
    <row r="4" spans="1:54" s="58" customFormat="1" ht="15.75" x14ac:dyDescent="0.25">
      <c r="B4" s="93" t="s">
        <v>63</v>
      </c>
      <c r="C4" s="189" t="s">
        <v>49</v>
      </c>
      <c r="D4" s="189"/>
      <c r="E4" s="189"/>
      <c r="F4" s="189"/>
      <c r="G4" s="189"/>
      <c r="H4" s="189"/>
      <c r="I4" s="189"/>
      <c r="J4" s="199"/>
      <c r="K4" s="190"/>
      <c r="M4" s="82" t="s">
        <v>0</v>
      </c>
      <c r="N4" s="117" t="s">
        <v>72</v>
      </c>
      <c r="O4" s="84" t="s">
        <v>45</v>
      </c>
      <c r="P4" s="117" t="s">
        <v>72</v>
      </c>
      <c r="Q4" s="85" t="s">
        <v>46</v>
      </c>
      <c r="R4" s="117" t="s">
        <v>72</v>
      </c>
      <c r="S4" s="57"/>
      <c r="T4" s="200" t="s">
        <v>80</v>
      </c>
      <c r="U4" s="202" t="s">
        <v>79</v>
      </c>
      <c r="V4" s="195" t="s">
        <v>78</v>
      </c>
      <c r="AF4" s="59"/>
      <c r="AG4" s="59"/>
      <c r="AH4" s="59"/>
      <c r="AI4" s="59"/>
      <c r="AJ4" s="59"/>
      <c r="AK4" s="59"/>
      <c r="AL4" s="59"/>
      <c r="AM4" s="59"/>
      <c r="AN4" s="59"/>
      <c r="AO4" s="59"/>
      <c r="AP4" s="59"/>
      <c r="AQ4" s="59"/>
      <c r="AR4" s="59"/>
      <c r="AS4" s="59"/>
      <c r="AT4" s="59"/>
      <c r="AU4" s="59"/>
      <c r="AV4" s="59"/>
      <c r="AW4" s="59"/>
      <c r="AX4" s="59"/>
      <c r="AY4" s="59"/>
      <c r="AZ4" s="59"/>
      <c r="BA4" s="59"/>
      <c r="BB4" s="59"/>
    </row>
    <row r="5" spans="1:54" s="58" customFormat="1" ht="15.75" x14ac:dyDescent="0.25">
      <c r="B5" s="87"/>
      <c r="C5" s="92"/>
      <c r="D5" s="92"/>
      <c r="E5" s="92"/>
      <c r="F5" s="92"/>
      <c r="G5" s="92"/>
      <c r="H5" s="92" t="s">
        <v>76</v>
      </c>
      <c r="I5" s="92" t="s">
        <v>71</v>
      </c>
      <c r="J5" s="197" t="s">
        <v>77</v>
      </c>
      <c r="K5" s="198"/>
      <c r="M5" s="87"/>
      <c r="N5" s="118"/>
      <c r="O5" s="92"/>
      <c r="P5" s="143"/>
      <c r="Q5" s="143"/>
      <c r="R5" s="89"/>
      <c r="S5" s="57"/>
      <c r="T5" s="201"/>
      <c r="U5" s="203"/>
      <c r="V5" s="196"/>
      <c r="AF5" s="59"/>
      <c r="AG5" s="59"/>
      <c r="AH5" s="59"/>
      <c r="AI5" s="59"/>
      <c r="AJ5" s="59"/>
      <c r="AK5" s="59"/>
      <c r="AL5" s="59"/>
      <c r="AM5" s="59"/>
      <c r="AN5" s="59"/>
      <c r="AO5" s="59"/>
      <c r="AP5" s="59"/>
      <c r="AQ5" s="59"/>
      <c r="AR5" s="59"/>
      <c r="AS5" s="59"/>
      <c r="AT5" s="59"/>
      <c r="AU5" s="59"/>
      <c r="AV5" s="59"/>
      <c r="AW5" s="59"/>
      <c r="AX5" s="59"/>
      <c r="AY5" s="59"/>
      <c r="AZ5" s="59"/>
      <c r="BA5" s="59"/>
      <c r="BB5" s="59"/>
    </row>
    <row r="6" spans="1:54" s="58" customFormat="1" ht="15.75" x14ac:dyDescent="0.25">
      <c r="B6" s="87"/>
      <c r="C6" s="92"/>
      <c r="D6" s="92"/>
      <c r="E6" s="92"/>
      <c r="F6" s="92"/>
      <c r="G6" s="92"/>
      <c r="H6" s="92"/>
      <c r="I6" s="92"/>
      <c r="J6" s="143"/>
      <c r="K6" s="89"/>
      <c r="M6" s="87"/>
      <c r="N6" s="118"/>
      <c r="O6" s="92"/>
      <c r="P6" s="143"/>
      <c r="Q6" s="143"/>
      <c r="R6" s="89"/>
      <c r="S6" s="57"/>
      <c r="T6" s="90"/>
      <c r="U6" s="90"/>
      <c r="V6" s="90"/>
      <c r="AF6" s="59"/>
      <c r="AG6" s="59"/>
      <c r="AH6" s="59"/>
      <c r="AI6" s="59"/>
      <c r="AJ6" s="59"/>
      <c r="AK6" s="59"/>
      <c r="AL6" s="59"/>
      <c r="AM6" s="59"/>
      <c r="AN6" s="59"/>
      <c r="AO6" s="59"/>
      <c r="AP6" s="59"/>
      <c r="AQ6" s="59"/>
      <c r="AR6" s="59"/>
      <c r="AS6" s="59"/>
      <c r="AT6" s="59"/>
      <c r="AU6" s="59"/>
      <c r="AV6" s="59"/>
      <c r="AW6" s="59"/>
      <c r="AX6" s="59"/>
      <c r="AY6" s="59"/>
      <c r="AZ6" s="59"/>
      <c r="BA6" s="59"/>
      <c r="BB6" s="59"/>
    </row>
    <row r="7" spans="1:54" x14ac:dyDescent="0.25">
      <c r="A7" s="75">
        <v>1</v>
      </c>
      <c r="B7" s="74" t="s">
        <v>34</v>
      </c>
      <c r="C7" s="144">
        <v>25</v>
      </c>
      <c r="D7" s="144"/>
      <c r="E7" s="144"/>
      <c r="F7" s="144"/>
      <c r="G7" s="144"/>
      <c r="H7" s="144">
        <v>5</v>
      </c>
      <c r="I7" s="144">
        <v>1</v>
      </c>
      <c r="J7" s="145"/>
      <c r="K7" s="146">
        <v>6</v>
      </c>
      <c r="L7" s="147"/>
      <c r="M7" s="148">
        <v>1</v>
      </c>
      <c r="N7" s="149"/>
      <c r="O7" s="144">
        <v>3</v>
      </c>
      <c r="P7" s="145"/>
      <c r="Q7" s="145"/>
      <c r="R7" s="146"/>
      <c r="S7" s="147"/>
      <c r="T7" s="150">
        <f>H7+I7+J7+K7+N7+P7+R7</f>
        <v>12</v>
      </c>
      <c r="U7" s="150">
        <f>C7*24+M7*24+O7*24+Q7*24+T7</f>
        <v>708</v>
      </c>
      <c r="V7" s="150">
        <f>U7/24</f>
        <v>29.5</v>
      </c>
      <c r="W7" s="123"/>
      <c r="AF7" s="60"/>
      <c r="AG7" s="60"/>
      <c r="AH7" s="60"/>
      <c r="AI7" s="60"/>
      <c r="AJ7" s="60"/>
      <c r="AK7" s="60"/>
      <c r="AL7" s="60"/>
      <c r="AM7" s="60"/>
      <c r="AN7" s="60"/>
      <c r="AO7" s="60"/>
      <c r="AP7" s="60"/>
      <c r="AQ7" s="60"/>
      <c r="AR7" s="60"/>
      <c r="AS7" s="60"/>
      <c r="AT7" s="60"/>
      <c r="AU7" s="60"/>
      <c r="AV7" s="60"/>
      <c r="AW7" s="60"/>
      <c r="AX7" s="60"/>
      <c r="AY7" s="60"/>
      <c r="AZ7" s="60"/>
      <c r="BA7" s="60"/>
      <c r="BB7" s="60"/>
    </row>
    <row r="8" spans="1:54" ht="19.5" thickBot="1" x14ac:dyDescent="0.3">
      <c r="A8" s="75">
        <f>A7+1</f>
        <v>2</v>
      </c>
      <c r="B8" s="94" t="s">
        <v>37</v>
      </c>
      <c r="C8" s="151">
        <f>63+28</f>
        <v>91</v>
      </c>
      <c r="D8" s="151"/>
      <c r="E8" s="151"/>
      <c r="F8" s="151"/>
      <c r="G8" s="151"/>
      <c r="H8" s="151"/>
      <c r="I8" s="151"/>
      <c r="J8" s="152"/>
      <c r="K8" s="153"/>
      <c r="L8" s="154"/>
      <c r="M8" s="155"/>
      <c r="N8" s="156"/>
      <c r="O8" s="157"/>
      <c r="P8" s="158"/>
      <c r="Q8" s="158"/>
      <c r="R8" s="159"/>
      <c r="S8" s="154"/>
      <c r="T8" s="160">
        <f t="shared" ref="T8:T41" si="0">H8+I8+J8+K8+N8+P8+R8</f>
        <v>0</v>
      </c>
      <c r="U8" s="161">
        <f>C8*24+M8*24+O8*24+Q8*24+T8</f>
        <v>2184</v>
      </c>
      <c r="V8" s="161">
        <f>U8/24</f>
        <v>91</v>
      </c>
      <c r="W8" s="123"/>
      <c r="AF8" s="60"/>
      <c r="AG8" s="60"/>
      <c r="AH8" s="60"/>
      <c r="AI8" s="60"/>
      <c r="AJ8" s="60"/>
      <c r="AK8" s="60"/>
      <c r="AL8" s="60"/>
      <c r="AM8" s="60"/>
      <c r="AN8" s="60"/>
      <c r="AO8" s="60"/>
      <c r="AP8" s="60"/>
      <c r="AQ8" s="60"/>
      <c r="AR8" s="60"/>
      <c r="AS8" s="60"/>
      <c r="AT8" s="60"/>
      <c r="AU8" s="60"/>
      <c r="AV8" s="60"/>
      <c r="AW8" s="60"/>
      <c r="AX8" s="60"/>
      <c r="AY8" s="60"/>
      <c r="AZ8" s="60"/>
      <c r="BA8" s="60"/>
      <c r="BB8" s="60"/>
    </row>
    <row r="9" spans="1:54" x14ac:dyDescent="0.25">
      <c r="A9" s="75">
        <f t="shared" ref="A9:A57" si="1">A8+1</f>
        <v>3</v>
      </c>
      <c r="B9" s="73" t="s">
        <v>35</v>
      </c>
      <c r="C9" s="162"/>
      <c r="D9" s="162"/>
      <c r="E9" s="162"/>
      <c r="F9" s="162"/>
      <c r="G9" s="162"/>
      <c r="H9" s="162"/>
      <c r="I9" s="162"/>
      <c r="J9" s="163"/>
      <c r="K9" s="164"/>
      <c r="L9" s="147"/>
      <c r="M9" s="165"/>
      <c r="N9" s="166"/>
      <c r="O9" s="162"/>
      <c r="P9" s="163"/>
      <c r="Q9" s="163"/>
      <c r="R9" s="164"/>
      <c r="S9" s="147"/>
      <c r="T9" s="167">
        <f t="shared" si="0"/>
        <v>0</v>
      </c>
      <c r="U9" s="168">
        <f t="shared" ref="U9:U11" si="2">C9*24+M9*24+O9*24+Q9*24+T9</f>
        <v>0</v>
      </c>
      <c r="V9" s="168">
        <f t="shared" ref="V9:V11" si="3">U9/24</f>
        <v>0</v>
      </c>
      <c r="W9" s="123"/>
      <c r="AF9" s="60"/>
      <c r="AG9" s="60"/>
      <c r="AH9" s="60"/>
      <c r="AI9" s="60"/>
      <c r="AJ9" s="60"/>
      <c r="AK9" s="60"/>
      <c r="AL9" s="60"/>
      <c r="AM9" s="60"/>
      <c r="AN9" s="60"/>
      <c r="AO9" s="60"/>
      <c r="AP9" s="60"/>
      <c r="AQ9" s="60"/>
      <c r="AR9" s="60"/>
      <c r="AS9" s="60"/>
      <c r="AT9" s="60"/>
      <c r="AU9" s="60"/>
      <c r="AV9" s="60"/>
      <c r="AW9" s="60"/>
      <c r="AX9" s="60"/>
      <c r="AY9" s="60"/>
      <c r="AZ9" s="60"/>
      <c r="BA9" s="60"/>
      <c r="BB9" s="60"/>
    </row>
    <row r="10" spans="1:54" x14ac:dyDescent="0.25">
      <c r="A10" s="75">
        <f t="shared" si="1"/>
        <v>4</v>
      </c>
      <c r="B10" s="74" t="s">
        <v>38</v>
      </c>
      <c r="C10" s="162">
        <v>54</v>
      </c>
      <c r="D10" s="162"/>
      <c r="E10" s="162"/>
      <c r="F10" s="162"/>
      <c r="G10" s="162"/>
      <c r="H10" s="162"/>
      <c r="I10" s="162"/>
      <c r="J10" s="163"/>
      <c r="K10" s="164"/>
      <c r="L10" s="147"/>
      <c r="M10" s="165"/>
      <c r="N10" s="166"/>
      <c r="O10" s="162"/>
      <c r="P10" s="163"/>
      <c r="Q10" s="163">
        <v>2</v>
      </c>
      <c r="R10" s="164"/>
      <c r="S10" s="147"/>
      <c r="T10" s="150">
        <f t="shared" si="0"/>
        <v>0</v>
      </c>
      <c r="U10" s="150">
        <f t="shared" si="2"/>
        <v>1344</v>
      </c>
      <c r="V10" s="150">
        <f t="shared" si="3"/>
        <v>56</v>
      </c>
      <c r="W10" s="123"/>
      <c r="AF10" s="60"/>
      <c r="AG10" s="60"/>
      <c r="AH10" s="60"/>
      <c r="AI10" s="60"/>
      <c r="AJ10" s="60"/>
      <c r="AK10" s="60"/>
      <c r="AL10" s="60"/>
      <c r="AM10" s="60"/>
      <c r="AN10" s="60"/>
      <c r="AO10" s="60"/>
      <c r="AP10" s="60"/>
      <c r="AQ10" s="60"/>
      <c r="AR10" s="60"/>
      <c r="AS10" s="60"/>
      <c r="AT10" s="60"/>
      <c r="AU10" s="60"/>
      <c r="AV10" s="60"/>
      <c r="AW10" s="60"/>
      <c r="AX10" s="60"/>
      <c r="AY10" s="60"/>
      <c r="AZ10" s="60"/>
      <c r="BA10" s="60"/>
      <c r="BB10" s="60"/>
    </row>
    <row r="11" spans="1:54" x14ac:dyDescent="0.25">
      <c r="A11" s="75">
        <f t="shared" si="1"/>
        <v>5</v>
      </c>
      <c r="B11" s="74" t="s">
        <v>36</v>
      </c>
      <c r="C11" s="162"/>
      <c r="D11" s="162"/>
      <c r="E11" s="162"/>
      <c r="F11" s="162"/>
      <c r="G11" s="162"/>
      <c r="H11" s="162">
        <v>22</v>
      </c>
      <c r="I11" s="162"/>
      <c r="J11" s="163"/>
      <c r="K11" s="164">
        <v>2</v>
      </c>
      <c r="L11" s="147"/>
      <c r="M11" s="165"/>
      <c r="N11" s="166"/>
      <c r="O11" s="162"/>
      <c r="P11" s="163"/>
      <c r="Q11" s="163"/>
      <c r="R11" s="164"/>
      <c r="S11" s="147"/>
      <c r="T11" s="150">
        <f t="shared" si="0"/>
        <v>24</v>
      </c>
      <c r="U11" s="150">
        <f t="shared" si="2"/>
        <v>24</v>
      </c>
      <c r="V11" s="150">
        <f t="shared" si="3"/>
        <v>1</v>
      </c>
      <c r="AF11" s="60"/>
      <c r="AG11" s="60"/>
      <c r="AH11" s="60"/>
      <c r="AI11" s="60"/>
      <c r="AJ11" s="60"/>
      <c r="AK11" s="60"/>
      <c r="AL11" s="60"/>
      <c r="AM11" s="60"/>
      <c r="AN11" s="60"/>
      <c r="AO11" s="60"/>
      <c r="AP11" s="60"/>
      <c r="AQ11" s="60"/>
      <c r="AR11" s="60"/>
      <c r="AS11" s="60"/>
      <c r="AT11" s="60"/>
      <c r="AU11" s="60"/>
      <c r="AV11" s="60"/>
      <c r="AW11" s="60"/>
      <c r="AX11" s="60"/>
      <c r="AY11" s="60"/>
      <c r="AZ11" s="60"/>
      <c r="BA11" s="60"/>
      <c r="BB11" s="60"/>
    </row>
    <row r="12" spans="1:54" s="61" customFormat="1" ht="19.5" thickBot="1" x14ac:dyDescent="0.3">
      <c r="A12" s="75">
        <v>7</v>
      </c>
      <c r="B12" s="94" t="s">
        <v>32</v>
      </c>
      <c r="C12" s="151">
        <f>72+1224+26+1440+576</f>
        <v>3338</v>
      </c>
      <c r="D12" s="151"/>
      <c r="E12" s="151"/>
      <c r="F12" s="151"/>
      <c r="G12" s="151"/>
      <c r="H12" s="151"/>
      <c r="I12" s="151"/>
      <c r="J12" s="152"/>
      <c r="K12" s="153"/>
      <c r="L12" s="154"/>
      <c r="M12" s="155">
        <v>4</v>
      </c>
      <c r="N12" s="156">
        <v>4</v>
      </c>
      <c r="O12" s="157">
        <v>2</v>
      </c>
      <c r="P12" s="158"/>
      <c r="Q12" s="158">
        <v>24</v>
      </c>
      <c r="R12" s="159">
        <v>13</v>
      </c>
      <c r="S12" s="154"/>
      <c r="T12" s="160">
        <f t="shared" si="0"/>
        <v>17</v>
      </c>
      <c r="U12" s="161">
        <f>C12*24+M12*24+O12*24+Q12*24+T12</f>
        <v>80849</v>
      </c>
      <c r="V12" s="161">
        <f>U12/24</f>
        <v>3368.7083333333335</v>
      </c>
      <c r="W12" s="57"/>
      <c r="X12" s="57"/>
      <c r="Y12" s="57"/>
      <c r="Z12" s="57"/>
      <c r="AA12" s="57"/>
      <c r="AB12" s="57"/>
      <c r="AC12" s="57"/>
      <c r="AD12" s="57"/>
      <c r="AE12" s="57"/>
      <c r="AF12" s="60"/>
      <c r="AG12" s="60"/>
      <c r="AH12" s="60"/>
      <c r="AI12" s="60"/>
      <c r="AJ12" s="60"/>
      <c r="AK12" s="60"/>
      <c r="AL12" s="60"/>
      <c r="AM12" s="60"/>
      <c r="AN12" s="60"/>
      <c r="AO12" s="60"/>
      <c r="AP12" s="60"/>
      <c r="AQ12" s="60"/>
      <c r="AR12" s="60"/>
      <c r="AS12" s="60"/>
      <c r="AT12" s="60"/>
      <c r="AU12" s="60"/>
      <c r="AV12" s="60"/>
      <c r="AW12" s="60"/>
      <c r="AX12" s="60"/>
      <c r="AY12" s="60"/>
      <c r="AZ12" s="60"/>
      <c r="BA12" s="60"/>
      <c r="BB12" s="60"/>
    </row>
    <row r="13" spans="1:54" x14ac:dyDescent="0.25">
      <c r="A13" s="75">
        <v>11</v>
      </c>
      <c r="B13" s="73" t="s">
        <v>1</v>
      </c>
      <c r="C13" s="162">
        <v>5</v>
      </c>
      <c r="D13" s="162"/>
      <c r="E13" s="162"/>
      <c r="F13" s="162"/>
      <c r="G13" s="162"/>
      <c r="H13" s="162"/>
      <c r="I13" s="162"/>
      <c r="J13" s="163"/>
      <c r="K13" s="164"/>
      <c r="L13" s="147"/>
      <c r="M13" s="165"/>
      <c r="N13" s="166"/>
      <c r="O13" s="162"/>
      <c r="P13" s="163"/>
      <c r="Q13" s="163"/>
      <c r="R13" s="164"/>
      <c r="S13" s="147"/>
      <c r="T13" s="167">
        <f t="shared" si="0"/>
        <v>0</v>
      </c>
      <c r="U13" s="168">
        <f>C13*24+M13*24+O13*24+Q13*24+T13</f>
        <v>120</v>
      </c>
      <c r="V13" s="168">
        <f>U13/24</f>
        <v>5</v>
      </c>
      <c r="AF13" s="60"/>
      <c r="AG13" s="60"/>
      <c r="AH13" s="60"/>
      <c r="AI13" s="60"/>
      <c r="AJ13" s="60"/>
      <c r="AK13" s="60"/>
      <c r="AL13" s="60"/>
      <c r="AM13" s="60"/>
      <c r="AN13" s="60"/>
      <c r="AO13" s="60"/>
      <c r="AP13" s="60"/>
      <c r="AQ13" s="60"/>
      <c r="AR13" s="60"/>
      <c r="AS13" s="60"/>
      <c r="AT13" s="60"/>
      <c r="AU13" s="60"/>
      <c r="AV13" s="60"/>
      <c r="AW13" s="60"/>
      <c r="AX13" s="60"/>
      <c r="AY13" s="60"/>
      <c r="AZ13" s="60"/>
      <c r="BA13" s="60"/>
      <c r="BB13" s="60"/>
    </row>
    <row r="14" spans="1:54" x14ac:dyDescent="0.25">
      <c r="A14" s="75">
        <f t="shared" si="1"/>
        <v>12</v>
      </c>
      <c r="B14" s="74" t="s">
        <v>2</v>
      </c>
      <c r="C14" s="162"/>
      <c r="D14" s="162"/>
      <c r="E14" s="162"/>
      <c r="F14" s="162"/>
      <c r="G14" s="162"/>
      <c r="H14" s="162"/>
      <c r="I14" s="162"/>
      <c r="J14" s="163"/>
      <c r="K14" s="164"/>
      <c r="L14" s="147"/>
      <c r="M14" s="165"/>
      <c r="N14" s="166"/>
      <c r="O14" s="162"/>
      <c r="P14" s="163"/>
      <c r="Q14" s="163"/>
      <c r="R14" s="164"/>
      <c r="S14" s="147"/>
      <c r="T14" s="150">
        <f t="shared" si="0"/>
        <v>0</v>
      </c>
      <c r="U14" s="167">
        <f t="shared" ref="U14:U36" si="4">C14*24+M14*24+O14*24+Q14*24+T14</f>
        <v>0</v>
      </c>
      <c r="V14" s="167">
        <f t="shared" ref="V14:V36" si="5">U14/24</f>
        <v>0</v>
      </c>
      <c r="AF14" s="60"/>
      <c r="AG14" s="60"/>
      <c r="AH14" s="60"/>
      <c r="AI14" s="60"/>
      <c r="AJ14" s="60"/>
      <c r="AK14" s="60"/>
      <c r="AL14" s="60"/>
      <c r="AM14" s="60"/>
      <c r="AN14" s="60"/>
      <c r="AO14" s="60"/>
      <c r="AP14" s="60"/>
      <c r="AQ14" s="60"/>
      <c r="AR14" s="60"/>
      <c r="AS14" s="60"/>
      <c r="AT14" s="60"/>
      <c r="AU14" s="60"/>
      <c r="AV14" s="60"/>
      <c r="AW14" s="60"/>
      <c r="AX14" s="60"/>
      <c r="AY14" s="60"/>
      <c r="AZ14" s="60"/>
      <c r="BA14" s="60"/>
      <c r="BB14" s="60"/>
    </row>
    <row r="15" spans="1:54" x14ac:dyDescent="0.25">
      <c r="A15" s="75">
        <f t="shared" si="1"/>
        <v>13</v>
      </c>
      <c r="B15" s="74" t="s">
        <v>3</v>
      </c>
      <c r="C15" s="162"/>
      <c r="D15" s="162"/>
      <c r="E15" s="162"/>
      <c r="F15" s="162"/>
      <c r="G15" s="162"/>
      <c r="H15" s="162"/>
      <c r="I15" s="162"/>
      <c r="J15" s="163"/>
      <c r="K15" s="164"/>
      <c r="L15" s="147"/>
      <c r="M15" s="165"/>
      <c r="N15" s="166"/>
      <c r="O15" s="162"/>
      <c r="P15" s="163"/>
      <c r="Q15" s="163"/>
      <c r="R15" s="164"/>
      <c r="S15" s="147"/>
      <c r="T15" s="150">
        <f t="shared" si="0"/>
        <v>0</v>
      </c>
      <c r="U15" s="167">
        <f t="shared" si="4"/>
        <v>0</v>
      </c>
      <c r="V15" s="167">
        <f t="shared" si="5"/>
        <v>0</v>
      </c>
      <c r="AF15" s="60"/>
      <c r="AG15" s="60"/>
      <c r="AH15" s="60"/>
      <c r="AI15" s="60"/>
      <c r="AJ15" s="60"/>
      <c r="AK15" s="60"/>
      <c r="AL15" s="60"/>
      <c r="AM15" s="60"/>
      <c r="AN15" s="60"/>
      <c r="AO15" s="60"/>
      <c r="AP15" s="60"/>
      <c r="AQ15" s="60"/>
      <c r="AR15" s="60"/>
      <c r="AS15" s="60"/>
      <c r="AT15" s="60"/>
      <c r="AU15" s="60"/>
      <c r="AV15" s="60"/>
      <c r="AW15" s="60"/>
      <c r="AX15" s="60"/>
      <c r="AY15" s="60"/>
      <c r="AZ15" s="60"/>
      <c r="BA15" s="60"/>
      <c r="BB15" s="60"/>
    </row>
    <row r="16" spans="1:54" x14ac:dyDescent="0.25">
      <c r="A16" s="75">
        <f t="shared" si="1"/>
        <v>14</v>
      </c>
      <c r="B16" s="74" t="s">
        <v>4</v>
      </c>
      <c r="C16" s="162"/>
      <c r="D16" s="162"/>
      <c r="E16" s="162"/>
      <c r="F16" s="162"/>
      <c r="G16" s="162"/>
      <c r="H16" s="162"/>
      <c r="I16" s="162"/>
      <c r="J16" s="163"/>
      <c r="K16" s="164"/>
      <c r="L16" s="147"/>
      <c r="M16" s="165"/>
      <c r="N16" s="166"/>
      <c r="O16" s="162"/>
      <c r="P16" s="163"/>
      <c r="Q16" s="163"/>
      <c r="R16" s="164"/>
      <c r="S16" s="147"/>
      <c r="T16" s="150">
        <f t="shared" si="0"/>
        <v>0</v>
      </c>
      <c r="U16" s="167">
        <f t="shared" si="4"/>
        <v>0</v>
      </c>
      <c r="V16" s="167">
        <f t="shared" si="5"/>
        <v>0</v>
      </c>
      <c r="AF16" s="60"/>
      <c r="AG16" s="60"/>
      <c r="AH16" s="60"/>
      <c r="AI16" s="60"/>
      <c r="AJ16" s="60"/>
      <c r="AK16" s="60"/>
      <c r="AL16" s="60"/>
      <c r="AM16" s="60"/>
      <c r="AN16" s="60"/>
      <c r="AO16" s="60"/>
      <c r="AP16" s="60"/>
      <c r="AQ16" s="60"/>
      <c r="AR16" s="60"/>
      <c r="AS16" s="60"/>
      <c r="AT16" s="60"/>
      <c r="AU16" s="60"/>
      <c r="AV16" s="60"/>
      <c r="AW16" s="60"/>
      <c r="AX16" s="60"/>
      <c r="AY16" s="60"/>
      <c r="AZ16" s="60"/>
      <c r="BA16" s="60"/>
      <c r="BB16" s="60"/>
    </row>
    <row r="17" spans="1:54" x14ac:dyDescent="0.25">
      <c r="A17" s="75">
        <f t="shared" si="1"/>
        <v>15</v>
      </c>
      <c r="B17" s="74" t="s">
        <v>5</v>
      </c>
      <c r="C17" s="162">
        <v>4</v>
      </c>
      <c r="D17" s="162"/>
      <c r="E17" s="162"/>
      <c r="F17" s="162"/>
      <c r="G17" s="162"/>
      <c r="H17" s="162"/>
      <c r="I17" s="162"/>
      <c r="J17" s="163"/>
      <c r="K17" s="164"/>
      <c r="L17" s="147"/>
      <c r="M17" s="165"/>
      <c r="N17" s="166"/>
      <c r="O17" s="162"/>
      <c r="P17" s="163"/>
      <c r="Q17" s="163"/>
      <c r="R17" s="164"/>
      <c r="S17" s="147"/>
      <c r="T17" s="150">
        <f t="shared" si="0"/>
        <v>0</v>
      </c>
      <c r="U17" s="167">
        <f t="shared" si="4"/>
        <v>96</v>
      </c>
      <c r="V17" s="167">
        <f t="shared" si="5"/>
        <v>4</v>
      </c>
      <c r="AF17" s="60"/>
      <c r="AG17" s="60"/>
      <c r="AH17" s="60"/>
      <c r="AI17" s="60"/>
      <c r="AJ17" s="60"/>
      <c r="AK17" s="60"/>
      <c r="AL17" s="60"/>
      <c r="AM17" s="60"/>
      <c r="AN17" s="60"/>
      <c r="AO17" s="60"/>
      <c r="AP17" s="60"/>
      <c r="AQ17" s="60"/>
      <c r="AR17" s="60"/>
      <c r="AS17" s="60"/>
      <c r="AT17" s="60"/>
      <c r="AU17" s="60"/>
      <c r="AV17" s="60"/>
      <c r="AW17" s="60"/>
      <c r="AX17" s="60"/>
      <c r="AY17" s="60"/>
      <c r="AZ17" s="60"/>
      <c r="BA17" s="60"/>
      <c r="BB17" s="60"/>
    </row>
    <row r="18" spans="1:54" hidden="1" x14ac:dyDescent="0.25">
      <c r="A18" s="75">
        <f t="shared" si="1"/>
        <v>16</v>
      </c>
      <c r="B18" s="74" t="s">
        <v>10</v>
      </c>
      <c r="C18" s="162"/>
      <c r="D18" s="162"/>
      <c r="E18" s="162"/>
      <c r="F18" s="162"/>
      <c r="G18" s="162"/>
      <c r="H18" s="162"/>
      <c r="I18" s="162"/>
      <c r="J18" s="163"/>
      <c r="K18" s="164"/>
      <c r="L18" s="147"/>
      <c r="M18" s="165"/>
      <c r="N18" s="166"/>
      <c r="O18" s="162"/>
      <c r="P18" s="163"/>
      <c r="Q18" s="163"/>
      <c r="R18" s="164"/>
      <c r="S18" s="147"/>
      <c r="T18" s="150">
        <f t="shared" si="0"/>
        <v>0</v>
      </c>
      <c r="U18" s="167">
        <f t="shared" si="4"/>
        <v>0</v>
      </c>
      <c r="V18" s="167">
        <f t="shared" si="5"/>
        <v>0</v>
      </c>
      <c r="AF18" s="60"/>
      <c r="AG18" s="60"/>
      <c r="AH18" s="60"/>
      <c r="AI18" s="60"/>
      <c r="AJ18" s="60"/>
      <c r="AK18" s="60"/>
      <c r="AL18" s="60"/>
      <c r="AM18" s="60"/>
      <c r="AN18" s="60"/>
      <c r="AO18" s="60"/>
      <c r="AP18" s="60"/>
      <c r="AQ18" s="60"/>
      <c r="AR18" s="60"/>
      <c r="AS18" s="60"/>
      <c r="AT18" s="60"/>
      <c r="AU18" s="60"/>
      <c r="AV18" s="60"/>
      <c r="AW18" s="60"/>
      <c r="AX18" s="60"/>
      <c r="AY18" s="60"/>
      <c r="AZ18" s="60"/>
      <c r="BA18" s="60"/>
      <c r="BB18" s="60"/>
    </row>
    <row r="19" spans="1:54" x14ac:dyDescent="0.25">
      <c r="A19" s="75">
        <v>16</v>
      </c>
      <c r="B19" s="74" t="s">
        <v>64</v>
      </c>
      <c r="C19" s="162">
        <v>4</v>
      </c>
      <c r="D19" s="162"/>
      <c r="E19" s="162"/>
      <c r="F19" s="162"/>
      <c r="G19" s="162"/>
      <c r="H19" s="162"/>
      <c r="I19" s="162"/>
      <c r="J19" s="163"/>
      <c r="K19" s="164"/>
      <c r="L19" s="147"/>
      <c r="M19" s="165"/>
      <c r="N19" s="166"/>
      <c r="O19" s="162"/>
      <c r="P19" s="163"/>
      <c r="Q19" s="163"/>
      <c r="R19" s="164"/>
      <c r="S19" s="147"/>
      <c r="T19" s="150">
        <f t="shared" si="0"/>
        <v>0</v>
      </c>
      <c r="U19" s="167">
        <f t="shared" si="4"/>
        <v>96</v>
      </c>
      <c r="V19" s="167">
        <f t="shared" si="5"/>
        <v>4</v>
      </c>
      <c r="AF19" s="60"/>
      <c r="AG19" s="60"/>
      <c r="AH19" s="60"/>
      <c r="AI19" s="60"/>
      <c r="AJ19" s="60"/>
      <c r="AK19" s="60"/>
      <c r="AL19" s="60"/>
      <c r="AM19" s="60"/>
      <c r="AN19" s="60"/>
      <c r="AO19" s="60"/>
      <c r="AP19" s="60"/>
      <c r="AQ19" s="60"/>
      <c r="AR19" s="60"/>
      <c r="AS19" s="60"/>
      <c r="AT19" s="60"/>
      <c r="AU19" s="60"/>
      <c r="AV19" s="60"/>
      <c r="AW19" s="60"/>
      <c r="AX19" s="60"/>
      <c r="AY19" s="60"/>
      <c r="AZ19" s="60"/>
      <c r="BA19" s="60"/>
      <c r="BB19" s="60"/>
    </row>
    <row r="20" spans="1:54" x14ac:dyDescent="0.25">
      <c r="A20" s="75">
        <f t="shared" si="1"/>
        <v>17</v>
      </c>
      <c r="B20" s="74" t="s">
        <v>6</v>
      </c>
      <c r="C20" s="162">
        <v>6</v>
      </c>
      <c r="D20" s="162"/>
      <c r="E20" s="162"/>
      <c r="F20" s="162"/>
      <c r="G20" s="162"/>
      <c r="H20" s="162"/>
      <c r="I20" s="162"/>
      <c r="J20" s="163"/>
      <c r="K20" s="164"/>
      <c r="L20" s="147"/>
      <c r="M20" s="165"/>
      <c r="N20" s="166"/>
      <c r="O20" s="162"/>
      <c r="P20" s="163"/>
      <c r="Q20" s="163"/>
      <c r="R20" s="164"/>
      <c r="S20" s="147"/>
      <c r="T20" s="150">
        <f t="shared" si="0"/>
        <v>0</v>
      </c>
      <c r="U20" s="167">
        <f t="shared" si="4"/>
        <v>144</v>
      </c>
      <c r="V20" s="167">
        <f t="shared" si="5"/>
        <v>6</v>
      </c>
      <c r="AF20" s="60"/>
      <c r="AG20" s="60"/>
      <c r="AH20" s="60"/>
      <c r="AI20" s="60"/>
      <c r="AJ20" s="60"/>
      <c r="AK20" s="60"/>
      <c r="AL20" s="60"/>
      <c r="AM20" s="60"/>
      <c r="AN20" s="60"/>
      <c r="AO20" s="60"/>
      <c r="AP20" s="60"/>
      <c r="AQ20" s="60"/>
      <c r="AR20" s="60"/>
      <c r="AS20" s="60"/>
      <c r="AT20" s="60"/>
      <c r="AU20" s="60"/>
      <c r="AV20" s="60"/>
      <c r="AW20" s="60"/>
      <c r="AX20" s="60"/>
      <c r="AY20" s="60"/>
      <c r="AZ20" s="60"/>
      <c r="BA20" s="60"/>
      <c r="BB20" s="60"/>
    </row>
    <row r="21" spans="1:54" x14ac:dyDescent="0.25">
      <c r="A21" s="75">
        <f t="shared" si="1"/>
        <v>18</v>
      </c>
      <c r="B21" s="74" t="s">
        <v>7</v>
      </c>
      <c r="C21" s="162">
        <v>4</v>
      </c>
      <c r="D21" s="162"/>
      <c r="E21" s="162"/>
      <c r="F21" s="162"/>
      <c r="G21" s="162"/>
      <c r="H21" s="162"/>
      <c r="I21" s="162"/>
      <c r="J21" s="163"/>
      <c r="K21" s="164"/>
      <c r="L21" s="147"/>
      <c r="M21" s="165"/>
      <c r="N21" s="166"/>
      <c r="O21" s="162"/>
      <c r="P21" s="163"/>
      <c r="Q21" s="163"/>
      <c r="R21" s="164"/>
      <c r="S21" s="147"/>
      <c r="T21" s="150">
        <f t="shared" si="0"/>
        <v>0</v>
      </c>
      <c r="U21" s="167">
        <f t="shared" si="4"/>
        <v>96</v>
      </c>
      <c r="V21" s="167">
        <f t="shared" si="5"/>
        <v>4</v>
      </c>
      <c r="AF21" s="60"/>
      <c r="AG21" s="60"/>
      <c r="AH21" s="60"/>
      <c r="AI21" s="60"/>
      <c r="AJ21" s="60"/>
      <c r="AK21" s="60"/>
      <c r="AL21" s="60"/>
      <c r="AM21" s="60"/>
      <c r="AN21" s="60"/>
      <c r="AO21" s="60"/>
      <c r="AP21" s="60"/>
      <c r="AQ21" s="60"/>
      <c r="AR21" s="60"/>
      <c r="AS21" s="60"/>
      <c r="AT21" s="60"/>
      <c r="AU21" s="60"/>
      <c r="AV21" s="60"/>
      <c r="AW21" s="60"/>
      <c r="AX21" s="60"/>
      <c r="AY21" s="60"/>
      <c r="AZ21" s="60"/>
      <c r="BA21" s="60"/>
      <c r="BB21" s="60"/>
    </row>
    <row r="22" spans="1:54" s="61" customFormat="1" x14ac:dyDescent="0.25">
      <c r="A22" s="75">
        <f t="shared" si="1"/>
        <v>19</v>
      </c>
      <c r="B22" s="74" t="s">
        <v>65</v>
      </c>
      <c r="C22" s="162">
        <v>2</v>
      </c>
      <c r="D22" s="162"/>
      <c r="E22" s="162"/>
      <c r="F22" s="162"/>
      <c r="G22" s="162"/>
      <c r="H22" s="162"/>
      <c r="I22" s="162"/>
      <c r="J22" s="163"/>
      <c r="K22" s="164"/>
      <c r="L22" s="147"/>
      <c r="M22" s="165"/>
      <c r="N22" s="166"/>
      <c r="O22" s="162"/>
      <c r="P22" s="163"/>
      <c r="Q22" s="163"/>
      <c r="R22" s="164"/>
      <c r="S22" s="147"/>
      <c r="T22" s="150">
        <f t="shared" si="0"/>
        <v>0</v>
      </c>
      <c r="U22" s="167">
        <f t="shared" si="4"/>
        <v>48</v>
      </c>
      <c r="V22" s="167">
        <f t="shared" si="5"/>
        <v>2</v>
      </c>
      <c r="W22" s="57"/>
      <c r="X22" s="57"/>
      <c r="Y22" s="57"/>
      <c r="Z22" s="57"/>
      <c r="AA22" s="57"/>
      <c r="AB22" s="57"/>
      <c r="AC22" s="57"/>
      <c r="AD22" s="57"/>
      <c r="AE22" s="57"/>
      <c r="AF22" s="60"/>
      <c r="AG22" s="60"/>
      <c r="AH22" s="60"/>
      <c r="AI22" s="60"/>
      <c r="AJ22" s="60"/>
      <c r="AK22" s="60"/>
      <c r="AL22" s="60"/>
      <c r="AM22" s="60"/>
      <c r="AN22" s="60"/>
      <c r="AO22" s="60"/>
      <c r="AP22" s="60"/>
      <c r="AQ22" s="60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</row>
    <row r="23" spans="1:54" s="61" customFormat="1" x14ac:dyDescent="0.25">
      <c r="A23" s="75">
        <f t="shared" si="1"/>
        <v>20</v>
      </c>
      <c r="B23" s="74" t="s">
        <v>66</v>
      </c>
      <c r="C23" s="162">
        <v>46</v>
      </c>
      <c r="D23" s="162"/>
      <c r="E23" s="162"/>
      <c r="F23" s="162"/>
      <c r="G23" s="162"/>
      <c r="H23" s="162"/>
      <c r="I23" s="162"/>
      <c r="J23" s="163"/>
      <c r="K23" s="164"/>
      <c r="L23" s="147"/>
      <c r="M23" s="165"/>
      <c r="N23" s="166"/>
      <c r="O23" s="162"/>
      <c r="P23" s="163"/>
      <c r="Q23" s="163">
        <v>2</v>
      </c>
      <c r="R23" s="164"/>
      <c r="S23" s="147"/>
      <c r="T23" s="150">
        <f t="shared" si="0"/>
        <v>0</v>
      </c>
      <c r="U23" s="167">
        <f t="shared" si="4"/>
        <v>1152</v>
      </c>
      <c r="V23" s="167">
        <f t="shared" si="5"/>
        <v>48</v>
      </c>
      <c r="W23" s="57"/>
      <c r="X23" s="57"/>
      <c r="Y23" s="57"/>
      <c r="Z23" s="57"/>
      <c r="AA23" s="57"/>
      <c r="AB23" s="57"/>
      <c r="AC23" s="57"/>
      <c r="AD23" s="57"/>
      <c r="AE23" s="57"/>
      <c r="AF23" s="60"/>
      <c r="AG23" s="60"/>
      <c r="AH23" s="60"/>
      <c r="AI23" s="60"/>
      <c r="AJ23" s="60"/>
      <c r="AK23" s="60"/>
      <c r="AL23" s="60"/>
      <c r="AM23" s="60"/>
      <c r="AN23" s="60"/>
      <c r="AO23" s="60"/>
      <c r="AP23" s="60"/>
      <c r="AQ23" s="60"/>
      <c r="AR23" s="60"/>
      <c r="AS23" s="60"/>
      <c r="AT23" s="60"/>
      <c r="AU23" s="60"/>
      <c r="AV23" s="60"/>
      <c r="AW23" s="60"/>
      <c r="AX23" s="60"/>
      <c r="AY23" s="60"/>
      <c r="AZ23" s="60"/>
      <c r="BA23" s="60"/>
      <c r="BB23" s="60"/>
    </row>
    <row r="24" spans="1:54" x14ac:dyDescent="0.25">
      <c r="A24" s="75">
        <f t="shared" si="1"/>
        <v>21</v>
      </c>
      <c r="B24" s="74" t="s">
        <v>67</v>
      </c>
      <c r="C24" s="162">
        <v>7</v>
      </c>
      <c r="D24" s="162"/>
      <c r="E24" s="162"/>
      <c r="F24" s="162"/>
      <c r="G24" s="162"/>
      <c r="H24" s="162"/>
      <c r="I24" s="162"/>
      <c r="J24" s="163"/>
      <c r="K24" s="164"/>
      <c r="L24" s="147"/>
      <c r="M24" s="165"/>
      <c r="N24" s="166"/>
      <c r="O24" s="162"/>
      <c r="P24" s="163"/>
      <c r="Q24" s="163"/>
      <c r="R24" s="164"/>
      <c r="S24" s="147"/>
      <c r="T24" s="150">
        <f t="shared" si="0"/>
        <v>0</v>
      </c>
      <c r="U24" s="167">
        <f t="shared" si="4"/>
        <v>168</v>
      </c>
      <c r="V24" s="167">
        <f t="shared" si="5"/>
        <v>7</v>
      </c>
      <c r="AF24" s="60"/>
      <c r="AG24" s="60"/>
      <c r="AH24" s="60"/>
      <c r="AI24" s="60"/>
      <c r="AJ24" s="60"/>
      <c r="AK24" s="60"/>
      <c r="AL24" s="60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</row>
    <row r="25" spans="1:54" x14ac:dyDescent="0.25">
      <c r="A25" s="75">
        <f t="shared" si="1"/>
        <v>22</v>
      </c>
      <c r="B25" s="74" t="s">
        <v>9</v>
      </c>
      <c r="C25" s="162">
        <f>63+15</f>
        <v>78</v>
      </c>
      <c r="D25" s="162"/>
      <c r="E25" s="162"/>
      <c r="F25" s="162"/>
      <c r="G25" s="162"/>
      <c r="H25" s="162">
        <v>10</v>
      </c>
      <c r="I25" s="162">
        <v>1</v>
      </c>
      <c r="J25" s="163"/>
      <c r="K25" s="164"/>
      <c r="L25" s="147"/>
      <c r="M25" s="165"/>
      <c r="N25" s="166"/>
      <c r="O25" s="162"/>
      <c r="P25" s="163"/>
      <c r="Q25" s="163"/>
      <c r="R25" s="164"/>
      <c r="S25" s="147"/>
      <c r="T25" s="150">
        <f t="shared" si="0"/>
        <v>11</v>
      </c>
      <c r="U25" s="167">
        <f t="shared" si="4"/>
        <v>1883</v>
      </c>
      <c r="V25" s="167">
        <f t="shared" si="5"/>
        <v>78.458333333333329</v>
      </c>
      <c r="AY25" s="62" t="e">
        <f>#REF!-AY24</f>
        <v>#REF!</v>
      </c>
    </row>
    <row r="26" spans="1:54" s="61" customFormat="1" x14ac:dyDescent="0.25">
      <c r="A26" s="75">
        <f t="shared" si="1"/>
        <v>23</v>
      </c>
      <c r="B26" s="74" t="s">
        <v>11</v>
      </c>
      <c r="C26" s="162"/>
      <c r="D26" s="162"/>
      <c r="E26" s="162"/>
      <c r="F26" s="162"/>
      <c r="G26" s="162"/>
      <c r="H26" s="162"/>
      <c r="I26" s="162"/>
      <c r="J26" s="163"/>
      <c r="K26" s="164"/>
      <c r="L26" s="147"/>
      <c r="M26" s="165"/>
      <c r="N26" s="166"/>
      <c r="O26" s="162"/>
      <c r="P26" s="163"/>
      <c r="Q26" s="163"/>
      <c r="R26" s="164"/>
      <c r="S26" s="147"/>
      <c r="T26" s="150">
        <f t="shared" si="0"/>
        <v>0</v>
      </c>
      <c r="U26" s="167">
        <f t="shared" si="4"/>
        <v>0</v>
      </c>
      <c r="V26" s="167">
        <f t="shared" si="5"/>
        <v>0</v>
      </c>
      <c r="W26" s="57"/>
      <c r="X26" s="57"/>
      <c r="Y26" s="57"/>
      <c r="Z26" s="57"/>
      <c r="AA26" s="57"/>
      <c r="AB26" s="57"/>
      <c r="AC26" s="57"/>
      <c r="AD26" s="57"/>
      <c r="AE26" s="57"/>
    </row>
    <row r="27" spans="1:54" s="61" customFormat="1" x14ac:dyDescent="0.25">
      <c r="A27" s="75">
        <f t="shared" si="1"/>
        <v>24</v>
      </c>
      <c r="B27" s="74" t="s">
        <v>83</v>
      </c>
      <c r="C27" s="162"/>
      <c r="D27" s="162"/>
      <c r="E27" s="162"/>
      <c r="F27" s="162"/>
      <c r="G27" s="162"/>
      <c r="H27" s="162"/>
      <c r="I27" s="162"/>
      <c r="J27" s="163"/>
      <c r="K27" s="164"/>
      <c r="L27" s="147"/>
      <c r="M27" s="165"/>
      <c r="N27" s="166"/>
      <c r="O27" s="162"/>
      <c r="P27" s="163"/>
      <c r="Q27" s="163"/>
      <c r="R27" s="164"/>
      <c r="S27" s="147"/>
      <c r="T27" s="150"/>
      <c r="U27" s="167"/>
      <c r="V27" s="167"/>
      <c r="W27" s="57"/>
      <c r="X27" s="57"/>
      <c r="Y27" s="57"/>
      <c r="Z27" s="57"/>
      <c r="AA27" s="57"/>
      <c r="AB27" s="57"/>
      <c r="AC27" s="57"/>
      <c r="AD27" s="57"/>
      <c r="AE27" s="57"/>
    </row>
    <row r="28" spans="1:54" s="61" customFormat="1" x14ac:dyDescent="0.25">
      <c r="A28" s="75">
        <f t="shared" si="1"/>
        <v>25</v>
      </c>
      <c r="B28" s="74" t="s">
        <v>12</v>
      </c>
      <c r="C28" s="162">
        <f>12+1</f>
        <v>13</v>
      </c>
      <c r="D28" s="162"/>
      <c r="E28" s="162"/>
      <c r="F28" s="162"/>
      <c r="G28" s="162"/>
      <c r="H28" s="162"/>
      <c r="I28" s="162"/>
      <c r="J28" s="163"/>
      <c r="K28" s="164"/>
      <c r="L28" s="147"/>
      <c r="M28" s="165"/>
      <c r="N28" s="166"/>
      <c r="O28" s="162">
        <v>1</v>
      </c>
      <c r="P28" s="163"/>
      <c r="Q28" s="163">
        <v>3</v>
      </c>
      <c r="R28" s="164"/>
      <c r="S28" s="147"/>
      <c r="T28" s="150">
        <f t="shared" si="0"/>
        <v>0</v>
      </c>
      <c r="U28" s="167">
        <f t="shared" si="4"/>
        <v>408</v>
      </c>
      <c r="V28" s="167">
        <f t="shared" si="5"/>
        <v>17</v>
      </c>
      <c r="W28" s="57"/>
      <c r="X28" s="57"/>
      <c r="Y28" s="57"/>
      <c r="Z28" s="57"/>
      <c r="AA28" s="57"/>
      <c r="AB28" s="57"/>
      <c r="AC28" s="57"/>
      <c r="AD28" s="57"/>
      <c r="AE28" s="57"/>
    </row>
    <row r="29" spans="1:54" x14ac:dyDescent="0.25">
      <c r="A29" s="75">
        <f t="shared" si="1"/>
        <v>26</v>
      </c>
      <c r="B29" s="74" t="s">
        <v>14</v>
      </c>
      <c r="C29" s="162"/>
      <c r="D29" s="162"/>
      <c r="E29" s="162"/>
      <c r="F29" s="162"/>
      <c r="G29" s="162"/>
      <c r="H29" s="162"/>
      <c r="I29" s="162"/>
      <c r="J29" s="163"/>
      <c r="K29" s="164"/>
      <c r="L29" s="147"/>
      <c r="M29" s="165"/>
      <c r="N29" s="166"/>
      <c r="O29" s="162"/>
      <c r="P29" s="163"/>
      <c r="Q29" s="163"/>
      <c r="R29" s="164"/>
      <c r="S29" s="147"/>
      <c r="T29" s="150">
        <f t="shared" si="0"/>
        <v>0</v>
      </c>
      <c r="U29" s="167">
        <f t="shared" si="4"/>
        <v>0</v>
      </c>
      <c r="V29" s="167">
        <f t="shared" si="5"/>
        <v>0</v>
      </c>
    </row>
    <row r="30" spans="1:54" x14ac:dyDescent="0.25">
      <c r="A30" s="75">
        <f t="shared" si="1"/>
        <v>27</v>
      </c>
      <c r="B30" s="74" t="s">
        <v>16</v>
      </c>
      <c r="C30" s="162">
        <v>60</v>
      </c>
      <c r="D30" s="162"/>
      <c r="E30" s="162"/>
      <c r="F30" s="162"/>
      <c r="G30" s="162"/>
      <c r="H30" s="162"/>
      <c r="I30" s="162"/>
      <c r="J30" s="163"/>
      <c r="K30" s="164"/>
      <c r="L30" s="147"/>
      <c r="M30" s="165"/>
      <c r="N30" s="166"/>
      <c r="O30" s="162"/>
      <c r="P30" s="163"/>
      <c r="Q30" s="163">
        <v>1</v>
      </c>
      <c r="R30" s="164"/>
      <c r="S30" s="147"/>
      <c r="T30" s="150">
        <f t="shared" si="0"/>
        <v>0</v>
      </c>
      <c r="U30" s="167">
        <f t="shared" si="4"/>
        <v>1464</v>
      </c>
      <c r="V30" s="167">
        <f t="shared" si="5"/>
        <v>61</v>
      </c>
    </row>
    <row r="31" spans="1:54" x14ac:dyDescent="0.25">
      <c r="A31" s="75">
        <f t="shared" si="1"/>
        <v>28</v>
      </c>
      <c r="B31" s="74" t="s">
        <v>13</v>
      </c>
      <c r="C31" s="162"/>
      <c r="D31" s="162"/>
      <c r="E31" s="162"/>
      <c r="F31" s="162"/>
      <c r="G31" s="162"/>
      <c r="H31" s="162"/>
      <c r="I31" s="162"/>
      <c r="J31" s="163"/>
      <c r="K31" s="164"/>
      <c r="L31" s="147"/>
      <c r="M31" s="165"/>
      <c r="N31" s="166"/>
      <c r="O31" s="162"/>
      <c r="P31" s="163"/>
      <c r="Q31" s="163"/>
      <c r="R31" s="164"/>
      <c r="S31" s="147"/>
      <c r="T31" s="150">
        <f t="shared" si="0"/>
        <v>0</v>
      </c>
      <c r="U31" s="167">
        <f t="shared" si="4"/>
        <v>0</v>
      </c>
      <c r="V31" s="167">
        <f t="shared" si="5"/>
        <v>0</v>
      </c>
    </row>
    <row r="32" spans="1:54" x14ac:dyDescent="0.25">
      <c r="A32" s="75">
        <f t="shared" si="1"/>
        <v>29</v>
      </c>
      <c r="B32" s="74" t="s">
        <v>15</v>
      </c>
      <c r="C32" s="162"/>
      <c r="D32" s="162"/>
      <c r="E32" s="162"/>
      <c r="F32" s="162"/>
      <c r="G32" s="162"/>
      <c r="H32" s="162"/>
      <c r="I32" s="162"/>
      <c r="J32" s="163"/>
      <c r="K32" s="164"/>
      <c r="L32" s="147"/>
      <c r="M32" s="165"/>
      <c r="N32" s="166"/>
      <c r="O32" s="162"/>
      <c r="P32" s="163"/>
      <c r="Q32" s="163"/>
      <c r="R32" s="164"/>
      <c r="S32" s="147"/>
      <c r="T32" s="150">
        <f t="shared" si="0"/>
        <v>0</v>
      </c>
      <c r="U32" s="167">
        <f t="shared" si="4"/>
        <v>0</v>
      </c>
      <c r="V32" s="167">
        <f t="shared" si="5"/>
        <v>0</v>
      </c>
    </row>
    <row r="33" spans="1:23" x14ac:dyDescent="0.25">
      <c r="A33" s="75">
        <f t="shared" si="1"/>
        <v>30</v>
      </c>
      <c r="B33" s="74" t="s">
        <v>17</v>
      </c>
      <c r="C33" s="162"/>
      <c r="D33" s="162"/>
      <c r="E33" s="162"/>
      <c r="F33" s="162"/>
      <c r="G33" s="162"/>
      <c r="H33" s="162"/>
      <c r="I33" s="162"/>
      <c r="J33" s="163"/>
      <c r="K33" s="164"/>
      <c r="L33" s="147"/>
      <c r="M33" s="165"/>
      <c r="N33" s="166"/>
      <c r="O33" s="162"/>
      <c r="P33" s="163"/>
      <c r="Q33" s="163"/>
      <c r="R33" s="164"/>
      <c r="S33" s="147"/>
      <c r="T33" s="150">
        <f t="shared" si="0"/>
        <v>0</v>
      </c>
      <c r="U33" s="167">
        <f t="shared" si="4"/>
        <v>0</v>
      </c>
      <c r="V33" s="167">
        <f t="shared" si="5"/>
        <v>0</v>
      </c>
    </row>
    <row r="34" spans="1:23" x14ac:dyDescent="0.25">
      <c r="A34" s="75">
        <f t="shared" si="1"/>
        <v>31</v>
      </c>
      <c r="B34" s="74" t="s">
        <v>18</v>
      </c>
      <c r="C34" s="162">
        <f>72+12</f>
        <v>84</v>
      </c>
      <c r="D34" s="162"/>
      <c r="E34" s="162"/>
      <c r="F34" s="162"/>
      <c r="G34" s="162"/>
      <c r="H34" s="162">
        <v>4</v>
      </c>
      <c r="I34" s="162"/>
      <c r="J34" s="163"/>
      <c r="K34" s="164">
        <v>1</v>
      </c>
      <c r="L34" s="147"/>
      <c r="M34" s="165">
        <v>2</v>
      </c>
      <c r="N34" s="166">
        <v>12</v>
      </c>
      <c r="O34" s="162">
        <v>2</v>
      </c>
      <c r="P34" s="163">
        <v>12</v>
      </c>
      <c r="Q34" s="163">
        <v>3</v>
      </c>
      <c r="R34" s="164"/>
      <c r="S34" s="147"/>
      <c r="T34" s="150">
        <f t="shared" si="0"/>
        <v>29</v>
      </c>
      <c r="U34" s="167">
        <f t="shared" si="4"/>
        <v>2213</v>
      </c>
      <c r="V34" s="167">
        <f t="shared" si="5"/>
        <v>92.208333333333329</v>
      </c>
    </row>
    <row r="35" spans="1:23" hidden="1" x14ac:dyDescent="0.25">
      <c r="A35" s="75">
        <f t="shared" si="1"/>
        <v>32</v>
      </c>
      <c r="B35" s="74" t="s">
        <v>26</v>
      </c>
      <c r="C35" s="162"/>
      <c r="D35" s="162"/>
      <c r="E35" s="162"/>
      <c r="F35" s="162"/>
      <c r="G35" s="162"/>
      <c r="H35" s="162"/>
      <c r="I35" s="162"/>
      <c r="J35" s="163"/>
      <c r="K35" s="164"/>
      <c r="L35" s="147"/>
      <c r="M35" s="165"/>
      <c r="N35" s="166"/>
      <c r="O35" s="162"/>
      <c r="P35" s="163"/>
      <c r="Q35" s="163"/>
      <c r="R35" s="164"/>
      <c r="S35" s="147"/>
      <c r="T35" s="150">
        <f t="shared" si="0"/>
        <v>0</v>
      </c>
      <c r="U35" s="167">
        <f t="shared" si="4"/>
        <v>0</v>
      </c>
      <c r="V35" s="167">
        <f t="shared" si="5"/>
        <v>0</v>
      </c>
    </row>
    <row r="36" spans="1:23" x14ac:dyDescent="0.25">
      <c r="A36" s="75">
        <f t="shared" si="1"/>
        <v>33</v>
      </c>
      <c r="B36" s="74" t="s">
        <v>19</v>
      </c>
      <c r="C36" s="162"/>
      <c r="D36" s="162"/>
      <c r="E36" s="162"/>
      <c r="F36" s="162"/>
      <c r="G36" s="162"/>
      <c r="H36" s="162"/>
      <c r="I36" s="162"/>
      <c r="J36" s="163"/>
      <c r="K36" s="164"/>
      <c r="L36" s="147"/>
      <c r="M36" s="165"/>
      <c r="N36" s="166"/>
      <c r="O36" s="162"/>
      <c r="P36" s="163"/>
      <c r="Q36" s="163"/>
      <c r="R36" s="164"/>
      <c r="S36" s="147"/>
      <c r="T36" s="150">
        <f t="shared" si="0"/>
        <v>0</v>
      </c>
      <c r="U36" s="167">
        <f t="shared" si="4"/>
        <v>0</v>
      </c>
      <c r="V36" s="167">
        <f t="shared" si="5"/>
        <v>0</v>
      </c>
    </row>
    <row r="37" spans="1:23" ht="19.5" thickBot="1" x14ac:dyDescent="0.3">
      <c r="A37" s="75">
        <f t="shared" si="1"/>
        <v>34</v>
      </c>
      <c r="B37" s="94" t="s">
        <v>20</v>
      </c>
      <c r="C37" s="151">
        <f>2376+1404+6</f>
        <v>3786</v>
      </c>
      <c r="D37" s="151"/>
      <c r="E37" s="151"/>
      <c r="F37" s="151"/>
      <c r="G37" s="151"/>
      <c r="H37" s="151">
        <v>2</v>
      </c>
      <c r="I37" s="151"/>
      <c r="J37" s="152"/>
      <c r="K37" s="153">
        <v>6</v>
      </c>
      <c r="L37" s="154"/>
      <c r="M37" s="155"/>
      <c r="N37" s="156"/>
      <c r="O37" s="157"/>
      <c r="P37" s="158"/>
      <c r="Q37" s="158">
        <v>100</v>
      </c>
      <c r="R37" s="159"/>
      <c r="S37" s="154"/>
      <c r="T37" s="169">
        <f t="shared" si="0"/>
        <v>8</v>
      </c>
      <c r="U37" s="169">
        <f>C37*6+M37*6+O37*6+Q37*6+T37</f>
        <v>23324</v>
      </c>
      <c r="V37" s="169">
        <f>U37/6</f>
        <v>3887.3333333333335</v>
      </c>
      <c r="W37" s="123"/>
    </row>
    <row r="38" spans="1:23" x14ac:dyDescent="0.25">
      <c r="A38" s="75">
        <f t="shared" si="1"/>
        <v>35</v>
      </c>
      <c r="B38" s="73" t="s">
        <v>21</v>
      </c>
      <c r="C38" s="162">
        <v>3</v>
      </c>
      <c r="D38" s="162"/>
      <c r="E38" s="162"/>
      <c r="F38" s="162"/>
      <c r="G38" s="162"/>
      <c r="H38" s="162"/>
      <c r="I38" s="162"/>
      <c r="J38" s="163"/>
      <c r="K38" s="164"/>
      <c r="L38" s="147"/>
      <c r="M38" s="165"/>
      <c r="N38" s="166"/>
      <c r="O38" s="162"/>
      <c r="P38" s="163"/>
      <c r="Q38" s="163">
        <v>1</v>
      </c>
      <c r="R38" s="164"/>
      <c r="S38" s="147"/>
      <c r="T38" s="167">
        <f t="shared" si="0"/>
        <v>0</v>
      </c>
      <c r="U38" s="167">
        <f>C38*24+M38*24+O38*24+Q38*24+T38</f>
        <v>96</v>
      </c>
      <c r="V38" s="167">
        <f>U38/24</f>
        <v>4</v>
      </c>
    </row>
    <row r="39" spans="1:23" x14ac:dyDescent="0.25">
      <c r="A39" s="75">
        <f t="shared" si="1"/>
        <v>36</v>
      </c>
      <c r="B39" s="132" t="s">
        <v>73</v>
      </c>
      <c r="C39" s="170"/>
      <c r="D39" s="170"/>
      <c r="E39" s="170"/>
      <c r="F39" s="170"/>
      <c r="G39" s="170"/>
      <c r="H39" s="170"/>
      <c r="I39" s="170"/>
      <c r="J39" s="171"/>
      <c r="K39" s="172"/>
      <c r="L39" s="147"/>
      <c r="M39" s="173"/>
      <c r="N39" s="174"/>
      <c r="O39" s="170"/>
      <c r="P39" s="171"/>
      <c r="Q39" s="171"/>
      <c r="R39" s="172"/>
      <c r="S39" s="147"/>
      <c r="T39" s="175"/>
      <c r="U39" s="175"/>
      <c r="V39" s="175"/>
    </row>
    <row r="40" spans="1:23" ht="19.5" thickBot="1" x14ac:dyDescent="0.3">
      <c r="A40" s="75">
        <f t="shared" si="1"/>
        <v>37</v>
      </c>
      <c r="B40" s="94" t="s">
        <v>22</v>
      </c>
      <c r="C40" s="151">
        <f>567+53</f>
        <v>620</v>
      </c>
      <c r="D40" s="151"/>
      <c r="E40" s="151"/>
      <c r="F40" s="151"/>
      <c r="G40" s="151"/>
      <c r="H40" s="151">
        <v>9</v>
      </c>
      <c r="I40" s="151"/>
      <c r="J40" s="152"/>
      <c r="K40" s="153">
        <v>15</v>
      </c>
      <c r="L40" s="154"/>
      <c r="M40" s="155">
        <v>1</v>
      </c>
      <c r="N40" s="156"/>
      <c r="O40" s="157">
        <v>1</v>
      </c>
      <c r="P40" s="158">
        <v>12</v>
      </c>
      <c r="Q40" s="158">
        <v>2</v>
      </c>
      <c r="R40" s="159"/>
      <c r="S40" s="154"/>
      <c r="T40" s="169">
        <f t="shared" si="0"/>
        <v>36</v>
      </c>
      <c r="U40" s="169">
        <f>C40*24+M40*24+O40*24+Q40*24+T40</f>
        <v>15012</v>
      </c>
      <c r="V40" s="169">
        <f>U40/24</f>
        <v>625.5</v>
      </c>
    </row>
    <row r="41" spans="1:23" ht="19.5" thickBot="1" x14ac:dyDescent="0.3">
      <c r="A41" s="75">
        <f t="shared" si="1"/>
        <v>38</v>
      </c>
      <c r="B41" s="99" t="s">
        <v>23</v>
      </c>
      <c r="C41" s="176">
        <f>1536+17</f>
        <v>1553</v>
      </c>
      <c r="D41" s="176"/>
      <c r="E41" s="176"/>
      <c r="F41" s="176"/>
      <c r="G41" s="176"/>
      <c r="H41" s="176"/>
      <c r="I41" s="176"/>
      <c r="J41" s="177"/>
      <c r="K41" s="178"/>
      <c r="L41" s="179"/>
      <c r="M41" s="180">
        <v>1</v>
      </c>
      <c r="N41" s="181"/>
      <c r="O41" s="176">
        <v>9</v>
      </c>
      <c r="P41" s="177"/>
      <c r="Q41" s="177">
        <v>15</v>
      </c>
      <c r="R41" s="178"/>
      <c r="S41" s="179"/>
      <c r="T41" s="182">
        <f t="shared" si="0"/>
        <v>0</v>
      </c>
      <c r="U41" s="182">
        <f>C41*12+M41*12+O41*12+Q41*12+T41</f>
        <v>18936</v>
      </c>
      <c r="V41" s="182">
        <f>U41/12</f>
        <v>1578</v>
      </c>
    </row>
    <row r="42" spans="1:23" hidden="1" x14ac:dyDescent="0.25">
      <c r="A42" s="75">
        <f t="shared" si="1"/>
        <v>39</v>
      </c>
      <c r="B42" s="73" t="s">
        <v>31</v>
      </c>
      <c r="C42" s="162"/>
      <c r="D42" s="162"/>
      <c r="E42" s="162"/>
      <c r="F42" s="162"/>
      <c r="G42" s="162"/>
      <c r="H42" s="162"/>
      <c r="I42" s="162"/>
      <c r="J42" s="163"/>
      <c r="K42" s="164"/>
      <c r="L42" s="147"/>
      <c r="M42" s="165"/>
      <c r="N42" s="166"/>
      <c r="O42" s="162"/>
      <c r="P42" s="163"/>
      <c r="Q42" s="163"/>
      <c r="R42" s="164"/>
      <c r="S42" s="147"/>
      <c r="T42" s="167"/>
      <c r="U42" s="167"/>
      <c r="V42" s="167"/>
    </row>
    <row r="43" spans="1:23" ht="19.5" thickBot="1" x14ac:dyDescent="0.3">
      <c r="A43" s="75">
        <f t="shared" si="1"/>
        <v>40</v>
      </c>
      <c r="B43" s="94" t="s">
        <v>24</v>
      </c>
      <c r="C43" s="157">
        <f>6048+1080+8208+5400+7128+108+45</f>
        <v>28017</v>
      </c>
      <c r="D43" s="157"/>
      <c r="E43" s="157"/>
      <c r="F43" s="157"/>
      <c r="G43" s="157"/>
      <c r="H43" s="157">
        <v>4</v>
      </c>
      <c r="I43" s="157">
        <v>7</v>
      </c>
      <c r="J43" s="158">
        <f>6*4</f>
        <v>24</v>
      </c>
      <c r="K43" s="159">
        <f>87*6</f>
        <v>522</v>
      </c>
      <c r="L43" s="154"/>
      <c r="M43" s="155">
        <v>4</v>
      </c>
      <c r="N43" s="156"/>
      <c r="O43" s="157">
        <v>57</v>
      </c>
      <c r="P43" s="158"/>
      <c r="Q43" s="158">
        <v>487</v>
      </c>
      <c r="R43" s="159"/>
      <c r="S43" s="154"/>
      <c r="T43" s="169">
        <f t="shared" ref="T43" si="6">H43+I43+J43+K43+N43+P43+R43</f>
        <v>557</v>
      </c>
      <c r="U43" s="169">
        <f>C43*6+M43*6+O43*6+Q43*6+T43</f>
        <v>171947</v>
      </c>
      <c r="V43" s="169">
        <f>U43/6</f>
        <v>28657.833333333332</v>
      </c>
    </row>
    <row r="44" spans="1:23" hidden="1" x14ac:dyDescent="0.25">
      <c r="A44" s="75">
        <f t="shared" si="1"/>
        <v>41</v>
      </c>
      <c r="B44" s="73" t="s">
        <v>33</v>
      </c>
      <c r="C44" s="162"/>
      <c r="D44" s="162"/>
      <c r="E44" s="162"/>
      <c r="F44" s="162"/>
      <c r="G44" s="162"/>
      <c r="H44" s="162"/>
      <c r="I44" s="162"/>
      <c r="J44" s="163"/>
      <c r="K44" s="164"/>
      <c r="L44" s="147"/>
      <c r="M44" s="165"/>
      <c r="N44" s="166"/>
      <c r="O44" s="162"/>
      <c r="P44" s="163"/>
      <c r="Q44" s="163"/>
      <c r="R44" s="164"/>
      <c r="S44" s="147"/>
      <c r="T44" s="167"/>
      <c r="U44" s="167"/>
      <c r="V44" s="167"/>
    </row>
    <row r="45" spans="1:23" x14ac:dyDescent="0.25">
      <c r="A45" s="75">
        <f t="shared" si="1"/>
        <v>42</v>
      </c>
      <c r="B45" s="74" t="s">
        <v>25</v>
      </c>
      <c r="C45" s="162"/>
      <c r="D45" s="162"/>
      <c r="E45" s="162"/>
      <c r="F45" s="162"/>
      <c r="G45" s="162"/>
      <c r="H45" s="162"/>
      <c r="I45" s="162"/>
      <c r="J45" s="163"/>
      <c r="K45" s="164"/>
      <c r="L45" s="147"/>
      <c r="M45" s="165"/>
      <c r="N45" s="166"/>
      <c r="O45" s="162"/>
      <c r="P45" s="163"/>
      <c r="Q45" s="163"/>
      <c r="R45" s="164"/>
      <c r="S45" s="147"/>
      <c r="T45" s="167">
        <f t="shared" ref="T45:T54" si="7">H45+I45+J45+K45+N45+P45+R45</f>
        <v>0</v>
      </c>
      <c r="U45" s="167">
        <f>C45*24+M45*24+O45*24+Q45*24+T45</f>
        <v>0</v>
      </c>
      <c r="V45" s="167">
        <f>U45/24</f>
        <v>0</v>
      </c>
    </row>
    <row r="46" spans="1:23" x14ac:dyDescent="0.25">
      <c r="A46" s="75">
        <f t="shared" si="1"/>
        <v>43</v>
      </c>
      <c r="B46" s="74" t="s">
        <v>68</v>
      </c>
      <c r="C46" s="162"/>
      <c r="D46" s="162"/>
      <c r="E46" s="162"/>
      <c r="F46" s="162"/>
      <c r="G46" s="162"/>
      <c r="H46" s="162"/>
      <c r="I46" s="162"/>
      <c r="J46" s="163"/>
      <c r="K46" s="164"/>
      <c r="L46" s="147"/>
      <c r="M46" s="165"/>
      <c r="N46" s="166"/>
      <c r="O46" s="162"/>
      <c r="P46" s="163"/>
      <c r="Q46" s="163"/>
      <c r="R46" s="164"/>
      <c r="S46" s="147"/>
      <c r="T46" s="167">
        <f t="shared" si="7"/>
        <v>0</v>
      </c>
      <c r="U46" s="167">
        <f t="shared" ref="U46:U50" si="8">C46*24+M46*24+O46*24+Q46*24+T46</f>
        <v>0</v>
      </c>
      <c r="V46" s="167">
        <f t="shared" ref="V46:V54" si="9">U46/24</f>
        <v>0</v>
      </c>
    </row>
    <row r="47" spans="1:23" ht="19.5" thickBot="1" x14ac:dyDescent="0.3">
      <c r="A47" s="75">
        <f t="shared" si="1"/>
        <v>44</v>
      </c>
      <c r="B47" s="94" t="s">
        <v>26</v>
      </c>
      <c r="C47" s="157">
        <f>24+2268+44</f>
        <v>2336</v>
      </c>
      <c r="D47" s="157"/>
      <c r="E47" s="157"/>
      <c r="F47" s="157"/>
      <c r="G47" s="157"/>
      <c r="H47" s="157"/>
      <c r="I47" s="157"/>
      <c r="J47" s="158"/>
      <c r="K47" s="159">
        <v>6</v>
      </c>
      <c r="L47" s="154"/>
      <c r="M47" s="155">
        <v>8</v>
      </c>
      <c r="N47" s="156"/>
      <c r="O47" s="157">
        <v>3</v>
      </c>
      <c r="P47" s="158">
        <v>4</v>
      </c>
      <c r="Q47" s="158">
        <v>10</v>
      </c>
      <c r="R47" s="159"/>
      <c r="S47" s="154"/>
      <c r="T47" s="169">
        <f t="shared" si="7"/>
        <v>10</v>
      </c>
      <c r="U47" s="169">
        <f>C47*6+M47*6+O47*6+Q47*6+T47</f>
        <v>14152</v>
      </c>
      <c r="V47" s="169">
        <f>U47/6</f>
        <v>2358.6666666666665</v>
      </c>
    </row>
    <row r="48" spans="1:23" x14ac:dyDescent="0.25">
      <c r="A48" s="75">
        <f t="shared" si="1"/>
        <v>45</v>
      </c>
      <c r="B48" s="73" t="s">
        <v>69</v>
      </c>
      <c r="C48" s="162"/>
      <c r="D48" s="162"/>
      <c r="E48" s="162"/>
      <c r="F48" s="162"/>
      <c r="G48" s="162"/>
      <c r="H48" s="162"/>
      <c r="I48" s="162"/>
      <c r="J48" s="163"/>
      <c r="K48" s="164"/>
      <c r="L48" s="147"/>
      <c r="M48" s="165"/>
      <c r="N48" s="166"/>
      <c r="O48" s="162"/>
      <c r="P48" s="163"/>
      <c r="Q48" s="163"/>
      <c r="R48" s="164"/>
      <c r="S48" s="147"/>
      <c r="T48" s="167">
        <f t="shared" si="7"/>
        <v>0</v>
      </c>
      <c r="U48" s="167">
        <f t="shared" si="8"/>
        <v>0</v>
      </c>
      <c r="V48" s="167">
        <f t="shared" si="9"/>
        <v>0</v>
      </c>
    </row>
    <row r="49" spans="1:22" x14ac:dyDescent="0.25">
      <c r="A49" s="75">
        <f t="shared" si="1"/>
        <v>46</v>
      </c>
      <c r="B49" s="74" t="s">
        <v>28</v>
      </c>
      <c r="C49" s="162"/>
      <c r="D49" s="162"/>
      <c r="E49" s="162"/>
      <c r="F49" s="162"/>
      <c r="G49" s="162"/>
      <c r="H49" s="162"/>
      <c r="I49" s="162"/>
      <c r="J49" s="163"/>
      <c r="K49" s="164"/>
      <c r="L49" s="147"/>
      <c r="M49" s="165"/>
      <c r="N49" s="166"/>
      <c r="O49" s="162"/>
      <c r="P49" s="163"/>
      <c r="Q49" s="163"/>
      <c r="R49" s="164"/>
      <c r="S49" s="147"/>
      <c r="T49" s="167">
        <f t="shared" si="7"/>
        <v>0</v>
      </c>
      <c r="U49" s="167">
        <f t="shared" si="8"/>
        <v>0</v>
      </c>
      <c r="V49" s="167">
        <f t="shared" si="9"/>
        <v>0</v>
      </c>
    </row>
    <row r="50" spans="1:22" x14ac:dyDescent="0.25">
      <c r="A50" s="75">
        <f t="shared" si="1"/>
        <v>47</v>
      </c>
      <c r="B50" s="74" t="s">
        <v>70</v>
      </c>
      <c r="C50" s="162"/>
      <c r="D50" s="162"/>
      <c r="E50" s="162"/>
      <c r="F50" s="162"/>
      <c r="G50" s="162"/>
      <c r="H50" s="162"/>
      <c r="I50" s="162"/>
      <c r="J50" s="163"/>
      <c r="K50" s="164"/>
      <c r="L50" s="147"/>
      <c r="M50" s="165"/>
      <c r="N50" s="166"/>
      <c r="O50" s="162"/>
      <c r="P50" s="163"/>
      <c r="Q50" s="163"/>
      <c r="R50" s="164"/>
      <c r="S50" s="147"/>
      <c r="T50" s="167">
        <f t="shared" si="7"/>
        <v>0</v>
      </c>
      <c r="U50" s="167">
        <f t="shared" si="8"/>
        <v>0</v>
      </c>
      <c r="V50" s="167">
        <f t="shared" si="9"/>
        <v>0</v>
      </c>
    </row>
    <row r="51" spans="1:22" ht="19.5" thickBot="1" x14ac:dyDescent="0.3">
      <c r="A51" s="75">
        <f t="shared" si="1"/>
        <v>48</v>
      </c>
      <c r="B51" s="94" t="s">
        <v>29</v>
      </c>
      <c r="C51" s="157">
        <v>34</v>
      </c>
      <c r="D51" s="157"/>
      <c r="E51" s="157"/>
      <c r="F51" s="157"/>
      <c r="G51" s="157"/>
      <c r="H51" s="157"/>
      <c r="I51" s="157"/>
      <c r="J51" s="158"/>
      <c r="K51" s="159"/>
      <c r="L51" s="154"/>
      <c r="M51" s="155"/>
      <c r="N51" s="156"/>
      <c r="O51" s="157"/>
      <c r="P51" s="158"/>
      <c r="Q51" s="158"/>
      <c r="R51" s="159"/>
      <c r="S51" s="154"/>
      <c r="T51" s="169">
        <f t="shared" si="7"/>
        <v>0</v>
      </c>
      <c r="U51" s="169">
        <f>C51*6+M51*6+O51*6+Q51*6+T51</f>
        <v>204</v>
      </c>
      <c r="V51" s="169">
        <f>U51/6</f>
        <v>34</v>
      </c>
    </row>
    <row r="52" spans="1:22" x14ac:dyDescent="0.25">
      <c r="A52" s="75">
        <f t="shared" si="1"/>
        <v>49</v>
      </c>
      <c r="B52" s="73" t="s">
        <v>30</v>
      </c>
      <c r="C52" s="162"/>
      <c r="D52" s="162"/>
      <c r="E52" s="162"/>
      <c r="F52" s="162"/>
      <c r="G52" s="162"/>
      <c r="H52" s="162"/>
      <c r="I52" s="162"/>
      <c r="J52" s="163"/>
      <c r="K52" s="164"/>
      <c r="L52" s="147"/>
      <c r="M52" s="165"/>
      <c r="N52" s="166"/>
      <c r="O52" s="162"/>
      <c r="P52" s="163"/>
      <c r="Q52" s="163"/>
      <c r="R52" s="164"/>
      <c r="S52" s="147"/>
      <c r="T52" s="167">
        <f t="shared" si="7"/>
        <v>0</v>
      </c>
      <c r="U52" s="167">
        <f t="shared" ref="U52:U54" si="10">C52*24+M52*24+O52*24+Q52*24+T52</f>
        <v>0</v>
      </c>
      <c r="V52" s="167">
        <f t="shared" si="9"/>
        <v>0</v>
      </c>
    </row>
    <row r="53" spans="1:22" x14ac:dyDescent="0.25">
      <c r="A53" s="75">
        <f t="shared" si="1"/>
        <v>50</v>
      </c>
      <c r="B53" s="74" t="s">
        <v>75</v>
      </c>
      <c r="C53" s="162">
        <v>2</v>
      </c>
      <c r="D53" s="162"/>
      <c r="E53" s="162"/>
      <c r="F53" s="162"/>
      <c r="G53" s="162"/>
      <c r="H53" s="162"/>
      <c r="I53" s="162"/>
      <c r="J53" s="163"/>
      <c r="K53" s="164"/>
      <c r="L53" s="147"/>
      <c r="M53" s="165"/>
      <c r="N53" s="166"/>
      <c r="O53" s="162"/>
      <c r="P53" s="163"/>
      <c r="Q53" s="163"/>
      <c r="R53" s="164"/>
      <c r="S53" s="147"/>
      <c r="T53" s="167">
        <f t="shared" si="7"/>
        <v>0</v>
      </c>
      <c r="U53" s="167">
        <f t="shared" si="10"/>
        <v>48</v>
      </c>
      <c r="V53" s="167">
        <f t="shared" si="9"/>
        <v>2</v>
      </c>
    </row>
    <row r="54" spans="1:22" x14ac:dyDescent="0.25">
      <c r="A54" s="75">
        <f t="shared" si="1"/>
        <v>51</v>
      </c>
      <c r="B54" s="74"/>
      <c r="C54" s="162"/>
      <c r="D54" s="162"/>
      <c r="E54" s="162"/>
      <c r="F54" s="162"/>
      <c r="G54" s="162"/>
      <c r="H54" s="162"/>
      <c r="I54" s="162"/>
      <c r="J54" s="163"/>
      <c r="K54" s="164"/>
      <c r="L54" s="147"/>
      <c r="M54" s="165"/>
      <c r="N54" s="166"/>
      <c r="O54" s="162"/>
      <c r="P54" s="163"/>
      <c r="Q54" s="163"/>
      <c r="R54" s="164"/>
      <c r="S54" s="147"/>
      <c r="T54" s="167">
        <f t="shared" si="7"/>
        <v>0</v>
      </c>
      <c r="U54" s="167">
        <f t="shared" si="10"/>
        <v>0</v>
      </c>
      <c r="V54" s="167">
        <f t="shared" si="9"/>
        <v>0</v>
      </c>
    </row>
    <row r="55" spans="1:22" x14ac:dyDescent="0.25">
      <c r="A55" s="75">
        <f t="shared" si="1"/>
        <v>52</v>
      </c>
      <c r="B55" s="74"/>
      <c r="C55" s="162"/>
      <c r="D55" s="162"/>
      <c r="E55" s="162"/>
      <c r="F55" s="162"/>
      <c r="G55" s="162"/>
      <c r="H55" s="162"/>
      <c r="I55" s="162"/>
      <c r="J55" s="163"/>
      <c r="K55" s="164"/>
      <c r="L55" s="147"/>
      <c r="M55" s="165"/>
      <c r="N55" s="166"/>
      <c r="O55" s="162"/>
      <c r="P55" s="163"/>
      <c r="Q55" s="163"/>
      <c r="R55" s="164"/>
      <c r="S55" s="147"/>
      <c r="T55" s="167"/>
      <c r="U55" s="167"/>
      <c r="V55" s="167"/>
    </row>
    <row r="56" spans="1:22" x14ac:dyDescent="0.25">
      <c r="A56" s="75">
        <f t="shared" si="1"/>
        <v>53</v>
      </c>
      <c r="B56" s="74"/>
      <c r="C56" s="162"/>
      <c r="D56" s="162"/>
      <c r="E56" s="162"/>
      <c r="F56" s="162"/>
      <c r="G56" s="162"/>
      <c r="H56" s="162"/>
      <c r="I56" s="162"/>
      <c r="J56" s="163"/>
      <c r="K56" s="164"/>
      <c r="L56" s="147"/>
      <c r="M56" s="165"/>
      <c r="N56" s="166"/>
      <c r="O56" s="162"/>
      <c r="P56" s="163"/>
      <c r="Q56" s="163"/>
      <c r="R56" s="164"/>
      <c r="S56" s="147"/>
      <c r="T56" s="167"/>
      <c r="U56" s="167"/>
      <c r="V56" s="167"/>
    </row>
    <row r="57" spans="1:22" x14ac:dyDescent="0.25">
      <c r="A57" s="75">
        <f t="shared" si="1"/>
        <v>54</v>
      </c>
      <c r="B57" s="74"/>
      <c r="C57" s="162"/>
      <c r="D57" s="162"/>
      <c r="E57" s="162"/>
      <c r="F57" s="162"/>
      <c r="G57" s="162"/>
      <c r="H57" s="162"/>
      <c r="I57" s="162"/>
      <c r="J57" s="163"/>
      <c r="K57" s="164"/>
      <c r="L57" s="147"/>
      <c r="M57" s="165"/>
      <c r="N57" s="166"/>
      <c r="O57" s="162"/>
      <c r="P57" s="163"/>
      <c r="Q57" s="163"/>
      <c r="R57" s="164"/>
      <c r="S57" s="147"/>
      <c r="T57" s="167"/>
      <c r="U57" s="167"/>
      <c r="V57" s="167"/>
    </row>
    <row r="58" spans="1:22" s="63" customFormat="1" ht="19.5" thickBot="1" x14ac:dyDescent="0.3">
      <c r="B58" s="77" t="s">
        <v>60</v>
      </c>
      <c r="C58" s="49">
        <f>SUM(C7:C57)</f>
        <v>40172</v>
      </c>
      <c r="D58" s="49"/>
      <c r="E58" s="49"/>
      <c r="F58" s="49">
        <f t="shared" ref="F58:K58" si="11">SUM(F7:F57)</f>
        <v>0</v>
      </c>
      <c r="G58" s="49">
        <f t="shared" si="11"/>
        <v>0</v>
      </c>
      <c r="H58" s="49">
        <f t="shared" si="11"/>
        <v>56</v>
      </c>
      <c r="I58" s="54">
        <f t="shared" si="11"/>
        <v>9</v>
      </c>
      <c r="J58" s="54">
        <f t="shared" si="11"/>
        <v>24</v>
      </c>
      <c r="K58" s="54">
        <f t="shared" si="11"/>
        <v>558</v>
      </c>
      <c r="M58" s="53">
        <f t="shared" ref="M58:R58" si="12">SUM(M7:M57)</f>
        <v>21</v>
      </c>
      <c r="N58" s="53">
        <f t="shared" si="12"/>
        <v>16</v>
      </c>
      <c r="O58" s="53">
        <f t="shared" si="12"/>
        <v>78</v>
      </c>
      <c r="P58" s="53">
        <f t="shared" si="12"/>
        <v>28</v>
      </c>
      <c r="Q58" s="53">
        <f t="shared" si="12"/>
        <v>650</v>
      </c>
      <c r="R58" s="53">
        <f t="shared" si="12"/>
        <v>13</v>
      </c>
      <c r="S58" s="147"/>
      <c r="T58" s="51">
        <f>SUM(T7:T57)</f>
        <v>704</v>
      </c>
      <c r="U58" s="51">
        <f>SUM(U7:U57)</f>
        <v>336716</v>
      </c>
      <c r="V58" s="51">
        <f>SUM(V7:V57)</f>
        <v>41022.208333333328</v>
      </c>
    </row>
    <row r="59" spans="1:22" ht="7.5" customHeight="1" thickBot="1" x14ac:dyDescent="0.3"/>
    <row r="60" spans="1:22" ht="19.5" thickBot="1" x14ac:dyDescent="0.3">
      <c r="B60" s="78" t="s">
        <v>39</v>
      </c>
      <c r="C60" s="191" t="s">
        <v>49</v>
      </c>
      <c r="D60" s="192"/>
      <c r="E60" s="192"/>
      <c r="F60" s="192"/>
      <c r="G60" s="192"/>
      <c r="H60" s="192"/>
      <c r="I60" s="192"/>
      <c r="J60" s="192"/>
      <c r="K60" s="193"/>
      <c r="U60" s="72" t="s">
        <v>62</v>
      </c>
    </row>
    <row r="61" spans="1:22" x14ac:dyDescent="0.25">
      <c r="B61" s="79" t="s">
        <v>18</v>
      </c>
      <c r="C61" s="67"/>
      <c r="D61" s="67"/>
      <c r="E61" s="67"/>
      <c r="F61" s="67"/>
      <c r="G61" s="67"/>
      <c r="H61" s="67"/>
      <c r="I61" s="67"/>
      <c r="J61" s="114"/>
      <c r="K61" s="68"/>
      <c r="U61" s="55"/>
    </row>
    <row r="62" spans="1:22" x14ac:dyDescent="0.25">
      <c r="B62" s="80" t="s">
        <v>55</v>
      </c>
      <c r="C62" s="48"/>
      <c r="D62" s="48"/>
      <c r="E62" s="48"/>
      <c r="F62" s="48"/>
      <c r="G62" s="48"/>
      <c r="H62" s="48"/>
      <c r="I62" s="48"/>
      <c r="J62" s="109"/>
      <c r="K62" s="69"/>
      <c r="U62" s="50"/>
    </row>
    <row r="63" spans="1:22" ht="19.5" thickBot="1" x14ac:dyDescent="0.3">
      <c r="B63" s="81" t="s">
        <v>54</v>
      </c>
      <c r="C63" s="70"/>
      <c r="D63" s="70"/>
      <c r="E63" s="70"/>
      <c r="F63" s="70"/>
      <c r="G63" s="70"/>
      <c r="H63" s="70"/>
      <c r="I63" s="70"/>
      <c r="J63" s="115"/>
      <c r="K63" s="71"/>
      <c r="U63" s="56"/>
    </row>
    <row r="64" spans="1:22" ht="7.5" customHeight="1" thickBot="1" x14ac:dyDescent="0.3"/>
    <row r="65" spans="2:21" x14ac:dyDescent="0.25">
      <c r="B65" s="79" t="s">
        <v>56</v>
      </c>
      <c r="C65" s="67"/>
      <c r="D65" s="67"/>
      <c r="E65" s="67"/>
      <c r="F65" s="67"/>
      <c r="G65" s="67"/>
      <c r="H65" s="67"/>
      <c r="I65" s="67"/>
      <c r="J65" s="114"/>
      <c r="K65" s="68"/>
      <c r="U65" s="55"/>
    </row>
    <row r="66" spans="2:21" x14ac:dyDescent="0.25">
      <c r="B66" s="80" t="s">
        <v>55</v>
      </c>
      <c r="C66" s="48"/>
      <c r="D66" s="48"/>
      <c r="E66" s="48"/>
      <c r="F66" s="48"/>
      <c r="G66" s="48"/>
      <c r="H66" s="48"/>
      <c r="I66" s="48"/>
      <c r="J66" s="109"/>
      <c r="K66" s="69"/>
      <c r="U66" s="50"/>
    </row>
    <row r="67" spans="2:21" ht="19.5" thickBot="1" x14ac:dyDescent="0.3">
      <c r="B67" s="81" t="s">
        <v>54</v>
      </c>
      <c r="C67" s="70"/>
      <c r="D67" s="70"/>
      <c r="E67" s="70"/>
      <c r="F67" s="70"/>
      <c r="G67" s="70"/>
      <c r="H67" s="70"/>
      <c r="I67" s="70"/>
      <c r="J67" s="115"/>
      <c r="K67" s="71"/>
      <c r="U67" s="56"/>
    </row>
    <row r="68" spans="2:21" ht="7.5" customHeight="1" thickBot="1" x14ac:dyDescent="0.3"/>
    <row r="69" spans="2:21" x14ac:dyDescent="0.25">
      <c r="B69" s="79" t="s">
        <v>41</v>
      </c>
      <c r="C69" s="67"/>
      <c r="D69" s="67"/>
      <c r="E69" s="67"/>
      <c r="F69" s="67"/>
      <c r="G69" s="67"/>
      <c r="H69" s="67"/>
      <c r="I69" s="67"/>
      <c r="J69" s="114"/>
      <c r="K69" s="68"/>
      <c r="U69" s="55"/>
    </row>
    <row r="70" spans="2:21" x14ac:dyDescent="0.25">
      <c r="B70" s="80" t="s">
        <v>55</v>
      </c>
      <c r="C70" s="48"/>
      <c r="D70" s="48"/>
      <c r="E70" s="48"/>
      <c r="F70" s="48"/>
      <c r="G70" s="48"/>
      <c r="H70" s="48"/>
      <c r="I70" s="48"/>
      <c r="J70" s="109"/>
      <c r="K70" s="69"/>
      <c r="U70" s="50"/>
    </row>
    <row r="71" spans="2:21" ht="19.5" thickBot="1" x14ac:dyDescent="0.3">
      <c r="B71" s="81" t="s">
        <v>54</v>
      </c>
      <c r="C71" s="70"/>
      <c r="D71" s="70"/>
      <c r="E71" s="70"/>
      <c r="F71" s="70"/>
      <c r="G71" s="70"/>
      <c r="H71" s="70"/>
      <c r="I71" s="70"/>
      <c r="J71" s="115"/>
      <c r="K71" s="71"/>
      <c r="U71" s="56"/>
    </row>
    <row r="72" spans="2:21" ht="7.5" customHeight="1" thickBot="1" x14ac:dyDescent="0.3"/>
    <row r="73" spans="2:21" x14ac:dyDescent="0.25">
      <c r="B73" s="79" t="s">
        <v>57</v>
      </c>
      <c r="C73" s="67"/>
      <c r="D73" s="67"/>
      <c r="E73" s="67"/>
      <c r="F73" s="67"/>
      <c r="G73" s="67"/>
      <c r="H73" s="67"/>
      <c r="I73" s="67"/>
      <c r="J73" s="114"/>
      <c r="K73" s="68"/>
      <c r="U73" s="55"/>
    </row>
    <row r="74" spans="2:21" x14ac:dyDescent="0.25">
      <c r="B74" s="80" t="s">
        <v>55</v>
      </c>
      <c r="C74" s="48"/>
      <c r="D74" s="48"/>
      <c r="E74" s="48"/>
      <c r="F74" s="48"/>
      <c r="G74" s="48"/>
      <c r="H74" s="48"/>
      <c r="I74" s="48"/>
      <c r="J74" s="109"/>
      <c r="K74" s="69"/>
      <c r="U74" s="50"/>
    </row>
    <row r="75" spans="2:21" ht="19.5" thickBot="1" x14ac:dyDescent="0.3">
      <c r="B75" s="81" t="s">
        <v>54</v>
      </c>
      <c r="C75" s="70"/>
      <c r="D75" s="70"/>
      <c r="E75" s="70"/>
      <c r="F75" s="70"/>
      <c r="G75" s="70"/>
      <c r="H75" s="70"/>
      <c r="I75" s="70"/>
      <c r="J75" s="115"/>
      <c r="K75" s="71"/>
      <c r="U75" s="56"/>
    </row>
    <row r="76" spans="2:21" ht="7.5" customHeight="1" thickBot="1" x14ac:dyDescent="0.3"/>
    <row r="77" spans="2:21" x14ac:dyDescent="0.25">
      <c r="B77" s="79" t="s">
        <v>58</v>
      </c>
      <c r="C77" s="67"/>
      <c r="D77" s="67"/>
      <c r="E77" s="67"/>
      <c r="F77" s="67"/>
      <c r="G77" s="67"/>
      <c r="H77" s="67"/>
      <c r="I77" s="67"/>
      <c r="J77" s="114"/>
      <c r="K77" s="68"/>
      <c r="U77" s="55"/>
    </row>
    <row r="78" spans="2:21" x14ac:dyDescent="0.25">
      <c r="B78" s="80" t="s">
        <v>55</v>
      </c>
      <c r="C78" s="48"/>
      <c r="D78" s="48"/>
      <c r="E78" s="48"/>
      <c r="F78" s="48"/>
      <c r="G78" s="48"/>
      <c r="H78" s="48"/>
      <c r="I78" s="48"/>
      <c r="J78" s="109"/>
      <c r="K78" s="69"/>
      <c r="U78" s="50"/>
    </row>
    <row r="79" spans="2:21" ht="19.5" thickBot="1" x14ac:dyDescent="0.3">
      <c r="B79" s="81" t="s">
        <v>54</v>
      </c>
      <c r="C79" s="70"/>
      <c r="D79" s="70"/>
      <c r="E79" s="70"/>
      <c r="F79" s="70"/>
      <c r="G79" s="70"/>
      <c r="H79" s="70"/>
      <c r="I79" s="70"/>
      <c r="J79" s="115"/>
      <c r="K79" s="71"/>
      <c r="U79" s="56"/>
    </row>
    <row r="80" spans="2:21" ht="7.5" customHeight="1" thickBot="1" x14ac:dyDescent="0.3"/>
    <row r="81" spans="2:21" ht="19.5" thickBot="1" x14ac:dyDescent="0.3">
      <c r="B81" s="78" t="s">
        <v>59</v>
      </c>
      <c r="C81" s="65"/>
      <c r="D81" s="65"/>
      <c r="E81" s="65"/>
      <c r="F81" s="65"/>
      <c r="G81" s="65"/>
      <c r="H81" s="65"/>
      <c r="I81" s="65"/>
      <c r="J81" s="116"/>
      <c r="K81" s="66"/>
      <c r="U81" s="64"/>
    </row>
  </sheetData>
  <mergeCells count="7">
    <mergeCell ref="V4:V5"/>
    <mergeCell ref="J5:K5"/>
    <mergeCell ref="C60:K60"/>
    <mergeCell ref="I1:U1"/>
    <mergeCell ref="C4:K4"/>
    <mergeCell ref="T4:T5"/>
    <mergeCell ref="U4:U5"/>
  </mergeCells>
  <printOptions horizontalCentered="1" verticalCentered="1"/>
  <pageMargins left="0.19685039370078741" right="0.19685039370078741" top="0.19685039370078741" bottom="0.19685039370078741" header="0.19685039370078741" footer="0.19685039370078741"/>
  <pageSetup paperSize="14" scale="70" orientation="portrait" horizontalDpi="360" verticalDpi="360" r:id="rId1"/>
  <colBreaks count="1" manualBreakCount="1">
    <brk id="24" max="80" man="1"/>
  </col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2F5F4-C5DF-4049-87CE-B29D5D492895}">
  <sheetPr>
    <pageSetUpPr fitToPage="1"/>
  </sheetPr>
  <dimension ref="A1:BB81"/>
  <sheetViews>
    <sheetView zoomScaleNormal="100" zoomScaleSheetLayoutView="115" workbookViewId="0">
      <selection activeCell="B3" sqref="B3"/>
    </sheetView>
  </sheetViews>
  <sheetFormatPr defaultColWidth="9.140625" defaultRowHeight="18.75" x14ac:dyDescent="0.25"/>
  <cols>
    <col min="1" max="1" width="4.140625" style="57" bestFit="1" customWidth="1"/>
    <col min="2" max="2" width="12.28515625" style="76" customWidth="1"/>
    <col min="3" max="6" width="10" style="57" customWidth="1"/>
    <col min="7" max="7" width="6.85546875" style="57" customWidth="1"/>
    <col min="8" max="8" width="6.7109375" style="57" customWidth="1"/>
    <col min="9" max="9" width="6.7109375" style="57" bestFit="1" customWidth="1"/>
    <col min="10" max="10" width="6.85546875" style="57" customWidth="1"/>
    <col min="11" max="11" width="6.7109375" style="57" bestFit="1" customWidth="1"/>
    <col min="12" max="12" width="1.42578125" style="57" customWidth="1"/>
    <col min="13" max="13" width="10" style="57" customWidth="1"/>
    <col min="14" max="14" width="6.7109375" style="57" bestFit="1" customWidth="1"/>
    <col min="15" max="15" width="10" style="57" customWidth="1"/>
    <col min="16" max="16" width="5.5703125" style="57" customWidth="1"/>
    <col min="17" max="17" width="10" style="57" customWidth="1"/>
    <col min="18" max="18" width="6.7109375" style="57" bestFit="1" customWidth="1"/>
    <col min="19" max="19" width="1.42578125" style="57" customWidth="1"/>
    <col min="20" max="20" width="12.7109375" style="57" bestFit="1" customWidth="1"/>
    <col min="21" max="21" width="14.28515625" style="57" customWidth="1"/>
    <col min="22" max="22" width="19.5703125" style="57" bestFit="1" customWidth="1"/>
    <col min="23" max="49" width="7.28515625" style="57" customWidth="1"/>
    <col min="50" max="50" width="1.5703125" style="57" customWidth="1"/>
    <col min="51" max="51" width="9.42578125" style="57" customWidth="1"/>
    <col min="52" max="52" width="1.28515625" style="57" customWidth="1"/>
    <col min="53" max="53" width="12.7109375" style="57" bestFit="1" customWidth="1"/>
    <col min="54" max="54" width="10.28515625" style="57" bestFit="1" customWidth="1"/>
    <col min="55" max="16384" width="9.140625" style="57"/>
  </cols>
  <sheetData>
    <row r="1" spans="1:54" ht="15" customHeight="1" x14ac:dyDescent="0.25">
      <c r="B1" s="75" t="s">
        <v>51</v>
      </c>
      <c r="I1" s="194" t="s">
        <v>53</v>
      </c>
      <c r="J1" s="194"/>
      <c r="K1" s="194"/>
      <c r="L1" s="194"/>
      <c r="M1" s="194"/>
      <c r="N1" s="194"/>
      <c r="O1" s="194"/>
      <c r="P1" s="194"/>
      <c r="Q1" s="194"/>
      <c r="R1" s="194"/>
      <c r="S1" s="194"/>
      <c r="T1" s="194"/>
      <c r="U1" s="194"/>
    </row>
    <row r="2" spans="1:54" x14ac:dyDescent="0.25">
      <c r="B2" s="76" t="s">
        <v>101</v>
      </c>
    </row>
    <row r="3" spans="1:54" ht="19.5" thickBot="1" x14ac:dyDescent="0.3"/>
    <row r="4" spans="1:54" s="58" customFormat="1" ht="15.75" x14ac:dyDescent="0.25">
      <c r="B4" s="93" t="s">
        <v>63</v>
      </c>
      <c r="C4" s="189" t="s">
        <v>49</v>
      </c>
      <c r="D4" s="189"/>
      <c r="E4" s="189"/>
      <c r="F4" s="189"/>
      <c r="G4" s="189"/>
      <c r="H4" s="189"/>
      <c r="I4" s="189"/>
      <c r="J4" s="199"/>
      <c r="K4" s="190"/>
      <c r="M4" s="82" t="s">
        <v>0</v>
      </c>
      <c r="N4" s="117" t="s">
        <v>72</v>
      </c>
      <c r="O4" s="84" t="s">
        <v>45</v>
      </c>
      <c r="P4" s="117" t="s">
        <v>72</v>
      </c>
      <c r="Q4" s="85" t="s">
        <v>46</v>
      </c>
      <c r="R4" s="117" t="s">
        <v>72</v>
      </c>
      <c r="S4" s="57"/>
      <c r="T4" s="200" t="s">
        <v>80</v>
      </c>
      <c r="U4" s="202" t="s">
        <v>79</v>
      </c>
      <c r="V4" s="195" t="s">
        <v>78</v>
      </c>
      <c r="AF4" s="59"/>
      <c r="AG4" s="59"/>
      <c r="AH4" s="59"/>
      <c r="AI4" s="59"/>
      <c r="AJ4" s="59"/>
      <c r="AK4" s="59"/>
      <c r="AL4" s="59"/>
      <c r="AM4" s="59"/>
      <c r="AN4" s="59"/>
      <c r="AO4" s="59"/>
      <c r="AP4" s="59"/>
      <c r="AQ4" s="59"/>
      <c r="AR4" s="59"/>
      <c r="AS4" s="59"/>
      <c r="AT4" s="59"/>
      <c r="AU4" s="59"/>
      <c r="AV4" s="59"/>
      <c r="AW4" s="59"/>
      <c r="AX4" s="59"/>
      <c r="AY4" s="59"/>
      <c r="AZ4" s="59"/>
      <c r="BA4" s="59"/>
      <c r="BB4" s="59"/>
    </row>
    <row r="5" spans="1:54" s="58" customFormat="1" ht="15.75" x14ac:dyDescent="0.25">
      <c r="B5" s="87"/>
      <c r="C5" s="92"/>
      <c r="D5" s="92"/>
      <c r="E5" s="92"/>
      <c r="F5" s="92"/>
      <c r="G5" s="92"/>
      <c r="H5" s="92" t="s">
        <v>76</v>
      </c>
      <c r="I5" s="92" t="s">
        <v>71</v>
      </c>
      <c r="J5" s="197" t="s">
        <v>77</v>
      </c>
      <c r="K5" s="198"/>
      <c r="M5" s="87"/>
      <c r="N5" s="118"/>
      <c r="O5" s="92"/>
      <c r="P5" s="183"/>
      <c r="Q5" s="183"/>
      <c r="R5" s="89"/>
      <c r="S5" s="57"/>
      <c r="T5" s="201"/>
      <c r="U5" s="203"/>
      <c r="V5" s="196"/>
      <c r="AF5" s="59"/>
      <c r="AG5" s="59"/>
      <c r="AH5" s="59"/>
      <c r="AI5" s="59"/>
      <c r="AJ5" s="59"/>
      <c r="AK5" s="59"/>
      <c r="AL5" s="59"/>
      <c r="AM5" s="59"/>
      <c r="AN5" s="59"/>
      <c r="AO5" s="59"/>
      <c r="AP5" s="59"/>
      <c r="AQ5" s="59"/>
      <c r="AR5" s="59"/>
      <c r="AS5" s="59"/>
      <c r="AT5" s="59"/>
      <c r="AU5" s="59"/>
      <c r="AV5" s="59"/>
      <c r="AW5" s="59"/>
      <c r="AX5" s="59"/>
      <c r="AY5" s="59"/>
      <c r="AZ5" s="59"/>
      <c r="BA5" s="59"/>
      <c r="BB5" s="59"/>
    </row>
    <row r="6" spans="1:54" s="58" customFormat="1" ht="15.75" x14ac:dyDescent="0.25">
      <c r="B6" s="87"/>
      <c r="C6" s="92"/>
      <c r="D6" s="92"/>
      <c r="E6" s="92"/>
      <c r="F6" s="92"/>
      <c r="G6" s="92"/>
      <c r="H6" s="92"/>
      <c r="I6" s="92"/>
      <c r="J6" s="183"/>
      <c r="K6" s="89"/>
      <c r="M6" s="87"/>
      <c r="N6" s="118"/>
      <c r="O6" s="92"/>
      <c r="P6" s="183"/>
      <c r="Q6" s="183"/>
      <c r="R6" s="89"/>
      <c r="S6" s="57"/>
      <c r="T6" s="90"/>
      <c r="U6" s="90"/>
      <c r="V6" s="90"/>
      <c r="AF6" s="59"/>
      <c r="AG6" s="59"/>
      <c r="AH6" s="59"/>
      <c r="AI6" s="59"/>
      <c r="AJ6" s="59"/>
      <c r="AK6" s="59"/>
      <c r="AL6" s="59"/>
      <c r="AM6" s="59"/>
      <c r="AN6" s="59"/>
      <c r="AO6" s="59"/>
      <c r="AP6" s="59"/>
      <c r="AQ6" s="59"/>
      <c r="AR6" s="59"/>
      <c r="AS6" s="59"/>
      <c r="AT6" s="59"/>
      <c r="AU6" s="59"/>
      <c r="AV6" s="59"/>
      <c r="AW6" s="59"/>
      <c r="AX6" s="59"/>
      <c r="AY6" s="59"/>
      <c r="AZ6" s="59"/>
      <c r="BA6" s="59"/>
      <c r="BB6" s="59"/>
    </row>
    <row r="7" spans="1:54" x14ac:dyDescent="0.25">
      <c r="A7" s="75">
        <v>1</v>
      </c>
      <c r="B7" s="74" t="s">
        <v>34</v>
      </c>
      <c r="C7" s="144"/>
      <c r="D7" s="144"/>
      <c r="E7" s="144"/>
      <c r="F7" s="144"/>
      <c r="G7" s="144"/>
      <c r="H7" s="144"/>
      <c r="I7" s="144"/>
      <c r="J7" s="145"/>
      <c r="K7" s="146"/>
      <c r="L7" s="147"/>
      <c r="M7" s="148"/>
      <c r="N7" s="149"/>
      <c r="O7" s="144"/>
      <c r="P7" s="145"/>
      <c r="Q7" s="145"/>
      <c r="R7" s="146"/>
      <c r="S7" s="147"/>
      <c r="T7" s="150">
        <f>H7+I7+J7+K7+N7+P7+R7</f>
        <v>0</v>
      </c>
      <c r="U7" s="150">
        <f>C7*24+M7*24+O7*24+Q7*24+T7</f>
        <v>0</v>
      </c>
      <c r="V7" s="150">
        <f>U7/24</f>
        <v>0</v>
      </c>
      <c r="W7" s="123"/>
      <c r="AF7" s="60"/>
      <c r="AG7" s="60"/>
      <c r="AH7" s="60"/>
      <c r="AI7" s="60"/>
      <c r="AJ7" s="60"/>
      <c r="AK7" s="60"/>
      <c r="AL7" s="60"/>
      <c r="AM7" s="60"/>
      <c r="AN7" s="60"/>
      <c r="AO7" s="60"/>
      <c r="AP7" s="60"/>
      <c r="AQ7" s="60"/>
      <c r="AR7" s="60"/>
      <c r="AS7" s="60"/>
      <c r="AT7" s="60"/>
      <c r="AU7" s="60"/>
      <c r="AV7" s="60"/>
      <c r="AW7" s="60"/>
      <c r="AX7" s="60"/>
      <c r="AY7" s="60"/>
      <c r="AZ7" s="60"/>
      <c r="BA7" s="60"/>
      <c r="BB7" s="60"/>
    </row>
    <row r="8" spans="1:54" ht="19.5" thickBot="1" x14ac:dyDescent="0.3">
      <c r="A8" s="75">
        <f>A7+1</f>
        <v>2</v>
      </c>
      <c r="B8" s="94" t="s">
        <v>37</v>
      </c>
      <c r="C8" s="151"/>
      <c r="D8" s="151"/>
      <c r="E8" s="151"/>
      <c r="F8" s="151"/>
      <c r="G8" s="151"/>
      <c r="H8" s="151"/>
      <c r="I8" s="151"/>
      <c r="J8" s="152"/>
      <c r="K8" s="153"/>
      <c r="L8" s="154"/>
      <c r="M8" s="155"/>
      <c r="N8" s="156"/>
      <c r="O8" s="157"/>
      <c r="P8" s="158"/>
      <c r="Q8" s="158"/>
      <c r="R8" s="159"/>
      <c r="S8" s="154"/>
      <c r="T8" s="160">
        <f t="shared" ref="T8:T41" si="0">H8+I8+J8+K8+N8+P8+R8</f>
        <v>0</v>
      </c>
      <c r="U8" s="161">
        <f>C8*24+M8*24+O8*24+Q8*24+T8</f>
        <v>0</v>
      </c>
      <c r="V8" s="161">
        <f>U8/24</f>
        <v>0</v>
      </c>
      <c r="W8" s="123"/>
      <c r="AF8" s="60"/>
      <c r="AG8" s="60"/>
      <c r="AH8" s="60"/>
      <c r="AI8" s="60"/>
      <c r="AJ8" s="60"/>
      <c r="AK8" s="60"/>
      <c r="AL8" s="60"/>
      <c r="AM8" s="60"/>
      <c r="AN8" s="60"/>
      <c r="AO8" s="60"/>
      <c r="AP8" s="60"/>
      <c r="AQ8" s="60"/>
      <c r="AR8" s="60"/>
      <c r="AS8" s="60"/>
      <c r="AT8" s="60"/>
      <c r="AU8" s="60"/>
      <c r="AV8" s="60"/>
      <c r="AW8" s="60"/>
      <c r="AX8" s="60"/>
      <c r="AY8" s="60"/>
      <c r="AZ8" s="60"/>
      <c r="BA8" s="60"/>
      <c r="BB8" s="60"/>
    </row>
    <row r="9" spans="1:54" x14ac:dyDescent="0.25">
      <c r="A9" s="75">
        <f t="shared" ref="A9:A57" si="1">A8+1</f>
        <v>3</v>
      </c>
      <c r="B9" s="73" t="s">
        <v>35</v>
      </c>
      <c r="C9" s="162"/>
      <c r="D9" s="162"/>
      <c r="E9" s="162"/>
      <c r="F9" s="162"/>
      <c r="G9" s="162"/>
      <c r="H9" s="162"/>
      <c r="I9" s="162"/>
      <c r="J9" s="163"/>
      <c r="K9" s="164"/>
      <c r="L9" s="147"/>
      <c r="M9" s="165"/>
      <c r="N9" s="166"/>
      <c r="O9" s="162"/>
      <c r="P9" s="163"/>
      <c r="Q9" s="163"/>
      <c r="R9" s="164"/>
      <c r="S9" s="147"/>
      <c r="T9" s="167">
        <f t="shared" si="0"/>
        <v>0</v>
      </c>
      <c r="U9" s="168">
        <f t="shared" ref="U9:U11" si="2">C9*24+M9*24+O9*24+Q9*24+T9</f>
        <v>0</v>
      </c>
      <c r="V9" s="168">
        <f t="shared" ref="V9:V11" si="3">U9/24</f>
        <v>0</v>
      </c>
      <c r="W9" s="123"/>
      <c r="AF9" s="60"/>
      <c r="AG9" s="60"/>
      <c r="AH9" s="60"/>
      <c r="AI9" s="60"/>
      <c r="AJ9" s="60"/>
      <c r="AK9" s="60"/>
      <c r="AL9" s="60"/>
      <c r="AM9" s="60"/>
      <c r="AN9" s="60"/>
      <c r="AO9" s="60"/>
      <c r="AP9" s="60"/>
      <c r="AQ9" s="60"/>
      <c r="AR9" s="60"/>
      <c r="AS9" s="60"/>
      <c r="AT9" s="60"/>
      <c r="AU9" s="60"/>
      <c r="AV9" s="60"/>
      <c r="AW9" s="60"/>
      <c r="AX9" s="60"/>
      <c r="AY9" s="60"/>
      <c r="AZ9" s="60"/>
      <c r="BA9" s="60"/>
      <c r="BB9" s="60"/>
    </row>
    <row r="10" spans="1:54" x14ac:dyDescent="0.25">
      <c r="A10" s="75">
        <f t="shared" si="1"/>
        <v>4</v>
      </c>
      <c r="B10" s="74" t="s">
        <v>38</v>
      </c>
      <c r="C10" s="162"/>
      <c r="D10" s="162"/>
      <c r="E10" s="162"/>
      <c r="F10" s="162"/>
      <c r="G10" s="162"/>
      <c r="H10" s="162"/>
      <c r="I10" s="162"/>
      <c r="J10" s="163"/>
      <c r="K10" s="164"/>
      <c r="L10" s="147"/>
      <c r="M10" s="165"/>
      <c r="N10" s="166"/>
      <c r="O10" s="162"/>
      <c r="P10" s="163"/>
      <c r="Q10" s="163"/>
      <c r="R10" s="164"/>
      <c r="S10" s="147"/>
      <c r="T10" s="150">
        <f t="shared" si="0"/>
        <v>0</v>
      </c>
      <c r="U10" s="150">
        <f t="shared" si="2"/>
        <v>0</v>
      </c>
      <c r="V10" s="150">
        <f t="shared" si="3"/>
        <v>0</v>
      </c>
      <c r="W10" s="123"/>
      <c r="AF10" s="60"/>
      <c r="AG10" s="60"/>
      <c r="AH10" s="60"/>
      <c r="AI10" s="60"/>
      <c r="AJ10" s="60"/>
      <c r="AK10" s="60"/>
      <c r="AL10" s="60"/>
      <c r="AM10" s="60"/>
      <c r="AN10" s="60"/>
      <c r="AO10" s="60"/>
      <c r="AP10" s="60"/>
      <c r="AQ10" s="60"/>
      <c r="AR10" s="60"/>
      <c r="AS10" s="60"/>
      <c r="AT10" s="60"/>
      <c r="AU10" s="60"/>
      <c r="AV10" s="60"/>
      <c r="AW10" s="60"/>
      <c r="AX10" s="60"/>
      <c r="AY10" s="60"/>
      <c r="AZ10" s="60"/>
      <c r="BA10" s="60"/>
      <c r="BB10" s="60"/>
    </row>
    <row r="11" spans="1:54" x14ac:dyDescent="0.25">
      <c r="A11" s="75">
        <f t="shared" si="1"/>
        <v>5</v>
      </c>
      <c r="B11" s="74" t="s">
        <v>36</v>
      </c>
      <c r="C11" s="162"/>
      <c r="D11" s="162"/>
      <c r="E11" s="162"/>
      <c r="F11" s="162"/>
      <c r="G11" s="162"/>
      <c r="H11" s="162"/>
      <c r="I11" s="162"/>
      <c r="J11" s="163"/>
      <c r="K11" s="164"/>
      <c r="L11" s="147"/>
      <c r="M11" s="165"/>
      <c r="N11" s="166"/>
      <c r="O11" s="162"/>
      <c r="P11" s="163"/>
      <c r="Q11" s="163"/>
      <c r="R11" s="164"/>
      <c r="S11" s="147"/>
      <c r="T11" s="150">
        <f t="shared" si="0"/>
        <v>0</v>
      </c>
      <c r="U11" s="150">
        <f t="shared" si="2"/>
        <v>0</v>
      </c>
      <c r="V11" s="150">
        <f t="shared" si="3"/>
        <v>0</v>
      </c>
      <c r="AF11" s="60"/>
      <c r="AG11" s="60"/>
      <c r="AH11" s="60"/>
      <c r="AI11" s="60"/>
      <c r="AJ11" s="60"/>
      <c r="AK11" s="60"/>
      <c r="AL11" s="60"/>
      <c r="AM11" s="60"/>
      <c r="AN11" s="60"/>
      <c r="AO11" s="60"/>
      <c r="AP11" s="60"/>
      <c r="AQ11" s="60"/>
      <c r="AR11" s="60"/>
      <c r="AS11" s="60"/>
      <c r="AT11" s="60"/>
      <c r="AU11" s="60"/>
      <c r="AV11" s="60"/>
      <c r="AW11" s="60"/>
      <c r="AX11" s="60"/>
      <c r="AY11" s="60"/>
      <c r="AZ11" s="60"/>
      <c r="BA11" s="60"/>
      <c r="BB11" s="60"/>
    </row>
    <row r="12" spans="1:54" s="61" customFormat="1" ht="19.5" thickBot="1" x14ac:dyDescent="0.3">
      <c r="A12" s="75">
        <v>7</v>
      </c>
      <c r="B12" s="94" t="s">
        <v>32</v>
      </c>
      <c r="C12" s="151"/>
      <c r="D12" s="151"/>
      <c r="E12" s="151"/>
      <c r="F12" s="151"/>
      <c r="G12" s="151"/>
      <c r="H12" s="151"/>
      <c r="I12" s="151"/>
      <c r="J12" s="152"/>
      <c r="K12" s="153"/>
      <c r="L12" s="154"/>
      <c r="M12" s="155"/>
      <c r="N12" s="156"/>
      <c r="O12" s="157"/>
      <c r="P12" s="158"/>
      <c r="Q12" s="158"/>
      <c r="R12" s="159"/>
      <c r="S12" s="154"/>
      <c r="T12" s="150">
        <f t="shared" si="0"/>
        <v>0</v>
      </c>
      <c r="U12" s="161">
        <f>C12*24+M12*24+O12*24+Q12*24+T12</f>
        <v>0</v>
      </c>
      <c r="V12" s="161">
        <f>U12/24</f>
        <v>0</v>
      </c>
      <c r="W12" s="57"/>
      <c r="X12" s="57"/>
      <c r="Y12" s="57"/>
      <c r="Z12" s="57"/>
      <c r="AA12" s="57"/>
      <c r="AB12" s="57"/>
      <c r="AC12" s="57"/>
      <c r="AD12" s="57"/>
      <c r="AE12" s="57"/>
      <c r="AF12" s="60"/>
      <c r="AG12" s="60"/>
      <c r="AH12" s="60"/>
      <c r="AI12" s="60"/>
      <c r="AJ12" s="60"/>
      <c r="AK12" s="60"/>
      <c r="AL12" s="60"/>
      <c r="AM12" s="60"/>
      <c r="AN12" s="60"/>
      <c r="AO12" s="60"/>
      <c r="AP12" s="60"/>
      <c r="AQ12" s="60"/>
      <c r="AR12" s="60"/>
      <c r="AS12" s="60"/>
      <c r="AT12" s="60"/>
      <c r="AU12" s="60"/>
      <c r="AV12" s="60"/>
      <c r="AW12" s="60"/>
      <c r="AX12" s="60"/>
      <c r="AY12" s="60"/>
      <c r="AZ12" s="60"/>
      <c r="BA12" s="60"/>
      <c r="BB12" s="60"/>
    </row>
    <row r="13" spans="1:54" x14ac:dyDescent="0.25">
      <c r="A13" s="75">
        <v>11</v>
      </c>
      <c r="B13" s="73" t="s">
        <v>1</v>
      </c>
      <c r="C13" s="162"/>
      <c r="D13" s="162"/>
      <c r="E13" s="162"/>
      <c r="F13" s="162"/>
      <c r="G13" s="162"/>
      <c r="H13" s="162"/>
      <c r="I13" s="162"/>
      <c r="J13" s="163"/>
      <c r="K13" s="164"/>
      <c r="L13" s="147"/>
      <c r="M13" s="165"/>
      <c r="N13" s="166"/>
      <c r="O13" s="162"/>
      <c r="P13" s="163"/>
      <c r="Q13" s="163"/>
      <c r="R13" s="164"/>
      <c r="S13" s="147"/>
      <c r="T13" s="150">
        <f t="shared" si="0"/>
        <v>0</v>
      </c>
      <c r="U13" s="168">
        <f>C13*24+M13*24+O13*24+Q13*24+T13</f>
        <v>0</v>
      </c>
      <c r="V13" s="168">
        <f>U13/24</f>
        <v>0</v>
      </c>
      <c r="AF13" s="60"/>
      <c r="AG13" s="60"/>
      <c r="AH13" s="60"/>
      <c r="AI13" s="60"/>
      <c r="AJ13" s="60"/>
      <c r="AK13" s="60"/>
      <c r="AL13" s="60"/>
      <c r="AM13" s="60"/>
      <c r="AN13" s="60"/>
      <c r="AO13" s="60"/>
      <c r="AP13" s="60"/>
      <c r="AQ13" s="60"/>
      <c r="AR13" s="60"/>
      <c r="AS13" s="60"/>
      <c r="AT13" s="60"/>
      <c r="AU13" s="60"/>
      <c r="AV13" s="60"/>
      <c r="AW13" s="60"/>
      <c r="AX13" s="60"/>
      <c r="AY13" s="60"/>
      <c r="AZ13" s="60"/>
      <c r="BA13" s="60"/>
      <c r="BB13" s="60"/>
    </row>
    <row r="14" spans="1:54" x14ac:dyDescent="0.25">
      <c r="A14" s="75">
        <f t="shared" si="1"/>
        <v>12</v>
      </c>
      <c r="B14" s="74" t="s">
        <v>2</v>
      </c>
      <c r="C14" s="162"/>
      <c r="D14" s="162"/>
      <c r="E14" s="162"/>
      <c r="F14" s="162"/>
      <c r="G14" s="162"/>
      <c r="H14" s="162"/>
      <c r="I14" s="162"/>
      <c r="J14" s="163"/>
      <c r="K14" s="164"/>
      <c r="L14" s="147"/>
      <c r="M14" s="165"/>
      <c r="N14" s="166"/>
      <c r="O14" s="162"/>
      <c r="P14" s="163"/>
      <c r="Q14" s="163"/>
      <c r="R14" s="164"/>
      <c r="S14" s="147"/>
      <c r="T14" s="150">
        <f t="shared" si="0"/>
        <v>0</v>
      </c>
      <c r="U14" s="167">
        <f t="shared" ref="U14:U36" si="4">C14*24+M14*24+O14*24+Q14*24+T14</f>
        <v>0</v>
      </c>
      <c r="V14" s="167">
        <f t="shared" ref="V14:V36" si="5">U14/24</f>
        <v>0</v>
      </c>
      <c r="AF14" s="60"/>
      <c r="AG14" s="60"/>
      <c r="AH14" s="60"/>
      <c r="AI14" s="60"/>
      <c r="AJ14" s="60"/>
      <c r="AK14" s="60"/>
      <c r="AL14" s="60"/>
      <c r="AM14" s="60"/>
      <c r="AN14" s="60"/>
      <c r="AO14" s="60"/>
      <c r="AP14" s="60"/>
      <c r="AQ14" s="60"/>
      <c r="AR14" s="60"/>
      <c r="AS14" s="60"/>
      <c r="AT14" s="60"/>
      <c r="AU14" s="60"/>
      <c r="AV14" s="60"/>
      <c r="AW14" s="60"/>
      <c r="AX14" s="60"/>
      <c r="AY14" s="60"/>
      <c r="AZ14" s="60"/>
      <c r="BA14" s="60"/>
      <c r="BB14" s="60"/>
    </row>
    <row r="15" spans="1:54" x14ac:dyDescent="0.25">
      <c r="A15" s="75">
        <f t="shared" si="1"/>
        <v>13</v>
      </c>
      <c r="B15" s="74" t="s">
        <v>3</v>
      </c>
      <c r="C15" s="162"/>
      <c r="D15" s="162"/>
      <c r="E15" s="162"/>
      <c r="F15" s="162"/>
      <c r="G15" s="162"/>
      <c r="H15" s="162"/>
      <c r="I15" s="162"/>
      <c r="J15" s="163"/>
      <c r="K15" s="164"/>
      <c r="L15" s="147"/>
      <c r="M15" s="165"/>
      <c r="N15" s="166"/>
      <c r="O15" s="162"/>
      <c r="P15" s="163"/>
      <c r="Q15" s="163"/>
      <c r="R15" s="164"/>
      <c r="S15" s="147"/>
      <c r="T15" s="150">
        <f t="shared" si="0"/>
        <v>0</v>
      </c>
      <c r="U15" s="167">
        <f t="shared" si="4"/>
        <v>0</v>
      </c>
      <c r="V15" s="167">
        <f t="shared" si="5"/>
        <v>0</v>
      </c>
      <c r="AF15" s="60"/>
      <c r="AG15" s="60"/>
      <c r="AH15" s="60"/>
      <c r="AI15" s="60"/>
      <c r="AJ15" s="60"/>
      <c r="AK15" s="60"/>
      <c r="AL15" s="60"/>
      <c r="AM15" s="60"/>
      <c r="AN15" s="60"/>
      <c r="AO15" s="60"/>
      <c r="AP15" s="60"/>
      <c r="AQ15" s="60"/>
      <c r="AR15" s="60"/>
      <c r="AS15" s="60"/>
      <c r="AT15" s="60"/>
      <c r="AU15" s="60"/>
      <c r="AV15" s="60"/>
      <c r="AW15" s="60"/>
      <c r="AX15" s="60"/>
      <c r="AY15" s="60"/>
      <c r="AZ15" s="60"/>
      <c r="BA15" s="60"/>
      <c r="BB15" s="60"/>
    </row>
    <row r="16" spans="1:54" x14ac:dyDescent="0.25">
      <c r="A16" s="75">
        <f t="shared" si="1"/>
        <v>14</v>
      </c>
      <c r="B16" s="74" t="s">
        <v>4</v>
      </c>
      <c r="C16" s="162"/>
      <c r="D16" s="162"/>
      <c r="E16" s="162"/>
      <c r="F16" s="162"/>
      <c r="G16" s="162"/>
      <c r="H16" s="162"/>
      <c r="I16" s="162"/>
      <c r="J16" s="163"/>
      <c r="K16" s="164"/>
      <c r="L16" s="147"/>
      <c r="M16" s="165"/>
      <c r="N16" s="166"/>
      <c r="O16" s="162"/>
      <c r="P16" s="163"/>
      <c r="Q16" s="163"/>
      <c r="R16" s="164"/>
      <c r="S16" s="147"/>
      <c r="T16" s="150">
        <f t="shared" si="0"/>
        <v>0</v>
      </c>
      <c r="U16" s="167">
        <f t="shared" si="4"/>
        <v>0</v>
      </c>
      <c r="V16" s="167">
        <f t="shared" si="5"/>
        <v>0</v>
      </c>
      <c r="AF16" s="60"/>
      <c r="AG16" s="60"/>
      <c r="AH16" s="60"/>
      <c r="AI16" s="60"/>
      <c r="AJ16" s="60"/>
      <c r="AK16" s="60"/>
      <c r="AL16" s="60"/>
      <c r="AM16" s="60"/>
      <c r="AN16" s="60"/>
      <c r="AO16" s="60"/>
      <c r="AP16" s="60"/>
      <c r="AQ16" s="60"/>
      <c r="AR16" s="60"/>
      <c r="AS16" s="60"/>
      <c r="AT16" s="60"/>
      <c r="AU16" s="60"/>
      <c r="AV16" s="60"/>
      <c r="AW16" s="60"/>
      <c r="AX16" s="60"/>
      <c r="AY16" s="60"/>
      <c r="AZ16" s="60"/>
      <c r="BA16" s="60"/>
      <c r="BB16" s="60"/>
    </row>
    <row r="17" spans="1:54" x14ac:dyDescent="0.25">
      <c r="A17" s="75">
        <f t="shared" si="1"/>
        <v>15</v>
      </c>
      <c r="B17" s="74" t="s">
        <v>5</v>
      </c>
      <c r="C17" s="162"/>
      <c r="D17" s="162"/>
      <c r="E17" s="162"/>
      <c r="F17" s="162"/>
      <c r="G17" s="162"/>
      <c r="H17" s="162"/>
      <c r="I17" s="162"/>
      <c r="J17" s="163"/>
      <c r="K17" s="164"/>
      <c r="L17" s="147"/>
      <c r="M17" s="165"/>
      <c r="N17" s="166"/>
      <c r="O17" s="162"/>
      <c r="P17" s="163"/>
      <c r="Q17" s="163"/>
      <c r="R17" s="164"/>
      <c r="S17" s="147"/>
      <c r="T17" s="150">
        <f t="shared" si="0"/>
        <v>0</v>
      </c>
      <c r="U17" s="167">
        <f t="shared" si="4"/>
        <v>0</v>
      </c>
      <c r="V17" s="167">
        <f t="shared" si="5"/>
        <v>0</v>
      </c>
      <c r="AF17" s="60"/>
      <c r="AG17" s="60"/>
      <c r="AH17" s="60"/>
      <c r="AI17" s="60"/>
      <c r="AJ17" s="60"/>
      <c r="AK17" s="60"/>
      <c r="AL17" s="60"/>
      <c r="AM17" s="60"/>
      <c r="AN17" s="60"/>
      <c r="AO17" s="60"/>
      <c r="AP17" s="60"/>
      <c r="AQ17" s="60"/>
      <c r="AR17" s="60"/>
      <c r="AS17" s="60"/>
      <c r="AT17" s="60"/>
      <c r="AU17" s="60"/>
      <c r="AV17" s="60"/>
      <c r="AW17" s="60"/>
      <c r="AX17" s="60"/>
      <c r="AY17" s="60"/>
      <c r="AZ17" s="60"/>
      <c r="BA17" s="60"/>
      <c r="BB17" s="60"/>
    </row>
    <row r="18" spans="1:54" hidden="1" x14ac:dyDescent="0.25">
      <c r="A18" s="75">
        <f t="shared" si="1"/>
        <v>16</v>
      </c>
      <c r="B18" s="74" t="s">
        <v>10</v>
      </c>
      <c r="C18" s="162"/>
      <c r="D18" s="162"/>
      <c r="E18" s="162"/>
      <c r="F18" s="162"/>
      <c r="G18" s="162"/>
      <c r="H18" s="162"/>
      <c r="I18" s="162"/>
      <c r="J18" s="163"/>
      <c r="K18" s="164"/>
      <c r="L18" s="147"/>
      <c r="M18" s="165"/>
      <c r="N18" s="166"/>
      <c r="O18" s="162"/>
      <c r="P18" s="163"/>
      <c r="Q18" s="163"/>
      <c r="R18" s="164"/>
      <c r="S18" s="147"/>
      <c r="T18" s="150">
        <f t="shared" si="0"/>
        <v>0</v>
      </c>
      <c r="U18" s="167">
        <f t="shared" si="4"/>
        <v>0</v>
      </c>
      <c r="V18" s="167">
        <f t="shared" si="5"/>
        <v>0</v>
      </c>
      <c r="AF18" s="60"/>
      <c r="AG18" s="60"/>
      <c r="AH18" s="60"/>
      <c r="AI18" s="60"/>
      <c r="AJ18" s="60"/>
      <c r="AK18" s="60"/>
      <c r="AL18" s="60"/>
      <c r="AM18" s="60"/>
      <c r="AN18" s="60"/>
      <c r="AO18" s="60"/>
      <c r="AP18" s="60"/>
      <c r="AQ18" s="60"/>
      <c r="AR18" s="60"/>
      <c r="AS18" s="60"/>
      <c r="AT18" s="60"/>
      <c r="AU18" s="60"/>
      <c r="AV18" s="60"/>
      <c r="AW18" s="60"/>
      <c r="AX18" s="60"/>
      <c r="AY18" s="60"/>
      <c r="AZ18" s="60"/>
      <c r="BA18" s="60"/>
      <c r="BB18" s="60"/>
    </row>
    <row r="19" spans="1:54" x14ac:dyDescent="0.25">
      <c r="A19" s="75">
        <v>16</v>
      </c>
      <c r="B19" s="74" t="s">
        <v>64</v>
      </c>
      <c r="C19" s="162"/>
      <c r="D19" s="162"/>
      <c r="E19" s="162"/>
      <c r="F19" s="162"/>
      <c r="G19" s="162"/>
      <c r="H19" s="162"/>
      <c r="I19" s="162"/>
      <c r="J19" s="163"/>
      <c r="K19" s="164"/>
      <c r="L19" s="147"/>
      <c r="M19" s="165"/>
      <c r="N19" s="166"/>
      <c r="O19" s="162"/>
      <c r="P19" s="163"/>
      <c r="Q19" s="163"/>
      <c r="R19" s="164"/>
      <c r="S19" s="147"/>
      <c r="T19" s="150">
        <f t="shared" si="0"/>
        <v>0</v>
      </c>
      <c r="U19" s="167">
        <f t="shared" si="4"/>
        <v>0</v>
      </c>
      <c r="V19" s="167">
        <f t="shared" si="5"/>
        <v>0</v>
      </c>
      <c r="AF19" s="60"/>
      <c r="AG19" s="60"/>
      <c r="AH19" s="60"/>
      <c r="AI19" s="60"/>
      <c r="AJ19" s="60"/>
      <c r="AK19" s="60"/>
      <c r="AL19" s="60"/>
      <c r="AM19" s="60"/>
      <c r="AN19" s="60"/>
      <c r="AO19" s="60"/>
      <c r="AP19" s="60"/>
      <c r="AQ19" s="60"/>
      <c r="AR19" s="60"/>
      <c r="AS19" s="60"/>
      <c r="AT19" s="60"/>
      <c r="AU19" s="60"/>
      <c r="AV19" s="60"/>
      <c r="AW19" s="60"/>
      <c r="AX19" s="60"/>
      <c r="AY19" s="60"/>
      <c r="AZ19" s="60"/>
      <c r="BA19" s="60"/>
      <c r="BB19" s="60"/>
    </row>
    <row r="20" spans="1:54" x14ac:dyDescent="0.25">
      <c r="A20" s="75">
        <f t="shared" si="1"/>
        <v>17</v>
      </c>
      <c r="B20" s="74" t="s">
        <v>6</v>
      </c>
      <c r="C20" s="162"/>
      <c r="D20" s="162"/>
      <c r="E20" s="162"/>
      <c r="F20" s="162"/>
      <c r="G20" s="162"/>
      <c r="H20" s="162"/>
      <c r="I20" s="162"/>
      <c r="J20" s="163"/>
      <c r="K20" s="164"/>
      <c r="L20" s="147"/>
      <c r="M20" s="165"/>
      <c r="N20" s="166"/>
      <c r="O20" s="162"/>
      <c r="P20" s="163"/>
      <c r="Q20" s="163"/>
      <c r="R20" s="164"/>
      <c r="S20" s="147"/>
      <c r="T20" s="150">
        <f t="shared" si="0"/>
        <v>0</v>
      </c>
      <c r="U20" s="167">
        <f t="shared" si="4"/>
        <v>0</v>
      </c>
      <c r="V20" s="167">
        <f t="shared" si="5"/>
        <v>0</v>
      </c>
      <c r="AF20" s="60"/>
      <c r="AG20" s="60"/>
      <c r="AH20" s="60"/>
      <c r="AI20" s="60"/>
      <c r="AJ20" s="60"/>
      <c r="AK20" s="60"/>
      <c r="AL20" s="60"/>
      <c r="AM20" s="60"/>
      <c r="AN20" s="60"/>
      <c r="AO20" s="60"/>
      <c r="AP20" s="60"/>
      <c r="AQ20" s="60"/>
      <c r="AR20" s="60"/>
      <c r="AS20" s="60"/>
      <c r="AT20" s="60"/>
      <c r="AU20" s="60"/>
      <c r="AV20" s="60"/>
      <c r="AW20" s="60"/>
      <c r="AX20" s="60"/>
      <c r="AY20" s="60"/>
      <c r="AZ20" s="60"/>
      <c r="BA20" s="60"/>
      <c r="BB20" s="60"/>
    </row>
    <row r="21" spans="1:54" x14ac:dyDescent="0.25">
      <c r="A21" s="75">
        <f t="shared" si="1"/>
        <v>18</v>
      </c>
      <c r="B21" s="74" t="s">
        <v>7</v>
      </c>
      <c r="C21" s="162"/>
      <c r="D21" s="162"/>
      <c r="E21" s="162"/>
      <c r="F21" s="162"/>
      <c r="G21" s="162"/>
      <c r="H21" s="162"/>
      <c r="I21" s="162"/>
      <c r="J21" s="163"/>
      <c r="K21" s="164"/>
      <c r="L21" s="147"/>
      <c r="M21" s="165"/>
      <c r="N21" s="166"/>
      <c r="O21" s="162"/>
      <c r="P21" s="163"/>
      <c r="Q21" s="163"/>
      <c r="R21" s="164"/>
      <c r="S21" s="147"/>
      <c r="T21" s="150">
        <f t="shared" si="0"/>
        <v>0</v>
      </c>
      <c r="U21" s="167">
        <f t="shared" si="4"/>
        <v>0</v>
      </c>
      <c r="V21" s="167">
        <f t="shared" si="5"/>
        <v>0</v>
      </c>
      <c r="AF21" s="60"/>
      <c r="AG21" s="60"/>
      <c r="AH21" s="60"/>
      <c r="AI21" s="60"/>
      <c r="AJ21" s="60"/>
      <c r="AK21" s="60"/>
      <c r="AL21" s="60"/>
      <c r="AM21" s="60"/>
      <c r="AN21" s="60"/>
      <c r="AO21" s="60"/>
      <c r="AP21" s="60"/>
      <c r="AQ21" s="60"/>
      <c r="AR21" s="60"/>
      <c r="AS21" s="60"/>
      <c r="AT21" s="60"/>
      <c r="AU21" s="60"/>
      <c r="AV21" s="60"/>
      <c r="AW21" s="60"/>
      <c r="AX21" s="60"/>
      <c r="AY21" s="60"/>
      <c r="AZ21" s="60"/>
      <c r="BA21" s="60"/>
      <c r="BB21" s="60"/>
    </row>
    <row r="22" spans="1:54" s="61" customFormat="1" x14ac:dyDescent="0.25">
      <c r="A22" s="75">
        <f t="shared" si="1"/>
        <v>19</v>
      </c>
      <c r="B22" s="74" t="s">
        <v>65</v>
      </c>
      <c r="C22" s="162"/>
      <c r="D22" s="162"/>
      <c r="E22" s="162"/>
      <c r="F22" s="162"/>
      <c r="G22" s="162"/>
      <c r="H22" s="162"/>
      <c r="I22" s="162"/>
      <c r="J22" s="163"/>
      <c r="K22" s="164"/>
      <c r="L22" s="147"/>
      <c r="M22" s="165"/>
      <c r="N22" s="166"/>
      <c r="O22" s="162"/>
      <c r="P22" s="163"/>
      <c r="Q22" s="163"/>
      <c r="R22" s="164"/>
      <c r="S22" s="147"/>
      <c r="T22" s="150">
        <f t="shared" si="0"/>
        <v>0</v>
      </c>
      <c r="U22" s="167">
        <f t="shared" si="4"/>
        <v>0</v>
      </c>
      <c r="V22" s="167">
        <f t="shared" si="5"/>
        <v>0</v>
      </c>
      <c r="W22" s="57"/>
      <c r="X22" s="57"/>
      <c r="Y22" s="57"/>
      <c r="Z22" s="57"/>
      <c r="AA22" s="57"/>
      <c r="AB22" s="57"/>
      <c r="AC22" s="57"/>
      <c r="AD22" s="57"/>
      <c r="AE22" s="57"/>
      <c r="AF22" s="60"/>
      <c r="AG22" s="60"/>
      <c r="AH22" s="60"/>
      <c r="AI22" s="60"/>
      <c r="AJ22" s="60"/>
      <c r="AK22" s="60"/>
      <c r="AL22" s="60"/>
      <c r="AM22" s="60"/>
      <c r="AN22" s="60"/>
      <c r="AO22" s="60"/>
      <c r="AP22" s="60"/>
      <c r="AQ22" s="60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</row>
    <row r="23" spans="1:54" s="61" customFormat="1" x14ac:dyDescent="0.25">
      <c r="A23" s="75">
        <f t="shared" si="1"/>
        <v>20</v>
      </c>
      <c r="B23" s="74" t="s">
        <v>66</v>
      </c>
      <c r="C23" s="162"/>
      <c r="D23" s="162"/>
      <c r="E23" s="162"/>
      <c r="F23" s="162"/>
      <c r="G23" s="162"/>
      <c r="H23" s="162"/>
      <c r="I23" s="162"/>
      <c r="J23" s="163"/>
      <c r="K23" s="164"/>
      <c r="L23" s="147"/>
      <c r="M23" s="165"/>
      <c r="N23" s="166"/>
      <c r="O23" s="162"/>
      <c r="P23" s="163"/>
      <c r="Q23" s="163"/>
      <c r="R23" s="164"/>
      <c r="S23" s="147"/>
      <c r="T23" s="150">
        <f t="shared" si="0"/>
        <v>0</v>
      </c>
      <c r="U23" s="167">
        <f t="shared" si="4"/>
        <v>0</v>
      </c>
      <c r="V23" s="167">
        <f t="shared" si="5"/>
        <v>0</v>
      </c>
      <c r="W23" s="57"/>
      <c r="X23" s="57"/>
      <c r="Y23" s="57"/>
      <c r="Z23" s="57"/>
      <c r="AA23" s="57"/>
      <c r="AB23" s="57"/>
      <c r="AC23" s="57"/>
      <c r="AD23" s="57"/>
      <c r="AE23" s="57"/>
      <c r="AF23" s="60"/>
      <c r="AG23" s="60"/>
      <c r="AH23" s="60"/>
      <c r="AI23" s="60"/>
      <c r="AJ23" s="60"/>
      <c r="AK23" s="60"/>
      <c r="AL23" s="60"/>
      <c r="AM23" s="60"/>
      <c r="AN23" s="60"/>
      <c r="AO23" s="60"/>
      <c r="AP23" s="60"/>
      <c r="AQ23" s="60"/>
      <c r="AR23" s="60"/>
      <c r="AS23" s="60"/>
      <c r="AT23" s="60"/>
      <c r="AU23" s="60"/>
      <c r="AV23" s="60"/>
      <c r="AW23" s="60"/>
      <c r="AX23" s="60"/>
      <c r="AY23" s="60"/>
      <c r="AZ23" s="60"/>
      <c r="BA23" s="60"/>
      <c r="BB23" s="60"/>
    </row>
    <row r="24" spans="1:54" x14ac:dyDescent="0.25">
      <c r="A24" s="75">
        <f t="shared" si="1"/>
        <v>21</v>
      </c>
      <c r="B24" s="74" t="s">
        <v>67</v>
      </c>
      <c r="C24" s="162"/>
      <c r="D24" s="162"/>
      <c r="E24" s="162"/>
      <c r="F24" s="162"/>
      <c r="G24" s="162"/>
      <c r="H24" s="162"/>
      <c r="I24" s="162"/>
      <c r="J24" s="163"/>
      <c r="K24" s="164"/>
      <c r="L24" s="147"/>
      <c r="M24" s="165"/>
      <c r="N24" s="166"/>
      <c r="O24" s="162"/>
      <c r="P24" s="163"/>
      <c r="Q24" s="163"/>
      <c r="R24" s="164"/>
      <c r="S24" s="147"/>
      <c r="T24" s="150">
        <f t="shared" si="0"/>
        <v>0</v>
      </c>
      <c r="U24" s="167">
        <f t="shared" si="4"/>
        <v>0</v>
      </c>
      <c r="V24" s="167">
        <f t="shared" si="5"/>
        <v>0</v>
      </c>
      <c r="AF24" s="60"/>
      <c r="AG24" s="60"/>
      <c r="AH24" s="60"/>
      <c r="AI24" s="60"/>
      <c r="AJ24" s="60"/>
      <c r="AK24" s="60"/>
      <c r="AL24" s="60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</row>
    <row r="25" spans="1:54" x14ac:dyDescent="0.25">
      <c r="A25" s="75">
        <f t="shared" si="1"/>
        <v>22</v>
      </c>
      <c r="B25" s="74" t="s">
        <v>9</v>
      </c>
      <c r="C25" s="162"/>
      <c r="D25" s="162"/>
      <c r="E25" s="162"/>
      <c r="F25" s="162"/>
      <c r="G25" s="162"/>
      <c r="H25" s="162"/>
      <c r="I25" s="162"/>
      <c r="J25" s="163"/>
      <c r="K25" s="164"/>
      <c r="L25" s="147"/>
      <c r="M25" s="165"/>
      <c r="N25" s="166"/>
      <c r="O25" s="162"/>
      <c r="P25" s="163"/>
      <c r="Q25" s="163"/>
      <c r="R25" s="164"/>
      <c r="S25" s="147"/>
      <c r="T25" s="150">
        <f t="shared" si="0"/>
        <v>0</v>
      </c>
      <c r="U25" s="167">
        <f t="shared" si="4"/>
        <v>0</v>
      </c>
      <c r="V25" s="167">
        <f t="shared" si="5"/>
        <v>0</v>
      </c>
      <c r="AY25" s="62" t="e">
        <f>#REF!-AY24</f>
        <v>#REF!</v>
      </c>
    </row>
    <row r="26" spans="1:54" s="61" customFormat="1" x14ac:dyDescent="0.25">
      <c r="A26" s="75">
        <f t="shared" si="1"/>
        <v>23</v>
      </c>
      <c r="B26" s="74" t="s">
        <v>11</v>
      </c>
      <c r="C26" s="162"/>
      <c r="D26" s="162"/>
      <c r="E26" s="162"/>
      <c r="F26" s="162"/>
      <c r="G26" s="162"/>
      <c r="H26" s="162"/>
      <c r="I26" s="162"/>
      <c r="J26" s="163"/>
      <c r="K26" s="164"/>
      <c r="L26" s="147"/>
      <c r="M26" s="165"/>
      <c r="N26" s="166"/>
      <c r="O26" s="162"/>
      <c r="P26" s="163"/>
      <c r="Q26" s="163"/>
      <c r="R26" s="164"/>
      <c r="S26" s="147"/>
      <c r="T26" s="150">
        <f t="shared" si="0"/>
        <v>0</v>
      </c>
      <c r="U26" s="167">
        <f t="shared" si="4"/>
        <v>0</v>
      </c>
      <c r="V26" s="167">
        <f t="shared" si="5"/>
        <v>0</v>
      </c>
      <c r="W26" s="57"/>
      <c r="X26" s="57"/>
      <c r="Y26" s="57"/>
      <c r="Z26" s="57"/>
      <c r="AA26" s="57"/>
      <c r="AB26" s="57"/>
      <c r="AC26" s="57"/>
      <c r="AD26" s="57"/>
      <c r="AE26" s="57"/>
    </row>
    <row r="27" spans="1:54" s="61" customFormat="1" x14ac:dyDescent="0.25">
      <c r="A27" s="75">
        <f t="shared" si="1"/>
        <v>24</v>
      </c>
      <c r="B27" s="74" t="s">
        <v>83</v>
      </c>
      <c r="C27" s="162"/>
      <c r="D27" s="162"/>
      <c r="E27" s="162"/>
      <c r="F27" s="162"/>
      <c r="G27" s="162"/>
      <c r="H27" s="162"/>
      <c r="I27" s="162"/>
      <c r="J27" s="163"/>
      <c r="K27" s="164"/>
      <c r="L27" s="147"/>
      <c r="M27" s="165"/>
      <c r="N27" s="166"/>
      <c r="O27" s="162"/>
      <c r="P27" s="163"/>
      <c r="Q27" s="163"/>
      <c r="R27" s="164"/>
      <c r="S27" s="147"/>
      <c r="T27" s="150"/>
      <c r="U27" s="167"/>
      <c r="V27" s="167"/>
      <c r="W27" s="57"/>
      <c r="X27" s="57"/>
      <c r="Y27" s="57"/>
      <c r="Z27" s="57"/>
      <c r="AA27" s="57"/>
      <c r="AB27" s="57"/>
      <c r="AC27" s="57"/>
      <c r="AD27" s="57"/>
      <c r="AE27" s="57"/>
    </row>
    <row r="28" spans="1:54" s="61" customFormat="1" x14ac:dyDescent="0.25">
      <c r="A28" s="75">
        <f t="shared" si="1"/>
        <v>25</v>
      </c>
      <c r="B28" s="74" t="s">
        <v>12</v>
      </c>
      <c r="C28" s="162"/>
      <c r="D28" s="162"/>
      <c r="E28" s="162"/>
      <c r="F28" s="162"/>
      <c r="G28" s="162"/>
      <c r="H28" s="162"/>
      <c r="I28" s="162"/>
      <c r="J28" s="163"/>
      <c r="K28" s="164"/>
      <c r="L28" s="147"/>
      <c r="M28" s="165"/>
      <c r="N28" s="166"/>
      <c r="O28" s="162"/>
      <c r="P28" s="163"/>
      <c r="Q28" s="163"/>
      <c r="R28" s="164"/>
      <c r="S28" s="147"/>
      <c r="T28" s="150">
        <f t="shared" si="0"/>
        <v>0</v>
      </c>
      <c r="U28" s="167">
        <f t="shared" si="4"/>
        <v>0</v>
      </c>
      <c r="V28" s="167">
        <f t="shared" si="5"/>
        <v>0</v>
      </c>
      <c r="W28" s="57"/>
      <c r="X28" s="57"/>
      <c r="Y28" s="57"/>
      <c r="Z28" s="57"/>
      <c r="AA28" s="57"/>
      <c r="AB28" s="57"/>
      <c r="AC28" s="57"/>
      <c r="AD28" s="57"/>
      <c r="AE28" s="57"/>
    </row>
    <row r="29" spans="1:54" x14ac:dyDescent="0.25">
      <c r="A29" s="75">
        <f t="shared" si="1"/>
        <v>26</v>
      </c>
      <c r="B29" s="74" t="s">
        <v>14</v>
      </c>
      <c r="C29" s="162"/>
      <c r="D29" s="162"/>
      <c r="E29" s="162"/>
      <c r="F29" s="162"/>
      <c r="G29" s="162"/>
      <c r="H29" s="162"/>
      <c r="I29" s="162"/>
      <c r="J29" s="163"/>
      <c r="K29" s="164"/>
      <c r="L29" s="147"/>
      <c r="M29" s="165"/>
      <c r="N29" s="166"/>
      <c r="O29" s="162"/>
      <c r="P29" s="163"/>
      <c r="Q29" s="163"/>
      <c r="R29" s="164"/>
      <c r="S29" s="147"/>
      <c r="T29" s="150">
        <f t="shared" si="0"/>
        <v>0</v>
      </c>
      <c r="U29" s="167">
        <f t="shared" si="4"/>
        <v>0</v>
      </c>
      <c r="V29" s="167">
        <f t="shared" si="5"/>
        <v>0</v>
      </c>
    </row>
    <row r="30" spans="1:54" x14ac:dyDescent="0.25">
      <c r="A30" s="75">
        <f t="shared" si="1"/>
        <v>27</v>
      </c>
      <c r="B30" s="74" t="s">
        <v>16</v>
      </c>
      <c r="C30" s="162"/>
      <c r="D30" s="162"/>
      <c r="E30" s="162"/>
      <c r="F30" s="162"/>
      <c r="G30" s="162"/>
      <c r="H30" s="162"/>
      <c r="I30" s="162"/>
      <c r="J30" s="163"/>
      <c r="K30" s="164"/>
      <c r="L30" s="147"/>
      <c r="M30" s="165"/>
      <c r="N30" s="166"/>
      <c r="O30" s="162"/>
      <c r="P30" s="163"/>
      <c r="Q30" s="163"/>
      <c r="R30" s="164"/>
      <c r="S30" s="147"/>
      <c r="T30" s="150">
        <f t="shared" si="0"/>
        <v>0</v>
      </c>
      <c r="U30" s="167">
        <f t="shared" si="4"/>
        <v>0</v>
      </c>
      <c r="V30" s="167">
        <f t="shared" si="5"/>
        <v>0</v>
      </c>
    </row>
    <row r="31" spans="1:54" x14ac:dyDescent="0.25">
      <c r="A31" s="75">
        <f t="shared" si="1"/>
        <v>28</v>
      </c>
      <c r="B31" s="74" t="s">
        <v>13</v>
      </c>
      <c r="C31" s="162"/>
      <c r="D31" s="162"/>
      <c r="E31" s="162"/>
      <c r="F31" s="162"/>
      <c r="G31" s="162"/>
      <c r="H31" s="162"/>
      <c r="I31" s="162"/>
      <c r="J31" s="163"/>
      <c r="K31" s="164"/>
      <c r="L31" s="147"/>
      <c r="M31" s="165"/>
      <c r="N31" s="166"/>
      <c r="O31" s="162"/>
      <c r="P31" s="163"/>
      <c r="Q31" s="163"/>
      <c r="R31" s="164"/>
      <c r="S31" s="147"/>
      <c r="T31" s="150">
        <f t="shared" si="0"/>
        <v>0</v>
      </c>
      <c r="U31" s="167">
        <f t="shared" si="4"/>
        <v>0</v>
      </c>
      <c r="V31" s="167">
        <f t="shared" si="5"/>
        <v>0</v>
      </c>
    </row>
    <row r="32" spans="1:54" x14ac:dyDescent="0.25">
      <c r="A32" s="75">
        <f t="shared" si="1"/>
        <v>29</v>
      </c>
      <c r="B32" s="74" t="s">
        <v>15</v>
      </c>
      <c r="C32" s="162"/>
      <c r="D32" s="162"/>
      <c r="E32" s="162"/>
      <c r="F32" s="162"/>
      <c r="G32" s="162"/>
      <c r="H32" s="162"/>
      <c r="I32" s="162"/>
      <c r="J32" s="163"/>
      <c r="K32" s="164"/>
      <c r="L32" s="147"/>
      <c r="M32" s="165"/>
      <c r="N32" s="166"/>
      <c r="O32" s="162"/>
      <c r="P32" s="163"/>
      <c r="Q32" s="163"/>
      <c r="R32" s="164"/>
      <c r="S32" s="147"/>
      <c r="T32" s="150">
        <f t="shared" si="0"/>
        <v>0</v>
      </c>
      <c r="U32" s="167">
        <f t="shared" si="4"/>
        <v>0</v>
      </c>
      <c r="V32" s="167">
        <f t="shared" si="5"/>
        <v>0</v>
      </c>
    </row>
    <row r="33" spans="1:23" x14ac:dyDescent="0.25">
      <c r="A33" s="75">
        <f t="shared" si="1"/>
        <v>30</v>
      </c>
      <c r="B33" s="74" t="s">
        <v>17</v>
      </c>
      <c r="C33" s="162"/>
      <c r="D33" s="162"/>
      <c r="E33" s="162"/>
      <c r="F33" s="162"/>
      <c r="G33" s="162"/>
      <c r="H33" s="162"/>
      <c r="I33" s="162"/>
      <c r="J33" s="163"/>
      <c r="K33" s="164"/>
      <c r="L33" s="147"/>
      <c r="M33" s="165"/>
      <c r="N33" s="166"/>
      <c r="O33" s="162"/>
      <c r="P33" s="163"/>
      <c r="Q33" s="163"/>
      <c r="R33" s="164"/>
      <c r="S33" s="147"/>
      <c r="T33" s="150">
        <f t="shared" si="0"/>
        <v>0</v>
      </c>
      <c r="U33" s="167">
        <f t="shared" si="4"/>
        <v>0</v>
      </c>
      <c r="V33" s="167">
        <f t="shared" si="5"/>
        <v>0</v>
      </c>
    </row>
    <row r="34" spans="1:23" x14ac:dyDescent="0.25">
      <c r="A34" s="75">
        <f t="shared" si="1"/>
        <v>31</v>
      </c>
      <c r="B34" s="74" t="s">
        <v>18</v>
      </c>
      <c r="C34" s="162"/>
      <c r="D34" s="162"/>
      <c r="E34" s="162"/>
      <c r="F34" s="162"/>
      <c r="G34" s="162"/>
      <c r="H34" s="162"/>
      <c r="I34" s="162"/>
      <c r="J34" s="163"/>
      <c r="K34" s="164"/>
      <c r="L34" s="147"/>
      <c r="M34" s="165"/>
      <c r="N34" s="166"/>
      <c r="O34" s="162"/>
      <c r="P34" s="163"/>
      <c r="Q34" s="163"/>
      <c r="R34" s="164"/>
      <c r="S34" s="147"/>
      <c r="T34" s="150">
        <f t="shared" si="0"/>
        <v>0</v>
      </c>
      <c r="U34" s="167">
        <f t="shared" si="4"/>
        <v>0</v>
      </c>
      <c r="V34" s="167">
        <f t="shared" si="5"/>
        <v>0</v>
      </c>
    </row>
    <row r="35" spans="1:23" hidden="1" x14ac:dyDescent="0.25">
      <c r="A35" s="75">
        <f t="shared" si="1"/>
        <v>32</v>
      </c>
      <c r="B35" s="74" t="s">
        <v>26</v>
      </c>
      <c r="C35" s="162"/>
      <c r="D35" s="162"/>
      <c r="E35" s="162"/>
      <c r="F35" s="162"/>
      <c r="G35" s="162"/>
      <c r="H35" s="162"/>
      <c r="I35" s="162"/>
      <c r="J35" s="163"/>
      <c r="K35" s="164"/>
      <c r="L35" s="147"/>
      <c r="M35" s="165"/>
      <c r="N35" s="166"/>
      <c r="O35" s="162"/>
      <c r="P35" s="163"/>
      <c r="Q35" s="163"/>
      <c r="R35" s="164"/>
      <c r="S35" s="147"/>
      <c r="T35" s="150">
        <f t="shared" si="0"/>
        <v>0</v>
      </c>
      <c r="U35" s="167">
        <f t="shared" si="4"/>
        <v>0</v>
      </c>
      <c r="V35" s="167">
        <f t="shared" si="5"/>
        <v>0</v>
      </c>
    </row>
    <row r="36" spans="1:23" x14ac:dyDescent="0.25">
      <c r="A36" s="75">
        <f t="shared" si="1"/>
        <v>33</v>
      </c>
      <c r="B36" s="74" t="s">
        <v>19</v>
      </c>
      <c r="C36" s="162"/>
      <c r="D36" s="162"/>
      <c r="E36" s="162"/>
      <c r="F36" s="162"/>
      <c r="G36" s="162"/>
      <c r="H36" s="162"/>
      <c r="I36" s="162"/>
      <c r="J36" s="163"/>
      <c r="K36" s="164"/>
      <c r="L36" s="147"/>
      <c r="M36" s="165"/>
      <c r="N36" s="166"/>
      <c r="O36" s="162"/>
      <c r="P36" s="163"/>
      <c r="Q36" s="163"/>
      <c r="R36" s="164"/>
      <c r="S36" s="147"/>
      <c r="T36" s="150">
        <f t="shared" si="0"/>
        <v>0</v>
      </c>
      <c r="U36" s="167">
        <f t="shared" si="4"/>
        <v>0</v>
      </c>
      <c r="V36" s="167">
        <f t="shared" si="5"/>
        <v>0</v>
      </c>
    </row>
    <row r="37" spans="1:23" ht="19.5" thickBot="1" x14ac:dyDescent="0.3">
      <c r="A37" s="75">
        <f t="shared" si="1"/>
        <v>34</v>
      </c>
      <c r="B37" s="94" t="s">
        <v>20</v>
      </c>
      <c r="C37" s="151"/>
      <c r="D37" s="151"/>
      <c r="E37" s="151"/>
      <c r="F37" s="151"/>
      <c r="G37" s="151"/>
      <c r="H37" s="151"/>
      <c r="I37" s="151"/>
      <c r="J37" s="152"/>
      <c r="K37" s="153"/>
      <c r="L37" s="154"/>
      <c r="M37" s="155"/>
      <c r="N37" s="156"/>
      <c r="O37" s="157"/>
      <c r="P37" s="158"/>
      <c r="Q37" s="158"/>
      <c r="R37" s="159"/>
      <c r="S37" s="154"/>
      <c r="T37" s="169">
        <f t="shared" si="0"/>
        <v>0</v>
      </c>
      <c r="U37" s="169">
        <f>C37*6+M37*6+O37*6+Q37*6+T37</f>
        <v>0</v>
      </c>
      <c r="V37" s="169">
        <f>U37/6</f>
        <v>0</v>
      </c>
      <c r="W37" s="123"/>
    </row>
    <row r="38" spans="1:23" x14ac:dyDescent="0.25">
      <c r="A38" s="75">
        <f t="shared" si="1"/>
        <v>35</v>
      </c>
      <c r="B38" s="73" t="s">
        <v>21</v>
      </c>
      <c r="C38" s="162"/>
      <c r="D38" s="162"/>
      <c r="E38" s="162"/>
      <c r="F38" s="162"/>
      <c r="G38" s="162"/>
      <c r="H38" s="162"/>
      <c r="I38" s="162"/>
      <c r="J38" s="163"/>
      <c r="K38" s="164"/>
      <c r="L38" s="147"/>
      <c r="M38" s="165"/>
      <c r="N38" s="166"/>
      <c r="O38" s="162"/>
      <c r="P38" s="163"/>
      <c r="Q38" s="163"/>
      <c r="R38" s="164"/>
      <c r="S38" s="147"/>
      <c r="T38" s="167">
        <f t="shared" si="0"/>
        <v>0</v>
      </c>
      <c r="U38" s="167">
        <f>C38*24+M38*24+O38*24+Q38*24+T38</f>
        <v>0</v>
      </c>
      <c r="V38" s="167">
        <f>U38/24</f>
        <v>0</v>
      </c>
    </row>
    <row r="39" spans="1:23" x14ac:dyDescent="0.25">
      <c r="A39" s="75">
        <f t="shared" si="1"/>
        <v>36</v>
      </c>
      <c r="B39" s="132" t="s">
        <v>73</v>
      </c>
      <c r="C39" s="170"/>
      <c r="D39" s="170"/>
      <c r="E39" s="170"/>
      <c r="F39" s="170"/>
      <c r="G39" s="170"/>
      <c r="H39" s="170"/>
      <c r="I39" s="170"/>
      <c r="J39" s="171"/>
      <c r="K39" s="172"/>
      <c r="L39" s="147"/>
      <c r="M39" s="173"/>
      <c r="N39" s="174"/>
      <c r="O39" s="170"/>
      <c r="P39" s="171"/>
      <c r="Q39" s="171"/>
      <c r="R39" s="172"/>
      <c r="S39" s="147"/>
      <c r="T39" s="175"/>
      <c r="U39" s="175"/>
      <c r="V39" s="175"/>
    </row>
    <row r="40" spans="1:23" ht="19.5" thickBot="1" x14ac:dyDescent="0.3">
      <c r="A40" s="75">
        <f t="shared" si="1"/>
        <v>37</v>
      </c>
      <c r="B40" s="94" t="s">
        <v>22</v>
      </c>
      <c r="C40" s="151"/>
      <c r="D40" s="151"/>
      <c r="E40" s="151"/>
      <c r="F40" s="151"/>
      <c r="G40" s="151"/>
      <c r="H40" s="151"/>
      <c r="I40" s="151"/>
      <c r="J40" s="152"/>
      <c r="K40" s="153"/>
      <c r="L40" s="154"/>
      <c r="M40" s="155"/>
      <c r="N40" s="156"/>
      <c r="O40" s="157"/>
      <c r="P40" s="158"/>
      <c r="Q40" s="158"/>
      <c r="R40" s="159"/>
      <c r="S40" s="154"/>
      <c r="T40" s="169">
        <f t="shared" si="0"/>
        <v>0</v>
      </c>
      <c r="U40" s="169">
        <f>C40*24+M40*24+O40*24+Q40*24+T40</f>
        <v>0</v>
      </c>
      <c r="V40" s="169">
        <f>U40/24</f>
        <v>0</v>
      </c>
    </row>
    <row r="41" spans="1:23" ht="19.5" thickBot="1" x14ac:dyDescent="0.3">
      <c r="A41" s="75">
        <f t="shared" si="1"/>
        <v>38</v>
      </c>
      <c r="B41" s="99" t="s">
        <v>23</v>
      </c>
      <c r="C41" s="176"/>
      <c r="D41" s="176"/>
      <c r="E41" s="176"/>
      <c r="F41" s="176"/>
      <c r="G41" s="176"/>
      <c r="H41" s="176"/>
      <c r="I41" s="176"/>
      <c r="J41" s="177"/>
      <c r="K41" s="178"/>
      <c r="L41" s="179"/>
      <c r="M41" s="180"/>
      <c r="N41" s="181"/>
      <c r="O41" s="176"/>
      <c r="P41" s="177"/>
      <c r="Q41" s="177"/>
      <c r="R41" s="178"/>
      <c r="S41" s="179"/>
      <c r="T41" s="182">
        <f t="shared" si="0"/>
        <v>0</v>
      </c>
      <c r="U41" s="182">
        <f>C41*12+M41*12+O41*12+Q41*12+T41</f>
        <v>0</v>
      </c>
      <c r="V41" s="182">
        <f>U41/12</f>
        <v>0</v>
      </c>
    </row>
    <row r="42" spans="1:23" hidden="1" x14ac:dyDescent="0.25">
      <c r="A42" s="75">
        <f t="shared" si="1"/>
        <v>39</v>
      </c>
      <c r="B42" s="73" t="s">
        <v>31</v>
      </c>
      <c r="C42" s="162"/>
      <c r="D42" s="162"/>
      <c r="E42" s="162"/>
      <c r="F42" s="162"/>
      <c r="G42" s="162"/>
      <c r="H42" s="162"/>
      <c r="I42" s="162"/>
      <c r="J42" s="163"/>
      <c r="K42" s="164"/>
      <c r="L42" s="147"/>
      <c r="M42" s="165"/>
      <c r="N42" s="166"/>
      <c r="O42" s="162"/>
      <c r="P42" s="163"/>
      <c r="Q42" s="163"/>
      <c r="R42" s="164"/>
      <c r="S42" s="147"/>
      <c r="T42" s="167"/>
      <c r="U42" s="167"/>
      <c r="V42" s="167"/>
    </row>
    <row r="43" spans="1:23" ht="19.5" thickBot="1" x14ac:dyDescent="0.3">
      <c r="A43" s="75">
        <f t="shared" si="1"/>
        <v>40</v>
      </c>
      <c r="B43" s="94" t="s">
        <v>24</v>
      </c>
      <c r="C43" s="157"/>
      <c r="D43" s="157"/>
      <c r="E43" s="157"/>
      <c r="F43" s="157"/>
      <c r="G43" s="157"/>
      <c r="H43" s="157"/>
      <c r="I43" s="157"/>
      <c r="J43" s="158"/>
      <c r="K43" s="159"/>
      <c r="L43" s="154"/>
      <c r="M43" s="155"/>
      <c r="N43" s="156"/>
      <c r="O43" s="157"/>
      <c r="P43" s="158"/>
      <c r="Q43" s="158"/>
      <c r="R43" s="159"/>
      <c r="S43" s="154"/>
      <c r="T43" s="169">
        <f t="shared" ref="T43" si="6">H43+I43+J43+K43+N43+P43+R43</f>
        <v>0</v>
      </c>
      <c r="U43" s="169">
        <f>C43*6+M43*6+O43*6+Q43*6+T43</f>
        <v>0</v>
      </c>
      <c r="V43" s="169">
        <f>U43/6</f>
        <v>0</v>
      </c>
    </row>
    <row r="44" spans="1:23" hidden="1" x14ac:dyDescent="0.25">
      <c r="A44" s="75">
        <f t="shared" si="1"/>
        <v>41</v>
      </c>
      <c r="B44" s="73" t="s">
        <v>33</v>
      </c>
      <c r="C44" s="162"/>
      <c r="D44" s="162"/>
      <c r="E44" s="162"/>
      <c r="F44" s="162"/>
      <c r="G44" s="162"/>
      <c r="H44" s="162"/>
      <c r="I44" s="162"/>
      <c r="J44" s="163"/>
      <c r="K44" s="164"/>
      <c r="L44" s="147"/>
      <c r="M44" s="165"/>
      <c r="N44" s="166"/>
      <c r="O44" s="162"/>
      <c r="P44" s="163"/>
      <c r="Q44" s="163"/>
      <c r="R44" s="164"/>
      <c r="S44" s="147"/>
      <c r="T44" s="167"/>
      <c r="U44" s="167"/>
      <c r="V44" s="167"/>
    </row>
    <row r="45" spans="1:23" x14ac:dyDescent="0.25">
      <c r="A45" s="75">
        <f t="shared" si="1"/>
        <v>42</v>
      </c>
      <c r="B45" s="74" t="s">
        <v>25</v>
      </c>
      <c r="C45" s="162"/>
      <c r="D45" s="162"/>
      <c r="E45" s="162"/>
      <c r="F45" s="162"/>
      <c r="G45" s="162"/>
      <c r="H45" s="162"/>
      <c r="I45" s="162"/>
      <c r="J45" s="163"/>
      <c r="K45" s="164"/>
      <c r="L45" s="147"/>
      <c r="M45" s="165"/>
      <c r="N45" s="166"/>
      <c r="O45" s="162"/>
      <c r="P45" s="163"/>
      <c r="Q45" s="163"/>
      <c r="R45" s="164"/>
      <c r="S45" s="147"/>
      <c r="T45" s="167">
        <f t="shared" ref="T45:T54" si="7">H45+I45+J45+K45+N45+P45+R45</f>
        <v>0</v>
      </c>
      <c r="U45" s="167">
        <f>C45*24+M45*24+O45*24+Q45*24+T45</f>
        <v>0</v>
      </c>
      <c r="V45" s="167">
        <f>U45/24</f>
        <v>0</v>
      </c>
    </row>
    <row r="46" spans="1:23" x14ac:dyDescent="0.25">
      <c r="A46" s="75">
        <f t="shared" si="1"/>
        <v>43</v>
      </c>
      <c r="B46" s="74" t="s">
        <v>68</v>
      </c>
      <c r="C46" s="162"/>
      <c r="D46" s="162"/>
      <c r="E46" s="162"/>
      <c r="F46" s="162"/>
      <c r="G46" s="162"/>
      <c r="H46" s="162"/>
      <c r="I46" s="162"/>
      <c r="J46" s="163"/>
      <c r="K46" s="164"/>
      <c r="L46" s="147"/>
      <c r="M46" s="165"/>
      <c r="N46" s="166"/>
      <c r="O46" s="162"/>
      <c r="P46" s="163"/>
      <c r="Q46" s="163"/>
      <c r="R46" s="164"/>
      <c r="S46" s="147"/>
      <c r="T46" s="167">
        <f t="shared" si="7"/>
        <v>0</v>
      </c>
      <c r="U46" s="167">
        <f t="shared" ref="U46:U50" si="8">C46*24+M46*24+O46*24+Q46*24+T46</f>
        <v>0</v>
      </c>
      <c r="V46" s="167">
        <f t="shared" ref="V46:V54" si="9">U46/24</f>
        <v>0</v>
      </c>
    </row>
    <row r="47" spans="1:23" ht="19.5" thickBot="1" x14ac:dyDescent="0.3">
      <c r="A47" s="75">
        <f t="shared" si="1"/>
        <v>44</v>
      </c>
      <c r="B47" s="94" t="s">
        <v>26</v>
      </c>
      <c r="C47" s="157"/>
      <c r="D47" s="157"/>
      <c r="E47" s="157"/>
      <c r="F47" s="157"/>
      <c r="G47" s="157"/>
      <c r="H47" s="157"/>
      <c r="I47" s="157"/>
      <c r="J47" s="158"/>
      <c r="K47" s="159"/>
      <c r="L47" s="154"/>
      <c r="M47" s="155"/>
      <c r="N47" s="156"/>
      <c r="O47" s="157"/>
      <c r="P47" s="158"/>
      <c r="Q47" s="158"/>
      <c r="R47" s="159"/>
      <c r="S47" s="154"/>
      <c r="T47" s="169">
        <f t="shared" si="7"/>
        <v>0</v>
      </c>
      <c r="U47" s="169">
        <f>C47*6+M47*6+O47*6+Q47*6+T47</f>
        <v>0</v>
      </c>
      <c r="V47" s="169">
        <f>U47/6</f>
        <v>0</v>
      </c>
    </row>
    <row r="48" spans="1:23" x14ac:dyDescent="0.25">
      <c r="A48" s="75">
        <f t="shared" si="1"/>
        <v>45</v>
      </c>
      <c r="B48" s="73" t="s">
        <v>69</v>
      </c>
      <c r="C48" s="162"/>
      <c r="D48" s="162"/>
      <c r="E48" s="162"/>
      <c r="F48" s="162"/>
      <c r="G48" s="162"/>
      <c r="H48" s="162"/>
      <c r="I48" s="162"/>
      <c r="J48" s="163"/>
      <c r="K48" s="164"/>
      <c r="L48" s="147"/>
      <c r="M48" s="165"/>
      <c r="N48" s="166"/>
      <c r="O48" s="162"/>
      <c r="P48" s="163"/>
      <c r="Q48" s="163"/>
      <c r="R48" s="164"/>
      <c r="S48" s="147"/>
      <c r="T48" s="167">
        <f t="shared" si="7"/>
        <v>0</v>
      </c>
      <c r="U48" s="167">
        <f t="shared" si="8"/>
        <v>0</v>
      </c>
      <c r="V48" s="167">
        <f t="shared" si="9"/>
        <v>0</v>
      </c>
    </row>
    <row r="49" spans="1:22" x14ac:dyDescent="0.25">
      <c r="A49" s="75">
        <f t="shared" si="1"/>
        <v>46</v>
      </c>
      <c r="B49" s="74" t="s">
        <v>28</v>
      </c>
      <c r="C49" s="162"/>
      <c r="D49" s="162"/>
      <c r="E49" s="162"/>
      <c r="F49" s="162"/>
      <c r="G49" s="162"/>
      <c r="H49" s="162"/>
      <c r="I49" s="162"/>
      <c r="J49" s="163"/>
      <c r="K49" s="164"/>
      <c r="L49" s="147"/>
      <c r="M49" s="165"/>
      <c r="N49" s="166"/>
      <c r="O49" s="162"/>
      <c r="P49" s="163"/>
      <c r="Q49" s="163"/>
      <c r="R49" s="164"/>
      <c r="S49" s="147"/>
      <c r="T49" s="167">
        <f t="shared" si="7"/>
        <v>0</v>
      </c>
      <c r="U49" s="167">
        <f t="shared" si="8"/>
        <v>0</v>
      </c>
      <c r="V49" s="167">
        <f t="shared" si="9"/>
        <v>0</v>
      </c>
    </row>
    <row r="50" spans="1:22" x14ac:dyDescent="0.25">
      <c r="A50" s="75">
        <f t="shared" si="1"/>
        <v>47</v>
      </c>
      <c r="B50" s="74" t="s">
        <v>70</v>
      </c>
      <c r="C50" s="162"/>
      <c r="D50" s="162"/>
      <c r="E50" s="162"/>
      <c r="F50" s="162"/>
      <c r="G50" s="162"/>
      <c r="H50" s="162"/>
      <c r="I50" s="162"/>
      <c r="J50" s="163"/>
      <c r="K50" s="164"/>
      <c r="L50" s="147"/>
      <c r="M50" s="165"/>
      <c r="N50" s="166"/>
      <c r="O50" s="162"/>
      <c r="P50" s="163"/>
      <c r="Q50" s="163"/>
      <c r="R50" s="164"/>
      <c r="S50" s="147"/>
      <c r="T50" s="167">
        <f t="shared" si="7"/>
        <v>0</v>
      </c>
      <c r="U50" s="167">
        <f t="shared" si="8"/>
        <v>0</v>
      </c>
      <c r="V50" s="167">
        <f t="shared" si="9"/>
        <v>0</v>
      </c>
    </row>
    <row r="51" spans="1:22" ht="19.5" thickBot="1" x14ac:dyDescent="0.3">
      <c r="A51" s="75">
        <f t="shared" si="1"/>
        <v>48</v>
      </c>
      <c r="B51" s="94" t="s">
        <v>29</v>
      </c>
      <c r="C51" s="157"/>
      <c r="D51" s="157"/>
      <c r="E51" s="157"/>
      <c r="F51" s="157"/>
      <c r="G51" s="157"/>
      <c r="H51" s="157"/>
      <c r="I51" s="157"/>
      <c r="J51" s="158"/>
      <c r="K51" s="159"/>
      <c r="L51" s="154"/>
      <c r="M51" s="155"/>
      <c r="N51" s="156"/>
      <c r="O51" s="157"/>
      <c r="P51" s="158"/>
      <c r="Q51" s="158"/>
      <c r="R51" s="159"/>
      <c r="S51" s="154"/>
      <c r="T51" s="169">
        <f t="shared" si="7"/>
        <v>0</v>
      </c>
      <c r="U51" s="169">
        <f>C51*6+M51*6+O51*6+Q51*6+T51</f>
        <v>0</v>
      </c>
      <c r="V51" s="169">
        <f>U51/6</f>
        <v>0</v>
      </c>
    </row>
    <row r="52" spans="1:22" x14ac:dyDescent="0.25">
      <c r="A52" s="75">
        <f t="shared" si="1"/>
        <v>49</v>
      </c>
      <c r="B52" s="73" t="s">
        <v>30</v>
      </c>
      <c r="C52" s="162"/>
      <c r="D52" s="162"/>
      <c r="E52" s="162"/>
      <c r="F52" s="162"/>
      <c r="G52" s="162"/>
      <c r="H52" s="162"/>
      <c r="I52" s="162"/>
      <c r="J52" s="163"/>
      <c r="K52" s="164"/>
      <c r="L52" s="147"/>
      <c r="M52" s="165"/>
      <c r="N52" s="166"/>
      <c r="O52" s="162"/>
      <c r="P52" s="163"/>
      <c r="Q52" s="163"/>
      <c r="R52" s="164"/>
      <c r="S52" s="147"/>
      <c r="T52" s="167">
        <f t="shared" si="7"/>
        <v>0</v>
      </c>
      <c r="U52" s="167">
        <f t="shared" ref="U52:U54" si="10">C52*24+M52*24+O52*24+Q52*24+T52</f>
        <v>0</v>
      </c>
      <c r="V52" s="167">
        <f t="shared" si="9"/>
        <v>0</v>
      </c>
    </row>
    <row r="53" spans="1:22" x14ac:dyDescent="0.25">
      <c r="A53" s="75">
        <f t="shared" si="1"/>
        <v>50</v>
      </c>
      <c r="B53" s="74" t="s">
        <v>75</v>
      </c>
      <c r="C53" s="162"/>
      <c r="D53" s="162"/>
      <c r="E53" s="162"/>
      <c r="F53" s="162"/>
      <c r="G53" s="162"/>
      <c r="H53" s="162"/>
      <c r="I53" s="162"/>
      <c r="J53" s="163"/>
      <c r="K53" s="164"/>
      <c r="L53" s="147"/>
      <c r="M53" s="165"/>
      <c r="N53" s="166"/>
      <c r="O53" s="162"/>
      <c r="P53" s="163"/>
      <c r="Q53" s="163"/>
      <c r="R53" s="164"/>
      <c r="S53" s="147"/>
      <c r="T53" s="167">
        <f t="shared" si="7"/>
        <v>0</v>
      </c>
      <c r="U53" s="167">
        <f t="shared" si="10"/>
        <v>0</v>
      </c>
      <c r="V53" s="167">
        <f t="shared" si="9"/>
        <v>0</v>
      </c>
    </row>
    <row r="54" spans="1:22" x14ac:dyDescent="0.25">
      <c r="A54" s="75">
        <f t="shared" si="1"/>
        <v>51</v>
      </c>
      <c r="B54" s="74"/>
      <c r="C54" s="162"/>
      <c r="D54" s="162"/>
      <c r="E54" s="162"/>
      <c r="F54" s="162"/>
      <c r="G54" s="162"/>
      <c r="H54" s="162"/>
      <c r="I54" s="162"/>
      <c r="J54" s="163"/>
      <c r="K54" s="164"/>
      <c r="L54" s="147"/>
      <c r="M54" s="165"/>
      <c r="N54" s="166"/>
      <c r="O54" s="162"/>
      <c r="P54" s="163"/>
      <c r="Q54" s="163"/>
      <c r="R54" s="164"/>
      <c r="S54" s="147"/>
      <c r="T54" s="167">
        <f t="shared" si="7"/>
        <v>0</v>
      </c>
      <c r="U54" s="167">
        <f t="shared" si="10"/>
        <v>0</v>
      </c>
      <c r="V54" s="167">
        <f t="shared" si="9"/>
        <v>0</v>
      </c>
    </row>
    <row r="55" spans="1:22" x14ac:dyDescent="0.25">
      <c r="A55" s="75">
        <f t="shared" si="1"/>
        <v>52</v>
      </c>
      <c r="B55" s="74"/>
      <c r="C55" s="162"/>
      <c r="D55" s="162"/>
      <c r="E55" s="162"/>
      <c r="F55" s="162"/>
      <c r="G55" s="162"/>
      <c r="H55" s="162"/>
      <c r="I55" s="162"/>
      <c r="J55" s="163"/>
      <c r="K55" s="164"/>
      <c r="L55" s="147"/>
      <c r="M55" s="165"/>
      <c r="N55" s="166"/>
      <c r="O55" s="162"/>
      <c r="P55" s="163"/>
      <c r="Q55" s="163"/>
      <c r="R55" s="164"/>
      <c r="S55" s="147"/>
      <c r="T55" s="167"/>
      <c r="U55" s="167"/>
      <c r="V55" s="167"/>
    </row>
    <row r="56" spans="1:22" x14ac:dyDescent="0.25">
      <c r="A56" s="75">
        <f t="shared" si="1"/>
        <v>53</v>
      </c>
      <c r="B56" s="74"/>
      <c r="C56" s="162"/>
      <c r="D56" s="162"/>
      <c r="E56" s="162"/>
      <c r="F56" s="162"/>
      <c r="G56" s="162"/>
      <c r="H56" s="162"/>
      <c r="I56" s="162"/>
      <c r="J56" s="163"/>
      <c r="K56" s="164"/>
      <c r="L56" s="147"/>
      <c r="M56" s="165"/>
      <c r="N56" s="166"/>
      <c r="O56" s="162"/>
      <c r="P56" s="163"/>
      <c r="Q56" s="163"/>
      <c r="R56" s="164"/>
      <c r="S56" s="147"/>
      <c r="T56" s="167"/>
      <c r="U56" s="167"/>
      <c r="V56" s="167"/>
    </row>
    <row r="57" spans="1:22" x14ac:dyDescent="0.25">
      <c r="A57" s="75">
        <f t="shared" si="1"/>
        <v>54</v>
      </c>
      <c r="B57" s="74"/>
      <c r="C57" s="162"/>
      <c r="D57" s="162"/>
      <c r="E57" s="162"/>
      <c r="F57" s="162"/>
      <c r="G57" s="162"/>
      <c r="H57" s="162"/>
      <c r="I57" s="162"/>
      <c r="J57" s="163"/>
      <c r="K57" s="164"/>
      <c r="L57" s="147"/>
      <c r="M57" s="165"/>
      <c r="N57" s="166"/>
      <c r="O57" s="162"/>
      <c r="P57" s="163"/>
      <c r="Q57" s="163"/>
      <c r="R57" s="164"/>
      <c r="S57" s="147"/>
      <c r="T57" s="167"/>
      <c r="U57" s="167"/>
      <c r="V57" s="167"/>
    </row>
    <row r="58" spans="1:22" s="63" customFormat="1" ht="19.5" thickBot="1" x14ac:dyDescent="0.3">
      <c r="B58" s="77" t="s">
        <v>60</v>
      </c>
      <c r="C58" s="49">
        <f>SUM(C7:C57)</f>
        <v>0</v>
      </c>
      <c r="D58" s="49"/>
      <c r="E58" s="49"/>
      <c r="F58" s="49">
        <f t="shared" ref="F58:K58" si="11">SUM(F7:F57)</f>
        <v>0</v>
      </c>
      <c r="G58" s="49">
        <f t="shared" si="11"/>
        <v>0</v>
      </c>
      <c r="H58" s="49">
        <f t="shared" si="11"/>
        <v>0</v>
      </c>
      <c r="I58" s="54">
        <f t="shared" si="11"/>
        <v>0</v>
      </c>
      <c r="J58" s="54">
        <f t="shared" si="11"/>
        <v>0</v>
      </c>
      <c r="K58" s="54">
        <f t="shared" si="11"/>
        <v>0</v>
      </c>
      <c r="M58" s="53">
        <f t="shared" ref="M58:R58" si="12">SUM(M7:M57)</f>
        <v>0</v>
      </c>
      <c r="N58" s="53">
        <f t="shared" si="12"/>
        <v>0</v>
      </c>
      <c r="O58" s="53">
        <f t="shared" si="12"/>
        <v>0</v>
      </c>
      <c r="P58" s="53">
        <f t="shared" si="12"/>
        <v>0</v>
      </c>
      <c r="Q58" s="53">
        <f t="shared" si="12"/>
        <v>0</v>
      </c>
      <c r="R58" s="53">
        <f t="shared" si="12"/>
        <v>0</v>
      </c>
      <c r="S58" s="147"/>
      <c r="T58" s="51">
        <f>SUM(T7:T57)</f>
        <v>0</v>
      </c>
      <c r="U58" s="51">
        <f>SUM(U7:U57)</f>
        <v>0</v>
      </c>
      <c r="V58" s="51">
        <f>SUM(V7:V57)</f>
        <v>0</v>
      </c>
    </row>
    <row r="59" spans="1:22" ht="7.5" customHeight="1" thickBot="1" x14ac:dyDescent="0.3"/>
    <row r="60" spans="1:22" ht="19.5" thickBot="1" x14ac:dyDescent="0.3">
      <c r="B60" s="78" t="s">
        <v>39</v>
      </c>
      <c r="C60" s="191" t="s">
        <v>49</v>
      </c>
      <c r="D60" s="192"/>
      <c r="E60" s="192"/>
      <c r="F60" s="192"/>
      <c r="G60" s="192"/>
      <c r="H60" s="192"/>
      <c r="I60" s="192"/>
      <c r="J60" s="192"/>
      <c r="K60" s="193"/>
      <c r="U60" s="72" t="s">
        <v>62</v>
      </c>
    </row>
    <row r="61" spans="1:22" x14ac:dyDescent="0.25">
      <c r="B61" s="79" t="s">
        <v>18</v>
      </c>
      <c r="C61" s="67"/>
      <c r="D61" s="67"/>
      <c r="E61" s="67"/>
      <c r="F61" s="67"/>
      <c r="G61" s="67"/>
      <c r="H61" s="67"/>
      <c r="I61" s="67"/>
      <c r="J61" s="114"/>
      <c r="K61" s="68"/>
      <c r="U61" s="55"/>
    </row>
    <row r="62" spans="1:22" x14ac:dyDescent="0.25">
      <c r="B62" s="80" t="s">
        <v>55</v>
      </c>
      <c r="C62" s="48"/>
      <c r="D62" s="48"/>
      <c r="E62" s="48"/>
      <c r="F62" s="48"/>
      <c r="G62" s="48"/>
      <c r="H62" s="48"/>
      <c r="I62" s="48"/>
      <c r="J62" s="109"/>
      <c r="K62" s="69"/>
      <c r="U62" s="50"/>
    </row>
    <row r="63" spans="1:22" ht="19.5" thickBot="1" x14ac:dyDescent="0.3">
      <c r="B63" s="81" t="s">
        <v>54</v>
      </c>
      <c r="C63" s="70"/>
      <c r="D63" s="70"/>
      <c r="E63" s="70"/>
      <c r="F63" s="70"/>
      <c r="G63" s="70"/>
      <c r="H63" s="70"/>
      <c r="I63" s="70"/>
      <c r="J63" s="115"/>
      <c r="K63" s="71"/>
      <c r="U63" s="56"/>
    </row>
    <row r="64" spans="1:22" ht="7.5" customHeight="1" thickBot="1" x14ac:dyDescent="0.3"/>
    <row r="65" spans="2:21" x14ac:dyDescent="0.25">
      <c r="B65" s="79" t="s">
        <v>56</v>
      </c>
      <c r="C65" s="67"/>
      <c r="D65" s="67"/>
      <c r="E65" s="67"/>
      <c r="F65" s="67"/>
      <c r="G65" s="67"/>
      <c r="H65" s="67"/>
      <c r="I65" s="67"/>
      <c r="J65" s="114"/>
      <c r="K65" s="68"/>
      <c r="U65" s="55"/>
    </row>
    <row r="66" spans="2:21" x14ac:dyDescent="0.25">
      <c r="B66" s="80" t="s">
        <v>55</v>
      </c>
      <c r="C66" s="48"/>
      <c r="D66" s="48"/>
      <c r="E66" s="48"/>
      <c r="F66" s="48"/>
      <c r="G66" s="48"/>
      <c r="H66" s="48"/>
      <c r="I66" s="48"/>
      <c r="J66" s="109"/>
      <c r="K66" s="69"/>
      <c r="U66" s="50"/>
    </row>
    <row r="67" spans="2:21" ht="19.5" thickBot="1" x14ac:dyDescent="0.3">
      <c r="B67" s="81" t="s">
        <v>54</v>
      </c>
      <c r="C67" s="70"/>
      <c r="D67" s="70"/>
      <c r="E67" s="70"/>
      <c r="F67" s="70"/>
      <c r="G67" s="70"/>
      <c r="H67" s="70"/>
      <c r="I67" s="70"/>
      <c r="J67" s="115"/>
      <c r="K67" s="71"/>
      <c r="U67" s="56"/>
    </row>
    <row r="68" spans="2:21" ht="7.5" customHeight="1" thickBot="1" x14ac:dyDescent="0.3"/>
    <row r="69" spans="2:21" x14ac:dyDescent="0.25">
      <c r="B69" s="79" t="s">
        <v>41</v>
      </c>
      <c r="C69" s="67"/>
      <c r="D69" s="67"/>
      <c r="E69" s="67"/>
      <c r="F69" s="67"/>
      <c r="G69" s="67"/>
      <c r="H69" s="67"/>
      <c r="I69" s="67"/>
      <c r="J69" s="114"/>
      <c r="K69" s="68"/>
      <c r="U69" s="55"/>
    </row>
    <row r="70" spans="2:21" x14ac:dyDescent="0.25">
      <c r="B70" s="80" t="s">
        <v>55</v>
      </c>
      <c r="C70" s="48"/>
      <c r="D70" s="48"/>
      <c r="E70" s="48"/>
      <c r="F70" s="48"/>
      <c r="G70" s="48"/>
      <c r="H70" s="48"/>
      <c r="I70" s="48"/>
      <c r="J70" s="109"/>
      <c r="K70" s="69"/>
      <c r="U70" s="50"/>
    </row>
    <row r="71" spans="2:21" ht="19.5" thickBot="1" x14ac:dyDescent="0.3">
      <c r="B71" s="81" t="s">
        <v>54</v>
      </c>
      <c r="C71" s="70"/>
      <c r="D71" s="70"/>
      <c r="E71" s="70"/>
      <c r="F71" s="70"/>
      <c r="G71" s="70"/>
      <c r="H71" s="70"/>
      <c r="I71" s="70"/>
      <c r="J71" s="115"/>
      <c r="K71" s="71"/>
      <c r="U71" s="56"/>
    </row>
    <row r="72" spans="2:21" ht="7.5" customHeight="1" thickBot="1" x14ac:dyDescent="0.3"/>
    <row r="73" spans="2:21" x14ac:dyDescent="0.25">
      <c r="B73" s="79" t="s">
        <v>57</v>
      </c>
      <c r="C73" s="67"/>
      <c r="D73" s="67"/>
      <c r="E73" s="67"/>
      <c r="F73" s="67"/>
      <c r="G73" s="67"/>
      <c r="H73" s="67"/>
      <c r="I73" s="67"/>
      <c r="J73" s="114"/>
      <c r="K73" s="68"/>
      <c r="U73" s="55"/>
    </row>
    <row r="74" spans="2:21" x14ac:dyDescent="0.25">
      <c r="B74" s="80" t="s">
        <v>55</v>
      </c>
      <c r="C74" s="48"/>
      <c r="D74" s="48"/>
      <c r="E74" s="48"/>
      <c r="F74" s="48"/>
      <c r="G74" s="48"/>
      <c r="H74" s="48"/>
      <c r="I74" s="48"/>
      <c r="J74" s="109"/>
      <c r="K74" s="69"/>
      <c r="U74" s="50"/>
    </row>
    <row r="75" spans="2:21" ht="19.5" thickBot="1" x14ac:dyDescent="0.3">
      <c r="B75" s="81" t="s">
        <v>54</v>
      </c>
      <c r="C75" s="70"/>
      <c r="D75" s="70"/>
      <c r="E75" s="70"/>
      <c r="F75" s="70"/>
      <c r="G75" s="70"/>
      <c r="H75" s="70"/>
      <c r="I75" s="70"/>
      <c r="J75" s="115"/>
      <c r="K75" s="71"/>
      <c r="U75" s="56"/>
    </row>
    <row r="76" spans="2:21" ht="7.5" customHeight="1" thickBot="1" x14ac:dyDescent="0.3"/>
    <row r="77" spans="2:21" x14ac:dyDescent="0.25">
      <c r="B77" s="79" t="s">
        <v>58</v>
      </c>
      <c r="C77" s="67"/>
      <c r="D77" s="67"/>
      <c r="E77" s="67"/>
      <c r="F77" s="67"/>
      <c r="G77" s="67"/>
      <c r="H77" s="67"/>
      <c r="I77" s="67"/>
      <c r="J77" s="114"/>
      <c r="K77" s="68"/>
      <c r="U77" s="55"/>
    </row>
    <row r="78" spans="2:21" x14ac:dyDescent="0.25">
      <c r="B78" s="80" t="s">
        <v>55</v>
      </c>
      <c r="C78" s="48"/>
      <c r="D78" s="48"/>
      <c r="E78" s="48"/>
      <c r="F78" s="48"/>
      <c r="G78" s="48"/>
      <c r="H78" s="48"/>
      <c r="I78" s="48"/>
      <c r="J78" s="109"/>
      <c r="K78" s="69"/>
      <c r="U78" s="50"/>
    </row>
    <row r="79" spans="2:21" ht="19.5" thickBot="1" x14ac:dyDescent="0.3">
      <c r="B79" s="81" t="s">
        <v>54</v>
      </c>
      <c r="C79" s="70"/>
      <c r="D79" s="70"/>
      <c r="E79" s="70"/>
      <c r="F79" s="70"/>
      <c r="G79" s="70"/>
      <c r="H79" s="70"/>
      <c r="I79" s="70"/>
      <c r="J79" s="115"/>
      <c r="K79" s="71"/>
      <c r="U79" s="56"/>
    </row>
    <row r="80" spans="2:21" ht="7.5" customHeight="1" thickBot="1" x14ac:dyDescent="0.3"/>
    <row r="81" spans="2:21" ht="19.5" thickBot="1" x14ac:dyDescent="0.3">
      <c r="B81" s="78" t="s">
        <v>59</v>
      </c>
      <c r="C81" s="65"/>
      <c r="D81" s="65"/>
      <c r="E81" s="65"/>
      <c r="F81" s="65"/>
      <c r="G81" s="65"/>
      <c r="H81" s="65"/>
      <c r="I81" s="65"/>
      <c r="J81" s="116"/>
      <c r="K81" s="66"/>
      <c r="U81" s="64"/>
    </row>
  </sheetData>
  <mergeCells count="7">
    <mergeCell ref="V4:V5"/>
    <mergeCell ref="J5:K5"/>
    <mergeCell ref="C60:K60"/>
    <mergeCell ref="I1:U1"/>
    <mergeCell ref="C4:K4"/>
    <mergeCell ref="T4:T5"/>
    <mergeCell ref="U4:U5"/>
  </mergeCells>
  <printOptions horizontalCentered="1" verticalCentered="1"/>
  <pageMargins left="0.19685039370078741" right="0.19685039370078741" top="0.19685039370078741" bottom="0.19685039370078741" header="0.19685039370078741" footer="0.19685039370078741"/>
  <pageSetup paperSize="14" scale="70" orientation="portrait" horizontalDpi="360" verticalDpi="360" r:id="rId1"/>
  <colBreaks count="1" manualBreakCount="1">
    <brk id="24" max="8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22</vt:i4>
      </vt:variant>
    </vt:vector>
  </HeadingPairs>
  <TitlesOfParts>
    <vt:vector size="44" baseType="lpstr">
      <vt:lpstr>COUNT SHEET</vt:lpstr>
      <vt:lpstr>COUNT SHEET SAMPLE</vt:lpstr>
      <vt:lpstr>02-03-2026</vt:lpstr>
      <vt:lpstr>02-04-2026</vt:lpstr>
      <vt:lpstr>02-05-2026</vt:lpstr>
      <vt:lpstr>02-06-2026</vt:lpstr>
      <vt:lpstr>02-07-2026</vt:lpstr>
      <vt:lpstr>02-09-2026</vt:lpstr>
      <vt:lpstr>02-10-2026</vt:lpstr>
      <vt:lpstr>02-11-2026</vt:lpstr>
      <vt:lpstr>02-12-2026</vt:lpstr>
      <vt:lpstr>02-13-2026</vt:lpstr>
      <vt:lpstr>02-14-2026</vt:lpstr>
      <vt:lpstr>02-16-2026</vt:lpstr>
      <vt:lpstr>EXAMPLE</vt:lpstr>
      <vt:lpstr>02-17-2026</vt:lpstr>
      <vt:lpstr>02-18-2026</vt:lpstr>
      <vt:lpstr>02-19-2026</vt:lpstr>
      <vt:lpstr>02-20-2026__</vt:lpstr>
      <vt:lpstr>02-21-2026</vt:lpstr>
      <vt:lpstr>02-23-2026</vt:lpstr>
      <vt:lpstr>02-25-2026</vt:lpstr>
      <vt:lpstr>'02-03-2026'!Print_Area</vt:lpstr>
      <vt:lpstr>'02-04-2026'!Print_Area</vt:lpstr>
      <vt:lpstr>'02-05-2026'!Print_Area</vt:lpstr>
      <vt:lpstr>'02-06-2026'!Print_Area</vt:lpstr>
      <vt:lpstr>'02-07-2026'!Print_Area</vt:lpstr>
      <vt:lpstr>'02-09-2026'!Print_Area</vt:lpstr>
      <vt:lpstr>'02-10-2026'!Print_Area</vt:lpstr>
      <vt:lpstr>'02-11-2026'!Print_Area</vt:lpstr>
      <vt:lpstr>'02-12-2026'!Print_Area</vt:lpstr>
      <vt:lpstr>'02-13-2026'!Print_Area</vt:lpstr>
      <vt:lpstr>'02-14-2026'!Print_Area</vt:lpstr>
      <vt:lpstr>'02-16-2026'!Print_Area</vt:lpstr>
      <vt:lpstr>'02-17-2026'!Print_Area</vt:lpstr>
      <vt:lpstr>'02-18-2026'!Print_Area</vt:lpstr>
      <vt:lpstr>'02-19-2026'!Print_Area</vt:lpstr>
      <vt:lpstr>'02-20-2026__'!Print_Area</vt:lpstr>
      <vt:lpstr>'02-21-2026'!Print_Area</vt:lpstr>
      <vt:lpstr>'02-23-2026'!Print_Area</vt:lpstr>
      <vt:lpstr>'02-25-2026'!Print_Area</vt:lpstr>
      <vt:lpstr>'COUNT SHEET'!Print_Area</vt:lpstr>
      <vt:lpstr>'COUNT SHEET SAMPLE'!Print_Area</vt:lpstr>
      <vt:lpstr>EXAMPLE!Print_Area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2026-02-16T05:13:57Z</cp:lastPrinted>
  <dcterms:created xsi:type="dcterms:W3CDTF">2024-08-17T00:07:58Z</dcterms:created>
  <dcterms:modified xsi:type="dcterms:W3CDTF">2026-02-24T02:15:49Z</dcterms:modified>
</cp:coreProperties>
</file>