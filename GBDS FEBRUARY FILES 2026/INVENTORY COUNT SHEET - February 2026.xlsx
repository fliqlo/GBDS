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92B5305-3C75-4688-876E-B71A34A14B84}" xr6:coauthVersionLast="45" xr6:coauthVersionMax="45" xr10:uidLastSave="{00000000-0000-0000-0000-000000000000}"/>
  <bookViews>
    <workbookView xWindow="-120" yWindow="-120" windowWidth="29040" windowHeight="15840" firstSheet="14" activeTab="22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5" r:id="rId16"/>
    <sheet name="02-18-2026" sheetId="24" r:id="rId17"/>
    <sheet name="02-19-2026" sheetId="26" r:id="rId18"/>
    <sheet name="02-20-2026__" sheetId="28" r:id="rId19"/>
    <sheet name="02-21-2026" sheetId="29" r:id="rId20"/>
    <sheet name="02-23-2026" sheetId="30" r:id="rId21"/>
    <sheet name="02-25-2026" sheetId="31" r:id="rId22"/>
    <sheet name="02-26-2026" sheetId="32" r:id="rId23"/>
    <sheet name="02-27-2026" sheetId="33" r:id="rId24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16">'02-18-2026'!$A$1:$W$59</definedName>
    <definedName name="_xlnm.Print_Area" localSheetId="17">'02-19-2026'!$A$1:$W$59</definedName>
    <definedName name="_xlnm.Print_Area" localSheetId="18">'02-20-2026__'!$A$1:$W$59</definedName>
    <definedName name="_xlnm.Print_Area" localSheetId="19">'02-21-2026'!$A$1:$W$59</definedName>
    <definedName name="_xlnm.Print_Area" localSheetId="20">'02-23-2026'!$A$1:$W$59</definedName>
    <definedName name="_xlnm.Print_Area" localSheetId="21">'02-25-2026'!$A$1:$W$59</definedName>
    <definedName name="_xlnm.Print_Area" localSheetId="22">'02-26-2026'!$A$1:$W$59</definedName>
    <definedName name="_xlnm.Print_Area" localSheetId="23">'02-27-2026'!$A$1:$W$59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28" i="32" l="1"/>
  <c r="T28" i="32"/>
  <c r="C47" i="32"/>
  <c r="C43" i="32"/>
  <c r="K43" i="32"/>
  <c r="J43" i="32"/>
  <c r="C41" i="32"/>
  <c r="C40" i="32"/>
  <c r="C38" i="32"/>
  <c r="C37" i="32"/>
  <c r="C34" i="32"/>
  <c r="C31" i="32"/>
  <c r="C30" i="32"/>
  <c r="C28" i="32"/>
  <c r="C25" i="32"/>
  <c r="C12" i="32"/>
  <c r="C10" i="32"/>
  <c r="C9" i="32"/>
  <c r="C8" i="32"/>
  <c r="R58" i="33"/>
  <c r="Q58" i="33"/>
  <c r="P58" i="33"/>
  <c r="O58" i="33"/>
  <c r="N58" i="33"/>
  <c r="M58" i="33"/>
  <c r="K58" i="33"/>
  <c r="J58" i="33"/>
  <c r="I58" i="33"/>
  <c r="H58" i="33"/>
  <c r="G58" i="33"/>
  <c r="F58" i="33"/>
  <c r="C58" i="33"/>
  <c r="T54" i="33"/>
  <c r="U54" i="33" s="1"/>
  <c r="V54" i="33" s="1"/>
  <c r="T53" i="33"/>
  <c r="U53" i="33" s="1"/>
  <c r="V53" i="33" s="1"/>
  <c r="U52" i="33"/>
  <c r="V52" i="33" s="1"/>
  <c r="T52" i="33"/>
  <c r="T51" i="33"/>
  <c r="U51" i="33" s="1"/>
  <c r="V51" i="33" s="1"/>
  <c r="T50" i="33"/>
  <c r="U50" i="33" s="1"/>
  <c r="V50" i="33" s="1"/>
  <c r="T49" i="33"/>
  <c r="U49" i="33" s="1"/>
  <c r="V49" i="33" s="1"/>
  <c r="U48" i="33"/>
  <c r="V48" i="33" s="1"/>
  <c r="T48" i="33"/>
  <c r="T47" i="33"/>
  <c r="U47" i="33" s="1"/>
  <c r="V47" i="33" s="1"/>
  <c r="T46" i="33"/>
  <c r="U46" i="33" s="1"/>
  <c r="V46" i="33" s="1"/>
  <c r="T45" i="33"/>
  <c r="U45" i="33" s="1"/>
  <c r="V45" i="33" s="1"/>
  <c r="V43" i="33"/>
  <c r="U43" i="33"/>
  <c r="T43" i="33"/>
  <c r="T41" i="33"/>
  <c r="U41" i="33" s="1"/>
  <c r="V41" i="33" s="1"/>
  <c r="U40" i="33"/>
  <c r="V40" i="33" s="1"/>
  <c r="T40" i="33"/>
  <c r="T38" i="33"/>
  <c r="U38" i="33" s="1"/>
  <c r="V38" i="33" s="1"/>
  <c r="T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T33" i="33"/>
  <c r="U33" i="33" s="1"/>
  <c r="V33" i="33" s="1"/>
  <c r="T32" i="33"/>
  <c r="U32" i="33" s="1"/>
  <c r="V32" i="33" s="1"/>
  <c r="T31" i="33"/>
  <c r="U31" i="33" s="1"/>
  <c r="V31" i="33" s="1"/>
  <c r="T30" i="33"/>
  <c r="U30" i="33" s="1"/>
  <c r="V30" i="33" s="1"/>
  <c r="T29" i="33"/>
  <c r="U29" i="33" s="1"/>
  <c r="V29" i="33" s="1"/>
  <c r="T28" i="33"/>
  <c r="U28" i="33" s="1"/>
  <c r="V28" i="33" s="1"/>
  <c r="T26" i="33"/>
  <c r="U26" i="33" s="1"/>
  <c r="V26" i="33" s="1"/>
  <c r="AY25" i="33"/>
  <c r="V25" i="33"/>
  <c r="U25" i="33"/>
  <c r="T25" i="33"/>
  <c r="U24" i="33"/>
  <c r="V24" i="33" s="1"/>
  <c r="T24" i="33"/>
  <c r="T23" i="33"/>
  <c r="U23" i="33" s="1"/>
  <c r="V23" i="33" s="1"/>
  <c r="T22" i="33"/>
  <c r="U22" i="33" s="1"/>
  <c r="V22" i="33" s="1"/>
  <c r="V21" i="33"/>
  <c r="U21" i="33"/>
  <c r="T21" i="33"/>
  <c r="U20" i="33"/>
  <c r="V20" i="33" s="1"/>
  <c r="T20" i="33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T18" i="33"/>
  <c r="U18" i="33" s="1"/>
  <c r="V18" i="33" s="1"/>
  <c r="U17" i="33"/>
  <c r="V17" i="33" s="1"/>
  <c r="T17" i="33"/>
  <c r="T16" i="33"/>
  <c r="U16" i="33" s="1"/>
  <c r="V16" i="33" s="1"/>
  <c r="T15" i="33"/>
  <c r="U15" i="33" s="1"/>
  <c r="V15" i="33" s="1"/>
  <c r="A15" i="33"/>
  <c r="A16" i="33" s="1"/>
  <c r="A17" i="33" s="1"/>
  <c r="A18" i="33" s="1"/>
  <c r="T14" i="33"/>
  <c r="U14" i="33" s="1"/>
  <c r="V14" i="33" s="1"/>
  <c r="A14" i="33"/>
  <c r="U13" i="33"/>
  <c r="V13" i="33" s="1"/>
  <c r="T13" i="33"/>
  <c r="T12" i="33"/>
  <c r="U12" i="33" s="1"/>
  <c r="V12" i="33" s="1"/>
  <c r="T11" i="33"/>
  <c r="U11" i="33" s="1"/>
  <c r="V11" i="33" s="1"/>
  <c r="U10" i="33"/>
  <c r="V10" i="33" s="1"/>
  <c r="T10" i="33"/>
  <c r="T9" i="33"/>
  <c r="U9" i="33" s="1"/>
  <c r="V9" i="33" s="1"/>
  <c r="A9" i="33"/>
  <c r="A10" i="33" s="1"/>
  <c r="A11" i="33" s="1"/>
  <c r="T8" i="33"/>
  <c r="U8" i="33" s="1"/>
  <c r="V8" i="33" s="1"/>
  <c r="A8" i="33"/>
  <c r="T7" i="33"/>
  <c r="T58" i="33" s="1"/>
  <c r="U7" i="33" l="1"/>
  <c r="T9" i="31"/>
  <c r="C47" i="31"/>
  <c r="C12" i="31"/>
  <c r="C8" i="31"/>
  <c r="K43" i="31"/>
  <c r="J43" i="31"/>
  <c r="C43" i="31"/>
  <c r="C41" i="31"/>
  <c r="C40" i="31"/>
  <c r="C38" i="31"/>
  <c r="C37" i="31"/>
  <c r="C34" i="31"/>
  <c r="C25" i="31"/>
  <c r="C13" i="31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U53" i="32"/>
  <c r="V53" i="32" s="1"/>
  <c r="T53" i="32"/>
  <c r="T52" i="32"/>
  <c r="U52" i="32" s="1"/>
  <c r="V52" i="32" s="1"/>
  <c r="T51" i="32"/>
  <c r="U51" i="32" s="1"/>
  <c r="V51" i="32" s="1"/>
  <c r="T50" i="32"/>
  <c r="U50" i="32" s="1"/>
  <c r="V50" i="32" s="1"/>
  <c r="U49" i="32"/>
  <c r="V49" i="32" s="1"/>
  <c r="T49" i="32"/>
  <c r="T48" i="32"/>
  <c r="U48" i="32" s="1"/>
  <c r="V48" i="32" s="1"/>
  <c r="T47" i="32"/>
  <c r="U47" i="32" s="1"/>
  <c r="V47" i="32" s="1"/>
  <c r="T46" i="32"/>
  <c r="U46" i="32" s="1"/>
  <c r="V46" i="32" s="1"/>
  <c r="U45" i="32"/>
  <c r="V45" i="32" s="1"/>
  <c r="T45" i="32"/>
  <c r="T43" i="32"/>
  <c r="U43" i="32" s="1"/>
  <c r="V43" i="32" s="1"/>
  <c r="U41" i="32"/>
  <c r="V41" i="32" s="1"/>
  <c r="T41" i="32"/>
  <c r="T40" i="32"/>
  <c r="U40" i="32" s="1"/>
  <c r="V40" i="32" s="1"/>
  <c r="T38" i="32"/>
  <c r="U38" i="32" s="1"/>
  <c r="V38" i="32" s="1"/>
  <c r="T37" i="32"/>
  <c r="U37" i="32" s="1"/>
  <c r="V37" i="32" s="1"/>
  <c r="V36" i="32"/>
  <c r="U36" i="32"/>
  <c r="T36" i="32"/>
  <c r="T35" i="32"/>
  <c r="U35" i="32" s="1"/>
  <c r="V35" i="32" s="1"/>
  <c r="T34" i="32"/>
  <c r="U34" i="32" s="1"/>
  <c r="V34" i="32" s="1"/>
  <c r="T33" i="32"/>
  <c r="U33" i="32" s="1"/>
  <c r="V33" i="32" s="1"/>
  <c r="V32" i="32"/>
  <c r="U32" i="32"/>
  <c r="T32" i="32"/>
  <c r="T31" i="32"/>
  <c r="U31" i="32" s="1"/>
  <c r="V31" i="32" s="1"/>
  <c r="T30" i="32"/>
  <c r="U30" i="32" s="1"/>
  <c r="V30" i="32" s="1"/>
  <c r="T29" i="32"/>
  <c r="U29" i="32" s="1"/>
  <c r="V29" i="32" s="1"/>
  <c r="V28" i="32"/>
  <c r="U26" i="32"/>
  <c r="V26" i="32" s="1"/>
  <c r="T26" i="32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U21" i="32"/>
  <c r="V21" i="32" s="1"/>
  <c r="T21" i="32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U18" i="32"/>
  <c r="V18" i="32" s="1"/>
  <c r="T18" i="32"/>
  <c r="T17" i="32"/>
  <c r="U17" i="32" s="1"/>
  <c r="V17" i="32" s="1"/>
  <c r="T16" i="32"/>
  <c r="U16" i="32" s="1"/>
  <c r="V16" i="32" s="1"/>
  <c r="T15" i="32"/>
  <c r="U15" i="32" s="1"/>
  <c r="V15" i="32" s="1"/>
  <c r="A15" i="32"/>
  <c r="A16" i="32" s="1"/>
  <c r="A17" i="32" s="1"/>
  <c r="A18" i="32" s="1"/>
  <c r="U14" i="32"/>
  <c r="V14" i="32" s="1"/>
  <c r="T14" i="32"/>
  <c r="A14" i="32"/>
  <c r="T13" i="32"/>
  <c r="U13" i="32" s="1"/>
  <c r="V13" i="32" s="1"/>
  <c r="T12" i="32"/>
  <c r="U12" i="32" s="1"/>
  <c r="V12" i="32" s="1"/>
  <c r="T11" i="32"/>
  <c r="U11" i="32" s="1"/>
  <c r="V11" i="32" s="1"/>
  <c r="U10" i="32"/>
  <c r="V10" i="32" s="1"/>
  <c r="T10" i="32"/>
  <c r="T9" i="32"/>
  <c r="U9" i="32" s="1"/>
  <c r="V9" i="32" s="1"/>
  <c r="A9" i="32"/>
  <c r="A10" i="32" s="1"/>
  <c r="A11" i="32" s="1"/>
  <c r="T8" i="32"/>
  <c r="U8" i="32" s="1"/>
  <c r="V8" i="32" s="1"/>
  <c r="A8" i="32"/>
  <c r="T7" i="32"/>
  <c r="T58" i="32" l="1"/>
  <c r="U58" i="33"/>
  <c r="V7" i="33"/>
  <c r="V58" i="33" s="1"/>
  <c r="U7" i="32"/>
  <c r="C47" i="30"/>
  <c r="K43" i="30"/>
  <c r="J43" i="30"/>
  <c r="C43" i="30"/>
  <c r="C41" i="30"/>
  <c r="C40" i="30"/>
  <c r="C37" i="30"/>
  <c r="C34" i="30"/>
  <c r="C28" i="30"/>
  <c r="C25" i="30"/>
  <c r="C12" i="30"/>
  <c r="C8" i="30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8" i="31"/>
  <c r="U8" i="31" s="1"/>
  <c r="V8" i="31" s="1"/>
  <c r="A8" i="31"/>
  <c r="A9" i="31" s="1"/>
  <c r="A10" i="31" s="1"/>
  <c r="A11" i="31" s="1"/>
  <c r="T7" i="31"/>
  <c r="U7" i="31" s="1"/>
  <c r="C47" i="29"/>
  <c r="K43" i="29"/>
  <c r="J43" i="29"/>
  <c r="C43" i="29"/>
  <c r="C41" i="29"/>
  <c r="C40" i="29"/>
  <c r="C38" i="29"/>
  <c r="C37" i="29"/>
  <c r="C34" i="29"/>
  <c r="C25" i="29"/>
  <c r="C12" i="29"/>
  <c r="C8" i="29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U51" i="30"/>
  <c r="V51" i="30" s="1"/>
  <c r="T51" i="30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U36" i="30"/>
  <c r="V36" i="30" s="1"/>
  <c r="T36" i="30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U30" i="30"/>
  <c r="V30" i="30" s="1"/>
  <c r="T30" i="30"/>
  <c r="T29" i="30"/>
  <c r="U29" i="30" s="1"/>
  <c r="V29" i="30" s="1"/>
  <c r="U28" i="30"/>
  <c r="V28" i="30" s="1"/>
  <c r="T28" i="30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U21" i="30"/>
  <c r="V21" i="30" s="1"/>
  <c r="T21" i="30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U16" i="30"/>
  <c r="V16" i="30" s="1"/>
  <c r="T16" i="30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R58" i="29"/>
  <c r="Q58" i="29"/>
  <c r="P58" i="29"/>
  <c r="O58" i="29"/>
  <c r="N58" i="29"/>
  <c r="M58" i="29"/>
  <c r="K58" i="29"/>
  <c r="J58" i="29"/>
  <c r="I58" i="29"/>
  <c r="H58" i="29"/>
  <c r="G58" i="29"/>
  <c r="F58" i="29"/>
  <c r="C58" i="29"/>
  <c r="T54" i="29"/>
  <c r="U54" i="29" s="1"/>
  <c r="V54" i="29" s="1"/>
  <c r="U53" i="29"/>
  <c r="V53" i="29" s="1"/>
  <c r="T53" i="29"/>
  <c r="T52" i="29"/>
  <c r="U52" i="29" s="1"/>
  <c r="V52" i="29" s="1"/>
  <c r="T51" i="29"/>
  <c r="U51" i="29" s="1"/>
  <c r="V51" i="29" s="1"/>
  <c r="T50" i="29"/>
  <c r="U50" i="29" s="1"/>
  <c r="V50" i="29" s="1"/>
  <c r="U49" i="29"/>
  <c r="V49" i="29" s="1"/>
  <c r="T49" i="29"/>
  <c r="T48" i="29"/>
  <c r="U48" i="29" s="1"/>
  <c r="V48" i="29" s="1"/>
  <c r="T47" i="29"/>
  <c r="U47" i="29" s="1"/>
  <c r="V47" i="29" s="1"/>
  <c r="T46" i="29"/>
  <c r="U46" i="29" s="1"/>
  <c r="V46" i="29" s="1"/>
  <c r="U45" i="29"/>
  <c r="V45" i="29" s="1"/>
  <c r="T45" i="29"/>
  <c r="T43" i="29"/>
  <c r="U43" i="29" s="1"/>
  <c r="V43" i="29" s="1"/>
  <c r="T41" i="29"/>
  <c r="U41" i="29" s="1"/>
  <c r="V41" i="29" s="1"/>
  <c r="T40" i="29"/>
  <c r="U40" i="29" s="1"/>
  <c r="V40" i="29" s="1"/>
  <c r="U38" i="29"/>
  <c r="V38" i="29" s="1"/>
  <c r="T38" i="29"/>
  <c r="T37" i="29"/>
  <c r="U37" i="29" s="1"/>
  <c r="V37" i="29" s="1"/>
  <c r="U36" i="29"/>
  <c r="V36" i="29" s="1"/>
  <c r="T36" i="29"/>
  <c r="T35" i="29"/>
  <c r="U35" i="29" s="1"/>
  <c r="V35" i="29" s="1"/>
  <c r="T34" i="29"/>
  <c r="U34" i="29" s="1"/>
  <c r="V34" i="29" s="1"/>
  <c r="T33" i="29"/>
  <c r="U33" i="29" s="1"/>
  <c r="V33" i="29" s="1"/>
  <c r="U32" i="29"/>
  <c r="V32" i="29" s="1"/>
  <c r="T32" i="29"/>
  <c r="T31" i="29"/>
  <c r="U31" i="29" s="1"/>
  <c r="V31" i="29" s="1"/>
  <c r="U30" i="29"/>
  <c r="V30" i="29" s="1"/>
  <c r="T30" i="29"/>
  <c r="T29" i="29"/>
  <c r="U29" i="29" s="1"/>
  <c r="V29" i="29" s="1"/>
  <c r="T28" i="29"/>
  <c r="U28" i="29" s="1"/>
  <c r="V28" i="29" s="1"/>
  <c r="U26" i="29"/>
  <c r="V26" i="29" s="1"/>
  <c r="T26" i="29"/>
  <c r="AY25" i="29"/>
  <c r="T25" i="29"/>
  <c r="U25" i="29" s="1"/>
  <c r="V25" i="29" s="1"/>
  <c r="U24" i="29"/>
  <c r="V24" i="29" s="1"/>
  <c r="T24" i="29"/>
  <c r="T23" i="29"/>
  <c r="U23" i="29" s="1"/>
  <c r="V23" i="29" s="1"/>
  <c r="T22" i="29"/>
  <c r="U22" i="29" s="1"/>
  <c r="V22" i="29" s="1"/>
  <c r="U21" i="29"/>
  <c r="V21" i="29" s="1"/>
  <c r="T21" i="29"/>
  <c r="U20" i="29"/>
  <c r="V20" i="29" s="1"/>
  <c r="T20" i="29"/>
  <c r="A20" i="29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35" i="29" s="1"/>
  <c r="A36" i="29" s="1"/>
  <c r="A37" i="29" s="1"/>
  <c r="A38" i="29" s="1"/>
  <c r="A39" i="29" s="1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A50" i="29" s="1"/>
  <c r="A51" i="29" s="1"/>
  <c r="A52" i="29" s="1"/>
  <c r="A53" i="29" s="1"/>
  <c r="A54" i="29" s="1"/>
  <c r="A55" i="29" s="1"/>
  <c r="A56" i="29" s="1"/>
  <c r="A57" i="29" s="1"/>
  <c r="T19" i="29"/>
  <c r="U19" i="29" s="1"/>
  <c r="V19" i="29" s="1"/>
  <c r="U18" i="29"/>
  <c r="V18" i="29" s="1"/>
  <c r="T18" i="29"/>
  <c r="T17" i="29"/>
  <c r="U17" i="29" s="1"/>
  <c r="V17" i="29" s="1"/>
  <c r="T16" i="29"/>
  <c r="U16" i="29" s="1"/>
  <c r="V16" i="29" s="1"/>
  <c r="T15" i="29"/>
  <c r="U15" i="29" s="1"/>
  <c r="V15" i="29" s="1"/>
  <c r="U14" i="29"/>
  <c r="V14" i="29" s="1"/>
  <c r="T14" i="29"/>
  <c r="A14" i="29"/>
  <c r="A15" i="29" s="1"/>
  <c r="A16" i="29" s="1"/>
  <c r="A17" i="29" s="1"/>
  <c r="A18" i="29" s="1"/>
  <c r="T13" i="29"/>
  <c r="U13" i="29" s="1"/>
  <c r="V13" i="29" s="1"/>
  <c r="T12" i="29"/>
  <c r="U12" i="29" s="1"/>
  <c r="V12" i="29" s="1"/>
  <c r="T11" i="29"/>
  <c r="U11" i="29" s="1"/>
  <c r="V11" i="29" s="1"/>
  <c r="U10" i="29"/>
  <c r="V10" i="29" s="1"/>
  <c r="T10" i="29"/>
  <c r="T9" i="29"/>
  <c r="U9" i="29" s="1"/>
  <c r="V9" i="29" s="1"/>
  <c r="T8" i="29"/>
  <c r="U8" i="29" s="1"/>
  <c r="V8" i="29" s="1"/>
  <c r="A8" i="29"/>
  <c r="A9" i="29" s="1"/>
  <c r="A10" i="29" s="1"/>
  <c r="A11" i="29" s="1"/>
  <c r="T7" i="29"/>
  <c r="U58" i="31" l="1"/>
  <c r="V58" i="31"/>
  <c r="T58" i="29"/>
  <c r="U58" i="30"/>
  <c r="V7" i="30"/>
  <c r="V58" i="30" s="1"/>
  <c r="T58" i="30"/>
  <c r="U7" i="29"/>
  <c r="R58" i="28"/>
  <c r="Q58" i="28"/>
  <c r="P58" i="28"/>
  <c r="O58" i="28"/>
  <c r="N58" i="28"/>
  <c r="M58" i="28"/>
  <c r="K58" i="28"/>
  <c r="J58" i="28"/>
  <c r="I58" i="28"/>
  <c r="H58" i="28"/>
  <c r="G58" i="28"/>
  <c r="F58" i="28"/>
  <c r="T54" i="28"/>
  <c r="U54" i="28" s="1"/>
  <c r="V54" i="28" s="1"/>
  <c r="T53" i="28"/>
  <c r="U53" i="28" s="1"/>
  <c r="V53" i="28" s="1"/>
  <c r="T52" i="28"/>
  <c r="U52" i="28" s="1"/>
  <c r="V52" i="28" s="1"/>
  <c r="T51" i="28"/>
  <c r="U51" i="28" s="1"/>
  <c r="V51" i="28" s="1"/>
  <c r="T50" i="28"/>
  <c r="U50" i="28" s="1"/>
  <c r="V50" i="28" s="1"/>
  <c r="T49" i="28"/>
  <c r="U49" i="28" s="1"/>
  <c r="V49" i="28" s="1"/>
  <c r="T48" i="28"/>
  <c r="U48" i="28" s="1"/>
  <c r="V48" i="28" s="1"/>
  <c r="T47" i="28"/>
  <c r="U47" i="28"/>
  <c r="V47" i="28" s="1"/>
  <c r="T46" i="28"/>
  <c r="U46" i="28" s="1"/>
  <c r="V46" i="28" s="1"/>
  <c r="T45" i="28"/>
  <c r="U45" i="28" s="1"/>
  <c r="V45" i="28" s="1"/>
  <c r="T43" i="28"/>
  <c r="U43" i="28"/>
  <c r="V43" i="28" s="1"/>
  <c r="T41" i="28"/>
  <c r="U41" i="28" s="1"/>
  <c r="V41" i="28" s="1"/>
  <c r="T40" i="28"/>
  <c r="U40" i="28" s="1"/>
  <c r="V40" i="28" s="1"/>
  <c r="T38" i="28"/>
  <c r="U38" i="28" s="1"/>
  <c r="V38" i="28" s="1"/>
  <c r="T37" i="28"/>
  <c r="U37" i="28" s="1"/>
  <c r="V37" i="28" s="1"/>
  <c r="T36" i="28"/>
  <c r="U36" i="28" s="1"/>
  <c r="V36" i="28" s="1"/>
  <c r="T35" i="28"/>
  <c r="U35" i="28" s="1"/>
  <c r="V35" i="28" s="1"/>
  <c r="T34" i="28"/>
  <c r="U34" i="28"/>
  <c r="V34" i="28" s="1"/>
  <c r="T33" i="28"/>
  <c r="U33" i="28" s="1"/>
  <c r="V33" i="28" s="1"/>
  <c r="T32" i="28"/>
  <c r="U32" i="28" s="1"/>
  <c r="V32" i="28" s="1"/>
  <c r="T31" i="28"/>
  <c r="U31" i="28" s="1"/>
  <c r="V31" i="28" s="1"/>
  <c r="T30" i="28"/>
  <c r="U30" i="28" s="1"/>
  <c r="V30" i="28" s="1"/>
  <c r="T29" i="28"/>
  <c r="U29" i="28" s="1"/>
  <c r="V29" i="28" s="1"/>
  <c r="T28" i="28"/>
  <c r="U28" i="28" s="1"/>
  <c r="V28" i="28" s="1"/>
  <c r="T26" i="28"/>
  <c r="U26" i="28" s="1"/>
  <c r="V26" i="28" s="1"/>
  <c r="AY25" i="28"/>
  <c r="T25" i="28"/>
  <c r="U25" i="28" s="1"/>
  <c r="V25" i="28" s="1"/>
  <c r="T24" i="28"/>
  <c r="U24" i="28" s="1"/>
  <c r="V24" i="28" s="1"/>
  <c r="T23" i="28"/>
  <c r="U23" i="28" s="1"/>
  <c r="V23" i="28" s="1"/>
  <c r="T22" i="28"/>
  <c r="U22" i="28" s="1"/>
  <c r="V22" i="28" s="1"/>
  <c r="T21" i="28"/>
  <c r="U21" i="28" s="1"/>
  <c r="V21" i="28" s="1"/>
  <c r="T20" i="28"/>
  <c r="U20" i="28" s="1"/>
  <c r="V20" i="28" s="1"/>
  <c r="A20" i="28"/>
  <c r="A21" i="28" s="1"/>
  <c r="A22" i="28" s="1"/>
  <c r="A23" i="28" s="1"/>
  <c r="A24" i="28" s="1"/>
  <c r="A25" i="28" s="1"/>
  <c r="A26" i="28" s="1"/>
  <c r="A27" i="28" s="1"/>
  <c r="A28" i="28" s="1"/>
  <c r="A29" i="28" s="1"/>
  <c r="A30" i="28" s="1"/>
  <c r="A31" i="28" s="1"/>
  <c r="A32" i="28" s="1"/>
  <c r="A33" i="28" s="1"/>
  <c r="A34" i="28" s="1"/>
  <c r="A35" i="28" s="1"/>
  <c r="A36" i="28" s="1"/>
  <c r="A37" i="28" s="1"/>
  <c r="A38" i="28" s="1"/>
  <c r="A39" i="28" s="1"/>
  <c r="A40" i="28" s="1"/>
  <c r="A41" i="28" s="1"/>
  <c r="A42" i="28" s="1"/>
  <c r="A43" i="28" s="1"/>
  <c r="A44" i="28" s="1"/>
  <c r="A45" i="28" s="1"/>
  <c r="A46" i="28" s="1"/>
  <c r="A47" i="28" s="1"/>
  <c r="A48" i="28" s="1"/>
  <c r="A49" i="28" s="1"/>
  <c r="A50" i="28" s="1"/>
  <c r="A51" i="28" s="1"/>
  <c r="A52" i="28" s="1"/>
  <c r="A53" i="28" s="1"/>
  <c r="A54" i="28" s="1"/>
  <c r="A55" i="28" s="1"/>
  <c r="A56" i="28" s="1"/>
  <c r="A57" i="28" s="1"/>
  <c r="T19" i="28"/>
  <c r="U19" i="28" s="1"/>
  <c r="V19" i="28" s="1"/>
  <c r="T18" i="28"/>
  <c r="U18" i="28" s="1"/>
  <c r="V18" i="28" s="1"/>
  <c r="T17" i="28"/>
  <c r="U17" i="28" s="1"/>
  <c r="V17" i="28" s="1"/>
  <c r="T16" i="28"/>
  <c r="U16" i="28" s="1"/>
  <c r="V16" i="28" s="1"/>
  <c r="T15" i="28"/>
  <c r="U15" i="28" s="1"/>
  <c r="V15" i="28" s="1"/>
  <c r="T14" i="28"/>
  <c r="U14" i="28" s="1"/>
  <c r="V14" i="28" s="1"/>
  <c r="A14" i="28"/>
  <c r="A15" i="28" s="1"/>
  <c r="A16" i="28" s="1"/>
  <c r="A17" i="28" s="1"/>
  <c r="A18" i="28" s="1"/>
  <c r="T13" i="28"/>
  <c r="U13" i="28" s="1"/>
  <c r="V13" i="28" s="1"/>
  <c r="T12" i="28"/>
  <c r="U12" i="28"/>
  <c r="V12" i="28" s="1"/>
  <c r="T11" i="28"/>
  <c r="U11" i="28" s="1"/>
  <c r="V11" i="28" s="1"/>
  <c r="T10" i="28"/>
  <c r="U10" i="28" s="1"/>
  <c r="V10" i="28" s="1"/>
  <c r="T9" i="28"/>
  <c r="U9" i="28" s="1"/>
  <c r="V9" i="28" s="1"/>
  <c r="T8" i="28"/>
  <c r="U8" i="28"/>
  <c r="V8" i="28" s="1"/>
  <c r="A8" i="28"/>
  <c r="A9" i="28" s="1"/>
  <c r="A10" i="28" s="1"/>
  <c r="A11" i="28" s="1"/>
  <c r="T7" i="28"/>
  <c r="U7" i="28" s="1"/>
  <c r="C47" i="26"/>
  <c r="K43" i="26"/>
  <c r="J43" i="26"/>
  <c r="C43" i="26"/>
  <c r="C41" i="26"/>
  <c r="C40" i="26"/>
  <c r="C37" i="26"/>
  <c r="C34" i="26"/>
  <c r="C25" i="26"/>
  <c r="C12" i="26"/>
  <c r="C8" i="26"/>
  <c r="V7" i="29" l="1"/>
  <c r="V58" i="29" s="1"/>
  <c r="U58" i="29"/>
  <c r="T58" i="28"/>
  <c r="U58" i="28"/>
  <c r="C58" i="28"/>
  <c r="V7" i="28"/>
  <c r="V58" i="28" s="1"/>
  <c r="K47" i="24"/>
  <c r="C47" i="24"/>
  <c r="K43" i="24"/>
  <c r="J43" i="24"/>
  <c r="C43" i="24"/>
  <c r="C41" i="24"/>
  <c r="C40" i="24"/>
  <c r="C37" i="24"/>
  <c r="C34" i="24"/>
  <c r="C25" i="24"/>
  <c r="C12" i="24"/>
  <c r="C8" i="24"/>
  <c r="R58" i="26" l="1"/>
  <c r="Q58" i="26"/>
  <c r="P58" i="26"/>
  <c r="O58" i="26"/>
  <c r="N58" i="26"/>
  <c r="M58" i="26"/>
  <c r="K58" i="26"/>
  <c r="J58" i="26"/>
  <c r="I58" i="26"/>
  <c r="H58" i="26"/>
  <c r="G58" i="26"/>
  <c r="F58" i="26"/>
  <c r="C58" i="26"/>
  <c r="T54" i="26"/>
  <c r="U54" i="26" s="1"/>
  <c r="V54" i="26" s="1"/>
  <c r="T53" i="26"/>
  <c r="U53" i="26" s="1"/>
  <c r="V53" i="26" s="1"/>
  <c r="T52" i="26"/>
  <c r="U52" i="26" s="1"/>
  <c r="V52" i="26" s="1"/>
  <c r="U51" i="26"/>
  <c r="V51" i="26" s="1"/>
  <c r="T51" i="26"/>
  <c r="T50" i="26"/>
  <c r="U50" i="26" s="1"/>
  <c r="V50" i="26" s="1"/>
  <c r="T49" i="26"/>
  <c r="U49" i="26" s="1"/>
  <c r="V49" i="26" s="1"/>
  <c r="T48" i="26"/>
  <c r="U48" i="26" s="1"/>
  <c r="V48" i="26" s="1"/>
  <c r="T47" i="26"/>
  <c r="U47" i="26" s="1"/>
  <c r="V47" i="26" s="1"/>
  <c r="T46" i="26"/>
  <c r="U46" i="26" s="1"/>
  <c r="V46" i="26" s="1"/>
  <c r="T45" i="26"/>
  <c r="U45" i="26" s="1"/>
  <c r="V45" i="26" s="1"/>
  <c r="T43" i="26"/>
  <c r="U43" i="26" s="1"/>
  <c r="V43" i="26" s="1"/>
  <c r="T41" i="26"/>
  <c r="U41" i="26" s="1"/>
  <c r="V41" i="26" s="1"/>
  <c r="T40" i="26"/>
  <c r="U40" i="26" s="1"/>
  <c r="V40" i="26" s="1"/>
  <c r="T38" i="26"/>
  <c r="U38" i="26" s="1"/>
  <c r="V38" i="26" s="1"/>
  <c r="T37" i="26"/>
  <c r="U37" i="26" s="1"/>
  <c r="V37" i="26" s="1"/>
  <c r="U36" i="26"/>
  <c r="V36" i="26" s="1"/>
  <c r="T36" i="26"/>
  <c r="T35" i="26"/>
  <c r="U35" i="26" s="1"/>
  <c r="V35" i="26" s="1"/>
  <c r="T34" i="26"/>
  <c r="U34" i="26" s="1"/>
  <c r="V34" i="26" s="1"/>
  <c r="T33" i="26"/>
  <c r="U33" i="26" s="1"/>
  <c r="V33" i="26" s="1"/>
  <c r="U32" i="26"/>
  <c r="V32" i="26" s="1"/>
  <c r="T32" i="26"/>
  <c r="T31" i="26"/>
  <c r="U31" i="26" s="1"/>
  <c r="V31" i="26" s="1"/>
  <c r="T30" i="26"/>
  <c r="U30" i="26" s="1"/>
  <c r="V30" i="26" s="1"/>
  <c r="T29" i="26"/>
  <c r="U29" i="26" s="1"/>
  <c r="V29" i="26" s="1"/>
  <c r="U28" i="26"/>
  <c r="V28" i="26" s="1"/>
  <c r="T28" i="26"/>
  <c r="T26" i="26"/>
  <c r="U26" i="26" s="1"/>
  <c r="V26" i="26" s="1"/>
  <c r="AY25" i="26"/>
  <c r="T25" i="26"/>
  <c r="U25" i="26" s="1"/>
  <c r="V25" i="26" s="1"/>
  <c r="V24" i="26"/>
  <c r="U24" i="26"/>
  <c r="T24" i="26"/>
  <c r="T23" i="26"/>
  <c r="U23" i="26" s="1"/>
  <c r="V23" i="26" s="1"/>
  <c r="U22" i="26"/>
  <c r="V22" i="26" s="1"/>
  <c r="T22" i="26"/>
  <c r="T21" i="26"/>
  <c r="U21" i="26" s="1"/>
  <c r="V21" i="26" s="1"/>
  <c r="A21" i="26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U20" i="26"/>
  <c r="V20" i="26" s="1"/>
  <c r="T20" i="26"/>
  <c r="A20" i="26"/>
  <c r="T19" i="26"/>
  <c r="U19" i="26" s="1"/>
  <c r="V19" i="26" s="1"/>
  <c r="T18" i="26"/>
  <c r="U18" i="26" s="1"/>
  <c r="V18" i="26" s="1"/>
  <c r="T17" i="26"/>
  <c r="U17" i="26" s="1"/>
  <c r="V17" i="26" s="1"/>
  <c r="U16" i="26"/>
  <c r="V16" i="26" s="1"/>
  <c r="T16" i="26"/>
  <c r="T15" i="26"/>
  <c r="U15" i="26" s="1"/>
  <c r="V15" i="26" s="1"/>
  <c r="A15" i="26"/>
  <c r="A16" i="26" s="1"/>
  <c r="A17" i="26" s="1"/>
  <c r="A18" i="26" s="1"/>
  <c r="T14" i="26"/>
  <c r="U14" i="26" s="1"/>
  <c r="V14" i="26" s="1"/>
  <c r="A14" i="26"/>
  <c r="T13" i="26"/>
  <c r="U13" i="26" s="1"/>
  <c r="V13" i="26" s="1"/>
  <c r="T12" i="26"/>
  <c r="U12" i="26" s="1"/>
  <c r="V12" i="26" s="1"/>
  <c r="T11" i="26"/>
  <c r="U11" i="26" s="1"/>
  <c r="V11" i="26" s="1"/>
  <c r="T10" i="26"/>
  <c r="U10" i="26" s="1"/>
  <c r="V10" i="26" s="1"/>
  <c r="T9" i="26"/>
  <c r="U9" i="26" s="1"/>
  <c r="V9" i="26" s="1"/>
  <c r="T8" i="26"/>
  <c r="U8" i="26" s="1"/>
  <c r="V8" i="26" s="1"/>
  <c r="A8" i="26"/>
  <c r="A9" i="26" s="1"/>
  <c r="A10" i="26" s="1"/>
  <c r="A11" i="26" s="1"/>
  <c r="T7" i="26"/>
  <c r="T58" i="26" l="1"/>
  <c r="U7" i="26"/>
  <c r="C47" i="25"/>
  <c r="K43" i="25"/>
  <c r="T43" i="25" s="1"/>
  <c r="J43" i="25"/>
  <c r="C43" i="25"/>
  <c r="C41" i="25"/>
  <c r="C40" i="25"/>
  <c r="C38" i="25"/>
  <c r="C37" i="25"/>
  <c r="C34" i="25"/>
  <c r="C25" i="25"/>
  <c r="C12" i="25"/>
  <c r="C10" i="25"/>
  <c r="C8" i="25"/>
  <c r="R58" i="25"/>
  <c r="Q58" i="25"/>
  <c r="P58" i="25"/>
  <c r="O58" i="25"/>
  <c r="N58" i="25"/>
  <c r="M58" i="25"/>
  <c r="K58" i="25"/>
  <c r="J58" i="25"/>
  <c r="I58" i="25"/>
  <c r="H58" i="25"/>
  <c r="G58" i="25"/>
  <c r="F58" i="25"/>
  <c r="T54" i="25"/>
  <c r="U54" i="25" s="1"/>
  <c r="V54" i="25" s="1"/>
  <c r="U53" i="25"/>
  <c r="V53" i="25" s="1"/>
  <c r="T53" i="25"/>
  <c r="T52" i="25"/>
  <c r="U52" i="25" s="1"/>
  <c r="V52" i="25" s="1"/>
  <c r="T51" i="25"/>
  <c r="U51" i="25" s="1"/>
  <c r="V51" i="25" s="1"/>
  <c r="T50" i="25"/>
  <c r="U50" i="25" s="1"/>
  <c r="V50" i="25" s="1"/>
  <c r="U49" i="25"/>
  <c r="V49" i="25" s="1"/>
  <c r="T49" i="25"/>
  <c r="T48" i="25"/>
  <c r="U48" i="25" s="1"/>
  <c r="V48" i="25" s="1"/>
  <c r="T47" i="25"/>
  <c r="T46" i="25"/>
  <c r="U46" i="25" s="1"/>
  <c r="V46" i="25" s="1"/>
  <c r="U45" i="25"/>
  <c r="V45" i="25" s="1"/>
  <c r="T45" i="25"/>
  <c r="T41" i="25"/>
  <c r="U41" i="25" s="1"/>
  <c r="V41" i="25" s="1"/>
  <c r="T40" i="25"/>
  <c r="U38" i="25"/>
  <c r="V38" i="25" s="1"/>
  <c r="T38" i="25"/>
  <c r="T37" i="25"/>
  <c r="T36" i="25"/>
  <c r="U36" i="25" s="1"/>
  <c r="V36" i="25" s="1"/>
  <c r="T35" i="25"/>
  <c r="U35" i="25" s="1"/>
  <c r="V35" i="25" s="1"/>
  <c r="T34" i="25"/>
  <c r="U34" i="25" s="1"/>
  <c r="V34" i="25" s="1"/>
  <c r="T33" i="25"/>
  <c r="U33" i="25" s="1"/>
  <c r="V33" i="25" s="1"/>
  <c r="T32" i="25"/>
  <c r="U32" i="25" s="1"/>
  <c r="V32" i="25" s="1"/>
  <c r="T31" i="25"/>
  <c r="U31" i="25" s="1"/>
  <c r="V31" i="25" s="1"/>
  <c r="U30" i="25"/>
  <c r="V30" i="25" s="1"/>
  <c r="T30" i="25"/>
  <c r="T29" i="25"/>
  <c r="U29" i="25" s="1"/>
  <c r="V29" i="25" s="1"/>
  <c r="T28" i="25"/>
  <c r="U28" i="25" s="1"/>
  <c r="V28" i="25" s="1"/>
  <c r="U26" i="25"/>
  <c r="V26" i="25" s="1"/>
  <c r="T26" i="25"/>
  <c r="AY25" i="25"/>
  <c r="T25" i="25"/>
  <c r="T24" i="25"/>
  <c r="U24" i="25" s="1"/>
  <c r="V24" i="25" s="1"/>
  <c r="T23" i="25"/>
  <c r="U23" i="25" s="1"/>
  <c r="V23" i="25" s="1"/>
  <c r="T22" i="25"/>
  <c r="U22" i="25" s="1"/>
  <c r="V22" i="25" s="1"/>
  <c r="U21" i="25"/>
  <c r="V21" i="25" s="1"/>
  <c r="T21" i="25"/>
  <c r="T20" i="25"/>
  <c r="U20" i="25" s="1"/>
  <c r="V20" i="25" s="1"/>
  <c r="A20" i="25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T19" i="25"/>
  <c r="U19" i="25" s="1"/>
  <c r="V19" i="25" s="1"/>
  <c r="U18" i="25"/>
  <c r="V18" i="25" s="1"/>
  <c r="T18" i="25"/>
  <c r="T17" i="25"/>
  <c r="U17" i="25" s="1"/>
  <c r="V17" i="25" s="1"/>
  <c r="T16" i="25"/>
  <c r="U16" i="25" s="1"/>
  <c r="V16" i="25" s="1"/>
  <c r="T15" i="25"/>
  <c r="U15" i="25" s="1"/>
  <c r="V15" i="25" s="1"/>
  <c r="U14" i="25"/>
  <c r="V14" i="25" s="1"/>
  <c r="T14" i="25"/>
  <c r="A14" i="25"/>
  <c r="A15" i="25" s="1"/>
  <c r="A16" i="25" s="1"/>
  <c r="A17" i="25" s="1"/>
  <c r="A18" i="25" s="1"/>
  <c r="T13" i="25"/>
  <c r="U13" i="25" s="1"/>
  <c r="V13" i="25" s="1"/>
  <c r="T12" i="25"/>
  <c r="T11" i="25"/>
  <c r="U11" i="25" s="1"/>
  <c r="V11" i="25" s="1"/>
  <c r="T10" i="25"/>
  <c r="U10" i="25" s="1"/>
  <c r="V10" i="25" s="1"/>
  <c r="U9" i="25"/>
  <c r="V9" i="25" s="1"/>
  <c r="T9" i="25"/>
  <c r="T8" i="25"/>
  <c r="A8" i="25"/>
  <c r="A9" i="25" s="1"/>
  <c r="A10" i="25" s="1"/>
  <c r="A11" i="25" s="1"/>
  <c r="T7" i="25"/>
  <c r="U7" i="25" s="1"/>
  <c r="U58" i="26" l="1"/>
  <c r="V7" i="26"/>
  <c r="V58" i="26" s="1"/>
  <c r="U47" i="25"/>
  <c r="V47" i="25" s="1"/>
  <c r="U43" i="25"/>
  <c r="V43" i="25" s="1"/>
  <c r="U40" i="25"/>
  <c r="V40" i="25" s="1"/>
  <c r="U37" i="25"/>
  <c r="V37" i="25" s="1"/>
  <c r="U25" i="25"/>
  <c r="V25" i="25" s="1"/>
  <c r="C58" i="25"/>
  <c r="U12" i="25"/>
  <c r="V12" i="25" s="1"/>
  <c r="U8" i="25"/>
  <c r="V8" i="25" s="1"/>
  <c r="V7" i="25"/>
  <c r="T58" i="25"/>
  <c r="R58" i="24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 s="1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 s="1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 s="1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V58" i="25" l="1"/>
  <c r="U58" i="25"/>
  <c r="T58" i="24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<sst xmlns="http://schemas.openxmlformats.org/spreadsheetml/2006/main" count="1991" uniqueCount="104">
  <si>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</si>
  <si>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</si>
  <si>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</si>
  <si>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</si>
  <si>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</si>
  <si>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</si>
  <si>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</si>
  <si>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</si>
  <si>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</si>
  <si>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</si>
  <si>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</si>
  <si>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</si>
  <si>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</si>
  <si>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</si>
  <si>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</si>
  <si>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</si>
  <si>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</si>
  <si>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</si>
  <si>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</si>
  <si>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</si>
  <si>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</si>
  <si>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</si>
  <si>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</si>
  <si>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</si>
  <si>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</si>
  <si>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</si>
  <si>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</si>
  <si>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</si>
  <si>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</si>
  <si>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</si>
  <si>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</si>
  <si>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</si>
  <si>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</si>
  <si>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</si>
  <si>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</si>
  <si>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</si>
  <si>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</si>
  <si>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</si>
  <si>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</si>
  <si>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</si>
  <si>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</si>
  <si>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</si>
  <si>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</si>
  <si>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</si>
  <si>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</si>
  <si>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</si>
  <si>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</si>
  <si>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</si>
  <si>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</si>
  <si>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</si>
  <si>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</si>
  <si>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</si>
  <si>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</si>
  <si>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</si>
  <si>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</si>
  <si>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</si>
  <si>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</si>
  <si>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</si>
  <si>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</si>
  <si>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</si>
  <si>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</si>
  <si>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</si>
  <si>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</si>
  <si>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</si>
  <si>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</si>
  <si>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</si>
  <si>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</si>
  <si>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</si>
  <si>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</si>
  <si>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</si>
  <si>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</si>
  <si>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</si>
  <si>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</si>
  <si>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</si>
  <si>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</si>
  <si>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</si>
  <si>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</si>
  <si>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</si>
  <si>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</si>
  <si>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</si>
  <si>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</si>
  <si>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</si>
  <si>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</si>
  <si>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</si>
  <si>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</si>
  <si>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</si>
  <si>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</si>
  <si>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</si>
  <si>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</si>
  <si>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</si>
  <si>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</si>
  <si>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</si>
  <si>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</si>
  <si>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</si>
  <si>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</si>
  <si>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</si>
  <si>
    <t>DATE: 02/18/2026</t>
  </si>
  <si>
    <t>DATE: 02/19/2026</t>
  </si>
  <si>
    <t>DATE: 02/20/2026</t>
  </si>
  <si>
    <t>DATE: 02/21/2026</t>
  </si>
  <si>
    <t>DATE: 02/23/2026</t>
  </si>
  <si>
    <t>DATE: 02/25/2026</t>
  </si>
  <si>
    <t>DATE: 02/26/2026</t>
  </si>
  <si>
    <t>DATE: 02/27/2026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</si>
</sst>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207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166" fontId="19" fillId="0" borderId="9" xfId="3" applyNumberFormat="1" applyFont="1" applyFill="1" applyBorder="1" applyAlignment="1">
      <alignment vertical="center"/>
    </xf>
    <xf numFmtId="166" fontId="19" fillId="0" borderId="55" xfId="3" applyNumberFormat="1" applyFont="1" applyFill="1" applyBorder="1" applyAlignment="1">
      <alignment vertical="center"/>
    </xf>
    <xf numFmtId="166" fontId="19" fillId="0" borderId="21" xfId="3" applyNumberFormat="1" applyFont="1" applyFill="1" applyBorder="1" applyAlignment="1">
      <alignment vertical="center"/>
    </xf>
    <xf numFmtId="0" fontId="19" fillId="0" borderId="0" xfId="2" applyFont="1" applyFill="1" applyAlignment="1">
      <alignment vertical="center"/>
    </xf>
    <xf numFmtId="166" fontId="19" fillId="0" borderId="8" xfId="3" applyNumberFormat="1" applyFont="1" applyFill="1" applyBorder="1" applyAlignment="1">
      <alignment vertical="center"/>
    </xf>
    <xf numFmtId="166" fontId="19" fillId="0" borderId="61" xfId="3" applyNumberFormat="1" applyFont="1" applyFill="1" applyBorder="1" applyAlignment="1">
      <alignment vertical="center"/>
    </xf>
    <xf numFmtId="166" fontId="19" fillId="0" borderId="39" xfId="3" applyNumberFormat="1" applyFont="1" applyFill="1" applyBorder="1" applyAlignment="1">
      <alignment vertical="center"/>
    </xf>
    <xf numFmtId="166" fontId="19" fillId="0" borderId="41" xfId="3" applyNumberFormat="1" applyFont="1" applyFill="1" applyBorder="1" applyAlignment="1">
      <alignment vertical="center"/>
    </xf>
    <xf numFmtId="166" fontId="19" fillId="0" borderId="56" xfId="3" applyNumberFormat="1" applyFont="1" applyFill="1" applyBorder="1" applyAlignment="1">
      <alignment vertical="center"/>
    </xf>
    <xf numFmtId="166" fontId="19" fillId="0" borderId="42" xfId="3" applyNumberFormat="1" applyFont="1" applyFill="1" applyBorder="1" applyAlignment="1">
      <alignment vertical="center"/>
    </xf>
    <xf numFmtId="0" fontId="19" fillId="0" borderId="48" xfId="2" applyFont="1" applyFill="1" applyBorder="1" applyAlignment="1">
      <alignment vertical="center"/>
    </xf>
    <xf numFmtId="166" fontId="19" fillId="0" borderId="49" xfId="3" applyNumberFormat="1" applyFont="1" applyFill="1" applyBorder="1" applyAlignment="1">
      <alignment vertical="center"/>
    </xf>
    <xf numFmtId="166" fontId="19" fillId="0" borderId="62" xfId="3" applyNumberFormat="1" applyFont="1" applyFill="1" applyBorder="1" applyAlignment="1">
      <alignment vertical="center"/>
    </xf>
    <xf numFmtId="166" fontId="19" fillId="0" borderId="43" xfId="3" applyNumberFormat="1" applyFont="1" applyFill="1" applyBorder="1" applyAlignment="1">
      <alignment vertical="center"/>
    </xf>
    <xf numFmtId="166" fontId="19" fillId="0" borderId="59" xfId="3" applyNumberFormat="1" applyFont="1" applyFill="1" applyBorder="1" applyAlignment="1">
      <alignment vertical="center"/>
    </xf>
    <xf numFmtId="166" fontId="19" fillId="0" borderId="44" xfId="3" applyNumberFormat="1" applyFont="1" applyFill="1" applyBorder="1" applyAlignment="1">
      <alignment vertical="center"/>
    </xf>
    <xf numFmtId="166" fontId="19" fillId="0" borderId="68" xfId="3" applyNumberFormat="1" applyFont="1" applyFill="1" applyBorder="1" applyAlignment="1">
      <alignment vertical="center"/>
    </xf>
    <xf numFmtId="166" fontId="19" fillId="0" borderId="67" xfId="3" applyNumberFormat="1" applyFont="1" applyFill="1" applyBorder="1" applyAlignment="1">
      <alignment vertical="center"/>
    </xf>
    <xf numFmtId="166" fontId="19" fillId="0" borderId="27" xfId="3" applyNumberFormat="1" applyFont="1" applyFill="1" applyBorder="1" applyAlignment="1">
      <alignment vertical="center"/>
    </xf>
    <xf numFmtId="166" fontId="19" fillId="0" borderId="57" xfId="3" applyNumberFormat="1" applyFont="1" applyFill="1" applyBorder="1" applyAlignment="1">
      <alignment vertical="center"/>
    </xf>
    <xf numFmtId="166" fontId="19" fillId="0" borderId="28" xfId="3" applyNumberFormat="1" applyFont="1" applyFill="1" applyBorder="1" applyAlignment="1">
      <alignment vertical="center"/>
    </xf>
    <xf numFmtId="166" fontId="19" fillId="0" borderId="26" xfId="3" applyNumberFormat="1" applyFont="1" applyFill="1" applyBorder="1" applyAlignment="1">
      <alignment vertical="center"/>
    </xf>
    <xf numFmtId="166" fontId="19" fillId="0" borderId="63" xfId="3" applyNumberFormat="1" applyFont="1" applyFill="1" applyBorder="1" applyAlignment="1">
      <alignment vertical="center"/>
    </xf>
    <xf numFmtId="166" fontId="19" fillId="0" borderId="33" xfId="3" applyNumberFormat="1" applyFont="1" applyFill="1" applyBorder="1" applyAlignment="1">
      <alignment vertical="center"/>
    </xf>
    <xf numFmtId="166" fontId="19" fillId="0" borderId="66" xfId="3" applyNumberFormat="1" applyFont="1" applyFill="1" applyBorder="1" applyAlignment="1">
      <alignment vertical="center"/>
    </xf>
    <xf numFmtId="166" fontId="19" fillId="0" borderId="50" xfId="3" applyNumberFormat="1" applyFont="1" applyFill="1" applyBorder="1" applyAlignment="1">
      <alignment vertical="center"/>
    </xf>
    <xf numFmtId="166" fontId="19" fillId="0" borderId="70" xfId="3" applyNumberFormat="1" applyFont="1" applyFill="1" applyBorder="1" applyAlignment="1">
      <alignment vertical="center"/>
    </xf>
    <xf numFmtId="166" fontId="19" fillId="0" borderId="71" xfId="3" applyNumberFormat="1" applyFont="1" applyFill="1" applyBorder="1" applyAlignment="1">
      <alignment vertical="center"/>
    </xf>
    <xf numFmtId="166" fontId="19" fillId="0" borderId="72" xfId="3" applyNumberFormat="1" applyFont="1" applyFill="1" applyBorder="1" applyAlignment="1">
      <alignment vertical="center"/>
    </xf>
    <xf numFmtId="166" fontId="19" fillId="0" borderId="69" xfId="3" applyNumberFormat="1" applyFont="1" applyFill="1" applyBorder="1" applyAlignment="1">
      <alignment vertical="center"/>
    </xf>
    <xf numFmtId="166" fontId="19" fillId="0" borderId="73" xfId="3" applyNumberFormat="1" applyFont="1" applyFill="1" applyBorder="1" applyAlignment="1">
      <alignment vertical="center"/>
    </xf>
    <xf numFmtId="166" fontId="19" fillId="0" borderId="11" xfId="3" applyNumberFormat="1" applyFont="1" applyFill="1" applyBorder="1" applyAlignment="1">
      <alignment vertical="center"/>
    </xf>
    <xf numFmtId="166" fontId="19" fillId="0" borderId="46" xfId="3" applyNumberFormat="1" applyFont="1" applyFill="1" applyBorder="1" applyAlignment="1">
      <alignment vertical="center"/>
    </xf>
    <xf numFmtId="166" fontId="19" fillId="0" borderId="58" xfId="3" applyNumberFormat="1" applyFont="1" applyFill="1" applyBorder="1" applyAlignment="1">
      <alignment vertical="center"/>
    </xf>
    <xf numFmtId="166" fontId="19" fillId="0" borderId="47" xfId="3" applyNumberFormat="1" applyFont="1" applyFill="1" applyBorder="1" applyAlignment="1">
      <alignment vertical="center"/>
    </xf>
    <xf numFmtId="0" fontId="19" fillId="0" borderId="51" xfId="2" applyFont="1" applyFill="1" applyBorder="1" applyAlignment="1">
      <alignment vertical="center"/>
    </xf>
    <xf numFmtId="166" fontId="19" fillId="0" borderId="45" xfId="3" applyNumberFormat="1" applyFont="1" applyFill="1" applyBorder="1" applyAlignment="1">
      <alignment vertical="center"/>
    </xf>
    <xf numFmtId="166" fontId="19" fillId="0" borderId="64" xfId="3" applyNumberFormat="1" applyFont="1" applyFill="1" applyBorder="1" applyAlignment="1">
      <alignment vertical="center"/>
    </xf>
    <xf numFmtId="166" fontId="19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166" fontId="13" fillId="3" borderId="34" xfId="2" applyNumberFormat="1" applyFont="1" applyFill="1" applyBorder="1" applyAlignment="1">
      <alignment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90" t="s">
        <v>39</v>
      </c>
      <c r="B21" s="187" t="s">
        <v>18</v>
      </c>
      <c r="C21" s="188"/>
      <c r="D21" s="189"/>
      <c r="E21" s="187" t="s">
        <v>40</v>
      </c>
      <c r="F21" s="188"/>
      <c r="G21" s="189"/>
      <c r="H21" s="187" t="s">
        <v>41</v>
      </c>
      <c r="I21" s="188"/>
      <c r="J21" s="189"/>
      <c r="K21" s="187" t="s">
        <v>42</v>
      </c>
      <c r="L21" s="188"/>
      <c r="M21" s="189"/>
      <c r="N21" s="187" t="s">
        <v>43</v>
      </c>
      <c r="O21" s="188"/>
      <c r="P21" s="189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91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97" t="s">
        <v>53</v>
      </c>
      <c r="I1" s="197"/>
      <c r="J1" s="197"/>
      <c r="K1" s="197"/>
      <c r="L1" s="197"/>
      <c r="M1" s="197"/>
      <c r="N1" s="197"/>
      <c r="O1" s="197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3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6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topLeftCell="A31"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27"/>
      <c r="Q5" s="127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28"/>
      <c r="Q5" s="128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28"/>
      <c r="Q5" s="128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28"/>
      <c r="Q5" s="128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28"/>
      <c r="Q5" s="128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28"/>
      <c r="Q5" s="128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28"/>
      <c r="Q5" s="128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29"/>
      <c r="Q5" s="129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29"/>
      <c r="Q5" s="129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08"/>
      <c r="Q5" s="108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29"/>
      <c r="Q5" s="129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94" t="s">
        <v>49</v>
      </c>
      <c r="D59" s="195"/>
      <c r="E59" s="195"/>
      <c r="F59" s="195"/>
      <c r="G59" s="195"/>
      <c r="H59" s="195"/>
      <c r="I59" s="195"/>
      <c r="J59" s="195"/>
      <c r="K59" s="196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Q11" sqref="Q11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30"/>
      <c r="Q5" s="130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31"/>
      <c r="Q5" s="131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0FAF-93FD-4661-8F84-CB345153E478}">
  <sheetPr>
    <pageSetUpPr fitToPage="1"/>
  </sheetPr>
  <dimension ref="A1:BB81"/>
  <sheetViews>
    <sheetView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40"/>
      <c r="Q5" s="140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0"/>
      <c r="K6" s="89"/>
      <c r="M6" s="87"/>
      <c r="N6" s="118"/>
      <c r="O6" s="92"/>
      <c r="P6" s="140"/>
      <c r="Q6" s="14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59</f>
        <v>59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2</v>
      </c>
      <c r="P10" s="111"/>
      <c r="Q10" s="111"/>
      <c r="R10" s="46"/>
      <c r="T10" s="91">
        <f t="shared" si="0"/>
        <v>0</v>
      </c>
      <c r="U10" s="91">
        <f t="shared" si="2"/>
        <v>1464</v>
      </c>
      <c r="V10" s="91">
        <f t="shared" si="3"/>
        <v>61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72+1368+16+1440+576</f>
        <v>3472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8</v>
      </c>
      <c r="O12" s="97">
        <v>10</v>
      </c>
      <c r="P12" s="113">
        <v>18</v>
      </c>
      <c r="Q12" s="113">
        <v>19</v>
      </c>
      <c r="R12" s="98">
        <v>12</v>
      </c>
      <c r="S12" s="102"/>
      <c r="T12" s="91">
        <f t="shared" si="0"/>
        <v>38</v>
      </c>
      <c r="U12" s="124">
        <f>C12*24+M12*24+O12*24+Q12*24+T12</f>
        <v>84326</v>
      </c>
      <c r="V12" s="124">
        <f>U12/24</f>
        <v>3513.5833333333335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63+19+1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32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1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888</v>
      </c>
      <c r="V28" s="50">
        <f t="shared" si="5"/>
        <v>37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2376+1836+14</f>
        <v>4226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30</v>
      </c>
      <c r="N37" s="120"/>
      <c r="O37" s="97">
        <v>34</v>
      </c>
      <c r="P37" s="113"/>
      <c r="Q37" s="113">
        <v>81</v>
      </c>
      <c r="R37" s="98"/>
      <c r="S37" s="102"/>
      <c r="T37" s="104">
        <f t="shared" si="0"/>
        <v>8</v>
      </c>
      <c r="U37" s="104">
        <f>C37*6+M37*6+O37*6+Q37*6+T37</f>
        <v>26234</v>
      </c>
      <c r="V37" s="104">
        <f>U37/6</f>
        <v>4372.333333333333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1632+8</f>
        <v>1640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10</v>
      </c>
      <c r="N41" s="122"/>
      <c r="O41" s="100">
        <v>6</v>
      </c>
      <c r="P41" s="112"/>
      <c r="Q41" s="112">
        <v>20</v>
      </c>
      <c r="R41" s="101"/>
      <c r="S41" s="105"/>
      <c r="T41" s="107">
        <f t="shared" si="0"/>
        <v>0</v>
      </c>
      <c r="U41" s="107">
        <f>C41*12+M41*12+O41*12+Q41*12+T41</f>
        <v>20112</v>
      </c>
      <c r="V41" s="107">
        <f>U41/12</f>
        <v>1676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6048+5076+6372+5400+7128+1</f>
        <v>30025</v>
      </c>
      <c r="D43" s="97"/>
      <c r="E43" s="97"/>
      <c r="F43" s="97"/>
      <c r="G43" s="97"/>
      <c r="H43" s="97">
        <v>1</v>
      </c>
      <c r="I43" s="97">
        <v>6</v>
      </c>
      <c r="J43" s="113">
        <f>11*6+4</f>
        <v>70</v>
      </c>
      <c r="K43" s="98">
        <f>75*6+4</f>
        <v>454</v>
      </c>
      <c r="L43" s="102"/>
      <c r="M43" s="103">
        <v>305</v>
      </c>
      <c r="N43" s="120"/>
      <c r="O43" s="97">
        <v>358</v>
      </c>
      <c r="P43" s="113"/>
      <c r="Q43" s="113">
        <v>432</v>
      </c>
      <c r="R43" s="98"/>
      <c r="S43" s="102"/>
      <c r="T43" s="104">
        <f t="shared" ref="T43" si="6">H43+I43+J43+K43+N43+P43+R43</f>
        <v>531</v>
      </c>
      <c r="U43" s="104">
        <f>C43*6+M43*6+O43*6+Q43*6+T43</f>
        <v>187251</v>
      </c>
      <c r="V43" s="104">
        <f>U43/6</f>
        <v>31208.5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42967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8</v>
      </c>
      <c r="J58" s="54">
        <f t="shared" si="11"/>
        <v>74</v>
      </c>
      <c r="K58" s="54">
        <f t="shared" si="11"/>
        <v>486</v>
      </c>
      <c r="M58" s="53">
        <f t="shared" ref="M58:R58" si="12">SUM(M7:M57)</f>
        <v>375</v>
      </c>
      <c r="N58" s="53">
        <f t="shared" si="12"/>
        <v>44</v>
      </c>
      <c r="O58" s="53">
        <f t="shared" si="12"/>
        <v>426</v>
      </c>
      <c r="P58" s="53">
        <f t="shared" si="12"/>
        <v>20</v>
      </c>
      <c r="Q58" s="53">
        <f t="shared" si="12"/>
        <v>574</v>
      </c>
      <c r="R58" s="53">
        <f t="shared" si="12"/>
        <v>12</v>
      </c>
      <c r="S58" s="57"/>
      <c r="T58" s="51">
        <f>SUM(T7:T57)</f>
        <v>700</v>
      </c>
      <c r="U58" s="51">
        <f>SUM(U7:U57)</f>
        <v>362794</v>
      </c>
      <c r="V58" s="51">
        <f>SUM(V7:V57)</f>
        <v>44439.916666666672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96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39"/>
      <c r="Q5" s="139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26</v>
      </c>
      <c r="D7" s="48"/>
      <c r="E7" s="48"/>
      <c r="F7" s="48"/>
      <c r="G7" s="48"/>
      <c r="H7" s="48">
        <v>5</v>
      </c>
      <c r="I7" s="48">
        <v>1</v>
      </c>
      <c r="J7" s="109"/>
      <c r="K7" s="69">
        <v>6</v>
      </c>
      <c r="M7" s="88">
        <v>2</v>
      </c>
      <c r="N7" s="119">
        <v>12</v>
      </c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63+30</f>
        <v>93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>
        <v>1</v>
      </c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58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1416</v>
      </c>
      <c r="V10" s="91">
        <f t="shared" si="3"/>
        <v>59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72+1368+6+1440+576</f>
        <v>3462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9</v>
      </c>
      <c r="N12" s="120"/>
      <c r="O12" s="97">
        <v>9</v>
      </c>
      <c r="P12" s="113">
        <v>12</v>
      </c>
      <c r="Q12" s="113">
        <v>14</v>
      </c>
      <c r="R12" s="98">
        <v>8</v>
      </c>
      <c r="S12" s="102"/>
      <c r="T12" s="91">
        <f t="shared" si="0"/>
        <v>20</v>
      </c>
      <c r="U12" s="124">
        <f>C12*24+M12*24+O12*24+Q12*24+T12</f>
        <v>83876</v>
      </c>
      <c r="V12" s="124">
        <f>U12/24</f>
        <v>3494.8333333333335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63+20</f>
        <v>83</v>
      </c>
      <c r="D25" s="47"/>
      <c r="E25" s="47"/>
      <c r="F25" s="47"/>
      <c r="G25" s="47"/>
      <c r="H25" s="47">
        <v>10</v>
      </c>
      <c r="I25" s="47">
        <v>1</v>
      </c>
      <c r="J25" s="111"/>
      <c r="K25" s="46"/>
      <c r="M25" s="52">
        <v>2</v>
      </c>
      <c r="N25" s="121">
        <v>12</v>
      </c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30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2</v>
      </c>
      <c r="R28" s="46"/>
      <c r="S28" s="57"/>
      <c r="T28" s="91">
        <f t="shared" si="0"/>
        <v>0</v>
      </c>
      <c r="U28" s="50">
        <f t="shared" si="4"/>
        <v>864</v>
      </c>
      <c r="V28" s="50">
        <f t="shared" si="5"/>
        <v>36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>
        <v>1</v>
      </c>
      <c r="R30" s="46"/>
      <c r="T30" s="91">
        <f t="shared" si="0"/>
        <v>0</v>
      </c>
      <c r="U30" s="50">
        <f t="shared" si="4"/>
        <v>1512</v>
      </c>
      <c r="V30" s="50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72+19+6</f>
        <v>97</v>
      </c>
      <c r="D34" s="47"/>
      <c r="E34" s="47"/>
      <c r="F34" s="47"/>
      <c r="G34" s="47"/>
      <c r="H34" s="47">
        <v>4</v>
      </c>
      <c r="I34" s="47"/>
      <c r="J34" s="111"/>
      <c r="K34" s="46">
        <v>1</v>
      </c>
      <c r="M34" s="52">
        <v>2</v>
      </c>
      <c r="N34" s="121">
        <v>12</v>
      </c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2513</v>
      </c>
      <c r="V34" s="50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2376+1728+25</f>
        <v>4129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</v>
      </c>
      <c r="N37" s="120"/>
      <c r="O37" s="97">
        <v>30</v>
      </c>
      <c r="P37" s="113"/>
      <c r="Q37" s="113">
        <v>107</v>
      </c>
      <c r="R37" s="98"/>
      <c r="S37" s="102"/>
      <c r="T37" s="104">
        <f t="shared" si="0"/>
        <v>8</v>
      </c>
      <c r="U37" s="104">
        <f>C37*6+M37*6+O37*6+Q37*6+T37</f>
        <v>25616</v>
      </c>
      <c r="V37" s="104">
        <f>U37/6</f>
        <v>4269.333333333333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1+693</f>
        <v>694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>
        <v>1</v>
      </c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1536+81</f>
        <v>1617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>
        <v>4</v>
      </c>
      <c r="N41" s="122"/>
      <c r="O41" s="100">
        <v>12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19776</v>
      </c>
      <c r="V41" s="107">
        <f>U41/12</f>
        <v>1648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6048+4536+6372+5400+7128</f>
        <v>29484</v>
      </c>
      <c r="D43" s="97"/>
      <c r="E43" s="97"/>
      <c r="F43" s="97"/>
      <c r="G43" s="97"/>
      <c r="H43" s="97">
        <v>2</v>
      </c>
      <c r="I43" s="97">
        <v>6</v>
      </c>
      <c r="J43" s="113">
        <f>12*6+3</f>
        <v>75</v>
      </c>
      <c r="K43" s="98">
        <f>75*6+4</f>
        <v>454</v>
      </c>
      <c r="L43" s="102"/>
      <c r="M43" s="103">
        <v>2</v>
      </c>
      <c r="N43" s="120"/>
      <c r="O43" s="97">
        <v>282</v>
      </c>
      <c r="P43" s="113"/>
      <c r="Q43" s="113">
        <v>384</v>
      </c>
      <c r="R43" s="98"/>
      <c r="S43" s="102"/>
      <c r="T43" s="104">
        <f t="shared" ref="T43" si="6">H43+I43+J43+K43+N43+P43+R43</f>
        <v>537</v>
      </c>
      <c r="U43" s="104">
        <f>C43*6+M43*6+O43*6+Q43*6+T43</f>
        <v>181449</v>
      </c>
      <c r="V43" s="104">
        <f>U43/6</f>
        <v>30241.5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24+2268+44</f>
        <v>2336</v>
      </c>
      <c r="D47" s="47"/>
      <c r="E47" s="47"/>
      <c r="F47" s="47"/>
      <c r="G47" s="47"/>
      <c r="H47" s="47"/>
      <c r="I47" s="47"/>
      <c r="J47" s="111"/>
      <c r="K47" s="46">
        <f>6</f>
        <v>6</v>
      </c>
      <c r="M47" s="52">
        <v>10</v>
      </c>
      <c r="N47" s="121"/>
      <c r="O47" s="47">
        <v>8</v>
      </c>
      <c r="P47" s="111">
        <v>5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48</v>
      </c>
      <c r="V53" s="50">
        <f t="shared" si="9"/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42290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79</v>
      </c>
      <c r="K58" s="54">
        <f t="shared" si="11"/>
        <v>486</v>
      </c>
      <c r="M58" s="53">
        <f t="shared" ref="M58:R58" si="12">SUM(M7:M57)</f>
        <v>36</v>
      </c>
      <c r="N58" s="53">
        <f t="shared" si="12"/>
        <v>36</v>
      </c>
      <c r="O58" s="53">
        <f t="shared" si="12"/>
        <v>353</v>
      </c>
      <c r="P58" s="53">
        <f t="shared" si="12"/>
        <v>17</v>
      </c>
      <c r="Q58" s="53">
        <f t="shared" si="12"/>
        <v>542</v>
      </c>
      <c r="R58" s="53">
        <f t="shared" si="12"/>
        <v>8</v>
      </c>
      <c r="S58" s="57"/>
      <c r="T58" s="51">
        <f>SUM(T7:T57)</f>
        <v>688</v>
      </c>
      <c r="U58" s="51">
        <f>SUM(U7:U57)</f>
        <v>355492</v>
      </c>
      <c r="V58" s="51">
        <f>SUM(V7:V57)</f>
        <v>43319.166666666672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C4C9-0152-4EDD-8366-FCE42DBB1118}">
  <sheetPr>
    <pageSetUpPr fitToPage="1"/>
  </sheetPr>
  <dimension ref="A1:BB81"/>
  <sheetViews>
    <sheetView zoomScaleNormal="100" zoomScaleSheetLayoutView="115" workbookViewId="0">
      <selection activeCell="T7" sqref="T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97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41"/>
      <c r="Q5" s="141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1"/>
      <c r="K6" s="89"/>
      <c r="M6" s="87"/>
      <c r="N6" s="118"/>
      <c r="O6" s="92"/>
      <c r="P6" s="141"/>
      <c r="Q6" s="14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2</v>
      </c>
      <c r="N7" s="149">
        <v>12</v>
      </c>
      <c r="O7" s="144">
        <v>3</v>
      </c>
      <c r="P7" s="145"/>
      <c r="Q7" s="145">
        <v>2</v>
      </c>
      <c r="R7" s="146"/>
      <c r="S7" s="147"/>
      <c r="T7" s="150">
        <f>H7+I7+J7+K7+N7+P7+R7</f>
        <v>24</v>
      </c>
      <c r="U7" s="150">
        <f>C7*24+M7*24+O7*24+Q7*24+T7</f>
        <v>792</v>
      </c>
      <c r="V7" s="150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63+30</f>
        <v>93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2256</v>
      </c>
      <c r="V8" s="161">
        <f>U8/24</f>
        <v>94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>
        <v>4</v>
      </c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1392</v>
      </c>
      <c r="V10" s="150">
        <f t="shared" si="3"/>
        <v>58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72+1296+53+1440+576</f>
        <v>3437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14</v>
      </c>
      <c r="N12" s="156"/>
      <c r="O12" s="157">
        <v>8</v>
      </c>
      <c r="P12" s="158">
        <v>2</v>
      </c>
      <c r="Q12" s="158">
        <v>16</v>
      </c>
      <c r="R12" s="159">
        <v>8</v>
      </c>
      <c r="S12" s="154"/>
      <c r="T12" s="150">
        <f t="shared" si="0"/>
        <v>10</v>
      </c>
      <c r="U12" s="161">
        <f>C12*24+M12*24+O12*24+Q12*24+T12</f>
        <v>83410</v>
      </c>
      <c r="V12" s="161">
        <f>U12/24</f>
        <v>3475.4166666666665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63+19+1</f>
        <v>83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>
        <v>12</v>
      </c>
      <c r="O25" s="162"/>
      <c r="P25" s="163"/>
      <c r="Q25" s="163">
        <v>2</v>
      </c>
      <c r="R25" s="164"/>
      <c r="S25" s="147"/>
      <c r="T25" s="150">
        <f t="shared" si="0"/>
        <v>23</v>
      </c>
      <c r="U25" s="167">
        <f t="shared" si="4"/>
        <v>2111</v>
      </c>
      <c r="V25" s="167">
        <f t="shared" si="5"/>
        <v>87.958333333333329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28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>
        <v>2</v>
      </c>
      <c r="N28" s="166"/>
      <c r="O28" s="162">
        <v>1</v>
      </c>
      <c r="P28" s="163"/>
      <c r="Q28" s="163">
        <v>2</v>
      </c>
      <c r="R28" s="164"/>
      <c r="S28" s="147"/>
      <c r="T28" s="150">
        <f t="shared" si="0"/>
        <v>0</v>
      </c>
      <c r="U28" s="167">
        <f t="shared" si="4"/>
        <v>792</v>
      </c>
      <c r="V28" s="167">
        <f t="shared" si="5"/>
        <v>33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72+19+6</f>
        <v>97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/>
      <c r="Q34" s="163">
        <v>3</v>
      </c>
      <c r="R34" s="164"/>
      <c r="S34" s="147"/>
      <c r="T34" s="150">
        <f t="shared" si="0"/>
        <v>17</v>
      </c>
      <c r="U34" s="167">
        <f t="shared" si="4"/>
        <v>2513</v>
      </c>
      <c r="V34" s="167">
        <f t="shared" si="5"/>
        <v>104.70833333333333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2376+1512+80</f>
        <v>3968</v>
      </c>
      <c r="D37" s="151"/>
      <c r="E37" s="151"/>
      <c r="F37" s="151"/>
      <c r="G37" s="151"/>
      <c r="H37" s="151">
        <v>2</v>
      </c>
      <c r="I37" s="151"/>
      <c r="J37" s="152">
        <v>4</v>
      </c>
      <c r="K37" s="153">
        <v>2</v>
      </c>
      <c r="L37" s="154"/>
      <c r="M37" s="155">
        <v>30</v>
      </c>
      <c r="N37" s="156"/>
      <c r="O37" s="157">
        <v>37</v>
      </c>
      <c r="P37" s="158"/>
      <c r="Q37" s="158">
        <v>121</v>
      </c>
      <c r="R37" s="159"/>
      <c r="S37" s="154"/>
      <c r="T37" s="169">
        <f t="shared" si="0"/>
        <v>8</v>
      </c>
      <c r="U37" s="169">
        <f>C37*6+M37*6+O37*6+Q37*6+T37</f>
        <v>24944</v>
      </c>
      <c r="V37" s="169">
        <f>U37/6</f>
        <v>4157.333333333333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>
        <v>1</v>
      </c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693+1</f>
        <v>694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/>
      <c r="Q40" s="158"/>
      <c r="R40" s="159"/>
      <c r="S40" s="154"/>
      <c r="T40" s="169">
        <f t="shared" si="0"/>
        <v>24</v>
      </c>
      <c r="U40" s="169">
        <f>C40*24+M40*24+O40*24+Q40*24+T40</f>
        <v>16704</v>
      </c>
      <c r="V40" s="169">
        <f>U40/24</f>
        <v>696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1536+76</f>
        <v>1612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19668</v>
      </c>
      <c r="V41" s="182">
        <f>U41/12</f>
        <v>1639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6048+3780+6372+5400+7128</f>
        <v>28728</v>
      </c>
      <c r="D43" s="157"/>
      <c r="E43" s="157"/>
      <c r="F43" s="157"/>
      <c r="G43" s="157"/>
      <c r="H43" s="157">
        <v>2</v>
      </c>
      <c r="I43" s="157">
        <v>6</v>
      </c>
      <c r="J43" s="158">
        <f>13*6+2</f>
        <v>80</v>
      </c>
      <c r="K43" s="159">
        <f>75*6+4</f>
        <v>454</v>
      </c>
      <c r="L43" s="154"/>
      <c r="M43" s="155">
        <v>325</v>
      </c>
      <c r="N43" s="156"/>
      <c r="O43" s="157">
        <v>218</v>
      </c>
      <c r="P43" s="158"/>
      <c r="Q43" s="158">
        <v>350</v>
      </c>
      <c r="R43" s="159"/>
      <c r="S43" s="154"/>
      <c r="T43" s="169">
        <f t="shared" ref="T43" si="6">H43+I43+J43+K43+N43+P43+R43</f>
        <v>542</v>
      </c>
      <c r="U43" s="169">
        <f>C43*6+M43*6+O43*6+Q43*6+T43</f>
        <v>178268</v>
      </c>
      <c r="V43" s="169">
        <f>U43/6</f>
        <v>29711.333333333332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162">
        <f>24+2268+44</f>
        <v>2336</v>
      </c>
      <c r="D47" s="162"/>
      <c r="E47" s="162"/>
      <c r="F47" s="162"/>
      <c r="G47" s="162"/>
      <c r="H47" s="162"/>
      <c r="I47" s="162"/>
      <c r="J47" s="163"/>
      <c r="K47" s="164">
        <v>6</v>
      </c>
      <c r="L47" s="147"/>
      <c r="M47" s="165">
        <v>10</v>
      </c>
      <c r="N47" s="166"/>
      <c r="O47" s="162">
        <v>5</v>
      </c>
      <c r="P47" s="163">
        <v>5</v>
      </c>
      <c r="Q47" s="163">
        <v>10</v>
      </c>
      <c r="R47" s="164"/>
      <c r="S47" s="147"/>
      <c r="T47" s="167">
        <f t="shared" si="7"/>
        <v>11</v>
      </c>
      <c r="U47" s="167">
        <f>C47*6+M47*6+O47*6+Q47*6+T47</f>
        <v>14177</v>
      </c>
      <c r="V47" s="167">
        <f>U47/6</f>
        <v>2362.8333333333335</v>
      </c>
    </row>
    <row r="48" spans="1:23" x14ac:dyDescent="0.25">
      <c r="A48" s="75">
        <f t="shared" si="1"/>
        <v>45</v>
      </c>
      <c r="B48" s="74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162">
        <v>34</v>
      </c>
      <c r="D51" s="162"/>
      <c r="E51" s="162"/>
      <c r="F51" s="162"/>
      <c r="G51" s="162"/>
      <c r="H51" s="162"/>
      <c r="I51" s="162"/>
      <c r="J51" s="163"/>
      <c r="K51" s="164"/>
      <c r="L51" s="147"/>
      <c r="M51" s="165"/>
      <c r="N51" s="166"/>
      <c r="O51" s="162"/>
      <c r="P51" s="163"/>
      <c r="Q51" s="163"/>
      <c r="R51" s="164"/>
      <c r="S51" s="147"/>
      <c r="T51" s="167">
        <f t="shared" si="7"/>
        <v>0</v>
      </c>
      <c r="U51" s="167">
        <f>C51*6+M51*6+O51*6+Q51*6+T51</f>
        <v>204</v>
      </c>
      <c r="V51" s="167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41336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54</v>
      </c>
      <c r="I58" s="54">
        <f t="shared" si="11"/>
        <v>8</v>
      </c>
      <c r="J58" s="54">
        <f t="shared" si="11"/>
        <v>84</v>
      </c>
      <c r="K58" s="54">
        <f t="shared" si="11"/>
        <v>486</v>
      </c>
      <c r="M58" s="53">
        <f t="shared" ref="M58:R58" si="12">SUM(M7:M57)</f>
        <v>396</v>
      </c>
      <c r="N58" s="53">
        <f t="shared" si="12"/>
        <v>36</v>
      </c>
      <c r="O58" s="53">
        <f t="shared" si="12"/>
        <v>284</v>
      </c>
      <c r="P58" s="53">
        <f t="shared" si="12"/>
        <v>7</v>
      </c>
      <c r="Q58" s="53">
        <f t="shared" si="12"/>
        <v>522</v>
      </c>
      <c r="R58" s="53">
        <f t="shared" si="12"/>
        <v>8</v>
      </c>
      <c r="S58" s="147"/>
      <c r="T58" s="51">
        <f>SUM(T7:T57)</f>
        <v>683</v>
      </c>
      <c r="U58" s="51">
        <f>SUM(U7:U57)</f>
        <v>350831</v>
      </c>
      <c r="V58" s="51">
        <f>SUM(V7:V57)</f>
        <v>42636.583333333336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F771-BE68-4A3A-A924-82C895121F0F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98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42"/>
      <c r="Q5" s="142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2"/>
      <c r="K6" s="89"/>
      <c r="M6" s="87"/>
      <c r="N6" s="118"/>
      <c r="O6" s="92"/>
      <c r="P6" s="142"/>
      <c r="Q6" s="142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B38A-97B0-45C8-A623-33FB2F149B95}">
  <sheetPr>
    <pageSetUpPr fitToPage="1"/>
  </sheetPr>
  <dimension ref="A1:BB81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99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43"/>
      <c r="Q5" s="143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>
        <v>12</v>
      </c>
      <c r="O7" s="144">
        <v>3</v>
      </c>
      <c r="P7" s="145"/>
      <c r="Q7" s="145"/>
      <c r="R7" s="146"/>
      <c r="S7" s="147"/>
      <c r="T7" s="150">
        <f>H7+I7+J7+K7+N7+P7+R7</f>
        <v>24</v>
      </c>
      <c r="U7" s="150">
        <f>C7*24+M7*24+O7*24+Q7*24+T7</f>
        <v>720</v>
      </c>
      <c r="V7" s="150">
        <f>U7/24</f>
        <v>30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>
        <v>2</v>
      </c>
      <c r="R8" s="159"/>
      <c r="S8" s="154"/>
      <c r="T8" s="160">
        <f t="shared" ref="T8:T41" si="0">H8+I8+J8+K8+N8+P8+R8</f>
        <v>0</v>
      </c>
      <c r="U8" s="161">
        <f>C8*24+M8*24+O8*24+Q8*24+T8</f>
        <v>2232</v>
      </c>
      <c r="V8" s="161">
        <f>U8/24</f>
        <v>93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55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>
        <v>2</v>
      </c>
      <c r="P10" s="163"/>
      <c r="Q10" s="163"/>
      <c r="R10" s="164"/>
      <c r="S10" s="147"/>
      <c r="T10" s="150">
        <f t="shared" si="0"/>
        <v>0</v>
      </c>
      <c r="U10" s="150">
        <f t="shared" si="2"/>
        <v>1368</v>
      </c>
      <c r="V10" s="150">
        <f t="shared" si="3"/>
        <v>57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72+1224+51+1440+576</f>
        <v>3363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8</v>
      </c>
      <c r="N12" s="156">
        <v>18</v>
      </c>
      <c r="O12" s="157">
        <v>12</v>
      </c>
      <c r="P12" s="158"/>
      <c r="Q12" s="158">
        <v>20</v>
      </c>
      <c r="R12" s="159">
        <v>4</v>
      </c>
      <c r="S12" s="154"/>
      <c r="T12" s="150">
        <f t="shared" si="0"/>
        <v>22</v>
      </c>
      <c r="U12" s="161">
        <f>C12*24+M12*24+O12*24+Q12*24+T12</f>
        <v>81694</v>
      </c>
      <c r="V12" s="161">
        <f>U12/24</f>
        <v>3403.9166666666665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48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63+19</f>
        <v>82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>
        <v>12</v>
      </c>
      <c r="O25" s="162">
        <v>1</v>
      </c>
      <c r="P25" s="163"/>
      <c r="Q25" s="163"/>
      <c r="R25" s="164"/>
      <c r="S25" s="147"/>
      <c r="T25" s="150">
        <f t="shared" si="0"/>
        <v>23</v>
      </c>
      <c r="U25" s="167">
        <f t="shared" si="4"/>
        <v>2015</v>
      </c>
      <c r="V25" s="167">
        <f t="shared" si="5"/>
        <v>83.958333333333329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17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5</v>
      </c>
      <c r="R28" s="164"/>
      <c r="S28" s="147"/>
      <c r="T28" s="150">
        <f t="shared" si="0"/>
        <v>0</v>
      </c>
      <c r="U28" s="167">
        <f t="shared" si="4"/>
        <v>552</v>
      </c>
      <c r="V28" s="167">
        <f t="shared" si="5"/>
        <v>23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62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1512</v>
      </c>
      <c r="V30" s="167">
        <f t="shared" si="5"/>
        <v>63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20+70</f>
        <v>90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2357</v>
      </c>
      <c r="V34" s="167">
        <f t="shared" si="5"/>
        <v>98.208333333333329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2376+1404+25</f>
        <v>3805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>
        <v>33</v>
      </c>
      <c r="P37" s="158"/>
      <c r="Q37" s="158">
        <v>108</v>
      </c>
      <c r="R37" s="159"/>
      <c r="S37" s="154"/>
      <c r="T37" s="169">
        <f t="shared" si="0"/>
        <v>8</v>
      </c>
      <c r="U37" s="169">
        <f>C37*6+M37*6+O37*6+Q37*6+T37</f>
        <v>23684</v>
      </c>
      <c r="V37" s="169">
        <f>U37/6</f>
        <v>3947.3333333333335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1+3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630+61</f>
        <v>691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/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16692</v>
      </c>
      <c r="V40" s="169">
        <f>U40/24</f>
        <v>695.5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1536+28</f>
        <v>1564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>
        <v>10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19068</v>
      </c>
      <c r="V41" s="182">
        <f>U41/12</f>
        <v>1589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6048+1728+6372+5400+7128+1836</f>
        <v>28512</v>
      </c>
      <c r="D43" s="157"/>
      <c r="E43" s="157"/>
      <c r="F43" s="157"/>
      <c r="G43" s="157"/>
      <c r="H43" s="157">
        <v>1</v>
      </c>
      <c r="I43" s="157">
        <v>7</v>
      </c>
      <c r="J43" s="158">
        <f>3*6+4</f>
        <v>22</v>
      </c>
      <c r="K43" s="159">
        <f>87*6</f>
        <v>522</v>
      </c>
      <c r="L43" s="154"/>
      <c r="M43" s="155">
        <v>245</v>
      </c>
      <c r="N43" s="156"/>
      <c r="O43" s="157">
        <v>379</v>
      </c>
      <c r="P43" s="158"/>
      <c r="Q43" s="158">
        <v>432</v>
      </c>
      <c r="R43" s="159"/>
      <c r="S43" s="154"/>
      <c r="T43" s="169">
        <f t="shared" ref="T43" si="6">H43+I43+J43+K43+N43+P43+R43</f>
        <v>552</v>
      </c>
      <c r="U43" s="169">
        <f>C43*6+M43*6+O43*6+Q43*6+T43</f>
        <v>177960</v>
      </c>
      <c r="V43" s="169">
        <f>U43/6</f>
        <v>29660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9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14158</v>
      </c>
      <c r="V47" s="169">
        <f>U47/6</f>
        <v>2359.6666666666665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40813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53</v>
      </c>
      <c r="I58" s="54">
        <f t="shared" si="11"/>
        <v>9</v>
      </c>
      <c r="J58" s="54">
        <f t="shared" si="11"/>
        <v>22</v>
      </c>
      <c r="K58" s="54">
        <f t="shared" si="11"/>
        <v>558</v>
      </c>
      <c r="M58" s="53">
        <f t="shared" ref="M58:R58" si="12">SUM(M7:M57)</f>
        <v>265</v>
      </c>
      <c r="N58" s="53">
        <f t="shared" si="12"/>
        <v>54</v>
      </c>
      <c r="O58" s="53">
        <f t="shared" si="12"/>
        <v>447</v>
      </c>
      <c r="P58" s="53">
        <f t="shared" si="12"/>
        <v>28</v>
      </c>
      <c r="Q58" s="53">
        <f t="shared" si="12"/>
        <v>598</v>
      </c>
      <c r="R58" s="53">
        <f t="shared" si="12"/>
        <v>4</v>
      </c>
      <c r="S58" s="147"/>
      <c r="T58" s="51">
        <f>SUM(T7:T57)</f>
        <v>728</v>
      </c>
      <c r="U58" s="51">
        <f>SUM(U7:U57)</f>
        <v>346304</v>
      </c>
      <c r="V58" s="51">
        <f>SUM(V7:V57)</f>
        <v>42224.583333333336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100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43"/>
      <c r="Q5" s="143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43"/>
      <c r="K6" s="89"/>
      <c r="M6" s="87"/>
      <c r="N6" s="118"/>
      <c r="O6" s="92"/>
      <c r="P6" s="143"/>
      <c r="Q6" s="14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>
        <v>1</v>
      </c>
      <c r="N7" s="149"/>
      <c r="O7" s="144">
        <v>3</v>
      </c>
      <c r="P7" s="145"/>
      <c r="Q7" s="145"/>
      <c r="R7" s="146"/>
      <c r="S7" s="147"/>
      <c r="T7" s="150">
        <f>H7+I7+J7+K7+N7+P7+R7</f>
        <v>12</v>
      </c>
      <c r="U7" s="150">
        <f>C7*24+M7*24+O7*24+Q7*24+T7</f>
        <v>708</v>
      </c>
      <c r="V7" s="150">
        <f>U7/24</f>
        <v>29.5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63+28</f>
        <v>91</v>
      </c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2184</v>
      </c>
      <c r="V8" s="161">
        <f>U8/24</f>
        <v>91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>
        <v>2</v>
      </c>
      <c r="R10" s="164"/>
      <c r="S10" s="147"/>
      <c r="T10" s="150">
        <f t="shared" si="0"/>
        <v>0</v>
      </c>
      <c r="U10" s="150">
        <f t="shared" si="2"/>
        <v>1344</v>
      </c>
      <c r="V10" s="150">
        <f t="shared" si="3"/>
        <v>56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72+1224+26+1440+576</f>
        <v>3338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4</v>
      </c>
      <c r="N12" s="156">
        <v>4</v>
      </c>
      <c r="O12" s="157">
        <v>2</v>
      </c>
      <c r="P12" s="158"/>
      <c r="Q12" s="158">
        <v>24</v>
      </c>
      <c r="R12" s="159">
        <v>13</v>
      </c>
      <c r="S12" s="154"/>
      <c r="T12" s="160">
        <f t="shared" si="0"/>
        <v>17</v>
      </c>
      <c r="U12" s="161">
        <f>C12*24+M12*24+O12*24+Q12*24+T12</f>
        <v>80849</v>
      </c>
      <c r="V12" s="161">
        <f>U12/24</f>
        <v>3368.7083333333335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67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46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63+15</f>
        <v>78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1883</v>
      </c>
      <c r="V25" s="167">
        <f t="shared" si="5"/>
        <v>78.458333333333329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f>12+1</f>
        <v>13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1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408</v>
      </c>
      <c r="V28" s="167">
        <f t="shared" si="5"/>
        <v>17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60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72+12</f>
        <v>84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>
        <v>2</v>
      </c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2213</v>
      </c>
      <c r="V34" s="167">
        <f t="shared" si="5"/>
        <v>92.208333333333329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2376+1404+6</f>
        <v>3786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/>
      <c r="P37" s="158"/>
      <c r="Q37" s="158">
        <v>100</v>
      </c>
      <c r="R37" s="159"/>
      <c r="S37" s="154"/>
      <c r="T37" s="169">
        <f t="shared" si="0"/>
        <v>8</v>
      </c>
      <c r="U37" s="169">
        <f>C37*6+M37*6+O37*6+Q37*6+T37</f>
        <v>23324</v>
      </c>
      <c r="V37" s="169">
        <f>U37/6</f>
        <v>3887.3333333333335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v>3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>
        <v>1</v>
      </c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1536+17</f>
        <v>1553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1</v>
      </c>
      <c r="N41" s="181"/>
      <c r="O41" s="176">
        <v>9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18936</v>
      </c>
      <c r="V41" s="182">
        <f>U41/12</f>
        <v>1578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6048+1080+8208+5400+7128+108+45</f>
        <v>28017</v>
      </c>
      <c r="D43" s="157"/>
      <c r="E43" s="157"/>
      <c r="F43" s="157"/>
      <c r="G43" s="157"/>
      <c r="H43" s="157">
        <v>4</v>
      </c>
      <c r="I43" s="157">
        <v>7</v>
      </c>
      <c r="J43" s="158">
        <f>6*4</f>
        <v>24</v>
      </c>
      <c r="K43" s="159">
        <f>87*6</f>
        <v>522</v>
      </c>
      <c r="L43" s="154"/>
      <c r="M43" s="155">
        <v>4</v>
      </c>
      <c r="N43" s="156"/>
      <c r="O43" s="157">
        <v>57</v>
      </c>
      <c r="P43" s="158"/>
      <c r="Q43" s="158">
        <v>487</v>
      </c>
      <c r="R43" s="159"/>
      <c r="S43" s="154"/>
      <c r="T43" s="169">
        <f t="shared" ref="T43" si="6">H43+I43+J43+K43+N43+P43+R43</f>
        <v>557</v>
      </c>
      <c r="U43" s="169">
        <f>C43*6+M43*6+O43*6+Q43*6+T43</f>
        <v>171947</v>
      </c>
      <c r="V43" s="169">
        <f>U43/6</f>
        <v>28657.833333333332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8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14152</v>
      </c>
      <c r="V47" s="169">
        <f>U47/6</f>
        <v>2358.6666666666665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40172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56</v>
      </c>
      <c r="I58" s="54">
        <f t="shared" si="11"/>
        <v>9</v>
      </c>
      <c r="J58" s="54">
        <f t="shared" si="11"/>
        <v>24</v>
      </c>
      <c r="K58" s="54">
        <f t="shared" si="11"/>
        <v>558</v>
      </c>
      <c r="M58" s="53">
        <f t="shared" ref="M58:R58" si="12">SUM(M7:M57)</f>
        <v>21</v>
      </c>
      <c r="N58" s="53">
        <f t="shared" si="12"/>
        <v>16</v>
      </c>
      <c r="O58" s="53">
        <f t="shared" si="12"/>
        <v>78</v>
      </c>
      <c r="P58" s="53">
        <f t="shared" si="12"/>
        <v>28</v>
      </c>
      <c r="Q58" s="53">
        <f t="shared" si="12"/>
        <v>650</v>
      </c>
      <c r="R58" s="53">
        <f t="shared" si="12"/>
        <v>13</v>
      </c>
      <c r="S58" s="147"/>
      <c r="T58" s="51">
        <f>SUM(T7:T57)</f>
        <v>704</v>
      </c>
      <c r="U58" s="51">
        <f>SUM(U7:U57)</f>
        <v>336716</v>
      </c>
      <c r="V58" s="51">
        <f>SUM(V7:V57)</f>
        <v>41022.208333333328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101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83"/>
      <c r="Q5" s="183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3"/>
      <c r="K6" s="89"/>
      <c r="M6" s="87"/>
      <c r="N6" s="118"/>
      <c r="O6" s="92"/>
      <c r="P6" s="183"/>
      <c r="Q6" s="183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25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/>
      <c r="N7" s="149"/>
      <c r="O7" s="144">
        <v>3</v>
      </c>
      <c r="P7" s="145"/>
      <c r="Q7" s="145"/>
      <c r="R7" s="146"/>
      <c r="S7" s="147"/>
      <c r="T7" s="150">
        <f>H7+I7+J7+K7+N7+P7+R7</f>
        <v>12</v>
      </c>
      <c r="U7" s="150">
        <f>C7*24+M7*24+O7*24+Q7*24+T7</f>
        <v>684</v>
      </c>
      <c r="V7" s="150">
        <f>U7/24</f>
        <v>28.5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63+26</f>
        <v>89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2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2184</v>
      </c>
      <c r="V8" s="161">
        <f>U8/24</f>
        <v>91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>
        <v>10</v>
      </c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>G9+H9+I9+J9+K9+N9+P9+R9</f>
        <v>0</v>
      </c>
      <c r="U9" s="168">
        <f t="shared" ref="U9:U11" si="2">C9*24+M9*24+O9*24+Q9*24+T9</f>
        <v>240</v>
      </c>
      <c r="V9" s="168">
        <f t="shared" ref="V9:V11" si="3">U9/24</f>
        <v>10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v>54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>
        <v>1</v>
      </c>
      <c r="P10" s="163"/>
      <c r="Q10" s="163">
        <v>1</v>
      </c>
      <c r="R10" s="164"/>
      <c r="S10" s="147"/>
      <c r="T10" s="150">
        <f t="shared" si="0"/>
        <v>0</v>
      </c>
      <c r="U10" s="150">
        <f t="shared" si="2"/>
        <v>1344</v>
      </c>
      <c r="V10" s="150">
        <f t="shared" si="3"/>
        <v>56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72+1152+50+1440+576</f>
        <v>3290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13</v>
      </c>
      <c r="N12" s="156">
        <v>22</v>
      </c>
      <c r="O12" s="157">
        <v>11</v>
      </c>
      <c r="P12" s="158">
        <v>20</v>
      </c>
      <c r="Q12" s="158">
        <v>14</v>
      </c>
      <c r="R12" s="159"/>
      <c r="S12" s="154"/>
      <c r="T12" s="150">
        <f t="shared" si="0"/>
        <v>42</v>
      </c>
      <c r="U12" s="161">
        <f>C12*24+M12*24+O12*24+Q12*24+T12</f>
        <v>79914</v>
      </c>
      <c r="V12" s="161">
        <f>U12/24</f>
        <v>3329.75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f>5</f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42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>
        <v>2</v>
      </c>
      <c r="N23" s="166"/>
      <c r="O23" s="162">
        <v>2</v>
      </c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63+13</f>
        <v>76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2</v>
      </c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1883</v>
      </c>
      <c r="V25" s="167">
        <f t="shared" si="5"/>
        <v>78.458333333333329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v>7</v>
      </c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>
        <v>2</v>
      </c>
      <c r="P28" s="163"/>
      <c r="Q28" s="163">
        <v>3</v>
      </c>
      <c r="R28" s="164"/>
      <c r="S28" s="147"/>
      <c r="T28" s="150">
        <f t="shared" si="0"/>
        <v>0</v>
      </c>
      <c r="U28" s="167">
        <f t="shared" si="4"/>
        <v>288</v>
      </c>
      <c r="V28" s="167">
        <f t="shared" si="5"/>
        <v>12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v>58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>
        <v>2</v>
      </c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>
        <v>9</v>
      </c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>
        <v>1</v>
      </c>
      <c r="R31" s="164"/>
      <c r="S31" s="147"/>
      <c r="T31" s="150">
        <f t="shared" si="0"/>
        <v>0</v>
      </c>
      <c r="U31" s="167">
        <f t="shared" si="4"/>
        <v>240</v>
      </c>
      <c r="V31" s="167">
        <f t="shared" si="5"/>
        <v>10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72+12</f>
        <v>84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/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2165</v>
      </c>
      <c r="V34" s="167">
        <f t="shared" si="5"/>
        <v>90.208333333333329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2376+1080+78</f>
        <v>3534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/>
      <c r="N37" s="156"/>
      <c r="O37" s="157">
        <v>30</v>
      </c>
      <c r="P37" s="158"/>
      <c r="Q37" s="158">
        <v>97</v>
      </c>
      <c r="R37" s="159"/>
      <c r="S37" s="154"/>
      <c r="T37" s="169">
        <f t="shared" si="0"/>
        <v>8</v>
      </c>
      <c r="U37" s="169">
        <f>C37*6+M37*6+O37*6+Q37*6+T37</f>
        <v>21974</v>
      </c>
      <c r="V37" s="169">
        <f>U37/6</f>
        <v>3662.3333333333335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1+3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1536+7</f>
        <v>1543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4</v>
      </c>
      <c r="N41" s="181"/>
      <c r="O41" s="176">
        <v>8</v>
      </c>
      <c r="P41" s="177"/>
      <c r="Q41" s="177">
        <v>7</v>
      </c>
      <c r="R41" s="178"/>
      <c r="S41" s="179"/>
      <c r="T41" s="182">
        <f t="shared" si="0"/>
        <v>0</v>
      </c>
      <c r="U41" s="182">
        <f>C41*12+M41*12+O41*12+Q41*12+T41</f>
        <v>18744</v>
      </c>
      <c r="V41" s="182">
        <f>U41/12</f>
        <v>1562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5400+1836+8208+5400+7128+1836</f>
        <v>29808</v>
      </c>
      <c r="D43" s="157"/>
      <c r="E43" s="157"/>
      <c r="F43" s="157"/>
      <c r="G43" s="157"/>
      <c r="H43" s="157">
        <v>5</v>
      </c>
      <c r="I43" s="157">
        <v>7</v>
      </c>
      <c r="J43" s="158">
        <f>5*6+5</f>
        <v>35</v>
      </c>
      <c r="K43" s="159">
        <f>87*6</f>
        <v>522</v>
      </c>
      <c r="L43" s="154"/>
      <c r="M43" s="155">
        <v>325</v>
      </c>
      <c r="N43" s="156"/>
      <c r="O43" s="157">
        <v>362</v>
      </c>
      <c r="P43" s="158"/>
      <c r="Q43" s="158">
        <v>515</v>
      </c>
      <c r="R43" s="159"/>
      <c r="S43" s="154"/>
      <c r="T43" s="169">
        <f t="shared" ref="T43" si="6">H43+I43+J43+K43+N43+P43+R43</f>
        <v>569</v>
      </c>
      <c r="U43" s="169">
        <f>C43*6+M43*6+O43*6+Q43*6+T43</f>
        <v>186629</v>
      </c>
      <c r="V43" s="169">
        <f>U43/6</f>
        <v>31104.833333333332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8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14152</v>
      </c>
      <c r="V47" s="169">
        <f>U47/6</f>
        <v>2358.6666666666665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41657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57</v>
      </c>
      <c r="I58" s="54">
        <f t="shared" si="11"/>
        <v>9</v>
      </c>
      <c r="J58" s="54">
        <f t="shared" si="11"/>
        <v>35</v>
      </c>
      <c r="K58" s="54">
        <f t="shared" si="11"/>
        <v>558</v>
      </c>
      <c r="M58" s="53">
        <f t="shared" ref="M58:R58" si="12">SUM(M7:M57)</f>
        <v>357</v>
      </c>
      <c r="N58" s="53">
        <f t="shared" si="12"/>
        <v>34</v>
      </c>
      <c r="O58" s="53">
        <f t="shared" si="12"/>
        <v>427</v>
      </c>
      <c r="P58" s="53">
        <f t="shared" si="12"/>
        <v>48</v>
      </c>
      <c r="Q58" s="53">
        <f t="shared" si="12"/>
        <v>656</v>
      </c>
      <c r="R58" s="53">
        <f t="shared" si="12"/>
        <v>0</v>
      </c>
      <c r="S58" s="147"/>
      <c r="T58" s="51">
        <f>SUM(T7:T57)</f>
        <v>741</v>
      </c>
      <c r="U58" s="186">
        <f>SUM(U7:U57)</f>
        <v>349209</v>
      </c>
      <c r="V58" s="51">
        <f>SUM(V7:V57)</f>
        <v>43201.249999999993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AB2A8-83DC-46AC-8C64-B26C110E1981}">
  <sheetPr>
    <pageSetUpPr fitToPage="1"/>
  </sheetPr>
  <dimension ref="A1:BB81"/>
  <sheetViews>
    <sheetView tabSelected="1" zoomScaleNormal="100" zoomScaleSheetLayoutView="115" workbookViewId="0">
      <selection activeCell="U28" sqref="U28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102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84"/>
      <c r="Q5" s="184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4"/>
      <c r="K6" s="89"/>
      <c r="M6" s="87"/>
      <c r="N6" s="118"/>
      <c r="O6" s="92"/>
      <c r="P6" s="184"/>
      <c r="Q6" s="184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>
        <v>23</v>
      </c>
      <c r="D7" s="144"/>
      <c r="E7" s="144"/>
      <c r="F7" s="144"/>
      <c r="G7" s="144"/>
      <c r="H7" s="144">
        <v>5</v>
      </c>
      <c r="I7" s="144">
        <v>1</v>
      </c>
      <c r="J7" s="145"/>
      <c r="K7" s="146">
        <v>6</v>
      </c>
      <c r="L7" s="147"/>
      <c r="M7" s="148"/>
      <c r="N7" s="149"/>
      <c r="O7" s="144">
        <v>2</v>
      </c>
      <c r="P7" s="145">
        <v>12</v>
      </c>
      <c r="Q7" s="145">
        <v>2</v>
      </c>
      <c r="R7" s="146"/>
      <c r="S7" s="147"/>
      <c r="T7" s="150">
        <f>H7+I7+J7+K7+N7+P7+R7</f>
        <v>24</v>
      </c>
      <c r="U7" s="150">
        <f>C7*24+M7*24+O7*24+Q7*24+T7</f>
        <v>672</v>
      </c>
      <c r="V7" s="150">
        <f>U7/24</f>
        <v>28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>
        <f>63+26</f>
        <v>89</v>
      </c>
      <c r="D8" s="151"/>
      <c r="E8" s="151"/>
      <c r="F8" s="151"/>
      <c r="G8" s="151"/>
      <c r="H8" s="151"/>
      <c r="I8" s="151"/>
      <c r="J8" s="152"/>
      <c r="K8" s="153"/>
      <c r="L8" s="154"/>
      <c r="M8" s="155">
        <v>1</v>
      </c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2160</v>
      </c>
      <c r="V8" s="161">
        <f>U8/24</f>
        <v>90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>
        <f>6+1</f>
        <v>7</v>
      </c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168</v>
      </c>
      <c r="V9" s="168">
        <f t="shared" ref="V9:V11" si="3">U9/24</f>
        <v>7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>
        <f>5+46</f>
        <v>51</v>
      </c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1224</v>
      </c>
      <c r="V10" s="150">
        <f t="shared" si="3"/>
        <v>51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>
        <v>22</v>
      </c>
      <c r="I11" s="162"/>
      <c r="J11" s="163"/>
      <c r="K11" s="164">
        <v>2</v>
      </c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24</v>
      </c>
      <c r="U11" s="150">
        <f t="shared" si="2"/>
        <v>24</v>
      </c>
      <c r="V11" s="150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>
        <f>72+1152+6+1440+576</f>
        <v>3246</v>
      </c>
      <c r="D12" s="151"/>
      <c r="E12" s="151"/>
      <c r="F12" s="151"/>
      <c r="G12" s="151"/>
      <c r="H12" s="151"/>
      <c r="I12" s="151"/>
      <c r="J12" s="152"/>
      <c r="K12" s="153"/>
      <c r="L12" s="154"/>
      <c r="M12" s="155">
        <v>15</v>
      </c>
      <c r="N12" s="156">
        <v>20</v>
      </c>
      <c r="O12" s="157">
        <v>7</v>
      </c>
      <c r="P12" s="158">
        <v>7</v>
      </c>
      <c r="Q12" s="158">
        <v>18</v>
      </c>
      <c r="R12" s="159">
        <v>15</v>
      </c>
      <c r="S12" s="154"/>
      <c r="T12" s="150">
        <f t="shared" si="0"/>
        <v>42</v>
      </c>
      <c r="U12" s="161">
        <f>C12*24+M12*24+O12*24+Q12*24+T12</f>
        <v>78906</v>
      </c>
      <c r="V12" s="161">
        <f>U12/24</f>
        <v>3287.75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>
        <v>5</v>
      </c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120</v>
      </c>
      <c r="V13" s="168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>
        <v>4</v>
      </c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96</v>
      </c>
      <c r="V17" s="167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>
        <v>4</v>
      </c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96</v>
      </c>
      <c r="V19" s="167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>
        <v>6</v>
      </c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144</v>
      </c>
      <c r="V20" s="167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>
        <v>4</v>
      </c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96</v>
      </c>
      <c r="V21" s="167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>
        <v>2</v>
      </c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48</v>
      </c>
      <c r="V22" s="167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>
        <v>42</v>
      </c>
      <c r="D23" s="162"/>
      <c r="E23" s="162"/>
      <c r="F23" s="162"/>
      <c r="G23" s="162"/>
      <c r="H23" s="162"/>
      <c r="I23" s="162"/>
      <c r="J23" s="163"/>
      <c r="K23" s="164"/>
      <c r="L23" s="147"/>
      <c r="M23" s="165">
        <v>2</v>
      </c>
      <c r="N23" s="166"/>
      <c r="O23" s="162">
        <v>2</v>
      </c>
      <c r="P23" s="163"/>
      <c r="Q23" s="163">
        <v>2</v>
      </c>
      <c r="R23" s="164"/>
      <c r="S23" s="147"/>
      <c r="T23" s="150">
        <f t="shared" si="0"/>
        <v>0</v>
      </c>
      <c r="U23" s="167">
        <f t="shared" si="4"/>
        <v>1152</v>
      </c>
      <c r="V23" s="167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>
        <v>7</v>
      </c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168</v>
      </c>
      <c r="V24" s="167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>
        <f>63+13</f>
        <v>76</v>
      </c>
      <c r="D25" s="162"/>
      <c r="E25" s="162"/>
      <c r="F25" s="162"/>
      <c r="G25" s="162"/>
      <c r="H25" s="162">
        <v>10</v>
      </c>
      <c r="I25" s="162">
        <v>1</v>
      </c>
      <c r="J25" s="163"/>
      <c r="K25" s="164"/>
      <c r="L25" s="147"/>
      <c r="M25" s="165">
        <v>1</v>
      </c>
      <c r="N25" s="166"/>
      <c r="O25" s="162"/>
      <c r="P25" s="163"/>
      <c r="Q25" s="163"/>
      <c r="R25" s="164"/>
      <c r="S25" s="147"/>
      <c r="T25" s="150">
        <f t="shared" si="0"/>
        <v>11</v>
      </c>
      <c r="U25" s="167">
        <f t="shared" si="4"/>
        <v>1859</v>
      </c>
      <c r="V25" s="167">
        <f t="shared" si="5"/>
        <v>77.458333333333329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>
        <f>2+2</f>
        <v>4</v>
      </c>
      <c r="D28" s="162"/>
      <c r="E28" s="162"/>
      <c r="F28" s="162"/>
      <c r="G28" s="162">
        <v>127</v>
      </c>
      <c r="H28" s="162"/>
      <c r="I28" s="162"/>
      <c r="J28" s="163"/>
      <c r="K28" s="164"/>
      <c r="L28" s="147"/>
      <c r="M28" s="165">
        <v>2</v>
      </c>
      <c r="N28" s="166"/>
      <c r="O28" s="162">
        <v>2</v>
      </c>
      <c r="P28" s="163"/>
      <c r="Q28" s="163">
        <v>3</v>
      </c>
      <c r="R28" s="164"/>
      <c r="S28" s="147"/>
      <c r="T28" s="150">
        <f>H28+I28+J28+K28+N28+P28+R28</f>
        <v>0</v>
      </c>
      <c r="U28" s="167">
        <f>C28*24+M28*24+O28*24+Q28*24+T28+G28*24</f>
        <v>3312</v>
      </c>
      <c r="V28" s="167">
        <f t="shared" si="5"/>
        <v>138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>
        <f>58</f>
        <v>58</v>
      </c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>
        <v>2</v>
      </c>
      <c r="P30" s="163"/>
      <c r="Q30" s="163">
        <v>1</v>
      </c>
      <c r="R30" s="164"/>
      <c r="S30" s="147"/>
      <c r="T30" s="150">
        <f t="shared" si="0"/>
        <v>0</v>
      </c>
      <c r="U30" s="167">
        <f t="shared" si="4"/>
        <v>1464</v>
      </c>
      <c r="V30" s="167">
        <f t="shared" si="5"/>
        <v>61</v>
      </c>
    </row>
    <row r="31" spans="1:54" x14ac:dyDescent="0.25">
      <c r="A31" s="75">
        <f t="shared" si="1"/>
        <v>28</v>
      </c>
      <c r="B31" s="74" t="s">
        <v>13</v>
      </c>
      <c r="C31" s="162">
        <f>2+4</f>
        <v>6</v>
      </c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>
        <v>1</v>
      </c>
      <c r="R31" s="164"/>
      <c r="S31" s="147"/>
      <c r="T31" s="150">
        <f t="shared" si="0"/>
        <v>0</v>
      </c>
      <c r="U31" s="167">
        <f t="shared" si="4"/>
        <v>168</v>
      </c>
      <c r="V31" s="167">
        <f t="shared" si="5"/>
        <v>7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>
        <f>9+72</f>
        <v>81</v>
      </c>
      <c r="D34" s="162"/>
      <c r="E34" s="162"/>
      <c r="F34" s="162"/>
      <c r="G34" s="162"/>
      <c r="H34" s="162">
        <v>4</v>
      </c>
      <c r="I34" s="162"/>
      <c r="J34" s="163"/>
      <c r="K34" s="164">
        <v>1</v>
      </c>
      <c r="L34" s="147"/>
      <c r="M34" s="165"/>
      <c r="N34" s="166">
        <v>12</v>
      </c>
      <c r="O34" s="162">
        <v>2</v>
      </c>
      <c r="P34" s="163">
        <v>12</v>
      </c>
      <c r="Q34" s="163">
        <v>3</v>
      </c>
      <c r="R34" s="164"/>
      <c r="S34" s="147"/>
      <c r="T34" s="150">
        <f t="shared" si="0"/>
        <v>29</v>
      </c>
      <c r="U34" s="167">
        <f t="shared" si="4"/>
        <v>2093</v>
      </c>
      <c r="V34" s="167">
        <f t="shared" si="5"/>
        <v>87.208333333333329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>
        <f>1080+2376</f>
        <v>3456</v>
      </c>
      <c r="D37" s="151"/>
      <c r="E37" s="151"/>
      <c r="F37" s="151"/>
      <c r="G37" s="151"/>
      <c r="H37" s="151">
        <v>2</v>
      </c>
      <c r="I37" s="151"/>
      <c r="J37" s="152"/>
      <c r="K37" s="153">
        <v>6</v>
      </c>
      <c r="L37" s="154"/>
      <c r="M37" s="155">
        <v>12</v>
      </c>
      <c r="N37" s="156"/>
      <c r="O37" s="157">
        <v>58</v>
      </c>
      <c r="P37" s="158"/>
      <c r="Q37" s="158">
        <v>47</v>
      </c>
      <c r="R37" s="159"/>
      <c r="S37" s="154"/>
      <c r="T37" s="169">
        <f t="shared" si="0"/>
        <v>8</v>
      </c>
      <c r="U37" s="169">
        <f>C37*6+M37*6+O37*6+Q37*6+T37</f>
        <v>21446</v>
      </c>
      <c r="V37" s="169">
        <f>U37/6</f>
        <v>3574.3333333333335</v>
      </c>
      <c r="W37" s="123"/>
    </row>
    <row r="38" spans="1:23" x14ac:dyDescent="0.25">
      <c r="A38" s="75">
        <f t="shared" si="1"/>
        <v>35</v>
      </c>
      <c r="B38" s="73" t="s">
        <v>21</v>
      </c>
      <c r="C38" s="162">
        <f>2+2</f>
        <v>4</v>
      </c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96</v>
      </c>
      <c r="V38" s="167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>
        <f>567+53</f>
        <v>620</v>
      </c>
      <c r="D40" s="151"/>
      <c r="E40" s="151"/>
      <c r="F40" s="151"/>
      <c r="G40" s="151"/>
      <c r="H40" s="151">
        <v>9</v>
      </c>
      <c r="I40" s="151"/>
      <c r="J40" s="152"/>
      <c r="K40" s="153">
        <v>15</v>
      </c>
      <c r="L40" s="154"/>
      <c r="M40" s="155">
        <v>1</v>
      </c>
      <c r="N40" s="156"/>
      <c r="O40" s="157">
        <v>1</v>
      </c>
      <c r="P40" s="158">
        <v>12</v>
      </c>
      <c r="Q40" s="158">
        <v>2</v>
      </c>
      <c r="R40" s="159"/>
      <c r="S40" s="154"/>
      <c r="T40" s="169">
        <f t="shared" si="0"/>
        <v>36</v>
      </c>
      <c r="U40" s="169">
        <f>C40*24+M40*24+O40*24+Q40*24+T40</f>
        <v>15012</v>
      </c>
      <c r="V40" s="169">
        <f>U40/24</f>
        <v>625.5</v>
      </c>
    </row>
    <row r="41" spans="1:23" ht="19.5" thickBot="1" x14ac:dyDescent="0.3">
      <c r="A41" s="75">
        <f t="shared" si="1"/>
        <v>38</v>
      </c>
      <c r="B41" s="99" t="s">
        <v>23</v>
      </c>
      <c r="C41" s="176">
        <f>1440+80</f>
        <v>1520</v>
      </c>
      <c r="D41" s="176"/>
      <c r="E41" s="176"/>
      <c r="F41" s="176"/>
      <c r="G41" s="176"/>
      <c r="H41" s="176"/>
      <c r="I41" s="176"/>
      <c r="J41" s="177"/>
      <c r="K41" s="178"/>
      <c r="L41" s="179"/>
      <c r="M41" s="180">
        <v>6</v>
      </c>
      <c r="N41" s="181"/>
      <c r="O41" s="176">
        <v>11</v>
      </c>
      <c r="P41" s="177"/>
      <c r="Q41" s="177">
        <v>15</v>
      </c>
      <c r="R41" s="178"/>
      <c r="S41" s="179"/>
      <c r="T41" s="182">
        <f t="shared" si="0"/>
        <v>0</v>
      </c>
      <c r="U41" s="182">
        <f>C41*12+M41*12+O41*12+Q41*12+T41</f>
        <v>18624</v>
      </c>
      <c r="V41" s="182">
        <f>U41/12</f>
        <v>1552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>
        <f>4644+3672+8208+5400+7128+1620</f>
        <v>30672</v>
      </c>
      <c r="D43" s="157"/>
      <c r="E43" s="157"/>
      <c r="F43" s="157"/>
      <c r="G43" s="157"/>
      <c r="H43" s="157">
        <v>5</v>
      </c>
      <c r="I43" s="157">
        <v>7</v>
      </c>
      <c r="J43" s="158">
        <f>6*6+5</f>
        <v>41</v>
      </c>
      <c r="K43" s="159">
        <f>87*6</f>
        <v>522</v>
      </c>
      <c r="L43" s="154"/>
      <c r="M43" s="155">
        <v>325</v>
      </c>
      <c r="N43" s="156"/>
      <c r="O43" s="157">
        <v>168</v>
      </c>
      <c r="P43" s="158"/>
      <c r="Q43" s="158">
        <v>373</v>
      </c>
      <c r="R43" s="159"/>
      <c r="S43" s="154"/>
      <c r="T43" s="169">
        <f t="shared" ref="T43" si="6">H43+I43+J43+K43+N43+P43+R43</f>
        <v>575</v>
      </c>
      <c r="U43" s="169">
        <f>C43*6+M43*6+O43*6+Q43*6+T43</f>
        <v>189803</v>
      </c>
      <c r="V43" s="169">
        <f>U43/6</f>
        <v>31633.833333333332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>
        <f>24+2268+44</f>
        <v>2336</v>
      </c>
      <c r="D47" s="157"/>
      <c r="E47" s="157"/>
      <c r="F47" s="157"/>
      <c r="G47" s="157"/>
      <c r="H47" s="157"/>
      <c r="I47" s="157"/>
      <c r="J47" s="158"/>
      <c r="K47" s="159">
        <v>6</v>
      </c>
      <c r="L47" s="154"/>
      <c r="M47" s="155">
        <v>5</v>
      </c>
      <c r="N47" s="156"/>
      <c r="O47" s="157">
        <v>3</v>
      </c>
      <c r="P47" s="158">
        <v>4</v>
      </c>
      <c r="Q47" s="158">
        <v>10</v>
      </c>
      <c r="R47" s="159"/>
      <c r="S47" s="154"/>
      <c r="T47" s="169">
        <f t="shared" si="7"/>
        <v>10</v>
      </c>
      <c r="U47" s="169">
        <f>C47*6+M47*6+O47*6+Q47*6+T47</f>
        <v>14134</v>
      </c>
      <c r="V47" s="169">
        <f>U47/6</f>
        <v>2355.6666666666665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>
        <v>34</v>
      </c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204</v>
      </c>
      <c r="V51" s="169">
        <f>U51/6</f>
        <v>34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>
        <v>2</v>
      </c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48</v>
      </c>
      <c r="V53" s="167">
        <f t="shared" si="9"/>
        <v>2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42359</v>
      </c>
      <c r="D58" s="49"/>
      <c r="E58" s="49"/>
      <c r="F58" s="49">
        <f t="shared" ref="F58:K58" si="11">SUM(F7:F57)</f>
        <v>0</v>
      </c>
      <c r="G58" s="49">
        <f t="shared" si="11"/>
        <v>127</v>
      </c>
      <c r="H58" s="49">
        <f t="shared" si="11"/>
        <v>57</v>
      </c>
      <c r="I58" s="54">
        <f t="shared" si="11"/>
        <v>9</v>
      </c>
      <c r="J58" s="54">
        <f t="shared" si="11"/>
        <v>41</v>
      </c>
      <c r="K58" s="54">
        <f t="shared" si="11"/>
        <v>558</v>
      </c>
      <c r="M58" s="53">
        <f t="shared" ref="M58:R58" si="12">SUM(M7:M57)</f>
        <v>370</v>
      </c>
      <c r="N58" s="53">
        <f t="shared" si="12"/>
        <v>32</v>
      </c>
      <c r="O58" s="53">
        <f t="shared" si="12"/>
        <v>258</v>
      </c>
      <c r="P58" s="53">
        <f t="shared" si="12"/>
        <v>47</v>
      </c>
      <c r="Q58" s="53">
        <f t="shared" si="12"/>
        <v>477</v>
      </c>
      <c r="R58" s="53">
        <f t="shared" si="12"/>
        <v>15</v>
      </c>
      <c r="S58" s="147"/>
      <c r="T58" s="51">
        <f>SUM(T7:T57)</f>
        <v>759</v>
      </c>
      <c r="U58" s="51">
        <f>SUM(U7:U57)</f>
        <v>353337</v>
      </c>
      <c r="V58" s="51">
        <f>SUM(V7:V57)</f>
        <v>43696.749999999993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52C0-F5F8-4596-B7FF-2BAD0B6B36A9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6.7109375" style="57" bestFit="1" customWidth="1"/>
    <col min="10" max="10" width="6.85546875" style="57" customWidth="1"/>
    <col min="11" max="11" width="6.7109375" style="57" bestFit="1" customWidth="1"/>
    <col min="12" max="12" width="1.42578125" style="57" customWidth="1"/>
    <col min="13" max="13" width="10" style="57" customWidth="1"/>
    <col min="14" max="14" width="6.710937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6.7109375" style="57" bestFit="1" customWidth="1"/>
    <col min="19" max="19" width="1.42578125" style="57" customWidth="1"/>
    <col min="20" max="20" width="12.7109375" style="57" bestFit="1" customWidth="1"/>
    <col min="21" max="21" width="14.28515625" style="57" customWidth="1"/>
    <col min="22" max="22" width="19.5703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97" t="s">
        <v>53</v>
      </c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</row>
    <row r="2" spans="1:54" x14ac:dyDescent="0.25">
      <c r="B2" s="76" t="s">
        <v>103</v>
      </c>
    </row>
    <row r="3" spans="1:54" ht="19.5" thickBot="1" x14ac:dyDescent="0.3"/>
    <row r="4" spans="1:54" s="58" customFormat="1" ht="15.75" x14ac:dyDescent="0.25">
      <c r="B4" s="93" t="s">
        <v>63</v>
      </c>
      <c r="C4" s="192" t="s">
        <v>49</v>
      </c>
      <c r="D4" s="192"/>
      <c r="E4" s="192"/>
      <c r="F4" s="192"/>
      <c r="G4" s="192"/>
      <c r="H4" s="192"/>
      <c r="I4" s="192"/>
      <c r="J4" s="202"/>
      <c r="K4" s="193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203" t="s">
        <v>80</v>
      </c>
      <c r="U4" s="205" t="s">
        <v>79</v>
      </c>
      <c r="V4" s="198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200" t="s">
        <v>77</v>
      </c>
      <c r="K5" s="201"/>
      <c r="M5" s="87"/>
      <c r="N5" s="118"/>
      <c r="O5" s="92"/>
      <c r="P5" s="185"/>
      <c r="Q5" s="185"/>
      <c r="R5" s="89"/>
      <c r="S5" s="57"/>
      <c r="T5" s="204"/>
      <c r="U5" s="206"/>
      <c r="V5" s="19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85"/>
      <c r="K6" s="89"/>
      <c r="M6" s="87"/>
      <c r="N6" s="118"/>
      <c r="O6" s="92"/>
      <c r="P6" s="185"/>
      <c r="Q6" s="185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144"/>
      <c r="D7" s="144"/>
      <c r="E7" s="144"/>
      <c r="F7" s="144"/>
      <c r="G7" s="144"/>
      <c r="H7" s="144"/>
      <c r="I7" s="144"/>
      <c r="J7" s="145"/>
      <c r="K7" s="146"/>
      <c r="L7" s="147"/>
      <c r="M7" s="148"/>
      <c r="N7" s="149"/>
      <c r="O7" s="144"/>
      <c r="P7" s="145"/>
      <c r="Q7" s="145"/>
      <c r="R7" s="146"/>
      <c r="S7" s="147"/>
      <c r="T7" s="150">
        <f>H7+I7+J7+K7+N7+P7+R7</f>
        <v>0</v>
      </c>
      <c r="U7" s="150">
        <f>C7*24+M7*24+O7*24+Q7*24+T7</f>
        <v>0</v>
      </c>
      <c r="V7" s="150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151"/>
      <c r="D8" s="151"/>
      <c r="E8" s="151"/>
      <c r="F8" s="151"/>
      <c r="G8" s="151"/>
      <c r="H8" s="151"/>
      <c r="I8" s="151"/>
      <c r="J8" s="152"/>
      <c r="K8" s="153"/>
      <c r="L8" s="154"/>
      <c r="M8" s="155"/>
      <c r="N8" s="156"/>
      <c r="O8" s="157"/>
      <c r="P8" s="158"/>
      <c r="Q8" s="158"/>
      <c r="R8" s="159"/>
      <c r="S8" s="154"/>
      <c r="T8" s="160">
        <f t="shared" ref="T8:T41" si="0">H8+I8+J8+K8+N8+P8+R8</f>
        <v>0</v>
      </c>
      <c r="U8" s="161">
        <f>C8*24+M8*24+O8*24+Q8*24+T8</f>
        <v>0</v>
      </c>
      <c r="V8" s="161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162"/>
      <c r="D9" s="162"/>
      <c r="E9" s="162"/>
      <c r="F9" s="162"/>
      <c r="G9" s="162"/>
      <c r="H9" s="162"/>
      <c r="I9" s="162"/>
      <c r="J9" s="163"/>
      <c r="K9" s="164"/>
      <c r="L9" s="147"/>
      <c r="M9" s="165"/>
      <c r="N9" s="166"/>
      <c r="O9" s="162"/>
      <c r="P9" s="163"/>
      <c r="Q9" s="163"/>
      <c r="R9" s="164"/>
      <c r="S9" s="147"/>
      <c r="T9" s="167">
        <f t="shared" si="0"/>
        <v>0</v>
      </c>
      <c r="U9" s="168">
        <f t="shared" ref="U9:U11" si="2">C9*24+M9*24+O9*24+Q9*24+T9</f>
        <v>0</v>
      </c>
      <c r="V9" s="168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162"/>
      <c r="D10" s="162"/>
      <c r="E10" s="162"/>
      <c r="F10" s="162"/>
      <c r="G10" s="162"/>
      <c r="H10" s="162"/>
      <c r="I10" s="162"/>
      <c r="J10" s="163"/>
      <c r="K10" s="164"/>
      <c r="L10" s="147"/>
      <c r="M10" s="165"/>
      <c r="N10" s="166"/>
      <c r="O10" s="162"/>
      <c r="P10" s="163"/>
      <c r="Q10" s="163"/>
      <c r="R10" s="164"/>
      <c r="S10" s="147"/>
      <c r="T10" s="150">
        <f t="shared" si="0"/>
        <v>0</v>
      </c>
      <c r="U10" s="150">
        <f t="shared" si="2"/>
        <v>0</v>
      </c>
      <c r="V10" s="150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162"/>
      <c r="D11" s="162"/>
      <c r="E11" s="162"/>
      <c r="F11" s="162"/>
      <c r="G11" s="162"/>
      <c r="H11" s="162"/>
      <c r="I11" s="162"/>
      <c r="J11" s="163"/>
      <c r="K11" s="164"/>
      <c r="L11" s="147"/>
      <c r="M11" s="165"/>
      <c r="N11" s="166"/>
      <c r="O11" s="162"/>
      <c r="P11" s="163"/>
      <c r="Q11" s="163"/>
      <c r="R11" s="164"/>
      <c r="S11" s="147"/>
      <c r="T11" s="150">
        <f t="shared" si="0"/>
        <v>0</v>
      </c>
      <c r="U11" s="150">
        <f t="shared" si="2"/>
        <v>0</v>
      </c>
      <c r="V11" s="150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151"/>
      <c r="D12" s="151"/>
      <c r="E12" s="151"/>
      <c r="F12" s="151"/>
      <c r="G12" s="151"/>
      <c r="H12" s="151"/>
      <c r="I12" s="151"/>
      <c r="J12" s="152"/>
      <c r="K12" s="153"/>
      <c r="L12" s="154"/>
      <c r="M12" s="155"/>
      <c r="N12" s="156"/>
      <c r="O12" s="157"/>
      <c r="P12" s="158"/>
      <c r="Q12" s="158"/>
      <c r="R12" s="159"/>
      <c r="S12" s="154"/>
      <c r="T12" s="150">
        <f t="shared" si="0"/>
        <v>0</v>
      </c>
      <c r="U12" s="161">
        <f>C12*24+M12*24+O12*24+Q12*24+T12</f>
        <v>0</v>
      </c>
      <c r="V12" s="161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162"/>
      <c r="D13" s="162"/>
      <c r="E13" s="162"/>
      <c r="F13" s="162"/>
      <c r="G13" s="162"/>
      <c r="H13" s="162"/>
      <c r="I13" s="162"/>
      <c r="J13" s="163"/>
      <c r="K13" s="164"/>
      <c r="L13" s="147"/>
      <c r="M13" s="165"/>
      <c r="N13" s="166"/>
      <c r="O13" s="162"/>
      <c r="P13" s="163"/>
      <c r="Q13" s="163"/>
      <c r="R13" s="164"/>
      <c r="S13" s="147"/>
      <c r="T13" s="150">
        <f t="shared" si="0"/>
        <v>0</v>
      </c>
      <c r="U13" s="168">
        <f>C13*24+M13*24+O13*24+Q13*24+T13</f>
        <v>0</v>
      </c>
      <c r="V13" s="168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162"/>
      <c r="D14" s="162"/>
      <c r="E14" s="162"/>
      <c r="F14" s="162"/>
      <c r="G14" s="162"/>
      <c r="H14" s="162"/>
      <c r="I14" s="162"/>
      <c r="J14" s="163"/>
      <c r="K14" s="164"/>
      <c r="L14" s="147"/>
      <c r="M14" s="165"/>
      <c r="N14" s="166"/>
      <c r="O14" s="162"/>
      <c r="P14" s="163"/>
      <c r="Q14" s="163"/>
      <c r="R14" s="164"/>
      <c r="S14" s="147"/>
      <c r="T14" s="150">
        <f t="shared" si="0"/>
        <v>0</v>
      </c>
      <c r="U14" s="167">
        <f t="shared" ref="U14:U36" si="4">C14*24+M14*24+O14*24+Q14*24+T14</f>
        <v>0</v>
      </c>
      <c r="V14" s="167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162"/>
      <c r="D15" s="162"/>
      <c r="E15" s="162"/>
      <c r="F15" s="162"/>
      <c r="G15" s="162"/>
      <c r="H15" s="162"/>
      <c r="I15" s="162"/>
      <c r="J15" s="163"/>
      <c r="K15" s="164"/>
      <c r="L15" s="147"/>
      <c r="M15" s="165"/>
      <c r="N15" s="166"/>
      <c r="O15" s="162"/>
      <c r="P15" s="163"/>
      <c r="Q15" s="163"/>
      <c r="R15" s="164"/>
      <c r="S15" s="147"/>
      <c r="T15" s="150">
        <f t="shared" si="0"/>
        <v>0</v>
      </c>
      <c r="U15" s="167">
        <f t="shared" si="4"/>
        <v>0</v>
      </c>
      <c r="V15" s="167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162"/>
      <c r="D16" s="162"/>
      <c r="E16" s="162"/>
      <c r="F16" s="162"/>
      <c r="G16" s="162"/>
      <c r="H16" s="162"/>
      <c r="I16" s="162"/>
      <c r="J16" s="163"/>
      <c r="K16" s="164"/>
      <c r="L16" s="147"/>
      <c r="M16" s="165"/>
      <c r="N16" s="166"/>
      <c r="O16" s="162"/>
      <c r="P16" s="163"/>
      <c r="Q16" s="163"/>
      <c r="R16" s="164"/>
      <c r="S16" s="147"/>
      <c r="T16" s="150">
        <f t="shared" si="0"/>
        <v>0</v>
      </c>
      <c r="U16" s="167">
        <f t="shared" si="4"/>
        <v>0</v>
      </c>
      <c r="V16" s="167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162"/>
      <c r="D17" s="162"/>
      <c r="E17" s="162"/>
      <c r="F17" s="162"/>
      <c r="G17" s="162"/>
      <c r="H17" s="162"/>
      <c r="I17" s="162"/>
      <c r="J17" s="163"/>
      <c r="K17" s="164"/>
      <c r="L17" s="147"/>
      <c r="M17" s="165"/>
      <c r="N17" s="166"/>
      <c r="O17" s="162"/>
      <c r="P17" s="163"/>
      <c r="Q17" s="163"/>
      <c r="R17" s="164"/>
      <c r="S17" s="147"/>
      <c r="T17" s="150">
        <f t="shared" si="0"/>
        <v>0</v>
      </c>
      <c r="U17" s="167">
        <f t="shared" si="4"/>
        <v>0</v>
      </c>
      <c r="V17" s="167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162"/>
      <c r="D18" s="162"/>
      <c r="E18" s="162"/>
      <c r="F18" s="162"/>
      <c r="G18" s="162"/>
      <c r="H18" s="162"/>
      <c r="I18" s="162"/>
      <c r="J18" s="163"/>
      <c r="K18" s="164"/>
      <c r="L18" s="147"/>
      <c r="M18" s="165"/>
      <c r="N18" s="166"/>
      <c r="O18" s="162"/>
      <c r="P18" s="163"/>
      <c r="Q18" s="163"/>
      <c r="R18" s="164"/>
      <c r="S18" s="147"/>
      <c r="T18" s="150">
        <f t="shared" si="0"/>
        <v>0</v>
      </c>
      <c r="U18" s="167">
        <f t="shared" si="4"/>
        <v>0</v>
      </c>
      <c r="V18" s="167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162"/>
      <c r="D19" s="162"/>
      <c r="E19" s="162"/>
      <c r="F19" s="162"/>
      <c r="G19" s="162"/>
      <c r="H19" s="162"/>
      <c r="I19" s="162"/>
      <c r="J19" s="163"/>
      <c r="K19" s="164"/>
      <c r="L19" s="147"/>
      <c r="M19" s="165"/>
      <c r="N19" s="166"/>
      <c r="O19" s="162"/>
      <c r="P19" s="163"/>
      <c r="Q19" s="163"/>
      <c r="R19" s="164"/>
      <c r="S19" s="147"/>
      <c r="T19" s="150">
        <f t="shared" si="0"/>
        <v>0</v>
      </c>
      <c r="U19" s="167">
        <f t="shared" si="4"/>
        <v>0</v>
      </c>
      <c r="V19" s="167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162"/>
      <c r="D20" s="162"/>
      <c r="E20" s="162"/>
      <c r="F20" s="162"/>
      <c r="G20" s="162"/>
      <c r="H20" s="162"/>
      <c r="I20" s="162"/>
      <c r="J20" s="163"/>
      <c r="K20" s="164"/>
      <c r="L20" s="147"/>
      <c r="M20" s="165"/>
      <c r="N20" s="166"/>
      <c r="O20" s="162"/>
      <c r="P20" s="163"/>
      <c r="Q20" s="163"/>
      <c r="R20" s="164"/>
      <c r="S20" s="147"/>
      <c r="T20" s="150">
        <f t="shared" si="0"/>
        <v>0</v>
      </c>
      <c r="U20" s="167">
        <f t="shared" si="4"/>
        <v>0</v>
      </c>
      <c r="V20" s="167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162"/>
      <c r="D21" s="162"/>
      <c r="E21" s="162"/>
      <c r="F21" s="162"/>
      <c r="G21" s="162"/>
      <c r="H21" s="162"/>
      <c r="I21" s="162"/>
      <c r="J21" s="163"/>
      <c r="K21" s="164"/>
      <c r="L21" s="147"/>
      <c r="M21" s="165"/>
      <c r="N21" s="166"/>
      <c r="O21" s="162"/>
      <c r="P21" s="163"/>
      <c r="Q21" s="163"/>
      <c r="R21" s="164"/>
      <c r="S21" s="147"/>
      <c r="T21" s="150">
        <f t="shared" si="0"/>
        <v>0</v>
      </c>
      <c r="U21" s="167">
        <f t="shared" si="4"/>
        <v>0</v>
      </c>
      <c r="V21" s="167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162"/>
      <c r="D22" s="162"/>
      <c r="E22" s="162"/>
      <c r="F22" s="162"/>
      <c r="G22" s="162"/>
      <c r="H22" s="162"/>
      <c r="I22" s="162"/>
      <c r="J22" s="163"/>
      <c r="K22" s="164"/>
      <c r="L22" s="147"/>
      <c r="M22" s="165"/>
      <c r="N22" s="166"/>
      <c r="O22" s="162"/>
      <c r="P22" s="163"/>
      <c r="Q22" s="163"/>
      <c r="R22" s="164"/>
      <c r="S22" s="147"/>
      <c r="T22" s="150">
        <f t="shared" si="0"/>
        <v>0</v>
      </c>
      <c r="U22" s="167">
        <f t="shared" si="4"/>
        <v>0</v>
      </c>
      <c r="V22" s="167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162"/>
      <c r="D23" s="162"/>
      <c r="E23" s="162"/>
      <c r="F23" s="162"/>
      <c r="G23" s="162"/>
      <c r="H23" s="162"/>
      <c r="I23" s="162"/>
      <c r="J23" s="163"/>
      <c r="K23" s="164"/>
      <c r="L23" s="147"/>
      <c r="M23" s="165"/>
      <c r="N23" s="166"/>
      <c r="O23" s="162"/>
      <c r="P23" s="163"/>
      <c r="Q23" s="163"/>
      <c r="R23" s="164"/>
      <c r="S23" s="147"/>
      <c r="T23" s="150">
        <f t="shared" si="0"/>
        <v>0</v>
      </c>
      <c r="U23" s="167">
        <f t="shared" si="4"/>
        <v>0</v>
      </c>
      <c r="V23" s="167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162"/>
      <c r="D24" s="162"/>
      <c r="E24" s="162"/>
      <c r="F24" s="162"/>
      <c r="G24" s="162"/>
      <c r="H24" s="162"/>
      <c r="I24" s="162"/>
      <c r="J24" s="163"/>
      <c r="K24" s="164"/>
      <c r="L24" s="147"/>
      <c r="M24" s="165"/>
      <c r="N24" s="166"/>
      <c r="O24" s="162"/>
      <c r="P24" s="163"/>
      <c r="Q24" s="163"/>
      <c r="R24" s="164"/>
      <c r="S24" s="147"/>
      <c r="T24" s="150">
        <f t="shared" si="0"/>
        <v>0</v>
      </c>
      <c r="U24" s="167">
        <f t="shared" si="4"/>
        <v>0</v>
      </c>
      <c r="V24" s="167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162"/>
      <c r="D25" s="162"/>
      <c r="E25" s="162"/>
      <c r="F25" s="162"/>
      <c r="G25" s="162"/>
      <c r="H25" s="162"/>
      <c r="I25" s="162"/>
      <c r="J25" s="163"/>
      <c r="K25" s="164"/>
      <c r="L25" s="147"/>
      <c r="M25" s="165"/>
      <c r="N25" s="166"/>
      <c r="O25" s="162"/>
      <c r="P25" s="163"/>
      <c r="Q25" s="163"/>
      <c r="R25" s="164"/>
      <c r="S25" s="147"/>
      <c r="T25" s="150">
        <f t="shared" si="0"/>
        <v>0</v>
      </c>
      <c r="U25" s="167">
        <f t="shared" si="4"/>
        <v>0</v>
      </c>
      <c r="V25" s="167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162"/>
      <c r="D26" s="162"/>
      <c r="E26" s="162"/>
      <c r="F26" s="162"/>
      <c r="G26" s="162"/>
      <c r="H26" s="162"/>
      <c r="I26" s="162"/>
      <c r="J26" s="163"/>
      <c r="K26" s="164"/>
      <c r="L26" s="147"/>
      <c r="M26" s="165"/>
      <c r="N26" s="166"/>
      <c r="O26" s="162"/>
      <c r="P26" s="163"/>
      <c r="Q26" s="163"/>
      <c r="R26" s="164"/>
      <c r="S26" s="147"/>
      <c r="T26" s="150">
        <f t="shared" si="0"/>
        <v>0</v>
      </c>
      <c r="U26" s="167">
        <f t="shared" si="4"/>
        <v>0</v>
      </c>
      <c r="V26" s="167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162"/>
      <c r="D27" s="162"/>
      <c r="E27" s="162"/>
      <c r="F27" s="162"/>
      <c r="G27" s="162"/>
      <c r="H27" s="162"/>
      <c r="I27" s="162"/>
      <c r="J27" s="163"/>
      <c r="K27" s="164"/>
      <c r="L27" s="147"/>
      <c r="M27" s="165"/>
      <c r="N27" s="166"/>
      <c r="O27" s="162"/>
      <c r="P27" s="163"/>
      <c r="Q27" s="163"/>
      <c r="R27" s="164"/>
      <c r="S27" s="147"/>
      <c r="T27" s="150"/>
      <c r="U27" s="167"/>
      <c r="V27" s="167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162"/>
      <c r="D28" s="162"/>
      <c r="E28" s="162"/>
      <c r="F28" s="162"/>
      <c r="G28" s="162"/>
      <c r="H28" s="162"/>
      <c r="I28" s="162"/>
      <c r="J28" s="163"/>
      <c r="K28" s="164"/>
      <c r="L28" s="147"/>
      <c r="M28" s="165"/>
      <c r="N28" s="166"/>
      <c r="O28" s="162"/>
      <c r="P28" s="163"/>
      <c r="Q28" s="163"/>
      <c r="R28" s="164"/>
      <c r="S28" s="147"/>
      <c r="T28" s="150">
        <f t="shared" si="0"/>
        <v>0</v>
      </c>
      <c r="U28" s="167">
        <f t="shared" si="4"/>
        <v>0</v>
      </c>
      <c r="V28" s="167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162"/>
      <c r="D29" s="162"/>
      <c r="E29" s="162"/>
      <c r="F29" s="162"/>
      <c r="G29" s="162"/>
      <c r="H29" s="162"/>
      <c r="I29" s="162"/>
      <c r="J29" s="163"/>
      <c r="K29" s="164"/>
      <c r="L29" s="147"/>
      <c r="M29" s="165"/>
      <c r="N29" s="166"/>
      <c r="O29" s="162"/>
      <c r="P29" s="163"/>
      <c r="Q29" s="163"/>
      <c r="R29" s="164"/>
      <c r="S29" s="147"/>
      <c r="T29" s="150">
        <f t="shared" si="0"/>
        <v>0</v>
      </c>
      <c r="U29" s="167">
        <f t="shared" si="4"/>
        <v>0</v>
      </c>
      <c r="V29" s="167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162"/>
      <c r="D30" s="162"/>
      <c r="E30" s="162"/>
      <c r="F30" s="162"/>
      <c r="G30" s="162"/>
      <c r="H30" s="162"/>
      <c r="I30" s="162"/>
      <c r="J30" s="163"/>
      <c r="K30" s="164"/>
      <c r="L30" s="147"/>
      <c r="M30" s="165"/>
      <c r="N30" s="166"/>
      <c r="O30" s="162"/>
      <c r="P30" s="163"/>
      <c r="Q30" s="163"/>
      <c r="R30" s="164"/>
      <c r="S30" s="147"/>
      <c r="T30" s="150">
        <f t="shared" si="0"/>
        <v>0</v>
      </c>
      <c r="U30" s="167">
        <f t="shared" si="4"/>
        <v>0</v>
      </c>
      <c r="V30" s="167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162"/>
      <c r="D31" s="162"/>
      <c r="E31" s="162"/>
      <c r="F31" s="162"/>
      <c r="G31" s="162"/>
      <c r="H31" s="162"/>
      <c r="I31" s="162"/>
      <c r="J31" s="163"/>
      <c r="K31" s="164"/>
      <c r="L31" s="147"/>
      <c r="M31" s="165"/>
      <c r="N31" s="166"/>
      <c r="O31" s="162"/>
      <c r="P31" s="163"/>
      <c r="Q31" s="163"/>
      <c r="R31" s="164"/>
      <c r="S31" s="147"/>
      <c r="T31" s="150">
        <f t="shared" si="0"/>
        <v>0</v>
      </c>
      <c r="U31" s="167">
        <f t="shared" si="4"/>
        <v>0</v>
      </c>
      <c r="V31" s="167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162"/>
      <c r="D32" s="162"/>
      <c r="E32" s="162"/>
      <c r="F32" s="162"/>
      <c r="G32" s="162"/>
      <c r="H32" s="162"/>
      <c r="I32" s="162"/>
      <c r="J32" s="163"/>
      <c r="K32" s="164"/>
      <c r="L32" s="147"/>
      <c r="M32" s="165"/>
      <c r="N32" s="166"/>
      <c r="O32" s="162"/>
      <c r="P32" s="163"/>
      <c r="Q32" s="163"/>
      <c r="R32" s="164"/>
      <c r="S32" s="147"/>
      <c r="T32" s="150">
        <f t="shared" si="0"/>
        <v>0</v>
      </c>
      <c r="U32" s="167">
        <f t="shared" si="4"/>
        <v>0</v>
      </c>
      <c r="V32" s="167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162"/>
      <c r="D33" s="162"/>
      <c r="E33" s="162"/>
      <c r="F33" s="162"/>
      <c r="G33" s="162"/>
      <c r="H33" s="162"/>
      <c r="I33" s="162"/>
      <c r="J33" s="163"/>
      <c r="K33" s="164"/>
      <c r="L33" s="147"/>
      <c r="M33" s="165"/>
      <c r="N33" s="166"/>
      <c r="O33" s="162"/>
      <c r="P33" s="163"/>
      <c r="Q33" s="163"/>
      <c r="R33" s="164"/>
      <c r="S33" s="147"/>
      <c r="T33" s="150">
        <f t="shared" si="0"/>
        <v>0</v>
      </c>
      <c r="U33" s="167">
        <f t="shared" si="4"/>
        <v>0</v>
      </c>
      <c r="V33" s="167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162"/>
      <c r="D34" s="162"/>
      <c r="E34" s="162"/>
      <c r="F34" s="162"/>
      <c r="G34" s="162"/>
      <c r="H34" s="162"/>
      <c r="I34" s="162"/>
      <c r="J34" s="163"/>
      <c r="K34" s="164"/>
      <c r="L34" s="147"/>
      <c r="M34" s="165"/>
      <c r="N34" s="166"/>
      <c r="O34" s="162"/>
      <c r="P34" s="163"/>
      <c r="Q34" s="163"/>
      <c r="R34" s="164"/>
      <c r="S34" s="147"/>
      <c r="T34" s="150">
        <f t="shared" si="0"/>
        <v>0</v>
      </c>
      <c r="U34" s="167">
        <f t="shared" si="4"/>
        <v>0</v>
      </c>
      <c r="V34" s="167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162"/>
      <c r="D35" s="162"/>
      <c r="E35" s="162"/>
      <c r="F35" s="162"/>
      <c r="G35" s="162"/>
      <c r="H35" s="162"/>
      <c r="I35" s="162"/>
      <c r="J35" s="163"/>
      <c r="K35" s="164"/>
      <c r="L35" s="147"/>
      <c r="M35" s="165"/>
      <c r="N35" s="166"/>
      <c r="O35" s="162"/>
      <c r="P35" s="163"/>
      <c r="Q35" s="163"/>
      <c r="R35" s="164"/>
      <c r="S35" s="147"/>
      <c r="T35" s="150">
        <f t="shared" si="0"/>
        <v>0</v>
      </c>
      <c r="U35" s="167">
        <f t="shared" si="4"/>
        <v>0</v>
      </c>
      <c r="V35" s="167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162"/>
      <c r="D36" s="162"/>
      <c r="E36" s="162"/>
      <c r="F36" s="162"/>
      <c r="G36" s="162"/>
      <c r="H36" s="162"/>
      <c r="I36" s="162"/>
      <c r="J36" s="163"/>
      <c r="K36" s="164"/>
      <c r="L36" s="147"/>
      <c r="M36" s="165"/>
      <c r="N36" s="166"/>
      <c r="O36" s="162"/>
      <c r="P36" s="163"/>
      <c r="Q36" s="163"/>
      <c r="R36" s="164"/>
      <c r="S36" s="147"/>
      <c r="T36" s="150">
        <f t="shared" si="0"/>
        <v>0</v>
      </c>
      <c r="U36" s="167">
        <f t="shared" si="4"/>
        <v>0</v>
      </c>
      <c r="V36" s="167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151"/>
      <c r="D37" s="151"/>
      <c r="E37" s="151"/>
      <c r="F37" s="151"/>
      <c r="G37" s="151"/>
      <c r="H37" s="151"/>
      <c r="I37" s="151"/>
      <c r="J37" s="152"/>
      <c r="K37" s="153"/>
      <c r="L37" s="154"/>
      <c r="M37" s="155"/>
      <c r="N37" s="156"/>
      <c r="O37" s="157"/>
      <c r="P37" s="158"/>
      <c r="Q37" s="158"/>
      <c r="R37" s="159"/>
      <c r="S37" s="154"/>
      <c r="T37" s="169">
        <f t="shared" si="0"/>
        <v>0</v>
      </c>
      <c r="U37" s="169">
        <f>C37*6+M37*6+O37*6+Q37*6+T37</f>
        <v>0</v>
      </c>
      <c r="V37" s="169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162"/>
      <c r="D38" s="162"/>
      <c r="E38" s="162"/>
      <c r="F38" s="162"/>
      <c r="G38" s="162"/>
      <c r="H38" s="162"/>
      <c r="I38" s="162"/>
      <c r="J38" s="163"/>
      <c r="K38" s="164"/>
      <c r="L38" s="147"/>
      <c r="M38" s="165"/>
      <c r="N38" s="166"/>
      <c r="O38" s="162"/>
      <c r="P38" s="163"/>
      <c r="Q38" s="163"/>
      <c r="R38" s="164"/>
      <c r="S38" s="147"/>
      <c r="T38" s="167">
        <f t="shared" si="0"/>
        <v>0</v>
      </c>
      <c r="U38" s="167">
        <f>C38*24+M38*24+O38*24+Q38*24+T38</f>
        <v>0</v>
      </c>
      <c r="V38" s="167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70"/>
      <c r="D39" s="170"/>
      <c r="E39" s="170"/>
      <c r="F39" s="170"/>
      <c r="G39" s="170"/>
      <c r="H39" s="170"/>
      <c r="I39" s="170"/>
      <c r="J39" s="171"/>
      <c r="K39" s="172"/>
      <c r="L39" s="147"/>
      <c r="M39" s="173"/>
      <c r="N39" s="174"/>
      <c r="O39" s="170"/>
      <c r="P39" s="171"/>
      <c r="Q39" s="171"/>
      <c r="R39" s="172"/>
      <c r="S39" s="147"/>
      <c r="T39" s="175"/>
      <c r="U39" s="175"/>
      <c r="V39" s="175"/>
    </row>
    <row r="40" spans="1:23" ht="19.5" thickBot="1" x14ac:dyDescent="0.3">
      <c r="A40" s="75">
        <f t="shared" si="1"/>
        <v>37</v>
      </c>
      <c r="B40" s="94" t="s">
        <v>22</v>
      </c>
      <c r="C40" s="151"/>
      <c r="D40" s="151"/>
      <c r="E40" s="151"/>
      <c r="F40" s="151"/>
      <c r="G40" s="151"/>
      <c r="H40" s="151"/>
      <c r="I40" s="151"/>
      <c r="J40" s="152"/>
      <c r="K40" s="153"/>
      <c r="L40" s="154"/>
      <c r="M40" s="155"/>
      <c r="N40" s="156"/>
      <c r="O40" s="157"/>
      <c r="P40" s="158"/>
      <c r="Q40" s="158"/>
      <c r="R40" s="159"/>
      <c r="S40" s="154"/>
      <c r="T40" s="169">
        <f t="shared" si="0"/>
        <v>0</v>
      </c>
      <c r="U40" s="169">
        <f>C40*24+M40*24+O40*24+Q40*24+T40</f>
        <v>0</v>
      </c>
      <c r="V40" s="169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76"/>
      <c r="D41" s="176"/>
      <c r="E41" s="176"/>
      <c r="F41" s="176"/>
      <c r="G41" s="176"/>
      <c r="H41" s="176"/>
      <c r="I41" s="176"/>
      <c r="J41" s="177"/>
      <c r="K41" s="178"/>
      <c r="L41" s="179"/>
      <c r="M41" s="180"/>
      <c r="N41" s="181"/>
      <c r="O41" s="176"/>
      <c r="P41" s="177"/>
      <c r="Q41" s="177"/>
      <c r="R41" s="178"/>
      <c r="S41" s="179"/>
      <c r="T41" s="182">
        <f t="shared" si="0"/>
        <v>0</v>
      </c>
      <c r="U41" s="182">
        <f>C41*12+M41*12+O41*12+Q41*12+T41</f>
        <v>0</v>
      </c>
      <c r="V41" s="182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162"/>
      <c r="D42" s="162"/>
      <c r="E42" s="162"/>
      <c r="F42" s="162"/>
      <c r="G42" s="162"/>
      <c r="H42" s="162"/>
      <c r="I42" s="162"/>
      <c r="J42" s="163"/>
      <c r="K42" s="164"/>
      <c r="L42" s="147"/>
      <c r="M42" s="165"/>
      <c r="N42" s="166"/>
      <c r="O42" s="162"/>
      <c r="P42" s="163"/>
      <c r="Q42" s="163"/>
      <c r="R42" s="164"/>
      <c r="S42" s="147"/>
      <c r="T42" s="167"/>
      <c r="U42" s="167"/>
      <c r="V42" s="167"/>
    </row>
    <row r="43" spans="1:23" ht="19.5" thickBot="1" x14ac:dyDescent="0.3">
      <c r="A43" s="75">
        <f t="shared" si="1"/>
        <v>40</v>
      </c>
      <c r="B43" s="94" t="s">
        <v>24</v>
      </c>
      <c r="C43" s="157"/>
      <c r="D43" s="157"/>
      <c r="E43" s="157"/>
      <c r="F43" s="157"/>
      <c r="G43" s="157"/>
      <c r="H43" s="157"/>
      <c r="I43" s="157"/>
      <c r="J43" s="158"/>
      <c r="K43" s="159"/>
      <c r="L43" s="154"/>
      <c r="M43" s="155"/>
      <c r="N43" s="156"/>
      <c r="O43" s="157"/>
      <c r="P43" s="158"/>
      <c r="Q43" s="158"/>
      <c r="R43" s="159"/>
      <c r="S43" s="154"/>
      <c r="T43" s="169">
        <f t="shared" ref="T43" si="6">H43+I43+J43+K43+N43+P43+R43</f>
        <v>0</v>
      </c>
      <c r="U43" s="169">
        <f>C43*6+M43*6+O43*6+Q43*6+T43</f>
        <v>0</v>
      </c>
      <c r="V43" s="169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162"/>
      <c r="D44" s="162"/>
      <c r="E44" s="162"/>
      <c r="F44" s="162"/>
      <c r="G44" s="162"/>
      <c r="H44" s="162"/>
      <c r="I44" s="162"/>
      <c r="J44" s="163"/>
      <c r="K44" s="164"/>
      <c r="L44" s="147"/>
      <c r="M44" s="165"/>
      <c r="N44" s="166"/>
      <c r="O44" s="162"/>
      <c r="P44" s="163"/>
      <c r="Q44" s="163"/>
      <c r="R44" s="164"/>
      <c r="S44" s="147"/>
      <c r="T44" s="167"/>
      <c r="U44" s="167"/>
      <c r="V44" s="167"/>
    </row>
    <row r="45" spans="1:23" x14ac:dyDescent="0.25">
      <c r="A45" s="75">
        <f t="shared" si="1"/>
        <v>42</v>
      </c>
      <c r="B45" s="74" t="s">
        <v>25</v>
      </c>
      <c r="C45" s="162"/>
      <c r="D45" s="162"/>
      <c r="E45" s="162"/>
      <c r="F45" s="162"/>
      <c r="G45" s="162"/>
      <c r="H45" s="162"/>
      <c r="I45" s="162"/>
      <c r="J45" s="163"/>
      <c r="K45" s="164"/>
      <c r="L45" s="147"/>
      <c r="M45" s="165"/>
      <c r="N45" s="166"/>
      <c r="O45" s="162"/>
      <c r="P45" s="163"/>
      <c r="Q45" s="163"/>
      <c r="R45" s="164"/>
      <c r="S45" s="147"/>
      <c r="T45" s="167">
        <f t="shared" ref="T45:T54" si="7">H45+I45+J45+K45+N45+P45+R45</f>
        <v>0</v>
      </c>
      <c r="U45" s="167">
        <f>C45*24+M45*24+O45*24+Q45*24+T45</f>
        <v>0</v>
      </c>
      <c r="V45" s="167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162"/>
      <c r="D46" s="162"/>
      <c r="E46" s="162"/>
      <c r="F46" s="162"/>
      <c r="G46" s="162"/>
      <c r="H46" s="162"/>
      <c r="I46" s="162"/>
      <c r="J46" s="163"/>
      <c r="K46" s="164"/>
      <c r="L46" s="147"/>
      <c r="M46" s="165"/>
      <c r="N46" s="166"/>
      <c r="O46" s="162"/>
      <c r="P46" s="163"/>
      <c r="Q46" s="163"/>
      <c r="R46" s="164"/>
      <c r="S46" s="147"/>
      <c r="T46" s="167">
        <f t="shared" si="7"/>
        <v>0</v>
      </c>
      <c r="U46" s="167">
        <f t="shared" ref="U46:U50" si="8">C46*24+M46*24+O46*24+Q46*24+T46</f>
        <v>0</v>
      </c>
      <c r="V46" s="167">
        <f t="shared" ref="V46:V54" si="9">U46/24</f>
        <v>0</v>
      </c>
    </row>
    <row r="47" spans="1:23" ht="19.5" thickBot="1" x14ac:dyDescent="0.3">
      <c r="A47" s="75">
        <f t="shared" si="1"/>
        <v>44</v>
      </c>
      <c r="B47" s="94" t="s">
        <v>26</v>
      </c>
      <c r="C47" s="157"/>
      <c r="D47" s="157"/>
      <c r="E47" s="157"/>
      <c r="F47" s="157"/>
      <c r="G47" s="157"/>
      <c r="H47" s="157"/>
      <c r="I47" s="157"/>
      <c r="J47" s="158"/>
      <c r="K47" s="159"/>
      <c r="L47" s="154"/>
      <c r="M47" s="155"/>
      <c r="N47" s="156"/>
      <c r="O47" s="157"/>
      <c r="P47" s="158"/>
      <c r="Q47" s="158"/>
      <c r="R47" s="159"/>
      <c r="S47" s="154"/>
      <c r="T47" s="169">
        <f t="shared" si="7"/>
        <v>0</v>
      </c>
      <c r="U47" s="169">
        <f>C47*6+M47*6+O47*6+Q47*6+T47</f>
        <v>0</v>
      </c>
      <c r="V47" s="169">
        <f>U47/6</f>
        <v>0</v>
      </c>
    </row>
    <row r="48" spans="1:23" x14ac:dyDescent="0.25">
      <c r="A48" s="75">
        <f t="shared" si="1"/>
        <v>45</v>
      </c>
      <c r="B48" s="73" t="s">
        <v>69</v>
      </c>
      <c r="C48" s="162"/>
      <c r="D48" s="162"/>
      <c r="E48" s="162"/>
      <c r="F48" s="162"/>
      <c r="G48" s="162"/>
      <c r="H48" s="162"/>
      <c r="I48" s="162"/>
      <c r="J48" s="163"/>
      <c r="K48" s="164"/>
      <c r="L48" s="147"/>
      <c r="M48" s="165"/>
      <c r="N48" s="166"/>
      <c r="O48" s="162"/>
      <c r="P48" s="163"/>
      <c r="Q48" s="163"/>
      <c r="R48" s="164"/>
      <c r="S48" s="147"/>
      <c r="T48" s="167">
        <f t="shared" si="7"/>
        <v>0</v>
      </c>
      <c r="U48" s="167">
        <f t="shared" si="8"/>
        <v>0</v>
      </c>
      <c r="V48" s="167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162"/>
      <c r="D49" s="162"/>
      <c r="E49" s="162"/>
      <c r="F49" s="162"/>
      <c r="G49" s="162"/>
      <c r="H49" s="162"/>
      <c r="I49" s="162"/>
      <c r="J49" s="163"/>
      <c r="K49" s="164"/>
      <c r="L49" s="147"/>
      <c r="M49" s="165"/>
      <c r="N49" s="166"/>
      <c r="O49" s="162"/>
      <c r="P49" s="163"/>
      <c r="Q49" s="163"/>
      <c r="R49" s="164"/>
      <c r="S49" s="147"/>
      <c r="T49" s="167">
        <f t="shared" si="7"/>
        <v>0</v>
      </c>
      <c r="U49" s="167">
        <f t="shared" si="8"/>
        <v>0</v>
      </c>
      <c r="V49" s="167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162"/>
      <c r="D50" s="162"/>
      <c r="E50" s="162"/>
      <c r="F50" s="162"/>
      <c r="G50" s="162"/>
      <c r="H50" s="162"/>
      <c r="I50" s="162"/>
      <c r="J50" s="163"/>
      <c r="K50" s="164"/>
      <c r="L50" s="147"/>
      <c r="M50" s="165"/>
      <c r="N50" s="166"/>
      <c r="O50" s="162"/>
      <c r="P50" s="163"/>
      <c r="Q50" s="163"/>
      <c r="R50" s="164"/>
      <c r="S50" s="147"/>
      <c r="T50" s="167">
        <f t="shared" si="7"/>
        <v>0</v>
      </c>
      <c r="U50" s="167">
        <f t="shared" si="8"/>
        <v>0</v>
      </c>
      <c r="V50" s="167">
        <f t="shared" si="9"/>
        <v>0</v>
      </c>
    </row>
    <row r="51" spans="1:22" ht="19.5" thickBot="1" x14ac:dyDescent="0.3">
      <c r="A51" s="75">
        <f t="shared" si="1"/>
        <v>48</v>
      </c>
      <c r="B51" s="94" t="s">
        <v>29</v>
      </c>
      <c r="C51" s="157"/>
      <c r="D51" s="157"/>
      <c r="E51" s="157"/>
      <c r="F51" s="157"/>
      <c r="G51" s="157"/>
      <c r="H51" s="157"/>
      <c r="I51" s="157"/>
      <c r="J51" s="158"/>
      <c r="K51" s="159"/>
      <c r="L51" s="154"/>
      <c r="M51" s="155"/>
      <c r="N51" s="156"/>
      <c r="O51" s="157"/>
      <c r="P51" s="158"/>
      <c r="Q51" s="158"/>
      <c r="R51" s="159"/>
      <c r="S51" s="154"/>
      <c r="T51" s="169">
        <f t="shared" si="7"/>
        <v>0</v>
      </c>
      <c r="U51" s="169">
        <f>C51*6+M51*6+O51*6+Q51*6+T51</f>
        <v>0</v>
      </c>
      <c r="V51" s="169">
        <f>U51/6</f>
        <v>0</v>
      </c>
    </row>
    <row r="52" spans="1:22" x14ac:dyDescent="0.25">
      <c r="A52" s="75">
        <f t="shared" si="1"/>
        <v>49</v>
      </c>
      <c r="B52" s="73" t="s">
        <v>30</v>
      </c>
      <c r="C52" s="162"/>
      <c r="D52" s="162"/>
      <c r="E52" s="162"/>
      <c r="F52" s="162"/>
      <c r="G52" s="162"/>
      <c r="H52" s="162"/>
      <c r="I52" s="162"/>
      <c r="J52" s="163"/>
      <c r="K52" s="164"/>
      <c r="L52" s="147"/>
      <c r="M52" s="165"/>
      <c r="N52" s="166"/>
      <c r="O52" s="162"/>
      <c r="P52" s="163"/>
      <c r="Q52" s="163"/>
      <c r="R52" s="164"/>
      <c r="S52" s="147"/>
      <c r="T52" s="167">
        <f t="shared" si="7"/>
        <v>0</v>
      </c>
      <c r="U52" s="167">
        <f t="shared" ref="U52:U54" si="10">C52*24+M52*24+O52*24+Q52*24+T52</f>
        <v>0</v>
      </c>
      <c r="V52" s="167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162"/>
      <c r="D53" s="162"/>
      <c r="E53" s="162"/>
      <c r="F53" s="162"/>
      <c r="G53" s="162"/>
      <c r="H53" s="162"/>
      <c r="I53" s="162"/>
      <c r="J53" s="163"/>
      <c r="K53" s="164"/>
      <c r="L53" s="147"/>
      <c r="M53" s="165"/>
      <c r="N53" s="166"/>
      <c r="O53" s="162"/>
      <c r="P53" s="163"/>
      <c r="Q53" s="163"/>
      <c r="R53" s="164"/>
      <c r="S53" s="147"/>
      <c r="T53" s="167">
        <f t="shared" si="7"/>
        <v>0</v>
      </c>
      <c r="U53" s="167">
        <f t="shared" si="10"/>
        <v>0</v>
      </c>
      <c r="V53" s="167">
        <f t="shared" si="9"/>
        <v>0</v>
      </c>
    </row>
    <row r="54" spans="1:22" x14ac:dyDescent="0.25">
      <c r="A54" s="75">
        <f t="shared" si="1"/>
        <v>51</v>
      </c>
      <c r="B54" s="74"/>
      <c r="C54" s="162"/>
      <c r="D54" s="162"/>
      <c r="E54" s="162"/>
      <c r="F54" s="162"/>
      <c r="G54" s="162"/>
      <c r="H54" s="162"/>
      <c r="I54" s="162"/>
      <c r="J54" s="163"/>
      <c r="K54" s="164"/>
      <c r="L54" s="147"/>
      <c r="M54" s="165"/>
      <c r="N54" s="166"/>
      <c r="O54" s="162"/>
      <c r="P54" s="163"/>
      <c r="Q54" s="163"/>
      <c r="R54" s="164"/>
      <c r="S54" s="147"/>
      <c r="T54" s="167">
        <f t="shared" si="7"/>
        <v>0</v>
      </c>
      <c r="U54" s="167">
        <f t="shared" si="10"/>
        <v>0</v>
      </c>
      <c r="V54" s="167">
        <f t="shared" si="9"/>
        <v>0</v>
      </c>
    </row>
    <row r="55" spans="1:22" x14ac:dyDescent="0.25">
      <c r="A55" s="75">
        <f t="shared" si="1"/>
        <v>52</v>
      </c>
      <c r="B55" s="74"/>
      <c r="C55" s="162"/>
      <c r="D55" s="162"/>
      <c r="E55" s="162"/>
      <c r="F55" s="162"/>
      <c r="G55" s="162"/>
      <c r="H55" s="162"/>
      <c r="I55" s="162"/>
      <c r="J55" s="163"/>
      <c r="K55" s="164"/>
      <c r="L55" s="147"/>
      <c r="M55" s="165"/>
      <c r="N55" s="166"/>
      <c r="O55" s="162"/>
      <c r="P55" s="163"/>
      <c r="Q55" s="163"/>
      <c r="R55" s="164"/>
      <c r="S55" s="147"/>
      <c r="T55" s="167"/>
      <c r="U55" s="167"/>
      <c r="V55" s="167"/>
    </row>
    <row r="56" spans="1:22" x14ac:dyDescent="0.25">
      <c r="A56" s="75">
        <f t="shared" si="1"/>
        <v>53</v>
      </c>
      <c r="B56" s="74"/>
      <c r="C56" s="162"/>
      <c r="D56" s="162"/>
      <c r="E56" s="162"/>
      <c r="F56" s="162"/>
      <c r="G56" s="162"/>
      <c r="H56" s="162"/>
      <c r="I56" s="162"/>
      <c r="J56" s="163"/>
      <c r="K56" s="164"/>
      <c r="L56" s="147"/>
      <c r="M56" s="165"/>
      <c r="N56" s="166"/>
      <c r="O56" s="162"/>
      <c r="P56" s="163"/>
      <c r="Q56" s="163"/>
      <c r="R56" s="164"/>
      <c r="S56" s="147"/>
      <c r="T56" s="167"/>
      <c r="U56" s="167"/>
      <c r="V56" s="167"/>
    </row>
    <row r="57" spans="1:22" x14ac:dyDescent="0.25">
      <c r="A57" s="75">
        <f t="shared" si="1"/>
        <v>54</v>
      </c>
      <c r="B57" s="74"/>
      <c r="C57" s="162"/>
      <c r="D57" s="162"/>
      <c r="E57" s="162"/>
      <c r="F57" s="162"/>
      <c r="G57" s="162"/>
      <c r="H57" s="162"/>
      <c r="I57" s="162"/>
      <c r="J57" s="163"/>
      <c r="K57" s="164"/>
      <c r="L57" s="147"/>
      <c r="M57" s="165"/>
      <c r="N57" s="166"/>
      <c r="O57" s="162"/>
      <c r="P57" s="163"/>
      <c r="Q57" s="163"/>
      <c r="R57" s="164"/>
      <c r="S57" s="147"/>
      <c r="T57" s="167"/>
      <c r="U57" s="167"/>
      <c r="V57" s="167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14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94" t="s">
        <v>49</v>
      </c>
      <c r="D60" s="195"/>
      <c r="E60" s="195"/>
      <c r="F60" s="195"/>
      <c r="G60" s="195"/>
      <c r="H60" s="195"/>
      <c r="I60" s="195"/>
      <c r="J60" s="195"/>
      <c r="K60" s="196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24</vt:i4>
      </vt:variant>
    </vt:vector>
  </HeadingPairs>
  <TitlesOfParts>
    <vt:vector size="48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02-18-2026</vt:lpstr>
      <vt:lpstr>02-19-2026</vt:lpstr>
      <vt:lpstr>02-20-2026__</vt:lpstr>
      <vt:lpstr>02-21-2026</vt:lpstr>
      <vt:lpstr>02-23-2026</vt:lpstr>
      <vt:lpstr>02-25-2026</vt:lpstr>
      <vt:lpstr>02-26-2026</vt:lpstr>
      <vt:lpstr>02-27-2026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'02-18-2026'!Print_Area</vt:lpstr>
      <vt:lpstr>'02-19-2026'!Print_Area</vt:lpstr>
      <vt:lpstr>'02-20-2026__'!Print_Area</vt:lpstr>
      <vt:lpstr>'02-21-2026'!Print_Area</vt:lpstr>
      <vt:lpstr>'02-23-2026'!Print_Area</vt:lpstr>
      <vt:lpstr>'02-25-2026'!Print_Area</vt:lpstr>
      <vt:lpstr>'02-26-2026'!Print_Area</vt:lpstr>
      <vt:lpstr>'02-27-2026'!Print_Area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2026-02-26T06:04:58Z</dcterms:modified>
</cp:coreProperties>
</file>