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E29CFFD-56D8-4831-ADBC-3026961540E8}" xr6:coauthVersionLast="45" xr6:coauthVersionMax="45" xr10:uidLastSave="{00000000-0000-0000-0000-000000000000}"/>
  <bookViews>
    <workbookView xWindow="-120" yWindow="-120" windowWidth="29040" windowHeight="15840" activeTab="8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3-2026" sheetId="11" r:id="rId10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'02-13-2026'!$A$1:$W$58</definedName>
    <definedName name="_xlnm.Print_Area" localSheetId="0">'COUNT SHEET'!$A$1:$AM$25</definedName>
    <definedName name="_xlnm.Print_Area" localSheetId="1">'COUNT SHEET SAMPLE'!$A$1:$Q$88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7" i="18" l="1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U37" i="18"/>
  <c r="V37" i="18" s="1"/>
  <c r="T37" i="18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V24" i="18"/>
  <c r="U24" i="18"/>
  <c r="T24" i="18"/>
  <c r="T23" i="18"/>
  <c r="U23" i="18" s="1"/>
  <c r="V23" i="18" s="1"/>
  <c r="T22" i="18"/>
  <c r="U22" i="18" s="1"/>
  <c r="V22" i="18" s="1"/>
  <c r="U21" i="18"/>
  <c r="V21" i="18" s="1"/>
  <c r="T21" i="18"/>
  <c r="V20" i="18"/>
  <c r="U20" i="18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U7" i="18"/>
  <c r="T7" i="18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18" l="1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<sst xmlns="http://schemas.openxmlformats.org/spreadsheetml/2006/main" count="815" uniqueCount="90">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</sst>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49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32" t="s">
        <v>39</v>
      </c>
      <c r="B21" s="129" t="s">
        <v>18</v>
      </c>
      <c r="C21" s="130"/>
      <c r="D21" s="131"/>
      <c r="E21" s="129" t="s">
        <v>40</v>
      </c>
      <c r="F21" s="130"/>
      <c r="G21" s="131"/>
      <c r="H21" s="129" t="s">
        <v>41</v>
      </c>
      <c r="I21" s="130"/>
      <c r="J21" s="131"/>
      <c r="K21" s="129" t="s">
        <v>42</v>
      </c>
      <c r="L21" s="130"/>
      <c r="M21" s="131"/>
      <c r="N21" s="129" t="s">
        <v>43</v>
      </c>
      <c r="O21" s="130"/>
      <c r="P21" s="131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33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39" t="s">
        <v>53</v>
      </c>
      <c r="I1" s="139"/>
      <c r="J1" s="139"/>
      <c r="K1" s="139"/>
      <c r="L1" s="139"/>
      <c r="M1" s="139"/>
      <c r="N1" s="139"/>
      <c r="O1" s="139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5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8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D60" sqref="D6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7"/>
      <c r="Q5" s="127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28"/>
      <c r="Q5" s="12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/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0</v>
      </c>
      <c r="V24" s="50">
        <f t="shared" si="5"/>
        <v>0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/>
      <c r="D26" s="47"/>
      <c r="E26" s="47"/>
      <c r="F26" s="47"/>
      <c r="G26" s="47"/>
      <c r="H26" s="47"/>
      <c r="I26" s="47"/>
      <c r="J26" s="111"/>
      <c r="K26" s="46"/>
      <c r="M26" s="52"/>
      <c r="N26" s="121"/>
      <c r="O26" s="47"/>
      <c r="P26" s="111"/>
      <c r="Q26" s="111"/>
      <c r="R26" s="46"/>
      <c r="T26" s="91">
        <f t="shared" si="0"/>
        <v>0</v>
      </c>
      <c r="U26" s="50">
        <f t="shared" si="4"/>
        <v>0</v>
      </c>
      <c r="V26" s="50">
        <f t="shared" si="5"/>
        <v>0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ht="19.5" thickBot="1" x14ac:dyDescent="0.3">
      <c r="A39" s="75">
        <f t="shared" si="1"/>
        <v>36</v>
      </c>
      <c r="B39" s="94" t="s">
        <v>22</v>
      </c>
      <c r="C39" s="95"/>
      <c r="D39" s="95"/>
      <c r="E39" s="95"/>
      <c r="F39" s="95"/>
      <c r="G39" s="95"/>
      <c r="H39" s="95"/>
      <c r="I39" s="95"/>
      <c r="J39" s="110"/>
      <c r="K39" s="96"/>
      <c r="L39" s="102"/>
      <c r="M39" s="103"/>
      <c r="N39" s="120"/>
      <c r="O39" s="97"/>
      <c r="P39" s="113"/>
      <c r="Q39" s="113"/>
      <c r="R39" s="98"/>
      <c r="S39" s="102"/>
      <c r="T39" s="104">
        <f>H39+I39+J39+K39+N39+P39+R39</f>
        <v>0</v>
      </c>
      <c r="U39" s="104">
        <f>C39*24+M39*24+O39*24+Q39*24+T39</f>
        <v>0</v>
      </c>
      <c r="V39" s="104">
        <f>U39/24</f>
        <v>0</v>
      </c>
    </row>
    <row r="40" spans="1:23" ht="19.5" thickBot="1" x14ac:dyDescent="0.3">
      <c r="A40" s="75">
        <f t="shared" si="1"/>
        <v>37</v>
      </c>
      <c r="B40" s="99" t="s">
        <v>23</v>
      </c>
      <c r="C40" s="100"/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/>
      <c r="P40" s="112"/>
      <c r="Q40" s="112"/>
      <c r="R40" s="101"/>
      <c r="S40" s="105"/>
      <c r="T40" s="107">
        <f t="shared" si="0"/>
        <v>0</v>
      </c>
      <c r="U40" s="107">
        <f>C40*12+M40*12+O40*12+Q40*12+T40</f>
        <v>0</v>
      </c>
      <c r="V40" s="107">
        <f>U40/12</f>
        <v>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/>
      <c r="D42" s="97"/>
      <c r="E42" s="97"/>
      <c r="F42" s="97"/>
      <c r="G42" s="97"/>
      <c r="H42" s="97"/>
      <c r="I42" s="97"/>
      <c r="J42" s="113"/>
      <c r="K42" s="98"/>
      <c r="L42" s="102"/>
      <c r="M42" s="103"/>
      <c r="N42" s="120"/>
      <c r="O42" s="97"/>
      <c r="P42" s="113"/>
      <c r="Q42" s="113"/>
      <c r="R42" s="98"/>
      <c r="S42" s="102"/>
      <c r="T42" s="104">
        <f t="shared" ref="T42" si="6">H42+I42+J42+K42+N42+P42+R42</f>
        <v>0</v>
      </c>
      <c r="U42" s="104">
        <f>C42*6+M42*6+O42*6+Q42*6+T42</f>
        <v>0</v>
      </c>
      <c r="V42" s="104">
        <f>U42/6</f>
        <v>0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>C48*6+M48*6+O48*6+Q48*6+T48</f>
        <v>0</v>
      </c>
      <c r="V48" s="50">
        <f>U48/6</f>
        <v>0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0</v>
      </c>
      <c r="V52" s="50">
        <f>U52/6</f>
        <v>0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0</v>
      </c>
      <c r="I57" s="54">
        <f t="shared" si="12"/>
        <v>0</v>
      </c>
      <c r="J57" s="54">
        <f t="shared" si="12"/>
        <v>0</v>
      </c>
      <c r="K57" s="54">
        <f t="shared" si="12"/>
        <v>0</v>
      </c>
      <c r="M57" s="53">
        <f t="shared" ref="M57:R57" si="13">SUM(M7:M56)</f>
        <v>0</v>
      </c>
      <c r="N57" s="53">
        <f t="shared" si="13"/>
        <v>0</v>
      </c>
      <c r="O57" s="53">
        <f t="shared" si="13"/>
        <v>0</v>
      </c>
      <c r="P57" s="53">
        <f t="shared" si="13"/>
        <v>0</v>
      </c>
      <c r="Q57" s="53">
        <f t="shared" si="13"/>
        <v>0</v>
      </c>
      <c r="R57" s="53">
        <f t="shared" si="13"/>
        <v>0</v>
      </c>
      <c r="S57" s="57"/>
      <c r="T57" s="51">
        <f>SUM(T7:T56)</f>
        <v>0</v>
      </c>
      <c r="U57" s="51">
        <f>SUM(U7:U56)</f>
        <v>0</v>
      </c>
      <c r="V57" s="51">
        <f>SUM(V7:V56)</f>
        <v>0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C59:K59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topLeftCell="A34" zoomScaleNormal="100" zoomScaleSheetLayoutView="115" workbookViewId="0">
      <selection activeCell="D60" sqref="D6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9" t="s">
        <v>53</v>
      </c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34" t="s">
        <v>49</v>
      </c>
      <c r="D4" s="134"/>
      <c r="E4" s="134"/>
      <c r="F4" s="134"/>
      <c r="G4" s="134"/>
      <c r="H4" s="134"/>
      <c r="I4" s="134"/>
      <c r="J4" s="140"/>
      <c r="K4" s="135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1" t="s">
        <v>80</v>
      </c>
      <c r="U4" s="143" t="s">
        <v>79</v>
      </c>
      <c r="V4" s="145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7" t="s">
        <v>77</v>
      </c>
      <c r="K5" s="148"/>
      <c r="M5" s="87"/>
      <c r="N5" s="118"/>
      <c r="O5" s="92"/>
      <c r="P5" s="108"/>
      <c r="Q5" s="108"/>
      <c r="R5" s="89"/>
      <c r="S5" s="57"/>
      <c r="T5" s="142"/>
      <c r="U5" s="144"/>
      <c r="V5" s="146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6" t="s">
        <v>49</v>
      </c>
      <c r="D59" s="137"/>
      <c r="E59" s="137"/>
      <c r="F59" s="137"/>
      <c r="G59" s="137"/>
      <c r="H59" s="137"/>
      <c r="I59" s="137"/>
      <c r="J59" s="137"/>
      <c r="K59" s="138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02-13-2026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'02-13-2026'!Print_Area</vt:lpstr>
      <vt:lpstr>'COUNT SHEET'!Print_Area</vt:lpstr>
      <vt:lpstr>'COUNT SHEET SAMPLE'!Print_Area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2026-02-14T03:51:08Z</dcterms:modified>
</cp:coreProperties>
</file>