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BEB81FC-EE67-4E37-9DFA-342BDC887306}" xr6:coauthVersionLast="45" xr6:coauthVersionMax="45" xr10:uidLastSave="{00000000-0000-0000-0000-000000000000}"/>
  <bookViews>
    <workbookView xWindow="-120" yWindow="-120" windowWidth="29040" windowHeight="15840" firstSheet="15" activeTab="24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1-2026" sheetId="19" r:id="rId10"/>
    <sheet name="02-12-2026" sheetId="20" r:id="rId11"/>
    <sheet name="02-13-2026" sheetId="11" r:id="rId12"/>
    <sheet name="02-14-2026" sheetId="21" r:id="rId13"/>
    <sheet name="02-16-2026" sheetId="22" r:id="rId14"/>
    <sheet name="EXAMPLE" sheetId="23" r:id="rId15"/>
    <sheet name="02-17-2026" sheetId="25" r:id="rId16"/>
    <sheet name="02-18-2026" sheetId="24" r:id="rId17"/>
    <sheet name="02-19-2026" sheetId="26" r:id="rId18"/>
    <sheet name="02-20-2026__" sheetId="28" r:id="rId19"/>
    <sheet name="02-21-2026" sheetId="29" r:id="rId20"/>
    <sheet name="02-23-2026" sheetId="30" r:id="rId21"/>
    <sheet name="02-25-2026" sheetId="31" r:id="rId22"/>
    <sheet name="02-26-2026" sheetId="32" r:id="rId23"/>
    <sheet name="02-27-2026" sheetId="33" r:id="rId24"/>
    <sheet name="02-28-2026" sheetId="34" r:id="rId25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'02-11-2026'!$A$1:$W$58</definedName>
    <definedName name="_xlnm.Print_Area" localSheetId="10">'02-12-2026'!$A$1:$W$58</definedName>
    <definedName name="_xlnm.Print_Area" localSheetId="11">'02-13-2026'!$A$1:$W$58</definedName>
    <definedName name="_xlnm.Print_Area" localSheetId="12">'02-14-2026'!$A$1:$W$58</definedName>
    <definedName name="_xlnm.Print_Area" localSheetId="13">'02-16-2026'!$A$1:$W$59</definedName>
    <definedName name="_xlnm.Print_Area" localSheetId="15">'02-17-2026'!$A$1:$W$59</definedName>
    <definedName name="_xlnm.Print_Area" localSheetId="16">'02-18-2026'!$A$1:$W$59</definedName>
    <definedName name="_xlnm.Print_Area" localSheetId="17">'02-19-2026'!$A$1:$W$59</definedName>
    <definedName name="_xlnm.Print_Area" localSheetId="18">'02-20-2026__'!$A$1:$W$59</definedName>
    <definedName name="_xlnm.Print_Area" localSheetId="19">'02-21-2026'!$A$1:$W$59</definedName>
    <definedName name="_xlnm.Print_Area" localSheetId="20">'02-23-2026'!$A$1:$W$59</definedName>
    <definedName name="_xlnm.Print_Area" localSheetId="21">'02-25-2026'!$A$1:$W$59</definedName>
    <definedName name="_xlnm.Print_Area" localSheetId="22">'02-26-2026'!$A$1:$W$59</definedName>
    <definedName name="_xlnm.Print_Area" localSheetId="23">'02-27-2026'!$A$1:$W$59</definedName>
    <definedName name="_xlnm.Print_Area" localSheetId="24">'02-28-2026'!$A$1:$W$59</definedName>
    <definedName name="_xlnm.Print_Area" localSheetId="0">'COUNT SHEET'!$A$1:$AM$25</definedName>
    <definedName name="_xlnm.Print_Area" localSheetId="1">'COUNT SHEET SAMPLE'!$A$1:$Q$88</definedName>
    <definedName name="_xlnm.Print_Area" localSheetId="14">EXAMPLE!$A$1:$W$83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34" l="1"/>
  <c r="K43" i="34"/>
  <c r="J43" i="34"/>
  <c r="C43" i="34"/>
  <c r="C41" i="34"/>
  <c r="C40" i="34"/>
  <c r="C38" i="34"/>
  <c r="C37" i="34"/>
  <c r="C34" i="34"/>
  <c r="C28" i="34"/>
  <c r="C12" i="34"/>
  <c r="C8" i="34"/>
  <c r="C43" i="33" l="1"/>
  <c r="C37" i="33"/>
  <c r="C34" i="33"/>
  <c r="C47" i="33"/>
  <c r="K43" i="33"/>
  <c r="J43" i="33"/>
  <c r="C41" i="33"/>
  <c r="C40" i="33"/>
  <c r="C38" i="33"/>
  <c r="C25" i="33"/>
  <c r="C12" i="33"/>
  <c r="C8" i="33"/>
  <c r="R58" i="34"/>
  <c r="Q58" i="34"/>
  <c r="P58" i="34"/>
  <c r="O58" i="34"/>
  <c r="N58" i="34"/>
  <c r="M58" i="34"/>
  <c r="K58" i="34"/>
  <c r="J58" i="34"/>
  <c r="I58" i="34"/>
  <c r="H58" i="34"/>
  <c r="G58" i="34"/>
  <c r="F58" i="34"/>
  <c r="C58" i="34"/>
  <c r="U54" i="34"/>
  <c r="V54" i="34" s="1"/>
  <c r="T54" i="34"/>
  <c r="T53" i="34"/>
  <c r="U53" i="34" s="1"/>
  <c r="V53" i="34" s="1"/>
  <c r="U52" i="34"/>
  <c r="V52" i="34" s="1"/>
  <c r="T52" i="34"/>
  <c r="T51" i="34"/>
  <c r="U51" i="34" s="1"/>
  <c r="V51" i="34" s="1"/>
  <c r="U50" i="34"/>
  <c r="V50" i="34" s="1"/>
  <c r="T50" i="34"/>
  <c r="T49" i="34"/>
  <c r="U49" i="34" s="1"/>
  <c r="V49" i="34" s="1"/>
  <c r="U48" i="34"/>
  <c r="V48" i="34" s="1"/>
  <c r="T48" i="34"/>
  <c r="T47" i="34"/>
  <c r="U47" i="34" s="1"/>
  <c r="V47" i="34" s="1"/>
  <c r="U46" i="34"/>
  <c r="V46" i="34" s="1"/>
  <c r="T46" i="34"/>
  <c r="T45" i="34"/>
  <c r="U45" i="34" s="1"/>
  <c r="V45" i="34" s="1"/>
  <c r="T43" i="34"/>
  <c r="U43" i="34" s="1"/>
  <c r="V43" i="34" s="1"/>
  <c r="T41" i="34"/>
  <c r="U41" i="34" s="1"/>
  <c r="V41" i="34" s="1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U35" i="34"/>
  <c r="V35" i="34" s="1"/>
  <c r="T35" i="34"/>
  <c r="T34" i="34"/>
  <c r="U34" i="34" s="1"/>
  <c r="V34" i="34" s="1"/>
  <c r="U33" i="34"/>
  <c r="V33" i="34" s="1"/>
  <c r="T33" i="34"/>
  <c r="T32" i="34"/>
  <c r="U32" i="34" s="1"/>
  <c r="V32" i="34" s="1"/>
  <c r="U31" i="34"/>
  <c r="V31" i="34" s="1"/>
  <c r="T31" i="34"/>
  <c r="T30" i="34"/>
  <c r="U30" i="34" s="1"/>
  <c r="V30" i="34" s="1"/>
  <c r="U29" i="34"/>
  <c r="V29" i="34" s="1"/>
  <c r="T29" i="34"/>
  <c r="T28" i="34"/>
  <c r="U28" i="34" s="1"/>
  <c r="V28" i="34" s="1"/>
  <c r="T26" i="34"/>
  <c r="U26" i="34" s="1"/>
  <c r="V26" i="34" s="1"/>
  <c r="AY25" i="34"/>
  <c r="T25" i="34"/>
  <c r="U25" i="34" s="1"/>
  <c r="V25" i="34" s="1"/>
  <c r="U24" i="34"/>
  <c r="V24" i="34" s="1"/>
  <c r="T24" i="34"/>
  <c r="T23" i="34"/>
  <c r="U23" i="34" s="1"/>
  <c r="V23" i="34" s="1"/>
  <c r="T22" i="34"/>
  <c r="U22" i="34" s="1"/>
  <c r="V22" i="34" s="1"/>
  <c r="T21" i="34"/>
  <c r="U21" i="34" s="1"/>
  <c r="V21" i="34" s="1"/>
  <c r="A21" i="34"/>
  <c r="A22" i="34" s="1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U20" i="34"/>
  <c r="V20" i="34" s="1"/>
  <c r="T20" i="34"/>
  <c r="A20" i="34"/>
  <c r="U19" i="34"/>
  <c r="V19" i="34" s="1"/>
  <c r="T19" i="34"/>
  <c r="T18" i="34"/>
  <c r="U18" i="34" s="1"/>
  <c r="V18" i="34" s="1"/>
  <c r="U17" i="34"/>
  <c r="V17" i="34" s="1"/>
  <c r="T17" i="34"/>
  <c r="T16" i="34"/>
  <c r="U16" i="34" s="1"/>
  <c r="V16" i="34" s="1"/>
  <c r="U15" i="34"/>
  <c r="V15" i="34" s="1"/>
  <c r="T15" i="34"/>
  <c r="T14" i="34"/>
  <c r="U14" i="34" s="1"/>
  <c r="V14" i="34" s="1"/>
  <c r="A14" i="34"/>
  <c r="A15" i="34" s="1"/>
  <c r="A16" i="34" s="1"/>
  <c r="A17" i="34" s="1"/>
  <c r="A18" i="34" s="1"/>
  <c r="U13" i="34"/>
  <c r="V13" i="34" s="1"/>
  <c r="T13" i="34"/>
  <c r="T12" i="34"/>
  <c r="U12" i="34" s="1"/>
  <c r="V12" i="34" s="1"/>
  <c r="T11" i="34"/>
  <c r="U11" i="34" s="1"/>
  <c r="V11" i="34" s="1"/>
  <c r="T10" i="34"/>
  <c r="U10" i="34" s="1"/>
  <c r="V10" i="34" s="1"/>
  <c r="T9" i="34"/>
  <c r="U9" i="34" s="1"/>
  <c r="V9" i="34" s="1"/>
  <c r="A9" i="34"/>
  <c r="A10" i="34" s="1"/>
  <c r="A11" i="34" s="1"/>
  <c r="T8" i="34"/>
  <c r="U8" i="34" s="1"/>
  <c r="V8" i="34" s="1"/>
  <c r="A8" i="34"/>
  <c r="T7" i="34"/>
  <c r="T58" i="34" l="1"/>
  <c r="U7" i="34"/>
  <c r="U28" i="32"/>
  <c r="T28" i="32"/>
  <c r="C47" i="32"/>
  <c r="C43" i="32"/>
  <c r="K43" i="32"/>
  <c r="J43" i="32"/>
  <c r="C41" i="32"/>
  <c r="C40" i="32"/>
  <c r="C38" i="32"/>
  <c r="C37" i="32"/>
  <c r="C34" i="32"/>
  <c r="C31" i="32"/>
  <c r="C30" i="32"/>
  <c r="C28" i="32"/>
  <c r="C25" i="32"/>
  <c r="C12" i="32"/>
  <c r="C10" i="32"/>
  <c r="C9" i="32"/>
  <c r="C8" i="32"/>
  <c r="R58" i="33"/>
  <c r="Q58" i="33"/>
  <c r="P58" i="33"/>
  <c r="O58" i="33"/>
  <c r="N58" i="33"/>
  <c r="M58" i="33"/>
  <c r="K58" i="33"/>
  <c r="J58" i="33"/>
  <c r="I58" i="33"/>
  <c r="H58" i="33"/>
  <c r="G58" i="33"/>
  <c r="F58" i="33"/>
  <c r="C58" i="33"/>
  <c r="T54" i="33"/>
  <c r="U54" i="33" s="1"/>
  <c r="V54" i="33" s="1"/>
  <c r="T53" i="33"/>
  <c r="U53" i="33" s="1"/>
  <c r="V53" i="33" s="1"/>
  <c r="U52" i="33"/>
  <c r="V52" i="33" s="1"/>
  <c r="T52" i="33"/>
  <c r="T51" i="33"/>
  <c r="U51" i="33" s="1"/>
  <c r="V51" i="33" s="1"/>
  <c r="T50" i="33"/>
  <c r="U50" i="33" s="1"/>
  <c r="V50" i="33" s="1"/>
  <c r="T49" i="33"/>
  <c r="U49" i="33" s="1"/>
  <c r="V49" i="33" s="1"/>
  <c r="U48" i="33"/>
  <c r="V48" i="33" s="1"/>
  <c r="T48" i="33"/>
  <c r="T47" i="33"/>
  <c r="U47" i="33" s="1"/>
  <c r="V47" i="33" s="1"/>
  <c r="T46" i="33"/>
  <c r="U46" i="33" s="1"/>
  <c r="V46" i="33" s="1"/>
  <c r="T45" i="33"/>
  <c r="U45" i="33" s="1"/>
  <c r="V45" i="33" s="1"/>
  <c r="T43" i="33"/>
  <c r="U43" i="33" s="1"/>
  <c r="V43" i="33" s="1"/>
  <c r="T41" i="33"/>
  <c r="U41" i="33" s="1"/>
  <c r="V41" i="33" s="1"/>
  <c r="T40" i="33"/>
  <c r="U40" i="33" s="1"/>
  <c r="V40" i="33" s="1"/>
  <c r="T38" i="33"/>
  <c r="U38" i="33" s="1"/>
  <c r="V38" i="33" s="1"/>
  <c r="T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T33" i="33"/>
  <c r="U33" i="33" s="1"/>
  <c r="V33" i="33" s="1"/>
  <c r="T32" i="33"/>
  <c r="U32" i="33" s="1"/>
  <c r="V32" i="33" s="1"/>
  <c r="T31" i="33"/>
  <c r="U31" i="33" s="1"/>
  <c r="V31" i="33" s="1"/>
  <c r="T30" i="33"/>
  <c r="U30" i="33" s="1"/>
  <c r="V30" i="33" s="1"/>
  <c r="T29" i="33"/>
  <c r="U29" i="33" s="1"/>
  <c r="V29" i="33" s="1"/>
  <c r="T28" i="33"/>
  <c r="U28" i="33" s="1"/>
  <c r="V28" i="33" s="1"/>
  <c r="T26" i="33"/>
  <c r="U26" i="33" s="1"/>
  <c r="V26" i="33" s="1"/>
  <c r="AY25" i="33"/>
  <c r="T25" i="33"/>
  <c r="U25" i="33" s="1"/>
  <c r="V25" i="33" s="1"/>
  <c r="U24" i="33"/>
  <c r="V24" i="33" s="1"/>
  <c r="T24" i="33"/>
  <c r="T23" i="33"/>
  <c r="U23" i="33" s="1"/>
  <c r="V23" i="33" s="1"/>
  <c r="T22" i="33"/>
  <c r="U22" i="33" s="1"/>
  <c r="V22" i="33" s="1"/>
  <c r="U21" i="33"/>
  <c r="V21" i="33" s="1"/>
  <c r="T21" i="33"/>
  <c r="U20" i="33"/>
  <c r="V20" i="33" s="1"/>
  <c r="T20" i="33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T18" i="33"/>
  <c r="U18" i="33" s="1"/>
  <c r="V18" i="33" s="1"/>
  <c r="U17" i="33"/>
  <c r="V17" i="33" s="1"/>
  <c r="T17" i="33"/>
  <c r="T16" i="33"/>
  <c r="U16" i="33" s="1"/>
  <c r="V16" i="33" s="1"/>
  <c r="T15" i="33"/>
  <c r="U15" i="33" s="1"/>
  <c r="V15" i="33" s="1"/>
  <c r="A15" i="33"/>
  <c r="A16" i="33" s="1"/>
  <c r="A17" i="33" s="1"/>
  <c r="A18" i="33" s="1"/>
  <c r="T14" i="33"/>
  <c r="U14" i="33" s="1"/>
  <c r="V14" i="33" s="1"/>
  <c r="A14" i="33"/>
  <c r="U13" i="33"/>
  <c r="V13" i="33" s="1"/>
  <c r="T13" i="33"/>
  <c r="T12" i="33"/>
  <c r="U12" i="33" s="1"/>
  <c r="V12" i="33" s="1"/>
  <c r="T11" i="33"/>
  <c r="U11" i="33" s="1"/>
  <c r="V11" i="33" s="1"/>
  <c r="U10" i="33"/>
  <c r="V10" i="33" s="1"/>
  <c r="T10" i="33"/>
  <c r="T9" i="33"/>
  <c r="U9" i="33" s="1"/>
  <c r="V9" i="33" s="1"/>
  <c r="A9" i="33"/>
  <c r="A10" i="33" s="1"/>
  <c r="A11" i="33" s="1"/>
  <c r="T8" i="33"/>
  <c r="U8" i="33" s="1"/>
  <c r="V8" i="33" s="1"/>
  <c r="A8" i="33"/>
  <c r="T7" i="33"/>
  <c r="T58" i="33" l="1"/>
  <c r="V7" i="34"/>
  <c r="V58" i="34" s="1"/>
  <c r="U58" i="34"/>
  <c r="U7" i="33"/>
  <c r="T9" i="31"/>
  <c r="C47" i="31"/>
  <c r="C12" i="31"/>
  <c r="C8" i="31"/>
  <c r="K43" i="31"/>
  <c r="J43" i="31"/>
  <c r="C43" i="31"/>
  <c r="C41" i="31"/>
  <c r="C40" i="31"/>
  <c r="C38" i="31"/>
  <c r="C37" i="31"/>
  <c r="C34" i="31"/>
  <c r="C25" i="31"/>
  <c r="C13" i="31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U53" i="32"/>
  <c r="V53" i="32" s="1"/>
  <c r="T53" i="32"/>
  <c r="T52" i="32"/>
  <c r="U52" i="32" s="1"/>
  <c r="V52" i="32" s="1"/>
  <c r="T51" i="32"/>
  <c r="U51" i="32" s="1"/>
  <c r="V51" i="32" s="1"/>
  <c r="T50" i="32"/>
  <c r="U50" i="32" s="1"/>
  <c r="V50" i="32" s="1"/>
  <c r="U49" i="32"/>
  <c r="V49" i="32" s="1"/>
  <c r="T49" i="32"/>
  <c r="T48" i="32"/>
  <c r="U48" i="32" s="1"/>
  <c r="V48" i="32" s="1"/>
  <c r="T47" i="32"/>
  <c r="U47" i="32" s="1"/>
  <c r="V47" i="32" s="1"/>
  <c r="T46" i="32"/>
  <c r="U46" i="32" s="1"/>
  <c r="V46" i="32" s="1"/>
  <c r="U45" i="32"/>
  <c r="V45" i="32" s="1"/>
  <c r="T45" i="32"/>
  <c r="T43" i="32"/>
  <c r="U43" i="32" s="1"/>
  <c r="V43" i="32" s="1"/>
  <c r="U41" i="32"/>
  <c r="V41" i="32" s="1"/>
  <c r="T41" i="32"/>
  <c r="T40" i="32"/>
  <c r="U40" i="32" s="1"/>
  <c r="V40" i="32" s="1"/>
  <c r="T38" i="32"/>
  <c r="U38" i="32" s="1"/>
  <c r="V38" i="32" s="1"/>
  <c r="T37" i="32"/>
  <c r="U37" i="32" s="1"/>
  <c r="V37" i="32" s="1"/>
  <c r="V36" i="32"/>
  <c r="U36" i="32"/>
  <c r="T36" i="32"/>
  <c r="T35" i="32"/>
  <c r="U35" i="32" s="1"/>
  <c r="V35" i="32" s="1"/>
  <c r="T34" i="32"/>
  <c r="U34" i="32" s="1"/>
  <c r="V34" i="32" s="1"/>
  <c r="T33" i="32"/>
  <c r="U33" i="32" s="1"/>
  <c r="V33" i="32" s="1"/>
  <c r="V32" i="32"/>
  <c r="U32" i="32"/>
  <c r="T32" i="32"/>
  <c r="T31" i="32"/>
  <c r="U31" i="32" s="1"/>
  <c r="V31" i="32" s="1"/>
  <c r="T30" i="32"/>
  <c r="U30" i="32" s="1"/>
  <c r="V30" i="32" s="1"/>
  <c r="T29" i="32"/>
  <c r="U29" i="32" s="1"/>
  <c r="V29" i="32" s="1"/>
  <c r="V28" i="32"/>
  <c r="U26" i="32"/>
  <c r="V26" i="32" s="1"/>
  <c r="T26" i="32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U21" i="32"/>
  <c r="V21" i="32" s="1"/>
  <c r="T21" i="32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U18" i="32"/>
  <c r="V18" i="32" s="1"/>
  <c r="T18" i="32"/>
  <c r="T17" i="32"/>
  <c r="U17" i="32" s="1"/>
  <c r="V17" i="32" s="1"/>
  <c r="T16" i="32"/>
  <c r="U16" i="32" s="1"/>
  <c r="V16" i="32" s="1"/>
  <c r="T15" i="32"/>
  <c r="U15" i="32" s="1"/>
  <c r="V15" i="32" s="1"/>
  <c r="A15" i="32"/>
  <c r="A16" i="32" s="1"/>
  <c r="A17" i="32" s="1"/>
  <c r="A18" i="32" s="1"/>
  <c r="U14" i="32"/>
  <c r="V14" i="32" s="1"/>
  <c r="T14" i="32"/>
  <c r="A14" i="32"/>
  <c r="T13" i="32"/>
  <c r="U13" i="32" s="1"/>
  <c r="V13" i="32" s="1"/>
  <c r="T12" i="32"/>
  <c r="U12" i="32" s="1"/>
  <c r="V12" i="32" s="1"/>
  <c r="T11" i="32"/>
  <c r="U11" i="32" s="1"/>
  <c r="V11" i="32" s="1"/>
  <c r="U10" i="32"/>
  <c r="V10" i="32" s="1"/>
  <c r="T10" i="32"/>
  <c r="T9" i="32"/>
  <c r="U9" i="32" s="1"/>
  <c r="V9" i="32" s="1"/>
  <c r="A9" i="32"/>
  <c r="A10" i="32" s="1"/>
  <c r="A11" i="32" s="1"/>
  <c r="T8" i="32"/>
  <c r="U8" i="32" s="1"/>
  <c r="V8" i="32" s="1"/>
  <c r="A8" i="32"/>
  <c r="T7" i="32"/>
  <c r="T58" i="32" l="1"/>
  <c r="U58" i="33"/>
  <c r="V7" i="33"/>
  <c r="V58" i="33" s="1"/>
  <c r="U7" i="32"/>
  <c r="C47" i="30"/>
  <c r="K43" i="30"/>
  <c r="J43" i="30"/>
  <c r="C43" i="30"/>
  <c r="C41" i="30"/>
  <c r="C40" i="30"/>
  <c r="C37" i="30"/>
  <c r="C34" i="30"/>
  <c r="C28" i="30"/>
  <c r="C25" i="30"/>
  <c r="C12" i="30"/>
  <c r="C8" i="30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8" i="31"/>
  <c r="U8" i="31" s="1"/>
  <c r="V8" i="31" s="1"/>
  <c r="A8" i="31"/>
  <c r="A9" i="31" s="1"/>
  <c r="A10" i="31" s="1"/>
  <c r="A11" i="31" s="1"/>
  <c r="T7" i="31"/>
  <c r="U7" i="31" s="1"/>
  <c r="C47" i="29"/>
  <c r="K43" i="29"/>
  <c r="J43" i="29"/>
  <c r="C43" i="29"/>
  <c r="C41" i="29"/>
  <c r="C40" i="29"/>
  <c r="C38" i="29"/>
  <c r="C37" i="29"/>
  <c r="C34" i="29"/>
  <c r="C25" i="29"/>
  <c r="C12" i="29"/>
  <c r="C8" i="29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U51" i="30"/>
  <c r="V51" i="30" s="1"/>
  <c r="T51" i="30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U36" i="30"/>
  <c r="V36" i="30" s="1"/>
  <c r="T36" i="30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U30" i="30"/>
  <c r="V30" i="30" s="1"/>
  <c r="T30" i="30"/>
  <c r="T29" i="30"/>
  <c r="U29" i="30" s="1"/>
  <c r="V29" i="30" s="1"/>
  <c r="U28" i="30"/>
  <c r="V28" i="30" s="1"/>
  <c r="T28" i="30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U21" i="30"/>
  <c r="V21" i="30" s="1"/>
  <c r="T21" i="30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U16" i="30"/>
  <c r="V16" i="30" s="1"/>
  <c r="T16" i="30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R58" i="29"/>
  <c r="Q58" i="29"/>
  <c r="P58" i="29"/>
  <c r="O58" i="29"/>
  <c r="N58" i="29"/>
  <c r="M58" i="29"/>
  <c r="K58" i="29"/>
  <c r="J58" i="29"/>
  <c r="I58" i="29"/>
  <c r="H58" i="29"/>
  <c r="G58" i="29"/>
  <c r="F58" i="29"/>
  <c r="C58" i="29"/>
  <c r="T54" i="29"/>
  <c r="U54" i="29" s="1"/>
  <c r="V54" i="29" s="1"/>
  <c r="U53" i="29"/>
  <c r="V53" i="29" s="1"/>
  <c r="T53" i="29"/>
  <c r="T52" i="29"/>
  <c r="U52" i="29" s="1"/>
  <c r="V52" i="29" s="1"/>
  <c r="T51" i="29"/>
  <c r="U51" i="29" s="1"/>
  <c r="V51" i="29" s="1"/>
  <c r="T50" i="29"/>
  <c r="U50" i="29" s="1"/>
  <c r="V50" i="29" s="1"/>
  <c r="U49" i="29"/>
  <c r="V49" i="29" s="1"/>
  <c r="T49" i="29"/>
  <c r="T48" i="29"/>
  <c r="U48" i="29" s="1"/>
  <c r="V48" i="29" s="1"/>
  <c r="T47" i="29"/>
  <c r="U47" i="29" s="1"/>
  <c r="V47" i="29" s="1"/>
  <c r="T46" i="29"/>
  <c r="U46" i="29" s="1"/>
  <c r="V46" i="29" s="1"/>
  <c r="U45" i="29"/>
  <c r="V45" i="29" s="1"/>
  <c r="T45" i="29"/>
  <c r="T43" i="29"/>
  <c r="U43" i="29" s="1"/>
  <c r="V43" i="29" s="1"/>
  <c r="T41" i="29"/>
  <c r="U41" i="29" s="1"/>
  <c r="V41" i="29" s="1"/>
  <c r="T40" i="29"/>
  <c r="U40" i="29" s="1"/>
  <c r="V40" i="29" s="1"/>
  <c r="U38" i="29"/>
  <c r="V38" i="29" s="1"/>
  <c r="T38" i="29"/>
  <c r="T37" i="29"/>
  <c r="U37" i="29" s="1"/>
  <c r="V37" i="29" s="1"/>
  <c r="U36" i="29"/>
  <c r="V36" i="29" s="1"/>
  <c r="T36" i="29"/>
  <c r="T35" i="29"/>
  <c r="U35" i="29" s="1"/>
  <c r="V35" i="29" s="1"/>
  <c r="T34" i="29"/>
  <c r="U34" i="29" s="1"/>
  <c r="V34" i="29" s="1"/>
  <c r="T33" i="29"/>
  <c r="U33" i="29" s="1"/>
  <c r="V33" i="29" s="1"/>
  <c r="U32" i="29"/>
  <c r="V32" i="29" s="1"/>
  <c r="T32" i="29"/>
  <c r="T31" i="29"/>
  <c r="U31" i="29" s="1"/>
  <c r="V31" i="29" s="1"/>
  <c r="U30" i="29"/>
  <c r="V30" i="29" s="1"/>
  <c r="T30" i="29"/>
  <c r="T29" i="29"/>
  <c r="U29" i="29" s="1"/>
  <c r="V29" i="29" s="1"/>
  <c r="T28" i="29"/>
  <c r="U28" i="29" s="1"/>
  <c r="V28" i="29" s="1"/>
  <c r="U26" i="29"/>
  <c r="V26" i="29" s="1"/>
  <c r="T26" i="29"/>
  <c r="AY25" i="29"/>
  <c r="T25" i="29"/>
  <c r="U25" i="29" s="1"/>
  <c r="V25" i="29" s="1"/>
  <c r="U24" i="29"/>
  <c r="V24" i="29" s="1"/>
  <c r="T24" i="29"/>
  <c r="T23" i="29"/>
  <c r="U23" i="29" s="1"/>
  <c r="V23" i="29" s="1"/>
  <c r="T22" i="29"/>
  <c r="U22" i="29" s="1"/>
  <c r="V22" i="29" s="1"/>
  <c r="U21" i="29"/>
  <c r="V21" i="29" s="1"/>
  <c r="T21" i="29"/>
  <c r="U20" i="29"/>
  <c r="V20" i="29" s="1"/>
  <c r="T20" i="29"/>
  <c r="A20" i="29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A33" i="29" s="1"/>
  <c r="A34" i="29" s="1"/>
  <c r="A35" i="29" s="1"/>
  <c r="A36" i="29" s="1"/>
  <c r="A37" i="29" s="1"/>
  <c r="A38" i="29" s="1"/>
  <c r="A39" i="29" s="1"/>
  <c r="A40" i="29" s="1"/>
  <c r="A41" i="29" s="1"/>
  <c r="A42" i="29" s="1"/>
  <c r="A43" i="29" s="1"/>
  <c r="A44" i="29" s="1"/>
  <c r="A45" i="29" s="1"/>
  <c r="A46" i="29" s="1"/>
  <c r="A47" i="29" s="1"/>
  <c r="A48" i="29" s="1"/>
  <c r="A49" i="29" s="1"/>
  <c r="A50" i="29" s="1"/>
  <c r="A51" i="29" s="1"/>
  <c r="A52" i="29" s="1"/>
  <c r="A53" i="29" s="1"/>
  <c r="A54" i="29" s="1"/>
  <c r="A55" i="29" s="1"/>
  <c r="A56" i="29" s="1"/>
  <c r="A57" i="29" s="1"/>
  <c r="T19" i="29"/>
  <c r="U19" i="29" s="1"/>
  <c r="V19" i="29" s="1"/>
  <c r="U18" i="29"/>
  <c r="V18" i="29" s="1"/>
  <c r="T18" i="29"/>
  <c r="T17" i="29"/>
  <c r="U17" i="29" s="1"/>
  <c r="V17" i="29" s="1"/>
  <c r="T16" i="29"/>
  <c r="U16" i="29" s="1"/>
  <c r="V16" i="29" s="1"/>
  <c r="T15" i="29"/>
  <c r="U15" i="29" s="1"/>
  <c r="V15" i="29" s="1"/>
  <c r="U14" i="29"/>
  <c r="V14" i="29" s="1"/>
  <c r="T14" i="29"/>
  <c r="A14" i="29"/>
  <c r="A15" i="29" s="1"/>
  <c r="A16" i="29" s="1"/>
  <c r="A17" i="29" s="1"/>
  <c r="A18" i="29" s="1"/>
  <c r="T13" i="29"/>
  <c r="U13" i="29" s="1"/>
  <c r="V13" i="29" s="1"/>
  <c r="T12" i="29"/>
  <c r="U12" i="29" s="1"/>
  <c r="V12" i="29" s="1"/>
  <c r="T11" i="29"/>
  <c r="U11" i="29" s="1"/>
  <c r="V11" i="29" s="1"/>
  <c r="U10" i="29"/>
  <c r="V10" i="29" s="1"/>
  <c r="T10" i="29"/>
  <c r="T9" i="29"/>
  <c r="U9" i="29" s="1"/>
  <c r="V9" i="29" s="1"/>
  <c r="T8" i="29"/>
  <c r="U8" i="29" s="1"/>
  <c r="V8" i="29" s="1"/>
  <c r="A8" i="29"/>
  <c r="A9" i="29" s="1"/>
  <c r="A10" i="29" s="1"/>
  <c r="A11" i="29" s="1"/>
  <c r="T7" i="29"/>
  <c r="U58" i="31" l="1"/>
  <c r="V58" i="31"/>
  <c r="T58" i="29"/>
  <c r="U58" i="30"/>
  <c r="V7" i="30"/>
  <c r="V58" i="30" s="1"/>
  <c r="T58" i="30"/>
  <c r="U7" i="29"/>
  <c r="R58" i="28"/>
  <c r="Q58" i="28"/>
  <c r="P58" i="28"/>
  <c r="O58" i="28"/>
  <c r="N58" i="28"/>
  <c r="M58" i="28"/>
  <c r="K58" i="28"/>
  <c r="J58" i="28"/>
  <c r="I58" i="28"/>
  <c r="H58" i="28"/>
  <c r="G58" i="28"/>
  <c r="F58" i="28"/>
  <c r="T54" i="28"/>
  <c r="U54" i="28" s="1"/>
  <c r="V54" i="28" s="1"/>
  <c r="T53" i="28"/>
  <c r="U53" i="28" s="1"/>
  <c r="V53" i="28" s="1"/>
  <c r="T52" i="28"/>
  <c r="U52" i="28" s="1"/>
  <c r="V52" i="28" s="1"/>
  <c r="T51" i="28"/>
  <c r="U51" i="28" s="1"/>
  <c r="V51" i="28" s="1"/>
  <c r="T50" i="28"/>
  <c r="U50" i="28" s="1"/>
  <c r="V50" i="28" s="1"/>
  <c r="T49" i="28"/>
  <c r="U49" i="28" s="1"/>
  <c r="V49" i="28" s="1"/>
  <c r="T48" i="28"/>
  <c r="U48" i="28" s="1"/>
  <c r="V48" i="28" s="1"/>
  <c r="T47" i="28"/>
  <c r="U47" i="28"/>
  <c r="V47" i="28" s="1"/>
  <c r="T46" i="28"/>
  <c r="U46" i="28" s="1"/>
  <c r="V46" i="28" s="1"/>
  <c r="T45" i="28"/>
  <c r="U45" i="28" s="1"/>
  <c r="V45" i="28" s="1"/>
  <c r="T43" i="28"/>
  <c r="U43" i="28"/>
  <c r="V43" i="28" s="1"/>
  <c r="T41" i="28"/>
  <c r="U41" i="28" s="1"/>
  <c r="V41" i="28" s="1"/>
  <c r="T40" i="28"/>
  <c r="U40" i="28" s="1"/>
  <c r="V40" i="28" s="1"/>
  <c r="T38" i="28"/>
  <c r="U38" i="28" s="1"/>
  <c r="V38" i="28" s="1"/>
  <c r="T37" i="28"/>
  <c r="U37" i="28" s="1"/>
  <c r="V37" i="28" s="1"/>
  <c r="T36" i="28"/>
  <c r="U36" i="28" s="1"/>
  <c r="V36" i="28" s="1"/>
  <c r="T35" i="28"/>
  <c r="U35" i="28" s="1"/>
  <c r="V35" i="28" s="1"/>
  <c r="T34" i="28"/>
  <c r="U34" i="28"/>
  <c r="V34" i="28" s="1"/>
  <c r="T33" i="28"/>
  <c r="U33" i="28" s="1"/>
  <c r="V33" i="28" s="1"/>
  <c r="T32" i="28"/>
  <c r="U32" i="28" s="1"/>
  <c r="V32" i="28" s="1"/>
  <c r="T31" i="28"/>
  <c r="U31" i="28" s="1"/>
  <c r="V31" i="28" s="1"/>
  <c r="T30" i="28"/>
  <c r="U30" i="28" s="1"/>
  <c r="V30" i="28" s="1"/>
  <c r="T29" i="28"/>
  <c r="U29" i="28" s="1"/>
  <c r="V29" i="28" s="1"/>
  <c r="T28" i="28"/>
  <c r="U28" i="28" s="1"/>
  <c r="V28" i="28" s="1"/>
  <c r="T26" i="28"/>
  <c r="U26" i="28" s="1"/>
  <c r="V26" i="28" s="1"/>
  <c r="AY25" i="28"/>
  <c r="T25" i="28"/>
  <c r="U25" i="28" s="1"/>
  <c r="V25" i="28" s="1"/>
  <c r="T24" i="28"/>
  <c r="U24" i="28" s="1"/>
  <c r="V24" i="28" s="1"/>
  <c r="T23" i="28"/>
  <c r="U23" i="28" s="1"/>
  <c r="V23" i="28" s="1"/>
  <c r="T22" i="28"/>
  <c r="U22" i="28" s="1"/>
  <c r="V22" i="28" s="1"/>
  <c r="T21" i="28"/>
  <c r="U21" i="28" s="1"/>
  <c r="V21" i="28" s="1"/>
  <c r="T20" i="28"/>
  <c r="U20" i="28" s="1"/>
  <c r="V20" i="28" s="1"/>
  <c r="A20" i="28"/>
  <c r="A21" i="28" s="1"/>
  <c r="A22" i="28" s="1"/>
  <c r="A23" i="28" s="1"/>
  <c r="A24" i="28" s="1"/>
  <c r="A25" i="28" s="1"/>
  <c r="A26" i="28" s="1"/>
  <c r="A27" i="28" s="1"/>
  <c r="A28" i="28" s="1"/>
  <c r="A29" i="28" s="1"/>
  <c r="A30" i="28" s="1"/>
  <c r="A31" i="28" s="1"/>
  <c r="A32" i="28" s="1"/>
  <c r="A33" i="28" s="1"/>
  <c r="A34" i="28" s="1"/>
  <c r="A35" i="28" s="1"/>
  <c r="A36" i="28" s="1"/>
  <c r="A37" i="28" s="1"/>
  <c r="A38" i="28" s="1"/>
  <c r="A39" i="28" s="1"/>
  <c r="A40" i="28" s="1"/>
  <c r="A41" i="28" s="1"/>
  <c r="A42" i="28" s="1"/>
  <c r="A43" i="28" s="1"/>
  <c r="A44" i="28" s="1"/>
  <c r="A45" i="28" s="1"/>
  <c r="A46" i="28" s="1"/>
  <c r="A47" i="28" s="1"/>
  <c r="A48" i="28" s="1"/>
  <c r="A49" i="28" s="1"/>
  <c r="A50" i="28" s="1"/>
  <c r="A51" i="28" s="1"/>
  <c r="A52" i="28" s="1"/>
  <c r="A53" i="28" s="1"/>
  <c r="A54" i="28" s="1"/>
  <c r="A55" i="28" s="1"/>
  <c r="A56" i="28" s="1"/>
  <c r="A57" i="28" s="1"/>
  <c r="T19" i="28"/>
  <c r="U19" i="28" s="1"/>
  <c r="V19" i="28" s="1"/>
  <c r="T18" i="28"/>
  <c r="U18" i="28" s="1"/>
  <c r="V18" i="28" s="1"/>
  <c r="T17" i="28"/>
  <c r="U17" i="28" s="1"/>
  <c r="V17" i="28" s="1"/>
  <c r="T16" i="28"/>
  <c r="U16" i="28" s="1"/>
  <c r="V16" i="28" s="1"/>
  <c r="T15" i="28"/>
  <c r="U15" i="28" s="1"/>
  <c r="V15" i="28" s="1"/>
  <c r="T14" i="28"/>
  <c r="U14" i="28" s="1"/>
  <c r="V14" i="28" s="1"/>
  <c r="A14" i="28"/>
  <c r="A15" i="28" s="1"/>
  <c r="A16" i="28" s="1"/>
  <c r="A17" i="28" s="1"/>
  <c r="A18" i="28" s="1"/>
  <c r="T13" i="28"/>
  <c r="U13" i="28" s="1"/>
  <c r="V13" i="28" s="1"/>
  <c r="T12" i="28"/>
  <c r="U12" i="28"/>
  <c r="V12" i="28" s="1"/>
  <c r="T11" i="28"/>
  <c r="U11" i="28" s="1"/>
  <c r="V11" i="28" s="1"/>
  <c r="T10" i="28"/>
  <c r="U10" i="28" s="1"/>
  <c r="V10" i="28" s="1"/>
  <c r="T9" i="28"/>
  <c r="U9" i="28" s="1"/>
  <c r="V9" i="28" s="1"/>
  <c r="T8" i="28"/>
  <c r="U8" i="28"/>
  <c r="V8" i="28" s="1"/>
  <c r="A8" i="28"/>
  <c r="A9" i="28" s="1"/>
  <c r="A10" i="28" s="1"/>
  <c r="A11" i="28" s="1"/>
  <c r="T7" i="28"/>
  <c r="U7" i="28" s="1"/>
  <c r="C47" i="26"/>
  <c r="K43" i="26"/>
  <c r="J43" i="26"/>
  <c r="C43" i="26"/>
  <c r="C41" i="26"/>
  <c r="C40" i="26"/>
  <c r="C37" i="26"/>
  <c r="C34" i="26"/>
  <c r="C25" i="26"/>
  <c r="C12" i="26"/>
  <c r="C8" i="26"/>
  <c r="V7" i="29" l="1"/>
  <c r="V58" i="29" s="1"/>
  <c r="U58" i="29"/>
  <c r="T58" i="28"/>
  <c r="U58" i="28"/>
  <c r="C58" i="28"/>
  <c r="V7" i="28"/>
  <c r="V58" i="28" s="1"/>
  <c r="K47" i="24"/>
  <c r="C47" i="24"/>
  <c r="K43" i="24"/>
  <c r="J43" i="24"/>
  <c r="C43" i="24"/>
  <c r="C41" i="24"/>
  <c r="C40" i="24"/>
  <c r="C37" i="24"/>
  <c r="C34" i="24"/>
  <c r="C25" i="24"/>
  <c r="C12" i="24"/>
  <c r="C8" i="24"/>
  <c r="R58" i="26" l="1"/>
  <c r="Q58" i="26"/>
  <c r="P58" i="26"/>
  <c r="O58" i="26"/>
  <c r="N58" i="26"/>
  <c r="M58" i="26"/>
  <c r="K58" i="26"/>
  <c r="J58" i="26"/>
  <c r="I58" i="26"/>
  <c r="H58" i="26"/>
  <c r="G58" i="26"/>
  <c r="F58" i="26"/>
  <c r="C58" i="26"/>
  <c r="T54" i="26"/>
  <c r="U54" i="26" s="1"/>
  <c r="V54" i="26" s="1"/>
  <c r="T53" i="26"/>
  <c r="U53" i="26" s="1"/>
  <c r="V53" i="26" s="1"/>
  <c r="T52" i="26"/>
  <c r="U52" i="26" s="1"/>
  <c r="V52" i="26" s="1"/>
  <c r="U51" i="26"/>
  <c r="V51" i="26" s="1"/>
  <c r="T51" i="26"/>
  <c r="T50" i="26"/>
  <c r="U50" i="26" s="1"/>
  <c r="V50" i="26" s="1"/>
  <c r="T49" i="26"/>
  <c r="U49" i="26" s="1"/>
  <c r="V49" i="26" s="1"/>
  <c r="T48" i="26"/>
  <c r="U48" i="26" s="1"/>
  <c r="V48" i="26" s="1"/>
  <c r="T47" i="26"/>
  <c r="U47" i="26" s="1"/>
  <c r="V47" i="26" s="1"/>
  <c r="T46" i="26"/>
  <c r="U46" i="26" s="1"/>
  <c r="V46" i="26" s="1"/>
  <c r="T45" i="26"/>
  <c r="U45" i="26" s="1"/>
  <c r="V45" i="26" s="1"/>
  <c r="T43" i="26"/>
  <c r="U43" i="26" s="1"/>
  <c r="V43" i="26" s="1"/>
  <c r="T41" i="26"/>
  <c r="U41" i="26" s="1"/>
  <c r="V41" i="26" s="1"/>
  <c r="T40" i="26"/>
  <c r="U40" i="26" s="1"/>
  <c r="V40" i="26" s="1"/>
  <c r="T38" i="26"/>
  <c r="U38" i="26" s="1"/>
  <c r="V38" i="26" s="1"/>
  <c r="T37" i="26"/>
  <c r="U37" i="26" s="1"/>
  <c r="V37" i="26" s="1"/>
  <c r="U36" i="26"/>
  <c r="V36" i="26" s="1"/>
  <c r="T36" i="26"/>
  <c r="T35" i="26"/>
  <c r="U35" i="26" s="1"/>
  <c r="V35" i="26" s="1"/>
  <c r="T34" i="26"/>
  <c r="U34" i="26" s="1"/>
  <c r="V34" i="26" s="1"/>
  <c r="T33" i="26"/>
  <c r="U33" i="26" s="1"/>
  <c r="V33" i="26" s="1"/>
  <c r="U32" i="26"/>
  <c r="V32" i="26" s="1"/>
  <c r="T32" i="26"/>
  <c r="T31" i="26"/>
  <c r="U31" i="26" s="1"/>
  <c r="V31" i="26" s="1"/>
  <c r="T30" i="26"/>
  <c r="U30" i="26" s="1"/>
  <c r="V30" i="26" s="1"/>
  <c r="T29" i="26"/>
  <c r="U29" i="26" s="1"/>
  <c r="V29" i="26" s="1"/>
  <c r="U28" i="26"/>
  <c r="V28" i="26" s="1"/>
  <c r="T28" i="26"/>
  <c r="T26" i="26"/>
  <c r="U26" i="26" s="1"/>
  <c r="V26" i="26" s="1"/>
  <c r="AY25" i="26"/>
  <c r="T25" i="26"/>
  <c r="U25" i="26" s="1"/>
  <c r="V25" i="26" s="1"/>
  <c r="V24" i="26"/>
  <c r="U24" i="26"/>
  <c r="T24" i="26"/>
  <c r="T23" i="26"/>
  <c r="U23" i="26" s="1"/>
  <c r="V23" i="26" s="1"/>
  <c r="U22" i="26"/>
  <c r="V22" i="26" s="1"/>
  <c r="T22" i="26"/>
  <c r="T21" i="26"/>
  <c r="U21" i="26" s="1"/>
  <c r="V21" i="26" s="1"/>
  <c r="A21" i="26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A42" i="26" s="1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A53" i="26" s="1"/>
  <c r="A54" i="26" s="1"/>
  <c r="A55" i="26" s="1"/>
  <c r="A56" i="26" s="1"/>
  <c r="A57" i="26" s="1"/>
  <c r="U20" i="26"/>
  <c r="V20" i="26" s="1"/>
  <c r="T20" i="26"/>
  <c r="A20" i="26"/>
  <c r="T19" i="26"/>
  <c r="U19" i="26" s="1"/>
  <c r="V19" i="26" s="1"/>
  <c r="T18" i="26"/>
  <c r="U18" i="26" s="1"/>
  <c r="V18" i="26" s="1"/>
  <c r="T17" i="26"/>
  <c r="U17" i="26" s="1"/>
  <c r="V17" i="26" s="1"/>
  <c r="U16" i="26"/>
  <c r="V16" i="26" s="1"/>
  <c r="T16" i="26"/>
  <c r="T15" i="26"/>
  <c r="U15" i="26" s="1"/>
  <c r="V15" i="26" s="1"/>
  <c r="A15" i="26"/>
  <c r="A16" i="26" s="1"/>
  <c r="A17" i="26" s="1"/>
  <c r="A18" i="26" s="1"/>
  <c r="T14" i="26"/>
  <c r="U14" i="26" s="1"/>
  <c r="V14" i="26" s="1"/>
  <c r="A14" i="26"/>
  <c r="T13" i="26"/>
  <c r="U13" i="26" s="1"/>
  <c r="V13" i="26" s="1"/>
  <c r="T12" i="26"/>
  <c r="U12" i="26" s="1"/>
  <c r="V12" i="26" s="1"/>
  <c r="T11" i="26"/>
  <c r="U11" i="26" s="1"/>
  <c r="V11" i="26" s="1"/>
  <c r="T10" i="26"/>
  <c r="U10" i="26" s="1"/>
  <c r="V10" i="26" s="1"/>
  <c r="T9" i="26"/>
  <c r="U9" i="26" s="1"/>
  <c r="V9" i="26" s="1"/>
  <c r="T8" i="26"/>
  <c r="U8" i="26" s="1"/>
  <c r="V8" i="26" s="1"/>
  <c r="A8" i="26"/>
  <c r="A9" i="26" s="1"/>
  <c r="A10" i="26" s="1"/>
  <c r="A11" i="26" s="1"/>
  <c r="T7" i="26"/>
  <c r="T58" i="26" l="1"/>
  <c r="U7" i="26"/>
  <c r="C47" i="25"/>
  <c r="K43" i="25"/>
  <c r="T43" i="25" s="1"/>
  <c r="J43" i="25"/>
  <c r="C43" i="25"/>
  <c r="C41" i="25"/>
  <c r="C40" i="25"/>
  <c r="C38" i="25"/>
  <c r="C37" i="25"/>
  <c r="C34" i="25"/>
  <c r="C25" i="25"/>
  <c r="C12" i="25"/>
  <c r="C10" i="25"/>
  <c r="C8" i="25"/>
  <c r="R58" i="25"/>
  <c r="Q58" i="25"/>
  <c r="P58" i="25"/>
  <c r="O58" i="25"/>
  <c r="N58" i="25"/>
  <c r="M58" i="25"/>
  <c r="K58" i="25"/>
  <c r="J58" i="25"/>
  <c r="I58" i="25"/>
  <c r="H58" i="25"/>
  <c r="G58" i="25"/>
  <c r="F58" i="25"/>
  <c r="T54" i="25"/>
  <c r="U54" i="25" s="1"/>
  <c r="V54" i="25" s="1"/>
  <c r="U53" i="25"/>
  <c r="V53" i="25" s="1"/>
  <c r="T53" i="25"/>
  <c r="T52" i="25"/>
  <c r="U52" i="25" s="1"/>
  <c r="V52" i="25" s="1"/>
  <c r="T51" i="25"/>
  <c r="U51" i="25" s="1"/>
  <c r="V51" i="25" s="1"/>
  <c r="T50" i="25"/>
  <c r="U50" i="25" s="1"/>
  <c r="V50" i="25" s="1"/>
  <c r="U49" i="25"/>
  <c r="V49" i="25" s="1"/>
  <c r="T49" i="25"/>
  <c r="T48" i="25"/>
  <c r="U48" i="25" s="1"/>
  <c r="V48" i="25" s="1"/>
  <c r="T47" i="25"/>
  <c r="T46" i="25"/>
  <c r="U46" i="25" s="1"/>
  <c r="V46" i="25" s="1"/>
  <c r="U45" i="25"/>
  <c r="V45" i="25" s="1"/>
  <c r="T45" i="25"/>
  <c r="T41" i="25"/>
  <c r="U41" i="25" s="1"/>
  <c r="V41" i="25" s="1"/>
  <c r="T40" i="25"/>
  <c r="U38" i="25"/>
  <c r="V38" i="25" s="1"/>
  <c r="T38" i="25"/>
  <c r="T37" i="25"/>
  <c r="T36" i="25"/>
  <c r="U36" i="25" s="1"/>
  <c r="V36" i="25" s="1"/>
  <c r="T35" i="25"/>
  <c r="U35" i="25" s="1"/>
  <c r="V35" i="25" s="1"/>
  <c r="T34" i="25"/>
  <c r="U34" i="25" s="1"/>
  <c r="V34" i="25" s="1"/>
  <c r="T33" i="25"/>
  <c r="U33" i="25" s="1"/>
  <c r="V33" i="25" s="1"/>
  <c r="T32" i="25"/>
  <c r="U32" i="25" s="1"/>
  <c r="V32" i="25" s="1"/>
  <c r="T31" i="25"/>
  <c r="U31" i="25" s="1"/>
  <c r="V31" i="25" s="1"/>
  <c r="U30" i="25"/>
  <c r="V30" i="25" s="1"/>
  <c r="T30" i="25"/>
  <c r="T29" i="25"/>
  <c r="U29" i="25" s="1"/>
  <c r="V29" i="25" s="1"/>
  <c r="T28" i="25"/>
  <c r="U28" i="25" s="1"/>
  <c r="V28" i="25" s="1"/>
  <c r="U26" i="25"/>
  <c r="V26" i="25" s="1"/>
  <c r="T26" i="25"/>
  <c r="AY25" i="25"/>
  <c r="T25" i="25"/>
  <c r="T24" i="25"/>
  <c r="U24" i="25" s="1"/>
  <c r="V24" i="25" s="1"/>
  <c r="T23" i="25"/>
  <c r="U23" i="25" s="1"/>
  <c r="V23" i="25" s="1"/>
  <c r="T22" i="25"/>
  <c r="U22" i="25" s="1"/>
  <c r="V22" i="25" s="1"/>
  <c r="U21" i="25"/>
  <c r="V21" i="25" s="1"/>
  <c r="T21" i="25"/>
  <c r="T20" i="25"/>
  <c r="U20" i="25" s="1"/>
  <c r="V20" i="25" s="1"/>
  <c r="A20" i="25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T19" i="25"/>
  <c r="U19" i="25" s="1"/>
  <c r="V19" i="25" s="1"/>
  <c r="U18" i="25"/>
  <c r="V18" i="25" s="1"/>
  <c r="T18" i="25"/>
  <c r="T17" i="25"/>
  <c r="U17" i="25" s="1"/>
  <c r="V17" i="25" s="1"/>
  <c r="T16" i="25"/>
  <c r="U16" i="25" s="1"/>
  <c r="V16" i="25" s="1"/>
  <c r="T15" i="25"/>
  <c r="U15" i="25" s="1"/>
  <c r="V15" i="25" s="1"/>
  <c r="U14" i="25"/>
  <c r="V14" i="25" s="1"/>
  <c r="T14" i="25"/>
  <c r="A14" i="25"/>
  <c r="A15" i="25" s="1"/>
  <c r="A16" i="25" s="1"/>
  <c r="A17" i="25" s="1"/>
  <c r="A18" i="25" s="1"/>
  <c r="T13" i="25"/>
  <c r="U13" i="25" s="1"/>
  <c r="V13" i="25" s="1"/>
  <c r="T12" i="25"/>
  <c r="T11" i="25"/>
  <c r="U11" i="25" s="1"/>
  <c r="V11" i="25" s="1"/>
  <c r="T10" i="25"/>
  <c r="U10" i="25" s="1"/>
  <c r="V10" i="25" s="1"/>
  <c r="U9" i="25"/>
  <c r="V9" i="25" s="1"/>
  <c r="T9" i="25"/>
  <c r="T8" i="25"/>
  <c r="A8" i="25"/>
  <c r="A9" i="25" s="1"/>
  <c r="A10" i="25" s="1"/>
  <c r="A11" i="25" s="1"/>
  <c r="T7" i="25"/>
  <c r="U7" i="25" s="1"/>
  <c r="U58" i="26" l="1"/>
  <c r="V7" i="26"/>
  <c r="V58" i="26" s="1"/>
  <c r="U47" i="25"/>
  <c r="V47" i="25" s="1"/>
  <c r="U43" i="25"/>
  <c r="V43" i="25" s="1"/>
  <c r="U40" i="25"/>
  <c r="V40" i="25" s="1"/>
  <c r="U37" i="25"/>
  <c r="V37" i="25" s="1"/>
  <c r="U25" i="25"/>
  <c r="V25" i="25" s="1"/>
  <c r="C58" i="25"/>
  <c r="U12" i="25"/>
  <c r="V12" i="25" s="1"/>
  <c r="U8" i="25"/>
  <c r="V8" i="25" s="1"/>
  <c r="V7" i="25"/>
  <c r="T58" i="25"/>
  <c r="R58" i="24"/>
  <c r="Q58" i="24"/>
  <c r="P58" i="24"/>
  <c r="O58" i="24"/>
  <c r="N58" i="24"/>
  <c r="M58" i="24"/>
  <c r="K58" i="24"/>
  <c r="J58" i="24"/>
  <c r="I58" i="24"/>
  <c r="H58" i="24"/>
  <c r="G58" i="24"/>
  <c r="F58" i="24"/>
  <c r="T54" i="24"/>
  <c r="U54" i="24" s="1"/>
  <c r="V54" i="24" s="1"/>
  <c r="T53" i="24"/>
  <c r="U53" i="24" s="1"/>
  <c r="V53" i="24" s="1"/>
  <c r="T52" i="24"/>
  <c r="U52" i="24" s="1"/>
  <c r="V52" i="24" s="1"/>
  <c r="T51" i="24"/>
  <c r="U51" i="24" s="1"/>
  <c r="V51" i="24" s="1"/>
  <c r="T50" i="24"/>
  <c r="U50" i="24" s="1"/>
  <c r="V50" i="24" s="1"/>
  <c r="T49" i="24"/>
  <c r="U49" i="24" s="1"/>
  <c r="V49" i="24" s="1"/>
  <c r="T48" i="24"/>
  <c r="U48" i="24" s="1"/>
  <c r="V48" i="24" s="1"/>
  <c r="T47" i="24"/>
  <c r="U47" i="24" s="1"/>
  <c r="V47" i="24" s="1"/>
  <c r="T46" i="24"/>
  <c r="U46" i="24" s="1"/>
  <c r="V46" i="24" s="1"/>
  <c r="T45" i="24"/>
  <c r="U45" i="24" s="1"/>
  <c r="V45" i="24" s="1"/>
  <c r="T43" i="24"/>
  <c r="U43" i="24" s="1"/>
  <c r="V43" i="24" s="1"/>
  <c r="T41" i="24"/>
  <c r="U41" i="24" s="1"/>
  <c r="V41" i="24" s="1"/>
  <c r="T40" i="24"/>
  <c r="U40" i="24" s="1"/>
  <c r="V40" i="24" s="1"/>
  <c r="T38" i="24"/>
  <c r="U38" i="24"/>
  <c r="V38" i="24" s="1"/>
  <c r="T37" i="24"/>
  <c r="U37" i="24" s="1"/>
  <c r="V37" i="24" s="1"/>
  <c r="T36" i="24"/>
  <c r="U36" i="24" s="1"/>
  <c r="V36" i="24" s="1"/>
  <c r="T35" i="24"/>
  <c r="U35" i="24" s="1"/>
  <c r="V35" i="24" s="1"/>
  <c r="T34" i="24"/>
  <c r="U34" i="24" s="1"/>
  <c r="V34" i="24" s="1"/>
  <c r="T33" i="24"/>
  <c r="U33" i="24" s="1"/>
  <c r="V33" i="24" s="1"/>
  <c r="T32" i="24"/>
  <c r="U32" i="24" s="1"/>
  <c r="V32" i="24" s="1"/>
  <c r="T31" i="24"/>
  <c r="U31" i="24" s="1"/>
  <c r="V31" i="24" s="1"/>
  <c r="T30" i="24"/>
  <c r="U30" i="24" s="1"/>
  <c r="V30" i="24" s="1"/>
  <c r="T29" i="24"/>
  <c r="U29" i="24" s="1"/>
  <c r="V29" i="24" s="1"/>
  <c r="T28" i="24"/>
  <c r="U28" i="24" s="1"/>
  <c r="V28" i="24" s="1"/>
  <c r="T26" i="24"/>
  <c r="U26" i="24" s="1"/>
  <c r="V26" i="24" s="1"/>
  <c r="AY25" i="24"/>
  <c r="T25" i="24"/>
  <c r="U25" i="24" s="1"/>
  <c r="V25" i="24" s="1"/>
  <c r="T24" i="24"/>
  <c r="U24" i="24" s="1"/>
  <c r="V24" i="24" s="1"/>
  <c r="T23" i="24"/>
  <c r="U23" i="24" s="1"/>
  <c r="V23" i="24" s="1"/>
  <c r="T22" i="24"/>
  <c r="U22" i="24" s="1"/>
  <c r="V22" i="24" s="1"/>
  <c r="T21" i="24"/>
  <c r="U21" i="24" s="1"/>
  <c r="V21" i="24" s="1"/>
  <c r="T20" i="24"/>
  <c r="U20" i="24" s="1"/>
  <c r="V20" i="24" s="1"/>
  <c r="A20" i="24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A44" i="24" s="1"/>
  <c r="A45" i="24" s="1"/>
  <c r="A46" i="24" s="1"/>
  <c r="A47" i="24" s="1"/>
  <c r="A48" i="24" s="1"/>
  <c r="A49" i="24" s="1"/>
  <c r="A50" i="24" s="1"/>
  <c r="A51" i="24" s="1"/>
  <c r="A52" i="24" s="1"/>
  <c r="A53" i="24" s="1"/>
  <c r="A54" i="24" s="1"/>
  <c r="A55" i="24" s="1"/>
  <c r="A56" i="24" s="1"/>
  <c r="A57" i="24" s="1"/>
  <c r="T19" i="24"/>
  <c r="U19" i="24" s="1"/>
  <c r="V19" i="24" s="1"/>
  <c r="T18" i="24"/>
  <c r="U18" i="24" s="1"/>
  <c r="V18" i="24" s="1"/>
  <c r="U17" i="24"/>
  <c r="V17" i="24" s="1"/>
  <c r="T17" i="24"/>
  <c r="T16" i="24"/>
  <c r="U16" i="24" s="1"/>
  <c r="V16" i="24" s="1"/>
  <c r="T15" i="24"/>
  <c r="U15" i="24" s="1"/>
  <c r="V15" i="24" s="1"/>
  <c r="T14" i="24"/>
  <c r="U14" i="24" s="1"/>
  <c r="V14" i="24" s="1"/>
  <c r="A14" i="24"/>
  <c r="A15" i="24" s="1"/>
  <c r="A16" i="24" s="1"/>
  <c r="A17" i="24" s="1"/>
  <c r="A18" i="24" s="1"/>
  <c r="T13" i="24"/>
  <c r="U13" i="24" s="1"/>
  <c r="V13" i="24" s="1"/>
  <c r="T12" i="24"/>
  <c r="U12" i="24" s="1"/>
  <c r="V12" i="24" s="1"/>
  <c r="T11" i="24"/>
  <c r="U11" i="24" s="1"/>
  <c r="V11" i="24" s="1"/>
  <c r="T10" i="24"/>
  <c r="U10" i="24" s="1"/>
  <c r="V10" i="24" s="1"/>
  <c r="T9" i="24"/>
  <c r="U9" i="24" s="1"/>
  <c r="V9" i="24" s="1"/>
  <c r="T8" i="24"/>
  <c r="U8" i="24"/>
  <c r="V8" i="24" s="1"/>
  <c r="A8" i="24"/>
  <c r="A9" i="24" s="1"/>
  <c r="A10" i="24" s="1"/>
  <c r="A11" i="24" s="1"/>
  <c r="T7" i="24"/>
  <c r="U7" i="24" s="1"/>
  <c r="T53" i="22"/>
  <c r="U53" i="22" s="1"/>
  <c r="V53" i="22" s="1"/>
  <c r="T50" i="22"/>
  <c r="U50" i="22" s="1"/>
  <c r="V50" i="22" s="1"/>
  <c r="T49" i="22"/>
  <c r="U49" i="22" s="1"/>
  <c r="V49" i="22" s="1"/>
  <c r="T51" i="22"/>
  <c r="U51" i="22" s="1"/>
  <c r="V51" i="22" s="1"/>
  <c r="V47" i="22"/>
  <c r="U47" i="22"/>
  <c r="K47" i="22"/>
  <c r="C47" i="22"/>
  <c r="K43" i="22"/>
  <c r="J43" i="22"/>
  <c r="C43" i="22"/>
  <c r="C41" i="22"/>
  <c r="C40" i="22"/>
  <c r="C38" i="22"/>
  <c r="C37" i="22"/>
  <c r="C34" i="22"/>
  <c r="C25" i="22"/>
  <c r="C12" i="22"/>
  <c r="C8" i="22"/>
  <c r="V58" i="25" l="1"/>
  <c r="U58" i="25"/>
  <c r="T58" i="24"/>
  <c r="U58" i="24"/>
  <c r="C58" i="24"/>
  <c r="V7" i="24"/>
  <c r="V58" i="24" s="1"/>
  <c r="R58" i="23"/>
  <c r="Q58" i="23"/>
  <c r="P58" i="23"/>
  <c r="O58" i="23"/>
  <c r="N58" i="23"/>
  <c r="M58" i="23"/>
  <c r="K58" i="23"/>
  <c r="J58" i="23"/>
  <c r="I58" i="23"/>
  <c r="H58" i="23"/>
  <c r="G58" i="23"/>
  <c r="F58" i="23"/>
  <c r="C58" i="23"/>
  <c r="T54" i="23"/>
  <c r="U54" i="23" s="1"/>
  <c r="V54" i="23" s="1"/>
  <c r="U53" i="23"/>
  <c r="V53" i="23" s="1"/>
  <c r="T53" i="23"/>
  <c r="U52" i="23"/>
  <c r="V52" i="23" s="1"/>
  <c r="T52" i="23"/>
  <c r="U51" i="23"/>
  <c r="V51" i="23" s="1"/>
  <c r="T51" i="23"/>
  <c r="T50" i="23"/>
  <c r="U50" i="23" s="1"/>
  <c r="V50" i="23" s="1"/>
  <c r="U49" i="23"/>
  <c r="V49" i="23" s="1"/>
  <c r="T49" i="23"/>
  <c r="U48" i="23"/>
  <c r="V48" i="23" s="1"/>
  <c r="T48" i="23"/>
  <c r="U47" i="23"/>
  <c r="V47" i="23" s="1"/>
  <c r="T47" i="23"/>
  <c r="T46" i="23"/>
  <c r="U46" i="23" s="1"/>
  <c r="V46" i="23" s="1"/>
  <c r="U45" i="23"/>
  <c r="V45" i="23" s="1"/>
  <c r="T45" i="23"/>
  <c r="T43" i="23"/>
  <c r="U43" i="23" s="1"/>
  <c r="V43" i="23" s="1"/>
  <c r="T41" i="23"/>
  <c r="U41" i="23" s="1"/>
  <c r="V41" i="23" s="1"/>
  <c r="U40" i="23"/>
  <c r="V40" i="23" s="1"/>
  <c r="T40" i="23"/>
  <c r="T38" i="23"/>
  <c r="U38" i="23" s="1"/>
  <c r="V38" i="23" s="1"/>
  <c r="T37" i="23"/>
  <c r="U37" i="23" s="1"/>
  <c r="V37" i="23" s="1"/>
  <c r="T36" i="23"/>
  <c r="U36" i="23" s="1"/>
  <c r="V36" i="23" s="1"/>
  <c r="T35" i="23"/>
  <c r="U35" i="23" s="1"/>
  <c r="V35" i="23" s="1"/>
  <c r="T34" i="23"/>
  <c r="U34" i="23" s="1"/>
  <c r="V34" i="23" s="1"/>
  <c r="T33" i="23"/>
  <c r="U33" i="23" s="1"/>
  <c r="V33" i="23" s="1"/>
  <c r="T32" i="23"/>
  <c r="U32" i="23" s="1"/>
  <c r="V32" i="23" s="1"/>
  <c r="T31" i="23"/>
  <c r="U31" i="23" s="1"/>
  <c r="V31" i="23" s="1"/>
  <c r="T30" i="23"/>
  <c r="U30" i="23" s="1"/>
  <c r="V30" i="23" s="1"/>
  <c r="T29" i="23"/>
  <c r="U29" i="23" s="1"/>
  <c r="V29" i="23" s="1"/>
  <c r="T28" i="23"/>
  <c r="U28" i="23" s="1"/>
  <c r="V28" i="23" s="1"/>
  <c r="U26" i="23"/>
  <c r="V26" i="23" s="1"/>
  <c r="T26" i="23"/>
  <c r="AY25" i="23"/>
  <c r="T25" i="23"/>
  <c r="U25" i="23" s="1"/>
  <c r="V25" i="23" s="1"/>
  <c r="V24" i="23"/>
  <c r="U24" i="23"/>
  <c r="T24" i="23"/>
  <c r="T23" i="23"/>
  <c r="U23" i="23" s="1"/>
  <c r="V23" i="23" s="1"/>
  <c r="T22" i="23"/>
  <c r="U22" i="23" s="1"/>
  <c r="V22" i="23" s="1"/>
  <c r="T21" i="23"/>
  <c r="U21" i="23" s="1"/>
  <c r="V21" i="23" s="1"/>
  <c r="A21" i="23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V20" i="23"/>
  <c r="U20" i="23"/>
  <c r="T20" i="23"/>
  <c r="A20" i="23"/>
  <c r="T19" i="23"/>
  <c r="U19" i="23" s="1"/>
  <c r="V19" i="23" s="1"/>
  <c r="U18" i="23"/>
  <c r="V18" i="23" s="1"/>
  <c r="T18" i="23"/>
  <c r="T17" i="23"/>
  <c r="U17" i="23" s="1"/>
  <c r="V17" i="23" s="1"/>
  <c r="U16" i="23"/>
  <c r="V16" i="23" s="1"/>
  <c r="T16" i="23"/>
  <c r="T15" i="23"/>
  <c r="U15" i="23" s="1"/>
  <c r="V15" i="23" s="1"/>
  <c r="T14" i="23"/>
  <c r="U14" i="23" s="1"/>
  <c r="V14" i="23" s="1"/>
  <c r="A14" i="23"/>
  <c r="A15" i="23" s="1"/>
  <c r="A16" i="23" s="1"/>
  <c r="A17" i="23" s="1"/>
  <c r="A18" i="23" s="1"/>
  <c r="T13" i="23"/>
  <c r="U13" i="23" s="1"/>
  <c r="V13" i="23" s="1"/>
  <c r="T12" i="23"/>
  <c r="U12" i="23" s="1"/>
  <c r="V12" i="23" s="1"/>
  <c r="U11" i="23"/>
  <c r="V11" i="23" s="1"/>
  <c r="T11" i="23"/>
  <c r="T10" i="23"/>
  <c r="U10" i="23" s="1"/>
  <c r="V10" i="23" s="1"/>
  <c r="U9" i="23"/>
  <c r="V9" i="23" s="1"/>
  <c r="T9" i="23"/>
  <c r="T8" i="23"/>
  <c r="U8" i="23" s="1"/>
  <c r="V8" i="23" s="1"/>
  <c r="A8" i="23"/>
  <c r="A9" i="23" s="1"/>
  <c r="A10" i="23" s="1"/>
  <c r="A11" i="23" s="1"/>
  <c r="U7" i="23"/>
  <c r="T7" i="23"/>
  <c r="T58" i="23" s="1"/>
  <c r="A24" i="22"/>
  <c r="A25" i="22"/>
  <c r="A26" i="22"/>
  <c r="A27" i="22"/>
  <c r="U58" i="23" l="1"/>
  <c r="V7" i="23"/>
  <c r="V58" i="23" s="1"/>
  <c r="R58" i="22"/>
  <c r="Q58" i="22"/>
  <c r="P58" i="22"/>
  <c r="O58" i="22"/>
  <c r="N58" i="22"/>
  <c r="M58" i="22"/>
  <c r="K58" i="22"/>
  <c r="J58" i="22"/>
  <c r="I58" i="22"/>
  <c r="H58" i="22"/>
  <c r="G58" i="22"/>
  <c r="F58" i="22"/>
  <c r="T54" i="22"/>
  <c r="U54" i="22" s="1"/>
  <c r="V54" i="22" s="1"/>
  <c r="T52" i="22"/>
  <c r="U52" i="22" s="1"/>
  <c r="V52" i="22" s="1"/>
  <c r="T48" i="22"/>
  <c r="U48" i="22" s="1"/>
  <c r="V48" i="22" s="1"/>
  <c r="T47" i="22"/>
  <c r="T46" i="22"/>
  <c r="U46" i="22" s="1"/>
  <c r="V46" i="22" s="1"/>
  <c r="T45" i="22"/>
  <c r="U45" i="22" s="1"/>
  <c r="V45" i="22" s="1"/>
  <c r="T43" i="22"/>
  <c r="U43" i="22" s="1"/>
  <c r="V43" i="22" s="1"/>
  <c r="T41" i="22"/>
  <c r="U41" i="22"/>
  <c r="V41" i="22" s="1"/>
  <c r="T40" i="22"/>
  <c r="U40" i="22" s="1"/>
  <c r="V40" i="22" s="1"/>
  <c r="T38" i="22"/>
  <c r="U38" i="22" s="1"/>
  <c r="V38" i="22" s="1"/>
  <c r="T37" i="22"/>
  <c r="U37" i="22" s="1"/>
  <c r="V37" i="22" s="1"/>
  <c r="T36" i="22"/>
  <c r="U36" i="22" s="1"/>
  <c r="V36" i="22" s="1"/>
  <c r="T35" i="22"/>
  <c r="U35" i="22" s="1"/>
  <c r="V35" i="22" s="1"/>
  <c r="T34" i="22"/>
  <c r="U34" i="22" s="1"/>
  <c r="V34" i="22" s="1"/>
  <c r="T33" i="22"/>
  <c r="U33" i="22" s="1"/>
  <c r="V33" i="22" s="1"/>
  <c r="T32" i="22"/>
  <c r="U32" i="22" s="1"/>
  <c r="V32" i="22" s="1"/>
  <c r="T31" i="22"/>
  <c r="U31" i="22" s="1"/>
  <c r="V31" i="22" s="1"/>
  <c r="T30" i="22"/>
  <c r="U30" i="22" s="1"/>
  <c r="V30" i="22" s="1"/>
  <c r="T29" i="22"/>
  <c r="U29" i="22" s="1"/>
  <c r="V29" i="22" s="1"/>
  <c r="T28" i="22"/>
  <c r="U28" i="22" s="1"/>
  <c r="V28" i="22" s="1"/>
  <c r="T26" i="22"/>
  <c r="U26" i="22" s="1"/>
  <c r="V26" i="22" s="1"/>
  <c r="AY25" i="22"/>
  <c r="T25" i="22"/>
  <c r="U25" i="22" s="1"/>
  <c r="V25" i="22" s="1"/>
  <c r="T24" i="22"/>
  <c r="U24" i="22" s="1"/>
  <c r="V24" i="22" s="1"/>
  <c r="T23" i="22"/>
  <c r="U23" i="22" s="1"/>
  <c r="V23" i="22" s="1"/>
  <c r="T22" i="22"/>
  <c r="U22" i="22" s="1"/>
  <c r="V22" i="22" s="1"/>
  <c r="T21" i="22"/>
  <c r="U21" i="22" s="1"/>
  <c r="V21" i="22" s="1"/>
  <c r="T20" i="22"/>
  <c r="U20" i="22" s="1"/>
  <c r="V20" i="22" s="1"/>
  <c r="A20" i="22"/>
  <c r="A21" i="22" s="1"/>
  <c r="A22" i="22" s="1"/>
  <c r="A23" i="22" s="1"/>
  <c r="T19" i="22"/>
  <c r="U19" i="22" s="1"/>
  <c r="V19" i="22" s="1"/>
  <c r="T18" i="22"/>
  <c r="U18" i="22" s="1"/>
  <c r="V18" i="22" s="1"/>
  <c r="T17" i="22"/>
  <c r="U17" i="22" s="1"/>
  <c r="V17" i="22" s="1"/>
  <c r="T16" i="22"/>
  <c r="U16" i="22" s="1"/>
  <c r="V16" i="22" s="1"/>
  <c r="T15" i="22"/>
  <c r="U15" i="22" s="1"/>
  <c r="V15" i="22" s="1"/>
  <c r="T14" i="22"/>
  <c r="U14" i="22" s="1"/>
  <c r="V14" i="22" s="1"/>
  <c r="A14" i="22"/>
  <c r="A15" i="22" s="1"/>
  <c r="A16" i="22" s="1"/>
  <c r="A17" i="22" s="1"/>
  <c r="A18" i="22" s="1"/>
  <c r="T13" i="22"/>
  <c r="U13" i="22" s="1"/>
  <c r="V13" i="22" s="1"/>
  <c r="T12" i="22"/>
  <c r="U12" i="22" s="1"/>
  <c r="V12" i="22" s="1"/>
  <c r="T11" i="22"/>
  <c r="U11" i="22" s="1"/>
  <c r="V11" i="22" s="1"/>
  <c r="T10" i="22"/>
  <c r="U10" i="22" s="1"/>
  <c r="V10" i="22" s="1"/>
  <c r="T9" i="22"/>
  <c r="U9" i="22" s="1"/>
  <c r="V9" i="22" s="1"/>
  <c r="T8" i="22"/>
  <c r="U8" i="22" s="1"/>
  <c r="V8" i="22" s="1"/>
  <c r="C58" i="22"/>
  <c r="A8" i="22"/>
  <c r="A9" i="22" s="1"/>
  <c r="A10" i="22" s="1"/>
  <c r="A11" i="22" s="1"/>
  <c r="T7" i="22"/>
  <c r="U7" i="22" s="1"/>
  <c r="V7" i="22" s="1"/>
  <c r="A28" i="22" l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T58" i="22"/>
  <c r="U58" i="22"/>
  <c r="V58" i="22"/>
  <c r="C48" i="21"/>
  <c r="K42" i="21"/>
  <c r="K57" i="21" s="1"/>
  <c r="J42" i="21"/>
  <c r="C42" i="21"/>
  <c r="C40" i="21"/>
  <c r="C39" i="21"/>
  <c r="C38" i="21"/>
  <c r="U38" i="21" s="1"/>
  <c r="V38" i="21" s="1"/>
  <c r="C37" i="21"/>
  <c r="C34" i="21"/>
  <c r="C26" i="21"/>
  <c r="C12" i="21"/>
  <c r="C8" i="21"/>
  <c r="R57" i="21"/>
  <c r="Q57" i="21"/>
  <c r="P57" i="21"/>
  <c r="O57" i="21"/>
  <c r="N57" i="21"/>
  <c r="M57" i="21"/>
  <c r="J57" i="21"/>
  <c r="I57" i="21"/>
  <c r="H57" i="21"/>
  <c r="G57" i="21"/>
  <c r="F57" i="21"/>
  <c r="T53" i="21"/>
  <c r="U53" i="21" s="1"/>
  <c r="V53" i="21" s="1"/>
  <c r="T52" i="21"/>
  <c r="U52" i="21" s="1"/>
  <c r="V52" i="21" s="1"/>
  <c r="T51" i="21"/>
  <c r="U51" i="21" s="1"/>
  <c r="V51" i="21" s="1"/>
  <c r="T50" i="21"/>
  <c r="U50" i="21" s="1"/>
  <c r="V50" i="21" s="1"/>
  <c r="T49" i="21"/>
  <c r="U49" i="21" s="1"/>
  <c r="V49" i="21" s="1"/>
  <c r="T48" i="21"/>
  <c r="U48" i="21" s="1"/>
  <c r="V48" i="21" s="1"/>
  <c r="T47" i="21"/>
  <c r="U47" i="21" s="1"/>
  <c r="V47" i="21" s="1"/>
  <c r="T46" i="21"/>
  <c r="U46" i="21" s="1"/>
  <c r="V46" i="21" s="1"/>
  <c r="T45" i="21"/>
  <c r="U45" i="21" s="1"/>
  <c r="V45" i="21" s="1"/>
  <c r="U44" i="21"/>
  <c r="V44" i="21" s="1"/>
  <c r="T44" i="21"/>
  <c r="T42" i="21"/>
  <c r="T40" i="21"/>
  <c r="U40" i="21"/>
  <c r="V40" i="21" s="1"/>
  <c r="T39" i="21"/>
  <c r="U39" i="21" s="1"/>
  <c r="V39" i="21" s="1"/>
  <c r="T38" i="21"/>
  <c r="T37" i="21"/>
  <c r="U36" i="21"/>
  <c r="V36" i="21" s="1"/>
  <c r="T36" i="21"/>
  <c r="T35" i="21"/>
  <c r="U35" i="21" s="1"/>
  <c r="V35" i="21" s="1"/>
  <c r="T34" i="21"/>
  <c r="U34" i="21"/>
  <c r="V34" i="21" s="1"/>
  <c r="T33" i="21"/>
  <c r="U33" i="21" s="1"/>
  <c r="V33" i="21" s="1"/>
  <c r="T32" i="21"/>
  <c r="U32" i="21" s="1"/>
  <c r="V32" i="21" s="1"/>
  <c r="T31" i="21"/>
  <c r="U31" i="21" s="1"/>
  <c r="V31" i="21" s="1"/>
  <c r="T30" i="21"/>
  <c r="U30" i="21" s="1"/>
  <c r="V30" i="21" s="1"/>
  <c r="T29" i="21"/>
  <c r="U29" i="21" s="1"/>
  <c r="V29" i="21" s="1"/>
  <c r="T28" i="21"/>
  <c r="U28" i="21" s="1"/>
  <c r="V28" i="21" s="1"/>
  <c r="T27" i="21"/>
  <c r="U27" i="21" s="1"/>
  <c r="V27" i="21" s="1"/>
  <c r="AY26" i="21"/>
  <c r="T26" i="21"/>
  <c r="U26" i="21" s="1"/>
  <c r="V26" i="21" s="1"/>
  <c r="T25" i="21"/>
  <c r="U25" i="21" s="1"/>
  <c r="V25" i="21" s="1"/>
  <c r="T24" i="21"/>
  <c r="U24" i="21"/>
  <c r="V24" i="21" s="1"/>
  <c r="T23" i="21"/>
  <c r="U23" i="21" s="1"/>
  <c r="V23" i="21" s="1"/>
  <c r="T22" i="21"/>
  <c r="U22" i="21" s="1"/>
  <c r="V22" i="21" s="1"/>
  <c r="U21" i="21"/>
  <c r="V21" i="21" s="1"/>
  <c r="T21" i="21"/>
  <c r="A21" i="2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T20" i="21"/>
  <c r="U20" i="21" s="1"/>
  <c r="V20" i="21" s="1"/>
  <c r="A20" i="21"/>
  <c r="T19" i="21"/>
  <c r="U19" i="21" s="1"/>
  <c r="V19" i="21" s="1"/>
  <c r="T18" i="21"/>
  <c r="U18" i="21" s="1"/>
  <c r="V18" i="21" s="1"/>
  <c r="T17" i="21"/>
  <c r="U17" i="21" s="1"/>
  <c r="V17" i="21" s="1"/>
  <c r="T16" i="21"/>
  <c r="U16" i="21" s="1"/>
  <c r="V16" i="21" s="1"/>
  <c r="T15" i="21"/>
  <c r="U15" i="21" s="1"/>
  <c r="V15" i="21" s="1"/>
  <c r="T14" i="21"/>
  <c r="U14" i="21" s="1"/>
  <c r="V14" i="21" s="1"/>
  <c r="A14" i="21"/>
  <c r="A15" i="21" s="1"/>
  <c r="A16" i="21" s="1"/>
  <c r="A17" i="21" s="1"/>
  <c r="A18" i="21" s="1"/>
  <c r="T13" i="21"/>
  <c r="U13" i="21" s="1"/>
  <c r="V13" i="21" s="1"/>
  <c r="T12" i="21"/>
  <c r="T11" i="21"/>
  <c r="U11" i="21" s="1"/>
  <c r="V11" i="21" s="1"/>
  <c r="T10" i="21"/>
  <c r="U10" i="21" s="1"/>
  <c r="V10" i="21" s="1"/>
  <c r="A10" i="21"/>
  <c r="A11" i="21" s="1"/>
  <c r="T9" i="21"/>
  <c r="U9" i="21" s="1"/>
  <c r="V9" i="21" s="1"/>
  <c r="A9" i="21"/>
  <c r="T8" i="21"/>
  <c r="U8" i="21" s="1"/>
  <c r="V8" i="21" s="1"/>
  <c r="A8" i="21"/>
  <c r="T7" i="21"/>
  <c r="C48" i="20"/>
  <c r="K42" i="20"/>
  <c r="J42" i="20"/>
  <c r="C42" i="20"/>
  <c r="C40" i="20"/>
  <c r="C57" i="20" s="1"/>
  <c r="C39" i="20"/>
  <c r="C37" i="20"/>
  <c r="C34" i="20"/>
  <c r="C26" i="20"/>
  <c r="C12" i="20"/>
  <c r="C8" i="20"/>
  <c r="U8" i="20" s="1"/>
  <c r="V8" i="20" s="1"/>
  <c r="R57" i="20"/>
  <c r="Q57" i="20"/>
  <c r="P57" i="20"/>
  <c r="O57" i="20"/>
  <c r="N57" i="20"/>
  <c r="M57" i="20"/>
  <c r="K57" i="20"/>
  <c r="J57" i="20"/>
  <c r="I57" i="20"/>
  <c r="H57" i="20"/>
  <c r="G57" i="20"/>
  <c r="F57" i="20"/>
  <c r="T53" i="20"/>
  <c r="U53" i="20" s="1"/>
  <c r="V53" i="20" s="1"/>
  <c r="T52" i="20"/>
  <c r="U52" i="20" s="1"/>
  <c r="V52" i="20" s="1"/>
  <c r="T51" i="20"/>
  <c r="U51" i="20" s="1"/>
  <c r="V51" i="20" s="1"/>
  <c r="T50" i="20"/>
  <c r="U50" i="20" s="1"/>
  <c r="V50" i="20" s="1"/>
  <c r="T49" i="20"/>
  <c r="U49" i="20" s="1"/>
  <c r="V49" i="20" s="1"/>
  <c r="T48" i="20"/>
  <c r="U48" i="20"/>
  <c r="V48" i="20" s="1"/>
  <c r="U47" i="20"/>
  <c r="V47" i="20" s="1"/>
  <c r="T47" i="20"/>
  <c r="U46" i="20"/>
  <c r="V46" i="20" s="1"/>
  <c r="T46" i="20"/>
  <c r="T45" i="20"/>
  <c r="U45" i="20" s="1"/>
  <c r="V45" i="20" s="1"/>
  <c r="T44" i="20"/>
  <c r="U44" i="20" s="1"/>
  <c r="V44" i="20" s="1"/>
  <c r="T42" i="20"/>
  <c r="U42" i="20" s="1"/>
  <c r="V42" i="20" s="1"/>
  <c r="T40" i="20"/>
  <c r="T39" i="20"/>
  <c r="U39" i="20" s="1"/>
  <c r="V39" i="20" s="1"/>
  <c r="T38" i="20"/>
  <c r="U38" i="20" s="1"/>
  <c r="V38" i="20" s="1"/>
  <c r="T37" i="20"/>
  <c r="U37" i="20" s="1"/>
  <c r="V37" i="20" s="1"/>
  <c r="T36" i="20"/>
  <c r="U36" i="20" s="1"/>
  <c r="V36" i="20" s="1"/>
  <c r="U35" i="20"/>
  <c r="V35" i="20" s="1"/>
  <c r="T35" i="20"/>
  <c r="T34" i="20"/>
  <c r="T33" i="20"/>
  <c r="U33" i="20" s="1"/>
  <c r="V33" i="20" s="1"/>
  <c r="T32" i="20"/>
  <c r="U32" i="20" s="1"/>
  <c r="V32" i="20" s="1"/>
  <c r="T31" i="20"/>
  <c r="U31" i="20" s="1"/>
  <c r="V31" i="20" s="1"/>
  <c r="T30" i="20"/>
  <c r="U30" i="20" s="1"/>
  <c r="V30" i="20" s="1"/>
  <c r="U29" i="20"/>
  <c r="V29" i="20" s="1"/>
  <c r="T29" i="20"/>
  <c r="T28" i="20"/>
  <c r="U28" i="20" s="1"/>
  <c r="V28" i="20" s="1"/>
  <c r="T27" i="20"/>
  <c r="U27" i="20" s="1"/>
  <c r="V27" i="20" s="1"/>
  <c r="AY26" i="20"/>
  <c r="T26" i="20"/>
  <c r="U26" i="20" s="1"/>
  <c r="V26" i="20" s="1"/>
  <c r="T25" i="20"/>
  <c r="U25" i="20" s="1"/>
  <c r="V25" i="20" s="1"/>
  <c r="T24" i="20"/>
  <c r="U24" i="20" s="1"/>
  <c r="V24" i="20" s="1"/>
  <c r="T23" i="20"/>
  <c r="U23" i="20" s="1"/>
  <c r="V23" i="20" s="1"/>
  <c r="T22" i="20"/>
  <c r="U22" i="20" s="1"/>
  <c r="V22" i="20" s="1"/>
  <c r="T21" i="20"/>
  <c r="U21" i="20" s="1"/>
  <c r="V21" i="20" s="1"/>
  <c r="T20" i="20"/>
  <c r="U20" i="20" s="1"/>
  <c r="V20" i="20" s="1"/>
  <c r="A20" i="20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T19" i="20"/>
  <c r="U19" i="20" s="1"/>
  <c r="V19" i="20" s="1"/>
  <c r="U18" i="20"/>
  <c r="V18" i="20" s="1"/>
  <c r="T18" i="20"/>
  <c r="T17" i="20"/>
  <c r="U17" i="20" s="1"/>
  <c r="V17" i="20" s="1"/>
  <c r="T16" i="20"/>
  <c r="U16" i="20" s="1"/>
  <c r="V16" i="20" s="1"/>
  <c r="U15" i="20"/>
  <c r="V15" i="20" s="1"/>
  <c r="T15" i="20"/>
  <c r="U14" i="20"/>
  <c r="V14" i="20" s="1"/>
  <c r="T14" i="20"/>
  <c r="A14" i="20"/>
  <c r="A15" i="20" s="1"/>
  <c r="A16" i="20" s="1"/>
  <c r="A17" i="20" s="1"/>
  <c r="A18" i="20" s="1"/>
  <c r="T13" i="20"/>
  <c r="U13" i="20" s="1"/>
  <c r="V13" i="20" s="1"/>
  <c r="T12" i="20"/>
  <c r="U12" i="20"/>
  <c r="V12" i="20" s="1"/>
  <c r="T11" i="20"/>
  <c r="U11" i="20" s="1"/>
  <c r="V11" i="20" s="1"/>
  <c r="T10" i="20"/>
  <c r="U10" i="20" s="1"/>
  <c r="V10" i="20" s="1"/>
  <c r="T9" i="20"/>
  <c r="U9" i="20" s="1"/>
  <c r="V9" i="20" s="1"/>
  <c r="T8" i="20"/>
  <c r="A8" i="20"/>
  <c r="A9" i="20" s="1"/>
  <c r="A10" i="20" s="1"/>
  <c r="A11" i="20" s="1"/>
  <c r="T7" i="20"/>
  <c r="C37" i="19"/>
  <c r="C26" i="19"/>
  <c r="C12" i="19"/>
  <c r="C48" i="19"/>
  <c r="K42" i="19"/>
  <c r="J42" i="19"/>
  <c r="C42" i="19"/>
  <c r="U42" i="19"/>
  <c r="V42" i="19" s="1"/>
  <c r="C40" i="19"/>
  <c r="C39" i="19"/>
  <c r="C34" i="19"/>
  <c r="C12" i="18"/>
  <c r="C8" i="19"/>
  <c r="R57" i="19"/>
  <c r="Q57" i="19"/>
  <c r="P57" i="19"/>
  <c r="O57" i="19"/>
  <c r="N57" i="19"/>
  <c r="M57" i="19"/>
  <c r="K57" i="19"/>
  <c r="J57" i="19"/>
  <c r="I57" i="19"/>
  <c r="H57" i="19"/>
  <c r="G57" i="19"/>
  <c r="F57" i="19"/>
  <c r="T53" i="19"/>
  <c r="U53" i="19" s="1"/>
  <c r="V53" i="19" s="1"/>
  <c r="T52" i="19"/>
  <c r="U52" i="19" s="1"/>
  <c r="V52" i="19" s="1"/>
  <c r="T51" i="19"/>
  <c r="U51" i="19" s="1"/>
  <c r="V51" i="19" s="1"/>
  <c r="T50" i="19"/>
  <c r="U50" i="19" s="1"/>
  <c r="V50" i="19" s="1"/>
  <c r="T49" i="19"/>
  <c r="U49" i="19" s="1"/>
  <c r="V49" i="19" s="1"/>
  <c r="T48" i="19"/>
  <c r="U48" i="19"/>
  <c r="V48" i="19" s="1"/>
  <c r="T47" i="19"/>
  <c r="U47" i="19" s="1"/>
  <c r="V47" i="19" s="1"/>
  <c r="T46" i="19"/>
  <c r="U46" i="19" s="1"/>
  <c r="V46" i="19" s="1"/>
  <c r="U45" i="19"/>
  <c r="V45" i="19" s="1"/>
  <c r="T45" i="19"/>
  <c r="T44" i="19"/>
  <c r="U44" i="19" s="1"/>
  <c r="V44" i="19" s="1"/>
  <c r="T42" i="19"/>
  <c r="T40" i="19"/>
  <c r="U40" i="19" s="1"/>
  <c r="V40" i="19" s="1"/>
  <c r="T39" i="19"/>
  <c r="U39" i="19" s="1"/>
  <c r="V39" i="19" s="1"/>
  <c r="T38" i="19"/>
  <c r="U38" i="19" s="1"/>
  <c r="V38" i="19" s="1"/>
  <c r="T37" i="19"/>
  <c r="U37" i="19" s="1"/>
  <c r="V37" i="19" s="1"/>
  <c r="T36" i="19"/>
  <c r="U36" i="19" s="1"/>
  <c r="V36" i="19" s="1"/>
  <c r="T35" i="19"/>
  <c r="U35" i="19" s="1"/>
  <c r="V35" i="19" s="1"/>
  <c r="T34" i="19"/>
  <c r="U34" i="19" s="1"/>
  <c r="V34" i="19" s="1"/>
  <c r="T33" i="19"/>
  <c r="U33" i="19" s="1"/>
  <c r="V33" i="19" s="1"/>
  <c r="T32" i="19"/>
  <c r="U32" i="19" s="1"/>
  <c r="V32" i="19" s="1"/>
  <c r="T31" i="19"/>
  <c r="U31" i="19" s="1"/>
  <c r="V31" i="19" s="1"/>
  <c r="T30" i="19"/>
  <c r="T29" i="19"/>
  <c r="U29" i="19" s="1"/>
  <c r="V29" i="19" s="1"/>
  <c r="U28" i="19"/>
  <c r="V28" i="19" s="1"/>
  <c r="T28" i="19"/>
  <c r="T27" i="19"/>
  <c r="U27" i="19" s="1"/>
  <c r="V27" i="19" s="1"/>
  <c r="AY26" i="19"/>
  <c r="T26" i="19"/>
  <c r="T25" i="19"/>
  <c r="U25" i="19" s="1"/>
  <c r="V25" i="19" s="1"/>
  <c r="T24" i="19"/>
  <c r="U24" i="19" s="1"/>
  <c r="V24" i="19" s="1"/>
  <c r="T23" i="19"/>
  <c r="U23" i="19" s="1"/>
  <c r="V23" i="19" s="1"/>
  <c r="U22" i="19"/>
  <c r="V22" i="19" s="1"/>
  <c r="T22" i="19"/>
  <c r="T21" i="19"/>
  <c r="U21" i="19" s="1"/>
  <c r="V21" i="19" s="1"/>
  <c r="A21" i="19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T20" i="19"/>
  <c r="U20" i="19" s="1"/>
  <c r="V20" i="19" s="1"/>
  <c r="A20" i="19"/>
  <c r="T19" i="19"/>
  <c r="U19" i="19" s="1"/>
  <c r="V19" i="19" s="1"/>
  <c r="T18" i="19"/>
  <c r="U18" i="19" s="1"/>
  <c r="V18" i="19" s="1"/>
  <c r="T17" i="19"/>
  <c r="U17" i="19" s="1"/>
  <c r="V17" i="19" s="1"/>
  <c r="T16" i="19"/>
  <c r="U16" i="19" s="1"/>
  <c r="V16" i="19" s="1"/>
  <c r="T15" i="19"/>
  <c r="U15" i="19" s="1"/>
  <c r="V15" i="19" s="1"/>
  <c r="A15" i="19"/>
  <c r="A16" i="19" s="1"/>
  <c r="A17" i="19" s="1"/>
  <c r="A18" i="19" s="1"/>
  <c r="T14" i="19"/>
  <c r="U14" i="19" s="1"/>
  <c r="V14" i="19" s="1"/>
  <c r="A14" i="19"/>
  <c r="T13" i="19"/>
  <c r="U13" i="19" s="1"/>
  <c r="V13" i="19" s="1"/>
  <c r="T12" i="19"/>
  <c r="U12" i="19" s="1"/>
  <c r="V12" i="19" s="1"/>
  <c r="T11" i="19"/>
  <c r="U11" i="19" s="1"/>
  <c r="V11" i="19" s="1"/>
  <c r="T10" i="19"/>
  <c r="U10" i="19" s="1"/>
  <c r="V10" i="19" s="1"/>
  <c r="A10" i="19"/>
  <c r="A11" i="19" s="1"/>
  <c r="T9" i="19"/>
  <c r="U9" i="19" s="1"/>
  <c r="V9" i="19" s="1"/>
  <c r="A9" i="19"/>
  <c r="T8" i="19"/>
  <c r="U8" i="19" s="1"/>
  <c r="V8" i="19" s="1"/>
  <c r="A8" i="19"/>
  <c r="T7" i="19"/>
  <c r="U7" i="19" s="1"/>
  <c r="O48" i="18"/>
  <c r="C48" i="18"/>
  <c r="K42" i="18"/>
  <c r="J42" i="18"/>
  <c r="C42" i="18"/>
  <c r="C40" i="18"/>
  <c r="C39" i="18"/>
  <c r="C37" i="18"/>
  <c r="C34" i="18"/>
  <c r="C30" i="18"/>
  <c r="C26" i="18"/>
  <c r="C8" i="18"/>
  <c r="U37" i="21" l="1"/>
  <c r="V37" i="21" s="1"/>
  <c r="C57" i="21"/>
  <c r="U12" i="21"/>
  <c r="V12" i="21" s="1"/>
  <c r="T57" i="21"/>
  <c r="U42" i="21"/>
  <c r="V42" i="21" s="1"/>
  <c r="U7" i="21"/>
  <c r="U40" i="20"/>
  <c r="V40" i="20" s="1"/>
  <c r="U34" i="20"/>
  <c r="V34" i="20" s="1"/>
  <c r="T57" i="20"/>
  <c r="U7" i="20"/>
  <c r="U57" i="20" s="1"/>
  <c r="C57" i="19"/>
  <c r="U26" i="19"/>
  <c r="V26" i="19" s="1"/>
  <c r="V7" i="19"/>
  <c r="U30" i="19"/>
  <c r="V30" i="19" s="1"/>
  <c r="T57" i="19"/>
  <c r="R57" i="18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T37" i="18"/>
  <c r="U37" i="18" s="1"/>
  <c r="V37" i="18" s="1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U24" i="18"/>
  <c r="V24" i="18" s="1"/>
  <c r="T24" i="18"/>
  <c r="T23" i="18"/>
  <c r="U23" i="18" s="1"/>
  <c r="V23" i="18" s="1"/>
  <c r="T22" i="18"/>
  <c r="U22" i="18" s="1"/>
  <c r="V22" i="18" s="1"/>
  <c r="U21" i="18"/>
  <c r="V21" i="18" s="1"/>
  <c r="T21" i="18"/>
  <c r="U20" i="18"/>
  <c r="V20" i="18" s="1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T7" i="18"/>
  <c r="U7" i="18" s="1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21" l="1"/>
  <c r="V57" i="21" s="1"/>
  <c r="U57" i="21"/>
  <c r="V7" i="20"/>
  <c r="V57" i="20" s="1"/>
  <c r="U57" i="19"/>
  <c r="V57" i="19"/>
  <c r="V7" i="18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<sst xmlns="http://schemas.openxmlformats.org/spreadsheetml/2006/main" count="2075" uniqueCount="105">
  <si>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</si>
  <si>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</si>
  <si>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</si>
  <si>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</si>
  <si>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</si>
  <si>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</si>
  <si>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</si>
  <si>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</si>
  <si>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</si>
  <si>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</si>
  <si>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</si>
  <si>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</si>
  <si>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</si>
  <si>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</si>
  <si>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</si>
  <si>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</si>
  <si>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</si>
  <si>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</si>
  <si>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</si>
  <si>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</si>
  <si>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</si>
  <si>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</si>
  <si>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</si>
  <si>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</si>
  <si>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</si>
  <si>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</si>
  <si>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</si>
  <si>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</si>
  <si>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</si>
  <si>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</si>
  <si>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</si>
  <si>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</si>
  <si>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</si>
  <si>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</si>
  <si>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</si>
  <si>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</si>
  <si>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</si>
  <si>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</si>
  <si>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</si>
  <si>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</si>
  <si>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</si>
  <si>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</si>
  <si>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</si>
  <si>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</si>
  <si>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</si>
  <si>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</si>
  <si>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</si>
  <si>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</si>
  <si>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</si>
  <si>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</si>
  <si>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</si>
  <si>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</si>
  <si>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</si>
  <si>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</si>
  <si>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</si>
  <si>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</si>
  <si>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</si>
  <si>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</si>
  <si>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</si>
  <si>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</si>
  <si>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</si>
  <si>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</si>
  <si>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</si>
  <si>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</si>
  <si>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</si>
  <si>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</si>
  <si>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</si>
  <si>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</si>
  <si>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</si>
  <si>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</si>
  <si>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</si>
  <si>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</si>
  <si>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</si>
  <si>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</si>
  <si>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</si>
  <si>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</si>
  <si>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</si>
  <si>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</si>
  <si>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</si>
  <si>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</si>
  <si>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</si>
  <si>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</si>
  <si>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</si>
  <si>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</si>
  <si>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</si>
  <si>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</si>
  <si>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</si>
  <si>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</si>
  <si>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</si>
  <si>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</si>
  <si>
    <t>DATE: 02/11/2026</t>
  </si>
  <si>
    <t>DATE: 02/12/2026</t>
  </si>
  <si>
    <t>DATE: 02/14/2026</t>
  </si>
  <si>
    <t xml:space="preserve">DATE: </t>
  </si>
  <si>
    <t>DATE: 02/16/2026</t>
  </si>
  <si>
    <t>DATE: 02/17/2026</t>
  </si>
  <si>
    <t>DATE: 02/18/2026</t>
  </si>
  <si>
    <t>DATE: 02/19/2026</t>
  </si>
  <si>
    <t>DATE: 02/20/2026</t>
  </si>
  <si>
    <t>DATE: 02/21/2026</t>
  </si>
  <si>
    <t>DATE: 02/23/2026</t>
  </si>
  <si>
    <t>DATE: 02/25/2026</t>
  </si>
  <si>
    <t>DATE: 02/26/2026</t>
  </si>
  <si>
    <t>DATE: 02/27/2026</t>
  </si>
  <si>
    <t>DATE: 02/28/2026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</si>
</sst>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20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20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7" fillId="0" borderId="69" xfId="2" applyFont="1" applyFill="1" applyBorder="1" applyAlignment="1">
      <alignment vertical="center"/>
    </xf>
    <xf numFmtId="166" fontId="2" fillId="0" borderId="70" xfId="3" applyNumberFormat="1" applyFont="1" applyFill="1" applyBorder="1" applyAlignment="1">
      <alignment vertical="center"/>
    </xf>
    <xf numFmtId="166" fontId="2" fillId="0" borderId="71" xfId="3" applyNumberFormat="1" applyFont="1" applyFill="1" applyBorder="1" applyAlignment="1">
      <alignment vertical="center"/>
    </xf>
    <xf numFmtId="166" fontId="2" fillId="0" borderId="72" xfId="3" applyNumberFormat="1" applyFont="1" applyFill="1" applyBorder="1" applyAlignment="1">
      <alignment vertical="center"/>
    </xf>
    <xf numFmtId="166" fontId="2" fillId="0" borderId="69" xfId="3" applyNumberFormat="1" applyFont="1" applyFill="1" applyBorder="1" applyAlignment="1">
      <alignment vertical="center"/>
    </xf>
    <xf numFmtId="166" fontId="2" fillId="0" borderId="73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166" fontId="19" fillId="0" borderId="9" xfId="3" applyNumberFormat="1" applyFont="1" applyFill="1" applyBorder="1" applyAlignment="1">
      <alignment vertical="center"/>
    </xf>
    <xf numFmtId="166" fontId="19" fillId="0" borderId="55" xfId="3" applyNumberFormat="1" applyFont="1" applyFill="1" applyBorder="1" applyAlignment="1">
      <alignment vertical="center"/>
    </xf>
    <xf numFmtId="166" fontId="19" fillId="0" borderId="21" xfId="3" applyNumberFormat="1" applyFont="1" applyFill="1" applyBorder="1" applyAlignment="1">
      <alignment vertical="center"/>
    </xf>
    <xf numFmtId="0" fontId="19" fillId="0" borderId="0" xfId="2" applyFont="1" applyFill="1" applyAlignment="1">
      <alignment vertical="center"/>
    </xf>
    <xf numFmtId="166" fontId="19" fillId="0" borderId="8" xfId="3" applyNumberFormat="1" applyFont="1" applyFill="1" applyBorder="1" applyAlignment="1">
      <alignment vertical="center"/>
    </xf>
    <xf numFmtId="166" fontId="19" fillId="0" borderId="61" xfId="3" applyNumberFormat="1" applyFont="1" applyFill="1" applyBorder="1" applyAlignment="1">
      <alignment vertical="center"/>
    </xf>
    <xf numFmtId="166" fontId="19" fillId="0" borderId="39" xfId="3" applyNumberFormat="1" applyFont="1" applyFill="1" applyBorder="1" applyAlignment="1">
      <alignment vertical="center"/>
    </xf>
    <xf numFmtId="166" fontId="19" fillId="0" borderId="41" xfId="3" applyNumberFormat="1" applyFont="1" applyFill="1" applyBorder="1" applyAlignment="1">
      <alignment vertical="center"/>
    </xf>
    <xf numFmtId="166" fontId="19" fillId="0" borderId="56" xfId="3" applyNumberFormat="1" applyFont="1" applyFill="1" applyBorder="1" applyAlignment="1">
      <alignment vertical="center"/>
    </xf>
    <xf numFmtId="166" fontId="19" fillId="0" borderId="42" xfId="3" applyNumberFormat="1" applyFont="1" applyFill="1" applyBorder="1" applyAlignment="1">
      <alignment vertical="center"/>
    </xf>
    <xf numFmtId="0" fontId="19" fillId="0" borderId="48" xfId="2" applyFont="1" applyFill="1" applyBorder="1" applyAlignment="1">
      <alignment vertical="center"/>
    </xf>
    <xf numFmtId="166" fontId="19" fillId="0" borderId="49" xfId="3" applyNumberFormat="1" applyFont="1" applyFill="1" applyBorder="1" applyAlignment="1">
      <alignment vertical="center"/>
    </xf>
    <xf numFmtId="166" fontId="19" fillId="0" borderId="62" xfId="3" applyNumberFormat="1" applyFont="1" applyFill="1" applyBorder="1" applyAlignment="1">
      <alignment vertical="center"/>
    </xf>
    <xf numFmtId="166" fontId="19" fillId="0" borderId="43" xfId="3" applyNumberFormat="1" applyFont="1" applyFill="1" applyBorder="1" applyAlignment="1">
      <alignment vertical="center"/>
    </xf>
    <xf numFmtId="166" fontId="19" fillId="0" borderId="59" xfId="3" applyNumberFormat="1" applyFont="1" applyFill="1" applyBorder="1" applyAlignment="1">
      <alignment vertical="center"/>
    </xf>
    <xf numFmtId="166" fontId="19" fillId="0" borderId="44" xfId="3" applyNumberFormat="1" applyFont="1" applyFill="1" applyBorder="1" applyAlignment="1">
      <alignment vertical="center"/>
    </xf>
    <xf numFmtId="166" fontId="19" fillId="0" borderId="68" xfId="3" applyNumberFormat="1" applyFont="1" applyFill="1" applyBorder="1" applyAlignment="1">
      <alignment vertical="center"/>
    </xf>
    <xf numFmtId="166" fontId="19" fillId="0" borderId="67" xfId="3" applyNumberFormat="1" applyFont="1" applyFill="1" applyBorder="1" applyAlignment="1">
      <alignment vertical="center"/>
    </xf>
    <xf numFmtId="166" fontId="19" fillId="0" borderId="27" xfId="3" applyNumberFormat="1" applyFont="1" applyFill="1" applyBorder="1" applyAlignment="1">
      <alignment vertical="center"/>
    </xf>
    <xf numFmtId="166" fontId="19" fillId="0" borderId="57" xfId="3" applyNumberFormat="1" applyFont="1" applyFill="1" applyBorder="1" applyAlignment="1">
      <alignment vertical="center"/>
    </xf>
    <xf numFmtId="166" fontId="19" fillId="0" borderId="28" xfId="3" applyNumberFormat="1" applyFont="1" applyFill="1" applyBorder="1" applyAlignment="1">
      <alignment vertical="center"/>
    </xf>
    <xf numFmtId="166" fontId="19" fillId="0" borderId="26" xfId="3" applyNumberFormat="1" applyFont="1" applyFill="1" applyBorder="1" applyAlignment="1">
      <alignment vertical="center"/>
    </xf>
    <xf numFmtId="166" fontId="19" fillId="0" borderId="63" xfId="3" applyNumberFormat="1" applyFont="1" applyFill="1" applyBorder="1" applyAlignment="1">
      <alignment vertical="center"/>
    </xf>
    <xf numFmtId="166" fontId="19" fillId="0" borderId="33" xfId="3" applyNumberFormat="1" applyFont="1" applyFill="1" applyBorder="1" applyAlignment="1">
      <alignment vertical="center"/>
    </xf>
    <xf numFmtId="166" fontId="19" fillId="0" borderId="66" xfId="3" applyNumberFormat="1" applyFont="1" applyFill="1" applyBorder="1" applyAlignment="1">
      <alignment vertical="center"/>
    </xf>
    <xf numFmtId="166" fontId="19" fillId="0" borderId="50" xfId="3" applyNumberFormat="1" applyFont="1" applyFill="1" applyBorder="1" applyAlignment="1">
      <alignment vertical="center"/>
    </xf>
    <xf numFmtId="166" fontId="19" fillId="0" borderId="70" xfId="3" applyNumberFormat="1" applyFont="1" applyFill="1" applyBorder="1" applyAlignment="1">
      <alignment vertical="center"/>
    </xf>
    <xf numFmtId="166" fontId="19" fillId="0" borderId="71" xfId="3" applyNumberFormat="1" applyFont="1" applyFill="1" applyBorder="1" applyAlignment="1">
      <alignment vertical="center"/>
    </xf>
    <xf numFmtId="166" fontId="19" fillId="0" borderId="72" xfId="3" applyNumberFormat="1" applyFont="1" applyFill="1" applyBorder="1" applyAlignment="1">
      <alignment vertical="center"/>
    </xf>
    <xf numFmtId="166" fontId="19" fillId="0" borderId="69" xfId="3" applyNumberFormat="1" applyFont="1" applyFill="1" applyBorder="1" applyAlignment="1">
      <alignment vertical="center"/>
    </xf>
    <xf numFmtId="166" fontId="19" fillId="0" borderId="73" xfId="3" applyNumberFormat="1" applyFont="1" applyFill="1" applyBorder="1" applyAlignment="1">
      <alignment vertical="center"/>
    </xf>
    <xf numFmtId="166" fontId="19" fillId="0" borderId="11" xfId="3" applyNumberFormat="1" applyFont="1" applyFill="1" applyBorder="1" applyAlignment="1">
      <alignment vertical="center"/>
    </xf>
    <xf numFmtId="166" fontId="19" fillId="0" borderId="46" xfId="3" applyNumberFormat="1" applyFont="1" applyFill="1" applyBorder="1" applyAlignment="1">
      <alignment vertical="center"/>
    </xf>
    <xf numFmtId="166" fontId="19" fillId="0" borderId="58" xfId="3" applyNumberFormat="1" applyFont="1" applyFill="1" applyBorder="1" applyAlignment="1">
      <alignment vertical="center"/>
    </xf>
    <xf numFmtId="166" fontId="19" fillId="0" borderId="47" xfId="3" applyNumberFormat="1" applyFont="1" applyFill="1" applyBorder="1" applyAlignment="1">
      <alignment vertical="center"/>
    </xf>
    <xf numFmtId="0" fontId="19" fillId="0" borderId="51" xfId="2" applyFont="1" applyFill="1" applyBorder="1" applyAlignment="1">
      <alignment vertical="center"/>
    </xf>
    <xf numFmtId="166" fontId="19" fillId="0" borderId="45" xfId="3" applyNumberFormat="1" applyFont="1" applyFill="1" applyBorder="1" applyAlignment="1">
      <alignment vertical="center"/>
    </xf>
    <xf numFmtId="166" fontId="19" fillId="0" borderId="64" xfId="3" applyNumberFormat="1" applyFont="1" applyFill="1" applyBorder="1" applyAlignment="1">
      <alignment vertical="center"/>
    </xf>
    <xf numFmtId="166" fontId="19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166" fontId="13" fillId="3" borderId="34" xfId="2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91" t="s">
        <v>39</v>
      </c>
      <c r="B21" s="188" t="s">
        <v>18</v>
      </c>
      <c r="C21" s="189"/>
      <c r="D21" s="190"/>
      <c r="E21" s="188" t="s">
        <v>40</v>
      </c>
      <c r="F21" s="189"/>
      <c r="G21" s="190"/>
      <c r="H21" s="188" t="s">
        <v>41</v>
      </c>
      <c r="I21" s="189"/>
      <c r="J21" s="190"/>
      <c r="K21" s="188" t="s">
        <v>42</v>
      </c>
      <c r="L21" s="189"/>
      <c r="M21" s="190"/>
      <c r="N21" s="188" t="s">
        <v>43</v>
      </c>
      <c r="O21" s="189"/>
      <c r="P21" s="19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92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98" t="s">
        <v>53</v>
      </c>
      <c r="I1" s="198"/>
      <c r="J1" s="198"/>
      <c r="K1" s="198"/>
      <c r="L1" s="198"/>
      <c r="M1" s="198"/>
      <c r="N1" s="198"/>
      <c r="O1" s="198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4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7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topLeftCell="A31" zoomScaleNormal="100" zoomScaleSheetLayoutView="115" workbookViewId="0">
      <selection activeCell="H14" sqref="H14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7"/>
      <c r="Q5" s="127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8"/>
      <c r="Q5" s="12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8"/>
      <c r="Q5" s="12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8"/>
      <c r="Q5" s="12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8"/>
      <c r="Q5" s="12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8"/>
      <c r="Q5" s="12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zoomScaleNormal="100" zoomScaleSheetLayoutView="115" workbookViewId="0">
      <selection activeCell="C13" sqref="C1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8"/>
      <c r="Q5" s="12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102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>
        <v>10</v>
      </c>
      <c r="R10" s="46"/>
      <c r="T10" s="91">
        <f t="shared" si="0"/>
        <v>0</v>
      </c>
      <c r="U10" s="91">
        <f t="shared" si="2"/>
        <v>2736</v>
      </c>
      <c r="V10" s="91">
        <f t="shared" si="3"/>
        <v>114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72+1512+62+1440+576</f>
        <v>3662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18</v>
      </c>
      <c r="O12" s="97">
        <v>8</v>
      </c>
      <c r="P12" s="113">
        <v>3</v>
      </c>
      <c r="Q12" s="113">
        <v>7</v>
      </c>
      <c r="R12" s="98">
        <v>2</v>
      </c>
      <c r="S12" s="102"/>
      <c r="T12" s="91">
        <f t="shared" si="0"/>
        <v>23</v>
      </c>
      <c r="U12" s="124">
        <f>C12*24+M12*24+O12*24+Q12*24+T12</f>
        <v>88583</v>
      </c>
      <c r="V12" s="124">
        <f>U12/24</f>
        <v>3690.9583333333335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5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>
        <v>1</v>
      </c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3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>
        <v>1</v>
      </c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1</v>
      </c>
      <c r="P28" s="111"/>
      <c r="Q28" s="111"/>
      <c r="R28" s="46"/>
      <c r="S28" s="57"/>
      <c r="T28" s="91">
        <f t="shared" si="0"/>
        <v>0</v>
      </c>
      <c r="U28" s="50">
        <f t="shared" si="4"/>
        <v>24</v>
      </c>
      <c r="V28" s="50">
        <f t="shared" si="5"/>
        <v>1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</f>
        <v>64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5</v>
      </c>
      <c r="R30" s="46"/>
      <c r="T30" s="91">
        <f t="shared" si="0"/>
        <v>0</v>
      </c>
      <c r="U30" s="50">
        <f t="shared" si="4"/>
        <v>1680</v>
      </c>
      <c r="V30" s="50">
        <f t="shared" si="5"/>
        <v>70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144+18</f>
        <v>162</v>
      </c>
      <c r="D34" s="47"/>
      <c r="E34" s="47"/>
      <c r="F34" s="47"/>
      <c r="G34" s="47"/>
      <c r="H34" s="47">
        <v>23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10</v>
      </c>
      <c r="R34" s="46"/>
      <c r="T34" s="91">
        <f t="shared" si="0"/>
        <v>24</v>
      </c>
      <c r="U34" s="50">
        <f t="shared" si="4"/>
        <v>4272</v>
      </c>
      <c r="V34" s="50">
        <f t="shared" si="5"/>
        <v>178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</f>
        <v>4860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56</v>
      </c>
      <c r="N37" s="120"/>
      <c r="O37" s="97">
        <v>29</v>
      </c>
      <c r="P37" s="113"/>
      <c r="Q37" s="113">
        <v>6</v>
      </c>
      <c r="R37" s="98"/>
      <c r="S37" s="102"/>
      <c r="T37" s="104">
        <f t="shared" si="0"/>
        <v>8</v>
      </c>
      <c r="U37" s="104">
        <f>C37*6+M37*6+O37*6+Q37*6+T37</f>
        <v>29714</v>
      </c>
      <c r="V37" s="104">
        <f>U37/6</f>
        <v>4952.333333333333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756+28</f>
        <v>784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10</v>
      </c>
      <c r="R39" s="98"/>
      <c r="S39" s="102"/>
      <c r="T39" s="104">
        <f>H39+I39+J39+K39+N39+P39+R39</f>
        <v>24</v>
      </c>
      <c r="U39" s="104">
        <f>C39*24+M39*24+O39*24+Q39*24+T39</f>
        <v>19080</v>
      </c>
      <c r="V39" s="104">
        <f>U39/24</f>
        <v>795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1728+21</f>
        <v>1749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15</v>
      </c>
      <c r="P40" s="112"/>
      <c r="Q40" s="112">
        <v>35</v>
      </c>
      <c r="R40" s="101"/>
      <c r="S40" s="105"/>
      <c r="T40" s="107">
        <f t="shared" si="0"/>
        <v>0</v>
      </c>
      <c r="U40" s="107">
        <f>C40*12+M40*12+O40*12+Q40*12+T40</f>
        <v>21708</v>
      </c>
      <c r="V40" s="107">
        <f>U40/12</f>
        <v>1809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6048+6048+5292+57+7128</f>
        <v>24573</v>
      </c>
      <c r="D42" s="97"/>
      <c r="E42" s="97"/>
      <c r="F42" s="97"/>
      <c r="G42" s="97"/>
      <c r="H42" s="97">
        <v>4</v>
      </c>
      <c r="I42" s="97">
        <v>6</v>
      </c>
      <c r="J42" s="113">
        <f>6*5+4</f>
        <v>34</v>
      </c>
      <c r="K42" s="98">
        <f>75*6+4</f>
        <v>454</v>
      </c>
      <c r="L42" s="102"/>
      <c r="M42" s="103">
        <v>230</v>
      </c>
      <c r="N42" s="120"/>
      <c r="O42" s="97">
        <v>271</v>
      </c>
      <c r="P42" s="113"/>
      <c r="Q42" s="113">
        <v>415</v>
      </c>
      <c r="R42" s="98"/>
      <c r="S42" s="102"/>
      <c r="T42" s="104">
        <f t="shared" ref="T42" si="6">H42+I42+J42+K42+N42+P42+R42</f>
        <v>498</v>
      </c>
      <c r="U42" s="104">
        <f>C42*6+M42*6+O42*6+Q42*6+T42</f>
        <v>153432</v>
      </c>
      <c r="V42" s="104">
        <f>U42/6</f>
        <v>25572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28+55+2268</f>
        <v>2351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f>4</f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38647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38</v>
      </c>
      <c r="K57" s="54">
        <f t="shared" si="12"/>
        <v>486</v>
      </c>
      <c r="M57" s="53">
        <f t="shared" ref="M57:R57" si="13">SUM(M7:M56)</f>
        <v>328</v>
      </c>
      <c r="N57" s="53">
        <f t="shared" si="13"/>
        <v>18</v>
      </c>
      <c r="O57" s="53">
        <f t="shared" si="13"/>
        <v>337</v>
      </c>
      <c r="P57" s="53">
        <f t="shared" si="13"/>
        <v>5</v>
      </c>
      <c r="Q57" s="53">
        <f t="shared" si="13"/>
        <v>514</v>
      </c>
      <c r="R57" s="53">
        <f t="shared" si="13"/>
        <v>2</v>
      </c>
      <c r="S57" s="57"/>
      <c r="T57" s="51">
        <f>SUM(T7:T56)</f>
        <v>659</v>
      </c>
      <c r="U57" s="51">
        <f>SUM(U7:U56)</f>
        <v>343493</v>
      </c>
      <c r="V57" s="51">
        <f>SUM(V7:V56)</f>
        <v>39918.083333333336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B11A-D91C-4386-B75A-49C8668A772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90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9"/>
      <c r="Q5" s="129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91</v>
      </c>
      <c r="D10" s="47"/>
      <c r="E10" s="47"/>
      <c r="F10" s="47"/>
      <c r="G10" s="47"/>
      <c r="H10" s="47"/>
      <c r="I10" s="47"/>
      <c r="J10" s="111"/>
      <c r="K10" s="46"/>
      <c r="M10" s="52">
        <v>1</v>
      </c>
      <c r="N10" s="121"/>
      <c r="O10" s="47">
        <v>2</v>
      </c>
      <c r="P10" s="111"/>
      <c r="Q10" s="111">
        <v>3</v>
      </c>
      <c r="R10" s="46"/>
      <c r="T10" s="91">
        <f t="shared" si="0"/>
        <v>0</v>
      </c>
      <c r="U10" s="91">
        <f t="shared" si="2"/>
        <v>2328</v>
      </c>
      <c r="V10" s="91">
        <f t="shared" si="3"/>
        <v>97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72+1512+39+576+1440</f>
        <v>3639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7</v>
      </c>
      <c r="O12" s="97">
        <v>9</v>
      </c>
      <c r="P12" s="113">
        <v>12</v>
      </c>
      <c r="Q12" s="113">
        <v>16</v>
      </c>
      <c r="R12" s="98">
        <v>20</v>
      </c>
      <c r="S12" s="102"/>
      <c r="T12" s="91">
        <f t="shared" si="0"/>
        <v>39</v>
      </c>
      <c r="U12" s="124">
        <f>C12*24+M12*24+O12*24+Q12*24+T12</f>
        <v>88287</v>
      </c>
      <c r="V12" s="124">
        <f>U12/24</f>
        <v>3678.625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2</v>
      </c>
      <c r="R30" s="46"/>
      <c r="T30" s="91">
        <f t="shared" si="0"/>
        <v>0</v>
      </c>
      <c r="U30" s="50">
        <f t="shared" si="4"/>
        <v>1560</v>
      </c>
      <c r="V30" s="50">
        <f t="shared" si="5"/>
        <v>65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144+15</f>
        <v>159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3</v>
      </c>
      <c r="R34" s="46"/>
      <c r="T34" s="91">
        <f t="shared" si="0"/>
        <v>23</v>
      </c>
      <c r="U34" s="50">
        <f t="shared" si="4"/>
        <v>4031</v>
      </c>
      <c r="V34" s="50">
        <f t="shared" si="5"/>
        <v>167.95833333333334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2376+2376+85</f>
        <v>4837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30</v>
      </c>
      <c r="P37" s="113"/>
      <c r="Q37" s="113">
        <v>37</v>
      </c>
      <c r="R37" s="98"/>
      <c r="S37" s="102"/>
      <c r="T37" s="104">
        <f t="shared" si="0"/>
        <v>8</v>
      </c>
      <c r="U37" s="104">
        <f>C37*6+M37*6+O37*6+Q37*6+T37</f>
        <v>29432</v>
      </c>
      <c r="V37" s="104">
        <f>U37/6</f>
        <v>4905.333333333333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>
        <v>1</v>
      </c>
      <c r="R38" s="46"/>
      <c r="T38" s="50">
        <f t="shared" si="0"/>
        <v>0</v>
      </c>
      <c r="U38" s="50">
        <f>C38*24+M38*24+O38*24+Q38*24+T38</f>
        <v>120</v>
      </c>
      <c r="V38" s="50">
        <f>U38/24</f>
        <v>5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756+26</f>
        <v>782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2</v>
      </c>
      <c r="R39" s="98"/>
      <c r="S39" s="102"/>
      <c r="T39" s="104">
        <f>H39+I39+J39+K39+N39+P39+R39</f>
        <v>24</v>
      </c>
      <c r="U39" s="104">
        <f>C39*24+M39*24+O39*24+Q39*24+T39</f>
        <v>18840</v>
      </c>
      <c r="V39" s="104">
        <f>U39/24</f>
        <v>785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1728+11</f>
        <v>1739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6</v>
      </c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21192</v>
      </c>
      <c r="V40" s="107">
        <f>U40/12</f>
        <v>1766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6048+6048+4320+99+1876+7128</f>
        <v>25519</v>
      </c>
      <c r="D42" s="97"/>
      <c r="E42" s="97"/>
      <c r="F42" s="97"/>
      <c r="G42" s="97"/>
      <c r="H42" s="97">
        <v>5</v>
      </c>
      <c r="I42" s="97">
        <v>6</v>
      </c>
      <c r="J42" s="113">
        <f>6*6+3</f>
        <v>39</v>
      </c>
      <c r="K42" s="98">
        <f>75*6+4</f>
        <v>454</v>
      </c>
      <c r="L42" s="102"/>
      <c r="M42" s="103">
        <v>334</v>
      </c>
      <c r="N42" s="120"/>
      <c r="O42" s="97">
        <v>256</v>
      </c>
      <c r="P42" s="113"/>
      <c r="Q42" s="113">
        <v>468</v>
      </c>
      <c r="R42" s="98"/>
      <c r="S42" s="102"/>
      <c r="T42" s="104">
        <f t="shared" ref="T42" si="6">H42+I42+J42+K42+N42+P42+R42</f>
        <v>504</v>
      </c>
      <c r="U42" s="104">
        <f>C42*6+M42*6+O42*6+Q42*6+T42</f>
        <v>159966</v>
      </c>
      <c r="V42" s="104">
        <f>U42/6</f>
        <v>26661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14201</v>
      </c>
      <c r="V48" s="50">
        <f>U48/6</f>
        <v>2366.8333333333335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39502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43</v>
      </c>
      <c r="K57" s="54">
        <f t="shared" si="12"/>
        <v>486</v>
      </c>
      <c r="M57" s="53">
        <f t="shared" ref="M57:R57" si="13">SUM(M7:M56)</f>
        <v>371</v>
      </c>
      <c r="N57" s="53">
        <f t="shared" si="13"/>
        <v>7</v>
      </c>
      <c r="O57" s="53">
        <f t="shared" si="13"/>
        <v>327</v>
      </c>
      <c r="P57" s="53">
        <f t="shared" si="13"/>
        <v>14</v>
      </c>
      <c r="Q57" s="53">
        <f t="shared" si="13"/>
        <v>556</v>
      </c>
      <c r="R57" s="53">
        <f t="shared" si="13"/>
        <v>20</v>
      </c>
      <c r="S57" s="57"/>
      <c r="T57" s="51">
        <f>SUM(T7:T56)</f>
        <v>680</v>
      </c>
      <c r="U57" s="51">
        <f>SUM(U7:U56)</f>
        <v>347792</v>
      </c>
      <c r="V57" s="51">
        <f>SUM(V7:V56)</f>
        <v>40849.708333333336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5DE5-45D8-40EF-B18A-CF99B7B8E24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91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9"/>
      <c r="Q5" s="129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65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8</v>
      </c>
      <c r="P10" s="111"/>
      <c r="Q10" s="111">
        <v>1</v>
      </c>
      <c r="R10" s="46"/>
      <c r="T10" s="91">
        <f t="shared" si="0"/>
        <v>0</v>
      </c>
      <c r="U10" s="91">
        <f t="shared" si="2"/>
        <v>1776</v>
      </c>
      <c r="V10" s="91">
        <f t="shared" si="3"/>
        <v>74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72+1440+47+1440+576</f>
        <v>3575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2</v>
      </c>
      <c r="O12" s="97">
        <v>9</v>
      </c>
      <c r="P12" s="113">
        <v>1</v>
      </c>
      <c r="Q12" s="113">
        <v>14</v>
      </c>
      <c r="R12" s="98">
        <v>6</v>
      </c>
      <c r="S12" s="102"/>
      <c r="T12" s="91">
        <f t="shared" si="0"/>
        <v>9</v>
      </c>
      <c r="U12" s="124">
        <f>C12*24+M12*24+O12*24+Q12*24+T12</f>
        <v>86601</v>
      </c>
      <c r="V12" s="124">
        <f>U12/24</f>
        <v>3608.375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63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72+37+15</f>
        <v>124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10</v>
      </c>
      <c r="P34" s="111">
        <v>6</v>
      </c>
      <c r="Q34" s="111"/>
      <c r="R34" s="46"/>
      <c r="T34" s="91">
        <f t="shared" si="0"/>
        <v>23</v>
      </c>
      <c r="U34" s="50">
        <f t="shared" si="4"/>
        <v>3239</v>
      </c>
      <c r="V34" s="50">
        <f t="shared" si="5"/>
        <v>134.95833333333334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2376+2160+68</f>
        <v>4604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</v>
      </c>
      <c r="N37" s="120"/>
      <c r="O37" s="97">
        <v>30</v>
      </c>
      <c r="P37" s="113"/>
      <c r="Q37" s="113">
        <v>86</v>
      </c>
      <c r="R37" s="98"/>
      <c r="S37" s="102"/>
      <c r="T37" s="104">
        <f t="shared" si="0"/>
        <v>8</v>
      </c>
      <c r="U37" s="104">
        <f>C37*6+M37*6+O37*6+Q37*6+T37</f>
        <v>28388</v>
      </c>
      <c r="V37" s="104">
        <f>U37/6</f>
        <v>4731.333333333333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756+16</f>
        <v>772</v>
      </c>
      <c r="D39" s="95"/>
      <c r="E39" s="95"/>
      <c r="F39" s="95"/>
      <c r="G39" s="95"/>
      <c r="H39" s="95">
        <v>4</v>
      </c>
      <c r="I39" s="95"/>
      <c r="J39" s="110"/>
      <c r="K39" s="96">
        <v>15</v>
      </c>
      <c r="L39" s="102"/>
      <c r="M39" s="103"/>
      <c r="N39" s="120"/>
      <c r="O39" s="97">
        <v>10</v>
      </c>
      <c r="P39" s="113"/>
      <c r="Q39" s="113">
        <v>2</v>
      </c>
      <c r="R39" s="98"/>
      <c r="S39" s="102"/>
      <c r="T39" s="104">
        <f>H39+I39+J39+K39+N39+P39+R39</f>
        <v>19</v>
      </c>
      <c r="U39" s="104">
        <f>C39*24+M39*24+O39*24+Q39*24+T39</f>
        <v>18835</v>
      </c>
      <c r="V39" s="104">
        <f>U39/24</f>
        <v>784.79166666666663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1632+50</f>
        <v>1682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20496</v>
      </c>
      <c r="V40" s="107">
        <f>U40/12</f>
        <v>1708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6048+6048+3132+7128+3564</f>
        <v>25920</v>
      </c>
      <c r="D42" s="97"/>
      <c r="E42" s="97"/>
      <c r="F42" s="97"/>
      <c r="G42" s="97"/>
      <c r="H42" s="97">
        <v>4</v>
      </c>
      <c r="I42" s="97">
        <v>6</v>
      </c>
      <c r="J42" s="113">
        <f>6*6+4</f>
        <v>40</v>
      </c>
      <c r="K42" s="98">
        <f>75*6+4</f>
        <v>454</v>
      </c>
      <c r="L42" s="102"/>
      <c r="M42" s="103">
        <v>356</v>
      </c>
      <c r="N42" s="120"/>
      <c r="O42" s="97">
        <v>281</v>
      </c>
      <c r="P42" s="113"/>
      <c r="Q42" s="113">
        <v>371</v>
      </c>
      <c r="R42" s="98"/>
      <c r="S42" s="102"/>
      <c r="T42" s="104">
        <f t="shared" ref="T42" si="6">H42+I42+J42+K42+N42+P42+R42</f>
        <v>504</v>
      </c>
      <c r="U42" s="104">
        <f>C42*6+M42*6+O42*6+Q42*6+T42</f>
        <v>162072</v>
      </c>
      <c r="V42" s="104">
        <f>U42/6</f>
        <v>27012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39533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90</v>
      </c>
      <c r="I57" s="54">
        <f t="shared" si="12"/>
        <v>8</v>
      </c>
      <c r="J57" s="54">
        <f t="shared" si="12"/>
        <v>44</v>
      </c>
      <c r="K57" s="54">
        <f t="shared" si="12"/>
        <v>486</v>
      </c>
      <c r="M57" s="53">
        <f t="shared" ref="M57:R57" si="13">SUM(M7:M56)</f>
        <v>389</v>
      </c>
      <c r="N57" s="53">
        <f t="shared" si="13"/>
        <v>2</v>
      </c>
      <c r="O57" s="53">
        <f t="shared" si="13"/>
        <v>374</v>
      </c>
      <c r="P57" s="53">
        <f t="shared" si="13"/>
        <v>9</v>
      </c>
      <c r="Q57" s="53">
        <f t="shared" si="13"/>
        <v>504</v>
      </c>
      <c r="R57" s="53">
        <f t="shared" si="13"/>
        <v>6</v>
      </c>
      <c r="S57" s="57"/>
      <c r="T57" s="51">
        <f>SUM(T7:T56)</f>
        <v>645</v>
      </c>
      <c r="U57" s="51">
        <f>SUM(U7:U56)</f>
        <v>346341</v>
      </c>
      <c r="V57" s="51">
        <f>SUM(V7:V56)</f>
        <v>40892.25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08"/>
      <c r="Q5" s="10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8898-5C5E-451B-A249-FA584C9514B7}">
  <sheetPr>
    <pageSetUpPr fitToPage="1"/>
  </sheetPr>
  <dimension ref="A1:BB80"/>
  <sheetViews>
    <sheetView topLeftCell="A13" zoomScaleNormal="100" zoomScaleSheetLayoutView="115" workbookViewId="0">
      <selection activeCell="U40" sqref="U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9"/>
      <c r="Q5" s="129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3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72+1440+1440+576</f>
        <v>3528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/>
      <c r="O12" s="97">
        <v>9</v>
      </c>
      <c r="P12" s="113">
        <v>15</v>
      </c>
      <c r="Q12" s="113">
        <v>22</v>
      </c>
      <c r="R12" s="98">
        <v>4</v>
      </c>
      <c r="S12" s="102"/>
      <c r="T12" s="91">
        <f t="shared" si="0"/>
        <v>19</v>
      </c>
      <c r="U12" s="124">
        <f>C12*24+M12*24+O12*24+Q12*24+T12</f>
        <v>85675</v>
      </c>
      <c r="V12" s="124">
        <f>U12/24</f>
        <v>3569.7916666666665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63+23</f>
        <v>86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51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19+72+13</f>
        <v>104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2376+2052+52</f>
        <v>4480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40</v>
      </c>
      <c r="N37" s="120"/>
      <c r="O37" s="97">
        <v>34</v>
      </c>
      <c r="P37" s="113"/>
      <c r="Q37" s="113">
        <v>50</v>
      </c>
      <c r="R37" s="98"/>
      <c r="S37" s="102"/>
      <c r="T37" s="104">
        <f t="shared" si="0"/>
        <v>8</v>
      </c>
      <c r="U37" s="104">
        <f>C37*6+M37*6+O37*6+Q37*6+T37</f>
        <v>27632</v>
      </c>
      <c r="V37" s="104">
        <f>U37/6</f>
        <v>4605.333333333333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</f>
        <v>756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si="0"/>
        <v>24</v>
      </c>
      <c r="U39" s="104">
        <f>C39*24+M39*24+O39*24+Q39*24+T39</f>
        <v>18240</v>
      </c>
      <c r="V39" s="104">
        <f>U39/24</f>
        <v>760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20292</v>
      </c>
      <c r="V40" s="107">
        <f>U40/12</f>
        <v>1691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6048+6048+1836+3564+7128</f>
        <v>24624</v>
      </c>
      <c r="D42" s="97"/>
      <c r="E42" s="97"/>
      <c r="F42" s="97"/>
      <c r="G42" s="97"/>
      <c r="H42" s="97">
        <v>3</v>
      </c>
      <c r="I42" s="97">
        <v>6</v>
      </c>
      <c r="J42" s="113">
        <f>8*6+3</f>
        <v>51</v>
      </c>
      <c r="K42" s="98">
        <f>75*6+4</f>
        <v>454</v>
      </c>
      <c r="L42" s="102"/>
      <c r="M42" s="103">
        <v>324</v>
      </c>
      <c r="N42" s="120">
        <v>2</v>
      </c>
      <c r="O42" s="97">
        <v>351</v>
      </c>
      <c r="P42" s="113"/>
      <c r="Q42" s="113">
        <v>469</v>
      </c>
      <c r="R42" s="98"/>
      <c r="S42" s="102"/>
      <c r="T42" s="104">
        <f t="shared" ref="T42" si="6">H42+I42+J42+K42+N42+P42+R42</f>
        <v>516</v>
      </c>
      <c r="U42" s="104">
        <f>C42*6+M42*6+O42*6+Q42*6+T42</f>
        <v>155124</v>
      </c>
      <c r="V42" s="104">
        <f>U42/6</f>
        <v>25854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38003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94</v>
      </c>
      <c r="I57" s="54">
        <f t="shared" si="12"/>
        <v>8</v>
      </c>
      <c r="J57" s="54">
        <f t="shared" si="12"/>
        <v>55</v>
      </c>
      <c r="K57" s="54">
        <f t="shared" si="12"/>
        <v>486</v>
      </c>
      <c r="M57" s="53">
        <f t="shared" ref="M57:R57" si="13">SUM(M7:M56)</f>
        <v>394</v>
      </c>
      <c r="N57" s="53">
        <f t="shared" si="13"/>
        <v>2</v>
      </c>
      <c r="O57" s="53">
        <f t="shared" si="13"/>
        <v>424</v>
      </c>
      <c r="P57" s="53">
        <f t="shared" si="13"/>
        <v>17</v>
      </c>
      <c r="Q57" s="53">
        <f t="shared" si="13"/>
        <v>574</v>
      </c>
      <c r="R57" s="53">
        <f t="shared" si="13"/>
        <v>4</v>
      </c>
      <c r="S57" s="57"/>
      <c r="T57" s="51">
        <f>SUM(T7:T56)</f>
        <v>666</v>
      </c>
      <c r="U57" s="51">
        <f>SUM(U7:U56)</f>
        <v>335994</v>
      </c>
      <c r="V57" s="51">
        <f>SUM(V7:V56)</f>
        <v>39489.625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82F5-4846-4B63-B1FC-CBAEA8F57277}">
  <sheetPr>
    <pageSetUpPr fitToPage="1"/>
  </sheetPr>
  <dimension ref="A1:BB81"/>
  <sheetViews>
    <sheetView zoomScaleNormal="100" zoomScaleSheetLayoutView="115" workbookViewId="0">
      <selection activeCell="Q11" sqref="Q11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94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30"/>
      <c r="Q5" s="130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0"/>
      <c r="K6" s="89"/>
      <c r="M6" s="87"/>
      <c r="N6" s="118"/>
      <c r="O6" s="92"/>
      <c r="P6" s="130"/>
      <c r="Q6" s="13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/>
      <c r="N7" s="119"/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61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3</v>
      </c>
      <c r="R10" s="46"/>
      <c r="T10" s="91">
        <f t="shared" si="0"/>
        <v>0</v>
      </c>
      <c r="U10" s="91">
        <f t="shared" si="2"/>
        <v>1536</v>
      </c>
      <c r="V10" s="91">
        <f t="shared" si="3"/>
        <v>64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72+1368+53+1440+576</f>
        <v>3509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11</v>
      </c>
      <c r="O12" s="97">
        <v>16</v>
      </c>
      <c r="P12" s="113"/>
      <c r="Q12" s="113">
        <v>13</v>
      </c>
      <c r="R12" s="98">
        <v>16</v>
      </c>
      <c r="S12" s="102"/>
      <c r="T12" s="91">
        <f t="shared" si="0"/>
        <v>27</v>
      </c>
      <c r="U12" s="124">
        <f>C12*24+M12*24+O12*24+Q12*24+T12</f>
        <v>85251</v>
      </c>
      <c r="V12" s="124">
        <f>U12/24</f>
        <v>3552.125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63+21</f>
        <v>84</v>
      </c>
      <c r="D25" s="47"/>
      <c r="E25" s="47"/>
      <c r="F25" s="47"/>
      <c r="G25" s="47"/>
      <c r="H25" s="47">
        <v>22</v>
      </c>
      <c r="I25" s="47">
        <v>1</v>
      </c>
      <c r="J25" s="111"/>
      <c r="K25" s="46"/>
      <c r="M25" s="52">
        <v>1</v>
      </c>
      <c r="N25" s="121"/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33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10</v>
      </c>
      <c r="N28" s="121"/>
      <c r="O28" s="47">
        <v>4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1200</v>
      </c>
      <c r="V28" s="50">
        <f t="shared" si="5"/>
        <v>50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19+8+72</f>
        <v>99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>
        <v>5</v>
      </c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2376+1944</f>
        <v>4320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108</v>
      </c>
      <c r="N37" s="120"/>
      <c r="O37" s="97">
        <v>34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27212</v>
      </c>
      <c r="V37" s="104">
        <f>U37/6</f>
        <v>4535.333333333333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1632+25</f>
        <v>1657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>
        <v>6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20136</v>
      </c>
      <c r="V41" s="107">
        <f>U41/12</f>
        <v>1678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6048+6048+864+5400+7128+46+1836</f>
        <v>27370</v>
      </c>
      <c r="D43" s="97"/>
      <c r="E43" s="97"/>
      <c r="F43" s="97"/>
      <c r="G43" s="97"/>
      <c r="H43" s="97">
        <v>1</v>
      </c>
      <c r="I43" s="97">
        <v>6</v>
      </c>
      <c r="J43" s="113">
        <f>9*6+5</f>
        <v>59</v>
      </c>
      <c r="K43" s="98">
        <f>75*6+4</f>
        <v>454</v>
      </c>
      <c r="L43" s="102"/>
      <c r="M43" s="103">
        <v>224</v>
      </c>
      <c r="N43" s="120"/>
      <c r="O43" s="97">
        <v>474</v>
      </c>
      <c r="P43" s="113"/>
      <c r="Q43" s="113">
        <v>411</v>
      </c>
      <c r="R43" s="98"/>
      <c r="S43" s="102"/>
      <c r="T43" s="104">
        <f t="shared" ref="T43" si="6">H43+I43+J43+K43+N43+P43+R43</f>
        <v>520</v>
      </c>
      <c r="U43" s="104">
        <f>C43*6+M43*6+O43*6+Q43*6+T43</f>
        <v>171394</v>
      </c>
      <c r="V43" s="104">
        <f>U43/6</f>
        <v>28565.666666666668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f>1*6</f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0">H49+I49+J49+K49+N49+P49+R49</f>
        <v>0</v>
      </c>
      <c r="U49" s="50">
        <f t="shared" ref="U49:U50" si="11">C49*24+M49*24+O49*24+Q49*24+T49</f>
        <v>0</v>
      </c>
      <c r="V49" s="50">
        <f t="shared" ref="V49:V50" si="12">U49/24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0"/>
        <v>0</v>
      </c>
      <c r="U50" s="50">
        <f t="shared" si="11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" si="13">H51+I51+J51+K51+N51+P51+R51</f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" si="14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5">H53+I53+J53+K53+N53+P53+R53</f>
        <v>0</v>
      </c>
      <c r="U53" s="50">
        <f t="shared" ref="U53" si="16">C53*24+M53*24+O53*24+Q53*24+T53</f>
        <v>48</v>
      </c>
      <c r="V53" s="50">
        <f t="shared" ref="V53" si="17">U53/24</f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8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40468</v>
      </c>
      <c r="D58" s="49"/>
      <c r="E58" s="49"/>
      <c r="F58" s="49">
        <f t="shared" ref="F58:K58" si="19">SUM(F7:F57)</f>
        <v>0</v>
      </c>
      <c r="G58" s="49">
        <f t="shared" si="19"/>
        <v>0</v>
      </c>
      <c r="H58" s="49">
        <f t="shared" si="19"/>
        <v>92</v>
      </c>
      <c r="I58" s="54">
        <f t="shared" si="19"/>
        <v>8</v>
      </c>
      <c r="J58" s="54">
        <f t="shared" si="19"/>
        <v>63</v>
      </c>
      <c r="K58" s="54">
        <f t="shared" si="19"/>
        <v>486</v>
      </c>
      <c r="M58" s="53">
        <f t="shared" ref="M58:R58" si="20">SUM(M7:M57)</f>
        <v>372</v>
      </c>
      <c r="N58" s="53">
        <f t="shared" si="20"/>
        <v>11</v>
      </c>
      <c r="O58" s="53">
        <f t="shared" si="20"/>
        <v>549</v>
      </c>
      <c r="P58" s="53">
        <f t="shared" si="20"/>
        <v>2</v>
      </c>
      <c r="Q58" s="53">
        <f t="shared" si="20"/>
        <v>537</v>
      </c>
      <c r="R58" s="53">
        <f t="shared" si="20"/>
        <v>16</v>
      </c>
      <c r="S58" s="57"/>
      <c r="T58" s="51">
        <f>SUM(T7:T57)</f>
        <v>678</v>
      </c>
      <c r="U58" s="51">
        <f>SUM(U7:U57)</f>
        <v>349368</v>
      </c>
      <c r="V58" s="51">
        <f>SUM(V7:V57)</f>
        <v>42021.625000000007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79239-8777-43F5-9407-4159B48ED3EF}">
  <sheetPr>
    <pageSetUpPr fitToPage="1"/>
  </sheetPr>
  <dimension ref="A1:BB81"/>
  <sheetViews>
    <sheetView topLeftCell="J1" zoomScaleNormal="100" zoomScaleSheetLayoutView="40" workbookViewId="0">
      <selection activeCell="V7" sqref="V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93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31"/>
      <c r="Q5" s="131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1"/>
      <c r="K6" s="89"/>
      <c r="M6" s="87"/>
      <c r="N6" s="118"/>
      <c r="O6" s="92"/>
      <c r="P6" s="131"/>
      <c r="Q6" s="13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>C49*6+M49*6+O49*6+Q49*6+T49</f>
        <v>0</v>
      </c>
      <c r="V49" s="50">
        <f>U49/6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ref="U50:U52" si="10">C50*24+M50*24+O50*24+Q50*24+T50</f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si="10"/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>C53*6+M53*6+O53*6+Q53*6+T53</f>
        <v>0</v>
      </c>
      <c r="V53" s="50">
        <f>U53/6</f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1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2">SUM(F7:F57)</f>
        <v>0</v>
      </c>
      <c r="G58" s="49">
        <f t="shared" si="12"/>
        <v>0</v>
      </c>
      <c r="H58" s="49">
        <f t="shared" si="12"/>
        <v>0</v>
      </c>
      <c r="I58" s="54">
        <f t="shared" si="12"/>
        <v>0</v>
      </c>
      <c r="J58" s="54">
        <f t="shared" si="12"/>
        <v>0</v>
      </c>
      <c r="K58" s="54">
        <f t="shared" si="12"/>
        <v>0</v>
      </c>
      <c r="M58" s="53">
        <f t="shared" ref="M58:R58" si="13">SUM(M7:M57)</f>
        <v>0</v>
      </c>
      <c r="N58" s="53">
        <f t="shared" si="13"/>
        <v>0</v>
      </c>
      <c r="O58" s="53">
        <f t="shared" si="13"/>
        <v>0</v>
      </c>
      <c r="P58" s="53">
        <f t="shared" si="13"/>
        <v>0</v>
      </c>
      <c r="Q58" s="53">
        <f t="shared" si="13"/>
        <v>0</v>
      </c>
      <c r="R58" s="53">
        <f t="shared" si="13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" right="0" top="0" bottom="0" header="0" footer="0"/>
  <pageSetup paperSize="14" scale="55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D0FAF-93FD-4661-8F84-CB345153E478}">
  <sheetPr>
    <pageSetUpPr fitToPage="1"/>
  </sheetPr>
  <dimension ref="A1:BB81"/>
  <sheetViews>
    <sheetView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95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40"/>
      <c r="Q5" s="140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0"/>
      <c r="K6" s="89"/>
      <c r="M6" s="87"/>
      <c r="N6" s="118"/>
      <c r="O6" s="92"/>
      <c r="P6" s="140"/>
      <c r="Q6" s="14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59</f>
        <v>59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2</v>
      </c>
      <c r="P10" s="111"/>
      <c r="Q10" s="111"/>
      <c r="R10" s="46"/>
      <c r="T10" s="91">
        <f t="shared" si="0"/>
        <v>0</v>
      </c>
      <c r="U10" s="91">
        <f t="shared" si="2"/>
        <v>1464</v>
      </c>
      <c r="V10" s="91">
        <f t="shared" si="3"/>
        <v>61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72+1368+16+1440+576</f>
        <v>3472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8</v>
      </c>
      <c r="O12" s="97">
        <v>10</v>
      </c>
      <c r="P12" s="113">
        <v>18</v>
      </c>
      <c r="Q12" s="113">
        <v>19</v>
      </c>
      <c r="R12" s="98">
        <v>12</v>
      </c>
      <c r="S12" s="102"/>
      <c r="T12" s="91">
        <f t="shared" si="0"/>
        <v>38</v>
      </c>
      <c r="U12" s="124">
        <f>C12*24+M12*24+O12*24+Q12*24+T12</f>
        <v>84326</v>
      </c>
      <c r="V12" s="124">
        <f>U12/24</f>
        <v>3513.5833333333335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63+19+1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32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1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888</v>
      </c>
      <c r="V28" s="50">
        <f t="shared" si="5"/>
        <v>37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2376+1836+14</f>
        <v>4226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30</v>
      </c>
      <c r="N37" s="120"/>
      <c r="O37" s="97">
        <v>34</v>
      </c>
      <c r="P37" s="113"/>
      <c r="Q37" s="113">
        <v>81</v>
      </c>
      <c r="R37" s="98"/>
      <c r="S37" s="102"/>
      <c r="T37" s="104">
        <f t="shared" si="0"/>
        <v>8</v>
      </c>
      <c r="U37" s="104">
        <f>C37*6+M37*6+O37*6+Q37*6+T37</f>
        <v>26234</v>
      </c>
      <c r="V37" s="104">
        <f>U37/6</f>
        <v>4372.333333333333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1632+8</f>
        <v>1640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10</v>
      </c>
      <c r="N41" s="122"/>
      <c r="O41" s="100">
        <v>6</v>
      </c>
      <c r="P41" s="112"/>
      <c r="Q41" s="112">
        <v>20</v>
      </c>
      <c r="R41" s="101"/>
      <c r="S41" s="105"/>
      <c r="T41" s="107">
        <f t="shared" si="0"/>
        <v>0</v>
      </c>
      <c r="U41" s="107">
        <f>C41*12+M41*12+O41*12+Q41*12+T41</f>
        <v>20112</v>
      </c>
      <c r="V41" s="107">
        <f>U41/12</f>
        <v>1676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6048+5076+6372+5400+7128+1</f>
        <v>30025</v>
      </c>
      <c r="D43" s="97"/>
      <c r="E43" s="97"/>
      <c r="F43" s="97"/>
      <c r="G43" s="97"/>
      <c r="H43" s="97">
        <v>1</v>
      </c>
      <c r="I43" s="97">
        <v>6</v>
      </c>
      <c r="J43" s="113">
        <f>11*6+4</f>
        <v>70</v>
      </c>
      <c r="K43" s="98">
        <f>75*6+4</f>
        <v>454</v>
      </c>
      <c r="L43" s="102"/>
      <c r="M43" s="103">
        <v>305</v>
      </c>
      <c r="N43" s="120"/>
      <c r="O43" s="97">
        <v>358</v>
      </c>
      <c r="P43" s="113"/>
      <c r="Q43" s="113">
        <v>432</v>
      </c>
      <c r="R43" s="98"/>
      <c r="S43" s="102"/>
      <c r="T43" s="104">
        <f t="shared" ref="T43" si="6">H43+I43+J43+K43+N43+P43+R43</f>
        <v>531</v>
      </c>
      <c r="U43" s="104">
        <f>C43*6+M43*6+O43*6+Q43*6+T43</f>
        <v>187251</v>
      </c>
      <c r="V43" s="104">
        <f>U43/6</f>
        <v>31208.5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42967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8</v>
      </c>
      <c r="J58" s="54">
        <f t="shared" si="11"/>
        <v>74</v>
      </c>
      <c r="K58" s="54">
        <f t="shared" si="11"/>
        <v>486</v>
      </c>
      <c r="M58" s="53">
        <f t="shared" ref="M58:R58" si="12">SUM(M7:M57)</f>
        <v>375</v>
      </c>
      <c r="N58" s="53">
        <f t="shared" si="12"/>
        <v>44</v>
      </c>
      <c r="O58" s="53">
        <f t="shared" si="12"/>
        <v>426</v>
      </c>
      <c r="P58" s="53">
        <f t="shared" si="12"/>
        <v>20</v>
      </c>
      <c r="Q58" s="53">
        <f t="shared" si="12"/>
        <v>574</v>
      </c>
      <c r="R58" s="53">
        <f t="shared" si="12"/>
        <v>12</v>
      </c>
      <c r="S58" s="57"/>
      <c r="T58" s="51">
        <f>SUM(T7:T57)</f>
        <v>700</v>
      </c>
      <c r="U58" s="51">
        <f>SUM(U7:U57)</f>
        <v>362794</v>
      </c>
      <c r="V58" s="51">
        <f>SUM(V7:V57)</f>
        <v>44439.916666666672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6D21-8432-42F5-A0EA-128BF892823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96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39"/>
      <c r="Q5" s="139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9"/>
      <c r="K6" s="89"/>
      <c r="M6" s="87"/>
      <c r="N6" s="118"/>
      <c r="O6" s="92"/>
      <c r="P6" s="139"/>
      <c r="Q6" s="13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63+30</f>
        <v>93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>
        <v>1</v>
      </c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58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1416</v>
      </c>
      <c r="V10" s="91">
        <f t="shared" si="3"/>
        <v>59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72+1368+6+1440+576</f>
        <v>3462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9</v>
      </c>
      <c r="N12" s="120"/>
      <c r="O12" s="97">
        <v>9</v>
      </c>
      <c r="P12" s="113">
        <v>12</v>
      </c>
      <c r="Q12" s="113">
        <v>14</v>
      </c>
      <c r="R12" s="98">
        <v>8</v>
      </c>
      <c r="S12" s="102"/>
      <c r="T12" s="91">
        <f t="shared" si="0"/>
        <v>20</v>
      </c>
      <c r="U12" s="124">
        <f>C12*24+M12*24+O12*24+Q12*24+T12</f>
        <v>83876</v>
      </c>
      <c r="V12" s="124">
        <f>U12/24</f>
        <v>3494.8333333333335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63+20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30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864</v>
      </c>
      <c r="V28" s="50">
        <f t="shared" si="5"/>
        <v>36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>
        <v>1</v>
      </c>
      <c r="R30" s="46"/>
      <c r="T30" s="91">
        <f t="shared" si="0"/>
        <v>0</v>
      </c>
      <c r="U30" s="50">
        <f t="shared" si="4"/>
        <v>1512</v>
      </c>
      <c r="V30" s="50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2376+1728+25</f>
        <v>4129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</v>
      </c>
      <c r="N37" s="120"/>
      <c r="O37" s="97">
        <v>30</v>
      </c>
      <c r="P37" s="113"/>
      <c r="Q37" s="113">
        <v>107</v>
      </c>
      <c r="R37" s="98"/>
      <c r="S37" s="102"/>
      <c r="T37" s="104">
        <f t="shared" si="0"/>
        <v>8</v>
      </c>
      <c r="U37" s="104">
        <f>C37*6+M37*6+O37*6+Q37*6+T37</f>
        <v>25616</v>
      </c>
      <c r="V37" s="104">
        <f>U37/6</f>
        <v>4269.333333333333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1+693</f>
        <v>694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>
        <v>1</v>
      </c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1536+81</f>
        <v>1617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4</v>
      </c>
      <c r="N41" s="122"/>
      <c r="O41" s="100">
        <v>12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19776</v>
      </c>
      <c r="V41" s="107">
        <f>U41/12</f>
        <v>1648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6048+4536+6372+5400+7128</f>
        <v>29484</v>
      </c>
      <c r="D43" s="97"/>
      <c r="E43" s="97"/>
      <c r="F43" s="97"/>
      <c r="G43" s="97"/>
      <c r="H43" s="97">
        <v>2</v>
      </c>
      <c r="I43" s="97">
        <v>6</v>
      </c>
      <c r="J43" s="113">
        <f>12*6+3</f>
        <v>75</v>
      </c>
      <c r="K43" s="98">
        <f>75*6+4</f>
        <v>454</v>
      </c>
      <c r="L43" s="102"/>
      <c r="M43" s="103">
        <v>2</v>
      </c>
      <c r="N43" s="120"/>
      <c r="O43" s="97">
        <v>282</v>
      </c>
      <c r="P43" s="113"/>
      <c r="Q43" s="113">
        <v>384</v>
      </c>
      <c r="R43" s="98"/>
      <c r="S43" s="102"/>
      <c r="T43" s="104">
        <f t="shared" ref="T43" si="6">H43+I43+J43+K43+N43+P43+R43</f>
        <v>537</v>
      </c>
      <c r="U43" s="104">
        <f>C43*6+M43*6+O43*6+Q43*6+T43</f>
        <v>181449</v>
      </c>
      <c r="V43" s="104">
        <f>U43/6</f>
        <v>30241.5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24+2268+44</f>
        <v>2336</v>
      </c>
      <c r="D47" s="47"/>
      <c r="E47" s="47"/>
      <c r="F47" s="47"/>
      <c r="G47" s="47"/>
      <c r="H47" s="47"/>
      <c r="I47" s="47"/>
      <c r="J47" s="111"/>
      <c r="K47" s="46">
        <f>6</f>
        <v>6</v>
      </c>
      <c r="M47" s="52">
        <v>10</v>
      </c>
      <c r="N47" s="121"/>
      <c r="O47" s="47">
        <v>8</v>
      </c>
      <c r="P47" s="111">
        <v>5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42290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79</v>
      </c>
      <c r="K58" s="54">
        <f t="shared" si="11"/>
        <v>486</v>
      </c>
      <c r="M58" s="53">
        <f t="shared" ref="M58:R58" si="12">SUM(M7:M57)</f>
        <v>36</v>
      </c>
      <c r="N58" s="53">
        <f t="shared" si="12"/>
        <v>36</v>
      </c>
      <c r="O58" s="53">
        <f t="shared" si="12"/>
        <v>353</v>
      </c>
      <c r="P58" s="53">
        <f t="shared" si="12"/>
        <v>17</v>
      </c>
      <c r="Q58" s="53">
        <f t="shared" si="12"/>
        <v>542</v>
      </c>
      <c r="R58" s="53">
        <f t="shared" si="12"/>
        <v>8</v>
      </c>
      <c r="S58" s="57"/>
      <c r="T58" s="51">
        <f>SUM(T7:T57)</f>
        <v>688</v>
      </c>
      <c r="U58" s="51">
        <f>SUM(U7:U57)</f>
        <v>355492</v>
      </c>
      <c r="V58" s="51">
        <f>SUM(V7:V57)</f>
        <v>43319.166666666672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C4C9-0152-4EDD-8366-FCE42DBB1118}">
  <sheetPr>
    <pageSetUpPr fitToPage="1"/>
  </sheetPr>
  <dimension ref="A1:BB81"/>
  <sheetViews>
    <sheetView zoomScaleNormal="100" zoomScaleSheetLayoutView="115" workbookViewId="0">
      <selection activeCell="T7" sqref="T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97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41"/>
      <c r="Q5" s="141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1"/>
      <c r="K6" s="89"/>
      <c r="M6" s="87"/>
      <c r="N6" s="118"/>
      <c r="O6" s="92"/>
      <c r="P6" s="141"/>
      <c r="Q6" s="14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2</v>
      </c>
      <c r="N7" s="149">
        <v>12</v>
      </c>
      <c r="O7" s="144">
        <v>3</v>
      </c>
      <c r="P7" s="145"/>
      <c r="Q7" s="145">
        <v>2</v>
      </c>
      <c r="R7" s="146"/>
      <c r="S7" s="147"/>
      <c r="T7" s="150">
        <f>H7+I7+J7+K7+N7+P7+R7</f>
        <v>24</v>
      </c>
      <c r="U7" s="150">
        <f>C7*24+M7*24+O7*24+Q7*24+T7</f>
        <v>792</v>
      </c>
      <c r="V7" s="150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63+30</f>
        <v>93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1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2256</v>
      </c>
      <c r="V8" s="161">
        <f>U8/24</f>
        <v>94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>
        <v>4</v>
      </c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1392</v>
      </c>
      <c r="V10" s="150">
        <f t="shared" si="3"/>
        <v>58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72+1296+53+1440+576</f>
        <v>3437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14</v>
      </c>
      <c r="N12" s="156"/>
      <c r="O12" s="157">
        <v>8</v>
      </c>
      <c r="P12" s="158">
        <v>2</v>
      </c>
      <c r="Q12" s="158">
        <v>16</v>
      </c>
      <c r="R12" s="159">
        <v>8</v>
      </c>
      <c r="S12" s="154"/>
      <c r="T12" s="150">
        <f t="shared" si="0"/>
        <v>10</v>
      </c>
      <c r="U12" s="161">
        <f>C12*24+M12*24+O12*24+Q12*24+T12</f>
        <v>83410</v>
      </c>
      <c r="V12" s="161">
        <f>U12/24</f>
        <v>3475.4166666666665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48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63+19+1</f>
        <v>83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2</v>
      </c>
      <c r="N25" s="166">
        <v>12</v>
      </c>
      <c r="O25" s="162"/>
      <c r="P25" s="163"/>
      <c r="Q25" s="163">
        <v>2</v>
      </c>
      <c r="R25" s="164"/>
      <c r="S25" s="147"/>
      <c r="T25" s="150">
        <f t="shared" si="0"/>
        <v>23</v>
      </c>
      <c r="U25" s="167">
        <f t="shared" si="4"/>
        <v>2111</v>
      </c>
      <c r="V25" s="167">
        <f t="shared" si="5"/>
        <v>87.958333333333329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28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>
        <v>2</v>
      </c>
      <c r="N28" s="166"/>
      <c r="O28" s="162">
        <v>1</v>
      </c>
      <c r="P28" s="163"/>
      <c r="Q28" s="163">
        <v>2</v>
      </c>
      <c r="R28" s="164"/>
      <c r="S28" s="147"/>
      <c r="T28" s="150">
        <f t="shared" si="0"/>
        <v>0</v>
      </c>
      <c r="U28" s="167">
        <f t="shared" si="4"/>
        <v>792</v>
      </c>
      <c r="V28" s="167">
        <f t="shared" si="5"/>
        <v>33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62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1512</v>
      </c>
      <c r="V30" s="167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72+19+6</f>
        <v>97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/>
      <c r="Q34" s="163">
        <v>3</v>
      </c>
      <c r="R34" s="164"/>
      <c r="S34" s="147"/>
      <c r="T34" s="150">
        <f t="shared" si="0"/>
        <v>17</v>
      </c>
      <c r="U34" s="167">
        <f t="shared" si="4"/>
        <v>2513</v>
      </c>
      <c r="V34" s="167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2376+1512+80</f>
        <v>3968</v>
      </c>
      <c r="D37" s="151"/>
      <c r="E37" s="151"/>
      <c r="F37" s="151"/>
      <c r="G37" s="151"/>
      <c r="H37" s="151">
        <v>2</v>
      </c>
      <c r="I37" s="151"/>
      <c r="J37" s="152">
        <v>4</v>
      </c>
      <c r="K37" s="153">
        <v>2</v>
      </c>
      <c r="L37" s="154"/>
      <c r="M37" s="155">
        <v>30</v>
      </c>
      <c r="N37" s="156"/>
      <c r="O37" s="157">
        <v>37</v>
      </c>
      <c r="P37" s="158"/>
      <c r="Q37" s="158">
        <v>121</v>
      </c>
      <c r="R37" s="159"/>
      <c r="S37" s="154"/>
      <c r="T37" s="169">
        <f t="shared" si="0"/>
        <v>8</v>
      </c>
      <c r="U37" s="169">
        <f>C37*6+M37*6+O37*6+Q37*6+T37</f>
        <v>24944</v>
      </c>
      <c r="V37" s="169">
        <f>U37/6</f>
        <v>4157.333333333333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v>3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>
        <v>1</v>
      </c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693+1</f>
        <v>694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/>
      <c r="N40" s="156"/>
      <c r="O40" s="157">
        <v>1</v>
      </c>
      <c r="P40" s="158"/>
      <c r="Q40" s="158"/>
      <c r="R40" s="159"/>
      <c r="S40" s="154"/>
      <c r="T40" s="169">
        <f t="shared" si="0"/>
        <v>24</v>
      </c>
      <c r="U40" s="169">
        <f>C40*24+M40*24+O40*24+Q40*24+T40</f>
        <v>16704</v>
      </c>
      <c r="V40" s="169">
        <f>U40/24</f>
        <v>696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1536+76</f>
        <v>1612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4</v>
      </c>
      <c r="N41" s="181"/>
      <c r="O41" s="176">
        <v>8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19668</v>
      </c>
      <c r="V41" s="182">
        <f>U41/12</f>
        <v>1639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6048+3780+6372+5400+7128</f>
        <v>28728</v>
      </c>
      <c r="D43" s="157"/>
      <c r="E43" s="157"/>
      <c r="F43" s="157"/>
      <c r="G43" s="157"/>
      <c r="H43" s="157">
        <v>2</v>
      </c>
      <c r="I43" s="157">
        <v>6</v>
      </c>
      <c r="J43" s="158">
        <f>13*6+2</f>
        <v>80</v>
      </c>
      <c r="K43" s="159">
        <f>75*6+4</f>
        <v>454</v>
      </c>
      <c r="L43" s="154"/>
      <c r="M43" s="155">
        <v>325</v>
      </c>
      <c r="N43" s="156"/>
      <c r="O43" s="157">
        <v>218</v>
      </c>
      <c r="P43" s="158"/>
      <c r="Q43" s="158">
        <v>350</v>
      </c>
      <c r="R43" s="159"/>
      <c r="S43" s="154"/>
      <c r="T43" s="169">
        <f t="shared" ref="T43" si="6">H43+I43+J43+K43+N43+P43+R43</f>
        <v>542</v>
      </c>
      <c r="U43" s="169">
        <f>C43*6+M43*6+O43*6+Q43*6+T43</f>
        <v>178268</v>
      </c>
      <c r="V43" s="169">
        <f>U43/6</f>
        <v>29711.333333333332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162">
        <f>24+2268+44</f>
        <v>2336</v>
      </c>
      <c r="D47" s="162"/>
      <c r="E47" s="162"/>
      <c r="F47" s="162"/>
      <c r="G47" s="162"/>
      <c r="H47" s="162"/>
      <c r="I47" s="162"/>
      <c r="J47" s="163"/>
      <c r="K47" s="164">
        <v>6</v>
      </c>
      <c r="L47" s="147"/>
      <c r="M47" s="165">
        <v>10</v>
      </c>
      <c r="N47" s="166"/>
      <c r="O47" s="162">
        <v>5</v>
      </c>
      <c r="P47" s="163">
        <v>5</v>
      </c>
      <c r="Q47" s="163">
        <v>10</v>
      </c>
      <c r="R47" s="164"/>
      <c r="S47" s="147"/>
      <c r="T47" s="167">
        <f t="shared" si="7"/>
        <v>11</v>
      </c>
      <c r="U47" s="167">
        <f>C47*6+M47*6+O47*6+Q47*6+T47</f>
        <v>14177</v>
      </c>
      <c r="V47" s="167">
        <f>U47/6</f>
        <v>2362.8333333333335</v>
      </c>
    </row>
    <row r="48" spans="1:23" x14ac:dyDescent="0.25">
      <c r="A48" s="75">
        <f t="shared" si="1"/>
        <v>45</v>
      </c>
      <c r="B48" s="74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162">
        <v>34</v>
      </c>
      <c r="D51" s="162"/>
      <c r="E51" s="162"/>
      <c r="F51" s="162"/>
      <c r="G51" s="162"/>
      <c r="H51" s="162"/>
      <c r="I51" s="162"/>
      <c r="J51" s="163"/>
      <c r="K51" s="164"/>
      <c r="L51" s="147"/>
      <c r="M51" s="165"/>
      <c r="N51" s="166"/>
      <c r="O51" s="162"/>
      <c r="P51" s="163"/>
      <c r="Q51" s="163"/>
      <c r="R51" s="164"/>
      <c r="S51" s="147"/>
      <c r="T51" s="167">
        <f t="shared" si="7"/>
        <v>0</v>
      </c>
      <c r="U51" s="167">
        <f>C51*6+M51*6+O51*6+Q51*6+T51</f>
        <v>204</v>
      </c>
      <c r="V51" s="167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41336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84</v>
      </c>
      <c r="K58" s="54">
        <f t="shared" si="11"/>
        <v>486</v>
      </c>
      <c r="M58" s="53">
        <f t="shared" ref="M58:R58" si="12">SUM(M7:M57)</f>
        <v>396</v>
      </c>
      <c r="N58" s="53">
        <f t="shared" si="12"/>
        <v>36</v>
      </c>
      <c r="O58" s="53">
        <f t="shared" si="12"/>
        <v>284</v>
      </c>
      <c r="P58" s="53">
        <f t="shared" si="12"/>
        <v>7</v>
      </c>
      <c r="Q58" s="53">
        <f t="shared" si="12"/>
        <v>522</v>
      </c>
      <c r="R58" s="53">
        <f t="shared" si="12"/>
        <v>8</v>
      </c>
      <c r="S58" s="147"/>
      <c r="T58" s="51">
        <f>SUM(T7:T57)</f>
        <v>683</v>
      </c>
      <c r="U58" s="51">
        <f>SUM(U7:U57)</f>
        <v>350831</v>
      </c>
      <c r="V58" s="51">
        <f>SUM(V7:V57)</f>
        <v>42636.583333333336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F771-BE68-4A3A-A924-82C895121F0F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98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42"/>
      <c r="Q5" s="142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2"/>
      <c r="K6" s="89"/>
      <c r="M6" s="87"/>
      <c r="N6" s="118"/>
      <c r="O6" s="92"/>
      <c r="P6" s="142"/>
      <c r="Q6" s="142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B38A-97B0-45C8-A623-33FB2F149B95}">
  <sheetPr>
    <pageSetUpPr fitToPage="1"/>
  </sheetPr>
  <dimension ref="A1:BB81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99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43"/>
      <c r="Q5" s="143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1</v>
      </c>
      <c r="N7" s="149">
        <v>12</v>
      </c>
      <c r="O7" s="144">
        <v>3</v>
      </c>
      <c r="P7" s="145"/>
      <c r="Q7" s="145"/>
      <c r="R7" s="146"/>
      <c r="S7" s="147"/>
      <c r="T7" s="150">
        <f>H7+I7+J7+K7+N7+P7+R7</f>
        <v>24</v>
      </c>
      <c r="U7" s="150">
        <f>C7*24+M7*24+O7*24+Q7*24+T7</f>
        <v>720</v>
      </c>
      <c r="V7" s="150">
        <f>U7/24</f>
        <v>30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63+28</f>
        <v>91</v>
      </c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>
        <v>2</v>
      </c>
      <c r="R8" s="159"/>
      <c r="S8" s="154"/>
      <c r="T8" s="160">
        <f t="shared" ref="T8:T41" si="0">H8+I8+J8+K8+N8+P8+R8</f>
        <v>0</v>
      </c>
      <c r="U8" s="161">
        <f>C8*24+M8*24+O8*24+Q8*24+T8</f>
        <v>2232</v>
      </c>
      <c r="V8" s="161">
        <f>U8/24</f>
        <v>93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55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>
        <v>2</v>
      </c>
      <c r="P10" s="163"/>
      <c r="Q10" s="163"/>
      <c r="R10" s="164"/>
      <c r="S10" s="147"/>
      <c r="T10" s="150">
        <f t="shared" si="0"/>
        <v>0</v>
      </c>
      <c r="U10" s="150">
        <f t="shared" si="2"/>
        <v>1368</v>
      </c>
      <c r="V10" s="150">
        <f t="shared" si="3"/>
        <v>57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72+1224+51+1440+576</f>
        <v>3363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8</v>
      </c>
      <c r="N12" s="156">
        <v>18</v>
      </c>
      <c r="O12" s="157">
        <v>12</v>
      </c>
      <c r="P12" s="158"/>
      <c r="Q12" s="158">
        <v>20</v>
      </c>
      <c r="R12" s="159">
        <v>4</v>
      </c>
      <c r="S12" s="154"/>
      <c r="T12" s="150">
        <f t="shared" si="0"/>
        <v>22</v>
      </c>
      <c r="U12" s="161">
        <f>C12*24+M12*24+O12*24+Q12*24+T12</f>
        <v>81694</v>
      </c>
      <c r="V12" s="161">
        <f>U12/24</f>
        <v>3403.9166666666665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48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63+19</f>
        <v>82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>
        <v>12</v>
      </c>
      <c r="O25" s="162">
        <v>1</v>
      </c>
      <c r="P25" s="163"/>
      <c r="Q25" s="163"/>
      <c r="R25" s="164"/>
      <c r="S25" s="147"/>
      <c r="T25" s="150">
        <f t="shared" si="0"/>
        <v>23</v>
      </c>
      <c r="U25" s="167">
        <f t="shared" si="4"/>
        <v>2015</v>
      </c>
      <c r="V25" s="167">
        <f t="shared" si="5"/>
        <v>83.958333333333329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17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1</v>
      </c>
      <c r="P28" s="163"/>
      <c r="Q28" s="163">
        <v>5</v>
      </c>
      <c r="R28" s="164"/>
      <c r="S28" s="147"/>
      <c r="T28" s="150">
        <f t="shared" si="0"/>
        <v>0</v>
      </c>
      <c r="U28" s="167">
        <f t="shared" si="4"/>
        <v>552</v>
      </c>
      <c r="V28" s="167">
        <f t="shared" si="5"/>
        <v>23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62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1512</v>
      </c>
      <c r="V30" s="167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20+70</f>
        <v>90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2357</v>
      </c>
      <c r="V34" s="167">
        <f t="shared" si="5"/>
        <v>98.208333333333329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2376+1404+25</f>
        <v>3805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>
        <v>33</v>
      </c>
      <c r="P37" s="158"/>
      <c r="Q37" s="158">
        <v>108</v>
      </c>
      <c r="R37" s="159"/>
      <c r="S37" s="154"/>
      <c r="T37" s="169">
        <f t="shared" si="0"/>
        <v>8</v>
      </c>
      <c r="U37" s="169">
        <f>C37*6+M37*6+O37*6+Q37*6+T37</f>
        <v>23684</v>
      </c>
      <c r="V37" s="169">
        <f>U37/6</f>
        <v>3947.3333333333335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1+3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630+61</f>
        <v>691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/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16692</v>
      </c>
      <c r="V40" s="169">
        <f>U40/24</f>
        <v>695.5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1536+28</f>
        <v>1564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>
        <v>10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19068</v>
      </c>
      <c r="V41" s="182">
        <f>U41/12</f>
        <v>1589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6048+1728+6372+5400+7128+1836</f>
        <v>28512</v>
      </c>
      <c r="D43" s="157"/>
      <c r="E43" s="157"/>
      <c r="F43" s="157"/>
      <c r="G43" s="157"/>
      <c r="H43" s="157">
        <v>1</v>
      </c>
      <c r="I43" s="157">
        <v>7</v>
      </c>
      <c r="J43" s="158">
        <f>3*6+4</f>
        <v>22</v>
      </c>
      <c r="K43" s="159">
        <f>87*6</f>
        <v>522</v>
      </c>
      <c r="L43" s="154"/>
      <c r="M43" s="155">
        <v>245</v>
      </c>
      <c r="N43" s="156"/>
      <c r="O43" s="157">
        <v>379</v>
      </c>
      <c r="P43" s="158"/>
      <c r="Q43" s="158">
        <v>432</v>
      </c>
      <c r="R43" s="159"/>
      <c r="S43" s="154"/>
      <c r="T43" s="169">
        <f t="shared" ref="T43" si="6">H43+I43+J43+K43+N43+P43+R43</f>
        <v>552</v>
      </c>
      <c r="U43" s="169">
        <f>C43*6+M43*6+O43*6+Q43*6+T43</f>
        <v>177960</v>
      </c>
      <c r="V43" s="169">
        <f>U43/6</f>
        <v>29660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9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14158</v>
      </c>
      <c r="V47" s="169">
        <f>U47/6</f>
        <v>2359.6666666666665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40813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53</v>
      </c>
      <c r="I58" s="54">
        <f t="shared" si="11"/>
        <v>9</v>
      </c>
      <c r="J58" s="54">
        <f t="shared" si="11"/>
        <v>22</v>
      </c>
      <c r="K58" s="54">
        <f t="shared" si="11"/>
        <v>558</v>
      </c>
      <c r="M58" s="53">
        <f t="shared" ref="M58:R58" si="12">SUM(M7:M57)</f>
        <v>265</v>
      </c>
      <c r="N58" s="53">
        <f t="shared" si="12"/>
        <v>54</v>
      </c>
      <c r="O58" s="53">
        <f t="shared" si="12"/>
        <v>447</v>
      </c>
      <c r="P58" s="53">
        <f t="shared" si="12"/>
        <v>28</v>
      </c>
      <c r="Q58" s="53">
        <f t="shared" si="12"/>
        <v>598</v>
      </c>
      <c r="R58" s="53">
        <f t="shared" si="12"/>
        <v>4</v>
      </c>
      <c r="S58" s="147"/>
      <c r="T58" s="51">
        <f>SUM(T7:T57)</f>
        <v>728</v>
      </c>
      <c r="U58" s="51">
        <f>SUM(U7:U57)</f>
        <v>346304</v>
      </c>
      <c r="V58" s="51">
        <f>SUM(V7:V57)</f>
        <v>42224.583333333336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100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43"/>
      <c r="Q5" s="143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1</v>
      </c>
      <c r="N7" s="149"/>
      <c r="O7" s="144">
        <v>3</v>
      </c>
      <c r="P7" s="145"/>
      <c r="Q7" s="145"/>
      <c r="R7" s="146"/>
      <c r="S7" s="147"/>
      <c r="T7" s="150">
        <f>H7+I7+J7+K7+N7+P7+R7</f>
        <v>12</v>
      </c>
      <c r="U7" s="150">
        <f>C7*24+M7*24+O7*24+Q7*24+T7</f>
        <v>708</v>
      </c>
      <c r="V7" s="150">
        <f>U7/24</f>
        <v>29.5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63+28</f>
        <v>91</v>
      </c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2184</v>
      </c>
      <c r="V8" s="161">
        <f>U8/24</f>
        <v>91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>
        <v>2</v>
      </c>
      <c r="R10" s="164"/>
      <c r="S10" s="147"/>
      <c r="T10" s="150">
        <f t="shared" si="0"/>
        <v>0</v>
      </c>
      <c r="U10" s="150">
        <f t="shared" si="2"/>
        <v>1344</v>
      </c>
      <c r="V10" s="150">
        <f t="shared" si="3"/>
        <v>56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72+1224+26+1440+576</f>
        <v>3338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4</v>
      </c>
      <c r="N12" s="156">
        <v>4</v>
      </c>
      <c r="O12" s="157">
        <v>2</v>
      </c>
      <c r="P12" s="158"/>
      <c r="Q12" s="158">
        <v>24</v>
      </c>
      <c r="R12" s="159">
        <v>13</v>
      </c>
      <c r="S12" s="154"/>
      <c r="T12" s="160">
        <f t="shared" si="0"/>
        <v>17</v>
      </c>
      <c r="U12" s="161">
        <f>C12*24+M12*24+O12*24+Q12*24+T12</f>
        <v>80849</v>
      </c>
      <c r="V12" s="161">
        <f>U12/24</f>
        <v>3368.7083333333335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67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46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63+15</f>
        <v>78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1883</v>
      </c>
      <c r="V25" s="167">
        <f t="shared" si="5"/>
        <v>78.458333333333329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f>12+1</f>
        <v>13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1</v>
      </c>
      <c r="P28" s="163"/>
      <c r="Q28" s="163">
        <v>3</v>
      </c>
      <c r="R28" s="164"/>
      <c r="S28" s="147"/>
      <c r="T28" s="150">
        <f t="shared" si="0"/>
        <v>0</v>
      </c>
      <c r="U28" s="167">
        <f t="shared" si="4"/>
        <v>408</v>
      </c>
      <c r="V28" s="167">
        <f t="shared" si="5"/>
        <v>17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60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72+12</f>
        <v>84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2213</v>
      </c>
      <c r="V34" s="167">
        <f t="shared" si="5"/>
        <v>92.208333333333329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2376+1404+6</f>
        <v>3786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/>
      <c r="P37" s="158"/>
      <c r="Q37" s="158">
        <v>100</v>
      </c>
      <c r="R37" s="159"/>
      <c r="S37" s="154"/>
      <c r="T37" s="169">
        <f t="shared" si="0"/>
        <v>8</v>
      </c>
      <c r="U37" s="169">
        <f>C37*6+M37*6+O37*6+Q37*6+T37</f>
        <v>23324</v>
      </c>
      <c r="V37" s="169">
        <f>U37/6</f>
        <v>3887.3333333333335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v>3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>
        <v>1</v>
      </c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1536+17</f>
        <v>1553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1</v>
      </c>
      <c r="N41" s="181"/>
      <c r="O41" s="176">
        <v>9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18936</v>
      </c>
      <c r="V41" s="182">
        <f>U41/12</f>
        <v>1578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6048+1080+8208+5400+7128+108+45</f>
        <v>28017</v>
      </c>
      <c r="D43" s="157"/>
      <c r="E43" s="157"/>
      <c r="F43" s="157"/>
      <c r="G43" s="157"/>
      <c r="H43" s="157">
        <v>4</v>
      </c>
      <c r="I43" s="157">
        <v>7</v>
      </c>
      <c r="J43" s="158">
        <f>6*4</f>
        <v>24</v>
      </c>
      <c r="K43" s="159">
        <f>87*6</f>
        <v>522</v>
      </c>
      <c r="L43" s="154"/>
      <c r="M43" s="155">
        <v>4</v>
      </c>
      <c r="N43" s="156"/>
      <c r="O43" s="157">
        <v>57</v>
      </c>
      <c r="P43" s="158"/>
      <c r="Q43" s="158">
        <v>487</v>
      </c>
      <c r="R43" s="159"/>
      <c r="S43" s="154"/>
      <c r="T43" s="169">
        <f t="shared" ref="T43" si="6">H43+I43+J43+K43+N43+P43+R43</f>
        <v>557</v>
      </c>
      <c r="U43" s="169">
        <f>C43*6+M43*6+O43*6+Q43*6+T43</f>
        <v>171947</v>
      </c>
      <c r="V43" s="169">
        <f>U43/6</f>
        <v>28657.833333333332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8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14152</v>
      </c>
      <c r="V47" s="169">
        <f>U47/6</f>
        <v>2358.6666666666665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40172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9</v>
      </c>
      <c r="J58" s="54">
        <f t="shared" si="11"/>
        <v>24</v>
      </c>
      <c r="K58" s="54">
        <f t="shared" si="11"/>
        <v>558</v>
      </c>
      <c r="M58" s="53">
        <f t="shared" ref="M58:R58" si="12">SUM(M7:M57)</f>
        <v>21</v>
      </c>
      <c r="N58" s="53">
        <f t="shared" si="12"/>
        <v>16</v>
      </c>
      <c r="O58" s="53">
        <f t="shared" si="12"/>
        <v>78</v>
      </c>
      <c r="P58" s="53">
        <f t="shared" si="12"/>
        <v>28</v>
      </c>
      <c r="Q58" s="53">
        <f t="shared" si="12"/>
        <v>650</v>
      </c>
      <c r="R58" s="53">
        <f t="shared" si="12"/>
        <v>13</v>
      </c>
      <c r="S58" s="147"/>
      <c r="T58" s="51">
        <f>SUM(T7:T57)</f>
        <v>704</v>
      </c>
      <c r="U58" s="51">
        <f>SUM(U7:U57)</f>
        <v>336716</v>
      </c>
      <c r="V58" s="51">
        <f>SUM(V7:V57)</f>
        <v>41022.208333333328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101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83"/>
      <c r="Q5" s="183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3"/>
      <c r="K6" s="89"/>
      <c r="M6" s="87"/>
      <c r="N6" s="118"/>
      <c r="O6" s="92"/>
      <c r="P6" s="183"/>
      <c r="Q6" s="18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/>
      <c r="N7" s="149"/>
      <c r="O7" s="144">
        <v>3</v>
      </c>
      <c r="P7" s="145"/>
      <c r="Q7" s="145"/>
      <c r="R7" s="146"/>
      <c r="S7" s="147"/>
      <c r="T7" s="150">
        <f>H7+I7+J7+K7+N7+P7+R7</f>
        <v>12</v>
      </c>
      <c r="U7" s="150">
        <f>C7*24+M7*24+O7*24+Q7*24+T7</f>
        <v>684</v>
      </c>
      <c r="V7" s="150">
        <f>U7/24</f>
        <v>28.5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63+26</f>
        <v>89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2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2184</v>
      </c>
      <c r="V8" s="161">
        <f>U8/24</f>
        <v>91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>
        <v>10</v>
      </c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>G9+H9+I9+J9+K9+N9+P9+R9</f>
        <v>0</v>
      </c>
      <c r="U9" s="168">
        <f t="shared" ref="U9:U11" si="2">C9*24+M9*24+O9*24+Q9*24+T9</f>
        <v>240</v>
      </c>
      <c r="V9" s="168">
        <f t="shared" ref="V9:V11" si="3">U9/24</f>
        <v>10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>
        <v>1</v>
      </c>
      <c r="P10" s="163"/>
      <c r="Q10" s="163">
        <v>1</v>
      </c>
      <c r="R10" s="164"/>
      <c r="S10" s="147"/>
      <c r="T10" s="150">
        <f t="shared" si="0"/>
        <v>0</v>
      </c>
      <c r="U10" s="150">
        <f t="shared" si="2"/>
        <v>1344</v>
      </c>
      <c r="V10" s="150">
        <f t="shared" si="3"/>
        <v>56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72+1152+50+1440+576</f>
        <v>3290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13</v>
      </c>
      <c r="N12" s="156">
        <v>22</v>
      </c>
      <c r="O12" s="157">
        <v>11</v>
      </c>
      <c r="P12" s="158">
        <v>20</v>
      </c>
      <c r="Q12" s="158">
        <v>14</v>
      </c>
      <c r="R12" s="159"/>
      <c r="S12" s="154"/>
      <c r="T12" s="150">
        <f t="shared" si="0"/>
        <v>42</v>
      </c>
      <c r="U12" s="161">
        <f>C12*24+M12*24+O12*24+Q12*24+T12</f>
        <v>79914</v>
      </c>
      <c r="V12" s="161">
        <f>U12/24</f>
        <v>3329.75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f>5</f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42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>
        <v>2</v>
      </c>
      <c r="N23" s="166"/>
      <c r="O23" s="162">
        <v>2</v>
      </c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63+13</f>
        <v>76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2</v>
      </c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1883</v>
      </c>
      <c r="V25" s="167">
        <f t="shared" si="5"/>
        <v>78.458333333333329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7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2</v>
      </c>
      <c r="P28" s="163"/>
      <c r="Q28" s="163">
        <v>3</v>
      </c>
      <c r="R28" s="164"/>
      <c r="S28" s="147"/>
      <c r="T28" s="150">
        <f t="shared" si="0"/>
        <v>0</v>
      </c>
      <c r="U28" s="167">
        <f t="shared" si="4"/>
        <v>288</v>
      </c>
      <c r="V28" s="167">
        <f t="shared" si="5"/>
        <v>12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58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>
        <v>2</v>
      </c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>
        <v>9</v>
      </c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>
        <v>1</v>
      </c>
      <c r="R31" s="164"/>
      <c r="S31" s="147"/>
      <c r="T31" s="150">
        <f t="shared" si="0"/>
        <v>0</v>
      </c>
      <c r="U31" s="167">
        <f t="shared" si="4"/>
        <v>240</v>
      </c>
      <c r="V31" s="167">
        <f t="shared" si="5"/>
        <v>10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72+12</f>
        <v>84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/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2165</v>
      </c>
      <c r="V34" s="167">
        <f t="shared" si="5"/>
        <v>90.208333333333329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2376+1080+78</f>
        <v>3534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>
        <v>30</v>
      </c>
      <c r="P37" s="158"/>
      <c r="Q37" s="158">
        <v>97</v>
      </c>
      <c r="R37" s="159"/>
      <c r="S37" s="154"/>
      <c r="T37" s="169">
        <f t="shared" si="0"/>
        <v>8</v>
      </c>
      <c r="U37" s="169">
        <f>C37*6+M37*6+O37*6+Q37*6+T37</f>
        <v>21974</v>
      </c>
      <c r="V37" s="169">
        <f>U37/6</f>
        <v>3662.3333333333335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1+3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1536+7</f>
        <v>1543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4</v>
      </c>
      <c r="N41" s="181"/>
      <c r="O41" s="176">
        <v>8</v>
      </c>
      <c r="P41" s="177"/>
      <c r="Q41" s="177">
        <v>7</v>
      </c>
      <c r="R41" s="178"/>
      <c r="S41" s="179"/>
      <c r="T41" s="182">
        <f t="shared" si="0"/>
        <v>0</v>
      </c>
      <c r="U41" s="182">
        <f>C41*12+M41*12+O41*12+Q41*12+T41</f>
        <v>18744</v>
      </c>
      <c r="V41" s="182">
        <f>U41/12</f>
        <v>1562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5400+1836+8208+5400+7128+1836</f>
        <v>29808</v>
      </c>
      <c r="D43" s="157"/>
      <c r="E43" s="157"/>
      <c r="F43" s="157"/>
      <c r="G43" s="157"/>
      <c r="H43" s="157">
        <v>5</v>
      </c>
      <c r="I43" s="157">
        <v>7</v>
      </c>
      <c r="J43" s="158">
        <f>5*6+5</f>
        <v>35</v>
      </c>
      <c r="K43" s="159">
        <f>87*6</f>
        <v>522</v>
      </c>
      <c r="L43" s="154"/>
      <c r="M43" s="155">
        <v>325</v>
      </c>
      <c r="N43" s="156"/>
      <c r="O43" s="157">
        <v>362</v>
      </c>
      <c r="P43" s="158"/>
      <c r="Q43" s="158">
        <v>515</v>
      </c>
      <c r="R43" s="159"/>
      <c r="S43" s="154"/>
      <c r="T43" s="169">
        <f t="shared" ref="T43" si="6">H43+I43+J43+K43+N43+P43+R43</f>
        <v>569</v>
      </c>
      <c r="U43" s="169">
        <f>C43*6+M43*6+O43*6+Q43*6+T43</f>
        <v>186629</v>
      </c>
      <c r="V43" s="169">
        <f>U43/6</f>
        <v>31104.833333333332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8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14152</v>
      </c>
      <c r="V47" s="169">
        <f>U47/6</f>
        <v>2358.6666666666665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41657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57</v>
      </c>
      <c r="I58" s="54">
        <f t="shared" si="11"/>
        <v>9</v>
      </c>
      <c r="J58" s="54">
        <f t="shared" si="11"/>
        <v>35</v>
      </c>
      <c r="K58" s="54">
        <f t="shared" si="11"/>
        <v>558</v>
      </c>
      <c r="M58" s="53">
        <f t="shared" ref="M58:R58" si="12">SUM(M7:M57)</f>
        <v>357</v>
      </c>
      <c r="N58" s="53">
        <f t="shared" si="12"/>
        <v>34</v>
      </c>
      <c r="O58" s="53">
        <f t="shared" si="12"/>
        <v>427</v>
      </c>
      <c r="P58" s="53">
        <f t="shared" si="12"/>
        <v>48</v>
      </c>
      <c r="Q58" s="53">
        <f t="shared" si="12"/>
        <v>656</v>
      </c>
      <c r="R58" s="53">
        <f t="shared" si="12"/>
        <v>0</v>
      </c>
      <c r="S58" s="147"/>
      <c r="T58" s="51">
        <f>SUM(T7:T57)</f>
        <v>741</v>
      </c>
      <c r="U58" s="186">
        <f>SUM(U7:U57)</f>
        <v>349209</v>
      </c>
      <c r="V58" s="51">
        <f>SUM(V7:V57)</f>
        <v>43201.249999999993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AB2A8-83DC-46AC-8C64-B26C110E1981}">
  <sheetPr>
    <pageSetUpPr fitToPage="1"/>
  </sheetPr>
  <dimension ref="A1:BB81"/>
  <sheetViews>
    <sheetView zoomScaleNormal="100" zoomScaleSheetLayoutView="115" workbookViewId="0">
      <selection activeCell="U28" sqref="U28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102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84"/>
      <c r="Q5" s="184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4"/>
      <c r="K6" s="89"/>
      <c r="M6" s="87"/>
      <c r="N6" s="118"/>
      <c r="O6" s="92"/>
      <c r="P6" s="184"/>
      <c r="Q6" s="184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23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/>
      <c r="N7" s="149"/>
      <c r="O7" s="144">
        <v>2</v>
      </c>
      <c r="P7" s="145">
        <v>12</v>
      </c>
      <c r="Q7" s="145">
        <v>2</v>
      </c>
      <c r="R7" s="146"/>
      <c r="S7" s="147"/>
      <c r="T7" s="150">
        <f>H7+I7+J7+K7+N7+P7+R7</f>
        <v>24</v>
      </c>
      <c r="U7" s="150">
        <f>C7*24+M7*24+O7*24+Q7*24+T7</f>
        <v>672</v>
      </c>
      <c r="V7" s="150">
        <f>U7/24</f>
        <v>28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63+26</f>
        <v>89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1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2160</v>
      </c>
      <c r="V8" s="161">
        <f>U8/24</f>
        <v>90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>
        <f>6+1</f>
        <v>7</v>
      </c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168</v>
      </c>
      <c r="V9" s="168">
        <f t="shared" ref="V9:V11" si="3">U9/24</f>
        <v>7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f>5+46</f>
        <v>51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1224</v>
      </c>
      <c r="V10" s="150">
        <f t="shared" si="3"/>
        <v>51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72+1152+6+1440+576</f>
        <v>3246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15</v>
      </c>
      <c r="N12" s="156">
        <v>20</v>
      </c>
      <c r="O12" s="157">
        <v>7</v>
      </c>
      <c r="P12" s="158">
        <v>7</v>
      </c>
      <c r="Q12" s="158">
        <v>18</v>
      </c>
      <c r="R12" s="159">
        <v>15</v>
      </c>
      <c r="S12" s="154"/>
      <c r="T12" s="150">
        <f t="shared" si="0"/>
        <v>42</v>
      </c>
      <c r="U12" s="161">
        <f>C12*24+M12*24+O12*24+Q12*24+T12</f>
        <v>78906</v>
      </c>
      <c r="V12" s="161">
        <f>U12/24</f>
        <v>3287.75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42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>
        <v>2</v>
      </c>
      <c r="N23" s="166"/>
      <c r="O23" s="162">
        <v>2</v>
      </c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63+13</f>
        <v>76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1</v>
      </c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1859</v>
      </c>
      <c r="V25" s="167">
        <f t="shared" si="5"/>
        <v>77.458333333333329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f>2+2</f>
        <v>4</v>
      </c>
      <c r="D28" s="162"/>
      <c r="E28" s="162"/>
      <c r="F28" s="162"/>
      <c r="G28" s="162">
        <v>127</v>
      </c>
      <c r="H28" s="162"/>
      <c r="I28" s="162"/>
      <c r="J28" s="163"/>
      <c r="K28" s="164"/>
      <c r="L28" s="147"/>
      <c r="M28" s="165">
        <v>2</v>
      </c>
      <c r="N28" s="166"/>
      <c r="O28" s="162">
        <v>2</v>
      </c>
      <c r="P28" s="163"/>
      <c r="Q28" s="163">
        <v>3</v>
      </c>
      <c r="R28" s="164"/>
      <c r="S28" s="147"/>
      <c r="T28" s="150">
        <f>H28+I28+J28+K28+N28+P28+R28</f>
        <v>0</v>
      </c>
      <c r="U28" s="167">
        <f>C28*24+M28*24+O28*24+Q28*24+T28+G28*24</f>
        <v>3312</v>
      </c>
      <c r="V28" s="167">
        <f t="shared" si="5"/>
        <v>138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f>58</f>
        <v>58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>
        <v>2</v>
      </c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>
        <f>2+4</f>
        <v>6</v>
      </c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>
        <v>1</v>
      </c>
      <c r="R31" s="164"/>
      <c r="S31" s="147"/>
      <c r="T31" s="150">
        <f t="shared" si="0"/>
        <v>0</v>
      </c>
      <c r="U31" s="167">
        <f t="shared" si="4"/>
        <v>168</v>
      </c>
      <c r="V31" s="167">
        <f t="shared" si="5"/>
        <v>7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9+72</f>
        <v>81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/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2093</v>
      </c>
      <c r="V34" s="167">
        <f t="shared" si="5"/>
        <v>87.208333333333329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1080+2376</f>
        <v>3456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>
        <v>12</v>
      </c>
      <c r="N37" s="156"/>
      <c r="O37" s="157">
        <v>58</v>
      </c>
      <c r="P37" s="158"/>
      <c r="Q37" s="158">
        <v>47</v>
      </c>
      <c r="R37" s="159"/>
      <c r="S37" s="154"/>
      <c r="T37" s="169">
        <f t="shared" si="0"/>
        <v>8</v>
      </c>
      <c r="U37" s="169">
        <f>C37*6+M37*6+O37*6+Q37*6+T37</f>
        <v>21446</v>
      </c>
      <c r="V37" s="169">
        <f>U37/6</f>
        <v>3574.3333333333335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2+2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1440+80</f>
        <v>1520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6</v>
      </c>
      <c r="N41" s="181"/>
      <c r="O41" s="176">
        <v>11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18624</v>
      </c>
      <c r="V41" s="182">
        <f>U41/12</f>
        <v>1552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4644+3672+8208+5400+7128+1620</f>
        <v>30672</v>
      </c>
      <c r="D43" s="157"/>
      <c r="E43" s="157"/>
      <c r="F43" s="157"/>
      <c r="G43" s="157"/>
      <c r="H43" s="157">
        <v>5</v>
      </c>
      <c r="I43" s="157">
        <v>7</v>
      </c>
      <c r="J43" s="158">
        <f>6*6+5</f>
        <v>41</v>
      </c>
      <c r="K43" s="159">
        <f>87*6</f>
        <v>522</v>
      </c>
      <c r="L43" s="154"/>
      <c r="M43" s="155">
        <v>325</v>
      </c>
      <c r="N43" s="156"/>
      <c r="O43" s="157">
        <v>168</v>
      </c>
      <c r="P43" s="158"/>
      <c r="Q43" s="158">
        <v>373</v>
      </c>
      <c r="R43" s="159"/>
      <c r="S43" s="154"/>
      <c r="T43" s="169">
        <f t="shared" ref="T43" si="6">H43+I43+J43+K43+N43+P43+R43</f>
        <v>575</v>
      </c>
      <c r="U43" s="169">
        <f>C43*6+M43*6+O43*6+Q43*6+T43</f>
        <v>189803</v>
      </c>
      <c r="V43" s="169">
        <f>U43/6</f>
        <v>31633.833333333332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5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14134</v>
      </c>
      <c r="V47" s="169">
        <f>U47/6</f>
        <v>2355.6666666666665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42359</v>
      </c>
      <c r="D58" s="49"/>
      <c r="E58" s="49"/>
      <c r="F58" s="49">
        <f t="shared" ref="F58:K58" si="11">SUM(F7:F57)</f>
        <v>0</v>
      </c>
      <c r="G58" s="49">
        <f t="shared" si="11"/>
        <v>127</v>
      </c>
      <c r="H58" s="49">
        <f t="shared" si="11"/>
        <v>57</v>
      </c>
      <c r="I58" s="54">
        <f t="shared" si="11"/>
        <v>9</v>
      </c>
      <c r="J58" s="54">
        <f t="shared" si="11"/>
        <v>41</v>
      </c>
      <c r="K58" s="54">
        <f t="shared" si="11"/>
        <v>558</v>
      </c>
      <c r="M58" s="53">
        <f t="shared" ref="M58:R58" si="12">SUM(M7:M57)</f>
        <v>370</v>
      </c>
      <c r="N58" s="53">
        <f t="shared" si="12"/>
        <v>32</v>
      </c>
      <c r="O58" s="53">
        <f t="shared" si="12"/>
        <v>258</v>
      </c>
      <c r="P58" s="53">
        <f t="shared" si="12"/>
        <v>47</v>
      </c>
      <c r="Q58" s="53">
        <f t="shared" si="12"/>
        <v>477</v>
      </c>
      <c r="R58" s="53">
        <f t="shared" si="12"/>
        <v>15</v>
      </c>
      <c r="S58" s="147"/>
      <c r="T58" s="51">
        <f>SUM(T7:T57)</f>
        <v>759</v>
      </c>
      <c r="U58" s="51">
        <f>SUM(U7:U57)</f>
        <v>353337</v>
      </c>
      <c r="V58" s="51">
        <f>SUM(V7:V57)</f>
        <v>43696.749999999993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352C0-F5F8-4596-B7FF-2BAD0B6B36A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103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85"/>
      <c r="Q5" s="185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5"/>
      <c r="K6" s="89"/>
      <c r="M6" s="87"/>
      <c r="N6" s="118"/>
      <c r="O6" s="92"/>
      <c r="P6" s="185"/>
      <c r="Q6" s="185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23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/>
      <c r="N7" s="149"/>
      <c r="O7" s="144">
        <v>2</v>
      </c>
      <c r="P7" s="145">
        <v>12</v>
      </c>
      <c r="Q7" s="145">
        <v>2</v>
      </c>
      <c r="R7" s="146"/>
      <c r="S7" s="147"/>
      <c r="T7" s="150">
        <f>H7+I7+J7+K7+N7+P7+R7</f>
        <v>24</v>
      </c>
      <c r="U7" s="150">
        <f>C7*24+M7*24+O7*24+Q7*24+T7</f>
        <v>672</v>
      </c>
      <c r="V7" s="150">
        <f>U7/24</f>
        <v>28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63+26</f>
        <v>89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1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2160</v>
      </c>
      <c r="V8" s="161">
        <f>U8/24</f>
        <v>90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>
        <v>1</v>
      </c>
      <c r="P9" s="163"/>
      <c r="Q9" s="163">
        <v>1</v>
      </c>
      <c r="R9" s="164"/>
      <c r="S9" s="147"/>
      <c r="T9" s="167">
        <f t="shared" si="0"/>
        <v>0</v>
      </c>
      <c r="U9" s="168">
        <f t="shared" ref="U9:U11" si="2">C9*24+M9*24+O9*24+Q9*24+T9</f>
        <v>48</v>
      </c>
      <c r="V9" s="168">
        <f t="shared" ref="V9:V11" si="3">U9/24</f>
        <v>2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42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>
        <v>4</v>
      </c>
      <c r="R10" s="164"/>
      <c r="S10" s="147"/>
      <c r="T10" s="150">
        <f t="shared" si="0"/>
        <v>0</v>
      </c>
      <c r="U10" s="150">
        <f t="shared" si="2"/>
        <v>1104</v>
      </c>
      <c r="V10" s="150">
        <f t="shared" si="3"/>
        <v>46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72+1080+54+1440+576</f>
        <v>3222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4</v>
      </c>
      <c r="N12" s="156">
        <v>18</v>
      </c>
      <c r="O12" s="157">
        <v>12</v>
      </c>
      <c r="P12" s="158">
        <v>11</v>
      </c>
      <c r="Q12" s="158">
        <v>17</v>
      </c>
      <c r="R12" s="159">
        <v>18</v>
      </c>
      <c r="S12" s="154"/>
      <c r="T12" s="150">
        <f t="shared" si="0"/>
        <v>47</v>
      </c>
      <c r="U12" s="161">
        <f>C12*24+M12*24+O12*24+Q12*24+T12</f>
        <v>78167</v>
      </c>
      <c r="V12" s="161">
        <f>U12/24</f>
        <v>3256.9583333333335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42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>
        <v>2</v>
      </c>
      <c r="N23" s="166"/>
      <c r="O23" s="162">
        <v>1</v>
      </c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1128</v>
      </c>
      <c r="V23" s="167">
        <f t="shared" si="5"/>
        <v>47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63+10</f>
        <v>73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1763</v>
      </c>
      <c r="V25" s="167">
        <f t="shared" si="5"/>
        <v>73.458333333333329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127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2</v>
      </c>
      <c r="P28" s="163"/>
      <c r="Q28" s="163">
        <v>3</v>
      </c>
      <c r="R28" s="164"/>
      <c r="S28" s="147"/>
      <c r="T28" s="150">
        <f t="shared" si="0"/>
        <v>0</v>
      </c>
      <c r="U28" s="167">
        <f t="shared" si="4"/>
        <v>3168</v>
      </c>
      <c r="V28" s="167">
        <f t="shared" si="5"/>
        <v>132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58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>
        <v>2</v>
      </c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>
        <v>4</v>
      </c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>
        <v>1</v>
      </c>
      <c r="P31" s="163"/>
      <c r="Q31" s="163"/>
      <c r="R31" s="164"/>
      <c r="S31" s="147"/>
      <c r="T31" s="150">
        <f t="shared" si="0"/>
        <v>0</v>
      </c>
      <c r="U31" s="167">
        <f t="shared" si="4"/>
        <v>120</v>
      </c>
      <c r="V31" s="167">
        <f t="shared" si="5"/>
        <v>5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9+72+72</f>
        <v>153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/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3821</v>
      </c>
      <c r="V34" s="167">
        <f t="shared" si="5"/>
        <v>159.20833333333334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2376+972+72+864</f>
        <v>4284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>
        <v>9</v>
      </c>
      <c r="N37" s="156"/>
      <c r="O37" s="157">
        <v>29</v>
      </c>
      <c r="P37" s="158"/>
      <c r="Q37" s="158">
        <v>75</v>
      </c>
      <c r="R37" s="159"/>
      <c r="S37" s="154"/>
      <c r="T37" s="169">
        <f t="shared" si="0"/>
        <v>8</v>
      </c>
      <c r="U37" s="169">
        <f>C37*6+M37*6+O37*6+Q37*6+T37</f>
        <v>26390</v>
      </c>
      <c r="V37" s="169">
        <f>U37/6</f>
        <v>4398.333333333333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2+2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4</v>
      </c>
      <c r="I40" s="151"/>
      <c r="J40" s="152">
        <v>5</v>
      </c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1440+70</f>
        <v>1510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6</v>
      </c>
      <c r="N41" s="181"/>
      <c r="O41" s="176">
        <v>10</v>
      </c>
      <c r="P41" s="177"/>
      <c r="Q41" s="177">
        <v>18</v>
      </c>
      <c r="R41" s="178"/>
      <c r="S41" s="179"/>
      <c r="T41" s="182">
        <f t="shared" si="0"/>
        <v>0</v>
      </c>
      <c r="U41" s="182">
        <f>C41*12+M41*12+O41*12+Q41*12+T41</f>
        <v>18528</v>
      </c>
      <c r="V41" s="182">
        <f>U41/12</f>
        <v>1544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3888+5292+8208+5400+7128+864</f>
        <v>30780</v>
      </c>
      <c r="D43" s="157"/>
      <c r="E43" s="157"/>
      <c r="F43" s="157"/>
      <c r="G43" s="157"/>
      <c r="H43" s="157">
        <v>2</v>
      </c>
      <c r="I43" s="157">
        <v>7</v>
      </c>
      <c r="J43" s="158">
        <f>8*6+1</f>
        <v>49</v>
      </c>
      <c r="K43" s="159">
        <f>87*6</f>
        <v>522</v>
      </c>
      <c r="L43" s="154"/>
      <c r="M43" s="155">
        <v>4</v>
      </c>
      <c r="N43" s="156"/>
      <c r="O43" s="157">
        <v>332</v>
      </c>
      <c r="P43" s="158"/>
      <c r="Q43" s="158">
        <v>406</v>
      </c>
      <c r="R43" s="159"/>
      <c r="S43" s="154"/>
      <c r="T43" s="169">
        <f t="shared" ref="T43" si="6">H43+I43+J43+K43+N43+P43+R43</f>
        <v>580</v>
      </c>
      <c r="U43" s="169">
        <f>C43*6+M43*6+O43*6+Q43*6+T43</f>
        <v>189712</v>
      </c>
      <c r="V43" s="169">
        <f>U43/6</f>
        <v>31618.666666666668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24+44+2268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5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14134</v>
      </c>
      <c r="V47" s="169">
        <f>U47/6</f>
        <v>2355.6666666666665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43435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49</v>
      </c>
      <c r="I58" s="54">
        <f t="shared" si="11"/>
        <v>9</v>
      </c>
      <c r="J58" s="54">
        <f t="shared" si="11"/>
        <v>54</v>
      </c>
      <c r="K58" s="54">
        <f t="shared" si="11"/>
        <v>558</v>
      </c>
      <c r="M58" s="53">
        <f t="shared" ref="M58:R58" si="12">SUM(M7:M57)</f>
        <v>32</v>
      </c>
      <c r="N58" s="53">
        <f t="shared" si="12"/>
        <v>30</v>
      </c>
      <c r="O58" s="53">
        <f t="shared" si="12"/>
        <v>398</v>
      </c>
      <c r="P58" s="53">
        <f t="shared" si="12"/>
        <v>51</v>
      </c>
      <c r="Q58" s="53">
        <f t="shared" si="12"/>
        <v>544</v>
      </c>
      <c r="R58" s="53">
        <f t="shared" si="12"/>
        <v>18</v>
      </c>
      <c r="S58" s="147"/>
      <c r="T58" s="51">
        <f>SUM(T7:T57)</f>
        <v>769</v>
      </c>
      <c r="U58" s="51">
        <f>SUM(U7:U57)</f>
        <v>358531</v>
      </c>
      <c r="V58" s="186">
        <f>SUM(V7:V57)</f>
        <v>44515.791666666664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370E7-AE3E-4115-AA82-9A126A8EA922}">
  <sheetPr>
    <pageSetUpPr fitToPage="1"/>
  </sheetPr>
  <dimension ref="A1:BB81"/>
  <sheetViews>
    <sheetView tabSelected="1" zoomScaleNormal="100" zoomScaleSheetLayoutView="115" workbookViewId="0">
      <selection activeCell="T60" sqref="T6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104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87"/>
      <c r="Q5" s="187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7"/>
      <c r="K6" s="89"/>
      <c r="M6" s="87"/>
      <c r="N6" s="118"/>
      <c r="O6" s="92"/>
      <c r="P6" s="187"/>
      <c r="Q6" s="18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23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/>
      <c r="N7" s="149"/>
      <c r="O7" s="144">
        <v>2</v>
      </c>
      <c r="P7" s="145">
        <v>12</v>
      </c>
      <c r="Q7" s="145">
        <v>2</v>
      </c>
      <c r="R7" s="146"/>
      <c r="S7" s="147"/>
      <c r="T7" s="150">
        <f>H7+I7+J7+K7+N7+P7+R7</f>
        <v>24</v>
      </c>
      <c r="U7" s="150">
        <f>C7*24+M7*24+O7*24+Q7*24+T7</f>
        <v>672</v>
      </c>
      <c r="V7" s="150">
        <f>U7/24</f>
        <v>28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63+26</f>
        <v>89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1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2160</v>
      </c>
      <c r="V8" s="161">
        <f>U8/24</f>
        <v>90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>
        <v>10</v>
      </c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>
        <v>1</v>
      </c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264</v>
      </c>
      <c r="V9" s="168">
        <f t="shared" ref="V9:V11" si="3">U9/24</f>
        <v>11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42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1008</v>
      </c>
      <c r="V10" s="150">
        <f t="shared" si="3"/>
        <v>42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72+1080+23+1440+576</f>
        <v>3191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16</v>
      </c>
      <c r="N12" s="156">
        <v>18</v>
      </c>
      <c r="O12" s="157">
        <v>7</v>
      </c>
      <c r="P12" s="158">
        <v>3</v>
      </c>
      <c r="Q12" s="158">
        <v>15</v>
      </c>
      <c r="R12" s="159">
        <v>4</v>
      </c>
      <c r="S12" s="154"/>
      <c r="T12" s="150">
        <f t="shared" si="0"/>
        <v>25</v>
      </c>
      <c r="U12" s="161">
        <f>C12*24+M12*24+O12*24+Q12*24+T12</f>
        <v>77521</v>
      </c>
      <c r="V12" s="161">
        <f>U12/24</f>
        <v>3230.0416666666665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42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>
        <v>2</v>
      </c>
      <c r="N23" s="166"/>
      <c r="O23" s="162">
        <v>1</v>
      </c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1128</v>
      </c>
      <c r="V23" s="167">
        <f t="shared" si="5"/>
        <v>47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v>63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1</v>
      </c>
      <c r="N25" s="166"/>
      <c r="O25" s="162"/>
      <c r="P25" s="163"/>
      <c r="Q25" s="163">
        <v>10</v>
      </c>
      <c r="R25" s="164"/>
      <c r="S25" s="147"/>
      <c r="T25" s="150">
        <f t="shared" si="0"/>
        <v>11</v>
      </c>
      <c r="U25" s="167">
        <f t="shared" si="4"/>
        <v>1787</v>
      </c>
      <c r="V25" s="167">
        <f t="shared" si="5"/>
        <v>74.458333333333329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f>64+43</f>
        <v>107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2</v>
      </c>
      <c r="P28" s="163"/>
      <c r="Q28" s="163">
        <v>20</v>
      </c>
      <c r="R28" s="164"/>
      <c r="S28" s="147"/>
      <c r="T28" s="150">
        <f t="shared" si="0"/>
        <v>0</v>
      </c>
      <c r="U28" s="167">
        <f t="shared" si="4"/>
        <v>3096</v>
      </c>
      <c r="V28" s="167">
        <f t="shared" si="5"/>
        <v>129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58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>
        <v>2</v>
      </c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>
        <v>4</v>
      </c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>
        <v>1</v>
      </c>
      <c r="P31" s="163"/>
      <c r="Q31" s="163"/>
      <c r="R31" s="164"/>
      <c r="S31" s="147"/>
      <c r="T31" s="150">
        <f t="shared" si="0"/>
        <v>0</v>
      </c>
      <c r="U31" s="167">
        <f t="shared" si="4"/>
        <v>120</v>
      </c>
      <c r="V31" s="167">
        <f t="shared" si="5"/>
        <v>5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9+72+72</f>
        <v>153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/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3821</v>
      </c>
      <c r="V34" s="167">
        <f t="shared" si="5"/>
        <v>159.20833333333334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698+2376+864+756</f>
        <v>4694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>
        <v>110</v>
      </c>
      <c r="N37" s="156"/>
      <c r="O37" s="157">
        <v>15</v>
      </c>
      <c r="P37" s="158"/>
      <c r="Q37" s="158">
        <v>109</v>
      </c>
      <c r="R37" s="159"/>
      <c r="S37" s="154"/>
      <c r="T37" s="169">
        <f t="shared" si="0"/>
        <v>8</v>
      </c>
      <c r="U37" s="169">
        <f>C37*6+M37*6+O37*6+Q37*6+T37</f>
        <v>29576</v>
      </c>
      <c r="V37" s="169">
        <f>U37/6</f>
        <v>4929.333333333333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2+2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4</v>
      </c>
      <c r="I40" s="151"/>
      <c r="J40" s="152"/>
      <c r="K40" s="153">
        <v>20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1440+70</f>
        <v>1510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1</v>
      </c>
      <c r="N41" s="181"/>
      <c r="O41" s="176"/>
      <c r="P41" s="177"/>
      <c r="Q41" s="177">
        <v>16</v>
      </c>
      <c r="R41" s="178"/>
      <c r="S41" s="179"/>
      <c r="T41" s="182">
        <f t="shared" si="0"/>
        <v>0</v>
      </c>
      <c r="U41" s="182">
        <f>C41*12+M41*12+O41*12+Q41*12+T41</f>
        <v>18324</v>
      </c>
      <c r="V41" s="182">
        <f>U41/12</f>
        <v>1527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1028+3024+102+5940+8424+5400+7128</f>
        <v>31046</v>
      </c>
      <c r="D43" s="157"/>
      <c r="E43" s="157"/>
      <c r="F43" s="157"/>
      <c r="G43" s="157"/>
      <c r="H43" s="157">
        <v>2</v>
      </c>
      <c r="I43" s="157">
        <v>7</v>
      </c>
      <c r="J43" s="158">
        <f>6+2</f>
        <v>8</v>
      </c>
      <c r="K43" s="159">
        <f>93*6+5</f>
        <v>563</v>
      </c>
      <c r="L43" s="154"/>
      <c r="M43" s="155">
        <v>248</v>
      </c>
      <c r="N43" s="156"/>
      <c r="O43" s="157">
        <v>68</v>
      </c>
      <c r="P43" s="158"/>
      <c r="Q43" s="158">
        <v>372</v>
      </c>
      <c r="R43" s="159"/>
      <c r="S43" s="154"/>
      <c r="T43" s="169">
        <f t="shared" ref="T43" si="6">H43+I43+J43+K43+N43+P43+R43</f>
        <v>580</v>
      </c>
      <c r="U43" s="169">
        <f>C43*6+M43*6+O43*6+Q43*6+T43</f>
        <v>190984</v>
      </c>
      <c r="V43" s="169">
        <f>U43/6</f>
        <v>31830.666666666668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5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14134</v>
      </c>
      <c r="V47" s="169">
        <f>U47/6</f>
        <v>2355.6666666666665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44060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49</v>
      </c>
      <c r="I58" s="54">
        <f t="shared" si="11"/>
        <v>9</v>
      </c>
      <c r="J58" s="54">
        <f t="shared" si="11"/>
        <v>8</v>
      </c>
      <c r="K58" s="54">
        <f t="shared" si="11"/>
        <v>604</v>
      </c>
      <c r="M58" s="53">
        <f t="shared" ref="M58:R58" si="12">SUM(M7:M57)</f>
        <v>385</v>
      </c>
      <c r="N58" s="53">
        <f t="shared" si="12"/>
        <v>30</v>
      </c>
      <c r="O58" s="53">
        <f t="shared" si="12"/>
        <v>105</v>
      </c>
      <c r="P58" s="53">
        <f t="shared" si="12"/>
        <v>43</v>
      </c>
      <c r="Q58" s="53">
        <f t="shared" si="12"/>
        <v>562</v>
      </c>
      <c r="R58" s="53">
        <f t="shared" si="12"/>
        <v>4</v>
      </c>
      <c r="S58" s="147"/>
      <c r="T58" s="51">
        <f>SUM(T7:T57)</f>
        <v>747</v>
      </c>
      <c r="U58" s="186">
        <f>SUM(U7:U57)</f>
        <v>362211</v>
      </c>
      <c r="V58" s="51">
        <f>SUM(V7:V57)</f>
        <v>45217.875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25</vt:i4>
      </vt:variant>
    </vt:vector>
  </HeadingPairs>
  <TitlesOfParts>
    <vt:vector size="50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02-11-2026</vt:lpstr>
      <vt:lpstr>02-12-2026</vt:lpstr>
      <vt:lpstr>02-13-2026</vt:lpstr>
      <vt:lpstr>02-14-2026</vt:lpstr>
      <vt:lpstr>02-16-2026</vt:lpstr>
      <vt:lpstr>EXAMPLE</vt:lpstr>
      <vt:lpstr>02-17-2026</vt:lpstr>
      <vt:lpstr>02-18-2026</vt:lpstr>
      <vt:lpstr>02-19-2026</vt:lpstr>
      <vt:lpstr>02-20-2026__</vt:lpstr>
      <vt:lpstr>02-21-2026</vt:lpstr>
      <vt:lpstr>02-23-2026</vt:lpstr>
      <vt:lpstr>02-25-2026</vt:lpstr>
      <vt:lpstr>02-26-2026</vt:lpstr>
      <vt:lpstr>02-27-2026</vt:lpstr>
      <vt:lpstr>02-28-2026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'02-11-2026'!Print_Area</vt:lpstr>
      <vt:lpstr>'02-12-2026'!Print_Area</vt:lpstr>
      <vt:lpstr>'02-13-2026'!Print_Area</vt:lpstr>
      <vt:lpstr>'02-14-2026'!Print_Area</vt:lpstr>
      <vt:lpstr>'02-16-2026'!Print_Area</vt:lpstr>
      <vt:lpstr>'02-17-2026'!Print_Area</vt:lpstr>
      <vt:lpstr>'02-18-2026'!Print_Area</vt:lpstr>
      <vt:lpstr>'02-19-2026'!Print_Area</vt:lpstr>
      <vt:lpstr>'02-20-2026__'!Print_Area</vt:lpstr>
      <vt:lpstr>'02-21-2026'!Print_Area</vt:lpstr>
      <vt:lpstr>'02-23-2026'!Print_Area</vt:lpstr>
      <vt:lpstr>'02-25-2026'!Print_Area</vt:lpstr>
      <vt:lpstr>'02-26-2026'!Print_Area</vt:lpstr>
      <vt:lpstr>'02-27-2026'!Print_Area</vt:lpstr>
      <vt:lpstr>'02-28-2026'!Print_Area</vt:lpstr>
      <vt:lpstr>'COUNT SHEET'!Print_Area</vt:lpstr>
      <vt:lpstr>'COUNT SHEET SAMPLE'!Print_Area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2026-03-02T01:36:36Z</dcterms:modified>
</cp:coreProperties>
</file>