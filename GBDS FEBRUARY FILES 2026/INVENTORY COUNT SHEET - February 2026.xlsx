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95D8DC9-D792-4BA6-ABA7-FB9B03E1BBB2}" xr6:coauthVersionLast="45" xr6:coauthVersionMax="45" xr10:uidLastSave="{00000000-0000-0000-0000-000000000000}"/>
  <bookViews>
    <workbookView xWindow="-120" yWindow="-120" windowWidth="29040" windowHeight="15840" firstSheet="12" activeTab="20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__" sheetId="28" r:id="rId19"/>
    <sheet name="02-21-2026" sheetId="29" r:id="rId20"/>
    <sheet name="02-23-2026" sheetId="30" r:id="rId21"/>
    <sheet name="02-25-2026" sheetId="31" r:id="rId22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'02-20-2026__'!$A$1:$W$59</definedName>
    <definedName name="_xlnm.Print_Area" localSheetId="19">'02-21-2026'!$A$1:$W$59</definedName>
    <definedName name="_xlnm.Print_Area" localSheetId="20">'02-23-2026'!$A$1:$W$59</definedName>
    <definedName name="_xlnm.Print_Area" localSheetId="21">'02-25-2026'!$A$1:$W$59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30" l="1"/>
  <c r="K43" i="30"/>
  <c r="J43" i="30"/>
  <c r="C43" i="30"/>
  <c r="C41" i="30"/>
  <c r="C40" i="30"/>
  <c r="C37" i="30"/>
  <c r="C34" i="30"/>
  <c r="C28" i="30"/>
  <c r="C25" i="30"/>
  <c r="C12" i="30"/>
  <c r="C8" i="30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58" i="31" s="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U11" i="31"/>
  <c r="V11" i="31" s="1"/>
  <c r="T11" i="3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U7" i="31"/>
  <c r="T7" i="31"/>
  <c r="C47" i="29"/>
  <c r="K43" i="29"/>
  <c r="J43" i="29"/>
  <c r="C43" i="29"/>
  <c r="C41" i="29"/>
  <c r="C40" i="29"/>
  <c r="C38" i="29"/>
  <c r="C37" i="29"/>
  <c r="C34" i="29"/>
  <c r="C25" i="29"/>
  <c r="C12" i="29"/>
  <c r="C8" i="29"/>
  <c r="U16" i="31" l="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U51" i="30"/>
  <c r="V51" i="30" s="1"/>
  <c r="T51" i="30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U36" i="30"/>
  <c r="V36" i="30" s="1"/>
  <c r="T36" i="30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U30" i="30"/>
  <c r="V30" i="30" s="1"/>
  <c r="T30" i="30"/>
  <c r="T29" i="30"/>
  <c r="U29" i="30" s="1"/>
  <c r="V29" i="30" s="1"/>
  <c r="U28" i="30"/>
  <c r="V28" i="30" s="1"/>
  <c r="T28" i="30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U21" i="30"/>
  <c r="V21" i="30" s="1"/>
  <c r="T21" i="30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U16" i="30"/>
  <c r="V16" i="30" s="1"/>
  <c r="T16" i="30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U53" i="29"/>
  <c r="V53" i="29" s="1"/>
  <c r="T53" i="29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U45" i="29"/>
  <c r="V45" i="29" s="1"/>
  <c r="T45" i="29"/>
  <c r="T43" i="29"/>
  <c r="U43" i="29" s="1"/>
  <c r="V43" i="29" s="1"/>
  <c r="T41" i="29"/>
  <c r="U41" i="29" s="1"/>
  <c r="V41" i="29" s="1"/>
  <c r="T40" i="29"/>
  <c r="U40" i="29" s="1"/>
  <c r="V40" i="29" s="1"/>
  <c r="U38" i="29"/>
  <c r="V38" i="29" s="1"/>
  <c r="T38" i="29"/>
  <c r="T37" i="29"/>
  <c r="U37" i="29" s="1"/>
  <c r="V37" i="29" s="1"/>
  <c r="U36" i="29"/>
  <c r="V36" i="29" s="1"/>
  <c r="T36" i="29"/>
  <c r="T35" i="29"/>
  <c r="U35" i="29" s="1"/>
  <c r="V35" i="29" s="1"/>
  <c r="T34" i="29"/>
  <c r="U34" i="29" s="1"/>
  <c r="V34" i="29" s="1"/>
  <c r="T33" i="29"/>
  <c r="U33" i="29" s="1"/>
  <c r="V33" i="29" s="1"/>
  <c r="U32" i="29"/>
  <c r="V32" i="29" s="1"/>
  <c r="T32" i="29"/>
  <c r="T31" i="29"/>
  <c r="U31" i="29" s="1"/>
  <c r="V31" i="29" s="1"/>
  <c r="U30" i="29"/>
  <c r="V30" i="29" s="1"/>
  <c r="T30" i="29"/>
  <c r="T29" i="29"/>
  <c r="U29" i="29" s="1"/>
  <c r="V29" i="29" s="1"/>
  <c r="T28" i="29"/>
  <c r="U28" i="29" s="1"/>
  <c r="V28" i="29" s="1"/>
  <c r="U26" i="29"/>
  <c r="V26" i="29" s="1"/>
  <c r="T26" i="29"/>
  <c r="AY25" i="29"/>
  <c r="T25" i="29"/>
  <c r="U25" i="29" s="1"/>
  <c r="V25" i="29" s="1"/>
  <c r="U24" i="29"/>
  <c r="V24" i="29" s="1"/>
  <c r="T24" i="29"/>
  <c r="T23" i="29"/>
  <c r="U23" i="29" s="1"/>
  <c r="V23" i="29" s="1"/>
  <c r="T22" i="29"/>
  <c r="U22" i="29" s="1"/>
  <c r="V22" i="29" s="1"/>
  <c r="U21" i="29"/>
  <c r="V21" i="29" s="1"/>
  <c r="T21" i="29"/>
  <c r="U20" i="29"/>
  <c r="V20" i="29" s="1"/>
  <c r="T20" i="29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U18" i="29"/>
  <c r="V18" i="29" s="1"/>
  <c r="T18" i="29"/>
  <c r="T17" i="29"/>
  <c r="U17" i="29" s="1"/>
  <c r="V17" i="29" s="1"/>
  <c r="T16" i="29"/>
  <c r="U16" i="29" s="1"/>
  <c r="V16" i="29" s="1"/>
  <c r="T15" i="29"/>
  <c r="U15" i="29" s="1"/>
  <c r="V15" i="29" s="1"/>
  <c r="U14" i="29"/>
  <c r="V14" i="29" s="1"/>
  <c r="T14" i="29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U58" i="31" l="1"/>
  <c r="V58" i="31"/>
  <c r="T58" i="29"/>
  <c r="U58" i="30"/>
  <c r="V7" i="30"/>
  <c r="V58" i="30" s="1"/>
  <c r="T58" i="30"/>
  <c r="U7" i="29"/>
  <c r="R58" i="28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V7" i="29" l="1"/>
  <c r="V58" i="29" s="1"/>
  <c r="U58" i="29"/>
  <c r="T58" i="28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<sst xmlns="http://schemas.openxmlformats.org/spreadsheetml/2006/main" count="1823" uniqueCount="102">
  <si>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</si>
  <si>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</si>
  <si>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</si>
  <si>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</si>
  <si>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</si>
  <si>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</si>
  <si>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</si>
  <si>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</si>
  <si>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</si>
  <si>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</si>
  <si>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</si>
  <si>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</si>
  <si>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</si>
  <si>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</si>
  <si>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</si>
  <si>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</si>
  <si>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</si>
  <si>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</si>
  <si>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</si>
  <si>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</si>
  <si>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</si>
  <si>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</si>
  <si>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</si>
  <si>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</si>
  <si>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</si>
  <si>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</si>
  <si>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</si>
  <si>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</si>
  <si>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</si>
  <si>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</si>
  <si>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</si>
  <si>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</si>
  <si>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</si>
  <si>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</si>
  <si>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</si>
  <si>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</si>
  <si>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</si>
  <si>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</si>
  <si>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</si>
  <si>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</si>
  <si>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</si>
  <si>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</si>
  <si>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</si>
  <si>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</si>
  <si>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</si>
  <si>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</si>
  <si>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</si>
  <si>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</si>
  <si>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</si>
  <si>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</si>
  <si>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</si>
  <si>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</si>
  <si>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</si>
  <si>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</si>
  <si>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</si>
  <si>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</si>
  <si>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</si>
  <si>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</si>
  <si>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</si>
  <si>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</si>
  <si>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</si>
  <si>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</si>
  <si>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</si>
  <si>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</si>
  <si>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</si>
  <si>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</si>
  <si>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</si>
  <si>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</si>
  <si>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</si>
  <si>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</si>
  <si>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</si>
  <si>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</si>
  <si>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</si>
  <si>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</si>
  <si>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</si>
  <si>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</si>
  <si>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</si>
  <si>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</si>
  <si>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</si>
  <si>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</si>
  <si>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</si>
  <si>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</si>
  <si>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</si>
  <si>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</si>
  <si>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</si>
  <si>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</si>
  <si>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</si>
  <si>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</si>
  <si>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</si>
  <si>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</si>
  <si>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</si>
  <si>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</si>
  <si>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</si>
  <si>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</si>
  <si>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</si>
  <si>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</si>
  <si>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</si>
  <si>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</si>
  <si>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</si>
  <si>
    <t>DATE: 02/21/2026</t>
  </si>
  <si>
    <t>DATE: 02/23/2026</t>
  </si>
  <si>
    <t>DATE: 02/25/2026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</si>
</sst>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87" t="s">
        <v>39</v>
      </c>
      <c r="B21" s="184" t="s">
        <v>18</v>
      </c>
      <c r="C21" s="185"/>
      <c r="D21" s="186"/>
      <c r="E21" s="184" t="s">
        <v>40</v>
      </c>
      <c r="F21" s="185"/>
      <c r="G21" s="186"/>
      <c r="H21" s="184" t="s">
        <v>41</v>
      </c>
      <c r="I21" s="185"/>
      <c r="J21" s="186"/>
      <c r="K21" s="184" t="s">
        <v>42</v>
      </c>
      <c r="L21" s="185"/>
      <c r="M21" s="186"/>
      <c r="N21" s="184" t="s">
        <v>43</v>
      </c>
      <c r="O21" s="185"/>
      <c r="P21" s="186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88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94" t="s">
        <v>53</v>
      </c>
      <c r="I1" s="194"/>
      <c r="J1" s="194"/>
      <c r="K1" s="194"/>
      <c r="L1" s="194"/>
      <c r="M1" s="194"/>
      <c r="N1" s="194"/>
      <c r="O1" s="194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90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3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topLeftCell="A31"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7"/>
      <c r="Q5" s="127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8"/>
      <c r="Q5" s="12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9"/>
      <c r="Q5" s="12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9"/>
      <c r="Q5" s="12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08"/>
      <c r="Q5" s="108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29"/>
      <c r="Q5" s="12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91" t="s">
        <v>49</v>
      </c>
      <c r="D59" s="192"/>
      <c r="E59" s="192"/>
      <c r="F59" s="192"/>
      <c r="G59" s="192"/>
      <c r="H59" s="192"/>
      <c r="I59" s="192"/>
      <c r="J59" s="192"/>
      <c r="K59" s="193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30"/>
      <c r="Q5" s="130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31"/>
      <c r="Q5" s="131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0"/>
      <c r="Q5" s="140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39"/>
      <c r="Q5" s="139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1"/>
      <c r="Q5" s="141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2</v>
      </c>
      <c r="N7" s="149">
        <v>12</v>
      </c>
      <c r="O7" s="144">
        <v>3</v>
      </c>
      <c r="P7" s="145"/>
      <c r="Q7" s="145">
        <v>2</v>
      </c>
      <c r="R7" s="146"/>
      <c r="S7" s="147"/>
      <c r="T7" s="150">
        <f>H7+I7+J7+K7+N7+P7+R7</f>
        <v>24</v>
      </c>
      <c r="U7" s="150">
        <f>C7*24+M7*24+O7*24+Q7*24+T7</f>
        <v>792</v>
      </c>
      <c r="V7" s="150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63+30</f>
        <v>93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2256</v>
      </c>
      <c r="V8" s="161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>
        <v>4</v>
      </c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1392</v>
      </c>
      <c r="V10" s="150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72+1296+53+1440+576</f>
        <v>3437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14</v>
      </c>
      <c r="N12" s="156"/>
      <c r="O12" s="157">
        <v>8</v>
      </c>
      <c r="P12" s="158">
        <v>2</v>
      </c>
      <c r="Q12" s="158">
        <v>16</v>
      </c>
      <c r="R12" s="159">
        <v>8</v>
      </c>
      <c r="S12" s="154"/>
      <c r="T12" s="150">
        <f t="shared" si="0"/>
        <v>10</v>
      </c>
      <c r="U12" s="161">
        <f>C12*24+M12*24+O12*24+Q12*24+T12</f>
        <v>83410</v>
      </c>
      <c r="V12" s="161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63+19+1</f>
        <v>83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>
        <v>12</v>
      </c>
      <c r="O25" s="162"/>
      <c r="P25" s="163"/>
      <c r="Q25" s="163">
        <v>2</v>
      </c>
      <c r="R25" s="164"/>
      <c r="S25" s="147"/>
      <c r="T25" s="150">
        <f t="shared" si="0"/>
        <v>23</v>
      </c>
      <c r="U25" s="167">
        <f t="shared" si="4"/>
        <v>2111</v>
      </c>
      <c r="V25" s="167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28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>
        <v>2</v>
      </c>
      <c r="N28" s="166"/>
      <c r="O28" s="162">
        <v>1</v>
      </c>
      <c r="P28" s="163"/>
      <c r="Q28" s="163">
        <v>2</v>
      </c>
      <c r="R28" s="164"/>
      <c r="S28" s="147"/>
      <c r="T28" s="150">
        <f t="shared" si="0"/>
        <v>0</v>
      </c>
      <c r="U28" s="167">
        <f t="shared" si="4"/>
        <v>792</v>
      </c>
      <c r="V28" s="167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72+19+6</f>
        <v>97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/>
      <c r="Q34" s="163">
        <v>3</v>
      </c>
      <c r="R34" s="164"/>
      <c r="S34" s="147"/>
      <c r="T34" s="150">
        <f t="shared" si="0"/>
        <v>17</v>
      </c>
      <c r="U34" s="167">
        <f t="shared" si="4"/>
        <v>2513</v>
      </c>
      <c r="V34" s="167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2376+1512+80</f>
        <v>3968</v>
      </c>
      <c r="D37" s="151"/>
      <c r="E37" s="151"/>
      <c r="F37" s="151"/>
      <c r="G37" s="151"/>
      <c r="H37" s="151">
        <v>2</v>
      </c>
      <c r="I37" s="151"/>
      <c r="J37" s="152">
        <v>4</v>
      </c>
      <c r="K37" s="153">
        <v>2</v>
      </c>
      <c r="L37" s="154"/>
      <c r="M37" s="155">
        <v>30</v>
      </c>
      <c r="N37" s="156"/>
      <c r="O37" s="157">
        <v>37</v>
      </c>
      <c r="P37" s="158"/>
      <c r="Q37" s="158">
        <v>121</v>
      </c>
      <c r="R37" s="159"/>
      <c r="S37" s="154"/>
      <c r="T37" s="169">
        <f t="shared" si="0"/>
        <v>8</v>
      </c>
      <c r="U37" s="169">
        <f>C37*6+M37*6+O37*6+Q37*6+T37</f>
        <v>24944</v>
      </c>
      <c r="V37" s="169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>
        <v>1</v>
      </c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693+1</f>
        <v>694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/>
      <c r="Q40" s="158"/>
      <c r="R40" s="159"/>
      <c r="S40" s="154"/>
      <c r="T40" s="169">
        <f t="shared" si="0"/>
        <v>24</v>
      </c>
      <c r="U40" s="169">
        <f>C40*24+M40*24+O40*24+Q40*24+T40</f>
        <v>16704</v>
      </c>
      <c r="V40" s="169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1536+76</f>
        <v>1612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19668</v>
      </c>
      <c r="V41" s="182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6048+3780+6372+5400+7128</f>
        <v>28728</v>
      </c>
      <c r="D43" s="157"/>
      <c r="E43" s="157"/>
      <c r="F43" s="157"/>
      <c r="G43" s="157"/>
      <c r="H43" s="157">
        <v>2</v>
      </c>
      <c r="I43" s="157">
        <v>6</v>
      </c>
      <c r="J43" s="158">
        <f>13*6+2</f>
        <v>80</v>
      </c>
      <c r="K43" s="159">
        <f>75*6+4</f>
        <v>454</v>
      </c>
      <c r="L43" s="154"/>
      <c r="M43" s="155">
        <v>325</v>
      </c>
      <c r="N43" s="156"/>
      <c r="O43" s="157">
        <v>218</v>
      </c>
      <c r="P43" s="158"/>
      <c r="Q43" s="158">
        <v>350</v>
      </c>
      <c r="R43" s="159"/>
      <c r="S43" s="154"/>
      <c r="T43" s="169">
        <f t="shared" ref="T43" si="6">H43+I43+J43+K43+N43+P43+R43</f>
        <v>542</v>
      </c>
      <c r="U43" s="169">
        <f>C43*6+M43*6+O43*6+Q43*6+T43</f>
        <v>178268</v>
      </c>
      <c r="V43" s="169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62">
        <f>24+2268+44</f>
        <v>2336</v>
      </c>
      <c r="D47" s="162"/>
      <c r="E47" s="162"/>
      <c r="F47" s="162"/>
      <c r="G47" s="162"/>
      <c r="H47" s="162"/>
      <c r="I47" s="162"/>
      <c r="J47" s="163"/>
      <c r="K47" s="164">
        <v>6</v>
      </c>
      <c r="L47" s="147"/>
      <c r="M47" s="165">
        <v>10</v>
      </c>
      <c r="N47" s="166"/>
      <c r="O47" s="162">
        <v>5</v>
      </c>
      <c r="P47" s="163">
        <v>5</v>
      </c>
      <c r="Q47" s="163">
        <v>10</v>
      </c>
      <c r="R47" s="164"/>
      <c r="S47" s="147"/>
      <c r="T47" s="167">
        <f t="shared" si="7"/>
        <v>11</v>
      </c>
      <c r="U47" s="167">
        <f>C47*6+M47*6+O47*6+Q47*6+T47</f>
        <v>14177</v>
      </c>
      <c r="V47" s="167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62">
        <v>34</v>
      </c>
      <c r="D51" s="162"/>
      <c r="E51" s="162"/>
      <c r="F51" s="162"/>
      <c r="G51" s="162"/>
      <c r="H51" s="162"/>
      <c r="I51" s="162"/>
      <c r="J51" s="163"/>
      <c r="K51" s="164"/>
      <c r="L51" s="147"/>
      <c r="M51" s="165"/>
      <c r="N51" s="166"/>
      <c r="O51" s="162"/>
      <c r="P51" s="163"/>
      <c r="Q51" s="163"/>
      <c r="R51" s="164"/>
      <c r="S51" s="147"/>
      <c r="T51" s="167">
        <f t="shared" si="7"/>
        <v>0</v>
      </c>
      <c r="U51" s="167">
        <f>C51*6+M51*6+O51*6+Q51*6+T51</f>
        <v>204</v>
      </c>
      <c r="V51" s="167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47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2"/>
      <c r="Q5" s="142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99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3"/>
      <c r="Q5" s="143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>
        <v>12</v>
      </c>
      <c r="O7" s="144">
        <v>3</v>
      </c>
      <c r="P7" s="145"/>
      <c r="Q7" s="145"/>
      <c r="R7" s="146"/>
      <c r="S7" s="147"/>
      <c r="T7" s="150">
        <f>H7+I7+J7+K7+N7+P7+R7</f>
        <v>24</v>
      </c>
      <c r="U7" s="150">
        <f>C7*24+M7*24+O7*24+Q7*24+T7</f>
        <v>720</v>
      </c>
      <c r="V7" s="150">
        <f>U7/24</f>
        <v>30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>
        <v>2</v>
      </c>
      <c r="R8" s="159"/>
      <c r="S8" s="154"/>
      <c r="T8" s="160">
        <f t="shared" ref="T8:T41" si="0">H8+I8+J8+K8+N8+P8+R8</f>
        <v>0</v>
      </c>
      <c r="U8" s="161">
        <f>C8*24+M8*24+O8*24+Q8*24+T8</f>
        <v>2232</v>
      </c>
      <c r="V8" s="161">
        <f>U8/24</f>
        <v>93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55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2</v>
      </c>
      <c r="P10" s="163"/>
      <c r="Q10" s="163"/>
      <c r="R10" s="164"/>
      <c r="S10" s="147"/>
      <c r="T10" s="150">
        <f t="shared" si="0"/>
        <v>0</v>
      </c>
      <c r="U10" s="150">
        <f t="shared" si="2"/>
        <v>1368</v>
      </c>
      <c r="V10" s="150">
        <f t="shared" si="3"/>
        <v>57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72+1224+51+1440+576</f>
        <v>3363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8</v>
      </c>
      <c r="N12" s="156">
        <v>18</v>
      </c>
      <c r="O12" s="157">
        <v>12</v>
      </c>
      <c r="P12" s="158"/>
      <c r="Q12" s="158">
        <v>20</v>
      </c>
      <c r="R12" s="159">
        <v>4</v>
      </c>
      <c r="S12" s="154"/>
      <c r="T12" s="150">
        <f t="shared" si="0"/>
        <v>22</v>
      </c>
      <c r="U12" s="161">
        <f>C12*24+M12*24+O12*24+Q12*24+T12</f>
        <v>81694</v>
      </c>
      <c r="V12" s="161">
        <f>U12/24</f>
        <v>3403.9166666666665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</f>
        <v>82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>
        <v>12</v>
      </c>
      <c r="O25" s="162">
        <v>1</v>
      </c>
      <c r="P25" s="163"/>
      <c r="Q25" s="163"/>
      <c r="R25" s="164"/>
      <c r="S25" s="147"/>
      <c r="T25" s="150">
        <f t="shared" si="0"/>
        <v>23</v>
      </c>
      <c r="U25" s="167">
        <f t="shared" si="4"/>
        <v>2015</v>
      </c>
      <c r="V25" s="167">
        <f t="shared" si="5"/>
        <v>83.958333333333329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5</v>
      </c>
      <c r="R28" s="164"/>
      <c r="S28" s="147"/>
      <c r="T28" s="150">
        <f t="shared" si="0"/>
        <v>0</v>
      </c>
      <c r="U28" s="167">
        <f t="shared" si="4"/>
        <v>552</v>
      </c>
      <c r="V28" s="167">
        <f t="shared" si="5"/>
        <v>23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20+70</f>
        <v>90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2357</v>
      </c>
      <c r="V34" s="167">
        <f t="shared" si="5"/>
        <v>98.208333333333329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2376+1404+25</f>
        <v>3805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33</v>
      </c>
      <c r="P37" s="158"/>
      <c r="Q37" s="158">
        <v>108</v>
      </c>
      <c r="R37" s="159"/>
      <c r="S37" s="154"/>
      <c r="T37" s="169">
        <f t="shared" si="0"/>
        <v>8</v>
      </c>
      <c r="U37" s="169">
        <f>C37*6+M37*6+O37*6+Q37*6+T37</f>
        <v>23684</v>
      </c>
      <c r="V37" s="169">
        <f>U37/6</f>
        <v>3947.3333333333335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630+61</f>
        <v>691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16692</v>
      </c>
      <c r="V40" s="169">
        <f>U40/24</f>
        <v>695.5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1536+28</f>
        <v>1564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>
        <v>10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19068</v>
      </c>
      <c r="V41" s="182">
        <f>U41/12</f>
        <v>1589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6048+1728+6372+5400+7128+1836</f>
        <v>28512</v>
      </c>
      <c r="D43" s="157"/>
      <c r="E43" s="157"/>
      <c r="F43" s="157"/>
      <c r="G43" s="157"/>
      <c r="H43" s="157">
        <v>1</v>
      </c>
      <c r="I43" s="157">
        <v>7</v>
      </c>
      <c r="J43" s="158">
        <f>3*6+4</f>
        <v>22</v>
      </c>
      <c r="K43" s="159">
        <f>87*6</f>
        <v>522</v>
      </c>
      <c r="L43" s="154"/>
      <c r="M43" s="155">
        <v>245</v>
      </c>
      <c r="N43" s="156"/>
      <c r="O43" s="157">
        <v>379</v>
      </c>
      <c r="P43" s="158"/>
      <c r="Q43" s="158">
        <v>432</v>
      </c>
      <c r="R43" s="159"/>
      <c r="S43" s="154"/>
      <c r="T43" s="169">
        <f t="shared" ref="T43" si="6">H43+I43+J43+K43+N43+P43+R43</f>
        <v>552</v>
      </c>
      <c r="U43" s="169">
        <f>C43*6+M43*6+O43*6+Q43*6+T43</f>
        <v>177960</v>
      </c>
      <c r="V43" s="169">
        <f>U43/6</f>
        <v>29660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9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14158</v>
      </c>
      <c r="V47" s="169">
        <f>U47/6</f>
        <v>2359.6666666666665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40813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53</v>
      </c>
      <c r="I58" s="54">
        <f t="shared" si="11"/>
        <v>9</v>
      </c>
      <c r="J58" s="54">
        <f t="shared" si="11"/>
        <v>22</v>
      </c>
      <c r="K58" s="54">
        <f t="shared" si="11"/>
        <v>558</v>
      </c>
      <c r="M58" s="53">
        <f t="shared" ref="M58:R58" si="12">SUM(M7:M57)</f>
        <v>265</v>
      </c>
      <c r="N58" s="53">
        <f t="shared" si="12"/>
        <v>54</v>
      </c>
      <c r="O58" s="53">
        <f t="shared" si="12"/>
        <v>447</v>
      </c>
      <c r="P58" s="53">
        <f t="shared" si="12"/>
        <v>28</v>
      </c>
      <c r="Q58" s="53">
        <f t="shared" si="12"/>
        <v>598</v>
      </c>
      <c r="R58" s="53">
        <f t="shared" si="12"/>
        <v>4</v>
      </c>
      <c r="S58" s="147"/>
      <c r="T58" s="51">
        <f>SUM(T7:T57)</f>
        <v>728</v>
      </c>
      <c r="U58" s="51">
        <f>SUM(U7:U57)</f>
        <v>346304</v>
      </c>
      <c r="V58" s="51">
        <f>SUM(V7:V57)</f>
        <v>42224.583333333336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100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43"/>
      <c r="Q5" s="143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708</v>
      </c>
      <c r="V7" s="150">
        <f>U7/24</f>
        <v>29.5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2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72+1224+26+1440+576</f>
        <v>3338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4</v>
      </c>
      <c r="O12" s="157">
        <v>2</v>
      </c>
      <c r="P12" s="158"/>
      <c r="Q12" s="158">
        <v>24</v>
      </c>
      <c r="R12" s="159">
        <v>13</v>
      </c>
      <c r="S12" s="154"/>
      <c r="T12" s="160">
        <f t="shared" si="0"/>
        <v>17</v>
      </c>
      <c r="U12" s="161">
        <f>C12*24+M12*24+O12*24+Q12*24+T12</f>
        <v>80849</v>
      </c>
      <c r="V12" s="161">
        <f>U12/24</f>
        <v>3368.7083333333335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67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46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63+15</f>
        <v>78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12+1</f>
        <v>13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408</v>
      </c>
      <c r="V28" s="167">
        <f t="shared" si="5"/>
        <v>17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60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2213</v>
      </c>
      <c r="V34" s="167">
        <f t="shared" si="5"/>
        <v>92.208333333333329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2376+1404+6</f>
        <v>3786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/>
      <c r="P37" s="158"/>
      <c r="Q37" s="158">
        <v>100</v>
      </c>
      <c r="R37" s="159"/>
      <c r="S37" s="154"/>
      <c r="T37" s="169">
        <f t="shared" si="0"/>
        <v>8</v>
      </c>
      <c r="U37" s="169">
        <f>C37*6+M37*6+O37*6+Q37*6+T37</f>
        <v>23324</v>
      </c>
      <c r="V37" s="169">
        <f>U37/6</f>
        <v>3887.3333333333335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>
        <v>1</v>
      </c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1536+17</f>
        <v>1553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1</v>
      </c>
      <c r="N41" s="181"/>
      <c r="O41" s="176">
        <v>9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18936</v>
      </c>
      <c r="V41" s="182">
        <f>U41/12</f>
        <v>1578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6048+1080+8208+5400+7128+108+45</f>
        <v>28017</v>
      </c>
      <c r="D43" s="157"/>
      <c r="E43" s="157"/>
      <c r="F43" s="157"/>
      <c r="G43" s="157"/>
      <c r="H43" s="157">
        <v>4</v>
      </c>
      <c r="I43" s="157">
        <v>7</v>
      </c>
      <c r="J43" s="158">
        <f>6*4</f>
        <v>24</v>
      </c>
      <c r="K43" s="159">
        <f>87*6</f>
        <v>522</v>
      </c>
      <c r="L43" s="154"/>
      <c r="M43" s="155">
        <v>4</v>
      </c>
      <c r="N43" s="156"/>
      <c r="O43" s="157">
        <v>57</v>
      </c>
      <c r="P43" s="158"/>
      <c r="Q43" s="158">
        <v>487</v>
      </c>
      <c r="R43" s="159"/>
      <c r="S43" s="154"/>
      <c r="T43" s="169">
        <f t="shared" ref="T43" si="6">H43+I43+J43+K43+N43+P43+R43</f>
        <v>557</v>
      </c>
      <c r="U43" s="169">
        <f>C43*6+M43*6+O43*6+Q43*6+T43</f>
        <v>171947</v>
      </c>
      <c r="V43" s="169">
        <f>U43/6</f>
        <v>28657.833333333332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40172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9</v>
      </c>
      <c r="J58" s="54">
        <f t="shared" si="11"/>
        <v>24</v>
      </c>
      <c r="K58" s="54">
        <f t="shared" si="11"/>
        <v>558</v>
      </c>
      <c r="M58" s="53">
        <f t="shared" ref="M58:R58" si="12">SUM(M7:M57)</f>
        <v>21</v>
      </c>
      <c r="N58" s="53">
        <f t="shared" si="12"/>
        <v>16</v>
      </c>
      <c r="O58" s="53">
        <f t="shared" si="12"/>
        <v>78</v>
      </c>
      <c r="P58" s="53">
        <f t="shared" si="12"/>
        <v>28</v>
      </c>
      <c r="Q58" s="53">
        <f t="shared" si="12"/>
        <v>650</v>
      </c>
      <c r="R58" s="53">
        <f t="shared" si="12"/>
        <v>13</v>
      </c>
      <c r="S58" s="147"/>
      <c r="T58" s="51">
        <f>SUM(T7:T57)</f>
        <v>704</v>
      </c>
      <c r="U58" s="51">
        <f>SUM(U7:U57)</f>
        <v>336716</v>
      </c>
      <c r="V58" s="51">
        <f>SUM(V7:V57)</f>
        <v>41022.208333333328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4" t="s">
        <v>53</v>
      </c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</row>
    <row r="2" spans="1:54" x14ac:dyDescent="0.25">
      <c r="B2" s="76" t="s">
        <v>101</v>
      </c>
    </row>
    <row r="3" spans="1:54" ht="19.5" thickBot="1" x14ac:dyDescent="0.3"/>
    <row r="4" spans="1:54" s="58" customFormat="1" ht="15.75" x14ac:dyDescent="0.25">
      <c r="B4" s="93" t="s">
        <v>63</v>
      </c>
      <c r="C4" s="189" t="s">
        <v>49</v>
      </c>
      <c r="D4" s="189"/>
      <c r="E4" s="189"/>
      <c r="F4" s="189"/>
      <c r="G4" s="189"/>
      <c r="H4" s="189"/>
      <c r="I4" s="189"/>
      <c r="J4" s="199"/>
      <c r="K4" s="190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0" t="s">
        <v>80</v>
      </c>
      <c r="U4" s="202" t="s">
        <v>79</v>
      </c>
      <c r="V4" s="19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97" t="s">
        <v>77</v>
      </c>
      <c r="K5" s="198"/>
      <c r="M5" s="87"/>
      <c r="N5" s="118"/>
      <c r="O5" s="92"/>
      <c r="P5" s="183"/>
      <c r="Q5" s="183"/>
      <c r="R5" s="89"/>
      <c r="S5" s="57"/>
      <c r="T5" s="201"/>
      <c r="U5" s="203"/>
      <c r="V5" s="19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3"/>
      <c r="K6" s="89"/>
      <c r="M6" s="87"/>
      <c r="N6" s="118"/>
      <c r="O6" s="92"/>
      <c r="P6" s="183"/>
      <c r="Q6" s="18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1" t="s">
        <v>49</v>
      </c>
      <c r="D60" s="192"/>
      <c r="E60" s="192"/>
      <c r="F60" s="192"/>
      <c r="G60" s="192"/>
      <c r="H60" s="192"/>
      <c r="I60" s="192"/>
      <c r="J60" s="192"/>
      <c r="K60" s="193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02-20-2026__</vt:lpstr>
      <vt:lpstr>02-21-2026</vt:lpstr>
      <vt:lpstr>02-23-2026</vt:lpstr>
      <vt:lpstr>02-25-2026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'02-20-2026__'!Print_Area</vt:lpstr>
      <vt:lpstr>'02-21-2026'!Print_Area</vt:lpstr>
      <vt:lpstr>'02-23-2026'!Print_Area</vt:lpstr>
      <vt:lpstr>'02-25-2026'!Print_Area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2026-02-23T01:51:18Z</dcterms:modified>
</cp:coreProperties>
</file>