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092D4B5-3648-4E67-877E-B7F353DBECCE}" xr6:coauthVersionLast="45" xr6:coauthVersionMax="45" xr10:uidLastSave="{00000000-0000-0000-0000-000000000000}"/>
  <bookViews>
    <workbookView xWindow="-120" yWindow="-120" windowWidth="29040" windowHeight="15840" firstSheet="6" activeTab="15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  <sheet name="02-16-2026" sheetId="22" r:id="rId14"/>
    <sheet name="EXAMPLE" sheetId="23" r:id="rId15"/>
    <sheet name="02-17-2026" sheetId="24" r:id="rId16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13">'02-16-2026'!$A$1:$W$59</definedName>
    <definedName name="_xlnm.Print_Area" localSheetId="15">'02-17-2026'!$A$1:$W$59</definedName>
    <definedName name="_xlnm.Print_Area" localSheetId="0">'COUNT SHEET'!$A$1:$AM$25</definedName>
    <definedName name="_xlnm.Print_Area" localSheetId="1">'COUNT SHEET SAMPLE'!$A$1:$Q$88</definedName>
    <definedName name="_xlnm.Print_Area" localSheetId="14">EXAMPLE!$A$1:$W$83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8" i="24" l="1"/>
  <c r="Q58" i="24"/>
  <c r="P58" i="24"/>
  <c r="O58" i="24"/>
  <c r="N58" i="24"/>
  <c r="M58" i="24"/>
  <c r="K58" i="24"/>
  <c r="J58" i="24"/>
  <c r="I58" i="24"/>
  <c r="H58" i="24"/>
  <c r="G58" i="24"/>
  <c r="F58" i="24"/>
  <c r="T54" i="24"/>
  <c r="U54" i="24" s="1"/>
  <c r="V54" i="24" s="1"/>
  <c r="T53" i="24"/>
  <c r="U53" i="24" s="1"/>
  <c r="V53" i="24" s="1"/>
  <c r="T52" i="24"/>
  <c r="U52" i="24" s="1"/>
  <c r="V52" i="24" s="1"/>
  <c r="T51" i="24"/>
  <c r="U51" i="24" s="1"/>
  <c r="V51" i="24" s="1"/>
  <c r="T50" i="24"/>
  <c r="U50" i="24" s="1"/>
  <c r="V50" i="24" s="1"/>
  <c r="T49" i="24"/>
  <c r="U49" i="24" s="1"/>
  <c r="V49" i="24" s="1"/>
  <c r="T48" i="24"/>
  <c r="U48" i="24" s="1"/>
  <c r="V48" i="24" s="1"/>
  <c r="T47" i="24"/>
  <c r="U47" i="24"/>
  <c r="V47" i="24" s="1"/>
  <c r="T46" i="24"/>
  <c r="U46" i="24" s="1"/>
  <c r="V46" i="24" s="1"/>
  <c r="T45" i="24"/>
  <c r="U45" i="24" s="1"/>
  <c r="V45" i="24" s="1"/>
  <c r="T43" i="24"/>
  <c r="U43" i="24" s="1"/>
  <c r="V43" i="24" s="1"/>
  <c r="T41" i="24"/>
  <c r="U41" i="24" s="1"/>
  <c r="V41" i="24" s="1"/>
  <c r="T40" i="24"/>
  <c r="U40" i="24" s="1"/>
  <c r="V40" i="24" s="1"/>
  <c r="T38" i="24"/>
  <c r="U38" i="24"/>
  <c r="V38" i="24" s="1"/>
  <c r="T37" i="24"/>
  <c r="U37" i="24" s="1"/>
  <c r="V37" i="24" s="1"/>
  <c r="T36" i="24"/>
  <c r="U36" i="24" s="1"/>
  <c r="V36" i="24" s="1"/>
  <c r="T35" i="24"/>
  <c r="U35" i="24" s="1"/>
  <c r="V35" i="24" s="1"/>
  <c r="T34" i="24"/>
  <c r="U34" i="24"/>
  <c r="V34" i="24" s="1"/>
  <c r="T33" i="24"/>
  <c r="U33" i="24" s="1"/>
  <c r="V33" i="24" s="1"/>
  <c r="T32" i="24"/>
  <c r="U32" i="24" s="1"/>
  <c r="V32" i="24" s="1"/>
  <c r="T31" i="24"/>
  <c r="U31" i="24" s="1"/>
  <c r="V31" i="24" s="1"/>
  <c r="T30" i="24"/>
  <c r="U30" i="24" s="1"/>
  <c r="V30" i="24" s="1"/>
  <c r="T29" i="24"/>
  <c r="U29" i="24" s="1"/>
  <c r="V29" i="24" s="1"/>
  <c r="T28" i="24"/>
  <c r="U28" i="24" s="1"/>
  <c r="V28" i="24" s="1"/>
  <c r="T26" i="24"/>
  <c r="U26" i="24" s="1"/>
  <c r="V26" i="24" s="1"/>
  <c r="AY25" i="24"/>
  <c r="T25" i="24"/>
  <c r="U25" i="24" s="1"/>
  <c r="V25" i="24" s="1"/>
  <c r="T24" i="24"/>
  <c r="U24" i="24" s="1"/>
  <c r="V24" i="24" s="1"/>
  <c r="T23" i="24"/>
  <c r="U23" i="24" s="1"/>
  <c r="V23" i="24" s="1"/>
  <c r="T22" i="24"/>
  <c r="U22" i="24" s="1"/>
  <c r="V22" i="24" s="1"/>
  <c r="T21" i="24"/>
  <c r="U21" i="24" s="1"/>
  <c r="V21" i="24" s="1"/>
  <c r="T20" i="24"/>
  <c r="U20" i="24" s="1"/>
  <c r="V20" i="24" s="1"/>
  <c r="A20" i="24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41" i="24" s="1"/>
  <c r="A42" i="24" s="1"/>
  <c r="A43" i="24" s="1"/>
  <c r="A44" i="24" s="1"/>
  <c r="A45" i="24" s="1"/>
  <c r="A46" i="24" s="1"/>
  <c r="A47" i="24" s="1"/>
  <c r="A48" i="24" s="1"/>
  <c r="A49" i="24" s="1"/>
  <c r="A50" i="24" s="1"/>
  <c r="A51" i="24" s="1"/>
  <c r="A52" i="24" s="1"/>
  <c r="A53" i="24" s="1"/>
  <c r="A54" i="24" s="1"/>
  <c r="A55" i="24" s="1"/>
  <c r="A56" i="24" s="1"/>
  <c r="A57" i="24" s="1"/>
  <c r="T19" i="24"/>
  <c r="U19" i="24" s="1"/>
  <c r="V19" i="24" s="1"/>
  <c r="T18" i="24"/>
  <c r="U18" i="24" s="1"/>
  <c r="V18" i="24" s="1"/>
  <c r="U17" i="24"/>
  <c r="V17" i="24" s="1"/>
  <c r="T17" i="24"/>
  <c r="T16" i="24"/>
  <c r="U16" i="24" s="1"/>
  <c r="V16" i="24" s="1"/>
  <c r="T15" i="24"/>
  <c r="U15" i="24" s="1"/>
  <c r="V15" i="24" s="1"/>
  <c r="T14" i="24"/>
  <c r="U14" i="24" s="1"/>
  <c r="V14" i="24" s="1"/>
  <c r="A14" i="24"/>
  <c r="A15" i="24" s="1"/>
  <c r="A16" i="24" s="1"/>
  <c r="A17" i="24" s="1"/>
  <c r="A18" i="24" s="1"/>
  <c r="T13" i="24"/>
  <c r="U13" i="24" s="1"/>
  <c r="V13" i="24" s="1"/>
  <c r="T12" i="24"/>
  <c r="U12" i="24"/>
  <c r="V12" i="24" s="1"/>
  <c r="T11" i="24"/>
  <c r="U11" i="24" s="1"/>
  <c r="V11" i="24" s="1"/>
  <c r="T10" i="24"/>
  <c r="U10" i="24" s="1"/>
  <c r="V10" i="24" s="1"/>
  <c r="T9" i="24"/>
  <c r="U9" i="24" s="1"/>
  <c r="V9" i="24" s="1"/>
  <c r="T8" i="24"/>
  <c r="U8" i="24"/>
  <c r="V8" i="24" s="1"/>
  <c r="A8" i="24"/>
  <c r="A9" i="24" s="1"/>
  <c r="A10" i="24" s="1"/>
  <c r="A11" i="24" s="1"/>
  <c r="T7" i="24"/>
  <c r="U7" i="24" s="1"/>
  <c r="T53" i="22"/>
  <c r="U53" i="22" s="1"/>
  <c r="V53" i="22" s="1"/>
  <c r="T50" i="22"/>
  <c r="U50" i="22" s="1"/>
  <c r="V50" i="22" s="1"/>
  <c r="T49" i="22"/>
  <c r="U49" i="22" s="1"/>
  <c r="V49" i="22" s="1"/>
  <c r="T51" i="22"/>
  <c r="U51" i="22" s="1"/>
  <c r="V51" i="22" s="1"/>
  <c r="V47" i="22"/>
  <c r="U47" i="22"/>
  <c r="K47" i="22"/>
  <c r="C47" i="22"/>
  <c r="K43" i="22"/>
  <c r="J43" i="22"/>
  <c r="C43" i="22"/>
  <c r="C41" i="22"/>
  <c r="C40" i="22"/>
  <c r="C38" i="22"/>
  <c r="C37" i="22"/>
  <c r="C34" i="22"/>
  <c r="C25" i="22"/>
  <c r="C12" i="22"/>
  <c r="C8" i="22"/>
  <c r="T58" i="24" l="1"/>
  <c r="U58" i="24"/>
  <c r="C58" i="24"/>
  <c r="V7" i="24"/>
  <c r="V58" i="24" s="1"/>
  <c r="R58" i="23"/>
  <c r="Q58" i="23"/>
  <c r="P58" i="23"/>
  <c r="O58" i="23"/>
  <c r="N58" i="23"/>
  <c r="M58" i="23"/>
  <c r="K58" i="23"/>
  <c r="J58" i="23"/>
  <c r="I58" i="23"/>
  <c r="H58" i="23"/>
  <c r="G58" i="23"/>
  <c r="F58" i="23"/>
  <c r="C58" i="23"/>
  <c r="T54" i="23"/>
  <c r="U54" i="23" s="1"/>
  <c r="V54" i="23" s="1"/>
  <c r="U53" i="23"/>
  <c r="V53" i="23" s="1"/>
  <c r="T53" i="23"/>
  <c r="U52" i="23"/>
  <c r="V52" i="23" s="1"/>
  <c r="T52" i="23"/>
  <c r="U51" i="23"/>
  <c r="V51" i="23" s="1"/>
  <c r="T51" i="23"/>
  <c r="T50" i="23"/>
  <c r="U50" i="23" s="1"/>
  <c r="V50" i="23" s="1"/>
  <c r="U49" i="23"/>
  <c r="V49" i="23" s="1"/>
  <c r="T49" i="23"/>
  <c r="U48" i="23"/>
  <c r="V48" i="23" s="1"/>
  <c r="T48" i="23"/>
  <c r="U47" i="23"/>
  <c r="V47" i="23" s="1"/>
  <c r="T47" i="23"/>
  <c r="T46" i="23"/>
  <c r="U46" i="23" s="1"/>
  <c r="V46" i="23" s="1"/>
  <c r="U45" i="23"/>
  <c r="V45" i="23" s="1"/>
  <c r="T45" i="23"/>
  <c r="T43" i="23"/>
  <c r="U43" i="23" s="1"/>
  <c r="V43" i="23" s="1"/>
  <c r="T41" i="23"/>
  <c r="U41" i="23" s="1"/>
  <c r="V41" i="23" s="1"/>
  <c r="U40" i="23"/>
  <c r="V40" i="23" s="1"/>
  <c r="T40" i="23"/>
  <c r="T38" i="23"/>
  <c r="U38" i="23" s="1"/>
  <c r="V38" i="23" s="1"/>
  <c r="T37" i="23"/>
  <c r="U37" i="23" s="1"/>
  <c r="V37" i="23" s="1"/>
  <c r="T36" i="23"/>
  <c r="U36" i="23" s="1"/>
  <c r="V36" i="23" s="1"/>
  <c r="T35" i="23"/>
  <c r="U35" i="23" s="1"/>
  <c r="V35" i="23" s="1"/>
  <c r="T34" i="23"/>
  <c r="U34" i="23" s="1"/>
  <c r="V34" i="23" s="1"/>
  <c r="T33" i="23"/>
  <c r="U33" i="23" s="1"/>
  <c r="V33" i="23" s="1"/>
  <c r="T32" i="23"/>
  <c r="U32" i="23" s="1"/>
  <c r="V32" i="23" s="1"/>
  <c r="T31" i="23"/>
  <c r="U31" i="23" s="1"/>
  <c r="V31" i="23" s="1"/>
  <c r="T30" i="23"/>
  <c r="U30" i="23" s="1"/>
  <c r="V30" i="23" s="1"/>
  <c r="T29" i="23"/>
  <c r="U29" i="23" s="1"/>
  <c r="V29" i="23" s="1"/>
  <c r="T28" i="23"/>
  <c r="U28" i="23" s="1"/>
  <c r="V28" i="23" s="1"/>
  <c r="U26" i="23"/>
  <c r="V26" i="23" s="1"/>
  <c r="T26" i="23"/>
  <c r="AY25" i="23"/>
  <c r="T25" i="23"/>
  <c r="U25" i="23" s="1"/>
  <c r="V25" i="23" s="1"/>
  <c r="V24" i="23"/>
  <c r="U24" i="23"/>
  <c r="T24" i="23"/>
  <c r="T23" i="23"/>
  <c r="U23" i="23" s="1"/>
  <c r="V23" i="23" s="1"/>
  <c r="T22" i="23"/>
  <c r="U22" i="23" s="1"/>
  <c r="V22" i="23" s="1"/>
  <c r="T21" i="23"/>
  <c r="U21" i="23" s="1"/>
  <c r="V21" i="23" s="1"/>
  <c r="A21" i="23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V20" i="23"/>
  <c r="U20" i="23"/>
  <c r="T20" i="23"/>
  <c r="A20" i="23"/>
  <c r="T19" i="23"/>
  <c r="U19" i="23" s="1"/>
  <c r="V19" i="23" s="1"/>
  <c r="U18" i="23"/>
  <c r="V18" i="23" s="1"/>
  <c r="T18" i="23"/>
  <c r="T17" i="23"/>
  <c r="U17" i="23" s="1"/>
  <c r="V17" i="23" s="1"/>
  <c r="U16" i="23"/>
  <c r="V16" i="23" s="1"/>
  <c r="T16" i="23"/>
  <c r="T15" i="23"/>
  <c r="U15" i="23" s="1"/>
  <c r="V15" i="23" s="1"/>
  <c r="T14" i="23"/>
  <c r="U14" i="23" s="1"/>
  <c r="V14" i="23" s="1"/>
  <c r="A14" i="23"/>
  <c r="A15" i="23" s="1"/>
  <c r="A16" i="23" s="1"/>
  <c r="A17" i="23" s="1"/>
  <c r="A18" i="23" s="1"/>
  <c r="T13" i="23"/>
  <c r="U13" i="23" s="1"/>
  <c r="V13" i="23" s="1"/>
  <c r="T12" i="23"/>
  <c r="U12" i="23" s="1"/>
  <c r="V12" i="23" s="1"/>
  <c r="U11" i="23"/>
  <c r="V11" i="23" s="1"/>
  <c r="T11" i="23"/>
  <c r="T10" i="23"/>
  <c r="U10" i="23" s="1"/>
  <c r="V10" i="23" s="1"/>
  <c r="U9" i="23"/>
  <c r="V9" i="23" s="1"/>
  <c r="T9" i="23"/>
  <c r="T8" i="23"/>
  <c r="U8" i="23" s="1"/>
  <c r="V8" i="23" s="1"/>
  <c r="A8" i="23"/>
  <c r="A9" i="23" s="1"/>
  <c r="A10" i="23" s="1"/>
  <c r="A11" i="23" s="1"/>
  <c r="U7" i="23"/>
  <c r="T7" i="23"/>
  <c r="T58" i="23" s="1"/>
  <c r="A24" i="22"/>
  <c r="A25" i="22"/>
  <c r="A26" i="22"/>
  <c r="A27" i="22"/>
  <c r="U58" i="23" l="1"/>
  <c r="V7" i="23"/>
  <c r="V58" i="23" s="1"/>
  <c r="R58" i="22"/>
  <c r="Q58" i="22"/>
  <c r="P58" i="22"/>
  <c r="O58" i="22"/>
  <c r="N58" i="22"/>
  <c r="M58" i="22"/>
  <c r="K58" i="22"/>
  <c r="J58" i="22"/>
  <c r="I58" i="22"/>
  <c r="H58" i="22"/>
  <c r="G58" i="22"/>
  <c r="F58" i="22"/>
  <c r="T54" i="22"/>
  <c r="U54" i="22" s="1"/>
  <c r="V54" i="22" s="1"/>
  <c r="T52" i="22"/>
  <c r="U52" i="22" s="1"/>
  <c r="V52" i="22" s="1"/>
  <c r="T48" i="22"/>
  <c r="U48" i="22" s="1"/>
  <c r="V48" i="22" s="1"/>
  <c r="T47" i="22"/>
  <c r="T46" i="22"/>
  <c r="U46" i="22" s="1"/>
  <c r="V46" i="22" s="1"/>
  <c r="T45" i="22"/>
  <c r="U45" i="22" s="1"/>
  <c r="V45" i="22" s="1"/>
  <c r="T43" i="22"/>
  <c r="U43" i="22" s="1"/>
  <c r="V43" i="22" s="1"/>
  <c r="T41" i="22"/>
  <c r="U41" i="22"/>
  <c r="V41" i="22" s="1"/>
  <c r="T40" i="22"/>
  <c r="U40" i="22" s="1"/>
  <c r="V40" i="22" s="1"/>
  <c r="T38" i="22"/>
  <c r="U38" i="22" s="1"/>
  <c r="V38" i="22" s="1"/>
  <c r="T37" i="22"/>
  <c r="U37" i="22" s="1"/>
  <c r="V37" i="22" s="1"/>
  <c r="T36" i="22"/>
  <c r="U36" i="22" s="1"/>
  <c r="V36" i="22" s="1"/>
  <c r="T35" i="22"/>
  <c r="U35" i="22" s="1"/>
  <c r="V35" i="22" s="1"/>
  <c r="T34" i="22"/>
  <c r="U34" i="22" s="1"/>
  <c r="V34" i="22" s="1"/>
  <c r="T33" i="22"/>
  <c r="U33" i="22" s="1"/>
  <c r="V33" i="22" s="1"/>
  <c r="T32" i="22"/>
  <c r="U32" i="22" s="1"/>
  <c r="V32" i="22" s="1"/>
  <c r="T31" i="22"/>
  <c r="U31" i="22" s="1"/>
  <c r="V31" i="22" s="1"/>
  <c r="T30" i="22"/>
  <c r="U30" i="22" s="1"/>
  <c r="V30" i="22" s="1"/>
  <c r="T29" i="22"/>
  <c r="U29" i="22" s="1"/>
  <c r="V29" i="22" s="1"/>
  <c r="T28" i="22"/>
  <c r="U28" i="22" s="1"/>
  <c r="V28" i="22" s="1"/>
  <c r="T26" i="22"/>
  <c r="U26" i="22" s="1"/>
  <c r="V26" i="22" s="1"/>
  <c r="AY25" i="22"/>
  <c r="T25" i="22"/>
  <c r="U25" i="22" s="1"/>
  <c r="V25" i="22" s="1"/>
  <c r="T24" i="22"/>
  <c r="U24" i="22" s="1"/>
  <c r="V24" i="22" s="1"/>
  <c r="T23" i="22"/>
  <c r="U23" i="22" s="1"/>
  <c r="V23" i="22" s="1"/>
  <c r="T22" i="22"/>
  <c r="U22" i="22" s="1"/>
  <c r="V22" i="22" s="1"/>
  <c r="T21" i="22"/>
  <c r="U21" i="22" s="1"/>
  <c r="V21" i="22" s="1"/>
  <c r="T20" i="22"/>
  <c r="U20" i="22" s="1"/>
  <c r="V20" i="22" s="1"/>
  <c r="A20" i="22"/>
  <c r="A21" i="22" s="1"/>
  <c r="A22" i="22" s="1"/>
  <c r="A23" i="22" s="1"/>
  <c r="T19" i="22"/>
  <c r="U19" i="22" s="1"/>
  <c r="V19" i="22" s="1"/>
  <c r="T18" i="22"/>
  <c r="U18" i="22" s="1"/>
  <c r="V18" i="22" s="1"/>
  <c r="T17" i="22"/>
  <c r="U17" i="22" s="1"/>
  <c r="V17" i="22" s="1"/>
  <c r="T16" i="22"/>
  <c r="U16" i="22" s="1"/>
  <c r="V16" i="22" s="1"/>
  <c r="T15" i="22"/>
  <c r="U15" i="22" s="1"/>
  <c r="V15" i="22" s="1"/>
  <c r="T14" i="22"/>
  <c r="U14" i="22" s="1"/>
  <c r="V14" i="22" s="1"/>
  <c r="A14" i="22"/>
  <c r="A15" i="22" s="1"/>
  <c r="A16" i="22" s="1"/>
  <c r="A17" i="22" s="1"/>
  <c r="A18" i="22" s="1"/>
  <c r="T13" i="22"/>
  <c r="U13" i="22" s="1"/>
  <c r="V13" i="22" s="1"/>
  <c r="T12" i="22"/>
  <c r="U12" i="22" s="1"/>
  <c r="V12" i="22" s="1"/>
  <c r="T11" i="22"/>
  <c r="U11" i="22" s="1"/>
  <c r="V11" i="22" s="1"/>
  <c r="T10" i="22"/>
  <c r="U10" i="22" s="1"/>
  <c r="V10" i="22" s="1"/>
  <c r="T9" i="22"/>
  <c r="U9" i="22" s="1"/>
  <c r="V9" i="22" s="1"/>
  <c r="T8" i="22"/>
  <c r="U8" i="22" s="1"/>
  <c r="V8" i="22" s="1"/>
  <c r="C58" i="22"/>
  <c r="A8" i="22"/>
  <c r="A9" i="22" s="1"/>
  <c r="A10" i="22" s="1"/>
  <c r="A11" i="22" s="1"/>
  <c r="T7" i="22"/>
  <c r="U7" i="22" s="1"/>
  <c r="V7" i="22" s="1"/>
  <c r="A28" i="22" l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T58" i="22"/>
  <c r="U58" i="22"/>
  <c r="V58" i="22"/>
  <c r="C48" i="2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<sst xmlns="http://schemas.openxmlformats.org/spreadsheetml/2006/main" count="1319" uniqueCount="96">
  <si>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</si>
  <si>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</si>
  <si>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</si>
  <si>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</si>
  <si>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</si>
  <si>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</si>
  <si>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</si>
  <si>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</si>
  <si>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</si>
  <si>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</si>
  <si>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</si>
  <si>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</si>
  <si>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</si>
  <si>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</si>
  <si>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</si>
  <si>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</si>
  <si>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</si>
  <si>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</si>
  <si>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</si>
  <si>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</si>
  <si>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</si>
  <si>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</si>
  <si>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</si>
  <si>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</si>
  <si>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</si>
  <si>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</si>
  <si>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</si>
  <si>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</si>
  <si>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</si>
  <si>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</si>
  <si>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</si>
  <si>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</si>
  <si>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</si>
  <si>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</si>
  <si>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</si>
  <si>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</si>
  <si>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</si>
  <si>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</si>
  <si>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</si>
  <si>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</si>
  <si>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</si>
  <si>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</si>
  <si>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</si>
  <si>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</si>
  <si>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</si>
  <si>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</si>
  <si>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</si>
  <si>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</si>
  <si>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</si>
  <si>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</si>
  <si>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</si>
  <si>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</si>
  <si>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</si>
  <si>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</si>
  <si>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</si>
  <si>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</si>
  <si>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</si>
  <si>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</si>
  <si>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</si>
  <si>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</si>
  <si>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</si>
  <si>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</si>
  <si>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</si>
  <si>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</si>
  <si>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</si>
  <si>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</si>
  <si>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</si>
  <si>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</si>
  <si>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</si>
  <si>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</si>
  <si>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</si>
  <si>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</si>
  <si>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</si>
  <si>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</si>
  <si>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</si>
  <si>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</si>
  <si>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</si>
  <si>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</si>
  <si>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</si>
  <si>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</si>
  <si>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</si>
  <si>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</si>
  <si>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</si>
  <si>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</si>
  <si>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</si>
  <si>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</si>
  <si>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</si>
  <si>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</si>
  <si>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</si>
  <si>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</si>
  <si>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</si>
  <si>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</si>
  <si>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</si>
  <si>
    <t xml:space="preserve">DATE: </t>
  </si>
  <si>
    <t>DATE: 02/16/2026</t>
  </si>
  <si>
    <t>DATE: 02/17/2026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</si>
</sst>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7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160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7" fillId="0" borderId="69" xfId="2" applyFont="1" applyFill="1" applyBorder="1" applyAlignment="1">
      <alignment vertical="center"/>
    </xf>
    <xf numFmtId="166" fontId="2" fillId="0" borderId="70" xfId="3" applyNumberFormat="1" applyFont="1" applyFill="1" applyBorder="1" applyAlignment="1">
      <alignment vertical="center"/>
    </xf>
    <xf numFmtId="166" fontId="2" fillId="0" borderId="71" xfId="3" applyNumberFormat="1" applyFont="1" applyFill="1" applyBorder="1" applyAlignment="1">
      <alignment vertical="center"/>
    </xf>
    <xf numFmtId="166" fontId="2" fillId="0" borderId="72" xfId="3" applyNumberFormat="1" applyFont="1" applyFill="1" applyBorder="1" applyAlignment="1">
      <alignment vertical="center"/>
    </xf>
    <xf numFmtId="166" fontId="2" fillId="0" borderId="69" xfId="3" applyNumberFormat="1" applyFont="1" applyFill="1" applyBorder="1" applyAlignment="1">
      <alignment vertical="center"/>
    </xf>
    <xf numFmtId="166" fontId="2" fillId="0" borderId="73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43" t="s">
        <v>39</v>
      </c>
      <c r="B21" s="140" t="s">
        <v>18</v>
      </c>
      <c r="C21" s="141"/>
      <c r="D21" s="142"/>
      <c r="E21" s="140" t="s">
        <v>40</v>
      </c>
      <c r="F21" s="141"/>
      <c r="G21" s="142"/>
      <c r="H21" s="140" t="s">
        <v>41</v>
      </c>
      <c r="I21" s="141"/>
      <c r="J21" s="142"/>
      <c r="K21" s="140" t="s">
        <v>42</v>
      </c>
      <c r="L21" s="141"/>
      <c r="M21" s="142"/>
      <c r="N21" s="140" t="s">
        <v>43</v>
      </c>
      <c r="O21" s="141"/>
      <c r="P21" s="142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44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50" t="s">
        <v>53</v>
      </c>
      <c r="I1" s="150"/>
      <c r="J1" s="150"/>
      <c r="K1" s="150"/>
      <c r="L1" s="150"/>
      <c r="M1" s="150"/>
      <c r="N1" s="150"/>
      <c r="O1" s="150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6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9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zoomScaleNormal="100" zoomScaleSheetLayoutView="115" workbookViewId="0">
      <selection activeCell="H14" sqref="H14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27"/>
      <c r="Q5" s="127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28"/>
      <c r="Q5" s="128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28"/>
      <c r="Q5" s="128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28"/>
      <c r="Q5" s="128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28"/>
      <c r="Q5" s="128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28"/>
      <c r="Q5" s="128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28"/>
      <c r="Q5" s="128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29"/>
      <c r="Q5" s="129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29"/>
      <c r="Q5" s="129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08"/>
      <c r="Q5" s="108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opLeftCell="A13" zoomScaleNormal="100" zoomScaleSheetLayoutView="115" workbookViewId="0">
      <selection activeCell="U40" sqref="U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29"/>
      <c r="Q5" s="129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3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516</v>
      </c>
      <c r="U42" s="104">
        <f>C42*6+M42*6+O42*6+Q42*6+T42</f>
        <v>155124</v>
      </c>
      <c r="V42" s="104">
        <f>U42/6</f>
        <v>25854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94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666</v>
      </c>
      <c r="U57" s="51">
        <f>SUM(U7:U56)</f>
        <v>335994</v>
      </c>
      <c r="V57" s="51">
        <f>SUM(V7:V56)</f>
        <v>39489.625</v>
      </c>
    </row>
    <row r="58" spans="1:22" ht="7.5" customHeight="1" thickBot="1" x14ac:dyDescent="0.3"/>
    <row r="59" spans="1:22" ht="19.5" thickBot="1" x14ac:dyDescent="0.3">
      <c r="B59" s="78" t="s">
        <v>39</v>
      </c>
      <c r="C59" s="147" t="s">
        <v>49</v>
      </c>
      <c r="D59" s="148"/>
      <c r="E59" s="148"/>
      <c r="F59" s="148"/>
      <c r="G59" s="148"/>
      <c r="H59" s="148"/>
      <c r="I59" s="148"/>
      <c r="J59" s="148"/>
      <c r="K59" s="14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82F5-4846-4B63-B1FC-CBAEA8F57277}">
  <sheetPr>
    <pageSetUpPr fitToPage="1"/>
  </sheetPr>
  <dimension ref="A1:BB81"/>
  <sheetViews>
    <sheetView zoomScaleNormal="100" zoomScaleSheetLayoutView="115" workbookViewId="0">
      <selection activeCell="D52" sqref="D5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94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30"/>
      <c r="Q5" s="130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0"/>
      <c r="K6" s="89"/>
      <c r="M6" s="87"/>
      <c r="N6" s="118"/>
      <c r="O6" s="92"/>
      <c r="P6" s="130"/>
      <c r="Q6" s="130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/>
      <c r="N7" s="119"/>
      <c r="O7" s="48">
        <v>2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792</v>
      </c>
      <c r="V7" s="91">
        <f>U7/24</f>
        <v>33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</v>
      </c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2280</v>
      </c>
      <c r="V8" s="124">
        <f>U8/24</f>
        <v>95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61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3</v>
      </c>
      <c r="R10" s="46"/>
      <c r="T10" s="91">
        <f t="shared" si="0"/>
        <v>0</v>
      </c>
      <c r="U10" s="91">
        <f t="shared" si="2"/>
        <v>1536</v>
      </c>
      <c r="V10" s="91">
        <f t="shared" si="3"/>
        <v>64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72+1368+53+1440+576</f>
        <v>3509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11</v>
      </c>
      <c r="O12" s="97">
        <v>16</v>
      </c>
      <c r="P12" s="113"/>
      <c r="Q12" s="113">
        <v>13</v>
      </c>
      <c r="R12" s="98">
        <v>16</v>
      </c>
      <c r="S12" s="102"/>
      <c r="T12" s="91">
        <f t="shared" si="0"/>
        <v>27</v>
      </c>
      <c r="U12" s="124">
        <f>C12*24+M12*24+O12*24+Q12*24+T12</f>
        <v>85251</v>
      </c>
      <c r="V12" s="124">
        <f>U12/24</f>
        <v>3552.125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>
        <v>7</v>
      </c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168</v>
      </c>
      <c r="V24" s="50">
        <f t="shared" si="5"/>
        <v>7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>
        <f>63+21</f>
        <v>84</v>
      </c>
      <c r="D25" s="47"/>
      <c r="E25" s="47"/>
      <c r="F25" s="47"/>
      <c r="G25" s="47"/>
      <c r="H25" s="47">
        <v>22</v>
      </c>
      <c r="I25" s="47">
        <v>1</v>
      </c>
      <c r="J25" s="111"/>
      <c r="K25" s="46"/>
      <c r="M25" s="52">
        <v>1</v>
      </c>
      <c r="N25" s="121"/>
      <c r="O25" s="47">
        <v>2</v>
      </c>
      <c r="P25" s="111"/>
      <c r="Q25" s="111">
        <v>2</v>
      </c>
      <c r="R25" s="46"/>
      <c r="T25" s="91">
        <f t="shared" si="0"/>
        <v>23</v>
      </c>
      <c r="U25" s="50">
        <f t="shared" si="4"/>
        <v>2159</v>
      </c>
      <c r="V25" s="50">
        <f t="shared" si="5"/>
        <v>89.958333333333329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33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10</v>
      </c>
      <c r="N28" s="121"/>
      <c r="O28" s="47">
        <v>4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1200</v>
      </c>
      <c r="V28" s="50">
        <f t="shared" si="5"/>
        <v>50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19+8+72</f>
        <v>99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>
        <v>5</v>
      </c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2376+1944</f>
        <v>4320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108</v>
      </c>
      <c r="N37" s="120"/>
      <c r="O37" s="97">
        <v>34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27212</v>
      </c>
      <c r="V37" s="104">
        <f>U37/6</f>
        <v>4535.333333333333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>
        <f>2+693</f>
        <v>695</v>
      </c>
      <c r="D40" s="95"/>
      <c r="E40" s="95"/>
      <c r="F40" s="95"/>
      <c r="G40" s="95"/>
      <c r="H40" s="95">
        <v>9</v>
      </c>
      <c r="I40" s="95"/>
      <c r="J40" s="110"/>
      <c r="K40" s="96">
        <v>15</v>
      </c>
      <c r="L40" s="102"/>
      <c r="M40" s="103"/>
      <c r="N40" s="120"/>
      <c r="O40" s="97"/>
      <c r="P40" s="113"/>
      <c r="Q40" s="113">
        <v>2</v>
      </c>
      <c r="R40" s="98"/>
      <c r="S40" s="102"/>
      <c r="T40" s="104">
        <f t="shared" si="0"/>
        <v>24</v>
      </c>
      <c r="U40" s="104">
        <f>C40*24+M40*24+O40*24+Q40*24+T40</f>
        <v>16752</v>
      </c>
      <c r="V40" s="104">
        <f>U40/24</f>
        <v>698</v>
      </c>
    </row>
    <row r="41" spans="1:23" ht="19.5" thickBot="1" x14ac:dyDescent="0.3">
      <c r="A41" s="75">
        <f t="shared" si="1"/>
        <v>38</v>
      </c>
      <c r="B41" s="99" t="s">
        <v>23</v>
      </c>
      <c r="C41" s="100">
        <f>1632+25</f>
        <v>1657</v>
      </c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>
        <v>6</v>
      </c>
      <c r="P41" s="112"/>
      <c r="Q41" s="112">
        <v>15</v>
      </c>
      <c r="R41" s="101"/>
      <c r="S41" s="105"/>
      <c r="T41" s="107">
        <f t="shared" si="0"/>
        <v>0</v>
      </c>
      <c r="U41" s="107">
        <f>C41*12+M41*12+O41*12+Q41*12+T41</f>
        <v>20136</v>
      </c>
      <c r="V41" s="107">
        <f>U41/12</f>
        <v>1678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>
        <f>6048+6048+864+5400+7128+46+1836</f>
        <v>27370</v>
      </c>
      <c r="D43" s="97"/>
      <c r="E43" s="97"/>
      <c r="F43" s="97"/>
      <c r="G43" s="97"/>
      <c r="H43" s="97">
        <v>1</v>
      </c>
      <c r="I43" s="97">
        <v>6</v>
      </c>
      <c r="J43" s="113">
        <f>9*6+5</f>
        <v>59</v>
      </c>
      <c r="K43" s="98">
        <f>75*6+4</f>
        <v>454</v>
      </c>
      <c r="L43" s="102"/>
      <c r="M43" s="103">
        <v>224</v>
      </c>
      <c r="N43" s="120"/>
      <c r="O43" s="97">
        <v>474</v>
      </c>
      <c r="P43" s="113"/>
      <c r="Q43" s="113">
        <v>411</v>
      </c>
      <c r="R43" s="98"/>
      <c r="S43" s="102"/>
      <c r="T43" s="104">
        <f t="shared" ref="T43" si="6">H43+I43+J43+K43+N43+P43+R43</f>
        <v>520</v>
      </c>
      <c r="U43" s="104">
        <f>C43*6+M43*6+O43*6+Q43*6+T43</f>
        <v>171394</v>
      </c>
      <c r="V43" s="104">
        <f>U43/6</f>
        <v>28565.666666666668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>
        <f>24+44+2268</f>
        <v>2336</v>
      </c>
      <c r="D47" s="47"/>
      <c r="E47" s="47"/>
      <c r="F47" s="47"/>
      <c r="G47" s="47"/>
      <c r="H47" s="47">
        <v>3</v>
      </c>
      <c r="I47" s="47"/>
      <c r="J47" s="111"/>
      <c r="K47" s="46">
        <f>1*6</f>
        <v>6</v>
      </c>
      <c r="M47" s="52">
        <v>10</v>
      </c>
      <c r="N47" s="121"/>
      <c r="O47" s="47">
        <v>8</v>
      </c>
      <c r="P47" s="111">
        <v>2</v>
      </c>
      <c r="Q47" s="111">
        <v>10</v>
      </c>
      <c r="R47" s="46"/>
      <c r="T47" s="50">
        <f t="shared" si="7"/>
        <v>11</v>
      </c>
      <c r="U47" s="50">
        <f>C47*6+M47*6+O47*6+Q47*6+T47</f>
        <v>14195</v>
      </c>
      <c r="V47" s="50">
        <f>U47/6</f>
        <v>2365.8333333333335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0">H49+I49+J49+K49+N49+P49+R49</f>
        <v>0</v>
      </c>
      <c r="U49" s="50">
        <f t="shared" ref="U49:U50" si="11">C49*24+M49*24+O49*24+Q49*24+T49</f>
        <v>0</v>
      </c>
      <c r="V49" s="50">
        <f t="shared" ref="V49:V50" si="12">U49/24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0"/>
        <v>0</v>
      </c>
      <c r="U50" s="50">
        <f t="shared" si="11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29</v>
      </c>
      <c r="C51" s="47">
        <v>34</v>
      </c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" si="13">H51+I51+J51+K51+N51+P51+R51</f>
        <v>0</v>
      </c>
      <c r="U51" s="50">
        <f>C51*6+M51*6+O51*6+Q51*6+T51</f>
        <v>204</v>
      </c>
      <c r="V51" s="50">
        <f>U51/6</f>
        <v>34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0:U52" si="14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>
        <v>2</v>
      </c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5">H53+I53+J53+K53+N53+P53+R53</f>
        <v>0</v>
      </c>
      <c r="U53" s="50">
        <f t="shared" ref="U53" si="16">C53*24+M53*24+O53*24+Q53*24+T53</f>
        <v>48</v>
      </c>
      <c r="V53" s="50">
        <f t="shared" ref="V53" si="17">U53/24</f>
        <v>2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8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40468</v>
      </c>
      <c r="D58" s="49"/>
      <c r="E58" s="49"/>
      <c r="F58" s="49">
        <f t="shared" ref="F58:K58" si="19">SUM(F7:F57)</f>
        <v>0</v>
      </c>
      <c r="G58" s="49">
        <f t="shared" si="19"/>
        <v>0</v>
      </c>
      <c r="H58" s="49">
        <f t="shared" si="19"/>
        <v>92</v>
      </c>
      <c r="I58" s="54">
        <f t="shared" si="19"/>
        <v>8</v>
      </c>
      <c r="J58" s="54">
        <f t="shared" si="19"/>
        <v>63</v>
      </c>
      <c r="K58" s="54">
        <f t="shared" si="19"/>
        <v>486</v>
      </c>
      <c r="M58" s="53">
        <f t="shared" ref="M58:R58" si="20">SUM(M7:M57)</f>
        <v>372</v>
      </c>
      <c r="N58" s="53">
        <f t="shared" si="20"/>
        <v>11</v>
      </c>
      <c r="O58" s="53">
        <f t="shared" si="20"/>
        <v>549</v>
      </c>
      <c r="P58" s="53">
        <f t="shared" si="20"/>
        <v>2</v>
      </c>
      <c r="Q58" s="53">
        <f t="shared" si="20"/>
        <v>537</v>
      </c>
      <c r="R58" s="53">
        <f t="shared" si="20"/>
        <v>16</v>
      </c>
      <c r="S58" s="57"/>
      <c r="T58" s="51">
        <f>SUM(T7:T57)</f>
        <v>678</v>
      </c>
      <c r="U58" s="51">
        <f>SUM(U7:U57)</f>
        <v>349368</v>
      </c>
      <c r="V58" s="51">
        <f>SUM(V7:V57)</f>
        <v>42021.625000000007</v>
      </c>
    </row>
    <row r="59" spans="1:22" ht="7.5" customHeight="1" thickBot="1" x14ac:dyDescent="0.3"/>
    <row r="60" spans="1:22" ht="19.5" thickBot="1" x14ac:dyDescent="0.3">
      <c r="B60" s="78" t="s">
        <v>39</v>
      </c>
      <c r="C60" s="147" t="s">
        <v>49</v>
      </c>
      <c r="D60" s="148"/>
      <c r="E60" s="148"/>
      <c r="F60" s="148"/>
      <c r="G60" s="148"/>
      <c r="H60" s="148"/>
      <c r="I60" s="148"/>
      <c r="J60" s="148"/>
      <c r="K60" s="149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79239-8777-43F5-9407-4159B48ED3EF}">
  <sheetPr>
    <pageSetUpPr fitToPage="1"/>
  </sheetPr>
  <dimension ref="A1:BB81"/>
  <sheetViews>
    <sheetView topLeftCell="J1" zoomScaleNormal="100" zoomScaleSheetLayoutView="40" workbookViewId="0">
      <selection activeCell="V7" sqref="V7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93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31"/>
      <c r="Q5" s="131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1"/>
      <c r="K6" s="89"/>
      <c r="M6" s="87"/>
      <c r="N6" s="118"/>
      <c r="O6" s="92"/>
      <c r="P6" s="131"/>
      <c r="Q6" s="131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48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>C49*6+M49*6+O49*6+Q49*6+T49</f>
        <v>0</v>
      </c>
      <c r="V49" s="50">
        <f>U49/6</f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ref="U50:U52" si="10">C50*24+M50*24+O50*24+Q50*24+T50</f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si="10"/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>C53*6+M53*6+O53*6+Q53*6+T53</f>
        <v>0</v>
      </c>
      <c r="V53" s="50">
        <f>U53/6</f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ref="U54" si="11">C54*24+M54*24+O54*24+Q54*24+T54</f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2">SUM(F7:F57)</f>
        <v>0</v>
      </c>
      <c r="G58" s="49">
        <f t="shared" si="12"/>
        <v>0</v>
      </c>
      <c r="H58" s="49">
        <f t="shared" si="12"/>
        <v>0</v>
      </c>
      <c r="I58" s="54">
        <f t="shared" si="12"/>
        <v>0</v>
      </c>
      <c r="J58" s="54">
        <f t="shared" si="12"/>
        <v>0</v>
      </c>
      <c r="K58" s="54">
        <f t="shared" si="12"/>
        <v>0</v>
      </c>
      <c r="M58" s="53">
        <f t="shared" ref="M58:R58" si="13">SUM(M7:M57)</f>
        <v>0</v>
      </c>
      <c r="N58" s="53">
        <f t="shared" si="13"/>
        <v>0</v>
      </c>
      <c r="O58" s="53">
        <f t="shared" si="13"/>
        <v>0</v>
      </c>
      <c r="P58" s="53">
        <f t="shared" si="13"/>
        <v>0</v>
      </c>
      <c r="Q58" s="53">
        <f t="shared" si="13"/>
        <v>0</v>
      </c>
      <c r="R58" s="53">
        <f t="shared" si="13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47" t="s">
        <v>49</v>
      </c>
      <c r="D60" s="148"/>
      <c r="E60" s="148"/>
      <c r="F60" s="148"/>
      <c r="G60" s="148"/>
      <c r="H60" s="148"/>
      <c r="I60" s="148"/>
      <c r="J60" s="148"/>
      <c r="K60" s="149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" right="0" top="0" bottom="0" header="0" footer="0"/>
  <pageSetup paperSize="14" scale="55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6D21-8432-42F5-A0EA-128BF8928235}">
  <sheetPr>
    <pageSetUpPr fitToPage="1"/>
  </sheetPr>
  <dimension ref="A1:BB81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50" t="s">
        <v>53</v>
      </c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</row>
    <row r="2" spans="1:54" x14ac:dyDescent="0.25">
      <c r="B2" s="76" t="s">
        <v>95</v>
      </c>
    </row>
    <row r="3" spans="1:54" ht="19.5" thickBot="1" x14ac:dyDescent="0.3"/>
    <row r="4" spans="1:54" s="58" customFormat="1" ht="15.75" x14ac:dyDescent="0.25">
      <c r="B4" s="93" t="s">
        <v>63</v>
      </c>
      <c r="C4" s="145" t="s">
        <v>49</v>
      </c>
      <c r="D4" s="145"/>
      <c r="E4" s="145"/>
      <c r="F4" s="145"/>
      <c r="G4" s="145"/>
      <c r="H4" s="145"/>
      <c r="I4" s="145"/>
      <c r="J4" s="155"/>
      <c r="K4" s="14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56" t="s">
        <v>80</v>
      </c>
      <c r="U4" s="158" t="s">
        <v>79</v>
      </c>
      <c r="V4" s="15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53" t="s">
        <v>77</v>
      </c>
      <c r="K5" s="154"/>
      <c r="M5" s="87"/>
      <c r="N5" s="118"/>
      <c r="O5" s="92"/>
      <c r="P5" s="139"/>
      <c r="Q5" s="139"/>
      <c r="R5" s="89"/>
      <c r="S5" s="57"/>
      <c r="T5" s="157"/>
      <c r="U5" s="159"/>
      <c r="V5" s="15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39"/>
      <c r="K6" s="89"/>
      <c r="M6" s="87"/>
      <c r="N6" s="118"/>
      <c r="O6" s="92"/>
      <c r="P6" s="139"/>
      <c r="Q6" s="13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48"/>
      <c r="J7" s="109"/>
      <c r="K7" s="69"/>
      <c r="M7" s="88"/>
      <c r="N7" s="119"/>
      <c r="O7" s="48"/>
      <c r="P7" s="109"/>
      <c r="Q7" s="109"/>
      <c r="R7" s="69"/>
      <c r="T7" s="91">
        <f>H7+I7+J7+K7+N7+P7+R7</f>
        <v>0</v>
      </c>
      <c r="U7" s="91">
        <f>C7*24+M7*24+O7*24+Q7*24+T7</f>
        <v>0</v>
      </c>
      <c r="V7" s="91">
        <f>U7/24</f>
        <v>0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/>
      <c r="R8" s="98"/>
      <c r="S8" s="102"/>
      <c r="T8" s="126">
        <f t="shared" ref="T8:T41" si="0">H8+I8+J8+K8+N8+P8+R8</f>
        <v>0</v>
      </c>
      <c r="U8" s="124">
        <f>C8*24+M8*24+O8*24+Q8*24+T8</f>
        <v>0</v>
      </c>
      <c r="V8" s="124">
        <f>U8/24</f>
        <v>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7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/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0</v>
      </c>
      <c r="V10" s="91">
        <f t="shared" si="3"/>
        <v>0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/>
      <c r="I11" s="47"/>
      <c r="J11" s="111"/>
      <c r="K11" s="46"/>
      <c r="M11" s="52"/>
      <c r="N11" s="121"/>
      <c r="O11" s="47"/>
      <c r="P11" s="111"/>
      <c r="Q11" s="111"/>
      <c r="R11" s="46"/>
      <c r="T11" s="91">
        <f t="shared" si="0"/>
        <v>0</v>
      </c>
      <c r="U11" s="91">
        <f t="shared" si="2"/>
        <v>0</v>
      </c>
      <c r="V11" s="91">
        <f t="shared" si="3"/>
        <v>0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/>
      <c r="P12" s="113"/>
      <c r="Q12" s="113"/>
      <c r="R12" s="98"/>
      <c r="S12" s="102"/>
      <c r="T12" s="91">
        <f t="shared" si="0"/>
        <v>0</v>
      </c>
      <c r="U12" s="124">
        <f>C12*24+M12*24+O12*24+Q12*24+T12</f>
        <v>0</v>
      </c>
      <c r="V12" s="124">
        <f>U12/24</f>
        <v>0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0</v>
      </c>
      <c r="V13" s="125">
        <f>U13/24</f>
        <v>0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/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0</v>
      </c>
      <c r="V17" s="50">
        <f t="shared" si="5"/>
        <v>0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0</v>
      </c>
      <c r="V19" s="50">
        <f t="shared" si="5"/>
        <v>0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/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0</v>
      </c>
      <c r="V20" s="50">
        <f t="shared" si="5"/>
        <v>0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/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0</v>
      </c>
      <c r="V21" s="50">
        <f t="shared" si="5"/>
        <v>0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/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0</v>
      </c>
      <c r="V22" s="50">
        <f t="shared" si="5"/>
        <v>0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/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0</v>
      </c>
      <c r="V23" s="50">
        <f t="shared" si="5"/>
        <v>0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x14ac:dyDescent="0.25">
      <c r="A24" s="75">
        <f t="shared" si="1"/>
        <v>21</v>
      </c>
      <c r="B24" s="74" t="s">
        <v>67</v>
      </c>
      <c r="C24" s="47"/>
      <c r="D24" s="47"/>
      <c r="E24" s="47"/>
      <c r="F24" s="47"/>
      <c r="G24" s="47"/>
      <c r="H24" s="47"/>
      <c r="I24" s="47"/>
      <c r="J24" s="111"/>
      <c r="K24" s="46"/>
      <c r="M24" s="52"/>
      <c r="N24" s="121"/>
      <c r="O24" s="47"/>
      <c r="P24" s="111"/>
      <c r="Q24" s="111"/>
      <c r="R24" s="46"/>
      <c r="T24" s="91">
        <f t="shared" si="0"/>
        <v>0</v>
      </c>
      <c r="U24" s="50">
        <f t="shared" si="4"/>
        <v>0</v>
      </c>
      <c r="V24" s="50">
        <f t="shared" si="5"/>
        <v>0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9</v>
      </c>
      <c r="C25" s="47"/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0</v>
      </c>
      <c r="V25" s="50">
        <f t="shared" si="5"/>
        <v>0</v>
      </c>
      <c r="AY25" s="62" t="e">
        <f>#REF!-AY24</f>
        <v>#REF!</v>
      </c>
    </row>
    <row r="26" spans="1:54" s="61" customFormat="1" x14ac:dyDescent="0.25">
      <c r="A26" s="75">
        <f t="shared" si="1"/>
        <v>23</v>
      </c>
      <c r="B26" s="74" t="s">
        <v>11</v>
      </c>
      <c r="C26" s="47"/>
      <c r="D26" s="47"/>
      <c r="E26" s="47"/>
      <c r="F26" s="47"/>
      <c r="G26" s="47"/>
      <c r="H26" s="47"/>
      <c r="I26" s="47"/>
      <c r="J26" s="111"/>
      <c r="K26" s="46"/>
      <c r="L26" s="57"/>
      <c r="M26" s="52"/>
      <c r="N26" s="121"/>
      <c r="O26" s="47"/>
      <c r="P26" s="111"/>
      <c r="Q26" s="111"/>
      <c r="R26" s="46"/>
      <c r="S26" s="57"/>
      <c r="T26" s="91">
        <f t="shared" si="0"/>
        <v>0</v>
      </c>
      <c r="U26" s="50">
        <f t="shared" si="4"/>
        <v>0</v>
      </c>
      <c r="V26" s="50">
        <f t="shared" si="5"/>
        <v>0</v>
      </c>
      <c r="W26" s="57"/>
      <c r="X26" s="57"/>
      <c r="Y26" s="57"/>
      <c r="Z26" s="57"/>
      <c r="AA26" s="57"/>
      <c r="AB26" s="57"/>
      <c r="AC26" s="57"/>
      <c r="AD26" s="57"/>
      <c r="AE26" s="57"/>
    </row>
    <row r="27" spans="1:54" s="61" customFormat="1" x14ac:dyDescent="0.25">
      <c r="A27" s="75">
        <f t="shared" si="1"/>
        <v>24</v>
      </c>
      <c r="B27" s="74" t="s">
        <v>83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/>
      <c r="U27" s="50"/>
      <c r="V27" s="50"/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/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/>
      <c r="P30" s="111"/>
      <c r="Q30" s="111"/>
      <c r="R30" s="46"/>
      <c r="T30" s="91">
        <f t="shared" si="0"/>
        <v>0</v>
      </c>
      <c r="U30" s="50">
        <f t="shared" si="4"/>
        <v>0</v>
      </c>
      <c r="V30" s="50">
        <f t="shared" si="5"/>
        <v>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/>
      <c r="D34" s="47"/>
      <c r="E34" s="47"/>
      <c r="F34" s="47"/>
      <c r="G34" s="47"/>
      <c r="H34" s="47"/>
      <c r="I34" s="47"/>
      <c r="J34" s="111"/>
      <c r="K34" s="46"/>
      <c r="M34" s="52"/>
      <c r="N34" s="121"/>
      <c r="O34" s="47"/>
      <c r="P34" s="111"/>
      <c r="Q34" s="111"/>
      <c r="R34" s="46"/>
      <c r="T34" s="91">
        <f t="shared" si="0"/>
        <v>0</v>
      </c>
      <c r="U34" s="50">
        <f t="shared" si="4"/>
        <v>0</v>
      </c>
      <c r="V34" s="50">
        <f t="shared" si="5"/>
        <v>0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/>
      <c r="D37" s="95"/>
      <c r="E37" s="95"/>
      <c r="F37" s="95"/>
      <c r="G37" s="95"/>
      <c r="H37" s="95"/>
      <c r="I37" s="95"/>
      <c r="J37" s="110"/>
      <c r="K37" s="96"/>
      <c r="L37" s="102"/>
      <c r="M37" s="103"/>
      <c r="N37" s="120"/>
      <c r="O37" s="97"/>
      <c r="P37" s="113"/>
      <c r="Q37" s="113"/>
      <c r="R37" s="98"/>
      <c r="S37" s="102"/>
      <c r="T37" s="104">
        <f t="shared" si="0"/>
        <v>0</v>
      </c>
      <c r="U37" s="104">
        <f>C37*6+M37*6+O37*6+Q37*6+T37</f>
        <v>0</v>
      </c>
      <c r="V37" s="104">
        <f>U37/6</f>
        <v>0</v>
      </c>
      <c r="W37" s="123"/>
    </row>
    <row r="38" spans="1:23" x14ac:dyDescent="0.25">
      <c r="A38" s="75">
        <f t="shared" si="1"/>
        <v>35</v>
      </c>
      <c r="B38" s="73" t="s">
        <v>21</v>
      </c>
      <c r="C38" s="47"/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0</v>
      </c>
      <c r="V38" s="50">
        <f>U38/24</f>
        <v>0</v>
      </c>
    </row>
    <row r="39" spans="1:23" x14ac:dyDescent="0.25">
      <c r="A39" s="75">
        <f t="shared" si="1"/>
        <v>36</v>
      </c>
      <c r="B39" s="132" t="s">
        <v>73</v>
      </c>
      <c r="C39" s="133"/>
      <c r="D39" s="133"/>
      <c r="E39" s="133"/>
      <c r="F39" s="133"/>
      <c r="G39" s="133"/>
      <c r="H39" s="133"/>
      <c r="I39" s="133"/>
      <c r="J39" s="134"/>
      <c r="K39" s="135"/>
      <c r="M39" s="136"/>
      <c r="N39" s="137"/>
      <c r="O39" s="133"/>
      <c r="P39" s="134"/>
      <c r="Q39" s="134"/>
      <c r="R39" s="135"/>
      <c r="T39" s="138"/>
      <c r="U39" s="138"/>
      <c r="V39" s="138"/>
    </row>
    <row r="40" spans="1:23" ht="19.5" thickBot="1" x14ac:dyDescent="0.3">
      <c r="A40" s="75">
        <f t="shared" si="1"/>
        <v>37</v>
      </c>
      <c r="B40" s="94" t="s">
        <v>22</v>
      </c>
      <c r="C40" s="95"/>
      <c r="D40" s="95"/>
      <c r="E40" s="95"/>
      <c r="F40" s="95"/>
      <c r="G40" s="95"/>
      <c r="H40" s="95"/>
      <c r="I40" s="95"/>
      <c r="J40" s="110"/>
      <c r="K40" s="96"/>
      <c r="L40" s="102"/>
      <c r="M40" s="103"/>
      <c r="N40" s="120"/>
      <c r="O40" s="97"/>
      <c r="P40" s="113"/>
      <c r="Q40" s="113"/>
      <c r="R40" s="98"/>
      <c r="S40" s="102"/>
      <c r="T40" s="104">
        <f t="shared" si="0"/>
        <v>0</v>
      </c>
      <c r="U40" s="104">
        <f>C40*24+M40*24+O40*24+Q40*24+T40</f>
        <v>0</v>
      </c>
      <c r="V40" s="104">
        <f>U40/24</f>
        <v>0</v>
      </c>
    </row>
    <row r="41" spans="1:23" ht="19.5" thickBot="1" x14ac:dyDescent="0.3">
      <c r="A41" s="75">
        <f t="shared" si="1"/>
        <v>38</v>
      </c>
      <c r="B41" s="99" t="s">
        <v>23</v>
      </c>
      <c r="C41" s="100"/>
      <c r="D41" s="100"/>
      <c r="E41" s="100"/>
      <c r="F41" s="100"/>
      <c r="G41" s="100"/>
      <c r="H41" s="100"/>
      <c r="I41" s="100"/>
      <c r="J41" s="112"/>
      <c r="K41" s="101"/>
      <c r="L41" s="105"/>
      <c r="M41" s="106"/>
      <c r="N41" s="122"/>
      <c r="O41" s="100"/>
      <c r="P41" s="112"/>
      <c r="Q41" s="112"/>
      <c r="R41" s="101"/>
      <c r="S41" s="105"/>
      <c r="T41" s="107">
        <f t="shared" si="0"/>
        <v>0</v>
      </c>
      <c r="U41" s="107">
        <f>C41*12+M41*12+O41*12+Q41*12+T41</f>
        <v>0</v>
      </c>
      <c r="V41" s="107">
        <f>U41/12</f>
        <v>0</v>
      </c>
    </row>
    <row r="42" spans="1:23" hidden="1" x14ac:dyDescent="0.25">
      <c r="A42" s="75">
        <f t="shared" si="1"/>
        <v>39</v>
      </c>
      <c r="B42" s="73" t="s">
        <v>31</v>
      </c>
      <c r="C42" s="47"/>
      <c r="D42" s="47"/>
      <c r="E42" s="47"/>
      <c r="F42" s="47"/>
      <c r="G42" s="47"/>
      <c r="H42" s="47"/>
      <c r="I42" s="47"/>
      <c r="J42" s="111"/>
      <c r="K42" s="46"/>
      <c r="M42" s="52"/>
      <c r="N42" s="121"/>
      <c r="O42" s="47"/>
      <c r="P42" s="111"/>
      <c r="Q42" s="111"/>
      <c r="R42" s="46"/>
      <c r="T42" s="50"/>
      <c r="U42" s="50"/>
      <c r="V42" s="50"/>
    </row>
    <row r="43" spans="1:23" ht="19.5" thickBot="1" x14ac:dyDescent="0.3">
      <c r="A43" s="75">
        <f t="shared" si="1"/>
        <v>40</v>
      </c>
      <c r="B43" s="94" t="s">
        <v>24</v>
      </c>
      <c r="C43" s="97"/>
      <c r="D43" s="97"/>
      <c r="E43" s="97"/>
      <c r="F43" s="97"/>
      <c r="G43" s="97"/>
      <c r="H43" s="97"/>
      <c r="I43" s="97"/>
      <c r="J43" s="113"/>
      <c r="K43" s="98"/>
      <c r="L43" s="102"/>
      <c r="M43" s="103"/>
      <c r="N43" s="120"/>
      <c r="O43" s="97"/>
      <c r="P43" s="113"/>
      <c r="Q43" s="113"/>
      <c r="R43" s="98"/>
      <c r="S43" s="102"/>
      <c r="T43" s="104">
        <f t="shared" ref="T43" si="6">H43+I43+J43+K43+N43+P43+R43</f>
        <v>0</v>
      </c>
      <c r="U43" s="104">
        <f>C43*6+M43*6+O43*6+Q43*6+T43</f>
        <v>0</v>
      </c>
      <c r="V43" s="104">
        <f>U43/6</f>
        <v>0</v>
      </c>
    </row>
    <row r="44" spans="1:23" hidden="1" x14ac:dyDescent="0.25">
      <c r="A44" s="75">
        <f t="shared" si="1"/>
        <v>41</v>
      </c>
      <c r="B44" s="73" t="s">
        <v>33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/>
      <c r="U44" s="50"/>
      <c r="V44" s="50"/>
    </row>
    <row r="45" spans="1:23" x14ac:dyDescent="0.25">
      <c r="A45" s="75">
        <f t="shared" si="1"/>
        <v>42</v>
      </c>
      <c r="B45" s="74" t="s">
        <v>25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54" si="7">H45+I45+J45+K45+N45+P45+R45</f>
        <v>0</v>
      </c>
      <c r="U45" s="50">
        <f>C45*24+M45*24+O45*24+Q45*24+T45</f>
        <v>0</v>
      </c>
      <c r="V45" s="50">
        <f>U45/24</f>
        <v>0</v>
      </c>
    </row>
    <row r="46" spans="1:23" x14ac:dyDescent="0.25">
      <c r="A46" s="75">
        <f t="shared" si="1"/>
        <v>43</v>
      </c>
      <c r="B46" s="74" t="s">
        <v>68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ref="U46:U50" si="8">C46*24+M46*24+O46*24+Q46*24+T46</f>
        <v>0</v>
      </c>
      <c r="V46" s="50">
        <f t="shared" ref="V46:V54" si="9">U46/24</f>
        <v>0</v>
      </c>
    </row>
    <row r="47" spans="1:23" x14ac:dyDescent="0.25">
      <c r="A47" s="75">
        <f t="shared" si="1"/>
        <v>44</v>
      </c>
      <c r="B47" s="74" t="s">
        <v>26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>C47*6+M47*6+O47*6+Q47*6+T47</f>
        <v>0</v>
      </c>
      <c r="V47" s="50">
        <f>U47/6</f>
        <v>0</v>
      </c>
    </row>
    <row r="48" spans="1:23" x14ac:dyDescent="0.25">
      <c r="A48" s="75">
        <f t="shared" si="1"/>
        <v>45</v>
      </c>
      <c r="B48" s="74" t="s">
        <v>69</v>
      </c>
      <c r="C48" s="47"/>
      <c r="D48" s="47"/>
      <c r="E48" s="47"/>
      <c r="F48" s="47"/>
      <c r="G48" s="47"/>
      <c r="H48" s="47"/>
      <c r="I48" s="47"/>
      <c r="J48" s="111"/>
      <c r="K48" s="46"/>
      <c r="M48" s="52"/>
      <c r="N48" s="121"/>
      <c r="O48" s="47"/>
      <c r="P48" s="111"/>
      <c r="Q48" s="111"/>
      <c r="R48" s="46"/>
      <c r="T48" s="50">
        <f t="shared" si="7"/>
        <v>0</v>
      </c>
      <c r="U48" s="50">
        <f t="shared" si="8"/>
        <v>0</v>
      </c>
      <c r="V48" s="50">
        <f t="shared" si="9"/>
        <v>0</v>
      </c>
    </row>
    <row r="49" spans="1:22" x14ac:dyDescent="0.25">
      <c r="A49" s="75">
        <f t="shared" si="1"/>
        <v>46</v>
      </c>
      <c r="B49" s="74" t="s">
        <v>28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si="8"/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70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8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29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>C51*6+M51*6+O51*6+Q51*6+T51</f>
        <v>0</v>
      </c>
      <c r="V51" s="50">
        <f>U51/6</f>
        <v>0</v>
      </c>
    </row>
    <row r="52" spans="1:22" x14ac:dyDescent="0.25">
      <c r="A52" s="75">
        <f t="shared" si="1"/>
        <v>49</v>
      </c>
      <c r="B52" s="74" t="s">
        <v>30</v>
      </c>
      <c r="C52" s="47"/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 t="shared" ref="U52:U54" si="10">C52*24+M52*24+O52*24+Q52*24+T52</f>
        <v>0</v>
      </c>
      <c r="V52" s="50">
        <f t="shared" si="9"/>
        <v>0</v>
      </c>
    </row>
    <row r="53" spans="1:22" x14ac:dyDescent="0.25">
      <c r="A53" s="75">
        <f t="shared" si="1"/>
        <v>50</v>
      </c>
      <c r="B53" s="74" t="s">
        <v>75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si="10"/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>
        <f t="shared" si="7"/>
        <v>0</v>
      </c>
      <c r="U54" s="50">
        <f t="shared" si="10"/>
        <v>0</v>
      </c>
      <c r="V54" s="50">
        <f t="shared" si="9"/>
        <v>0</v>
      </c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x14ac:dyDescent="0.25">
      <c r="A57" s="75">
        <f t="shared" si="1"/>
        <v>54</v>
      </c>
      <c r="B57" s="74"/>
      <c r="C57" s="47"/>
      <c r="D57" s="47"/>
      <c r="E57" s="47"/>
      <c r="F57" s="47"/>
      <c r="G57" s="47"/>
      <c r="H57" s="47"/>
      <c r="I57" s="47"/>
      <c r="J57" s="111"/>
      <c r="K57" s="46"/>
      <c r="M57" s="52"/>
      <c r="N57" s="121"/>
      <c r="O57" s="47"/>
      <c r="P57" s="111"/>
      <c r="Q57" s="111"/>
      <c r="R57" s="46"/>
      <c r="T57" s="50"/>
      <c r="U57" s="50"/>
      <c r="V57" s="50"/>
    </row>
    <row r="58" spans="1:22" s="63" customFormat="1" ht="19.5" thickBot="1" x14ac:dyDescent="0.3">
      <c r="B58" s="77" t="s">
        <v>60</v>
      </c>
      <c r="C58" s="49">
        <f>SUM(C7:C57)</f>
        <v>0</v>
      </c>
      <c r="D58" s="49"/>
      <c r="E58" s="49"/>
      <c r="F58" s="49">
        <f t="shared" ref="F58:K58" si="11">SUM(F7:F57)</f>
        <v>0</v>
      </c>
      <c r="G58" s="49">
        <f t="shared" si="11"/>
        <v>0</v>
      </c>
      <c r="H58" s="49">
        <f t="shared" si="11"/>
        <v>0</v>
      </c>
      <c r="I58" s="54">
        <f t="shared" si="11"/>
        <v>0</v>
      </c>
      <c r="J58" s="54">
        <f t="shared" si="11"/>
        <v>0</v>
      </c>
      <c r="K58" s="54">
        <f t="shared" si="11"/>
        <v>0</v>
      </c>
      <c r="M58" s="53">
        <f t="shared" ref="M58:R58" si="12">SUM(M7:M57)</f>
        <v>0</v>
      </c>
      <c r="N58" s="53">
        <f t="shared" si="12"/>
        <v>0</v>
      </c>
      <c r="O58" s="53">
        <f t="shared" si="12"/>
        <v>0</v>
      </c>
      <c r="P58" s="53">
        <f t="shared" si="12"/>
        <v>0</v>
      </c>
      <c r="Q58" s="53">
        <f t="shared" si="12"/>
        <v>0</v>
      </c>
      <c r="R58" s="53">
        <f t="shared" si="12"/>
        <v>0</v>
      </c>
      <c r="S58" s="57"/>
      <c r="T58" s="51">
        <f>SUM(T7:T57)</f>
        <v>0</v>
      </c>
      <c r="U58" s="51">
        <f>SUM(U7:U57)</f>
        <v>0</v>
      </c>
      <c r="V58" s="51">
        <f>SUM(V7:V57)</f>
        <v>0</v>
      </c>
    </row>
    <row r="59" spans="1:22" ht="7.5" customHeight="1" thickBot="1" x14ac:dyDescent="0.3"/>
    <row r="60" spans="1:22" ht="19.5" thickBot="1" x14ac:dyDescent="0.3">
      <c r="B60" s="78" t="s">
        <v>39</v>
      </c>
      <c r="C60" s="147" t="s">
        <v>49</v>
      </c>
      <c r="D60" s="148"/>
      <c r="E60" s="148"/>
      <c r="F60" s="148"/>
      <c r="G60" s="148"/>
      <c r="H60" s="148"/>
      <c r="I60" s="148"/>
      <c r="J60" s="148"/>
      <c r="K60" s="149"/>
      <c r="U60" s="72" t="s">
        <v>62</v>
      </c>
    </row>
    <row r="61" spans="1:22" x14ac:dyDescent="0.25">
      <c r="B61" s="79" t="s">
        <v>18</v>
      </c>
      <c r="C61" s="67"/>
      <c r="D61" s="67"/>
      <c r="E61" s="67"/>
      <c r="F61" s="67"/>
      <c r="G61" s="67"/>
      <c r="H61" s="67"/>
      <c r="I61" s="67"/>
      <c r="J61" s="114"/>
      <c r="K61" s="68"/>
      <c r="U61" s="55"/>
    </row>
    <row r="62" spans="1:22" x14ac:dyDescent="0.25">
      <c r="B62" s="80" t="s">
        <v>55</v>
      </c>
      <c r="C62" s="48"/>
      <c r="D62" s="48"/>
      <c r="E62" s="48"/>
      <c r="F62" s="48"/>
      <c r="G62" s="48"/>
      <c r="H62" s="48"/>
      <c r="I62" s="48"/>
      <c r="J62" s="109"/>
      <c r="K62" s="69"/>
      <c r="U62" s="50"/>
    </row>
    <row r="63" spans="1:22" ht="19.5" thickBot="1" x14ac:dyDescent="0.3">
      <c r="B63" s="81" t="s">
        <v>54</v>
      </c>
      <c r="C63" s="70"/>
      <c r="D63" s="70"/>
      <c r="E63" s="70"/>
      <c r="F63" s="70"/>
      <c r="G63" s="70"/>
      <c r="H63" s="70"/>
      <c r="I63" s="70"/>
      <c r="J63" s="115"/>
      <c r="K63" s="71"/>
      <c r="U63" s="56"/>
    </row>
    <row r="64" spans="1:22" ht="7.5" customHeight="1" thickBot="1" x14ac:dyDescent="0.3"/>
    <row r="65" spans="2:21" x14ac:dyDescent="0.25">
      <c r="B65" s="79" t="s">
        <v>56</v>
      </c>
      <c r="C65" s="67"/>
      <c r="D65" s="67"/>
      <c r="E65" s="67"/>
      <c r="F65" s="67"/>
      <c r="G65" s="67"/>
      <c r="H65" s="67"/>
      <c r="I65" s="67"/>
      <c r="J65" s="114"/>
      <c r="K65" s="68"/>
      <c r="U65" s="55"/>
    </row>
    <row r="66" spans="2:21" x14ac:dyDescent="0.25">
      <c r="B66" s="80" t="s">
        <v>55</v>
      </c>
      <c r="C66" s="48"/>
      <c r="D66" s="48"/>
      <c r="E66" s="48"/>
      <c r="F66" s="48"/>
      <c r="G66" s="48"/>
      <c r="H66" s="48"/>
      <c r="I66" s="48"/>
      <c r="J66" s="109"/>
      <c r="K66" s="69"/>
      <c r="U66" s="50"/>
    </row>
    <row r="67" spans="2:21" ht="19.5" thickBot="1" x14ac:dyDescent="0.3">
      <c r="B67" s="81" t="s">
        <v>54</v>
      </c>
      <c r="C67" s="70"/>
      <c r="D67" s="70"/>
      <c r="E67" s="70"/>
      <c r="F67" s="70"/>
      <c r="G67" s="70"/>
      <c r="H67" s="70"/>
      <c r="I67" s="70"/>
      <c r="J67" s="115"/>
      <c r="K67" s="71"/>
      <c r="U67" s="56"/>
    </row>
    <row r="68" spans="2:21" ht="7.5" customHeight="1" thickBot="1" x14ac:dyDescent="0.3"/>
    <row r="69" spans="2:21" x14ac:dyDescent="0.25">
      <c r="B69" s="79" t="s">
        <v>41</v>
      </c>
      <c r="C69" s="67"/>
      <c r="D69" s="67"/>
      <c r="E69" s="67"/>
      <c r="F69" s="67"/>
      <c r="G69" s="67"/>
      <c r="H69" s="67"/>
      <c r="I69" s="67"/>
      <c r="J69" s="114"/>
      <c r="K69" s="68"/>
      <c r="U69" s="55"/>
    </row>
    <row r="70" spans="2:21" x14ac:dyDescent="0.25">
      <c r="B70" s="80" t="s">
        <v>55</v>
      </c>
      <c r="C70" s="48"/>
      <c r="D70" s="48"/>
      <c r="E70" s="48"/>
      <c r="F70" s="48"/>
      <c r="G70" s="48"/>
      <c r="H70" s="48"/>
      <c r="I70" s="48"/>
      <c r="J70" s="109"/>
      <c r="K70" s="69"/>
      <c r="U70" s="50"/>
    </row>
    <row r="71" spans="2:21" ht="19.5" thickBot="1" x14ac:dyDescent="0.3">
      <c r="B71" s="81" t="s">
        <v>54</v>
      </c>
      <c r="C71" s="70"/>
      <c r="D71" s="70"/>
      <c r="E71" s="70"/>
      <c r="F71" s="70"/>
      <c r="G71" s="70"/>
      <c r="H71" s="70"/>
      <c r="I71" s="70"/>
      <c r="J71" s="115"/>
      <c r="K71" s="71"/>
      <c r="U71" s="56"/>
    </row>
    <row r="72" spans="2:21" ht="7.5" customHeight="1" thickBot="1" x14ac:dyDescent="0.3"/>
    <row r="73" spans="2:21" x14ac:dyDescent="0.25">
      <c r="B73" s="79" t="s">
        <v>57</v>
      </c>
      <c r="C73" s="67"/>
      <c r="D73" s="67"/>
      <c r="E73" s="67"/>
      <c r="F73" s="67"/>
      <c r="G73" s="67"/>
      <c r="H73" s="67"/>
      <c r="I73" s="67"/>
      <c r="J73" s="114"/>
      <c r="K73" s="68"/>
      <c r="U73" s="55"/>
    </row>
    <row r="74" spans="2:21" x14ac:dyDescent="0.25">
      <c r="B74" s="80" t="s">
        <v>55</v>
      </c>
      <c r="C74" s="48"/>
      <c r="D74" s="48"/>
      <c r="E74" s="48"/>
      <c r="F74" s="48"/>
      <c r="G74" s="48"/>
      <c r="H74" s="48"/>
      <c r="I74" s="48"/>
      <c r="J74" s="109"/>
      <c r="K74" s="69"/>
      <c r="U74" s="50"/>
    </row>
    <row r="75" spans="2:21" ht="19.5" thickBot="1" x14ac:dyDescent="0.3">
      <c r="B75" s="81" t="s">
        <v>54</v>
      </c>
      <c r="C75" s="70"/>
      <c r="D75" s="70"/>
      <c r="E75" s="70"/>
      <c r="F75" s="70"/>
      <c r="G75" s="70"/>
      <c r="H75" s="70"/>
      <c r="I75" s="70"/>
      <c r="J75" s="115"/>
      <c r="K75" s="71"/>
      <c r="U75" s="56"/>
    </row>
    <row r="76" spans="2:21" ht="7.5" customHeight="1" thickBot="1" x14ac:dyDescent="0.3"/>
    <row r="77" spans="2:21" x14ac:dyDescent="0.25">
      <c r="B77" s="79" t="s">
        <v>58</v>
      </c>
      <c r="C77" s="67"/>
      <c r="D77" s="67"/>
      <c r="E77" s="67"/>
      <c r="F77" s="67"/>
      <c r="G77" s="67"/>
      <c r="H77" s="67"/>
      <c r="I77" s="67"/>
      <c r="J77" s="114"/>
      <c r="K77" s="68"/>
      <c r="U77" s="55"/>
    </row>
    <row r="78" spans="2:21" x14ac:dyDescent="0.25">
      <c r="B78" s="80" t="s">
        <v>55</v>
      </c>
      <c r="C78" s="48"/>
      <c r="D78" s="48"/>
      <c r="E78" s="48"/>
      <c r="F78" s="48"/>
      <c r="G78" s="48"/>
      <c r="H78" s="48"/>
      <c r="I78" s="48"/>
      <c r="J78" s="109"/>
      <c r="K78" s="69"/>
      <c r="U78" s="50"/>
    </row>
    <row r="79" spans="2:21" ht="19.5" thickBot="1" x14ac:dyDescent="0.3">
      <c r="B79" s="81" t="s">
        <v>54</v>
      </c>
      <c r="C79" s="70"/>
      <c r="D79" s="70"/>
      <c r="E79" s="70"/>
      <c r="F79" s="70"/>
      <c r="G79" s="70"/>
      <c r="H79" s="70"/>
      <c r="I79" s="70"/>
      <c r="J79" s="115"/>
      <c r="K79" s="71"/>
      <c r="U79" s="56"/>
    </row>
    <row r="80" spans="2:21" ht="7.5" customHeight="1" thickBot="1" x14ac:dyDescent="0.3"/>
    <row r="81" spans="2:21" ht="19.5" thickBot="1" x14ac:dyDescent="0.3">
      <c r="B81" s="78" t="s">
        <v>59</v>
      </c>
      <c r="C81" s="65"/>
      <c r="D81" s="65"/>
      <c r="E81" s="65"/>
      <c r="F81" s="65"/>
      <c r="G81" s="65"/>
      <c r="H81" s="65"/>
      <c r="I81" s="65"/>
      <c r="J81" s="116"/>
      <c r="K81" s="66"/>
      <c r="U81" s="64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16</vt:i4>
      </vt:variant>
    </vt:vector>
  </HeadingPairs>
  <TitlesOfParts>
    <vt:vector size="32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02-16-2026</vt:lpstr>
      <vt:lpstr>EXAMPLE</vt:lpstr>
      <vt:lpstr>02-17-2026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'02-16-2026'!Print_Area</vt:lpstr>
      <vt:lpstr>'02-17-2026'!Print_Area</vt:lpstr>
      <vt:lpstr>'COUNT SHEET'!Print_Area</vt:lpstr>
      <vt:lpstr>'COUNT SHEET SAMPLE'!Print_Area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2026-02-16T07:39:40Z</dcterms:modified>
</cp:coreProperties>
</file>