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106B78BE-E74E-4A0F-86AE-8EBF92A27DFA}" xr6:coauthVersionLast="45" xr6:coauthVersionMax="45" xr10:uidLastSave="{00000000-0000-0000-0000-000000000000}"/>
  <bookViews>
    <workbookView xWindow="-120" yWindow="-120" windowWidth="29040" windowHeight="15840" activeTab="2" xr2:uid="{D34C963E-9680-4B45-A4EE-B681FF0CEC08}"/>
  </bookViews>
  <sheets>
    <sheet name="COUNT SHEET" sheetId="9" r:id="rId1"/>
    <sheet name="COUNT SHEET SAMPLE" sheetId="10" r:id="rId2"/>
    <sheet name="02-13-2026" sheetId="11" r:id="rId3"/>
  </sheets>
  <definedNames>
    <definedName name="_xlnm.Print_Area" localSheetId="2">'02-13-2026'!$A$1:$W$58</definedName>
    <definedName name="_xlnm.Print_Area" localSheetId="0">'COUNT SHEET'!$A$1:$AM$25</definedName>
    <definedName name="_xlnm.Print_Area" localSheetId="1">'COUNT SHEET SAMPLE'!$A$1:$Q$88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4" i="11" l="1"/>
  <c r="C48" i="11"/>
  <c r="T53" i="11"/>
  <c r="U53" i="11" s="1"/>
  <c r="V53" i="11" s="1"/>
  <c r="T52" i="11"/>
  <c r="U52" i="11" s="1"/>
  <c r="V52" i="11" s="1"/>
  <c r="T51" i="11"/>
  <c r="U51" i="11" s="1"/>
  <c r="V51" i="11" s="1"/>
  <c r="T50" i="11"/>
  <c r="U50" i="11" s="1"/>
  <c r="V50" i="11" s="1"/>
  <c r="T49" i="11"/>
  <c r="U49" i="11" s="1"/>
  <c r="V49" i="11" s="1"/>
  <c r="T48" i="11"/>
  <c r="U48" i="11" s="1"/>
  <c r="V48" i="11" s="1"/>
  <c r="V47" i="11"/>
  <c r="V46" i="11"/>
  <c r="V45" i="11"/>
  <c r="V44" i="11"/>
  <c r="T47" i="11"/>
  <c r="U47" i="11" s="1"/>
  <c r="T46" i="11"/>
  <c r="U46" i="11" s="1"/>
  <c r="T45" i="11"/>
  <c r="U45" i="11" s="1"/>
  <c r="U44" i="11"/>
  <c r="T44" i="11"/>
  <c r="V42" i="11"/>
  <c r="K42" i="11"/>
  <c r="C42" i="11"/>
  <c r="T42" i="11"/>
  <c r="V40" i="11"/>
  <c r="C40" i="11"/>
  <c r="U40" i="11" s="1"/>
  <c r="T40" i="11"/>
  <c r="C39" i="11"/>
  <c r="T39" i="11"/>
  <c r="C38" i="11"/>
  <c r="U38" i="11"/>
  <c r="V38" i="11" s="1"/>
  <c r="T38" i="11"/>
  <c r="V37" i="11"/>
  <c r="C37" i="11"/>
  <c r="U37" i="11"/>
  <c r="T37" i="11"/>
  <c r="C34" i="11"/>
  <c r="C26" i="11"/>
  <c r="V36" i="11"/>
  <c r="V35" i="11"/>
  <c r="V33" i="11"/>
  <c r="V32" i="11"/>
  <c r="V31" i="11"/>
  <c r="V29" i="11"/>
  <c r="V27" i="11"/>
  <c r="V18" i="11"/>
  <c r="V16" i="11"/>
  <c r="V15" i="11"/>
  <c r="V14" i="11"/>
  <c r="U36" i="11"/>
  <c r="U35" i="11"/>
  <c r="U33" i="11"/>
  <c r="U32" i="11"/>
  <c r="U31" i="11"/>
  <c r="U30" i="11"/>
  <c r="V30" i="11" s="1"/>
  <c r="U29" i="11"/>
  <c r="U27" i="11"/>
  <c r="U25" i="11"/>
  <c r="V25" i="11" s="1"/>
  <c r="U24" i="11"/>
  <c r="V24" i="11" s="1"/>
  <c r="U23" i="11"/>
  <c r="V23" i="11" s="1"/>
  <c r="U22" i="11"/>
  <c r="V22" i="11" s="1"/>
  <c r="U21" i="11"/>
  <c r="V21" i="11" s="1"/>
  <c r="U20" i="11"/>
  <c r="V20" i="11" s="1"/>
  <c r="U19" i="11"/>
  <c r="V19" i="11" s="1"/>
  <c r="U18" i="11"/>
  <c r="U17" i="11"/>
  <c r="V17" i="11" s="1"/>
  <c r="U16" i="11"/>
  <c r="U15" i="11"/>
  <c r="U14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U28" i="11" s="1"/>
  <c r="V28" i="11" s="1"/>
  <c r="T29" i="11"/>
  <c r="T30" i="11"/>
  <c r="T31" i="11"/>
  <c r="T32" i="11"/>
  <c r="T33" i="11"/>
  <c r="T34" i="11"/>
  <c r="U34" i="11" s="1"/>
  <c r="V34" i="11" s="1"/>
  <c r="T35" i="11"/>
  <c r="T36" i="11"/>
  <c r="U13" i="11"/>
  <c r="V13" i="11" s="1"/>
  <c r="T13" i="11"/>
  <c r="U12" i="11"/>
  <c r="V12" i="11" s="1"/>
  <c r="C12" i="11"/>
  <c r="T8" i="11"/>
  <c r="U8" i="11" s="1"/>
  <c r="V8" i="11" s="1"/>
  <c r="T9" i="11"/>
  <c r="U9" i="11" s="1"/>
  <c r="V9" i="11" s="1"/>
  <c r="T10" i="11"/>
  <c r="T11" i="11"/>
  <c r="U11" i="11" s="1"/>
  <c r="V11" i="11" s="1"/>
  <c r="T12" i="11"/>
  <c r="T7" i="11"/>
  <c r="U7" i="11" s="1"/>
  <c r="V7" i="11" s="1"/>
  <c r="U10" i="11"/>
  <c r="V10" i="11" s="1"/>
  <c r="C8" i="11"/>
  <c r="U42" i="11" l="1"/>
  <c r="U39" i="11"/>
  <c r="V39" i="11" s="1"/>
  <c r="U26" i="11"/>
  <c r="V26" i="11" s="1"/>
  <c r="T57" i="11"/>
  <c r="U57" i="11" l="1"/>
  <c r="A8" i="11" l="1"/>
  <c r="A9" i="11" s="1"/>
  <c r="A10" i="11" s="1"/>
  <c r="A11" i="11" s="1"/>
  <c r="A14" i="11"/>
  <c r="A15" i="11" s="1"/>
  <c r="A16" i="11" s="1"/>
  <c r="A17" i="11" s="1"/>
  <c r="A18" i="11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V57" i="11" l="1"/>
  <c r="N57" i="11"/>
  <c r="P57" i="11"/>
  <c r="Q57" i="11"/>
  <c r="R57" i="11"/>
  <c r="O57" i="11"/>
  <c r="M57" i="11"/>
  <c r="J57" i="11"/>
  <c r="I57" i="11"/>
  <c r="H57" i="11"/>
  <c r="K57" i="11"/>
  <c r="G57" i="11"/>
  <c r="F57" i="11"/>
  <c r="C57" i="11" l="1"/>
  <c r="AY26" i="11" l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8" i="10"/>
  <c r="AS26" i="10" l="1"/>
</calcChain>
</file>

<file path=xl/sharedStrings.xml><?xml version="1.0" encoding="utf-8"?>
<sst xmlns="http://schemas.openxmlformats.org/spreadsheetml/2006/main" count="227" uniqueCount="82">
  <si>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</si>
  <si>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</si>
  <si>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</si>
  <si>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</si>
  <si>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</si>
  <si>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</si>
  <si>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</si>
  <si>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</si>
  <si>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</si>
  <si>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</si>
  <si>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</si>
  <si>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</si>
  <si>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</si>
  <si>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</si>
  <si>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</si>
  <si>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</si>
  <si>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</si>
  <si>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</si>
  <si>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</si>
  <si>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</si>
  <si>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</si>
  <si>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</si>
  <si>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</si>
  <si>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</si>
  <si>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</si>
  <si>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</si>
  <si>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</si>
  <si>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</si>
  <si>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</si>
  <si>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</si>
  <si>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</si>
  <si>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</si>
  <si>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</si>
  <si>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</si>
  <si>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</si>
  <si>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</si>
  <si>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</si>
  <si>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</si>
  <si>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</si>
  <si>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</si>
  <si>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</si>
  <si>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</si>
  <si>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</si>
  <si>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</si>
  <si>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</si>
  <si>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</si>
  <si>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</si>
  <si>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</si>
  <si>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</si>
  <si>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</si>
  <si>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</si>
  <si>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</si>
  <si>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</si>
  <si>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</si>
  <si>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</si>
  <si>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</si>
  <si>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</si>
  <si>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</si>
  <si>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</si>
  <si>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</si>
  <si>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</si>
  <si>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</si>
  <si>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</si>
  <si>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</si>
  <si>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</si>
  <si>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</si>
  <si>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</si>
  <si>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</si>
  <si>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</si>
  <si>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</si>
  <si>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</si>
  <si>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</si>
  <si>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</si>
  <si>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</si>
  <si>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SL500C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</si>
  <si>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</si>
  <si>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</si>
  <si>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</si>
  <si>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</si>
  <si>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</si>
  <si>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</si>
  <si>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DATE: 02/13/2026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</si>
</sst>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147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166" fontId="2" fillId="0" borderId="0" xfId="2" applyNumberFormat="1" applyFont="1" applyFill="1" applyAlignment="1">
      <alignment vertical="center"/>
    </xf>
    <xf numFmtId="166" fontId="2" fillId="0" borderId="67" xfId="3" applyNumberFormat="1" applyFont="1" applyFill="1" applyBorder="1" applyAlignment="1">
      <alignment vertical="center"/>
    </xf>
    <xf numFmtId="166" fontId="2" fillId="0" borderId="66" xfId="3" applyNumberFormat="1" applyFont="1" applyFill="1" applyBorder="1" applyAlignment="1">
      <alignment vertical="center"/>
    </xf>
    <xf numFmtId="166" fontId="2" fillId="0" borderId="68" xfId="3" applyNumberFormat="1" applyFont="1" applyFill="1" applyBorder="1" applyAlignment="1">
      <alignment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54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65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 wrapText="1"/>
    </xf>
    <xf numFmtId="0" fontId="13" fillId="0" borderId="33" xfId="2" applyFont="1" applyFill="1" applyBorder="1" applyAlignment="1">
      <alignment horizontal="center" vertical="center" wrapText="1"/>
    </xf>
    <xf numFmtId="0" fontId="16" fillId="0" borderId="12" xfId="2" applyFont="1" applyFill="1" applyBorder="1" applyAlignment="1">
      <alignment horizontal="center" vertical="center" wrapText="1"/>
    </xf>
    <xf numFmtId="0" fontId="16" fillId="0" borderId="33" xfId="2" applyFont="1" applyFill="1" applyBorder="1" applyAlignment="1">
      <alignment horizontal="center" vertical="center" wrapText="1"/>
    </xf>
    <xf numFmtId="0" fontId="9" fillId="0" borderId="12" xfId="2" applyFont="1" applyFill="1" applyBorder="1" applyAlignment="1">
      <alignment horizontal="center" vertical="center" wrapText="1"/>
    </xf>
    <xf numFmtId="0" fontId="9" fillId="0" borderId="3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30" t="s">
        <v>39</v>
      </c>
      <c r="B21" s="127" t="s">
        <v>18</v>
      </c>
      <c r="C21" s="128"/>
      <c r="D21" s="129"/>
      <c r="E21" s="127" t="s">
        <v>40</v>
      </c>
      <c r="F21" s="128"/>
      <c r="G21" s="129"/>
      <c r="H21" s="127" t="s">
        <v>41</v>
      </c>
      <c r="I21" s="128"/>
      <c r="J21" s="129"/>
      <c r="K21" s="127" t="s">
        <v>42</v>
      </c>
      <c r="L21" s="128"/>
      <c r="M21" s="129"/>
      <c r="N21" s="127" t="s">
        <v>43</v>
      </c>
      <c r="O21" s="128"/>
      <c r="P21" s="129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31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80"/>
  <sheetViews>
    <sheetView view="pageBreakPreview" topLeftCell="A16" zoomScale="115" zoomScaleNormal="100" zoomScaleSheetLayoutView="115" workbookViewId="0">
      <selection activeCell="A7" sqref="A7:B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37" t="s">
        <v>53</v>
      </c>
      <c r="I1" s="137"/>
      <c r="J1" s="137"/>
      <c r="K1" s="137"/>
      <c r="L1" s="137"/>
      <c r="M1" s="137"/>
      <c r="N1" s="137"/>
      <c r="O1" s="137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32" t="s">
        <v>49</v>
      </c>
      <c r="D4" s="132"/>
      <c r="E4" s="132"/>
      <c r="F4" s="132"/>
      <c r="G4" s="132"/>
      <c r="H4" s="132"/>
      <c r="I4" s="133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s="61" customFormat="1" x14ac:dyDescent="0.25">
      <c r="A24" s="75">
        <f t="shared" si="0"/>
        <v>21</v>
      </c>
      <c r="B24" s="74" t="s">
        <v>75</v>
      </c>
      <c r="C24" s="47"/>
      <c r="D24" s="47"/>
      <c r="E24" s="47"/>
      <c r="F24" s="47"/>
      <c r="G24" s="47"/>
      <c r="H24" s="47"/>
      <c r="I24" s="46"/>
      <c r="J24" s="57"/>
      <c r="K24" s="52"/>
      <c r="L24" s="47"/>
      <c r="M24" s="46"/>
      <c r="N24" s="57"/>
      <c r="O24" s="50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67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</row>
    <row r="26" spans="1:48" x14ac:dyDescent="0.25">
      <c r="A26" s="75">
        <f t="shared" si="0"/>
        <v>23</v>
      </c>
      <c r="B26" s="74" t="s">
        <v>9</v>
      </c>
      <c r="C26" s="47"/>
      <c r="D26" s="47"/>
      <c r="E26" s="47"/>
      <c r="F26" s="47"/>
      <c r="G26" s="47"/>
      <c r="H26" s="47"/>
      <c r="I26" s="46"/>
      <c r="K26" s="52"/>
      <c r="L26" s="47"/>
      <c r="M26" s="46"/>
      <c r="O26" s="50"/>
      <c r="AS26" s="62" t="e">
        <f>#REF!-AS25</f>
        <v>#REF!</v>
      </c>
    </row>
    <row r="27" spans="1:48" s="61" customFormat="1" x14ac:dyDescent="0.25">
      <c r="A27" s="75">
        <f t="shared" si="0"/>
        <v>24</v>
      </c>
      <c r="B27" s="74" t="s">
        <v>11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s="61" customFormat="1" x14ac:dyDescent="0.25">
      <c r="A28" s="75">
        <f t="shared" si="0"/>
        <v>25</v>
      </c>
      <c r="B28" s="74" t="s">
        <v>12</v>
      </c>
      <c r="C28" s="47"/>
      <c r="D28" s="47"/>
      <c r="E28" s="47"/>
      <c r="F28" s="47"/>
      <c r="G28" s="47"/>
      <c r="H28" s="47"/>
      <c r="I28" s="46"/>
      <c r="J28" s="57"/>
      <c r="K28" s="52"/>
      <c r="L28" s="47"/>
      <c r="M28" s="46"/>
      <c r="N28" s="57"/>
      <c r="O28" s="50"/>
      <c r="P28" s="57"/>
      <c r="Q28" s="57"/>
      <c r="R28" s="57"/>
      <c r="S28" s="57"/>
      <c r="T28" s="57"/>
      <c r="U28" s="57"/>
      <c r="V28" s="57"/>
      <c r="W28" s="57"/>
      <c r="X28" s="57"/>
      <c r="Y28" s="57"/>
    </row>
    <row r="29" spans="1:48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16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13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15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x14ac:dyDescent="0.25">
      <c r="A34" s="75">
        <f t="shared" si="0"/>
        <v>31</v>
      </c>
      <c r="B34" s="74" t="s">
        <v>18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6"/>
      <c r="K36" s="52"/>
      <c r="L36" s="47"/>
      <c r="M36" s="46"/>
      <c r="O36" s="50"/>
    </row>
    <row r="37" spans="1:15" ht="19.5" thickBot="1" x14ac:dyDescent="0.3">
      <c r="A37" s="75">
        <f t="shared" si="0"/>
        <v>34</v>
      </c>
      <c r="B37" s="94" t="s">
        <v>20</v>
      </c>
      <c r="C37" s="95"/>
      <c r="D37" s="95"/>
      <c r="E37" s="95"/>
      <c r="F37" s="95"/>
      <c r="G37" s="95"/>
      <c r="H37" s="95"/>
      <c r="I37" s="96"/>
      <c r="J37" s="102"/>
      <c r="K37" s="103"/>
      <c r="L37" s="97"/>
      <c r="M37" s="98"/>
      <c r="N37" s="102"/>
      <c r="O37" s="104"/>
    </row>
    <row r="38" spans="1:15" x14ac:dyDescent="0.25">
      <c r="A38" s="75">
        <f t="shared" si="0"/>
        <v>35</v>
      </c>
      <c r="B38" s="73" t="s">
        <v>21</v>
      </c>
      <c r="C38" s="47"/>
      <c r="D38" s="47"/>
      <c r="E38" s="47"/>
      <c r="F38" s="47"/>
      <c r="G38" s="47"/>
      <c r="H38" s="47"/>
      <c r="I38" s="46"/>
      <c r="K38" s="52"/>
      <c r="L38" s="47"/>
      <c r="M38" s="46"/>
      <c r="O38" s="50"/>
    </row>
    <row r="39" spans="1:15" ht="19.5" thickBot="1" x14ac:dyDescent="0.3">
      <c r="A39" s="75">
        <f t="shared" si="0"/>
        <v>36</v>
      </c>
      <c r="B39" s="94" t="s">
        <v>22</v>
      </c>
      <c r="C39" s="95"/>
      <c r="D39" s="95"/>
      <c r="E39" s="95"/>
      <c r="F39" s="95"/>
      <c r="G39" s="95"/>
      <c r="H39" s="95"/>
      <c r="I39" s="96"/>
      <c r="J39" s="102"/>
      <c r="K39" s="103"/>
      <c r="L39" s="97"/>
      <c r="M39" s="98"/>
      <c r="N39" s="102"/>
      <c r="O39" s="104"/>
    </row>
    <row r="40" spans="1:15" ht="19.5" thickBot="1" x14ac:dyDescent="0.3">
      <c r="A40" s="75">
        <f t="shared" si="0"/>
        <v>37</v>
      </c>
      <c r="B40" s="99" t="s">
        <v>23</v>
      </c>
      <c r="C40" s="100"/>
      <c r="D40" s="100"/>
      <c r="E40" s="100"/>
      <c r="F40" s="100"/>
      <c r="G40" s="100"/>
      <c r="H40" s="100"/>
      <c r="I40" s="101"/>
      <c r="J40" s="105"/>
      <c r="K40" s="106"/>
      <c r="L40" s="100"/>
      <c r="M40" s="101"/>
      <c r="N40" s="105"/>
      <c r="O40" s="107"/>
    </row>
    <row r="41" spans="1:15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6"/>
      <c r="K41" s="52"/>
      <c r="L41" s="47"/>
      <c r="M41" s="46"/>
      <c r="O41" s="50"/>
    </row>
    <row r="42" spans="1:15" ht="19.5" thickBot="1" x14ac:dyDescent="0.3">
      <c r="A42" s="75">
        <f t="shared" si="0"/>
        <v>39</v>
      </c>
      <c r="B42" s="94" t="s">
        <v>24</v>
      </c>
      <c r="C42" s="97"/>
      <c r="D42" s="97"/>
      <c r="E42" s="97"/>
      <c r="F42" s="97"/>
      <c r="G42" s="97"/>
      <c r="H42" s="97"/>
      <c r="I42" s="98"/>
      <c r="J42" s="102"/>
      <c r="K42" s="103"/>
      <c r="L42" s="97"/>
      <c r="M42" s="98"/>
      <c r="N42" s="102"/>
      <c r="O42" s="104"/>
    </row>
    <row r="43" spans="1:15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43</v>
      </c>
      <c r="B46" s="74" t="s">
        <v>73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44</v>
      </c>
      <c r="B47" s="74" t="s">
        <v>74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45</v>
      </c>
      <c r="B48" s="74" t="s">
        <v>26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47</v>
      </c>
      <c r="B50" s="74" t="s">
        <v>28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6"/>
      <c r="K51" s="52"/>
      <c r="L51" s="47"/>
      <c r="M51" s="46"/>
      <c r="O51" s="50"/>
    </row>
    <row r="52" spans="1:15" x14ac:dyDescent="0.25">
      <c r="A52" s="75">
        <f t="shared" si="0"/>
        <v>49</v>
      </c>
      <c r="B52" s="74" t="s">
        <v>29</v>
      </c>
      <c r="C52" s="47"/>
      <c r="D52" s="47"/>
      <c r="E52" s="47"/>
      <c r="F52" s="47"/>
      <c r="G52" s="47"/>
      <c r="H52" s="47"/>
      <c r="I52" s="46"/>
      <c r="K52" s="52"/>
      <c r="L52" s="47"/>
      <c r="M52" s="46"/>
      <c r="O52" s="50"/>
    </row>
    <row r="53" spans="1:15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6"/>
      <c r="K53" s="52"/>
      <c r="L53" s="47"/>
      <c r="M53" s="46"/>
      <c r="O53" s="50"/>
    </row>
    <row r="54" spans="1:15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6"/>
      <c r="K54" s="52"/>
      <c r="L54" s="47"/>
      <c r="M54" s="46"/>
      <c r="O54" s="50"/>
    </row>
    <row r="55" spans="1:15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6"/>
      <c r="K55" s="52"/>
      <c r="L55" s="47"/>
      <c r="M55" s="46"/>
      <c r="O55" s="50"/>
    </row>
    <row r="56" spans="1:15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6"/>
      <c r="K56" s="52"/>
      <c r="L56" s="47"/>
      <c r="M56" s="46"/>
      <c r="O56" s="50"/>
    </row>
    <row r="57" spans="1:15" s="63" customFormat="1" ht="19.5" thickBot="1" x14ac:dyDescent="0.3">
      <c r="B57" s="77" t="s">
        <v>60</v>
      </c>
      <c r="C57" s="49"/>
      <c r="D57" s="49"/>
      <c r="E57" s="49"/>
      <c r="F57" s="49"/>
      <c r="G57" s="49"/>
      <c r="H57" s="49"/>
      <c r="I57" s="54"/>
      <c r="K57" s="53"/>
      <c r="L57" s="49"/>
      <c r="M57" s="54"/>
      <c r="N57" s="57"/>
      <c r="O57" s="51"/>
    </row>
    <row r="58" spans="1:15" ht="7.5" customHeight="1" thickBot="1" x14ac:dyDescent="0.3"/>
    <row r="59" spans="1:15" ht="19.5" thickBot="1" x14ac:dyDescent="0.3">
      <c r="B59" s="78" t="s">
        <v>39</v>
      </c>
      <c r="C59" s="134" t="s">
        <v>49</v>
      </c>
      <c r="D59" s="135"/>
      <c r="E59" s="135"/>
      <c r="F59" s="135"/>
      <c r="G59" s="135"/>
      <c r="H59" s="135"/>
      <c r="I59" s="136"/>
      <c r="O59" s="72" t="s">
        <v>62</v>
      </c>
    </row>
    <row r="60" spans="1:15" x14ac:dyDescent="0.25">
      <c r="B60" s="79" t="s">
        <v>18</v>
      </c>
      <c r="C60" s="67"/>
      <c r="D60" s="67"/>
      <c r="E60" s="67"/>
      <c r="F60" s="67"/>
      <c r="G60" s="67"/>
      <c r="H60" s="67"/>
      <c r="I60" s="68"/>
      <c r="O60" s="55"/>
    </row>
    <row r="61" spans="1:15" x14ac:dyDescent="0.25">
      <c r="B61" s="80" t="s">
        <v>55</v>
      </c>
      <c r="C61" s="48"/>
      <c r="D61" s="48"/>
      <c r="E61" s="48"/>
      <c r="F61" s="48"/>
      <c r="G61" s="48"/>
      <c r="H61" s="48"/>
      <c r="I61" s="69"/>
      <c r="O61" s="50"/>
    </row>
    <row r="62" spans="1:15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1"/>
      <c r="O62" s="56"/>
    </row>
    <row r="63" spans="1:15" ht="7.5" customHeight="1" thickBot="1" x14ac:dyDescent="0.3"/>
    <row r="64" spans="1:15" x14ac:dyDescent="0.25">
      <c r="B64" s="79" t="s">
        <v>56</v>
      </c>
      <c r="C64" s="67"/>
      <c r="D64" s="67"/>
      <c r="E64" s="67"/>
      <c r="F64" s="67"/>
      <c r="G64" s="67"/>
      <c r="H64" s="67"/>
      <c r="I64" s="68"/>
      <c r="O64" s="55"/>
    </row>
    <row r="65" spans="2:15" x14ac:dyDescent="0.25">
      <c r="B65" s="80" t="s">
        <v>55</v>
      </c>
      <c r="C65" s="48"/>
      <c r="D65" s="48"/>
      <c r="E65" s="48"/>
      <c r="F65" s="48"/>
      <c r="G65" s="48"/>
      <c r="H65" s="48"/>
      <c r="I65" s="69"/>
      <c r="O65" s="50"/>
    </row>
    <row r="66" spans="2:15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1"/>
      <c r="O66" s="56"/>
    </row>
    <row r="67" spans="2:15" ht="7.5" customHeight="1" thickBot="1" x14ac:dyDescent="0.3"/>
    <row r="68" spans="2:15" x14ac:dyDescent="0.25">
      <c r="B68" s="79" t="s">
        <v>41</v>
      </c>
      <c r="C68" s="67"/>
      <c r="D68" s="67"/>
      <c r="E68" s="67"/>
      <c r="F68" s="67"/>
      <c r="G68" s="67"/>
      <c r="H68" s="67"/>
      <c r="I68" s="68"/>
      <c r="O68" s="55"/>
    </row>
    <row r="69" spans="2:15" x14ac:dyDescent="0.25">
      <c r="B69" s="80" t="s">
        <v>55</v>
      </c>
      <c r="C69" s="48"/>
      <c r="D69" s="48"/>
      <c r="E69" s="48"/>
      <c r="F69" s="48"/>
      <c r="G69" s="48"/>
      <c r="H69" s="48"/>
      <c r="I69" s="69"/>
      <c r="O69" s="50"/>
    </row>
    <row r="70" spans="2:15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1"/>
      <c r="O70" s="56"/>
    </row>
    <row r="71" spans="2:15" ht="7.5" customHeight="1" thickBot="1" x14ac:dyDescent="0.3"/>
    <row r="72" spans="2:15" x14ac:dyDescent="0.25">
      <c r="B72" s="79" t="s">
        <v>57</v>
      </c>
      <c r="C72" s="67"/>
      <c r="D72" s="67"/>
      <c r="E72" s="67"/>
      <c r="F72" s="67"/>
      <c r="G72" s="67"/>
      <c r="H72" s="67"/>
      <c r="I72" s="68"/>
      <c r="O72" s="55"/>
    </row>
    <row r="73" spans="2:15" x14ac:dyDescent="0.25">
      <c r="B73" s="80" t="s">
        <v>55</v>
      </c>
      <c r="C73" s="48"/>
      <c r="D73" s="48"/>
      <c r="E73" s="48"/>
      <c r="F73" s="48"/>
      <c r="G73" s="48"/>
      <c r="H73" s="48"/>
      <c r="I73" s="69"/>
      <c r="O73" s="50"/>
    </row>
    <row r="74" spans="2:15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1"/>
      <c r="O74" s="56"/>
    </row>
    <row r="75" spans="2:15" ht="7.5" customHeight="1" thickBot="1" x14ac:dyDescent="0.3"/>
    <row r="76" spans="2:15" x14ac:dyDescent="0.25">
      <c r="B76" s="79" t="s">
        <v>58</v>
      </c>
      <c r="C76" s="67"/>
      <c r="D76" s="67"/>
      <c r="E76" s="67"/>
      <c r="F76" s="67"/>
      <c r="G76" s="67"/>
      <c r="H76" s="67"/>
      <c r="I76" s="68"/>
      <c r="O76" s="55"/>
    </row>
    <row r="77" spans="2:15" x14ac:dyDescent="0.25">
      <c r="B77" s="80" t="s">
        <v>55</v>
      </c>
      <c r="C77" s="48"/>
      <c r="D77" s="48"/>
      <c r="E77" s="48"/>
      <c r="F77" s="48"/>
      <c r="G77" s="48"/>
      <c r="H77" s="48"/>
      <c r="I77" s="69"/>
      <c r="O77" s="50"/>
    </row>
    <row r="78" spans="2:15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1"/>
      <c r="O78" s="56"/>
    </row>
    <row r="79" spans="2:15" ht="7.5" customHeight="1" thickBot="1" x14ac:dyDescent="0.3"/>
    <row r="80" spans="2:15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6"/>
      <c r="O80" s="64"/>
    </row>
  </sheetData>
  <mergeCells count="3">
    <mergeCell ref="C4:I4"/>
    <mergeCell ref="C59:I59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1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B80"/>
  <sheetViews>
    <sheetView tabSelected="1" topLeftCell="A34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37" t="s">
        <v>53</v>
      </c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</row>
    <row r="2" spans="1:54" x14ac:dyDescent="0.25">
      <c r="B2" s="76" t="s">
        <v>81</v>
      </c>
    </row>
    <row r="3" spans="1:54" ht="19.5" thickBot="1" x14ac:dyDescent="0.3"/>
    <row r="4" spans="1:54" s="58" customFormat="1" ht="15.75" x14ac:dyDescent="0.25">
      <c r="B4" s="93" t="s">
        <v>63</v>
      </c>
      <c r="C4" s="132" t="s">
        <v>49</v>
      </c>
      <c r="D4" s="132"/>
      <c r="E4" s="132"/>
      <c r="F4" s="132"/>
      <c r="G4" s="132"/>
      <c r="H4" s="132"/>
      <c r="I4" s="132"/>
      <c r="J4" s="138"/>
      <c r="K4" s="13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5" t="s">
        <v>80</v>
      </c>
      <c r="U4" s="143" t="s">
        <v>79</v>
      </c>
      <c r="V4" s="14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39" t="s">
        <v>77</v>
      </c>
      <c r="K5" s="140"/>
      <c r="M5" s="87"/>
      <c r="N5" s="118"/>
      <c r="O5" s="92"/>
      <c r="P5" s="108"/>
      <c r="Q5" s="108"/>
      <c r="R5" s="89"/>
      <c r="S5" s="57"/>
      <c r="T5" s="146"/>
      <c r="U5" s="144"/>
      <c r="V5" s="14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38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66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72+1440+25+1440+576</f>
        <v>3553</v>
      </c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>
        <v>12</v>
      </c>
      <c r="P12" s="113">
        <v>15</v>
      </c>
      <c r="Q12" s="113">
        <v>19</v>
      </c>
      <c r="R12" s="98">
        <v>6</v>
      </c>
      <c r="S12" s="102"/>
      <c r="T12" s="91">
        <f t="shared" si="0"/>
        <v>21</v>
      </c>
      <c r="U12" s="124">
        <f>C12*24+M12*24+O12*24+Q12*24+T12</f>
        <v>86037</v>
      </c>
      <c r="V12" s="124">
        <f>U12/24</f>
        <v>3584.875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f>2</f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56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72+21+15</f>
        <v>108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/>
      <c r="T34" s="91">
        <f t="shared" si="0"/>
        <v>17</v>
      </c>
      <c r="U34" s="50">
        <f t="shared" si="4"/>
        <v>2753</v>
      </c>
      <c r="V34" s="50">
        <f t="shared" si="5"/>
        <v>114.70833333333333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</f>
        <v>4536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68</v>
      </c>
      <c r="P37" s="113"/>
      <c r="Q37" s="113">
        <v>56</v>
      </c>
      <c r="R37" s="98"/>
      <c r="S37" s="102"/>
      <c r="T37" s="104">
        <f t="shared" si="0"/>
        <v>8</v>
      </c>
      <c r="U37" s="104">
        <f>C37*6+M37*6+O37*6+Q37*6+T37</f>
        <v>27968</v>
      </c>
      <c r="V37" s="104">
        <f>U37/6</f>
        <v>4661.333333333333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3+1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</f>
        <v>761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ref="T39" si="6">H39+I39+J39+K39+N39+P39+R39</f>
        <v>24</v>
      </c>
      <c r="U39" s="104">
        <f>C39*24+M39*24+O39*24+Q39*24+T39</f>
        <v>18360</v>
      </c>
      <c r="V39" s="104">
        <f>U39/24</f>
        <v>765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ref="T40" si="7">H40+I40+J40+K40+N40+P40+R40</f>
        <v>0</v>
      </c>
      <c r="U40" s="107">
        <f>C40*12+M40*12+O40*12+Q40*12+T40</f>
        <v>20352</v>
      </c>
      <c r="V40" s="107">
        <f>U40/12</f>
        <v>1696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6048+6048+2700+3564+7128</f>
        <v>25488</v>
      </c>
      <c r="D42" s="97"/>
      <c r="E42" s="97"/>
      <c r="F42" s="97"/>
      <c r="G42" s="97"/>
      <c r="H42" s="97">
        <v>2</v>
      </c>
      <c r="I42" s="97">
        <v>6</v>
      </c>
      <c r="J42" s="113">
        <v>48</v>
      </c>
      <c r="K42" s="98">
        <f>454</f>
        <v>454</v>
      </c>
      <c r="L42" s="102"/>
      <c r="M42" s="103"/>
      <c r="N42" s="120"/>
      <c r="O42" s="97">
        <v>285</v>
      </c>
      <c r="P42" s="113"/>
      <c r="Q42" s="113">
        <v>383</v>
      </c>
      <c r="R42" s="98"/>
      <c r="S42" s="102"/>
      <c r="T42" s="104">
        <f t="shared" ref="T42" si="8">H42+I42+J42+K42+N42+P42+R42</f>
        <v>510</v>
      </c>
      <c r="U42" s="104">
        <f>C42*6+M42*6+O42*6+Q42*6+T42</f>
        <v>157446</v>
      </c>
      <c r="V42" s="104">
        <f>U42/6</f>
        <v>26241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" si="9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48" si="10">H45+I45+J45+K45+N45+P45+R45</f>
        <v>0</v>
      </c>
      <c r="U45" s="50">
        <f t="shared" ref="U45:U47" si="11">C45*24+M45*24+O45*24+Q45*24+T45</f>
        <v>0</v>
      </c>
      <c r="V45" s="50">
        <f t="shared" ref="V45:V53" si="12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10"/>
        <v>0</v>
      </c>
      <c r="U46" s="50">
        <f t="shared" si="11"/>
        <v>0</v>
      </c>
      <c r="V46" s="50">
        <f t="shared" si="12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10"/>
        <v>0</v>
      </c>
      <c r="U47" s="50">
        <f t="shared" si="11"/>
        <v>0</v>
      </c>
      <c r="V47" s="50">
        <f t="shared" si="12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10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3">H49+I49+J49+K49+N49+P49+R49</f>
        <v>0</v>
      </c>
      <c r="U49" s="50">
        <f t="shared" ref="U49:U50" si="14">C49*24+M49*24+O49*24+Q49*24+T49</f>
        <v>0</v>
      </c>
      <c r="V49" s="50">
        <f t="shared" si="12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3"/>
        <v>0</v>
      </c>
      <c r="U50" s="50">
        <f t="shared" si="14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:T52" si="15">H51+I51+J51+K51+N51+P51+R51</f>
        <v>0</v>
      </c>
      <c r="U51" s="50">
        <f t="shared" ref="U51" si="16">C51*24+M51*24+O51*24+Q51*24+T51</f>
        <v>0</v>
      </c>
      <c r="V51" s="50">
        <f t="shared" si="12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15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7">H53+I53+J53+K53+N53+P53+R53</f>
        <v>0</v>
      </c>
      <c r="U53" s="50">
        <f t="shared" ref="U53" si="18">C53*24+M53*24+O53*24+Q53*24+T53</f>
        <v>0</v>
      </c>
      <c r="V53" s="50">
        <f t="shared" si="12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38967</v>
      </c>
      <c r="D57" s="49"/>
      <c r="E57" s="49"/>
      <c r="F57" s="49">
        <f t="shared" ref="F57:K57" si="19">SUM(F7:F56)</f>
        <v>0</v>
      </c>
      <c r="G57" s="49">
        <f t="shared" si="19"/>
        <v>0</v>
      </c>
      <c r="H57" s="49">
        <f t="shared" si="19"/>
        <v>93</v>
      </c>
      <c r="I57" s="54">
        <f t="shared" si="19"/>
        <v>8</v>
      </c>
      <c r="J57" s="54">
        <f t="shared" si="19"/>
        <v>52</v>
      </c>
      <c r="K57" s="54">
        <f t="shared" si="19"/>
        <v>486</v>
      </c>
      <c r="M57" s="53">
        <f t="shared" ref="M57:R57" si="20">SUM(M7:M56)</f>
        <v>13</v>
      </c>
      <c r="N57" s="53">
        <f t="shared" si="20"/>
        <v>0</v>
      </c>
      <c r="O57" s="53">
        <f t="shared" si="20"/>
        <v>396</v>
      </c>
      <c r="P57" s="53">
        <f t="shared" si="20"/>
        <v>17</v>
      </c>
      <c r="Q57" s="53">
        <f t="shared" si="20"/>
        <v>498</v>
      </c>
      <c r="R57" s="53">
        <f t="shared" si="20"/>
        <v>6</v>
      </c>
      <c r="S57" s="57"/>
      <c r="T57" s="51">
        <f>SUM(T7:T56)</f>
        <v>662</v>
      </c>
      <c r="U57" s="51">
        <f>SUM(U7:U56)</f>
        <v>339434</v>
      </c>
      <c r="V57" s="51">
        <f>SUM(V7:V56)</f>
        <v>39967.708333333336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34" t="s">
        <v>49</v>
      </c>
      <c r="D59" s="135"/>
      <c r="E59" s="135"/>
      <c r="F59" s="135"/>
      <c r="G59" s="135"/>
      <c r="H59" s="135"/>
      <c r="I59" s="135"/>
      <c r="J59" s="135"/>
      <c r="K59" s="136"/>
      <c r="U59" s="72" t="s">
        <v>62</v>
      </c>
    </row>
    <row r="60" spans="1:22" x14ac:dyDescent="0.25">
      <c r="B60" s="79" t="s">
        <v>18</v>
      </c>
      <c r="C60" s="67"/>
      <c r="D60" s="67">
        <v>6</v>
      </c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I1:U1"/>
    <mergeCell ref="C4:K4"/>
    <mergeCell ref="C59:K59"/>
    <mergeCell ref="J5:K5"/>
    <mergeCell ref="V4:V5"/>
    <mergeCell ref="U4:U5"/>
    <mergeCell ref="T4:T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COUNT SHEET</vt:lpstr>
      <vt:lpstr>COUNT SHEET SAMPLE</vt:lpstr>
      <vt:lpstr>02-13-2026</vt:lpstr>
      <vt:lpstr>'02-13-2026'!Print_Area</vt:lpstr>
      <vt:lpstr>'COUNT SHEET'!Print_Area</vt:lpstr>
      <vt:lpstr>'COUNT SHEET SAMPLE'!Print_Area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2026-01-07T08:54:10Z</cp:lastPrinted>
  <dcterms:created xsi:type="dcterms:W3CDTF">2024-08-17T00:07:58Z</dcterms:created>
  <dcterms:modified xsi:type="dcterms:W3CDTF">2026-02-13T09:28:53Z</dcterms:modified>
</cp:coreProperties>
</file>