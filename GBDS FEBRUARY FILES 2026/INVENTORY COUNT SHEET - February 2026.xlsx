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97EF725-9692-4970-AEEC-9D3A7F68DCD6}" xr6:coauthVersionLast="45" xr6:coauthVersionMax="45" xr10:uidLastSave="{00000000-0000-0000-0000-000000000000}"/>
  <bookViews>
    <workbookView xWindow="-120" yWindow="-120" windowWidth="29040" windowHeight="15840" firstSheet="13" activeTab="21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  <sheet name="02-26-2026" sheetId="32" r:id="rId23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22">'02-26-2026'!$A$1:$W$59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9" i="31" l="1"/>
  <c r="C47" i="31"/>
  <c r="C12" i="31"/>
  <c r="C8" i="31"/>
  <c r="K43" i="31"/>
  <c r="J43" i="31"/>
  <c r="C43" i="31"/>
  <c r="C41" i="31"/>
  <c r="C40" i="31"/>
  <c r="C38" i="31"/>
  <c r="C37" i="31"/>
  <c r="C34" i="31"/>
  <c r="C25" i="31"/>
  <c r="C13" i="31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U53" i="32"/>
  <c r="V53" i="32" s="1"/>
  <c r="T53" i="32"/>
  <c r="T52" i="32"/>
  <c r="U52" i="32" s="1"/>
  <c r="V52" i="32" s="1"/>
  <c r="T51" i="32"/>
  <c r="U51" i="32" s="1"/>
  <c r="V51" i="32" s="1"/>
  <c r="T50" i="32"/>
  <c r="U50" i="32" s="1"/>
  <c r="V50" i="32" s="1"/>
  <c r="U49" i="32"/>
  <c r="V49" i="32" s="1"/>
  <c r="T49" i="32"/>
  <c r="T48" i="32"/>
  <c r="U48" i="32" s="1"/>
  <c r="V48" i="32" s="1"/>
  <c r="T47" i="32"/>
  <c r="U47" i="32" s="1"/>
  <c r="V47" i="32" s="1"/>
  <c r="T46" i="32"/>
  <c r="U46" i="32" s="1"/>
  <c r="V46" i="32" s="1"/>
  <c r="U45" i="32"/>
  <c r="V45" i="32" s="1"/>
  <c r="T45" i="32"/>
  <c r="U43" i="32"/>
  <c r="V43" i="32" s="1"/>
  <c r="T43" i="32"/>
  <c r="U41" i="32"/>
  <c r="V41" i="32" s="1"/>
  <c r="T41" i="32"/>
  <c r="U40" i="32"/>
  <c r="V40" i="32" s="1"/>
  <c r="T40" i="32"/>
  <c r="T38" i="32"/>
  <c r="U38" i="32" s="1"/>
  <c r="V38" i="32" s="1"/>
  <c r="T37" i="32"/>
  <c r="U37" i="32" s="1"/>
  <c r="V37" i="32" s="1"/>
  <c r="V36" i="32"/>
  <c r="U36" i="32"/>
  <c r="T36" i="32"/>
  <c r="T35" i="32"/>
  <c r="U35" i="32" s="1"/>
  <c r="V35" i="32" s="1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T29" i="32"/>
  <c r="U29" i="32" s="1"/>
  <c r="V29" i="32" s="1"/>
  <c r="V28" i="32"/>
  <c r="U28" i="32"/>
  <c r="T28" i="32"/>
  <c r="U26" i="32"/>
  <c r="V26" i="32" s="1"/>
  <c r="T26" i="32"/>
  <c r="AY25" i="32"/>
  <c r="U25" i="32"/>
  <c r="V25" i="32" s="1"/>
  <c r="T25" i="32"/>
  <c r="T24" i="32"/>
  <c r="U24" i="32" s="1"/>
  <c r="V24" i="32" s="1"/>
  <c r="T23" i="32"/>
  <c r="U23" i="32" s="1"/>
  <c r="V23" i="32" s="1"/>
  <c r="T22" i="32"/>
  <c r="U22" i="32" s="1"/>
  <c r="V22" i="32" s="1"/>
  <c r="U21" i="32"/>
  <c r="V21" i="32" s="1"/>
  <c r="T21" i="32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U18" i="32"/>
  <c r="V18" i="32" s="1"/>
  <c r="T18" i="32"/>
  <c r="T17" i="32"/>
  <c r="U17" i="32" s="1"/>
  <c r="V17" i="32" s="1"/>
  <c r="T16" i="32"/>
  <c r="U16" i="32" s="1"/>
  <c r="V16" i="32" s="1"/>
  <c r="T15" i="32"/>
  <c r="U15" i="32" s="1"/>
  <c r="V15" i="32" s="1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U11" i="32"/>
  <c r="V11" i="32" s="1"/>
  <c r="T11" i="32"/>
  <c r="U10" i="32"/>
  <c r="V10" i="32" s="1"/>
  <c r="T10" i="32"/>
  <c r="T9" i="32"/>
  <c r="U9" i="32" s="1"/>
  <c r="V9" i="32" s="1"/>
  <c r="A9" i="32"/>
  <c r="A10" i="32" s="1"/>
  <c r="A11" i="32" s="1"/>
  <c r="T8" i="32"/>
  <c r="U8" i="32" s="1"/>
  <c r="V8" i="32" s="1"/>
  <c r="A8" i="32"/>
  <c r="T7" i="32"/>
  <c r="T58" i="32" s="1"/>
  <c r="U7" i="32" l="1"/>
  <c r="C47" i="30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8" i="31"/>
  <c r="U8" i="31" s="1"/>
  <c r="V8" i="31" s="1"/>
  <c r="A8" i="31"/>
  <c r="A9" i="31" s="1"/>
  <c r="A10" i="31" s="1"/>
  <c r="A11" i="31" s="1"/>
  <c r="T7" i="31"/>
  <c r="U7" i="31" s="1"/>
  <c r="C47" i="29"/>
  <c r="K43" i="29"/>
  <c r="J43" i="29"/>
  <c r="C43" i="29"/>
  <c r="C41" i="29"/>
  <c r="C40" i="29"/>
  <c r="C38" i="29"/>
  <c r="C37" i="29"/>
  <c r="C34" i="29"/>
  <c r="C25" i="29"/>
  <c r="C12" i="29"/>
  <c r="C8" i="29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<sst xmlns="http://schemas.openxmlformats.org/spreadsheetml/2006/main" count="1907" uniqueCount="103">
  <si>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</si>
  <si>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</si>
  <si>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</si>
  <si>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</si>
  <si>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</si>
  <si>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</si>
  <si>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</si>
  <si>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</si>
  <si>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</si>
  <si>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</si>
  <si>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</si>
  <si>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</si>
  <si>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</si>
  <si>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</si>
  <si>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</si>
  <si>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</si>
  <si>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</si>
  <si>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</si>
  <si>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</si>
  <si>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</si>
  <si>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</si>
  <si>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</si>
  <si>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</si>
  <si>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</si>
  <si>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</si>
  <si>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</si>
  <si>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</si>
  <si>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</si>
  <si>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</si>
  <si>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</si>
  <si>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</si>
  <si>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</si>
  <si>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</si>
  <si>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</si>
  <si>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</si>
  <si>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</si>
  <si>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</si>
  <si>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</si>
  <si>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</si>
  <si>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</si>
  <si>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</si>
  <si>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</si>
  <si>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</si>
  <si>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</si>
  <si>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</si>
  <si>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</si>
  <si>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</si>
  <si>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</si>
  <si>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</si>
  <si>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</si>
  <si>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</si>
  <si>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</si>
  <si>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</si>
  <si>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</si>
  <si>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</si>
  <si>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</si>
  <si>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</si>
  <si>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</si>
  <si>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</si>
  <si>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</si>
  <si>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</si>
  <si>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</si>
  <si>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</si>
  <si>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</si>
  <si>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</si>
  <si>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</si>
  <si>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</si>
  <si>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</si>
  <si>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</si>
  <si>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</si>
  <si>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</si>
  <si>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</si>
  <si>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</si>
  <si>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</si>
  <si>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</si>
  <si>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</si>
  <si>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</si>
  <si>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</si>
  <si>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</si>
  <si>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</si>
  <si>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</si>
  <si>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</si>
  <si>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</si>
  <si>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</si>
  <si>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</si>
  <si>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</si>
  <si>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</si>
  <si>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</si>
  <si>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</si>
  <si>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</si>
  <si>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</si>
  <si>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</si>
  <si>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</si>
  <si>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</si>
  <si>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</si>
  <si>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</si>
  <si>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</si>
  <si>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</si>
  <si>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</si>
  <si>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</si>
  <si>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</si>
  <si>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</si>
  <si>
    <t>DATE: 02/26/2026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</si>
</sst>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  <xf numFmtId="166" fontId="13" fillId="3" borderId="34" xfId="2" applyNumberFormat="1" applyFont="1" applyFill="1" applyBorder="1" applyAlignment="1">
      <alignment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88" t="s">
        <v>39</v>
      </c>
      <c r="B21" s="185" t="s">
        <v>18</v>
      </c>
      <c r="C21" s="186"/>
      <c r="D21" s="187"/>
      <c r="E21" s="185" t="s">
        <v>40</v>
      </c>
      <c r="F21" s="186"/>
      <c r="G21" s="187"/>
      <c r="H21" s="185" t="s">
        <v>41</v>
      </c>
      <c r="I21" s="186"/>
      <c r="J21" s="187"/>
      <c r="K21" s="185" t="s">
        <v>42</v>
      </c>
      <c r="L21" s="186"/>
      <c r="M21" s="187"/>
      <c r="N21" s="185" t="s">
        <v>43</v>
      </c>
      <c r="O21" s="186"/>
      <c r="P21" s="187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89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5" t="s">
        <v>53</v>
      </c>
      <c r="I1" s="195"/>
      <c r="J1" s="195"/>
      <c r="K1" s="195"/>
      <c r="L1" s="195"/>
      <c r="M1" s="195"/>
      <c r="N1" s="195"/>
      <c r="O1" s="195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1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4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7"/>
      <c r="Q5" s="127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8"/>
      <c r="Q5" s="12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9"/>
      <c r="Q5" s="129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9"/>
      <c r="Q5" s="129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08"/>
      <c r="Q5" s="108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29"/>
      <c r="Q5" s="129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2" t="s">
        <v>49</v>
      </c>
      <c r="D59" s="193"/>
      <c r="E59" s="193"/>
      <c r="F59" s="193"/>
      <c r="G59" s="193"/>
      <c r="H59" s="193"/>
      <c r="I59" s="193"/>
      <c r="J59" s="193"/>
      <c r="K59" s="194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30"/>
      <c r="Q5" s="130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31"/>
      <c r="Q5" s="131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40"/>
      <c r="Q5" s="140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39"/>
      <c r="Q5" s="139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41"/>
      <c r="Q5" s="141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42"/>
      <c r="Q5" s="142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43"/>
      <c r="Q5" s="143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43"/>
      <c r="Q5" s="143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83"/>
      <c r="Q5" s="183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684</v>
      </c>
      <c r="V7" s="150">
        <f>U7/24</f>
        <v>28.5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2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v>10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>G9+H9+I9+J9+K9+N9+P9+R9</f>
        <v>0</v>
      </c>
      <c r="U9" s="168">
        <f t="shared" ref="U9:U11" si="2">C9*24+M9*24+O9*24+Q9*24+T9</f>
        <v>240</v>
      </c>
      <c r="V9" s="168">
        <f t="shared" ref="V9:V11" si="3">U9/24</f>
        <v>10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1</v>
      </c>
      <c r="P10" s="163"/>
      <c r="Q10" s="163">
        <v>1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72+1152+50+1440+576</f>
        <v>3290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13</v>
      </c>
      <c r="N12" s="156">
        <v>22</v>
      </c>
      <c r="O12" s="157">
        <v>11</v>
      </c>
      <c r="P12" s="158">
        <v>20</v>
      </c>
      <c r="Q12" s="158">
        <v>14</v>
      </c>
      <c r="R12" s="159"/>
      <c r="S12" s="154"/>
      <c r="T12" s="150">
        <f t="shared" si="0"/>
        <v>42</v>
      </c>
      <c r="U12" s="161">
        <f>C12*24+M12*24+O12*24+Q12*24+T12</f>
        <v>79914</v>
      </c>
      <c r="V12" s="161">
        <f>U12/24</f>
        <v>3329.75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f>5</f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288</v>
      </c>
      <c r="V28" s="167">
        <f t="shared" si="5"/>
        <v>12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9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240</v>
      </c>
      <c r="V31" s="167">
        <f t="shared" si="5"/>
        <v>10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2165</v>
      </c>
      <c r="V34" s="167">
        <f t="shared" si="5"/>
        <v>90.208333333333329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2376+1080+78</f>
        <v>3534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30</v>
      </c>
      <c r="P37" s="158"/>
      <c r="Q37" s="158">
        <v>97</v>
      </c>
      <c r="R37" s="159"/>
      <c r="S37" s="154"/>
      <c r="T37" s="169">
        <f t="shared" si="0"/>
        <v>8</v>
      </c>
      <c r="U37" s="169">
        <f>C37*6+M37*6+O37*6+Q37*6+T37</f>
        <v>21974</v>
      </c>
      <c r="V37" s="169">
        <f>U37/6</f>
        <v>3662.3333333333335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</f>
        <v>1543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7</v>
      </c>
      <c r="R41" s="178"/>
      <c r="S41" s="179"/>
      <c r="T41" s="182">
        <f t="shared" si="0"/>
        <v>0</v>
      </c>
      <c r="U41" s="182">
        <f>C41*12+M41*12+O41*12+Q41*12+T41</f>
        <v>18744</v>
      </c>
      <c r="V41" s="182">
        <f>U41/12</f>
        <v>1562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5400+1836+8208+5400+7128+1836</f>
        <v>29808</v>
      </c>
      <c r="D43" s="157"/>
      <c r="E43" s="157"/>
      <c r="F43" s="157"/>
      <c r="G43" s="157"/>
      <c r="H43" s="157">
        <v>5</v>
      </c>
      <c r="I43" s="157">
        <v>7</v>
      </c>
      <c r="J43" s="158">
        <f>5*6+5</f>
        <v>35</v>
      </c>
      <c r="K43" s="159">
        <f>87*6</f>
        <v>522</v>
      </c>
      <c r="L43" s="154"/>
      <c r="M43" s="155">
        <v>325</v>
      </c>
      <c r="N43" s="156"/>
      <c r="O43" s="157">
        <v>362</v>
      </c>
      <c r="P43" s="158"/>
      <c r="Q43" s="158">
        <v>515</v>
      </c>
      <c r="R43" s="159"/>
      <c r="S43" s="154"/>
      <c r="T43" s="169">
        <f t="shared" ref="T43" si="6">H43+I43+J43+K43+N43+P43+R43</f>
        <v>569</v>
      </c>
      <c r="U43" s="169">
        <f>C43*6+M43*6+O43*6+Q43*6+T43</f>
        <v>186629</v>
      </c>
      <c r="V43" s="169">
        <f>U43/6</f>
        <v>31104.833333333332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41657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57</v>
      </c>
      <c r="I58" s="54">
        <f t="shared" si="11"/>
        <v>9</v>
      </c>
      <c r="J58" s="54">
        <f t="shared" si="11"/>
        <v>35</v>
      </c>
      <c r="K58" s="54">
        <f t="shared" si="11"/>
        <v>558</v>
      </c>
      <c r="M58" s="53">
        <f t="shared" ref="M58:R58" si="12">SUM(M7:M57)</f>
        <v>357</v>
      </c>
      <c r="N58" s="53">
        <f t="shared" si="12"/>
        <v>34</v>
      </c>
      <c r="O58" s="53">
        <f t="shared" si="12"/>
        <v>427</v>
      </c>
      <c r="P58" s="53">
        <f t="shared" si="12"/>
        <v>48</v>
      </c>
      <c r="Q58" s="53">
        <f t="shared" si="12"/>
        <v>656</v>
      </c>
      <c r="R58" s="53">
        <f t="shared" si="12"/>
        <v>0</v>
      </c>
      <c r="S58" s="147"/>
      <c r="T58" s="51">
        <f>SUM(T7:T57)</f>
        <v>741</v>
      </c>
      <c r="U58" s="205">
        <f>SUM(U7:U57)</f>
        <v>349209</v>
      </c>
      <c r="V58" s="51">
        <f>SUM(V7:V57)</f>
        <v>43201.249999999993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B2A8-83DC-46AC-8C64-B26C110E1981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5" t="s">
        <v>53</v>
      </c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</row>
    <row r="2" spans="1:54" x14ac:dyDescent="0.25">
      <c r="B2" s="76" t="s">
        <v>102</v>
      </c>
    </row>
    <row r="3" spans="1:54" ht="19.5" thickBot="1" x14ac:dyDescent="0.3"/>
    <row r="4" spans="1:54" s="58" customFormat="1" ht="15.75" x14ac:dyDescent="0.25">
      <c r="B4" s="93" t="s">
        <v>63</v>
      </c>
      <c r="C4" s="190" t="s">
        <v>49</v>
      </c>
      <c r="D4" s="190"/>
      <c r="E4" s="190"/>
      <c r="F4" s="190"/>
      <c r="G4" s="190"/>
      <c r="H4" s="190"/>
      <c r="I4" s="190"/>
      <c r="J4" s="200"/>
      <c r="K4" s="191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1" t="s">
        <v>80</v>
      </c>
      <c r="U4" s="203" t="s">
        <v>79</v>
      </c>
      <c r="V4" s="196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8" t="s">
        <v>77</v>
      </c>
      <c r="K5" s="199"/>
      <c r="M5" s="87"/>
      <c r="N5" s="118"/>
      <c r="O5" s="92"/>
      <c r="P5" s="184"/>
      <c r="Q5" s="184"/>
      <c r="R5" s="89"/>
      <c r="S5" s="57"/>
      <c r="T5" s="202"/>
      <c r="U5" s="204"/>
      <c r="V5" s="197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4"/>
      <c r="K6" s="89"/>
      <c r="M6" s="87"/>
      <c r="N6" s="118"/>
      <c r="O6" s="92"/>
      <c r="P6" s="184"/>
      <c r="Q6" s="184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2" t="s">
        <v>49</v>
      </c>
      <c r="D60" s="193"/>
      <c r="E60" s="193"/>
      <c r="F60" s="193"/>
      <c r="G60" s="193"/>
      <c r="H60" s="193"/>
      <c r="I60" s="193"/>
      <c r="J60" s="193"/>
      <c r="K60" s="194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02-26-2026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'02-26-2026'!Print_Area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2026-02-25T03:35:57Z</dcterms:modified>
</cp:coreProperties>
</file>