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7C1C53DB-75FA-4354-9A9A-B13E79BC9BD7}" xr6:coauthVersionLast="45" xr6:coauthVersionMax="45" xr10:uidLastSave="{00000000-0000-0000-0000-000000000000}"/>
  <bookViews>
    <workbookView xWindow="-120" yWindow="-120" windowWidth="29040" windowHeight="15840" firstSheet="2" activeTab="16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3" r:id="rId14"/>
    <sheet name="EXAMPLE" sheetId="84" r:id="rId15"/>
    <sheet name="02,16" sheetId="85" r:id="rId16"/>
    <sheet name="02,17" sheetId="86" r:id="rId17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'02,14'!$A$1:$Y$61</definedName>
    <definedName name="_xlnm.Print_Area" localSheetId="15">'02,16'!$A$1:$Y$61</definedName>
    <definedName name="_xlnm.Print_Area" localSheetId="16">'02,17'!$A$1:$Y$61</definedName>
    <definedName name="_xlnm.Print_Area" localSheetId="14">EXAMPLE!$A$1:$W$92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85" l="1"/>
  <c r="Q60" i="86" l="1"/>
  <c r="P60" i="86"/>
  <c r="O60" i="86"/>
  <c r="N60" i="86"/>
  <c r="M60" i="86"/>
  <c r="L60" i="86"/>
  <c r="H60" i="86"/>
  <c r="G60" i="86"/>
  <c r="E60" i="86"/>
  <c r="D60" i="86"/>
  <c r="C60" i="86"/>
  <c r="S59" i="86"/>
  <c r="R59" i="86"/>
  <c r="J59" i="86"/>
  <c r="I59" i="86"/>
  <c r="S58" i="86"/>
  <c r="R58" i="86"/>
  <c r="J58" i="86"/>
  <c r="I58" i="86"/>
  <c r="S57" i="86"/>
  <c r="R57" i="86"/>
  <c r="J57" i="86"/>
  <c r="I57" i="86"/>
  <c r="S56" i="86"/>
  <c r="R56" i="86"/>
  <c r="J56" i="86"/>
  <c r="I56" i="86"/>
  <c r="S55" i="86"/>
  <c r="R55" i="86"/>
  <c r="J55" i="86"/>
  <c r="I55" i="86"/>
  <c r="U54" i="86"/>
  <c r="V54" i="86" s="1"/>
  <c r="S54" i="86"/>
  <c r="R54" i="86"/>
  <c r="J54" i="86"/>
  <c r="I54" i="86"/>
  <c r="W54" i="86" s="1"/>
  <c r="U53" i="86"/>
  <c r="V53" i="86" s="1"/>
  <c r="S53" i="86"/>
  <c r="R53" i="86"/>
  <c r="J53" i="86"/>
  <c r="I53" i="86"/>
  <c r="W53" i="86" s="1"/>
  <c r="U52" i="86"/>
  <c r="V52" i="86" s="1"/>
  <c r="S52" i="86"/>
  <c r="R52" i="86"/>
  <c r="J52" i="86"/>
  <c r="I52" i="86"/>
  <c r="W52" i="86" s="1"/>
  <c r="U51" i="86"/>
  <c r="V51" i="86" s="1"/>
  <c r="S51" i="86"/>
  <c r="R51" i="86"/>
  <c r="J51" i="86"/>
  <c r="I51" i="86"/>
  <c r="W51" i="86" s="1"/>
  <c r="U50" i="86"/>
  <c r="V50" i="86" s="1"/>
  <c r="S50" i="86"/>
  <c r="R50" i="86"/>
  <c r="J50" i="86"/>
  <c r="I50" i="86"/>
  <c r="W50" i="86" s="1"/>
  <c r="U49" i="86"/>
  <c r="V49" i="86" s="1"/>
  <c r="S49" i="86"/>
  <c r="R49" i="86"/>
  <c r="J49" i="86"/>
  <c r="I49" i="86"/>
  <c r="W49" i="86" s="1"/>
  <c r="U48" i="86"/>
  <c r="V48" i="86" s="1"/>
  <c r="S48" i="86"/>
  <c r="R48" i="86"/>
  <c r="J48" i="86"/>
  <c r="I48" i="86"/>
  <c r="W48" i="86" s="1"/>
  <c r="U47" i="86"/>
  <c r="V47" i="86" s="1"/>
  <c r="S47" i="86"/>
  <c r="R47" i="86"/>
  <c r="J47" i="86"/>
  <c r="I47" i="86"/>
  <c r="W47" i="86" s="1"/>
  <c r="U46" i="86"/>
  <c r="V46" i="86" s="1"/>
  <c r="S46" i="86"/>
  <c r="R46" i="86"/>
  <c r="J46" i="86"/>
  <c r="I46" i="86"/>
  <c r="W46" i="86" s="1"/>
  <c r="S45" i="86"/>
  <c r="R45" i="86"/>
  <c r="J45" i="86"/>
  <c r="I45" i="86"/>
  <c r="V44" i="86"/>
  <c r="U44" i="86"/>
  <c r="S44" i="86"/>
  <c r="R44" i="86"/>
  <c r="J44" i="86"/>
  <c r="I44" i="86"/>
  <c r="W44" i="86" s="1"/>
  <c r="S43" i="86"/>
  <c r="R43" i="86"/>
  <c r="J43" i="86"/>
  <c r="I43" i="86"/>
  <c r="W42" i="86"/>
  <c r="U42" i="86"/>
  <c r="V42" i="86" s="1"/>
  <c r="S42" i="86"/>
  <c r="R42" i="86"/>
  <c r="J42" i="86"/>
  <c r="I42" i="86"/>
  <c r="W41" i="86"/>
  <c r="U41" i="86"/>
  <c r="V41" i="86" s="1"/>
  <c r="S41" i="86"/>
  <c r="R41" i="86"/>
  <c r="J41" i="86"/>
  <c r="I41" i="86"/>
  <c r="W40" i="86"/>
  <c r="U40" i="86"/>
  <c r="V40" i="86" s="1"/>
  <c r="S40" i="86"/>
  <c r="R40" i="86"/>
  <c r="J40" i="86"/>
  <c r="I40" i="86"/>
  <c r="W39" i="86"/>
  <c r="U39" i="86"/>
  <c r="V39" i="86" s="1"/>
  <c r="S39" i="86"/>
  <c r="R39" i="86"/>
  <c r="J39" i="86"/>
  <c r="I39" i="86"/>
  <c r="W38" i="86"/>
  <c r="U38" i="86"/>
  <c r="V38" i="86" s="1"/>
  <c r="S38" i="86"/>
  <c r="R38" i="86"/>
  <c r="J38" i="86"/>
  <c r="I38" i="86"/>
  <c r="W37" i="86"/>
  <c r="U37" i="86"/>
  <c r="V37" i="86" s="1"/>
  <c r="S37" i="86"/>
  <c r="R37" i="86"/>
  <c r="J37" i="86"/>
  <c r="I37" i="86"/>
  <c r="W36" i="86"/>
  <c r="U36" i="86"/>
  <c r="V36" i="86" s="1"/>
  <c r="S36" i="86"/>
  <c r="R36" i="86"/>
  <c r="J36" i="86"/>
  <c r="I36" i="86"/>
  <c r="W35" i="86"/>
  <c r="U35" i="86"/>
  <c r="V35" i="86" s="1"/>
  <c r="S35" i="86"/>
  <c r="R35" i="86"/>
  <c r="J35" i="86"/>
  <c r="I35" i="86"/>
  <c r="W34" i="86"/>
  <c r="U34" i="86"/>
  <c r="V34" i="86" s="1"/>
  <c r="S34" i="86"/>
  <c r="R34" i="86"/>
  <c r="J34" i="86"/>
  <c r="I34" i="86"/>
  <c r="W33" i="86"/>
  <c r="U33" i="86"/>
  <c r="V33" i="86" s="1"/>
  <c r="S33" i="86"/>
  <c r="R33" i="86"/>
  <c r="J33" i="86"/>
  <c r="I33" i="86"/>
  <c r="W32" i="86"/>
  <c r="U32" i="86"/>
  <c r="V32" i="86" s="1"/>
  <c r="S32" i="86"/>
  <c r="R32" i="86"/>
  <c r="J32" i="86"/>
  <c r="I32" i="86"/>
  <c r="W31" i="86"/>
  <c r="U31" i="86"/>
  <c r="V31" i="86" s="1"/>
  <c r="S31" i="86"/>
  <c r="R31" i="86"/>
  <c r="J31" i="86"/>
  <c r="I31" i="86"/>
  <c r="W30" i="86"/>
  <c r="U30" i="86"/>
  <c r="V30" i="86" s="1"/>
  <c r="S30" i="86"/>
  <c r="R30" i="86"/>
  <c r="J30" i="86"/>
  <c r="I30" i="86"/>
  <c r="W29" i="86"/>
  <c r="U29" i="86"/>
  <c r="V29" i="86" s="1"/>
  <c r="S29" i="86"/>
  <c r="R29" i="86"/>
  <c r="J29" i="86"/>
  <c r="I29" i="86"/>
  <c r="W28" i="86"/>
  <c r="U28" i="86"/>
  <c r="V28" i="86" s="1"/>
  <c r="S28" i="86"/>
  <c r="R28" i="86"/>
  <c r="J28" i="86"/>
  <c r="I28" i="86"/>
  <c r="W27" i="86"/>
  <c r="U27" i="86"/>
  <c r="V27" i="86" s="1"/>
  <c r="S27" i="86"/>
  <c r="R27" i="86"/>
  <c r="J27" i="86"/>
  <c r="I27" i="86"/>
  <c r="BE26" i="86"/>
  <c r="V26" i="86"/>
  <c r="U26" i="86"/>
  <c r="S26" i="86"/>
  <c r="R26" i="86"/>
  <c r="J26" i="86"/>
  <c r="I26" i="86"/>
  <c r="W26" i="86" s="1"/>
  <c r="W25" i="86"/>
  <c r="V25" i="86"/>
  <c r="U25" i="86"/>
  <c r="S25" i="86"/>
  <c r="R25" i="86"/>
  <c r="J25" i="86"/>
  <c r="I25" i="86"/>
  <c r="W24" i="86"/>
  <c r="V24" i="86"/>
  <c r="U24" i="86"/>
  <c r="S24" i="86"/>
  <c r="R24" i="86"/>
  <c r="J24" i="86"/>
  <c r="I24" i="86"/>
  <c r="W23" i="86"/>
  <c r="V23" i="86"/>
  <c r="U23" i="86"/>
  <c r="S23" i="86"/>
  <c r="R23" i="86"/>
  <c r="J23" i="86"/>
  <c r="I23" i="86"/>
  <c r="W22" i="86"/>
  <c r="V22" i="86"/>
  <c r="U22" i="86"/>
  <c r="S22" i="86"/>
  <c r="R22" i="86"/>
  <c r="J22" i="86"/>
  <c r="I22" i="86"/>
  <c r="W21" i="86"/>
  <c r="V21" i="86"/>
  <c r="U21" i="86"/>
  <c r="S21" i="86"/>
  <c r="R21" i="86"/>
  <c r="J21" i="86"/>
  <c r="I21" i="86"/>
  <c r="W20" i="86"/>
  <c r="V20" i="86"/>
  <c r="U20" i="86"/>
  <c r="S20" i="86"/>
  <c r="R20" i="86"/>
  <c r="J20" i="86"/>
  <c r="I20" i="86"/>
  <c r="W19" i="86"/>
  <c r="V19" i="86"/>
  <c r="U19" i="86"/>
  <c r="S19" i="86"/>
  <c r="R19" i="86"/>
  <c r="J19" i="86"/>
  <c r="I19" i="86"/>
  <c r="W18" i="86"/>
  <c r="U18" i="86"/>
  <c r="V18" i="86" s="1"/>
  <c r="S18" i="86"/>
  <c r="R18" i="86"/>
  <c r="J18" i="86"/>
  <c r="I18" i="86"/>
  <c r="W17" i="86"/>
  <c r="V17" i="86"/>
  <c r="U17" i="86"/>
  <c r="S17" i="86"/>
  <c r="R17" i="86"/>
  <c r="J17" i="86"/>
  <c r="I17" i="86"/>
  <c r="U16" i="86"/>
  <c r="V16" i="86" s="1"/>
  <c r="S16" i="86"/>
  <c r="R16" i="86"/>
  <c r="J16" i="86"/>
  <c r="I16" i="86"/>
  <c r="W16" i="86" s="1"/>
  <c r="W15" i="86"/>
  <c r="V15" i="86"/>
  <c r="U15" i="86"/>
  <c r="S15" i="86"/>
  <c r="R15" i="86"/>
  <c r="J15" i="86"/>
  <c r="I15" i="86"/>
  <c r="U14" i="86"/>
  <c r="V14" i="86" s="1"/>
  <c r="S14" i="86"/>
  <c r="R14" i="86"/>
  <c r="J14" i="86"/>
  <c r="I14" i="86"/>
  <c r="W14" i="86" s="1"/>
  <c r="W13" i="86"/>
  <c r="V13" i="86"/>
  <c r="U13" i="86"/>
  <c r="S13" i="86"/>
  <c r="R13" i="86"/>
  <c r="J13" i="86"/>
  <c r="I13" i="86"/>
  <c r="V12" i="86"/>
  <c r="U12" i="86"/>
  <c r="S12" i="86"/>
  <c r="R12" i="86"/>
  <c r="J12" i="86"/>
  <c r="I12" i="86"/>
  <c r="W12" i="86" s="1"/>
  <c r="W11" i="86"/>
  <c r="V11" i="86"/>
  <c r="U11" i="86"/>
  <c r="S11" i="86"/>
  <c r="R11" i="86"/>
  <c r="J11" i="86"/>
  <c r="I11" i="86"/>
  <c r="V10" i="86"/>
  <c r="U10" i="86"/>
  <c r="S10" i="86"/>
  <c r="R10" i="86"/>
  <c r="J10" i="86"/>
  <c r="I10" i="86"/>
  <c r="W10" i="86" s="1"/>
  <c r="A10" i="86"/>
  <c r="A11" i="86" s="1"/>
  <c r="A12" i="86" s="1"/>
  <c r="A13" i="86" s="1"/>
  <c r="A14" i="86" s="1"/>
  <c r="A15" i="86" s="1"/>
  <c r="A16" i="86" s="1"/>
  <c r="A17" i="86" s="1"/>
  <c r="A18" i="86" s="1"/>
  <c r="A19" i="86" s="1"/>
  <c r="A20" i="86" s="1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A58" i="86" s="1"/>
  <c r="A59" i="86" s="1"/>
  <c r="W9" i="86"/>
  <c r="V9" i="86"/>
  <c r="U9" i="86"/>
  <c r="S9" i="86"/>
  <c r="R9" i="86"/>
  <c r="J9" i="86"/>
  <c r="I9" i="86"/>
  <c r="A9" i="86"/>
  <c r="V8" i="86"/>
  <c r="U8" i="86"/>
  <c r="U60" i="86" s="1"/>
  <c r="S8" i="86"/>
  <c r="S60" i="86" s="1"/>
  <c r="R8" i="86"/>
  <c r="R60" i="86" s="1"/>
  <c r="J8" i="86"/>
  <c r="J60" i="86" s="1"/>
  <c r="I8" i="86"/>
  <c r="W8" i="86" s="1"/>
  <c r="W60" i="86" l="1"/>
  <c r="V60" i="86"/>
  <c r="I60" i="86"/>
  <c r="Q60" i="85"/>
  <c r="P60" i="85"/>
  <c r="O60" i="85"/>
  <c r="N60" i="85"/>
  <c r="M60" i="85"/>
  <c r="L60" i="85"/>
  <c r="H60" i="85"/>
  <c r="G60" i="85"/>
  <c r="E60" i="85"/>
  <c r="D60" i="85"/>
  <c r="C60" i="85"/>
  <c r="S59" i="85"/>
  <c r="R59" i="85"/>
  <c r="J59" i="85"/>
  <c r="I59" i="85"/>
  <c r="S58" i="85"/>
  <c r="R58" i="85"/>
  <c r="J58" i="85"/>
  <c r="I58" i="85"/>
  <c r="S57" i="85"/>
  <c r="R57" i="85"/>
  <c r="J57" i="85"/>
  <c r="I57" i="85"/>
  <c r="S56" i="85"/>
  <c r="R56" i="85"/>
  <c r="J56" i="85"/>
  <c r="I56" i="85"/>
  <c r="S55" i="85"/>
  <c r="R55" i="85"/>
  <c r="J55" i="85"/>
  <c r="I55" i="85"/>
  <c r="U54" i="85"/>
  <c r="V54" i="85" s="1"/>
  <c r="S54" i="85"/>
  <c r="R54" i="85"/>
  <c r="J54" i="85"/>
  <c r="I54" i="85"/>
  <c r="W54" i="85" s="1"/>
  <c r="U53" i="85"/>
  <c r="V53" i="85" s="1"/>
  <c r="S53" i="85"/>
  <c r="R53" i="85"/>
  <c r="J53" i="85"/>
  <c r="I53" i="85"/>
  <c r="W53" i="85" s="1"/>
  <c r="W52" i="85"/>
  <c r="U52" i="85"/>
  <c r="V52" i="85" s="1"/>
  <c r="S52" i="85"/>
  <c r="R52" i="85"/>
  <c r="J52" i="85"/>
  <c r="I52" i="85"/>
  <c r="U51" i="85"/>
  <c r="V51" i="85" s="1"/>
  <c r="S51" i="85"/>
  <c r="R51" i="85"/>
  <c r="J51" i="85"/>
  <c r="I51" i="85"/>
  <c r="W51" i="85" s="1"/>
  <c r="U50" i="85"/>
  <c r="V50" i="85" s="1"/>
  <c r="S50" i="85"/>
  <c r="R50" i="85"/>
  <c r="J50" i="85"/>
  <c r="I50" i="85"/>
  <c r="W50" i="85" s="1"/>
  <c r="U49" i="85"/>
  <c r="V49" i="85" s="1"/>
  <c r="S49" i="85"/>
  <c r="R49" i="85"/>
  <c r="J49" i="85"/>
  <c r="I49" i="85"/>
  <c r="W49" i="85" s="1"/>
  <c r="U48" i="85"/>
  <c r="V48" i="85" s="1"/>
  <c r="S48" i="85"/>
  <c r="R48" i="85"/>
  <c r="J48" i="85"/>
  <c r="I48" i="85"/>
  <c r="W47" i="85"/>
  <c r="U47" i="85"/>
  <c r="V47" i="85" s="1"/>
  <c r="S47" i="85"/>
  <c r="R47" i="85"/>
  <c r="J47" i="85"/>
  <c r="I47" i="85"/>
  <c r="U46" i="85"/>
  <c r="V46" i="85" s="1"/>
  <c r="S46" i="85"/>
  <c r="R46" i="85"/>
  <c r="J46" i="85"/>
  <c r="I46" i="85"/>
  <c r="W46" i="85" s="1"/>
  <c r="S45" i="85"/>
  <c r="R45" i="85"/>
  <c r="J45" i="85"/>
  <c r="I45" i="85"/>
  <c r="U44" i="85"/>
  <c r="V44" i="85" s="1"/>
  <c r="S44" i="85"/>
  <c r="R44" i="85"/>
  <c r="J44" i="85"/>
  <c r="I44" i="85"/>
  <c r="S43" i="85"/>
  <c r="R43" i="85"/>
  <c r="J43" i="85"/>
  <c r="I43" i="85"/>
  <c r="U42" i="85"/>
  <c r="V42" i="85" s="1"/>
  <c r="S42" i="85"/>
  <c r="R42" i="85"/>
  <c r="J42" i="85"/>
  <c r="I42" i="85"/>
  <c r="W42" i="85" s="1"/>
  <c r="U41" i="85"/>
  <c r="V41" i="85" s="1"/>
  <c r="S41" i="85"/>
  <c r="R41" i="85"/>
  <c r="J41" i="85"/>
  <c r="I41" i="85"/>
  <c r="U40" i="85"/>
  <c r="V40" i="85" s="1"/>
  <c r="S40" i="85"/>
  <c r="R40" i="85"/>
  <c r="J40" i="85"/>
  <c r="I40" i="85"/>
  <c r="W40" i="85" s="1"/>
  <c r="U39" i="85"/>
  <c r="V39" i="85" s="1"/>
  <c r="S39" i="85"/>
  <c r="R39" i="85"/>
  <c r="J39" i="85"/>
  <c r="I39" i="85"/>
  <c r="W39" i="85" s="1"/>
  <c r="U38" i="85"/>
  <c r="V38" i="85" s="1"/>
  <c r="S38" i="85"/>
  <c r="R38" i="85"/>
  <c r="J38" i="85"/>
  <c r="I38" i="85"/>
  <c r="U37" i="85"/>
  <c r="V37" i="85" s="1"/>
  <c r="S37" i="85"/>
  <c r="R37" i="85"/>
  <c r="J37" i="85"/>
  <c r="I37" i="85"/>
  <c r="U36" i="85"/>
  <c r="V36" i="85" s="1"/>
  <c r="S36" i="85"/>
  <c r="R36" i="85"/>
  <c r="J36" i="85"/>
  <c r="I36" i="85"/>
  <c r="W36" i="85" s="1"/>
  <c r="U35" i="85"/>
  <c r="V35" i="85" s="1"/>
  <c r="S35" i="85"/>
  <c r="R35" i="85"/>
  <c r="J35" i="85"/>
  <c r="I35" i="85"/>
  <c r="U34" i="85"/>
  <c r="V34" i="85" s="1"/>
  <c r="S34" i="85"/>
  <c r="R34" i="85"/>
  <c r="J34" i="85"/>
  <c r="I34" i="85"/>
  <c r="W34" i="85" s="1"/>
  <c r="U33" i="85"/>
  <c r="V33" i="85" s="1"/>
  <c r="S33" i="85"/>
  <c r="R33" i="85"/>
  <c r="J33" i="85"/>
  <c r="I33" i="85"/>
  <c r="W33" i="85" s="1"/>
  <c r="U32" i="85"/>
  <c r="V32" i="85" s="1"/>
  <c r="S32" i="85"/>
  <c r="R32" i="85"/>
  <c r="J32" i="85"/>
  <c r="I32" i="85"/>
  <c r="W32" i="85" s="1"/>
  <c r="U31" i="85"/>
  <c r="V31" i="85" s="1"/>
  <c r="S31" i="85"/>
  <c r="R31" i="85"/>
  <c r="J31" i="85"/>
  <c r="I31" i="85"/>
  <c r="W31" i="85" s="1"/>
  <c r="U30" i="85"/>
  <c r="V30" i="85" s="1"/>
  <c r="S30" i="85"/>
  <c r="R30" i="85"/>
  <c r="J30" i="85"/>
  <c r="I30" i="85"/>
  <c r="U29" i="85"/>
  <c r="V29" i="85" s="1"/>
  <c r="S29" i="85"/>
  <c r="R29" i="85"/>
  <c r="J29" i="85"/>
  <c r="I29" i="85"/>
  <c r="W29" i="85" s="1"/>
  <c r="U28" i="85"/>
  <c r="V28" i="85" s="1"/>
  <c r="S28" i="85"/>
  <c r="R28" i="85"/>
  <c r="J28" i="85"/>
  <c r="I28" i="85"/>
  <c r="W28" i="85" s="1"/>
  <c r="U27" i="85"/>
  <c r="S27" i="85"/>
  <c r="R27" i="85"/>
  <c r="J27" i="85"/>
  <c r="I27" i="85"/>
  <c r="W27" i="85" s="1"/>
  <c r="BE26" i="85"/>
  <c r="U26" i="85"/>
  <c r="V26" i="85" s="1"/>
  <c r="S26" i="85"/>
  <c r="R26" i="85"/>
  <c r="J26" i="85"/>
  <c r="I26" i="85"/>
  <c r="U25" i="85"/>
  <c r="V25" i="85" s="1"/>
  <c r="S25" i="85"/>
  <c r="R25" i="85"/>
  <c r="J25" i="85"/>
  <c r="I25" i="85"/>
  <c r="U24" i="85"/>
  <c r="V24" i="85" s="1"/>
  <c r="S24" i="85"/>
  <c r="R24" i="85"/>
  <c r="J24" i="85"/>
  <c r="I24" i="85"/>
  <c r="W24" i="85" s="1"/>
  <c r="U23" i="85"/>
  <c r="V23" i="85" s="1"/>
  <c r="S23" i="85"/>
  <c r="R23" i="85"/>
  <c r="J23" i="85"/>
  <c r="I23" i="85"/>
  <c r="U22" i="85"/>
  <c r="V22" i="85" s="1"/>
  <c r="S22" i="85"/>
  <c r="R22" i="85"/>
  <c r="J22" i="85"/>
  <c r="I22" i="85"/>
  <c r="W22" i="85" s="1"/>
  <c r="U21" i="85"/>
  <c r="V21" i="85" s="1"/>
  <c r="S21" i="85"/>
  <c r="R21" i="85"/>
  <c r="J21" i="85"/>
  <c r="I21" i="85"/>
  <c r="U20" i="85"/>
  <c r="V20" i="85" s="1"/>
  <c r="S20" i="85"/>
  <c r="R20" i="85"/>
  <c r="J20" i="85"/>
  <c r="I20" i="85"/>
  <c r="W20" i="85" s="1"/>
  <c r="U19" i="85"/>
  <c r="V19" i="85" s="1"/>
  <c r="S19" i="85"/>
  <c r="R19" i="85"/>
  <c r="J19" i="85"/>
  <c r="W19" i="85" s="1"/>
  <c r="I19" i="85"/>
  <c r="U18" i="85"/>
  <c r="V18" i="85" s="1"/>
  <c r="S18" i="85"/>
  <c r="R18" i="85"/>
  <c r="J18" i="85"/>
  <c r="I18" i="85"/>
  <c r="W18" i="85" s="1"/>
  <c r="U17" i="85"/>
  <c r="V17" i="85" s="1"/>
  <c r="S17" i="85"/>
  <c r="R17" i="85"/>
  <c r="J17" i="85"/>
  <c r="W17" i="85" s="1"/>
  <c r="I17" i="85"/>
  <c r="U16" i="85"/>
  <c r="V16" i="85" s="1"/>
  <c r="S16" i="85"/>
  <c r="R16" i="85"/>
  <c r="J16" i="85"/>
  <c r="I16" i="85"/>
  <c r="W16" i="85" s="1"/>
  <c r="U15" i="85"/>
  <c r="V15" i="85" s="1"/>
  <c r="S15" i="85"/>
  <c r="R15" i="85"/>
  <c r="J15" i="85"/>
  <c r="I15" i="85"/>
  <c r="U14" i="85"/>
  <c r="V14" i="85" s="1"/>
  <c r="S14" i="85"/>
  <c r="R14" i="85"/>
  <c r="J14" i="85"/>
  <c r="I14" i="85"/>
  <c r="W14" i="85" s="1"/>
  <c r="U13" i="85"/>
  <c r="V13" i="85" s="1"/>
  <c r="S13" i="85"/>
  <c r="R13" i="85"/>
  <c r="J13" i="85"/>
  <c r="I13" i="85"/>
  <c r="U12" i="85"/>
  <c r="V12" i="85" s="1"/>
  <c r="S12" i="85"/>
  <c r="R12" i="85"/>
  <c r="J12" i="85"/>
  <c r="I12" i="85"/>
  <c r="W12" i="85" s="1"/>
  <c r="U11" i="85"/>
  <c r="V11" i="85" s="1"/>
  <c r="S11" i="85"/>
  <c r="R11" i="85"/>
  <c r="J11" i="85"/>
  <c r="I11" i="85"/>
  <c r="U10" i="85"/>
  <c r="V10" i="85" s="1"/>
  <c r="S10" i="85"/>
  <c r="R10" i="85"/>
  <c r="J10" i="85"/>
  <c r="I10" i="85"/>
  <c r="W10" i="85" s="1"/>
  <c r="U9" i="85"/>
  <c r="V9" i="85" s="1"/>
  <c r="S9" i="85"/>
  <c r="R9" i="85"/>
  <c r="J9" i="85"/>
  <c r="I9" i="85"/>
  <c r="A9" i="85"/>
  <c r="A10" i="85" s="1"/>
  <c r="A11" i="85" s="1"/>
  <c r="A12" i="85" s="1"/>
  <c r="A13" i="85" s="1"/>
  <c r="A14" i="85" s="1"/>
  <c r="A15" i="85" s="1"/>
  <c r="A16" i="85" s="1"/>
  <c r="A17" i="85" s="1"/>
  <c r="A18" i="85" s="1"/>
  <c r="A19" i="85" s="1"/>
  <c r="A20" i="85" s="1"/>
  <c r="A21" i="85" s="1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A58" i="85" s="1"/>
  <c r="A59" i="85" s="1"/>
  <c r="U8" i="85"/>
  <c r="V8" i="85" s="1"/>
  <c r="S8" i="85"/>
  <c r="R8" i="85"/>
  <c r="J8" i="85"/>
  <c r="I8" i="85"/>
  <c r="W8" i="85" s="1"/>
  <c r="W48" i="85" l="1"/>
  <c r="W44" i="85"/>
  <c r="W38" i="85"/>
  <c r="W35" i="85"/>
  <c r="W26" i="85"/>
  <c r="W25" i="85"/>
  <c r="W23" i="85"/>
  <c r="W11" i="85"/>
  <c r="W9" i="85"/>
  <c r="S60" i="85"/>
  <c r="U60" i="85"/>
  <c r="R60" i="85"/>
  <c r="W15" i="85"/>
  <c r="W13" i="85"/>
  <c r="W30" i="85"/>
  <c r="W21" i="85"/>
  <c r="W37" i="85"/>
  <c r="J60" i="85"/>
  <c r="W41" i="85"/>
  <c r="V27" i="85"/>
  <c r="V60" i="85" s="1"/>
  <c r="I60" i="85"/>
  <c r="W60" i="83"/>
  <c r="V60" i="83"/>
  <c r="U60" i="83"/>
  <c r="I44" i="83"/>
  <c r="U54" i="83"/>
  <c r="V54" i="83" s="1"/>
  <c r="W53" i="83"/>
  <c r="U53" i="83"/>
  <c r="V53" i="83" s="1"/>
  <c r="U52" i="83"/>
  <c r="V52" i="83" s="1"/>
  <c r="W51" i="83"/>
  <c r="U51" i="83"/>
  <c r="V51" i="83" s="1"/>
  <c r="W50" i="83"/>
  <c r="U50" i="83"/>
  <c r="V50" i="83" s="1"/>
  <c r="W49" i="83"/>
  <c r="U49" i="83"/>
  <c r="V49" i="83" s="1"/>
  <c r="U48" i="83"/>
  <c r="V48" i="83" s="1"/>
  <c r="W47" i="83"/>
  <c r="U47" i="83"/>
  <c r="V47" i="83" s="1"/>
  <c r="W46" i="83"/>
  <c r="U46" i="83"/>
  <c r="V46" i="83" s="1"/>
  <c r="U44" i="83"/>
  <c r="V44" i="83" s="1"/>
  <c r="U42" i="83"/>
  <c r="V42" i="83" s="1"/>
  <c r="U41" i="83"/>
  <c r="V41" i="83" s="1"/>
  <c r="W40" i="83"/>
  <c r="U40" i="83"/>
  <c r="V40" i="83" s="1"/>
  <c r="U39" i="83"/>
  <c r="V39" i="83" s="1"/>
  <c r="W38" i="83"/>
  <c r="V38" i="83"/>
  <c r="U38" i="83"/>
  <c r="W37" i="83"/>
  <c r="W36" i="83"/>
  <c r="W34" i="83"/>
  <c r="W33" i="83"/>
  <c r="W32" i="83"/>
  <c r="W30" i="83"/>
  <c r="W28" i="83"/>
  <c r="W27" i="83"/>
  <c r="W26" i="83"/>
  <c r="W25" i="83"/>
  <c r="W24" i="83"/>
  <c r="W23" i="83"/>
  <c r="W22" i="83"/>
  <c r="W21" i="83"/>
  <c r="W20" i="83"/>
  <c r="W19" i="83"/>
  <c r="W18" i="83"/>
  <c r="W17" i="83"/>
  <c r="W16" i="83"/>
  <c r="W15" i="83"/>
  <c r="W14" i="83"/>
  <c r="W12" i="83"/>
  <c r="W11" i="83"/>
  <c r="W10" i="83"/>
  <c r="W9" i="83"/>
  <c r="W8" i="83"/>
  <c r="W13" i="83"/>
  <c r="U13" i="83"/>
  <c r="W60" i="85" l="1"/>
  <c r="J13" i="83"/>
  <c r="U37" i="83"/>
  <c r="V37" i="83" s="1"/>
  <c r="U36" i="83"/>
  <c r="V36" i="83" s="1"/>
  <c r="U35" i="83"/>
  <c r="V35" i="83" s="1"/>
  <c r="V34" i="83"/>
  <c r="U34" i="83"/>
  <c r="U33" i="83"/>
  <c r="V33" i="83" s="1"/>
  <c r="V32" i="83"/>
  <c r="U32" i="83"/>
  <c r="U31" i="83"/>
  <c r="V31" i="83" s="1"/>
  <c r="U30" i="83"/>
  <c r="V30" i="83" s="1"/>
  <c r="U29" i="83"/>
  <c r="V29" i="83" s="1"/>
  <c r="U28" i="83"/>
  <c r="V28" i="83" s="1"/>
  <c r="V27" i="83"/>
  <c r="U27" i="83"/>
  <c r="U26" i="83"/>
  <c r="V26" i="83" s="1"/>
  <c r="U25" i="83"/>
  <c r="V25" i="83" s="1"/>
  <c r="U24" i="83"/>
  <c r="V24" i="83" s="1"/>
  <c r="U23" i="83"/>
  <c r="V23" i="83" s="1"/>
  <c r="U22" i="83"/>
  <c r="V22" i="83" s="1"/>
  <c r="U21" i="83"/>
  <c r="V21" i="83" s="1"/>
  <c r="U20" i="83"/>
  <c r="V20" i="83" s="1"/>
  <c r="U19" i="83"/>
  <c r="V19" i="83" s="1"/>
  <c r="U18" i="83"/>
  <c r="V18" i="83" s="1"/>
  <c r="U17" i="83"/>
  <c r="V17" i="83" s="1"/>
  <c r="V16" i="83"/>
  <c r="U16" i="83"/>
  <c r="U15" i="83"/>
  <c r="V15" i="83" s="1"/>
  <c r="U14" i="83"/>
  <c r="V14" i="83" s="1"/>
  <c r="U12" i="83"/>
  <c r="V12" i="83" s="1"/>
  <c r="U10" i="83"/>
  <c r="V10" i="83" s="1"/>
  <c r="U11" i="83"/>
  <c r="V11" i="83" s="1"/>
  <c r="U9" i="83"/>
  <c r="V9" i="83" s="1"/>
  <c r="V8" i="83"/>
  <c r="U8" i="83"/>
  <c r="Q60" i="84" l="1"/>
  <c r="P60" i="84"/>
  <c r="O60" i="84"/>
  <c r="N60" i="84"/>
  <c r="M60" i="84"/>
  <c r="L60" i="84"/>
  <c r="H60" i="84"/>
  <c r="G60" i="84"/>
  <c r="E60" i="84"/>
  <c r="D60" i="84"/>
  <c r="C60" i="84"/>
  <c r="BC26" i="84"/>
  <c r="R60" i="84"/>
  <c r="A10" i="84"/>
  <c r="A11" i="84" s="1"/>
  <c r="A12" i="84" s="1"/>
  <c r="A13" i="84" s="1"/>
  <c r="A14" i="84" s="1"/>
  <c r="A15" i="84" s="1"/>
  <c r="A16" i="84" s="1"/>
  <c r="A17" i="84" s="1"/>
  <c r="A18" i="84" s="1"/>
  <c r="A19" i="84" s="1"/>
  <c r="A20" i="84" s="1"/>
  <c r="A21" i="84" s="1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A58" i="84" s="1"/>
  <c r="A59" i="84" s="1"/>
  <c r="A9" i="84"/>
  <c r="S60" i="84"/>
  <c r="J60" i="84"/>
  <c r="I60" i="84"/>
  <c r="Q60" i="83" l="1"/>
  <c r="P60" i="83"/>
  <c r="O60" i="83"/>
  <c r="N60" i="83"/>
  <c r="M60" i="83"/>
  <c r="L60" i="83"/>
  <c r="H60" i="83"/>
  <c r="G60" i="83"/>
  <c r="E60" i="83"/>
  <c r="D60" i="83"/>
  <c r="C60" i="83"/>
  <c r="S59" i="83"/>
  <c r="R59" i="83"/>
  <c r="J59" i="83"/>
  <c r="I59" i="83"/>
  <c r="S58" i="83"/>
  <c r="R58" i="83"/>
  <c r="J58" i="83"/>
  <c r="I58" i="83"/>
  <c r="S57" i="83"/>
  <c r="R57" i="83"/>
  <c r="J57" i="83"/>
  <c r="I57" i="83"/>
  <c r="S56" i="83"/>
  <c r="R56" i="83"/>
  <c r="J56" i="83"/>
  <c r="I56" i="83"/>
  <c r="S55" i="83"/>
  <c r="R55" i="83"/>
  <c r="J55" i="83"/>
  <c r="I55" i="83"/>
  <c r="S54" i="83"/>
  <c r="R54" i="83"/>
  <c r="J54" i="83"/>
  <c r="I54" i="83"/>
  <c r="W54" i="83" s="1"/>
  <c r="S53" i="83"/>
  <c r="R53" i="83"/>
  <c r="J53" i="83"/>
  <c r="I53" i="83"/>
  <c r="S52" i="83"/>
  <c r="R52" i="83"/>
  <c r="J52" i="83"/>
  <c r="I52" i="83"/>
  <c r="W52" i="83" s="1"/>
  <c r="S51" i="83"/>
  <c r="R51" i="83"/>
  <c r="J51" i="83"/>
  <c r="I51" i="83"/>
  <c r="S50" i="83"/>
  <c r="R50" i="83"/>
  <c r="J50" i="83"/>
  <c r="I50" i="83"/>
  <c r="S49" i="83"/>
  <c r="R49" i="83"/>
  <c r="J49" i="83"/>
  <c r="I49" i="83"/>
  <c r="S48" i="83"/>
  <c r="R48" i="83"/>
  <c r="J48" i="83"/>
  <c r="I48" i="83"/>
  <c r="S47" i="83"/>
  <c r="R47" i="83"/>
  <c r="J47" i="83"/>
  <c r="I47" i="83"/>
  <c r="S46" i="83"/>
  <c r="R46" i="83"/>
  <c r="J46" i="83"/>
  <c r="I46" i="83"/>
  <c r="S45" i="83"/>
  <c r="R45" i="83"/>
  <c r="J45" i="83"/>
  <c r="I45" i="83"/>
  <c r="S44" i="83"/>
  <c r="R44" i="83"/>
  <c r="J44" i="83"/>
  <c r="S43" i="83"/>
  <c r="R43" i="83"/>
  <c r="J43" i="83"/>
  <c r="I43" i="83"/>
  <c r="S42" i="83"/>
  <c r="R42" i="83"/>
  <c r="J42" i="83"/>
  <c r="I42" i="83"/>
  <c r="W42" i="83" s="1"/>
  <c r="S41" i="83"/>
  <c r="R41" i="83"/>
  <c r="J41" i="83"/>
  <c r="I41" i="83"/>
  <c r="W41" i="83" s="1"/>
  <c r="S40" i="83"/>
  <c r="R40" i="83"/>
  <c r="J40" i="83"/>
  <c r="I40" i="83"/>
  <c r="S39" i="83"/>
  <c r="R39" i="83"/>
  <c r="J39" i="83"/>
  <c r="I39" i="83"/>
  <c r="W39" i="83" s="1"/>
  <c r="S38" i="83"/>
  <c r="R38" i="83"/>
  <c r="J38" i="83"/>
  <c r="I38" i="83"/>
  <c r="S37" i="83"/>
  <c r="R37" i="83"/>
  <c r="J37" i="83"/>
  <c r="I37" i="83"/>
  <c r="S36" i="83"/>
  <c r="R36" i="83"/>
  <c r="J36" i="83"/>
  <c r="I36" i="83"/>
  <c r="S35" i="83"/>
  <c r="R35" i="83"/>
  <c r="J35" i="83"/>
  <c r="I35" i="83"/>
  <c r="S34" i="83"/>
  <c r="R34" i="83"/>
  <c r="J34" i="83"/>
  <c r="I34" i="83"/>
  <c r="S33" i="83"/>
  <c r="R33" i="83"/>
  <c r="J33" i="83"/>
  <c r="I33" i="83"/>
  <c r="S32" i="83"/>
  <c r="R32" i="83"/>
  <c r="J32" i="83"/>
  <c r="I32" i="83"/>
  <c r="S31" i="83"/>
  <c r="R31" i="83"/>
  <c r="J31" i="83"/>
  <c r="I31" i="83"/>
  <c r="W31" i="83" s="1"/>
  <c r="S30" i="83"/>
  <c r="R30" i="83"/>
  <c r="J30" i="83"/>
  <c r="I30" i="83"/>
  <c r="S29" i="83"/>
  <c r="R29" i="83"/>
  <c r="J29" i="83"/>
  <c r="I29" i="83"/>
  <c r="W29" i="83" s="1"/>
  <c r="S28" i="83"/>
  <c r="R28" i="83"/>
  <c r="J28" i="83"/>
  <c r="I28" i="83"/>
  <c r="S27" i="83"/>
  <c r="R27" i="83"/>
  <c r="J27" i="83"/>
  <c r="I27" i="83"/>
  <c r="BE26" i="83"/>
  <c r="S26" i="83"/>
  <c r="R26" i="83"/>
  <c r="J26" i="83"/>
  <c r="I26" i="83"/>
  <c r="S25" i="83"/>
  <c r="R25" i="83"/>
  <c r="J25" i="83"/>
  <c r="I25" i="83"/>
  <c r="S24" i="83"/>
  <c r="R24" i="83"/>
  <c r="J24" i="83"/>
  <c r="I24" i="83"/>
  <c r="S23" i="83"/>
  <c r="R23" i="83"/>
  <c r="J23" i="83"/>
  <c r="I23" i="83"/>
  <c r="S22" i="83"/>
  <c r="R22" i="83"/>
  <c r="J22" i="83"/>
  <c r="I22" i="83"/>
  <c r="S21" i="83"/>
  <c r="R21" i="83"/>
  <c r="J21" i="83"/>
  <c r="I21" i="83"/>
  <c r="S20" i="83"/>
  <c r="R20" i="83"/>
  <c r="J20" i="83"/>
  <c r="I20" i="83"/>
  <c r="S19" i="83"/>
  <c r="R19" i="83"/>
  <c r="J19" i="83"/>
  <c r="I19" i="83"/>
  <c r="S18" i="83"/>
  <c r="R18" i="83"/>
  <c r="J18" i="83"/>
  <c r="I18" i="83"/>
  <c r="S17" i="83"/>
  <c r="R17" i="83"/>
  <c r="J17" i="83"/>
  <c r="I17" i="83"/>
  <c r="S16" i="83"/>
  <c r="R16" i="83"/>
  <c r="J16" i="83"/>
  <c r="I16" i="83"/>
  <c r="S15" i="83"/>
  <c r="R15" i="83"/>
  <c r="J15" i="83"/>
  <c r="I15" i="83"/>
  <c r="S14" i="83"/>
  <c r="R14" i="83"/>
  <c r="J14" i="83"/>
  <c r="I14" i="83"/>
  <c r="S13" i="83"/>
  <c r="R13" i="83"/>
  <c r="I13" i="83"/>
  <c r="S12" i="83"/>
  <c r="R12" i="83"/>
  <c r="J12" i="83"/>
  <c r="I12" i="83"/>
  <c r="S11" i="83"/>
  <c r="R11" i="83"/>
  <c r="J11" i="83"/>
  <c r="I11" i="83"/>
  <c r="S10" i="83"/>
  <c r="R10" i="83"/>
  <c r="J10" i="83"/>
  <c r="I10" i="83"/>
  <c r="S9" i="83"/>
  <c r="R9" i="83"/>
  <c r="J9" i="83"/>
  <c r="I9" i="83"/>
  <c r="A9" i="83"/>
  <c r="A10" i="83" s="1"/>
  <c r="A11" i="83" s="1"/>
  <c r="A12" i="83" s="1"/>
  <c r="A13" i="83" s="1"/>
  <c r="A14" i="83" s="1"/>
  <c r="A15" i="83" s="1"/>
  <c r="A16" i="83" s="1"/>
  <c r="A17" i="83" s="1"/>
  <c r="A18" i="83" s="1"/>
  <c r="A19" i="83" s="1"/>
  <c r="A20" i="83" s="1"/>
  <c r="A21" i="83" s="1"/>
  <c r="A22" i="83" s="1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S8" i="83"/>
  <c r="R8" i="83"/>
  <c r="J8" i="83"/>
  <c r="I8" i="83"/>
  <c r="W48" i="83" l="1"/>
  <c r="W44" i="83"/>
  <c r="W35" i="83"/>
  <c r="I60" i="83"/>
  <c r="S60" i="83"/>
  <c r="R60" i="83"/>
  <c r="J60" i="83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J60" i="81" l="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  <c r="V13" i="8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B43F10-1ED2-4C70-AA05-4B80E0EBFA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645834A-37C6-42C3-BCF2-C07E01145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F38A7CB-6FAD-4B82-B199-1695CFA301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75696EE-5BDF-4C34-9938-FC5793B14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TOTAL SALES
BOTTLE PER CASE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4DD3D-E5E6-40D1-8104-05FA874DC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D9B56-0792-4655-B3BA-EEACAA3F4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4A9CE8A-3B8B-4A3E-B829-F83A166717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A3F04B0-816B-4526-9E71-9A761D0D0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926FCD-D895-4CE7-89C1-124F2021D4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97E92BE-EEF4-4952-AE05-4FE6132D9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<sst xmlns="http://schemas.openxmlformats.org/spreadsheetml/2006/main" count="1754" uniqueCount="83">
  <si>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</si>
  <si>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</si>
  <si>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</si>
  <si>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</si>
  <si>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</si>
  <si>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</si>
  <si>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</si>
  <si>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</si>
  <si>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</si>
  <si>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</si>
  <si>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</si>
  <si>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</si>
  <si>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</si>
  <si>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</si>
  <si>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</si>
  <si>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</si>
  <si>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</si>
  <si>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</si>
  <si>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</si>
  <si>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</si>
  <si>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</si>
  <si>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</si>
  <si>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</si>
  <si>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</si>
  <si>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</si>
  <si>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</si>
  <si>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</si>
  <si>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</si>
  <si>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</si>
  <si>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</si>
  <si>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</si>
  <si>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</si>
  <si>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</si>
  <si>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</si>
  <si>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</si>
  <si>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</si>
  <si>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</si>
  <si>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</si>
  <si>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</si>
  <si>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</si>
  <si>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</si>
  <si>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</si>
  <si>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</si>
  <si>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</si>
  <si>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</si>
  <si>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</si>
  <si>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</si>
  <si>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</si>
  <si>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</si>
  <si>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</si>
  <si>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</si>
  <si>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</si>
  <si>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</si>
  <si>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</si>
  <si>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</si>
  <si>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</si>
  <si>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</si>
  <si>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</si>
  <si>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</si>
  <si>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</si>
  <si>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</si>
  <si>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</si>
  <si>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</si>
  <si>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</si>
  <si>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</si>
  <si>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</si>
  <si>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</si>
  <si>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</si>
  <si>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</si>
  <si>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</si>
  <si>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</si>
  <si>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</si>
  <si>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</si>
  <si>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</si>
  <si>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</si>
  <si>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</si>
  <si>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</si>
  <si>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</si>
  <si>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</si>
  <si>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</si>
  <si>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</si>
  <si>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</si>
  <si>
    <t>TS 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</si>
</sst>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7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3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2" borderId="24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3" fillId="2" borderId="49" xfId="3" applyNumberFormat="1" applyFont="1" applyFill="1" applyBorder="1" applyAlignment="1">
      <alignment vertical="center"/>
    </xf>
    <xf numFmtId="167" fontId="3" fillId="2" borderId="35" xfId="3" applyNumberFormat="1" applyFont="1" applyFill="1" applyBorder="1" applyAlignment="1">
      <alignment vertical="center"/>
    </xf>
    <xf numFmtId="167" fontId="3" fillId="2" borderId="0" xfId="3" applyNumberFormat="1" applyFont="1" applyFill="1" applyBorder="1" applyAlignment="1">
      <alignment vertical="center"/>
    </xf>
    <xf numFmtId="167" fontId="3" fillId="2" borderId="38" xfId="3" applyNumberFormat="1" applyFont="1" applyFill="1" applyBorder="1" applyAlignment="1">
      <alignment vertical="center"/>
    </xf>
    <xf numFmtId="167" fontId="2" fillId="0" borderId="51" xfId="3" applyNumberFormat="1" applyFont="1" applyFill="1" applyBorder="1" applyAlignment="1">
      <alignment vertical="center"/>
    </xf>
    <xf numFmtId="167" fontId="3" fillId="2" borderId="18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2" borderId="68" xfId="3" applyNumberFormat="1" applyFont="1" applyFill="1" applyBorder="1" applyAlignment="1">
      <alignment vertical="center"/>
    </xf>
    <xf numFmtId="3" fontId="3" fillId="2" borderId="67" xfId="3" applyNumberFormat="1" applyFont="1" applyFill="1" applyBorder="1" applyAlignment="1">
      <alignment vertical="center"/>
    </xf>
    <xf numFmtId="167" fontId="3" fillId="2" borderId="69" xfId="3" applyNumberFormat="1" applyFont="1" applyFill="1" applyBorder="1" applyAlignment="1">
      <alignment vertical="center"/>
    </xf>
    <xf numFmtId="167" fontId="3" fillId="2" borderId="63" xfId="3" applyNumberFormat="1" applyFont="1" applyFill="1" applyBorder="1" applyAlignment="1">
      <alignment vertical="center"/>
    </xf>
    <xf numFmtId="3" fontId="3" fillId="0" borderId="71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72" xfId="3" applyNumberFormat="1" applyFont="1" applyFill="1" applyBorder="1" applyAlignment="1">
      <alignment vertical="center"/>
    </xf>
    <xf numFmtId="3" fontId="3" fillId="2" borderId="74" xfId="3" applyNumberFormat="1" applyFont="1" applyFill="1" applyBorder="1" applyAlignment="1">
      <alignment vertical="center"/>
    </xf>
    <xf numFmtId="3" fontId="3" fillId="2" borderId="73" xfId="3" applyNumberFormat="1" applyFont="1" applyFill="1" applyBorder="1" applyAlignment="1">
      <alignment vertical="center"/>
    </xf>
    <xf numFmtId="3" fontId="3" fillId="2" borderId="76" xfId="3" applyNumberFormat="1" applyFont="1" applyFill="1" applyBorder="1" applyAlignment="1">
      <alignment vertical="center"/>
    </xf>
    <xf numFmtId="3" fontId="3" fillId="2" borderId="75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9" xfId="3" applyNumberFormat="1" applyFont="1" applyFill="1" applyBorder="1" applyAlignment="1">
      <alignment vertical="center"/>
    </xf>
    <xf numFmtId="0" fontId="3" fillId="0" borderId="77" xfId="1" applyFont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40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196"/>
      <c r="L1" s="197"/>
      <c r="M1" s="197"/>
      <c r="N1" s="197"/>
      <c r="O1" s="198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90" t="s">
        <v>74</v>
      </c>
      <c r="C4" s="199" t="s">
        <v>3</v>
      </c>
      <c r="D4" s="200" t="s">
        <v>4</v>
      </c>
      <c r="E4" s="201"/>
      <c r="F4" s="202" t="s">
        <v>5</v>
      </c>
      <c r="G4" s="204" t="s">
        <v>6</v>
      </c>
      <c r="I4" s="206" t="s">
        <v>7</v>
      </c>
      <c r="J4" s="207"/>
      <c r="K4" s="207"/>
      <c r="L4" s="207"/>
      <c r="M4" s="207"/>
      <c r="N4" s="207"/>
      <c r="O4" s="208"/>
    </row>
    <row r="5" spans="1:51" s="3" customFormat="1" ht="38.25" thickBot="1" x14ac:dyDescent="0.3">
      <c r="A5" s="53"/>
      <c r="B5" s="190"/>
      <c r="C5" s="199"/>
      <c r="D5" s="52" t="s">
        <v>8</v>
      </c>
      <c r="E5" s="51" t="s">
        <v>9</v>
      </c>
      <c r="F5" s="203"/>
      <c r="G5" s="205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191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192"/>
      <c r="G61" s="25" t="s">
        <v>51</v>
      </c>
      <c r="I61" s="36"/>
      <c r="J61" s="37"/>
      <c r="K61" s="37"/>
      <c r="L61" s="38"/>
    </row>
    <row r="62" spans="1:15" x14ac:dyDescent="0.25">
      <c r="F62" s="193"/>
      <c r="G62" s="25" t="s">
        <v>52</v>
      </c>
      <c r="I62" s="39"/>
      <c r="J62" s="40"/>
      <c r="K62" s="40"/>
      <c r="L62" s="41"/>
    </row>
    <row r="63" spans="1:15" x14ac:dyDescent="0.25">
      <c r="F63" s="194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194"/>
      <c r="G64" s="25" t="s">
        <v>51</v>
      </c>
      <c r="I64" s="36"/>
      <c r="J64" s="37"/>
      <c r="K64" s="37"/>
      <c r="L64" s="38"/>
    </row>
    <row r="65" spans="2:15" ht="19.5" thickBot="1" x14ac:dyDescent="0.3">
      <c r="F65" s="195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X5" sqref="X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6">
        <v>46055</v>
      </c>
      <c r="Q1" s="197"/>
      <c r="R1" s="197"/>
      <c r="S1" s="197"/>
      <c r="T1" s="197"/>
      <c r="U1" s="197"/>
      <c r="V1" s="19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08"/>
    </row>
    <row r="5" spans="1:58" s="3" customFormat="1" ht="38.25" thickBot="1" x14ac:dyDescent="0.3">
      <c r="A5" s="53"/>
      <c r="B5" s="190"/>
      <c r="C5" s="199"/>
      <c r="D5" s="209"/>
      <c r="E5" s="52" t="s">
        <v>8</v>
      </c>
      <c r="F5" s="134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146</v>
      </c>
      <c r="D11" s="101"/>
      <c r="E11" s="91"/>
      <c r="F11" s="91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91"/>
      <c r="M11" s="91"/>
      <c r="N11" s="91">
        <v>2</v>
      </c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/>
      <c r="H12" s="93"/>
      <c r="I12" s="93">
        <f t="shared" si="3"/>
        <v>4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3872</v>
      </c>
      <c r="D13" s="105">
        <v>2</v>
      </c>
      <c r="E13" s="106"/>
      <c r="F13" s="106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94">
        <v>14</v>
      </c>
      <c r="M13" s="94">
        <v>7</v>
      </c>
      <c r="N13" s="94">
        <v>20</v>
      </c>
      <c r="O13" s="94">
        <v>22</v>
      </c>
      <c r="P13" s="94">
        <v>4</v>
      </c>
      <c r="Q13" s="95">
        <v>41</v>
      </c>
      <c r="R13" s="129">
        <f>L13+N13+P13</f>
        <v>38</v>
      </c>
      <c r="S13" s="127">
        <f>M13+O13+Q13</f>
        <v>70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/>
      <c r="I26" s="93">
        <f t="shared" si="3"/>
        <v>116</v>
      </c>
      <c r="J26" s="103">
        <f t="shared" si="3"/>
        <v>11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/>
      <c r="H27" s="93"/>
      <c r="I27" s="93">
        <f t="shared" si="3"/>
        <v>3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78</v>
      </c>
      <c r="D29" s="101"/>
      <c r="E29" s="91"/>
      <c r="F29" s="91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/>
      <c r="I31" s="93">
        <f t="shared" si="3"/>
        <v>78</v>
      </c>
      <c r="J31" s="103">
        <f t="shared" si="3"/>
        <v>12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/>
      <c r="H32" s="93"/>
      <c r="I32" s="93">
        <f t="shared" si="3"/>
        <v>3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5809</v>
      </c>
      <c r="D38" s="105">
        <v>2</v>
      </c>
      <c r="E38" s="106"/>
      <c r="F38" s="106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94">
        <v>118</v>
      </c>
      <c r="M38" s="94"/>
      <c r="N38" s="94">
        <v>53</v>
      </c>
      <c r="O38" s="94"/>
      <c r="P38" s="94">
        <v>80</v>
      </c>
      <c r="Q38" s="95"/>
      <c r="R38" s="129">
        <f t="shared" si="4"/>
        <v>251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/>
      <c r="H39" s="93"/>
      <c r="I39" s="93">
        <f t="shared" si="3"/>
        <v>12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1963</v>
      </c>
      <c r="D42" s="110"/>
      <c r="E42" s="96"/>
      <c r="F42" s="96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96">
        <v>10</v>
      </c>
      <c r="M42" s="96"/>
      <c r="N42" s="96">
        <v>11</v>
      </c>
      <c r="O42" s="96"/>
      <c r="P42" s="96">
        <v>7</v>
      </c>
      <c r="Q42" s="97"/>
      <c r="R42" s="129">
        <f t="shared" si="4"/>
        <v>28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31248</v>
      </c>
      <c r="D44" s="105"/>
      <c r="E44" s="106"/>
      <c r="F44" s="106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94">
        <v>283</v>
      </c>
      <c r="M44" s="94"/>
      <c r="N44" s="94">
        <v>458</v>
      </c>
      <c r="O44" s="94"/>
      <c r="P44" s="94">
        <v>330</v>
      </c>
      <c r="Q44" s="95"/>
      <c r="R44" s="129">
        <f t="shared" si="4"/>
        <v>1071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/>
      <c r="H48" s="93"/>
      <c r="I48" s="93">
        <f t="shared" si="3"/>
        <v>2400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8">
        <f t="shared" si="5"/>
        <v>1395</v>
      </c>
      <c r="S60" s="125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C53" sqref="C5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6">
        <v>46056</v>
      </c>
      <c r="Q1" s="197"/>
      <c r="R1" s="197"/>
      <c r="S1" s="197"/>
      <c r="T1" s="197"/>
      <c r="U1" s="197"/>
      <c r="V1" s="19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08"/>
    </row>
    <row r="5" spans="1:58" s="3" customFormat="1" ht="38.25" thickBot="1" x14ac:dyDescent="0.3">
      <c r="A5" s="53"/>
      <c r="B5" s="190"/>
      <c r="C5" s="199"/>
      <c r="D5" s="209"/>
      <c r="E5" s="52" t="s">
        <v>8</v>
      </c>
      <c r="F5" s="134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>
        <v>2</v>
      </c>
      <c r="Q9" s="95"/>
      <c r="R9" s="129">
        <f t="shared" si="1"/>
        <v>2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144</v>
      </c>
      <c r="D11" s="101"/>
      <c r="E11" s="91"/>
      <c r="F11" s="91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>
        <v>2</v>
      </c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91">
        <v>2</v>
      </c>
      <c r="M12" s="91"/>
      <c r="N12" s="91"/>
      <c r="O12" s="91"/>
      <c r="P12" s="91"/>
      <c r="Q12" s="92"/>
      <c r="R12" s="129">
        <f t="shared" si="1"/>
        <v>2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3829</v>
      </c>
      <c r="D13" s="105">
        <v>17</v>
      </c>
      <c r="E13" s="106"/>
      <c r="F13" s="106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94">
        <v>2</v>
      </c>
      <c r="M13" s="94">
        <v>2</v>
      </c>
      <c r="N13" s="94">
        <v>4</v>
      </c>
      <c r="O13" s="94">
        <v>9</v>
      </c>
      <c r="P13" s="94">
        <v>12</v>
      </c>
      <c r="Q13" s="95">
        <v>4</v>
      </c>
      <c r="R13" s="129">
        <f>L13+N13+P13</f>
        <v>18</v>
      </c>
      <c r="S13" s="127">
        <f>M13+O13+Q13</f>
        <v>15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91"/>
      <c r="M26" s="91">
        <v>12</v>
      </c>
      <c r="N26" s="91"/>
      <c r="O26" s="91"/>
      <c r="P26" s="91"/>
      <c r="Q26" s="92"/>
      <c r="R26" s="129">
        <f t="shared" si="4"/>
        <v>0</v>
      </c>
      <c r="S26" s="127">
        <f t="shared" si="4"/>
        <v>12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>
        <v>1</v>
      </c>
      <c r="Q27" s="92"/>
      <c r="R27" s="129">
        <f t="shared" si="4"/>
        <v>1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73</v>
      </c>
      <c r="D29" s="101"/>
      <c r="E29" s="91"/>
      <c r="F29" s="91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>
        <v>3</v>
      </c>
      <c r="Q29" s="92"/>
      <c r="R29" s="129">
        <f t="shared" si="4"/>
        <v>4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91"/>
      <c r="M31" s="91">
        <v>12</v>
      </c>
      <c r="N31" s="91"/>
      <c r="O31" s="91"/>
      <c r="P31" s="91"/>
      <c r="Q31" s="92"/>
      <c r="R31" s="129">
        <f t="shared" si="4"/>
        <v>0</v>
      </c>
      <c r="S31" s="127">
        <f t="shared" si="4"/>
        <v>12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>
        <v>1</v>
      </c>
      <c r="O32" s="91"/>
      <c r="P32" s="91"/>
      <c r="Q32" s="92"/>
      <c r="R32" s="129">
        <f t="shared" si="4"/>
        <v>1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5598</v>
      </c>
      <c r="D38" s="105">
        <v>2</v>
      </c>
      <c r="E38" s="106"/>
      <c r="F38" s="106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94">
        <v>20</v>
      </c>
      <c r="M38" s="94"/>
      <c r="N38" s="94">
        <v>33</v>
      </c>
      <c r="O38" s="94"/>
      <c r="P38" s="94">
        <v>35</v>
      </c>
      <c r="Q38" s="95"/>
      <c r="R38" s="129">
        <f t="shared" si="4"/>
        <v>88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1935</v>
      </c>
      <c r="D42" s="110"/>
      <c r="E42" s="96"/>
      <c r="F42" s="96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96">
        <v>8</v>
      </c>
      <c r="M42" s="96"/>
      <c r="N42" s="96">
        <v>7</v>
      </c>
      <c r="O42" s="96"/>
      <c r="P42" s="96">
        <v>4</v>
      </c>
      <c r="Q42" s="97"/>
      <c r="R42" s="129">
        <f t="shared" si="4"/>
        <v>19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30177</v>
      </c>
      <c r="D44" s="105"/>
      <c r="E44" s="106"/>
      <c r="F44" s="106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94">
        <v>307</v>
      </c>
      <c r="M44" s="94"/>
      <c r="N44" s="94">
        <v>242</v>
      </c>
      <c r="O44" s="94"/>
      <c r="P44" s="94">
        <v>414</v>
      </c>
      <c r="Q44" s="95"/>
      <c r="R44" s="129">
        <f t="shared" si="4"/>
        <v>963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91">
        <v>5</v>
      </c>
      <c r="M48" s="91"/>
      <c r="N48" s="91"/>
      <c r="O48" s="91"/>
      <c r="P48" s="91"/>
      <c r="Q48" s="92"/>
      <c r="R48" s="129">
        <f t="shared" si="4"/>
        <v>5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8">
        <f t="shared" si="5"/>
        <v>1109</v>
      </c>
      <c r="S60" s="125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C28" sqref="C2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6">
        <v>46057</v>
      </c>
      <c r="Q1" s="197"/>
      <c r="R1" s="197"/>
      <c r="S1" s="197"/>
      <c r="T1" s="197"/>
      <c r="U1" s="197"/>
      <c r="V1" s="19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08"/>
    </row>
    <row r="5" spans="1:58" s="3" customFormat="1" ht="38.25" thickBot="1" x14ac:dyDescent="0.3">
      <c r="A5" s="53"/>
      <c r="B5" s="190"/>
      <c r="C5" s="199"/>
      <c r="D5" s="209"/>
      <c r="E5" s="52" t="s">
        <v>8</v>
      </c>
      <c r="F5" s="137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139</v>
      </c>
      <c r="D11" s="101"/>
      <c r="E11" s="91"/>
      <c r="F11" s="91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91"/>
      <c r="M11" s="91"/>
      <c r="N11" s="91"/>
      <c r="O11" s="91"/>
      <c r="P11" s="91">
        <v>7</v>
      </c>
      <c r="Q11" s="92"/>
      <c r="R11" s="129">
        <f t="shared" si="1"/>
        <v>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3811</v>
      </c>
      <c r="D13" s="105">
        <v>2</v>
      </c>
      <c r="E13" s="106"/>
      <c r="F13" s="106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94">
        <v>5</v>
      </c>
      <c r="M13" s="94">
        <v>3</v>
      </c>
      <c r="N13" s="94">
        <v>8</v>
      </c>
      <c r="O13" s="94">
        <v>1</v>
      </c>
      <c r="P13" s="94">
        <v>13</v>
      </c>
      <c r="Q13" s="95"/>
      <c r="R13" s="129">
        <f>L13+N13+P13</f>
        <v>26</v>
      </c>
      <c r="S13" s="127">
        <f>M13+O13+Q13</f>
        <v>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115</v>
      </c>
      <c r="D26" s="101">
        <v>23</v>
      </c>
      <c r="E26" s="91"/>
      <c r="F26" s="91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91"/>
      <c r="M26" s="91"/>
      <c r="N26" s="91"/>
      <c r="O26" s="91"/>
      <c r="P26" s="91">
        <v>2</v>
      </c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69</v>
      </c>
      <c r="D29" s="101"/>
      <c r="E29" s="91"/>
      <c r="F29" s="91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/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91"/>
      <c r="M35" s="91"/>
      <c r="N35" s="91"/>
      <c r="O35" s="91"/>
      <c r="P35" s="91">
        <v>3</v>
      </c>
      <c r="Q35" s="92"/>
      <c r="R35" s="129">
        <f t="shared" si="4"/>
        <v>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5510</v>
      </c>
      <c r="D38" s="105">
        <v>2</v>
      </c>
      <c r="E38" s="106"/>
      <c r="F38" s="106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94">
        <v>22</v>
      </c>
      <c r="M38" s="94"/>
      <c r="N38" s="94">
        <v>18</v>
      </c>
      <c r="O38" s="94"/>
      <c r="P38" s="94">
        <v>143</v>
      </c>
      <c r="Q38" s="95"/>
      <c r="R38" s="129">
        <f t="shared" si="4"/>
        <v>183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>
        <v>2</v>
      </c>
      <c r="Q41" s="92"/>
      <c r="R41" s="129">
        <f t="shared" si="4"/>
        <v>2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1916</v>
      </c>
      <c r="D42" s="110"/>
      <c r="E42" s="96"/>
      <c r="F42" s="96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96">
        <v>2</v>
      </c>
      <c r="M42" s="96"/>
      <c r="N42" s="96">
        <v>5</v>
      </c>
      <c r="O42" s="96"/>
      <c r="P42" s="96">
        <v>20</v>
      </c>
      <c r="Q42" s="97"/>
      <c r="R42" s="129">
        <f t="shared" si="4"/>
        <v>27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29214</v>
      </c>
      <c r="D44" s="105"/>
      <c r="E44" s="106"/>
      <c r="F44" s="106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94">
        <v>235</v>
      </c>
      <c r="M44" s="94"/>
      <c r="N44" s="94">
        <v>203</v>
      </c>
      <c r="O44" s="94"/>
      <c r="P44" s="94">
        <v>474</v>
      </c>
      <c r="Q44" s="95"/>
      <c r="R44" s="129">
        <f t="shared" si="4"/>
        <v>912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2395</v>
      </c>
      <c r="D48" s="101">
        <v>5</v>
      </c>
      <c r="E48" s="91"/>
      <c r="F48" s="91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>
        <v>3</v>
      </c>
      <c r="O48" s="91"/>
      <c r="P48" s="91">
        <v>4</v>
      </c>
      <c r="Q48" s="92"/>
      <c r="R48" s="129">
        <f t="shared" si="4"/>
        <v>7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8">
        <f t="shared" si="5"/>
        <v>1174</v>
      </c>
      <c r="S60" s="125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6">
        <v>46058</v>
      </c>
      <c r="Q1" s="197"/>
      <c r="R1" s="197"/>
      <c r="S1" s="197"/>
      <c r="T1" s="197"/>
      <c r="U1" s="197"/>
      <c r="V1" s="19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08"/>
    </row>
    <row r="5" spans="1:58" s="3" customFormat="1" ht="38.25" thickBot="1" x14ac:dyDescent="0.3">
      <c r="A5" s="53"/>
      <c r="B5" s="190"/>
      <c r="C5" s="199"/>
      <c r="D5" s="209"/>
      <c r="E5" s="52" t="s">
        <v>8</v>
      </c>
      <c r="F5" s="137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91">
        <v>1</v>
      </c>
      <c r="M8" s="91"/>
      <c r="N8" s="91"/>
      <c r="O8" s="91"/>
      <c r="P8" s="91">
        <v>1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94"/>
      <c r="M9" s="94"/>
      <c r="N9" s="94"/>
      <c r="O9" s="94"/>
      <c r="P9" s="94">
        <v>1</v>
      </c>
      <c r="Q9" s="95"/>
      <c r="R9" s="129">
        <f t="shared" si="1"/>
        <v>1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132</v>
      </c>
      <c r="D11" s="101"/>
      <c r="E11" s="91"/>
      <c r="F11" s="91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91">
        <v>4</v>
      </c>
      <c r="M11" s="91"/>
      <c r="N11" s="91">
        <v>4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3784</v>
      </c>
      <c r="D13" s="105">
        <v>22</v>
      </c>
      <c r="E13" s="106"/>
      <c r="F13" s="106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94">
        <v>4</v>
      </c>
      <c r="M13" s="94">
        <v>6</v>
      </c>
      <c r="N13" s="94">
        <v>8</v>
      </c>
      <c r="O13" s="94">
        <v>2</v>
      </c>
      <c r="P13" s="94">
        <v>10</v>
      </c>
      <c r="Q13" s="95">
        <v>9</v>
      </c>
      <c r="R13" s="129">
        <f>L13+N13+P13</f>
        <v>22</v>
      </c>
      <c r="S13" s="127">
        <f>M13+O13+Q13</f>
        <v>17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113</v>
      </c>
      <c r="D26" s="101">
        <v>23</v>
      </c>
      <c r="E26" s="91"/>
      <c r="F26" s="91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>
        <v>4</v>
      </c>
      <c r="Q26" s="92"/>
      <c r="R26" s="129">
        <f t="shared" si="4"/>
        <v>4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64</v>
      </c>
      <c r="D29" s="101"/>
      <c r="E29" s="91"/>
      <c r="F29" s="91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91">
        <v>2</v>
      </c>
      <c r="M29" s="91"/>
      <c r="N29" s="91">
        <v>1</v>
      </c>
      <c r="O29" s="91"/>
      <c r="P29" s="91">
        <v>3</v>
      </c>
      <c r="Q29" s="92"/>
      <c r="R29" s="129">
        <f t="shared" si="4"/>
        <v>6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91">
        <v>1</v>
      </c>
      <c r="M32" s="91"/>
      <c r="N32" s="91">
        <v>1</v>
      </c>
      <c r="O32" s="91"/>
      <c r="P32" s="91"/>
      <c r="Q32" s="92"/>
      <c r="R32" s="129">
        <f t="shared" si="4"/>
        <v>2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91"/>
      <c r="M33" s="91"/>
      <c r="N33" s="91">
        <v>1</v>
      </c>
      <c r="O33" s="91"/>
      <c r="P33" s="91"/>
      <c r="Q33" s="92"/>
      <c r="R33" s="129">
        <f t="shared" si="4"/>
        <v>1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197</v>
      </c>
      <c r="D35" s="101">
        <v>11</v>
      </c>
      <c r="E35" s="91"/>
      <c r="F35" s="91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91"/>
      <c r="M35" s="91"/>
      <c r="N35" s="91">
        <v>2</v>
      </c>
      <c r="O35" s="91"/>
      <c r="P35" s="91"/>
      <c r="Q35" s="92">
        <v>12</v>
      </c>
      <c r="R35" s="129">
        <f t="shared" si="4"/>
        <v>2</v>
      </c>
      <c r="S35" s="127">
        <f t="shared" si="4"/>
        <v>12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5327</v>
      </c>
      <c r="D38" s="105">
        <v>2</v>
      </c>
      <c r="E38" s="106"/>
      <c r="F38" s="106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94">
        <v>33</v>
      </c>
      <c r="M38" s="94"/>
      <c r="N38" s="94">
        <v>29</v>
      </c>
      <c r="O38" s="94"/>
      <c r="P38" s="94">
        <v>6</v>
      </c>
      <c r="Q38" s="95"/>
      <c r="R38" s="129">
        <f t="shared" si="4"/>
        <v>68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821</v>
      </c>
      <c r="D41" s="105">
        <v>12</v>
      </c>
      <c r="E41" s="106"/>
      <c r="F41" s="106"/>
      <c r="G41" s="107"/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1889</v>
      </c>
      <c r="D42" s="110"/>
      <c r="E42" s="96"/>
      <c r="F42" s="96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96">
        <v>1</v>
      </c>
      <c r="M42" s="96"/>
      <c r="N42" s="96"/>
      <c r="O42" s="96"/>
      <c r="P42" s="96"/>
      <c r="Q42" s="97"/>
      <c r="R42" s="129">
        <f t="shared" si="4"/>
        <v>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28302</f>
        <v>28302</v>
      </c>
      <c r="D44" s="105"/>
      <c r="E44" s="106"/>
      <c r="F44" s="106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94">
        <v>207</v>
      </c>
      <c r="M44" s="94"/>
      <c r="N44" s="94">
        <v>205</v>
      </c>
      <c r="O44" s="94"/>
      <c r="P44" s="94">
        <v>248</v>
      </c>
      <c r="Q44" s="95"/>
      <c r="R44" s="129">
        <f t="shared" si="4"/>
        <v>660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/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>
        <v>1</v>
      </c>
      <c r="Q50" s="92"/>
      <c r="R50" s="129">
        <f t="shared" si="4"/>
        <v>1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8">
        <f t="shared" si="5"/>
        <v>781</v>
      </c>
      <c r="S60" s="125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6">
        <v>46058</v>
      </c>
      <c r="Q1" s="197"/>
      <c r="R1" s="197"/>
      <c r="S1" s="197"/>
      <c r="T1" s="197"/>
      <c r="U1" s="197"/>
      <c r="V1" s="19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08"/>
    </row>
    <row r="5" spans="1:58" s="3" customFormat="1" ht="38.25" thickBot="1" x14ac:dyDescent="0.3">
      <c r="A5" s="53"/>
      <c r="B5" s="190"/>
      <c r="C5" s="199"/>
      <c r="D5" s="209"/>
      <c r="E5" s="52" t="s">
        <v>8</v>
      </c>
      <c r="F5" s="143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/>
      <c r="D9" s="105"/>
      <c r="E9" s="106"/>
      <c r="F9" s="106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3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3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/>
      <c r="D13" s="105"/>
      <c r="E13" s="106"/>
      <c r="F13" s="106"/>
      <c r="G13" s="107"/>
      <c r="H13" s="108"/>
      <c r="I13" s="93">
        <f t="shared" si="3"/>
        <v>0</v>
      </c>
      <c r="J13" s="103">
        <f>D13-H13</f>
        <v>0</v>
      </c>
      <c r="K13" s="68"/>
      <c r="L13" s="94"/>
      <c r="M13" s="94"/>
      <c r="N13" s="94"/>
      <c r="O13" s="94"/>
      <c r="P13" s="94"/>
      <c r="Q13" s="95"/>
      <c r="R13" s="129">
        <f>L13+N13+P13</f>
        <v>0</v>
      </c>
      <c r="S13" s="127">
        <f>M13+O13+Q13</f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3"/>
        <v>0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3"/>
        <v>0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3"/>
        <v>0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3"/>
        <v>0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3"/>
        <v>0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3"/>
        <v>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3"/>
        <v>0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3"/>
        <v>0</v>
      </c>
      <c r="J26" s="103">
        <f t="shared" si="3"/>
        <v>0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3"/>
        <v>0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3"/>
        <v>0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3"/>
        <v>0</v>
      </c>
      <c r="J35" s="103">
        <f t="shared" si="3"/>
        <v>0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/>
      <c r="D38" s="105"/>
      <c r="E38" s="106"/>
      <c r="F38" s="106"/>
      <c r="G38" s="107"/>
      <c r="H38" s="108"/>
      <c r="I38" s="93">
        <f t="shared" si="3"/>
        <v>0</v>
      </c>
      <c r="J38" s="103">
        <f t="shared" si="3"/>
        <v>0</v>
      </c>
      <c r="K38" s="64"/>
      <c r="L38" s="94"/>
      <c r="M38" s="94"/>
      <c r="N38" s="94"/>
      <c r="O38" s="94"/>
      <c r="P38" s="94"/>
      <c r="Q38" s="95"/>
      <c r="R38" s="129">
        <f t="shared" si="4"/>
        <v>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/>
      <c r="D39" s="101"/>
      <c r="E39" s="91"/>
      <c r="F39" s="91"/>
      <c r="G39" s="102"/>
      <c r="H39" s="93"/>
      <c r="I39" s="93">
        <f t="shared" si="3"/>
        <v>0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/>
      <c r="D41" s="105"/>
      <c r="E41" s="106"/>
      <c r="F41" s="106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/>
      <c r="D42" s="110"/>
      <c r="E42" s="96"/>
      <c r="F42" s="96"/>
      <c r="G42" s="111"/>
      <c r="H42" s="112"/>
      <c r="I42" s="93">
        <f t="shared" si="3"/>
        <v>0</v>
      </c>
      <c r="J42" s="103">
        <f t="shared" si="3"/>
        <v>0</v>
      </c>
      <c r="K42" s="69"/>
      <c r="L42" s="96"/>
      <c r="M42" s="96"/>
      <c r="N42" s="96"/>
      <c r="O42" s="96"/>
      <c r="P42" s="96"/>
      <c r="Q42" s="97"/>
      <c r="R42" s="129">
        <f t="shared" si="4"/>
        <v>0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 t="shared" si="3"/>
        <v>0</v>
      </c>
      <c r="J44" s="103">
        <f t="shared" si="3"/>
        <v>0</v>
      </c>
      <c r="K44" s="64"/>
      <c r="L44" s="94"/>
      <c r="M44" s="94"/>
      <c r="N44" s="94"/>
      <c r="O44" s="94"/>
      <c r="P44" s="94"/>
      <c r="Q44" s="95"/>
      <c r="R44" s="129">
        <f t="shared" si="4"/>
        <v>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3"/>
        <v>0</v>
      </c>
      <c r="J48" s="103">
        <f t="shared" si="3"/>
        <v>0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3"/>
        <v>0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8">
        <f t="shared" si="6"/>
        <v>10</v>
      </c>
      <c r="S60" s="125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J60" sqref="J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6">
        <v>46059</v>
      </c>
      <c r="Q1" s="197"/>
      <c r="R1" s="197"/>
      <c r="S1" s="197"/>
      <c r="T1" s="197"/>
      <c r="U1" s="197"/>
      <c r="V1" s="19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08"/>
    </row>
    <row r="5" spans="1:58" s="3" customFormat="1" ht="38.25" thickBot="1" x14ac:dyDescent="0.3">
      <c r="A5" s="53"/>
      <c r="B5" s="190"/>
      <c r="C5" s="199"/>
      <c r="D5" s="209"/>
      <c r="E5" s="52" t="s">
        <v>8</v>
      </c>
      <c r="F5" s="140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42</v>
      </c>
      <c r="D8" s="101"/>
      <c r="E8" s="91"/>
      <c r="F8" s="91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91">
        <v>5</v>
      </c>
      <c r="M8" s="91"/>
      <c r="N8" s="91"/>
      <c r="O8" s="91"/>
      <c r="P8" s="91"/>
      <c r="Q8" s="92"/>
      <c r="R8" s="129">
        <f t="shared" ref="R8:S12" si="1">L8+N8+P8</f>
        <v>5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107</v>
      </c>
      <c r="D9" s="105"/>
      <c r="E9" s="106"/>
      <c r="F9" s="106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94">
        <v>10</v>
      </c>
      <c r="M9" s="94"/>
      <c r="N9" s="94"/>
      <c r="O9" s="94"/>
      <c r="P9" s="94"/>
      <c r="Q9" s="95"/>
      <c r="R9" s="129">
        <f t="shared" si="1"/>
        <v>10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124</v>
      </c>
      <c r="D11" s="101"/>
      <c r="E11" s="91"/>
      <c r="F11" s="91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91">
        <v>5</v>
      </c>
      <c r="M11" s="91"/>
      <c r="N11" s="91"/>
      <c r="O11" s="91"/>
      <c r="P11" s="91"/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91">
        <v>1</v>
      </c>
      <c r="M12" s="91"/>
      <c r="N12" s="91"/>
      <c r="O12" s="91"/>
      <c r="P12" s="91"/>
      <c r="Q12" s="92"/>
      <c r="R12" s="129">
        <f t="shared" si="1"/>
        <v>1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3762</v>
      </c>
      <c r="D13" s="105">
        <v>5</v>
      </c>
      <c r="E13" s="106"/>
      <c r="F13" s="106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94">
        <v>2</v>
      </c>
      <c r="M13" s="94">
        <v>11</v>
      </c>
      <c r="N13" s="94">
        <v>7</v>
      </c>
      <c r="O13" s="94">
        <v>10</v>
      </c>
      <c r="P13" s="94"/>
      <c r="Q13" s="95"/>
      <c r="R13" s="129">
        <f>L13+N13+P13</f>
        <v>9</v>
      </c>
      <c r="S13" s="127">
        <f>M13+O13+Q13</f>
        <v>21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91">
        <v>1</v>
      </c>
      <c r="M18" s="91"/>
      <c r="N18" s="91"/>
      <c r="O18" s="91"/>
      <c r="P18" s="91"/>
      <c r="Q18" s="92"/>
      <c r="R18" s="129">
        <f t="shared" si="4"/>
        <v>1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6</v>
      </c>
      <c r="D22" s="101"/>
      <c r="E22" s="91"/>
      <c r="F22" s="91"/>
      <c r="G22" s="102"/>
      <c r="H22" s="93"/>
      <c r="I22" s="93">
        <f t="shared" si="3"/>
        <v>6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>
        <v>1</v>
      </c>
      <c r="M23" s="91"/>
      <c r="N23" s="91"/>
      <c r="O23" s="91"/>
      <c r="P23" s="91"/>
      <c r="Q23" s="92"/>
      <c r="R23" s="129">
        <f t="shared" si="4"/>
        <v>1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/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>
        <v>2</v>
      </c>
      <c r="M27" s="91"/>
      <c r="N27" s="91"/>
      <c r="O27" s="91"/>
      <c r="P27" s="91"/>
      <c r="Q27" s="92"/>
      <c r="R27" s="129">
        <f t="shared" si="4"/>
        <v>2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91">
        <v>2</v>
      </c>
      <c r="M28" s="91"/>
      <c r="N28" s="91"/>
      <c r="O28" s="91"/>
      <c r="P28" s="91"/>
      <c r="Q28" s="92"/>
      <c r="R28" s="129">
        <f t="shared" si="4"/>
        <v>2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58</v>
      </c>
      <c r="D29" s="101"/>
      <c r="E29" s="91"/>
      <c r="F29" s="91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91">
        <v>50</v>
      </c>
      <c r="M29" s="91"/>
      <c r="N29" s="91">
        <v>5</v>
      </c>
      <c r="O29" s="91"/>
      <c r="P29" s="91"/>
      <c r="Q29" s="92"/>
      <c r="R29" s="129">
        <f t="shared" si="4"/>
        <v>55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91">
        <v>5</v>
      </c>
      <c r="M31" s="91"/>
      <c r="N31" s="91"/>
      <c r="O31" s="91"/>
      <c r="P31" s="91"/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2</v>
      </c>
      <c r="D33" s="101"/>
      <c r="E33" s="91"/>
      <c r="F33" s="91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91">
        <v>2</v>
      </c>
      <c r="M33" s="91"/>
      <c r="N33" s="91"/>
      <c r="O33" s="91"/>
      <c r="P33" s="91"/>
      <c r="Q33" s="92"/>
      <c r="R33" s="129">
        <f t="shared" si="4"/>
        <v>2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194</v>
      </c>
      <c r="D35" s="101">
        <v>23</v>
      </c>
      <c r="E35" s="91"/>
      <c r="F35" s="91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91"/>
      <c r="M35" s="91"/>
      <c r="N35" s="91">
        <v>1</v>
      </c>
      <c r="O35" s="91"/>
      <c r="P35" s="91"/>
      <c r="Q35" s="92"/>
      <c r="R35" s="129">
        <f t="shared" si="4"/>
        <v>1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5259</v>
      </c>
      <c r="D38" s="105">
        <v>2</v>
      </c>
      <c r="E38" s="106"/>
      <c r="F38" s="106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94">
        <v>7</v>
      </c>
      <c r="M38" s="94"/>
      <c r="N38" s="94">
        <v>54</v>
      </c>
      <c r="O38" s="94"/>
      <c r="P38" s="94"/>
      <c r="Q38" s="95"/>
      <c r="R38" s="129">
        <f t="shared" si="4"/>
        <v>61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91">
        <v>5</v>
      </c>
      <c r="M39" s="91"/>
      <c r="N39" s="91"/>
      <c r="O39" s="91"/>
      <c r="P39" s="91"/>
      <c r="Q39" s="92"/>
      <c r="R39" s="129">
        <f t="shared" si="4"/>
        <v>5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91">
        <v>2</v>
      </c>
      <c r="M40" s="91"/>
      <c r="N40" s="91"/>
      <c r="O40" s="91"/>
      <c r="P40" s="91"/>
      <c r="Q40" s="92"/>
      <c r="R40" s="129">
        <f t="shared" si="4"/>
        <v>2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f>821</f>
        <v>821</v>
      </c>
      <c r="D41" s="105">
        <v>12</v>
      </c>
      <c r="E41" s="106"/>
      <c r="F41" s="106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f>1888</f>
        <v>1888</v>
      </c>
      <c r="D42" s="110"/>
      <c r="E42" s="96"/>
      <c r="F42" s="96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96">
        <v>25</v>
      </c>
      <c r="M42" s="96"/>
      <c r="N42" s="96">
        <v>7</v>
      </c>
      <c r="O42" s="96"/>
      <c r="P42" s="96"/>
      <c r="Q42" s="97"/>
      <c r="R42" s="129">
        <f t="shared" si="4"/>
        <v>32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27642</v>
      </c>
      <c r="D44" s="105"/>
      <c r="E44" s="106"/>
      <c r="F44" s="106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94">
        <v>57</v>
      </c>
      <c r="M44" s="94"/>
      <c r="N44" s="94">
        <v>180</v>
      </c>
      <c r="O44" s="94"/>
      <c r="P44" s="94"/>
      <c r="Q44" s="95"/>
      <c r="R44" s="129">
        <f t="shared" si="4"/>
        <v>237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91">
        <v>10</v>
      </c>
      <c r="M48" s="91"/>
      <c r="N48" s="91">
        <v>2</v>
      </c>
      <c r="O48" s="91"/>
      <c r="P48" s="91"/>
      <c r="Q48" s="92"/>
      <c r="R48" s="129">
        <f t="shared" si="4"/>
        <v>12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8">
        <f t="shared" si="5"/>
        <v>458</v>
      </c>
      <c r="S60" s="125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8" t="s">
        <v>3</v>
      </c>
      <c r="D69" s="13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8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6">
        <v>46060</v>
      </c>
      <c r="Q1" s="197"/>
      <c r="R1" s="197"/>
      <c r="S1" s="197"/>
      <c r="T1" s="197"/>
      <c r="U1" s="197"/>
      <c r="V1" s="19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08"/>
    </row>
    <row r="5" spans="1:58" s="3" customFormat="1" ht="38.25" thickBot="1" x14ac:dyDescent="0.3">
      <c r="A5" s="53"/>
      <c r="B5" s="190"/>
      <c r="C5" s="199"/>
      <c r="D5" s="209"/>
      <c r="E5" s="52" t="s">
        <v>8</v>
      </c>
      <c r="F5" s="143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37</v>
      </c>
      <c r="D8" s="101"/>
      <c r="E8" s="91"/>
      <c r="F8" s="91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>
        <v>2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119</v>
      </c>
      <c r="D11" s="101"/>
      <c r="E11" s="91"/>
      <c r="F11" s="91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91">
        <v>2</v>
      </c>
      <c r="M11" s="91"/>
      <c r="N11" s="91"/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3752</v>
      </c>
      <c r="D13" s="105">
        <v>8</v>
      </c>
      <c r="E13" s="106"/>
      <c r="F13" s="106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94">
        <v>1</v>
      </c>
      <c r="M13" s="94">
        <v>14</v>
      </c>
      <c r="N13" s="94">
        <v>11</v>
      </c>
      <c r="O13" s="94">
        <v>15</v>
      </c>
      <c r="P13" s="94">
        <v>3</v>
      </c>
      <c r="Q13" s="95">
        <v>5</v>
      </c>
      <c r="R13" s="129">
        <f>L13+N13+P13</f>
        <v>15</v>
      </c>
      <c r="S13" s="127">
        <f>M13+O13+Q13</f>
        <v>34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91">
        <v>2</v>
      </c>
      <c r="M26" s="91"/>
      <c r="N26" s="91"/>
      <c r="O26" s="91"/>
      <c r="P26" s="91"/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3</v>
      </c>
      <c r="D29" s="101"/>
      <c r="E29" s="91"/>
      <c r="F29" s="91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73</v>
      </c>
      <c r="D31" s="101"/>
      <c r="E31" s="91"/>
      <c r="F31" s="91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91">
        <v>2</v>
      </c>
      <c r="M31" s="91"/>
      <c r="N31" s="91"/>
      <c r="O31" s="91"/>
      <c r="P31" s="91"/>
      <c r="Q31" s="92"/>
      <c r="R31" s="129">
        <f t="shared" si="4"/>
        <v>2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193</v>
      </c>
      <c r="D35" s="101">
        <v>23</v>
      </c>
      <c r="E35" s="91"/>
      <c r="F35" s="91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91">
        <v>4</v>
      </c>
      <c r="M35" s="91"/>
      <c r="N35" s="91"/>
      <c r="O35" s="91"/>
      <c r="P35" s="91"/>
      <c r="Q35" s="92"/>
      <c r="R35" s="129">
        <f t="shared" si="4"/>
        <v>4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5198</v>
      </c>
      <c r="D38" s="105">
        <v>2</v>
      </c>
      <c r="E38" s="106"/>
      <c r="F38" s="106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94">
        <v>22</v>
      </c>
      <c r="M38" s="94"/>
      <c r="N38" s="94">
        <v>3</v>
      </c>
      <c r="O38" s="94"/>
      <c r="P38" s="94">
        <v>16</v>
      </c>
      <c r="Q38" s="95"/>
      <c r="R38" s="129">
        <f t="shared" si="4"/>
        <v>41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811</v>
      </c>
      <c r="D41" s="105">
        <v>12</v>
      </c>
      <c r="E41" s="106"/>
      <c r="F41" s="106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91">
        <v>15</v>
      </c>
      <c r="M41" s="91"/>
      <c r="N41" s="91"/>
      <c r="O41" s="91"/>
      <c r="P41" s="91"/>
      <c r="Q41" s="92"/>
      <c r="R41" s="129">
        <f t="shared" si="4"/>
        <v>15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1856</v>
      </c>
      <c r="D42" s="110"/>
      <c r="E42" s="96"/>
      <c r="F42" s="96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96">
        <v>5</v>
      </c>
      <c r="M42" s="96"/>
      <c r="N42" s="96">
        <v>11</v>
      </c>
      <c r="O42" s="96"/>
      <c r="P42" s="96">
        <v>10</v>
      </c>
      <c r="Q42" s="97"/>
      <c r="R42" s="129">
        <f t="shared" si="4"/>
        <v>26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27405</v>
      </c>
      <c r="D44" s="105"/>
      <c r="E44" s="106"/>
      <c r="F44" s="106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94">
        <v>159</v>
      </c>
      <c r="M44" s="94"/>
      <c r="N44" s="94">
        <v>333</v>
      </c>
      <c r="O44" s="94"/>
      <c r="P44" s="94">
        <v>358</v>
      </c>
      <c r="Q44" s="95"/>
      <c r="R44" s="129">
        <f t="shared" si="4"/>
        <v>850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8">
        <f t="shared" si="5"/>
        <v>963</v>
      </c>
      <c r="S60" s="125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N14" sqref="N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6">
        <v>46062</v>
      </c>
      <c r="Q1" s="197"/>
      <c r="R1" s="197"/>
      <c r="S1" s="197"/>
      <c r="T1" s="197"/>
      <c r="U1" s="197"/>
      <c r="V1" s="19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08"/>
    </row>
    <row r="5" spans="1:58" s="3" customFormat="1" ht="38.25" thickBot="1" x14ac:dyDescent="0.3">
      <c r="A5" s="53"/>
      <c r="B5" s="190"/>
      <c r="C5" s="199"/>
      <c r="D5" s="209"/>
      <c r="E5" s="52" t="s">
        <v>8</v>
      </c>
      <c r="F5" s="143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117</v>
      </c>
      <c r="D11" s="101"/>
      <c r="E11" s="91"/>
      <c r="F11" s="91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/>
      <c r="Q11" s="92"/>
      <c r="R11" s="129">
        <f t="shared" si="1"/>
        <v>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3735</v>
      </c>
      <c r="D13" s="105">
        <v>22</v>
      </c>
      <c r="E13" s="106"/>
      <c r="F13" s="106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94">
        <v>10</v>
      </c>
      <c r="M13" s="94">
        <v>19</v>
      </c>
      <c r="N13" s="94">
        <v>21</v>
      </c>
      <c r="O13" s="94"/>
      <c r="P13" s="94">
        <v>13</v>
      </c>
      <c r="Q13" s="95">
        <v>4</v>
      </c>
      <c r="R13" s="129">
        <f>L13+N13+P13</f>
        <v>44</v>
      </c>
      <c r="S13" s="127">
        <f>M13+O13+Q13</f>
        <v>23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107</v>
      </c>
      <c r="D26" s="101">
        <v>23</v>
      </c>
      <c r="E26" s="91"/>
      <c r="F26" s="91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91">
        <v>5</v>
      </c>
      <c r="M26" s="91"/>
      <c r="N26" s="91"/>
      <c r="O26" s="91"/>
      <c r="P26" s="91"/>
      <c r="Q26" s="92"/>
      <c r="R26" s="129">
        <f t="shared" si="4"/>
        <v>5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2</v>
      </c>
      <c r="D29" s="101"/>
      <c r="E29" s="91"/>
      <c r="F29" s="91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71</v>
      </c>
      <c r="D31" s="101"/>
      <c r="E31" s="91"/>
      <c r="F31" s="91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>
        <v>1</v>
      </c>
      <c r="O31" s="91"/>
      <c r="P31" s="91"/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189</v>
      </c>
      <c r="D35" s="101">
        <v>23</v>
      </c>
      <c r="E35" s="91"/>
      <c r="F35" s="91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91">
        <v>10</v>
      </c>
      <c r="M35" s="91"/>
      <c r="N35" s="91"/>
      <c r="O35" s="91"/>
      <c r="P35" s="91">
        <v>2</v>
      </c>
      <c r="Q35" s="92"/>
      <c r="R35" s="129">
        <f t="shared" si="4"/>
        <v>12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5157</v>
      </c>
      <c r="D38" s="105">
        <v>2</v>
      </c>
      <c r="E38" s="106"/>
      <c r="F38" s="106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94">
        <v>14</v>
      </c>
      <c r="M38" s="94"/>
      <c r="N38" s="94">
        <v>106</v>
      </c>
      <c r="O38" s="94"/>
      <c r="P38" s="94">
        <v>85</v>
      </c>
      <c r="Q38" s="95"/>
      <c r="R38" s="129">
        <f t="shared" si="4"/>
        <v>205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796</v>
      </c>
      <c r="D41" s="105">
        <v>12</v>
      </c>
      <c r="E41" s="106"/>
      <c r="F41" s="106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91"/>
      <c r="M41" s="91"/>
      <c r="N41" s="91"/>
      <c r="O41" s="91"/>
      <c r="P41" s="91">
        <v>1</v>
      </c>
      <c r="Q41" s="92">
        <v>12</v>
      </c>
      <c r="R41" s="129">
        <f t="shared" si="4"/>
        <v>1</v>
      </c>
      <c r="S41" s="127">
        <f t="shared" si="4"/>
        <v>12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1830</v>
      </c>
      <c r="D42" s="110"/>
      <c r="E42" s="96"/>
      <c r="F42" s="96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96">
        <v>11</v>
      </c>
      <c r="M42" s="96"/>
      <c r="N42" s="96"/>
      <c r="O42" s="96"/>
      <c r="P42" s="96">
        <v>10</v>
      </c>
      <c r="Q42" s="97"/>
      <c r="R42" s="129">
        <f t="shared" si="4"/>
        <v>21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26555</v>
      </c>
      <c r="D44" s="105"/>
      <c r="E44" s="106"/>
      <c r="F44" s="106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94">
        <v>350</v>
      </c>
      <c r="M44" s="94"/>
      <c r="N44" s="94">
        <v>328</v>
      </c>
      <c r="O44" s="94"/>
      <c r="P44" s="94">
        <v>305</v>
      </c>
      <c r="Q44" s="95"/>
      <c r="R44" s="129">
        <f t="shared" si="4"/>
        <v>983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2376</f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8">
        <f t="shared" si="5"/>
        <v>1276</v>
      </c>
      <c r="S60" s="125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6">
        <v>46063</v>
      </c>
      <c r="Q1" s="197"/>
      <c r="R1" s="197"/>
      <c r="S1" s="197"/>
      <c r="T1" s="197"/>
      <c r="U1" s="197"/>
      <c r="V1" s="19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08"/>
    </row>
    <row r="5" spans="1:58" s="3" customFormat="1" ht="38.25" thickBot="1" x14ac:dyDescent="0.3">
      <c r="A5" s="53"/>
      <c r="B5" s="190"/>
      <c r="C5" s="199"/>
      <c r="D5" s="209"/>
      <c r="E5" s="52" t="s">
        <v>8</v>
      </c>
      <c r="F5" s="143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114</v>
      </c>
      <c r="D11" s="101"/>
      <c r="E11" s="91"/>
      <c r="F11" s="91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91">
        <v>1</v>
      </c>
      <c r="M11" s="91"/>
      <c r="N11" s="91">
        <v>6</v>
      </c>
      <c r="O11" s="91"/>
      <c r="P11" s="91">
        <v>10</v>
      </c>
      <c r="Q11" s="92"/>
      <c r="R11" s="129">
        <f t="shared" si="1"/>
        <v>17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3690</v>
      </c>
      <c r="D13" s="105">
        <v>23</v>
      </c>
      <c r="E13" s="106"/>
      <c r="F13" s="106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94">
        <v>2</v>
      </c>
      <c r="M13" s="94">
        <v>11</v>
      </c>
      <c r="N13" s="94">
        <v>9</v>
      </c>
      <c r="O13" s="94">
        <v>15</v>
      </c>
      <c r="P13" s="94"/>
      <c r="Q13" s="95">
        <v>6</v>
      </c>
      <c r="R13" s="129">
        <f>L13+N13+P13</f>
        <v>11</v>
      </c>
      <c r="S13" s="127">
        <f>M13+O13+Q13</f>
        <v>32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/>
      <c r="H26" s="93"/>
      <c r="I26" s="93">
        <f t="shared" si="3"/>
        <v>102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1</v>
      </c>
      <c r="D29" s="101"/>
      <c r="E29" s="91"/>
      <c r="F29" s="91"/>
      <c r="G29" s="102"/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70</v>
      </c>
      <c r="D31" s="101"/>
      <c r="E31" s="91"/>
      <c r="F31" s="91"/>
      <c r="G31" s="102"/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/>
      <c r="O31" s="91"/>
      <c r="P31" s="91">
        <v>5</v>
      </c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177</v>
      </c>
      <c r="D35" s="101">
        <v>23</v>
      </c>
      <c r="E35" s="91"/>
      <c r="F35" s="91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91"/>
      <c r="M35" s="91"/>
      <c r="N35" s="91"/>
      <c r="O35" s="91"/>
      <c r="P35" s="91">
        <v>10</v>
      </c>
      <c r="Q35" s="92"/>
      <c r="R35" s="129">
        <f t="shared" si="4"/>
        <v>10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f>4952</f>
        <v>4952</v>
      </c>
      <c r="D38" s="105">
        <v>2</v>
      </c>
      <c r="E38" s="106"/>
      <c r="F38" s="106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94">
        <v>25</v>
      </c>
      <c r="M38" s="94"/>
      <c r="N38" s="94">
        <v>22</v>
      </c>
      <c r="O38" s="94"/>
      <c r="P38" s="94"/>
      <c r="Q38" s="95"/>
      <c r="R38" s="129">
        <f t="shared" si="4"/>
        <v>47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91"/>
      <c r="M39" s="91"/>
      <c r="N39" s="91">
        <v>1</v>
      </c>
      <c r="O39" s="91"/>
      <c r="P39" s="91"/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795</v>
      </c>
      <c r="D41" s="105"/>
      <c r="E41" s="106"/>
      <c r="F41" s="106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>
        <v>10</v>
      </c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1809</v>
      </c>
      <c r="D42" s="110"/>
      <c r="E42" s="96"/>
      <c r="F42" s="96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96">
        <v>4</v>
      </c>
      <c r="M42" s="96"/>
      <c r="N42" s="96">
        <v>4</v>
      </c>
      <c r="O42" s="96"/>
      <c r="P42" s="96">
        <v>35</v>
      </c>
      <c r="Q42" s="97"/>
      <c r="R42" s="129">
        <f t="shared" si="4"/>
        <v>43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25572</v>
      </c>
      <c r="D44" s="105"/>
      <c r="E44" s="106">
        <v>1836</v>
      </c>
      <c r="F44" s="106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94">
        <v>229</v>
      </c>
      <c r="M44" s="94"/>
      <c r="N44" s="94">
        <v>231</v>
      </c>
      <c r="O44" s="94"/>
      <c r="P44" s="94">
        <v>327</v>
      </c>
      <c r="Q44" s="95"/>
      <c r="R44" s="129">
        <f t="shared" si="4"/>
        <v>787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91"/>
      <c r="M48" s="91"/>
      <c r="N48" s="91"/>
      <c r="O48" s="91"/>
      <c r="P48" s="91">
        <v>10</v>
      </c>
      <c r="Q48" s="92"/>
      <c r="R48" s="129">
        <f t="shared" si="4"/>
        <v>10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8">
        <f t="shared" si="5"/>
        <v>942</v>
      </c>
      <c r="S60" s="125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6">
        <v>46064</v>
      </c>
      <c r="Q1" s="197"/>
      <c r="R1" s="197"/>
      <c r="S1" s="197"/>
      <c r="T1" s="197"/>
      <c r="U1" s="197"/>
      <c r="V1" s="19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08"/>
    </row>
    <row r="5" spans="1:58" s="3" customFormat="1" ht="38.25" thickBot="1" x14ac:dyDescent="0.3">
      <c r="A5" s="53"/>
      <c r="B5" s="190"/>
      <c r="C5" s="199"/>
      <c r="D5" s="209"/>
      <c r="E5" s="52" t="s">
        <v>8</v>
      </c>
      <c r="F5" s="146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97</v>
      </c>
      <c r="D11" s="101"/>
      <c r="E11" s="91"/>
      <c r="F11" s="91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91">
        <v>21</v>
      </c>
      <c r="M11" s="91"/>
      <c r="N11" s="91"/>
      <c r="O11" s="91"/>
      <c r="P11" s="91">
        <v>2</v>
      </c>
      <c r="Q11" s="92"/>
      <c r="R11" s="129">
        <f t="shared" si="1"/>
        <v>23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3678</v>
      </c>
      <c r="D13" s="105">
        <v>15</v>
      </c>
      <c r="E13" s="106"/>
      <c r="F13" s="106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94">
        <v>52</v>
      </c>
      <c r="M13" s="94">
        <v>5</v>
      </c>
      <c r="N13" s="94">
        <v>8</v>
      </c>
      <c r="O13" s="94">
        <v>11</v>
      </c>
      <c r="P13" s="94">
        <v>9</v>
      </c>
      <c r="Q13" s="95">
        <v>14</v>
      </c>
      <c r="R13" s="129">
        <f>L13+N13+P13</f>
        <v>69</v>
      </c>
      <c r="S13" s="127">
        <f>M13+O13+Q13</f>
        <v>30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91">
        <v>10</v>
      </c>
      <c r="M26" s="91"/>
      <c r="N26" s="91"/>
      <c r="O26" s="91"/>
      <c r="P26" s="91"/>
      <c r="Q26" s="92"/>
      <c r="R26" s="129">
        <f t="shared" si="4"/>
        <v>10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>
        <v>63</v>
      </c>
      <c r="F29" s="91"/>
      <c r="G29" s="102"/>
      <c r="H29" s="93"/>
      <c r="I29" s="93">
        <f>C29-G29+E29</f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65</v>
      </c>
      <c r="D31" s="101"/>
      <c r="E31" s="91"/>
      <c r="F31" s="91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>
        <v>1</v>
      </c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167</v>
      </c>
      <c r="D35" s="101">
        <v>23</v>
      </c>
      <c r="E35" s="91"/>
      <c r="F35" s="91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91">
        <v>30</v>
      </c>
      <c r="M35" s="91"/>
      <c r="N35" s="91"/>
      <c r="O35" s="91"/>
      <c r="P35" s="91">
        <v>3</v>
      </c>
      <c r="Q35" s="92"/>
      <c r="R35" s="129">
        <f t="shared" si="4"/>
        <v>33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4905</v>
      </c>
      <c r="D38" s="105">
        <v>2</v>
      </c>
      <c r="E38" s="106"/>
      <c r="F38" s="106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94">
        <v>108</v>
      </c>
      <c r="M38" s="94"/>
      <c r="N38" s="94">
        <v>30</v>
      </c>
      <c r="O38" s="94"/>
      <c r="P38" s="94">
        <v>36</v>
      </c>
      <c r="Q38" s="95"/>
      <c r="R38" s="129">
        <f t="shared" si="4"/>
        <v>174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5</v>
      </c>
      <c r="D39" s="101"/>
      <c r="E39" s="91"/>
      <c r="F39" s="91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/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1766</v>
      </c>
      <c r="D42" s="110"/>
      <c r="E42" s="96"/>
      <c r="F42" s="96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96">
        <v>48</v>
      </c>
      <c r="M42" s="96"/>
      <c r="N42" s="96"/>
      <c r="O42" s="96"/>
      <c r="P42" s="96">
        <v>10</v>
      </c>
      <c r="Q42" s="97"/>
      <c r="R42" s="129">
        <f t="shared" si="4"/>
        <v>58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26621</v>
      </c>
      <c r="D44" s="105"/>
      <c r="E44" s="106">
        <v>1728</v>
      </c>
      <c r="F44" s="106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94">
        <v>815</v>
      </c>
      <c r="M44" s="94"/>
      <c r="N44" s="94">
        <v>191</v>
      </c>
      <c r="O44" s="94"/>
      <c r="P44" s="94">
        <v>331</v>
      </c>
      <c r="Q44" s="95"/>
      <c r="R44" s="129">
        <f t="shared" si="4"/>
        <v>1337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2366</f>
        <v>2366</v>
      </c>
      <c r="D48" s="101">
        <v>5</v>
      </c>
      <c r="E48" s="91"/>
      <c r="F48" s="91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>
        <v>1</v>
      </c>
      <c r="O48" s="91"/>
      <c r="P48" s="91"/>
      <c r="Q48" s="92"/>
      <c r="R48" s="129">
        <f t="shared" si="4"/>
        <v>1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8">
        <f t="shared" si="5"/>
        <v>1707</v>
      </c>
      <c r="S60" s="125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C15" sqref="C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6">
        <v>46065</v>
      </c>
      <c r="Q1" s="197"/>
      <c r="R1" s="197"/>
      <c r="S1" s="197"/>
      <c r="T1" s="197"/>
      <c r="U1" s="197"/>
      <c r="V1" s="19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08"/>
    </row>
    <row r="5" spans="1:58" s="3" customFormat="1" ht="38.25" thickBot="1" x14ac:dyDescent="0.3">
      <c r="A5" s="53"/>
      <c r="B5" s="190"/>
      <c r="C5" s="199"/>
      <c r="D5" s="209"/>
      <c r="E5" s="52" t="s">
        <v>8</v>
      </c>
      <c r="F5" s="146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74</v>
      </c>
      <c r="D11" s="101"/>
      <c r="E11" s="91"/>
      <c r="F11" s="91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91"/>
      <c r="M11" s="91"/>
      <c r="N11" s="91">
        <v>8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3608</v>
      </c>
      <c r="D13" s="105">
        <v>9</v>
      </c>
      <c r="E13" s="106"/>
      <c r="F13" s="106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94">
        <v>10</v>
      </c>
      <c r="M13" s="94">
        <v>2</v>
      </c>
      <c r="N13" s="94">
        <v>8</v>
      </c>
      <c r="O13" s="94">
        <v>10</v>
      </c>
      <c r="P13" s="94">
        <v>5</v>
      </c>
      <c r="Q13" s="95"/>
      <c r="R13" s="129">
        <f>L13+N13+P13</f>
        <v>23</v>
      </c>
      <c r="S13" s="127">
        <f>M13+O13+Q13</f>
        <v>12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3"/>
        <v>92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63</v>
      </c>
      <c r="D29" s="101"/>
      <c r="E29" s="91"/>
      <c r="F29" s="91"/>
      <c r="G29" s="102"/>
      <c r="H29" s="93"/>
      <c r="I29" s="93">
        <f t="shared" si="3"/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134</v>
      </c>
      <c r="D35" s="101">
        <v>23</v>
      </c>
      <c r="E35" s="91"/>
      <c r="F35" s="91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91"/>
      <c r="M35" s="91"/>
      <c r="N35" s="91">
        <v>20</v>
      </c>
      <c r="O35" s="91">
        <v>6</v>
      </c>
      <c r="P35" s="91"/>
      <c r="Q35" s="92"/>
      <c r="R35" s="129">
        <f t="shared" si="4"/>
        <v>20</v>
      </c>
      <c r="S35" s="127">
        <f t="shared" si="4"/>
        <v>6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4731</v>
      </c>
      <c r="D38" s="105">
        <v>2</v>
      </c>
      <c r="E38" s="106"/>
      <c r="F38" s="106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94">
        <v>10</v>
      </c>
      <c r="M38" s="94"/>
      <c r="N38" s="94">
        <v>30</v>
      </c>
      <c r="O38" s="94"/>
      <c r="P38" s="94">
        <v>30</v>
      </c>
      <c r="Q38" s="95"/>
      <c r="R38" s="129">
        <f t="shared" si="4"/>
        <v>70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91"/>
      <c r="M41" s="91"/>
      <c r="N41" s="91">
        <v>20</v>
      </c>
      <c r="O41" s="91"/>
      <c r="P41" s="91"/>
      <c r="Q41" s="92"/>
      <c r="R41" s="129">
        <f t="shared" si="4"/>
        <v>20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1708</v>
      </c>
      <c r="D42" s="110"/>
      <c r="E42" s="96"/>
      <c r="F42" s="96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96"/>
      <c r="M42" s="96"/>
      <c r="N42" s="96"/>
      <c r="O42" s="96"/>
      <c r="P42" s="96">
        <v>12</v>
      </c>
      <c r="Q42" s="97"/>
      <c r="R42" s="129">
        <f t="shared" si="4"/>
        <v>12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27012</f>
        <v>27012</v>
      </c>
      <c r="D44" s="105"/>
      <c r="E44" s="106"/>
      <c r="F44" s="106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94">
        <v>355</v>
      </c>
      <c r="M44" s="94"/>
      <c r="N44" s="94">
        <v>212</v>
      </c>
      <c r="O44" s="94"/>
      <c r="P44" s="94">
        <v>204</v>
      </c>
      <c r="Q44" s="95"/>
      <c r="R44" s="129">
        <f t="shared" si="4"/>
        <v>771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8">
        <f t="shared" si="5"/>
        <v>924</v>
      </c>
      <c r="S60" s="125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R13" sqref="R1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6">
        <v>46066</v>
      </c>
      <c r="Q1" s="197"/>
      <c r="R1" s="197"/>
      <c r="S1" s="197"/>
      <c r="T1" s="197"/>
      <c r="U1" s="197"/>
      <c r="V1" s="19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08"/>
    </row>
    <row r="5" spans="1:58" s="3" customFormat="1" ht="38.25" thickBot="1" x14ac:dyDescent="0.3">
      <c r="A5" s="53"/>
      <c r="B5" s="190"/>
      <c r="C5" s="199"/>
      <c r="D5" s="209"/>
      <c r="E5" s="52" t="s">
        <v>8</v>
      </c>
      <c r="F5" s="115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R12" si="1">L8+N8+P8</f>
        <v>0</v>
      </c>
      <c r="S8" s="127">
        <f t="shared" ref="S8:S12" si="2"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/>
      <c r="H11" s="93"/>
      <c r="I11" s="93">
        <f t="shared" si="4"/>
        <v>66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04">
        <v>3584</v>
      </c>
      <c r="D13" s="105">
        <v>21</v>
      </c>
      <c r="E13" s="106"/>
      <c r="F13" s="106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94"/>
      <c r="M13" s="94"/>
      <c r="N13" s="94">
        <v>8</v>
      </c>
      <c r="O13" s="94"/>
      <c r="P13" s="94">
        <v>7</v>
      </c>
      <c r="Q13" s="95">
        <v>2</v>
      </c>
      <c r="R13" s="129">
        <f>L13+N13+P13</f>
        <v>15</v>
      </c>
      <c r="S13" s="127">
        <f>M13+O13+Q13</f>
        <v>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91"/>
      <c r="M14" s="91"/>
      <c r="N14" s="91"/>
      <c r="O14" s="91"/>
      <c r="P14" s="91"/>
      <c r="Q14" s="92"/>
      <c r="R14" s="129">
        <f t="shared" ref="R14:R59" si="6">L14+N14+P14</f>
        <v>0</v>
      </c>
      <c r="S14" s="127">
        <f t="shared" ref="S14:S59" si="7">M14+O14+Q14</f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5"/>
        <v>0</v>
      </c>
      <c r="K15" s="44"/>
      <c r="L15" s="91"/>
      <c r="M15" s="91"/>
      <c r="N15" s="91"/>
      <c r="O15" s="91"/>
      <c r="P15" s="91"/>
      <c r="Q15" s="92"/>
      <c r="R15" s="129">
        <f t="shared" si="6"/>
        <v>0</v>
      </c>
      <c r="S15" s="127">
        <f t="shared" si="7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5"/>
        <v>0</v>
      </c>
      <c r="K16" s="44"/>
      <c r="L16" s="91"/>
      <c r="M16" s="91"/>
      <c r="N16" s="91"/>
      <c r="O16" s="91"/>
      <c r="P16" s="91"/>
      <c r="Q16" s="92"/>
      <c r="R16" s="129">
        <f t="shared" si="6"/>
        <v>0</v>
      </c>
      <c r="S16" s="127">
        <f t="shared" si="7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5"/>
        <v>0</v>
      </c>
      <c r="K17" s="44"/>
      <c r="L17" s="91"/>
      <c r="M17" s="91"/>
      <c r="N17" s="91"/>
      <c r="O17" s="91"/>
      <c r="P17" s="91"/>
      <c r="Q17" s="92"/>
      <c r="R17" s="129">
        <f t="shared" si="6"/>
        <v>0</v>
      </c>
      <c r="S17" s="127">
        <f t="shared" si="7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5"/>
        <v>0</v>
      </c>
      <c r="K18" s="44"/>
      <c r="L18" s="91"/>
      <c r="M18" s="91"/>
      <c r="N18" s="91"/>
      <c r="O18" s="91"/>
      <c r="P18" s="91"/>
      <c r="Q18" s="92"/>
      <c r="R18" s="129">
        <f t="shared" si="6"/>
        <v>0</v>
      </c>
      <c r="S18" s="127">
        <f t="shared" si="7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5"/>
        <v>0</v>
      </c>
      <c r="K19" s="44"/>
      <c r="L19" s="91"/>
      <c r="M19" s="91"/>
      <c r="N19" s="91"/>
      <c r="O19" s="91"/>
      <c r="P19" s="91"/>
      <c r="Q19" s="92"/>
      <c r="R19" s="129">
        <f t="shared" si="6"/>
        <v>0</v>
      </c>
      <c r="S19" s="127">
        <f t="shared" si="7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5"/>
        <v>0</v>
      </c>
      <c r="K20" s="44"/>
      <c r="L20" s="91"/>
      <c r="M20" s="91"/>
      <c r="N20" s="91"/>
      <c r="O20" s="91"/>
      <c r="P20" s="91"/>
      <c r="Q20" s="92"/>
      <c r="R20" s="129">
        <f t="shared" si="6"/>
        <v>0</v>
      </c>
      <c r="S20" s="127">
        <f t="shared" si="7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5"/>
        <v>0</v>
      </c>
      <c r="K21" s="44"/>
      <c r="L21" s="91"/>
      <c r="M21" s="91"/>
      <c r="N21" s="91"/>
      <c r="O21" s="91"/>
      <c r="P21" s="91"/>
      <c r="Q21" s="92"/>
      <c r="R21" s="129">
        <f t="shared" si="6"/>
        <v>0</v>
      </c>
      <c r="S21" s="127">
        <f t="shared" si="7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5"/>
        <v>0</v>
      </c>
      <c r="K22" s="44"/>
      <c r="L22" s="91"/>
      <c r="M22" s="91"/>
      <c r="N22" s="91"/>
      <c r="O22" s="91"/>
      <c r="P22" s="91"/>
      <c r="Q22" s="92"/>
      <c r="R22" s="129">
        <f t="shared" si="6"/>
        <v>0</v>
      </c>
      <c r="S22" s="127">
        <f t="shared" si="7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5"/>
        <v>0</v>
      </c>
      <c r="K23" s="45"/>
      <c r="L23" s="91"/>
      <c r="M23" s="91"/>
      <c r="N23" s="91"/>
      <c r="O23" s="91"/>
      <c r="P23" s="91"/>
      <c r="Q23" s="92"/>
      <c r="R23" s="129">
        <f t="shared" si="6"/>
        <v>0</v>
      </c>
      <c r="S23" s="127">
        <f t="shared" si="7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5"/>
        <v>0</v>
      </c>
      <c r="K24" s="45"/>
      <c r="L24" s="91"/>
      <c r="M24" s="91"/>
      <c r="N24" s="91"/>
      <c r="O24" s="91"/>
      <c r="P24" s="91"/>
      <c r="Q24" s="92"/>
      <c r="R24" s="129">
        <f t="shared" si="6"/>
        <v>0</v>
      </c>
      <c r="S24" s="127">
        <f t="shared" si="7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5"/>
        <v>0</v>
      </c>
      <c r="K25" s="44"/>
      <c r="L25" s="91"/>
      <c r="M25" s="91"/>
      <c r="N25" s="91"/>
      <c r="O25" s="91"/>
      <c r="P25" s="91"/>
      <c r="Q25" s="92"/>
      <c r="R25" s="129">
        <f t="shared" si="6"/>
        <v>0</v>
      </c>
      <c r="S25" s="127">
        <f t="shared" si="7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4"/>
        <v>92</v>
      </c>
      <c r="J26" s="103">
        <f t="shared" si="5"/>
        <v>23</v>
      </c>
      <c r="K26" s="44"/>
      <c r="L26" s="91"/>
      <c r="M26" s="91"/>
      <c r="N26" s="91"/>
      <c r="O26" s="91"/>
      <c r="P26" s="91"/>
      <c r="Q26" s="92"/>
      <c r="R26" s="129">
        <f t="shared" si="6"/>
        <v>0</v>
      </c>
      <c r="S26" s="127">
        <f t="shared" si="7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5"/>
        <v>0</v>
      </c>
      <c r="K27" s="45"/>
      <c r="L27" s="91"/>
      <c r="M27" s="91"/>
      <c r="N27" s="91"/>
      <c r="O27" s="91"/>
      <c r="P27" s="91"/>
      <c r="Q27" s="92"/>
      <c r="R27" s="129">
        <f t="shared" si="6"/>
        <v>0</v>
      </c>
      <c r="S27" s="127">
        <f t="shared" si="7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5"/>
        <v>0</v>
      </c>
      <c r="K28" s="45"/>
      <c r="L28" s="91"/>
      <c r="M28" s="91"/>
      <c r="N28" s="91"/>
      <c r="O28" s="91"/>
      <c r="P28" s="91"/>
      <c r="Q28" s="92"/>
      <c r="R28" s="129">
        <f t="shared" si="6"/>
        <v>0</v>
      </c>
      <c r="S28" s="127">
        <f t="shared" si="7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00">
        <v>63</v>
      </c>
      <c r="D29" s="101"/>
      <c r="E29" s="91"/>
      <c r="F29" s="91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6"/>
        <v>5</v>
      </c>
      <c r="S29" s="127">
        <f t="shared" si="7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5"/>
        <v>0</v>
      </c>
      <c r="K30" s="44"/>
      <c r="L30" s="91"/>
      <c r="M30" s="91"/>
      <c r="N30" s="91"/>
      <c r="O30" s="91"/>
      <c r="P30" s="91"/>
      <c r="Q30" s="92"/>
      <c r="R30" s="129">
        <f t="shared" si="6"/>
        <v>0</v>
      </c>
      <c r="S30" s="127">
        <f t="shared" si="7"/>
        <v>0</v>
      </c>
      <c r="T30" s="44"/>
      <c r="U30" s="28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5"/>
        <v>0</v>
      </c>
      <c r="K31" s="44"/>
      <c r="L31" s="91"/>
      <c r="M31" s="91"/>
      <c r="N31" s="91"/>
      <c r="O31" s="91"/>
      <c r="P31" s="91"/>
      <c r="Q31" s="92"/>
      <c r="R31" s="129">
        <f t="shared" si="6"/>
        <v>0</v>
      </c>
      <c r="S31" s="127">
        <f t="shared" si="7"/>
        <v>0</v>
      </c>
      <c r="T31" s="44"/>
      <c r="U31" s="28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5"/>
        <v>0</v>
      </c>
      <c r="K32" s="44"/>
      <c r="L32" s="91"/>
      <c r="M32" s="91"/>
      <c r="N32" s="91"/>
      <c r="O32" s="91"/>
      <c r="P32" s="91"/>
      <c r="Q32" s="92"/>
      <c r="R32" s="129">
        <f t="shared" si="6"/>
        <v>0</v>
      </c>
      <c r="S32" s="127">
        <f t="shared" si="7"/>
        <v>0</v>
      </c>
      <c r="T32" s="44"/>
      <c r="U32" s="28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5"/>
        <v>0</v>
      </c>
      <c r="K33" s="44"/>
      <c r="L33" s="91"/>
      <c r="M33" s="91"/>
      <c r="N33" s="91"/>
      <c r="O33" s="91"/>
      <c r="P33" s="91"/>
      <c r="Q33" s="92"/>
      <c r="R33" s="129">
        <f t="shared" si="6"/>
        <v>0</v>
      </c>
      <c r="S33" s="127">
        <f t="shared" si="7"/>
        <v>0</v>
      </c>
      <c r="T33" s="44"/>
      <c r="U33" s="28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5"/>
        <v>0</v>
      </c>
      <c r="K34" s="44"/>
      <c r="L34" s="91"/>
      <c r="M34" s="91"/>
      <c r="N34" s="91"/>
      <c r="O34" s="91"/>
      <c r="P34" s="91"/>
      <c r="Q34" s="92"/>
      <c r="R34" s="129">
        <f t="shared" si="6"/>
        <v>0</v>
      </c>
      <c r="S34" s="127">
        <f t="shared" si="7"/>
        <v>0</v>
      </c>
      <c r="T34" s="44"/>
      <c r="U34" s="28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00">
        <v>114</v>
      </c>
      <c r="D35" s="101">
        <v>17</v>
      </c>
      <c r="E35" s="91"/>
      <c r="F35" s="91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91"/>
      <c r="M35" s="91"/>
      <c r="N35" s="91">
        <v>5</v>
      </c>
      <c r="O35" s="91"/>
      <c r="P35" s="91"/>
      <c r="Q35" s="92"/>
      <c r="R35" s="129">
        <f t="shared" si="6"/>
        <v>5</v>
      </c>
      <c r="S35" s="127">
        <f t="shared" si="7"/>
        <v>0</v>
      </c>
      <c r="T35" s="44"/>
      <c r="U35" s="28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5"/>
        <v>0</v>
      </c>
      <c r="K36" s="44"/>
      <c r="L36" s="91"/>
      <c r="M36" s="91"/>
      <c r="N36" s="91"/>
      <c r="O36" s="91"/>
      <c r="P36" s="91"/>
      <c r="Q36" s="92"/>
      <c r="R36" s="129">
        <f t="shared" si="6"/>
        <v>0</v>
      </c>
      <c r="S36" s="127">
        <f t="shared" si="7"/>
        <v>0</v>
      </c>
      <c r="T36" s="44"/>
      <c r="U36" s="28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5"/>
        <v>0</v>
      </c>
      <c r="K37" s="44"/>
      <c r="L37" s="91"/>
      <c r="M37" s="91"/>
      <c r="N37" s="91"/>
      <c r="O37" s="91"/>
      <c r="P37" s="91"/>
      <c r="Q37" s="92"/>
      <c r="R37" s="129">
        <f t="shared" si="6"/>
        <v>0</v>
      </c>
      <c r="S37" s="127">
        <f t="shared" si="7"/>
        <v>0</v>
      </c>
      <c r="T37" s="44"/>
      <c r="U37" s="28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04">
        <v>4661</v>
      </c>
      <c r="D38" s="105">
        <v>2</v>
      </c>
      <c r="E38" s="106"/>
      <c r="F38" s="106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94"/>
      <c r="M38" s="94"/>
      <c r="N38" s="94">
        <v>50</v>
      </c>
      <c r="O38" s="94"/>
      <c r="P38" s="94">
        <v>6</v>
      </c>
      <c r="Q38" s="95"/>
      <c r="R38" s="129">
        <f t="shared" si="6"/>
        <v>56</v>
      </c>
      <c r="S38" s="127">
        <f t="shared" si="7"/>
        <v>0</v>
      </c>
      <c r="T38" s="64"/>
      <c r="U38" s="67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4"/>
        <v>4</v>
      </c>
      <c r="J39" s="103">
        <f t="shared" si="5"/>
        <v>0</v>
      </c>
      <c r="K39" s="44"/>
      <c r="L39" s="91"/>
      <c r="M39" s="91"/>
      <c r="N39" s="91"/>
      <c r="O39" s="91"/>
      <c r="P39" s="91"/>
      <c r="Q39" s="92"/>
      <c r="R39" s="129">
        <f t="shared" si="6"/>
        <v>0</v>
      </c>
      <c r="S39" s="127">
        <f t="shared" si="7"/>
        <v>0</v>
      </c>
      <c r="T39" s="44"/>
      <c r="U39" s="28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5"/>
        <v>0</v>
      </c>
      <c r="K40" s="44"/>
      <c r="L40" s="91"/>
      <c r="M40" s="91"/>
      <c r="N40" s="91"/>
      <c r="O40" s="91"/>
      <c r="P40" s="91"/>
      <c r="Q40" s="92"/>
      <c r="R40" s="129">
        <f t="shared" si="6"/>
        <v>0</v>
      </c>
      <c r="S40" s="127">
        <f t="shared" si="7"/>
        <v>0</v>
      </c>
      <c r="T40" s="44"/>
      <c r="U40" s="122"/>
      <c r="V40" s="123"/>
    </row>
    <row r="41" spans="1:24" ht="19.5" thickBot="1" x14ac:dyDescent="0.3">
      <c r="A41" s="3">
        <f t="shared" si="3"/>
        <v>34</v>
      </c>
      <c r="B41" s="54" t="s">
        <v>35</v>
      </c>
      <c r="C41" s="104">
        <v>765</v>
      </c>
      <c r="D41" s="105"/>
      <c r="E41" s="106"/>
      <c r="F41" s="106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91"/>
      <c r="M41" s="91"/>
      <c r="N41" s="91">
        <v>5</v>
      </c>
      <c r="O41" s="91"/>
      <c r="P41" s="91"/>
      <c r="Q41" s="92"/>
      <c r="R41" s="129">
        <f t="shared" si="6"/>
        <v>5</v>
      </c>
      <c r="S41" s="127">
        <f t="shared" si="7"/>
        <v>0</v>
      </c>
      <c r="T41" s="64"/>
      <c r="U41" s="67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109">
        <v>1696</v>
      </c>
      <c r="D42" s="110"/>
      <c r="E42" s="96"/>
      <c r="F42" s="96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96"/>
      <c r="M42" s="96"/>
      <c r="N42" s="96"/>
      <c r="O42" s="96"/>
      <c r="P42" s="96">
        <v>5</v>
      </c>
      <c r="Q42" s="97"/>
      <c r="R42" s="129">
        <f t="shared" si="6"/>
        <v>5</v>
      </c>
      <c r="S42" s="127">
        <f t="shared" si="7"/>
        <v>0</v>
      </c>
      <c r="T42" s="69"/>
      <c r="U42" s="60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03">
        <f t="shared" si="5"/>
        <v>0</v>
      </c>
      <c r="K43" s="44"/>
      <c r="L43" s="91"/>
      <c r="M43" s="91"/>
      <c r="N43" s="91"/>
      <c r="O43" s="91"/>
      <c r="P43" s="91"/>
      <c r="Q43" s="92"/>
      <c r="R43" s="129">
        <f t="shared" si="6"/>
        <v>0</v>
      </c>
      <c r="S43" s="127">
        <f t="shared" si="7"/>
        <v>0</v>
      </c>
      <c r="T43" s="44"/>
      <c r="U43" s="28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04">
        <v>26241</v>
      </c>
      <c r="D44" s="105"/>
      <c r="E44" s="106"/>
      <c r="F44" s="106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94"/>
      <c r="M44" s="94"/>
      <c r="N44" s="94">
        <v>150</v>
      </c>
      <c r="O44" s="94"/>
      <c r="P44" s="94">
        <v>237</v>
      </c>
      <c r="Q44" s="95"/>
      <c r="R44" s="129">
        <f t="shared" si="6"/>
        <v>387</v>
      </c>
      <c r="S44" s="127">
        <f t="shared" si="7"/>
        <v>0</v>
      </c>
      <c r="T44" s="64"/>
      <c r="U44" s="67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4"/>
        <v>0</v>
      </c>
      <c r="J45" s="103">
        <f t="shared" si="5"/>
        <v>0</v>
      </c>
      <c r="K45" s="44"/>
      <c r="L45" s="91"/>
      <c r="M45" s="91"/>
      <c r="N45" s="91"/>
      <c r="O45" s="91"/>
      <c r="P45" s="91"/>
      <c r="Q45" s="92"/>
      <c r="R45" s="129">
        <f t="shared" si="6"/>
        <v>0</v>
      </c>
      <c r="S45" s="127">
        <f t="shared" si="7"/>
        <v>0</v>
      </c>
      <c r="T45" s="44"/>
      <c r="U45" s="28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4"/>
        <v>0</v>
      </c>
      <c r="J46" s="103">
        <f t="shared" si="5"/>
        <v>0</v>
      </c>
      <c r="K46" s="44"/>
      <c r="L46" s="91"/>
      <c r="M46" s="91"/>
      <c r="N46" s="91"/>
      <c r="O46" s="91"/>
      <c r="P46" s="91"/>
      <c r="Q46" s="92"/>
      <c r="R46" s="129">
        <f t="shared" si="6"/>
        <v>0</v>
      </c>
      <c r="S46" s="127">
        <f t="shared" si="7"/>
        <v>0</v>
      </c>
      <c r="T46" s="44"/>
      <c r="U46" s="28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5"/>
        <v>0</v>
      </c>
      <c r="K47" s="44"/>
      <c r="L47" s="91"/>
      <c r="M47" s="91"/>
      <c r="N47" s="91"/>
      <c r="O47" s="91"/>
      <c r="P47" s="91"/>
      <c r="Q47" s="92"/>
      <c r="R47" s="129">
        <f t="shared" si="6"/>
        <v>0</v>
      </c>
      <c r="S47" s="127">
        <f t="shared" si="7"/>
        <v>0</v>
      </c>
      <c r="T47" s="44"/>
      <c r="U47" s="28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5"/>
        <v>5</v>
      </c>
      <c r="K48" s="44"/>
      <c r="L48" s="91"/>
      <c r="M48" s="91"/>
      <c r="N48" s="91"/>
      <c r="O48" s="91"/>
      <c r="P48" s="91"/>
      <c r="Q48" s="92"/>
      <c r="R48" s="129">
        <f t="shared" si="6"/>
        <v>0</v>
      </c>
      <c r="S48" s="127">
        <f t="shared" si="7"/>
        <v>0</v>
      </c>
      <c r="T48" s="44"/>
      <c r="U48" s="28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5"/>
        <v>0</v>
      </c>
      <c r="K49" s="44"/>
      <c r="L49" s="91"/>
      <c r="M49" s="91"/>
      <c r="N49" s="91"/>
      <c r="O49" s="91"/>
      <c r="P49" s="91"/>
      <c r="Q49" s="92"/>
      <c r="R49" s="129">
        <f t="shared" si="6"/>
        <v>0</v>
      </c>
      <c r="S49" s="127">
        <f t="shared" si="7"/>
        <v>0</v>
      </c>
      <c r="T49" s="44"/>
      <c r="U49" s="28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5"/>
        <v>0</v>
      </c>
      <c r="K50" s="44"/>
      <c r="L50" s="91"/>
      <c r="M50" s="91"/>
      <c r="N50" s="91"/>
      <c r="O50" s="91"/>
      <c r="P50" s="91"/>
      <c r="Q50" s="92"/>
      <c r="R50" s="129">
        <f t="shared" si="6"/>
        <v>0</v>
      </c>
      <c r="S50" s="127">
        <f t="shared" si="7"/>
        <v>0</v>
      </c>
      <c r="T50" s="44"/>
      <c r="U50" s="28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5"/>
        <v>0</v>
      </c>
      <c r="K51" s="44"/>
      <c r="L51" s="91"/>
      <c r="M51" s="91"/>
      <c r="N51" s="91"/>
      <c r="O51" s="91"/>
      <c r="P51" s="91"/>
      <c r="Q51" s="92"/>
      <c r="R51" s="129">
        <f t="shared" si="6"/>
        <v>0</v>
      </c>
      <c r="S51" s="127">
        <f t="shared" si="7"/>
        <v>0</v>
      </c>
      <c r="T51" s="44"/>
      <c r="U51" s="28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5"/>
        <v>0</v>
      </c>
      <c r="K52" s="44"/>
      <c r="L52" s="91"/>
      <c r="M52" s="91"/>
      <c r="N52" s="91"/>
      <c r="O52" s="91"/>
      <c r="P52" s="91"/>
      <c r="Q52" s="92"/>
      <c r="R52" s="129">
        <f t="shared" si="6"/>
        <v>0</v>
      </c>
      <c r="S52" s="127">
        <f t="shared" si="7"/>
        <v>0</v>
      </c>
      <c r="T52" s="44"/>
      <c r="U52" s="28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5"/>
        <v>0</v>
      </c>
      <c r="K53" s="44"/>
      <c r="L53" s="91"/>
      <c r="M53" s="91"/>
      <c r="N53" s="91"/>
      <c r="O53" s="91"/>
      <c r="P53" s="91"/>
      <c r="Q53" s="92"/>
      <c r="R53" s="129">
        <f t="shared" si="6"/>
        <v>0</v>
      </c>
      <c r="S53" s="127">
        <f t="shared" si="7"/>
        <v>0</v>
      </c>
      <c r="T53" s="44"/>
      <c r="U53" s="28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5"/>
        <v>0</v>
      </c>
      <c r="K54" s="44"/>
      <c r="L54" s="91"/>
      <c r="M54" s="91"/>
      <c r="N54" s="91"/>
      <c r="O54" s="91"/>
      <c r="P54" s="91"/>
      <c r="Q54" s="92"/>
      <c r="R54" s="129">
        <f t="shared" si="6"/>
        <v>0</v>
      </c>
      <c r="S54" s="127">
        <f t="shared" si="7"/>
        <v>0</v>
      </c>
      <c r="T54" s="44"/>
      <c r="U54" s="28"/>
      <c r="V54" s="30"/>
    </row>
    <row r="55" spans="1:22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5"/>
        <v>0</v>
      </c>
      <c r="K55" s="44"/>
      <c r="L55" s="91"/>
      <c r="M55" s="91"/>
      <c r="N55" s="91"/>
      <c r="O55" s="91"/>
      <c r="P55" s="91"/>
      <c r="Q55" s="92"/>
      <c r="R55" s="129">
        <f t="shared" si="6"/>
        <v>0</v>
      </c>
      <c r="S55" s="127">
        <f t="shared" si="7"/>
        <v>0</v>
      </c>
      <c r="T55" s="44"/>
      <c r="U55" s="28"/>
      <c r="V55" s="30"/>
    </row>
    <row r="56" spans="1:22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5"/>
        <v>0</v>
      </c>
      <c r="K56" s="44"/>
      <c r="L56" s="91"/>
      <c r="M56" s="91"/>
      <c r="N56" s="91"/>
      <c r="O56" s="91"/>
      <c r="P56" s="91"/>
      <c r="Q56" s="92"/>
      <c r="R56" s="129">
        <f t="shared" si="6"/>
        <v>0</v>
      </c>
      <c r="S56" s="127">
        <f t="shared" si="7"/>
        <v>0</v>
      </c>
      <c r="T56" s="44"/>
      <c r="U56" s="28"/>
      <c r="V56" s="30"/>
    </row>
    <row r="57" spans="1:22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5"/>
        <v>0</v>
      </c>
      <c r="K57" s="44"/>
      <c r="L57" s="91"/>
      <c r="M57" s="91"/>
      <c r="N57" s="91"/>
      <c r="O57" s="91"/>
      <c r="P57" s="91"/>
      <c r="Q57" s="92"/>
      <c r="R57" s="129">
        <f t="shared" si="6"/>
        <v>0</v>
      </c>
      <c r="S57" s="127">
        <f t="shared" si="7"/>
        <v>0</v>
      </c>
      <c r="T57" s="44"/>
      <c r="U57" s="28"/>
      <c r="V57" s="30"/>
    </row>
    <row r="58" spans="1:22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5"/>
        <v>0</v>
      </c>
      <c r="K58" s="44"/>
      <c r="L58" s="91"/>
      <c r="M58" s="91"/>
      <c r="N58" s="91"/>
      <c r="O58" s="91"/>
      <c r="P58" s="91"/>
      <c r="Q58" s="92"/>
      <c r="R58" s="129">
        <f t="shared" si="6"/>
        <v>0</v>
      </c>
      <c r="S58" s="127">
        <f t="shared" si="7"/>
        <v>0</v>
      </c>
      <c r="T58" s="44"/>
      <c r="U58" s="28"/>
      <c r="V58" s="30"/>
    </row>
    <row r="59" spans="1:22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5"/>
        <v>0</v>
      </c>
      <c r="K59" s="44"/>
      <c r="L59" s="91"/>
      <c r="M59" s="91"/>
      <c r="N59" s="91"/>
      <c r="O59" s="91"/>
      <c r="P59" s="91"/>
      <c r="Q59" s="92"/>
      <c r="R59" s="129">
        <f t="shared" si="6"/>
        <v>0</v>
      </c>
      <c r="S59" s="127">
        <f t="shared" si="7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8">
        <f t="shared" si="8"/>
        <v>478</v>
      </c>
      <c r="S60" s="125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3708C-D093-4A9C-9961-2E39923C8C8E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6">
        <v>46067</v>
      </c>
      <c r="Q1" s="197"/>
      <c r="R1" s="197"/>
      <c r="S1" s="197"/>
      <c r="T1" s="197"/>
      <c r="U1" s="197"/>
      <c r="V1" s="197"/>
      <c r="W1" s="197"/>
      <c r="X1" s="19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12"/>
      <c r="W4" s="207"/>
      <c r="X4" s="208"/>
    </row>
    <row r="5" spans="1:60" s="3" customFormat="1" ht="57" thickBot="1" x14ac:dyDescent="0.3">
      <c r="A5" s="53"/>
      <c r="B5" s="190"/>
      <c r="C5" s="199"/>
      <c r="D5" s="209"/>
      <c r="E5" s="52" t="s">
        <v>8</v>
      </c>
      <c r="F5" s="149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>
        <v>2</v>
      </c>
      <c r="H8" s="93"/>
      <c r="I8" s="93">
        <f>C8-G8</f>
        <v>33</v>
      </c>
      <c r="J8" s="103">
        <f t="shared" ref="J8:J12" si="0">D8-H8</f>
        <v>0</v>
      </c>
      <c r="K8" s="44"/>
      <c r="L8" s="91">
        <v>1</v>
      </c>
      <c r="M8" s="91"/>
      <c r="N8" s="91">
        <v>1</v>
      </c>
      <c r="O8" s="91"/>
      <c r="P8" s="91"/>
      <c r="Q8" s="92"/>
      <c r="R8" s="129">
        <f t="shared" ref="R8:S12" si="1">L8+N8+P8</f>
        <v>2</v>
      </c>
      <c r="S8" s="127">
        <f t="shared" si="1"/>
        <v>0</v>
      </c>
      <c r="T8" s="44"/>
      <c r="U8" s="28">
        <f>L8*24+N8*24+P8*24</f>
        <v>48</v>
      </c>
      <c r="V8" s="162">
        <f>U8/24</f>
        <v>2</v>
      </c>
      <c r="W8" s="157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>
        <v>2</v>
      </c>
      <c r="H9" s="108"/>
      <c r="I9" s="107">
        <f t="shared" ref="I9:J59" si="4">C9-G9</f>
        <v>95</v>
      </c>
      <c r="J9" s="166">
        <f t="shared" si="0"/>
        <v>0</v>
      </c>
      <c r="K9" s="64"/>
      <c r="L9" s="94">
        <v>2</v>
      </c>
      <c r="M9" s="94"/>
      <c r="N9" s="94"/>
      <c r="O9" s="94"/>
      <c r="P9" s="94"/>
      <c r="Q9" s="95"/>
      <c r="R9" s="174">
        <f t="shared" si="1"/>
        <v>2</v>
      </c>
      <c r="S9" s="171">
        <f t="shared" si="1"/>
        <v>0</v>
      </c>
      <c r="T9" s="64"/>
      <c r="U9" s="67">
        <f>L9*24+N9*24+P9*24</f>
        <v>48</v>
      </c>
      <c r="V9" s="172">
        <f>U9/24</f>
        <v>2</v>
      </c>
      <c r="W9" s="158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>
        <v>2</v>
      </c>
      <c r="H11" s="93"/>
      <c r="I11" s="93">
        <f t="shared" si="4"/>
        <v>64</v>
      </c>
      <c r="J11" s="103">
        <f t="shared" si="0"/>
        <v>0</v>
      </c>
      <c r="K11" s="44"/>
      <c r="L11" s="91">
        <v>2</v>
      </c>
      <c r="M11" s="91"/>
      <c r="N11" s="91"/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>
        <f>L11*24+N11*24+P11*24</f>
        <v>48</v>
      </c>
      <c r="V11" s="162">
        <f>U11/24</f>
        <v>2</v>
      </c>
      <c r="W11" s="157">
        <f t="shared" si="2"/>
        <v>1536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>
        <v>3569</v>
      </c>
      <c r="D13" s="105">
        <v>19</v>
      </c>
      <c r="E13" s="106"/>
      <c r="F13" s="106"/>
      <c r="G13" s="107">
        <v>16</v>
      </c>
      <c r="H13" s="108">
        <v>40</v>
      </c>
      <c r="I13" s="116">
        <f t="shared" si="4"/>
        <v>3553</v>
      </c>
      <c r="J13" s="166">
        <f>D13-H13</f>
        <v>-21</v>
      </c>
      <c r="K13" s="68"/>
      <c r="L13" s="94">
        <v>2</v>
      </c>
      <c r="M13" s="94">
        <v>13</v>
      </c>
      <c r="N13" s="94">
        <v>6</v>
      </c>
      <c r="O13" s="94">
        <v>15</v>
      </c>
      <c r="P13" s="94">
        <v>8</v>
      </c>
      <c r="Q13" s="95">
        <v>12</v>
      </c>
      <c r="R13" s="169">
        <f>L13+N13+P13</f>
        <v>16</v>
      </c>
      <c r="S13" s="171">
        <f>M13+O13+Q13</f>
        <v>40</v>
      </c>
      <c r="T13" s="68"/>
      <c r="U13" s="67">
        <f>L13*24+N13*24+P13*24</f>
        <v>384</v>
      </c>
      <c r="V13" s="56">
        <f t="shared" si="6"/>
        <v>16</v>
      </c>
      <c r="W13" s="158">
        <f>I13*24+J13</f>
        <v>85251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165">
        <f t="shared" si="4"/>
        <v>5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>
        <v>3</v>
      </c>
      <c r="H26" s="93"/>
      <c r="I26" s="93">
        <f t="shared" si="4"/>
        <v>89</v>
      </c>
      <c r="J26" s="103">
        <f t="shared" si="4"/>
        <v>23</v>
      </c>
      <c r="K26" s="44"/>
      <c r="L26" s="91">
        <v>3</v>
      </c>
      <c r="M26" s="91"/>
      <c r="N26" s="91"/>
      <c r="O26" s="91"/>
      <c r="P26" s="91"/>
      <c r="Q26" s="92"/>
      <c r="R26" s="129">
        <f t="shared" si="7"/>
        <v>3</v>
      </c>
      <c r="S26" s="127">
        <f t="shared" si="7"/>
        <v>0</v>
      </c>
      <c r="T26" s="44"/>
      <c r="U26" s="28">
        <f t="shared" si="5"/>
        <v>72</v>
      </c>
      <c r="V26" s="162">
        <f t="shared" si="6"/>
        <v>3</v>
      </c>
      <c r="W26" s="157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>
        <v>58</v>
      </c>
      <c r="D29" s="101"/>
      <c r="E29" s="91"/>
      <c r="F29" s="91"/>
      <c r="G29" s="102">
        <v>8</v>
      </c>
      <c r="H29" s="93"/>
      <c r="I29" s="93">
        <f t="shared" si="4"/>
        <v>50</v>
      </c>
      <c r="J29" s="103">
        <f t="shared" si="4"/>
        <v>0</v>
      </c>
      <c r="K29" s="45"/>
      <c r="L29" s="91">
        <v>5</v>
      </c>
      <c r="M29" s="91"/>
      <c r="N29" s="91"/>
      <c r="O29" s="91"/>
      <c r="P29" s="91">
        <v>3</v>
      </c>
      <c r="Q29" s="92"/>
      <c r="R29" s="129">
        <f t="shared" si="7"/>
        <v>8</v>
      </c>
      <c r="S29" s="127">
        <f t="shared" si="7"/>
        <v>0</v>
      </c>
      <c r="T29" s="45"/>
      <c r="U29" s="28">
        <f t="shared" si="5"/>
        <v>192</v>
      </c>
      <c r="V29" s="162">
        <f t="shared" si="6"/>
        <v>8</v>
      </c>
      <c r="W29" s="157">
        <f t="shared" si="8"/>
        <v>1200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>
        <v>109</v>
      </c>
      <c r="D35" s="101">
        <v>17</v>
      </c>
      <c r="E35" s="91"/>
      <c r="F35" s="91"/>
      <c r="G35" s="102"/>
      <c r="H35" s="93"/>
      <c r="I35" s="93">
        <f t="shared" si="4"/>
        <v>109</v>
      </c>
      <c r="J35" s="103">
        <f t="shared" si="4"/>
        <v>17</v>
      </c>
      <c r="K35" s="44"/>
      <c r="L35" s="91"/>
      <c r="M35" s="91"/>
      <c r="N35" s="91"/>
      <c r="O35" s="91"/>
      <c r="P35" s="91"/>
      <c r="Q35" s="92"/>
      <c r="R35" s="129">
        <f t="shared" si="7"/>
        <v>0</v>
      </c>
      <c r="S35" s="127">
        <f t="shared" si="7"/>
        <v>0</v>
      </c>
      <c r="T35" s="44"/>
      <c r="U35" s="28">
        <f t="shared" si="5"/>
        <v>0</v>
      </c>
      <c r="V35" s="162">
        <f t="shared" si="6"/>
        <v>0</v>
      </c>
      <c r="W35" s="157">
        <f t="shared" si="8"/>
        <v>2633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>
        <v>4605</v>
      </c>
      <c r="D38" s="105">
        <v>2</v>
      </c>
      <c r="E38" s="106"/>
      <c r="F38" s="106"/>
      <c r="G38" s="107">
        <v>70</v>
      </c>
      <c r="H38" s="108"/>
      <c r="I38" s="116">
        <f t="shared" si="4"/>
        <v>4535</v>
      </c>
      <c r="J38" s="166">
        <f t="shared" si="4"/>
        <v>2</v>
      </c>
      <c r="K38" s="64"/>
      <c r="L38" s="94">
        <v>40</v>
      </c>
      <c r="M38" s="94"/>
      <c r="N38" s="94"/>
      <c r="O38" s="94"/>
      <c r="P38" s="94">
        <v>30</v>
      </c>
      <c r="Q38" s="95"/>
      <c r="R38" s="169">
        <f t="shared" si="7"/>
        <v>70</v>
      </c>
      <c r="S38" s="171">
        <f t="shared" si="7"/>
        <v>0</v>
      </c>
      <c r="T38" s="64"/>
      <c r="U38" s="67">
        <f>L38*6+N38*6+P38*6</f>
        <v>420</v>
      </c>
      <c r="V38" s="172">
        <f>U38/6</f>
        <v>70</v>
      </c>
      <c r="W38" s="158">
        <f>I38*6+J38</f>
        <v>27212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165">
        <f t="shared" si="4"/>
        <v>4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0" si="9">L39*24+N39*24+P39*24</f>
        <v>0</v>
      </c>
      <c r="V39" s="173">
        <f t="shared" si="6"/>
        <v>0</v>
      </c>
      <c r="W39" s="157">
        <f t="shared" ref="W39:W40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>
        <v>760</v>
      </c>
      <c r="D41" s="105"/>
      <c r="E41" s="106"/>
      <c r="F41" s="106"/>
      <c r="G41" s="107">
        <v>62</v>
      </c>
      <c r="H41" s="108"/>
      <c r="I41" s="116">
        <f t="shared" si="4"/>
        <v>698</v>
      </c>
      <c r="J41" s="166">
        <f t="shared" si="4"/>
        <v>0</v>
      </c>
      <c r="K41" s="64"/>
      <c r="L41" s="91">
        <v>61</v>
      </c>
      <c r="M41" s="91"/>
      <c r="N41" s="91">
        <v>1</v>
      </c>
      <c r="O41" s="91"/>
      <c r="P41" s="91"/>
      <c r="Q41" s="92"/>
      <c r="R41" s="174">
        <f t="shared" si="7"/>
        <v>62</v>
      </c>
      <c r="S41" s="171">
        <f t="shared" si="7"/>
        <v>0</v>
      </c>
      <c r="T41" s="64"/>
      <c r="U41" s="55">
        <f t="shared" ref="U41" si="11">L41*24+N41*24+P41*24</f>
        <v>1488</v>
      </c>
      <c r="V41" s="56">
        <f t="shared" si="6"/>
        <v>62</v>
      </c>
      <c r="W41" s="56">
        <f t="shared" ref="W41" si="12">I41*24+J41</f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>
        <v>1691</v>
      </c>
      <c r="D42" s="110"/>
      <c r="E42" s="96"/>
      <c r="F42" s="96"/>
      <c r="G42" s="111">
        <v>13</v>
      </c>
      <c r="H42" s="112"/>
      <c r="I42" s="111">
        <f t="shared" si="4"/>
        <v>1678</v>
      </c>
      <c r="J42" s="167">
        <f t="shared" si="4"/>
        <v>0</v>
      </c>
      <c r="K42" s="69"/>
      <c r="L42" s="96"/>
      <c r="M42" s="96"/>
      <c r="N42" s="96">
        <v>5</v>
      </c>
      <c r="O42" s="96"/>
      <c r="P42" s="96">
        <v>8</v>
      </c>
      <c r="Q42" s="97"/>
      <c r="R42" s="175">
        <f t="shared" si="7"/>
        <v>13</v>
      </c>
      <c r="S42" s="180">
        <f t="shared" si="7"/>
        <v>0</v>
      </c>
      <c r="T42" s="69"/>
      <c r="U42" s="60">
        <f>L42*12+N42*12+P42*12</f>
        <v>156</v>
      </c>
      <c r="V42" s="61">
        <f>U42/12</f>
        <v>13</v>
      </c>
      <c r="W42" s="160">
        <f>I42*12+J42</f>
        <v>20136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>
        <v>25854</v>
      </c>
      <c r="D44" s="105"/>
      <c r="E44" s="106">
        <v>3672</v>
      </c>
      <c r="F44" s="106"/>
      <c r="G44" s="107">
        <v>960</v>
      </c>
      <c r="H44" s="108">
        <v>2</v>
      </c>
      <c r="I44" s="93">
        <f>C44+E44-G44</f>
        <v>28566</v>
      </c>
      <c r="J44" s="181">
        <f t="shared" si="4"/>
        <v>-2</v>
      </c>
      <c r="K44" s="64"/>
      <c r="L44" s="94">
        <v>323</v>
      </c>
      <c r="M44" s="94">
        <v>2</v>
      </c>
      <c r="N44" s="94">
        <v>309</v>
      </c>
      <c r="O44" s="94"/>
      <c r="P44" s="94">
        <v>328</v>
      </c>
      <c r="Q44" s="95"/>
      <c r="R44" s="176">
        <f t="shared" si="7"/>
        <v>960</v>
      </c>
      <c r="S44" s="180">
        <f t="shared" si="7"/>
        <v>2</v>
      </c>
      <c r="T44" s="64"/>
      <c r="U44" s="67">
        <f>L44*6+N44*6+P44*6</f>
        <v>5760</v>
      </c>
      <c r="V44" s="162">
        <f>U44/6</f>
        <v>960</v>
      </c>
      <c r="W44" s="158">
        <f>I44*6+J44</f>
        <v>171394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3">L46*24+N46*24+P46*24</f>
        <v>0</v>
      </c>
      <c r="V46" s="173">
        <f t="shared" ref="V46:V47" si="14">U46/24</f>
        <v>0</v>
      </c>
      <c r="W46" s="157">
        <f t="shared" ref="W46:W47" si="15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3"/>
        <v>0</v>
      </c>
      <c r="V47" s="162">
        <f t="shared" si="14"/>
        <v>0</v>
      </c>
      <c r="W47" s="157">
        <f t="shared" si="15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4"/>
        <v>5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6">L49*24+N49*24+P49*24</f>
        <v>0</v>
      </c>
      <c r="V49" s="162">
        <f t="shared" ref="V49:V51" si="17">U49/24</f>
        <v>0</v>
      </c>
      <c r="W49" s="157">
        <f t="shared" ref="W49:W51" si="18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6"/>
        <v>0</v>
      </c>
      <c r="V50" s="162">
        <f t="shared" si="17"/>
        <v>0</v>
      </c>
      <c r="W50" s="157">
        <f t="shared" si="18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6"/>
        <v>0</v>
      </c>
      <c r="V51" s="162">
        <f t="shared" si="17"/>
        <v>0</v>
      </c>
      <c r="W51" s="157">
        <f t="shared" si="18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9">L53*24+N53*24+P53*24</f>
        <v>0</v>
      </c>
      <c r="V53" s="162">
        <f t="shared" ref="V53:V54" si="20">U53/24</f>
        <v>0</v>
      </c>
      <c r="W53" s="157">
        <f t="shared" ref="W53:W54" si="21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9"/>
        <v>0</v>
      </c>
      <c r="V54" s="162">
        <f t="shared" si="20"/>
        <v>0</v>
      </c>
      <c r="W54" s="157">
        <f t="shared" si="21"/>
        <v>48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39486</v>
      </c>
      <c r="D60" s="71">
        <f>SUM(D8:D59)</f>
        <v>66</v>
      </c>
      <c r="E60" s="47">
        <f>SUM(E8:E59)</f>
        <v>3672</v>
      </c>
      <c r="F60" s="47"/>
      <c r="G60" s="31">
        <f>SUM(G8:G59)</f>
        <v>1138</v>
      </c>
      <c r="H60" s="73">
        <f>SUM(H8:H59)</f>
        <v>42</v>
      </c>
      <c r="I60" s="73">
        <f>SUM(I8:I59)</f>
        <v>42020</v>
      </c>
      <c r="J60" s="48">
        <f>SUM(J8:J59)</f>
        <v>24</v>
      </c>
      <c r="K60" s="49"/>
      <c r="L60" s="98">
        <f t="shared" ref="L60:S60" si="22">SUM(L8:L59)</f>
        <v>439</v>
      </c>
      <c r="M60" s="98">
        <f t="shared" si="22"/>
        <v>15</v>
      </c>
      <c r="N60" s="98">
        <f t="shared" si="22"/>
        <v>322</v>
      </c>
      <c r="O60" s="98">
        <f t="shared" si="22"/>
        <v>15</v>
      </c>
      <c r="P60" s="98">
        <f t="shared" si="22"/>
        <v>377</v>
      </c>
      <c r="Q60" s="99">
        <f t="shared" si="22"/>
        <v>12</v>
      </c>
      <c r="R60" s="128">
        <f t="shared" si="22"/>
        <v>1138</v>
      </c>
      <c r="S60" s="125">
        <f t="shared" si="22"/>
        <v>42</v>
      </c>
      <c r="T60" s="49"/>
      <c r="U60" s="46">
        <f>SUM(U8:U59)</f>
        <v>8616</v>
      </c>
      <c r="V60" s="184">
        <f>SUM(V8:V59)</f>
        <v>1138</v>
      </c>
      <c r="W60" s="161">
        <f>SUM(W8:W59)</f>
        <v>349368</v>
      </c>
      <c r="X60" s="48"/>
    </row>
    <row r="61" spans="1:24" ht="19.5" thickBot="1" x14ac:dyDescent="0.3">
      <c r="V61" s="185"/>
    </row>
    <row r="62" spans="1:24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47" t="s">
        <v>3</v>
      </c>
      <c r="D69" s="14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3C943-9DF6-450B-B2D7-4B1F70F069CD}">
  <sheetPr>
    <pageSetUpPr fitToPage="1"/>
  </sheetPr>
  <dimension ref="A1:BF90"/>
  <sheetViews>
    <sheetView zoomScale="85" zoomScaleNormal="85" zoomScaleSheetLayoutView="55" zoomScalePageLayoutView="80" workbookViewId="0">
      <selection activeCell="V14" sqref="V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6"/>
      <c r="Q1" s="197"/>
      <c r="R1" s="197"/>
      <c r="S1" s="197"/>
      <c r="T1" s="197"/>
      <c r="U1" s="197"/>
      <c r="V1" s="19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08"/>
    </row>
    <row r="5" spans="1:58" s="3" customFormat="1" ht="38.25" thickBot="1" x14ac:dyDescent="0.3">
      <c r="A5" s="53"/>
      <c r="B5" s="190"/>
      <c r="C5" s="199"/>
      <c r="D5" s="209"/>
      <c r="E5" s="52" t="s">
        <v>8</v>
      </c>
      <c r="F5" s="152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82</v>
      </c>
      <c r="V5" s="6" t="s">
        <v>6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/>
      <c r="J8" s="103"/>
      <c r="K8" s="44"/>
      <c r="L8" s="91"/>
      <c r="M8" s="91"/>
      <c r="N8" s="91"/>
      <c r="O8" s="91"/>
      <c r="P8" s="91"/>
      <c r="Q8" s="92"/>
      <c r="R8" s="129"/>
      <c r="S8" s="127"/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0">A8+1</f>
        <v>2</v>
      </c>
      <c r="B9" s="54" t="s">
        <v>49</v>
      </c>
      <c r="C9" s="104"/>
      <c r="D9" s="105"/>
      <c r="E9" s="106"/>
      <c r="F9" s="106"/>
      <c r="G9" s="107"/>
      <c r="H9" s="108"/>
      <c r="I9" s="116"/>
      <c r="J9" s="186"/>
      <c r="K9" s="64"/>
      <c r="L9" s="94"/>
      <c r="M9" s="94"/>
      <c r="N9" s="94"/>
      <c r="O9" s="94"/>
      <c r="P9" s="94"/>
      <c r="Q9" s="95"/>
      <c r="R9" s="169"/>
      <c r="S9" s="177"/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0"/>
        <v>3</v>
      </c>
      <c r="B10" s="10" t="s">
        <v>47</v>
      </c>
      <c r="C10" s="100"/>
      <c r="D10" s="101"/>
      <c r="E10" s="91"/>
      <c r="F10" s="91"/>
      <c r="G10" s="102"/>
      <c r="H10" s="93"/>
      <c r="I10" s="165"/>
      <c r="J10" s="103"/>
      <c r="K10" s="44"/>
      <c r="L10" s="91"/>
      <c r="M10" s="91"/>
      <c r="N10" s="91"/>
      <c r="O10" s="91"/>
      <c r="P10" s="91"/>
      <c r="Q10" s="92"/>
      <c r="R10" s="168"/>
      <c r="S10" s="178"/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0"/>
        <v>4</v>
      </c>
      <c r="B11" s="13" t="s">
        <v>50</v>
      </c>
      <c r="C11" s="100"/>
      <c r="D11" s="101"/>
      <c r="E11" s="91"/>
      <c r="F11" s="91"/>
      <c r="G11" s="102"/>
      <c r="H11" s="93"/>
      <c r="I11" s="93"/>
      <c r="J11" s="103"/>
      <c r="K11" s="44"/>
      <c r="L11" s="91"/>
      <c r="M11" s="91"/>
      <c r="N11" s="91"/>
      <c r="O11" s="91"/>
      <c r="P11" s="91"/>
      <c r="Q11" s="92"/>
      <c r="R11" s="129"/>
      <c r="S11" s="127"/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0"/>
        <v>5</v>
      </c>
      <c r="B12" s="13" t="s">
        <v>48</v>
      </c>
      <c r="C12" s="100"/>
      <c r="D12" s="101"/>
      <c r="E12" s="91"/>
      <c r="F12" s="91"/>
      <c r="G12" s="102"/>
      <c r="H12" s="93"/>
      <c r="I12" s="93"/>
      <c r="J12" s="103"/>
      <c r="K12" s="44"/>
      <c r="L12" s="91"/>
      <c r="M12" s="91"/>
      <c r="N12" s="91"/>
      <c r="O12" s="91"/>
      <c r="P12" s="91"/>
      <c r="Q12" s="92"/>
      <c r="R12" s="129"/>
      <c r="S12" s="127"/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0"/>
        <v>6</v>
      </c>
      <c r="B13" s="54" t="s">
        <v>44</v>
      </c>
      <c r="C13" s="104"/>
      <c r="D13" s="105"/>
      <c r="E13" s="106"/>
      <c r="F13" s="106"/>
      <c r="G13" s="107"/>
      <c r="H13" s="108"/>
      <c r="I13" s="116"/>
      <c r="J13" s="186"/>
      <c r="K13" s="68"/>
      <c r="L13" s="94"/>
      <c r="M13" s="94"/>
      <c r="N13" s="94"/>
      <c r="O13" s="94"/>
      <c r="P13" s="94"/>
      <c r="Q13" s="95"/>
      <c r="R13" s="174"/>
      <c r="S13" s="171"/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0"/>
        <v>7</v>
      </c>
      <c r="B14" s="10" t="s">
        <v>15</v>
      </c>
      <c r="C14" s="100"/>
      <c r="D14" s="101"/>
      <c r="E14" s="91"/>
      <c r="F14" s="91"/>
      <c r="G14" s="102"/>
      <c r="H14" s="93"/>
      <c r="I14" s="165"/>
      <c r="J14" s="103"/>
      <c r="K14" s="44"/>
      <c r="L14" s="91"/>
      <c r="M14" s="91"/>
      <c r="N14" s="91"/>
      <c r="O14" s="91"/>
      <c r="P14" s="91"/>
      <c r="Q14" s="92"/>
      <c r="R14" s="175"/>
      <c r="S14" s="170"/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0"/>
        <v>8</v>
      </c>
      <c r="B15" s="13" t="s">
        <v>16</v>
      </c>
      <c r="C15" s="100"/>
      <c r="D15" s="101"/>
      <c r="E15" s="91"/>
      <c r="F15" s="91"/>
      <c r="G15" s="102"/>
      <c r="H15" s="93"/>
      <c r="I15" s="93"/>
      <c r="J15" s="103"/>
      <c r="K15" s="44"/>
      <c r="L15" s="91"/>
      <c r="M15" s="91"/>
      <c r="N15" s="91"/>
      <c r="O15" s="91"/>
      <c r="P15" s="91"/>
      <c r="Q15" s="92"/>
      <c r="R15" s="129"/>
      <c r="S15" s="127"/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0"/>
        <v>9</v>
      </c>
      <c r="B16" s="13" t="s">
        <v>17</v>
      </c>
      <c r="C16" s="100"/>
      <c r="D16" s="101"/>
      <c r="E16" s="91"/>
      <c r="F16" s="91"/>
      <c r="G16" s="102"/>
      <c r="H16" s="93"/>
      <c r="I16" s="93"/>
      <c r="J16" s="103"/>
      <c r="K16" s="44"/>
      <c r="L16" s="91"/>
      <c r="M16" s="91"/>
      <c r="N16" s="91"/>
      <c r="O16" s="91"/>
      <c r="P16" s="91"/>
      <c r="Q16" s="92"/>
      <c r="R16" s="129"/>
      <c r="S16" s="127"/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0"/>
        <v>10</v>
      </c>
      <c r="B17" s="13" t="s">
        <v>18</v>
      </c>
      <c r="C17" s="100"/>
      <c r="D17" s="101"/>
      <c r="E17" s="91"/>
      <c r="F17" s="91"/>
      <c r="G17" s="102"/>
      <c r="H17" s="93"/>
      <c r="I17" s="93"/>
      <c r="J17" s="103"/>
      <c r="K17" s="44"/>
      <c r="L17" s="91"/>
      <c r="M17" s="91"/>
      <c r="N17" s="91"/>
      <c r="O17" s="91"/>
      <c r="P17" s="91"/>
      <c r="Q17" s="92"/>
      <c r="R17" s="129"/>
      <c r="S17" s="127"/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0"/>
        <v>11</v>
      </c>
      <c r="B18" s="13" t="s">
        <v>19</v>
      </c>
      <c r="C18" s="100"/>
      <c r="D18" s="101"/>
      <c r="E18" s="91"/>
      <c r="F18" s="91"/>
      <c r="G18" s="102"/>
      <c r="H18" s="93"/>
      <c r="I18" s="93"/>
      <c r="J18" s="103"/>
      <c r="K18" s="44"/>
      <c r="L18" s="91"/>
      <c r="M18" s="91"/>
      <c r="N18" s="91"/>
      <c r="O18" s="91"/>
      <c r="P18" s="91"/>
      <c r="Q18" s="92"/>
      <c r="R18" s="129"/>
      <c r="S18" s="127"/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12</v>
      </c>
      <c r="B19" s="13" t="s">
        <v>23</v>
      </c>
      <c r="C19" s="100"/>
      <c r="D19" s="101"/>
      <c r="E19" s="91"/>
      <c r="F19" s="91"/>
      <c r="G19" s="102"/>
      <c r="H19" s="93"/>
      <c r="I19" s="93"/>
      <c r="J19" s="103"/>
      <c r="K19" s="44"/>
      <c r="L19" s="91"/>
      <c r="M19" s="91"/>
      <c r="N19" s="91"/>
      <c r="O19" s="91"/>
      <c r="P19" s="91"/>
      <c r="Q19" s="92"/>
      <c r="R19" s="129"/>
      <c r="S19" s="127"/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0"/>
        <v>13</v>
      </c>
      <c r="B20" s="13" t="s">
        <v>67</v>
      </c>
      <c r="C20" s="100"/>
      <c r="D20" s="101"/>
      <c r="E20" s="91"/>
      <c r="F20" s="91"/>
      <c r="G20" s="102"/>
      <c r="H20" s="93"/>
      <c r="I20" s="93"/>
      <c r="J20" s="103"/>
      <c r="K20" s="44"/>
      <c r="L20" s="91"/>
      <c r="M20" s="91"/>
      <c r="N20" s="91"/>
      <c r="O20" s="91"/>
      <c r="P20" s="91"/>
      <c r="Q20" s="92"/>
      <c r="R20" s="129"/>
      <c r="S20" s="127"/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0"/>
        <v>14</v>
      </c>
      <c r="B21" s="13" t="s">
        <v>20</v>
      </c>
      <c r="C21" s="100"/>
      <c r="D21" s="101"/>
      <c r="E21" s="91"/>
      <c r="F21" s="91"/>
      <c r="G21" s="102"/>
      <c r="H21" s="93"/>
      <c r="I21" s="93"/>
      <c r="J21" s="103"/>
      <c r="K21" s="44"/>
      <c r="L21" s="91"/>
      <c r="M21" s="91"/>
      <c r="N21" s="91"/>
      <c r="O21" s="91"/>
      <c r="P21" s="91"/>
      <c r="Q21" s="92"/>
      <c r="R21" s="129"/>
      <c r="S21" s="127"/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0"/>
        <v>15</v>
      </c>
      <c r="B22" s="13" t="s">
        <v>21</v>
      </c>
      <c r="C22" s="100"/>
      <c r="D22" s="101"/>
      <c r="E22" s="91"/>
      <c r="F22" s="91"/>
      <c r="G22" s="102"/>
      <c r="H22" s="93"/>
      <c r="I22" s="93"/>
      <c r="J22" s="103"/>
      <c r="K22" s="44"/>
      <c r="L22" s="91"/>
      <c r="M22" s="91"/>
      <c r="N22" s="91"/>
      <c r="O22" s="91"/>
      <c r="P22" s="91"/>
      <c r="Q22" s="92"/>
      <c r="R22" s="129"/>
      <c r="S22" s="127"/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0"/>
        <v>16</v>
      </c>
      <c r="B23" s="13" t="s">
        <v>68</v>
      </c>
      <c r="C23" s="100"/>
      <c r="D23" s="101"/>
      <c r="E23" s="91"/>
      <c r="F23" s="91"/>
      <c r="G23" s="102"/>
      <c r="H23" s="93"/>
      <c r="I23" s="93"/>
      <c r="J23" s="103"/>
      <c r="K23" s="45"/>
      <c r="L23" s="91"/>
      <c r="M23" s="91"/>
      <c r="N23" s="91"/>
      <c r="O23" s="91"/>
      <c r="P23" s="91"/>
      <c r="Q23" s="92"/>
      <c r="R23" s="129"/>
      <c r="S23" s="127"/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0"/>
        <v>17</v>
      </c>
      <c r="B24" s="13" t="s">
        <v>69</v>
      </c>
      <c r="C24" s="100"/>
      <c r="D24" s="101"/>
      <c r="E24" s="91"/>
      <c r="F24" s="91"/>
      <c r="G24" s="102"/>
      <c r="H24" s="93"/>
      <c r="I24" s="93"/>
      <c r="J24" s="103"/>
      <c r="K24" s="45"/>
      <c r="L24" s="91"/>
      <c r="M24" s="91"/>
      <c r="N24" s="91"/>
      <c r="O24" s="91"/>
      <c r="P24" s="91"/>
      <c r="Q24" s="92"/>
      <c r="R24" s="129"/>
      <c r="S24" s="127"/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0"/>
        <v>18</v>
      </c>
      <c r="B25" s="13" t="s">
        <v>70</v>
      </c>
      <c r="C25" s="100"/>
      <c r="D25" s="101"/>
      <c r="E25" s="91"/>
      <c r="F25" s="91"/>
      <c r="G25" s="102"/>
      <c r="H25" s="93"/>
      <c r="I25" s="93"/>
      <c r="J25" s="103"/>
      <c r="K25" s="44"/>
      <c r="L25" s="91"/>
      <c r="M25" s="91"/>
      <c r="N25" s="91"/>
      <c r="O25" s="91"/>
      <c r="P25" s="91"/>
      <c r="Q25" s="92"/>
      <c r="R25" s="129"/>
      <c r="S25" s="127"/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0"/>
        <v>19</v>
      </c>
      <c r="B26" s="13" t="s">
        <v>22</v>
      </c>
      <c r="C26" s="100"/>
      <c r="D26" s="101"/>
      <c r="E26" s="91"/>
      <c r="F26" s="91"/>
      <c r="G26" s="102"/>
      <c r="H26" s="93"/>
      <c r="I26" s="93"/>
      <c r="J26" s="103"/>
      <c r="K26" s="44"/>
      <c r="L26" s="91"/>
      <c r="M26" s="91"/>
      <c r="N26" s="91"/>
      <c r="O26" s="91"/>
      <c r="P26" s="91"/>
      <c r="Q26" s="92"/>
      <c r="R26" s="129"/>
      <c r="S26" s="127"/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0"/>
        <v>20</v>
      </c>
      <c r="B27" s="13" t="s">
        <v>24</v>
      </c>
      <c r="C27" s="100"/>
      <c r="D27" s="101"/>
      <c r="E27" s="91"/>
      <c r="F27" s="91"/>
      <c r="G27" s="102"/>
      <c r="H27" s="93"/>
      <c r="I27" s="93"/>
      <c r="J27" s="103"/>
      <c r="K27" s="45"/>
      <c r="L27" s="91"/>
      <c r="M27" s="91"/>
      <c r="N27" s="91"/>
      <c r="O27" s="91"/>
      <c r="P27" s="91"/>
      <c r="Q27" s="92"/>
      <c r="R27" s="129"/>
      <c r="S27" s="127"/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0"/>
        <v>21</v>
      </c>
      <c r="B28" s="13" t="s">
        <v>77</v>
      </c>
      <c r="C28" s="100"/>
      <c r="D28" s="101"/>
      <c r="E28" s="91"/>
      <c r="F28" s="91"/>
      <c r="G28" s="102"/>
      <c r="H28" s="93"/>
      <c r="I28" s="93"/>
      <c r="J28" s="103"/>
      <c r="K28" s="45"/>
      <c r="L28" s="91"/>
      <c r="M28" s="91"/>
      <c r="N28" s="91"/>
      <c r="O28" s="91"/>
      <c r="P28" s="91"/>
      <c r="Q28" s="92"/>
      <c r="R28" s="129"/>
      <c r="S28" s="127"/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0"/>
        <v>22</v>
      </c>
      <c r="B29" s="13" t="s">
        <v>25</v>
      </c>
      <c r="C29" s="100"/>
      <c r="D29" s="101"/>
      <c r="E29" s="91"/>
      <c r="F29" s="91"/>
      <c r="G29" s="102"/>
      <c r="H29" s="93"/>
      <c r="I29" s="93"/>
      <c r="J29" s="103"/>
      <c r="K29" s="45"/>
      <c r="L29" s="91"/>
      <c r="M29" s="91"/>
      <c r="N29" s="91"/>
      <c r="O29" s="91"/>
      <c r="P29" s="91"/>
      <c r="Q29" s="92"/>
      <c r="R29" s="129"/>
      <c r="S29" s="127"/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0"/>
        <v>23</v>
      </c>
      <c r="B30" s="13" t="s">
        <v>27</v>
      </c>
      <c r="C30" s="100"/>
      <c r="D30" s="101"/>
      <c r="E30" s="91"/>
      <c r="F30" s="91"/>
      <c r="G30" s="102"/>
      <c r="H30" s="93"/>
      <c r="I30" s="93"/>
      <c r="J30" s="103"/>
      <c r="K30" s="44"/>
      <c r="L30" s="91"/>
      <c r="M30" s="91"/>
      <c r="N30" s="91"/>
      <c r="O30" s="91"/>
      <c r="P30" s="91"/>
      <c r="Q30" s="92"/>
      <c r="R30" s="129"/>
      <c r="S30" s="127"/>
      <c r="T30" s="44"/>
      <c r="U30" s="28"/>
      <c r="V30" s="30"/>
    </row>
    <row r="31" spans="1:58" ht="19.5" thickBot="1" x14ac:dyDescent="0.3">
      <c r="A31" s="3">
        <f t="shared" si="0"/>
        <v>24</v>
      </c>
      <c r="B31" s="13" t="s">
        <v>29</v>
      </c>
      <c r="C31" s="100"/>
      <c r="D31" s="101"/>
      <c r="E31" s="91"/>
      <c r="F31" s="91"/>
      <c r="G31" s="102"/>
      <c r="H31" s="93"/>
      <c r="I31" s="93"/>
      <c r="J31" s="103"/>
      <c r="K31" s="44"/>
      <c r="L31" s="91"/>
      <c r="M31" s="91"/>
      <c r="N31" s="91"/>
      <c r="O31" s="91"/>
      <c r="P31" s="91"/>
      <c r="Q31" s="92"/>
      <c r="R31" s="129"/>
      <c r="S31" s="127"/>
      <c r="T31" s="44"/>
      <c r="U31" s="28"/>
      <c r="V31" s="30"/>
    </row>
    <row r="32" spans="1:58" ht="19.5" thickBot="1" x14ac:dyDescent="0.3">
      <c r="A32" s="3">
        <f t="shared" si="0"/>
        <v>25</v>
      </c>
      <c r="B32" s="13" t="s">
        <v>26</v>
      </c>
      <c r="C32" s="100"/>
      <c r="D32" s="101"/>
      <c r="E32" s="91"/>
      <c r="F32" s="91"/>
      <c r="G32" s="102"/>
      <c r="H32" s="93"/>
      <c r="I32" s="93"/>
      <c r="J32" s="103"/>
      <c r="K32" s="44"/>
      <c r="L32" s="91"/>
      <c r="M32" s="91"/>
      <c r="N32" s="91"/>
      <c r="O32" s="91"/>
      <c r="P32" s="91"/>
      <c r="Q32" s="92"/>
      <c r="R32" s="129"/>
      <c r="S32" s="127"/>
      <c r="T32" s="44"/>
      <c r="U32" s="28"/>
      <c r="V32" s="30"/>
    </row>
    <row r="33" spans="1:24" ht="19.5" thickBot="1" x14ac:dyDescent="0.3">
      <c r="A33" s="3">
        <f t="shared" si="0"/>
        <v>26</v>
      </c>
      <c r="B33" s="13" t="s">
        <v>28</v>
      </c>
      <c r="C33" s="100"/>
      <c r="D33" s="101"/>
      <c r="E33" s="91"/>
      <c r="F33" s="91"/>
      <c r="G33" s="102"/>
      <c r="H33" s="93"/>
      <c r="I33" s="93"/>
      <c r="J33" s="103"/>
      <c r="K33" s="44"/>
      <c r="L33" s="91"/>
      <c r="M33" s="91"/>
      <c r="N33" s="91"/>
      <c r="O33" s="91"/>
      <c r="P33" s="91"/>
      <c r="Q33" s="92"/>
      <c r="R33" s="129"/>
      <c r="S33" s="127"/>
      <c r="T33" s="44"/>
      <c r="U33" s="28"/>
      <c r="V33" s="30"/>
    </row>
    <row r="34" spans="1:24" ht="19.5" thickBot="1" x14ac:dyDescent="0.3">
      <c r="A34" s="3">
        <f t="shared" si="0"/>
        <v>27</v>
      </c>
      <c r="B34" s="13" t="s">
        <v>30</v>
      </c>
      <c r="C34" s="100"/>
      <c r="D34" s="101"/>
      <c r="E34" s="91"/>
      <c r="F34" s="91"/>
      <c r="G34" s="102"/>
      <c r="H34" s="93"/>
      <c r="I34" s="93"/>
      <c r="J34" s="103"/>
      <c r="K34" s="44"/>
      <c r="L34" s="91"/>
      <c r="M34" s="91"/>
      <c r="N34" s="91"/>
      <c r="O34" s="91"/>
      <c r="P34" s="91"/>
      <c r="Q34" s="92"/>
      <c r="R34" s="129"/>
      <c r="S34" s="127"/>
      <c r="T34" s="44"/>
      <c r="U34" s="28"/>
      <c r="V34" s="30"/>
    </row>
    <row r="35" spans="1:24" ht="19.5" thickBot="1" x14ac:dyDescent="0.3">
      <c r="A35" s="3">
        <f t="shared" si="0"/>
        <v>28</v>
      </c>
      <c r="B35" s="13" t="s">
        <v>31</v>
      </c>
      <c r="C35" s="100"/>
      <c r="D35" s="101"/>
      <c r="E35" s="91"/>
      <c r="F35" s="91"/>
      <c r="G35" s="102"/>
      <c r="H35" s="93"/>
      <c r="I35" s="93"/>
      <c r="J35" s="103"/>
      <c r="K35" s="44"/>
      <c r="L35" s="91"/>
      <c r="M35" s="91"/>
      <c r="N35" s="91"/>
      <c r="O35" s="91"/>
      <c r="P35" s="91"/>
      <c r="Q35" s="92"/>
      <c r="R35" s="129"/>
      <c r="S35" s="127"/>
      <c r="T35" s="44"/>
      <c r="U35" s="28"/>
      <c r="V35" s="30"/>
    </row>
    <row r="36" spans="1:24" ht="18.75" hidden="1" customHeight="1" x14ac:dyDescent="0.25">
      <c r="A36" s="3">
        <f t="shared" si="0"/>
        <v>29</v>
      </c>
      <c r="B36" s="13" t="s">
        <v>39</v>
      </c>
      <c r="C36" s="100"/>
      <c r="D36" s="101"/>
      <c r="E36" s="91"/>
      <c r="F36" s="91"/>
      <c r="G36" s="102"/>
      <c r="H36" s="93"/>
      <c r="I36" s="93"/>
      <c r="J36" s="103"/>
      <c r="K36" s="44"/>
      <c r="L36" s="91"/>
      <c r="M36" s="91"/>
      <c r="N36" s="91"/>
      <c r="O36" s="91"/>
      <c r="P36" s="91"/>
      <c r="Q36" s="92"/>
      <c r="R36" s="129"/>
      <c r="S36" s="127"/>
      <c r="T36" s="44"/>
      <c r="U36" s="28"/>
      <c r="V36" s="30"/>
    </row>
    <row r="37" spans="1:24" ht="18.75" customHeight="1" thickBot="1" x14ac:dyDescent="0.3">
      <c r="A37" s="3">
        <f t="shared" si="0"/>
        <v>30</v>
      </c>
      <c r="B37" s="13" t="s">
        <v>32</v>
      </c>
      <c r="C37" s="100"/>
      <c r="D37" s="101"/>
      <c r="E37" s="91"/>
      <c r="F37" s="91"/>
      <c r="G37" s="102"/>
      <c r="H37" s="93"/>
      <c r="I37" s="93"/>
      <c r="J37" s="103"/>
      <c r="K37" s="44"/>
      <c r="L37" s="91"/>
      <c r="M37" s="91"/>
      <c r="N37" s="91"/>
      <c r="O37" s="91"/>
      <c r="P37" s="91"/>
      <c r="Q37" s="92"/>
      <c r="R37" s="129"/>
      <c r="S37" s="127"/>
      <c r="T37" s="44"/>
      <c r="U37" s="28"/>
      <c r="V37" s="30"/>
    </row>
    <row r="38" spans="1:24" ht="19.5" thickBot="1" x14ac:dyDescent="0.3">
      <c r="A38" s="3">
        <f t="shared" si="0"/>
        <v>31</v>
      </c>
      <c r="B38" s="54" t="s">
        <v>33</v>
      </c>
      <c r="C38" s="104"/>
      <c r="D38" s="105"/>
      <c r="E38" s="106"/>
      <c r="F38" s="106"/>
      <c r="G38" s="107"/>
      <c r="H38" s="108"/>
      <c r="I38" s="116"/>
      <c r="J38" s="166"/>
      <c r="K38" s="64"/>
      <c r="L38" s="94"/>
      <c r="M38" s="94"/>
      <c r="N38" s="94"/>
      <c r="O38" s="94"/>
      <c r="P38" s="94"/>
      <c r="Q38" s="95"/>
      <c r="R38" s="174"/>
      <c r="S38" s="177"/>
      <c r="T38" s="64"/>
      <c r="U38" s="67"/>
      <c r="V38" s="66"/>
    </row>
    <row r="39" spans="1:24" ht="19.5" thickBot="1" x14ac:dyDescent="0.3">
      <c r="A39" s="3">
        <f t="shared" si="0"/>
        <v>32</v>
      </c>
      <c r="B39" s="10" t="s">
        <v>34</v>
      </c>
      <c r="C39" s="100"/>
      <c r="D39" s="101"/>
      <c r="E39" s="91"/>
      <c r="F39" s="91"/>
      <c r="G39" s="102"/>
      <c r="H39" s="93"/>
      <c r="I39" s="165"/>
      <c r="J39" s="167"/>
      <c r="K39" s="44"/>
      <c r="L39" s="91"/>
      <c r="M39" s="91"/>
      <c r="N39" s="91"/>
      <c r="O39" s="91"/>
      <c r="P39" s="91"/>
      <c r="Q39" s="92"/>
      <c r="R39" s="175"/>
      <c r="S39" s="178"/>
      <c r="T39" s="44"/>
      <c r="U39" s="28"/>
      <c r="V39" s="30"/>
    </row>
    <row r="40" spans="1:24" ht="19.5" thickBot="1" x14ac:dyDescent="0.3">
      <c r="A40" s="3">
        <f t="shared" si="0"/>
        <v>33</v>
      </c>
      <c r="B40" s="117" t="s">
        <v>76</v>
      </c>
      <c r="C40" s="118"/>
      <c r="D40" s="119"/>
      <c r="E40" s="120"/>
      <c r="F40" s="120"/>
      <c r="G40" s="121"/>
      <c r="H40" s="116"/>
      <c r="I40" s="93"/>
      <c r="J40" s="103"/>
      <c r="K40" s="44"/>
      <c r="L40" s="91"/>
      <c r="M40" s="91"/>
      <c r="N40" s="91"/>
      <c r="O40" s="91"/>
      <c r="P40" s="91"/>
      <c r="Q40" s="92"/>
      <c r="R40" s="129"/>
      <c r="S40" s="127"/>
      <c r="T40" s="44"/>
      <c r="U40" s="28"/>
      <c r="V40" s="30"/>
    </row>
    <row r="41" spans="1:24" ht="19.5" thickBot="1" x14ac:dyDescent="0.3">
      <c r="A41" s="3">
        <f t="shared" si="0"/>
        <v>34</v>
      </c>
      <c r="B41" s="54" t="s">
        <v>35</v>
      </c>
      <c r="C41" s="104"/>
      <c r="D41" s="105"/>
      <c r="E41" s="106"/>
      <c r="F41" s="106"/>
      <c r="G41" s="107"/>
      <c r="H41" s="108"/>
      <c r="I41" s="116"/>
      <c r="J41" s="166"/>
      <c r="K41" s="64"/>
      <c r="L41" s="91"/>
      <c r="M41" s="91"/>
      <c r="N41" s="91"/>
      <c r="O41" s="91"/>
      <c r="P41" s="91"/>
      <c r="Q41" s="92"/>
      <c r="R41" s="169"/>
      <c r="S41" s="177"/>
      <c r="T41" s="64"/>
      <c r="U41" s="67"/>
      <c r="V41" s="66"/>
    </row>
    <row r="42" spans="1:24" ht="19.5" thickBot="1" x14ac:dyDescent="0.3">
      <c r="A42" s="3">
        <f t="shared" si="0"/>
        <v>35</v>
      </c>
      <c r="B42" s="59" t="s">
        <v>36</v>
      </c>
      <c r="C42" s="109"/>
      <c r="D42" s="110"/>
      <c r="E42" s="96"/>
      <c r="F42" s="96"/>
      <c r="G42" s="111"/>
      <c r="H42" s="112"/>
      <c r="I42" s="165"/>
      <c r="J42" s="181"/>
      <c r="K42" s="69"/>
      <c r="L42" s="96"/>
      <c r="M42" s="96"/>
      <c r="N42" s="96"/>
      <c r="O42" s="96"/>
      <c r="P42" s="96"/>
      <c r="Q42" s="97"/>
      <c r="R42" s="168"/>
      <c r="S42" s="180"/>
      <c r="T42" s="69"/>
      <c r="U42" s="60"/>
      <c r="V42" s="63"/>
    </row>
    <row r="43" spans="1:24" ht="18.75" hidden="1" customHeight="1" x14ac:dyDescent="0.3">
      <c r="A43" s="3">
        <f t="shared" si="0"/>
        <v>36</v>
      </c>
      <c r="B43" s="10" t="s">
        <v>43</v>
      </c>
      <c r="C43" s="100"/>
      <c r="D43" s="101"/>
      <c r="E43" s="91"/>
      <c r="F43" s="91"/>
      <c r="G43" s="102"/>
      <c r="H43" s="93"/>
      <c r="I43" s="116"/>
      <c r="J43" s="103"/>
      <c r="K43" s="44"/>
      <c r="L43" s="91"/>
      <c r="M43" s="91"/>
      <c r="N43" s="91"/>
      <c r="O43" s="91"/>
      <c r="P43" s="91"/>
      <c r="Q43" s="92"/>
      <c r="R43" s="174"/>
      <c r="S43" s="179"/>
      <c r="T43" s="44"/>
      <c r="U43" s="28"/>
      <c r="V43" s="30"/>
    </row>
    <row r="44" spans="1:24" ht="19.5" thickBot="1" x14ac:dyDescent="0.3">
      <c r="A44" s="3">
        <f t="shared" si="0"/>
        <v>37</v>
      </c>
      <c r="B44" s="54" t="s">
        <v>37</v>
      </c>
      <c r="C44" s="104"/>
      <c r="D44" s="105"/>
      <c r="E44" s="106"/>
      <c r="F44" s="106"/>
      <c r="G44" s="107"/>
      <c r="H44" s="108"/>
      <c r="I44" s="165"/>
      <c r="J44" s="103"/>
      <c r="K44" s="64"/>
      <c r="L44" s="94"/>
      <c r="M44" s="94"/>
      <c r="N44" s="94"/>
      <c r="O44" s="94"/>
      <c r="P44" s="94"/>
      <c r="Q44" s="95"/>
      <c r="R44" s="175"/>
      <c r="S44" s="180"/>
      <c r="T44" s="64"/>
      <c r="U44" s="67"/>
      <c r="V44" s="66"/>
      <c r="X44" s="50"/>
    </row>
    <row r="45" spans="1:24" ht="18.75" hidden="1" customHeight="1" x14ac:dyDescent="0.3">
      <c r="A45" s="3">
        <f t="shared" si="0"/>
        <v>38</v>
      </c>
      <c r="B45" s="10" t="s">
        <v>45</v>
      </c>
      <c r="C45" s="100"/>
      <c r="D45" s="101"/>
      <c r="E45" s="91"/>
      <c r="F45" s="91"/>
      <c r="G45" s="102"/>
      <c r="H45" s="93"/>
      <c r="I45" s="116"/>
      <c r="J45" s="166"/>
      <c r="K45" s="44"/>
      <c r="L45" s="91"/>
      <c r="M45" s="91"/>
      <c r="N45" s="91"/>
      <c r="O45" s="91"/>
      <c r="P45" s="91"/>
      <c r="Q45" s="92"/>
      <c r="R45" s="174"/>
      <c r="S45" s="179"/>
      <c r="T45" s="44"/>
      <c r="U45" s="28"/>
      <c r="V45" s="30"/>
    </row>
    <row r="46" spans="1:24" ht="19.5" thickBot="1" x14ac:dyDescent="0.3">
      <c r="A46" s="3">
        <f t="shared" si="0"/>
        <v>39</v>
      </c>
      <c r="B46" s="13" t="s">
        <v>38</v>
      </c>
      <c r="C46" s="100"/>
      <c r="D46" s="101"/>
      <c r="E46" s="91"/>
      <c r="F46" s="91"/>
      <c r="G46" s="102"/>
      <c r="H46" s="93"/>
      <c r="I46" s="165"/>
      <c r="J46" s="167"/>
      <c r="K46" s="44"/>
      <c r="L46" s="91"/>
      <c r="M46" s="91"/>
      <c r="N46" s="91"/>
      <c r="O46" s="91"/>
      <c r="P46" s="91"/>
      <c r="Q46" s="92"/>
      <c r="R46" s="175"/>
      <c r="S46" s="178"/>
      <c r="T46" s="44"/>
      <c r="U46" s="28"/>
      <c r="V46" s="30"/>
    </row>
    <row r="47" spans="1:24" ht="19.5" thickBot="1" x14ac:dyDescent="0.3">
      <c r="A47" s="3">
        <f t="shared" si="0"/>
        <v>40</v>
      </c>
      <c r="B47" s="13" t="s">
        <v>71</v>
      </c>
      <c r="C47" s="100"/>
      <c r="D47" s="101"/>
      <c r="E47" s="91"/>
      <c r="F47" s="91"/>
      <c r="G47" s="102"/>
      <c r="H47" s="93"/>
      <c r="I47" s="93"/>
      <c r="J47" s="103"/>
      <c r="K47" s="44"/>
      <c r="L47" s="91"/>
      <c r="M47" s="91"/>
      <c r="N47" s="91"/>
      <c r="O47" s="91"/>
      <c r="P47" s="91"/>
      <c r="Q47" s="92"/>
      <c r="R47" s="129"/>
      <c r="S47" s="127"/>
      <c r="T47" s="44"/>
      <c r="U47" s="28"/>
      <c r="V47" s="30"/>
    </row>
    <row r="48" spans="1:24" ht="19.5" thickBot="1" x14ac:dyDescent="0.3">
      <c r="A48" s="3">
        <f t="shared" si="0"/>
        <v>41</v>
      </c>
      <c r="B48" s="13" t="s">
        <v>39</v>
      </c>
      <c r="C48" s="100"/>
      <c r="D48" s="101"/>
      <c r="E48" s="91"/>
      <c r="F48" s="91"/>
      <c r="G48" s="102"/>
      <c r="H48" s="93"/>
      <c r="I48" s="93"/>
      <c r="J48" s="103"/>
      <c r="K48" s="44"/>
      <c r="L48" s="91"/>
      <c r="M48" s="91"/>
      <c r="N48" s="91"/>
      <c r="O48" s="91"/>
      <c r="P48" s="91"/>
      <c r="Q48" s="92"/>
      <c r="R48" s="129"/>
      <c r="S48" s="127"/>
      <c r="T48" s="44"/>
      <c r="U48" s="28"/>
      <c r="V48" s="30"/>
    </row>
    <row r="49" spans="1:22" ht="19.5" thickBot="1" x14ac:dyDescent="0.3">
      <c r="A49" s="3">
        <f t="shared" si="0"/>
        <v>42</v>
      </c>
      <c r="B49" s="13" t="s">
        <v>72</v>
      </c>
      <c r="C49" s="100"/>
      <c r="D49" s="101"/>
      <c r="E49" s="91"/>
      <c r="F49" s="91"/>
      <c r="G49" s="102"/>
      <c r="H49" s="93"/>
      <c r="I49" s="93"/>
      <c r="J49" s="103"/>
      <c r="K49" s="44"/>
      <c r="L49" s="91"/>
      <c r="M49" s="91"/>
      <c r="N49" s="91"/>
      <c r="O49" s="91"/>
      <c r="P49" s="91"/>
      <c r="Q49" s="92"/>
      <c r="R49" s="129"/>
      <c r="S49" s="127"/>
      <c r="T49" s="44"/>
      <c r="U49" s="28"/>
      <c r="V49" s="30"/>
    </row>
    <row r="50" spans="1:22" ht="19.5" thickBot="1" x14ac:dyDescent="0.3">
      <c r="A50" s="3">
        <f t="shared" si="0"/>
        <v>43</v>
      </c>
      <c r="B50" s="13" t="s">
        <v>40</v>
      </c>
      <c r="C50" s="100"/>
      <c r="D50" s="101"/>
      <c r="E50" s="91"/>
      <c r="F50" s="91"/>
      <c r="G50" s="102"/>
      <c r="H50" s="93"/>
      <c r="I50" s="93"/>
      <c r="J50" s="103"/>
      <c r="K50" s="44"/>
      <c r="L50" s="91"/>
      <c r="M50" s="91"/>
      <c r="N50" s="91"/>
      <c r="O50" s="91"/>
      <c r="P50" s="91"/>
      <c r="Q50" s="92"/>
      <c r="R50" s="129"/>
      <c r="S50" s="127"/>
      <c r="T50" s="44"/>
      <c r="U50" s="28"/>
      <c r="V50" s="30"/>
    </row>
    <row r="51" spans="1:22" ht="19.5" thickBot="1" x14ac:dyDescent="0.3">
      <c r="A51" s="3">
        <f t="shared" si="0"/>
        <v>44</v>
      </c>
      <c r="B51" s="13" t="s">
        <v>73</v>
      </c>
      <c r="C51" s="100"/>
      <c r="D51" s="101"/>
      <c r="E51" s="91"/>
      <c r="F51" s="91"/>
      <c r="G51" s="102"/>
      <c r="H51" s="93"/>
      <c r="I51" s="93"/>
      <c r="J51" s="103"/>
      <c r="K51" s="44"/>
      <c r="L51" s="91"/>
      <c r="M51" s="91"/>
      <c r="N51" s="91"/>
      <c r="O51" s="91"/>
      <c r="P51" s="91"/>
      <c r="Q51" s="92"/>
      <c r="R51" s="129"/>
      <c r="S51" s="127"/>
      <c r="T51" s="44"/>
      <c r="U51" s="28"/>
      <c r="V51" s="30"/>
    </row>
    <row r="52" spans="1:22" ht="19.5" thickBot="1" x14ac:dyDescent="0.3">
      <c r="A52" s="3">
        <f t="shared" si="0"/>
        <v>45</v>
      </c>
      <c r="B52" s="13" t="s">
        <v>41</v>
      </c>
      <c r="C52" s="100"/>
      <c r="D52" s="101"/>
      <c r="E52" s="91"/>
      <c r="F52" s="91"/>
      <c r="G52" s="102"/>
      <c r="H52" s="93"/>
      <c r="I52" s="93"/>
      <c r="J52" s="103"/>
      <c r="K52" s="44"/>
      <c r="L52" s="91"/>
      <c r="M52" s="91"/>
      <c r="N52" s="91"/>
      <c r="O52" s="91"/>
      <c r="P52" s="91"/>
      <c r="Q52" s="92"/>
      <c r="R52" s="129"/>
      <c r="S52" s="127"/>
      <c r="T52" s="44"/>
      <c r="U52" s="28"/>
      <c r="V52" s="30"/>
    </row>
    <row r="53" spans="1:22" ht="19.5" thickBot="1" x14ac:dyDescent="0.3">
      <c r="A53" s="3">
        <f t="shared" si="0"/>
        <v>46</v>
      </c>
      <c r="B53" s="13" t="s">
        <v>42</v>
      </c>
      <c r="C53" s="100"/>
      <c r="D53" s="101"/>
      <c r="E53" s="91"/>
      <c r="F53" s="91"/>
      <c r="G53" s="102"/>
      <c r="H53" s="93"/>
      <c r="I53" s="93"/>
      <c r="J53" s="103"/>
      <c r="K53" s="44"/>
      <c r="L53" s="91"/>
      <c r="M53" s="91"/>
      <c r="N53" s="91"/>
      <c r="O53" s="91"/>
      <c r="P53" s="91"/>
      <c r="Q53" s="92"/>
      <c r="R53" s="129"/>
      <c r="S53" s="127"/>
      <c r="T53" s="44"/>
      <c r="U53" s="28"/>
      <c r="V53" s="30"/>
    </row>
    <row r="54" spans="1:22" ht="19.5" thickBot="1" x14ac:dyDescent="0.3">
      <c r="A54" s="3">
        <f t="shared" si="0"/>
        <v>47</v>
      </c>
      <c r="B54" s="13" t="s">
        <v>78</v>
      </c>
      <c r="C54" s="100"/>
      <c r="D54" s="101"/>
      <c r="E54" s="91"/>
      <c r="F54" s="91"/>
      <c r="G54" s="102"/>
      <c r="H54" s="93"/>
      <c r="I54" s="93"/>
      <c r="J54" s="103"/>
      <c r="K54" s="44"/>
      <c r="L54" s="91"/>
      <c r="M54" s="91"/>
      <c r="N54" s="91"/>
      <c r="O54" s="91"/>
      <c r="P54" s="91"/>
      <c r="Q54" s="92"/>
      <c r="R54" s="129"/>
      <c r="S54" s="127"/>
      <c r="T54" s="44"/>
      <c r="U54" s="28"/>
      <c r="V54" s="30"/>
    </row>
    <row r="55" spans="1:22" ht="19.5" thickBot="1" x14ac:dyDescent="0.3">
      <c r="A55" s="3">
        <f t="shared" si="0"/>
        <v>48</v>
      </c>
      <c r="B55" s="13"/>
      <c r="C55" s="100"/>
      <c r="D55" s="101"/>
      <c r="E55" s="91"/>
      <c r="F55" s="91"/>
      <c r="G55" s="102"/>
      <c r="H55" s="93"/>
      <c r="I55" s="93"/>
      <c r="J55" s="103"/>
      <c r="K55" s="44"/>
      <c r="L55" s="91"/>
      <c r="M55" s="91"/>
      <c r="N55" s="91"/>
      <c r="O55" s="91"/>
      <c r="P55" s="91"/>
      <c r="Q55" s="92"/>
      <c r="R55" s="129"/>
      <c r="S55" s="127"/>
      <c r="T55" s="44"/>
      <c r="U55" s="28"/>
      <c r="V55" s="30"/>
    </row>
    <row r="56" spans="1:22" ht="19.5" thickBot="1" x14ac:dyDescent="0.3">
      <c r="A56" s="3">
        <f t="shared" si="0"/>
        <v>49</v>
      </c>
      <c r="B56" s="13"/>
      <c r="C56" s="100"/>
      <c r="D56" s="101"/>
      <c r="E56" s="91"/>
      <c r="F56" s="91"/>
      <c r="G56" s="102"/>
      <c r="H56" s="93"/>
      <c r="I56" s="93"/>
      <c r="J56" s="103"/>
      <c r="K56" s="44"/>
      <c r="L56" s="91"/>
      <c r="M56" s="91"/>
      <c r="N56" s="91"/>
      <c r="O56" s="91"/>
      <c r="P56" s="91"/>
      <c r="Q56" s="92"/>
      <c r="R56" s="129"/>
      <c r="S56" s="127"/>
      <c r="T56" s="44"/>
      <c r="U56" s="28"/>
      <c r="V56" s="30"/>
    </row>
    <row r="57" spans="1:22" ht="19.5" thickBot="1" x14ac:dyDescent="0.3">
      <c r="A57" s="3">
        <f t="shared" si="0"/>
        <v>50</v>
      </c>
      <c r="B57" s="13"/>
      <c r="C57" s="100"/>
      <c r="D57" s="101"/>
      <c r="E57" s="91"/>
      <c r="F57" s="91"/>
      <c r="G57" s="102"/>
      <c r="H57" s="93"/>
      <c r="I57" s="93"/>
      <c r="J57" s="103"/>
      <c r="K57" s="44"/>
      <c r="L57" s="91"/>
      <c r="M57" s="91"/>
      <c r="N57" s="91"/>
      <c r="O57" s="91"/>
      <c r="P57" s="91"/>
      <c r="Q57" s="92"/>
      <c r="R57" s="129"/>
      <c r="S57" s="127"/>
      <c r="T57" s="44"/>
      <c r="U57" s="28"/>
      <c r="V57" s="30"/>
    </row>
    <row r="58" spans="1:22" ht="19.5" thickBot="1" x14ac:dyDescent="0.3">
      <c r="A58" s="3">
        <f t="shared" si="0"/>
        <v>51</v>
      </c>
      <c r="B58" s="13"/>
      <c r="C58" s="100"/>
      <c r="D58" s="101"/>
      <c r="E58" s="91"/>
      <c r="F58" s="91"/>
      <c r="G58" s="102"/>
      <c r="H58" s="93"/>
      <c r="I58" s="93"/>
      <c r="J58" s="103"/>
      <c r="K58" s="44"/>
      <c r="L58" s="91"/>
      <c r="M58" s="91"/>
      <c r="N58" s="91"/>
      <c r="O58" s="91"/>
      <c r="P58" s="91"/>
      <c r="Q58" s="92"/>
      <c r="R58" s="129"/>
      <c r="S58" s="127"/>
      <c r="T58" s="44"/>
      <c r="U58" s="28"/>
      <c r="V58" s="30"/>
    </row>
    <row r="59" spans="1:22" ht="19.5" thickBot="1" x14ac:dyDescent="0.3">
      <c r="A59" s="3">
        <f t="shared" si="0"/>
        <v>52</v>
      </c>
      <c r="B59" s="13"/>
      <c r="C59" s="100"/>
      <c r="D59" s="101"/>
      <c r="E59" s="91"/>
      <c r="F59" s="91"/>
      <c r="G59" s="102"/>
      <c r="H59" s="93"/>
      <c r="I59" s="93"/>
      <c r="J59" s="103"/>
      <c r="K59" s="44"/>
      <c r="L59" s="91"/>
      <c r="M59" s="91"/>
      <c r="N59" s="91"/>
      <c r="O59" s="91"/>
      <c r="P59" s="91"/>
      <c r="Q59" s="92"/>
      <c r="R59" s="129"/>
      <c r="S59" s="127"/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1">SUM(L8:L59)</f>
        <v>0</v>
      </c>
      <c r="M60" s="98">
        <f t="shared" si="1"/>
        <v>0</v>
      </c>
      <c r="N60" s="98">
        <f t="shared" si="1"/>
        <v>0</v>
      </c>
      <c r="O60" s="98">
        <f t="shared" si="1"/>
        <v>0</v>
      </c>
      <c r="P60" s="98">
        <f t="shared" si="1"/>
        <v>0</v>
      </c>
      <c r="Q60" s="99">
        <f t="shared" si="1"/>
        <v>0</v>
      </c>
      <c r="R60" s="128">
        <f t="shared" si="1"/>
        <v>0</v>
      </c>
      <c r="S60" s="125">
        <f t="shared" si="1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50" t="s">
        <v>3</v>
      </c>
      <c r="D69" s="15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5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7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1AE78-EC19-4DA2-B788-BF5EF0C7665B}">
  <sheetPr>
    <pageSetUpPr fitToPage="1"/>
  </sheetPr>
  <dimension ref="A1:BH90"/>
  <sheetViews>
    <sheetView zoomScale="85" zoomScaleNormal="85" zoomScaleSheetLayoutView="85" zoomScalePageLayoutView="80" workbookViewId="0">
      <selection activeCell="U62" sqref="U6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6">
        <v>46069</v>
      </c>
      <c r="Q1" s="197"/>
      <c r="R1" s="197"/>
      <c r="S1" s="197"/>
      <c r="T1" s="197"/>
      <c r="U1" s="197"/>
      <c r="V1" s="197"/>
      <c r="W1" s="197"/>
      <c r="X1" s="19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12"/>
      <c r="W4" s="207"/>
      <c r="X4" s="208"/>
    </row>
    <row r="5" spans="1:60" s="3" customFormat="1" ht="57" thickBot="1" x14ac:dyDescent="0.3">
      <c r="A5" s="53"/>
      <c r="B5" s="190"/>
      <c r="C5" s="199"/>
      <c r="D5" s="209"/>
      <c r="E5" s="52" t="s">
        <v>8</v>
      </c>
      <c r="F5" s="155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>
        <v>33</v>
      </c>
      <c r="D8" s="101"/>
      <c r="E8" s="91"/>
      <c r="F8" s="91"/>
      <c r="G8" s="102"/>
      <c r="H8" s="93"/>
      <c r="I8" s="93">
        <f>C8-G8</f>
        <v>33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>
        <f>L8*24+N8*24+P8*24</f>
        <v>0</v>
      </c>
      <c r="V8" s="162">
        <f>U8/24</f>
        <v>0</v>
      </c>
      <c r="W8" s="157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>
        <v>95</v>
      </c>
      <c r="D9" s="105"/>
      <c r="E9" s="106"/>
      <c r="F9" s="106"/>
      <c r="G9" s="107"/>
      <c r="H9" s="108"/>
      <c r="I9" s="107">
        <f t="shared" ref="I9:J59" si="4">C9-G9</f>
        <v>95</v>
      </c>
      <c r="J9" s="166">
        <f t="shared" si="0"/>
        <v>0</v>
      </c>
      <c r="K9" s="64"/>
      <c r="L9" s="94"/>
      <c r="M9" s="94"/>
      <c r="N9" s="94"/>
      <c r="O9" s="94"/>
      <c r="P9" s="94"/>
      <c r="Q9" s="95"/>
      <c r="R9" s="174">
        <f t="shared" si="1"/>
        <v>0</v>
      </c>
      <c r="S9" s="171">
        <f t="shared" si="1"/>
        <v>0</v>
      </c>
      <c r="T9" s="64"/>
      <c r="U9" s="67">
        <f>L9*24+N9*24+P9*24</f>
        <v>0</v>
      </c>
      <c r="V9" s="172">
        <f>U9/24</f>
        <v>0</v>
      </c>
      <c r="W9" s="158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>
        <v>64</v>
      </c>
      <c r="D11" s="101"/>
      <c r="E11" s="91"/>
      <c r="F11" s="91"/>
      <c r="G11" s="102">
        <v>3</v>
      </c>
      <c r="H11" s="93"/>
      <c r="I11" s="93">
        <f t="shared" si="4"/>
        <v>61</v>
      </c>
      <c r="J11" s="103">
        <f t="shared" si="0"/>
        <v>0</v>
      </c>
      <c r="K11" s="44"/>
      <c r="L11" s="91"/>
      <c r="M11" s="91"/>
      <c r="N11" s="91"/>
      <c r="O11" s="91"/>
      <c r="P11" s="91">
        <v>3</v>
      </c>
      <c r="Q11" s="92"/>
      <c r="R11" s="129">
        <f t="shared" si="1"/>
        <v>3</v>
      </c>
      <c r="S11" s="127">
        <f t="shared" si="1"/>
        <v>0</v>
      </c>
      <c r="T11" s="44"/>
      <c r="U11" s="28">
        <f>L11*24+N11*24+P11*24</f>
        <v>72</v>
      </c>
      <c r="V11" s="162">
        <f>U11/24</f>
        <v>3</v>
      </c>
      <c r="W11" s="157">
        <f t="shared" si="2"/>
        <v>1464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>
        <v>3552</v>
      </c>
      <c r="D13" s="105">
        <v>3</v>
      </c>
      <c r="E13" s="106"/>
      <c r="F13" s="106"/>
      <c r="G13" s="107">
        <v>38</v>
      </c>
      <c r="H13" s="108">
        <v>13</v>
      </c>
      <c r="I13" s="116">
        <f t="shared" si="4"/>
        <v>3514</v>
      </c>
      <c r="J13" s="166">
        <f>D13-H13</f>
        <v>-10</v>
      </c>
      <c r="K13" s="68"/>
      <c r="L13" s="94">
        <v>13</v>
      </c>
      <c r="M13" s="94">
        <v>3</v>
      </c>
      <c r="N13" s="94">
        <v>15</v>
      </c>
      <c r="O13" s="94">
        <v>6</v>
      </c>
      <c r="P13" s="94">
        <v>10</v>
      </c>
      <c r="Q13" s="95">
        <v>4</v>
      </c>
      <c r="R13" s="169">
        <f>L13+N13+P13</f>
        <v>38</v>
      </c>
      <c r="S13" s="171">
        <f>M13+O13+Q13</f>
        <v>13</v>
      </c>
      <c r="T13" s="68"/>
      <c r="U13" s="67">
        <f>L13*24+N13*24+P13*24</f>
        <v>912</v>
      </c>
      <c r="V13" s="56">
        <f t="shared" si="6"/>
        <v>38</v>
      </c>
      <c r="W13" s="158">
        <f>I13*24+J13</f>
        <v>84326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165">
        <f t="shared" si="4"/>
        <v>5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>
        <v>89</v>
      </c>
      <c r="D26" s="101">
        <v>23</v>
      </c>
      <c r="E26" s="91"/>
      <c r="F26" s="91"/>
      <c r="G26" s="102"/>
      <c r="H26" s="93"/>
      <c r="I26" s="93">
        <f t="shared" si="4"/>
        <v>89</v>
      </c>
      <c r="J26" s="103">
        <f t="shared" si="4"/>
        <v>23</v>
      </c>
      <c r="K26" s="44"/>
      <c r="L26" s="91"/>
      <c r="M26" s="91"/>
      <c r="N26" s="91"/>
      <c r="O26" s="91"/>
      <c r="P26" s="91"/>
      <c r="Q26" s="92"/>
      <c r="R26" s="129">
        <f t="shared" si="7"/>
        <v>0</v>
      </c>
      <c r="S26" s="127">
        <f t="shared" si="7"/>
        <v>0</v>
      </c>
      <c r="T26" s="44"/>
      <c r="U26" s="28">
        <f t="shared" si="5"/>
        <v>0</v>
      </c>
      <c r="V26" s="162">
        <f t="shared" si="6"/>
        <v>0</v>
      </c>
      <c r="W26" s="157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>
        <v>50</v>
      </c>
      <c r="D29" s="101"/>
      <c r="E29" s="91"/>
      <c r="F29" s="91"/>
      <c r="G29" s="102">
        <v>13</v>
      </c>
      <c r="H29" s="93"/>
      <c r="I29" s="93">
        <f t="shared" si="4"/>
        <v>37</v>
      </c>
      <c r="J29" s="103">
        <f t="shared" si="4"/>
        <v>0</v>
      </c>
      <c r="K29" s="45"/>
      <c r="L29" s="91">
        <v>9</v>
      </c>
      <c r="M29" s="91"/>
      <c r="N29" s="91">
        <v>3</v>
      </c>
      <c r="O29" s="91"/>
      <c r="P29" s="91">
        <v>1</v>
      </c>
      <c r="Q29" s="92"/>
      <c r="R29" s="129">
        <f t="shared" si="7"/>
        <v>13</v>
      </c>
      <c r="S29" s="127">
        <f t="shared" si="7"/>
        <v>0</v>
      </c>
      <c r="T29" s="45"/>
      <c r="U29" s="28">
        <f t="shared" si="5"/>
        <v>312</v>
      </c>
      <c r="V29" s="162">
        <f t="shared" si="6"/>
        <v>13</v>
      </c>
      <c r="W29" s="157">
        <f t="shared" si="8"/>
        <v>888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>
        <v>109</v>
      </c>
      <c r="D35" s="101">
        <v>17</v>
      </c>
      <c r="E35" s="91"/>
      <c r="F35" s="91"/>
      <c r="G35" s="102">
        <v>5</v>
      </c>
      <c r="H35" s="93"/>
      <c r="I35" s="93">
        <f t="shared" si="4"/>
        <v>104</v>
      </c>
      <c r="J35" s="103">
        <f t="shared" si="4"/>
        <v>17</v>
      </c>
      <c r="K35" s="44"/>
      <c r="L35" s="91">
        <v>5</v>
      </c>
      <c r="M35" s="91"/>
      <c r="N35" s="91"/>
      <c r="O35" s="91"/>
      <c r="P35" s="91"/>
      <c r="Q35" s="92"/>
      <c r="R35" s="129">
        <f t="shared" si="7"/>
        <v>5</v>
      </c>
      <c r="S35" s="127">
        <f t="shared" si="7"/>
        <v>0</v>
      </c>
      <c r="T35" s="44"/>
      <c r="U35" s="28">
        <f t="shared" si="5"/>
        <v>120</v>
      </c>
      <c r="V35" s="162">
        <f t="shared" si="6"/>
        <v>5</v>
      </c>
      <c r="W35" s="157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>
        <v>4535</v>
      </c>
      <c r="D38" s="105">
        <v>2</v>
      </c>
      <c r="E38" s="106"/>
      <c r="F38" s="106"/>
      <c r="G38" s="107">
        <v>163</v>
      </c>
      <c r="H38" s="108"/>
      <c r="I38" s="116">
        <f t="shared" si="4"/>
        <v>4372</v>
      </c>
      <c r="J38" s="166">
        <f t="shared" si="4"/>
        <v>2</v>
      </c>
      <c r="K38" s="64"/>
      <c r="L38" s="94">
        <v>118</v>
      </c>
      <c r="M38" s="94"/>
      <c r="N38" s="94"/>
      <c r="O38" s="94"/>
      <c r="P38" s="94">
        <v>45</v>
      </c>
      <c r="Q38" s="95"/>
      <c r="R38" s="169">
        <f t="shared" si="7"/>
        <v>163</v>
      </c>
      <c r="S38" s="171">
        <f t="shared" si="7"/>
        <v>0</v>
      </c>
      <c r="T38" s="64"/>
      <c r="U38" s="67">
        <f>L38*6+N38*6+P38*6</f>
        <v>978</v>
      </c>
      <c r="V38" s="172">
        <f>U38/6</f>
        <v>163</v>
      </c>
      <c r="W38" s="158">
        <f>I38*6+J38</f>
        <v>26234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165">
        <f t="shared" si="4"/>
        <v>4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1" si="9">L39*24+N39*24+P39*24</f>
        <v>0</v>
      </c>
      <c r="V39" s="173">
        <f t="shared" si="6"/>
        <v>0</v>
      </c>
      <c r="W39" s="157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>
        <v>698</v>
      </c>
      <c r="D41" s="105"/>
      <c r="E41" s="106"/>
      <c r="F41" s="106"/>
      <c r="G41" s="107"/>
      <c r="H41" s="108"/>
      <c r="I41" s="116">
        <f t="shared" si="4"/>
        <v>698</v>
      </c>
      <c r="J41" s="166">
        <f t="shared" si="4"/>
        <v>0</v>
      </c>
      <c r="K41" s="64"/>
      <c r="L41" s="91"/>
      <c r="M41" s="91"/>
      <c r="N41" s="91"/>
      <c r="O41" s="91"/>
      <c r="P41" s="91"/>
      <c r="Q41" s="92"/>
      <c r="R41" s="174">
        <f t="shared" si="7"/>
        <v>0</v>
      </c>
      <c r="S41" s="171">
        <f t="shared" si="7"/>
        <v>0</v>
      </c>
      <c r="T41" s="64"/>
      <c r="U41" s="55">
        <f t="shared" si="9"/>
        <v>0</v>
      </c>
      <c r="V41" s="56">
        <f t="shared" si="6"/>
        <v>0</v>
      </c>
      <c r="W41" s="56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>
        <v>1678</v>
      </c>
      <c r="D42" s="110"/>
      <c r="E42" s="96"/>
      <c r="F42" s="96"/>
      <c r="G42" s="111">
        <v>2</v>
      </c>
      <c r="H42" s="112"/>
      <c r="I42" s="111">
        <f t="shared" si="4"/>
        <v>1676</v>
      </c>
      <c r="J42" s="167">
        <f t="shared" si="4"/>
        <v>0</v>
      </c>
      <c r="K42" s="69"/>
      <c r="L42" s="96">
        <v>2</v>
      </c>
      <c r="M42" s="96"/>
      <c r="N42" s="96"/>
      <c r="O42" s="96"/>
      <c r="P42" s="96"/>
      <c r="Q42" s="97"/>
      <c r="R42" s="175">
        <f t="shared" si="7"/>
        <v>2</v>
      </c>
      <c r="S42" s="180">
        <f t="shared" si="7"/>
        <v>0</v>
      </c>
      <c r="T42" s="69"/>
      <c r="U42" s="60">
        <f>L42*12+N42*12+P42*12</f>
        <v>24</v>
      </c>
      <c r="V42" s="61">
        <f>U42/12</f>
        <v>2</v>
      </c>
      <c r="W42" s="160">
        <f>I42*12+J42</f>
        <v>20112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>
        <f>28565</f>
        <v>28565</v>
      </c>
      <c r="D44" s="105">
        <v>4</v>
      </c>
      <c r="E44" s="106">
        <v>3672</v>
      </c>
      <c r="F44" s="106"/>
      <c r="G44" s="107">
        <v>1029</v>
      </c>
      <c r="H44" s="108"/>
      <c r="I44" s="93">
        <f>C44+E44-G44</f>
        <v>31208</v>
      </c>
      <c r="J44" s="181">
        <f t="shared" si="4"/>
        <v>4</v>
      </c>
      <c r="K44" s="64"/>
      <c r="L44" s="94">
        <v>287</v>
      </c>
      <c r="M44" s="94"/>
      <c r="N44" s="94">
        <v>439</v>
      </c>
      <c r="O44" s="94"/>
      <c r="P44" s="94">
        <v>303</v>
      </c>
      <c r="Q44" s="95"/>
      <c r="R44" s="176">
        <f t="shared" si="7"/>
        <v>1029</v>
      </c>
      <c r="S44" s="180">
        <f t="shared" si="7"/>
        <v>0</v>
      </c>
      <c r="T44" s="64"/>
      <c r="U44" s="67">
        <f>L44*6+N44*6+P44*6</f>
        <v>6174</v>
      </c>
      <c r="V44" s="162">
        <f>U44/6</f>
        <v>1029</v>
      </c>
      <c r="W44" s="158">
        <f>I44*6+J44</f>
        <v>187252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1">L46*24+N46*24+P46*24</f>
        <v>0</v>
      </c>
      <c r="V46" s="173">
        <f t="shared" ref="V46:V47" si="12">U46/24</f>
        <v>0</v>
      </c>
      <c r="W46" s="157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1"/>
        <v>0</v>
      </c>
      <c r="V47" s="162">
        <f t="shared" si="12"/>
        <v>0</v>
      </c>
      <c r="W47" s="157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4"/>
        <v>5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4">L49*24+N49*24+P49*24</f>
        <v>0</v>
      </c>
      <c r="V49" s="162">
        <f t="shared" ref="V49:V51" si="15">U49/24</f>
        <v>0</v>
      </c>
      <c r="W49" s="157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4"/>
        <v>0</v>
      </c>
      <c r="V50" s="162">
        <f t="shared" si="15"/>
        <v>0</v>
      </c>
      <c r="W50" s="157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4"/>
        <v>0</v>
      </c>
      <c r="V51" s="162">
        <f t="shared" si="15"/>
        <v>0</v>
      </c>
      <c r="W51" s="157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7">L53*24+N53*24+P53*24</f>
        <v>0</v>
      </c>
      <c r="V53" s="162">
        <f t="shared" ref="V53:V54" si="18">U53/24</f>
        <v>0</v>
      </c>
      <c r="W53" s="157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7"/>
        <v>0</v>
      </c>
      <c r="V54" s="162">
        <f t="shared" si="18"/>
        <v>0</v>
      </c>
      <c r="W54" s="157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42018</v>
      </c>
      <c r="D60" s="71">
        <f>SUM(D8:D59)</f>
        <v>54</v>
      </c>
      <c r="E60" s="47">
        <f>SUM(E8:E59)</f>
        <v>3672</v>
      </c>
      <c r="F60" s="47"/>
      <c r="G60" s="31">
        <f>SUM(G8:G59)</f>
        <v>1253</v>
      </c>
      <c r="H60" s="73">
        <f>SUM(H8:H59)</f>
        <v>13</v>
      </c>
      <c r="I60" s="73">
        <f>SUM(I8:I59)</f>
        <v>44437</v>
      </c>
      <c r="J60" s="48">
        <f>SUM(J8:J59)</f>
        <v>41</v>
      </c>
      <c r="K60" s="49"/>
      <c r="L60" s="98">
        <f t="shared" ref="L60:S60" si="20">SUM(L8:L59)</f>
        <v>434</v>
      </c>
      <c r="M60" s="98">
        <f t="shared" si="20"/>
        <v>3</v>
      </c>
      <c r="N60" s="98">
        <f t="shared" si="20"/>
        <v>457</v>
      </c>
      <c r="O60" s="98">
        <f t="shared" si="20"/>
        <v>6</v>
      </c>
      <c r="P60" s="98">
        <f t="shared" si="20"/>
        <v>362</v>
      </c>
      <c r="Q60" s="99">
        <f t="shared" si="20"/>
        <v>4</v>
      </c>
      <c r="R60" s="128">
        <f t="shared" si="20"/>
        <v>1253</v>
      </c>
      <c r="S60" s="125">
        <f t="shared" si="20"/>
        <v>13</v>
      </c>
      <c r="T60" s="49"/>
      <c r="U60" s="46">
        <f>SUM(U8:U59)</f>
        <v>8592</v>
      </c>
      <c r="V60" s="184">
        <f>SUM(V8:V59)</f>
        <v>1253</v>
      </c>
      <c r="W60" s="161">
        <f>SUM(W8:W59)</f>
        <v>362795</v>
      </c>
      <c r="X60" s="48"/>
    </row>
    <row r="61" spans="1:24" ht="19.5" thickBot="1" x14ac:dyDescent="0.3">
      <c r="V61" s="185"/>
    </row>
    <row r="62" spans="1:24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53" t="s">
        <v>3</v>
      </c>
      <c r="D69" s="15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5B6C-C4ED-4E2B-8620-2CD5D9C6EBBF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6">
        <v>46070</v>
      </c>
      <c r="Q1" s="197"/>
      <c r="R1" s="197"/>
      <c r="S1" s="197"/>
      <c r="T1" s="197"/>
      <c r="U1" s="197"/>
      <c r="V1" s="197"/>
      <c r="W1" s="197"/>
      <c r="X1" s="19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0" t="s">
        <v>74</v>
      </c>
      <c r="C4" s="199" t="s">
        <v>3</v>
      </c>
      <c r="D4" s="209" t="s">
        <v>75</v>
      </c>
      <c r="E4" s="200" t="s">
        <v>4</v>
      </c>
      <c r="F4" s="201"/>
      <c r="G4" s="202" t="s">
        <v>5</v>
      </c>
      <c r="H4" s="210" t="s">
        <v>75</v>
      </c>
      <c r="I4" s="204" t="s">
        <v>6</v>
      </c>
      <c r="J4" s="210" t="s">
        <v>75</v>
      </c>
      <c r="L4" s="206" t="s">
        <v>7</v>
      </c>
      <c r="M4" s="207"/>
      <c r="N4" s="207"/>
      <c r="O4" s="207"/>
      <c r="P4" s="207"/>
      <c r="Q4" s="207"/>
      <c r="R4" s="207"/>
      <c r="S4" s="207"/>
      <c r="T4" s="207"/>
      <c r="U4" s="207"/>
      <c r="V4" s="212"/>
      <c r="W4" s="207"/>
      <c r="X4" s="208"/>
    </row>
    <row r="5" spans="1:60" s="3" customFormat="1" ht="57" thickBot="1" x14ac:dyDescent="0.3">
      <c r="A5" s="53"/>
      <c r="B5" s="190"/>
      <c r="C5" s="199"/>
      <c r="D5" s="209"/>
      <c r="E5" s="52" t="s">
        <v>8</v>
      </c>
      <c r="F5" s="189" t="s">
        <v>9</v>
      </c>
      <c r="G5" s="203"/>
      <c r="H5" s="211"/>
      <c r="I5" s="205"/>
      <c r="J5" s="21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>
        <f>L8*24+N8*24+P8*24</f>
        <v>0</v>
      </c>
      <c r="V8" s="162">
        <f>U8/24</f>
        <v>0</v>
      </c>
      <c r="W8" s="157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/>
      <c r="D9" s="105"/>
      <c r="E9" s="106"/>
      <c r="F9" s="106"/>
      <c r="G9" s="107"/>
      <c r="H9" s="108"/>
      <c r="I9" s="107">
        <f t="shared" ref="I9:J59" si="4">C9-G9</f>
        <v>0</v>
      </c>
      <c r="J9" s="166">
        <f t="shared" si="0"/>
        <v>0</v>
      </c>
      <c r="K9" s="64"/>
      <c r="L9" s="94"/>
      <c r="M9" s="94"/>
      <c r="N9" s="94"/>
      <c r="O9" s="94"/>
      <c r="P9" s="94"/>
      <c r="Q9" s="95"/>
      <c r="R9" s="174">
        <f t="shared" si="1"/>
        <v>0</v>
      </c>
      <c r="S9" s="171">
        <f t="shared" si="1"/>
        <v>0</v>
      </c>
      <c r="T9" s="64"/>
      <c r="U9" s="67">
        <f>L9*24+N9*24+P9*24</f>
        <v>0</v>
      </c>
      <c r="V9" s="172">
        <f>U9/24</f>
        <v>0</v>
      </c>
      <c r="W9" s="158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4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>
        <f>L11*24+N11*24+P11*24</f>
        <v>0</v>
      </c>
      <c r="V11" s="162">
        <f>U11/24</f>
        <v>0</v>
      </c>
      <c r="W11" s="157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4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/>
      <c r="D13" s="105"/>
      <c r="E13" s="106"/>
      <c r="F13" s="106"/>
      <c r="G13" s="107"/>
      <c r="H13" s="108"/>
      <c r="I13" s="116">
        <f t="shared" si="4"/>
        <v>0</v>
      </c>
      <c r="J13" s="166">
        <f>D13-H13</f>
        <v>0</v>
      </c>
      <c r="K13" s="68"/>
      <c r="L13" s="94"/>
      <c r="M13" s="94"/>
      <c r="N13" s="94"/>
      <c r="O13" s="94"/>
      <c r="P13" s="94"/>
      <c r="Q13" s="95"/>
      <c r="R13" s="169">
        <f>L13+N13+P13</f>
        <v>0</v>
      </c>
      <c r="S13" s="171">
        <f>M13+O13+Q13</f>
        <v>0</v>
      </c>
      <c r="T13" s="68"/>
      <c r="U13" s="67">
        <f>L13*24+N13*24+P13*24</f>
        <v>0</v>
      </c>
      <c r="V13" s="56">
        <f t="shared" si="6"/>
        <v>0</v>
      </c>
      <c r="W13" s="158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/>
      <c r="D14" s="101"/>
      <c r="E14" s="91"/>
      <c r="F14" s="91"/>
      <c r="G14" s="102"/>
      <c r="H14" s="93"/>
      <c r="I14" s="165">
        <f t="shared" si="4"/>
        <v>0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4"/>
        <v>0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4"/>
        <v>0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4"/>
        <v>0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4"/>
        <v>0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4"/>
        <v>0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4"/>
        <v>0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4"/>
        <v>0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4"/>
        <v>0</v>
      </c>
      <c r="J26" s="103">
        <f t="shared" si="4"/>
        <v>0</v>
      </c>
      <c r="K26" s="44"/>
      <c r="L26" s="91"/>
      <c r="M26" s="91"/>
      <c r="N26" s="91"/>
      <c r="O26" s="91"/>
      <c r="P26" s="91"/>
      <c r="Q26" s="92"/>
      <c r="R26" s="129">
        <f t="shared" si="7"/>
        <v>0</v>
      </c>
      <c r="S26" s="127">
        <f t="shared" si="7"/>
        <v>0</v>
      </c>
      <c r="T26" s="44"/>
      <c r="U26" s="28">
        <f t="shared" si="5"/>
        <v>0</v>
      </c>
      <c r="V26" s="162">
        <f t="shared" si="6"/>
        <v>0</v>
      </c>
      <c r="W26" s="157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4"/>
        <v>0</v>
      </c>
      <c r="J29" s="103">
        <f t="shared" si="4"/>
        <v>0</v>
      </c>
      <c r="K29" s="45"/>
      <c r="L29" s="91"/>
      <c r="M29" s="91"/>
      <c r="N29" s="91"/>
      <c r="O29" s="91"/>
      <c r="P29" s="91"/>
      <c r="Q29" s="92"/>
      <c r="R29" s="129">
        <f t="shared" si="7"/>
        <v>0</v>
      </c>
      <c r="S29" s="127">
        <f t="shared" si="7"/>
        <v>0</v>
      </c>
      <c r="T29" s="45"/>
      <c r="U29" s="28">
        <f t="shared" si="5"/>
        <v>0</v>
      </c>
      <c r="V29" s="162">
        <f t="shared" si="6"/>
        <v>0</v>
      </c>
      <c r="W29" s="157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4"/>
        <v>0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4"/>
        <v>0</v>
      </c>
      <c r="J35" s="103">
        <f t="shared" si="4"/>
        <v>0</v>
      </c>
      <c r="K35" s="44"/>
      <c r="L35" s="91"/>
      <c r="M35" s="91"/>
      <c r="N35" s="91"/>
      <c r="O35" s="91"/>
      <c r="P35" s="91"/>
      <c r="Q35" s="92"/>
      <c r="R35" s="129">
        <f t="shared" si="7"/>
        <v>0</v>
      </c>
      <c r="S35" s="127">
        <f t="shared" si="7"/>
        <v>0</v>
      </c>
      <c r="T35" s="44"/>
      <c r="U35" s="28">
        <f t="shared" si="5"/>
        <v>0</v>
      </c>
      <c r="V35" s="162">
        <f t="shared" si="6"/>
        <v>0</v>
      </c>
      <c r="W35" s="157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/>
      <c r="D38" s="105"/>
      <c r="E38" s="106"/>
      <c r="F38" s="106"/>
      <c r="G38" s="107"/>
      <c r="H38" s="108"/>
      <c r="I38" s="116">
        <f t="shared" si="4"/>
        <v>0</v>
      </c>
      <c r="J38" s="166">
        <f t="shared" si="4"/>
        <v>0</v>
      </c>
      <c r="K38" s="64"/>
      <c r="L38" s="94"/>
      <c r="M38" s="94"/>
      <c r="N38" s="94"/>
      <c r="O38" s="94"/>
      <c r="P38" s="94"/>
      <c r="Q38" s="95"/>
      <c r="R38" s="169">
        <f t="shared" si="7"/>
        <v>0</v>
      </c>
      <c r="S38" s="171">
        <f t="shared" si="7"/>
        <v>0</v>
      </c>
      <c r="T38" s="64"/>
      <c r="U38" s="67">
        <f>L38*6+N38*6+P38*6</f>
        <v>0</v>
      </c>
      <c r="V38" s="172">
        <f>U38/6</f>
        <v>0</v>
      </c>
      <c r="W38" s="158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/>
      <c r="D39" s="101"/>
      <c r="E39" s="91"/>
      <c r="F39" s="91"/>
      <c r="G39" s="102"/>
      <c r="H39" s="93"/>
      <c r="I39" s="165">
        <f t="shared" si="4"/>
        <v>0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1" si="9">L39*24+N39*24+P39*24</f>
        <v>0</v>
      </c>
      <c r="V39" s="173">
        <f t="shared" si="6"/>
        <v>0</v>
      </c>
      <c r="W39" s="157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/>
      <c r="D41" s="105"/>
      <c r="E41" s="106"/>
      <c r="F41" s="106"/>
      <c r="G41" s="107"/>
      <c r="H41" s="108"/>
      <c r="I41" s="116">
        <f t="shared" si="4"/>
        <v>0</v>
      </c>
      <c r="J41" s="166">
        <f t="shared" si="4"/>
        <v>0</v>
      </c>
      <c r="K41" s="64"/>
      <c r="L41" s="91"/>
      <c r="M41" s="91"/>
      <c r="N41" s="91"/>
      <c r="O41" s="91"/>
      <c r="P41" s="91"/>
      <c r="Q41" s="92"/>
      <c r="R41" s="174">
        <f t="shared" si="7"/>
        <v>0</v>
      </c>
      <c r="S41" s="171">
        <f t="shared" si="7"/>
        <v>0</v>
      </c>
      <c r="T41" s="64"/>
      <c r="U41" s="55">
        <f t="shared" si="9"/>
        <v>0</v>
      </c>
      <c r="V41" s="56">
        <f t="shared" si="6"/>
        <v>0</v>
      </c>
      <c r="W41" s="56">
        <f t="shared" si="10"/>
        <v>0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/>
      <c r="D42" s="110"/>
      <c r="E42" s="96"/>
      <c r="F42" s="96"/>
      <c r="G42" s="111"/>
      <c r="H42" s="112"/>
      <c r="I42" s="111">
        <f t="shared" si="4"/>
        <v>0</v>
      </c>
      <c r="J42" s="167">
        <f t="shared" si="4"/>
        <v>0</v>
      </c>
      <c r="K42" s="69"/>
      <c r="L42" s="96"/>
      <c r="M42" s="96"/>
      <c r="N42" s="96"/>
      <c r="O42" s="96"/>
      <c r="P42" s="96"/>
      <c r="Q42" s="97"/>
      <c r="R42" s="175">
        <f t="shared" si="7"/>
        <v>0</v>
      </c>
      <c r="S42" s="180">
        <f t="shared" si="7"/>
        <v>0</v>
      </c>
      <c r="T42" s="69"/>
      <c r="U42" s="60">
        <f>L42*12+N42*12+P42*12</f>
        <v>0</v>
      </c>
      <c r="V42" s="61">
        <f>U42/12</f>
        <v>0</v>
      </c>
      <c r="W42" s="160">
        <f>I42*12+J42</f>
        <v>0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>C44+E44-G44</f>
        <v>0</v>
      </c>
      <c r="J44" s="181">
        <f t="shared" si="4"/>
        <v>0</v>
      </c>
      <c r="K44" s="64"/>
      <c r="L44" s="94"/>
      <c r="M44" s="94"/>
      <c r="N44" s="94"/>
      <c r="O44" s="94"/>
      <c r="P44" s="94"/>
      <c r="Q44" s="95"/>
      <c r="R44" s="176">
        <f t="shared" si="7"/>
        <v>0</v>
      </c>
      <c r="S44" s="180">
        <f t="shared" si="7"/>
        <v>0</v>
      </c>
      <c r="T44" s="64"/>
      <c r="U44" s="67">
        <f>L44*6+N44*6+P44*6</f>
        <v>0</v>
      </c>
      <c r="V44" s="162">
        <f>U44/6</f>
        <v>0</v>
      </c>
      <c r="W44" s="158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1">L46*24+N46*24+P46*24</f>
        <v>0</v>
      </c>
      <c r="V46" s="173">
        <f t="shared" ref="V46:V47" si="12">U46/24</f>
        <v>0</v>
      </c>
      <c r="W46" s="157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1"/>
        <v>0</v>
      </c>
      <c r="V47" s="162">
        <f t="shared" si="12"/>
        <v>0</v>
      </c>
      <c r="W47" s="157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4"/>
        <v>0</v>
      </c>
      <c r="J48" s="103">
        <f t="shared" si="4"/>
        <v>0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0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4">L49*24+N49*24+P49*24</f>
        <v>0</v>
      </c>
      <c r="V49" s="162">
        <f t="shared" ref="V49:V51" si="15">U49/24</f>
        <v>0</v>
      </c>
      <c r="W49" s="157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4"/>
        <v>0</v>
      </c>
      <c r="V50" s="162">
        <f t="shared" si="15"/>
        <v>0</v>
      </c>
      <c r="W50" s="157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4"/>
        <v>0</v>
      </c>
      <c r="V51" s="162">
        <f t="shared" si="15"/>
        <v>0</v>
      </c>
      <c r="W51" s="157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4"/>
        <v>0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0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7">L53*24+N53*24+P53*24</f>
        <v>0</v>
      </c>
      <c r="V53" s="162">
        <f t="shared" ref="V53:V54" si="18">U53/24</f>
        <v>0</v>
      </c>
      <c r="W53" s="157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4"/>
        <v>0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7"/>
        <v>0</v>
      </c>
      <c r="V54" s="162">
        <f t="shared" si="18"/>
        <v>0</v>
      </c>
      <c r="W54" s="157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8">
        <f t="shared" si="20"/>
        <v>0</v>
      </c>
      <c r="S60" s="125">
        <f t="shared" si="20"/>
        <v>0</v>
      </c>
      <c r="T60" s="49"/>
      <c r="U60" s="46">
        <f>SUM(U8:U59)</f>
        <v>0</v>
      </c>
      <c r="V60" s="184">
        <f>SUM(V8:V59)</f>
        <v>0</v>
      </c>
      <c r="W60" s="161">
        <f>SUM(W8:W59)</f>
        <v>0</v>
      </c>
      <c r="X60" s="48"/>
    </row>
    <row r="61" spans="1:24" ht="19.5" thickBot="1" x14ac:dyDescent="0.3">
      <c r="V61" s="185"/>
    </row>
    <row r="62" spans="1:24" ht="18.75" customHeight="1" x14ac:dyDescent="0.25">
      <c r="G62" s="19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19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19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19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19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19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EXAMPLE</vt:lpstr>
      <vt:lpstr>02,16</vt:lpstr>
      <vt:lpstr>02,17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'02,16'!Print_Area</vt:lpstr>
      <vt:lpstr>'02,17'!Print_Area</vt:lpstr>
      <vt:lpstr>EXAMPLE!Print_Area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2026-02-16T06:26:58Z</cp:lastPrinted>
  <dcterms:created xsi:type="dcterms:W3CDTF">2024-09-01T23:32:49Z</dcterms:created>
  <dcterms:modified xsi:type="dcterms:W3CDTF">2026-02-17T05:46:46Z</dcterms:modified>
</cp:coreProperties>
</file>