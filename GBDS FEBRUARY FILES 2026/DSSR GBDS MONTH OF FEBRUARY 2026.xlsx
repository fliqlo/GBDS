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37E99085-86E0-4B62-B09E-8534DC091013}" xr6:coauthVersionLast="45" xr6:coauthVersionMax="45" xr10:uidLastSave="{00000000-0000-0000-0000-000000000000}"/>
  <bookViews>
    <workbookView xWindow="-120" yWindow="-120" windowWidth="29040" windowHeight="15840" firstSheet="12" activeTab="22" xr2:uid="{00000000-000D-0000-FFFF-FFFF00000000}"/>
  </bookViews>
  <sheets>
    <sheet name="SAMPLE" sheetId="20" r:id="rId1"/>
    <sheet name="02,02" sheetId="71" r:id="rId2"/>
    <sheet name="02,03" sheetId="72" r:id="rId3"/>
    <sheet name="02,04" sheetId="73" r:id="rId4"/>
    <sheet name="02,05" sheetId="74" r:id="rId5"/>
    <sheet name="02,05 PROMO" sheetId="76" r:id="rId6"/>
    <sheet name="02,06" sheetId="75" r:id="rId7"/>
    <sheet name="02,07" sheetId="77" r:id="rId8"/>
    <sheet name="02,09" sheetId="78" r:id="rId9"/>
    <sheet name="02,10" sheetId="79" r:id="rId10"/>
    <sheet name="02,11" sheetId="80" r:id="rId11"/>
    <sheet name="02,12" sheetId="81" r:id="rId12"/>
    <sheet name="02,13" sheetId="70" r:id="rId13"/>
    <sheet name="02,14" sheetId="83" r:id="rId14"/>
    <sheet name="EXAMPLE" sheetId="84" r:id="rId15"/>
    <sheet name="02,16" sheetId="85" r:id="rId16"/>
    <sheet name="02,17" sheetId="86" r:id="rId17"/>
    <sheet name="02,18" sheetId="87" r:id="rId18"/>
    <sheet name="EXAMPLE2" sheetId="89" r:id="rId19"/>
    <sheet name="02,19___" sheetId="90" r:id="rId20"/>
    <sheet name="02,20" sheetId="91" r:id="rId21"/>
    <sheet name="02,22" sheetId="92" r:id="rId22"/>
    <sheet name="02,23" sheetId="93" r:id="rId23"/>
    <sheet name="02,24" sheetId="94" r:id="rId24"/>
    <sheet name="02,25" sheetId="95" r:id="rId25"/>
    <sheet name="02,26" sheetId="96" r:id="rId26"/>
    <sheet name="02,27" sheetId="97" r:id="rId27"/>
  </sheets>
  <definedNames>
    <definedName name="_xlnm.Print_Area" localSheetId="1">'02,02'!$A$1:$W$61</definedName>
    <definedName name="_xlnm.Print_Area" localSheetId="2">'02,03'!$A$1:$W$61</definedName>
    <definedName name="_xlnm.Print_Area" localSheetId="3">'02,04'!$A$1:$W$61</definedName>
    <definedName name="_xlnm.Print_Area" localSheetId="4">'02,05'!$A$1:$W$61</definedName>
    <definedName name="_xlnm.Print_Area" localSheetId="5">'02,05 PROMO'!$A$1:$W$61</definedName>
    <definedName name="_xlnm.Print_Area" localSheetId="6">'02,06'!$A$1:$W$61</definedName>
    <definedName name="_xlnm.Print_Area" localSheetId="7">'02,07'!$A$1:$W$61</definedName>
    <definedName name="_xlnm.Print_Area" localSheetId="8">'02,09'!$A$1:$W$61</definedName>
    <definedName name="_xlnm.Print_Area" localSheetId="9">'02,10'!$A$1:$W$61</definedName>
    <definedName name="_xlnm.Print_Area" localSheetId="10">'02,11'!$A$1:$W$61</definedName>
    <definedName name="_xlnm.Print_Area" localSheetId="11">'02,12'!$A$1:$W$61</definedName>
    <definedName name="_xlnm.Print_Area" localSheetId="12">'02,13'!$A$1:$W$61</definedName>
    <definedName name="_xlnm.Print_Area" localSheetId="13">'02,14'!$A$1:$Y$61</definedName>
    <definedName name="_xlnm.Print_Area" localSheetId="15">'02,16'!$A$1:$Y$61</definedName>
    <definedName name="_xlnm.Print_Area" localSheetId="16">'02,17'!$A$1:$Y$61</definedName>
    <definedName name="_xlnm.Print_Area" localSheetId="17">'02,18'!$A$1:$Y$61</definedName>
    <definedName name="_xlnm.Print_Area" localSheetId="19">'02,19___'!$A$1:$Y$61</definedName>
    <definedName name="_xlnm.Print_Area" localSheetId="20">'02,20'!$A$1:$Y$61</definedName>
    <definedName name="_xlnm.Print_Area" localSheetId="21">'02,22'!$A$1:$Y$61</definedName>
    <definedName name="_xlnm.Print_Area" localSheetId="22">'02,23'!$A$1:$Y$61</definedName>
    <definedName name="_xlnm.Print_Area" localSheetId="23">'02,24'!$A$1:$Y$61</definedName>
    <definedName name="_xlnm.Print_Area" localSheetId="24">'02,25'!$A$1:$Y$61</definedName>
    <definedName name="_xlnm.Print_Area" localSheetId="25">'02,26'!$A$1:$Y$61</definedName>
    <definedName name="_xlnm.Print_Area" localSheetId="26">'02,27'!$A$1:$Y$61</definedName>
    <definedName name="_xlnm.Print_Area" localSheetId="14">EXAMPLE!$A$1:$W$92</definedName>
    <definedName name="_xlnm.Print_Area" localSheetId="18">EXAMPLE2!$A$1:$Y$91</definedName>
    <definedName name="_xlnm.Print_Area" localSheetId="0">SAMPLE!$A$1:$Q$91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0" i="97" l="1"/>
  <c r="P60" i="97"/>
  <c r="O60" i="97"/>
  <c r="N60" i="97"/>
  <c r="M60" i="97"/>
  <c r="L60" i="97"/>
  <c r="H60" i="97"/>
  <c r="G60" i="97"/>
  <c r="E60" i="97"/>
  <c r="D60" i="97"/>
  <c r="C60" i="97"/>
  <c r="S59" i="97"/>
  <c r="R59" i="97"/>
  <c r="J59" i="97"/>
  <c r="I59" i="97"/>
  <c r="S58" i="97"/>
  <c r="R58" i="97"/>
  <c r="J58" i="97"/>
  <c r="I58" i="97"/>
  <c r="S57" i="97"/>
  <c r="R57" i="97"/>
  <c r="J57" i="97"/>
  <c r="I57" i="97"/>
  <c r="S56" i="97"/>
  <c r="R56" i="97"/>
  <c r="J56" i="97"/>
  <c r="I56" i="97"/>
  <c r="S55" i="97"/>
  <c r="R55" i="97"/>
  <c r="J55" i="97"/>
  <c r="I55" i="97"/>
  <c r="V54" i="97"/>
  <c r="U54" i="97"/>
  <c r="S54" i="97"/>
  <c r="R54" i="97"/>
  <c r="J54" i="97"/>
  <c r="W54" i="97" s="1"/>
  <c r="I54" i="97"/>
  <c r="U53" i="97"/>
  <c r="V53" i="97" s="1"/>
  <c r="S53" i="97"/>
  <c r="R53" i="97"/>
  <c r="J53" i="97"/>
  <c r="I53" i="97"/>
  <c r="W53" i="97" s="1"/>
  <c r="V52" i="97"/>
  <c r="U52" i="97"/>
  <c r="S52" i="97"/>
  <c r="R52" i="97"/>
  <c r="J52" i="97"/>
  <c r="W52" i="97" s="1"/>
  <c r="I52" i="97"/>
  <c r="U51" i="97"/>
  <c r="V51" i="97" s="1"/>
  <c r="S51" i="97"/>
  <c r="R51" i="97"/>
  <c r="J51" i="97"/>
  <c r="I51" i="97"/>
  <c r="W51" i="97" s="1"/>
  <c r="V50" i="97"/>
  <c r="U50" i="97"/>
  <c r="S50" i="97"/>
  <c r="R50" i="97"/>
  <c r="J50" i="97"/>
  <c r="W50" i="97" s="1"/>
  <c r="I50" i="97"/>
  <c r="U49" i="97"/>
  <c r="V49" i="97" s="1"/>
  <c r="S49" i="97"/>
  <c r="R49" i="97"/>
  <c r="J49" i="97"/>
  <c r="I49" i="97"/>
  <c r="W49" i="97" s="1"/>
  <c r="V48" i="97"/>
  <c r="U48" i="97"/>
  <c r="S48" i="97"/>
  <c r="R48" i="97"/>
  <c r="J48" i="97"/>
  <c r="W48" i="97" s="1"/>
  <c r="I48" i="97"/>
  <c r="U47" i="97"/>
  <c r="V47" i="97" s="1"/>
  <c r="S47" i="97"/>
  <c r="R47" i="97"/>
  <c r="J47" i="97"/>
  <c r="I47" i="97"/>
  <c r="W47" i="97" s="1"/>
  <c r="V46" i="97"/>
  <c r="U46" i="97"/>
  <c r="S46" i="97"/>
  <c r="R46" i="97"/>
  <c r="J46" i="97"/>
  <c r="W46" i="97" s="1"/>
  <c r="I46" i="97"/>
  <c r="S45" i="97"/>
  <c r="R45" i="97"/>
  <c r="R60" i="97" s="1"/>
  <c r="J45" i="97"/>
  <c r="I45" i="97"/>
  <c r="W44" i="97"/>
  <c r="U44" i="97"/>
  <c r="V44" i="97" s="1"/>
  <c r="S44" i="97"/>
  <c r="R44" i="97"/>
  <c r="J44" i="97"/>
  <c r="I44" i="97"/>
  <c r="S43" i="97"/>
  <c r="R43" i="97"/>
  <c r="J43" i="97"/>
  <c r="I43" i="97"/>
  <c r="W42" i="97"/>
  <c r="U42" i="97"/>
  <c r="V42" i="97" s="1"/>
  <c r="S42" i="97"/>
  <c r="R42" i="97"/>
  <c r="J42" i="97"/>
  <c r="I42" i="97"/>
  <c r="W41" i="97"/>
  <c r="U41" i="97"/>
  <c r="V41" i="97" s="1"/>
  <c r="S41" i="97"/>
  <c r="R41" i="97"/>
  <c r="J41" i="97"/>
  <c r="I41" i="97"/>
  <c r="W40" i="97"/>
  <c r="U40" i="97"/>
  <c r="V40" i="97" s="1"/>
  <c r="S40" i="97"/>
  <c r="R40" i="97"/>
  <c r="J40" i="97"/>
  <c r="I40" i="97"/>
  <c r="W39" i="97"/>
  <c r="U39" i="97"/>
  <c r="V39" i="97" s="1"/>
  <c r="S39" i="97"/>
  <c r="R39" i="97"/>
  <c r="J39" i="97"/>
  <c r="I39" i="97"/>
  <c r="W38" i="97"/>
  <c r="U38" i="97"/>
  <c r="V38" i="97" s="1"/>
  <c r="S38" i="97"/>
  <c r="R38" i="97"/>
  <c r="J38" i="97"/>
  <c r="I38" i="97"/>
  <c r="W37" i="97"/>
  <c r="U37" i="97"/>
  <c r="V37" i="97" s="1"/>
  <c r="S37" i="97"/>
  <c r="R37" i="97"/>
  <c r="J37" i="97"/>
  <c r="I37" i="97"/>
  <c r="W36" i="97"/>
  <c r="U36" i="97"/>
  <c r="V36" i="97" s="1"/>
  <c r="S36" i="97"/>
  <c r="R36" i="97"/>
  <c r="J36" i="97"/>
  <c r="I36" i="97"/>
  <c r="W35" i="97"/>
  <c r="U35" i="97"/>
  <c r="V35" i="97" s="1"/>
  <c r="S35" i="97"/>
  <c r="R35" i="97"/>
  <c r="J35" i="97"/>
  <c r="I35" i="97"/>
  <c r="W34" i="97"/>
  <c r="U34" i="97"/>
  <c r="V34" i="97" s="1"/>
  <c r="S34" i="97"/>
  <c r="R34" i="97"/>
  <c r="J34" i="97"/>
  <c r="I34" i="97"/>
  <c r="W33" i="97"/>
  <c r="U33" i="97"/>
  <c r="V33" i="97" s="1"/>
  <c r="S33" i="97"/>
  <c r="R33" i="97"/>
  <c r="J33" i="97"/>
  <c r="I33" i="97"/>
  <c r="W32" i="97"/>
  <c r="U32" i="97"/>
  <c r="V32" i="97" s="1"/>
  <c r="S32" i="97"/>
  <c r="R32" i="97"/>
  <c r="J32" i="97"/>
  <c r="I32" i="97"/>
  <c r="W31" i="97"/>
  <c r="U31" i="97"/>
  <c r="V31" i="97" s="1"/>
  <c r="S31" i="97"/>
  <c r="R31" i="97"/>
  <c r="J31" i="97"/>
  <c r="I31" i="97"/>
  <c r="W30" i="97"/>
  <c r="U30" i="97"/>
  <c r="V30" i="97" s="1"/>
  <c r="S30" i="97"/>
  <c r="R30" i="97"/>
  <c r="J30" i="97"/>
  <c r="I30" i="97"/>
  <c r="W29" i="97"/>
  <c r="U29" i="97"/>
  <c r="V29" i="97" s="1"/>
  <c r="S29" i="97"/>
  <c r="R29" i="97"/>
  <c r="J29" i="97"/>
  <c r="I29" i="97"/>
  <c r="W28" i="97"/>
  <c r="U28" i="97"/>
  <c r="V28" i="97" s="1"/>
  <c r="S28" i="97"/>
  <c r="R28" i="97"/>
  <c r="J28" i="97"/>
  <c r="I28" i="97"/>
  <c r="W27" i="97"/>
  <c r="U27" i="97"/>
  <c r="V27" i="97" s="1"/>
  <c r="S27" i="97"/>
  <c r="R27" i="97"/>
  <c r="J27" i="97"/>
  <c r="I27" i="97"/>
  <c r="BE26" i="97"/>
  <c r="U26" i="97"/>
  <c r="V26" i="97" s="1"/>
  <c r="S26" i="97"/>
  <c r="R26" i="97"/>
  <c r="J26" i="97"/>
  <c r="I26" i="97"/>
  <c r="W26" i="97" s="1"/>
  <c r="V25" i="97"/>
  <c r="U25" i="97"/>
  <c r="S25" i="97"/>
  <c r="R25" i="97"/>
  <c r="J25" i="97"/>
  <c r="I25" i="97"/>
  <c r="W25" i="97" s="1"/>
  <c r="U24" i="97"/>
  <c r="V24" i="97" s="1"/>
  <c r="S24" i="97"/>
  <c r="R24" i="97"/>
  <c r="J24" i="97"/>
  <c r="I24" i="97"/>
  <c r="W24" i="97" s="1"/>
  <c r="V23" i="97"/>
  <c r="U23" i="97"/>
  <c r="S23" i="97"/>
  <c r="R23" i="97"/>
  <c r="J23" i="97"/>
  <c r="I23" i="97"/>
  <c r="W23" i="97" s="1"/>
  <c r="U22" i="97"/>
  <c r="V22" i="97" s="1"/>
  <c r="S22" i="97"/>
  <c r="R22" i="97"/>
  <c r="J22" i="97"/>
  <c r="I22" i="97"/>
  <c r="W22" i="97" s="1"/>
  <c r="V21" i="97"/>
  <c r="U21" i="97"/>
  <c r="S21" i="97"/>
  <c r="R21" i="97"/>
  <c r="J21" i="97"/>
  <c r="I21" i="97"/>
  <c r="W21" i="97" s="1"/>
  <c r="U20" i="97"/>
  <c r="V20" i="97" s="1"/>
  <c r="S20" i="97"/>
  <c r="R20" i="97"/>
  <c r="J20" i="97"/>
  <c r="I20" i="97"/>
  <c r="W20" i="97" s="1"/>
  <c r="V19" i="97"/>
  <c r="U19" i="97"/>
  <c r="S19" i="97"/>
  <c r="R19" i="97"/>
  <c r="J19" i="97"/>
  <c r="I19" i="97"/>
  <c r="W19" i="97" s="1"/>
  <c r="U18" i="97"/>
  <c r="V18" i="97" s="1"/>
  <c r="S18" i="97"/>
  <c r="R18" i="97"/>
  <c r="J18" i="97"/>
  <c r="I18" i="97"/>
  <c r="W18" i="97" s="1"/>
  <c r="V17" i="97"/>
  <c r="U17" i="97"/>
  <c r="S17" i="97"/>
  <c r="R17" i="97"/>
  <c r="J17" i="97"/>
  <c r="I17" i="97"/>
  <c r="W17" i="97" s="1"/>
  <c r="U16" i="97"/>
  <c r="V16" i="97" s="1"/>
  <c r="S16" i="97"/>
  <c r="R16" i="97"/>
  <c r="J16" i="97"/>
  <c r="I16" i="97"/>
  <c r="W16" i="97" s="1"/>
  <c r="V15" i="97"/>
  <c r="U15" i="97"/>
  <c r="S15" i="97"/>
  <c r="R15" i="97"/>
  <c r="J15" i="97"/>
  <c r="I15" i="97"/>
  <c r="W15" i="97" s="1"/>
  <c r="U14" i="97"/>
  <c r="V14" i="97" s="1"/>
  <c r="S14" i="97"/>
  <c r="R14" i="97"/>
  <c r="J14" i="97"/>
  <c r="I14" i="97"/>
  <c r="W14" i="97" s="1"/>
  <c r="V13" i="97"/>
  <c r="U13" i="97"/>
  <c r="S13" i="97"/>
  <c r="R13" i="97"/>
  <c r="J13" i="97"/>
  <c r="I13" i="97"/>
  <c r="W13" i="97" s="1"/>
  <c r="U12" i="97"/>
  <c r="V12" i="97" s="1"/>
  <c r="S12" i="97"/>
  <c r="R12" i="97"/>
  <c r="J12" i="97"/>
  <c r="I12" i="97"/>
  <c r="W12" i="97" s="1"/>
  <c r="V11" i="97"/>
  <c r="U11" i="97"/>
  <c r="S11" i="97"/>
  <c r="R11" i="97"/>
  <c r="J11" i="97"/>
  <c r="I11" i="97"/>
  <c r="W11" i="97" s="1"/>
  <c r="U10" i="97"/>
  <c r="V10" i="97" s="1"/>
  <c r="S10" i="97"/>
  <c r="R10" i="97"/>
  <c r="J10" i="97"/>
  <c r="I10" i="97"/>
  <c r="W10" i="97" s="1"/>
  <c r="V9" i="97"/>
  <c r="U9" i="97"/>
  <c r="S9" i="97"/>
  <c r="R9" i="97"/>
  <c r="J9" i="97"/>
  <c r="I9" i="97"/>
  <c r="W9" i="97" s="1"/>
  <c r="A9" i="97"/>
  <c r="A10" i="97" s="1"/>
  <c r="A11" i="97" s="1"/>
  <c r="A12" i="97" s="1"/>
  <c r="A13" i="97" s="1"/>
  <c r="A14" i="97" s="1"/>
  <c r="A15" i="97" s="1"/>
  <c r="A16" i="97" s="1"/>
  <c r="A17" i="97" s="1"/>
  <c r="A18" i="97" s="1"/>
  <c r="A19" i="97" s="1"/>
  <c r="A20" i="97" s="1"/>
  <c r="A21" i="97" s="1"/>
  <c r="A22" i="97" s="1"/>
  <c r="A23" i="97" s="1"/>
  <c r="A24" i="97" s="1"/>
  <c r="A25" i="97" s="1"/>
  <c r="A26" i="97" s="1"/>
  <c r="A27" i="97" s="1"/>
  <c r="A28" i="97" s="1"/>
  <c r="A29" i="97" s="1"/>
  <c r="A30" i="97" s="1"/>
  <c r="A31" i="97" s="1"/>
  <c r="A32" i="97" s="1"/>
  <c r="A33" i="97" s="1"/>
  <c r="A34" i="97" s="1"/>
  <c r="A35" i="97" s="1"/>
  <c r="A36" i="97" s="1"/>
  <c r="A37" i="97" s="1"/>
  <c r="A38" i="97" s="1"/>
  <c r="A39" i="97" s="1"/>
  <c r="A40" i="97" s="1"/>
  <c r="A41" i="97" s="1"/>
  <c r="A42" i="97" s="1"/>
  <c r="A43" i="97" s="1"/>
  <c r="A44" i="97" s="1"/>
  <c r="A45" i="97" s="1"/>
  <c r="A46" i="97" s="1"/>
  <c r="A47" i="97" s="1"/>
  <c r="A48" i="97" s="1"/>
  <c r="A49" i="97" s="1"/>
  <c r="A50" i="97" s="1"/>
  <c r="A51" i="97" s="1"/>
  <c r="A52" i="97" s="1"/>
  <c r="A53" i="97" s="1"/>
  <c r="A54" i="97" s="1"/>
  <c r="A55" i="97" s="1"/>
  <c r="A56" i="97" s="1"/>
  <c r="A57" i="97" s="1"/>
  <c r="A58" i="97" s="1"/>
  <c r="A59" i="97" s="1"/>
  <c r="U8" i="97"/>
  <c r="U60" i="97" s="1"/>
  <c r="S8" i="97"/>
  <c r="S60" i="97" s="1"/>
  <c r="R8" i="97"/>
  <c r="J8" i="97"/>
  <c r="J60" i="97" s="1"/>
  <c r="I8" i="97"/>
  <c r="W8" i="97" s="1"/>
  <c r="U60" i="96"/>
  <c r="Q60" i="96"/>
  <c r="P60" i="96"/>
  <c r="O60" i="96"/>
  <c r="N60" i="96"/>
  <c r="M60" i="96"/>
  <c r="L60" i="96"/>
  <c r="H60" i="96"/>
  <c r="G60" i="96"/>
  <c r="E60" i="96"/>
  <c r="D60" i="96"/>
  <c r="C60" i="96"/>
  <c r="S59" i="96"/>
  <c r="R59" i="96"/>
  <c r="J59" i="96"/>
  <c r="I59" i="96"/>
  <c r="S58" i="96"/>
  <c r="R58" i="96"/>
  <c r="J58" i="96"/>
  <c r="I58" i="96"/>
  <c r="S57" i="96"/>
  <c r="R57" i="96"/>
  <c r="J57" i="96"/>
  <c r="I57" i="96"/>
  <c r="S56" i="96"/>
  <c r="R56" i="96"/>
  <c r="J56" i="96"/>
  <c r="I56" i="96"/>
  <c r="S55" i="96"/>
  <c r="R55" i="96"/>
  <c r="J55" i="96"/>
  <c r="I55" i="96"/>
  <c r="U54" i="96"/>
  <c r="V54" i="96" s="1"/>
  <c r="S54" i="96"/>
  <c r="R54" i="96"/>
  <c r="J54" i="96"/>
  <c r="I54" i="96"/>
  <c r="W54" i="96" s="1"/>
  <c r="W53" i="96"/>
  <c r="V53" i="96"/>
  <c r="U53" i="96"/>
  <c r="S53" i="96"/>
  <c r="R53" i="96"/>
  <c r="J53" i="96"/>
  <c r="I53" i="96"/>
  <c r="U52" i="96"/>
  <c r="V52" i="96" s="1"/>
  <c r="S52" i="96"/>
  <c r="R52" i="96"/>
  <c r="J52" i="96"/>
  <c r="I52" i="96"/>
  <c r="W52" i="96" s="1"/>
  <c r="W51" i="96"/>
  <c r="V51" i="96"/>
  <c r="U51" i="96"/>
  <c r="S51" i="96"/>
  <c r="R51" i="96"/>
  <c r="J51" i="96"/>
  <c r="I51" i="96"/>
  <c r="U50" i="96"/>
  <c r="V50" i="96" s="1"/>
  <c r="S50" i="96"/>
  <c r="R50" i="96"/>
  <c r="J50" i="96"/>
  <c r="I50" i="96"/>
  <c r="W50" i="96" s="1"/>
  <c r="W49" i="96"/>
  <c r="V49" i="96"/>
  <c r="U49" i="96"/>
  <c r="S49" i="96"/>
  <c r="R49" i="96"/>
  <c r="J49" i="96"/>
  <c r="I49" i="96"/>
  <c r="U48" i="96"/>
  <c r="V48" i="96" s="1"/>
  <c r="S48" i="96"/>
  <c r="R48" i="96"/>
  <c r="J48" i="96"/>
  <c r="I48" i="96"/>
  <c r="W48" i="96" s="1"/>
  <c r="W47" i="96"/>
  <c r="V47" i="96"/>
  <c r="U47" i="96"/>
  <c r="S47" i="96"/>
  <c r="R47" i="96"/>
  <c r="J47" i="96"/>
  <c r="I47" i="96"/>
  <c r="U46" i="96"/>
  <c r="V46" i="96" s="1"/>
  <c r="S46" i="96"/>
  <c r="R46" i="96"/>
  <c r="J46" i="96"/>
  <c r="I46" i="96"/>
  <c r="W46" i="96" s="1"/>
  <c r="S45" i="96"/>
  <c r="R45" i="96"/>
  <c r="J45" i="96"/>
  <c r="I45" i="96"/>
  <c r="U44" i="96"/>
  <c r="V44" i="96" s="1"/>
  <c r="S44" i="96"/>
  <c r="R44" i="96"/>
  <c r="J44" i="96"/>
  <c r="I44" i="96"/>
  <c r="W44" i="96" s="1"/>
  <c r="S43" i="96"/>
  <c r="R43" i="96"/>
  <c r="J43" i="96"/>
  <c r="I43" i="96"/>
  <c r="W42" i="96"/>
  <c r="V42" i="96"/>
  <c r="U42" i="96"/>
  <c r="S42" i="96"/>
  <c r="R42" i="96"/>
  <c r="J42" i="96"/>
  <c r="I42" i="96"/>
  <c r="U41" i="96"/>
  <c r="V41" i="96" s="1"/>
  <c r="S41" i="96"/>
  <c r="R41" i="96"/>
  <c r="J41" i="96"/>
  <c r="I41" i="96"/>
  <c r="W41" i="96" s="1"/>
  <c r="W40" i="96"/>
  <c r="V40" i="96"/>
  <c r="U40" i="96"/>
  <c r="S40" i="96"/>
  <c r="R40" i="96"/>
  <c r="J40" i="96"/>
  <c r="I40" i="96"/>
  <c r="U39" i="96"/>
  <c r="V39" i="96" s="1"/>
  <c r="S39" i="96"/>
  <c r="R39" i="96"/>
  <c r="J39" i="96"/>
  <c r="I39" i="96"/>
  <c r="W39" i="96" s="1"/>
  <c r="W38" i="96"/>
  <c r="V38" i="96"/>
  <c r="U38" i="96"/>
  <c r="S38" i="96"/>
  <c r="R38" i="96"/>
  <c r="J38" i="96"/>
  <c r="I38" i="96"/>
  <c r="U37" i="96"/>
  <c r="V37" i="96" s="1"/>
  <c r="S37" i="96"/>
  <c r="R37" i="96"/>
  <c r="J37" i="96"/>
  <c r="I37" i="96"/>
  <c r="W37" i="96" s="1"/>
  <c r="W36" i="96"/>
  <c r="V36" i="96"/>
  <c r="U36" i="96"/>
  <c r="S36" i="96"/>
  <c r="R36" i="96"/>
  <c r="J36" i="96"/>
  <c r="I36" i="96"/>
  <c r="U35" i="96"/>
  <c r="V35" i="96" s="1"/>
  <c r="S35" i="96"/>
  <c r="R35" i="96"/>
  <c r="J35" i="96"/>
  <c r="I35" i="96"/>
  <c r="W35" i="96" s="1"/>
  <c r="W34" i="96"/>
  <c r="V34" i="96"/>
  <c r="U34" i="96"/>
  <c r="S34" i="96"/>
  <c r="R34" i="96"/>
  <c r="J34" i="96"/>
  <c r="I34" i="96"/>
  <c r="U33" i="96"/>
  <c r="V33" i="96" s="1"/>
  <c r="S33" i="96"/>
  <c r="R33" i="96"/>
  <c r="J33" i="96"/>
  <c r="I33" i="96"/>
  <c r="W33" i="96" s="1"/>
  <c r="W32" i="96"/>
  <c r="V32" i="96"/>
  <c r="U32" i="96"/>
  <c r="S32" i="96"/>
  <c r="R32" i="96"/>
  <c r="J32" i="96"/>
  <c r="I32" i="96"/>
  <c r="U31" i="96"/>
  <c r="V31" i="96" s="1"/>
  <c r="S31" i="96"/>
  <c r="R31" i="96"/>
  <c r="J31" i="96"/>
  <c r="I31" i="96"/>
  <c r="W31" i="96" s="1"/>
  <c r="W30" i="96"/>
  <c r="V30" i="96"/>
  <c r="U30" i="96"/>
  <c r="S30" i="96"/>
  <c r="R30" i="96"/>
  <c r="J30" i="96"/>
  <c r="I30" i="96"/>
  <c r="U29" i="96"/>
  <c r="V29" i="96" s="1"/>
  <c r="S29" i="96"/>
  <c r="R29" i="96"/>
  <c r="J29" i="96"/>
  <c r="I29" i="96"/>
  <c r="W29" i="96" s="1"/>
  <c r="W28" i="96"/>
  <c r="V28" i="96"/>
  <c r="U28" i="96"/>
  <c r="S28" i="96"/>
  <c r="R28" i="96"/>
  <c r="J28" i="96"/>
  <c r="I28" i="96"/>
  <c r="U27" i="96"/>
  <c r="V27" i="96" s="1"/>
  <c r="S27" i="96"/>
  <c r="R27" i="96"/>
  <c r="J27" i="96"/>
  <c r="I27" i="96"/>
  <c r="W27" i="96" s="1"/>
  <c r="BE26" i="96"/>
  <c r="W26" i="96"/>
  <c r="V26" i="96"/>
  <c r="U26" i="96"/>
  <c r="S26" i="96"/>
  <c r="R26" i="96"/>
  <c r="J26" i="96"/>
  <c r="I26" i="96"/>
  <c r="V25" i="96"/>
  <c r="U25" i="96"/>
  <c r="S25" i="96"/>
  <c r="R25" i="96"/>
  <c r="J25" i="96"/>
  <c r="I25" i="96"/>
  <c r="W25" i="96" s="1"/>
  <c r="W24" i="96"/>
  <c r="V24" i="96"/>
  <c r="U24" i="96"/>
  <c r="S24" i="96"/>
  <c r="R24" i="96"/>
  <c r="J24" i="96"/>
  <c r="I24" i="96"/>
  <c r="V23" i="96"/>
  <c r="U23" i="96"/>
  <c r="S23" i="96"/>
  <c r="R23" i="96"/>
  <c r="J23" i="96"/>
  <c r="I23" i="96"/>
  <c r="W23" i="96" s="1"/>
  <c r="W22" i="96"/>
  <c r="V22" i="96"/>
  <c r="U22" i="96"/>
  <c r="S22" i="96"/>
  <c r="R22" i="96"/>
  <c r="J22" i="96"/>
  <c r="I22" i="96"/>
  <c r="V21" i="96"/>
  <c r="U21" i="96"/>
  <c r="S21" i="96"/>
  <c r="R21" i="96"/>
  <c r="J21" i="96"/>
  <c r="I21" i="96"/>
  <c r="W21" i="96" s="1"/>
  <c r="W20" i="96"/>
  <c r="V20" i="96"/>
  <c r="U20" i="96"/>
  <c r="S20" i="96"/>
  <c r="R20" i="96"/>
  <c r="J20" i="96"/>
  <c r="I20" i="96"/>
  <c r="V19" i="96"/>
  <c r="U19" i="96"/>
  <c r="S19" i="96"/>
  <c r="R19" i="96"/>
  <c r="J19" i="96"/>
  <c r="I19" i="96"/>
  <c r="W19" i="96" s="1"/>
  <c r="W18" i="96"/>
  <c r="V18" i="96"/>
  <c r="U18" i="96"/>
  <c r="S18" i="96"/>
  <c r="R18" i="96"/>
  <c r="J18" i="96"/>
  <c r="I18" i="96"/>
  <c r="V17" i="96"/>
  <c r="U17" i="96"/>
  <c r="S17" i="96"/>
  <c r="R17" i="96"/>
  <c r="J17" i="96"/>
  <c r="I17" i="96"/>
  <c r="W17" i="96" s="1"/>
  <c r="W16" i="96"/>
  <c r="V16" i="96"/>
  <c r="U16" i="96"/>
  <c r="S16" i="96"/>
  <c r="R16" i="96"/>
  <c r="J16" i="96"/>
  <c r="I16" i="96"/>
  <c r="V15" i="96"/>
  <c r="U15" i="96"/>
  <c r="S15" i="96"/>
  <c r="R15" i="96"/>
  <c r="J15" i="96"/>
  <c r="I15" i="96"/>
  <c r="W15" i="96" s="1"/>
  <c r="W14" i="96"/>
  <c r="V14" i="96"/>
  <c r="U14" i="96"/>
  <c r="S14" i="96"/>
  <c r="R14" i="96"/>
  <c r="J14" i="96"/>
  <c r="I14" i="96"/>
  <c r="V13" i="96"/>
  <c r="U13" i="96"/>
  <c r="S13" i="96"/>
  <c r="R13" i="96"/>
  <c r="J13" i="96"/>
  <c r="I13" i="96"/>
  <c r="W13" i="96" s="1"/>
  <c r="W12" i="96"/>
  <c r="V12" i="96"/>
  <c r="U12" i="96"/>
  <c r="S12" i="96"/>
  <c r="R12" i="96"/>
  <c r="J12" i="96"/>
  <c r="I12" i="96"/>
  <c r="V11" i="96"/>
  <c r="U11" i="96"/>
  <c r="S11" i="96"/>
  <c r="R11" i="96"/>
  <c r="J11" i="96"/>
  <c r="I11" i="96"/>
  <c r="W11" i="96" s="1"/>
  <c r="W10" i="96"/>
  <c r="V10" i="96"/>
  <c r="U10" i="96"/>
  <c r="S10" i="96"/>
  <c r="R10" i="96"/>
  <c r="J10" i="96"/>
  <c r="I10" i="96"/>
  <c r="V9" i="96"/>
  <c r="U9" i="96"/>
  <c r="S9" i="96"/>
  <c r="S60" i="96" s="1"/>
  <c r="R9" i="96"/>
  <c r="R60" i="96" s="1"/>
  <c r="J9" i="96"/>
  <c r="I9" i="96"/>
  <c r="W9" i="96" s="1"/>
  <c r="A9" i="96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W8" i="96"/>
  <c r="V8" i="96"/>
  <c r="U8" i="96"/>
  <c r="S8" i="96"/>
  <c r="R8" i="96"/>
  <c r="J8" i="96"/>
  <c r="J60" i="96" s="1"/>
  <c r="I8" i="96"/>
  <c r="I60" i="96" s="1"/>
  <c r="Q60" i="95"/>
  <c r="P60" i="95"/>
  <c r="O60" i="95"/>
  <c r="N60" i="95"/>
  <c r="M60" i="95"/>
  <c r="L60" i="95"/>
  <c r="H60" i="95"/>
  <c r="G60" i="95"/>
  <c r="E60" i="95"/>
  <c r="D60" i="95"/>
  <c r="C60" i="95"/>
  <c r="S59" i="95"/>
  <c r="R59" i="95"/>
  <c r="J59" i="95"/>
  <c r="I59" i="95"/>
  <c r="S58" i="95"/>
  <c r="R58" i="95"/>
  <c r="J58" i="95"/>
  <c r="I58" i="95"/>
  <c r="S57" i="95"/>
  <c r="R57" i="95"/>
  <c r="J57" i="95"/>
  <c r="I57" i="95"/>
  <c r="S56" i="95"/>
  <c r="R56" i="95"/>
  <c r="J56" i="95"/>
  <c r="I56" i="95"/>
  <c r="S55" i="95"/>
  <c r="R55" i="95"/>
  <c r="J55" i="95"/>
  <c r="I55" i="95"/>
  <c r="U54" i="95"/>
  <c r="V54" i="95" s="1"/>
  <c r="S54" i="95"/>
  <c r="R54" i="95"/>
  <c r="J54" i="95"/>
  <c r="I54" i="95"/>
  <c r="W54" i="95" s="1"/>
  <c r="U53" i="95"/>
  <c r="V53" i="95" s="1"/>
  <c r="S53" i="95"/>
  <c r="R53" i="95"/>
  <c r="J53" i="95"/>
  <c r="I53" i="95"/>
  <c r="W53" i="95" s="1"/>
  <c r="U52" i="95"/>
  <c r="V52" i="95" s="1"/>
  <c r="S52" i="95"/>
  <c r="R52" i="95"/>
  <c r="J52" i="95"/>
  <c r="I52" i="95"/>
  <c r="W52" i="95" s="1"/>
  <c r="U51" i="95"/>
  <c r="V51" i="95" s="1"/>
  <c r="S51" i="95"/>
  <c r="R51" i="95"/>
  <c r="J51" i="95"/>
  <c r="I51" i="95"/>
  <c r="W51" i="95" s="1"/>
  <c r="U50" i="95"/>
  <c r="V50" i="95" s="1"/>
  <c r="S50" i="95"/>
  <c r="R50" i="95"/>
  <c r="J50" i="95"/>
  <c r="I50" i="95"/>
  <c r="W50" i="95" s="1"/>
  <c r="U49" i="95"/>
  <c r="V49" i="95" s="1"/>
  <c r="S49" i="95"/>
  <c r="R49" i="95"/>
  <c r="J49" i="95"/>
  <c r="I49" i="95"/>
  <c r="W49" i="95" s="1"/>
  <c r="U48" i="95"/>
  <c r="V48" i="95" s="1"/>
  <c r="S48" i="95"/>
  <c r="R48" i="95"/>
  <c r="J48" i="95"/>
  <c r="I48" i="95"/>
  <c r="W48" i="95" s="1"/>
  <c r="U47" i="95"/>
  <c r="V47" i="95" s="1"/>
  <c r="S47" i="95"/>
  <c r="R47" i="95"/>
  <c r="J47" i="95"/>
  <c r="I47" i="95"/>
  <c r="W47" i="95" s="1"/>
  <c r="U46" i="95"/>
  <c r="V46" i="95" s="1"/>
  <c r="S46" i="95"/>
  <c r="R46" i="95"/>
  <c r="J46" i="95"/>
  <c r="I46" i="95"/>
  <c r="W46" i="95" s="1"/>
  <c r="S45" i="95"/>
  <c r="R45" i="95"/>
  <c r="J45" i="95"/>
  <c r="I45" i="95"/>
  <c r="W44" i="95"/>
  <c r="V44" i="95"/>
  <c r="U44" i="95"/>
  <c r="S44" i="95"/>
  <c r="R44" i="95"/>
  <c r="J44" i="95"/>
  <c r="I44" i="95"/>
  <c r="S43" i="95"/>
  <c r="R43" i="95"/>
  <c r="J43" i="95"/>
  <c r="I43" i="95"/>
  <c r="W42" i="95"/>
  <c r="V42" i="95"/>
  <c r="U42" i="95"/>
  <c r="S42" i="95"/>
  <c r="R42" i="95"/>
  <c r="J42" i="95"/>
  <c r="I42" i="95"/>
  <c r="W41" i="95"/>
  <c r="U41" i="95"/>
  <c r="V41" i="95" s="1"/>
  <c r="S41" i="95"/>
  <c r="R41" i="95"/>
  <c r="J41" i="95"/>
  <c r="I41" i="95"/>
  <c r="W40" i="95"/>
  <c r="V40" i="95"/>
  <c r="U40" i="95"/>
  <c r="S40" i="95"/>
  <c r="R40" i="95"/>
  <c r="J40" i="95"/>
  <c r="I40" i="95"/>
  <c r="W39" i="95"/>
  <c r="U39" i="95"/>
  <c r="V39" i="95" s="1"/>
  <c r="S39" i="95"/>
  <c r="R39" i="95"/>
  <c r="J39" i="95"/>
  <c r="I39" i="95"/>
  <c r="W38" i="95"/>
  <c r="V38" i="95"/>
  <c r="U38" i="95"/>
  <c r="S38" i="95"/>
  <c r="R38" i="95"/>
  <c r="J38" i="95"/>
  <c r="I38" i="95"/>
  <c r="W37" i="95"/>
  <c r="U37" i="95"/>
  <c r="V37" i="95" s="1"/>
  <c r="S37" i="95"/>
  <c r="R37" i="95"/>
  <c r="J37" i="95"/>
  <c r="I37" i="95"/>
  <c r="W36" i="95"/>
  <c r="V36" i="95"/>
  <c r="U36" i="95"/>
  <c r="S36" i="95"/>
  <c r="R36" i="95"/>
  <c r="J36" i="95"/>
  <c r="I36" i="95"/>
  <c r="W35" i="95"/>
  <c r="U35" i="95"/>
  <c r="V35" i="95" s="1"/>
  <c r="S35" i="95"/>
  <c r="R35" i="95"/>
  <c r="J35" i="95"/>
  <c r="I35" i="95"/>
  <c r="W34" i="95"/>
  <c r="V34" i="95"/>
  <c r="U34" i="95"/>
  <c r="S34" i="95"/>
  <c r="R34" i="95"/>
  <c r="J34" i="95"/>
  <c r="I34" i="95"/>
  <c r="W33" i="95"/>
  <c r="U33" i="95"/>
  <c r="V33" i="95" s="1"/>
  <c r="S33" i="95"/>
  <c r="R33" i="95"/>
  <c r="J33" i="95"/>
  <c r="I33" i="95"/>
  <c r="W32" i="95"/>
  <c r="V32" i="95"/>
  <c r="U32" i="95"/>
  <c r="S32" i="95"/>
  <c r="R32" i="95"/>
  <c r="J32" i="95"/>
  <c r="I32" i="95"/>
  <c r="W31" i="95"/>
  <c r="U31" i="95"/>
  <c r="V31" i="95" s="1"/>
  <c r="S31" i="95"/>
  <c r="R31" i="95"/>
  <c r="J31" i="95"/>
  <c r="I31" i="95"/>
  <c r="W30" i="95"/>
  <c r="V30" i="95"/>
  <c r="U30" i="95"/>
  <c r="S30" i="95"/>
  <c r="R30" i="95"/>
  <c r="J30" i="95"/>
  <c r="I30" i="95"/>
  <c r="W29" i="95"/>
  <c r="U29" i="95"/>
  <c r="V29" i="95" s="1"/>
  <c r="S29" i="95"/>
  <c r="R29" i="95"/>
  <c r="J29" i="95"/>
  <c r="I29" i="95"/>
  <c r="W28" i="95"/>
  <c r="V28" i="95"/>
  <c r="U28" i="95"/>
  <c r="S28" i="95"/>
  <c r="R28" i="95"/>
  <c r="J28" i="95"/>
  <c r="I28" i="95"/>
  <c r="W27" i="95"/>
  <c r="U27" i="95"/>
  <c r="V27" i="95" s="1"/>
  <c r="S27" i="95"/>
  <c r="R27" i="95"/>
  <c r="R60" i="95" s="1"/>
  <c r="J27" i="95"/>
  <c r="I27" i="95"/>
  <c r="BE26" i="95"/>
  <c r="W26" i="95"/>
  <c r="U26" i="95"/>
  <c r="V26" i="95" s="1"/>
  <c r="S26" i="95"/>
  <c r="R26" i="95"/>
  <c r="J26" i="95"/>
  <c r="I26" i="95"/>
  <c r="U25" i="95"/>
  <c r="V25" i="95" s="1"/>
  <c r="S25" i="95"/>
  <c r="R25" i="95"/>
  <c r="J25" i="95"/>
  <c r="I25" i="95"/>
  <c r="W25" i="95" s="1"/>
  <c r="W24" i="95"/>
  <c r="U24" i="95"/>
  <c r="V24" i="95" s="1"/>
  <c r="S24" i="95"/>
  <c r="R24" i="95"/>
  <c r="J24" i="95"/>
  <c r="I24" i="95"/>
  <c r="U23" i="95"/>
  <c r="V23" i="95" s="1"/>
  <c r="S23" i="95"/>
  <c r="R23" i="95"/>
  <c r="J23" i="95"/>
  <c r="I23" i="95"/>
  <c r="W23" i="95" s="1"/>
  <c r="W22" i="95"/>
  <c r="U22" i="95"/>
  <c r="V22" i="95" s="1"/>
  <c r="S22" i="95"/>
  <c r="R22" i="95"/>
  <c r="J22" i="95"/>
  <c r="I22" i="95"/>
  <c r="U21" i="95"/>
  <c r="V21" i="95" s="1"/>
  <c r="S21" i="95"/>
  <c r="R21" i="95"/>
  <c r="J21" i="95"/>
  <c r="I21" i="95"/>
  <c r="W21" i="95" s="1"/>
  <c r="W20" i="95"/>
  <c r="U20" i="95"/>
  <c r="V20" i="95" s="1"/>
  <c r="S20" i="95"/>
  <c r="R20" i="95"/>
  <c r="J20" i="95"/>
  <c r="I20" i="95"/>
  <c r="U19" i="95"/>
  <c r="V19" i="95" s="1"/>
  <c r="S19" i="95"/>
  <c r="R19" i="95"/>
  <c r="J19" i="95"/>
  <c r="I19" i="95"/>
  <c r="W19" i="95" s="1"/>
  <c r="W18" i="95"/>
  <c r="U18" i="95"/>
  <c r="V18" i="95" s="1"/>
  <c r="S18" i="95"/>
  <c r="R18" i="95"/>
  <c r="J18" i="95"/>
  <c r="I18" i="95"/>
  <c r="U17" i="95"/>
  <c r="V17" i="95" s="1"/>
  <c r="S17" i="95"/>
  <c r="R17" i="95"/>
  <c r="J17" i="95"/>
  <c r="I17" i="95"/>
  <c r="W17" i="95" s="1"/>
  <c r="W16" i="95"/>
  <c r="U16" i="95"/>
  <c r="V16" i="95" s="1"/>
  <c r="S16" i="95"/>
  <c r="R16" i="95"/>
  <c r="J16" i="95"/>
  <c r="I16" i="95"/>
  <c r="U15" i="95"/>
  <c r="V15" i="95" s="1"/>
  <c r="S15" i="95"/>
  <c r="R15" i="95"/>
  <c r="J15" i="95"/>
  <c r="I15" i="95"/>
  <c r="W15" i="95" s="1"/>
  <c r="W14" i="95"/>
  <c r="U14" i="95"/>
  <c r="V14" i="95" s="1"/>
  <c r="S14" i="95"/>
  <c r="R14" i="95"/>
  <c r="J14" i="95"/>
  <c r="I14" i="95"/>
  <c r="U13" i="95"/>
  <c r="V13" i="95" s="1"/>
  <c r="S13" i="95"/>
  <c r="R13" i="95"/>
  <c r="J13" i="95"/>
  <c r="I13" i="95"/>
  <c r="W13" i="95" s="1"/>
  <c r="W12" i="95"/>
  <c r="U12" i="95"/>
  <c r="V12" i="95" s="1"/>
  <c r="S12" i="95"/>
  <c r="R12" i="95"/>
  <c r="J12" i="95"/>
  <c r="I12" i="95"/>
  <c r="U11" i="95"/>
  <c r="V11" i="95" s="1"/>
  <c r="S11" i="95"/>
  <c r="R11" i="95"/>
  <c r="J11" i="95"/>
  <c r="I11" i="95"/>
  <c r="W11" i="95" s="1"/>
  <c r="W10" i="95"/>
  <c r="U10" i="95"/>
  <c r="V10" i="95" s="1"/>
  <c r="S10" i="95"/>
  <c r="R10" i="95"/>
  <c r="J10" i="95"/>
  <c r="I10" i="95"/>
  <c r="U9" i="95"/>
  <c r="V9" i="95" s="1"/>
  <c r="S9" i="95"/>
  <c r="R9" i="95"/>
  <c r="J9" i="95"/>
  <c r="I9" i="95"/>
  <c r="W9" i="95" s="1"/>
  <c r="A9" i="95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A38" i="95" s="1"/>
  <c r="A39" i="95" s="1"/>
  <c r="A40" i="95" s="1"/>
  <c r="A41" i="95" s="1"/>
  <c r="A42" i="95" s="1"/>
  <c r="A43" i="95" s="1"/>
  <c r="A44" i="95" s="1"/>
  <c r="A45" i="95" s="1"/>
  <c r="A46" i="95" s="1"/>
  <c r="A47" i="95" s="1"/>
  <c r="A48" i="95" s="1"/>
  <c r="A49" i="95" s="1"/>
  <c r="A50" i="95" s="1"/>
  <c r="A51" i="95" s="1"/>
  <c r="A52" i="95" s="1"/>
  <c r="A53" i="95" s="1"/>
  <c r="A54" i="95" s="1"/>
  <c r="A55" i="95" s="1"/>
  <c r="A56" i="95" s="1"/>
  <c r="A57" i="95" s="1"/>
  <c r="A58" i="95" s="1"/>
  <c r="A59" i="95" s="1"/>
  <c r="W8" i="95"/>
  <c r="U8" i="95"/>
  <c r="U60" i="95" s="1"/>
  <c r="S8" i="95"/>
  <c r="S60" i="95" s="1"/>
  <c r="R8" i="95"/>
  <c r="J8" i="95"/>
  <c r="J60" i="95" s="1"/>
  <c r="I8" i="95"/>
  <c r="I60" i="95" s="1"/>
  <c r="Q60" i="94"/>
  <c r="P60" i="94"/>
  <c r="O60" i="94"/>
  <c r="N60" i="94"/>
  <c r="M60" i="94"/>
  <c r="L60" i="94"/>
  <c r="H60" i="94"/>
  <c r="G60" i="94"/>
  <c r="E60" i="94"/>
  <c r="D60" i="94"/>
  <c r="C60" i="94"/>
  <c r="S59" i="94"/>
  <c r="R59" i="94"/>
  <c r="J59" i="94"/>
  <c r="I59" i="94"/>
  <c r="S58" i="94"/>
  <c r="R58" i="94"/>
  <c r="J58" i="94"/>
  <c r="I58" i="94"/>
  <c r="S57" i="94"/>
  <c r="R57" i="94"/>
  <c r="J57" i="94"/>
  <c r="I57" i="94"/>
  <c r="S56" i="94"/>
  <c r="R56" i="94"/>
  <c r="J56" i="94"/>
  <c r="I56" i="94"/>
  <c r="S55" i="94"/>
  <c r="R55" i="94"/>
  <c r="J55" i="94"/>
  <c r="I55" i="94"/>
  <c r="W54" i="94"/>
  <c r="V54" i="94"/>
  <c r="U54" i="94"/>
  <c r="S54" i="94"/>
  <c r="R54" i="94"/>
  <c r="J54" i="94"/>
  <c r="I54" i="94"/>
  <c r="U53" i="94"/>
  <c r="V53" i="94" s="1"/>
  <c r="S53" i="94"/>
  <c r="R53" i="94"/>
  <c r="J53" i="94"/>
  <c r="I53" i="94"/>
  <c r="W53" i="94" s="1"/>
  <c r="W52" i="94"/>
  <c r="V52" i="94"/>
  <c r="U52" i="94"/>
  <c r="S52" i="94"/>
  <c r="R52" i="94"/>
  <c r="J52" i="94"/>
  <c r="I52" i="94"/>
  <c r="U51" i="94"/>
  <c r="V51" i="94" s="1"/>
  <c r="S51" i="94"/>
  <c r="R51" i="94"/>
  <c r="J51" i="94"/>
  <c r="I51" i="94"/>
  <c r="W51" i="94" s="1"/>
  <c r="W50" i="94"/>
  <c r="V50" i="94"/>
  <c r="U50" i="94"/>
  <c r="S50" i="94"/>
  <c r="R50" i="94"/>
  <c r="J50" i="94"/>
  <c r="I50" i="94"/>
  <c r="U49" i="94"/>
  <c r="V49" i="94" s="1"/>
  <c r="S49" i="94"/>
  <c r="R49" i="94"/>
  <c r="J49" i="94"/>
  <c r="I49" i="94"/>
  <c r="W49" i="94" s="1"/>
  <c r="W48" i="94"/>
  <c r="V48" i="94"/>
  <c r="U48" i="94"/>
  <c r="S48" i="94"/>
  <c r="R48" i="94"/>
  <c r="J48" i="94"/>
  <c r="I48" i="94"/>
  <c r="U47" i="94"/>
  <c r="V47" i="94" s="1"/>
  <c r="S47" i="94"/>
  <c r="R47" i="94"/>
  <c r="J47" i="94"/>
  <c r="I47" i="94"/>
  <c r="W47" i="94" s="1"/>
  <c r="W46" i="94"/>
  <c r="V46" i="94"/>
  <c r="U46" i="94"/>
  <c r="S46" i="94"/>
  <c r="R46" i="94"/>
  <c r="J46" i="94"/>
  <c r="I46" i="94"/>
  <c r="S45" i="94"/>
  <c r="R45" i="94"/>
  <c r="J45" i="94"/>
  <c r="I45" i="94"/>
  <c r="W44" i="94"/>
  <c r="V44" i="94"/>
  <c r="U44" i="94"/>
  <c r="S44" i="94"/>
  <c r="R44" i="94"/>
  <c r="J44" i="94"/>
  <c r="I44" i="94"/>
  <c r="S43" i="94"/>
  <c r="R43" i="94"/>
  <c r="J43" i="94"/>
  <c r="I43" i="94"/>
  <c r="U42" i="94"/>
  <c r="V42" i="94" s="1"/>
  <c r="S42" i="94"/>
  <c r="R42" i="94"/>
  <c r="J42" i="94"/>
  <c r="I42" i="94"/>
  <c r="W42" i="94" s="1"/>
  <c r="U41" i="94"/>
  <c r="V41" i="94" s="1"/>
  <c r="S41" i="94"/>
  <c r="R41" i="94"/>
  <c r="J41" i="94"/>
  <c r="I41" i="94"/>
  <c r="W41" i="94" s="1"/>
  <c r="U40" i="94"/>
  <c r="V40" i="94" s="1"/>
  <c r="S40" i="94"/>
  <c r="R40" i="94"/>
  <c r="J40" i="94"/>
  <c r="I40" i="94"/>
  <c r="W40" i="94" s="1"/>
  <c r="V39" i="94"/>
  <c r="U39" i="94"/>
  <c r="S39" i="94"/>
  <c r="R39" i="94"/>
  <c r="J39" i="94"/>
  <c r="I39" i="94"/>
  <c r="W39" i="94" s="1"/>
  <c r="U38" i="94"/>
  <c r="V38" i="94" s="1"/>
  <c r="S38" i="94"/>
  <c r="R38" i="94"/>
  <c r="J38" i="94"/>
  <c r="I38" i="94"/>
  <c r="W38" i="94" s="1"/>
  <c r="V37" i="94"/>
  <c r="U37" i="94"/>
  <c r="S37" i="94"/>
  <c r="R37" i="94"/>
  <c r="J37" i="94"/>
  <c r="I37" i="94"/>
  <c r="W37" i="94" s="1"/>
  <c r="U36" i="94"/>
  <c r="V36" i="94" s="1"/>
  <c r="S36" i="94"/>
  <c r="R36" i="94"/>
  <c r="J36" i="94"/>
  <c r="I36" i="94"/>
  <c r="W36" i="94" s="1"/>
  <c r="V35" i="94"/>
  <c r="U35" i="94"/>
  <c r="S35" i="94"/>
  <c r="R35" i="94"/>
  <c r="J35" i="94"/>
  <c r="I35" i="94"/>
  <c r="W35" i="94" s="1"/>
  <c r="U34" i="94"/>
  <c r="V34" i="94" s="1"/>
  <c r="S34" i="94"/>
  <c r="R34" i="94"/>
  <c r="J34" i="94"/>
  <c r="I34" i="94"/>
  <c r="W34" i="94" s="1"/>
  <c r="U33" i="94"/>
  <c r="V33" i="94" s="1"/>
  <c r="S33" i="94"/>
  <c r="R33" i="94"/>
  <c r="J33" i="94"/>
  <c r="I33" i="94"/>
  <c r="W33" i="94" s="1"/>
  <c r="U32" i="94"/>
  <c r="V32" i="94" s="1"/>
  <c r="S32" i="94"/>
  <c r="R32" i="94"/>
  <c r="J32" i="94"/>
  <c r="I32" i="94"/>
  <c r="W32" i="94" s="1"/>
  <c r="U31" i="94"/>
  <c r="V31" i="94" s="1"/>
  <c r="S31" i="94"/>
  <c r="R31" i="94"/>
  <c r="J31" i="94"/>
  <c r="I31" i="94"/>
  <c r="W31" i="94" s="1"/>
  <c r="U30" i="94"/>
  <c r="V30" i="94" s="1"/>
  <c r="S30" i="94"/>
  <c r="R30" i="94"/>
  <c r="J30" i="94"/>
  <c r="I30" i="94"/>
  <c r="W30" i="94" s="1"/>
  <c r="V29" i="94"/>
  <c r="U29" i="94"/>
  <c r="S29" i="94"/>
  <c r="R29" i="94"/>
  <c r="J29" i="94"/>
  <c r="I29" i="94"/>
  <c r="W29" i="94" s="1"/>
  <c r="U28" i="94"/>
  <c r="V28" i="94" s="1"/>
  <c r="S28" i="94"/>
  <c r="R28" i="94"/>
  <c r="J28" i="94"/>
  <c r="I28" i="94"/>
  <c r="W28" i="94" s="1"/>
  <c r="U27" i="94"/>
  <c r="V27" i="94" s="1"/>
  <c r="S27" i="94"/>
  <c r="R27" i="94"/>
  <c r="J27" i="94"/>
  <c r="I27" i="94"/>
  <c r="W27" i="94" s="1"/>
  <c r="BE26" i="94"/>
  <c r="V26" i="94"/>
  <c r="U26" i="94"/>
  <c r="S26" i="94"/>
  <c r="R26" i="94"/>
  <c r="J26" i="94"/>
  <c r="I26" i="94"/>
  <c r="W26" i="94" s="1"/>
  <c r="U25" i="94"/>
  <c r="V25" i="94" s="1"/>
  <c r="S25" i="94"/>
  <c r="R25" i="94"/>
  <c r="J25" i="94"/>
  <c r="W25" i="94" s="1"/>
  <c r="I25" i="94"/>
  <c r="V24" i="94"/>
  <c r="U24" i="94"/>
  <c r="S24" i="94"/>
  <c r="R24" i="94"/>
  <c r="J24" i="94"/>
  <c r="I24" i="94"/>
  <c r="W24" i="94" s="1"/>
  <c r="U23" i="94"/>
  <c r="V23" i="94" s="1"/>
  <c r="S23" i="94"/>
  <c r="R23" i="94"/>
  <c r="J23" i="94"/>
  <c r="W23" i="94" s="1"/>
  <c r="I23" i="94"/>
  <c r="V22" i="94"/>
  <c r="U22" i="94"/>
  <c r="S22" i="94"/>
  <c r="R22" i="94"/>
  <c r="J22" i="94"/>
  <c r="I22" i="94"/>
  <c r="W22" i="94" s="1"/>
  <c r="U21" i="94"/>
  <c r="V21" i="94" s="1"/>
  <c r="S21" i="94"/>
  <c r="R21" i="94"/>
  <c r="J21" i="94"/>
  <c r="W21" i="94" s="1"/>
  <c r="I21" i="94"/>
  <c r="V20" i="94"/>
  <c r="U20" i="94"/>
  <c r="S20" i="94"/>
  <c r="R20" i="94"/>
  <c r="J20" i="94"/>
  <c r="I20" i="94"/>
  <c r="W20" i="94" s="1"/>
  <c r="U19" i="94"/>
  <c r="V19" i="94" s="1"/>
  <c r="S19" i="94"/>
  <c r="R19" i="94"/>
  <c r="J19" i="94"/>
  <c r="W19" i="94" s="1"/>
  <c r="I19" i="94"/>
  <c r="V18" i="94"/>
  <c r="U18" i="94"/>
  <c r="S18" i="94"/>
  <c r="R18" i="94"/>
  <c r="J18" i="94"/>
  <c r="I18" i="94"/>
  <c r="W18" i="94" s="1"/>
  <c r="U17" i="94"/>
  <c r="V17" i="94" s="1"/>
  <c r="S17" i="94"/>
  <c r="R17" i="94"/>
  <c r="J17" i="94"/>
  <c r="I17" i="94"/>
  <c r="W17" i="94" s="1"/>
  <c r="V16" i="94"/>
  <c r="U16" i="94"/>
  <c r="S16" i="94"/>
  <c r="R16" i="94"/>
  <c r="J16" i="94"/>
  <c r="I16" i="94"/>
  <c r="W16" i="94" s="1"/>
  <c r="U15" i="94"/>
  <c r="V15" i="94" s="1"/>
  <c r="S15" i="94"/>
  <c r="R15" i="94"/>
  <c r="J15" i="94"/>
  <c r="I15" i="94"/>
  <c r="W15" i="94" s="1"/>
  <c r="V14" i="94"/>
  <c r="U14" i="94"/>
  <c r="S14" i="94"/>
  <c r="R14" i="94"/>
  <c r="J14" i="94"/>
  <c r="I14" i="94"/>
  <c r="W14" i="94" s="1"/>
  <c r="U13" i="94"/>
  <c r="V13" i="94" s="1"/>
  <c r="S13" i="94"/>
  <c r="R13" i="94"/>
  <c r="J13" i="94"/>
  <c r="I13" i="94"/>
  <c r="W13" i="94" s="1"/>
  <c r="V12" i="94"/>
  <c r="U12" i="94"/>
  <c r="S12" i="94"/>
  <c r="R12" i="94"/>
  <c r="J12" i="94"/>
  <c r="I12" i="94"/>
  <c r="W12" i="94" s="1"/>
  <c r="U11" i="94"/>
  <c r="V11" i="94" s="1"/>
  <c r="S11" i="94"/>
  <c r="R11" i="94"/>
  <c r="J11" i="94"/>
  <c r="I11" i="94"/>
  <c r="W11" i="94" s="1"/>
  <c r="V10" i="94"/>
  <c r="U10" i="94"/>
  <c r="S10" i="94"/>
  <c r="R10" i="94"/>
  <c r="J10" i="94"/>
  <c r="I10" i="94"/>
  <c r="W10" i="94" s="1"/>
  <c r="U9" i="94"/>
  <c r="V9" i="94" s="1"/>
  <c r="S9" i="94"/>
  <c r="R9" i="94"/>
  <c r="J9" i="94"/>
  <c r="I9" i="94"/>
  <c r="W9" i="94" s="1"/>
  <c r="A9" i="94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V8" i="94"/>
  <c r="U8" i="94"/>
  <c r="U60" i="94" s="1"/>
  <c r="S8" i="94"/>
  <c r="S60" i="94" s="1"/>
  <c r="R8" i="94"/>
  <c r="R60" i="94" s="1"/>
  <c r="J8" i="94"/>
  <c r="J60" i="94" s="1"/>
  <c r="I8" i="94"/>
  <c r="W8" i="94" s="1"/>
  <c r="W60" i="97" l="1"/>
  <c r="I60" i="97"/>
  <c r="V8" i="97"/>
  <c r="V60" i="97" s="1"/>
  <c r="W60" i="96"/>
  <c r="V60" i="96"/>
  <c r="W60" i="95"/>
  <c r="V8" i="95"/>
  <c r="V60" i="95" s="1"/>
  <c r="V60" i="94"/>
  <c r="W60" i="94"/>
  <c r="I60" i="94"/>
  <c r="C13" i="92" l="1"/>
  <c r="Q60" i="93" l="1"/>
  <c r="P60" i="93"/>
  <c r="O60" i="93"/>
  <c r="N60" i="93"/>
  <c r="M60" i="93"/>
  <c r="L60" i="93"/>
  <c r="H60" i="93"/>
  <c r="G60" i="93"/>
  <c r="E60" i="93"/>
  <c r="D60" i="93"/>
  <c r="C60" i="93"/>
  <c r="S59" i="93"/>
  <c r="R59" i="93"/>
  <c r="J59" i="93"/>
  <c r="I59" i="93"/>
  <c r="S58" i="93"/>
  <c r="R58" i="93"/>
  <c r="J58" i="93"/>
  <c r="I58" i="93"/>
  <c r="S57" i="93"/>
  <c r="R57" i="93"/>
  <c r="J57" i="93"/>
  <c r="I57" i="93"/>
  <c r="S56" i="93"/>
  <c r="R56" i="93"/>
  <c r="J56" i="93"/>
  <c r="I56" i="93"/>
  <c r="S55" i="93"/>
  <c r="R55" i="93"/>
  <c r="J55" i="93"/>
  <c r="I55" i="93"/>
  <c r="U54" i="93"/>
  <c r="V54" i="93" s="1"/>
  <c r="S54" i="93"/>
  <c r="R54" i="93"/>
  <c r="J54" i="93"/>
  <c r="I54" i="93"/>
  <c r="W54" i="93" s="1"/>
  <c r="U53" i="93"/>
  <c r="V53" i="93" s="1"/>
  <c r="S53" i="93"/>
  <c r="R53" i="93"/>
  <c r="J53" i="93"/>
  <c r="I53" i="93"/>
  <c r="W53" i="93" s="1"/>
  <c r="U52" i="93"/>
  <c r="V52" i="93" s="1"/>
  <c r="S52" i="93"/>
  <c r="R52" i="93"/>
  <c r="J52" i="93"/>
  <c r="I52" i="93"/>
  <c r="W52" i="93" s="1"/>
  <c r="U51" i="93"/>
  <c r="V51" i="93" s="1"/>
  <c r="S51" i="93"/>
  <c r="R51" i="93"/>
  <c r="J51" i="93"/>
  <c r="I51" i="93"/>
  <c r="W51" i="93" s="1"/>
  <c r="U50" i="93"/>
  <c r="V50" i="93" s="1"/>
  <c r="S50" i="93"/>
  <c r="R50" i="93"/>
  <c r="J50" i="93"/>
  <c r="I50" i="93"/>
  <c r="W50" i="93" s="1"/>
  <c r="U49" i="93"/>
  <c r="V49" i="93" s="1"/>
  <c r="S49" i="93"/>
  <c r="R49" i="93"/>
  <c r="J49" i="93"/>
  <c r="I49" i="93"/>
  <c r="W49" i="93" s="1"/>
  <c r="U48" i="93"/>
  <c r="V48" i="93" s="1"/>
  <c r="S48" i="93"/>
  <c r="R48" i="93"/>
  <c r="J48" i="93"/>
  <c r="I48" i="93"/>
  <c r="U47" i="93"/>
  <c r="V47" i="93" s="1"/>
  <c r="S47" i="93"/>
  <c r="R47" i="93"/>
  <c r="J47" i="93"/>
  <c r="I47" i="93"/>
  <c r="W47" i="93" s="1"/>
  <c r="U46" i="93"/>
  <c r="V46" i="93" s="1"/>
  <c r="S46" i="93"/>
  <c r="R46" i="93"/>
  <c r="J46" i="93"/>
  <c r="I46" i="93"/>
  <c r="W46" i="93" s="1"/>
  <c r="S45" i="93"/>
  <c r="R45" i="93"/>
  <c r="J45" i="93"/>
  <c r="I45" i="93"/>
  <c r="U44" i="93"/>
  <c r="V44" i="93" s="1"/>
  <c r="S44" i="93"/>
  <c r="R44" i="93"/>
  <c r="J44" i="93"/>
  <c r="I44" i="93"/>
  <c r="S43" i="93"/>
  <c r="R43" i="93"/>
  <c r="J43" i="93"/>
  <c r="I43" i="93"/>
  <c r="W42" i="93"/>
  <c r="U42" i="93"/>
  <c r="V42" i="93" s="1"/>
  <c r="S42" i="93"/>
  <c r="R42" i="93"/>
  <c r="J42" i="93"/>
  <c r="I42" i="93"/>
  <c r="U41" i="93"/>
  <c r="V41" i="93" s="1"/>
  <c r="S41" i="93"/>
  <c r="R41" i="93"/>
  <c r="J41" i="93"/>
  <c r="I41" i="93"/>
  <c r="V40" i="93"/>
  <c r="U40" i="93"/>
  <c r="S40" i="93"/>
  <c r="R40" i="93"/>
  <c r="J40" i="93"/>
  <c r="I40" i="93"/>
  <c r="W40" i="93" s="1"/>
  <c r="U39" i="93"/>
  <c r="V39" i="93" s="1"/>
  <c r="S39" i="93"/>
  <c r="R39" i="93"/>
  <c r="J39" i="93"/>
  <c r="I39" i="93"/>
  <c r="W39" i="93" s="1"/>
  <c r="U38" i="93"/>
  <c r="V38" i="93" s="1"/>
  <c r="S38" i="93"/>
  <c r="R38" i="93"/>
  <c r="J38" i="93"/>
  <c r="I38" i="93"/>
  <c r="U37" i="93"/>
  <c r="V37" i="93" s="1"/>
  <c r="S37" i="93"/>
  <c r="R37" i="93"/>
  <c r="J37" i="93"/>
  <c r="I37" i="93"/>
  <c r="W37" i="93" s="1"/>
  <c r="V36" i="93"/>
  <c r="U36" i="93"/>
  <c r="S36" i="93"/>
  <c r="R36" i="93"/>
  <c r="J36" i="93"/>
  <c r="I36" i="93"/>
  <c r="W36" i="93" s="1"/>
  <c r="U35" i="93"/>
  <c r="V35" i="93" s="1"/>
  <c r="S35" i="93"/>
  <c r="R35" i="93"/>
  <c r="J35" i="93"/>
  <c r="I35" i="93"/>
  <c r="V34" i="93"/>
  <c r="U34" i="93"/>
  <c r="S34" i="93"/>
  <c r="R34" i="93"/>
  <c r="J34" i="93"/>
  <c r="I34" i="93"/>
  <c r="W34" i="93" s="1"/>
  <c r="U33" i="93"/>
  <c r="V33" i="93" s="1"/>
  <c r="S33" i="93"/>
  <c r="R33" i="93"/>
  <c r="J33" i="93"/>
  <c r="I33" i="93"/>
  <c r="W33" i="93" s="1"/>
  <c r="V32" i="93"/>
  <c r="U32" i="93"/>
  <c r="S32" i="93"/>
  <c r="R32" i="93"/>
  <c r="J32" i="93"/>
  <c r="I32" i="93"/>
  <c r="W32" i="93" s="1"/>
  <c r="U31" i="93"/>
  <c r="V31" i="93" s="1"/>
  <c r="S31" i="93"/>
  <c r="R31" i="93"/>
  <c r="J31" i="93"/>
  <c r="I31" i="93"/>
  <c r="W31" i="93" s="1"/>
  <c r="V30" i="93"/>
  <c r="U30" i="93"/>
  <c r="S30" i="93"/>
  <c r="R30" i="93"/>
  <c r="J30" i="93"/>
  <c r="I30" i="93"/>
  <c r="W30" i="93" s="1"/>
  <c r="U29" i="93"/>
  <c r="V29" i="93" s="1"/>
  <c r="S29" i="93"/>
  <c r="R29" i="93"/>
  <c r="J29" i="93"/>
  <c r="I29" i="93"/>
  <c r="W29" i="93" s="1"/>
  <c r="V28" i="93"/>
  <c r="U28" i="93"/>
  <c r="S28" i="93"/>
  <c r="R28" i="93"/>
  <c r="J28" i="93"/>
  <c r="I28" i="93"/>
  <c r="W28" i="93" s="1"/>
  <c r="U27" i="93"/>
  <c r="V27" i="93" s="1"/>
  <c r="S27" i="93"/>
  <c r="R27" i="93"/>
  <c r="J27" i="93"/>
  <c r="I27" i="93"/>
  <c r="W27" i="93" s="1"/>
  <c r="BE26" i="93"/>
  <c r="U26" i="93"/>
  <c r="V26" i="93" s="1"/>
  <c r="S26" i="93"/>
  <c r="R26" i="93"/>
  <c r="J26" i="93"/>
  <c r="I26" i="93"/>
  <c r="V25" i="93"/>
  <c r="U25" i="93"/>
  <c r="S25" i="93"/>
  <c r="R25" i="93"/>
  <c r="J25" i="93"/>
  <c r="I25" i="93"/>
  <c r="W25" i="93" s="1"/>
  <c r="U24" i="93"/>
  <c r="V24" i="93" s="1"/>
  <c r="S24" i="93"/>
  <c r="R24" i="93"/>
  <c r="J24" i="93"/>
  <c r="I24" i="93"/>
  <c r="V23" i="93"/>
  <c r="U23" i="93"/>
  <c r="S23" i="93"/>
  <c r="R23" i="93"/>
  <c r="J23" i="93"/>
  <c r="I23" i="93"/>
  <c r="W23" i="93" s="1"/>
  <c r="U22" i="93"/>
  <c r="V22" i="93" s="1"/>
  <c r="S22" i="93"/>
  <c r="R22" i="93"/>
  <c r="J22" i="93"/>
  <c r="I22" i="93"/>
  <c r="V21" i="93"/>
  <c r="U21" i="93"/>
  <c r="S21" i="93"/>
  <c r="R21" i="93"/>
  <c r="J21" i="93"/>
  <c r="I21" i="93"/>
  <c r="W21" i="93" s="1"/>
  <c r="U20" i="93"/>
  <c r="V20" i="93" s="1"/>
  <c r="S20" i="93"/>
  <c r="R20" i="93"/>
  <c r="J20" i="93"/>
  <c r="I20" i="93"/>
  <c r="V19" i="93"/>
  <c r="U19" i="93"/>
  <c r="S19" i="93"/>
  <c r="R19" i="93"/>
  <c r="J19" i="93"/>
  <c r="I19" i="93"/>
  <c r="W19" i="93" s="1"/>
  <c r="U18" i="93"/>
  <c r="V18" i="93" s="1"/>
  <c r="S18" i="93"/>
  <c r="R18" i="93"/>
  <c r="J18" i="93"/>
  <c r="I18" i="93"/>
  <c r="V17" i="93"/>
  <c r="U17" i="93"/>
  <c r="S17" i="93"/>
  <c r="R17" i="93"/>
  <c r="J17" i="93"/>
  <c r="I17" i="93"/>
  <c r="W17" i="93" s="1"/>
  <c r="U16" i="93"/>
  <c r="V16" i="93" s="1"/>
  <c r="S16" i="93"/>
  <c r="R16" i="93"/>
  <c r="J16" i="93"/>
  <c r="W16" i="93" s="1"/>
  <c r="I16" i="93"/>
  <c r="V15" i="93"/>
  <c r="U15" i="93"/>
  <c r="S15" i="93"/>
  <c r="R15" i="93"/>
  <c r="J15" i="93"/>
  <c r="I15" i="93"/>
  <c r="W15" i="93" s="1"/>
  <c r="U14" i="93"/>
  <c r="V14" i="93" s="1"/>
  <c r="S14" i="93"/>
  <c r="R14" i="93"/>
  <c r="J14" i="93"/>
  <c r="I14" i="93"/>
  <c r="U13" i="93"/>
  <c r="V13" i="93" s="1"/>
  <c r="S13" i="93"/>
  <c r="R13" i="93"/>
  <c r="J13" i="93"/>
  <c r="I13" i="93"/>
  <c r="U12" i="93"/>
  <c r="V12" i="93" s="1"/>
  <c r="S12" i="93"/>
  <c r="R12" i="93"/>
  <c r="J12" i="93"/>
  <c r="I12" i="93"/>
  <c r="V11" i="93"/>
  <c r="U11" i="93"/>
  <c r="S11" i="93"/>
  <c r="R11" i="93"/>
  <c r="J11" i="93"/>
  <c r="I11" i="93"/>
  <c r="W11" i="93" s="1"/>
  <c r="U10" i="93"/>
  <c r="V10" i="93" s="1"/>
  <c r="S10" i="93"/>
  <c r="R10" i="93"/>
  <c r="J10" i="93"/>
  <c r="W10" i="93" s="1"/>
  <c r="I10" i="93"/>
  <c r="V9" i="93"/>
  <c r="U9" i="93"/>
  <c r="S9" i="93"/>
  <c r="R9" i="93"/>
  <c r="J9" i="93"/>
  <c r="I9" i="93"/>
  <c r="W9" i="93" s="1"/>
  <c r="A9" i="93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A47" i="93" s="1"/>
  <c r="A48" i="93" s="1"/>
  <c r="A49" i="93" s="1"/>
  <c r="A50" i="93" s="1"/>
  <c r="A51" i="93" s="1"/>
  <c r="A52" i="93" s="1"/>
  <c r="A53" i="93" s="1"/>
  <c r="A54" i="93" s="1"/>
  <c r="A55" i="93" s="1"/>
  <c r="A56" i="93" s="1"/>
  <c r="A57" i="93" s="1"/>
  <c r="A58" i="93" s="1"/>
  <c r="A59" i="93" s="1"/>
  <c r="U8" i="93"/>
  <c r="S8" i="93"/>
  <c r="R8" i="93"/>
  <c r="J8" i="93"/>
  <c r="I8" i="93"/>
  <c r="Q60" i="92"/>
  <c r="P60" i="92"/>
  <c r="O60" i="92"/>
  <c r="N60" i="92"/>
  <c r="M60" i="92"/>
  <c r="L60" i="92"/>
  <c r="H60" i="92"/>
  <c r="G60" i="92"/>
  <c r="E60" i="92"/>
  <c r="D60" i="92"/>
  <c r="C60" i="92"/>
  <c r="S59" i="92"/>
  <c r="R59" i="92"/>
  <c r="J59" i="92"/>
  <c r="I59" i="92"/>
  <c r="S58" i="92"/>
  <c r="R58" i="92"/>
  <c r="J58" i="92"/>
  <c r="I58" i="92"/>
  <c r="S57" i="92"/>
  <c r="R57" i="92"/>
  <c r="J57" i="92"/>
  <c r="I57" i="92"/>
  <c r="S56" i="92"/>
  <c r="R56" i="92"/>
  <c r="J56" i="92"/>
  <c r="I56" i="92"/>
  <c r="S55" i="92"/>
  <c r="R55" i="92"/>
  <c r="J55" i="92"/>
  <c r="I55" i="92"/>
  <c r="U54" i="92"/>
  <c r="V54" i="92" s="1"/>
  <c r="S54" i="92"/>
  <c r="R54" i="92"/>
  <c r="J54" i="92"/>
  <c r="W54" i="92" s="1"/>
  <c r="I54" i="92"/>
  <c r="U53" i="92"/>
  <c r="V53" i="92" s="1"/>
  <c r="S53" i="92"/>
  <c r="R53" i="92"/>
  <c r="J53" i="92"/>
  <c r="W53" i="92" s="1"/>
  <c r="I53" i="92"/>
  <c r="U52" i="92"/>
  <c r="V52" i="92" s="1"/>
  <c r="S52" i="92"/>
  <c r="R52" i="92"/>
  <c r="J52" i="92"/>
  <c r="I52" i="92"/>
  <c r="U51" i="92"/>
  <c r="V51" i="92" s="1"/>
  <c r="S51" i="92"/>
  <c r="R51" i="92"/>
  <c r="J51" i="92"/>
  <c r="W51" i="92" s="1"/>
  <c r="I51" i="92"/>
  <c r="U50" i="92"/>
  <c r="V50" i="92" s="1"/>
  <c r="S50" i="92"/>
  <c r="R50" i="92"/>
  <c r="J50" i="92"/>
  <c r="W50" i="92" s="1"/>
  <c r="I50" i="92"/>
  <c r="U49" i="92"/>
  <c r="V49" i="92" s="1"/>
  <c r="S49" i="92"/>
  <c r="R49" i="92"/>
  <c r="J49" i="92"/>
  <c r="W49" i="92" s="1"/>
  <c r="I49" i="92"/>
  <c r="U48" i="92"/>
  <c r="V48" i="92" s="1"/>
  <c r="S48" i="92"/>
  <c r="R48" i="92"/>
  <c r="J48" i="92"/>
  <c r="I48" i="92"/>
  <c r="U47" i="92"/>
  <c r="V47" i="92" s="1"/>
  <c r="S47" i="92"/>
  <c r="R47" i="92"/>
  <c r="J47" i="92"/>
  <c r="W47" i="92" s="1"/>
  <c r="I47" i="92"/>
  <c r="U46" i="92"/>
  <c r="V46" i="92" s="1"/>
  <c r="S46" i="92"/>
  <c r="R46" i="92"/>
  <c r="J46" i="92"/>
  <c r="W46" i="92" s="1"/>
  <c r="I46" i="92"/>
  <c r="S45" i="92"/>
  <c r="R45" i="92"/>
  <c r="J45" i="92"/>
  <c r="I45" i="92"/>
  <c r="U44" i="92"/>
  <c r="V44" i="92" s="1"/>
  <c r="S44" i="92"/>
  <c r="R44" i="92"/>
  <c r="J44" i="92"/>
  <c r="I44" i="92"/>
  <c r="S43" i="92"/>
  <c r="R43" i="92"/>
  <c r="J43" i="92"/>
  <c r="I43" i="92"/>
  <c r="U42" i="92"/>
  <c r="V42" i="92" s="1"/>
  <c r="S42" i="92"/>
  <c r="R42" i="92"/>
  <c r="J42" i="92"/>
  <c r="I42" i="92"/>
  <c r="W42" i="92" s="1"/>
  <c r="U41" i="92"/>
  <c r="V41" i="92" s="1"/>
  <c r="S41" i="92"/>
  <c r="R41" i="92"/>
  <c r="J41" i="92"/>
  <c r="I41" i="92"/>
  <c r="U40" i="92"/>
  <c r="V40" i="92" s="1"/>
  <c r="S40" i="92"/>
  <c r="R40" i="92"/>
  <c r="J40" i="92"/>
  <c r="I40" i="92"/>
  <c r="W40" i="92" s="1"/>
  <c r="U39" i="92"/>
  <c r="V39" i="92" s="1"/>
  <c r="S39" i="92"/>
  <c r="R39" i="92"/>
  <c r="J39" i="92"/>
  <c r="I39" i="92"/>
  <c r="W39" i="92" s="1"/>
  <c r="U38" i="92"/>
  <c r="V38" i="92" s="1"/>
  <c r="S38" i="92"/>
  <c r="R38" i="92"/>
  <c r="J38" i="92"/>
  <c r="I38" i="92"/>
  <c r="W37" i="92"/>
  <c r="U37" i="92"/>
  <c r="V37" i="92" s="1"/>
  <c r="S37" i="92"/>
  <c r="R37" i="92"/>
  <c r="J37" i="92"/>
  <c r="I37" i="92"/>
  <c r="U36" i="92"/>
  <c r="V36" i="92" s="1"/>
  <c r="S36" i="92"/>
  <c r="R36" i="92"/>
  <c r="J36" i="92"/>
  <c r="I36" i="92"/>
  <c r="W36" i="92" s="1"/>
  <c r="W35" i="92"/>
  <c r="U35" i="92"/>
  <c r="V35" i="92" s="1"/>
  <c r="S35" i="92"/>
  <c r="R35" i="92"/>
  <c r="J35" i="92"/>
  <c r="I35" i="92"/>
  <c r="U34" i="92"/>
  <c r="V34" i="92" s="1"/>
  <c r="S34" i="92"/>
  <c r="R34" i="92"/>
  <c r="J34" i="92"/>
  <c r="I34" i="92"/>
  <c r="W34" i="92" s="1"/>
  <c r="W33" i="92"/>
  <c r="U33" i="92"/>
  <c r="V33" i="92" s="1"/>
  <c r="S33" i="92"/>
  <c r="R33" i="92"/>
  <c r="J33" i="92"/>
  <c r="I33" i="92"/>
  <c r="U32" i="92"/>
  <c r="V32" i="92" s="1"/>
  <c r="S32" i="92"/>
  <c r="R32" i="92"/>
  <c r="J32" i="92"/>
  <c r="I32" i="92"/>
  <c r="W32" i="92" s="1"/>
  <c r="U31" i="92"/>
  <c r="V31" i="92" s="1"/>
  <c r="S31" i="92"/>
  <c r="R31" i="92"/>
  <c r="J31" i="92"/>
  <c r="I31" i="92"/>
  <c r="W31" i="92" s="1"/>
  <c r="U30" i="92"/>
  <c r="V30" i="92" s="1"/>
  <c r="S30" i="92"/>
  <c r="R30" i="92"/>
  <c r="J30" i="92"/>
  <c r="I30" i="92"/>
  <c r="W30" i="92" s="1"/>
  <c r="W29" i="92"/>
  <c r="U29" i="92"/>
  <c r="V29" i="92" s="1"/>
  <c r="S29" i="92"/>
  <c r="R29" i="92"/>
  <c r="J29" i="92"/>
  <c r="I29" i="92"/>
  <c r="U28" i="92"/>
  <c r="V28" i="92" s="1"/>
  <c r="S28" i="92"/>
  <c r="R28" i="92"/>
  <c r="J28" i="92"/>
  <c r="I28" i="92"/>
  <c r="W28" i="92" s="1"/>
  <c r="W27" i="92"/>
  <c r="U27" i="92"/>
  <c r="V27" i="92" s="1"/>
  <c r="S27" i="92"/>
  <c r="R27" i="92"/>
  <c r="J27" i="92"/>
  <c r="I27" i="92"/>
  <c r="BE26" i="92"/>
  <c r="U26" i="92"/>
  <c r="V26" i="92" s="1"/>
  <c r="S26" i="92"/>
  <c r="R26" i="92"/>
  <c r="J26" i="92"/>
  <c r="I26" i="92"/>
  <c r="W26" i="92" s="1"/>
  <c r="U25" i="92"/>
  <c r="V25" i="92" s="1"/>
  <c r="S25" i="92"/>
  <c r="R25" i="92"/>
  <c r="J25" i="92"/>
  <c r="I25" i="92"/>
  <c r="U24" i="92"/>
  <c r="V24" i="92" s="1"/>
  <c r="S24" i="92"/>
  <c r="R24" i="92"/>
  <c r="J24" i="92"/>
  <c r="I24" i="92"/>
  <c r="W24" i="92" s="1"/>
  <c r="U23" i="92"/>
  <c r="V23" i="92" s="1"/>
  <c r="S23" i="92"/>
  <c r="R23" i="92"/>
  <c r="J23" i="92"/>
  <c r="I23" i="92"/>
  <c r="U22" i="92"/>
  <c r="V22" i="92" s="1"/>
  <c r="S22" i="92"/>
  <c r="R22" i="92"/>
  <c r="J22" i="92"/>
  <c r="I22" i="92"/>
  <c r="W22" i="92" s="1"/>
  <c r="U21" i="92"/>
  <c r="V21" i="92" s="1"/>
  <c r="S21" i="92"/>
  <c r="R21" i="92"/>
  <c r="J21" i="92"/>
  <c r="W21" i="92" s="1"/>
  <c r="I21" i="92"/>
  <c r="U20" i="92"/>
  <c r="V20" i="92" s="1"/>
  <c r="S20" i="92"/>
  <c r="R20" i="92"/>
  <c r="J20" i="92"/>
  <c r="I20" i="92"/>
  <c r="W20" i="92" s="1"/>
  <c r="U19" i="92"/>
  <c r="V19" i="92" s="1"/>
  <c r="S19" i="92"/>
  <c r="R19" i="92"/>
  <c r="J19" i="92"/>
  <c r="W19" i="92" s="1"/>
  <c r="I19" i="92"/>
  <c r="U18" i="92"/>
  <c r="V18" i="92" s="1"/>
  <c r="S18" i="92"/>
  <c r="R18" i="92"/>
  <c r="J18" i="92"/>
  <c r="I18" i="92"/>
  <c r="W18" i="92" s="1"/>
  <c r="U17" i="92"/>
  <c r="V17" i="92" s="1"/>
  <c r="S17" i="92"/>
  <c r="R17" i="92"/>
  <c r="J17" i="92"/>
  <c r="W17" i="92" s="1"/>
  <c r="I17" i="92"/>
  <c r="U16" i="92"/>
  <c r="V16" i="92" s="1"/>
  <c r="S16" i="92"/>
  <c r="R16" i="92"/>
  <c r="J16" i="92"/>
  <c r="I16" i="92"/>
  <c r="W16" i="92" s="1"/>
  <c r="U15" i="92"/>
  <c r="V15" i="92" s="1"/>
  <c r="S15" i="92"/>
  <c r="R15" i="92"/>
  <c r="J15" i="92"/>
  <c r="W15" i="92" s="1"/>
  <c r="I15" i="92"/>
  <c r="U14" i="92"/>
  <c r="V14" i="92" s="1"/>
  <c r="S14" i="92"/>
  <c r="R14" i="92"/>
  <c r="J14" i="92"/>
  <c r="I14" i="92"/>
  <c r="W14" i="92" s="1"/>
  <c r="U13" i="92"/>
  <c r="V13" i="92" s="1"/>
  <c r="S13" i="92"/>
  <c r="R13" i="92"/>
  <c r="J13" i="92"/>
  <c r="I13" i="92"/>
  <c r="U12" i="92"/>
  <c r="V12" i="92" s="1"/>
  <c r="S12" i="92"/>
  <c r="R12" i="92"/>
  <c r="J12" i="92"/>
  <c r="I12" i="92"/>
  <c r="W12" i="92" s="1"/>
  <c r="U11" i="92"/>
  <c r="V11" i="92" s="1"/>
  <c r="S11" i="92"/>
  <c r="R11" i="92"/>
  <c r="J11" i="92"/>
  <c r="I11" i="92"/>
  <c r="U10" i="92"/>
  <c r="V10" i="92" s="1"/>
  <c r="S10" i="92"/>
  <c r="R10" i="92"/>
  <c r="J10" i="92"/>
  <c r="I10" i="92"/>
  <c r="W10" i="92" s="1"/>
  <c r="A10" i="92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U9" i="92"/>
  <c r="V9" i="92" s="1"/>
  <c r="S9" i="92"/>
  <c r="R9" i="92"/>
  <c r="J9" i="92"/>
  <c r="I9" i="92"/>
  <c r="A9" i="92"/>
  <c r="U8" i="92"/>
  <c r="S8" i="92"/>
  <c r="R8" i="92"/>
  <c r="J8" i="92"/>
  <c r="I8" i="92"/>
  <c r="W8" i="92" s="1"/>
  <c r="Q60" i="91"/>
  <c r="P60" i="91"/>
  <c r="O60" i="91"/>
  <c r="N60" i="91"/>
  <c r="M60" i="91"/>
  <c r="L60" i="91"/>
  <c r="H60" i="91"/>
  <c r="G60" i="91"/>
  <c r="E60" i="91"/>
  <c r="D60" i="91"/>
  <c r="C60" i="91"/>
  <c r="S59" i="91"/>
  <c r="R59" i="91"/>
  <c r="J59" i="91"/>
  <c r="I59" i="91"/>
  <c r="S58" i="91"/>
  <c r="R58" i="91"/>
  <c r="J58" i="91"/>
  <c r="I58" i="91"/>
  <c r="S57" i="91"/>
  <c r="R57" i="91"/>
  <c r="J57" i="91"/>
  <c r="I57" i="91"/>
  <c r="S56" i="91"/>
  <c r="R56" i="91"/>
  <c r="J56" i="91"/>
  <c r="I56" i="91"/>
  <c r="S55" i="91"/>
  <c r="R55" i="91"/>
  <c r="J55" i="91"/>
  <c r="I55" i="91"/>
  <c r="V54" i="91"/>
  <c r="U54" i="91"/>
  <c r="S54" i="91"/>
  <c r="R54" i="91"/>
  <c r="J54" i="91"/>
  <c r="I54" i="91"/>
  <c r="W54" i="91" s="1"/>
  <c r="U53" i="91"/>
  <c r="V53" i="91" s="1"/>
  <c r="S53" i="91"/>
  <c r="R53" i="91"/>
  <c r="J53" i="91"/>
  <c r="I53" i="91"/>
  <c r="W53" i="91" s="1"/>
  <c r="V52" i="91"/>
  <c r="U52" i="91"/>
  <c r="S52" i="91"/>
  <c r="R52" i="91"/>
  <c r="J52" i="91"/>
  <c r="I52" i="91"/>
  <c r="W52" i="91" s="1"/>
  <c r="U51" i="91"/>
  <c r="V51" i="91" s="1"/>
  <c r="S51" i="91"/>
  <c r="R51" i="91"/>
  <c r="J51" i="91"/>
  <c r="I51" i="91"/>
  <c r="W51" i="91" s="1"/>
  <c r="V50" i="91"/>
  <c r="U50" i="91"/>
  <c r="S50" i="91"/>
  <c r="R50" i="91"/>
  <c r="J50" i="91"/>
  <c r="I50" i="91"/>
  <c r="W50" i="91" s="1"/>
  <c r="U49" i="91"/>
  <c r="V49" i="91" s="1"/>
  <c r="S49" i="91"/>
  <c r="R49" i="91"/>
  <c r="J49" i="91"/>
  <c r="I49" i="91"/>
  <c r="W49" i="91" s="1"/>
  <c r="U48" i="91"/>
  <c r="V48" i="91" s="1"/>
  <c r="S48" i="91"/>
  <c r="R48" i="91"/>
  <c r="J48" i="91"/>
  <c r="I48" i="91"/>
  <c r="U47" i="91"/>
  <c r="V47" i="91" s="1"/>
  <c r="S47" i="91"/>
  <c r="R47" i="91"/>
  <c r="J47" i="91"/>
  <c r="I47" i="91"/>
  <c r="W47" i="91" s="1"/>
  <c r="V46" i="91"/>
  <c r="U46" i="91"/>
  <c r="S46" i="91"/>
  <c r="R46" i="91"/>
  <c r="J46" i="91"/>
  <c r="I46" i="91"/>
  <c r="W46" i="91" s="1"/>
  <c r="S45" i="91"/>
  <c r="R45" i="91"/>
  <c r="J45" i="91"/>
  <c r="I45" i="91"/>
  <c r="U44" i="91"/>
  <c r="V44" i="91" s="1"/>
  <c r="S44" i="91"/>
  <c r="R44" i="91"/>
  <c r="J44" i="91"/>
  <c r="I44" i="91"/>
  <c r="S43" i="91"/>
  <c r="R43" i="91"/>
  <c r="J43" i="91"/>
  <c r="I43" i="91"/>
  <c r="W42" i="91"/>
  <c r="U42" i="91"/>
  <c r="V42" i="91" s="1"/>
  <c r="S42" i="91"/>
  <c r="R42" i="91"/>
  <c r="J42" i="91"/>
  <c r="I42" i="91"/>
  <c r="U41" i="91"/>
  <c r="V41" i="91" s="1"/>
  <c r="S41" i="91"/>
  <c r="R41" i="91"/>
  <c r="J41" i="91"/>
  <c r="I41" i="91"/>
  <c r="W40" i="91"/>
  <c r="V40" i="91"/>
  <c r="U40" i="91"/>
  <c r="S40" i="91"/>
  <c r="R40" i="91"/>
  <c r="J40" i="91"/>
  <c r="I40" i="91"/>
  <c r="U39" i="91"/>
  <c r="V39" i="91" s="1"/>
  <c r="S39" i="91"/>
  <c r="R39" i="91"/>
  <c r="J39" i="91"/>
  <c r="I39" i="91"/>
  <c r="W39" i="91" s="1"/>
  <c r="U38" i="91"/>
  <c r="V38" i="91" s="1"/>
  <c r="S38" i="91"/>
  <c r="R38" i="91"/>
  <c r="J38" i="91"/>
  <c r="I38" i="91"/>
  <c r="W37" i="91"/>
  <c r="U37" i="91"/>
  <c r="V37" i="91" s="1"/>
  <c r="S37" i="91"/>
  <c r="R37" i="91"/>
  <c r="J37" i="91"/>
  <c r="I37" i="91"/>
  <c r="W36" i="91"/>
  <c r="V36" i="91"/>
  <c r="U36" i="91"/>
  <c r="S36" i="91"/>
  <c r="R36" i="91"/>
  <c r="J36" i="91"/>
  <c r="I36" i="91"/>
  <c r="W35" i="91"/>
  <c r="U35" i="91"/>
  <c r="V35" i="91" s="1"/>
  <c r="S35" i="91"/>
  <c r="R35" i="91"/>
  <c r="J35" i="91"/>
  <c r="I35" i="91"/>
  <c r="W34" i="91"/>
  <c r="V34" i="91"/>
  <c r="U34" i="91"/>
  <c r="S34" i="91"/>
  <c r="R34" i="91"/>
  <c r="J34" i="91"/>
  <c r="I34" i="91"/>
  <c r="W33" i="91"/>
  <c r="U33" i="91"/>
  <c r="V33" i="91" s="1"/>
  <c r="S33" i="91"/>
  <c r="R33" i="91"/>
  <c r="J33" i="91"/>
  <c r="I33" i="91"/>
  <c r="W32" i="91"/>
  <c r="V32" i="91"/>
  <c r="U32" i="91"/>
  <c r="S32" i="91"/>
  <c r="R32" i="91"/>
  <c r="J32" i="91"/>
  <c r="I32" i="91"/>
  <c r="U31" i="91"/>
  <c r="V31" i="91" s="1"/>
  <c r="S31" i="91"/>
  <c r="R31" i="91"/>
  <c r="J31" i="91"/>
  <c r="I31" i="91"/>
  <c r="W31" i="91" s="1"/>
  <c r="W30" i="91"/>
  <c r="V30" i="91"/>
  <c r="U30" i="91"/>
  <c r="S30" i="91"/>
  <c r="R30" i="91"/>
  <c r="J30" i="91"/>
  <c r="I30" i="91"/>
  <c r="U29" i="91"/>
  <c r="V29" i="91" s="1"/>
  <c r="S29" i="91"/>
  <c r="R29" i="91"/>
  <c r="J29" i="91"/>
  <c r="I29" i="91"/>
  <c r="W29" i="91" s="1"/>
  <c r="W28" i="91"/>
  <c r="V28" i="91"/>
  <c r="U28" i="91"/>
  <c r="S28" i="91"/>
  <c r="R28" i="91"/>
  <c r="J28" i="91"/>
  <c r="I28" i="91"/>
  <c r="W27" i="91"/>
  <c r="U27" i="91"/>
  <c r="V27" i="91" s="1"/>
  <c r="S27" i="91"/>
  <c r="R27" i="91"/>
  <c r="J27" i="91"/>
  <c r="I27" i="91"/>
  <c r="BE26" i="91"/>
  <c r="U26" i="91"/>
  <c r="V26" i="91" s="1"/>
  <c r="S26" i="91"/>
  <c r="R26" i="91"/>
  <c r="J26" i="91"/>
  <c r="I26" i="91"/>
  <c r="V25" i="91"/>
  <c r="U25" i="91"/>
  <c r="S25" i="91"/>
  <c r="R25" i="91"/>
  <c r="J25" i="91"/>
  <c r="I25" i="91"/>
  <c r="W25" i="91" s="1"/>
  <c r="U24" i="91"/>
  <c r="V24" i="91" s="1"/>
  <c r="S24" i="91"/>
  <c r="R24" i="91"/>
  <c r="J24" i="91"/>
  <c r="I24" i="91"/>
  <c r="W24" i="91" s="1"/>
  <c r="V23" i="91"/>
  <c r="U23" i="91"/>
  <c r="S23" i="91"/>
  <c r="R23" i="91"/>
  <c r="J23" i="91"/>
  <c r="I23" i="91"/>
  <c r="W23" i="91" s="1"/>
  <c r="V22" i="91"/>
  <c r="U22" i="91"/>
  <c r="S22" i="91"/>
  <c r="R22" i="91"/>
  <c r="J22" i="91"/>
  <c r="I22" i="91"/>
  <c r="W22" i="91" s="1"/>
  <c r="V21" i="91"/>
  <c r="U21" i="91"/>
  <c r="S21" i="91"/>
  <c r="R21" i="91"/>
  <c r="J21" i="91"/>
  <c r="I21" i="91"/>
  <c r="W21" i="91" s="1"/>
  <c r="W20" i="91"/>
  <c r="V20" i="91"/>
  <c r="U20" i="91"/>
  <c r="S20" i="91"/>
  <c r="R20" i="91"/>
  <c r="J20" i="91"/>
  <c r="I20" i="91"/>
  <c r="V19" i="91"/>
  <c r="U19" i="91"/>
  <c r="S19" i="91"/>
  <c r="R19" i="91"/>
  <c r="J19" i="91"/>
  <c r="I19" i="91"/>
  <c r="W19" i="91" s="1"/>
  <c r="W18" i="91"/>
  <c r="V18" i="91"/>
  <c r="U18" i="91"/>
  <c r="S18" i="91"/>
  <c r="R18" i="91"/>
  <c r="J18" i="91"/>
  <c r="I18" i="91"/>
  <c r="V17" i="91"/>
  <c r="U17" i="91"/>
  <c r="S17" i="91"/>
  <c r="R17" i="91"/>
  <c r="J17" i="91"/>
  <c r="I17" i="91"/>
  <c r="W17" i="91" s="1"/>
  <c r="W16" i="91"/>
  <c r="U16" i="91"/>
  <c r="V16" i="91" s="1"/>
  <c r="S16" i="91"/>
  <c r="R16" i="91"/>
  <c r="J16" i="91"/>
  <c r="I16" i="91"/>
  <c r="V15" i="91"/>
  <c r="U15" i="91"/>
  <c r="S15" i="91"/>
  <c r="R15" i="91"/>
  <c r="J15" i="91"/>
  <c r="I15" i="91"/>
  <c r="W15" i="91" s="1"/>
  <c r="U14" i="91"/>
  <c r="V14" i="91" s="1"/>
  <c r="S14" i="91"/>
  <c r="R14" i="91"/>
  <c r="J14" i="91"/>
  <c r="I14" i="91"/>
  <c r="W14" i="91" s="1"/>
  <c r="U13" i="91"/>
  <c r="V13" i="91" s="1"/>
  <c r="S13" i="91"/>
  <c r="R13" i="91"/>
  <c r="J13" i="91"/>
  <c r="I13" i="91"/>
  <c r="W12" i="91"/>
  <c r="U12" i="91"/>
  <c r="V12" i="91" s="1"/>
  <c r="S12" i="91"/>
  <c r="R12" i="91"/>
  <c r="J12" i="91"/>
  <c r="I12" i="91"/>
  <c r="V11" i="91"/>
  <c r="U11" i="91"/>
  <c r="S11" i="91"/>
  <c r="R11" i="91"/>
  <c r="J11" i="91"/>
  <c r="I11" i="91"/>
  <c r="W11" i="91" s="1"/>
  <c r="W10" i="91"/>
  <c r="U10" i="91"/>
  <c r="V10" i="91" s="1"/>
  <c r="S10" i="91"/>
  <c r="R10" i="91"/>
  <c r="J10" i="91"/>
  <c r="I10" i="91"/>
  <c r="U9" i="91"/>
  <c r="V9" i="91" s="1"/>
  <c r="S9" i="91"/>
  <c r="R9" i="91"/>
  <c r="J9" i="91"/>
  <c r="I9" i="91"/>
  <c r="W9" i="91" s="1"/>
  <c r="A9" i="9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A38" i="91" s="1"/>
  <c r="A39" i="91" s="1"/>
  <c r="A40" i="91" s="1"/>
  <c r="A41" i="91" s="1"/>
  <c r="A42" i="91" s="1"/>
  <c r="A43" i="91" s="1"/>
  <c r="A44" i="91" s="1"/>
  <c r="A45" i="91" s="1"/>
  <c r="A46" i="91" s="1"/>
  <c r="A47" i="91" s="1"/>
  <c r="A48" i="91" s="1"/>
  <c r="A49" i="91" s="1"/>
  <c r="A50" i="91" s="1"/>
  <c r="A51" i="91" s="1"/>
  <c r="A52" i="91" s="1"/>
  <c r="A53" i="91" s="1"/>
  <c r="A54" i="91" s="1"/>
  <c r="A55" i="91" s="1"/>
  <c r="A56" i="91" s="1"/>
  <c r="A57" i="91" s="1"/>
  <c r="A58" i="91" s="1"/>
  <c r="A59" i="91" s="1"/>
  <c r="U8" i="91"/>
  <c r="S8" i="91"/>
  <c r="R8" i="91"/>
  <c r="J8" i="91"/>
  <c r="I8" i="91"/>
  <c r="W48" i="93" l="1"/>
  <c r="W44" i="93"/>
  <c r="W41" i="93"/>
  <c r="W38" i="93"/>
  <c r="W35" i="93"/>
  <c r="W26" i="93"/>
  <c r="W24" i="93"/>
  <c r="W22" i="93"/>
  <c r="W20" i="93"/>
  <c r="W18" i="93"/>
  <c r="S60" i="93"/>
  <c r="R60" i="93"/>
  <c r="U60" i="93"/>
  <c r="W14" i="93"/>
  <c r="W13" i="93"/>
  <c r="W12" i="93"/>
  <c r="I60" i="93"/>
  <c r="W8" i="93"/>
  <c r="W52" i="92"/>
  <c r="W48" i="92"/>
  <c r="W44" i="92"/>
  <c r="W41" i="92"/>
  <c r="J60" i="92"/>
  <c r="W38" i="92"/>
  <c r="R60" i="92"/>
  <c r="W25" i="92"/>
  <c r="W23" i="92"/>
  <c r="W13" i="92"/>
  <c r="U60" i="92"/>
  <c r="W11" i="92"/>
  <c r="W9" i="92"/>
  <c r="S60" i="92"/>
  <c r="W48" i="91"/>
  <c r="W44" i="91"/>
  <c r="W41" i="91"/>
  <c r="W38" i="91"/>
  <c r="W26" i="91"/>
  <c r="S60" i="91"/>
  <c r="U60" i="91"/>
  <c r="W13" i="91"/>
  <c r="W60" i="91" s="1"/>
  <c r="J60" i="91"/>
  <c r="I60" i="91"/>
  <c r="R60" i="91"/>
  <c r="W8" i="91"/>
  <c r="J60" i="93"/>
  <c r="V8" i="93"/>
  <c r="V60" i="93" s="1"/>
  <c r="I60" i="92"/>
  <c r="V8" i="92"/>
  <c r="V60" i="92" s="1"/>
  <c r="V8" i="91"/>
  <c r="V60" i="91" s="1"/>
  <c r="Q60" i="90"/>
  <c r="P60" i="90"/>
  <c r="O60" i="90"/>
  <c r="N60" i="90"/>
  <c r="M60" i="90"/>
  <c r="L60" i="90"/>
  <c r="H60" i="90"/>
  <c r="G60" i="90"/>
  <c r="E60" i="90"/>
  <c r="D60" i="90"/>
  <c r="C60" i="90"/>
  <c r="S59" i="90"/>
  <c r="R59" i="90"/>
  <c r="J59" i="90"/>
  <c r="I59" i="90"/>
  <c r="S58" i="90"/>
  <c r="R58" i="90"/>
  <c r="J58" i="90"/>
  <c r="I58" i="90"/>
  <c r="S57" i="90"/>
  <c r="R57" i="90"/>
  <c r="J57" i="90"/>
  <c r="I57" i="90"/>
  <c r="S56" i="90"/>
  <c r="R56" i="90"/>
  <c r="J56" i="90"/>
  <c r="I56" i="90"/>
  <c r="S55" i="90"/>
  <c r="R55" i="90"/>
  <c r="J55" i="90"/>
  <c r="I55" i="90"/>
  <c r="U54" i="90"/>
  <c r="V54" i="90" s="1"/>
  <c r="S54" i="90"/>
  <c r="R54" i="90"/>
  <c r="J54" i="90"/>
  <c r="I54" i="90"/>
  <c r="U53" i="90"/>
  <c r="V53" i="90" s="1"/>
  <c r="S53" i="90"/>
  <c r="R53" i="90"/>
  <c r="J53" i="90"/>
  <c r="I53" i="90"/>
  <c r="W53" i="90" s="1"/>
  <c r="U52" i="90"/>
  <c r="V52" i="90" s="1"/>
  <c r="S52" i="90"/>
  <c r="R52" i="90"/>
  <c r="J52" i="90"/>
  <c r="I52" i="90"/>
  <c r="W52" i="90" s="1"/>
  <c r="U51" i="90"/>
  <c r="V51" i="90" s="1"/>
  <c r="S51" i="90"/>
  <c r="R51" i="90"/>
  <c r="J51" i="90"/>
  <c r="I51" i="90"/>
  <c r="W51" i="90" s="1"/>
  <c r="U50" i="90"/>
  <c r="V50" i="90" s="1"/>
  <c r="S50" i="90"/>
  <c r="R50" i="90"/>
  <c r="J50" i="90"/>
  <c r="I50" i="90"/>
  <c r="W50" i="90" s="1"/>
  <c r="U49" i="90"/>
  <c r="V49" i="90" s="1"/>
  <c r="S49" i="90"/>
  <c r="R49" i="90"/>
  <c r="J49" i="90"/>
  <c r="I49" i="90"/>
  <c r="U48" i="90"/>
  <c r="V48" i="90" s="1"/>
  <c r="S48" i="90"/>
  <c r="R48" i="90"/>
  <c r="J48" i="90"/>
  <c r="I48" i="90"/>
  <c r="U47" i="90"/>
  <c r="V47" i="90" s="1"/>
  <c r="S47" i="90"/>
  <c r="R47" i="90"/>
  <c r="J47" i="90"/>
  <c r="I47" i="90"/>
  <c r="W47" i="90" s="1"/>
  <c r="U46" i="90"/>
  <c r="V46" i="90" s="1"/>
  <c r="S46" i="90"/>
  <c r="R46" i="90"/>
  <c r="J46" i="90"/>
  <c r="I46" i="90"/>
  <c r="W46" i="90" s="1"/>
  <c r="S45" i="90"/>
  <c r="R45" i="90"/>
  <c r="J45" i="90"/>
  <c r="I45" i="90"/>
  <c r="U44" i="90"/>
  <c r="V44" i="90" s="1"/>
  <c r="S44" i="90"/>
  <c r="R44" i="90"/>
  <c r="J44" i="90"/>
  <c r="I44" i="90"/>
  <c r="S43" i="90"/>
  <c r="R43" i="90"/>
  <c r="J43" i="90"/>
  <c r="I43" i="90"/>
  <c r="U42" i="90"/>
  <c r="V42" i="90" s="1"/>
  <c r="S42" i="90"/>
  <c r="R42" i="90"/>
  <c r="J42" i="90"/>
  <c r="W42" i="90" s="1"/>
  <c r="I42" i="90"/>
  <c r="U41" i="90"/>
  <c r="V41" i="90" s="1"/>
  <c r="S41" i="90"/>
  <c r="R41" i="90"/>
  <c r="J41" i="90"/>
  <c r="I41" i="90"/>
  <c r="W41" i="90" s="1"/>
  <c r="V40" i="90"/>
  <c r="U40" i="90"/>
  <c r="S40" i="90"/>
  <c r="R40" i="90"/>
  <c r="J40" i="90"/>
  <c r="I40" i="90"/>
  <c r="W40" i="90" s="1"/>
  <c r="W39" i="90"/>
  <c r="U39" i="90"/>
  <c r="V39" i="90" s="1"/>
  <c r="S39" i="90"/>
  <c r="R39" i="90"/>
  <c r="J39" i="90"/>
  <c r="I39" i="90"/>
  <c r="U38" i="90"/>
  <c r="V38" i="90" s="1"/>
  <c r="S38" i="90"/>
  <c r="R38" i="90"/>
  <c r="J38" i="90"/>
  <c r="I38" i="90"/>
  <c r="W38" i="90" s="1"/>
  <c r="U37" i="90"/>
  <c r="V37" i="90" s="1"/>
  <c r="S37" i="90"/>
  <c r="R37" i="90"/>
  <c r="J37" i="90"/>
  <c r="W37" i="90" s="1"/>
  <c r="I37" i="90"/>
  <c r="U36" i="90"/>
  <c r="V36" i="90" s="1"/>
  <c r="S36" i="90"/>
  <c r="R36" i="90"/>
  <c r="J36" i="90"/>
  <c r="I36" i="90"/>
  <c r="W36" i="90" s="1"/>
  <c r="U35" i="90"/>
  <c r="V35" i="90" s="1"/>
  <c r="S35" i="90"/>
  <c r="R35" i="90"/>
  <c r="J35" i="90"/>
  <c r="I35" i="90"/>
  <c r="W35" i="90" s="1"/>
  <c r="W34" i="90"/>
  <c r="U34" i="90"/>
  <c r="V34" i="90" s="1"/>
  <c r="S34" i="90"/>
  <c r="R34" i="90"/>
  <c r="J34" i="90"/>
  <c r="I34" i="90"/>
  <c r="U33" i="90"/>
  <c r="V33" i="90" s="1"/>
  <c r="S33" i="90"/>
  <c r="R33" i="90"/>
  <c r="J33" i="90"/>
  <c r="I33" i="90"/>
  <c r="W33" i="90" s="1"/>
  <c r="W32" i="90"/>
  <c r="U32" i="90"/>
  <c r="V32" i="90" s="1"/>
  <c r="S32" i="90"/>
  <c r="R32" i="90"/>
  <c r="J32" i="90"/>
  <c r="I32" i="90"/>
  <c r="U31" i="90"/>
  <c r="V31" i="90" s="1"/>
  <c r="S31" i="90"/>
  <c r="R31" i="90"/>
  <c r="J31" i="90"/>
  <c r="I31" i="90"/>
  <c r="W31" i="90" s="1"/>
  <c r="V30" i="90"/>
  <c r="U30" i="90"/>
  <c r="S30" i="90"/>
  <c r="R30" i="90"/>
  <c r="J30" i="90"/>
  <c r="I30" i="90"/>
  <c r="W30" i="90" s="1"/>
  <c r="W29" i="90"/>
  <c r="U29" i="90"/>
  <c r="V29" i="90" s="1"/>
  <c r="S29" i="90"/>
  <c r="R29" i="90"/>
  <c r="J29" i="90"/>
  <c r="I29" i="90"/>
  <c r="U28" i="90"/>
  <c r="V28" i="90" s="1"/>
  <c r="S28" i="90"/>
  <c r="R28" i="90"/>
  <c r="J28" i="90"/>
  <c r="I28" i="90"/>
  <c r="W28" i="90" s="1"/>
  <c r="W27" i="90"/>
  <c r="U27" i="90"/>
  <c r="V27" i="90" s="1"/>
  <c r="S27" i="90"/>
  <c r="R27" i="90"/>
  <c r="J27" i="90"/>
  <c r="I27" i="90"/>
  <c r="BE26" i="90"/>
  <c r="U26" i="90"/>
  <c r="V26" i="90" s="1"/>
  <c r="S26" i="90"/>
  <c r="R26" i="90"/>
  <c r="J26" i="90"/>
  <c r="I26" i="90"/>
  <c r="W26" i="90" s="1"/>
  <c r="U25" i="90"/>
  <c r="V25" i="90" s="1"/>
  <c r="S25" i="90"/>
  <c r="R25" i="90"/>
  <c r="J25" i="90"/>
  <c r="I25" i="90"/>
  <c r="W25" i="90" s="1"/>
  <c r="W24" i="90"/>
  <c r="U24" i="90"/>
  <c r="V24" i="90" s="1"/>
  <c r="S24" i="90"/>
  <c r="R24" i="90"/>
  <c r="J24" i="90"/>
  <c r="I24" i="90"/>
  <c r="U23" i="90"/>
  <c r="V23" i="90" s="1"/>
  <c r="S23" i="90"/>
  <c r="R23" i="90"/>
  <c r="J23" i="90"/>
  <c r="I23" i="90"/>
  <c r="U22" i="90"/>
  <c r="V22" i="90" s="1"/>
  <c r="S22" i="90"/>
  <c r="R22" i="90"/>
  <c r="J22" i="90"/>
  <c r="W22" i="90" s="1"/>
  <c r="I22" i="90"/>
  <c r="U21" i="90"/>
  <c r="V21" i="90" s="1"/>
  <c r="S21" i="90"/>
  <c r="R21" i="90"/>
  <c r="J21" i="90"/>
  <c r="I21" i="90"/>
  <c r="W21" i="90" s="1"/>
  <c r="U20" i="90"/>
  <c r="V20" i="90" s="1"/>
  <c r="S20" i="90"/>
  <c r="R20" i="90"/>
  <c r="J20" i="90"/>
  <c r="I20" i="90"/>
  <c r="W20" i="90" s="1"/>
  <c r="V19" i="90"/>
  <c r="U19" i="90"/>
  <c r="S19" i="90"/>
  <c r="R19" i="90"/>
  <c r="J19" i="90"/>
  <c r="I19" i="90"/>
  <c r="W19" i="90" s="1"/>
  <c r="U18" i="90"/>
  <c r="V18" i="90" s="1"/>
  <c r="S18" i="90"/>
  <c r="R18" i="90"/>
  <c r="J18" i="90"/>
  <c r="I18" i="90"/>
  <c r="W18" i="90" s="1"/>
  <c r="U17" i="90"/>
  <c r="V17" i="90" s="1"/>
  <c r="S17" i="90"/>
  <c r="R17" i="90"/>
  <c r="J17" i="90"/>
  <c r="I17" i="90"/>
  <c r="W17" i="90" s="1"/>
  <c r="W16" i="90"/>
  <c r="U16" i="90"/>
  <c r="V16" i="90" s="1"/>
  <c r="S16" i="90"/>
  <c r="R16" i="90"/>
  <c r="J16" i="90"/>
  <c r="I16" i="90"/>
  <c r="U15" i="90"/>
  <c r="V15" i="90" s="1"/>
  <c r="S15" i="90"/>
  <c r="R15" i="90"/>
  <c r="J15" i="90"/>
  <c r="I15" i="90"/>
  <c r="U14" i="90"/>
  <c r="V14" i="90" s="1"/>
  <c r="S14" i="90"/>
  <c r="R14" i="90"/>
  <c r="J14" i="90"/>
  <c r="W14" i="90" s="1"/>
  <c r="I14" i="90"/>
  <c r="U13" i="90"/>
  <c r="V13" i="90" s="1"/>
  <c r="S13" i="90"/>
  <c r="R13" i="90"/>
  <c r="J13" i="90"/>
  <c r="I13" i="90"/>
  <c r="W13" i="90" s="1"/>
  <c r="U12" i="90"/>
  <c r="V12" i="90" s="1"/>
  <c r="S12" i="90"/>
  <c r="R12" i="90"/>
  <c r="J12" i="90"/>
  <c r="I12" i="90"/>
  <c r="W12" i="90" s="1"/>
  <c r="U11" i="90"/>
  <c r="V11" i="90" s="1"/>
  <c r="S11" i="90"/>
  <c r="R11" i="90"/>
  <c r="J11" i="90"/>
  <c r="I11" i="90"/>
  <c r="U10" i="90"/>
  <c r="V10" i="90" s="1"/>
  <c r="S10" i="90"/>
  <c r="R10" i="90"/>
  <c r="J10" i="90"/>
  <c r="I10" i="90"/>
  <c r="W10" i="90" s="1"/>
  <c r="U9" i="90"/>
  <c r="V9" i="90" s="1"/>
  <c r="S9" i="90"/>
  <c r="R9" i="90"/>
  <c r="J9" i="90"/>
  <c r="I9" i="90"/>
  <c r="W9" i="90" s="1"/>
  <c r="A9" i="90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A47" i="90" s="1"/>
  <c r="A48" i="90" s="1"/>
  <c r="A49" i="90" s="1"/>
  <c r="A50" i="90" s="1"/>
  <c r="A51" i="90" s="1"/>
  <c r="A52" i="90" s="1"/>
  <c r="A53" i="90" s="1"/>
  <c r="A54" i="90" s="1"/>
  <c r="A55" i="90" s="1"/>
  <c r="A56" i="90" s="1"/>
  <c r="A57" i="90" s="1"/>
  <c r="A58" i="90" s="1"/>
  <c r="A59" i="90" s="1"/>
  <c r="W8" i="90"/>
  <c r="U8" i="90"/>
  <c r="S8" i="90"/>
  <c r="R8" i="90"/>
  <c r="J8" i="90"/>
  <c r="I8" i="90"/>
  <c r="W60" i="93" l="1"/>
  <c r="W60" i="92"/>
  <c r="S60" i="90"/>
  <c r="R60" i="90"/>
  <c r="U60" i="90"/>
  <c r="W49" i="90"/>
  <c r="W15" i="90"/>
  <c r="W23" i="90"/>
  <c r="W44" i="90"/>
  <c r="W54" i="90"/>
  <c r="I60" i="90"/>
  <c r="J60" i="90"/>
  <c r="W48" i="90"/>
  <c r="W11" i="90"/>
  <c r="W60" i="90"/>
  <c r="V8" i="90"/>
  <c r="V60" i="90" s="1"/>
  <c r="BE26" i="89"/>
  <c r="A9" i="89"/>
  <c r="A10" i="89" s="1"/>
  <c r="A11" i="89" s="1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  <c r="Q60" i="87" l="1"/>
  <c r="P60" i="87"/>
  <c r="O60" i="87"/>
  <c r="N60" i="87"/>
  <c r="M60" i="87"/>
  <c r="L60" i="87"/>
  <c r="H60" i="87"/>
  <c r="G60" i="87"/>
  <c r="E60" i="87"/>
  <c r="D60" i="87"/>
  <c r="C60" i="87"/>
  <c r="S59" i="87"/>
  <c r="R59" i="87"/>
  <c r="J59" i="87"/>
  <c r="I59" i="87"/>
  <c r="S58" i="87"/>
  <c r="R58" i="87"/>
  <c r="J58" i="87"/>
  <c r="I58" i="87"/>
  <c r="S57" i="87"/>
  <c r="R57" i="87"/>
  <c r="J57" i="87"/>
  <c r="I57" i="87"/>
  <c r="S56" i="87"/>
  <c r="R56" i="87"/>
  <c r="J56" i="87"/>
  <c r="I56" i="87"/>
  <c r="S55" i="87"/>
  <c r="R55" i="87"/>
  <c r="J55" i="87"/>
  <c r="I55" i="87"/>
  <c r="U54" i="87"/>
  <c r="V54" i="87" s="1"/>
  <c r="S54" i="87"/>
  <c r="R54" i="87"/>
  <c r="J54" i="87"/>
  <c r="I54" i="87"/>
  <c r="W54" i="87" s="1"/>
  <c r="V53" i="87"/>
  <c r="U53" i="87"/>
  <c r="S53" i="87"/>
  <c r="R53" i="87"/>
  <c r="J53" i="87"/>
  <c r="I53" i="87"/>
  <c r="W53" i="87" s="1"/>
  <c r="W52" i="87"/>
  <c r="U52" i="87"/>
  <c r="V52" i="87" s="1"/>
  <c r="S52" i="87"/>
  <c r="R52" i="87"/>
  <c r="J52" i="87"/>
  <c r="I52" i="87"/>
  <c r="V51" i="87"/>
  <c r="U51" i="87"/>
  <c r="S51" i="87"/>
  <c r="R51" i="87"/>
  <c r="J51" i="87"/>
  <c r="I51" i="87"/>
  <c r="W51" i="87" s="1"/>
  <c r="W50" i="87"/>
  <c r="U50" i="87"/>
  <c r="V50" i="87" s="1"/>
  <c r="S50" i="87"/>
  <c r="R50" i="87"/>
  <c r="J50" i="87"/>
  <c r="I50" i="87"/>
  <c r="U49" i="87"/>
  <c r="V49" i="87" s="1"/>
  <c r="S49" i="87"/>
  <c r="R49" i="87"/>
  <c r="J49" i="87"/>
  <c r="I49" i="87"/>
  <c r="W49" i="87" s="1"/>
  <c r="U48" i="87"/>
  <c r="V48" i="87" s="1"/>
  <c r="S48" i="87"/>
  <c r="R48" i="87"/>
  <c r="J48" i="87"/>
  <c r="I48" i="87"/>
  <c r="V47" i="87"/>
  <c r="U47" i="87"/>
  <c r="S47" i="87"/>
  <c r="R47" i="87"/>
  <c r="J47" i="87"/>
  <c r="I47" i="87"/>
  <c r="W47" i="87" s="1"/>
  <c r="W46" i="87"/>
  <c r="U46" i="87"/>
  <c r="V46" i="87" s="1"/>
  <c r="S46" i="87"/>
  <c r="R46" i="87"/>
  <c r="J46" i="87"/>
  <c r="I46" i="87"/>
  <c r="S45" i="87"/>
  <c r="R45" i="87"/>
  <c r="J45" i="87"/>
  <c r="I45" i="87"/>
  <c r="U44" i="87"/>
  <c r="V44" i="87" s="1"/>
  <c r="S44" i="87"/>
  <c r="R44" i="87"/>
  <c r="J44" i="87"/>
  <c r="I44" i="87"/>
  <c r="S43" i="87"/>
  <c r="R43" i="87"/>
  <c r="J43" i="87"/>
  <c r="I43" i="87"/>
  <c r="U42" i="87"/>
  <c r="V42" i="87" s="1"/>
  <c r="S42" i="87"/>
  <c r="R42" i="87"/>
  <c r="J42" i="87"/>
  <c r="I42" i="87"/>
  <c r="W42" i="87" s="1"/>
  <c r="U41" i="87"/>
  <c r="V41" i="87" s="1"/>
  <c r="S41" i="87"/>
  <c r="R41" i="87"/>
  <c r="J41" i="87"/>
  <c r="I41" i="87"/>
  <c r="W41" i="87" s="1"/>
  <c r="V40" i="87"/>
  <c r="U40" i="87"/>
  <c r="S40" i="87"/>
  <c r="R40" i="87"/>
  <c r="J40" i="87"/>
  <c r="I40" i="87"/>
  <c r="W40" i="87" s="1"/>
  <c r="U39" i="87"/>
  <c r="V39" i="87" s="1"/>
  <c r="S39" i="87"/>
  <c r="R39" i="87"/>
  <c r="J39" i="87"/>
  <c r="I39" i="87"/>
  <c r="W39" i="87" s="1"/>
  <c r="U38" i="87"/>
  <c r="V38" i="87" s="1"/>
  <c r="S38" i="87"/>
  <c r="R38" i="87"/>
  <c r="J38" i="87"/>
  <c r="I38" i="87"/>
  <c r="W37" i="87"/>
  <c r="U37" i="87"/>
  <c r="V37" i="87" s="1"/>
  <c r="S37" i="87"/>
  <c r="R37" i="87"/>
  <c r="J37" i="87"/>
  <c r="I37" i="87"/>
  <c r="V36" i="87"/>
  <c r="U36" i="87"/>
  <c r="S36" i="87"/>
  <c r="R36" i="87"/>
  <c r="J36" i="87"/>
  <c r="I36" i="87"/>
  <c r="W36" i="87" s="1"/>
  <c r="W35" i="87"/>
  <c r="U35" i="87"/>
  <c r="V35" i="87" s="1"/>
  <c r="S35" i="87"/>
  <c r="R35" i="87"/>
  <c r="J35" i="87"/>
  <c r="I35" i="87"/>
  <c r="V34" i="87"/>
  <c r="U34" i="87"/>
  <c r="S34" i="87"/>
  <c r="R34" i="87"/>
  <c r="J34" i="87"/>
  <c r="I34" i="87"/>
  <c r="W34" i="87" s="1"/>
  <c r="W33" i="87"/>
  <c r="U33" i="87"/>
  <c r="V33" i="87" s="1"/>
  <c r="S33" i="87"/>
  <c r="R33" i="87"/>
  <c r="J33" i="87"/>
  <c r="I33" i="87"/>
  <c r="V32" i="87"/>
  <c r="U32" i="87"/>
  <c r="S32" i="87"/>
  <c r="R32" i="87"/>
  <c r="J32" i="87"/>
  <c r="I32" i="87"/>
  <c r="W32" i="87" s="1"/>
  <c r="U31" i="87"/>
  <c r="V31" i="87" s="1"/>
  <c r="S31" i="87"/>
  <c r="R31" i="87"/>
  <c r="J31" i="87"/>
  <c r="I31" i="87"/>
  <c r="W31" i="87" s="1"/>
  <c r="V30" i="87"/>
  <c r="U30" i="87"/>
  <c r="S30" i="87"/>
  <c r="R30" i="87"/>
  <c r="J30" i="87"/>
  <c r="I30" i="87"/>
  <c r="W30" i="87" s="1"/>
  <c r="U29" i="87"/>
  <c r="V29" i="87" s="1"/>
  <c r="S29" i="87"/>
  <c r="R29" i="87"/>
  <c r="J29" i="87"/>
  <c r="I29" i="87"/>
  <c r="W29" i="87" s="1"/>
  <c r="V28" i="87"/>
  <c r="U28" i="87"/>
  <c r="S28" i="87"/>
  <c r="R28" i="87"/>
  <c r="J28" i="87"/>
  <c r="I28" i="87"/>
  <c r="W28" i="87" s="1"/>
  <c r="W27" i="87"/>
  <c r="U27" i="87"/>
  <c r="V27" i="87" s="1"/>
  <c r="S27" i="87"/>
  <c r="R27" i="87"/>
  <c r="J27" i="87"/>
  <c r="I27" i="87"/>
  <c r="BE26" i="87"/>
  <c r="U26" i="87"/>
  <c r="V26" i="87" s="1"/>
  <c r="S26" i="87"/>
  <c r="R26" i="87"/>
  <c r="J26" i="87"/>
  <c r="I26" i="87"/>
  <c r="V25" i="87"/>
  <c r="U25" i="87"/>
  <c r="S25" i="87"/>
  <c r="R25" i="87"/>
  <c r="J25" i="87"/>
  <c r="I25" i="87"/>
  <c r="W25" i="87" s="1"/>
  <c r="U24" i="87"/>
  <c r="V24" i="87" s="1"/>
  <c r="S24" i="87"/>
  <c r="R24" i="87"/>
  <c r="J24" i="87"/>
  <c r="I24" i="87"/>
  <c r="W24" i="87" s="1"/>
  <c r="V23" i="87"/>
  <c r="U23" i="87"/>
  <c r="S23" i="87"/>
  <c r="R23" i="87"/>
  <c r="J23" i="87"/>
  <c r="I23" i="87"/>
  <c r="W23" i="87" s="1"/>
  <c r="U22" i="87"/>
  <c r="V22" i="87" s="1"/>
  <c r="S22" i="87"/>
  <c r="R22" i="87"/>
  <c r="J22" i="87"/>
  <c r="I22" i="87"/>
  <c r="W22" i="87" s="1"/>
  <c r="V21" i="87"/>
  <c r="U21" i="87"/>
  <c r="S21" i="87"/>
  <c r="R21" i="87"/>
  <c r="J21" i="87"/>
  <c r="I21" i="87"/>
  <c r="W21" i="87" s="1"/>
  <c r="U20" i="87"/>
  <c r="V20" i="87" s="1"/>
  <c r="S20" i="87"/>
  <c r="R20" i="87"/>
  <c r="J20" i="87"/>
  <c r="I20" i="87"/>
  <c r="W20" i="87" s="1"/>
  <c r="W19" i="87"/>
  <c r="V19" i="87"/>
  <c r="U19" i="87"/>
  <c r="S19" i="87"/>
  <c r="R19" i="87"/>
  <c r="J19" i="87"/>
  <c r="I19" i="87"/>
  <c r="U18" i="87"/>
  <c r="V18" i="87" s="1"/>
  <c r="S18" i="87"/>
  <c r="R18" i="87"/>
  <c r="J18" i="87"/>
  <c r="I18" i="87"/>
  <c r="W18" i="87" s="1"/>
  <c r="W17" i="87"/>
  <c r="V17" i="87"/>
  <c r="U17" i="87"/>
  <c r="S17" i="87"/>
  <c r="R17" i="87"/>
  <c r="J17" i="87"/>
  <c r="I17" i="87"/>
  <c r="U16" i="87"/>
  <c r="V16" i="87" s="1"/>
  <c r="S16" i="87"/>
  <c r="R16" i="87"/>
  <c r="J16" i="87"/>
  <c r="I16" i="87"/>
  <c r="W16" i="87" s="1"/>
  <c r="W15" i="87"/>
  <c r="V15" i="87"/>
  <c r="U15" i="87"/>
  <c r="S15" i="87"/>
  <c r="R15" i="87"/>
  <c r="J15" i="87"/>
  <c r="I15" i="87"/>
  <c r="U14" i="87"/>
  <c r="V14" i="87" s="1"/>
  <c r="S14" i="87"/>
  <c r="R14" i="87"/>
  <c r="J14" i="87"/>
  <c r="I14" i="87"/>
  <c r="W14" i="87" s="1"/>
  <c r="U13" i="87"/>
  <c r="V13" i="87" s="1"/>
  <c r="S13" i="87"/>
  <c r="R13" i="87"/>
  <c r="J13" i="87"/>
  <c r="I13" i="87"/>
  <c r="U12" i="87"/>
  <c r="V12" i="87" s="1"/>
  <c r="S12" i="87"/>
  <c r="R12" i="87"/>
  <c r="J12" i="87"/>
  <c r="I12" i="87"/>
  <c r="W12" i="87" s="1"/>
  <c r="W11" i="87"/>
  <c r="U11" i="87"/>
  <c r="V11" i="87" s="1"/>
  <c r="S11" i="87"/>
  <c r="R11" i="87"/>
  <c r="J11" i="87"/>
  <c r="I11" i="87"/>
  <c r="U10" i="87"/>
  <c r="V10" i="87" s="1"/>
  <c r="S10" i="87"/>
  <c r="R10" i="87"/>
  <c r="J10" i="87"/>
  <c r="I10" i="87"/>
  <c r="W10" i="87" s="1"/>
  <c r="A10" i="87"/>
  <c r="A11" i="87" s="1"/>
  <c r="A12" i="87" s="1"/>
  <c r="A13" i="87" s="1"/>
  <c r="A14" i="87" s="1"/>
  <c r="A15" i="87" s="1"/>
  <c r="A16" i="87" s="1"/>
  <c r="A17" i="87" s="1"/>
  <c r="A18" i="87" s="1"/>
  <c r="A19" i="87" s="1"/>
  <c r="A20" i="87" s="1"/>
  <c r="A21" i="87" s="1"/>
  <c r="A22" i="87" s="1"/>
  <c r="A23" i="87" s="1"/>
  <c r="A24" i="87" s="1"/>
  <c r="A25" i="87" s="1"/>
  <c r="A26" i="87" s="1"/>
  <c r="A27" i="87" s="1"/>
  <c r="A28" i="87" s="1"/>
  <c r="A29" i="87" s="1"/>
  <c r="A30" i="87" s="1"/>
  <c r="A31" i="87" s="1"/>
  <c r="A32" i="87" s="1"/>
  <c r="A33" i="87" s="1"/>
  <c r="A34" i="87" s="1"/>
  <c r="A35" i="87" s="1"/>
  <c r="A36" i="87" s="1"/>
  <c r="A37" i="87" s="1"/>
  <c r="A38" i="87" s="1"/>
  <c r="A39" i="87" s="1"/>
  <c r="A40" i="87" s="1"/>
  <c r="A41" i="87" s="1"/>
  <c r="A42" i="87" s="1"/>
  <c r="A43" i="87" s="1"/>
  <c r="A44" i="87" s="1"/>
  <c r="A45" i="87" s="1"/>
  <c r="A46" i="87" s="1"/>
  <c r="A47" i="87" s="1"/>
  <c r="A48" i="87" s="1"/>
  <c r="A49" i="87" s="1"/>
  <c r="A50" i="87" s="1"/>
  <c r="A51" i="87" s="1"/>
  <c r="A52" i="87" s="1"/>
  <c r="A53" i="87" s="1"/>
  <c r="A54" i="87" s="1"/>
  <c r="A55" i="87" s="1"/>
  <c r="A56" i="87" s="1"/>
  <c r="A57" i="87" s="1"/>
  <c r="A58" i="87" s="1"/>
  <c r="A59" i="87" s="1"/>
  <c r="U9" i="87"/>
  <c r="V9" i="87" s="1"/>
  <c r="S9" i="87"/>
  <c r="R9" i="87"/>
  <c r="J9" i="87"/>
  <c r="I9" i="87"/>
  <c r="W9" i="87" s="1"/>
  <c r="A9" i="87"/>
  <c r="U8" i="87"/>
  <c r="S8" i="87"/>
  <c r="S60" i="87" s="1"/>
  <c r="R8" i="87"/>
  <c r="J8" i="87"/>
  <c r="I8" i="87"/>
  <c r="W8" i="87" s="1"/>
  <c r="W48" i="87" l="1"/>
  <c r="W44" i="87"/>
  <c r="W38" i="87"/>
  <c r="W26" i="87"/>
  <c r="W13" i="87"/>
  <c r="J60" i="87"/>
  <c r="R60" i="87"/>
  <c r="U60" i="87"/>
  <c r="I60" i="87"/>
  <c r="V8" i="87"/>
  <c r="V60" i="87" s="1"/>
  <c r="C44" i="85"/>
  <c r="W60" i="87" l="1"/>
  <c r="Q60" i="86"/>
  <c r="P60" i="86"/>
  <c r="O60" i="86"/>
  <c r="N60" i="86"/>
  <c r="M60" i="86"/>
  <c r="L60" i="86"/>
  <c r="H60" i="86"/>
  <c r="G60" i="86"/>
  <c r="E60" i="86"/>
  <c r="D60" i="86"/>
  <c r="C60" i="86"/>
  <c r="S59" i="86"/>
  <c r="R59" i="86"/>
  <c r="J59" i="86"/>
  <c r="I59" i="86"/>
  <c r="S58" i="86"/>
  <c r="R58" i="86"/>
  <c r="J58" i="86"/>
  <c r="I58" i="86"/>
  <c r="S57" i="86"/>
  <c r="R57" i="86"/>
  <c r="J57" i="86"/>
  <c r="I57" i="86"/>
  <c r="S56" i="86"/>
  <c r="R56" i="86"/>
  <c r="J56" i="86"/>
  <c r="I56" i="86"/>
  <c r="S55" i="86"/>
  <c r="R55" i="86"/>
  <c r="J55" i="86"/>
  <c r="I55" i="86"/>
  <c r="U54" i="86"/>
  <c r="V54" i="86" s="1"/>
  <c r="S54" i="86"/>
  <c r="R54" i="86"/>
  <c r="J54" i="86"/>
  <c r="I54" i="86"/>
  <c r="W54" i="86" s="1"/>
  <c r="U53" i="86"/>
  <c r="V53" i="86" s="1"/>
  <c r="S53" i="86"/>
  <c r="R53" i="86"/>
  <c r="J53" i="86"/>
  <c r="I53" i="86"/>
  <c r="W53" i="86" s="1"/>
  <c r="U52" i="86"/>
  <c r="V52" i="86" s="1"/>
  <c r="S52" i="86"/>
  <c r="R52" i="86"/>
  <c r="J52" i="86"/>
  <c r="I52" i="86"/>
  <c r="W52" i="86" s="1"/>
  <c r="U51" i="86"/>
  <c r="V51" i="86" s="1"/>
  <c r="S51" i="86"/>
  <c r="R51" i="86"/>
  <c r="J51" i="86"/>
  <c r="I51" i="86"/>
  <c r="W51" i="86" s="1"/>
  <c r="U50" i="86"/>
  <c r="V50" i="86" s="1"/>
  <c r="S50" i="86"/>
  <c r="R50" i="86"/>
  <c r="J50" i="86"/>
  <c r="I50" i="86"/>
  <c r="W50" i="86" s="1"/>
  <c r="U49" i="86"/>
  <c r="V49" i="86" s="1"/>
  <c r="S49" i="86"/>
  <c r="R49" i="86"/>
  <c r="J49" i="86"/>
  <c r="I49" i="86"/>
  <c r="W49" i="86" s="1"/>
  <c r="U48" i="86"/>
  <c r="V48" i="86" s="1"/>
  <c r="S48" i="86"/>
  <c r="R48" i="86"/>
  <c r="J48" i="86"/>
  <c r="I48" i="86"/>
  <c r="W48" i="86" s="1"/>
  <c r="U47" i="86"/>
  <c r="V47" i="86" s="1"/>
  <c r="S47" i="86"/>
  <c r="R47" i="86"/>
  <c r="J47" i="86"/>
  <c r="I47" i="86"/>
  <c r="W47" i="86" s="1"/>
  <c r="U46" i="86"/>
  <c r="V46" i="86" s="1"/>
  <c r="S46" i="86"/>
  <c r="R46" i="86"/>
  <c r="J46" i="86"/>
  <c r="I46" i="86"/>
  <c r="W46" i="86" s="1"/>
  <c r="S45" i="86"/>
  <c r="R45" i="86"/>
  <c r="J45" i="86"/>
  <c r="I45" i="86"/>
  <c r="U44" i="86"/>
  <c r="V44" i="86" s="1"/>
  <c r="S44" i="86"/>
  <c r="R44" i="86"/>
  <c r="J44" i="86"/>
  <c r="I44" i="86"/>
  <c r="W44" i="86" s="1"/>
  <c r="S43" i="86"/>
  <c r="R43" i="86"/>
  <c r="J43" i="86"/>
  <c r="I43" i="86"/>
  <c r="U42" i="86"/>
  <c r="V42" i="86" s="1"/>
  <c r="S42" i="86"/>
  <c r="R42" i="86"/>
  <c r="J42" i="86"/>
  <c r="I42" i="86"/>
  <c r="W42" i="86" s="1"/>
  <c r="U41" i="86"/>
  <c r="V41" i="86" s="1"/>
  <c r="S41" i="86"/>
  <c r="R41" i="86"/>
  <c r="J41" i="86"/>
  <c r="I41" i="86"/>
  <c r="W41" i="86" s="1"/>
  <c r="W40" i="86"/>
  <c r="U40" i="86"/>
  <c r="V40" i="86" s="1"/>
  <c r="S40" i="86"/>
  <c r="R40" i="86"/>
  <c r="J40" i="86"/>
  <c r="I40" i="86"/>
  <c r="W39" i="86"/>
  <c r="U39" i="86"/>
  <c r="V39" i="86" s="1"/>
  <c r="S39" i="86"/>
  <c r="R39" i="86"/>
  <c r="J39" i="86"/>
  <c r="I39" i="86"/>
  <c r="U38" i="86"/>
  <c r="V38" i="86" s="1"/>
  <c r="S38" i="86"/>
  <c r="R38" i="86"/>
  <c r="J38" i="86"/>
  <c r="I38" i="86"/>
  <c r="W38" i="86" s="1"/>
  <c r="W37" i="86"/>
  <c r="U37" i="86"/>
  <c r="V37" i="86" s="1"/>
  <c r="S37" i="86"/>
  <c r="R37" i="86"/>
  <c r="J37" i="86"/>
  <c r="I37" i="86"/>
  <c r="W36" i="86"/>
  <c r="U36" i="86"/>
  <c r="V36" i="86" s="1"/>
  <c r="S36" i="86"/>
  <c r="R36" i="86"/>
  <c r="J36" i="86"/>
  <c r="I36" i="86"/>
  <c r="U35" i="86"/>
  <c r="V35" i="86" s="1"/>
  <c r="S35" i="86"/>
  <c r="R35" i="86"/>
  <c r="J35" i="86"/>
  <c r="I35" i="86"/>
  <c r="W34" i="86"/>
  <c r="U34" i="86"/>
  <c r="V34" i="86" s="1"/>
  <c r="S34" i="86"/>
  <c r="R34" i="86"/>
  <c r="J34" i="86"/>
  <c r="I34" i="86"/>
  <c r="W33" i="86"/>
  <c r="U33" i="86"/>
  <c r="V33" i="86" s="1"/>
  <c r="S33" i="86"/>
  <c r="R33" i="86"/>
  <c r="J33" i="86"/>
  <c r="I33" i="86"/>
  <c r="W32" i="86"/>
  <c r="U32" i="86"/>
  <c r="V32" i="86" s="1"/>
  <c r="S32" i="86"/>
  <c r="R32" i="86"/>
  <c r="J32" i="86"/>
  <c r="I32" i="86"/>
  <c r="W31" i="86"/>
  <c r="U31" i="86"/>
  <c r="V31" i="86" s="1"/>
  <c r="S31" i="86"/>
  <c r="R31" i="86"/>
  <c r="J31" i="86"/>
  <c r="I31" i="86"/>
  <c r="W30" i="86"/>
  <c r="U30" i="86"/>
  <c r="V30" i="86" s="1"/>
  <c r="S30" i="86"/>
  <c r="R30" i="86"/>
  <c r="J30" i="86"/>
  <c r="I30" i="86"/>
  <c r="U29" i="86"/>
  <c r="V29" i="86" s="1"/>
  <c r="S29" i="86"/>
  <c r="R29" i="86"/>
  <c r="J29" i="86"/>
  <c r="I29" i="86"/>
  <c r="W29" i="86" s="1"/>
  <c r="W28" i="86"/>
  <c r="U28" i="86"/>
  <c r="V28" i="86" s="1"/>
  <c r="S28" i="86"/>
  <c r="R28" i="86"/>
  <c r="J28" i="86"/>
  <c r="I28" i="86"/>
  <c r="W27" i="86"/>
  <c r="U27" i="86"/>
  <c r="V27" i="86" s="1"/>
  <c r="S27" i="86"/>
  <c r="R27" i="86"/>
  <c r="J27" i="86"/>
  <c r="I27" i="86"/>
  <c r="BE26" i="86"/>
  <c r="V26" i="86"/>
  <c r="U26" i="86"/>
  <c r="S26" i="86"/>
  <c r="R26" i="86"/>
  <c r="J26" i="86"/>
  <c r="I26" i="86"/>
  <c r="V25" i="86"/>
  <c r="U25" i="86"/>
  <c r="S25" i="86"/>
  <c r="R25" i="86"/>
  <c r="J25" i="86"/>
  <c r="I25" i="86"/>
  <c r="W25" i="86" s="1"/>
  <c r="V24" i="86"/>
  <c r="U24" i="86"/>
  <c r="S24" i="86"/>
  <c r="R24" i="86"/>
  <c r="J24" i="86"/>
  <c r="I24" i="86"/>
  <c r="W24" i="86" s="1"/>
  <c r="W23" i="86"/>
  <c r="V23" i="86"/>
  <c r="U23" i="86"/>
  <c r="S23" i="86"/>
  <c r="R23" i="86"/>
  <c r="J23" i="86"/>
  <c r="I23" i="86"/>
  <c r="V22" i="86"/>
  <c r="U22" i="86"/>
  <c r="S22" i="86"/>
  <c r="R22" i="86"/>
  <c r="J22" i="86"/>
  <c r="I22" i="86"/>
  <c r="W22" i="86" s="1"/>
  <c r="W21" i="86"/>
  <c r="V21" i="86"/>
  <c r="U21" i="86"/>
  <c r="S21" i="86"/>
  <c r="R21" i="86"/>
  <c r="J21" i="86"/>
  <c r="I21" i="86"/>
  <c r="V20" i="86"/>
  <c r="U20" i="86"/>
  <c r="S20" i="86"/>
  <c r="R20" i="86"/>
  <c r="J20" i="86"/>
  <c r="I20" i="86"/>
  <c r="W20" i="86" s="1"/>
  <c r="W19" i="86"/>
  <c r="V19" i="86"/>
  <c r="U19" i="86"/>
  <c r="S19" i="86"/>
  <c r="R19" i="86"/>
  <c r="J19" i="86"/>
  <c r="I19" i="86"/>
  <c r="U18" i="86"/>
  <c r="V18" i="86" s="1"/>
  <c r="S18" i="86"/>
  <c r="R18" i="86"/>
  <c r="J18" i="86"/>
  <c r="I18" i="86"/>
  <c r="W18" i="86" s="1"/>
  <c r="W17" i="86"/>
  <c r="V17" i="86"/>
  <c r="U17" i="86"/>
  <c r="S17" i="86"/>
  <c r="R17" i="86"/>
  <c r="J17" i="86"/>
  <c r="I17" i="86"/>
  <c r="U16" i="86"/>
  <c r="V16" i="86" s="1"/>
  <c r="S16" i="86"/>
  <c r="R16" i="86"/>
  <c r="J16" i="86"/>
  <c r="I16" i="86"/>
  <c r="W16" i="86" s="1"/>
  <c r="W15" i="86"/>
  <c r="V15" i="86"/>
  <c r="U15" i="86"/>
  <c r="S15" i="86"/>
  <c r="R15" i="86"/>
  <c r="J15" i="86"/>
  <c r="I15" i="86"/>
  <c r="U14" i="86"/>
  <c r="V14" i="86" s="1"/>
  <c r="S14" i="86"/>
  <c r="R14" i="86"/>
  <c r="J14" i="86"/>
  <c r="I14" i="86"/>
  <c r="W14" i="86" s="1"/>
  <c r="U13" i="86"/>
  <c r="V13" i="86" s="1"/>
  <c r="S13" i="86"/>
  <c r="R13" i="86"/>
  <c r="J13" i="86"/>
  <c r="I13" i="86"/>
  <c r="V12" i="86"/>
  <c r="U12" i="86"/>
  <c r="S12" i="86"/>
  <c r="R12" i="86"/>
  <c r="J12" i="86"/>
  <c r="I12" i="86"/>
  <c r="W12" i="86" s="1"/>
  <c r="W11" i="86"/>
  <c r="U11" i="86"/>
  <c r="V11" i="86" s="1"/>
  <c r="S11" i="86"/>
  <c r="R11" i="86"/>
  <c r="J11" i="86"/>
  <c r="I11" i="86"/>
  <c r="V10" i="86"/>
  <c r="U10" i="86"/>
  <c r="S10" i="86"/>
  <c r="R10" i="86"/>
  <c r="J10" i="86"/>
  <c r="I10" i="86"/>
  <c r="W10" i="86" s="1"/>
  <c r="A10" i="86"/>
  <c r="A11" i="86" s="1"/>
  <c r="A12" i="86" s="1"/>
  <c r="A13" i="86" s="1"/>
  <c r="A14" i="86" s="1"/>
  <c r="A15" i="86" s="1"/>
  <c r="A16" i="86" s="1"/>
  <c r="A17" i="86" s="1"/>
  <c r="A18" i="86" s="1"/>
  <c r="A19" i="86" s="1"/>
  <c r="A20" i="86" s="1"/>
  <c r="A21" i="86" s="1"/>
  <c r="A22" i="86" s="1"/>
  <c r="A23" i="86" s="1"/>
  <c r="A24" i="86" s="1"/>
  <c r="A25" i="86" s="1"/>
  <c r="A26" i="86" s="1"/>
  <c r="A27" i="86" s="1"/>
  <c r="A28" i="86" s="1"/>
  <c r="A29" i="86" s="1"/>
  <c r="A30" i="86" s="1"/>
  <c r="A31" i="86" s="1"/>
  <c r="A32" i="86" s="1"/>
  <c r="A33" i="86" s="1"/>
  <c r="A34" i="86" s="1"/>
  <c r="A35" i="86" s="1"/>
  <c r="A36" i="86" s="1"/>
  <c r="A37" i="86" s="1"/>
  <c r="A38" i="86" s="1"/>
  <c r="A39" i="86" s="1"/>
  <c r="A40" i="86" s="1"/>
  <c r="A41" i="86" s="1"/>
  <c r="A42" i="86" s="1"/>
  <c r="A43" i="86" s="1"/>
  <c r="A44" i="86" s="1"/>
  <c r="A45" i="86" s="1"/>
  <c r="A46" i="86" s="1"/>
  <c r="A47" i="86" s="1"/>
  <c r="A48" i="86" s="1"/>
  <c r="A49" i="86" s="1"/>
  <c r="A50" i="86" s="1"/>
  <c r="A51" i="86" s="1"/>
  <c r="A52" i="86" s="1"/>
  <c r="A53" i="86" s="1"/>
  <c r="A54" i="86" s="1"/>
  <c r="A55" i="86" s="1"/>
  <c r="A56" i="86" s="1"/>
  <c r="A57" i="86" s="1"/>
  <c r="A58" i="86" s="1"/>
  <c r="A59" i="86" s="1"/>
  <c r="W9" i="86"/>
  <c r="V9" i="86"/>
  <c r="U9" i="86"/>
  <c r="S9" i="86"/>
  <c r="R9" i="86"/>
  <c r="J9" i="86"/>
  <c r="I9" i="86"/>
  <c r="A9" i="86"/>
  <c r="V8" i="86"/>
  <c r="U8" i="86"/>
  <c r="S8" i="86"/>
  <c r="R8" i="86"/>
  <c r="J8" i="86"/>
  <c r="I8" i="86"/>
  <c r="W8" i="86" s="1"/>
  <c r="W35" i="86" l="1"/>
  <c r="W26" i="86"/>
  <c r="R60" i="86"/>
  <c r="S60" i="86"/>
  <c r="W13" i="86"/>
  <c r="J60" i="86"/>
  <c r="U60" i="86"/>
  <c r="V60" i="86"/>
  <c r="I60" i="86"/>
  <c r="Q60" i="85"/>
  <c r="P60" i="85"/>
  <c r="O60" i="85"/>
  <c r="N60" i="85"/>
  <c r="M60" i="85"/>
  <c r="L60" i="85"/>
  <c r="H60" i="85"/>
  <c r="G60" i="85"/>
  <c r="E60" i="85"/>
  <c r="D60" i="85"/>
  <c r="C60" i="85"/>
  <c r="S59" i="85"/>
  <c r="R59" i="85"/>
  <c r="J59" i="85"/>
  <c r="I59" i="85"/>
  <c r="S58" i="85"/>
  <c r="R58" i="85"/>
  <c r="J58" i="85"/>
  <c r="I58" i="85"/>
  <c r="S57" i="85"/>
  <c r="R57" i="85"/>
  <c r="J57" i="85"/>
  <c r="I57" i="85"/>
  <c r="S56" i="85"/>
  <c r="R56" i="85"/>
  <c r="J56" i="85"/>
  <c r="I56" i="85"/>
  <c r="S55" i="85"/>
  <c r="R55" i="85"/>
  <c r="J55" i="85"/>
  <c r="I55" i="85"/>
  <c r="U54" i="85"/>
  <c r="V54" i="85" s="1"/>
  <c r="S54" i="85"/>
  <c r="R54" i="85"/>
  <c r="J54" i="85"/>
  <c r="I54" i="85"/>
  <c r="W54" i="85" s="1"/>
  <c r="U53" i="85"/>
  <c r="V53" i="85" s="1"/>
  <c r="S53" i="85"/>
  <c r="R53" i="85"/>
  <c r="J53" i="85"/>
  <c r="I53" i="85"/>
  <c r="W53" i="85" s="1"/>
  <c r="W52" i="85"/>
  <c r="U52" i="85"/>
  <c r="V52" i="85" s="1"/>
  <c r="S52" i="85"/>
  <c r="R52" i="85"/>
  <c r="J52" i="85"/>
  <c r="I52" i="85"/>
  <c r="U51" i="85"/>
  <c r="V51" i="85" s="1"/>
  <c r="S51" i="85"/>
  <c r="R51" i="85"/>
  <c r="J51" i="85"/>
  <c r="I51" i="85"/>
  <c r="W51" i="85" s="1"/>
  <c r="U50" i="85"/>
  <c r="V50" i="85" s="1"/>
  <c r="S50" i="85"/>
  <c r="R50" i="85"/>
  <c r="J50" i="85"/>
  <c r="I50" i="85"/>
  <c r="W50" i="85" s="1"/>
  <c r="U49" i="85"/>
  <c r="V49" i="85" s="1"/>
  <c r="S49" i="85"/>
  <c r="R49" i="85"/>
  <c r="J49" i="85"/>
  <c r="I49" i="85"/>
  <c r="W49" i="85" s="1"/>
  <c r="U48" i="85"/>
  <c r="V48" i="85" s="1"/>
  <c r="S48" i="85"/>
  <c r="R48" i="85"/>
  <c r="J48" i="85"/>
  <c r="I48" i="85"/>
  <c r="W47" i="85"/>
  <c r="U47" i="85"/>
  <c r="V47" i="85" s="1"/>
  <c r="S47" i="85"/>
  <c r="R47" i="85"/>
  <c r="J47" i="85"/>
  <c r="I47" i="85"/>
  <c r="U46" i="85"/>
  <c r="V46" i="85" s="1"/>
  <c r="S46" i="85"/>
  <c r="R46" i="85"/>
  <c r="J46" i="85"/>
  <c r="I46" i="85"/>
  <c r="W46" i="85" s="1"/>
  <c r="S45" i="85"/>
  <c r="R45" i="85"/>
  <c r="J45" i="85"/>
  <c r="I45" i="85"/>
  <c r="U44" i="85"/>
  <c r="V44" i="85" s="1"/>
  <c r="S44" i="85"/>
  <c r="R44" i="85"/>
  <c r="J44" i="85"/>
  <c r="I44" i="85"/>
  <c r="S43" i="85"/>
  <c r="R43" i="85"/>
  <c r="J43" i="85"/>
  <c r="I43" i="85"/>
  <c r="U42" i="85"/>
  <c r="V42" i="85" s="1"/>
  <c r="S42" i="85"/>
  <c r="R42" i="85"/>
  <c r="J42" i="85"/>
  <c r="I42" i="85"/>
  <c r="W42" i="85" s="1"/>
  <c r="U41" i="85"/>
  <c r="V41" i="85" s="1"/>
  <c r="S41" i="85"/>
  <c r="R41" i="85"/>
  <c r="J41" i="85"/>
  <c r="I41" i="85"/>
  <c r="U40" i="85"/>
  <c r="V40" i="85" s="1"/>
  <c r="S40" i="85"/>
  <c r="R40" i="85"/>
  <c r="J40" i="85"/>
  <c r="I40" i="85"/>
  <c r="W40" i="85" s="1"/>
  <c r="U39" i="85"/>
  <c r="V39" i="85" s="1"/>
  <c r="S39" i="85"/>
  <c r="R39" i="85"/>
  <c r="J39" i="85"/>
  <c r="I39" i="85"/>
  <c r="W39" i="85" s="1"/>
  <c r="U38" i="85"/>
  <c r="V38" i="85" s="1"/>
  <c r="S38" i="85"/>
  <c r="R38" i="85"/>
  <c r="J38" i="85"/>
  <c r="I38" i="85"/>
  <c r="U37" i="85"/>
  <c r="V37" i="85" s="1"/>
  <c r="S37" i="85"/>
  <c r="R37" i="85"/>
  <c r="J37" i="85"/>
  <c r="I37" i="85"/>
  <c r="U36" i="85"/>
  <c r="V36" i="85" s="1"/>
  <c r="S36" i="85"/>
  <c r="R36" i="85"/>
  <c r="J36" i="85"/>
  <c r="I36" i="85"/>
  <c r="W36" i="85" s="1"/>
  <c r="U35" i="85"/>
  <c r="V35" i="85" s="1"/>
  <c r="S35" i="85"/>
  <c r="R35" i="85"/>
  <c r="J35" i="85"/>
  <c r="I35" i="85"/>
  <c r="U34" i="85"/>
  <c r="V34" i="85" s="1"/>
  <c r="S34" i="85"/>
  <c r="R34" i="85"/>
  <c r="J34" i="85"/>
  <c r="I34" i="85"/>
  <c r="W34" i="85" s="1"/>
  <c r="U33" i="85"/>
  <c r="V33" i="85" s="1"/>
  <c r="S33" i="85"/>
  <c r="R33" i="85"/>
  <c r="J33" i="85"/>
  <c r="I33" i="85"/>
  <c r="W33" i="85" s="1"/>
  <c r="U32" i="85"/>
  <c r="V32" i="85" s="1"/>
  <c r="S32" i="85"/>
  <c r="R32" i="85"/>
  <c r="J32" i="85"/>
  <c r="I32" i="85"/>
  <c r="W32" i="85" s="1"/>
  <c r="U31" i="85"/>
  <c r="V31" i="85" s="1"/>
  <c r="S31" i="85"/>
  <c r="R31" i="85"/>
  <c r="J31" i="85"/>
  <c r="I31" i="85"/>
  <c r="W31" i="85" s="1"/>
  <c r="U30" i="85"/>
  <c r="V30" i="85" s="1"/>
  <c r="S30" i="85"/>
  <c r="R30" i="85"/>
  <c r="J30" i="85"/>
  <c r="I30" i="85"/>
  <c r="U29" i="85"/>
  <c r="V29" i="85" s="1"/>
  <c r="S29" i="85"/>
  <c r="R29" i="85"/>
  <c r="J29" i="85"/>
  <c r="I29" i="85"/>
  <c r="W29" i="85" s="1"/>
  <c r="U28" i="85"/>
  <c r="V28" i="85" s="1"/>
  <c r="S28" i="85"/>
  <c r="R28" i="85"/>
  <c r="J28" i="85"/>
  <c r="I28" i="85"/>
  <c r="W28" i="85" s="1"/>
  <c r="U27" i="85"/>
  <c r="S27" i="85"/>
  <c r="R27" i="85"/>
  <c r="J27" i="85"/>
  <c r="I27" i="85"/>
  <c r="W27" i="85" s="1"/>
  <c r="BE26" i="85"/>
  <c r="U26" i="85"/>
  <c r="V26" i="85" s="1"/>
  <c r="S26" i="85"/>
  <c r="R26" i="85"/>
  <c r="J26" i="85"/>
  <c r="I26" i="85"/>
  <c r="U25" i="85"/>
  <c r="V25" i="85" s="1"/>
  <c r="S25" i="85"/>
  <c r="R25" i="85"/>
  <c r="J25" i="85"/>
  <c r="I25" i="85"/>
  <c r="U24" i="85"/>
  <c r="V24" i="85" s="1"/>
  <c r="S24" i="85"/>
  <c r="R24" i="85"/>
  <c r="J24" i="85"/>
  <c r="I24" i="85"/>
  <c r="W24" i="85" s="1"/>
  <c r="U23" i="85"/>
  <c r="V23" i="85" s="1"/>
  <c r="S23" i="85"/>
  <c r="R23" i="85"/>
  <c r="J23" i="85"/>
  <c r="I23" i="85"/>
  <c r="U22" i="85"/>
  <c r="V22" i="85" s="1"/>
  <c r="S22" i="85"/>
  <c r="R22" i="85"/>
  <c r="J22" i="85"/>
  <c r="I22" i="85"/>
  <c r="W22" i="85" s="1"/>
  <c r="U21" i="85"/>
  <c r="V21" i="85" s="1"/>
  <c r="S21" i="85"/>
  <c r="R21" i="85"/>
  <c r="J21" i="85"/>
  <c r="I21" i="85"/>
  <c r="U20" i="85"/>
  <c r="V20" i="85" s="1"/>
  <c r="S20" i="85"/>
  <c r="R20" i="85"/>
  <c r="J20" i="85"/>
  <c r="I20" i="85"/>
  <c r="W20" i="85" s="1"/>
  <c r="U19" i="85"/>
  <c r="V19" i="85" s="1"/>
  <c r="S19" i="85"/>
  <c r="R19" i="85"/>
  <c r="J19" i="85"/>
  <c r="W19" i="85" s="1"/>
  <c r="I19" i="85"/>
  <c r="U18" i="85"/>
  <c r="V18" i="85" s="1"/>
  <c r="S18" i="85"/>
  <c r="R18" i="85"/>
  <c r="J18" i="85"/>
  <c r="I18" i="85"/>
  <c r="W18" i="85" s="1"/>
  <c r="U17" i="85"/>
  <c r="V17" i="85" s="1"/>
  <c r="S17" i="85"/>
  <c r="R17" i="85"/>
  <c r="J17" i="85"/>
  <c r="W17" i="85" s="1"/>
  <c r="I17" i="85"/>
  <c r="U16" i="85"/>
  <c r="V16" i="85" s="1"/>
  <c r="S16" i="85"/>
  <c r="R16" i="85"/>
  <c r="J16" i="85"/>
  <c r="I16" i="85"/>
  <c r="W16" i="85" s="1"/>
  <c r="U15" i="85"/>
  <c r="V15" i="85" s="1"/>
  <c r="S15" i="85"/>
  <c r="R15" i="85"/>
  <c r="J15" i="85"/>
  <c r="I15" i="85"/>
  <c r="U14" i="85"/>
  <c r="V14" i="85" s="1"/>
  <c r="S14" i="85"/>
  <c r="R14" i="85"/>
  <c r="J14" i="85"/>
  <c r="I14" i="85"/>
  <c r="W14" i="85" s="1"/>
  <c r="U13" i="85"/>
  <c r="V13" i="85" s="1"/>
  <c r="S13" i="85"/>
  <c r="R13" i="85"/>
  <c r="J13" i="85"/>
  <c r="I13" i="85"/>
  <c r="U12" i="85"/>
  <c r="V12" i="85" s="1"/>
  <c r="S12" i="85"/>
  <c r="R12" i="85"/>
  <c r="J12" i="85"/>
  <c r="I12" i="85"/>
  <c r="W12" i="85" s="1"/>
  <c r="U11" i="85"/>
  <c r="V11" i="85" s="1"/>
  <c r="S11" i="85"/>
  <c r="R11" i="85"/>
  <c r="J11" i="85"/>
  <c r="I11" i="85"/>
  <c r="U10" i="85"/>
  <c r="V10" i="85" s="1"/>
  <c r="S10" i="85"/>
  <c r="R10" i="85"/>
  <c r="J10" i="85"/>
  <c r="I10" i="85"/>
  <c r="W10" i="85" s="1"/>
  <c r="U9" i="85"/>
  <c r="V9" i="85" s="1"/>
  <c r="S9" i="85"/>
  <c r="R9" i="85"/>
  <c r="J9" i="85"/>
  <c r="I9" i="85"/>
  <c r="A9" i="85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53" i="85" s="1"/>
  <c r="A54" i="85" s="1"/>
  <c r="A55" i="85" s="1"/>
  <c r="A56" i="85" s="1"/>
  <c r="A57" i="85" s="1"/>
  <c r="A58" i="85" s="1"/>
  <c r="A59" i="85" s="1"/>
  <c r="U8" i="85"/>
  <c r="V8" i="85" s="1"/>
  <c r="S8" i="85"/>
  <c r="R8" i="85"/>
  <c r="J8" i="85"/>
  <c r="I8" i="85"/>
  <c r="W8" i="85" s="1"/>
  <c r="W60" i="86" l="1"/>
  <c r="W48" i="85"/>
  <c r="W44" i="85"/>
  <c r="W38" i="85"/>
  <c r="W35" i="85"/>
  <c r="W26" i="85"/>
  <c r="W25" i="85"/>
  <c r="W23" i="85"/>
  <c r="W11" i="85"/>
  <c r="W9" i="85"/>
  <c r="S60" i="85"/>
  <c r="U60" i="85"/>
  <c r="R60" i="85"/>
  <c r="W15" i="85"/>
  <c r="W13" i="85"/>
  <c r="W30" i="85"/>
  <c r="W21" i="85"/>
  <c r="W37" i="85"/>
  <c r="J60" i="85"/>
  <c r="W41" i="85"/>
  <c r="V27" i="85"/>
  <c r="V60" i="85" s="1"/>
  <c r="I60" i="85"/>
  <c r="W60" i="83"/>
  <c r="V60" i="83"/>
  <c r="U60" i="83"/>
  <c r="I44" i="83"/>
  <c r="U54" i="83"/>
  <c r="V54" i="83" s="1"/>
  <c r="W53" i="83"/>
  <c r="U53" i="83"/>
  <c r="V53" i="83" s="1"/>
  <c r="U52" i="83"/>
  <c r="V52" i="83" s="1"/>
  <c r="W51" i="83"/>
  <c r="U51" i="83"/>
  <c r="V51" i="83" s="1"/>
  <c r="W50" i="83"/>
  <c r="U50" i="83"/>
  <c r="V50" i="83" s="1"/>
  <c r="W49" i="83"/>
  <c r="U49" i="83"/>
  <c r="V49" i="83" s="1"/>
  <c r="U48" i="83"/>
  <c r="V48" i="83" s="1"/>
  <c r="W47" i="83"/>
  <c r="U47" i="83"/>
  <c r="V47" i="83" s="1"/>
  <c r="W46" i="83"/>
  <c r="U46" i="83"/>
  <c r="V46" i="83" s="1"/>
  <c r="U44" i="83"/>
  <c r="V44" i="83" s="1"/>
  <c r="U42" i="83"/>
  <c r="V42" i="83" s="1"/>
  <c r="U41" i="83"/>
  <c r="V41" i="83" s="1"/>
  <c r="W40" i="83"/>
  <c r="U40" i="83"/>
  <c r="V40" i="83" s="1"/>
  <c r="U39" i="83"/>
  <c r="V39" i="83" s="1"/>
  <c r="W38" i="83"/>
  <c r="V38" i="83"/>
  <c r="U38" i="83"/>
  <c r="W37" i="83"/>
  <c r="W36" i="83"/>
  <c r="W34" i="83"/>
  <c r="W33" i="83"/>
  <c r="W32" i="83"/>
  <c r="W30" i="83"/>
  <c r="W28" i="83"/>
  <c r="W27" i="83"/>
  <c r="W26" i="83"/>
  <c r="W25" i="83"/>
  <c r="W24" i="83"/>
  <c r="W23" i="83"/>
  <c r="W22" i="83"/>
  <c r="W21" i="83"/>
  <c r="W20" i="83"/>
  <c r="W19" i="83"/>
  <c r="W18" i="83"/>
  <c r="W17" i="83"/>
  <c r="W16" i="83"/>
  <c r="W15" i="83"/>
  <c r="W14" i="83"/>
  <c r="W12" i="83"/>
  <c r="W11" i="83"/>
  <c r="W10" i="83"/>
  <c r="W9" i="83"/>
  <c r="W8" i="83"/>
  <c r="W13" i="83"/>
  <c r="U13" i="83"/>
  <c r="W60" i="85" l="1"/>
  <c r="J13" i="83"/>
  <c r="U37" i="83"/>
  <c r="V37" i="83" s="1"/>
  <c r="U36" i="83"/>
  <c r="V36" i="83" s="1"/>
  <c r="U35" i="83"/>
  <c r="V35" i="83" s="1"/>
  <c r="V34" i="83"/>
  <c r="U34" i="83"/>
  <c r="U33" i="83"/>
  <c r="V33" i="83" s="1"/>
  <c r="V32" i="83"/>
  <c r="U32" i="83"/>
  <c r="U31" i="83"/>
  <c r="V31" i="83" s="1"/>
  <c r="U30" i="83"/>
  <c r="V30" i="83" s="1"/>
  <c r="U29" i="83"/>
  <c r="V29" i="83" s="1"/>
  <c r="U28" i="83"/>
  <c r="V28" i="83" s="1"/>
  <c r="V27" i="83"/>
  <c r="U27" i="83"/>
  <c r="U26" i="83"/>
  <c r="V26" i="83" s="1"/>
  <c r="U25" i="83"/>
  <c r="V25" i="83" s="1"/>
  <c r="U24" i="83"/>
  <c r="V24" i="83" s="1"/>
  <c r="U23" i="83"/>
  <c r="V23" i="83" s="1"/>
  <c r="U22" i="83"/>
  <c r="V22" i="83" s="1"/>
  <c r="U21" i="83"/>
  <c r="V21" i="83" s="1"/>
  <c r="U20" i="83"/>
  <c r="V20" i="83" s="1"/>
  <c r="U19" i="83"/>
  <c r="V19" i="83" s="1"/>
  <c r="U18" i="83"/>
  <c r="V18" i="83" s="1"/>
  <c r="U17" i="83"/>
  <c r="V17" i="83" s="1"/>
  <c r="V16" i="83"/>
  <c r="U16" i="83"/>
  <c r="U15" i="83"/>
  <c r="V15" i="83" s="1"/>
  <c r="U14" i="83"/>
  <c r="V14" i="83" s="1"/>
  <c r="U12" i="83"/>
  <c r="V12" i="83" s="1"/>
  <c r="U10" i="83"/>
  <c r="V10" i="83" s="1"/>
  <c r="U11" i="83"/>
  <c r="V11" i="83" s="1"/>
  <c r="U9" i="83"/>
  <c r="V9" i="83" s="1"/>
  <c r="V8" i="83"/>
  <c r="U8" i="83"/>
  <c r="Q60" i="84" l="1"/>
  <c r="P60" i="84"/>
  <c r="O60" i="84"/>
  <c r="N60" i="84"/>
  <c r="M60" i="84"/>
  <c r="L60" i="84"/>
  <c r="H60" i="84"/>
  <c r="G60" i="84"/>
  <c r="E60" i="84"/>
  <c r="D60" i="84"/>
  <c r="C60" i="84"/>
  <c r="BC26" i="84"/>
  <c r="R60" i="84"/>
  <c r="A10" i="84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A38" i="84" s="1"/>
  <c r="A39" i="84" s="1"/>
  <c r="A40" i="84" s="1"/>
  <c r="A41" i="84" s="1"/>
  <c r="A42" i="84" s="1"/>
  <c r="A43" i="84" s="1"/>
  <c r="A44" i="84" s="1"/>
  <c r="A45" i="84" s="1"/>
  <c r="A46" i="84" s="1"/>
  <c r="A47" i="84" s="1"/>
  <c r="A48" i="84" s="1"/>
  <c r="A49" i="84" s="1"/>
  <c r="A50" i="84" s="1"/>
  <c r="A51" i="84" s="1"/>
  <c r="A52" i="84" s="1"/>
  <c r="A53" i="84" s="1"/>
  <c r="A54" i="84" s="1"/>
  <c r="A55" i="84" s="1"/>
  <c r="A56" i="84" s="1"/>
  <c r="A57" i="84" s="1"/>
  <c r="A58" i="84" s="1"/>
  <c r="A59" i="84" s="1"/>
  <c r="A9" i="84"/>
  <c r="S60" i="84"/>
  <c r="J60" i="84"/>
  <c r="I60" i="84"/>
  <c r="Q60" i="83" l="1"/>
  <c r="P60" i="83"/>
  <c r="O60" i="83"/>
  <c r="N60" i="83"/>
  <c r="M60" i="83"/>
  <c r="L60" i="83"/>
  <c r="H60" i="83"/>
  <c r="G60" i="83"/>
  <c r="E60" i="83"/>
  <c r="D60" i="83"/>
  <c r="C60" i="83"/>
  <c r="S59" i="83"/>
  <c r="R59" i="83"/>
  <c r="J59" i="83"/>
  <c r="I59" i="83"/>
  <c r="S58" i="83"/>
  <c r="R58" i="83"/>
  <c r="J58" i="83"/>
  <c r="I58" i="83"/>
  <c r="S57" i="83"/>
  <c r="R57" i="83"/>
  <c r="J57" i="83"/>
  <c r="I57" i="83"/>
  <c r="S56" i="83"/>
  <c r="R56" i="83"/>
  <c r="J56" i="83"/>
  <c r="I56" i="83"/>
  <c r="S55" i="83"/>
  <c r="R55" i="83"/>
  <c r="J55" i="83"/>
  <c r="I55" i="83"/>
  <c r="S54" i="83"/>
  <c r="R54" i="83"/>
  <c r="J54" i="83"/>
  <c r="I54" i="83"/>
  <c r="W54" i="83" s="1"/>
  <c r="S53" i="83"/>
  <c r="R53" i="83"/>
  <c r="J53" i="83"/>
  <c r="I53" i="83"/>
  <c r="S52" i="83"/>
  <c r="R52" i="83"/>
  <c r="J52" i="83"/>
  <c r="I52" i="83"/>
  <c r="W52" i="83" s="1"/>
  <c r="S51" i="83"/>
  <c r="R51" i="83"/>
  <c r="J51" i="83"/>
  <c r="I51" i="83"/>
  <c r="S50" i="83"/>
  <c r="R50" i="83"/>
  <c r="J50" i="83"/>
  <c r="I50" i="83"/>
  <c r="S49" i="83"/>
  <c r="R49" i="83"/>
  <c r="J49" i="83"/>
  <c r="I49" i="83"/>
  <c r="S48" i="83"/>
  <c r="R48" i="83"/>
  <c r="J48" i="83"/>
  <c r="I48" i="83"/>
  <c r="S47" i="83"/>
  <c r="R47" i="83"/>
  <c r="J47" i="83"/>
  <c r="I47" i="83"/>
  <c r="S46" i="83"/>
  <c r="R46" i="83"/>
  <c r="J46" i="83"/>
  <c r="I46" i="83"/>
  <c r="S45" i="83"/>
  <c r="R45" i="83"/>
  <c r="J45" i="83"/>
  <c r="I45" i="83"/>
  <c r="S44" i="83"/>
  <c r="R44" i="83"/>
  <c r="J44" i="83"/>
  <c r="S43" i="83"/>
  <c r="R43" i="83"/>
  <c r="J43" i="83"/>
  <c r="I43" i="83"/>
  <c r="S42" i="83"/>
  <c r="R42" i="83"/>
  <c r="J42" i="83"/>
  <c r="I42" i="83"/>
  <c r="W42" i="83" s="1"/>
  <c r="S41" i="83"/>
  <c r="R41" i="83"/>
  <c r="J41" i="83"/>
  <c r="I41" i="83"/>
  <c r="W41" i="83" s="1"/>
  <c r="S40" i="83"/>
  <c r="R40" i="83"/>
  <c r="J40" i="83"/>
  <c r="I40" i="83"/>
  <c r="S39" i="83"/>
  <c r="R39" i="83"/>
  <c r="J39" i="83"/>
  <c r="I39" i="83"/>
  <c r="W39" i="83" s="1"/>
  <c r="S38" i="83"/>
  <c r="R38" i="83"/>
  <c r="J38" i="83"/>
  <c r="I38" i="83"/>
  <c r="S37" i="83"/>
  <c r="R37" i="83"/>
  <c r="J37" i="83"/>
  <c r="I37" i="83"/>
  <c r="S36" i="83"/>
  <c r="R36" i="83"/>
  <c r="J36" i="83"/>
  <c r="I36" i="83"/>
  <c r="S35" i="83"/>
  <c r="R35" i="83"/>
  <c r="J35" i="83"/>
  <c r="I35" i="83"/>
  <c r="S34" i="83"/>
  <c r="R34" i="83"/>
  <c r="J34" i="83"/>
  <c r="I34" i="83"/>
  <c r="S33" i="83"/>
  <c r="R33" i="83"/>
  <c r="J33" i="83"/>
  <c r="I33" i="83"/>
  <c r="S32" i="83"/>
  <c r="R32" i="83"/>
  <c r="J32" i="83"/>
  <c r="I32" i="83"/>
  <c r="S31" i="83"/>
  <c r="R31" i="83"/>
  <c r="J31" i="83"/>
  <c r="I31" i="83"/>
  <c r="W31" i="83" s="1"/>
  <c r="S30" i="83"/>
  <c r="R30" i="83"/>
  <c r="J30" i="83"/>
  <c r="I30" i="83"/>
  <c r="S29" i="83"/>
  <c r="R29" i="83"/>
  <c r="J29" i="83"/>
  <c r="I29" i="83"/>
  <c r="W29" i="83" s="1"/>
  <c r="S28" i="83"/>
  <c r="R28" i="83"/>
  <c r="J28" i="83"/>
  <c r="I28" i="83"/>
  <c r="S27" i="83"/>
  <c r="R27" i="83"/>
  <c r="J27" i="83"/>
  <c r="I27" i="83"/>
  <c r="BE26" i="83"/>
  <c r="S26" i="83"/>
  <c r="R26" i="83"/>
  <c r="J26" i="83"/>
  <c r="I26" i="83"/>
  <c r="S25" i="83"/>
  <c r="R25" i="83"/>
  <c r="J25" i="83"/>
  <c r="I25" i="83"/>
  <c r="S24" i="83"/>
  <c r="R24" i="83"/>
  <c r="J24" i="83"/>
  <c r="I24" i="83"/>
  <c r="S23" i="83"/>
  <c r="R23" i="83"/>
  <c r="J23" i="83"/>
  <c r="I23" i="83"/>
  <c r="S22" i="83"/>
  <c r="R22" i="83"/>
  <c r="J22" i="83"/>
  <c r="I22" i="83"/>
  <c r="S21" i="83"/>
  <c r="R21" i="83"/>
  <c r="J21" i="83"/>
  <c r="I21" i="83"/>
  <c r="S20" i="83"/>
  <c r="R20" i="83"/>
  <c r="J20" i="83"/>
  <c r="I20" i="83"/>
  <c r="S19" i="83"/>
  <c r="R19" i="83"/>
  <c r="J19" i="83"/>
  <c r="I19" i="83"/>
  <c r="S18" i="83"/>
  <c r="R18" i="83"/>
  <c r="J18" i="83"/>
  <c r="I18" i="83"/>
  <c r="S17" i="83"/>
  <c r="R17" i="83"/>
  <c r="J17" i="83"/>
  <c r="I17" i="83"/>
  <c r="S16" i="83"/>
  <c r="R16" i="83"/>
  <c r="J16" i="83"/>
  <c r="I16" i="83"/>
  <c r="S15" i="83"/>
  <c r="R15" i="83"/>
  <c r="J15" i="83"/>
  <c r="I15" i="83"/>
  <c r="S14" i="83"/>
  <c r="R14" i="83"/>
  <c r="J14" i="83"/>
  <c r="I14" i="83"/>
  <c r="S13" i="83"/>
  <c r="R13" i="83"/>
  <c r="I13" i="83"/>
  <c r="S12" i="83"/>
  <c r="R12" i="83"/>
  <c r="J12" i="83"/>
  <c r="I12" i="83"/>
  <c r="S11" i="83"/>
  <c r="R11" i="83"/>
  <c r="J11" i="83"/>
  <c r="I11" i="83"/>
  <c r="S10" i="83"/>
  <c r="R10" i="83"/>
  <c r="J10" i="83"/>
  <c r="I10" i="83"/>
  <c r="S9" i="83"/>
  <c r="R9" i="83"/>
  <c r="J9" i="83"/>
  <c r="I9" i="83"/>
  <c r="A9" i="83"/>
  <c r="A10" i="83" s="1"/>
  <c r="A11" i="83" s="1"/>
  <c r="A12" i="83" s="1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S8" i="83"/>
  <c r="R8" i="83"/>
  <c r="J8" i="83"/>
  <c r="I8" i="83"/>
  <c r="W48" i="83" l="1"/>
  <c r="W44" i="83"/>
  <c r="W35" i="83"/>
  <c r="I60" i="83"/>
  <c r="S60" i="83"/>
  <c r="R60" i="83"/>
  <c r="J60" i="83"/>
  <c r="C44" i="81"/>
  <c r="I44" i="81" s="1"/>
  <c r="C48" i="80"/>
  <c r="C60" i="80" s="1"/>
  <c r="I44" i="80"/>
  <c r="I29" i="80"/>
  <c r="Q60" i="81"/>
  <c r="P60" i="81"/>
  <c r="O60" i="81"/>
  <c r="N60" i="81"/>
  <c r="M60" i="81"/>
  <c r="L60" i="81"/>
  <c r="H60" i="81"/>
  <c r="G60" i="81"/>
  <c r="E60" i="81"/>
  <c r="D60" i="81"/>
  <c r="C60" i="81"/>
  <c r="S59" i="81"/>
  <c r="R59" i="81"/>
  <c r="J59" i="81"/>
  <c r="I59" i="81"/>
  <c r="S58" i="81"/>
  <c r="R58" i="81"/>
  <c r="J58" i="81"/>
  <c r="I58" i="81"/>
  <c r="S57" i="81"/>
  <c r="R57" i="81"/>
  <c r="J57" i="81"/>
  <c r="I57" i="81"/>
  <c r="S56" i="81"/>
  <c r="R56" i="81"/>
  <c r="J56" i="81"/>
  <c r="I56" i="81"/>
  <c r="S55" i="81"/>
  <c r="R55" i="81"/>
  <c r="J55" i="81"/>
  <c r="I55" i="81"/>
  <c r="S54" i="81"/>
  <c r="R54" i="81"/>
  <c r="J54" i="81"/>
  <c r="I54" i="81"/>
  <c r="S53" i="81"/>
  <c r="R53" i="81"/>
  <c r="J53" i="81"/>
  <c r="I53" i="81"/>
  <c r="S52" i="81"/>
  <c r="R52" i="81"/>
  <c r="J52" i="81"/>
  <c r="I52" i="81"/>
  <c r="S51" i="81"/>
  <c r="R51" i="81"/>
  <c r="J51" i="81"/>
  <c r="I51" i="81"/>
  <c r="S50" i="81"/>
  <c r="R50" i="81"/>
  <c r="J50" i="81"/>
  <c r="I50" i="81"/>
  <c r="S49" i="81"/>
  <c r="R49" i="81"/>
  <c r="J49" i="81"/>
  <c r="I49" i="81"/>
  <c r="S48" i="81"/>
  <c r="R48" i="81"/>
  <c r="J48" i="81"/>
  <c r="I48" i="81"/>
  <c r="S47" i="81"/>
  <c r="R47" i="81"/>
  <c r="J47" i="81"/>
  <c r="I47" i="81"/>
  <c r="S46" i="81"/>
  <c r="R46" i="81"/>
  <c r="J46" i="81"/>
  <c r="I46" i="81"/>
  <c r="S45" i="81"/>
  <c r="R45" i="81"/>
  <c r="J45" i="81"/>
  <c r="I45" i="81"/>
  <c r="S44" i="81"/>
  <c r="R44" i="81"/>
  <c r="J44" i="81"/>
  <c r="S43" i="81"/>
  <c r="R43" i="81"/>
  <c r="J43" i="81"/>
  <c r="I43" i="81"/>
  <c r="S42" i="81"/>
  <c r="R42" i="81"/>
  <c r="J42" i="81"/>
  <c r="I42" i="81"/>
  <c r="S41" i="81"/>
  <c r="R41" i="81"/>
  <c r="J41" i="81"/>
  <c r="I41" i="81"/>
  <c r="S40" i="81"/>
  <c r="R40" i="81"/>
  <c r="J40" i="81"/>
  <c r="I40" i="81"/>
  <c r="S39" i="81"/>
  <c r="R39" i="81"/>
  <c r="J39" i="81"/>
  <c r="I39" i="81"/>
  <c r="S38" i="81"/>
  <c r="R38" i="81"/>
  <c r="J38" i="81"/>
  <c r="I38" i="81"/>
  <c r="S37" i="81"/>
  <c r="R37" i="81"/>
  <c r="J37" i="81"/>
  <c r="I37" i="81"/>
  <c r="S36" i="81"/>
  <c r="R36" i="81"/>
  <c r="J36" i="81"/>
  <c r="I36" i="81"/>
  <c r="S35" i="81"/>
  <c r="R35" i="81"/>
  <c r="J35" i="81"/>
  <c r="I35" i="81"/>
  <c r="S34" i="81"/>
  <c r="R34" i="81"/>
  <c r="J34" i="81"/>
  <c r="I34" i="81"/>
  <c r="S33" i="81"/>
  <c r="R33" i="81"/>
  <c r="J33" i="81"/>
  <c r="I33" i="81"/>
  <c r="S32" i="81"/>
  <c r="R32" i="81"/>
  <c r="J32" i="81"/>
  <c r="I32" i="81"/>
  <c r="S31" i="81"/>
  <c r="R31" i="81"/>
  <c r="J31" i="81"/>
  <c r="I31" i="81"/>
  <c r="S30" i="81"/>
  <c r="R30" i="81"/>
  <c r="J30" i="81"/>
  <c r="I30" i="81"/>
  <c r="S29" i="81"/>
  <c r="R29" i="81"/>
  <c r="J29" i="81"/>
  <c r="I29" i="81"/>
  <c r="S28" i="81"/>
  <c r="R28" i="81"/>
  <c r="J28" i="81"/>
  <c r="I28" i="81"/>
  <c r="S27" i="81"/>
  <c r="R27" i="81"/>
  <c r="J27" i="81"/>
  <c r="I27" i="81"/>
  <c r="BC26" i="81"/>
  <c r="S26" i="81"/>
  <c r="R26" i="81"/>
  <c r="J26" i="81"/>
  <c r="I26" i="81"/>
  <c r="S25" i="81"/>
  <c r="R25" i="81"/>
  <c r="J25" i="81"/>
  <c r="I25" i="81"/>
  <c r="S24" i="81"/>
  <c r="R24" i="81"/>
  <c r="J24" i="81"/>
  <c r="I24" i="81"/>
  <c r="S23" i="81"/>
  <c r="R23" i="81"/>
  <c r="J23" i="81"/>
  <c r="I23" i="81"/>
  <c r="S22" i="81"/>
  <c r="R22" i="81"/>
  <c r="J22" i="81"/>
  <c r="I22" i="81"/>
  <c r="S21" i="81"/>
  <c r="R21" i="81"/>
  <c r="J21" i="81"/>
  <c r="I21" i="81"/>
  <c r="S20" i="81"/>
  <c r="R20" i="81"/>
  <c r="J20" i="81"/>
  <c r="I20" i="81"/>
  <c r="S19" i="81"/>
  <c r="R19" i="81"/>
  <c r="J19" i="81"/>
  <c r="I19" i="81"/>
  <c r="S18" i="81"/>
  <c r="R18" i="81"/>
  <c r="J18" i="81"/>
  <c r="I18" i="81"/>
  <c r="S17" i="81"/>
  <c r="R17" i="81"/>
  <c r="J17" i="81"/>
  <c r="I17" i="81"/>
  <c r="S16" i="81"/>
  <c r="R16" i="81"/>
  <c r="J16" i="81"/>
  <c r="I16" i="81"/>
  <c r="S15" i="81"/>
  <c r="R15" i="81"/>
  <c r="J15" i="81"/>
  <c r="I15" i="81"/>
  <c r="S14" i="81"/>
  <c r="R14" i="81"/>
  <c r="J14" i="81"/>
  <c r="I14" i="81"/>
  <c r="S13" i="81"/>
  <c r="R13" i="81"/>
  <c r="J13" i="81"/>
  <c r="I13" i="81"/>
  <c r="S12" i="81"/>
  <c r="R12" i="81"/>
  <c r="J12" i="81"/>
  <c r="I12" i="81"/>
  <c r="S11" i="81"/>
  <c r="R11" i="81"/>
  <c r="J11" i="81"/>
  <c r="I11" i="81"/>
  <c r="S10" i="81"/>
  <c r="R10" i="81"/>
  <c r="J10" i="81"/>
  <c r="I10" i="81"/>
  <c r="A10" i="8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A38" i="81" s="1"/>
  <c r="A39" i="81" s="1"/>
  <c r="A40" i="81" s="1"/>
  <c r="A41" i="81" s="1"/>
  <c r="A42" i="81" s="1"/>
  <c r="A43" i="81" s="1"/>
  <c r="A44" i="81" s="1"/>
  <c r="A45" i="81" s="1"/>
  <c r="A46" i="81" s="1"/>
  <c r="A47" i="81" s="1"/>
  <c r="A48" i="81" s="1"/>
  <c r="A49" i="81" s="1"/>
  <c r="A50" i="81" s="1"/>
  <c r="A51" i="81" s="1"/>
  <c r="A52" i="81" s="1"/>
  <c r="A53" i="81" s="1"/>
  <c r="A54" i="81" s="1"/>
  <c r="A55" i="81" s="1"/>
  <c r="A56" i="81" s="1"/>
  <c r="A57" i="81" s="1"/>
  <c r="A58" i="81" s="1"/>
  <c r="A59" i="81" s="1"/>
  <c r="S9" i="81"/>
  <c r="R9" i="81"/>
  <c r="J9" i="81"/>
  <c r="I9" i="81"/>
  <c r="A9" i="81"/>
  <c r="S8" i="81"/>
  <c r="R8" i="81"/>
  <c r="J8" i="81"/>
  <c r="I8" i="81"/>
  <c r="Q60" i="80"/>
  <c r="P60" i="80"/>
  <c r="O60" i="80"/>
  <c r="N60" i="80"/>
  <c r="M60" i="80"/>
  <c r="L60" i="80"/>
  <c r="H60" i="80"/>
  <c r="G60" i="80"/>
  <c r="E60" i="80"/>
  <c r="D60" i="80"/>
  <c r="S59" i="80"/>
  <c r="R59" i="80"/>
  <c r="J59" i="80"/>
  <c r="I59" i="80"/>
  <c r="S58" i="80"/>
  <c r="R58" i="80"/>
  <c r="J58" i="80"/>
  <c r="I58" i="80"/>
  <c r="S57" i="80"/>
  <c r="R57" i="80"/>
  <c r="J57" i="80"/>
  <c r="I57" i="80"/>
  <c r="S56" i="80"/>
  <c r="R56" i="80"/>
  <c r="J56" i="80"/>
  <c r="I56" i="80"/>
  <c r="S55" i="80"/>
  <c r="R55" i="80"/>
  <c r="J55" i="80"/>
  <c r="I55" i="80"/>
  <c r="S54" i="80"/>
  <c r="R54" i="80"/>
  <c r="J54" i="80"/>
  <c r="I54" i="80"/>
  <c r="S53" i="80"/>
  <c r="R53" i="80"/>
  <c r="J53" i="80"/>
  <c r="I53" i="80"/>
  <c r="S52" i="80"/>
  <c r="R52" i="80"/>
  <c r="J52" i="80"/>
  <c r="I52" i="80"/>
  <c r="S51" i="80"/>
  <c r="R51" i="80"/>
  <c r="J51" i="80"/>
  <c r="I51" i="80"/>
  <c r="S50" i="80"/>
  <c r="R50" i="80"/>
  <c r="J50" i="80"/>
  <c r="I50" i="80"/>
  <c r="S49" i="80"/>
  <c r="R49" i="80"/>
  <c r="J49" i="80"/>
  <c r="I49" i="80"/>
  <c r="S48" i="80"/>
  <c r="R48" i="80"/>
  <c r="J48" i="80"/>
  <c r="I48" i="80"/>
  <c r="S47" i="80"/>
  <c r="R47" i="80"/>
  <c r="J47" i="80"/>
  <c r="I47" i="80"/>
  <c r="S46" i="80"/>
  <c r="R46" i="80"/>
  <c r="J46" i="80"/>
  <c r="I46" i="80"/>
  <c r="S45" i="80"/>
  <c r="R45" i="80"/>
  <c r="J45" i="80"/>
  <c r="I45" i="80"/>
  <c r="S44" i="80"/>
  <c r="R44" i="80"/>
  <c r="J44" i="80"/>
  <c r="S43" i="80"/>
  <c r="R43" i="80"/>
  <c r="J43" i="80"/>
  <c r="I43" i="80"/>
  <c r="S42" i="80"/>
  <c r="R42" i="80"/>
  <c r="J42" i="80"/>
  <c r="I42" i="80"/>
  <c r="S41" i="80"/>
  <c r="R41" i="80"/>
  <c r="J41" i="80"/>
  <c r="I41" i="80"/>
  <c r="S40" i="80"/>
  <c r="R40" i="80"/>
  <c r="J40" i="80"/>
  <c r="I40" i="80"/>
  <c r="S39" i="80"/>
  <c r="R39" i="80"/>
  <c r="J39" i="80"/>
  <c r="I39" i="80"/>
  <c r="S38" i="80"/>
  <c r="R38" i="80"/>
  <c r="J38" i="80"/>
  <c r="I38" i="80"/>
  <c r="S37" i="80"/>
  <c r="R37" i="80"/>
  <c r="J37" i="80"/>
  <c r="I37" i="80"/>
  <c r="S36" i="80"/>
  <c r="R36" i="80"/>
  <c r="J36" i="80"/>
  <c r="I36" i="80"/>
  <c r="S35" i="80"/>
  <c r="R35" i="80"/>
  <c r="J35" i="80"/>
  <c r="I35" i="80"/>
  <c r="S34" i="80"/>
  <c r="R34" i="80"/>
  <c r="J34" i="80"/>
  <c r="I34" i="80"/>
  <c r="S33" i="80"/>
  <c r="R33" i="80"/>
  <c r="J33" i="80"/>
  <c r="I33" i="80"/>
  <c r="S32" i="80"/>
  <c r="R32" i="80"/>
  <c r="J32" i="80"/>
  <c r="I32" i="80"/>
  <c r="S31" i="80"/>
  <c r="R31" i="80"/>
  <c r="J31" i="80"/>
  <c r="I31" i="80"/>
  <c r="S30" i="80"/>
  <c r="R30" i="80"/>
  <c r="J30" i="80"/>
  <c r="I30" i="80"/>
  <c r="S29" i="80"/>
  <c r="R29" i="80"/>
  <c r="J29" i="80"/>
  <c r="S28" i="80"/>
  <c r="R28" i="80"/>
  <c r="J28" i="80"/>
  <c r="I28" i="80"/>
  <c r="S27" i="80"/>
  <c r="R27" i="80"/>
  <c r="J27" i="80"/>
  <c r="I27" i="80"/>
  <c r="BC26" i="80"/>
  <c r="S26" i="80"/>
  <c r="R26" i="80"/>
  <c r="J26" i="80"/>
  <c r="I26" i="80"/>
  <c r="S25" i="80"/>
  <c r="R25" i="80"/>
  <c r="J25" i="80"/>
  <c r="I25" i="80"/>
  <c r="S24" i="80"/>
  <c r="R24" i="80"/>
  <c r="J24" i="80"/>
  <c r="I24" i="80"/>
  <c r="S23" i="80"/>
  <c r="R23" i="80"/>
  <c r="J23" i="80"/>
  <c r="I23" i="80"/>
  <c r="S22" i="80"/>
  <c r="R22" i="80"/>
  <c r="J22" i="80"/>
  <c r="I22" i="80"/>
  <c r="S21" i="80"/>
  <c r="R21" i="80"/>
  <c r="J21" i="80"/>
  <c r="I21" i="80"/>
  <c r="S20" i="80"/>
  <c r="R20" i="80"/>
  <c r="J20" i="80"/>
  <c r="I20" i="80"/>
  <c r="S19" i="80"/>
  <c r="R19" i="80"/>
  <c r="J19" i="80"/>
  <c r="I19" i="80"/>
  <c r="S18" i="80"/>
  <c r="R18" i="80"/>
  <c r="J18" i="80"/>
  <c r="I18" i="80"/>
  <c r="S17" i="80"/>
  <c r="R17" i="80"/>
  <c r="J17" i="80"/>
  <c r="I17" i="80"/>
  <c r="S16" i="80"/>
  <c r="R16" i="80"/>
  <c r="J16" i="80"/>
  <c r="I16" i="80"/>
  <c r="S15" i="80"/>
  <c r="R15" i="80"/>
  <c r="J15" i="80"/>
  <c r="I15" i="80"/>
  <c r="S14" i="80"/>
  <c r="R14" i="80"/>
  <c r="J14" i="80"/>
  <c r="I14" i="80"/>
  <c r="S13" i="80"/>
  <c r="R13" i="80"/>
  <c r="J13" i="80"/>
  <c r="I13" i="80"/>
  <c r="S12" i="80"/>
  <c r="R12" i="80"/>
  <c r="J12" i="80"/>
  <c r="I12" i="80"/>
  <c r="S11" i="80"/>
  <c r="R11" i="80"/>
  <c r="J11" i="80"/>
  <c r="I11" i="80"/>
  <c r="S10" i="80"/>
  <c r="R10" i="80"/>
  <c r="J10" i="80"/>
  <c r="I10" i="80"/>
  <c r="S9" i="80"/>
  <c r="R9" i="80"/>
  <c r="J9" i="80"/>
  <c r="I9" i="80"/>
  <c r="A9" i="80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A38" i="80" s="1"/>
  <c r="A39" i="80" s="1"/>
  <c r="A40" i="80" s="1"/>
  <c r="A41" i="80" s="1"/>
  <c r="A42" i="80" s="1"/>
  <c r="A43" i="80" s="1"/>
  <c r="A44" i="80" s="1"/>
  <c r="A45" i="80" s="1"/>
  <c r="A46" i="80" s="1"/>
  <c r="A47" i="80" s="1"/>
  <c r="A48" i="80" s="1"/>
  <c r="A49" i="80" s="1"/>
  <c r="A50" i="80" s="1"/>
  <c r="A51" i="80" s="1"/>
  <c r="A52" i="80" s="1"/>
  <c r="A53" i="80" s="1"/>
  <c r="A54" i="80" s="1"/>
  <c r="A55" i="80" s="1"/>
  <c r="A56" i="80" s="1"/>
  <c r="A57" i="80" s="1"/>
  <c r="A58" i="80" s="1"/>
  <c r="A59" i="80" s="1"/>
  <c r="S8" i="80"/>
  <c r="R8" i="80"/>
  <c r="J8" i="80"/>
  <c r="I8" i="80"/>
  <c r="I44" i="79"/>
  <c r="C38" i="79"/>
  <c r="J60" i="81" l="1"/>
  <c r="S60" i="81"/>
  <c r="R60" i="81"/>
  <c r="I60" i="81"/>
  <c r="S60" i="80"/>
  <c r="R60" i="80"/>
  <c r="I60" i="80"/>
  <c r="J60" i="80"/>
  <c r="C48" i="78" l="1"/>
  <c r="C60" i="78" s="1"/>
  <c r="Q60" i="79"/>
  <c r="P60" i="79"/>
  <c r="O60" i="79"/>
  <c r="N60" i="79"/>
  <c r="M60" i="79"/>
  <c r="L60" i="79"/>
  <c r="H60" i="79"/>
  <c r="G60" i="79"/>
  <c r="E60" i="79"/>
  <c r="D60" i="79"/>
  <c r="C60" i="79"/>
  <c r="S59" i="79"/>
  <c r="R59" i="79"/>
  <c r="J59" i="79"/>
  <c r="I59" i="79"/>
  <c r="S58" i="79"/>
  <c r="R58" i="79"/>
  <c r="J58" i="79"/>
  <c r="I58" i="79"/>
  <c r="S57" i="79"/>
  <c r="R57" i="79"/>
  <c r="J57" i="79"/>
  <c r="I57" i="79"/>
  <c r="S56" i="79"/>
  <c r="R56" i="79"/>
  <c r="J56" i="79"/>
  <c r="I56" i="79"/>
  <c r="S55" i="79"/>
  <c r="R55" i="79"/>
  <c r="J55" i="79"/>
  <c r="I55" i="79"/>
  <c r="S54" i="79"/>
  <c r="R54" i="79"/>
  <c r="J54" i="79"/>
  <c r="I54" i="79"/>
  <c r="S53" i="79"/>
  <c r="R53" i="79"/>
  <c r="J53" i="79"/>
  <c r="I53" i="79"/>
  <c r="S52" i="79"/>
  <c r="R52" i="79"/>
  <c r="J52" i="79"/>
  <c r="I52" i="79"/>
  <c r="S51" i="79"/>
  <c r="R51" i="79"/>
  <c r="J51" i="79"/>
  <c r="I51" i="79"/>
  <c r="S50" i="79"/>
  <c r="R50" i="79"/>
  <c r="J50" i="79"/>
  <c r="I50" i="79"/>
  <c r="S49" i="79"/>
  <c r="R49" i="79"/>
  <c r="J49" i="79"/>
  <c r="I49" i="79"/>
  <c r="S48" i="79"/>
  <c r="R48" i="79"/>
  <c r="J48" i="79"/>
  <c r="I48" i="79"/>
  <c r="S47" i="79"/>
  <c r="R47" i="79"/>
  <c r="J47" i="79"/>
  <c r="I47" i="79"/>
  <c r="S46" i="79"/>
  <c r="R46" i="79"/>
  <c r="J46" i="79"/>
  <c r="I46" i="79"/>
  <c r="S45" i="79"/>
  <c r="R45" i="79"/>
  <c r="J45" i="79"/>
  <c r="I45" i="79"/>
  <c r="S44" i="79"/>
  <c r="R44" i="79"/>
  <c r="J44" i="79"/>
  <c r="S43" i="79"/>
  <c r="R43" i="79"/>
  <c r="J43" i="79"/>
  <c r="I43" i="79"/>
  <c r="S42" i="79"/>
  <c r="R42" i="79"/>
  <c r="J42" i="79"/>
  <c r="I42" i="79"/>
  <c r="S41" i="79"/>
  <c r="R41" i="79"/>
  <c r="J41" i="79"/>
  <c r="I41" i="79"/>
  <c r="S40" i="79"/>
  <c r="R40" i="79"/>
  <c r="J40" i="79"/>
  <c r="I40" i="79"/>
  <c r="S39" i="79"/>
  <c r="R39" i="79"/>
  <c r="J39" i="79"/>
  <c r="I39" i="79"/>
  <c r="S38" i="79"/>
  <c r="R38" i="79"/>
  <c r="J38" i="79"/>
  <c r="I38" i="79"/>
  <c r="S37" i="79"/>
  <c r="R37" i="79"/>
  <c r="J37" i="79"/>
  <c r="I37" i="79"/>
  <c r="S36" i="79"/>
  <c r="R36" i="79"/>
  <c r="J36" i="79"/>
  <c r="I36" i="79"/>
  <c r="S35" i="79"/>
  <c r="R35" i="79"/>
  <c r="J35" i="79"/>
  <c r="I35" i="79"/>
  <c r="S34" i="79"/>
  <c r="R34" i="79"/>
  <c r="J34" i="79"/>
  <c r="I34" i="79"/>
  <c r="S33" i="79"/>
  <c r="R33" i="79"/>
  <c r="J33" i="79"/>
  <c r="I33" i="79"/>
  <c r="S32" i="79"/>
  <c r="R32" i="79"/>
  <c r="J32" i="79"/>
  <c r="I32" i="79"/>
  <c r="S31" i="79"/>
  <c r="R31" i="79"/>
  <c r="J31" i="79"/>
  <c r="I31" i="79"/>
  <c r="S30" i="79"/>
  <c r="R30" i="79"/>
  <c r="J30" i="79"/>
  <c r="I30" i="79"/>
  <c r="S29" i="79"/>
  <c r="R29" i="79"/>
  <c r="J29" i="79"/>
  <c r="I29" i="79"/>
  <c r="S28" i="79"/>
  <c r="R28" i="79"/>
  <c r="J28" i="79"/>
  <c r="I28" i="79"/>
  <c r="S27" i="79"/>
  <c r="R27" i="79"/>
  <c r="J27" i="79"/>
  <c r="I27" i="79"/>
  <c r="BC26" i="79"/>
  <c r="S26" i="79"/>
  <c r="R26" i="79"/>
  <c r="J26" i="79"/>
  <c r="I26" i="79"/>
  <c r="S25" i="79"/>
  <c r="R25" i="79"/>
  <c r="J25" i="79"/>
  <c r="I25" i="79"/>
  <c r="S24" i="79"/>
  <c r="R24" i="79"/>
  <c r="J24" i="79"/>
  <c r="I24" i="79"/>
  <c r="S23" i="79"/>
  <c r="R23" i="79"/>
  <c r="J23" i="79"/>
  <c r="I23" i="79"/>
  <c r="S22" i="79"/>
  <c r="R22" i="79"/>
  <c r="J22" i="79"/>
  <c r="I22" i="79"/>
  <c r="S21" i="79"/>
  <c r="R21" i="79"/>
  <c r="J21" i="79"/>
  <c r="I21" i="79"/>
  <c r="S20" i="79"/>
  <c r="R20" i="79"/>
  <c r="J20" i="79"/>
  <c r="I20" i="79"/>
  <c r="S19" i="79"/>
  <c r="R19" i="79"/>
  <c r="J19" i="79"/>
  <c r="I19" i="79"/>
  <c r="S18" i="79"/>
  <c r="R18" i="79"/>
  <c r="J18" i="79"/>
  <c r="I18" i="79"/>
  <c r="S17" i="79"/>
  <c r="R17" i="79"/>
  <c r="J17" i="79"/>
  <c r="I17" i="79"/>
  <c r="S16" i="79"/>
  <c r="R16" i="79"/>
  <c r="J16" i="79"/>
  <c r="I16" i="79"/>
  <c r="S15" i="79"/>
  <c r="R15" i="79"/>
  <c r="J15" i="79"/>
  <c r="I15" i="79"/>
  <c r="S14" i="79"/>
  <c r="R14" i="79"/>
  <c r="J14" i="79"/>
  <c r="I14" i="79"/>
  <c r="S13" i="79"/>
  <c r="R13" i="79"/>
  <c r="J13" i="79"/>
  <c r="I13" i="79"/>
  <c r="S12" i="79"/>
  <c r="R12" i="79"/>
  <c r="J12" i="79"/>
  <c r="I12" i="79"/>
  <c r="S11" i="79"/>
  <c r="R11" i="79"/>
  <c r="J11" i="79"/>
  <c r="I11" i="79"/>
  <c r="A11" i="79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A54" i="79" s="1"/>
  <c r="A55" i="79" s="1"/>
  <c r="A56" i="79" s="1"/>
  <c r="A57" i="79" s="1"/>
  <c r="A58" i="79" s="1"/>
  <c r="A59" i="79" s="1"/>
  <c r="S10" i="79"/>
  <c r="R10" i="79"/>
  <c r="J10" i="79"/>
  <c r="I10" i="79"/>
  <c r="A10" i="79"/>
  <c r="S9" i="79"/>
  <c r="R9" i="79"/>
  <c r="J9" i="79"/>
  <c r="I9" i="79"/>
  <c r="A9" i="79"/>
  <c r="S8" i="79"/>
  <c r="R8" i="79"/>
  <c r="J8" i="79"/>
  <c r="I8" i="79"/>
  <c r="Q60" i="78"/>
  <c r="P60" i="78"/>
  <c r="O60" i="78"/>
  <c r="N60" i="78"/>
  <c r="M60" i="78"/>
  <c r="L60" i="78"/>
  <c r="H60" i="78"/>
  <c r="G60" i="78"/>
  <c r="E60" i="78"/>
  <c r="D60" i="78"/>
  <c r="S59" i="78"/>
  <c r="R59" i="78"/>
  <c r="J59" i="78"/>
  <c r="I59" i="78"/>
  <c r="S58" i="78"/>
  <c r="R58" i="78"/>
  <c r="J58" i="78"/>
  <c r="I58" i="78"/>
  <c r="S57" i="78"/>
  <c r="R57" i="78"/>
  <c r="J57" i="78"/>
  <c r="I57" i="78"/>
  <c r="S56" i="78"/>
  <c r="R56" i="78"/>
  <c r="J56" i="78"/>
  <c r="I56" i="78"/>
  <c r="S55" i="78"/>
  <c r="R55" i="78"/>
  <c r="J55" i="78"/>
  <c r="I55" i="78"/>
  <c r="S54" i="78"/>
  <c r="R54" i="78"/>
  <c r="J54" i="78"/>
  <c r="I54" i="78"/>
  <c r="S53" i="78"/>
  <c r="R53" i="78"/>
  <c r="J53" i="78"/>
  <c r="I53" i="78"/>
  <c r="S52" i="78"/>
  <c r="R52" i="78"/>
  <c r="J52" i="78"/>
  <c r="I52" i="78"/>
  <c r="S51" i="78"/>
  <c r="R51" i="78"/>
  <c r="J51" i="78"/>
  <c r="I51" i="78"/>
  <c r="S50" i="78"/>
  <c r="R50" i="78"/>
  <c r="J50" i="78"/>
  <c r="I50" i="78"/>
  <c r="S49" i="78"/>
  <c r="R49" i="78"/>
  <c r="J49" i="78"/>
  <c r="I49" i="78"/>
  <c r="S48" i="78"/>
  <c r="R48" i="78"/>
  <c r="J48" i="78"/>
  <c r="S47" i="78"/>
  <c r="R47" i="78"/>
  <c r="J47" i="78"/>
  <c r="I47" i="78"/>
  <c r="S46" i="78"/>
  <c r="R46" i="78"/>
  <c r="J46" i="78"/>
  <c r="I46" i="78"/>
  <c r="S45" i="78"/>
  <c r="R45" i="78"/>
  <c r="J45" i="78"/>
  <c r="I45" i="78"/>
  <c r="S44" i="78"/>
  <c r="R44" i="78"/>
  <c r="J44" i="78"/>
  <c r="I44" i="78"/>
  <c r="S43" i="78"/>
  <c r="R43" i="78"/>
  <c r="J43" i="78"/>
  <c r="I43" i="78"/>
  <c r="S42" i="78"/>
  <c r="R42" i="78"/>
  <c r="J42" i="78"/>
  <c r="I42" i="78"/>
  <c r="S41" i="78"/>
  <c r="R41" i="78"/>
  <c r="J41" i="78"/>
  <c r="I41" i="78"/>
  <c r="S40" i="78"/>
  <c r="R40" i="78"/>
  <c r="J40" i="78"/>
  <c r="I40" i="78"/>
  <c r="S39" i="78"/>
  <c r="R39" i="78"/>
  <c r="J39" i="78"/>
  <c r="I39" i="78"/>
  <c r="S38" i="78"/>
  <c r="R38" i="78"/>
  <c r="J38" i="78"/>
  <c r="I38" i="78"/>
  <c r="S37" i="78"/>
  <c r="R37" i="78"/>
  <c r="J37" i="78"/>
  <c r="I37" i="78"/>
  <c r="S36" i="78"/>
  <c r="R36" i="78"/>
  <c r="J36" i="78"/>
  <c r="I36" i="78"/>
  <c r="S35" i="78"/>
  <c r="R35" i="78"/>
  <c r="J35" i="78"/>
  <c r="I35" i="78"/>
  <c r="S34" i="78"/>
  <c r="R34" i="78"/>
  <c r="J34" i="78"/>
  <c r="I34" i="78"/>
  <c r="S33" i="78"/>
  <c r="R33" i="78"/>
  <c r="J33" i="78"/>
  <c r="I33" i="78"/>
  <c r="S32" i="78"/>
  <c r="R32" i="78"/>
  <c r="J32" i="78"/>
  <c r="I32" i="78"/>
  <c r="S31" i="78"/>
  <c r="R31" i="78"/>
  <c r="J31" i="78"/>
  <c r="I31" i="78"/>
  <c r="S30" i="78"/>
  <c r="R30" i="78"/>
  <c r="J30" i="78"/>
  <c r="I30" i="78"/>
  <c r="S29" i="78"/>
  <c r="R29" i="78"/>
  <c r="J29" i="78"/>
  <c r="I29" i="78"/>
  <c r="S28" i="78"/>
  <c r="R28" i="78"/>
  <c r="J28" i="78"/>
  <c r="I28" i="78"/>
  <c r="S27" i="78"/>
  <c r="R27" i="78"/>
  <c r="J27" i="78"/>
  <c r="I27" i="78"/>
  <c r="BC26" i="78"/>
  <c r="S26" i="78"/>
  <c r="R26" i="78"/>
  <c r="J26" i="78"/>
  <c r="I26" i="78"/>
  <c r="S25" i="78"/>
  <c r="R25" i="78"/>
  <c r="J25" i="78"/>
  <c r="I25" i="78"/>
  <c r="S24" i="78"/>
  <c r="R24" i="78"/>
  <c r="J24" i="78"/>
  <c r="I24" i="78"/>
  <c r="S23" i="78"/>
  <c r="R23" i="78"/>
  <c r="J23" i="78"/>
  <c r="I23" i="78"/>
  <c r="S22" i="78"/>
  <c r="R22" i="78"/>
  <c r="J22" i="78"/>
  <c r="I22" i="78"/>
  <c r="S21" i="78"/>
  <c r="R21" i="78"/>
  <c r="J21" i="78"/>
  <c r="I21" i="78"/>
  <c r="S20" i="78"/>
  <c r="R20" i="78"/>
  <c r="J20" i="78"/>
  <c r="I20" i="78"/>
  <c r="S19" i="78"/>
  <c r="R19" i="78"/>
  <c r="J19" i="78"/>
  <c r="I19" i="78"/>
  <c r="S18" i="78"/>
  <c r="R18" i="78"/>
  <c r="J18" i="78"/>
  <c r="I18" i="78"/>
  <c r="S17" i="78"/>
  <c r="R17" i="78"/>
  <c r="J17" i="78"/>
  <c r="I17" i="78"/>
  <c r="S16" i="78"/>
  <c r="R16" i="78"/>
  <c r="J16" i="78"/>
  <c r="I16" i="78"/>
  <c r="S15" i="78"/>
  <c r="R15" i="78"/>
  <c r="J15" i="78"/>
  <c r="I15" i="78"/>
  <c r="S14" i="78"/>
  <c r="R14" i="78"/>
  <c r="J14" i="78"/>
  <c r="I14" i="78"/>
  <c r="S13" i="78"/>
  <c r="R13" i="78"/>
  <c r="J13" i="78"/>
  <c r="I13" i="78"/>
  <c r="S12" i="78"/>
  <c r="R12" i="78"/>
  <c r="J12" i="78"/>
  <c r="I12" i="78"/>
  <c r="S11" i="78"/>
  <c r="R11" i="78"/>
  <c r="J11" i="78"/>
  <c r="I11" i="78"/>
  <c r="S10" i="78"/>
  <c r="R10" i="78"/>
  <c r="J10" i="78"/>
  <c r="I10" i="78"/>
  <c r="S9" i="78"/>
  <c r="R9" i="78"/>
  <c r="J9" i="78"/>
  <c r="I9" i="78"/>
  <c r="A9" i="78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A47" i="78" s="1"/>
  <c r="A48" i="78" s="1"/>
  <c r="A49" i="78" s="1"/>
  <c r="A50" i="78" s="1"/>
  <c r="A51" i="78" s="1"/>
  <c r="A52" i="78" s="1"/>
  <c r="A53" i="78" s="1"/>
  <c r="A54" i="78" s="1"/>
  <c r="A55" i="78" s="1"/>
  <c r="A56" i="78" s="1"/>
  <c r="A57" i="78" s="1"/>
  <c r="A58" i="78" s="1"/>
  <c r="A59" i="78" s="1"/>
  <c r="S8" i="78"/>
  <c r="R8" i="78"/>
  <c r="J8" i="78"/>
  <c r="I8" i="78"/>
  <c r="Q60" i="77"/>
  <c r="P60" i="77"/>
  <c r="O60" i="77"/>
  <c r="N60" i="77"/>
  <c r="M60" i="77"/>
  <c r="L60" i="77"/>
  <c r="H60" i="77"/>
  <c r="G60" i="77"/>
  <c r="E60" i="77"/>
  <c r="D60" i="77"/>
  <c r="S59" i="77"/>
  <c r="R59" i="77"/>
  <c r="J59" i="77"/>
  <c r="I59" i="77"/>
  <c r="S58" i="77"/>
  <c r="R58" i="77"/>
  <c r="J58" i="77"/>
  <c r="I58" i="77"/>
  <c r="S57" i="77"/>
  <c r="R57" i="77"/>
  <c r="J57" i="77"/>
  <c r="I57" i="77"/>
  <c r="S56" i="77"/>
  <c r="R56" i="77"/>
  <c r="J56" i="77"/>
  <c r="I56" i="77"/>
  <c r="S55" i="77"/>
  <c r="R55" i="77"/>
  <c r="J55" i="77"/>
  <c r="I55" i="77"/>
  <c r="S54" i="77"/>
  <c r="R54" i="77"/>
  <c r="J54" i="77"/>
  <c r="I54" i="77"/>
  <c r="S53" i="77"/>
  <c r="R53" i="77"/>
  <c r="J53" i="77"/>
  <c r="I53" i="77"/>
  <c r="S52" i="77"/>
  <c r="R52" i="77"/>
  <c r="J52" i="77"/>
  <c r="I52" i="77"/>
  <c r="S51" i="77"/>
  <c r="R51" i="77"/>
  <c r="J51" i="77"/>
  <c r="I51" i="77"/>
  <c r="S50" i="77"/>
  <c r="R50" i="77"/>
  <c r="J50" i="77"/>
  <c r="I50" i="77"/>
  <c r="S49" i="77"/>
  <c r="R49" i="77"/>
  <c r="J49" i="77"/>
  <c r="I49" i="77"/>
  <c r="S48" i="77"/>
  <c r="R48" i="77"/>
  <c r="J48" i="77"/>
  <c r="I48" i="77"/>
  <c r="S47" i="77"/>
  <c r="R47" i="77"/>
  <c r="J47" i="77"/>
  <c r="I47" i="77"/>
  <c r="S46" i="77"/>
  <c r="R46" i="77"/>
  <c r="J46" i="77"/>
  <c r="I46" i="77"/>
  <c r="S45" i="77"/>
  <c r="R45" i="77"/>
  <c r="J45" i="77"/>
  <c r="I45" i="77"/>
  <c r="S44" i="77"/>
  <c r="R44" i="77"/>
  <c r="J44" i="77"/>
  <c r="I44" i="77"/>
  <c r="S43" i="77"/>
  <c r="R43" i="77"/>
  <c r="J43" i="77"/>
  <c r="I43" i="77"/>
  <c r="S42" i="77"/>
  <c r="R42" i="77"/>
  <c r="J42" i="77"/>
  <c r="I42" i="77"/>
  <c r="S41" i="77"/>
  <c r="R41" i="77"/>
  <c r="J41" i="77"/>
  <c r="I41" i="77"/>
  <c r="C60" i="77"/>
  <c r="S40" i="77"/>
  <c r="R40" i="77"/>
  <c r="J40" i="77"/>
  <c r="I40" i="77"/>
  <c r="S39" i="77"/>
  <c r="R39" i="77"/>
  <c r="J39" i="77"/>
  <c r="I39" i="77"/>
  <c r="S38" i="77"/>
  <c r="R38" i="77"/>
  <c r="J38" i="77"/>
  <c r="I38" i="77"/>
  <c r="S37" i="77"/>
  <c r="R37" i="77"/>
  <c r="J37" i="77"/>
  <c r="I37" i="77"/>
  <c r="S36" i="77"/>
  <c r="R36" i="77"/>
  <c r="J36" i="77"/>
  <c r="I36" i="77"/>
  <c r="S35" i="77"/>
  <c r="R35" i="77"/>
  <c r="J35" i="77"/>
  <c r="I35" i="77"/>
  <c r="S34" i="77"/>
  <c r="R34" i="77"/>
  <c r="J34" i="77"/>
  <c r="I34" i="77"/>
  <c r="S33" i="77"/>
  <c r="R33" i="77"/>
  <c r="J33" i="77"/>
  <c r="I33" i="77"/>
  <c r="S32" i="77"/>
  <c r="R32" i="77"/>
  <c r="J32" i="77"/>
  <c r="I32" i="77"/>
  <c r="S31" i="77"/>
  <c r="R31" i="77"/>
  <c r="J31" i="77"/>
  <c r="I31" i="77"/>
  <c r="S30" i="77"/>
  <c r="R30" i="77"/>
  <c r="J30" i="77"/>
  <c r="I30" i="77"/>
  <c r="S29" i="77"/>
  <c r="R29" i="77"/>
  <c r="J29" i="77"/>
  <c r="I29" i="77"/>
  <c r="S28" i="77"/>
  <c r="R28" i="77"/>
  <c r="J28" i="77"/>
  <c r="I28" i="77"/>
  <c r="S27" i="77"/>
  <c r="R27" i="77"/>
  <c r="J27" i="77"/>
  <c r="I27" i="77"/>
  <c r="BC26" i="77"/>
  <c r="S26" i="77"/>
  <c r="R26" i="77"/>
  <c r="J26" i="77"/>
  <c r="I26" i="77"/>
  <c r="S25" i="77"/>
  <c r="R25" i="77"/>
  <c r="J25" i="77"/>
  <c r="I25" i="77"/>
  <c r="S24" i="77"/>
  <c r="R24" i="77"/>
  <c r="J24" i="77"/>
  <c r="I24" i="77"/>
  <c r="S23" i="77"/>
  <c r="R23" i="77"/>
  <c r="J23" i="77"/>
  <c r="I23" i="77"/>
  <c r="S22" i="77"/>
  <c r="R22" i="77"/>
  <c r="J22" i="77"/>
  <c r="I22" i="77"/>
  <c r="S21" i="77"/>
  <c r="R21" i="77"/>
  <c r="J21" i="77"/>
  <c r="I21" i="77"/>
  <c r="S20" i="77"/>
  <c r="R20" i="77"/>
  <c r="J20" i="77"/>
  <c r="I20" i="77"/>
  <c r="S19" i="77"/>
  <c r="R19" i="77"/>
  <c r="J19" i="77"/>
  <c r="I19" i="77"/>
  <c r="S18" i="77"/>
  <c r="R18" i="77"/>
  <c r="J18" i="77"/>
  <c r="I18" i="77"/>
  <c r="S17" i="77"/>
  <c r="R17" i="77"/>
  <c r="J17" i="77"/>
  <c r="I17" i="77"/>
  <c r="S16" i="77"/>
  <c r="R16" i="77"/>
  <c r="J16" i="77"/>
  <c r="I16" i="77"/>
  <c r="S15" i="77"/>
  <c r="R15" i="77"/>
  <c r="J15" i="77"/>
  <c r="I15" i="77"/>
  <c r="S14" i="77"/>
  <c r="R14" i="77"/>
  <c r="J14" i="77"/>
  <c r="I14" i="77"/>
  <c r="S13" i="77"/>
  <c r="R13" i="77"/>
  <c r="J13" i="77"/>
  <c r="I13" i="77"/>
  <c r="S12" i="77"/>
  <c r="R12" i="77"/>
  <c r="J12" i="77"/>
  <c r="I12" i="77"/>
  <c r="S11" i="77"/>
  <c r="R11" i="77"/>
  <c r="J11" i="77"/>
  <c r="I11" i="77"/>
  <c r="S10" i="77"/>
  <c r="R10" i="77"/>
  <c r="J10" i="77"/>
  <c r="I10" i="77"/>
  <c r="S9" i="77"/>
  <c r="R9" i="77"/>
  <c r="J9" i="77"/>
  <c r="I9" i="77"/>
  <c r="A9" i="77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S8" i="77"/>
  <c r="R8" i="77"/>
  <c r="J8" i="77"/>
  <c r="I8" i="77"/>
  <c r="C42" i="75"/>
  <c r="C41" i="75"/>
  <c r="F60" i="76"/>
  <c r="Q60" i="76"/>
  <c r="P60" i="76"/>
  <c r="O60" i="76"/>
  <c r="N60" i="76"/>
  <c r="M60" i="76"/>
  <c r="L60" i="76"/>
  <c r="H60" i="76"/>
  <c r="G60" i="76"/>
  <c r="E60" i="76"/>
  <c r="D60" i="76"/>
  <c r="C60" i="76"/>
  <c r="S59" i="76"/>
  <c r="R59" i="76"/>
  <c r="J59" i="76"/>
  <c r="I59" i="76"/>
  <c r="S58" i="76"/>
  <c r="R58" i="76"/>
  <c r="J58" i="76"/>
  <c r="I58" i="76"/>
  <c r="S57" i="76"/>
  <c r="R57" i="76"/>
  <c r="J57" i="76"/>
  <c r="I57" i="76"/>
  <c r="S56" i="76"/>
  <c r="R56" i="76"/>
  <c r="J56" i="76"/>
  <c r="I56" i="76"/>
  <c r="S55" i="76"/>
  <c r="R55" i="76"/>
  <c r="J55" i="76"/>
  <c r="I55" i="76"/>
  <c r="S54" i="76"/>
  <c r="R54" i="76"/>
  <c r="J54" i="76"/>
  <c r="I54" i="76"/>
  <c r="S53" i="76"/>
  <c r="R53" i="76"/>
  <c r="J53" i="76"/>
  <c r="I53" i="76"/>
  <c r="S52" i="76"/>
  <c r="R52" i="76"/>
  <c r="J52" i="76"/>
  <c r="I52" i="76"/>
  <c r="S51" i="76"/>
  <c r="R51" i="76"/>
  <c r="J51" i="76"/>
  <c r="I51" i="76"/>
  <c r="S50" i="76"/>
  <c r="R50" i="76"/>
  <c r="J50" i="76"/>
  <c r="I50" i="76"/>
  <c r="S49" i="76"/>
  <c r="R49" i="76"/>
  <c r="J49" i="76"/>
  <c r="I49" i="76"/>
  <c r="S48" i="76"/>
  <c r="R48" i="76"/>
  <c r="J48" i="76"/>
  <c r="I48" i="76"/>
  <c r="S47" i="76"/>
  <c r="R47" i="76"/>
  <c r="J47" i="76"/>
  <c r="I47" i="76"/>
  <c r="S46" i="76"/>
  <c r="R46" i="76"/>
  <c r="J46" i="76"/>
  <c r="I46" i="76"/>
  <c r="S45" i="76"/>
  <c r="R45" i="76"/>
  <c r="J45" i="76"/>
  <c r="I45" i="76"/>
  <c r="S44" i="76"/>
  <c r="R44" i="76"/>
  <c r="J44" i="76"/>
  <c r="I44" i="76"/>
  <c r="S43" i="76"/>
  <c r="R43" i="76"/>
  <c r="J43" i="76"/>
  <c r="I43" i="76"/>
  <c r="S42" i="76"/>
  <c r="R42" i="76"/>
  <c r="J42" i="76"/>
  <c r="I42" i="76"/>
  <c r="S41" i="76"/>
  <c r="R41" i="76"/>
  <c r="J41" i="76"/>
  <c r="I41" i="76"/>
  <c r="S40" i="76"/>
  <c r="R40" i="76"/>
  <c r="J40" i="76"/>
  <c r="I40" i="76"/>
  <c r="S39" i="76"/>
  <c r="R39" i="76"/>
  <c r="J39" i="76"/>
  <c r="I39" i="76"/>
  <c r="S38" i="76"/>
  <c r="R38" i="76"/>
  <c r="J38" i="76"/>
  <c r="I38" i="76"/>
  <c r="S37" i="76"/>
  <c r="R37" i="76"/>
  <c r="J37" i="76"/>
  <c r="I37" i="76"/>
  <c r="S36" i="76"/>
  <c r="R36" i="76"/>
  <c r="J36" i="76"/>
  <c r="I36" i="76"/>
  <c r="S35" i="76"/>
  <c r="R35" i="76"/>
  <c r="J35" i="76"/>
  <c r="I35" i="76"/>
  <c r="S34" i="76"/>
  <c r="R34" i="76"/>
  <c r="J34" i="76"/>
  <c r="I34" i="76"/>
  <c r="S33" i="76"/>
  <c r="R33" i="76"/>
  <c r="J33" i="76"/>
  <c r="I33" i="76"/>
  <c r="S32" i="76"/>
  <c r="R32" i="76"/>
  <c r="J32" i="76"/>
  <c r="I32" i="76"/>
  <c r="S31" i="76"/>
  <c r="R31" i="76"/>
  <c r="J31" i="76"/>
  <c r="I31" i="76"/>
  <c r="S30" i="76"/>
  <c r="R30" i="76"/>
  <c r="J30" i="76"/>
  <c r="I30" i="76"/>
  <c r="S29" i="76"/>
  <c r="R29" i="76"/>
  <c r="J29" i="76"/>
  <c r="I29" i="76"/>
  <c r="S28" i="76"/>
  <c r="R28" i="76"/>
  <c r="J28" i="76"/>
  <c r="I28" i="76"/>
  <c r="S27" i="76"/>
  <c r="R27" i="76"/>
  <c r="J27" i="76"/>
  <c r="I27" i="76"/>
  <c r="BC26" i="76"/>
  <c r="S26" i="76"/>
  <c r="R26" i="76"/>
  <c r="J26" i="76"/>
  <c r="I26" i="76"/>
  <c r="S25" i="76"/>
  <c r="R25" i="76"/>
  <c r="J25" i="76"/>
  <c r="I25" i="76"/>
  <c r="S24" i="76"/>
  <c r="R24" i="76"/>
  <c r="J24" i="76"/>
  <c r="I24" i="76"/>
  <c r="S23" i="76"/>
  <c r="R23" i="76"/>
  <c r="J23" i="76"/>
  <c r="I23" i="76"/>
  <c r="S22" i="76"/>
  <c r="R22" i="76"/>
  <c r="J22" i="76"/>
  <c r="I22" i="76"/>
  <c r="S21" i="76"/>
  <c r="R21" i="76"/>
  <c r="J21" i="76"/>
  <c r="I21" i="76"/>
  <c r="S20" i="76"/>
  <c r="R20" i="76"/>
  <c r="J20" i="76"/>
  <c r="I20" i="76"/>
  <c r="S19" i="76"/>
  <c r="R19" i="76"/>
  <c r="J19" i="76"/>
  <c r="I19" i="76"/>
  <c r="S18" i="76"/>
  <c r="R18" i="76"/>
  <c r="J18" i="76"/>
  <c r="I18" i="76"/>
  <c r="S17" i="76"/>
  <c r="R17" i="76"/>
  <c r="J17" i="76"/>
  <c r="I17" i="76"/>
  <c r="S16" i="76"/>
  <c r="R16" i="76"/>
  <c r="J16" i="76"/>
  <c r="I16" i="76"/>
  <c r="S15" i="76"/>
  <c r="R15" i="76"/>
  <c r="J15" i="76"/>
  <c r="I15" i="76"/>
  <c r="S14" i="76"/>
  <c r="R14" i="76"/>
  <c r="J14" i="76"/>
  <c r="I14" i="76"/>
  <c r="S13" i="76"/>
  <c r="R13" i="76"/>
  <c r="J13" i="76"/>
  <c r="I13" i="76"/>
  <c r="S12" i="76"/>
  <c r="R12" i="76"/>
  <c r="J12" i="76"/>
  <c r="I12" i="76"/>
  <c r="S11" i="76"/>
  <c r="S60" i="76" s="1"/>
  <c r="R11" i="76"/>
  <c r="J11" i="76"/>
  <c r="I11" i="76"/>
  <c r="S10" i="76"/>
  <c r="R10" i="76"/>
  <c r="J10" i="76"/>
  <c r="I10" i="76"/>
  <c r="S9" i="76"/>
  <c r="R9" i="76"/>
  <c r="J9" i="76"/>
  <c r="I9" i="76"/>
  <c r="A9" i="76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S8" i="76"/>
  <c r="R8" i="76"/>
  <c r="R60" i="76" s="1"/>
  <c r="J8" i="76"/>
  <c r="J60" i="76" s="1"/>
  <c r="I8" i="76"/>
  <c r="I60" i="76" s="1"/>
  <c r="S60" i="79" l="1"/>
  <c r="J60" i="79"/>
  <c r="R60" i="79"/>
  <c r="I60" i="79"/>
  <c r="I48" i="78"/>
  <c r="I60" i="78" s="1"/>
  <c r="J60" i="78"/>
  <c r="R60" i="78"/>
  <c r="S60" i="78"/>
  <c r="R60" i="77"/>
  <c r="S60" i="77"/>
  <c r="J60" i="77"/>
  <c r="I60" i="77"/>
  <c r="Q60" i="75"/>
  <c r="P60" i="75"/>
  <c r="O60" i="75"/>
  <c r="N60" i="75"/>
  <c r="M60" i="75"/>
  <c r="L60" i="75"/>
  <c r="H60" i="75"/>
  <c r="G60" i="75"/>
  <c r="E60" i="75"/>
  <c r="D60" i="75"/>
  <c r="S59" i="75"/>
  <c r="R59" i="75"/>
  <c r="J59" i="75"/>
  <c r="I59" i="75"/>
  <c r="S58" i="75"/>
  <c r="R58" i="75"/>
  <c r="J58" i="75"/>
  <c r="I58" i="75"/>
  <c r="S57" i="75"/>
  <c r="R57" i="75"/>
  <c r="J57" i="75"/>
  <c r="I57" i="75"/>
  <c r="S56" i="75"/>
  <c r="R56" i="75"/>
  <c r="J56" i="75"/>
  <c r="I56" i="75"/>
  <c r="S55" i="75"/>
  <c r="R55" i="75"/>
  <c r="J55" i="75"/>
  <c r="I55" i="75"/>
  <c r="S54" i="75"/>
  <c r="R54" i="75"/>
  <c r="J54" i="75"/>
  <c r="I54" i="75"/>
  <c r="S53" i="75"/>
  <c r="R53" i="75"/>
  <c r="J53" i="75"/>
  <c r="I53" i="75"/>
  <c r="S52" i="75"/>
  <c r="R52" i="75"/>
  <c r="J52" i="75"/>
  <c r="I52" i="75"/>
  <c r="S51" i="75"/>
  <c r="R51" i="75"/>
  <c r="J51" i="75"/>
  <c r="I51" i="75"/>
  <c r="S50" i="75"/>
  <c r="R50" i="75"/>
  <c r="J50" i="75"/>
  <c r="I50" i="75"/>
  <c r="S49" i="75"/>
  <c r="R49" i="75"/>
  <c r="J49" i="75"/>
  <c r="I49" i="75"/>
  <c r="S48" i="75"/>
  <c r="R48" i="75"/>
  <c r="J48" i="75"/>
  <c r="I48" i="75"/>
  <c r="S47" i="75"/>
  <c r="R47" i="75"/>
  <c r="J47" i="75"/>
  <c r="I47" i="75"/>
  <c r="S46" i="75"/>
  <c r="R46" i="75"/>
  <c r="J46" i="75"/>
  <c r="I46" i="75"/>
  <c r="S45" i="75"/>
  <c r="R45" i="75"/>
  <c r="J45" i="75"/>
  <c r="I45" i="75"/>
  <c r="S44" i="75"/>
  <c r="R44" i="75"/>
  <c r="J44" i="75"/>
  <c r="C60" i="75"/>
  <c r="S43" i="75"/>
  <c r="R43" i="75"/>
  <c r="J43" i="75"/>
  <c r="I43" i="75"/>
  <c r="S42" i="75"/>
  <c r="R42" i="75"/>
  <c r="J42" i="75"/>
  <c r="I42" i="75"/>
  <c r="S41" i="75"/>
  <c r="R41" i="75"/>
  <c r="J41" i="75"/>
  <c r="I41" i="75"/>
  <c r="S40" i="75"/>
  <c r="R40" i="75"/>
  <c r="J40" i="75"/>
  <c r="I40" i="75"/>
  <c r="S39" i="75"/>
  <c r="R39" i="75"/>
  <c r="J39" i="75"/>
  <c r="I39" i="75"/>
  <c r="S38" i="75"/>
  <c r="R38" i="75"/>
  <c r="J38" i="75"/>
  <c r="I38" i="75"/>
  <c r="S37" i="75"/>
  <c r="R37" i="75"/>
  <c r="J37" i="75"/>
  <c r="I37" i="75"/>
  <c r="S36" i="75"/>
  <c r="R36" i="75"/>
  <c r="J36" i="75"/>
  <c r="I36" i="75"/>
  <c r="S35" i="75"/>
  <c r="R35" i="75"/>
  <c r="J35" i="75"/>
  <c r="I35" i="75"/>
  <c r="S34" i="75"/>
  <c r="R34" i="75"/>
  <c r="J34" i="75"/>
  <c r="I34" i="75"/>
  <c r="S33" i="75"/>
  <c r="R33" i="75"/>
  <c r="J33" i="75"/>
  <c r="I33" i="75"/>
  <c r="S32" i="75"/>
  <c r="R32" i="75"/>
  <c r="J32" i="75"/>
  <c r="I32" i="75"/>
  <c r="S31" i="75"/>
  <c r="R31" i="75"/>
  <c r="J31" i="75"/>
  <c r="I31" i="75"/>
  <c r="S30" i="75"/>
  <c r="R30" i="75"/>
  <c r="J30" i="75"/>
  <c r="I30" i="75"/>
  <c r="S29" i="75"/>
  <c r="R29" i="75"/>
  <c r="J29" i="75"/>
  <c r="I29" i="75"/>
  <c r="S28" i="75"/>
  <c r="R28" i="75"/>
  <c r="J28" i="75"/>
  <c r="I28" i="75"/>
  <c r="S27" i="75"/>
  <c r="R27" i="75"/>
  <c r="J27" i="75"/>
  <c r="I27" i="75"/>
  <c r="BC26" i="75"/>
  <c r="S26" i="75"/>
  <c r="R26" i="75"/>
  <c r="J26" i="75"/>
  <c r="I26" i="75"/>
  <c r="S25" i="75"/>
  <c r="R25" i="75"/>
  <c r="J25" i="75"/>
  <c r="I25" i="75"/>
  <c r="S24" i="75"/>
  <c r="R24" i="75"/>
  <c r="J24" i="75"/>
  <c r="I24" i="75"/>
  <c r="S23" i="75"/>
  <c r="R23" i="75"/>
  <c r="J23" i="75"/>
  <c r="I23" i="75"/>
  <c r="S22" i="75"/>
  <c r="R22" i="75"/>
  <c r="J22" i="75"/>
  <c r="I22" i="75"/>
  <c r="S21" i="75"/>
  <c r="R21" i="75"/>
  <c r="J21" i="75"/>
  <c r="I21" i="75"/>
  <c r="S20" i="75"/>
  <c r="R20" i="75"/>
  <c r="J20" i="75"/>
  <c r="I20" i="75"/>
  <c r="S19" i="75"/>
  <c r="R19" i="75"/>
  <c r="J19" i="75"/>
  <c r="I19" i="75"/>
  <c r="S18" i="75"/>
  <c r="R18" i="75"/>
  <c r="J18" i="75"/>
  <c r="I18" i="75"/>
  <c r="S17" i="75"/>
  <c r="R17" i="75"/>
  <c r="J17" i="75"/>
  <c r="I17" i="75"/>
  <c r="S16" i="75"/>
  <c r="R16" i="75"/>
  <c r="J16" i="75"/>
  <c r="I16" i="75"/>
  <c r="S15" i="75"/>
  <c r="R15" i="75"/>
  <c r="J15" i="75"/>
  <c r="I15" i="75"/>
  <c r="S14" i="75"/>
  <c r="R14" i="75"/>
  <c r="J14" i="75"/>
  <c r="I14" i="75"/>
  <c r="S13" i="75"/>
  <c r="R13" i="75"/>
  <c r="J13" i="75"/>
  <c r="I13" i="75"/>
  <c r="S12" i="75"/>
  <c r="R12" i="75"/>
  <c r="J12" i="75"/>
  <c r="I12" i="75"/>
  <c r="S11" i="75"/>
  <c r="R11" i="75"/>
  <c r="J11" i="75"/>
  <c r="I11" i="75"/>
  <c r="A11" i="75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A43" i="75" s="1"/>
  <c r="A44" i="75" s="1"/>
  <c r="A45" i="75" s="1"/>
  <c r="A46" i="75" s="1"/>
  <c r="A47" i="75" s="1"/>
  <c r="A48" i="75" s="1"/>
  <c r="A49" i="75" s="1"/>
  <c r="A50" i="75" s="1"/>
  <c r="A51" i="75" s="1"/>
  <c r="A52" i="75" s="1"/>
  <c r="A53" i="75" s="1"/>
  <c r="A54" i="75" s="1"/>
  <c r="A55" i="75" s="1"/>
  <c r="A56" i="75" s="1"/>
  <c r="A57" i="75" s="1"/>
  <c r="A58" i="75" s="1"/>
  <c r="A59" i="75" s="1"/>
  <c r="S10" i="75"/>
  <c r="R10" i="75"/>
  <c r="J10" i="75"/>
  <c r="I10" i="75"/>
  <c r="A10" i="75"/>
  <c r="S9" i="75"/>
  <c r="R9" i="75"/>
  <c r="J9" i="75"/>
  <c r="I9" i="75"/>
  <c r="A9" i="75"/>
  <c r="S8" i="75"/>
  <c r="R8" i="75"/>
  <c r="J8" i="75"/>
  <c r="I8" i="75"/>
  <c r="C44" i="74"/>
  <c r="R60" i="75" l="1"/>
  <c r="S60" i="75"/>
  <c r="J60" i="75"/>
  <c r="I44" i="75"/>
  <c r="I60" i="75" s="1"/>
  <c r="Q60" i="74"/>
  <c r="P60" i="74"/>
  <c r="O60" i="74"/>
  <c r="N60" i="74"/>
  <c r="M60" i="74"/>
  <c r="L60" i="74"/>
  <c r="H60" i="74"/>
  <c r="G60" i="74"/>
  <c r="E60" i="74"/>
  <c r="D60" i="74"/>
  <c r="C60" i="74"/>
  <c r="S59" i="74"/>
  <c r="R59" i="74"/>
  <c r="J59" i="74"/>
  <c r="I59" i="74"/>
  <c r="S58" i="74"/>
  <c r="R58" i="74"/>
  <c r="J58" i="74"/>
  <c r="I58" i="74"/>
  <c r="S57" i="74"/>
  <c r="R57" i="74"/>
  <c r="J57" i="74"/>
  <c r="I57" i="74"/>
  <c r="S56" i="74"/>
  <c r="R56" i="74"/>
  <c r="J56" i="74"/>
  <c r="I56" i="74"/>
  <c r="S55" i="74"/>
  <c r="R55" i="74"/>
  <c r="J55" i="74"/>
  <c r="I55" i="74"/>
  <c r="S54" i="74"/>
  <c r="R54" i="74"/>
  <c r="J54" i="74"/>
  <c r="I54" i="74"/>
  <c r="S53" i="74"/>
  <c r="R53" i="74"/>
  <c r="J53" i="74"/>
  <c r="I53" i="74"/>
  <c r="S52" i="74"/>
  <c r="R52" i="74"/>
  <c r="J52" i="74"/>
  <c r="I52" i="74"/>
  <c r="S51" i="74"/>
  <c r="R51" i="74"/>
  <c r="J51" i="74"/>
  <c r="I51" i="74"/>
  <c r="S50" i="74"/>
  <c r="R50" i="74"/>
  <c r="J50" i="74"/>
  <c r="I50" i="74"/>
  <c r="S49" i="74"/>
  <c r="R49" i="74"/>
  <c r="J49" i="74"/>
  <c r="I49" i="74"/>
  <c r="S48" i="74"/>
  <c r="R48" i="74"/>
  <c r="J48" i="74"/>
  <c r="I48" i="74"/>
  <c r="S47" i="74"/>
  <c r="R47" i="74"/>
  <c r="J47" i="74"/>
  <c r="I47" i="74"/>
  <c r="S46" i="74"/>
  <c r="R46" i="74"/>
  <c r="J46" i="74"/>
  <c r="I46" i="74"/>
  <c r="S45" i="74"/>
  <c r="R45" i="74"/>
  <c r="J45" i="74"/>
  <c r="I45" i="74"/>
  <c r="S44" i="74"/>
  <c r="R44" i="74"/>
  <c r="J44" i="74"/>
  <c r="I44" i="74"/>
  <c r="S43" i="74"/>
  <c r="R43" i="74"/>
  <c r="J43" i="74"/>
  <c r="I43" i="74"/>
  <c r="S42" i="74"/>
  <c r="R42" i="74"/>
  <c r="J42" i="74"/>
  <c r="I42" i="74"/>
  <c r="S41" i="74"/>
  <c r="R41" i="74"/>
  <c r="J41" i="74"/>
  <c r="I41" i="74"/>
  <c r="S40" i="74"/>
  <c r="R40" i="74"/>
  <c r="J40" i="74"/>
  <c r="I40" i="74"/>
  <c r="S39" i="74"/>
  <c r="R39" i="74"/>
  <c r="J39" i="74"/>
  <c r="I39" i="74"/>
  <c r="S38" i="74"/>
  <c r="R38" i="74"/>
  <c r="J38" i="74"/>
  <c r="I38" i="74"/>
  <c r="S37" i="74"/>
  <c r="R37" i="74"/>
  <c r="J37" i="74"/>
  <c r="I37" i="74"/>
  <c r="S36" i="74"/>
  <c r="R36" i="74"/>
  <c r="J36" i="74"/>
  <c r="I36" i="74"/>
  <c r="S35" i="74"/>
  <c r="R35" i="74"/>
  <c r="J35" i="74"/>
  <c r="I35" i="74"/>
  <c r="S34" i="74"/>
  <c r="R34" i="74"/>
  <c r="J34" i="74"/>
  <c r="I34" i="74"/>
  <c r="S33" i="74"/>
  <c r="R33" i="74"/>
  <c r="J33" i="74"/>
  <c r="I33" i="74"/>
  <c r="S32" i="74"/>
  <c r="R32" i="74"/>
  <c r="J32" i="74"/>
  <c r="I32" i="74"/>
  <c r="S31" i="74"/>
  <c r="R31" i="74"/>
  <c r="J31" i="74"/>
  <c r="I31" i="74"/>
  <c r="S30" i="74"/>
  <c r="R30" i="74"/>
  <c r="J30" i="74"/>
  <c r="I30" i="74"/>
  <c r="S29" i="74"/>
  <c r="R29" i="74"/>
  <c r="J29" i="74"/>
  <c r="I29" i="74"/>
  <c r="S28" i="74"/>
  <c r="R28" i="74"/>
  <c r="J28" i="74"/>
  <c r="I28" i="74"/>
  <c r="S27" i="74"/>
  <c r="R27" i="74"/>
  <c r="J27" i="74"/>
  <c r="I27" i="74"/>
  <c r="BC26" i="74"/>
  <c r="S26" i="74"/>
  <c r="R26" i="74"/>
  <c r="J26" i="74"/>
  <c r="I26" i="74"/>
  <c r="S25" i="74"/>
  <c r="R25" i="74"/>
  <c r="J25" i="74"/>
  <c r="I25" i="74"/>
  <c r="S24" i="74"/>
  <c r="R24" i="74"/>
  <c r="J24" i="74"/>
  <c r="I24" i="74"/>
  <c r="S23" i="74"/>
  <c r="R23" i="74"/>
  <c r="J23" i="74"/>
  <c r="I23" i="74"/>
  <c r="S22" i="74"/>
  <c r="R22" i="74"/>
  <c r="J22" i="74"/>
  <c r="I22" i="74"/>
  <c r="S21" i="74"/>
  <c r="R21" i="74"/>
  <c r="J21" i="74"/>
  <c r="I21" i="74"/>
  <c r="S20" i="74"/>
  <c r="R20" i="74"/>
  <c r="J20" i="74"/>
  <c r="I20" i="74"/>
  <c r="S19" i="74"/>
  <c r="R19" i="74"/>
  <c r="J19" i="74"/>
  <c r="I19" i="74"/>
  <c r="S18" i="74"/>
  <c r="R18" i="74"/>
  <c r="J18" i="74"/>
  <c r="I18" i="74"/>
  <c r="S17" i="74"/>
  <c r="R17" i="74"/>
  <c r="J17" i="74"/>
  <c r="I17" i="74"/>
  <c r="S16" i="74"/>
  <c r="R16" i="74"/>
  <c r="J16" i="74"/>
  <c r="I16" i="74"/>
  <c r="S15" i="74"/>
  <c r="R15" i="74"/>
  <c r="J15" i="74"/>
  <c r="I15" i="74"/>
  <c r="S14" i="74"/>
  <c r="R14" i="74"/>
  <c r="J14" i="74"/>
  <c r="I14" i="74"/>
  <c r="S13" i="74"/>
  <c r="R13" i="74"/>
  <c r="J13" i="74"/>
  <c r="I13" i="74"/>
  <c r="S12" i="74"/>
  <c r="R12" i="74"/>
  <c r="J12" i="74"/>
  <c r="I12" i="74"/>
  <c r="S11" i="74"/>
  <c r="R11" i="74"/>
  <c r="J11" i="74"/>
  <c r="I11" i="74"/>
  <c r="S10" i="74"/>
  <c r="R10" i="74"/>
  <c r="J10" i="74"/>
  <c r="I10" i="74"/>
  <c r="S9" i="74"/>
  <c r="R9" i="74"/>
  <c r="J9" i="74"/>
  <c r="I9" i="74"/>
  <c r="A9" i="74"/>
  <c r="A10" i="74" s="1"/>
  <c r="A11" i="74" s="1"/>
  <c r="A12" i="74" s="1"/>
  <c r="A13" i="74" s="1"/>
  <c r="A14" i="74" s="1"/>
  <c r="A15" i="74" s="1"/>
  <c r="A16" i="74" s="1"/>
  <c r="A17" i="74" s="1"/>
  <c r="A18" i="74" s="1"/>
  <c r="A19" i="74" s="1"/>
  <c r="A20" i="74" s="1"/>
  <c r="A21" i="74" s="1"/>
  <c r="A22" i="74" s="1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A34" i="74" s="1"/>
  <c r="A35" i="74" s="1"/>
  <c r="A36" i="74" s="1"/>
  <c r="A37" i="74" s="1"/>
  <c r="A38" i="74" s="1"/>
  <c r="A39" i="74" s="1"/>
  <c r="A40" i="74" s="1"/>
  <c r="A41" i="74" s="1"/>
  <c r="A42" i="74" s="1"/>
  <c r="A43" i="74" s="1"/>
  <c r="A44" i="74" s="1"/>
  <c r="A45" i="74" s="1"/>
  <c r="A46" i="74" s="1"/>
  <c r="A47" i="74" s="1"/>
  <c r="A48" i="74" s="1"/>
  <c r="A49" i="74" s="1"/>
  <c r="A50" i="74" s="1"/>
  <c r="A51" i="74" s="1"/>
  <c r="A52" i="74" s="1"/>
  <c r="A53" i="74" s="1"/>
  <c r="A54" i="74" s="1"/>
  <c r="A55" i="74" s="1"/>
  <c r="A56" i="74" s="1"/>
  <c r="A57" i="74" s="1"/>
  <c r="A58" i="74" s="1"/>
  <c r="A59" i="74" s="1"/>
  <c r="S8" i="74"/>
  <c r="R8" i="74"/>
  <c r="J8" i="74"/>
  <c r="I8" i="74"/>
  <c r="Q60" i="73"/>
  <c r="P60" i="73"/>
  <c r="O60" i="73"/>
  <c r="N60" i="73"/>
  <c r="M60" i="73"/>
  <c r="L60" i="73"/>
  <c r="H60" i="73"/>
  <c r="G60" i="73"/>
  <c r="E60" i="73"/>
  <c r="D60" i="73"/>
  <c r="C60" i="73"/>
  <c r="S59" i="73"/>
  <c r="R59" i="73"/>
  <c r="J59" i="73"/>
  <c r="I59" i="73"/>
  <c r="S58" i="73"/>
  <c r="R58" i="73"/>
  <c r="J58" i="73"/>
  <c r="I58" i="73"/>
  <c r="S57" i="73"/>
  <c r="R57" i="73"/>
  <c r="J57" i="73"/>
  <c r="I57" i="73"/>
  <c r="S56" i="73"/>
  <c r="R56" i="73"/>
  <c r="J56" i="73"/>
  <c r="I56" i="73"/>
  <c r="S55" i="73"/>
  <c r="R55" i="73"/>
  <c r="J55" i="73"/>
  <c r="I55" i="73"/>
  <c r="S54" i="73"/>
  <c r="R54" i="73"/>
  <c r="J54" i="73"/>
  <c r="I54" i="73"/>
  <c r="S53" i="73"/>
  <c r="R53" i="73"/>
  <c r="J53" i="73"/>
  <c r="I53" i="73"/>
  <c r="S52" i="73"/>
  <c r="R52" i="73"/>
  <c r="J52" i="73"/>
  <c r="I52" i="73"/>
  <c r="S51" i="73"/>
  <c r="R51" i="73"/>
  <c r="J51" i="73"/>
  <c r="I51" i="73"/>
  <c r="S50" i="73"/>
  <c r="R50" i="73"/>
  <c r="J50" i="73"/>
  <c r="I50" i="73"/>
  <c r="S49" i="73"/>
  <c r="R49" i="73"/>
  <c r="J49" i="73"/>
  <c r="I49" i="73"/>
  <c r="S48" i="73"/>
  <c r="R48" i="73"/>
  <c r="J48" i="73"/>
  <c r="I48" i="73"/>
  <c r="S47" i="73"/>
  <c r="R47" i="73"/>
  <c r="J47" i="73"/>
  <c r="I47" i="73"/>
  <c r="S46" i="73"/>
  <c r="R46" i="73"/>
  <c r="J46" i="73"/>
  <c r="I46" i="73"/>
  <c r="S45" i="73"/>
  <c r="R45" i="73"/>
  <c r="J45" i="73"/>
  <c r="I45" i="73"/>
  <c r="S44" i="73"/>
  <c r="R44" i="73"/>
  <c r="J44" i="73"/>
  <c r="I44" i="73"/>
  <c r="S43" i="73"/>
  <c r="R43" i="73"/>
  <c r="J43" i="73"/>
  <c r="I43" i="73"/>
  <c r="S42" i="73"/>
  <c r="R42" i="73"/>
  <c r="J42" i="73"/>
  <c r="I42" i="73"/>
  <c r="S41" i="73"/>
  <c r="R41" i="73"/>
  <c r="J41" i="73"/>
  <c r="I41" i="73"/>
  <c r="S40" i="73"/>
  <c r="R40" i="73"/>
  <c r="J40" i="73"/>
  <c r="I40" i="73"/>
  <c r="S39" i="73"/>
  <c r="R39" i="73"/>
  <c r="J39" i="73"/>
  <c r="I39" i="73"/>
  <c r="S38" i="73"/>
  <c r="R38" i="73"/>
  <c r="J38" i="73"/>
  <c r="I38" i="73"/>
  <c r="S37" i="73"/>
  <c r="R37" i="73"/>
  <c r="J37" i="73"/>
  <c r="I37" i="73"/>
  <c r="S36" i="73"/>
  <c r="R36" i="73"/>
  <c r="J36" i="73"/>
  <c r="I36" i="73"/>
  <c r="S35" i="73"/>
  <c r="R35" i="73"/>
  <c r="J35" i="73"/>
  <c r="I35" i="73"/>
  <c r="S34" i="73"/>
  <c r="R34" i="73"/>
  <c r="J34" i="73"/>
  <c r="I34" i="73"/>
  <c r="S33" i="73"/>
  <c r="R33" i="73"/>
  <c r="J33" i="73"/>
  <c r="I33" i="73"/>
  <c r="S32" i="73"/>
  <c r="R32" i="73"/>
  <c r="J32" i="73"/>
  <c r="I32" i="73"/>
  <c r="S31" i="73"/>
  <c r="R31" i="73"/>
  <c r="J31" i="73"/>
  <c r="I31" i="73"/>
  <c r="S30" i="73"/>
  <c r="R30" i="73"/>
  <c r="J30" i="73"/>
  <c r="I30" i="73"/>
  <c r="S29" i="73"/>
  <c r="R29" i="73"/>
  <c r="J29" i="73"/>
  <c r="I29" i="73"/>
  <c r="S28" i="73"/>
  <c r="R28" i="73"/>
  <c r="J28" i="73"/>
  <c r="I28" i="73"/>
  <c r="S27" i="73"/>
  <c r="R27" i="73"/>
  <c r="J27" i="73"/>
  <c r="I27" i="73"/>
  <c r="BC26" i="73"/>
  <c r="S26" i="73"/>
  <c r="R26" i="73"/>
  <c r="J26" i="73"/>
  <c r="I26" i="73"/>
  <c r="S25" i="73"/>
  <c r="R25" i="73"/>
  <c r="J25" i="73"/>
  <c r="I25" i="73"/>
  <c r="S24" i="73"/>
  <c r="R24" i="73"/>
  <c r="J24" i="73"/>
  <c r="I24" i="73"/>
  <c r="S23" i="73"/>
  <c r="R23" i="73"/>
  <c r="J23" i="73"/>
  <c r="I23" i="73"/>
  <c r="S22" i="73"/>
  <c r="R22" i="73"/>
  <c r="J22" i="73"/>
  <c r="I22" i="73"/>
  <c r="S21" i="73"/>
  <c r="R21" i="73"/>
  <c r="J21" i="73"/>
  <c r="I21" i="73"/>
  <c r="S20" i="73"/>
  <c r="R20" i="73"/>
  <c r="J20" i="73"/>
  <c r="I20" i="73"/>
  <c r="S19" i="73"/>
  <c r="R19" i="73"/>
  <c r="J19" i="73"/>
  <c r="I19" i="73"/>
  <c r="S18" i="73"/>
  <c r="R18" i="73"/>
  <c r="J18" i="73"/>
  <c r="I18" i="73"/>
  <c r="S17" i="73"/>
  <c r="R17" i="73"/>
  <c r="J17" i="73"/>
  <c r="I17" i="73"/>
  <c r="S16" i="73"/>
  <c r="R16" i="73"/>
  <c r="J16" i="73"/>
  <c r="I16" i="73"/>
  <c r="S15" i="73"/>
  <c r="R15" i="73"/>
  <c r="J15" i="73"/>
  <c r="I15" i="73"/>
  <c r="S14" i="73"/>
  <c r="R14" i="73"/>
  <c r="J14" i="73"/>
  <c r="I14" i="73"/>
  <c r="S13" i="73"/>
  <c r="R13" i="73"/>
  <c r="J13" i="73"/>
  <c r="I13" i="73"/>
  <c r="S12" i="73"/>
  <c r="R12" i="73"/>
  <c r="J12" i="73"/>
  <c r="I12" i="73"/>
  <c r="S11" i="73"/>
  <c r="R11" i="73"/>
  <c r="J11" i="73"/>
  <c r="I11" i="73"/>
  <c r="S10" i="73"/>
  <c r="R10" i="73"/>
  <c r="J10" i="73"/>
  <c r="I10" i="73"/>
  <c r="S9" i="73"/>
  <c r="R9" i="73"/>
  <c r="J9" i="73"/>
  <c r="I9" i="73"/>
  <c r="A9" i="73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A47" i="73" s="1"/>
  <c r="A48" i="73" s="1"/>
  <c r="A49" i="73" s="1"/>
  <c r="A50" i="73" s="1"/>
  <c r="A51" i="73" s="1"/>
  <c r="A52" i="73" s="1"/>
  <c r="A53" i="73" s="1"/>
  <c r="A54" i="73" s="1"/>
  <c r="A55" i="73" s="1"/>
  <c r="A56" i="73" s="1"/>
  <c r="A57" i="73" s="1"/>
  <c r="A58" i="73" s="1"/>
  <c r="A59" i="73" s="1"/>
  <c r="S8" i="73"/>
  <c r="R8" i="73"/>
  <c r="J8" i="73"/>
  <c r="I8" i="73"/>
  <c r="S60" i="74" l="1"/>
  <c r="R60" i="74"/>
  <c r="J60" i="74"/>
  <c r="I60" i="74"/>
  <c r="R60" i="73"/>
  <c r="S60" i="73"/>
  <c r="I60" i="73"/>
  <c r="J60" i="73"/>
  <c r="I26" i="72"/>
  <c r="Q60" i="72"/>
  <c r="P60" i="72"/>
  <c r="O60" i="72"/>
  <c r="N60" i="72"/>
  <c r="M60" i="72"/>
  <c r="L60" i="72"/>
  <c r="H60" i="72"/>
  <c r="G60" i="72"/>
  <c r="E60" i="72"/>
  <c r="D60" i="72"/>
  <c r="C60" i="72"/>
  <c r="S59" i="72"/>
  <c r="R59" i="72"/>
  <c r="J59" i="72"/>
  <c r="I59" i="72"/>
  <c r="S58" i="72"/>
  <c r="R58" i="72"/>
  <c r="J58" i="72"/>
  <c r="I58" i="72"/>
  <c r="S57" i="72"/>
  <c r="R57" i="72"/>
  <c r="J57" i="72"/>
  <c r="I57" i="72"/>
  <c r="S56" i="72"/>
  <c r="R56" i="72"/>
  <c r="J56" i="72"/>
  <c r="I56" i="72"/>
  <c r="S55" i="72"/>
  <c r="R55" i="72"/>
  <c r="J55" i="72"/>
  <c r="I55" i="72"/>
  <c r="S54" i="72"/>
  <c r="R54" i="72"/>
  <c r="J54" i="72"/>
  <c r="I54" i="72"/>
  <c r="S53" i="72"/>
  <c r="R53" i="72"/>
  <c r="J53" i="72"/>
  <c r="I53" i="72"/>
  <c r="S52" i="72"/>
  <c r="R52" i="72"/>
  <c r="J52" i="72"/>
  <c r="I52" i="72"/>
  <c r="S51" i="72"/>
  <c r="R51" i="72"/>
  <c r="J51" i="72"/>
  <c r="I51" i="72"/>
  <c r="S50" i="72"/>
  <c r="R50" i="72"/>
  <c r="J50" i="72"/>
  <c r="I50" i="72"/>
  <c r="S49" i="72"/>
  <c r="R49" i="72"/>
  <c r="J49" i="72"/>
  <c r="I49" i="72"/>
  <c r="S48" i="72"/>
  <c r="R48" i="72"/>
  <c r="J48" i="72"/>
  <c r="I48" i="72"/>
  <c r="S47" i="72"/>
  <c r="R47" i="72"/>
  <c r="J47" i="72"/>
  <c r="I47" i="72"/>
  <c r="S46" i="72"/>
  <c r="R46" i="72"/>
  <c r="J46" i="72"/>
  <c r="I46" i="72"/>
  <c r="S45" i="72"/>
  <c r="R45" i="72"/>
  <c r="J45" i="72"/>
  <c r="I45" i="72"/>
  <c r="S44" i="72"/>
  <c r="R44" i="72"/>
  <c r="J44" i="72"/>
  <c r="I44" i="72"/>
  <c r="S43" i="72"/>
  <c r="R43" i="72"/>
  <c r="J43" i="72"/>
  <c r="I43" i="72"/>
  <c r="S42" i="72"/>
  <c r="R42" i="72"/>
  <c r="J42" i="72"/>
  <c r="I42" i="72"/>
  <c r="S41" i="72"/>
  <c r="R41" i="72"/>
  <c r="J41" i="72"/>
  <c r="I41" i="72"/>
  <c r="S40" i="72"/>
  <c r="R40" i="72"/>
  <c r="J40" i="72"/>
  <c r="I40" i="72"/>
  <c r="S39" i="72"/>
  <c r="R39" i="72"/>
  <c r="J39" i="72"/>
  <c r="I39" i="72"/>
  <c r="S38" i="72"/>
  <c r="R38" i="72"/>
  <c r="J38" i="72"/>
  <c r="I38" i="72"/>
  <c r="S37" i="72"/>
  <c r="R37" i="72"/>
  <c r="J37" i="72"/>
  <c r="I37" i="72"/>
  <c r="S36" i="72"/>
  <c r="R36" i="72"/>
  <c r="J36" i="72"/>
  <c r="I36" i="72"/>
  <c r="S35" i="72"/>
  <c r="R35" i="72"/>
  <c r="J35" i="72"/>
  <c r="I35" i="72"/>
  <c r="S34" i="72"/>
  <c r="R34" i="72"/>
  <c r="J34" i="72"/>
  <c r="I34" i="72"/>
  <c r="S33" i="72"/>
  <c r="R33" i="72"/>
  <c r="J33" i="72"/>
  <c r="I33" i="72"/>
  <c r="S32" i="72"/>
  <c r="R32" i="72"/>
  <c r="J32" i="72"/>
  <c r="I32" i="72"/>
  <c r="S31" i="72"/>
  <c r="R31" i="72"/>
  <c r="J31" i="72"/>
  <c r="I31" i="72"/>
  <c r="S30" i="72"/>
  <c r="R30" i="72"/>
  <c r="J30" i="72"/>
  <c r="I30" i="72"/>
  <c r="S29" i="72"/>
  <c r="R29" i="72"/>
  <c r="J29" i="72"/>
  <c r="I29" i="72"/>
  <c r="S28" i="72"/>
  <c r="R28" i="72"/>
  <c r="J28" i="72"/>
  <c r="I28" i="72"/>
  <c r="S27" i="72"/>
  <c r="R27" i="72"/>
  <c r="J27" i="72"/>
  <c r="I27" i="72"/>
  <c r="BC26" i="72"/>
  <c r="S26" i="72"/>
  <c r="R26" i="72"/>
  <c r="J26" i="72"/>
  <c r="S25" i="72"/>
  <c r="R25" i="72"/>
  <c r="J25" i="72"/>
  <c r="I25" i="72"/>
  <c r="S24" i="72"/>
  <c r="R24" i="72"/>
  <c r="J24" i="72"/>
  <c r="I24" i="72"/>
  <c r="S23" i="72"/>
  <c r="R23" i="72"/>
  <c r="J23" i="72"/>
  <c r="I23" i="72"/>
  <c r="S22" i="72"/>
  <c r="R22" i="72"/>
  <c r="J22" i="72"/>
  <c r="I22" i="72"/>
  <c r="S21" i="72"/>
  <c r="R21" i="72"/>
  <c r="J21" i="72"/>
  <c r="I21" i="72"/>
  <c r="S20" i="72"/>
  <c r="R20" i="72"/>
  <c r="J20" i="72"/>
  <c r="I20" i="72"/>
  <c r="S19" i="72"/>
  <c r="R19" i="72"/>
  <c r="J19" i="72"/>
  <c r="I19" i="72"/>
  <c r="S18" i="72"/>
  <c r="R18" i="72"/>
  <c r="J18" i="72"/>
  <c r="I18" i="72"/>
  <c r="S17" i="72"/>
  <c r="R17" i="72"/>
  <c r="J17" i="72"/>
  <c r="I17" i="72"/>
  <c r="S16" i="72"/>
  <c r="R16" i="72"/>
  <c r="J16" i="72"/>
  <c r="I16" i="72"/>
  <c r="S15" i="72"/>
  <c r="R15" i="72"/>
  <c r="J15" i="72"/>
  <c r="I15" i="72"/>
  <c r="S14" i="72"/>
  <c r="R14" i="72"/>
  <c r="J14" i="72"/>
  <c r="I14" i="72"/>
  <c r="S13" i="72"/>
  <c r="R13" i="72"/>
  <c r="J13" i="72"/>
  <c r="I13" i="72"/>
  <c r="S12" i="72"/>
  <c r="R12" i="72"/>
  <c r="J12" i="72"/>
  <c r="I12" i="72"/>
  <c r="S11" i="72"/>
  <c r="R11" i="72"/>
  <c r="J11" i="72"/>
  <c r="I11" i="72"/>
  <c r="S10" i="72"/>
  <c r="R10" i="72"/>
  <c r="J10" i="72"/>
  <c r="I10" i="72"/>
  <c r="S9" i="72"/>
  <c r="R9" i="72"/>
  <c r="J9" i="72"/>
  <c r="I9" i="72"/>
  <c r="A9" i="72"/>
  <c r="A10" i="72" s="1"/>
  <c r="A11" i="72" s="1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S8" i="72"/>
  <c r="R8" i="72"/>
  <c r="J8" i="72"/>
  <c r="I8" i="72"/>
  <c r="S60" i="72" l="1"/>
  <c r="R60" i="72"/>
  <c r="J60" i="72"/>
  <c r="I60" i="72"/>
  <c r="Q60" i="71"/>
  <c r="P60" i="71"/>
  <c r="O60" i="71"/>
  <c r="N60" i="71"/>
  <c r="M60" i="71"/>
  <c r="L60" i="71"/>
  <c r="H60" i="71"/>
  <c r="G60" i="71"/>
  <c r="E60" i="71"/>
  <c r="D60" i="71"/>
  <c r="C60" i="71"/>
  <c r="S59" i="71"/>
  <c r="R59" i="71"/>
  <c r="J59" i="71"/>
  <c r="I59" i="71"/>
  <c r="S58" i="71"/>
  <c r="R58" i="71"/>
  <c r="J58" i="71"/>
  <c r="I58" i="71"/>
  <c r="S57" i="71"/>
  <c r="R57" i="71"/>
  <c r="J57" i="71"/>
  <c r="I57" i="71"/>
  <c r="S56" i="71"/>
  <c r="R56" i="71"/>
  <c r="J56" i="71"/>
  <c r="I56" i="71"/>
  <c r="S55" i="71"/>
  <c r="R55" i="71"/>
  <c r="J55" i="71"/>
  <c r="I55" i="71"/>
  <c r="S54" i="71"/>
  <c r="R54" i="71"/>
  <c r="J54" i="71"/>
  <c r="I54" i="71"/>
  <c r="S53" i="71"/>
  <c r="R53" i="71"/>
  <c r="J53" i="71"/>
  <c r="I53" i="71"/>
  <c r="S52" i="71"/>
  <c r="R52" i="71"/>
  <c r="J52" i="71"/>
  <c r="I52" i="71"/>
  <c r="S51" i="71"/>
  <c r="R51" i="71"/>
  <c r="J51" i="71"/>
  <c r="I51" i="71"/>
  <c r="S50" i="71"/>
  <c r="R50" i="71"/>
  <c r="J50" i="71"/>
  <c r="I50" i="71"/>
  <c r="S49" i="71"/>
  <c r="R49" i="71"/>
  <c r="J49" i="71"/>
  <c r="I49" i="71"/>
  <c r="S48" i="71"/>
  <c r="R48" i="71"/>
  <c r="J48" i="71"/>
  <c r="I48" i="71"/>
  <c r="S47" i="71"/>
  <c r="R47" i="71"/>
  <c r="J47" i="71"/>
  <c r="I47" i="71"/>
  <c r="S46" i="71"/>
  <c r="R46" i="71"/>
  <c r="J46" i="71"/>
  <c r="I46" i="71"/>
  <c r="S45" i="71"/>
  <c r="R45" i="71"/>
  <c r="J45" i="71"/>
  <c r="I45" i="71"/>
  <c r="S44" i="71"/>
  <c r="R44" i="71"/>
  <c r="J44" i="71"/>
  <c r="I44" i="71"/>
  <c r="S43" i="71"/>
  <c r="R43" i="71"/>
  <c r="J43" i="71"/>
  <c r="I43" i="71"/>
  <c r="S42" i="71"/>
  <c r="R42" i="71"/>
  <c r="J42" i="71"/>
  <c r="I42" i="71"/>
  <c r="S41" i="71"/>
  <c r="R41" i="71"/>
  <c r="J41" i="71"/>
  <c r="I41" i="71"/>
  <c r="S40" i="71"/>
  <c r="R40" i="71"/>
  <c r="J40" i="71"/>
  <c r="I40" i="71"/>
  <c r="S39" i="71"/>
  <c r="R39" i="71"/>
  <c r="J39" i="71"/>
  <c r="I39" i="71"/>
  <c r="S38" i="71"/>
  <c r="R38" i="71"/>
  <c r="J38" i="71"/>
  <c r="I38" i="71"/>
  <c r="S37" i="71"/>
  <c r="R37" i="71"/>
  <c r="J37" i="71"/>
  <c r="I37" i="71"/>
  <c r="S36" i="71"/>
  <c r="R36" i="71"/>
  <c r="J36" i="71"/>
  <c r="I36" i="71"/>
  <c r="S35" i="71"/>
  <c r="R35" i="71"/>
  <c r="J35" i="71"/>
  <c r="I35" i="71"/>
  <c r="S34" i="71"/>
  <c r="R34" i="71"/>
  <c r="J34" i="71"/>
  <c r="I34" i="71"/>
  <c r="S33" i="71"/>
  <c r="R33" i="71"/>
  <c r="J33" i="71"/>
  <c r="I33" i="71"/>
  <c r="S32" i="71"/>
  <c r="R32" i="71"/>
  <c r="J32" i="71"/>
  <c r="I32" i="71"/>
  <c r="S31" i="71"/>
  <c r="R31" i="71"/>
  <c r="J31" i="71"/>
  <c r="I31" i="71"/>
  <c r="S30" i="71"/>
  <c r="R30" i="71"/>
  <c r="J30" i="71"/>
  <c r="I30" i="71"/>
  <c r="S29" i="71"/>
  <c r="R29" i="71"/>
  <c r="J29" i="71"/>
  <c r="I29" i="71"/>
  <c r="S28" i="71"/>
  <c r="R28" i="71"/>
  <c r="J28" i="71"/>
  <c r="I28" i="71"/>
  <c r="S27" i="71"/>
  <c r="R27" i="71"/>
  <c r="J27" i="71"/>
  <c r="I27" i="71"/>
  <c r="BC26" i="71"/>
  <c r="S26" i="71"/>
  <c r="R26" i="71"/>
  <c r="J26" i="71"/>
  <c r="I26" i="71"/>
  <c r="S25" i="71"/>
  <c r="R25" i="71"/>
  <c r="J25" i="71"/>
  <c r="I25" i="71"/>
  <c r="S24" i="71"/>
  <c r="R24" i="71"/>
  <c r="J24" i="71"/>
  <c r="I24" i="71"/>
  <c r="S23" i="71"/>
  <c r="R23" i="71"/>
  <c r="J23" i="71"/>
  <c r="I23" i="71"/>
  <c r="S22" i="71"/>
  <c r="R22" i="71"/>
  <c r="J22" i="71"/>
  <c r="I22" i="71"/>
  <c r="S21" i="71"/>
  <c r="R21" i="71"/>
  <c r="J21" i="71"/>
  <c r="I21" i="71"/>
  <c r="S20" i="71"/>
  <c r="R20" i="71"/>
  <c r="J20" i="71"/>
  <c r="I20" i="71"/>
  <c r="S19" i="71"/>
  <c r="R19" i="71"/>
  <c r="J19" i="71"/>
  <c r="I19" i="71"/>
  <c r="S18" i="71"/>
  <c r="R18" i="71"/>
  <c r="J18" i="71"/>
  <c r="I18" i="71"/>
  <c r="S17" i="71"/>
  <c r="R17" i="71"/>
  <c r="J17" i="71"/>
  <c r="I17" i="71"/>
  <c r="S16" i="71"/>
  <c r="R16" i="71"/>
  <c r="J16" i="71"/>
  <c r="I16" i="71"/>
  <c r="S15" i="71"/>
  <c r="R15" i="71"/>
  <c r="J15" i="71"/>
  <c r="I15" i="71"/>
  <c r="S14" i="71"/>
  <c r="R14" i="71"/>
  <c r="J14" i="71"/>
  <c r="I14" i="71"/>
  <c r="S13" i="71"/>
  <c r="R13" i="71"/>
  <c r="J13" i="71"/>
  <c r="I13" i="71"/>
  <c r="S12" i="71"/>
  <c r="R12" i="71"/>
  <c r="J12" i="71"/>
  <c r="I12" i="71"/>
  <c r="S11" i="71"/>
  <c r="R11" i="71"/>
  <c r="J11" i="71"/>
  <c r="I11" i="71"/>
  <c r="S10" i="71"/>
  <c r="R10" i="71"/>
  <c r="J10" i="71"/>
  <c r="I10" i="71"/>
  <c r="S9" i="71"/>
  <c r="R9" i="71"/>
  <c r="J9" i="71"/>
  <c r="I9" i="71"/>
  <c r="A9" i="7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A58" i="71" s="1"/>
  <c r="A59" i="71" s="1"/>
  <c r="S8" i="71"/>
  <c r="R8" i="71"/>
  <c r="J8" i="71"/>
  <c r="I8" i="71"/>
  <c r="R60" i="71" l="1"/>
  <c r="S60" i="71"/>
  <c r="I60" i="71"/>
  <c r="J60" i="71"/>
  <c r="S59" i="70"/>
  <c r="S58" i="70"/>
  <c r="S57" i="70"/>
  <c r="S56" i="70"/>
  <c r="S55" i="70"/>
  <c r="S54" i="70"/>
  <c r="S53" i="70"/>
  <c r="S52" i="70"/>
  <c r="S51" i="70"/>
  <c r="S50" i="70"/>
  <c r="S49" i="70"/>
  <c r="S48" i="70"/>
  <c r="S47" i="70"/>
  <c r="S46" i="70"/>
  <c r="S45" i="70"/>
  <c r="S44" i="70"/>
  <c r="S43" i="70"/>
  <c r="S42" i="70"/>
  <c r="S41" i="70"/>
  <c r="S40" i="70"/>
  <c r="S39" i="70"/>
  <c r="S38" i="70"/>
  <c r="S37" i="70"/>
  <c r="S36" i="70"/>
  <c r="S35" i="70"/>
  <c r="S34" i="70"/>
  <c r="S33" i="70"/>
  <c r="S32" i="70"/>
  <c r="S31" i="70"/>
  <c r="S30" i="70"/>
  <c r="S29" i="70"/>
  <c r="S28" i="70"/>
  <c r="S27" i="70"/>
  <c r="S26" i="70"/>
  <c r="S25" i="70"/>
  <c r="S24" i="70"/>
  <c r="S23" i="70"/>
  <c r="S22" i="70"/>
  <c r="S21" i="70"/>
  <c r="S20" i="70"/>
  <c r="S19" i="70"/>
  <c r="S18" i="70"/>
  <c r="S17" i="70"/>
  <c r="S16" i="70"/>
  <c r="S15" i="70"/>
  <c r="S14" i="70"/>
  <c r="S12" i="70"/>
  <c r="S11" i="70"/>
  <c r="S10" i="70"/>
  <c r="S9" i="70"/>
  <c r="S8" i="70"/>
  <c r="R59" i="70"/>
  <c r="R58" i="70"/>
  <c r="R57" i="70"/>
  <c r="R56" i="70"/>
  <c r="R55" i="70"/>
  <c r="R54" i="70"/>
  <c r="R53" i="70"/>
  <c r="R52" i="70"/>
  <c r="R51" i="70"/>
  <c r="R50" i="70"/>
  <c r="R49" i="70"/>
  <c r="R48" i="70"/>
  <c r="R47" i="70"/>
  <c r="R46" i="70"/>
  <c r="R45" i="70"/>
  <c r="R44" i="70"/>
  <c r="R43" i="70"/>
  <c r="R42" i="70"/>
  <c r="R41" i="70"/>
  <c r="R40" i="70"/>
  <c r="R39" i="70"/>
  <c r="R38" i="70"/>
  <c r="R37" i="70"/>
  <c r="R36" i="70"/>
  <c r="R35" i="70"/>
  <c r="R34" i="70"/>
  <c r="R33" i="70"/>
  <c r="R32" i="70"/>
  <c r="R31" i="70"/>
  <c r="R30" i="70"/>
  <c r="R29" i="70"/>
  <c r="R28" i="70"/>
  <c r="R27" i="70"/>
  <c r="R26" i="70"/>
  <c r="R25" i="70"/>
  <c r="R24" i="70"/>
  <c r="R23" i="70"/>
  <c r="R22" i="70"/>
  <c r="R21" i="70"/>
  <c r="R20" i="70"/>
  <c r="R19" i="70"/>
  <c r="R18" i="70"/>
  <c r="R17" i="70"/>
  <c r="R16" i="70"/>
  <c r="R15" i="70"/>
  <c r="R14" i="70"/>
  <c r="R12" i="70"/>
  <c r="R11" i="70"/>
  <c r="R10" i="70"/>
  <c r="R9" i="70"/>
  <c r="R8" i="70"/>
  <c r="S13" i="70"/>
  <c r="R13" i="70"/>
  <c r="J59" i="70"/>
  <c r="J58" i="70"/>
  <c r="J57" i="70"/>
  <c r="J56" i="70"/>
  <c r="J55" i="70"/>
  <c r="J54" i="70"/>
  <c r="J53" i="70"/>
  <c r="J52" i="70"/>
  <c r="J51" i="70"/>
  <c r="J50" i="70"/>
  <c r="J49" i="70"/>
  <c r="J48" i="70"/>
  <c r="J47" i="70"/>
  <c r="J46" i="70"/>
  <c r="J45" i="70"/>
  <c r="J44" i="70"/>
  <c r="J43" i="70"/>
  <c r="J42" i="70"/>
  <c r="J41" i="70"/>
  <c r="J40" i="70"/>
  <c r="J39" i="70"/>
  <c r="J38" i="70"/>
  <c r="J37" i="70"/>
  <c r="J36" i="70"/>
  <c r="J35" i="70"/>
  <c r="J34" i="70"/>
  <c r="J33" i="70"/>
  <c r="J32" i="70"/>
  <c r="J31" i="70"/>
  <c r="J30" i="70"/>
  <c r="J29" i="70"/>
  <c r="J28" i="70"/>
  <c r="J27" i="70"/>
  <c r="J26" i="70"/>
  <c r="J25" i="70"/>
  <c r="J24" i="70"/>
  <c r="J23" i="70"/>
  <c r="J22" i="70"/>
  <c r="J21" i="70"/>
  <c r="J20" i="70"/>
  <c r="J19" i="70"/>
  <c r="J18" i="70"/>
  <c r="J17" i="70"/>
  <c r="J16" i="70"/>
  <c r="J15" i="70"/>
  <c r="J14" i="70"/>
  <c r="J12" i="70"/>
  <c r="J11" i="70"/>
  <c r="J10" i="70"/>
  <c r="J9" i="70"/>
  <c r="J8" i="70"/>
  <c r="J13" i="70"/>
  <c r="I59" i="70"/>
  <c r="I58" i="70"/>
  <c r="I57" i="70"/>
  <c r="I56" i="70"/>
  <c r="I55" i="70"/>
  <c r="I54" i="70"/>
  <c r="I53" i="70"/>
  <c r="I52" i="70"/>
  <c r="I51" i="70"/>
  <c r="I50" i="70"/>
  <c r="I49" i="70"/>
  <c r="I48" i="70"/>
  <c r="I47" i="70"/>
  <c r="I46" i="70"/>
  <c r="I45" i="70"/>
  <c r="I44" i="70"/>
  <c r="I43" i="70"/>
  <c r="I42" i="70"/>
  <c r="I41" i="70"/>
  <c r="I40" i="70"/>
  <c r="I39" i="70"/>
  <c r="I38" i="70"/>
  <c r="I37" i="70"/>
  <c r="I36" i="70"/>
  <c r="I35" i="70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I18" i="70"/>
  <c r="I17" i="70"/>
  <c r="I16" i="70"/>
  <c r="I15" i="70"/>
  <c r="I14" i="70"/>
  <c r="I13" i="70"/>
  <c r="I12" i="70"/>
  <c r="I11" i="70"/>
  <c r="I10" i="70"/>
  <c r="I9" i="70"/>
  <c r="I8" i="70"/>
  <c r="A15" i="70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13" i="70"/>
  <c r="A14" i="70" s="1"/>
  <c r="J60" i="70" l="1"/>
  <c r="I60" i="70"/>
  <c r="A51" i="20"/>
  <c r="A52" i="20" s="1"/>
  <c r="A53" i="20" s="1"/>
  <c r="A54" i="20" s="1"/>
  <c r="A55" i="20" s="1"/>
  <c r="A56" i="20" s="1"/>
  <c r="A57" i="20" s="1"/>
  <c r="E60" i="70" l="1"/>
  <c r="Q60" i="70"/>
  <c r="P60" i="70"/>
  <c r="O60" i="70"/>
  <c r="N60" i="70"/>
  <c r="M60" i="70"/>
  <c r="L60" i="70"/>
  <c r="H60" i="70"/>
  <c r="G60" i="70"/>
  <c r="D60" i="70"/>
  <c r="C60" i="70"/>
  <c r="BC26" i="70"/>
  <c r="A9" i="70"/>
  <c r="A10" i="70" s="1"/>
  <c r="A11" i="70" s="1"/>
  <c r="A12" i="70" s="1"/>
  <c r="S60" i="70" l="1"/>
  <c r="R60" i="70"/>
  <c r="A9" i="20" l="1"/>
  <c r="A10" i="20" s="1"/>
  <c r="A11" i="20" s="1"/>
  <c r="A12" i="20" s="1"/>
  <c r="A15" i="20" s="1"/>
  <c r="A16" i="20" s="1"/>
  <c r="A17" i="20" s="1"/>
  <c r="A18" i="20" s="1"/>
  <c r="A19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7" i="20" s="1"/>
  <c r="A38" i="20" s="1"/>
  <c r="A39" i="20" s="1"/>
  <c r="A40" i="20" s="1"/>
  <c r="A41" i="20" s="1"/>
  <c r="A43" i="20" s="1"/>
  <c r="A45" i="20" s="1"/>
  <c r="A46" i="20" s="1"/>
  <c r="A47" i="20" s="1"/>
  <c r="A48" i="20" s="1"/>
  <c r="A49" i="20" s="1"/>
  <c r="A50" i="20" s="1"/>
  <c r="AV26" i="20" l="1"/>
  <c r="V13" i="8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B6B43F10-1ED2-4C70-AA05-4B80E0EBFA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C645834A-37C6-42C3-BCF2-C07E011452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BF38A7CB-6FAD-4B82-B199-1695CFA301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675696EE-5BDF-4C34-9938-FC5793B142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SALES
BOTTLE PER CASE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F294DD3D-E5E6-40D1-8104-05FA874DCF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42D9B56-0792-4655-B3BA-EEACAA3F47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A4A9CE8A-3B8B-4A3E-B829-F83A166717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7A3F04B0-816B-4526-9E71-9A761D0D0D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12926FCD-D895-4CE7-89C1-124F2021D4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097E92BE-EEF4-4952-AE05-4FE6132D93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8C2A4512-6223-4719-AB8C-F4CC37074D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9EF4458B-8C1D-4989-9829-7C330B5A86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E4819D7-79E2-453A-82D8-586AC3BE63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7D93DD96-0685-4540-AFE6-99F1CDD7C2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4EEC3EC-BDBC-4338-97E6-BE0B8FA243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16ACC37-6F2E-471E-B5FB-7CB8AA4254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87856BC-6406-4F35-829D-D108266855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E1341C55-BA63-4A41-AD47-17794A32DF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A7F43F0-1445-4397-9EF0-A5DB8ED0E5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4932A53C-A4EE-4067-8491-75517AC05C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A259C58-A20D-40B5-9242-339189C8FF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013BC1B1-0382-4DBC-9B0B-D75D33E789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A96C3D1C-6F29-40F3-90F9-F1468E0676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EBD93DB1-FEA0-4ABE-89FF-40C35CFFB4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94E32A6E-C9D2-48CE-9A6B-F8B6674297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52E2C869-51F4-4DBF-BB71-17295BD175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75858918-B481-4BD9-A822-F5D2C09D88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97D03BFD-72B1-4ACC-BFCA-402F000C3F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6CDF836E-CB1E-4F45-A253-52C0543D02E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D54D527B-5486-4376-80D1-F7F9A85761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3EE68E0A-2C38-4B09-9E81-CA699FBE12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C8E96CDE-E307-4A93-94EA-D2456255022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23688C51-8B99-41D0-A91C-CE0D5EF647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CFCE868-8880-4395-ABC8-CC73EBE236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F3DA5700-04F8-423B-82F3-9A3DEFFD12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7D7E7811-DE97-41B8-9FD6-369BAA18E1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CD0FFCA6-3D3F-4518-BC03-28BA828A9A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91AFF744-188D-4346-AB83-513EB190F2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29D1D766-F2AD-4A71-8F4B-B3E4BD0CF2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FAD16C10-CCB3-43DB-8691-6A8963EF7E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sharedStrings.xml><?xml version="1.0" encoding="utf-8"?>
<sst xmlns="http://schemas.openxmlformats.org/spreadsheetml/2006/main" count="2814" uniqueCount="83">
  <si>
    <t>GUILLERMO BEVERAGE DISTRIBUTION SERVICES</t>
  </si>
  <si>
    <t>DATE</t>
  </si>
  <si>
    <t>DAILY SALES/ STOCK ISSUANCE AND RECEIPTS</t>
  </si>
  <si>
    <t>BEG INVTY</t>
  </si>
  <si>
    <t>WITHDRAWAL (+)</t>
  </si>
  <si>
    <t>TOTAL
SALES (-)</t>
  </si>
  <si>
    <t>ENDING INVTY</t>
  </si>
  <si>
    <t>SALES TO TRADE</t>
  </si>
  <si>
    <t>WW</t>
  </si>
  <si>
    <t>PROMO</t>
  </si>
  <si>
    <t>ROUTE 1</t>
  </si>
  <si>
    <t>ROUTE 2</t>
  </si>
  <si>
    <t>ROUTE 3</t>
  </si>
  <si>
    <t>TOTAL</t>
  </si>
  <si>
    <t>MONTH TO DATE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</si>
  <si>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</si>
  <si>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</si>
  <si>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</si>
  <si>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</si>
  <si>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</si>
  <si>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</si>
  <si>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</si>
  <si>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</si>
  <si>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</si>
  <si>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</si>
  <si>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</si>
  <si>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</si>
  <si>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</si>
  <si>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</si>
  <si>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</si>
  <si>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</si>
  <si>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</si>
  <si>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</si>
  <si>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</si>
  <si>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</si>
  <si>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</si>
  <si>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</si>
  <si>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</si>
  <si>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</si>
  <si>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</si>
  <si>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</si>
  <si>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</si>
  <si>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</si>
  <si>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</si>
  <si>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</si>
  <si>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</si>
  <si>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</si>
  <si>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</si>
  <si>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</si>
  <si>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</si>
  <si>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</si>
  <si>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PREV STT</t>
  </si>
  <si>
    <t>MTD STT</t>
  </si>
  <si>
    <t>EMPTIES</t>
  </si>
  <si>
    <t>EMPTIES
RETURN</t>
  </si>
  <si>
    <t>TOTAL
EMPTIES RECEIVED</t>
  </si>
  <si>
    <t>EMPTIES
ON HAND</t>
  </si>
  <si>
    <t>SHL</t>
  </si>
  <si>
    <t>BOT</t>
  </si>
  <si>
    <t>PL/RHL</t>
  </si>
  <si>
    <t>RH5</t>
  </si>
  <si>
    <t>FB/SML/RHS</t>
  </si>
  <si>
    <t>HT</t>
  </si>
  <si>
    <t>PALLETS</t>
  </si>
  <si>
    <t>NAB</t>
  </si>
  <si>
    <t>BEER
CONV</t>
  </si>
  <si>
    <t>TODAY STT</t>
  </si>
  <si>
    <t>CBB</t>
  </si>
  <si>
    <t>CNB</t>
  </si>
  <si>
    <t>CLC</t>
  </si>
  <si>
    <t>SMZB</t>
  </si>
  <si>
    <t>RH500C</t>
  </si>
  <si>
    <t>SMFB</t>
  </si>
  <si>
    <t>GE320</t>
  </si>
  <si>
    <t>FULL SKU</t>
  </si>
  <si>
    <t>BOTT.</t>
  </si>
  <si>
    <t>PP500C</t>
  </si>
  <si>
    <t>SML500C</t>
  </si>
  <si>
    <t>MGYZ</t>
  </si>
  <si>
    <t>TI PER CASE</t>
  </si>
  <si>
    <t>BOTT. PER CASE</t>
  </si>
  <si>
    <t>TOTAL BOTT PER CASE</t>
  </si>
  <si>
    <t>TS BPC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</si>
</sst>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-* #,##0.0_-;\-* #,##0.0_-;_-* &quot;-&quot;??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/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/>
      <bottom style="medium">
        <color rgb="FFCC3399"/>
      </bottom>
      <diagonal/>
    </border>
    <border>
      <left style="thin">
        <color auto="1"/>
      </left>
      <right style="medium">
        <color auto="1"/>
      </right>
      <top/>
      <bottom style="medium">
        <color rgb="FFCC3399"/>
      </bottom>
      <diagonal/>
    </border>
    <border>
      <left/>
      <right/>
      <top/>
      <bottom style="medium">
        <color rgb="FFCC3399"/>
      </bottom>
      <diagonal/>
    </border>
    <border>
      <left style="thin">
        <color auto="1"/>
      </left>
      <right style="thin">
        <color auto="1"/>
      </right>
      <top/>
      <bottom style="medium">
        <color rgb="FFCC339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CC3399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CC3399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/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/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/>
      <right/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thin">
        <color theme="1"/>
      </right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medium">
        <color auto="1"/>
      </right>
      <top style="medium">
        <color rgb="FF00B0F0"/>
      </top>
      <bottom style="medium">
        <color rgb="FFFF000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1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2" fillId="0" borderId="14" xfId="1" applyFont="1" applyBorder="1" applyAlignment="1">
      <alignment vertical="center"/>
    </xf>
    <xf numFmtId="166" fontId="3" fillId="0" borderId="15" xfId="2" applyNumberFormat="1" applyFont="1" applyFill="1" applyBorder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17" xfId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0" fontId="2" fillId="0" borderId="7" xfId="1" applyFont="1" applyBorder="1" applyAlignment="1">
      <alignment vertical="center" wrapText="1"/>
    </xf>
    <xf numFmtId="0" fontId="3" fillId="0" borderId="18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166" fontId="3" fillId="0" borderId="18" xfId="2" applyNumberFormat="1" applyFont="1" applyFill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167" fontId="3" fillId="2" borderId="15" xfId="3" applyNumberFormat="1" applyFont="1" applyFill="1" applyBorder="1" applyAlignment="1">
      <alignment vertical="center"/>
    </xf>
    <xf numFmtId="167" fontId="3" fillId="2" borderId="14" xfId="3" applyNumberFormat="1" applyFont="1" applyFill="1" applyBorder="1" applyAlignment="1">
      <alignment vertical="center"/>
    </xf>
    <xf numFmtId="167" fontId="3" fillId="0" borderId="15" xfId="3" applyNumberFormat="1" applyFont="1" applyFill="1" applyBorder="1" applyAlignment="1">
      <alignment vertical="center"/>
    </xf>
    <xf numFmtId="167" fontId="3" fillId="0" borderId="16" xfId="3" applyNumberFormat="1" applyFont="1" applyFill="1" applyBorder="1" applyAlignment="1">
      <alignment vertical="center"/>
    </xf>
    <xf numFmtId="167" fontId="2" fillId="0" borderId="11" xfId="3" applyNumberFormat="1" applyFont="1" applyFill="1" applyBorder="1" applyAlignment="1">
      <alignment vertical="center"/>
    </xf>
    <xf numFmtId="167" fontId="2" fillId="0" borderId="9" xfId="3" applyNumberFormat="1" applyFont="1" applyBorder="1" applyAlignment="1">
      <alignment vertical="center"/>
    </xf>
    <xf numFmtId="167" fontId="2" fillId="0" borderId="4" xfId="3" applyNumberFormat="1" applyFont="1" applyBorder="1" applyAlignment="1">
      <alignment vertical="center"/>
    </xf>
    <xf numFmtId="167" fontId="2" fillId="0" borderId="5" xfId="3" applyNumberFormat="1" applyFont="1" applyBorder="1" applyAlignment="1">
      <alignment vertical="center"/>
    </xf>
    <xf numFmtId="167" fontId="2" fillId="0" borderId="6" xfId="3" applyNumberFormat="1" applyFont="1" applyBorder="1" applyAlignment="1">
      <alignment vertical="center"/>
    </xf>
    <xf numFmtId="167" fontId="2" fillId="2" borderId="17" xfId="3" applyNumberFormat="1" applyFont="1" applyFill="1" applyBorder="1" applyAlignment="1">
      <alignment vertical="center"/>
    </xf>
    <xf numFmtId="167" fontId="2" fillId="2" borderId="18" xfId="3" applyNumberFormat="1" applyFont="1" applyFill="1" applyBorder="1" applyAlignment="1">
      <alignment vertical="center"/>
    </xf>
    <xf numFmtId="167" fontId="2" fillId="2" borderId="25" xfId="3" applyNumberFormat="1" applyFont="1" applyFill="1" applyBorder="1" applyAlignment="1">
      <alignment vertical="center"/>
    </xf>
    <xf numFmtId="167" fontId="2" fillId="0" borderId="17" xfId="3" applyNumberFormat="1" applyFont="1" applyBorder="1" applyAlignment="1">
      <alignment vertical="center"/>
    </xf>
    <xf numFmtId="167" fontId="2" fillId="0" borderId="18" xfId="3" applyNumberFormat="1" applyFont="1" applyBorder="1" applyAlignment="1">
      <alignment vertical="center"/>
    </xf>
    <xf numFmtId="167" fontId="2" fillId="0" borderId="25" xfId="3" applyNumberFormat="1" applyFont="1" applyBorder="1" applyAlignment="1">
      <alignment vertical="center"/>
    </xf>
    <xf numFmtId="167" fontId="2" fillId="0" borderId="7" xfId="3" applyNumberFormat="1" applyFont="1" applyBorder="1" applyAlignment="1">
      <alignment vertical="center"/>
    </xf>
    <xf numFmtId="167" fontId="2" fillId="0" borderId="8" xfId="3" applyNumberFormat="1" applyFont="1" applyBorder="1" applyAlignment="1">
      <alignment vertical="center"/>
    </xf>
    <xf numFmtId="167" fontId="3" fillId="0" borderId="0" xfId="3" applyNumberFormat="1" applyFont="1" applyAlignment="1">
      <alignment vertical="center"/>
    </xf>
    <xf numFmtId="167" fontId="2" fillId="0" borderId="0" xfId="3" applyNumberFormat="1" applyFont="1" applyAlignment="1">
      <alignment vertical="center"/>
    </xf>
    <xf numFmtId="167" fontId="2" fillId="0" borderId="7" xfId="3" applyNumberFormat="1" applyFont="1" applyFill="1" applyBorder="1" applyAlignment="1">
      <alignment vertical="center"/>
    </xf>
    <xf numFmtId="167" fontId="2" fillId="0" borderId="8" xfId="3" applyNumberFormat="1" applyFont="1" applyFill="1" applyBorder="1" applyAlignment="1">
      <alignment vertical="center"/>
    </xf>
    <xf numFmtId="167" fontId="2" fillId="0" borderId="9" xfId="3" applyNumberFormat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2" fontId="3" fillId="0" borderId="0" xfId="1" applyNumberFormat="1" applyFont="1" applyAlignment="1">
      <alignment vertical="center"/>
    </xf>
    <xf numFmtId="0" fontId="2" fillId="0" borderId="8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28" xfId="1" applyFont="1" applyBorder="1" applyAlignment="1">
      <alignment vertical="center"/>
    </xf>
    <xf numFmtId="167" fontId="3" fillId="2" borderId="28" xfId="3" applyNumberFormat="1" applyFont="1" applyFill="1" applyBorder="1" applyAlignment="1">
      <alignment vertical="center"/>
    </xf>
    <xf numFmtId="167" fontId="3" fillId="2" borderId="29" xfId="3" applyNumberFormat="1" applyFont="1" applyFill="1" applyBorder="1" applyAlignment="1">
      <alignment vertical="center"/>
    </xf>
    <xf numFmtId="167" fontId="3" fillId="0" borderId="29" xfId="3" applyNumberFormat="1" applyFont="1" applyFill="1" applyBorder="1" applyAlignment="1">
      <alignment vertical="center"/>
    </xf>
    <xf numFmtId="167" fontId="3" fillId="0" borderId="30" xfId="3" applyNumberFormat="1" applyFont="1" applyFill="1" applyBorder="1" applyAlignment="1">
      <alignment vertical="center"/>
    </xf>
    <xf numFmtId="0" fontId="2" fillId="0" borderId="31" xfId="1" applyFont="1" applyBorder="1" applyAlignment="1">
      <alignment vertical="center"/>
    </xf>
    <xf numFmtId="167" fontId="3" fillId="2" borderId="31" xfId="3" applyNumberFormat="1" applyFont="1" applyFill="1" applyBorder="1" applyAlignment="1">
      <alignment vertical="center"/>
    </xf>
    <xf numFmtId="167" fontId="3" fillId="2" borderId="32" xfId="3" applyNumberFormat="1" applyFont="1" applyFill="1" applyBorder="1" applyAlignment="1">
      <alignment vertical="center"/>
    </xf>
    <xf numFmtId="167" fontId="3" fillId="0" borderId="32" xfId="3" applyNumberFormat="1" applyFont="1" applyFill="1" applyBorder="1" applyAlignment="1">
      <alignment vertical="center"/>
    </xf>
    <xf numFmtId="167" fontId="3" fillId="0" borderId="33" xfId="3" applyNumberFormat="1" applyFont="1" applyFill="1" applyBorder="1" applyAlignment="1">
      <alignment vertical="center"/>
    </xf>
    <xf numFmtId="167" fontId="3" fillId="0" borderId="35" xfId="3" applyNumberFormat="1" applyFont="1" applyBorder="1" applyAlignment="1">
      <alignment vertical="center"/>
    </xf>
    <xf numFmtId="167" fontId="3" fillId="2" borderId="36" xfId="3" applyNumberFormat="1" applyFont="1" applyFill="1" applyBorder="1" applyAlignment="1">
      <alignment vertical="center"/>
    </xf>
    <xf numFmtId="167" fontId="3" fillId="0" borderId="34" xfId="3" applyNumberFormat="1" applyFont="1" applyFill="1" applyBorder="1" applyAlignment="1">
      <alignment vertical="center"/>
    </xf>
    <xf numFmtId="167" fontId="3" fillId="2" borderId="37" xfId="3" applyNumberFormat="1" applyFont="1" applyFill="1" applyBorder="1" applyAlignment="1">
      <alignment vertical="center"/>
    </xf>
    <xf numFmtId="167" fontId="2" fillId="0" borderId="35" xfId="3" applyNumberFormat="1" applyFont="1" applyBorder="1" applyAlignment="1">
      <alignment vertical="center"/>
    </xf>
    <xf numFmtId="167" fontId="3" fillId="0" borderId="38" xfId="3" applyNumberFormat="1" applyFont="1" applyBorder="1" applyAlignment="1">
      <alignment vertical="center"/>
    </xf>
    <xf numFmtId="167" fontId="3" fillId="2" borderId="41" xfId="3" applyNumberFormat="1" applyFont="1" applyFill="1" applyBorder="1" applyAlignment="1">
      <alignment vertical="center"/>
    </xf>
    <xf numFmtId="167" fontId="2" fillId="0" borderId="27" xfId="3" applyNumberFormat="1" applyFont="1" applyFill="1" applyBorder="1" applyAlignment="1">
      <alignment vertical="center"/>
    </xf>
    <xf numFmtId="167" fontId="3" fillId="0" borderId="45" xfId="3" applyNumberFormat="1" applyFont="1" applyFill="1" applyBorder="1" applyAlignment="1">
      <alignment vertical="center"/>
    </xf>
    <xf numFmtId="167" fontId="2" fillId="0" borderId="48" xfId="3" applyNumberFormat="1" applyFont="1" applyFill="1" applyBorder="1" applyAlignment="1">
      <alignment vertical="center"/>
    </xf>
    <xf numFmtId="0" fontId="3" fillId="0" borderId="4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49" xfId="1" applyFont="1" applyBorder="1" applyAlignment="1">
      <alignment horizontal="center" vertical="center" wrapText="1"/>
    </xf>
    <xf numFmtId="0" fontId="3" fillId="0" borderId="50" xfId="1" applyFont="1" applyBorder="1" applyAlignment="1">
      <alignment horizontal="center" vertical="center"/>
    </xf>
    <xf numFmtId="0" fontId="3" fillId="0" borderId="51" xfId="1" applyFont="1" applyBorder="1" applyAlignment="1">
      <alignment horizontal="center" vertical="center"/>
    </xf>
    <xf numFmtId="167" fontId="2" fillId="0" borderId="26" xfId="3" applyNumberFormat="1" applyFont="1" applyBorder="1" applyAlignment="1">
      <alignment vertical="center"/>
    </xf>
    <xf numFmtId="167" fontId="2" fillId="2" borderId="53" xfId="3" applyNumberFormat="1" applyFont="1" applyFill="1" applyBorder="1" applyAlignment="1">
      <alignment vertical="center"/>
    </xf>
    <xf numFmtId="167" fontId="2" fillId="0" borderId="53" xfId="3" applyNumberFormat="1" applyFont="1" applyBorder="1" applyAlignment="1">
      <alignment vertical="center"/>
    </xf>
    <xf numFmtId="167" fontId="2" fillId="0" borderId="27" xfId="3" applyNumberFormat="1" applyFont="1" applyBorder="1" applyAlignment="1">
      <alignment vertical="center"/>
    </xf>
    <xf numFmtId="0" fontId="2" fillId="0" borderId="54" xfId="1" applyFont="1" applyBorder="1" applyAlignment="1">
      <alignment horizontal="center" vertical="center"/>
    </xf>
    <xf numFmtId="167" fontId="3" fillId="2" borderId="45" xfId="3" applyNumberFormat="1" applyFont="1" applyFill="1" applyBorder="1" applyAlignment="1">
      <alignment vertical="center"/>
    </xf>
    <xf numFmtId="167" fontId="2" fillId="0" borderId="43" xfId="3" applyNumberFormat="1" applyFont="1" applyBorder="1" applyAlignment="1">
      <alignment vertical="center"/>
    </xf>
    <xf numFmtId="167" fontId="2" fillId="2" borderId="56" xfId="3" applyNumberFormat="1" applyFont="1" applyFill="1" applyBorder="1" applyAlignment="1">
      <alignment vertical="center"/>
    </xf>
    <xf numFmtId="167" fontId="2" fillId="0" borderId="56" xfId="3" applyNumberFormat="1" applyFont="1" applyBorder="1" applyAlignment="1">
      <alignment vertical="center"/>
    </xf>
    <xf numFmtId="167" fontId="2" fillId="0" borderId="44" xfId="3" applyNumberFormat="1" applyFont="1" applyBorder="1" applyAlignment="1">
      <alignment vertical="center"/>
    </xf>
    <xf numFmtId="0" fontId="2" fillId="0" borderId="57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3" fontId="3" fillId="2" borderId="15" xfId="3" applyNumberFormat="1" applyFont="1" applyFill="1" applyBorder="1" applyAlignment="1">
      <alignment vertical="center"/>
    </xf>
    <xf numFmtId="3" fontId="3" fillId="2" borderId="45" xfId="3" applyNumberFormat="1" applyFont="1" applyFill="1" applyBorder="1" applyAlignment="1">
      <alignment vertical="center"/>
    </xf>
    <xf numFmtId="3" fontId="3" fillId="0" borderId="45" xfId="3" applyNumberFormat="1" applyFont="1" applyFill="1" applyBorder="1" applyAlignment="1">
      <alignment vertical="center"/>
    </xf>
    <xf numFmtId="3" fontId="3" fillId="2" borderId="36" xfId="3" applyNumberFormat="1" applyFont="1" applyFill="1" applyBorder="1" applyAlignment="1">
      <alignment vertical="center"/>
    </xf>
    <xf numFmtId="3" fontId="3" fillId="2" borderId="55" xfId="3" applyNumberFormat="1" applyFont="1" applyFill="1" applyBorder="1" applyAlignment="1">
      <alignment vertical="center"/>
    </xf>
    <xf numFmtId="3" fontId="3" fillId="2" borderId="32" xfId="3" applyNumberFormat="1" applyFont="1" applyFill="1" applyBorder="1" applyAlignment="1">
      <alignment vertical="center"/>
    </xf>
    <xf numFmtId="3" fontId="3" fillId="2" borderId="47" xfId="3" applyNumberFormat="1" applyFont="1" applyFill="1" applyBorder="1" applyAlignment="1">
      <alignment vertical="center"/>
    </xf>
    <xf numFmtId="3" fontId="2" fillId="0" borderId="8" xfId="3" applyNumberFormat="1" applyFont="1" applyFill="1" applyBorder="1" applyAlignment="1">
      <alignment vertical="center"/>
    </xf>
    <xf numFmtId="3" fontId="2" fillId="0" borderId="44" xfId="3" applyNumberFormat="1" applyFont="1" applyFill="1" applyBorder="1" applyAlignment="1">
      <alignment vertical="center"/>
    </xf>
    <xf numFmtId="3" fontId="3" fillId="2" borderId="14" xfId="3" applyNumberFormat="1" applyFont="1" applyFill="1" applyBorder="1" applyAlignment="1">
      <alignment vertical="center"/>
    </xf>
    <xf numFmtId="3" fontId="3" fillId="2" borderId="41" xfId="3" applyNumberFormat="1" applyFont="1" applyFill="1" applyBorder="1" applyAlignment="1">
      <alignment vertical="center"/>
    </xf>
    <xf numFmtId="3" fontId="3" fillId="0" borderId="15" xfId="3" applyNumberFormat="1" applyFont="1" applyFill="1" applyBorder="1" applyAlignment="1">
      <alignment vertical="center"/>
    </xf>
    <xf numFmtId="3" fontId="3" fillId="0" borderId="16" xfId="3" applyNumberFormat="1" applyFont="1" applyFill="1" applyBorder="1" applyAlignment="1">
      <alignment vertical="center"/>
    </xf>
    <xf numFmtId="3" fontId="3" fillId="2" borderId="28" xfId="3" applyNumberFormat="1" applyFont="1" applyFill="1" applyBorder="1" applyAlignment="1">
      <alignment vertical="center"/>
    </xf>
    <xf numFmtId="3" fontId="3" fillId="2" borderId="39" xfId="3" applyNumberFormat="1" applyFont="1" applyFill="1" applyBorder="1" applyAlignment="1">
      <alignment vertical="center"/>
    </xf>
    <xf numFmtId="3" fontId="3" fillId="2" borderId="29" xfId="3" applyNumberFormat="1" applyFont="1" applyFill="1" applyBorder="1" applyAlignment="1">
      <alignment vertical="center"/>
    </xf>
    <xf numFmtId="3" fontId="3" fillId="0" borderId="29" xfId="3" applyNumberFormat="1" applyFont="1" applyFill="1" applyBorder="1" applyAlignment="1">
      <alignment vertical="center"/>
    </xf>
    <xf numFmtId="3" fontId="3" fillId="0" borderId="46" xfId="3" applyNumberFormat="1" applyFont="1" applyFill="1" applyBorder="1" applyAlignment="1">
      <alignment vertical="center"/>
    </xf>
    <xf numFmtId="3" fontId="3" fillId="2" borderId="31" xfId="3" applyNumberFormat="1" applyFont="1" applyFill="1" applyBorder="1" applyAlignment="1">
      <alignment vertical="center"/>
    </xf>
    <xf numFmtId="3" fontId="3" fillId="2" borderId="42" xfId="3" applyNumberFormat="1" applyFont="1" applyFill="1" applyBorder="1" applyAlignment="1">
      <alignment vertical="center"/>
    </xf>
    <xf numFmtId="3" fontId="3" fillId="0" borderId="32" xfId="3" applyNumberFormat="1" applyFont="1" applyFill="1" applyBorder="1" applyAlignment="1">
      <alignment vertical="center"/>
    </xf>
    <xf numFmtId="3" fontId="3" fillId="0" borderId="47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3" fontId="3" fillId="0" borderId="58" xfId="3" applyNumberFormat="1" applyFont="1" applyFill="1" applyBorder="1" applyAlignment="1">
      <alignment vertical="center"/>
    </xf>
    <xf numFmtId="0" fontId="2" fillId="0" borderId="24" xfId="1" applyFont="1" applyBorder="1" applyAlignment="1">
      <alignment vertical="center"/>
    </xf>
    <xf numFmtId="3" fontId="3" fillId="2" borderId="24" xfId="3" applyNumberFormat="1" applyFont="1" applyFill="1" applyBorder="1" applyAlignment="1">
      <alignment vertical="center"/>
    </xf>
    <xf numFmtId="3" fontId="3" fillId="2" borderId="60" xfId="3" applyNumberFormat="1" applyFont="1" applyFill="1" applyBorder="1" applyAlignment="1">
      <alignment vertical="center"/>
    </xf>
    <xf numFmtId="3" fontId="3" fillId="2" borderId="61" xfId="3" applyNumberFormat="1" applyFont="1" applyFill="1" applyBorder="1" applyAlignment="1">
      <alignment vertical="center"/>
    </xf>
    <xf numFmtId="3" fontId="3" fillId="0" borderId="61" xfId="3" applyNumberFormat="1" applyFont="1" applyFill="1" applyBorder="1" applyAlignment="1">
      <alignment vertical="center"/>
    </xf>
    <xf numFmtId="167" fontId="3" fillId="0" borderId="59" xfId="3" applyNumberFormat="1" applyFont="1" applyFill="1" applyBorder="1" applyAlignment="1">
      <alignment vertical="center"/>
    </xf>
    <xf numFmtId="0" fontId="5" fillId="0" borderId="60" xfId="1" applyFont="1" applyBorder="1" applyAlignment="1">
      <alignment horizontal="center" vertical="center"/>
    </xf>
    <xf numFmtId="3" fontId="2" fillId="0" borderId="12" xfId="3" applyNumberFormat="1" applyFont="1" applyFill="1" applyBorder="1" applyAlignment="1">
      <alignment vertical="center"/>
    </xf>
    <xf numFmtId="167" fontId="3" fillId="2" borderId="3" xfId="3" applyNumberFormat="1" applyFont="1" applyFill="1" applyBorder="1" applyAlignment="1">
      <alignment vertical="center"/>
    </xf>
    <xf numFmtId="3" fontId="3" fillId="2" borderId="3" xfId="3" applyNumberFormat="1" applyFont="1" applyFill="1" applyBorder="1" applyAlignment="1">
      <alignment vertical="center"/>
    </xf>
    <xf numFmtId="3" fontId="2" fillId="0" borderId="48" xfId="3" applyNumberFormat="1" applyFont="1" applyFill="1" applyBorder="1" applyAlignment="1">
      <alignment vertical="center"/>
    </xf>
    <xf numFmtId="3" fontId="3" fillId="0" borderId="62" xfId="3" applyNumberFormat="1" applyFont="1" applyFill="1" applyBorder="1" applyAlignment="1">
      <alignment vertical="center"/>
    </xf>
    <xf numFmtId="0" fontId="2" fillId="0" borderId="59" xfId="1" applyFont="1" applyBorder="1" applyAlignment="1">
      <alignment horizontal="center" vertical="center" wrapText="1"/>
    </xf>
    <xf numFmtId="167" fontId="3" fillId="0" borderId="62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167" fontId="2" fillId="0" borderId="51" xfId="3" applyNumberFormat="1" applyFont="1" applyFill="1" applyBorder="1" applyAlignment="1">
      <alignment vertical="center"/>
    </xf>
    <xf numFmtId="0" fontId="2" fillId="0" borderId="22" xfId="1" applyFont="1" applyBorder="1" applyAlignment="1">
      <alignment horizontal="center" vertical="center" wrapText="1"/>
    </xf>
    <xf numFmtId="167" fontId="3" fillId="0" borderId="25" xfId="3" applyNumberFormat="1" applyFont="1" applyFill="1" applyBorder="1" applyAlignment="1">
      <alignment vertical="center"/>
    </xf>
    <xf numFmtId="3" fontId="3" fillId="0" borderId="63" xfId="3" applyNumberFormat="1" applyFont="1" applyFill="1" applyBorder="1" applyAlignment="1">
      <alignment vertical="center"/>
    </xf>
    <xf numFmtId="3" fontId="3" fillId="0" borderId="59" xfId="3" applyNumberFormat="1" applyFont="1" applyFill="1" applyBorder="1" applyAlignment="1">
      <alignment vertical="center"/>
    </xf>
    <xf numFmtId="3" fontId="3" fillId="0" borderId="64" xfId="3" applyNumberFormat="1" applyFont="1" applyFill="1" applyBorder="1" applyAlignment="1">
      <alignment vertical="center"/>
    </xf>
    <xf numFmtId="3" fontId="3" fillId="0" borderId="66" xfId="3" applyNumberFormat="1" applyFont="1" applyFill="1" applyBorder="1" applyAlignment="1">
      <alignment vertical="center"/>
    </xf>
    <xf numFmtId="3" fontId="3" fillId="0" borderId="65" xfId="3" applyNumberFormat="1" applyFont="1" applyFill="1" applyBorder="1" applyAlignment="1">
      <alignment vertical="center"/>
    </xf>
    <xf numFmtId="3" fontId="3" fillId="2" borderId="68" xfId="3" applyNumberFormat="1" applyFont="1" applyFill="1" applyBorder="1" applyAlignment="1">
      <alignment vertical="center"/>
    </xf>
    <xf numFmtId="3" fontId="3" fillId="2" borderId="67" xfId="3" applyNumberFormat="1" applyFont="1" applyFill="1" applyBorder="1" applyAlignment="1">
      <alignment vertical="center"/>
    </xf>
    <xf numFmtId="3" fontId="3" fillId="0" borderId="71" xfId="3" applyNumberFormat="1" applyFont="1" applyFill="1" applyBorder="1" applyAlignment="1">
      <alignment vertical="center"/>
    </xf>
    <xf numFmtId="3" fontId="3" fillId="0" borderId="70" xfId="3" applyNumberFormat="1" applyFont="1" applyFill="1" applyBorder="1" applyAlignment="1">
      <alignment vertical="center"/>
    </xf>
    <xf numFmtId="3" fontId="3" fillId="0" borderId="72" xfId="3" applyNumberFormat="1" applyFont="1" applyFill="1" applyBorder="1" applyAlignment="1">
      <alignment vertical="center"/>
    </xf>
    <xf numFmtId="3" fontId="3" fillId="2" borderId="74" xfId="3" applyNumberFormat="1" applyFont="1" applyFill="1" applyBorder="1" applyAlignment="1">
      <alignment vertical="center"/>
    </xf>
    <xf numFmtId="3" fontId="3" fillId="2" borderId="73" xfId="3" applyNumberFormat="1" applyFont="1" applyFill="1" applyBorder="1" applyAlignment="1">
      <alignment vertical="center"/>
    </xf>
    <xf numFmtId="3" fontId="3" fillId="2" borderId="76" xfId="3" applyNumberFormat="1" applyFont="1" applyFill="1" applyBorder="1" applyAlignment="1">
      <alignment vertical="center"/>
    </xf>
    <xf numFmtId="3" fontId="3" fillId="2" borderId="75" xfId="3" applyNumberFormat="1" applyFont="1" applyFill="1" applyBorder="1" applyAlignment="1">
      <alignment vertical="center"/>
    </xf>
    <xf numFmtId="3" fontId="3" fillId="0" borderId="33" xfId="3" applyNumberFormat="1" applyFont="1" applyFill="1" applyBorder="1" applyAlignment="1">
      <alignment vertical="center"/>
    </xf>
    <xf numFmtId="0" fontId="5" fillId="0" borderId="21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167" fontId="2" fillId="0" borderId="69" xfId="3" applyNumberFormat="1" applyFont="1" applyFill="1" applyBorder="1" applyAlignment="1">
      <alignment vertical="center"/>
    </xf>
    <xf numFmtId="0" fontId="3" fillId="0" borderId="77" xfId="1" applyFont="1" applyBorder="1" applyAlignment="1">
      <alignment vertical="center"/>
    </xf>
    <xf numFmtId="3" fontId="3" fillId="0" borderId="30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67" fontId="3" fillId="3" borderId="14" xfId="3" applyNumberFormat="1" applyFont="1" applyFill="1" applyBorder="1" applyAlignment="1">
      <alignment vertical="center"/>
    </xf>
    <xf numFmtId="167" fontId="3" fillId="3" borderId="41" xfId="3" applyNumberFormat="1" applyFont="1" applyFill="1" applyBorder="1" applyAlignment="1">
      <alignment vertical="center"/>
    </xf>
    <xf numFmtId="167" fontId="3" fillId="3" borderId="15" xfId="3" applyNumberFormat="1" applyFont="1" applyFill="1" applyBorder="1" applyAlignment="1">
      <alignment vertical="center"/>
    </xf>
    <xf numFmtId="3" fontId="3" fillId="3" borderId="14" xfId="3" applyNumberFormat="1" applyFont="1" applyFill="1" applyBorder="1" applyAlignment="1">
      <alignment vertical="center"/>
    </xf>
    <xf numFmtId="3" fontId="3" fillId="3" borderId="41" xfId="3" applyNumberFormat="1" applyFont="1" applyFill="1" applyBorder="1" applyAlignment="1">
      <alignment vertical="center"/>
    </xf>
    <xf numFmtId="3" fontId="3" fillId="3" borderId="15" xfId="3" applyNumberFormat="1" applyFont="1" applyFill="1" applyBorder="1" applyAlignment="1">
      <alignment vertical="center"/>
    </xf>
    <xf numFmtId="3" fontId="3" fillId="3" borderId="28" xfId="3" applyNumberFormat="1" applyFont="1" applyFill="1" applyBorder="1" applyAlignment="1">
      <alignment vertical="center"/>
    </xf>
    <xf numFmtId="3" fontId="3" fillId="3" borderId="39" xfId="3" applyNumberFormat="1" applyFont="1" applyFill="1" applyBorder="1" applyAlignment="1">
      <alignment vertical="center"/>
    </xf>
    <xf numFmtId="3" fontId="3" fillId="3" borderId="29" xfId="3" applyNumberFormat="1" applyFont="1" applyFill="1" applyBorder="1" applyAlignment="1">
      <alignment vertical="center"/>
    </xf>
    <xf numFmtId="3" fontId="3" fillId="3" borderId="24" xfId="3" applyNumberFormat="1" applyFont="1" applyFill="1" applyBorder="1" applyAlignment="1">
      <alignment vertical="center"/>
    </xf>
    <xf numFmtId="3" fontId="3" fillId="3" borderId="60" xfId="3" applyNumberFormat="1" applyFont="1" applyFill="1" applyBorder="1" applyAlignment="1">
      <alignment vertical="center"/>
    </xf>
    <xf numFmtId="3" fontId="3" fillId="3" borderId="61" xfId="3" applyNumberFormat="1" applyFont="1" applyFill="1" applyBorder="1" applyAlignment="1">
      <alignment vertical="center"/>
    </xf>
    <xf numFmtId="167" fontId="3" fillId="3" borderId="45" xfId="3" applyNumberFormat="1" applyFont="1" applyFill="1" applyBorder="1" applyAlignment="1">
      <alignment vertical="center"/>
    </xf>
    <xf numFmtId="3" fontId="3" fillId="3" borderId="45" xfId="3" applyNumberFormat="1" applyFont="1" applyFill="1" applyBorder="1" applyAlignment="1">
      <alignment vertical="center"/>
    </xf>
    <xf numFmtId="3" fontId="3" fillId="3" borderId="36" xfId="3" applyNumberFormat="1" applyFont="1" applyFill="1" applyBorder="1" applyAlignment="1">
      <alignment vertical="center"/>
    </xf>
    <xf numFmtId="3" fontId="3" fillId="3" borderId="55" xfId="3" applyNumberFormat="1" applyFont="1" applyFill="1" applyBorder="1" applyAlignment="1">
      <alignment vertical="center"/>
    </xf>
    <xf numFmtId="167" fontId="3" fillId="4" borderId="3" xfId="3" applyNumberFormat="1" applyFont="1" applyFill="1" applyBorder="1" applyAlignment="1">
      <alignment vertical="center"/>
    </xf>
    <xf numFmtId="3" fontId="3" fillId="4" borderId="3" xfId="3" applyNumberFormat="1" applyFont="1" applyFill="1" applyBorder="1" applyAlignment="1">
      <alignment vertical="center"/>
    </xf>
    <xf numFmtId="3" fontId="3" fillId="4" borderId="67" xfId="3" applyNumberFormat="1" applyFont="1" applyFill="1" applyBorder="1" applyAlignment="1">
      <alignment vertical="center"/>
    </xf>
    <xf numFmtId="3" fontId="3" fillId="4" borderId="68" xfId="3" applyNumberFormat="1" applyFont="1" applyFill="1" applyBorder="1" applyAlignment="1">
      <alignment vertical="center"/>
    </xf>
    <xf numFmtId="3" fontId="3" fillId="4" borderId="76" xfId="3" applyNumberFormat="1" applyFont="1" applyFill="1" applyBorder="1" applyAlignment="1">
      <alignment vertical="center"/>
    </xf>
    <xf numFmtId="3" fontId="3" fillId="4" borderId="73" xfId="3" applyNumberFormat="1" applyFont="1" applyFill="1" applyBorder="1" applyAlignment="1">
      <alignment vertical="center"/>
    </xf>
    <xf numFmtId="167" fontId="3" fillId="3" borderId="49" xfId="3" applyNumberFormat="1" applyFont="1" applyFill="1" applyBorder="1" applyAlignment="1">
      <alignment vertical="center"/>
    </xf>
    <xf numFmtId="167" fontId="3" fillId="3" borderId="18" xfId="3" applyNumberFormat="1" applyFont="1" applyFill="1" applyBorder="1" applyAlignment="1">
      <alignment vertical="center"/>
    </xf>
    <xf numFmtId="167" fontId="3" fillId="3" borderId="37" xfId="3" applyNumberFormat="1" applyFont="1" applyFill="1" applyBorder="1" applyAlignment="1">
      <alignment vertical="center"/>
    </xf>
    <xf numFmtId="167" fontId="3" fillId="3" borderId="69" xfId="3" applyNumberFormat="1" applyFont="1" applyFill="1" applyBorder="1" applyAlignment="1">
      <alignment vertical="center"/>
    </xf>
    <xf numFmtId="167" fontId="3" fillId="3" borderId="35" xfId="3" applyNumberFormat="1" applyFont="1" applyFill="1" applyBorder="1" applyAlignment="1">
      <alignment vertical="center"/>
    </xf>
    <xf numFmtId="167" fontId="3" fillId="3" borderId="63" xfId="3" applyNumberFormat="1" applyFont="1" applyFill="1" applyBorder="1" applyAlignment="1">
      <alignment vertical="center"/>
    </xf>
    <xf numFmtId="167" fontId="3" fillId="3" borderId="29" xfId="3" applyNumberFormat="1" applyFont="1" applyFill="1" applyBorder="1" applyAlignment="1">
      <alignment vertical="center"/>
    </xf>
    <xf numFmtId="167" fontId="3" fillId="3" borderId="24" xfId="3" applyNumberFormat="1" applyFont="1" applyFill="1" applyBorder="1" applyAlignment="1">
      <alignment vertical="center"/>
    </xf>
    <xf numFmtId="167" fontId="3" fillId="3" borderId="0" xfId="3" applyNumberFormat="1" applyFont="1" applyFill="1" applyBorder="1" applyAlignment="1">
      <alignment vertical="center"/>
    </xf>
    <xf numFmtId="0" fontId="2" fillId="0" borderId="78" xfId="1" applyFont="1" applyBorder="1" applyAlignment="1">
      <alignment vertical="center"/>
    </xf>
    <xf numFmtId="3" fontId="3" fillId="0" borderId="55" xfId="3" applyNumberFormat="1" applyFont="1" applyFill="1" applyBorder="1" applyAlignment="1">
      <alignment vertical="center"/>
    </xf>
    <xf numFmtId="3" fontId="3" fillId="0" borderId="34" xfId="3" applyNumberFormat="1" applyFont="1" applyFill="1" applyBorder="1" applyAlignment="1">
      <alignment vertical="center"/>
    </xf>
    <xf numFmtId="3" fontId="3" fillId="3" borderId="37" xfId="3" applyNumberFormat="1" applyFont="1" applyFill="1" applyBorder="1" applyAlignment="1">
      <alignment vertical="center"/>
    </xf>
    <xf numFmtId="3" fontId="3" fillId="3" borderId="79" xfId="3" applyNumberFormat="1" applyFont="1" applyFill="1" applyBorder="1" applyAlignment="1">
      <alignment vertical="center"/>
    </xf>
    <xf numFmtId="3" fontId="3" fillId="0" borderId="36" xfId="3" applyNumberFormat="1" applyFont="1" applyFill="1" applyBorder="1" applyAlignment="1">
      <alignment vertical="center"/>
    </xf>
    <xf numFmtId="3" fontId="3" fillId="4" borderId="80" xfId="3" applyNumberFormat="1" applyFont="1" applyFill="1" applyBorder="1" applyAlignment="1">
      <alignment vertical="center"/>
    </xf>
    <xf numFmtId="0" fontId="2" fillId="0" borderId="81" xfId="1" applyFont="1" applyBorder="1" applyAlignment="1">
      <alignment vertical="center"/>
    </xf>
    <xf numFmtId="3" fontId="3" fillId="3" borderId="81" xfId="3" applyNumberFormat="1" applyFont="1" applyFill="1" applyBorder="1" applyAlignment="1">
      <alignment vertical="center"/>
    </xf>
    <xf numFmtId="3" fontId="3" fillId="3" borderId="82" xfId="3" applyNumberFormat="1" applyFont="1" applyFill="1" applyBorder="1" applyAlignment="1">
      <alignment vertical="center"/>
    </xf>
    <xf numFmtId="3" fontId="3" fillId="3" borderId="83" xfId="3" applyNumberFormat="1" applyFont="1" applyFill="1" applyBorder="1" applyAlignment="1">
      <alignment vertical="center"/>
    </xf>
    <xf numFmtId="3" fontId="3" fillId="0" borderId="83" xfId="3" applyNumberFormat="1" applyFont="1" applyFill="1" applyBorder="1" applyAlignment="1">
      <alignment vertical="center"/>
    </xf>
    <xf numFmtId="3" fontId="3" fillId="0" borderId="84" xfId="3" applyNumberFormat="1" applyFont="1" applyFill="1" applyBorder="1" applyAlignment="1">
      <alignment vertical="center"/>
    </xf>
    <xf numFmtId="3" fontId="3" fillId="0" borderId="85" xfId="3" applyNumberFormat="1" applyFont="1" applyFill="1" applyBorder="1" applyAlignment="1">
      <alignment vertical="center"/>
    </xf>
    <xf numFmtId="3" fontId="3" fillId="0" borderId="86" xfId="3" applyNumberFormat="1" applyFont="1" applyFill="1" applyBorder="1" applyAlignment="1">
      <alignment vertical="center"/>
    </xf>
    <xf numFmtId="167" fontId="3" fillId="0" borderId="87" xfId="3" applyNumberFormat="1" applyFont="1" applyBorder="1" applyAlignment="1">
      <alignment vertical="center"/>
    </xf>
    <xf numFmtId="3" fontId="3" fillId="3" borderId="88" xfId="3" applyNumberFormat="1" applyFont="1" applyFill="1" applyBorder="1" applyAlignment="1">
      <alignment vertical="center"/>
    </xf>
    <xf numFmtId="3" fontId="3" fillId="3" borderId="85" xfId="3" applyNumberFormat="1" applyFont="1" applyFill="1" applyBorder="1" applyAlignment="1">
      <alignment vertical="center"/>
    </xf>
    <xf numFmtId="3" fontId="3" fillId="0" borderId="89" xfId="3" applyNumberFormat="1" applyFont="1" applyFill="1" applyBorder="1" applyAlignment="1">
      <alignment vertical="center"/>
    </xf>
    <xf numFmtId="3" fontId="3" fillId="4" borderId="90" xfId="3" applyNumberFormat="1" applyFont="1" applyFill="1" applyBorder="1" applyAlignment="1">
      <alignment vertical="center"/>
    </xf>
    <xf numFmtId="167" fontId="3" fillId="3" borderId="81" xfId="3" applyNumberFormat="1" applyFont="1" applyFill="1" applyBorder="1" applyAlignment="1">
      <alignment vertical="center"/>
    </xf>
    <xf numFmtId="167" fontId="3" fillId="3" borderId="83" xfId="3" applyNumberFormat="1" applyFont="1" applyFill="1" applyBorder="1" applyAlignment="1">
      <alignment vertical="center"/>
    </xf>
    <xf numFmtId="167" fontId="3" fillId="0" borderId="86" xfId="3" applyNumberFormat="1" applyFont="1" applyFill="1" applyBorder="1" applyAlignment="1">
      <alignment vertical="center"/>
    </xf>
    <xf numFmtId="3" fontId="3" fillId="0" borderId="91" xfId="3" applyNumberFormat="1" applyFont="1" applyFill="1" applyBorder="1" applyAlignment="1">
      <alignment vertical="center"/>
    </xf>
    <xf numFmtId="0" fontId="2" fillId="0" borderId="92" xfId="1" applyFont="1" applyBorder="1" applyAlignment="1">
      <alignment vertical="center"/>
    </xf>
    <xf numFmtId="3" fontId="3" fillId="3" borderId="92" xfId="3" applyNumberFormat="1" applyFont="1" applyFill="1" applyBorder="1" applyAlignment="1">
      <alignment vertical="center"/>
    </xf>
    <xf numFmtId="3" fontId="3" fillId="3" borderId="93" xfId="3" applyNumberFormat="1" applyFont="1" applyFill="1" applyBorder="1" applyAlignment="1">
      <alignment vertical="center"/>
    </xf>
    <xf numFmtId="3" fontId="3" fillId="3" borderId="94" xfId="3" applyNumberFormat="1" applyFont="1" applyFill="1" applyBorder="1" applyAlignment="1">
      <alignment vertical="center"/>
    </xf>
    <xf numFmtId="3" fontId="3" fillId="0" borderId="94" xfId="3" applyNumberFormat="1" applyFont="1" applyFill="1" applyBorder="1" applyAlignment="1">
      <alignment vertical="center"/>
    </xf>
    <xf numFmtId="3" fontId="3" fillId="0" borderId="95" xfId="3" applyNumberFormat="1" applyFont="1" applyFill="1" applyBorder="1" applyAlignment="1">
      <alignment vertical="center"/>
    </xf>
    <xf numFmtId="3" fontId="3" fillId="0" borderId="96" xfId="3" applyNumberFormat="1" applyFont="1" applyFill="1" applyBorder="1" applyAlignment="1">
      <alignment vertical="center"/>
    </xf>
    <xf numFmtId="167" fontId="3" fillId="0" borderId="97" xfId="3" applyNumberFormat="1" applyFont="1" applyBorder="1" applyAlignment="1">
      <alignment vertical="center"/>
    </xf>
    <xf numFmtId="3" fontId="3" fillId="3" borderId="95" xfId="3" applyNumberFormat="1" applyFont="1" applyFill="1" applyBorder="1" applyAlignment="1">
      <alignment vertical="center"/>
    </xf>
    <xf numFmtId="3" fontId="3" fillId="0" borderId="98" xfId="3" applyNumberFormat="1" applyFont="1" applyFill="1" applyBorder="1" applyAlignment="1">
      <alignment vertical="center"/>
    </xf>
    <xf numFmtId="3" fontId="3" fillId="4" borderId="99" xfId="3" applyNumberFormat="1" applyFont="1" applyFill="1" applyBorder="1" applyAlignment="1">
      <alignment vertical="center"/>
    </xf>
    <xf numFmtId="167" fontId="3" fillId="3" borderId="92" xfId="3" applyNumberFormat="1" applyFont="1" applyFill="1" applyBorder="1" applyAlignment="1">
      <alignment vertical="center"/>
    </xf>
    <xf numFmtId="167" fontId="3" fillId="3" borderId="94" xfId="3" applyNumberFormat="1" applyFont="1" applyFill="1" applyBorder="1" applyAlignment="1">
      <alignment vertical="center"/>
    </xf>
    <xf numFmtId="167" fontId="3" fillId="3" borderId="97" xfId="3" applyNumberFormat="1" applyFont="1" applyFill="1" applyBorder="1" applyAlignment="1">
      <alignment vertical="center"/>
    </xf>
    <xf numFmtId="167" fontId="3" fillId="0" borderId="96" xfId="3" applyNumberFormat="1" applyFont="1" applyFill="1" applyBorder="1" applyAlignment="1">
      <alignment vertical="center"/>
    </xf>
    <xf numFmtId="3" fontId="3" fillId="0" borderId="100" xfId="3" applyNumberFormat="1" applyFont="1" applyFill="1" applyBorder="1" applyAlignment="1">
      <alignment vertical="center"/>
    </xf>
    <xf numFmtId="3" fontId="3" fillId="0" borderId="101" xfId="3" applyNumberFormat="1" applyFont="1" applyFill="1" applyBorder="1" applyAlignment="1">
      <alignment vertical="center"/>
    </xf>
    <xf numFmtId="3" fontId="3" fillId="4" borderId="102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3" fontId="3" fillId="3" borderId="31" xfId="3" applyNumberFormat="1" applyFont="1" applyFill="1" applyBorder="1" applyAlignment="1">
      <alignment vertical="center"/>
    </xf>
    <xf numFmtId="3" fontId="3" fillId="3" borderId="42" xfId="3" applyNumberFormat="1" applyFont="1" applyFill="1" applyBorder="1" applyAlignment="1">
      <alignment vertical="center"/>
    </xf>
    <xf numFmtId="3" fontId="3" fillId="3" borderId="32" xfId="3" applyNumberFormat="1" applyFont="1" applyFill="1" applyBorder="1" applyAlignment="1">
      <alignment vertical="center"/>
    </xf>
    <xf numFmtId="3" fontId="3" fillId="3" borderId="47" xfId="3" applyNumberFormat="1" applyFont="1" applyFill="1" applyBorder="1" applyAlignment="1">
      <alignment vertical="center"/>
    </xf>
    <xf numFmtId="167" fontId="3" fillId="3" borderId="3" xfId="3" applyNumberFormat="1" applyFont="1" applyFill="1" applyBorder="1" applyAlignment="1">
      <alignment vertical="center"/>
    </xf>
    <xf numFmtId="167" fontId="3" fillId="3" borderId="0" xfId="3" applyNumberFormat="1" applyFont="1" applyFill="1" applyAlignment="1">
      <alignment vertical="center"/>
    </xf>
    <xf numFmtId="3" fontId="3" fillId="3" borderId="3" xfId="3" applyNumberFormat="1" applyFont="1" applyFill="1" applyBorder="1" applyAlignment="1">
      <alignment vertical="center"/>
    </xf>
    <xf numFmtId="167" fontId="2" fillId="3" borderId="35" xfId="3" applyNumberFormat="1" applyFont="1" applyFill="1" applyBorder="1" applyAlignment="1">
      <alignment vertical="center"/>
    </xf>
    <xf numFmtId="167" fontId="2" fillId="3" borderId="0" xfId="3" applyNumberFormat="1" applyFont="1" applyFill="1" applyAlignment="1">
      <alignment vertical="center"/>
    </xf>
    <xf numFmtId="167" fontId="3" fillId="3" borderId="38" xfId="3" applyNumberFormat="1" applyFont="1" applyFill="1" applyBorder="1" applyAlignment="1">
      <alignment vertical="center"/>
    </xf>
    <xf numFmtId="167" fontId="3" fillId="3" borderId="31" xfId="3" applyNumberFormat="1" applyFont="1" applyFill="1" applyBorder="1" applyAlignment="1">
      <alignment vertical="center"/>
    </xf>
    <xf numFmtId="3" fontId="3" fillId="3" borderId="67" xfId="3" applyNumberFormat="1" applyFont="1" applyFill="1" applyBorder="1" applyAlignment="1">
      <alignment vertical="center"/>
    </xf>
    <xf numFmtId="3" fontId="3" fillId="3" borderId="68" xfId="3" applyNumberFormat="1" applyFont="1" applyFill="1" applyBorder="1" applyAlignment="1">
      <alignment vertical="center"/>
    </xf>
    <xf numFmtId="167" fontId="3" fillId="3" borderId="28" xfId="3" applyNumberFormat="1" applyFont="1" applyFill="1" applyBorder="1" applyAlignment="1">
      <alignment vertical="center"/>
    </xf>
    <xf numFmtId="3" fontId="3" fillId="3" borderId="75" xfId="3" applyNumberFormat="1" applyFont="1" applyFill="1" applyBorder="1" applyAlignment="1">
      <alignment vertical="center"/>
    </xf>
    <xf numFmtId="167" fontId="3" fillId="3" borderId="32" xfId="3" applyNumberFormat="1" applyFont="1" applyFill="1" applyBorder="1" applyAlignment="1">
      <alignment vertical="center"/>
    </xf>
    <xf numFmtId="3" fontId="3" fillId="3" borderId="76" xfId="3" applyNumberFormat="1" applyFont="1" applyFill="1" applyBorder="1" applyAlignment="1">
      <alignment vertical="center"/>
    </xf>
    <xf numFmtId="3" fontId="3" fillId="3" borderId="73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/>
    </xf>
  </cellXfs>
  <cellStyles count="4">
    <cellStyle name="Comma" xfId="3" builtinId="3"/>
    <cellStyle name="Comma 3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88"/>
  <sheetViews>
    <sheetView view="pageBreakPreview" zoomScale="70" zoomScaleNormal="115" zoomScaleSheetLayoutView="70" zoomScalePageLayoutView="80" workbookViewId="0">
      <pane xSplit="2" ySplit="5" topLeftCell="C6" activePane="bottomRight" state="frozen"/>
      <selection activeCell="I59" sqref="I59:L59"/>
      <selection pane="topRight" activeCell="I59" sqref="I59:L59"/>
      <selection pane="bottomLeft" activeCell="I59" sqref="I59:L59"/>
      <selection pane="bottomRight" activeCell="B21" sqref="B2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12.140625" style="2" bestFit="1" customWidth="1"/>
    <col min="5" max="5" width="9.85546875" style="2" customWidth="1"/>
    <col min="6" max="6" width="11" style="2" customWidth="1"/>
    <col min="7" max="7" width="12.7109375" style="2" customWidth="1"/>
    <col min="8" max="8" width="1.28515625" style="2" customWidth="1"/>
    <col min="9" max="9" width="11.5703125" style="2" bestFit="1" customWidth="1"/>
    <col min="10" max="10" width="11" style="2" bestFit="1" customWidth="1"/>
    <col min="11" max="12" width="12.140625" style="2" customWidth="1"/>
    <col min="13" max="13" width="1.28515625" style="2" customWidth="1"/>
    <col min="14" max="14" width="12.7109375" style="2" bestFit="1" customWidth="1"/>
    <col min="15" max="15" width="11" style="2" bestFit="1" customWidth="1"/>
    <col min="16" max="16" width="2" style="2" customWidth="1"/>
    <col min="17" max="17" width="10.5703125" style="2" bestFit="1" customWidth="1"/>
    <col min="18" max="46" width="7.28515625" style="2" customWidth="1"/>
    <col min="47" max="47" width="1.5703125" style="2" customWidth="1"/>
    <col min="48" max="48" width="9.42578125" style="2" customWidth="1"/>
    <col min="49" max="49" width="1.28515625" style="2" customWidth="1"/>
    <col min="50" max="50" width="12.7109375" style="2" bestFit="1" customWidth="1"/>
    <col min="51" max="51" width="10.28515625" style="2" bestFit="1" customWidth="1"/>
    <col min="52" max="16384" width="9.140625" style="2"/>
  </cols>
  <sheetData>
    <row r="1" spans="1:51" ht="19.5" thickBot="1" x14ac:dyDescent="0.3">
      <c r="B1" s="1" t="s">
        <v>0</v>
      </c>
      <c r="J1" s="2" t="s">
        <v>1</v>
      </c>
      <c r="K1" s="294"/>
      <c r="L1" s="295"/>
      <c r="M1" s="295"/>
      <c r="N1" s="295"/>
      <c r="O1" s="296"/>
    </row>
    <row r="2" spans="1:51" ht="15" customHeight="1" x14ac:dyDescent="0.25">
      <c r="B2" s="1" t="s">
        <v>2</v>
      </c>
      <c r="G2" s="1"/>
      <c r="H2" s="1"/>
      <c r="I2" s="1"/>
      <c r="J2" s="1"/>
      <c r="K2" s="1"/>
      <c r="L2" s="1"/>
      <c r="M2" s="1"/>
      <c r="N2" s="1"/>
      <c r="O2" s="1"/>
    </row>
    <row r="3" spans="1:51" ht="19.5" thickBot="1" x14ac:dyDescent="0.3"/>
    <row r="4" spans="1:51" ht="19.5" customHeight="1" thickBot="1" x14ac:dyDescent="0.3">
      <c r="A4" s="53"/>
      <c r="B4" s="288" t="s">
        <v>74</v>
      </c>
      <c r="C4" s="297" t="s">
        <v>3</v>
      </c>
      <c r="D4" s="298" t="s">
        <v>4</v>
      </c>
      <c r="E4" s="299"/>
      <c r="F4" s="300" t="s">
        <v>5</v>
      </c>
      <c r="G4" s="302" t="s">
        <v>6</v>
      </c>
      <c r="I4" s="304" t="s">
        <v>7</v>
      </c>
      <c r="J4" s="305"/>
      <c r="K4" s="305"/>
      <c r="L4" s="305"/>
      <c r="M4" s="305"/>
      <c r="N4" s="305"/>
      <c r="O4" s="306"/>
    </row>
    <row r="5" spans="1:51" s="3" customFormat="1" ht="38.25" thickBot="1" x14ac:dyDescent="0.3">
      <c r="A5" s="53"/>
      <c r="B5" s="288"/>
      <c r="C5" s="297"/>
      <c r="D5" s="52" t="s">
        <v>8</v>
      </c>
      <c r="E5" s="51" t="s">
        <v>9</v>
      </c>
      <c r="F5" s="301"/>
      <c r="G5" s="303"/>
      <c r="I5" s="4" t="s">
        <v>10</v>
      </c>
      <c r="J5" s="5" t="s">
        <v>11</v>
      </c>
      <c r="K5" s="5" t="s">
        <v>12</v>
      </c>
      <c r="L5" s="6" t="s">
        <v>13</v>
      </c>
      <c r="M5" s="7"/>
      <c r="N5" s="8"/>
      <c r="O5" s="6" t="s">
        <v>14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s="3" customFormat="1" x14ac:dyDescent="0.25">
      <c r="B6" s="10"/>
      <c r="C6" s="28"/>
      <c r="D6" s="27"/>
      <c r="E6" s="27"/>
      <c r="F6" s="29"/>
      <c r="G6" s="30"/>
      <c r="H6" s="44"/>
      <c r="I6" s="27"/>
      <c r="J6" s="27"/>
      <c r="K6" s="27"/>
      <c r="L6" s="30"/>
      <c r="M6" s="44"/>
      <c r="N6" s="28"/>
      <c r="O6" s="30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s="3" customFormat="1" x14ac:dyDescent="0.25">
      <c r="B7" s="10"/>
      <c r="C7" s="28"/>
      <c r="D7" s="27"/>
      <c r="E7" s="27"/>
      <c r="F7" s="29"/>
      <c r="G7" s="30"/>
      <c r="H7" s="44"/>
      <c r="I7" s="27"/>
      <c r="J7" s="27"/>
      <c r="K7" s="27"/>
      <c r="L7" s="30"/>
      <c r="M7" s="44"/>
      <c r="N7" s="28"/>
      <c r="O7" s="30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25">
      <c r="A8" s="3">
        <v>1</v>
      </c>
      <c r="B8" s="10" t="s">
        <v>46</v>
      </c>
      <c r="C8" s="28"/>
      <c r="D8" s="27"/>
      <c r="E8" s="27"/>
      <c r="F8" s="29"/>
      <c r="G8" s="30"/>
      <c r="H8" s="44"/>
      <c r="I8" s="27"/>
      <c r="J8" s="27"/>
      <c r="K8" s="27"/>
      <c r="L8" s="30"/>
      <c r="M8" s="44"/>
      <c r="N8" s="28"/>
      <c r="O8" s="30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:51" ht="19.5" thickBot="1" x14ac:dyDescent="0.3">
      <c r="A9" s="3">
        <f t="shared" ref="A9:A57" si="0">A8+1</f>
        <v>2</v>
      </c>
      <c r="B9" s="54" t="s">
        <v>49</v>
      </c>
      <c r="C9" s="55"/>
      <c r="D9" s="56"/>
      <c r="E9" s="56"/>
      <c r="F9" s="57"/>
      <c r="G9" s="58"/>
      <c r="H9" s="64"/>
      <c r="I9" s="65"/>
      <c r="J9" s="65"/>
      <c r="K9" s="65"/>
      <c r="L9" s="66"/>
      <c r="M9" s="64"/>
      <c r="N9" s="67"/>
      <c r="O9" s="66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:51" x14ac:dyDescent="0.25">
      <c r="A10" s="3">
        <f t="shared" si="0"/>
        <v>3</v>
      </c>
      <c r="B10" s="10" t="s">
        <v>47</v>
      </c>
      <c r="C10" s="28"/>
      <c r="D10" s="27"/>
      <c r="E10" s="27"/>
      <c r="F10" s="29"/>
      <c r="G10" s="30"/>
      <c r="H10" s="44"/>
      <c r="I10" s="27"/>
      <c r="J10" s="27"/>
      <c r="K10" s="27"/>
      <c r="L10" s="30"/>
      <c r="M10" s="44"/>
      <c r="N10" s="28"/>
      <c r="O10" s="3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</row>
    <row r="11" spans="1:51" x14ac:dyDescent="0.25">
      <c r="A11" s="3">
        <f t="shared" si="0"/>
        <v>4</v>
      </c>
      <c r="B11" s="13" t="s">
        <v>50</v>
      </c>
      <c r="C11" s="28"/>
      <c r="D11" s="27"/>
      <c r="E11" s="27"/>
      <c r="F11" s="29"/>
      <c r="G11" s="30"/>
      <c r="H11" s="44"/>
      <c r="I11" s="27"/>
      <c r="J11" s="27"/>
      <c r="K11" s="27"/>
      <c r="L11" s="30"/>
      <c r="M11" s="44"/>
      <c r="N11" s="28"/>
      <c r="O11" s="3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</row>
    <row r="12" spans="1:51" x14ac:dyDescent="0.25">
      <c r="A12" s="3">
        <f t="shared" si="0"/>
        <v>5</v>
      </c>
      <c r="B12" s="13" t="s">
        <v>48</v>
      </c>
      <c r="C12" s="28"/>
      <c r="D12" s="27"/>
      <c r="E12" s="27"/>
      <c r="F12" s="29"/>
      <c r="G12" s="30"/>
      <c r="H12" s="44"/>
      <c r="I12" s="27"/>
      <c r="J12" s="27"/>
      <c r="K12" s="27"/>
      <c r="L12" s="30"/>
      <c r="M12" s="44"/>
      <c r="N12" s="28"/>
      <c r="O12" s="30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 spans="1:51" s="1" customFormat="1" ht="19.5" thickBot="1" x14ac:dyDescent="0.3">
      <c r="A13" s="3">
        <v>7</v>
      </c>
      <c r="B13" s="54" t="s">
        <v>44</v>
      </c>
      <c r="C13" s="55"/>
      <c r="D13" s="56"/>
      <c r="E13" s="56"/>
      <c r="F13" s="57"/>
      <c r="G13" s="58"/>
      <c r="H13" s="68"/>
      <c r="I13" s="65"/>
      <c r="J13" s="65"/>
      <c r="K13" s="65"/>
      <c r="L13" s="66"/>
      <c r="M13" s="68"/>
      <c r="N13" s="67"/>
      <c r="O13" s="66"/>
      <c r="P13" s="2"/>
      <c r="U13" s="2"/>
      <c r="X13" s="2"/>
      <c r="Y13" s="2"/>
      <c r="Z13" s="2"/>
      <c r="AA13" s="2"/>
      <c r="AB13" s="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</row>
    <row r="14" spans="1:51" x14ac:dyDescent="0.25">
      <c r="A14" s="3">
        <v>11</v>
      </c>
      <c r="B14" s="10" t="s">
        <v>15</v>
      </c>
      <c r="C14" s="28"/>
      <c r="D14" s="27"/>
      <c r="E14" s="27"/>
      <c r="F14" s="29"/>
      <c r="G14" s="30"/>
      <c r="H14" s="44"/>
      <c r="I14" s="27"/>
      <c r="J14" s="27"/>
      <c r="K14" s="27"/>
      <c r="L14" s="30"/>
      <c r="M14" s="44"/>
      <c r="N14" s="28"/>
      <c r="O14" s="3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</row>
    <row r="15" spans="1:51" x14ac:dyDescent="0.25">
      <c r="A15" s="3">
        <f t="shared" si="0"/>
        <v>12</v>
      </c>
      <c r="B15" s="13" t="s">
        <v>16</v>
      </c>
      <c r="C15" s="28"/>
      <c r="D15" s="27"/>
      <c r="E15" s="27"/>
      <c r="F15" s="29"/>
      <c r="G15" s="30"/>
      <c r="H15" s="44"/>
      <c r="I15" s="27"/>
      <c r="J15" s="27"/>
      <c r="K15" s="27"/>
      <c r="L15" s="30"/>
      <c r="M15" s="44"/>
      <c r="N15" s="28"/>
      <c r="O15" s="30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 spans="1:51" x14ac:dyDescent="0.25">
      <c r="A16" s="3">
        <f t="shared" si="0"/>
        <v>13</v>
      </c>
      <c r="B16" s="13" t="s">
        <v>17</v>
      </c>
      <c r="C16" s="28"/>
      <c r="D16" s="27"/>
      <c r="E16" s="27"/>
      <c r="F16" s="29"/>
      <c r="G16" s="30"/>
      <c r="H16" s="44"/>
      <c r="I16" s="27"/>
      <c r="J16" s="27"/>
      <c r="K16" s="27"/>
      <c r="L16" s="30"/>
      <c r="M16" s="44"/>
      <c r="N16" s="28"/>
      <c r="O16" s="3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</row>
    <row r="17" spans="1:51" x14ac:dyDescent="0.25">
      <c r="A17" s="3">
        <f t="shared" si="0"/>
        <v>14</v>
      </c>
      <c r="B17" s="13" t="s">
        <v>18</v>
      </c>
      <c r="C17" s="28"/>
      <c r="D17" s="27"/>
      <c r="E17" s="27"/>
      <c r="F17" s="29"/>
      <c r="G17" s="30"/>
      <c r="H17" s="44"/>
      <c r="I17" s="27"/>
      <c r="J17" s="27"/>
      <c r="K17" s="27"/>
      <c r="L17" s="30"/>
      <c r="M17" s="44"/>
      <c r="N17" s="28"/>
      <c r="O17" s="3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</row>
    <row r="18" spans="1:51" x14ac:dyDescent="0.25">
      <c r="A18" s="3">
        <f t="shared" si="0"/>
        <v>15</v>
      </c>
      <c r="B18" s="13" t="s">
        <v>19</v>
      </c>
      <c r="C18" s="28"/>
      <c r="D18" s="27"/>
      <c r="E18" s="27"/>
      <c r="F18" s="29"/>
      <c r="G18" s="30"/>
      <c r="H18" s="44"/>
      <c r="I18" s="27"/>
      <c r="J18" s="27"/>
      <c r="K18" s="27"/>
      <c r="L18" s="30"/>
      <c r="M18" s="44"/>
      <c r="N18" s="28"/>
      <c r="O18" s="30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</row>
    <row r="19" spans="1:51" ht="18.75" hidden="1" customHeight="1" x14ac:dyDescent="0.25">
      <c r="A19" s="3">
        <f t="shared" si="0"/>
        <v>16</v>
      </c>
      <c r="B19" s="13" t="s">
        <v>23</v>
      </c>
      <c r="C19" s="28"/>
      <c r="D19" s="27"/>
      <c r="E19" s="27"/>
      <c r="F19" s="29"/>
      <c r="G19" s="30"/>
      <c r="H19" s="44"/>
      <c r="I19" s="27"/>
      <c r="J19" s="27"/>
      <c r="K19" s="27"/>
      <c r="L19" s="30"/>
      <c r="M19" s="44"/>
      <c r="N19" s="28"/>
      <c r="O19" s="3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</row>
    <row r="20" spans="1:51" x14ac:dyDescent="0.25">
      <c r="A20" s="3">
        <v>16</v>
      </c>
      <c r="B20" s="13" t="s">
        <v>67</v>
      </c>
      <c r="C20" s="28"/>
      <c r="D20" s="27"/>
      <c r="E20" s="27"/>
      <c r="F20" s="29"/>
      <c r="G20" s="30"/>
      <c r="H20" s="44"/>
      <c r="I20" s="27"/>
      <c r="J20" s="27"/>
      <c r="K20" s="27"/>
      <c r="L20" s="30"/>
      <c r="M20" s="44"/>
      <c r="N20" s="28"/>
      <c r="O20" s="3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</row>
    <row r="21" spans="1:51" x14ac:dyDescent="0.25">
      <c r="A21" s="3">
        <f t="shared" si="0"/>
        <v>17</v>
      </c>
      <c r="B21" s="13" t="s">
        <v>20</v>
      </c>
      <c r="C21" s="28"/>
      <c r="D21" s="27"/>
      <c r="E21" s="27"/>
      <c r="F21" s="29"/>
      <c r="G21" s="30"/>
      <c r="H21" s="44"/>
      <c r="I21" s="27"/>
      <c r="J21" s="27"/>
      <c r="K21" s="27"/>
      <c r="L21" s="30"/>
      <c r="M21" s="44"/>
      <c r="N21" s="28"/>
      <c r="O21" s="30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</row>
    <row r="22" spans="1:51" x14ac:dyDescent="0.25">
      <c r="A22" s="3">
        <f t="shared" si="0"/>
        <v>18</v>
      </c>
      <c r="B22" s="13" t="s">
        <v>21</v>
      </c>
      <c r="C22" s="28"/>
      <c r="D22" s="27"/>
      <c r="E22" s="27"/>
      <c r="F22" s="29"/>
      <c r="G22" s="30"/>
      <c r="H22" s="44"/>
      <c r="I22" s="27"/>
      <c r="J22" s="27"/>
      <c r="K22" s="27"/>
      <c r="L22" s="30"/>
      <c r="M22" s="44"/>
      <c r="N22" s="28"/>
      <c r="O22" s="3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</row>
    <row r="23" spans="1:51" s="1" customFormat="1" x14ac:dyDescent="0.25">
      <c r="A23" s="3">
        <f t="shared" si="0"/>
        <v>19</v>
      </c>
      <c r="B23" s="13" t="s">
        <v>68</v>
      </c>
      <c r="C23" s="28"/>
      <c r="D23" s="27"/>
      <c r="E23" s="27"/>
      <c r="F23" s="29"/>
      <c r="G23" s="30"/>
      <c r="H23" s="45"/>
      <c r="I23" s="27"/>
      <c r="J23" s="27"/>
      <c r="K23" s="27"/>
      <c r="L23" s="30"/>
      <c r="M23" s="45"/>
      <c r="N23" s="28"/>
      <c r="O23" s="30"/>
      <c r="P23" s="2"/>
      <c r="U23" s="2"/>
      <c r="X23" s="2"/>
      <c r="Y23" s="2"/>
      <c r="Z23" s="2"/>
      <c r="AA23" s="2"/>
      <c r="AB23" s="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</row>
    <row r="24" spans="1:51" s="1" customFormat="1" x14ac:dyDescent="0.25">
      <c r="A24" s="3">
        <f t="shared" si="0"/>
        <v>20</v>
      </c>
      <c r="B24" s="13" t="s">
        <v>69</v>
      </c>
      <c r="C24" s="28"/>
      <c r="D24" s="27"/>
      <c r="E24" s="27"/>
      <c r="F24" s="29"/>
      <c r="G24" s="30"/>
      <c r="H24" s="45"/>
      <c r="I24" s="27"/>
      <c r="J24" s="27"/>
      <c r="K24" s="27"/>
      <c r="L24" s="30"/>
      <c r="M24" s="45"/>
      <c r="N24" s="28"/>
      <c r="O24" s="30"/>
      <c r="P24" s="2"/>
      <c r="U24" s="2"/>
      <c r="X24" s="2"/>
      <c r="Y24" s="2"/>
      <c r="Z24" s="2"/>
      <c r="AA24" s="2"/>
      <c r="AB24" s="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 spans="1:51" x14ac:dyDescent="0.25">
      <c r="A25" s="3">
        <f t="shared" si="0"/>
        <v>21</v>
      </c>
      <c r="B25" s="13" t="s">
        <v>78</v>
      </c>
      <c r="C25" s="28"/>
      <c r="D25" s="27"/>
      <c r="E25" s="27"/>
      <c r="F25" s="29"/>
      <c r="G25" s="30"/>
      <c r="H25" s="44"/>
      <c r="I25" s="27"/>
      <c r="J25" s="27"/>
      <c r="K25" s="27"/>
      <c r="L25" s="30"/>
      <c r="M25" s="44"/>
      <c r="N25" s="28"/>
      <c r="O25" s="30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 spans="1:51" x14ac:dyDescent="0.25">
      <c r="A26" s="3">
        <f t="shared" si="0"/>
        <v>22</v>
      </c>
      <c r="B26" s="13" t="s">
        <v>70</v>
      </c>
      <c r="C26" s="28"/>
      <c r="D26" s="27"/>
      <c r="E26" s="27"/>
      <c r="F26" s="29"/>
      <c r="G26" s="30"/>
      <c r="H26" s="44"/>
      <c r="I26" s="27"/>
      <c r="J26" s="27"/>
      <c r="K26" s="27"/>
      <c r="L26" s="30"/>
      <c r="M26" s="44"/>
      <c r="N26" s="28"/>
      <c r="O26" s="30"/>
      <c r="AV26" s="14" t="e">
        <f>#REF!-AV25</f>
        <v>#REF!</v>
      </c>
    </row>
    <row r="27" spans="1:51" s="1" customFormat="1" x14ac:dyDescent="0.25">
      <c r="A27" s="3">
        <f t="shared" si="0"/>
        <v>23</v>
      </c>
      <c r="B27" s="13" t="s">
        <v>22</v>
      </c>
      <c r="C27" s="28"/>
      <c r="D27" s="27"/>
      <c r="E27" s="27"/>
      <c r="F27" s="29"/>
      <c r="G27" s="30"/>
      <c r="H27" s="45"/>
      <c r="I27" s="27"/>
      <c r="J27" s="27"/>
      <c r="K27" s="27"/>
      <c r="L27" s="30"/>
      <c r="M27" s="45"/>
      <c r="N27" s="28"/>
      <c r="O27" s="30"/>
      <c r="P27" s="2"/>
      <c r="U27" s="2"/>
      <c r="X27" s="2"/>
      <c r="Y27" s="2"/>
      <c r="Z27" s="2"/>
      <c r="AA27" s="2"/>
      <c r="AB27" s="2"/>
    </row>
    <row r="28" spans="1:51" s="1" customFormat="1" x14ac:dyDescent="0.25">
      <c r="A28" s="3">
        <f t="shared" si="0"/>
        <v>24</v>
      </c>
      <c r="B28" s="13" t="s">
        <v>24</v>
      </c>
      <c r="C28" s="28"/>
      <c r="D28" s="27"/>
      <c r="E28" s="27"/>
      <c r="F28" s="29"/>
      <c r="G28" s="30"/>
      <c r="H28" s="45"/>
      <c r="I28" s="27"/>
      <c r="J28" s="27"/>
      <c r="K28" s="27"/>
      <c r="L28" s="30"/>
      <c r="M28" s="45"/>
      <c r="N28" s="28"/>
      <c r="O28" s="30"/>
      <c r="P28" s="2"/>
      <c r="U28" s="2"/>
      <c r="X28" s="2"/>
      <c r="Y28" s="2"/>
      <c r="Z28" s="2"/>
      <c r="AA28" s="2"/>
      <c r="AB28" s="2"/>
    </row>
    <row r="29" spans="1:51" x14ac:dyDescent="0.25">
      <c r="A29" s="3">
        <f t="shared" si="0"/>
        <v>25</v>
      </c>
      <c r="B29" s="13" t="s">
        <v>25</v>
      </c>
      <c r="C29" s="28"/>
      <c r="D29" s="27"/>
      <c r="E29" s="27"/>
      <c r="F29" s="29"/>
      <c r="G29" s="30"/>
      <c r="H29" s="44"/>
      <c r="I29" s="27"/>
      <c r="J29" s="27"/>
      <c r="K29" s="27"/>
      <c r="L29" s="30"/>
      <c r="M29" s="44"/>
      <c r="N29" s="28"/>
      <c r="O29" s="30"/>
    </row>
    <row r="30" spans="1:51" x14ac:dyDescent="0.25">
      <c r="A30" s="3">
        <f t="shared" si="0"/>
        <v>26</v>
      </c>
      <c r="B30" s="13" t="s">
        <v>27</v>
      </c>
      <c r="C30" s="28"/>
      <c r="D30" s="27"/>
      <c r="E30" s="27"/>
      <c r="F30" s="29"/>
      <c r="G30" s="30"/>
      <c r="H30" s="44"/>
      <c r="I30" s="27"/>
      <c r="J30" s="27"/>
      <c r="K30" s="27"/>
      <c r="L30" s="30"/>
      <c r="M30" s="44"/>
      <c r="N30" s="28"/>
      <c r="O30" s="30"/>
    </row>
    <row r="31" spans="1:51" x14ac:dyDescent="0.25">
      <c r="A31" s="3">
        <f t="shared" si="0"/>
        <v>27</v>
      </c>
      <c r="B31" s="13" t="s">
        <v>29</v>
      </c>
      <c r="C31" s="28"/>
      <c r="D31" s="27"/>
      <c r="E31" s="27"/>
      <c r="F31" s="29"/>
      <c r="G31" s="30"/>
      <c r="H31" s="44"/>
      <c r="I31" s="27"/>
      <c r="J31" s="27"/>
      <c r="K31" s="27"/>
      <c r="L31" s="30"/>
      <c r="M31" s="44"/>
      <c r="N31" s="28"/>
      <c r="O31" s="30"/>
    </row>
    <row r="32" spans="1:51" x14ac:dyDescent="0.25">
      <c r="A32" s="3">
        <f t="shared" si="0"/>
        <v>28</v>
      </c>
      <c r="B32" s="13" t="s">
        <v>26</v>
      </c>
      <c r="C32" s="28"/>
      <c r="D32" s="27"/>
      <c r="E32" s="27"/>
      <c r="F32" s="29"/>
      <c r="G32" s="30"/>
      <c r="H32" s="44"/>
      <c r="I32" s="27"/>
      <c r="J32" s="27"/>
      <c r="K32" s="27"/>
      <c r="L32" s="30"/>
      <c r="M32" s="44"/>
      <c r="N32" s="28"/>
      <c r="O32" s="30"/>
    </row>
    <row r="33" spans="1:17" x14ac:dyDescent="0.25">
      <c r="A33" s="3">
        <f t="shared" si="0"/>
        <v>29</v>
      </c>
      <c r="B33" s="13" t="s">
        <v>28</v>
      </c>
      <c r="C33" s="28"/>
      <c r="D33" s="27"/>
      <c r="E33" s="27"/>
      <c r="F33" s="29"/>
      <c r="G33" s="30"/>
      <c r="H33" s="44"/>
      <c r="I33" s="27"/>
      <c r="J33" s="27"/>
      <c r="K33" s="27"/>
      <c r="L33" s="30"/>
      <c r="M33" s="44"/>
      <c r="N33" s="28"/>
      <c r="O33" s="30"/>
    </row>
    <row r="34" spans="1:17" x14ac:dyDescent="0.25">
      <c r="A34" s="3">
        <f t="shared" si="0"/>
        <v>30</v>
      </c>
      <c r="B34" s="13" t="s">
        <v>30</v>
      </c>
      <c r="C34" s="28"/>
      <c r="D34" s="27"/>
      <c r="E34" s="27"/>
      <c r="F34" s="29"/>
      <c r="G34" s="30"/>
      <c r="H34" s="44"/>
      <c r="I34" s="27"/>
      <c r="J34" s="27"/>
      <c r="K34" s="27"/>
      <c r="L34" s="30"/>
      <c r="M34" s="44"/>
      <c r="N34" s="28"/>
      <c r="O34" s="30"/>
    </row>
    <row r="35" spans="1:17" ht="18.75" hidden="1" customHeight="1" x14ac:dyDescent="0.25">
      <c r="A35" s="3">
        <f t="shared" si="0"/>
        <v>31</v>
      </c>
      <c r="B35" s="13" t="s">
        <v>31</v>
      </c>
      <c r="C35" s="28"/>
      <c r="D35" s="27"/>
      <c r="E35" s="27"/>
      <c r="F35" s="29"/>
      <c r="G35" s="30"/>
      <c r="H35" s="44"/>
      <c r="I35" s="27"/>
      <c r="J35" s="27"/>
      <c r="K35" s="27"/>
      <c r="L35" s="30"/>
      <c r="M35" s="44"/>
      <c r="N35" s="28"/>
      <c r="O35" s="30"/>
    </row>
    <row r="36" spans="1:17" ht="18.75" customHeight="1" x14ac:dyDescent="0.25">
      <c r="A36" s="3">
        <v>31</v>
      </c>
      <c r="B36" s="13" t="s">
        <v>39</v>
      </c>
      <c r="C36" s="28"/>
      <c r="D36" s="27"/>
      <c r="E36" s="27"/>
      <c r="F36" s="29"/>
      <c r="G36" s="30"/>
      <c r="H36" s="44"/>
      <c r="I36" s="27"/>
      <c r="J36" s="27"/>
      <c r="K36" s="27"/>
      <c r="L36" s="30"/>
      <c r="M36" s="44"/>
      <c r="N36" s="28"/>
      <c r="O36" s="30"/>
    </row>
    <row r="37" spans="1:17" ht="19.5" thickBot="1" x14ac:dyDescent="0.3">
      <c r="A37" s="3">
        <f t="shared" si="0"/>
        <v>32</v>
      </c>
      <c r="B37" s="13" t="s">
        <v>32</v>
      </c>
      <c r="C37" s="55"/>
      <c r="D37" s="56"/>
      <c r="E37" s="56"/>
      <c r="F37" s="57"/>
      <c r="G37" s="58"/>
      <c r="H37" s="64"/>
      <c r="I37" s="65"/>
      <c r="J37" s="65"/>
      <c r="K37" s="65"/>
      <c r="L37" s="66"/>
      <c r="M37" s="64"/>
      <c r="N37" s="67"/>
      <c r="O37" s="66"/>
    </row>
    <row r="38" spans="1:17" ht="19.5" thickBot="1" x14ac:dyDescent="0.3">
      <c r="A38" s="3">
        <f t="shared" si="0"/>
        <v>33</v>
      </c>
      <c r="B38" s="54" t="s">
        <v>33</v>
      </c>
      <c r="C38" s="28"/>
      <c r="D38" s="27"/>
      <c r="E38" s="27"/>
      <c r="F38" s="29"/>
      <c r="G38" s="30"/>
      <c r="H38" s="44"/>
      <c r="I38" s="27"/>
      <c r="J38" s="27"/>
      <c r="K38" s="27"/>
      <c r="L38" s="30"/>
      <c r="M38" s="44"/>
      <c r="N38" s="28"/>
      <c r="O38" s="30"/>
    </row>
    <row r="39" spans="1:17" ht="19.5" thickBot="1" x14ac:dyDescent="0.3">
      <c r="A39" s="3">
        <f>A38+1</f>
        <v>34</v>
      </c>
      <c r="B39" s="10" t="s">
        <v>34</v>
      </c>
      <c r="C39" s="55"/>
      <c r="D39" s="56"/>
      <c r="E39" s="56"/>
      <c r="F39" s="57"/>
      <c r="G39" s="58"/>
      <c r="H39" s="64"/>
      <c r="I39" s="65"/>
      <c r="J39" s="65"/>
      <c r="K39" s="65"/>
      <c r="L39" s="66"/>
      <c r="M39" s="64"/>
      <c r="N39" s="67"/>
      <c r="O39" s="66"/>
    </row>
    <row r="40" spans="1:17" ht="19.5" thickBot="1" x14ac:dyDescent="0.3">
      <c r="A40" s="3">
        <f t="shared" si="0"/>
        <v>35</v>
      </c>
      <c r="B40" s="54" t="s">
        <v>35</v>
      </c>
      <c r="C40" s="60"/>
      <c r="D40" s="61"/>
      <c r="E40" s="61"/>
      <c r="F40" s="62"/>
      <c r="G40" s="63"/>
      <c r="H40" s="69"/>
      <c r="I40" s="61"/>
      <c r="J40" s="61"/>
      <c r="K40" s="61"/>
      <c r="L40" s="63"/>
      <c r="M40" s="69"/>
      <c r="N40" s="60"/>
      <c r="O40" s="63"/>
    </row>
    <row r="41" spans="1:17" ht="18.75" hidden="1" customHeight="1" x14ac:dyDescent="0.3">
      <c r="A41" s="3">
        <f t="shared" si="0"/>
        <v>36</v>
      </c>
      <c r="B41" s="59" t="s">
        <v>36</v>
      </c>
      <c r="C41" s="28"/>
      <c r="D41" s="27"/>
      <c r="E41" s="27"/>
      <c r="F41" s="29"/>
      <c r="G41" s="30"/>
      <c r="H41" s="44"/>
      <c r="I41" s="27"/>
      <c r="J41" s="27"/>
      <c r="K41" s="27"/>
      <c r="L41" s="30"/>
      <c r="M41" s="44"/>
      <c r="N41" s="28"/>
      <c r="O41" s="30"/>
    </row>
    <row r="42" spans="1:17" ht="19.5" thickBot="1" x14ac:dyDescent="0.3">
      <c r="A42" s="3">
        <v>36</v>
      </c>
      <c r="B42" s="10" t="s">
        <v>43</v>
      </c>
      <c r="C42" s="55"/>
      <c r="D42" s="56"/>
      <c r="E42" s="56"/>
      <c r="F42" s="57"/>
      <c r="G42" s="58"/>
      <c r="H42" s="64"/>
      <c r="I42" s="65"/>
      <c r="J42" s="65"/>
      <c r="K42" s="65"/>
      <c r="L42" s="66"/>
      <c r="M42" s="64"/>
      <c r="N42" s="67"/>
      <c r="O42" s="66"/>
      <c r="Q42" s="50"/>
    </row>
    <row r="43" spans="1:17" ht="18.75" hidden="1" customHeight="1" x14ac:dyDescent="0.3">
      <c r="A43" s="3">
        <f t="shared" si="0"/>
        <v>37</v>
      </c>
      <c r="B43" s="54" t="s">
        <v>37</v>
      </c>
      <c r="C43" s="28"/>
      <c r="D43" s="27"/>
      <c r="E43" s="27"/>
      <c r="F43" s="29"/>
      <c r="G43" s="30"/>
      <c r="H43" s="44"/>
      <c r="I43" s="27"/>
      <c r="J43" s="27"/>
      <c r="K43" s="27"/>
      <c r="L43" s="30"/>
      <c r="M43" s="44"/>
      <c r="N43" s="28"/>
      <c r="O43" s="30"/>
    </row>
    <row r="44" spans="1:17" x14ac:dyDescent="0.25">
      <c r="A44" s="3">
        <v>37</v>
      </c>
      <c r="B44" s="10" t="s">
        <v>45</v>
      </c>
      <c r="C44" s="28"/>
      <c r="D44" s="27"/>
      <c r="E44" s="27"/>
      <c r="F44" s="29"/>
      <c r="G44" s="30"/>
      <c r="H44" s="44"/>
      <c r="I44" s="27"/>
      <c r="J44" s="27"/>
      <c r="K44" s="27"/>
      <c r="L44" s="30"/>
      <c r="M44" s="44"/>
      <c r="N44" s="28"/>
      <c r="O44" s="30"/>
    </row>
    <row r="45" spans="1:17" x14ac:dyDescent="0.25">
      <c r="A45" s="3">
        <f t="shared" si="0"/>
        <v>38</v>
      </c>
      <c r="B45" s="13" t="s">
        <v>38</v>
      </c>
      <c r="C45" s="28"/>
      <c r="D45" s="27"/>
      <c r="E45" s="27"/>
      <c r="F45" s="29"/>
      <c r="G45" s="30"/>
      <c r="H45" s="44"/>
      <c r="I45" s="27"/>
      <c r="J45" s="27"/>
      <c r="K45" s="27"/>
      <c r="L45" s="30"/>
      <c r="M45" s="44"/>
      <c r="N45" s="28"/>
      <c r="O45" s="30"/>
    </row>
    <row r="46" spans="1:17" x14ac:dyDescent="0.25">
      <c r="A46" s="3">
        <f t="shared" si="0"/>
        <v>39</v>
      </c>
      <c r="B46" s="13" t="s">
        <v>71</v>
      </c>
      <c r="C46" s="28"/>
      <c r="D46" s="27"/>
      <c r="E46" s="27"/>
      <c r="F46" s="29"/>
      <c r="G46" s="30"/>
      <c r="H46" s="44"/>
      <c r="I46" s="27"/>
      <c r="J46" s="27"/>
      <c r="K46" s="27"/>
      <c r="L46" s="30"/>
      <c r="M46" s="44"/>
      <c r="N46" s="28"/>
      <c r="O46" s="30"/>
    </row>
    <row r="47" spans="1:17" x14ac:dyDescent="0.25">
      <c r="A47" s="3">
        <f t="shared" si="0"/>
        <v>40</v>
      </c>
      <c r="B47" s="13" t="s">
        <v>76</v>
      </c>
      <c r="C47" s="28"/>
      <c r="D47" s="27"/>
      <c r="E47" s="27"/>
      <c r="F47" s="29"/>
      <c r="G47" s="30"/>
      <c r="H47" s="44"/>
      <c r="I47" s="27"/>
      <c r="J47" s="27"/>
      <c r="K47" s="27"/>
      <c r="L47" s="30"/>
      <c r="M47" s="44"/>
      <c r="N47" s="28"/>
      <c r="O47" s="30"/>
    </row>
    <row r="48" spans="1:17" x14ac:dyDescent="0.25">
      <c r="A48" s="3">
        <f t="shared" si="0"/>
        <v>41</v>
      </c>
      <c r="B48" s="13" t="s">
        <v>77</v>
      </c>
      <c r="C48" s="28"/>
      <c r="D48" s="27"/>
      <c r="E48" s="27"/>
      <c r="F48" s="29"/>
      <c r="G48" s="30"/>
      <c r="H48" s="44"/>
      <c r="I48" s="27"/>
      <c r="J48" s="27"/>
      <c r="K48" s="27"/>
      <c r="L48" s="30"/>
      <c r="M48" s="44"/>
      <c r="N48" s="28"/>
      <c r="O48" s="30"/>
    </row>
    <row r="49" spans="1:15" x14ac:dyDescent="0.25">
      <c r="A49" s="3">
        <f t="shared" si="0"/>
        <v>42</v>
      </c>
      <c r="B49" s="13" t="s">
        <v>39</v>
      </c>
      <c r="C49" s="28"/>
      <c r="D49" s="27"/>
      <c r="E49" s="27"/>
      <c r="F49" s="29"/>
      <c r="G49" s="30"/>
      <c r="H49" s="44"/>
      <c r="I49" s="27"/>
      <c r="J49" s="27"/>
      <c r="K49" s="27"/>
      <c r="L49" s="30"/>
      <c r="M49" s="44"/>
      <c r="N49" s="28"/>
      <c r="O49" s="30"/>
    </row>
    <row r="50" spans="1:15" x14ac:dyDescent="0.25">
      <c r="A50" s="3">
        <f t="shared" si="0"/>
        <v>43</v>
      </c>
      <c r="B50" s="13" t="s">
        <v>72</v>
      </c>
      <c r="C50" s="28"/>
      <c r="D50" s="27"/>
      <c r="E50" s="27"/>
      <c r="F50" s="29"/>
      <c r="G50" s="30"/>
      <c r="H50" s="44"/>
      <c r="I50" s="27"/>
      <c r="J50" s="27"/>
      <c r="K50" s="27"/>
      <c r="L50" s="30"/>
      <c r="M50" s="44"/>
      <c r="N50" s="28"/>
      <c r="O50" s="30"/>
    </row>
    <row r="51" spans="1:15" x14ac:dyDescent="0.25">
      <c r="A51" s="3">
        <f t="shared" si="0"/>
        <v>44</v>
      </c>
      <c r="B51" s="13" t="s">
        <v>40</v>
      </c>
      <c r="C51" s="28"/>
      <c r="D51" s="27"/>
      <c r="E51" s="27"/>
      <c r="F51" s="29"/>
      <c r="G51" s="30"/>
      <c r="H51" s="44"/>
      <c r="I51" s="27"/>
      <c r="J51" s="27"/>
      <c r="K51" s="27"/>
      <c r="L51" s="30"/>
      <c r="M51" s="44"/>
      <c r="N51" s="28"/>
      <c r="O51" s="30"/>
    </row>
    <row r="52" spans="1:15" x14ac:dyDescent="0.25">
      <c r="A52" s="3">
        <f t="shared" si="0"/>
        <v>45</v>
      </c>
      <c r="B52" s="13" t="s">
        <v>73</v>
      </c>
      <c r="C52" s="28"/>
      <c r="D52" s="27"/>
      <c r="E52" s="27"/>
      <c r="F52" s="29"/>
      <c r="G52" s="30"/>
      <c r="H52" s="44"/>
      <c r="I52" s="27"/>
      <c r="J52" s="27"/>
      <c r="K52" s="27"/>
      <c r="L52" s="30"/>
      <c r="M52" s="44"/>
      <c r="N52" s="28"/>
      <c r="O52" s="30"/>
    </row>
    <row r="53" spans="1:15" x14ac:dyDescent="0.25">
      <c r="A53" s="3">
        <f t="shared" si="0"/>
        <v>46</v>
      </c>
      <c r="B53" s="13" t="s">
        <v>41</v>
      </c>
      <c r="C53" s="28"/>
      <c r="D53" s="27"/>
      <c r="E53" s="27"/>
      <c r="F53" s="29"/>
      <c r="G53" s="30"/>
      <c r="H53" s="44"/>
      <c r="I53" s="27"/>
      <c r="J53" s="27"/>
      <c r="K53" s="27"/>
      <c r="L53" s="30"/>
      <c r="M53" s="44"/>
      <c r="N53" s="28"/>
      <c r="O53" s="30"/>
    </row>
    <row r="54" spans="1:15" x14ac:dyDescent="0.25">
      <c r="A54" s="3">
        <f t="shared" si="0"/>
        <v>47</v>
      </c>
      <c r="B54" s="13" t="s">
        <v>42</v>
      </c>
      <c r="C54" s="28"/>
      <c r="D54" s="27"/>
      <c r="E54" s="27"/>
      <c r="F54" s="29"/>
      <c r="G54" s="30"/>
      <c r="H54" s="44"/>
      <c r="I54" s="27"/>
      <c r="J54" s="27"/>
      <c r="K54" s="27"/>
      <c r="L54" s="30"/>
      <c r="M54" s="44"/>
      <c r="N54" s="28"/>
      <c r="O54" s="30"/>
    </row>
    <row r="55" spans="1:15" x14ac:dyDescent="0.25">
      <c r="A55" s="3">
        <f t="shared" si="0"/>
        <v>48</v>
      </c>
      <c r="B55" s="13"/>
      <c r="C55" s="28"/>
      <c r="D55" s="27"/>
      <c r="E55" s="27"/>
      <c r="F55" s="29"/>
      <c r="G55" s="30"/>
      <c r="H55" s="44"/>
      <c r="I55" s="27"/>
      <c r="J55" s="27"/>
      <c r="K55" s="27"/>
      <c r="L55" s="30"/>
      <c r="M55" s="44"/>
      <c r="N55" s="28"/>
      <c r="O55" s="30"/>
    </row>
    <row r="56" spans="1:15" x14ac:dyDescent="0.25">
      <c r="A56" s="3">
        <f t="shared" si="0"/>
        <v>49</v>
      </c>
      <c r="B56" s="13"/>
      <c r="C56" s="28"/>
      <c r="D56" s="27"/>
      <c r="E56" s="27"/>
      <c r="F56" s="29"/>
      <c r="G56" s="30"/>
      <c r="H56" s="44"/>
      <c r="I56" s="27"/>
      <c r="J56" s="27"/>
      <c r="K56" s="27"/>
      <c r="L56" s="30"/>
      <c r="M56" s="44"/>
      <c r="N56" s="28"/>
      <c r="O56" s="30"/>
    </row>
    <row r="57" spans="1:15" x14ac:dyDescent="0.25">
      <c r="A57" s="3">
        <f t="shared" si="0"/>
        <v>50</v>
      </c>
      <c r="B57" s="13"/>
      <c r="C57" s="28"/>
      <c r="D57" s="27"/>
      <c r="E57" s="27"/>
      <c r="F57" s="29"/>
      <c r="G57" s="30"/>
      <c r="H57" s="44"/>
      <c r="I57" s="27"/>
      <c r="J57" s="27"/>
      <c r="K57" s="27"/>
      <c r="L57" s="30"/>
      <c r="M57" s="44"/>
      <c r="N57" s="28"/>
      <c r="O57" s="30"/>
    </row>
    <row r="58" spans="1:15" s="1" customFormat="1" ht="19.5" thickBot="1" x14ac:dyDescent="0.3">
      <c r="B58" s="15" t="s">
        <v>13</v>
      </c>
      <c r="C58" s="46"/>
      <c r="D58" s="47"/>
      <c r="E58" s="47"/>
      <c r="F58" s="31"/>
      <c r="G58" s="48"/>
      <c r="H58" s="49"/>
      <c r="I58" s="47"/>
      <c r="J58" s="47"/>
      <c r="K58" s="47"/>
      <c r="L58" s="48"/>
      <c r="M58" s="49"/>
      <c r="N58" s="46"/>
      <c r="O58" s="48"/>
    </row>
    <row r="59" spans="1:15" ht="19.5" thickBot="1" x14ac:dyDescent="0.3"/>
    <row r="60" spans="1:15" ht="18.75" customHeight="1" x14ac:dyDescent="0.25">
      <c r="F60" s="289" t="s">
        <v>65</v>
      </c>
      <c r="G60" s="24" t="s">
        <v>66</v>
      </c>
      <c r="I60" s="33"/>
      <c r="J60" s="34"/>
      <c r="K60" s="34"/>
      <c r="L60" s="35"/>
    </row>
    <row r="61" spans="1:15" x14ac:dyDescent="0.25">
      <c r="F61" s="290"/>
      <c r="G61" s="25" t="s">
        <v>51</v>
      </c>
      <c r="I61" s="36"/>
      <c r="J61" s="37"/>
      <c r="K61" s="37"/>
      <c r="L61" s="38"/>
    </row>
    <row r="62" spans="1:15" x14ac:dyDescent="0.25">
      <c r="F62" s="291"/>
      <c r="G62" s="25" t="s">
        <v>52</v>
      </c>
      <c r="I62" s="39"/>
      <c r="J62" s="40"/>
      <c r="K62" s="40"/>
      <c r="L62" s="41"/>
    </row>
    <row r="63" spans="1:15" x14ac:dyDescent="0.25">
      <c r="F63" s="292" t="s">
        <v>64</v>
      </c>
      <c r="G63" s="25" t="s">
        <v>66</v>
      </c>
      <c r="I63" s="39"/>
      <c r="J63" s="40"/>
      <c r="K63" s="40"/>
      <c r="L63" s="41"/>
    </row>
    <row r="64" spans="1:15" x14ac:dyDescent="0.25">
      <c r="F64" s="292"/>
      <c r="G64" s="25" t="s">
        <v>51</v>
      </c>
      <c r="I64" s="36"/>
      <c r="J64" s="37"/>
      <c r="K64" s="37"/>
      <c r="L64" s="38"/>
    </row>
    <row r="65" spans="2:15" ht="19.5" thickBot="1" x14ac:dyDescent="0.3">
      <c r="F65" s="293"/>
      <c r="G65" s="26" t="s">
        <v>52</v>
      </c>
      <c r="I65" s="42"/>
      <c r="J65" s="43"/>
      <c r="K65" s="43"/>
      <c r="L65" s="32"/>
    </row>
    <row r="66" spans="2:15" ht="19.5" thickBot="1" x14ac:dyDescent="0.3"/>
    <row r="67" spans="2:15" ht="57" thickBot="1" x14ac:dyDescent="0.3">
      <c r="B67" s="17" t="s">
        <v>53</v>
      </c>
      <c r="C67" s="18" t="s">
        <v>3</v>
      </c>
      <c r="D67" s="19" t="s">
        <v>54</v>
      </c>
      <c r="I67" s="20" t="s">
        <v>10</v>
      </c>
      <c r="J67" s="21" t="s">
        <v>11</v>
      </c>
      <c r="K67" s="21" t="s">
        <v>12</v>
      </c>
      <c r="L67" s="19" t="s">
        <v>55</v>
      </c>
      <c r="O67" s="18" t="s">
        <v>56</v>
      </c>
    </row>
    <row r="68" spans="2:15" x14ac:dyDescent="0.25">
      <c r="B68" s="22" t="s">
        <v>31</v>
      </c>
      <c r="C68" s="11"/>
      <c r="D68" s="23"/>
      <c r="I68" s="11"/>
      <c r="J68" s="11"/>
      <c r="K68" s="11"/>
      <c r="L68" s="11"/>
      <c r="O68" s="23"/>
    </row>
    <row r="69" spans="2:15" x14ac:dyDescent="0.25">
      <c r="B69" s="16" t="s">
        <v>57</v>
      </c>
      <c r="C69" s="11"/>
      <c r="D69" s="23"/>
      <c r="I69" s="23"/>
      <c r="J69" s="23"/>
      <c r="K69" s="23"/>
      <c r="L69" s="23"/>
      <c r="O69" s="23"/>
    </row>
    <row r="70" spans="2:15" x14ac:dyDescent="0.25">
      <c r="B70" s="16" t="s">
        <v>58</v>
      </c>
      <c r="C70" s="11"/>
      <c r="D70" s="23"/>
      <c r="I70" s="23"/>
      <c r="J70" s="23"/>
      <c r="K70" s="23"/>
      <c r="L70" s="23"/>
      <c r="O70" s="23"/>
    </row>
    <row r="71" spans="2:15" ht="11.25" customHeight="1" x14ac:dyDescent="0.25"/>
    <row r="72" spans="2:15" x14ac:dyDescent="0.25">
      <c r="B72" s="16" t="s">
        <v>59</v>
      </c>
      <c r="C72" s="23"/>
      <c r="D72" s="23"/>
      <c r="I72" s="23"/>
      <c r="J72" s="23"/>
      <c r="K72" s="23"/>
      <c r="L72" s="23"/>
      <c r="O72" s="23"/>
    </row>
    <row r="73" spans="2:15" x14ac:dyDescent="0.25">
      <c r="B73" s="16" t="s">
        <v>57</v>
      </c>
      <c r="C73" s="23"/>
      <c r="D73" s="23"/>
      <c r="I73" s="23"/>
      <c r="J73" s="23"/>
      <c r="K73" s="23"/>
      <c r="L73" s="23"/>
      <c r="O73" s="23"/>
    </row>
    <row r="74" spans="2:15" x14ac:dyDescent="0.25">
      <c r="B74" s="16" t="s">
        <v>58</v>
      </c>
      <c r="C74" s="23"/>
      <c r="D74" s="23"/>
      <c r="I74" s="23"/>
      <c r="J74" s="23"/>
      <c r="K74" s="23"/>
      <c r="L74" s="23"/>
      <c r="O74" s="23"/>
    </row>
    <row r="75" spans="2:15" ht="11.25" customHeight="1" x14ac:dyDescent="0.25"/>
    <row r="76" spans="2:15" x14ac:dyDescent="0.25">
      <c r="B76" s="16" t="s">
        <v>60</v>
      </c>
      <c r="C76" s="23"/>
      <c r="D76" s="23"/>
      <c r="I76" s="23"/>
      <c r="J76" s="23"/>
      <c r="K76" s="23"/>
      <c r="L76" s="23"/>
      <c r="O76" s="23"/>
    </row>
    <row r="77" spans="2:15" x14ac:dyDescent="0.25">
      <c r="B77" s="16" t="s">
        <v>57</v>
      </c>
      <c r="C77" s="23"/>
      <c r="D77" s="23"/>
      <c r="I77" s="23"/>
      <c r="J77" s="23"/>
      <c r="K77" s="23"/>
      <c r="L77" s="23"/>
      <c r="O77" s="23"/>
    </row>
    <row r="78" spans="2:15" x14ac:dyDescent="0.25">
      <c r="B78" s="16" t="s">
        <v>58</v>
      </c>
      <c r="C78" s="23"/>
      <c r="D78" s="23"/>
      <c r="I78" s="23"/>
      <c r="J78" s="23"/>
      <c r="K78" s="23"/>
      <c r="L78" s="23"/>
      <c r="O78" s="23"/>
    </row>
    <row r="79" spans="2:15" ht="11.25" customHeight="1" x14ac:dyDescent="0.25"/>
    <row r="80" spans="2:15" x14ac:dyDescent="0.25">
      <c r="B80" s="16" t="s">
        <v>61</v>
      </c>
      <c r="C80" s="23"/>
      <c r="D80" s="23"/>
      <c r="I80" s="23"/>
      <c r="J80" s="23"/>
      <c r="K80" s="23"/>
      <c r="L80" s="23"/>
      <c r="O80" s="23"/>
    </row>
    <row r="81" spans="2:15" x14ac:dyDescent="0.25">
      <c r="B81" s="16" t="s">
        <v>57</v>
      </c>
      <c r="C81" s="23"/>
      <c r="D81" s="23"/>
      <c r="I81" s="23"/>
      <c r="J81" s="23"/>
      <c r="K81" s="23"/>
      <c r="L81" s="23"/>
      <c r="O81" s="23"/>
    </row>
    <row r="82" spans="2:15" x14ac:dyDescent="0.25">
      <c r="B82" s="16" t="s">
        <v>58</v>
      </c>
      <c r="C82" s="11"/>
      <c r="D82" s="23"/>
      <c r="I82" s="23"/>
      <c r="J82" s="23"/>
      <c r="K82" s="23"/>
      <c r="L82" s="23"/>
      <c r="O82" s="23"/>
    </row>
    <row r="83" spans="2:15" ht="11.25" customHeight="1" x14ac:dyDescent="0.25"/>
    <row r="84" spans="2:15" x14ac:dyDescent="0.25">
      <c r="B84" s="16" t="s">
        <v>62</v>
      </c>
      <c r="C84" s="23"/>
      <c r="D84" s="23"/>
      <c r="I84" s="23"/>
      <c r="J84" s="23"/>
      <c r="K84" s="23"/>
      <c r="L84" s="23"/>
      <c r="O84" s="23"/>
    </row>
    <row r="85" spans="2:15" x14ac:dyDescent="0.25">
      <c r="B85" s="16" t="s">
        <v>57</v>
      </c>
      <c r="C85" s="23"/>
      <c r="D85" s="23"/>
      <c r="I85" s="23"/>
      <c r="J85" s="23"/>
      <c r="K85" s="23"/>
      <c r="L85" s="23"/>
      <c r="O85" s="23"/>
    </row>
    <row r="86" spans="2:15" x14ac:dyDescent="0.25">
      <c r="B86" s="16" t="s">
        <v>58</v>
      </c>
      <c r="C86" s="23"/>
      <c r="D86" s="23"/>
      <c r="I86" s="23"/>
      <c r="J86" s="23"/>
      <c r="K86" s="23"/>
      <c r="L86" s="23"/>
      <c r="O86" s="23"/>
    </row>
    <row r="88" spans="2:15" x14ac:dyDescent="0.25">
      <c r="B88" s="16" t="s">
        <v>63</v>
      </c>
      <c r="C88" s="23"/>
      <c r="D88" s="23"/>
      <c r="I88" s="23"/>
      <c r="J88" s="23"/>
      <c r="K88" s="23"/>
      <c r="L88" s="23"/>
      <c r="O88" s="23"/>
    </row>
  </sheetData>
  <mergeCells count="9">
    <mergeCell ref="B4:B5"/>
    <mergeCell ref="F60:F62"/>
    <mergeCell ref="F63:F65"/>
    <mergeCell ref="K1:O1"/>
    <mergeCell ref="C4:C5"/>
    <mergeCell ref="D4:E4"/>
    <mergeCell ref="F4:F5"/>
    <mergeCell ref="G4:G5"/>
    <mergeCell ref="I4:O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BC87-E8E6-4750-8FA2-C13418529E74}">
  <sheetPr>
    <pageSetUpPr fitToPage="1"/>
  </sheetPr>
  <dimension ref="A1:BF90"/>
  <sheetViews>
    <sheetView zoomScale="85" zoomScaleNormal="85" zoomScaleSheetLayoutView="85" zoomScalePageLayoutView="80" workbookViewId="0">
      <selection activeCell="I9" sqref="I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46055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33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44</v>
      </c>
      <c r="D8" s="195"/>
      <c r="E8" s="196"/>
      <c r="F8" s="196"/>
      <c r="G8" s="102"/>
      <c r="H8" s="93"/>
      <c r="I8" s="93">
        <f>C8-G8</f>
        <v>44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>
        <v>110</v>
      </c>
      <c r="D9" s="198"/>
      <c r="E9" s="199"/>
      <c r="F9" s="199"/>
      <c r="G9" s="107"/>
      <c r="H9" s="108"/>
      <c r="I9" s="93">
        <f t="shared" ref="I9:J59" si="3">C9-G9</f>
        <v>110</v>
      </c>
      <c r="J9" s="103">
        <f t="shared" si="0"/>
        <v>0</v>
      </c>
      <c r="K9" s="64"/>
      <c r="L9" s="205"/>
      <c r="M9" s="205"/>
      <c r="N9" s="205"/>
      <c r="O9" s="205"/>
      <c r="P9" s="205"/>
      <c r="Q9" s="206"/>
      <c r="R9" s="128">
        <f t="shared" si="1"/>
        <v>0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>
        <v>146</v>
      </c>
      <c r="D11" s="195"/>
      <c r="E11" s="196"/>
      <c r="F11" s="196"/>
      <c r="G11" s="102">
        <v>2</v>
      </c>
      <c r="H11" s="93"/>
      <c r="I11" s="93">
        <f t="shared" si="3"/>
        <v>144</v>
      </c>
      <c r="J11" s="103">
        <f t="shared" si="0"/>
        <v>0</v>
      </c>
      <c r="K11" s="44"/>
      <c r="L11" s="196"/>
      <c r="M11" s="196"/>
      <c r="N11" s="196">
        <v>2</v>
      </c>
      <c r="O11" s="196"/>
      <c r="P11" s="196"/>
      <c r="Q11" s="204"/>
      <c r="R11" s="128">
        <f t="shared" si="1"/>
        <v>2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>
        <v>4</v>
      </c>
      <c r="D12" s="195"/>
      <c r="E12" s="196"/>
      <c r="F12" s="196"/>
      <c r="G12" s="102"/>
      <c r="H12" s="93"/>
      <c r="I12" s="93">
        <f t="shared" si="3"/>
        <v>4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>
        <v>3872</v>
      </c>
      <c r="D13" s="198">
        <v>2</v>
      </c>
      <c r="E13" s="199"/>
      <c r="F13" s="199"/>
      <c r="G13" s="107">
        <v>41</v>
      </c>
      <c r="H13" s="108">
        <v>33</v>
      </c>
      <c r="I13" s="93">
        <f t="shared" si="3"/>
        <v>3831</v>
      </c>
      <c r="J13" s="103">
        <f>D13-H13</f>
        <v>-31</v>
      </c>
      <c r="K13" s="68"/>
      <c r="L13" s="205">
        <v>14</v>
      </c>
      <c r="M13" s="205">
        <v>7</v>
      </c>
      <c r="N13" s="205">
        <v>20</v>
      </c>
      <c r="O13" s="205">
        <v>22</v>
      </c>
      <c r="P13" s="205">
        <v>4</v>
      </c>
      <c r="Q13" s="206">
        <v>41</v>
      </c>
      <c r="R13" s="128">
        <f>L13+N13+P13</f>
        <v>38</v>
      </c>
      <c r="S13" s="273">
        <f>M13+O13+Q13</f>
        <v>70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93">
        <f t="shared" si="3"/>
        <v>5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>
        <v>5</v>
      </c>
      <c r="D18" s="195"/>
      <c r="E18" s="196"/>
      <c r="F18" s="196"/>
      <c r="G18" s="102"/>
      <c r="H18" s="93"/>
      <c r="I18" s="93">
        <f t="shared" si="3"/>
        <v>5</v>
      </c>
      <c r="J18" s="103">
        <f t="shared" si="3"/>
        <v>0</v>
      </c>
      <c r="K18" s="44"/>
      <c r="L18" s="196"/>
      <c r="M18" s="196"/>
      <c r="N18" s="196"/>
      <c r="O18" s="196"/>
      <c r="P18" s="196"/>
      <c r="Q18" s="204"/>
      <c r="R18" s="128">
        <f t="shared" si="4"/>
        <v>0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3"/>
        <v>4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3"/>
        <v>6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3"/>
        <v>4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>
        <v>3</v>
      </c>
      <c r="D23" s="195"/>
      <c r="E23" s="196"/>
      <c r="F23" s="196"/>
      <c r="G23" s="102"/>
      <c r="H23" s="93"/>
      <c r="I23" s="93">
        <f t="shared" si="3"/>
        <v>3</v>
      </c>
      <c r="J23" s="103">
        <f t="shared" si="3"/>
        <v>0</v>
      </c>
      <c r="K23" s="45"/>
      <c r="L23" s="196"/>
      <c r="M23" s="196"/>
      <c r="N23" s="196"/>
      <c r="O23" s="196"/>
      <c r="P23" s="196"/>
      <c r="Q23" s="204"/>
      <c r="R23" s="128">
        <f t="shared" si="4"/>
        <v>0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>
        <v>54</v>
      </c>
      <c r="D24" s="195"/>
      <c r="E24" s="196"/>
      <c r="F24" s="196"/>
      <c r="G24" s="102"/>
      <c r="H24" s="93"/>
      <c r="I24" s="93">
        <f t="shared" si="3"/>
        <v>54</v>
      </c>
      <c r="J24" s="103">
        <f t="shared" si="3"/>
        <v>0</v>
      </c>
      <c r="K24" s="45"/>
      <c r="L24" s="196"/>
      <c r="M24" s="196"/>
      <c r="N24" s="196"/>
      <c r="O24" s="196"/>
      <c r="P24" s="196"/>
      <c r="Q24" s="204"/>
      <c r="R24" s="128">
        <f t="shared" si="4"/>
        <v>0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3"/>
        <v>7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>
        <v>116</v>
      </c>
      <c r="D26" s="195">
        <v>11</v>
      </c>
      <c r="E26" s="196"/>
      <c r="F26" s="196"/>
      <c r="G26" s="102"/>
      <c r="H26" s="93"/>
      <c r="I26" s="93">
        <f t="shared" si="3"/>
        <v>116</v>
      </c>
      <c r="J26" s="103">
        <f t="shared" si="3"/>
        <v>11</v>
      </c>
      <c r="K26" s="44"/>
      <c r="L26" s="196"/>
      <c r="M26" s="196"/>
      <c r="N26" s="196"/>
      <c r="O26" s="196"/>
      <c r="P26" s="196"/>
      <c r="Q26" s="204"/>
      <c r="R26" s="128">
        <f t="shared" si="4"/>
        <v>0</v>
      </c>
      <c r="S26" s="273">
        <f t="shared" si="4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>
        <v>3</v>
      </c>
      <c r="D27" s="195"/>
      <c r="E27" s="196"/>
      <c r="F27" s="196"/>
      <c r="G27" s="102"/>
      <c r="H27" s="93"/>
      <c r="I27" s="93">
        <f t="shared" si="3"/>
        <v>3</v>
      </c>
      <c r="J27" s="103">
        <f t="shared" si="3"/>
        <v>0</v>
      </c>
      <c r="K27" s="45"/>
      <c r="L27" s="196"/>
      <c r="M27" s="196"/>
      <c r="N27" s="196"/>
      <c r="O27" s="196"/>
      <c r="P27" s="196"/>
      <c r="Q27" s="204"/>
      <c r="R27" s="128">
        <f t="shared" si="4"/>
        <v>0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>
        <v>2</v>
      </c>
      <c r="D28" s="195"/>
      <c r="E28" s="196"/>
      <c r="F28" s="196"/>
      <c r="G28" s="102"/>
      <c r="H28" s="93"/>
      <c r="I28" s="93">
        <f t="shared" si="3"/>
        <v>2</v>
      </c>
      <c r="J28" s="103">
        <f t="shared" si="3"/>
        <v>0</v>
      </c>
      <c r="K28" s="45"/>
      <c r="L28" s="196"/>
      <c r="M28" s="196"/>
      <c r="N28" s="196"/>
      <c r="O28" s="196"/>
      <c r="P28" s="196"/>
      <c r="Q28" s="204"/>
      <c r="R28" s="128">
        <f t="shared" si="4"/>
        <v>0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>
        <v>78</v>
      </c>
      <c r="D29" s="195"/>
      <c r="E29" s="196"/>
      <c r="F29" s="196"/>
      <c r="G29" s="102">
        <v>5</v>
      </c>
      <c r="H29" s="93"/>
      <c r="I29" s="93">
        <f t="shared" si="3"/>
        <v>73</v>
      </c>
      <c r="J29" s="103">
        <f t="shared" si="3"/>
        <v>0</v>
      </c>
      <c r="K29" s="45"/>
      <c r="L29" s="196"/>
      <c r="M29" s="196"/>
      <c r="N29" s="196"/>
      <c r="O29" s="196"/>
      <c r="P29" s="196">
        <v>5</v>
      </c>
      <c r="Q29" s="204"/>
      <c r="R29" s="128">
        <f t="shared" si="4"/>
        <v>5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>
        <v>78</v>
      </c>
      <c r="D31" s="195">
        <v>12</v>
      </c>
      <c r="E31" s="196"/>
      <c r="F31" s="196"/>
      <c r="G31" s="102"/>
      <c r="H31" s="93"/>
      <c r="I31" s="93">
        <f t="shared" si="3"/>
        <v>78</v>
      </c>
      <c r="J31" s="103">
        <f t="shared" si="3"/>
        <v>12</v>
      </c>
      <c r="K31" s="44"/>
      <c r="L31" s="196"/>
      <c r="M31" s="196"/>
      <c r="N31" s="196"/>
      <c r="O31" s="196"/>
      <c r="P31" s="196"/>
      <c r="Q31" s="204"/>
      <c r="R31" s="128">
        <f t="shared" si="4"/>
        <v>0</v>
      </c>
      <c r="S31" s="273">
        <f t="shared" si="4"/>
        <v>0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>
        <v>3</v>
      </c>
      <c r="D32" s="195"/>
      <c r="E32" s="196"/>
      <c r="F32" s="196"/>
      <c r="G32" s="102"/>
      <c r="H32" s="93"/>
      <c r="I32" s="93">
        <f t="shared" si="3"/>
        <v>3</v>
      </c>
      <c r="J32" s="103">
        <f t="shared" si="3"/>
        <v>0</v>
      </c>
      <c r="K32" s="44"/>
      <c r="L32" s="196"/>
      <c r="M32" s="196"/>
      <c r="N32" s="196"/>
      <c r="O32" s="196"/>
      <c r="P32" s="196"/>
      <c r="Q32" s="204"/>
      <c r="R32" s="128">
        <f t="shared" si="4"/>
        <v>0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>
        <v>3</v>
      </c>
      <c r="D33" s="195"/>
      <c r="E33" s="196"/>
      <c r="F33" s="196"/>
      <c r="G33" s="102"/>
      <c r="H33" s="93"/>
      <c r="I33" s="93">
        <f t="shared" si="3"/>
        <v>3</v>
      </c>
      <c r="J33" s="103">
        <f t="shared" si="3"/>
        <v>0</v>
      </c>
      <c r="K33" s="44"/>
      <c r="L33" s="196"/>
      <c r="M33" s="196"/>
      <c r="N33" s="196"/>
      <c r="O33" s="196"/>
      <c r="P33" s="196"/>
      <c r="Q33" s="204"/>
      <c r="R33" s="128">
        <f t="shared" si="4"/>
        <v>0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>
        <v>200</v>
      </c>
      <c r="D35" s="195">
        <v>11</v>
      </c>
      <c r="E35" s="196"/>
      <c r="F35" s="196"/>
      <c r="G35" s="102"/>
      <c r="H35" s="93"/>
      <c r="I35" s="93">
        <f t="shared" si="3"/>
        <v>200</v>
      </c>
      <c r="J35" s="103">
        <f t="shared" si="3"/>
        <v>11</v>
      </c>
      <c r="K35" s="44"/>
      <c r="L35" s="196"/>
      <c r="M35" s="196"/>
      <c r="N35" s="196"/>
      <c r="O35" s="196"/>
      <c r="P35" s="196"/>
      <c r="Q35" s="204"/>
      <c r="R35" s="128">
        <f t="shared" si="4"/>
        <v>0</v>
      </c>
      <c r="S35" s="273">
        <f t="shared" si="4"/>
        <v>0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>
        <v>5809</v>
      </c>
      <c r="D38" s="198">
        <v>2</v>
      </c>
      <c r="E38" s="199"/>
      <c r="F38" s="199"/>
      <c r="G38" s="107">
        <v>211</v>
      </c>
      <c r="H38" s="108"/>
      <c r="I38" s="93">
        <f t="shared" si="3"/>
        <v>5598</v>
      </c>
      <c r="J38" s="103">
        <f t="shared" si="3"/>
        <v>2</v>
      </c>
      <c r="K38" s="64"/>
      <c r="L38" s="205">
        <v>118</v>
      </c>
      <c r="M38" s="205"/>
      <c r="N38" s="205">
        <v>53</v>
      </c>
      <c r="O38" s="205"/>
      <c r="P38" s="205">
        <v>80</v>
      </c>
      <c r="Q38" s="206"/>
      <c r="R38" s="128">
        <f t="shared" si="4"/>
        <v>251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>
        <v>12</v>
      </c>
      <c r="D39" s="195"/>
      <c r="E39" s="196"/>
      <c r="F39" s="196"/>
      <c r="G39" s="102"/>
      <c r="H39" s="93"/>
      <c r="I39" s="93">
        <f t="shared" si="3"/>
        <v>12</v>
      </c>
      <c r="J39" s="103">
        <f t="shared" si="3"/>
        <v>0</v>
      </c>
      <c r="K39" s="44"/>
      <c r="L39" s="196"/>
      <c r="M39" s="196"/>
      <c r="N39" s="196"/>
      <c r="O39" s="196"/>
      <c r="P39" s="196"/>
      <c r="Q39" s="204"/>
      <c r="R39" s="128">
        <f t="shared" si="4"/>
        <v>0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>
        <v>2</v>
      </c>
      <c r="D40" s="201"/>
      <c r="E40" s="202"/>
      <c r="F40" s="202"/>
      <c r="G40" s="121"/>
      <c r="H40" s="116"/>
      <c r="I40" s="93">
        <f t="shared" si="3"/>
        <v>2</v>
      </c>
      <c r="J40" s="103">
        <f t="shared" si="3"/>
        <v>0</v>
      </c>
      <c r="K40" s="44"/>
      <c r="L40" s="196"/>
      <c r="M40" s="196"/>
      <c r="N40" s="196"/>
      <c r="O40" s="196"/>
      <c r="P40" s="196"/>
      <c r="Q40" s="204"/>
      <c r="R40" s="128">
        <f t="shared" si="4"/>
        <v>0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>
        <v>823</v>
      </c>
      <c r="D41" s="198">
        <v>12</v>
      </c>
      <c r="E41" s="199"/>
      <c r="F41" s="199"/>
      <c r="G41" s="107"/>
      <c r="H41" s="108"/>
      <c r="I41" s="93">
        <f t="shared" si="3"/>
        <v>823</v>
      </c>
      <c r="J41" s="103">
        <f t="shared" si="3"/>
        <v>12</v>
      </c>
      <c r="K41" s="64"/>
      <c r="L41" s="196"/>
      <c r="M41" s="196"/>
      <c r="N41" s="196"/>
      <c r="O41" s="196"/>
      <c r="P41" s="196"/>
      <c r="Q41" s="204"/>
      <c r="R41" s="128">
        <f t="shared" si="4"/>
        <v>0</v>
      </c>
      <c r="S41" s="273">
        <f t="shared" si="4"/>
        <v>0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>
        <v>1963</v>
      </c>
      <c r="D42" s="268"/>
      <c r="E42" s="269"/>
      <c r="F42" s="269"/>
      <c r="G42" s="111">
        <v>28</v>
      </c>
      <c r="H42" s="112"/>
      <c r="I42" s="93">
        <f t="shared" si="3"/>
        <v>1935</v>
      </c>
      <c r="J42" s="103">
        <f t="shared" si="3"/>
        <v>0</v>
      </c>
      <c r="K42" s="69"/>
      <c r="L42" s="269">
        <v>10</v>
      </c>
      <c r="M42" s="269"/>
      <c r="N42" s="269">
        <v>11</v>
      </c>
      <c r="O42" s="269"/>
      <c r="P42" s="269">
        <v>7</v>
      </c>
      <c r="Q42" s="270"/>
      <c r="R42" s="128">
        <f t="shared" si="4"/>
        <v>28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>
        <v>31248</v>
      </c>
      <c r="D44" s="198"/>
      <c r="E44" s="199"/>
      <c r="F44" s="199"/>
      <c r="G44" s="107">
        <v>1071</v>
      </c>
      <c r="H44" s="108"/>
      <c r="I44" s="93">
        <f t="shared" si="3"/>
        <v>30177</v>
      </c>
      <c r="J44" s="103">
        <f t="shared" si="3"/>
        <v>0</v>
      </c>
      <c r="K44" s="64"/>
      <c r="L44" s="205">
        <v>283</v>
      </c>
      <c r="M44" s="205"/>
      <c r="N44" s="205">
        <v>458</v>
      </c>
      <c r="O44" s="205"/>
      <c r="P44" s="205">
        <v>330</v>
      </c>
      <c r="Q44" s="206"/>
      <c r="R44" s="128">
        <f t="shared" si="4"/>
        <v>1071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>
        <v>2400</v>
      </c>
      <c r="D48" s="195">
        <v>5</v>
      </c>
      <c r="E48" s="196"/>
      <c r="F48" s="196"/>
      <c r="G48" s="102"/>
      <c r="H48" s="93"/>
      <c r="I48" s="93">
        <f t="shared" si="3"/>
        <v>2400</v>
      </c>
      <c r="J48" s="103">
        <f t="shared" si="3"/>
        <v>5</v>
      </c>
      <c r="K48" s="44"/>
      <c r="L48" s="196"/>
      <c r="M48" s="196"/>
      <c r="N48" s="196"/>
      <c r="O48" s="196"/>
      <c r="P48" s="196"/>
      <c r="Q48" s="204"/>
      <c r="R48" s="128">
        <f t="shared" si="4"/>
        <v>0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>
        <v>1</v>
      </c>
      <c r="D50" s="195"/>
      <c r="E50" s="196"/>
      <c r="F50" s="196"/>
      <c r="G50" s="102"/>
      <c r="H50" s="93"/>
      <c r="I50" s="93">
        <f t="shared" si="3"/>
        <v>1</v>
      </c>
      <c r="J50" s="103">
        <f t="shared" si="3"/>
        <v>0</v>
      </c>
      <c r="K50" s="44"/>
      <c r="L50" s="196"/>
      <c r="M50" s="196"/>
      <c r="N50" s="196"/>
      <c r="O50" s="196"/>
      <c r="P50" s="196"/>
      <c r="Q50" s="204"/>
      <c r="R50" s="128">
        <f t="shared" si="4"/>
        <v>0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3"/>
        <v>0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3"/>
        <v>34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>
        <v>3</v>
      </c>
      <c r="D54" s="195"/>
      <c r="E54" s="196"/>
      <c r="F54" s="196"/>
      <c r="G54" s="102"/>
      <c r="H54" s="93"/>
      <c r="I54" s="93">
        <f t="shared" si="3"/>
        <v>3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47042</v>
      </c>
      <c r="D60" s="71">
        <f>SUM(D8:D59)</f>
        <v>55</v>
      </c>
      <c r="E60" s="47">
        <f>SUM(E8:E59)</f>
        <v>0</v>
      </c>
      <c r="F60" s="47"/>
      <c r="G60" s="31">
        <f>SUM(G8:G59)</f>
        <v>1358</v>
      </c>
      <c r="H60" s="73">
        <f>SUM(H8:H59)</f>
        <v>33</v>
      </c>
      <c r="I60" s="73">
        <f>SUM(I8:I59)</f>
        <v>45684</v>
      </c>
      <c r="J60" s="48">
        <f>SUM(J8:J59)</f>
        <v>22</v>
      </c>
      <c r="K60" s="49"/>
      <c r="L60" s="98">
        <f t="shared" ref="L60:S60" si="5">SUM(L8:L59)</f>
        <v>425</v>
      </c>
      <c r="M60" s="98">
        <f t="shared" si="5"/>
        <v>7</v>
      </c>
      <c r="N60" s="98">
        <f t="shared" si="5"/>
        <v>544</v>
      </c>
      <c r="O60" s="98">
        <f t="shared" si="5"/>
        <v>22</v>
      </c>
      <c r="P60" s="98">
        <f t="shared" si="5"/>
        <v>426</v>
      </c>
      <c r="Q60" s="99">
        <f t="shared" si="5"/>
        <v>41</v>
      </c>
      <c r="R60" s="127">
        <f t="shared" si="5"/>
        <v>1395</v>
      </c>
      <c r="S60" s="124">
        <f t="shared" si="5"/>
        <v>70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31" t="s">
        <v>3</v>
      </c>
      <c r="D69" s="132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31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A6D3-DCF3-4CDD-8803-E7214DD1DF69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46056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33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44</v>
      </c>
      <c r="D8" s="195"/>
      <c r="E8" s="196"/>
      <c r="F8" s="196"/>
      <c r="G8" s="102"/>
      <c r="H8" s="93"/>
      <c r="I8" s="93">
        <f>C8-G8</f>
        <v>44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>
        <v>110</v>
      </c>
      <c r="D9" s="198"/>
      <c r="E9" s="199"/>
      <c r="F9" s="199"/>
      <c r="G9" s="107">
        <v>2</v>
      </c>
      <c r="H9" s="108"/>
      <c r="I9" s="93">
        <f t="shared" ref="I9:J59" si="3">C9-G9</f>
        <v>108</v>
      </c>
      <c r="J9" s="103">
        <f t="shared" si="0"/>
        <v>0</v>
      </c>
      <c r="K9" s="64"/>
      <c r="L9" s="205"/>
      <c r="M9" s="205"/>
      <c r="N9" s="205"/>
      <c r="O9" s="205"/>
      <c r="P9" s="205">
        <v>2</v>
      </c>
      <c r="Q9" s="206"/>
      <c r="R9" s="128">
        <f t="shared" si="1"/>
        <v>2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>
        <v>144</v>
      </c>
      <c r="D11" s="195"/>
      <c r="E11" s="196"/>
      <c r="F11" s="196"/>
      <c r="G11" s="102">
        <v>5</v>
      </c>
      <c r="H11" s="93"/>
      <c r="I11" s="93">
        <f t="shared" si="3"/>
        <v>139</v>
      </c>
      <c r="J11" s="103">
        <f t="shared" si="0"/>
        <v>0</v>
      </c>
      <c r="K11" s="44"/>
      <c r="L11" s="196">
        <v>2</v>
      </c>
      <c r="M11" s="196"/>
      <c r="N11" s="196">
        <v>1</v>
      </c>
      <c r="O11" s="196"/>
      <c r="P11" s="196">
        <v>2</v>
      </c>
      <c r="Q11" s="204"/>
      <c r="R11" s="128">
        <f t="shared" si="1"/>
        <v>5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>
        <v>4</v>
      </c>
      <c r="D12" s="195"/>
      <c r="E12" s="196"/>
      <c r="F12" s="196"/>
      <c r="G12" s="102">
        <v>2</v>
      </c>
      <c r="H12" s="93"/>
      <c r="I12" s="93">
        <f t="shared" si="3"/>
        <v>2</v>
      </c>
      <c r="J12" s="103">
        <f t="shared" si="0"/>
        <v>0</v>
      </c>
      <c r="K12" s="44"/>
      <c r="L12" s="196">
        <v>2</v>
      </c>
      <c r="M12" s="196"/>
      <c r="N12" s="196"/>
      <c r="O12" s="196"/>
      <c r="P12" s="196"/>
      <c r="Q12" s="204"/>
      <c r="R12" s="128">
        <f t="shared" si="1"/>
        <v>2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>
        <v>3829</v>
      </c>
      <c r="D13" s="198">
        <v>17</v>
      </c>
      <c r="E13" s="199"/>
      <c r="F13" s="199"/>
      <c r="G13" s="107">
        <v>18</v>
      </c>
      <c r="H13" s="108">
        <v>15</v>
      </c>
      <c r="I13" s="93">
        <f t="shared" si="3"/>
        <v>3811</v>
      </c>
      <c r="J13" s="103">
        <f>D13-H13</f>
        <v>2</v>
      </c>
      <c r="K13" s="68"/>
      <c r="L13" s="205">
        <v>2</v>
      </c>
      <c r="M13" s="205">
        <v>2</v>
      </c>
      <c r="N13" s="205">
        <v>4</v>
      </c>
      <c r="O13" s="205">
        <v>9</v>
      </c>
      <c r="P13" s="205">
        <v>12</v>
      </c>
      <c r="Q13" s="206">
        <v>4</v>
      </c>
      <c r="R13" s="128">
        <f>L13+N13+P13</f>
        <v>18</v>
      </c>
      <c r="S13" s="273">
        <f>M13+O13+Q13</f>
        <v>15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93">
        <f t="shared" si="3"/>
        <v>5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>
        <v>5</v>
      </c>
      <c r="D18" s="195"/>
      <c r="E18" s="196"/>
      <c r="F18" s="196"/>
      <c r="G18" s="102"/>
      <c r="H18" s="93"/>
      <c r="I18" s="93">
        <f t="shared" si="3"/>
        <v>5</v>
      </c>
      <c r="J18" s="103">
        <f t="shared" si="3"/>
        <v>0</v>
      </c>
      <c r="K18" s="44"/>
      <c r="L18" s="196"/>
      <c r="M18" s="196"/>
      <c r="N18" s="196"/>
      <c r="O18" s="196"/>
      <c r="P18" s="196"/>
      <c r="Q18" s="204"/>
      <c r="R18" s="128">
        <f t="shared" si="4"/>
        <v>0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3"/>
        <v>4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3"/>
        <v>6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3"/>
        <v>4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>
        <v>3</v>
      </c>
      <c r="D23" s="195"/>
      <c r="E23" s="196"/>
      <c r="F23" s="196"/>
      <c r="G23" s="102"/>
      <c r="H23" s="93"/>
      <c r="I23" s="93">
        <f t="shared" si="3"/>
        <v>3</v>
      </c>
      <c r="J23" s="103">
        <f t="shared" si="3"/>
        <v>0</v>
      </c>
      <c r="K23" s="45"/>
      <c r="L23" s="196"/>
      <c r="M23" s="196"/>
      <c r="N23" s="196"/>
      <c r="O23" s="196"/>
      <c r="P23" s="196"/>
      <c r="Q23" s="204"/>
      <c r="R23" s="128">
        <f t="shared" si="4"/>
        <v>0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>
        <v>54</v>
      </c>
      <c r="D24" s="195"/>
      <c r="E24" s="196"/>
      <c r="F24" s="196"/>
      <c r="G24" s="102"/>
      <c r="H24" s="93"/>
      <c r="I24" s="93">
        <f t="shared" si="3"/>
        <v>54</v>
      </c>
      <c r="J24" s="103">
        <f t="shared" si="3"/>
        <v>0</v>
      </c>
      <c r="K24" s="45"/>
      <c r="L24" s="196"/>
      <c r="M24" s="196"/>
      <c r="N24" s="196"/>
      <c r="O24" s="196"/>
      <c r="P24" s="196"/>
      <c r="Q24" s="204"/>
      <c r="R24" s="128">
        <f t="shared" si="4"/>
        <v>0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3"/>
        <v>7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>
        <v>116</v>
      </c>
      <c r="D26" s="195">
        <v>11</v>
      </c>
      <c r="E26" s="196"/>
      <c r="F26" s="196"/>
      <c r="G26" s="102"/>
      <c r="H26" s="93">
        <v>12</v>
      </c>
      <c r="I26" s="93">
        <f t="shared" si="3"/>
        <v>116</v>
      </c>
      <c r="J26" s="103">
        <f t="shared" si="3"/>
        <v>-1</v>
      </c>
      <c r="K26" s="44"/>
      <c r="L26" s="196"/>
      <c r="M26" s="196">
        <v>12</v>
      </c>
      <c r="N26" s="196"/>
      <c r="O26" s="196"/>
      <c r="P26" s="196"/>
      <c r="Q26" s="204"/>
      <c r="R26" s="128">
        <f t="shared" si="4"/>
        <v>0</v>
      </c>
      <c r="S26" s="273">
        <f t="shared" si="4"/>
        <v>12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>
        <v>3</v>
      </c>
      <c r="D27" s="195"/>
      <c r="E27" s="196"/>
      <c r="F27" s="196"/>
      <c r="G27" s="102">
        <v>1</v>
      </c>
      <c r="H27" s="93"/>
      <c r="I27" s="93">
        <f t="shared" si="3"/>
        <v>2</v>
      </c>
      <c r="J27" s="103">
        <f t="shared" si="3"/>
        <v>0</v>
      </c>
      <c r="K27" s="45"/>
      <c r="L27" s="196"/>
      <c r="M27" s="196"/>
      <c r="N27" s="196"/>
      <c r="O27" s="196"/>
      <c r="P27" s="196">
        <v>1</v>
      </c>
      <c r="Q27" s="204"/>
      <c r="R27" s="128">
        <f t="shared" si="4"/>
        <v>1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>
        <v>2</v>
      </c>
      <c r="D28" s="195"/>
      <c r="E28" s="196"/>
      <c r="F28" s="196"/>
      <c r="G28" s="102"/>
      <c r="H28" s="93"/>
      <c r="I28" s="93">
        <f t="shared" si="3"/>
        <v>2</v>
      </c>
      <c r="J28" s="103">
        <f t="shared" si="3"/>
        <v>0</v>
      </c>
      <c r="K28" s="45"/>
      <c r="L28" s="196"/>
      <c r="M28" s="196"/>
      <c r="N28" s="196"/>
      <c r="O28" s="196"/>
      <c r="P28" s="196"/>
      <c r="Q28" s="204"/>
      <c r="R28" s="128">
        <f t="shared" si="4"/>
        <v>0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>
        <v>73</v>
      </c>
      <c r="D29" s="195"/>
      <c r="E29" s="196"/>
      <c r="F29" s="196"/>
      <c r="G29" s="102">
        <v>4</v>
      </c>
      <c r="H29" s="93"/>
      <c r="I29" s="93">
        <f t="shared" si="3"/>
        <v>69</v>
      </c>
      <c r="J29" s="103">
        <f t="shared" si="3"/>
        <v>0</v>
      </c>
      <c r="K29" s="45"/>
      <c r="L29" s="196">
        <v>1</v>
      </c>
      <c r="M29" s="196"/>
      <c r="N29" s="196"/>
      <c r="O29" s="196"/>
      <c r="P29" s="196">
        <v>3</v>
      </c>
      <c r="Q29" s="204"/>
      <c r="R29" s="128">
        <f t="shared" si="4"/>
        <v>4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>
        <v>78</v>
      </c>
      <c r="D31" s="195">
        <v>12</v>
      </c>
      <c r="E31" s="196"/>
      <c r="F31" s="196"/>
      <c r="G31" s="102"/>
      <c r="H31" s="93">
        <v>12</v>
      </c>
      <c r="I31" s="93">
        <f t="shared" si="3"/>
        <v>78</v>
      </c>
      <c r="J31" s="103">
        <f t="shared" si="3"/>
        <v>0</v>
      </c>
      <c r="K31" s="44"/>
      <c r="L31" s="196"/>
      <c r="M31" s="196">
        <v>12</v>
      </c>
      <c r="N31" s="196"/>
      <c r="O31" s="196"/>
      <c r="P31" s="196"/>
      <c r="Q31" s="204"/>
      <c r="R31" s="128">
        <f t="shared" si="4"/>
        <v>0</v>
      </c>
      <c r="S31" s="273">
        <f t="shared" si="4"/>
        <v>12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>
        <v>3</v>
      </c>
      <c r="D32" s="195"/>
      <c r="E32" s="196"/>
      <c r="F32" s="196"/>
      <c r="G32" s="102">
        <v>1</v>
      </c>
      <c r="H32" s="93"/>
      <c r="I32" s="93">
        <f t="shared" si="3"/>
        <v>2</v>
      </c>
      <c r="J32" s="103">
        <f t="shared" si="3"/>
        <v>0</v>
      </c>
      <c r="K32" s="44"/>
      <c r="L32" s="196"/>
      <c r="M32" s="196"/>
      <c r="N32" s="196">
        <v>1</v>
      </c>
      <c r="O32" s="196"/>
      <c r="P32" s="196"/>
      <c r="Q32" s="204"/>
      <c r="R32" s="128">
        <f t="shared" si="4"/>
        <v>1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>
        <v>3</v>
      </c>
      <c r="D33" s="195"/>
      <c r="E33" s="196"/>
      <c r="F33" s="196"/>
      <c r="G33" s="102"/>
      <c r="H33" s="93"/>
      <c r="I33" s="93">
        <f t="shared" si="3"/>
        <v>3</v>
      </c>
      <c r="J33" s="103">
        <f t="shared" si="3"/>
        <v>0</v>
      </c>
      <c r="K33" s="44"/>
      <c r="L33" s="196"/>
      <c r="M33" s="196"/>
      <c r="N33" s="196"/>
      <c r="O33" s="196"/>
      <c r="P33" s="196"/>
      <c r="Q33" s="204"/>
      <c r="R33" s="128">
        <f t="shared" si="4"/>
        <v>0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>
        <v>200</v>
      </c>
      <c r="D35" s="195">
        <v>11</v>
      </c>
      <c r="E35" s="196"/>
      <c r="F35" s="196"/>
      <c r="G35" s="102"/>
      <c r="H35" s="93"/>
      <c r="I35" s="93">
        <f t="shared" si="3"/>
        <v>200</v>
      </c>
      <c r="J35" s="103">
        <f t="shared" si="3"/>
        <v>11</v>
      </c>
      <c r="K35" s="44"/>
      <c r="L35" s="196"/>
      <c r="M35" s="196"/>
      <c r="N35" s="196"/>
      <c r="O35" s="196"/>
      <c r="P35" s="196"/>
      <c r="Q35" s="204"/>
      <c r="R35" s="128">
        <f t="shared" si="4"/>
        <v>0</v>
      </c>
      <c r="S35" s="273">
        <f t="shared" si="4"/>
        <v>0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>
        <v>5598</v>
      </c>
      <c r="D38" s="198">
        <v>2</v>
      </c>
      <c r="E38" s="199"/>
      <c r="F38" s="199"/>
      <c r="G38" s="107">
        <v>88</v>
      </c>
      <c r="H38" s="108"/>
      <c r="I38" s="93">
        <f t="shared" si="3"/>
        <v>5510</v>
      </c>
      <c r="J38" s="103">
        <f t="shared" si="3"/>
        <v>2</v>
      </c>
      <c r="K38" s="64"/>
      <c r="L38" s="205">
        <v>20</v>
      </c>
      <c r="M38" s="205"/>
      <c r="N38" s="205">
        <v>33</v>
      </c>
      <c r="O38" s="205"/>
      <c r="P38" s="205">
        <v>35</v>
      </c>
      <c r="Q38" s="206"/>
      <c r="R38" s="128">
        <f t="shared" si="4"/>
        <v>88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>
        <v>12</v>
      </c>
      <c r="D39" s="195"/>
      <c r="E39" s="196"/>
      <c r="F39" s="196"/>
      <c r="G39" s="102">
        <v>1</v>
      </c>
      <c r="H39" s="93"/>
      <c r="I39" s="93">
        <f t="shared" si="3"/>
        <v>11</v>
      </c>
      <c r="J39" s="103">
        <f t="shared" si="3"/>
        <v>0</v>
      </c>
      <c r="K39" s="44"/>
      <c r="L39" s="196"/>
      <c r="M39" s="196"/>
      <c r="N39" s="196"/>
      <c r="O39" s="196"/>
      <c r="P39" s="196">
        <v>1</v>
      </c>
      <c r="Q39" s="204"/>
      <c r="R39" s="128">
        <f t="shared" si="4"/>
        <v>1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>
        <v>2</v>
      </c>
      <c r="D40" s="201"/>
      <c r="E40" s="202"/>
      <c r="F40" s="202"/>
      <c r="G40" s="121"/>
      <c r="H40" s="116"/>
      <c r="I40" s="93">
        <f t="shared" si="3"/>
        <v>2</v>
      </c>
      <c r="J40" s="103">
        <f t="shared" si="3"/>
        <v>0</v>
      </c>
      <c r="K40" s="44"/>
      <c r="L40" s="196"/>
      <c r="M40" s="196"/>
      <c r="N40" s="196"/>
      <c r="O40" s="196"/>
      <c r="P40" s="196"/>
      <c r="Q40" s="204"/>
      <c r="R40" s="128">
        <f t="shared" si="4"/>
        <v>0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>
        <v>823</v>
      </c>
      <c r="D41" s="198">
        <v>12</v>
      </c>
      <c r="E41" s="199"/>
      <c r="F41" s="199"/>
      <c r="G41" s="107"/>
      <c r="H41" s="108"/>
      <c r="I41" s="93">
        <f t="shared" si="3"/>
        <v>823</v>
      </c>
      <c r="J41" s="103">
        <f t="shared" si="3"/>
        <v>12</v>
      </c>
      <c r="K41" s="64"/>
      <c r="L41" s="196"/>
      <c r="M41" s="196"/>
      <c r="N41" s="196"/>
      <c r="O41" s="196"/>
      <c r="P41" s="196"/>
      <c r="Q41" s="204"/>
      <c r="R41" s="128">
        <f t="shared" si="4"/>
        <v>0</v>
      </c>
      <c r="S41" s="273">
        <f t="shared" si="4"/>
        <v>0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>
        <v>1935</v>
      </c>
      <c r="D42" s="268"/>
      <c r="E42" s="269"/>
      <c r="F42" s="269"/>
      <c r="G42" s="111">
        <v>19</v>
      </c>
      <c r="H42" s="112"/>
      <c r="I42" s="93">
        <f t="shared" si="3"/>
        <v>1916</v>
      </c>
      <c r="J42" s="103">
        <f t="shared" si="3"/>
        <v>0</v>
      </c>
      <c r="K42" s="69"/>
      <c r="L42" s="269">
        <v>8</v>
      </c>
      <c r="M42" s="269"/>
      <c r="N42" s="269">
        <v>7</v>
      </c>
      <c r="O42" s="269"/>
      <c r="P42" s="269">
        <v>4</v>
      </c>
      <c r="Q42" s="270"/>
      <c r="R42" s="128">
        <f t="shared" si="4"/>
        <v>19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>
        <v>30177</v>
      </c>
      <c r="D44" s="198"/>
      <c r="E44" s="199"/>
      <c r="F44" s="199"/>
      <c r="G44" s="107">
        <v>963</v>
      </c>
      <c r="H44" s="108"/>
      <c r="I44" s="93">
        <f t="shared" si="3"/>
        <v>29214</v>
      </c>
      <c r="J44" s="103">
        <f t="shared" si="3"/>
        <v>0</v>
      </c>
      <c r="K44" s="64"/>
      <c r="L44" s="205">
        <v>307</v>
      </c>
      <c r="M44" s="205"/>
      <c r="N44" s="205">
        <v>242</v>
      </c>
      <c r="O44" s="205"/>
      <c r="P44" s="205">
        <v>414</v>
      </c>
      <c r="Q44" s="206"/>
      <c r="R44" s="128">
        <f t="shared" si="4"/>
        <v>963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>
        <v>2400</v>
      </c>
      <c r="D48" s="195">
        <v>5</v>
      </c>
      <c r="E48" s="196"/>
      <c r="F48" s="196"/>
      <c r="G48" s="102">
        <v>5</v>
      </c>
      <c r="H48" s="93"/>
      <c r="I48" s="93">
        <f t="shared" si="3"/>
        <v>2395</v>
      </c>
      <c r="J48" s="103">
        <f t="shared" si="3"/>
        <v>5</v>
      </c>
      <c r="K48" s="44"/>
      <c r="L48" s="196">
        <v>5</v>
      </c>
      <c r="M48" s="196"/>
      <c r="N48" s="196"/>
      <c r="O48" s="196"/>
      <c r="P48" s="196"/>
      <c r="Q48" s="204"/>
      <c r="R48" s="128">
        <f t="shared" si="4"/>
        <v>5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>
        <v>1</v>
      </c>
      <c r="D50" s="195"/>
      <c r="E50" s="196"/>
      <c r="F50" s="196"/>
      <c r="G50" s="102"/>
      <c r="H50" s="93"/>
      <c r="I50" s="93">
        <f t="shared" si="3"/>
        <v>1</v>
      </c>
      <c r="J50" s="103">
        <f t="shared" si="3"/>
        <v>0</v>
      </c>
      <c r="K50" s="44"/>
      <c r="L50" s="196"/>
      <c r="M50" s="196"/>
      <c r="N50" s="196"/>
      <c r="O50" s="196"/>
      <c r="P50" s="196"/>
      <c r="Q50" s="204"/>
      <c r="R50" s="128">
        <f t="shared" si="4"/>
        <v>0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>
        <v>3</v>
      </c>
      <c r="D51" s="195"/>
      <c r="E51" s="196"/>
      <c r="F51" s="196"/>
      <c r="G51" s="102"/>
      <c r="H51" s="93"/>
      <c r="I51" s="93">
        <f t="shared" si="3"/>
        <v>3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3"/>
        <v>34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/>
      <c r="D54" s="195"/>
      <c r="E54" s="196"/>
      <c r="F54" s="196"/>
      <c r="G54" s="102"/>
      <c r="H54" s="93"/>
      <c r="I54" s="93">
        <f t="shared" si="3"/>
        <v>0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45682</v>
      </c>
      <c r="D60" s="71">
        <f>SUM(D8:D59)</f>
        <v>70</v>
      </c>
      <c r="E60" s="47">
        <f>SUM(E8:E59)</f>
        <v>0</v>
      </c>
      <c r="F60" s="47"/>
      <c r="G60" s="31">
        <f>SUM(G8:G59)</f>
        <v>1109</v>
      </c>
      <c r="H60" s="73">
        <f>SUM(H8:H59)</f>
        <v>39</v>
      </c>
      <c r="I60" s="73">
        <f>SUM(I8:I59)</f>
        <v>44573</v>
      </c>
      <c r="J60" s="48">
        <f>SUM(J8:J59)</f>
        <v>31</v>
      </c>
      <c r="K60" s="49"/>
      <c r="L60" s="98">
        <f t="shared" ref="L60:S60" si="5">SUM(L8:L59)</f>
        <v>347</v>
      </c>
      <c r="M60" s="98">
        <f t="shared" si="5"/>
        <v>26</v>
      </c>
      <c r="N60" s="98">
        <f t="shared" si="5"/>
        <v>288</v>
      </c>
      <c r="O60" s="98">
        <f t="shared" si="5"/>
        <v>9</v>
      </c>
      <c r="P60" s="98">
        <f t="shared" si="5"/>
        <v>474</v>
      </c>
      <c r="Q60" s="99">
        <f t="shared" si="5"/>
        <v>4</v>
      </c>
      <c r="R60" s="127">
        <f t="shared" si="5"/>
        <v>1109</v>
      </c>
      <c r="S60" s="124">
        <f t="shared" si="5"/>
        <v>39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31" t="s">
        <v>3</v>
      </c>
      <c r="D69" s="132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31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D195-3F03-46F5-9CB0-C4B28412B0D7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46057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36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44</v>
      </c>
      <c r="D8" s="195"/>
      <c r="E8" s="196"/>
      <c r="F8" s="196"/>
      <c r="G8" s="102"/>
      <c r="H8" s="93"/>
      <c r="I8" s="93">
        <f>C8-G8</f>
        <v>44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>
        <v>108</v>
      </c>
      <c r="D9" s="198"/>
      <c r="E9" s="199"/>
      <c r="F9" s="199"/>
      <c r="G9" s="107"/>
      <c r="H9" s="108"/>
      <c r="I9" s="93">
        <f t="shared" ref="I9:J59" si="3">C9-G9</f>
        <v>108</v>
      </c>
      <c r="J9" s="103">
        <f t="shared" si="0"/>
        <v>0</v>
      </c>
      <c r="K9" s="64"/>
      <c r="L9" s="205"/>
      <c r="M9" s="205"/>
      <c r="N9" s="205"/>
      <c r="O9" s="205"/>
      <c r="P9" s="205"/>
      <c r="Q9" s="206"/>
      <c r="R9" s="128">
        <f t="shared" si="1"/>
        <v>0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>
        <v>139</v>
      </c>
      <c r="D11" s="195"/>
      <c r="E11" s="196"/>
      <c r="F11" s="196"/>
      <c r="G11" s="102">
        <v>7</v>
      </c>
      <c r="H11" s="93"/>
      <c r="I11" s="93">
        <f t="shared" si="3"/>
        <v>132</v>
      </c>
      <c r="J11" s="103">
        <f t="shared" si="0"/>
        <v>0</v>
      </c>
      <c r="K11" s="44"/>
      <c r="L11" s="196"/>
      <c r="M11" s="196"/>
      <c r="N11" s="196"/>
      <c r="O11" s="196"/>
      <c r="P11" s="196">
        <v>7</v>
      </c>
      <c r="Q11" s="204"/>
      <c r="R11" s="128">
        <f t="shared" si="1"/>
        <v>7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>
        <v>2</v>
      </c>
      <c r="D12" s="195"/>
      <c r="E12" s="196"/>
      <c r="F12" s="196"/>
      <c r="G12" s="102"/>
      <c r="H12" s="93"/>
      <c r="I12" s="93">
        <f t="shared" si="3"/>
        <v>2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>
        <v>3811</v>
      </c>
      <c r="D13" s="198">
        <v>2</v>
      </c>
      <c r="E13" s="199"/>
      <c r="F13" s="199"/>
      <c r="G13" s="107">
        <v>26</v>
      </c>
      <c r="H13" s="108">
        <v>4</v>
      </c>
      <c r="I13" s="93">
        <f t="shared" si="3"/>
        <v>3785</v>
      </c>
      <c r="J13" s="103">
        <f>D13-H13</f>
        <v>-2</v>
      </c>
      <c r="K13" s="68"/>
      <c r="L13" s="205">
        <v>5</v>
      </c>
      <c r="M13" s="205">
        <v>3</v>
      </c>
      <c r="N13" s="205">
        <v>8</v>
      </c>
      <c r="O13" s="205">
        <v>1</v>
      </c>
      <c r="P13" s="205">
        <v>13</v>
      </c>
      <c r="Q13" s="206"/>
      <c r="R13" s="128">
        <f>L13+N13+P13</f>
        <v>26</v>
      </c>
      <c r="S13" s="273">
        <f>M13+O13+Q13</f>
        <v>4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93">
        <f t="shared" si="3"/>
        <v>5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>
        <v>5</v>
      </c>
      <c r="D18" s="195"/>
      <c r="E18" s="196"/>
      <c r="F18" s="196"/>
      <c r="G18" s="102"/>
      <c r="H18" s="93"/>
      <c r="I18" s="93">
        <f t="shared" si="3"/>
        <v>5</v>
      </c>
      <c r="J18" s="103">
        <f t="shared" si="3"/>
        <v>0</v>
      </c>
      <c r="K18" s="44"/>
      <c r="L18" s="196"/>
      <c r="M18" s="196"/>
      <c r="N18" s="196"/>
      <c r="O18" s="196"/>
      <c r="P18" s="196"/>
      <c r="Q18" s="204"/>
      <c r="R18" s="128">
        <f t="shared" si="4"/>
        <v>0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3"/>
        <v>4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3"/>
        <v>6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3"/>
        <v>4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>
        <v>3</v>
      </c>
      <c r="D23" s="195"/>
      <c r="E23" s="196"/>
      <c r="F23" s="196"/>
      <c r="G23" s="102"/>
      <c r="H23" s="93"/>
      <c r="I23" s="93">
        <f t="shared" si="3"/>
        <v>3</v>
      </c>
      <c r="J23" s="103">
        <f t="shared" si="3"/>
        <v>0</v>
      </c>
      <c r="K23" s="45"/>
      <c r="L23" s="196"/>
      <c r="M23" s="196"/>
      <c r="N23" s="196"/>
      <c r="O23" s="196"/>
      <c r="P23" s="196"/>
      <c r="Q23" s="204"/>
      <c r="R23" s="128">
        <f t="shared" si="4"/>
        <v>0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>
        <v>54</v>
      </c>
      <c r="D24" s="195"/>
      <c r="E24" s="196"/>
      <c r="F24" s="196"/>
      <c r="G24" s="102"/>
      <c r="H24" s="93"/>
      <c r="I24" s="93">
        <f t="shared" si="3"/>
        <v>54</v>
      </c>
      <c r="J24" s="103">
        <f t="shared" si="3"/>
        <v>0</v>
      </c>
      <c r="K24" s="45"/>
      <c r="L24" s="196"/>
      <c r="M24" s="196"/>
      <c r="N24" s="196"/>
      <c r="O24" s="196"/>
      <c r="P24" s="196"/>
      <c r="Q24" s="204"/>
      <c r="R24" s="128">
        <f t="shared" si="4"/>
        <v>0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3"/>
        <v>7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>
        <v>115</v>
      </c>
      <c r="D26" s="195">
        <v>23</v>
      </c>
      <c r="E26" s="196"/>
      <c r="F26" s="196"/>
      <c r="G26" s="102">
        <v>2</v>
      </c>
      <c r="H26" s="93"/>
      <c r="I26" s="93">
        <f t="shared" si="3"/>
        <v>113</v>
      </c>
      <c r="J26" s="103">
        <f t="shared" si="3"/>
        <v>23</v>
      </c>
      <c r="K26" s="44"/>
      <c r="L26" s="196"/>
      <c r="M26" s="196"/>
      <c r="N26" s="196"/>
      <c r="O26" s="196"/>
      <c r="P26" s="196">
        <v>2</v>
      </c>
      <c r="Q26" s="204"/>
      <c r="R26" s="128">
        <f t="shared" si="4"/>
        <v>2</v>
      </c>
      <c r="S26" s="273">
        <f t="shared" si="4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>
        <v>2</v>
      </c>
      <c r="D27" s="195"/>
      <c r="E27" s="196"/>
      <c r="F27" s="196"/>
      <c r="G27" s="102"/>
      <c r="H27" s="93"/>
      <c r="I27" s="93">
        <f t="shared" si="3"/>
        <v>2</v>
      </c>
      <c r="J27" s="103">
        <f t="shared" si="3"/>
        <v>0</v>
      </c>
      <c r="K27" s="45"/>
      <c r="L27" s="196"/>
      <c r="M27" s="196"/>
      <c r="N27" s="196"/>
      <c r="O27" s="196"/>
      <c r="P27" s="196"/>
      <c r="Q27" s="204"/>
      <c r="R27" s="128">
        <f t="shared" si="4"/>
        <v>0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>
        <v>2</v>
      </c>
      <c r="D28" s="195"/>
      <c r="E28" s="196"/>
      <c r="F28" s="196"/>
      <c r="G28" s="102"/>
      <c r="H28" s="93"/>
      <c r="I28" s="93">
        <f t="shared" si="3"/>
        <v>2</v>
      </c>
      <c r="J28" s="103">
        <f t="shared" si="3"/>
        <v>0</v>
      </c>
      <c r="K28" s="45"/>
      <c r="L28" s="196"/>
      <c r="M28" s="196"/>
      <c r="N28" s="196"/>
      <c r="O28" s="196"/>
      <c r="P28" s="196"/>
      <c r="Q28" s="204"/>
      <c r="R28" s="128">
        <f t="shared" si="4"/>
        <v>0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>
        <v>69</v>
      </c>
      <c r="D29" s="195"/>
      <c r="E29" s="196"/>
      <c r="F29" s="196"/>
      <c r="G29" s="102">
        <v>5</v>
      </c>
      <c r="H29" s="93"/>
      <c r="I29" s="93">
        <f t="shared" si="3"/>
        <v>64</v>
      </c>
      <c r="J29" s="103">
        <f t="shared" si="3"/>
        <v>0</v>
      </c>
      <c r="K29" s="45"/>
      <c r="L29" s="196"/>
      <c r="M29" s="196"/>
      <c r="N29" s="196"/>
      <c r="O29" s="196"/>
      <c r="P29" s="196">
        <v>5</v>
      </c>
      <c r="Q29" s="204"/>
      <c r="R29" s="128">
        <f t="shared" si="4"/>
        <v>5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>
        <v>78</v>
      </c>
      <c r="D31" s="195"/>
      <c r="E31" s="196"/>
      <c r="F31" s="196"/>
      <c r="G31" s="102"/>
      <c r="H31" s="93"/>
      <c r="I31" s="93">
        <f t="shared" si="3"/>
        <v>78</v>
      </c>
      <c r="J31" s="103">
        <f t="shared" si="3"/>
        <v>0</v>
      </c>
      <c r="K31" s="44"/>
      <c r="L31" s="196"/>
      <c r="M31" s="196"/>
      <c r="N31" s="196"/>
      <c r="O31" s="196"/>
      <c r="P31" s="196"/>
      <c r="Q31" s="204"/>
      <c r="R31" s="128">
        <f t="shared" si="4"/>
        <v>0</v>
      </c>
      <c r="S31" s="273">
        <f t="shared" si="4"/>
        <v>0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>
        <v>2</v>
      </c>
      <c r="D32" s="195"/>
      <c r="E32" s="196"/>
      <c r="F32" s="196"/>
      <c r="G32" s="102"/>
      <c r="H32" s="93"/>
      <c r="I32" s="93">
        <f t="shared" si="3"/>
        <v>2</v>
      </c>
      <c r="J32" s="103">
        <f t="shared" si="3"/>
        <v>0</v>
      </c>
      <c r="K32" s="44"/>
      <c r="L32" s="196"/>
      <c r="M32" s="196"/>
      <c r="N32" s="196"/>
      <c r="O32" s="196"/>
      <c r="P32" s="196"/>
      <c r="Q32" s="204"/>
      <c r="R32" s="128">
        <f t="shared" si="4"/>
        <v>0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>
        <v>3</v>
      </c>
      <c r="D33" s="195"/>
      <c r="E33" s="196"/>
      <c r="F33" s="196"/>
      <c r="G33" s="102"/>
      <c r="H33" s="93"/>
      <c r="I33" s="93">
        <f t="shared" si="3"/>
        <v>3</v>
      </c>
      <c r="J33" s="103">
        <f t="shared" si="3"/>
        <v>0</v>
      </c>
      <c r="K33" s="44"/>
      <c r="L33" s="196"/>
      <c r="M33" s="196"/>
      <c r="N33" s="196"/>
      <c r="O33" s="196"/>
      <c r="P33" s="196"/>
      <c r="Q33" s="204"/>
      <c r="R33" s="128">
        <f t="shared" si="4"/>
        <v>0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>
        <v>200</v>
      </c>
      <c r="D35" s="195">
        <v>11</v>
      </c>
      <c r="E35" s="196"/>
      <c r="F35" s="196"/>
      <c r="G35" s="102">
        <v>3</v>
      </c>
      <c r="H35" s="93"/>
      <c r="I35" s="93">
        <f t="shared" si="3"/>
        <v>197</v>
      </c>
      <c r="J35" s="103">
        <f t="shared" si="3"/>
        <v>11</v>
      </c>
      <c r="K35" s="44"/>
      <c r="L35" s="196"/>
      <c r="M35" s="196"/>
      <c r="N35" s="196"/>
      <c r="O35" s="196"/>
      <c r="P35" s="196">
        <v>3</v>
      </c>
      <c r="Q35" s="204"/>
      <c r="R35" s="128">
        <f t="shared" si="4"/>
        <v>3</v>
      </c>
      <c r="S35" s="273">
        <f t="shared" si="4"/>
        <v>0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>
        <v>5510</v>
      </c>
      <c r="D38" s="198">
        <v>2</v>
      </c>
      <c r="E38" s="199"/>
      <c r="F38" s="199"/>
      <c r="G38" s="107">
        <v>183</v>
      </c>
      <c r="H38" s="108"/>
      <c r="I38" s="93">
        <f t="shared" si="3"/>
        <v>5327</v>
      </c>
      <c r="J38" s="103">
        <f t="shared" si="3"/>
        <v>2</v>
      </c>
      <c r="K38" s="64"/>
      <c r="L38" s="205">
        <v>22</v>
      </c>
      <c r="M38" s="205"/>
      <c r="N38" s="205">
        <v>18</v>
      </c>
      <c r="O38" s="205"/>
      <c r="P38" s="205">
        <v>143</v>
      </c>
      <c r="Q38" s="206"/>
      <c r="R38" s="128">
        <f t="shared" si="4"/>
        <v>183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>
        <v>11</v>
      </c>
      <c r="D39" s="195"/>
      <c r="E39" s="196"/>
      <c r="F39" s="196"/>
      <c r="G39" s="102"/>
      <c r="H39" s="93"/>
      <c r="I39" s="93">
        <f t="shared" si="3"/>
        <v>11</v>
      </c>
      <c r="J39" s="103">
        <f t="shared" si="3"/>
        <v>0</v>
      </c>
      <c r="K39" s="44"/>
      <c r="L39" s="196"/>
      <c r="M39" s="196"/>
      <c r="N39" s="196"/>
      <c r="O39" s="196"/>
      <c r="P39" s="196"/>
      <c r="Q39" s="204"/>
      <c r="R39" s="128">
        <f t="shared" si="4"/>
        <v>0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>
        <v>2</v>
      </c>
      <c r="D40" s="201"/>
      <c r="E40" s="202"/>
      <c r="F40" s="202"/>
      <c r="G40" s="121"/>
      <c r="H40" s="116"/>
      <c r="I40" s="93">
        <f t="shared" si="3"/>
        <v>2</v>
      </c>
      <c r="J40" s="103">
        <f t="shared" si="3"/>
        <v>0</v>
      </c>
      <c r="K40" s="44"/>
      <c r="L40" s="196"/>
      <c r="M40" s="196"/>
      <c r="N40" s="196"/>
      <c r="O40" s="196"/>
      <c r="P40" s="196"/>
      <c r="Q40" s="204"/>
      <c r="R40" s="128">
        <f t="shared" si="4"/>
        <v>0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>
        <v>823</v>
      </c>
      <c r="D41" s="198">
        <v>12</v>
      </c>
      <c r="E41" s="199"/>
      <c r="F41" s="199"/>
      <c r="G41" s="107">
        <v>2</v>
      </c>
      <c r="H41" s="108"/>
      <c r="I41" s="93">
        <f t="shared" si="3"/>
        <v>821</v>
      </c>
      <c r="J41" s="103">
        <f t="shared" si="3"/>
        <v>12</v>
      </c>
      <c r="K41" s="64"/>
      <c r="L41" s="196"/>
      <c r="M41" s="196"/>
      <c r="N41" s="196"/>
      <c r="O41" s="196"/>
      <c r="P41" s="196">
        <v>2</v>
      </c>
      <c r="Q41" s="204"/>
      <c r="R41" s="128">
        <f t="shared" si="4"/>
        <v>2</v>
      </c>
      <c r="S41" s="273">
        <f t="shared" si="4"/>
        <v>0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>
        <v>1916</v>
      </c>
      <c r="D42" s="268"/>
      <c r="E42" s="269"/>
      <c r="F42" s="269"/>
      <c r="G42" s="111">
        <v>27</v>
      </c>
      <c r="H42" s="112"/>
      <c r="I42" s="93">
        <f t="shared" si="3"/>
        <v>1889</v>
      </c>
      <c r="J42" s="103">
        <f t="shared" si="3"/>
        <v>0</v>
      </c>
      <c r="K42" s="69"/>
      <c r="L42" s="269">
        <v>2</v>
      </c>
      <c r="M42" s="269"/>
      <c r="N42" s="269">
        <v>5</v>
      </c>
      <c r="O42" s="269"/>
      <c r="P42" s="269">
        <v>20</v>
      </c>
      <c r="Q42" s="270"/>
      <c r="R42" s="128">
        <f t="shared" si="4"/>
        <v>27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>
        <v>29214</v>
      </c>
      <c r="D44" s="198"/>
      <c r="E44" s="199"/>
      <c r="F44" s="199"/>
      <c r="G44" s="107">
        <v>912</v>
      </c>
      <c r="H44" s="108"/>
      <c r="I44" s="93">
        <f t="shared" si="3"/>
        <v>28302</v>
      </c>
      <c r="J44" s="103">
        <f t="shared" si="3"/>
        <v>0</v>
      </c>
      <c r="K44" s="64"/>
      <c r="L44" s="205">
        <v>235</v>
      </c>
      <c r="M44" s="205"/>
      <c r="N44" s="205">
        <v>203</v>
      </c>
      <c r="O44" s="205"/>
      <c r="P44" s="205">
        <v>474</v>
      </c>
      <c r="Q44" s="206"/>
      <c r="R44" s="128">
        <f t="shared" si="4"/>
        <v>912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>
        <v>2395</v>
      </c>
      <c r="D48" s="195">
        <v>5</v>
      </c>
      <c r="E48" s="196"/>
      <c r="F48" s="196"/>
      <c r="G48" s="102">
        <v>7</v>
      </c>
      <c r="H48" s="93"/>
      <c r="I48" s="93">
        <f t="shared" si="3"/>
        <v>2388</v>
      </c>
      <c r="J48" s="103">
        <f t="shared" si="3"/>
        <v>5</v>
      </c>
      <c r="K48" s="44"/>
      <c r="L48" s="196"/>
      <c r="M48" s="196"/>
      <c r="N48" s="196">
        <v>3</v>
      </c>
      <c r="O48" s="196"/>
      <c r="P48" s="196">
        <v>4</v>
      </c>
      <c r="Q48" s="204"/>
      <c r="R48" s="128">
        <f t="shared" si="4"/>
        <v>7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>
        <v>1</v>
      </c>
      <c r="D50" s="195"/>
      <c r="E50" s="196"/>
      <c r="F50" s="196"/>
      <c r="G50" s="102"/>
      <c r="H50" s="93"/>
      <c r="I50" s="93">
        <f t="shared" si="3"/>
        <v>1</v>
      </c>
      <c r="J50" s="103">
        <f t="shared" si="3"/>
        <v>0</v>
      </c>
      <c r="K50" s="44"/>
      <c r="L50" s="196"/>
      <c r="M50" s="196"/>
      <c r="N50" s="196"/>
      <c r="O50" s="196"/>
      <c r="P50" s="196"/>
      <c r="Q50" s="204"/>
      <c r="R50" s="128">
        <f t="shared" si="4"/>
        <v>0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>
        <v>3</v>
      </c>
      <c r="D51" s="195"/>
      <c r="E51" s="196"/>
      <c r="F51" s="196"/>
      <c r="G51" s="102"/>
      <c r="H51" s="93"/>
      <c r="I51" s="93">
        <f t="shared" si="3"/>
        <v>3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3"/>
        <v>34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/>
      <c r="D54" s="195"/>
      <c r="E54" s="196"/>
      <c r="F54" s="196"/>
      <c r="G54" s="102"/>
      <c r="H54" s="93"/>
      <c r="I54" s="93">
        <f t="shared" si="3"/>
        <v>0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44572</v>
      </c>
      <c r="D60" s="71">
        <f>SUM(D8:D59)</f>
        <v>55</v>
      </c>
      <c r="E60" s="47">
        <f>SUM(E8:E59)</f>
        <v>0</v>
      </c>
      <c r="F60" s="47"/>
      <c r="G60" s="31">
        <f>SUM(G8:G59)</f>
        <v>1174</v>
      </c>
      <c r="H60" s="73">
        <f>SUM(H8:H59)</f>
        <v>4</v>
      </c>
      <c r="I60" s="73">
        <f>SUM(I8:I59)</f>
        <v>43398</v>
      </c>
      <c r="J60" s="48">
        <f>SUM(J8:J59)</f>
        <v>51</v>
      </c>
      <c r="K60" s="49"/>
      <c r="L60" s="98">
        <f t="shared" ref="L60:S60" si="5">SUM(L8:L59)</f>
        <v>264</v>
      </c>
      <c r="M60" s="98">
        <f t="shared" si="5"/>
        <v>3</v>
      </c>
      <c r="N60" s="98">
        <f t="shared" si="5"/>
        <v>237</v>
      </c>
      <c r="O60" s="98">
        <f t="shared" si="5"/>
        <v>1</v>
      </c>
      <c r="P60" s="98">
        <f t="shared" si="5"/>
        <v>673</v>
      </c>
      <c r="Q60" s="99">
        <f t="shared" si="5"/>
        <v>0</v>
      </c>
      <c r="R60" s="127">
        <f t="shared" si="5"/>
        <v>1174</v>
      </c>
      <c r="S60" s="124">
        <f t="shared" si="5"/>
        <v>4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34" t="s">
        <v>3</v>
      </c>
      <c r="D69" s="135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34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9603-8493-4677-B323-3D25A9118F36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46058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36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44</v>
      </c>
      <c r="D8" s="195"/>
      <c r="E8" s="196"/>
      <c r="F8" s="196"/>
      <c r="G8" s="102">
        <v>2</v>
      </c>
      <c r="H8" s="93"/>
      <c r="I8" s="93">
        <f>C8-G8</f>
        <v>42</v>
      </c>
      <c r="J8" s="103">
        <f t="shared" ref="J8:J12" si="0">D8-H8</f>
        <v>0</v>
      </c>
      <c r="K8" s="44"/>
      <c r="L8" s="196">
        <v>1</v>
      </c>
      <c r="M8" s="196"/>
      <c r="N8" s="196"/>
      <c r="O8" s="196"/>
      <c r="P8" s="196">
        <v>1</v>
      </c>
      <c r="Q8" s="204"/>
      <c r="R8" s="128">
        <f t="shared" ref="R8:S12" si="1">L8+N8+P8</f>
        <v>2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>
        <v>108</v>
      </c>
      <c r="D9" s="198"/>
      <c r="E9" s="199"/>
      <c r="F9" s="199"/>
      <c r="G9" s="107">
        <v>1</v>
      </c>
      <c r="H9" s="108"/>
      <c r="I9" s="93">
        <f t="shared" ref="I9:J59" si="3">C9-G9</f>
        <v>107</v>
      </c>
      <c r="J9" s="103">
        <f t="shared" si="0"/>
        <v>0</v>
      </c>
      <c r="K9" s="64"/>
      <c r="L9" s="205"/>
      <c r="M9" s="205"/>
      <c r="N9" s="205"/>
      <c r="O9" s="205"/>
      <c r="P9" s="205">
        <v>1</v>
      </c>
      <c r="Q9" s="206"/>
      <c r="R9" s="128">
        <f t="shared" si="1"/>
        <v>1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>
        <v>132</v>
      </c>
      <c r="D11" s="195"/>
      <c r="E11" s="196"/>
      <c r="F11" s="196"/>
      <c r="G11" s="102">
        <v>8</v>
      </c>
      <c r="H11" s="93"/>
      <c r="I11" s="93">
        <f t="shared" si="3"/>
        <v>124</v>
      </c>
      <c r="J11" s="103">
        <f t="shared" si="0"/>
        <v>0</v>
      </c>
      <c r="K11" s="44"/>
      <c r="L11" s="196">
        <v>4</v>
      </c>
      <c r="M11" s="196"/>
      <c r="N11" s="196">
        <v>4</v>
      </c>
      <c r="O11" s="196"/>
      <c r="P11" s="196"/>
      <c r="Q11" s="204"/>
      <c r="R11" s="128">
        <f t="shared" si="1"/>
        <v>8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>
        <v>2</v>
      </c>
      <c r="D12" s="195"/>
      <c r="E12" s="196"/>
      <c r="F12" s="196"/>
      <c r="G12" s="102"/>
      <c r="H12" s="93"/>
      <c r="I12" s="93">
        <f t="shared" si="3"/>
        <v>2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>
        <v>3784</v>
      </c>
      <c r="D13" s="198">
        <v>22</v>
      </c>
      <c r="E13" s="199"/>
      <c r="F13" s="199"/>
      <c r="G13" s="107">
        <v>22</v>
      </c>
      <c r="H13" s="108">
        <v>17</v>
      </c>
      <c r="I13" s="93">
        <f t="shared" si="3"/>
        <v>3762</v>
      </c>
      <c r="J13" s="103">
        <f>D13-H13</f>
        <v>5</v>
      </c>
      <c r="K13" s="68"/>
      <c r="L13" s="205">
        <v>4</v>
      </c>
      <c r="M13" s="205">
        <v>6</v>
      </c>
      <c r="N13" s="205">
        <v>8</v>
      </c>
      <c r="O13" s="205">
        <v>2</v>
      </c>
      <c r="P13" s="205">
        <v>10</v>
      </c>
      <c r="Q13" s="206">
        <v>9</v>
      </c>
      <c r="R13" s="128">
        <f>L13+N13+P13</f>
        <v>22</v>
      </c>
      <c r="S13" s="273">
        <f>M13+O13+Q13</f>
        <v>17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/>
      <c r="D14" s="195"/>
      <c r="E14" s="196"/>
      <c r="F14" s="196"/>
      <c r="G14" s="102"/>
      <c r="H14" s="93"/>
      <c r="I14" s="93">
        <f t="shared" si="3"/>
        <v>0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>
        <v>5</v>
      </c>
      <c r="D18" s="195"/>
      <c r="E18" s="196"/>
      <c r="F18" s="196"/>
      <c r="G18" s="102"/>
      <c r="H18" s="93"/>
      <c r="I18" s="93">
        <f t="shared" si="3"/>
        <v>5</v>
      </c>
      <c r="J18" s="103">
        <f t="shared" si="3"/>
        <v>0</v>
      </c>
      <c r="K18" s="44"/>
      <c r="L18" s="196"/>
      <c r="M18" s="196"/>
      <c r="N18" s="196"/>
      <c r="O18" s="196"/>
      <c r="P18" s="196"/>
      <c r="Q18" s="204"/>
      <c r="R18" s="128">
        <f t="shared" si="4"/>
        <v>0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3"/>
        <v>4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3"/>
        <v>6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3"/>
        <v>4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>
        <v>3</v>
      </c>
      <c r="D23" s="195"/>
      <c r="E23" s="196"/>
      <c r="F23" s="196"/>
      <c r="G23" s="102"/>
      <c r="H23" s="93"/>
      <c r="I23" s="93">
        <f t="shared" si="3"/>
        <v>3</v>
      </c>
      <c r="J23" s="103">
        <f t="shared" si="3"/>
        <v>0</v>
      </c>
      <c r="K23" s="45"/>
      <c r="L23" s="196"/>
      <c r="M23" s="196"/>
      <c r="N23" s="196"/>
      <c r="O23" s="196"/>
      <c r="P23" s="196"/>
      <c r="Q23" s="204"/>
      <c r="R23" s="128">
        <f t="shared" si="4"/>
        <v>0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>
        <v>54</v>
      </c>
      <c r="D24" s="195"/>
      <c r="E24" s="196"/>
      <c r="F24" s="196"/>
      <c r="G24" s="102">
        <v>3</v>
      </c>
      <c r="H24" s="93"/>
      <c r="I24" s="93">
        <f t="shared" si="3"/>
        <v>51</v>
      </c>
      <c r="J24" s="103">
        <f t="shared" si="3"/>
        <v>0</v>
      </c>
      <c r="K24" s="45"/>
      <c r="L24" s="196">
        <v>3</v>
      </c>
      <c r="M24" s="196"/>
      <c r="N24" s="196"/>
      <c r="O24" s="196"/>
      <c r="P24" s="196"/>
      <c r="Q24" s="204"/>
      <c r="R24" s="128">
        <f t="shared" si="4"/>
        <v>3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3"/>
        <v>7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>
        <v>113</v>
      </c>
      <c r="D26" s="195">
        <v>23</v>
      </c>
      <c r="E26" s="196"/>
      <c r="F26" s="196"/>
      <c r="G26" s="102">
        <v>4</v>
      </c>
      <c r="H26" s="93"/>
      <c r="I26" s="93">
        <f t="shared" si="3"/>
        <v>109</v>
      </c>
      <c r="J26" s="103">
        <f t="shared" si="3"/>
        <v>23</v>
      </c>
      <c r="K26" s="44"/>
      <c r="L26" s="196"/>
      <c r="M26" s="196"/>
      <c r="N26" s="196"/>
      <c r="O26" s="196"/>
      <c r="P26" s="196">
        <v>4</v>
      </c>
      <c r="Q26" s="204"/>
      <c r="R26" s="128">
        <f t="shared" si="4"/>
        <v>4</v>
      </c>
      <c r="S26" s="273">
        <f t="shared" si="4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>
        <v>2</v>
      </c>
      <c r="D27" s="195"/>
      <c r="E27" s="196"/>
      <c r="F27" s="196"/>
      <c r="G27" s="102"/>
      <c r="H27" s="93"/>
      <c r="I27" s="93">
        <f t="shared" si="3"/>
        <v>2</v>
      </c>
      <c r="J27" s="103">
        <f t="shared" si="3"/>
        <v>0</v>
      </c>
      <c r="K27" s="45"/>
      <c r="L27" s="196"/>
      <c r="M27" s="196"/>
      <c r="N27" s="196"/>
      <c r="O27" s="196"/>
      <c r="P27" s="196"/>
      <c r="Q27" s="204"/>
      <c r="R27" s="128">
        <f t="shared" si="4"/>
        <v>0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>
        <v>2</v>
      </c>
      <c r="D28" s="195"/>
      <c r="E28" s="196"/>
      <c r="F28" s="196"/>
      <c r="G28" s="102"/>
      <c r="H28" s="93"/>
      <c r="I28" s="93">
        <f t="shared" si="3"/>
        <v>2</v>
      </c>
      <c r="J28" s="103">
        <f t="shared" si="3"/>
        <v>0</v>
      </c>
      <c r="K28" s="45"/>
      <c r="L28" s="196"/>
      <c r="M28" s="196"/>
      <c r="N28" s="196"/>
      <c r="O28" s="196"/>
      <c r="P28" s="196"/>
      <c r="Q28" s="204"/>
      <c r="R28" s="128">
        <f t="shared" si="4"/>
        <v>0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>
        <v>64</v>
      </c>
      <c r="D29" s="195"/>
      <c r="E29" s="196"/>
      <c r="F29" s="196"/>
      <c r="G29" s="102">
        <v>6</v>
      </c>
      <c r="H29" s="93"/>
      <c r="I29" s="93">
        <f t="shared" si="3"/>
        <v>58</v>
      </c>
      <c r="J29" s="103">
        <f t="shared" si="3"/>
        <v>0</v>
      </c>
      <c r="K29" s="45"/>
      <c r="L29" s="196">
        <v>2</v>
      </c>
      <c r="M29" s="196"/>
      <c r="N29" s="196">
        <v>1</v>
      </c>
      <c r="O29" s="196"/>
      <c r="P29" s="196">
        <v>3</v>
      </c>
      <c r="Q29" s="204"/>
      <c r="R29" s="128">
        <f t="shared" si="4"/>
        <v>6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>
        <v>78</v>
      </c>
      <c r="D31" s="195"/>
      <c r="E31" s="196"/>
      <c r="F31" s="196"/>
      <c r="G31" s="102"/>
      <c r="H31" s="93"/>
      <c r="I31" s="93">
        <f t="shared" si="3"/>
        <v>78</v>
      </c>
      <c r="J31" s="103">
        <f t="shared" si="3"/>
        <v>0</v>
      </c>
      <c r="K31" s="44"/>
      <c r="L31" s="196"/>
      <c r="M31" s="196"/>
      <c r="N31" s="196"/>
      <c r="O31" s="196"/>
      <c r="P31" s="196"/>
      <c r="Q31" s="204"/>
      <c r="R31" s="128">
        <f t="shared" si="4"/>
        <v>0</v>
      </c>
      <c r="S31" s="273">
        <f t="shared" si="4"/>
        <v>0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>
        <v>2</v>
      </c>
      <c r="D32" s="195"/>
      <c r="E32" s="196"/>
      <c r="F32" s="196"/>
      <c r="G32" s="102">
        <v>2</v>
      </c>
      <c r="H32" s="93"/>
      <c r="I32" s="93">
        <f t="shared" si="3"/>
        <v>0</v>
      </c>
      <c r="J32" s="103">
        <f t="shared" si="3"/>
        <v>0</v>
      </c>
      <c r="K32" s="44"/>
      <c r="L32" s="196">
        <v>1</v>
      </c>
      <c r="M32" s="196"/>
      <c r="N32" s="196">
        <v>1</v>
      </c>
      <c r="O32" s="196"/>
      <c r="P32" s="196"/>
      <c r="Q32" s="204"/>
      <c r="R32" s="128">
        <f t="shared" si="4"/>
        <v>2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>
        <v>3</v>
      </c>
      <c r="D33" s="195"/>
      <c r="E33" s="196"/>
      <c r="F33" s="196"/>
      <c r="G33" s="102">
        <v>1</v>
      </c>
      <c r="H33" s="93"/>
      <c r="I33" s="93">
        <f t="shared" si="3"/>
        <v>2</v>
      </c>
      <c r="J33" s="103">
        <f t="shared" si="3"/>
        <v>0</v>
      </c>
      <c r="K33" s="44"/>
      <c r="L33" s="196"/>
      <c r="M33" s="196"/>
      <c r="N33" s="196">
        <v>1</v>
      </c>
      <c r="O33" s="196"/>
      <c r="P33" s="196"/>
      <c r="Q33" s="204"/>
      <c r="R33" s="128">
        <f t="shared" si="4"/>
        <v>1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>
        <v>197</v>
      </c>
      <c r="D35" s="195">
        <v>11</v>
      </c>
      <c r="E35" s="196"/>
      <c r="F35" s="196"/>
      <c r="G35" s="102">
        <v>2</v>
      </c>
      <c r="H35" s="93">
        <v>12</v>
      </c>
      <c r="I35" s="93">
        <f t="shared" si="3"/>
        <v>195</v>
      </c>
      <c r="J35" s="103">
        <f t="shared" si="3"/>
        <v>-1</v>
      </c>
      <c r="K35" s="44"/>
      <c r="L35" s="196"/>
      <c r="M35" s="196"/>
      <c r="N35" s="196">
        <v>2</v>
      </c>
      <c r="O35" s="196"/>
      <c r="P35" s="196"/>
      <c r="Q35" s="204">
        <v>12</v>
      </c>
      <c r="R35" s="128">
        <f t="shared" si="4"/>
        <v>2</v>
      </c>
      <c r="S35" s="273">
        <f t="shared" si="4"/>
        <v>12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>
        <v>5327</v>
      </c>
      <c r="D38" s="198">
        <v>2</v>
      </c>
      <c r="E38" s="199"/>
      <c r="F38" s="199"/>
      <c r="G38" s="107">
        <v>68</v>
      </c>
      <c r="H38" s="108"/>
      <c r="I38" s="93">
        <f t="shared" si="3"/>
        <v>5259</v>
      </c>
      <c r="J38" s="103">
        <f t="shared" si="3"/>
        <v>2</v>
      </c>
      <c r="K38" s="64"/>
      <c r="L38" s="205">
        <v>33</v>
      </c>
      <c r="M38" s="205"/>
      <c r="N38" s="205">
        <v>29</v>
      </c>
      <c r="O38" s="205"/>
      <c r="P38" s="205">
        <v>6</v>
      </c>
      <c r="Q38" s="206"/>
      <c r="R38" s="128">
        <f t="shared" si="4"/>
        <v>68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>
        <v>11</v>
      </c>
      <c r="D39" s="195"/>
      <c r="E39" s="196"/>
      <c r="F39" s="196"/>
      <c r="G39" s="102"/>
      <c r="H39" s="93"/>
      <c r="I39" s="93">
        <f t="shared" si="3"/>
        <v>11</v>
      </c>
      <c r="J39" s="103">
        <f t="shared" si="3"/>
        <v>0</v>
      </c>
      <c r="K39" s="44"/>
      <c r="L39" s="196"/>
      <c r="M39" s="196"/>
      <c r="N39" s="196"/>
      <c r="O39" s="196"/>
      <c r="P39" s="196"/>
      <c r="Q39" s="204"/>
      <c r="R39" s="128">
        <f t="shared" si="4"/>
        <v>0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>
        <v>2</v>
      </c>
      <c r="D40" s="201"/>
      <c r="E40" s="202"/>
      <c r="F40" s="202"/>
      <c r="G40" s="121"/>
      <c r="H40" s="116"/>
      <c r="I40" s="93">
        <f t="shared" si="3"/>
        <v>2</v>
      </c>
      <c r="J40" s="103">
        <f t="shared" si="3"/>
        <v>0</v>
      </c>
      <c r="K40" s="44"/>
      <c r="L40" s="196"/>
      <c r="M40" s="196"/>
      <c r="N40" s="196"/>
      <c r="O40" s="196"/>
      <c r="P40" s="196"/>
      <c r="Q40" s="204"/>
      <c r="R40" s="128">
        <f t="shared" si="4"/>
        <v>0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>
        <v>821</v>
      </c>
      <c r="D41" s="198">
        <v>12</v>
      </c>
      <c r="E41" s="199"/>
      <c r="F41" s="199"/>
      <c r="G41" s="107"/>
      <c r="H41" s="108"/>
      <c r="I41" s="93">
        <f t="shared" si="3"/>
        <v>821</v>
      </c>
      <c r="J41" s="103">
        <f t="shared" si="3"/>
        <v>12</v>
      </c>
      <c r="K41" s="64"/>
      <c r="L41" s="196"/>
      <c r="M41" s="196"/>
      <c r="N41" s="196"/>
      <c r="O41" s="196"/>
      <c r="P41" s="196"/>
      <c r="Q41" s="204"/>
      <c r="R41" s="128">
        <f t="shared" si="4"/>
        <v>0</v>
      </c>
      <c r="S41" s="273">
        <f t="shared" si="4"/>
        <v>0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>
        <v>1889</v>
      </c>
      <c r="D42" s="268"/>
      <c r="E42" s="269"/>
      <c r="F42" s="269"/>
      <c r="G42" s="111">
        <v>1</v>
      </c>
      <c r="H42" s="112"/>
      <c r="I42" s="93">
        <f t="shared" si="3"/>
        <v>1888</v>
      </c>
      <c r="J42" s="103">
        <f t="shared" si="3"/>
        <v>0</v>
      </c>
      <c r="K42" s="69"/>
      <c r="L42" s="269">
        <v>1</v>
      </c>
      <c r="M42" s="269"/>
      <c r="N42" s="269"/>
      <c r="O42" s="269"/>
      <c r="P42" s="269"/>
      <c r="Q42" s="270"/>
      <c r="R42" s="128">
        <f t="shared" si="4"/>
        <v>1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>
        <f>28302</f>
        <v>28302</v>
      </c>
      <c r="D44" s="198"/>
      <c r="E44" s="199"/>
      <c r="F44" s="199"/>
      <c r="G44" s="107">
        <v>660</v>
      </c>
      <c r="H44" s="108"/>
      <c r="I44" s="93">
        <f t="shared" si="3"/>
        <v>27642</v>
      </c>
      <c r="J44" s="103">
        <f t="shared" si="3"/>
        <v>0</v>
      </c>
      <c r="K44" s="64"/>
      <c r="L44" s="205">
        <v>207</v>
      </c>
      <c r="M44" s="205"/>
      <c r="N44" s="205">
        <v>205</v>
      </c>
      <c r="O44" s="205"/>
      <c r="P44" s="205">
        <v>248</v>
      </c>
      <c r="Q44" s="206"/>
      <c r="R44" s="128">
        <f t="shared" si="4"/>
        <v>660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>
        <v>2388</v>
      </c>
      <c r="D48" s="195">
        <v>5</v>
      </c>
      <c r="E48" s="196"/>
      <c r="F48" s="196"/>
      <c r="G48" s="102"/>
      <c r="H48" s="93"/>
      <c r="I48" s="93">
        <f t="shared" si="3"/>
        <v>2388</v>
      </c>
      <c r="J48" s="103">
        <f t="shared" si="3"/>
        <v>5</v>
      </c>
      <c r="K48" s="44"/>
      <c r="L48" s="196"/>
      <c r="M48" s="196"/>
      <c r="N48" s="196"/>
      <c r="O48" s="196"/>
      <c r="P48" s="196"/>
      <c r="Q48" s="204"/>
      <c r="R48" s="128">
        <f t="shared" si="4"/>
        <v>0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>
        <v>1</v>
      </c>
      <c r="D50" s="195"/>
      <c r="E50" s="196"/>
      <c r="F50" s="196"/>
      <c r="G50" s="102"/>
      <c r="H50" s="93"/>
      <c r="I50" s="93">
        <f t="shared" si="3"/>
        <v>1</v>
      </c>
      <c r="J50" s="103">
        <f t="shared" si="3"/>
        <v>0</v>
      </c>
      <c r="K50" s="44"/>
      <c r="L50" s="196"/>
      <c r="M50" s="196"/>
      <c r="N50" s="196"/>
      <c r="O50" s="196"/>
      <c r="P50" s="196">
        <v>1</v>
      </c>
      <c r="Q50" s="204"/>
      <c r="R50" s="128">
        <f t="shared" si="4"/>
        <v>1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3"/>
        <v>0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3"/>
        <v>34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>
        <v>3</v>
      </c>
      <c r="D54" s="195"/>
      <c r="E54" s="196"/>
      <c r="F54" s="196"/>
      <c r="G54" s="102"/>
      <c r="H54" s="93"/>
      <c r="I54" s="93">
        <f t="shared" si="3"/>
        <v>3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43392</v>
      </c>
      <c r="D60" s="71">
        <f>SUM(D8:D59)</f>
        <v>75</v>
      </c>
      <c r="E60" s="47">
        <f>SUM(E8:E59)</f>
        <v>0</v>
      </c>
      <c r="F60" s="47"/>
      <c r="G60" s="31">
        <f>SUM(G8:G59)</f>
        <v>780</v>
      </c>
      <c r="H60" s="73">
        <f>SUM(H8:H59)</f>
        <v>29</v>
      </c>
      <c r="I60" s="73">
        <f>SUM(I8:I59)</f>
        <v>42612</v>
      </c>
      <c r="J60" s="48">
        <f>SUM(J8:J59)</f>
        <v>46</v>
      </c>
      <c r="K60" s="49"/>
      <c r="L60" s="98">
        <f t="shared" ref="L60:S60" si="5">SUM(L8:L59)</f>
        <v>256</v>
      </c>
      <c r="M60" s="98">
        <f t="shared" si="5"/>
        <v>6</v>
      </c>
      <c r="N60" s="98">
        <f t="shared" si="5"/>
        <v>251</v>
      </c>
      <c r="O60" s="98">
        <f t="shared" si="5"/>
        <v>2</v>
      </c>
      <c r="P60" s="98">
        <f t="shared" si="5"/>
        <v>274</v>
      </c>
      <c r="Q60" s="99">
        <f t="shared" si="5"/>
        <v>21</v>
      </c>
      <c r="R60" s="127">
        <f t="shared" si="5"/>
        <v>781</v>
      </c>
      <c r="S60" s="124">
        <f t="shared" si="5"/>
        <v>29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34" t="s">
        <v>3</v>
      </c>
      <c r="D69" s="135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34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28F5-B2C7-476D-AD3B-024025A55A62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46058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42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/>
      <c r="D8" s="195"/>
      <c r="E8" s="196"/>
      <c r="F8" s="196"/>
      <c r="G8" s="102"/>
      <c r="H8" s="93"/>
      <c r="I8" s="93">
        <f>C8-G8</f>
        <v>0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/>
      <c r="D9" s="198"/>
      <c r="E9" s="199"/>
      <c r="F9" s="199"/>
      <c r="G9" s="107"/>
      <c r="H9" s="108"/>
      <c r="I9" s="93">
        <f t="shared" ref="I9:J59" si="3">C9-G9</f>
        <v>0</v>
      </c>
      <c r="J9" s="103">
        <f t="shared" si="0"/>
        <v>0</v>
      </c>
      <c r="K9" s="64"/>
      <c r="L9" s="205"/>
      <c r="M9" s="205"/>
      <c r="N9" s="205"/>
      <c r="O9" s="205"/>
      <c r="P9" s="205"/>
      <c r="Q9" s="206"/>
      <c r="R9" s="128">
        <f t="shared" si="1"/>
        <v>0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/>
      <c r="D11" s="195"/>
      <c r="E11" s="196"/>
      <c r="F11" s="196"/>
      <c r="G11" s="102"/>
      <c r="H11" s="93"/>
      <c r="I11" s="93">
        <f t="shared" si="3"/>
        <v>0</v>
      </c>
      <c r="J11" s="103">
        <f t="shared" si="0"/>
        <v>0</v>
      </c>
      <c r="K11" s="44"/>
      <c r="L11" s="196"/>
      <c r="M11" s="196"/>
      <c r="N11" s="196"/>
      <c r="O11" s="196"/>
      <c r="P11" s="196"/>
      <c r="Q11" s="204"/>
      <c r="R11" s="128">
        <f t="shared" si="1"/>
        <v>0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/>
      <c r="D12" s="195"/>
      <c r="E12" s="196"/>
      <c r="F12" s="196"/>
      <c r="G12" s="102"/>
      <c r="H12" s="93"/>
      <c r="I12" s="93">
        <f t="shared" si="3"/>
        <v>0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/>
      <c r="D13" s="198"/>
      <c r="E13" s="199"/>
      <c r="F13" s="199"/>
      <c r="G13" s="107"/>
      <c r="H13" s="108"/>
      <c r="I13" s="93">
        <f t="shared" si="3"/>
        <v>0</v>
      </c>
      <c r="J13" s="103">
        <f>D13-H13</f>
        <v>0</v>
      </c>
      <c r="K13" s="68"/>
      <c r="L13" s="205"/>
      <c r="M13" s="205"/>
      <c r="N13" s="205"/>
      <c r="O13" s="205"/>
      <c r="P13" s="205"/>
      <c r="Q13" s="206"/>
      <c r="R13" s="128">
        <f>L13+N13+P13</f>
        <v>0</v>
      </c>
      <c r="S13" s="273">
        <f>M13+O13+Q13</f>
        <v>0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/>
      <c r="D14" s="195"/>
      <c r="E14" s="196"/>
      <c r="F14" s="196"/>
      <c r="G14" s="102"/>
      <c r="H14" s="93"/>
      <c r="I14" s="93">
        <f t="shared" si="3"/>
        <v>0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/>
      <c r="D18" s="195"/>
      <c r="E18" s="196"/>
      <c r="F18" s="196"/>
      <c r="G18" s="102"/>
      <c r="H18" s="93"/>
      <c r="I18" s="93">
        <f t="shared" si="3"/>
        <v>0</v>
      </c>
      <c r="J18" s="103">
        <f t="shared" si="3"/>
        <v>0</v>
      </c>
      <c r="K18" s="44"/>
      <c r="L18" s="196"/>
      <c r="M18" s="196"/>
      <c r="N18" s="196"/>
      <c r="O18" s="196"/>
      <c r="P18" s="196"/>
      <c r="Q18" s="204"/>
      <c r="R18" s="128">
        <f t="shared" si="4"/>
        <v>0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/>
      <c r="D20" s="195"/>
      <c r="E20" s="196"/>
      <c r="F20" s="196"/>
      <c r="G20" s="102"/>
      <c r="H20" s="93"/>
      <c r="I20" s="93">
        <f t="shared" si="3"/>
        <v>0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/>
      <c r="D21" s="195"/>
      <c r="E21" s="196"/>
      <c r="F21" s="196"/>
      <c r="G21" s="102"/>
      <c r="H21" s="93"/>
      <c r="I21" s="93">
        <f t="shared" si="3"/>
        <v>0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/>
      <c r="D22" s="195"/>
      <c r="E22" s="196"/>
      <c r="F22" s="196"/>
      <c r="G22" s="102"/>
      <c r="H22" s="93"/>
      <c r="I22" s="93">
        <f t="shared" si="3"/>
        <v>0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/>
      <c r="D23" s="195"/>
      <c r="E23" s="196"/>
      <c r="F23" s="196"/>
      <c r="G23" s="102"/>
      <c r="H23" s="93"/>
      <c r="I23" s="93">
        <f t="shared" si="3"/>
        <v>0</v>
      </c>
      <c r="J23" s="103">
        <f t="shared" si="3"/>
        <v>0</v>
      </c>
      <c r="K23" s="45"/>
      <c r="L23" s="196"/>
      <c r="M23" s="196"/>
      <c r="N23" s="196"/>
      <c r="O23" s="196"/>
      <c r="P23" s="196"/>
      <c r="Q23" s="204"/>
      <c r="R23" s="128">
        <f t="shared" si="4"/>
        <v>0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/>
      <c r="D24" s="195"/>
      <c r="E24" s="196"/>
      <c r="F24" s="196"/>
      <c r="G24" s="102"/>
      <c r="H24" s="93"/>
      <c r="I24" s="93">
        <f t="shared" si="3"/>
        <v>0</v>
      </c>
      <c r="J24" s="103">
        <f t="shared" si="3"/>
        <v>0</v>
      </c>
      <c r="K24" s="45"/>
      <c r="L24" s="196"/>
      <c r="M24" s="196"/>
      <c r="N24" s="196"/>
      <c r="O24" s="196"/>
      <c r="P24" s="196"/>
      <c r="Q24" s="204"/>
      <c r="R24" s="128">
        <f t="shared" si="4"/>
        <v>0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/>
      <c r="D25" s="195"/>
      <c r="E25" s="196"/>
      <c r="F25" s="196"/>
      <c r="G25" s="102"/>
      <c r="H25" s="93"/>
      <c r="I25" s="93">
        <f t="shared" si="3"/>
        <v>0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/>
      <c r="D26" s="195"/>
      <c r="E26" s="196"/>
      <c r="F26" s="196"/>
      <c r="G26" s="102"/>
      <c r="H26" s="93"/>
      <c r="I26" s="93">
        <f t="shared" si="3"/>
        <v>0</v>
      </c>
      <c r="J26" s="103">
        <f t="shared" si="3"/>
        <v>0</v>
      </c>
      <c r="K26" s="44"/>
      <c r="L26" s="196"/>
      <c r="M26" s="196"/>
      <c r="N26" s="196"/>
      <c r="O26" s="196"/>
      <c r="P26" s="196"/>
      <c r="Q26" s="204"/>
      <c r="R26" s="128">
        <f t="shared" si="4"/>
        <v>0</v>
      </c>
      <c r="S26" s="273">
        <f t="shared" si="4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3"/>
        <v>0</v>
      </c>
      <c r="J27" s="103">
        <f t="shared" si="3"/>
        <v>0</v>
      </c>
      <c r="K27" s="45"/>
      <c r="L27" s="196"/>
      <c r="M27" s="196"/>
      <c r="N27" s="196"/>
      <c r="O27" s="196"/>
      <c r="P27" s="196"/>
      <c r="Q27" s="204"/>
      <c r="R27" s="128">
        <f t="shared" si="4"/>
        <v>0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3"/>
        <v>0</v>
      </c>
      <c r="J28" s="103">
        <f t="shared" si="3"/>
        <v>0</v>
      </c>
      <c r="K28" s="45"/>
      <c r="L28" s="196"/>
      <c r="M28" s="196"/>
      <c r="N28" s="196"/>
      <c r="O28" s="196"/>
      <c r="P28" s="196"/>
      <c r="Q28" s="204"/>
      <c r="R28" s="128">
        <f t="shared" si="4"/>
        <v>0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/>
      <c r="D29" s="195"/>
      <c r="E29" s="196"/>
      <c r="F29" s="196"/>
      <c r="G29" s="102"/>
      <c r="H29" s="93"/>
      <c r="I29" s="93">
        <f t="shared" si="3"/>
        <v>0</v>
      </c>
      <c r="J29" s="103">
        <f t="shared" si="3"/>
        <v>0</v>
      </c>
      <c r="K29" s="45"/>
      <c r="L29" s="196"/>
      <c r="M29" s="196"/>
      <c r="N29" s="196"/>
      <c r="O29" s="196"/>
      <c r="P29" s="196"/>
      <c r="Q29" s="204"/>
      <c r="R29" s="128">
        <f t="shared" si="4"/>
        <v>0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/>
      <c r="D31" s="195"/>
      <c r="E31" s="196"/>
      <c r="F31" s="196"/>
      <c r="G31" s="102"/>
      <c r="H31" s="93"/>
      <c r="I31" s="93">
        <f t="shared" si="3"/>
        <v>0</v>
      </c>
      <c r="J31" s="103">
        <f t="shared" si="3"/>
        <v>0</v>
      </c>
      <c r="K31" s="44"/>
      <c r="L31" s="196"/>
      <c r="M31" s="196"/>
      <c r="N31" s="196"/>
      <c r="O31" s="196"/>
      <c r="P31" s="196"/>
      <c r="Q31" s="204"/>
      <c r="R31" s="128">
        <f t="shared" si="4"/>
        <v>0</v>
      </c>
      <c r="S31" s="273">
        <f t="shared" si="4"/>
        <v>0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3"/>
        <v>0</v>
      </c>
      <c r="J32" s="103">
        <f t="shared" si="3"/>
        <v>0</v>
      </c>
      <c r="K32" s="44"/>
      <c r="L32" s="196"/>
      <c r="M32" s="196"/>
      <c r="N32" s="196"/>
      <c r="O32" s="196"/>
      <c r="P32" s="196"/>
      <c r="Q32" s="204"/>
      <c r="R32" s="128">
        <f t="shared" si="4"/>
        <v>0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3"/>
        <v>0</v>
      </c>
      <c r="J33" s="103">
        <f t="shared" si="3"/>
        <v>0</v>
      </c>
      <c r="K33" s="44"/>
      <c r="L33" s="196"/>
      <c r="M33" s="196"/>
      <c r="N33" s="196"/>
      <c r="O33" s="196"/>
      <c r="P33" s="196"/>
      <c r="Q33" s="204"/>
      <c r="R33" s="128">
        <f t="shared" si="4"/>
        <v>0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/>
      <c r="D35" s="195"/>
      <c r="E35" s="196"/>
      <c r="F35" s="196"/>
      <c r="G35" s="102"/>
      <c r="H35" s="93"/>
      <c r="I35" s="93">
        <f t="shared" si="3"/>
        <v>0</v>
      </c>
      <c r="J35" s="103">
        <f t="shared" si="3"/>
        <v>0</v>
      </c>
      <c r="K35" s="44"/>
      <c r="L35" s="196"/>
      <c r="M35" s="196"/>
      <c r="N35" s="196"/>
      <c r="O35" s="196"/>
      <c r="P35" s="196"/>
      <c r="Q35" s="204"/>
      <c r="R35" s="128">
        <f t="shared" si="4"/>
        <v>0</v>
      </c>
      <c r="S35" s="273">
        <f t="shared" si="4"/>
        <v>0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/>
      <c r="D38" s="198"/>
      <c r="E38" s="199"/>
      <c r="F38" s="199"/>
      <c r="G38" s="107"/>
      <c r="H38" s="108"/>
      <c r="I38" s="93">
        <f t="shared" si="3"/>
        <v>0</v>
      </c>
      <c r="J38" s="103">
        <f t="shared" si="3"/>
        <v>0</v>
      </c>
      <c r="K38" s="64"/>
      <c r="L38" s="205"/>
      <c r="M38" s="205"/>
      <c r="N38" s="205"/>
      <c r="O38" s="205"/>
      <c r="P38" s="205"/>
      <c r="Q38" s="206"/>
      <c r="R38" s="128">
        <f t="shared" si="4"/>
        <v>0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/>
      <c r="D39" s="195"/>
      <c r="E39" s="196"/>
      <c r="F39" s="196"/>
      <c r="G39" s="102"/>
      <c r="H39" s="93"/>
      <c r="I39" s="93">
        <f t="shared" si="3"/>
        <v>0</v>
      </c>
      <c r="J39" s="103">
        <f t="shared" si="3"/>
        <v>0</v>
      </c>
      <c r="K39" s="44"/>
      <c r="L39" s="196"/>
      <c r="M39" s="196"/>
      <c r="N39" s="196"/>
      <c r="O39" s="196"/>
      <c r="P39" s="196"/>
      <c r="Q39" s="204"/>
      <c r="R39" s="128">
        <f t="shared" si="4"/>
        <v>0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3"/>
        <v>0</v>
      </c>
      <c r="J40" s="103">
        <f t="shared" si="3"/>
        <v>0</v>
      </c>
      <c r="K40" s="44"/>
      <c r="L40" s="196"/>
      <c r="M40" s="196"/>
      <c r="N40" s="196"/>
      <c r="O40" s="196"/>
      <c r="P40" s="196"/>
      <c r="Q40" s="204"/>
      <c r="R40" s="128">
        <f t="shared" si="4"/>
        <v>0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/>
      <c r="D41" s="198"/>
      <c r="E41" s="199"/>
      <c r="F41" s="199">
        <v>20</v>
      </c>
      <c r="G41" s="107">
        <v>10</v>
      </c>
      <c r="H41" s="108"/>
      <c r="I41" s="93">
        <f t="shared" si="3"/>
        <v>-10</v>
      </c>
      <c r="J41" s="103">
        <f t="shared" si="3"/>
        <v>0</v>
      </c>
      <c r="K41" s="64"/>
      <c r="L41" s="196">
        <v>10</v>
      </c>
      <c r="M41" s="196"/>
      <c r="N41" s="196"/>
      <c r="O41" s="196"/>
      <c r="P41" s="196"/>
      <c r="Q41" s="204"/>
      <c r="R41" s="128">
        <f t="shared" si="4"/>
        <v>10</v>
      </c>
      <c r="S41" s="273">
        <f t="shared" si="4"/>
        <v>0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/>
      <c r="D42" s="268"/>
      <c r="E42" s="269"/>
      <c r="F42" s="269"/>
      <c r="G42" s="111"/>
      <c r="H42" s="112"/>
      <c r="I42" s="93">
        <f t="shared" si="3"/>
        <v>0</v>
      </c>
      <c r="J42" s="103">
        <f t="shared" si="3"/>
        <v>0</v>
      </c>
      <c r="K42" s="69"/>
      <c r="L42" s="269"/>
      <c r="M42" s="269"/>
      <c r="N42" s="269"/>
      <c r="O42" s="269"/>
      <c r="P42" s="269"/>
      <c r="Q42" s="270"/>
      <c r="R42" s="128">
        <f t="shared" si="4"/>
        <v>0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/>
      <c r="D44" s="198"/>
      <c r="E44" s="199"/>
      <c r="F44" s="199"/>
      <c r="G44" s="107"/>
      <c r="H44" s="108"/>
      <c r="I44" s="93">
        <f t="shared" si="3"/>
        <v>0</v>
      </c>
      <c r="J44" s="103">
        <f t="shared" si="3"/>
        <v>0</v>
      </c>
      <c r="K44" s="64"/>
      <c r="L44" s="205"/>
      <c r="M44" s="205"/>
      <c r="N44" s="205"/>
      <c r="O44" s="205"/>
      <c r="P44" s="205"/>
      <c r="Q44" s="206"/>
      <c r="R44" s="128">
        <f t="shared" si="4"/>
        <v>0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/>
      <c r="D48" s="195"/>
      <c r="E48" s="196"/>
      <c r="F48" s="196"/>
      <c r="G48" s="102"/>
      <c r="H48" s="93"/>
      <c r="I48" s="93">
        <f t="shared" si="3"/>
        <v>0</v>
      </c>
      <c r="J48" s="103">
        <f t="shared" si="3"/>
        <v>0</v>
      </c>
      <c r="K48" s="44"/>
      <c r="L48" s="196"/>
      <c r="M48" s="196"/>
      <c r="N48" s="196"/>
      <c r="O48" s="196"/>
      <c r="P48" s="196"/>
      <c r="Q48" s="204"/>
      <c r="R48" s="128">
        <f t="shared" si="4"/>
        <v>0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3"/>
        <v>0</v>
      </c>
      <c r="J50" s="103">
        <f t="shared" si="3"/>
        <v>0</v>
      </c>
      <c r="K50" s="44"/>
      <c r="L50" s="196"/>
      <c r="M50" s="196"/>
      <c r="N50" s="196"/>
      <c r="O50" s="196"/>
      <c r="P50" s="196"/>
      <c r="Q50" s="204"/>
      <c r="R50" s="128">
        <f t="shared" si="4"/>
        <v>0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3"/>
        <v>0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/>
      <c r="D52" s="195"/>
      <c r="E52" s="196"/>
      <c r="F52" s="196"/>
      <c r="G52" s="102"/>
      <c r="H52" s="93"/>
      <c r="I52" s="93">
        <f t="shared" si="3"/>
        <v>0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/>
      <c r="D54" s="195"/>
      <c r="E54" s="196"/>
      <c r="F54" s="196"/>
      <c r="G54" s="102"/>
      <c r="H54" s="93"/>
      <c r="I54" s="93">
        <f t="shared" si="3"/>
        <v>0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 t="shared" ref="C60:J60" si="5">SUM(C8:C59)</f>
        <v>0</v>
      </c>
      <c r="D60" s="71">
        <f t="shared" si="5"/>
        <v>0</v>
      </c>
      <c r="E60" s="47">
        <f t="shared" si="5"/>
        <v>0</v>
      </c>
      <c r="F60" s="31">
        <f t="shared" si="5"/>
        <v>20</v>
      </c>
      <c r="G60" s="31">
        <f t="shared" si="5"/>
        <v>10</v>
      </c>
      <c r="H60" s="73">
        <f t="shared" si="5"/>
        <v>0</v>
      </c>
      <c r="I60" s="73">
        <f t="shared" si="5"/>
        <v>-10</v>
      </c>
      <c r="J60" s="48">
        <f t="shared" si="5"/>
        <v>0</v>
      </c>
      <c r="K60" s="49"/>
      <c r="L60" s="98">
        <f t="shared" ref="L60:S60" si="6">SUM(L8:L59)</f>
        <v>10</v>
      </c>
      <c r="M60" s="98">
        <f t="shared" si="6"/>
        <v>0</v>
      </c>
      <c r="N60" s="98">
        <f t="shared" si="6"/>
        <v>0</v>
      </c>
      <c r="O60" s="98">
        <f t="shared" si="6"/>
        <v>0</v>
      </c>
      <c r="P60" s="98">
        <f t="shared" si="6"/>
        <v>0</v>
      </c>
      <c r="Q60" s="99">
        <f t="shared" si="6"/>
        <v>0</v>
      </c>
      <c r="R60" s="127">
        <f t="shared" si="6"/>
        <v>10</v>
      </c>
      <c r="S60" s="124">
        <f t="shared" si="6"/>
        <v>0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40" t="s">
        <v>3</v>
      </c>
      <c r="D69" s="141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40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6921-6572-4F23-B9EF-217AF928C94E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46059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39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42</v>
      </c>
      <c r="D8" s="195"/>
      <c r="E8" s="196"/>
      <c r="F8" s="196"/>
      <c r="G8" s="102">
        <v>5</v>
      </c>
      <c r="H8" s="93"/>
      <c r="I8" s="93">
        <f>C8-G8</f>
        <v>37</v>
      </c>
      <c r="J8" s="103">
        <f t="shared" ref="J8:J12" si="0">D8-H8</f>
        <v>0</v>
      </c>
      <c r="K8" s="44"/>
      <c r="L8" s="196">
        <v>5</v>
      </c>
      <c r="M8" s="196"/>
      <c r="N8" s="196"/>
      <c r="O8" s="196"/>
      <c r="P8" s="196"/>
      <c r="Q8" s="204"/>
      <c r="R8" s="128">
        <f t="shared" ref="R8:S12" si="1">L8+N8+P8</f>
        <v>5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>
        <v>107</v>
      </c>
      <c r="D9" s="198"/>
      <c r="E9" s="199"/>
      <c r="F9" s="199"/>
      <c r="G9" s="107">
        <v>10</v>
      </c>
      <c r="H9" s="108"/>
      <c r="I9" s="93">
        <f t="shared" ref="I9:J59" si="3">C9-G9</f>
        <v>97</v>
      </c>
      <c r="J9" s="103">
        <f t="shared" si="0"/>
        <v>0</v>
      </c>
      <c r="K9" s="64"/>
      <c r="L9" s="205">
        <v>10</v>
      </c>
      <c r="M9" s="205"/>
      <c r="N9" s="205"/>
      <c r="O9" s="205"/>
      <c r="P9" s="205"/>
      <c r="Q9" s="206"/>
      <c r="R9" s="128">
        <f t="shared" si="1"/>
        <v>10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>
        <v>124</v>
      </c>
      <c r="D11" s="195"/>
      <c r="E11" s="196"/>
      <c r="F11" s="196"/>
      <c r="G11" s="102">
        <v>5</v>
      </c>
      <c r="H11" s="93"/>
      <c r="I11" s="93">
        <f t="shared" si="3"/>
        <v>119</v>
      </c>
      <c r="J11" s="103">
        <f t="shared" si="0"/>
        <v>0</v>
      </c>
      <c r="K11" s="44"/>
      <c r="L11" s="196">
        <v>5</v>
      </c>
      <c r="M11" s="196"/>
      <c r="N11" s="196"/>
      <c r="O11" s="196"/>
      <c r="P11" s="196"/>
      <c r="Q11" s="204"/>
      <c r="R11" s="128">
        <f t="shared" si="1"/>
        <v>5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>
        <v>2</v>
      </c>
      <c r="D12" s="195"/>
      <c r="E12" s="196"/>
      <c r="F12" s="196"/>
      <c r="G12" s="102">
        <v>1</v>
      </c>
      <c r="H12" s="93"/>
      <c r="I12" s="93">
        <f t="shared" si="3"/>
        <v>1</v>
      </c>
      <c r="J12" s="103">
        <f t="shared" si="0"/>
        <v>0</v>
      </c>
      <c r="K12" s="44"/>
      <c r="L12" s="196">
        <v>1</v>
      </c>
      <c r="M12" s="196"/>
      <c r="N12" s="196"/>
      <c r="O12" s="196"/>
      <c r="P12" s="196"/>
      <c r="Q12" s="204"/>
      <c r="R12" s="128">
        <f t="shared" si="1"/>
        <v>1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>
        <v>3762</v>
      </c>
      <c r="D13" s="198">
        <v>5</v>
      </c>
      <c r="E13" s="199"/>
      <c r="F13" s="199"/>
      <c r="G13" s="107">
        <v>9</v>
      </c>
      <c r="H13" s="108">
        <v>21</v>
      </c>
      <c r="I13" s="93">
        <f t="shared" si="3"/>
        <v>3753</v>
      </c>
      <c r="J13" s="103">
        <f>D13-H13</f>
        <v>-16</v>
      </c>
      <c r="K13" s="68"/>
      <c r="L13" s="205">
        <v>2</v>
      </c>
      <c r="M13" s="205">
        <v>11</v>
      </c>
      <c r="N13" s="205">
        <v>7</v>
      </c>
      <c r="O13" s="205">
        <v>10</v>
      </c>
      <c r="P13" s="205"/>
      <c r="Q13" s="206"/>
      <c r="R13" s="128">
        <f>L13+N13+P13</f>
        <v>9</v>
      </c>
      <c r="S13" s="273">
        <f>M13+O13+Q13</f>
        <v>21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/>
      <c r="D14" s="195"/>
      <c r="E14" s="196"/>
      <c r="F14" s="196"/>
      <c r="G14" s="102"/>
      <c r="H14" s="93"/>
      <c r="I14" s="93">
        <f t="shared" si="3"/>
        <v>0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>
        <v>5</v>
      </c>
      <c r="D18" s="195"/>
      <c r="E18" s="196"/>
      <c r="F18" s="196"/>
      <c r="G18" s="102">
        <v>1</v>
      </c>
      <c r="H18" s="93"/>
      <c r="I18" s="93">
        <f t="shared" si="3"/>
        <v>4</v>
      </c>
      <c r="J18" s="103">
        <f t="shared" si="3"/>
        <v>0</v>
      </c>
      <c r="K18" s="44"/>
      <c r="L18" s="196">
        <v>1</v>
      </c>
      <c r="M18" s="196"/>
      <c r="N18" s="196"/>
      <c r="O18" s="196"/>
      <c r="P18" s="196"/>
      <c r="Q18" s="204"/>
      <c r="R18" s="128">
        <f t="shared" si="4"/>
        <v>1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3"/>
        <v>4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3"/>
        <v>6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>
        <v>6</v>
      </c>
      <c r="D22" s="195"/>
      <c r="E22" s="196"/>
      <c r="F22" s="196"/>
      <c r="G22" s="102"/>
      <c r="H22" s="93"/>
      <c r="I22" s="93">
        <f t="shared" si="3"/>
        <v>6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>
        <v>3</v>
      </c>
      <c r="D23" s="195"/>
      <c r="E23" s="196"/>
      <c r="F23" s="196"/>
      <c r="G23" s="102"/>
      <c r="H23" s="93"/>
      <c r="I23" s="93">
        <f t="shared" si="3"/>
        <v>3</v>
      </c>
      <c r="J23" s="103">
        <f t="shared" si="3"/>
        <v>0</v>
      </c>
      <c r="K23" s="45"/>
      <c r="L23" s="196">
        <v>1</v>
      </c>
      <c r="M23" s="196"/>
      <c r="N23" s="196"/>
      <c r="O23" s="196"/>
      <c r="P23" s="196"/>
      <c r="Q23" s="204"/>
      <c r="R23" s="128">
        <f t="shared" si="4"/>
        <v>1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>
        <v>51</v>
      </c>
      <c r="D24" s="195"/>
      <c r="E24" s="196"/>
      <c r="F24" s="196"/>
      <c r="G24" s="102">
        <v>1</v>
      </c>
      <c r="H24" s="93"/>
      <c r="I24" s="93">
        <f t="shared" si="3"/>
        <v>50</v>
      </c>
      <c r="J24" s="103">
        <f t="shared" si="3"/>
        <v>0</v>
      </c>
      <c r="K24" s="45"/>
      <c r="L24" s="196"/>
      <c r="M24" s="196"/>
      <c r="N24" s="196"/>
      <c r="O24" s="196"/>
      <c r="P24" s="196"/>
      <c r="Q24" s="204"/>
      <c r="R24" s="128">
        <f t="shared" si="4"/>
        <v>0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3"/>
        <v>7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>
        <v>109</v>
      </c>
      <c r="D26" s="195">
        <v>23</v>
      </c>
      <c r="E26" s="196"/>
      <c r="F26" s="196"/>
      <c r="G26" s="102"/>
      <c r="H26" s="93"/>
      <c r="I26" s="93">
        <f t="shared" si="3"/>
        <v>109</v>
      </c>
      <c r="J26" s="103">
        <f t="shared" si="3"/>
        <v>23</v>
      </c>
      <c r="K26" s="44"/>
      <c r="L26" s="196"/>
      <c r="M26" s="196"/>
      <c r="N26" s="196"/>
      <c r="O26" s="196"/>
      <c r="P26" s="196"/>
      <c r="Q26" s="204"/>
      <c r="R26" s="128">
        <f t="shared" si="4"/>
        <v>0</v>
      </c>
      <c r="S26" s="273">
        <f t="shared" si="4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>
        <v>2</v>
      </c>
      <c r="D27" s="195"/>
      <c r="E27" s="196"/>
      <c r="F27" s="196"/>
      <c r="G27" s="102"/>
      <c r="H27" s="93"/>
      <c r="I27" s="93">
        <f t="shared" si="3"/>
        <v>2</v>
      </c>
      <c r="J27" s="103">
        <f t="shared" si="3"/>
        <v>0</v>
      </c>
      <c r="K27" s="45"/>
      <c r="L27" s="196">
        <v>2</v>
      </c>
      <c r="M27" s="196"/>
      <c r="N27" s="196"/>
      <c r="O27" s="196"/>
      <c r="P27" s="196"/>
      <c r="Q27" s="204"/>
      <c r="R27" s="128">
        <f t="shared" si="4"/>
        <v>2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>
        <v>2</v>
      </c>
      <c r="D28" s="195"/>
      <c r="E28" s="196"/>
      <c r="F28" s="196"/>
      <c r="G28" s="102">
        <v>2</v>
      </c>
      <c r="H28" s="93"/>
      <c r="I28" s="93">
        <f t="shared" si="3"/>
        <v>0</v>
      </c>
      <c r="J28" s="103">
        <f t="shared" si="3"/>
        <v>0</v>
      </c>
      <c r="K28" s="45"/>
      <c r="L28" s="196">
        <v>2</v>
      </c>
      <c r="M28" s="196"/>
      <c r="N28" s="196"/>
      <c r="O28" s="196"/>
      <c r="P28" s="196"/>
      <c r="Q28" s="204"/>
      <c r="R28" s="128">
        <f t="shared" si="4"/>
        <v>2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>
        <v>58</v>
      </c>
      <c r="D29" s="195"/>
      <c r="E29" s="196"/>
      <c r="F29" s="196"/>
      <c r="G29" s="102">
        <v>55</v>
      </c>
      <c r="H29" s="93"/>
      <c r="I29" s="93">
        <f t="shared" si="3"/>
        <v>3</v>
      </c>
      <c r="J29" s="103">
        <f t="shared" si="3"/>
        <v>0</v>
      </c>
      <c r="K29" s="45"/>
      <c r="L29" s="196">
        <v>50</v>
      </c>
      <c r="M29" s="196"/>
      <c r="N29" s="196">
        <v>5</v>
      </c>
      <c r="O29" s="196"/>
      <c r="P29" s="196"/>
      <c r="Q29" s="204"/>
      <c r="R29" s="128">
        <f t="shared" si="4"/>
        <v>55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>
        <v>78</v>
      </c>
      <c r="D31" s="195"/>
      <c r="E31" s="196"/>
      <c r="F31" s="196"/>
      <c r="G31" s="102">
        <v>5</v>
      </c>
      <c r="H31" s="93"/>
      <c r="I31" s="93">
        <f t="shared" si="3"/>
        <v>73</v>
      </c>
      <c r="J31" s="103">
        <f t="shared" si="3"/>
        <v>0</v>
      </c>
      <c r="K31" s="44"/>
      <c r="L31" s="196">
        <v>5</v>
      </c>
      <c r="M31" s="196"/>
      <c r="N31" s="196"/>
      <c r="O31" s="196"/>
      <c r="P31" s="196"/>
      <c r="Q31" s="204"/>
      <c r="R31" s="128">
        <f t="shared" si="4"/>
        <v>5</v>
      </c>
      <c r="S31" s="273">
        <f t="shared" si="4"/>
        <v>0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3"/>
        <v>0</v>
      </c>
      <c r="J32" s="103">
        <f t="shared" si="3"/>
        <v>0</v>
      </c>
      <c r="K32" s="44"/>
      <c r="L32" s="196"/>
      <c r="M32" s="196"/>
      <c r="N32" s="196"/>
      <c r="O32" s="196"/>
      <c r="P32" s="196"/>
      <c r="Q32" s="204"/>
      <c r="R32" s="128">
        <f t="shared" si="4"/>
        <v>0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>
        <v>2</v>
      </c>
      <c r="D33" s="195"/>
      <c r="E33" s="196"/>
      <c r="F33" s="196"/>
      <c r="G33" s="102">
        <v>2</v>
      </c>
      <c r="H33" s="93"/>
      <c r="I33" s="93">
        <f t="shared" si="3"/>
        <v>0</v>
      </c>
      <c r="J33" s="103">
        <f t="shared" si="3"/>
        <v>0</v>
      </c>
      <c r="K33" s="44"/>
      <c r="L33" s="196">
        <v>2</v>
      </c>
      <c r="M33" s="196"/>
      <c r="N33" s="196"/>
      <c r="O33" s="196"/>
      <c r="P33" s="196"/>
      <c r="Q33" s="204"/>
      <c r="R33" s="128">
        <f t="shared" si="4"/>
        <v>2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>
        <v>194</v>
      </c>
      <c r="D35" s="195">
        <v>23</v>
      </c>
      <c r="E35" s="196"/>
      <c r="F35" s="196"/>
      <c r="G35" s="102">
        <v>1</v>
      </c>
      <c r="H35" s="93"/>
      <c r="I35" s="93">
        <f t="shared" si="3"/>
        <v>193</v>
      </c>
      <c r="J35" s="103">
        <f t="shared" si="3"/>
        <v>23</v>
      </c>
      <c r="K35" s="44"/>
      <c r="L35" s="196"/>
      <c r="M35" s="196"/>
      <c r="N35" s="196">
        <v>1</v>
      </c>
      <c r="O35" s="196"/>
      <c r="P35" s="196"/>
      <c r="Q35" s="204"/>
      <c r="R35" s="128">
        <f t="shared" si="4"/>
        <v>1</v>
      </c>
      <c r="S35" s="273">
        <f t="shared" si="4"/>
        <v>0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>
        <v>5259</v>
      </c>
      <c r="D38" s="198">
        <v>2</v>
      </c>
      <c r="E38" s="199"/>
      <c r="F38" s="199"/>
      <c r="G38" s="107">
        <v>61</v>
      </c>
      <c r="H38" s="108"/>
      <c r="I38" s="93">
        <f t="shared" si="3"/>
        <v>5198</v>
      </c>
      <c r="J38" s="103">
        <f t="shared" si="3"/>
        <v>2</v>
      </c>
      <c r="K38" s="64"/>
      <c r="L38" s="205">
        <v>7</v>
      </c>
      <c r="M38" s="205"/>
      <c r="N38" s="205">
        <v>54</v>
      </c>
      <c r="O38" s="205"/>
      <c r="P38" s="205"/>
      <c r="Q38" s="206"/>
      <c r="R38" s="128">
        <f t="shared" si="4"/>
        <v>61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>
        <v>11</v>
      </c>
      <c r="D39" s="195"/>
      <c r="E39" s="196"/>
      <c r="F39" s="196"/>
      <c r="G39" s="102">
        <v>5</v>
      </c>
      <c r="H39" s="93"/>
      <c r="I39" s="93">
        <f t="shared" si="3"/>
        <v>6</v>
      </c>
      <c r="J39" s="103">
        <f t="shared" si="3"/>
        <v>0</v>
      </c>
      <c r="K39" s="44"/>
      <c r="L39" s="196">
        <v>5</v>
      </c>
      <c r="M39" s="196"/>
      <c r="N39" s="196"/>
      <c r="O39" s="196"/>
      <c r="P39" s="196"/>
      <c r="Q39" s="204"/>
      <c r="R39" s="128">
        <f t="shared" si="4"/>
        <v>5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>
        <v>2</v>
      </c>
      <c r="D40" s="201"/>
      <c r="E40" s="202"/>
      <c r="F40" s="202"/>
      <c r="G40" s="121">
        <v>2</v>
      </c>
      <c r="H40" s="116"/>
      <c r="I40" s="93">
        <f t="shared" si="3"/>
        <v>0</v>
      </c>
      <c r="J40" s="103">
        <f t="shared" si="3"/>
        <v>0</v>
      </c>
      <c r="K40" s="44"/>
      <c r="L40" s="196">
        <v>2</v>
      </c>
      <c r="M40" s="196"/>
      <c r="N40" s="196"/>
      <c r="O40" s="196"/>
      <c r="P40" s="196"/>
      <c r="Q40" s="204"/>
      <c r="R40" s="128">
        <f t="shared" si="4"/>
        <v>2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>
        <f>821</f>
        <v>821</v>
      </c>
      <c r="D41" s="198">
        <v>12</v>
      </c>
      <c r="E41" s="199"/>
      <c r="F41" s="199"/>
      <c r="G41" s="107">
        <v>10</v>
      </c>
      <c r="H41" s="108"/>
      <c r="I41" s="93">
        <f t="shared" si="3"/>
        <v>811</v>
      </c>
      <c r="J41" s="103">
        <f t="shared" si="3"/>
        <v>12</v>
      </c>
      <c r="K41" s="64"/>
      <c r="L41" s="196">
        <v>10</v>
      </c>
      <c r="M41" s="196"/>
      <c r="N41" s="196"/>
      <c r="O41" s="196"/>
      <c r="P41" s="196"/>
      <c r="Q41" s="204"/>
      <c r="R41" s="128">
        <f t="shared" si="4"/>
        <v>10</v>
      </c>
      <c r="S41" s="273">
        <f t="shared" si="4"/>
        <v>0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>
        <f>1888</f>
        <v>1888</v>
      </c>
      <c r="D42" s="268"/>
      <c r="E42" s="269"/>
      <c r="F42" s="269"/>
      <c r="G42" s="111">
        <v>32</v>
      </c>
      <c r="H42" s="112"/>
      <c r="I42" s="93">
        <f t="shared" si="3"/>
        <v>1856</v>
      </c>
      <c r="J42" s="103">
        <f t="shared" si="3"/>
        <v>0</v>
      </c>
      <c r="K42" s="69"/>
      <c r="L42" s="269">
        <v>25</v>
      </c>
      <c r="M42" s="269"/>
      <c r="N42" s="269">
        <v>7</v>
      </c>
      <c r="O42" s="269"/>
      <c r="P42" s="269"/>
      <c r="Q42" s="270"/>
      <c r="R42" s="128">
        <f t="shared" si="4"/>
        <v>32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>
        <v>27642</v>
      </c>
      <c r="D44" s="198"/>
      <c r="E44" s="199"/>
      <c r="F44" s="199"/>
      <c r="G44" s="107">
        <v>237</v>
      </c>
      <c r="H44" s="108"/>
      <c r="I44" s="93">
        <f t="shared" si="3"/>
        <v>27405</v>
      </c>
      <c r="J44" s="103">
        <f t="shared" si="3"/>
        <v>0</v>
      </c>
      <c r="K44" s="64"/>
      <c r="L44" s="205">
        <v>57</v>
      </c>
      <c r="M44" s="205"/>
      <c r="N44" s="205">
        <v>180</v>
      </c>
      <c r="O44" s="205"/>
      <c r="P44" s="205"/>
      <c r="Q44" s="206"/>
      <c r="R44" s="128">
        <f t="shared" si="4"/>
        <v>237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>
        <v>2388</v>
      </c>
      <c r="D48" s="195">
        <v>5</v>
      </c>
      <c r="E48" s="196"/>
      <c r="F48" s="196"/>
      <c r="G48" s="102">
        <v>12</v>
      </c>
      <c r="H48" s="93"/>
      <c r="I48" s="93">
        <f t="shared" si="3"/>
        <v>2376</v>
      </c>
      <c r="J48" s="103">
        <f t="shared" si="3"/>
        <v>5</v>
      </c>
      <c r="K48" s="44"/>
      <c r="L48" s="196">
        <v>10</v>
      </c>
      <c r="M48" s="196"/>
      <c r="N48" s="196">
        <v>2</v>
      </c>
      <c r="O48" s="196"/>
      <c r="P48" s="196"/>
      <c r="Q48" s="204"/>
      <c r="R48" s="128">
        <f t="shared" si="4"/>
        <v>12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3"/>
        <v>0</v>
      </c>
      <c r="J50" s="103">
        <f t="shared" si="3"/>
        <v>0</v>
      </c>
      <c r="K50" s="44"/>
      <c r="L50" s="196"/>
      <c r="M50" s="196"/>
      <c r="N50" s="196"/>
      <c r="O50" s="196"/>
      <c r="P50" s="196"/>
      <c r="Q50" s="204"/>
      <c r="R50" s="128">
        <f t="shared" si="4"/>
        <v>0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3"/>
        <v>0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3"/>
        <v>34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>
        <v>3</v>
      </c>
      <c r="D54" s="195"/>
      <c r="E54" s="196"/>
      <c r="F54" s="196"/>
      <c r="G54" s="102"/>
      <c r="H54" s="93"/>
      <c r="I54" s="93">
        <f t="shared" si="3"/>
        <v>3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42612</v>
      </c>
      <c r="D60" s="71">
        <f>SUM(D8:D59)</f>
        <v>70</v>
      </c>
      <c r="E60" s="47">
        <f>SUM(E8:E59)</f>
        <v>0</v>
      </c>
      <c r="F60" s="47"/>
      <c r="G60" s="31">
        <f>SUM(G8:G59)</f>
        <v>456</v>
      </c>
      <c r="H60" s="73">
        <f>SUM(H8:H59)</f>
        <v>21</v>
      </c>
      <c r="I60" s="73">
        <f>SUM(I8:I59)</f>
        <v>42156</v>
      </c>
      <c r="J60" s="48">
        <f>SUM(J8:J59)</f>
        <v>49</v>
      </c>
      <c r="K60" s="49"/>
      <c r="L60" s="98">
        <f t="shared" ref="L60:S60" si="5">SUM(L8:L59)</f>
        <v>202</v>
      </c>
      <c r="M60" s="98">
        <f t="shared" si="5"/>
        <v>11</v>
      </c>
      <c r="N60" s="98">
        <f t="shared" si="5"/>
        <v>256</v>
      </c>
      <c r="O60" s="98">
        <f t="shared" si="5"/>
        <v>10</v>
      </c>
      <c r="P60" s="98">
        <f t="shared" si="5"/>
        <v>0</v>
      </c>
      <c r="Q60" s="99">
        <f t="shared" si="5"/>
        <v>0</v>
      </c>
      <c r="R60" s="127">
        <f t="shared" si="5"/>
        <v>458</v>
      </c>
      <c r="S60" s="124">
        <f t="shared" si="5"/>
        <v>21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37" t="s">
        <v>3</v>
      </c>
      <c r="D69" s="138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37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492D-4EEA-484A-B2C6-3B9C2B5349E0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46060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42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37</v>
      </c>
      <c r="D8" s="195"/>
      <c r="E8" s="196"/>
      <c r="F8" s="196"/>
      <c r="G8" s="102">
        <v>2</v>
      </c>
      <c r="H8" s="93"/>
      <c r="I8" s="93">
        <f>C8-G8</f>
        <v>35</v>
      </c>
      <c r="J8" s="103">
        <f t="shared" ref="J8:J12" si="0">D8-H8</f>
        <v>0</v>
      </c>
      <c r="K8" s="44"/>
      <c r="L8" s="196"/>
      <c r="M8" s="196"/>
      <c r="N8" s="196"/>
      <c r="O8" s="196"/>
      <c r="P8" s="196">
        <v>2</v>
      </c>
      <c r="Q8" s="204"/>
      <c r="R8" s="128">
        <f t="shared" ref="R8:S12" si="1">L8+N8+P8</f>
        <v>2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>
        <v>97</v>
      </c>
      <c r="D9" s="198"/>
      <c r="E9" s="199"/>
      <c r="F9" s="199"/>
      <c r="G9" s="107"/>
      <c r="H9" s="108"/>
      <c r="I9" s="93">
        <f t="shared" ref="I9:J59" si="3">C9-G9</f>
        <v>97</v>
      </c>
      <c r="J9" s="103">
        <f t="shared" si="0"/>
        <v>0</v>
      </c>
      <c r="K9" s="64"/>
      <c r="L9" s="205"/>
      <c r="M9" s="205"/>
      <c r="N9" s="205"/>
      <c r="O9" s="205"/>
      <c r="P9" s="205"/>
      <c r="Q9" s="206"/>
      <c r="R9" s="128">
        <f t="shared" si="1"/>
        <v>0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>
        <v>119</v>
      </c>
      <c r="D11" s="195"/>
      <c r="E11" s="196"/>
      <c r="F11" s="196"/>
      <c r="G11" s="102">
        <v>2</v>
      </c>
      <c r="H11" s="93"/>
      <c r="I11" s="93">
        <f t="shared" si="3"/>
        <v>117</v>
      </c>
      <c r="J11" s="103">
        <f t="shared" si="0"/>
        <v>0</v>
      </c>
      <c r="K11" s="44"/>
      <c r="L11" s="196">
        <v>2</v>
      </c>
      <c r="M11" s="196"/>
      <c r="N11" s="196"/>
      <c r="O11" s="196"/>
      <c r="P11" s="196"/>
      <c r="Q11" s="204"/>
      <c r="R11" s="128">
        <f t="shared" si="1"/>
        <v>2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3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>
        <v>3752</v>
      </c>
      <c r="D13" s="198">
        <v>8</v>
      </c>
      <c r="E13" s="199"/>
      <c r="F13" s="199"/>
      <c r="G13" s="107">
        <v>15</v>
      </c>
      <c r="H13" s="108">
        <v>34</v>
      </c>
      <c r="I13" s="93">
        <f t="shared" si="3"/>
        <v>3737</v>
      </c>
      <c r="J13" s="103">
        <f>D13-H13</f>
        <v>-26</v>
      </c>
      <c r="K13" s="68"/>
      <c r="L13" s="205">
        <v>1</v>
      </c>
      <c r="M13" s="205">
        <v>14</v>
      </c>
      <c r="N13" s="205">
        <v>11</v>
      </c>
      <c r="O13" s="205">
        <v>15</v>
      </c>
      <c r="P13" s="205">
        <v>3</v>
      </c>
      <c r="Q13" s="206">
        <v>5</v>
      </c>
      <c r="R13" s="128">
        <f>L13+N13+P13</f>
        <v>15</v>
      </c>
      <c r="S13" s="273">
        <f>M13+O13+Q13</f>
        <v>34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93">
        <f t="shared" si="3"/>
        <v>5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3"/>
        <v>4</v>
      </c>
      <c r="J18" s="103">
        <f t="shared" si="3"/>
        <v>0</v>
      </c>
      <c r="K18" s="44"/>
      <c r="L18" s="196"/>
      <c r="M18" s="196"/>
      <c r="N18" s="196"/>
      <c r="O18" s="196"/>
      <c r="P18" s="196"/>
      <c r="Q18" s="204"/>
      <c r="R18" s="128">
        <f t="shared" si="4"/>
        <v>0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3"/>
        <v>4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3"/>
        <v>6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3"/>
        <v>4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3"/>
        <v>2</v>
      </c>
      <c r="J23" s="103">
        <f t="shared" si="3"/>
        <v>0</v>
      </c>
      <c r="K23" s="45"/>
      <c r="L23" s="196"/>
      <c r="M23" s="196"/>
      <c r="N23" s="196"/>
      <c r="O23" s="196"/>
      <c r="P23" s="196"/>
      <c r="Q23" s="204"/>
      <c r="R23" s="128">
        <f t="shared" si="4"/>
        <v>0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>
        <v>51</v>
      </c>
      <c r="D24" s="195"/>
      <c r="E24" s="196"/>
      <c r="F24" s="196"/>
      <c r="G24" s="102">
        <v>3</v>
      </c>
      <c r="H24" s="93"/>
      <c r="I24" s="93">
        <f t="shared" si="3"/>
        <v>48</v>
      </c>
      <c r="J24" s="103">
        <f t="shared" si="3"/>
        <v>0</v>
      </c>
      <c r="K24" s="45"/>
      <c r="L24" s="196">
        <v>3</v>
      </c>
      <c r="M24" s="196"/>
      <c r="N24" s="196"/>
      <c r="O24" s="196"/>
      <c r="P24" s="196"/>
      <c r="Q24" s="204"/>
      <c r="R24" s="128">
        <f t="shared" si="4"/>
        <v>3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3"/>
        <v>7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>
        <v>109</v>
      </c>
      <c r="D26" s="195">
        <v>23</v>
      </c>
      <c r="E26" s="196"/>
      <c r="F26" s="196"/>
      <c r="G26" s="102">
        <v>2</v>
      </c>
      <c r="H26" s="93"/>
      <c r="I26" s="93">
        <f t="shared" si="3"/>
        <v>107</v>
      </c>
      <c r="J26" s="103">
        <f t="shared" si="3"/>
        <v>23</v>
      </c>
      <c r="K26" s="44"/>
      <c r="L26" s="196">
        <v>2</v>
      </c>
      <c r="M26" s="196"/>
      <c r="N26" s="196"/>
      <c r="O26" s="196"/>
      <c r="P26" s="196"/>
      <c r="Q26" s="204"/>
      <c r="R26" s="128">
        <f t="shared" si="4"/>
        <v>2</v>
      </c>
      <c r="S26" s="273">
        <f t="shared" si="4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3"/>
        <v>0</v>
      </c>
      <c r="J27" s="103">
        <f t="shared" si="3"/>
        <v>0</v>
      </c>
      <c r="K27" s="45"/>
      <c r="L27" s="196"/>
      <c r="M27" s="196"/>
      <c r="N27" s="196"/>
      <c r="O27" s="196"/>
      <c r="P27" s="196"/>
      <c r="Q27" s="204"/>
      <c r="R27" s="128">
        <f t="shared" si="4"/>
        <v>0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3"/>
        <v>0</v>
      </c>
      <c r="J28" s="103">
        <f t="shared" si="3"/>
        <v>0</v>
      </c>
      <c r="K28" s="45"/>
      <c r="L28" s="196"/>
      <c r="M28" s="196"/>
      <c r="N28" s="196"/>
      <c r="O28" s="196"/>
      <c r="P28" s="196"/>
      <c r="Q28" s="204"/>
      <c r="R28" s="128">
        <f t="shared" si="4"/>
        <v>0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>
        <v>3</v>
      </c>
      <c r="D29" s="195"/>
      <c r="E29" s="196"/>
      <c r="F29" s="196"/>
      <c r="G29" s="102">
        <v>1</v>
      </c>
      <c r="H29" s="93"/>
      <c r="I29" s="93">
        <f t="shared" si="3"/>
        <v>2</v>
      </c>
      <c r="J29" s="103">
        <f t="shared" si="3"/>
        <v>0</v>
      </c>
      <c r="K29" s="45"/>
      <c r="L29" s="196">
        <v>1</v>
      </c>
      <c r="M29" s="196"/>
      <c r="N29" s="196"/>
      <c r="O29" s="196"/>
      <c r="P29" s="196"/>
      <c r="Q29" s="204"/>
      <c r="R29" s="128">
        <f t="shared" si="4"/>
        <v>1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>
        <v>73</v>
      </c>
      <c r="D31" s="195"/>
      <c r="E31" s="196"/>
      <c r="F31" s="196"/>
      <c r="G31" s="102">
        <v>2</v>
      </c>
      <c r="H31" s="93"/>
      <c r="I31" s="93">
        <f t="shared" si="3"/>
        <v>71</v>
      </c>
      <c r="J31" s="103">
        <f t="shared" si="3"/>
        <v>0</v>
      </c>
      <c r="K31" s="44"/>
      <c r="L31" s="196">
        <v>2</v>
      </c>
      <c r="M31" s="196"/>
      <c r="N31" s="196"/>
      <c r="O31" s="196"/>
      <c r="P31" s="196"/>
      <c r="Q31" s="204"/>
      <c r="R31" s="128">
        <f t="shared" si="4"/>
        <v>2</v>
      </c>
      <c r="S31" s="273">
        <f t="shared" si="4"/>
        <v>0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3"/>
        <v>0</v>
      </c>
      <c r="J32" s="103">
        <f t="shared" si="3"/>
        <v>0</v>
      </c>
      <c r="K32" s="44"/>
      <c r="L32" s="196"/>
      <c r="M32" s="196"/>
      <c r="N32" s="196"/>
      <c r="O32" s="196"/>
      <c r="P32" s="196"/>
      <c r="Q32" s="204"/>
      <c r="R32" s="128">
        <f t="shared" si="4"/>
        <v>0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3"/>
        <v>0</v>
      </c>
      <c r="J33" s="103">
        <f t="shared" si="3"/>
        <v>0</v>
      </c>
      <c r="K33" s="44"/>
      <c r="L33" s="196"/>
      <c r="M33" s="196"/>
      <c r="N33" s="196"/>
      <c r="O33" s="196"/>
      <c r="P33" s="196"/>
      <c r="Q33" s="204"/>
      <c r="R33" s="128">
        <f t="shared" si="4"/>
        <v>0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>
        <v>193</v>
      </c>
      <c r="D35" s="195">
        <v>23</v>
      </c>
      <c r="E35" s="196"/>
      <c r="F35" s="196"/>
      <c r="G35" s="102">
        <v>4</v>
      </c>
      <c r="H35" s="93"/>
      <c r="I35" s="93">
        <f t="shared" si="3"/>
        <v>189</v>
      </c>
      <c r="J35" s="103">
        <f t="shared" si="3"/>
        <v>23</v>
      </c>
      <c r="K35" s="44"/>
      <c r="L35" s="196">
        <v>4</v>
      </c>
      <c r="M35" s="196"/>
      <c r="N35" s="196"/>
      <c r="O35" s="196"/>
      <c r="P35" s="196"/>
      <c r="Q35" s="204"/>
      <c r="R35" s="128">
        <f t="shared" si="4"/>
        <v>4</v>
      </c>
      <c r="S35" s="273">
        <f t="shared" si="4"/>
        <v>0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>
        <v>5198</v>
      </c>
      <c r="D38" s="198">
        <v>2</v>
      </c>
      <c r="E38" s="199"/>
      <c r="F38" s="199"/>
      <c r="G38" s="107">
        <v>41</v>
      </c>
      <c r="H38" s="108"/>
      <c r="I38" s="93">
        <f t="shared" si="3"/>
        <v>5157</v>
      </c>
      <c r="J38" s="103">
        <f t="shared" si="3"/>
        <v>2</v>
      </c>
      <c r="K38" s="64"/>
      <c r="L38" s="205">
        <v>22</v>
      </c>
      <c r="M38" s="205"/>
      <c r="N38" s="205">
        <v>3</v>
      </c>
      <c r="O38" s="205"/>
      <c r="P38" s="205">
        <v>16</v>
      </c>
      <c r="Q38" s="206"/>
      <c r="R38" s="128">
        <f t="shared" si="4"/>
        <v>41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>
        <v>6</v>
      </c>
      <c r="D39" s="195"/>
      <c r="E39" s="196"/>
      <c r="F39" s="196"/>
      <c r="G39" s="102"/>
      <c r="H39" s="93"/>
      <c r="I39" s="93">
        <f t="shared" si="3"/>
        <v>6</v>
      </c>
      <c r="J39" s="103">
        <f t="shared" si="3"/>
        <v>0</v>
      </c>
      <c r="K39" s="44"/>
      <c r="L39" s="196"/>
      <c r="M39" s="196"/>
      <c r="N39" s="196"/>
      <c r="O39" s="196"/>
      <c r="P39" s="196"/>
      <c r="Q39" s="204"/>
      <c r="R39" s="128">
        <f t="shared" si="4"/>
        <v>0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3"/>
        <v>0</v>
      </c>
      <c r="J40" s="103">
        <f t="shared" si="3"/>
        <v>0</v>
      </c>
      <c r="K40" s="44"/>
      <c r="L40" s="196"/>
      <c r="M40" s="196"/>
      <c r="N40" s="196"/>
      <c r="O40" s="196"/>
      <c r="P40" s="196"/>
      <c r="Q40" s="204"/>
      <c r="R40" s="128">
        <f t="shared" si="4"/>
        <v>0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>
        <v>811</v>
      </c>
      <c r="D41" s="198">
        <v>12</v>
      </c>
      <c r="E41" s="199"/>
      <c r="F41" s="199"/>
      <c r="G41" s="107">
        <v>15</v>
      </c>
      <c r="H41" s="108"/>
      <c r="I41" s="93">
        <f t="shared" si="3"/>
        <v>796</v>
      </c>
      <c r="J41" s="103">
        <f t="shared" si="3"/>
        <v>12</v>
      </c>
      <c r="K41" s="64"/>
      <c r="L41" s="196">
        <v>15</v>
      </c>
      <c r="M41" s="196"/>
      <c r="N41" s="196"/>
      <c r="O41" s="196"/>
      <c r="P41" s="196"/>
      <c r="Q41" s="204"/>
      <c r="R41" s="128">
        <f t="shared" si="4"/>
        <v>15</v>
      </c>
      <c r="S41" s="273">
        <f t="shared" si="4"/>
        <v>0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>
        <v>1856</v>
      </c>
      <c r="D42" s="268"/>
      <c r="E42" s="269"/>
      <c r="F42" s="269"/>
      <c r="G42" s="111">
        <v>26</v>
      </c>
      <c r="H42" s="112"/>
      <c r="I42" s="93">
        <f t="shared" si="3"/>
        <v>1830</v>
      </c>
      <c r="J42" s="103">
        <f t="shared" si="3"/>
        <v>0</v>
      </c>
      <c r="K42" s="69"/>
      <c r="L42" s="269">
        <v>5</v>
      </c>
      <c r="M42" s="269"/>
      <c r="N42" s="269">
        <v>11</v>
      </c>
      <c r="O42" s="269"/>
      <c r="P42" s="269">
        <v>10</v>
      </c>
      <c r="Q42" s="270"/>
      <c r="R42" s="128">
        <f t="shared" si="4"/>
        <v>26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>
        <v>27405</v>
      </c>
      <c r="D44" s="198"/>
      <c r="E44" s="199"/>
      <c r="F44" s="199"/>
      <c r="G44" s="107">
        <v>850</v>
      </c>
      <c r="H44" s="108"/>
      <c r="I44" s="93">
        <f t="shared" si="3"/>
        <v>26555</v>
      </c>
      <c r="J44" s="103">
        <f t="shared" si="3"/>
        <v>0</v>
      </c>
      <c r="K44" s="64"/>
      <c r="L44" s="205">
        <v>159</v>
      </c>
      <c r="M44" s="205"/>
      <c r="N44" s="205">
        <v>333</v>
      </c>
      <c r="O44" s="205"/>
      <c r="P44" s="205">
        <v>358</v>
      </c>
      <c r="Q44" s="206"/>
      <c r="R44" s="128">
        <f t="shared" si="4"/>
        <v>850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>
        <v>2376</v>
      </c>
      <c r="D48" s="195">
        <v>5</v>
      </c>
      <c r="E48" s="196"/>
      <c r="F48" s="196"/>
      <c r="G48" s="102"/>
      <c r="H48" s="93"/>
      <c r="I48" s="93">
        <f t="shared" si="3"/>
        <v>2376</v>
      </c>
      <c r="J48" s="103">
        <f t="shared" si="3"/>
        <v>5</v>
      </c>
      <c r="K48" s="44"/>
      <c r="L48" s="196"/>
      <c r="M48" s="196"/>
      <c r="N48" s="196"/>
      <c r="O48" s="196"/>
      <c r="P48" s="196"/>
      <c r="Q48" s="204"/>
      <c r="R48" s="128">
        <f t="shared" si="4"/>
        <v>0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3"/>
        <v>0</v>
      </c>
      <c r="J50" s="103">
        <f t="shared" si="3"/>
        <v>0</v>
      </c>
      <c r="K50" s="44"/>
      <c r="L50" s="196"/>
      <c r="M50" s="196"/>
      <c r="N50" s="196"/>
      <c r="O50" s="196"/>
      <c r="P50" s="196"/>
      <c r="Q50" s="204"/>
      <c r="R50" s="128">
        <f t="shared" si="4"/>
        <v>0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3"/>
        <v>0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3"/>
        <v>34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>
        <v>3</v>
      </c>
      <c r="D54" s="195"/>
      <c r="E54" s="196"/>
      <c r="F54" s="196"/>
      <c r="G54" s="102"/>
      <c r="H54" s="93"/>
      <c r="I54" s="93">
        <f t="shared" si="3"/>
        <v>3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42156</v>
      </c>
      <c r="D60" s="71">
        <f>SUM(D8:D59)</f>
        <v>73</v>
      </c>
      <c r="E60" s="47">
        <f>SUM(E8:E59)</f>
        <v>0</v>
      </c>
      <c r="F60" s="47"/>
      <c r="G60" s="31">
        <f>SUM(G8:G59)</f>
        <v>963</v>
      </c>
      <c r="H60" s="73">
        <f>SUM(H8:H59)</f>
        <v>34</v>
      </c>
      <c r="I60" s="73">
        <f>SUM(I8:I59)</f>
        <v>41193</v>
      </c>
      <c r="J60" s="48">
        <f>SUM(J8:J59)</f>
        <v>39</v>
      </c>
      <c r="K60" s="49"/>
      <c r="L60" s="98">
        <f t="shared" ref="L60:S60" si="5">SUM(L8:L59)</f>
        <v>216</v>
      </c>
      <c r="M60" s="98">
        <f t="shared" si="5"/>
        <v>14</v>
      </c>
      <c r="N60" s="98">
        <f t="shared" si="5"/>
        <v>358</v>
      </c>
      <c r="O60" s="98">
        <f t="shared" si="5"/>
        <v>15</v>
      </c>
      <c r="P60" s="98">
        <f t="shared" si="5"/>
        <v>389</v>
      </c>
      <c r="Q60" s="99">
        <f t="shared" si="5"/>
        <v>5</v>
      </c>
      <c r="R60" s="127">
        <f t="shared" si="5"/>
        <v>963</v>
      </c>
      <c r="S60" s="124">
        <f t="shared" si="5"/>
        <v>34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40" t="s">
        <v>3</v>
      </c>
      <c r="D69" s="141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40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72BC-8155-48AD-A234-EF9CA44DF671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46062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42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35</v>
      </c>
      <c r="D8" s="195"/>
      <c r="E8" s="196"/>
      <c r="F8" s="196"/>
      <c r="G8" s="102"/>
      <c r="H8" s="93"/>
      <c r="I8" s="93">
        <f>C8-G8</f>
        <v>35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>
        <v>97</v>
      </c>
      <c r="D9" s="198"/>
      <c r="E9" s="199"/>
      <c r="F9" s="199"/>
      <c r="G9" s="107"/>
      <c r="H9" s="108"/>
      <c r="I9" s="93">
        <f t="shared" ref="I9:J59" si="3">C9-G9</f>
        <v>97</v>
      </c>
      <c r="J9" s="103">
        <f t="shared" si="0"/>
        <v>0</v>
      </c>
      <c r="K9" s="64"/>
      <c r="L9" s="205"/>
      <c r="M9" s="205"/>
      <c r="N9" s="205"/>
      <c r="O9" s="205"/>
      <c r="P9" s="205"/>
      <c r="Q9" s="206"/>
      <c r="R9" s="128">
        <f t="shared" si="1"/>
        <v>0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>
        <v>117</v>
      </c>
      <c r="D11" s="195"/>
      <c r="E11" s="196"/>
      <c r="F11" s="196"/>
      <c r="G11" s="102">
        <v>3</v>
      </c>
      <c r="H11" s="93"/>
      <c r="I11" s="93">
        <f t="shared" si="3"/>
        <v>114</v>
      </c>
      <c r="J11" s="103">
        <f t="shared" si="0"/>
        <v>0</v>
      </c>
      <c r="K11" s="44"/>
      <c r="L11" s="196">
        <v>2</v>
      </c>
      <c r="M11" s="196"/>
      <c r="N11" s="196">
        <v>1</v>
      </c>
      <c r="O11" s="196"/>
      <c r="P11" s="196"/>
      <c r="Q11" s="204"/>
      <c r="R11" s="128">
        <f t="shared" si="1"/>
        <v>3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3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>
        <v>3735</v>
      </c>
      <c r="D13" s="198">
        <v>22</v>
      </c>
      <c r="E13" s="199"/>
      <c r="F13" s="199"/>
      <c r="G13" s="107">
        <v>44</v>
      </c>
      <c r="H13" s="108">
        <v>23</v>
      </c>
      <c r="I13" s="93">
        <f t="shared" si="3"/>
        <v>3691</v>
      </c>
      <c r="J13" s="103">
        <f>D13-H13</f>
        <v>-1</v>
      </c>
      <c r="K13" s="68"/>
      <c r="L13" s="205">
        <v>10</v>
      </c>
      <c r="M13" s="205">
        <v>19</v>
      </c>
      <c r="N13" s="205">
        <v>21</v>
      </c>
      <c r="O13" s="205"/>
      <c r="P13" s="205">
        <v>13</v>
      </c>
      <c r="Q13" s="206">
        <v>4</v>
      </c>
      <c r="R13" s="128">
        <f>L13+N13+P13</f>
        <v>44</v>
      </c>
      <c r="S13" s="273">
        <f>M13+O13+Q13</f>
        <v>23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93">
        <f t="shared" si="3"/>
        <v>5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3"/>
        <v>4</v>
      </c>
      <c r="J18" s="103">
        <f t="shared" si="3"/>
        <v>0</v>
      </c>
      <c r="K18" s="44"/>
      <c r="L18" s="196"/>
      <c r="M18" s="196"/>
      <c r="N18" s="196"/>
      <c r="O18" s="196"/>
      <c r="P18" s="196"/>
      <c r="Q18" s="204"/>
      <c r="R18" s="128">
        <f t="shared" si="4"/>
        <v>0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3"/>
        <v>4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3"/>
        <v>6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3"/>
        <v>4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3"/>
        <v>2</v>
      </c>
      <c r="J23" s="103">
        <f t="shared" si="3"/>
        <v>0</v>
      </c>
      <c r="K23" s="45"/>
      <c r="L23" s="196"/>
      <c r="M23" s="196"/>
      <c r="N23" s="196"/>
      <c r="O23" s="196"/>
      <c r="P23" s="196"/>
      <c r="Q23" s="204"/>
      <c r="R23" s="128">
        <f t="shared" si="4"/>
        <v>0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3"/>
        <v>48</v>
      </c>
      <c r="J24" s="103">
        <f t="shared" si="3"/>
        <v>0</v>
      </c>
      <c r="K24" s="45"/>
      <c r="L24" s="196"/>
      <c r="M24" s="196"/>
      <c r="N24" s="196"/>
      <c r="O24" s="196"/>
      <c r="P24" s="196"/>
      <c r="Q24" s="204"/>
      <c r="R24" s="128">
        <f t="shared" si="4"/>
        <v>0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3"/>
        <v>7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>
        <v>107</v>
      </c>
      <c r="D26" s="195">
        <v>23</v>
      </c>
      <c r="E26" s="196"/>
      <c r="F26" s="196"/>
      <c r="G26" s="102">
        <v>5</v>
      </c>
      <c r="H26" s="93"/>
      <c r="I26" s="93">
        <f t="shared" si="3"/>
        <v>102</v>
      </c>
      <c r="J26" s="103">
        <f t="shared" si="3"/>
        <v>23</v>
      </c>
      <c r="K26" s="44"/>
      <c r="L26" s="196">
        <v>5</v>
      </c>
      <c r="M26" s="196"/>
      <c r="N26" s="196"/>
      <c r="O26" s="196"/>
      <c r="P26" s="196"/>
      <c r="Q26" s="204"/>
      <c r="R26" s="128">
        <f t="shared" si="4"/>
        <v>5</v>
      </c>
      <c r="S26" s="273">
        <f t="shared" si="4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3"/>
        <v>0</v>
      </c>
      <c r="J27" s="103">
        <f t="shared" si="3"/>
        <v>0</v>
      </c>
      <c r="K27" s="45"/>
      <c r="L27" s="196"/>
      <c r="M27" s="196"/>
      <c r="N27" s="196"/>
      <c r="O27" s="196"/>
      <c r="P27" s="196"/>
      <c r="Q27" s="204"/>
      <c r="R27" s="128">
        <f t="shared" si="4"/>
        <v>0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3"/>
        <v>0</v>
      </c>
      <c r="J28" s="103">
        <f t="shared" si="3"/>
        <v>0</v>
      </c>
      <c r="K28" s="45"/>
      <c r="L28" s="196"/>
      <c r="M28" s="196"/>
      <c r="N28" s="196"/>
      <c r="O28" s="196"/>
      <c r="P28" s="196"/>
      <c r="Q28" s="204"/>
      <c r="R28" s="128">
        <f t="shared" si="4"/>
        <v>0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>
        <v>2</v>
      </c>
      <c r="D29" s="195"/>
      <c r="E29" s="196"/>
      <c r="F29" s="196"/>
      <c r="G29" s="102">
        <v>1</v>
      </c>
      <c r="H29" s="93"/>
      <c r="I29" s="93">
        <f t="shared" si="3"/>
        <v>1</v>
      </c>
      <c r="J29" s="103">
        <f t="shared" si="3"/>
        <v>0</v>
      </c>
      <c r="K29" s="45"/>
      <c r="L29" s="196"/>
      <c r="M29" s="196"/>
      <c r="N29" s="196">
        <v>1</v>
      </c>
      <c r="O29" s="196"/>
      <c r="P29" s="196"/>
      <c r="Q29" s="204"/>
      <c r="R29" s="128">
        <f t="shared" si="4"/>
        <v>1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>
        <v>71</v>
      </c>
      <c r="D31" s="195"/>
      <c r="E31" s="196"/>
      <c r="F31" s="196"/>
      <c r="G31" s="102">
        <v>1</v>
      </c>
      <c r="H31" s="93"/>
      <c r="I31" s="93">
        <f t="shared" si="3"/>
        <v>70</v>
      </c>
      <c r="J31" s="103">
        <f t="shared" si="3"/>
        <v>0</v>
      </c>
      <c r="K31" s="44"/>
      <c r="L31" s="196"/>
      <c r="M31" s="196"/>
      <c r="N31" s="196">
        <v>1</v>
      </c>
      <c r="O31" s="196"/>
      <c r="P31" s="196"/>
      <c r="Q31" s="204"/>
      <c r="R31" s="128">
        <f t="shared" si="4"/>
        <v>1</v>
      </c>
      <c r="S31" s="273">
        <f t="shared" si="4"/>
        <v>0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3"/>
        <v>0</v>
      </c>
      <c r="J32" s="103">
        <f t="shared" si="3"/>
        <v>0</v>
      </c>
      <c r="K32" s="44"/>
      <c r="L32" s="196"/>
      <c r="M32" s="196"/>
      <c r="N32" s="196"/>
      <c r="O32" s="196"/>
      <c r="P32" s="196"/>
      <c r="Q32" s="204"/>
      <c r="R32" s="128">
        <f t="shared" si="4"/>
        <v>0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3"/>
        <v>0</v>
      </c>
      <c r="J33" s="103">
        <f t="shared" si="3"/>
        <v>0</v>
      </c>
      <c r="K33" s="44"/>
      <c r="L33" s="196"/>
      <c r="M33" s="196"/>
      <c r="N33" s="196"/>
      <c r="O33" s="196"/>
      <c r="P33" s="196"/>
      <c r="Q33" s="204"/>
      <c r="R33" s="128">
        <f t="shared" si="4"/>
        <v>0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>
        <v>189</v>
      </c>
      <c r="D35" s="195">
        <v>23</v>
      </c>
      <c r="E35" s="196"/>
      <c r="F35" s="196"/>
      <c r="G35" s="102">
        <v>12</v>
      </c>
      <c r="H35" s="93"/>
      <c r="I35" s="93">
        <f t="shared" si="3"/>
        <v>177</v>
      </c>
      <c r="J35" s="103">
        <f t="shared" si="3"/>
        <v>23</v>
      </c>
      <c r="K35" s="44"/>
      <c r="L35" s="196">
        <v>10</v>
      </c>
      <c r="M35" s="196"/>
      <c r="N35" s="196"/>
      <c r="O35" s="196"/>
      <c r="P35" s="196">
        <v>2</v>
      </c>
      <c r="Q35" s="204"/>
      <c r="R35" s="128">
        <f t="shared" si="4"/>
        <v>12</v>
      </c>
      <c r="S35" s="273">
        <f t="shared" si="4"/>
        <v>0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>
        <v>5157</v>
      </c>
      <c r="D38" s="198">
        <v>2</v>
      </c>
      <c r="E38" s="199"/>
      <c r="F38" s="199"/>
      <c r="G38" s="107">
        <v>205</v>
      </c>
      <c r="H38" s="108"/>
      <c r="I38" s="93">
        <f t="shared" si="3"/>
        <v>4952</v>
      </c>
      <c r="J38" s="103">
        <f t="shared" si="3"/>
        <v>2</v>
      </c>
      <c r="K38" s="64"/>
      <c r="L38" s="205">
        <v>14</v>
      </c>
      <c r="M38" s="205"/>
      <c r="N38" s="205">
        <v>106</v>
      </c>
      <c r="O38" s="205"/>
      <c r="P38" s="205">
        <v>85</v>
      </c>
      <c r="Q38" s="206"/>
      <c r="R38" s="128">
        <f t="shared" si="4"/>
        <v>205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>
        <v>6</v>
      </c>
      <c r="D39" s="195"/>
      <c r="E39" s="196"/>
      <c r="F39" s="196"/>
      <c r="G39" s="102"/>
      <c r="H39" s="93"/>
      <c r="I39" s="93">
        <f t="shared" si="3"/>
        <v>6</v>
      </c>
      <c r="J39" s="103">
        <f t="shared" si="3"/>
        <v>0</v>
      </c>
      <c r="K39" s="44"/>
      <c r="L39" s="196"/>
      <c r="M39" s="196"/>
      <c r="N39" s="196"/>
      <c r="O39" s="196"/>
      <c r="P39" s="196"/>
      <c r="Q39" s="204"/>
      <c r="R39" s="128">
        <f t="shared" si="4"/>
        <v>0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3"/>
        <v>0</v>
      </c>
      <c r="J40" s="103">
        <f t="shared" si="3"/>
        <v>0</v>
      </c>
      <c r="K40" s="44"/>
      <c r="L40" s="196"/>
      <c r="M40" s="196"/>
      <c r="N40" s="196"/>
      <c r="O40" s="196"/>
      <c r="P40" s="196"/>
      <c r="Q40" s="204"/>
      <c r="R40" s="128">
        <f t="shared" si="4"/>
        <v>0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>
        <v>796</v>
      </c>
      <c r="D41" s="198">
        <v>12</v>
      </c>
      <c r="E41" s="199"/>
      <c r="F41" s="199"/>
      <c r="G41" s="107">
        <v>1</v>
      </c>
      <c r="H41" s="108">
        <v>12</v>
      </c>
      <c r="I41" s="93">
        <f t="shared" si="3"/>
        <v>795</v>
      </c>
      <c r="J41" s="103">
        <f t="shared" si="3"/>
        <v>0</v>
      </c>
      <c r="K41" s="64"/>
      <c r="L41" s="196"/>
      <c r="M41" s="196"/>
      <c r="N41" s="196"/>
      <c r="O41" s="196"/>
      <c r="P41" s="196">
        <v>1</v>
      </c>
      <c r="Q41" s="204">
        <v>12</v>
      </c>
      <c r="R41" s="128">
        <f t="shared" si="4"/>
        <v>1</v>
      </c>
      <c r="S41" s="273">
        <f t="shared" si="4"/>
        <v>12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>
        <v>1830</v>
      </c>
      <c r="D42" s="268"/>
      <c r="E42" s="269"/>
      <c r="F42" s="269"/>
      <c r="G42" s="111">
        <v>21</v>
      </c>
      <c r="H42" s="112"/>
      <c r="I42" s="93">
        <f t="shared" si="3"/>
        <v>1809</v>
      </c>
      <c r="J42" s="103">
        <f t="shared" si="3"/>
        <v>0</v>
      </c>
      <c r="K42" s="69"/>
      <c r="L42" s="269">
        <v>11</v>
      </c>
      <c r="M42" s="269"/>
      <c r="N42" s="269"/>
      <c r="O42" s="269"/>
      <c r="P42" s="269">
        <v>10</v>
      </c>
      <c r="Q42" s="270"/>
      <c r="R42" s="128">
        <f t="shared" si="4"/>
        <v>21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>
        <v>26555</v>
      </c>
      <c r="D44" s="198"/>
      <c r="E44" s="199"/>
      <c r="F44" s="199"/>
      <c r="G44" s="107">
        <v>983</v>
      </c>
      <c r="H44" s="108"/>
      <c r="I44" s="93">
        <f t="shared" si="3"/>
        <v>25572</v>
      </c>
      <c r="J44" s="103">
        <f t="shared" si="3"/>
        <v>0</v>
      </c>
      <c r="K44" s="64"/>
      <c r="L44" s="205">
        <v>350</v>
      </c>
      <c r="M44" s="205"/>
      <c r="N44" s="205">
        <v>328</v>
      </c>
      <c r="O44" s="205"/>
      <c r="P44" s="205">
        <v>305</v>
      </c>
      <c r="Q44" s="206"/>
      <c r="R44" s="128">
        <f t="shared" si="4"/>
        <v>983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>
        <f>2376</f>
        <v>2376</v>
      </c>
      <c r="D48" s="195">
        <v>5</v>
      </c>
      <c r="E48" s="196"/>
      <c r="F48" s="196"/>
      <c r="G48" s="102"/>
      <c r="H48" s="93"/>
      <c r="I48" s="93">
        <f t="shared" si="3"/>
        <v>2376</v>
      </c>
      <c r="J48" s="103">
        <f t="shared" si="3"/>
        <v>5</v>
      </c>
      <c r="K48" s="44"/>
      <c r="L48" s="196"/>
      <c r="M48" s="196"/>
      <c r="N48" s="196"/>
      <c r="O48" s="196"/>
      <c r="P48" s="196"/>
      <c r="Q48" s="204"/>
      <c r="R48" s="128">
        <f t="shared" si="4"/>
        <v>0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3"/>
        <v>0</v>
      </c>
      <c r="J50" s="103">
        <f t="shared" si="3"/>
        <v>0</v>
      </c>
      <c r="K50" s="44"/>
      <c r="L50" s="196"/>
      <c r="M50" s="196"/>
      <c r="N50" s="196"/>
      <c r="O50" s="196"/>
      <c r="P50" s="196"/>
      <c r="Q50" s="204"/>
      <c r="R50" s="128">
        <f t="shared" si="4"/>
        <v>0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3"/>
        <v>0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3"/>
        <v>34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>
        <v>3</v>
      </c>
      <c r="D54" s="195"/>
      <c r="E54" s="196"/>
      <c r="F54" s="196"/>
      <c r="G54" s="102"/>
      <c r="H54" s="93"/>
      <c r="I54" s="93">
        <f t="shared" si="3"/>
        <v>3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41191</v>
      </c>
      <c r="D60" s="71">
        <f>SUM(D8:D59)</f>
        <v>87</v>
      </c>
      <c r="E60" s="47">
        <f>SUM(E8:E59)</f>
        <v>0</v>
      </c>
      <c r="F60" s="47"/>
      <c r="G60" s="31">
        <f>SUM(G8:G59)</f>
        <v>1276</v>
      </c>
      <c r="H60" s="73">
        <f>SUM(H8:H59)</f>
        <v>35</v>
      </c>
      <c r="I60" s="73">
        <f>SUM(I8:I59)</f>
        <v>39915</v>
      </c>
      <c r="J60" s="48">
        <f>SUM(J8:J59)</f>
        <v>52</v>
      </c>
      <c r="K60" s="49"/>
      <c r="L60" s="98">
        <f t="shared" ref="L60:S60" si="5">SUM(L8:L59)</f>
        <v>402</v>
      </c>
      <c r="M60" s="98">
        <f t="shared" si="5"/>
        <v>19</v>
      </c>
      <c r="N60" s="98">
        <f t="shared" si="5"/>
        <v>458</v>
      </c>
      <c r="O60" s="98">
        <f t="shared" si="5"/>
        <v>0</v>
      </c>
      <c r="P60" s="98">
        <f t="shared" si="5"/>
        <v>416</v>
      </c>
      <c r="Q60" s="99">
        <f t="shared" si="5"/>
        <v>16</v>
      </c>
      <c r="R60" s="127">
        <f t="shared" si="5"/>
        <v>1276</v>
      </c>
      <c r="S60" s="124">
        <f t="shared" si="5"/>
        <v>35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40" t="s">
        <v>3</v>
      </c>
      <c r="D69" s="141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40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18AA-5238-43C6-9323-7E13E3256073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46063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42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35</v>
      </c>
      <c r="D8" s="195"/>
      <c r="E8" s="196"/>
      <c r="F8" s="196"/>
      <c r="G8" s="102"/>
      <c r="H8" s="93"/>
      <c r="I8" s="93">
        <f>C8-G8</f>
        <v>35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>
        <v>97</v>
      </c>
      <c r="D9" s="198"/>
      <c r="E9" s="199"/>
      <c r="F9" s="199"/>
      <c r="G9" s="107"/>
      <c r="H9" s="108"/>
      <c r="I9" s="93">
        <f t="shared" ref="I9:J59" si="3">C9-G9</f>
        <v>97</v>
      </c>
      <c r="J9" s="103">
        <f t="shared" si="0"/>
        <v>0</v>
      </c>
      <c r="K9" s="64"/>
      <c r="L9" s="205"/>
      <c r="M9" s="205"/>
      <c r="N9" s="205"/>
      <c r="O9" s="205"/>
      <c r="P9" s="205"/>
      <c r="Q9" s="206"/>
      <c r="R9" s="128">
        <f t="shared" si="1"/>
        <v>0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>
        <v>114</v>
      </c>
      <c r="D11" s="195"/>
      <c r="E11" s="196"/>
      <c r="F11" s="196"/>
      <c r="G11" s="102">
        <v>17</v>
      </c>
      <c r="H11" s="93"/>
      <c r="I11" s="93">
        <f t="shared" si="3"/>
        <v>97</v>
      </c>
      <c r="J11" s="103">
        <f t="shared" si="0"/>
        <v>0</v>
      </c>
      <c r="K11" s="44"/>
      <c r="L11" s="196">
        <v>1</v>
      </c>
      <c r="M11" s="196"/>
      <c r="N11" s="196">
        <v>6</v>
      </c>
      <c r="O11" s="196"/>
      <c r="P11" s="196">
        <v>10</v>
      </c>
      <c r="Q11" s="204"/>
      <c r="R11" s="128">
        <f t="shared" si="1"/>
        <v>17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3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>
        <v>3690</v>
      </c>
      <c r="D13" s="198">
        <v>23</v>
      </c>
      <c r="E13" s="199"/>
      <c r="F13" s="199"/>
      <c r="G13" s="107">
        <v>11</v>
      </c>
      <c r="H13" s="108">
        <v>32</v>
      </c>
      <c r="I13" s="93">
        <f t="shared" si="3"/>
        <v>3679</v>
      </c>
      <c r="J13" s="103">
        <f>D13-H13</f>
        <v>-9</v>
      </c>
      <c r="K13" s="68"/>
      <c r="L13" s="205">
        <v>2</v>
      </c>
      <c r="M13" s="205">
        <v>11</v>
      </c>
      <c r="N13" s="205">
        <v>9</v>
      </c>
      <c r="O13" s="205">
        <v>15</v>
      </c>
      <c r="P13" s="205"/>
      <c r="Q13" s="206">
        <v>6</v>
      </c>
      <c r="R13" s="128">
        <f>L13+N13+P13</f>
        <v>11</v>
      </c>
      <c r="S13" s="273">
        <f>M13+O13+Q13</f>
        <v>32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93">
        <f t="shared" si="3"/>
        <v>5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3"/>
        <v>4</v>
      </c>
      <c r="J18" s="103">
        <f t="shared" si="3"/>
        <v>0</v>
      </c>
      <c r="K18" s="44"/>
      <c r="L18" s="196"/>
      <c r="M18" s="196"/>
      <c r="N18" s="196"/>
      <c r="O18" s="196"/>
      <c r="P18" s="196"/>
      <c r="Q18" s="204"/>
      <c r="R18" s="128">
        <f t="shared" si="4"/>
        <v>0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3"/>
        <v>4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3"/>
        <v>6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3"/>
        <v>4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3"/>
        <v>2</v>
      </c>
      <c r="J23" s="103">
        <f t="shared" si="3"/>
        <v>0</v>
      </c>
      <c r="K23" s="45"/>
      <c r="L23" s="196"/>
      <c r="M23" s="196"/>
      <c r="N23" s="196"/>
      <c r="O23" s="196"/>
      <c r="P23" s="196"/>
      <c r="Q23" s="204"/>
      <c r="R23" s="128">
        <f t="shared" si="4"/>
        <v>0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3"/>
        <v>48</v>
      </c>
      <c r="J24" s="103">
        <f t="shared" si="3"/>
        <v>0</v>
      </c>
      <c r="K24" s="45"/>
      <c r="L24" s="196"/>
      <c r="M24" s="196"/>
      <c r="N24" s="196"/>
      <c r="O24" s="196"/>
      <c r="P24" s="196"/>
      <c r="Q24" s="204"/>
      <c r="R24" s="128">
        <f t="shared" si="4"/>
        <v>0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3"/>
        <v>7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>
        <v>102</v>
      </c>
      <c r="D26" s="195">
        <v>23</v>
      </c>
      <c r="E26" s="196"/>
      <c r="F26" s="196"/>
      <c r="G26" s="102"/>
      <c r="H26" s="93"/>
      <c r="I26" s="93">
        <f t="shared" si="3"/>
        <v>102</v>
      </c>
      <c r="J26" s="103">
        <f t="shared" si="3"/>
        <v>23</v>
      </c>
      <c r="K26" s="44"/>
      <c r="L26" s="196"/>
      <c r="M26" s="196"/>
      <c r="N26" s="196"/>
      <c r="O26" s="196"/>
      <c r="P26" s="196"/>
      <c r="Q26" s="204"/>
      <c r="R26" s="128">
        <f t="shared" si="4"/>
        <v>0</v>
      </c>
      <c r="S26" s="273">
        <f t="shared" si="4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3"/>
        <v>0</v>
      </c>
      <c r="J27" s="103">
        <f t="shared" si="3"/>
        <v>0</v>
      </c>
      <c r="K27" s="45"/>
      <c r="L27" s="196"/>
      <c r="M27" s="196"/>
      <c r="N27" s="196"/>
      <c r="O27" s="196"/>
      <c r="P27" s="196"/>
      <c r="Q27" s="204"/>
      <c r="R27" s="128">
        <f t="shared" si="4"/>
        <v>0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3"/>
        <v>0</v>
      </c>
      <c r="J28" s="103">
        <f t="shared" si="3"/>
        <v>0</v>
      </c>
      <c r="K28" s="45"/>
      <c r="L28" s="196"/>
      <c r="M28" s="196"/>
      <c r="N28" s="196"/>
      <c r="O28" s="196"/>
      <c r="P28" s="196"/>
      <c r="Q28" s="204"/>
      <c r="R28" s="128">
        <f t="shared" si="4"/>
        <v>0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>
        <v>1</v>
      </c>
      <c r="D29" s="195"/>
      <c r="E29" s="196"/>
      <c r="F29" s="196"/>
      <c r="G29" s="102"/>
      <c r="H29" s="93"/>
      <c r="I29" s="93">
        <f t="shared" si="3"/>
        <v>1</v>
      </c>
      <c r="J29" s="103">
        <f t="shared" si="3"/>
        <v>0</v>
      </c>
      <c r="K29" s="45"/>
      <c r="L29" s="196"/>
      <c r="M29" s="196"/>
      <c r="N29" s="196">
        <v>1</v>
      </c>
      <c r="O29" s="196"/>
      <c r="P29" s="196"/>
      <c r="Q29" s="204"/>
      <c r="R29" s="128">
        <f t="shared" si="4"/>
        <v>1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>
        <v>70</v>
      </c>
      <c r="D31" s="195"/>
      <c r="E31" s="196"/>
      <c r="F31" s="196"/>
      <c r="G31" s="102"/>
      <c r="H31" s="93"/>
      <c r="I31" s="93">
        <f t="shared" si="3"/>
        <v>70</v>
      </c>
      <c r="J31" s="103">
        <f t="shared" si="3"/>
        <v>0</v>
      </c>
      <c r="K31" s="44"/>
      <c r="L31" s="196"/>
      <c r="M31" s="196"/>
      <c r="N31" s="196"/>
      <c r="O31" s="196"/>
      <c r="P31" s="196">
        <v>5</v>
      </c>
      <c r="Q31" s="204"/>
      <c r="R31" s="128">
        <f t="shared" si="4"/>
        <v>5</v>
      </c>
      <c r="S31" s="273">
        <f t="shared" si="4"/>
        <v>0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3"/>
        <v>0</v>
      </c>
      <c r="J32" s="103">
        <f t="shared" si="3"/>
        <v>0</v>
      </c>
      <c r="K32" s="44"/>
      <c r="L32" s="196"/>
      <c r="M32" s="196"/>
      <c r="N32" s="196"/>
      <c r="O32" s="196"/>
      <c r="P32" s="196"/>
      <c r="Q32" s="204"/>
      <c r="R32" s="128">
        <f t="shared" si="4"/>
        <v>0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3"/>
        <v>0</v>
      </c>
      <c r="J33" s="103">
        <f t="shared" si="3"/>
        <v>0</v>
      </c>
      <c r="K33" s="44"/>
      <c r="L33" s="196"/>
      <c r="M33" s="196"/>
      <c r="N33" s="196"/>
      <c r="O33" s="196"/>
      <c r="P33" s="196"/>
      <c r="Q33" s="204"/>
      <c r="R33" s="128">
        <f t="shared" si="4"/>
        <v>0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>
        <v>177</v>
      </c>
      <c r="D35" s="195">
        <v>23</v>
      </c>
      <c r="E35" s="196"/>
      <c r="F35" s="196"/>
      <c r="G35" s="102">
        <v>10</v>
      </c>
      <c r="H35" s="93"/>
      <c r="I35" s="93">
        <f t="shared" si="3"/>
        <v>167</v>
      </c>
      <c r="J35" s="103">
        <f t="shared" si="3"/>
        <v>23</v>
      </c>
      <c r="K35" s="44"/>
      <c r="L35" s="196"/>
      <c r="M35" s="196"/>
      <c r="N35" s="196"/>
      <c r="O35" s="196"/>
      <c r="P35" s="196">
        <v>10</v>
      </c>
      <c r="Q35" s="204"/>
      <c r="R35" s="128">
        <f t="shared" si="4"/>
        <v>10</v>
      </c>
      <c r="S35" s="273">
        <f t="shared" si="4"/>
        <v>0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>
        <f>4952</f>
        <v>4952</v>
      </c>
      <c r="D38" s="198">
        <v>2</v>
      </c>
      <c r="E38" s="199"/>
      <c r="F38" s="199"/>
      <c r="G38" s="107">
        <v>47</v>
      </c>
      <c r="H38" s="108"/>
      <c r="I38" s="93">
        <f t="shared" si="3"/>
        <v>4905</v>
      </c>
      <c r="J38" s="103">
        <f t="shared" si="3"/>
        <v>2</v>
      </c>
      <c r="K38" s="64"/>
      <c r="L38" s="205">
        <v>25</v>
      </c>
      <c r="M38" s="205"/>
      <c r="N38" s="205">
        <v>22</v>
      </c>
      <c r="O38" s="205"/>
      <c r="P38" s="205"/>
      <c r="Q38" s="206"/>
      <c r="R38" s="128">
        <f t="shared" si="4"/>
        <v>47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>
        <v>6</v>
      </c>
      <c r="D39" s="195"/>
      <c r="E39" s="196"/>
      <c r="F39" s="196"/>
      <c r="G39" s="102">
        <v>1</v>
      </c>
      <c r="H39" s="93"/>
      <c r="I39" s="93">
        <f t="shared" si="3"/>
        <v>5</v>
      </c>
      <c r="J39" s="103">
        <f t="shared" si="3"/>
        <v>0</v>
      </c>
      <c r="K39" s="44"/>
      <c r="L39" s="196"/>
      <c r="M39" s="196"/>
      <c r="N39" s="196">
        <v>1</v>
      </c>
      <c r="O39" s="196"/>
      <c r="P39" s="196"/>
      <c r="Q39" s="204"/>
      <c r="R39" s="128">
        <f t="shared" si="4"/>
        <v>1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3"/>
        <v>0</v>
      </c>
      <c r="J40" s="103">
        <f t="shared" si="3"/>
        <v>0</v>
      </c>
      <c r="K40" s="44"/>
      <c r="L40" s="196"/>
      <c r="M40" s="196"/>
      <c r="N40" s="196"/>
      <c r="O40" s="196"/>
      <c r="P40" s="196"/>
      <c r="Q40" s="204"/>
      <c r="R40" s="128">
        <f t="shared" si="4"/>
        <v>0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>
        <v>795</v>
      </c>
      <c r="D41" s="198"/>
      <c r="E41" s="199"/>
      <c r="F41" s="199"/>
      <c r="G41" s="107">
        <v>10</v>
      </c>
      <c r="H41" s="108"/>
      <c r="I41" s="93">
        <f t="shared" si="3"/>
        <v>785</v>
      </c>
      <c r="J41" s="103">
        <f t="shared" si="3"/>
        <v>0</v>
      </c>
      <c r="K41" s="64"/>
      <c r="L41" s="196"/>
      <c r="M41" s="196"/>
      <c r="N41" s="196"/>
      <c r="O41" s="196"/>
      <c r="P41" s="196">
        <v>10</v>
      </c>
      <c r="Q41" s="204"/>
      <c r="R41" s="128">
        <f t="shared" si="4"/>
        <v>10</v>
      </c>
      <c r="S41" s="273">
        <f t="shared" si="4"/>
        <v>0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>
        <v>1809</v>
      </c>
      <c r="D42" s="268"/>
      <c r="E42" s="269"/>
      <c r="F42" s="269"/>
      <c r="G42" s="111">
        <v>43</v>
      </c>
      <c r="H42" s="112"/>
      <c r="I42" s="93">
        <f t="shared" si="3"/>
        <v>1766</v>
      </c>
      <c r="J42" s="103">
        <f t="shared" si="3"/>
        <v>0</v>
      </c>
      <c r="K42" s="69"/>
      <c r="L42" s="269">
        <v>4</v>
      </c>
      <c r="M42" s="269"/>
      <c r="N42" s="269">
        <v>4</v>
      </c>
      <c r="O42" s="269"/>
      <c r="P42" s="269">
        <v>35</v>
      </c>
      <c r="Q42" s="270"/>
      <c r="R42" s="128">
        <f t="shared" si="4"/>
        <v>43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>
        <v>25572</v>
      </c>
      <c r="D44" s="198"/>
      <c r="E44" s="199">
        <v>1836</v>
      </c>
      <c r="F44" s="199"/>
      <c r="G44" s="107">
        <v>787</v>
      </c>
      <c r="H44" s="108"/>
      <c r="I44" s="93">
        <f>C44+E44-G44</f>
        <v>26621</v>
      </c>
      <c r="J44" s="103">
        <f t="shared" si="3"/>
        <v>0</v>
      </c>
      <c r="K44" s="64"/>
      <c r="L44" s="205">
        <v>229</v>
      </c>
      <c r="M44" s="205"/>
      <c r="N44" s="205">
        <v>231</v>
      </c>
      <c r="O44" s="205"/>
      <c r="P44" s="205">
        <v>327</v>
      </c>
      <c r="Q44" s="206"/>
      <c r="R44" s="128">
        <f t="shared" si="4"/>
        <v>787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>
        <v>2376</v>
      </c>
      <c r="D48" s="195">
        <v>5</v>
      </c>
      <c r="E48" s="196"/>
      <c r="F48" s="196"/>
      <c r="G48" s="102">
        <v>10</v>
      </c>
      <c r="H48" s="93"/>
      <c r="I48" s="93">
        <f t="shared" si="3"/>
        <v>2366</v>
      </c>
      <c r="J48" s="103">
        <f t="shared" si="3"/>
        <v>5</v>
      </c>
      <c r="K48" s="44"/>
      <c r="L48" s="196"/>
      <c r="M48" s="196"/>
      <c r="N48" s="196"/>
      <c r="O48" s="196"/>
      <c r="P48" s="196">
        <v>10</v>
      </c>
      <c r="Q48" s="204"/>
      <c r="R48" s="128">
        <f t="shared" si="4"/>
        <v>10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3"/>
        <v>0</v>
      </c>
      <c r="J50" s="103">
        <f t="shared" si="3"/>
        <v>0</v>
      </c>
      <c r="K50" s="44"/>
      <c r="L50" s="196"/>
      <c r="M50" s="196"/>
      <c r="N50" s="196"/>
      <c r="O50" s="196"/>
      <c r="P50" s="196"/>
      <c r="Q50" s="204"/>
      <c r="R50" s="128">
        <f t="shared" si="4"/>
        <v>0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3"/>
        <v>0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3"/>
        <v>34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>
        <v>3</v>
      </c>
      <c r="D54" s="195"/>
      <c r="E54" s="196"/>
      <c r="F54" s="196"/>
      <c r="G54" s="102"/>
      <c r="H54" s="93"/>
      <c r="I54" s="93">
        <f t="shared" si="3"/>
        <v>3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39914</v>
      </c>
      <c r="D60" s="71">
        <f>SUM(D8:D59)</f>
        <v>76</v>
      </c>
      <c r="E60" s="47">
        <f>SUM(E8:E59)</f>
        <v>1836</v>
      </c>
      <c r="F60" s="47"/>
      <c r="G60" s="31">
        <f>SUM(G8:G59)</f>
        <v>936</v>
      </c>
      <c r="H60" s="73">
        <f>SUM(H8:H59)</f>
        <v>32</v>
      </c>
      <c r="I60" s="73">
        <f>SUM(I8:I59)</f>
        <v>40814</v>
      </c>
      <c r="J60" s="48">
        <f>SUM(J8:J59)</f>
        <v>44</v>
      </c>
      <c r="K60" s="49"/>
      <c r="L60" s="98">
        <f t="shared" ref="L60:S60" si="5">SUM(L8:L59)</f>
        <v>261</v>
      </c>
      <c r="M60" s="98">
        <f t="shared" si="5"/>
        <v>11</v>
      </c>
      <c r="N60" s="98">
        <f t="shared" si="5"/>
        <v>274</v>
      </c>
      <c r="O60" s="98">
        <f t="shared" si="5"/>
        <v>15</v>
      </c>
      <c r="P60" s="98">
        <f t="shared" si="5"/>
        <v>407</v>
      </c>
      <c r="Q60" s="99">
        <f t="shared" si="5"/>
        <v>6</v>
      </c>
      <c r="R60" s="127">
        <f t="shared" si="5"/>
        <v>942</v>
      </c>
      <c r="S60" s="124">
        <f t="shared" si="5"/>
        <v>32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40" t="s">
        <v>3</v>
      </c>
      <c r="D69" s="141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40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00C1-6EA1-4C36-A546-4F0F77604104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46064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45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35</v>
      </c>
      <c r="D8" s="195"/>
      <c r="E8" s="196"/>
      <c r="F8" s="196"/>
      <c r="G8" s="102"/>
      <c r="H8" s="93"/>
      <c r="I8" s="93">
        <f>C8-G8</f>
        <v>35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>
        <v>97</v>
      </c>
      <c r="D9" s="198"/>
      <c r="E9" s="199"/>
      <c r="F9" s="199"/>
      <c r="G9" s="107"/>
      <c r="H9" s="108"/>
      <c r="I9" s="93">
        <f t="shared" ref="I9:J59" si="3">C9-G9</f>
        <v>97</v>
      </c>
      <c r="J9" s="103">
        <f t="shared" si="0"/>
        <v>0</v>
      </c>
      <c r="K9" s="64"/>
      <c r="L9" s="205"/>
      <c r="M9" s="205"/>
      <c r="N9" s="205"/>
      <c r="O9" s="205"/>
      <c r="P9" s="205"/>
      <c r="Q9" s="206"/>
      <c r="R9" s="128">
        <f t="shared" si="1"/>
        <v>0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>
        <v>97</v>
      </c>
      <c r="D11" s="195"/>
      <c r="E11" s="196"/>
      <c r="F11" s="196"/>
      <c r="G11" s="102">
        <v>23</v>
      </c>
      <c r="H11" s="93"/>
      <c r="I11" s="93">
        <f t="shared" si="3"/>
        <v>74</v>
      </c>
      <c r="J11" s="103">
        <f t="shared" si="0"/>
        <v>0</v>
      </c>
      <c r="K11" s="44"/>
      <c r="L11" s="196">
        <v>21</v>
      </c>
      <c r="M11" s="196"/>
      <c r="N11" s="196"/>
      <c r="O11" s="196"/>
      <c r="P11" s="196">
        <v>2</v>
      </c>
      <c r="Q11" s="204"/>
      <c r="R11" s="128">
        <f t="shared" si="1"/>
        <v>23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3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>
        <v>3678</v>
      </c>
      <c r="D13" s="198">
        <v>15</v>
      </c>
      <c r="E13" s="199"/>
      <c r="F13" s="199"/>
      <c r="G13" s="107">
        <v>69</v>
      </c>
      <c r="H13" s="108">
        <v>30</v>
      </c>
      <c r="I13" s="93">
        <f t="shared" si="3"/>
        <v>3609</v>
      </c>
      <c r="J13" s="103">
        <f>D13-H13</f>
        <v>-15</v>
      </c>
      <c r="K13" s="68"/>
      <c r="L13" s="205">
        <v>52</v>
      </c>
      <c r="M13" s="205">
        <v>5</v>
      </c>
      <c r="N13" s="205">
        <v>8</v>
      </c>
      <c r="O13" s="205">
        <v>11</v>
      </c>
      <c r="P13" s="205">
        <v>9</v>
      </c>
      <c r="Q13" s="206">
        <v>14</v>
      </c>
      <c r="R13" s="128">
        <f>L13+N13+P13</f>
        <v>69</v>
      </c>
      <c r="S13" s="273">
        <f>M13+O13+Q13</f>
        <v>30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93">
        <f t="shared" si="3"/>
        <v>5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3"/>
        <v>4</v>
      </c>
      <c r="J18" s="103">
        <f t="shared" si="3"/>
        <v>0</v>
      </c>
      <c r="K18" s="44"/>
      <c r="L18" s="196"/>
      <c r="M18" s="196"/>
      <c r="N18" s="196"/>
      <c r="O18" s="196"/>
      <c r="P18" s="196"/>
      <c r="Q18" s="204"/>
      <c r="R18" s="128">
        <f t="shared" si="4"/>
        <v>0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3"/>
        <v>4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3"/>
        <v>6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3"/>
        <v>4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3"/>
        <v>2</v>
      </c>
      <c r="J23" s="103">
        <f t="shared" si="3"/>
        <v>0</v>
      </c>
      <c r="K23" s="45"/>
      <c r="L23" s="196"/>
      <c r="M23" s="196"/>
      <c r="N23" s="196"/>
      <c r="O23" s="196"/>
      <c r="P23" s="196"/>
      <c r="Q23" s="204"/>
      <c r="R23" s="128">
        <f t="shared" si="4"/>
        <v>0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3"/>
        <v>48</v>
      </c>
      <c r="J24" s="103">
        <f t="shared" si="3"/>
        <v>0</v>
      </c>
      <c r="K24" s="45"/>
      <c r="L24" s="196"/>
      <c r="M24" s="196"/>
      <c r="N24" s="196"/>
      <c r="O24" s="196"/>
      <c r="P24" s="196"/>
      <c r="Q24" s="204"/>
      <c r="R24" s="128">
        <f t="shared" si="4"/>
        <v>0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3"/>
        <v>7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>
        <v>102</v>
      </c>
      <c r="D26" s="195">
        <v>23</v>
      </c>
      <c r="E26" s="196"/>
      <c r="F26" s="196"/>
      <c r="G26" s="102">
        <v>10</v>
      </c>
      <c r="H26" s="93"/>
      <c r="I26" s="93">
        <f t="shared" si="3"/>
        <v>92</v>
      </c>
      <c r="J26" s="103">
        <f t="shared" si="3"/>
        <v>23</v>
      </c>
      <c r="K26" s="44"/>
      <c r="L26" s="196">
        <v>10</v>
      </c>
      <c r="M26" s="196"/>
      <c r="N26" s="196"/>
      <c r="O26" s="196"/>
      <c r="P26" s="196"/>
      <c r="Q26" s="204"/>
      <c r="R26" s="128">
        <f t="shared" si="4"/>
        <v>10</v>
      </c>
      <c r="S26" s="273">
        <f t="shared" si="4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3"/>
        <v>0</v>
      </c>
      <c r="J27" s="103">
        <f t="shared" si="3"/>
        <v>0</v>
      </c>
      <c r="K27" s="45"/>
      <c r="L27" s="196"/>
      <c r="M27" s="196"/>
      <c r="N27" s="196"/>
      <c r="O27" s="196"/>
      <c r="P27" s="196"/>
      <c r="Q27" s="204"/>
      <c r="R27" s="128">
        <f t="shared" si="4"/>
        <v>0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3"/>
        <v>0</v>
      </c>
      <c r="J28" s="103">
        <f t="shared" si="3"/>
        <v>0</v>
      </c>
      <c r="K28" s="45"/>
      <c r="L28" s="196"/>
      <c r="M28" s="196"/>
      <c r="N28" s="196"/>
      <c r="O28" s="196"/>
      <c r="P28" s="196"/>
      <c r="Q28" s="204"/>
      <c r="R28" s="128">
        <f t="shared" si="4"/>
        <v>0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/>
      <c r="D29" s="195"/>
      <c r="E29" s="196">
        <v>63</v>
      </c>
      <c r="F29" s="196"/>
      <c r="G29" s="102"/>
      <c r="H29" s="93"/>
      <c r="I29" s="93">
        <f>C29-G29+E29</f>
        <v>63</v>
      </c>
      <c r="J29" s="103">
        <f t="shared" si="3"/>
        <v>0</v>
      </c>
      <c r="K29" s="45"/>
      <c r="L29" s="196"/>
      <c r="M29" s="196"/>
      <c r="N29" s="196"/>
      <c r="O29" s="196"/>
      <c r="P29" s="196"/>
      <c r="Q29" s="204"/>
      <c r="R29" s="128">
        <f t="shared" si="4"/>
        <v>0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>
        <v>65</v>
      </c>
      <c r="D31" s="195"/>
      <c r="E31" s="196"/>
      <c r="F31" s="196"/>
      <c r="G31" s="102">
        <v>1</v>
      </c>
      <c r="H31" s="93"/>
      <c r="I31" s="93">
        <f t="shared" si="3"/>
        <v>64</v>
      </c>
      <c r="J31" s="103">
        <f t="shared" si="3"/>
        <v>0</v>
      </c>
      <c r="K31" s="44"/>
      <c r="L31" s="196"/>
      <c r="M31" s="196"/>
      <c r="N31" s="196"/>
      <c r="O31" s="196"/>
      <c r="P31" s="196">
        <v>1</v>
      </c>
      <c r="Q31" s="204"/>
      <c r="R31" s="128">
        <f t="shared" si="4"/>
        <v>1</v>
      </c>
      <c r="S31" s="273">
        <f t="shared" si="4"/>
        <v>0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3"/>
        <v>0</v>
      </c>
      <c r="J32" s="103">
        <f t="shared" si="3"/>
        <v>0</v>
      </c>
      <c r="K32" s="44"/>
      <c r="L32" s="196"/>
      <c r="M32" s="196"/>
      <c r="N32" s="196"/>
      <c r="O32" s="196"/>
      <c r="P32" s="196"/>
      <c r="Q32" s="204"/>
      <c r="R32" s="128">
        <f t="shared" si="4"/>
        <v>0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3"/>
        <v>0</v>
      </c>
      <c r="J33" s="103">
        <f t="shared" si="3"/>
        <v>0</v>
      </c>
      <c r="K33" s="44"/>
      <c r="L33" s="196"/>
      <c r="M33" s="196"/>
      <c r="N33" s="196"/>
      <c r="O33" s="196"/>
      <c r="P33" s="196"/>
      <c r="Q33" s="204"/>
      <c r="R33" s="128">
        <f t="shared" si="4"/>
        <v>0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>
        <v>167</v>
      </c>
      <c r="D35" s="195">
        <v>23</v>
      </c>
      <c r="E35" s="196"/>
      <c r="F35" s="196"/>
      <c r="G35" s="102">
        <v>33</v>
      </c>
      <c r="H35" s="93"/>
      <c r="I35" s="93">
        <f t="shared" si="3"/>
        <v>134</v>
      </c>
      <c r="J35" s="103">
        <f t="shared" si="3"/>
        <v>23</v>
      </c>
      <c r="K35" s="44"/>
      <c r="L35" s="196">
        <v>30</v>
      </c>
      <c r="M35" s="196"/>
      <c r="N35" s="196"/>
      <c r="O35" s="196"/>
      <c r="P35" s="196">
        <v>3</v>
      </c>
      <c r="Q35" s="204"/>
      <c r="R35" s="128">
        <f t="shared" si="4"/>
        <v>33</v>
      </c>
      <c r="S35" s="273">
        <f t="shared" si="4"/>
        <v>0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>
        <v>4905</v>
      </c>
      <c r="D38" s="198">
        <v>2</v>
      </c>
      <c r="E38" s="199"/>
      <c r="F38" s="199"/>
      <c r="G38" s="107">
        <v>174</v>
      </c>
      <c r="H38" s="108"/>
      <c r="I38" s="93">
        <f t="shared" si="3"/>
        <v>4731</v>
      </c>
      <c r="J38" s="103">
        <f t="shared" si="3"/>
        <v>2</v>
      </c>
      <c r="K38" s="64"/>
      <c r="L38" s="205">
        <v>108</v>
      </c>
      <c r="M38" s="205"/>
      <c r="N38" s="205">
        <v>30</v>
      </c>
      <c r="O38" s="205"/>
      <c r="P38" s="205">
        <v>36</v>
      </c>
      <c r="Q38" s="206"/>
      <c r="R38" s="128">
        <f t="shared" si="4"/>
        <v>174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>
        <v>5</v>
      </c>
      <c r="D39" s="195"/>
      <c r="E39" s="196"/>
      <c r="F39" s="196"/>
      <c r="G39" s="102">
        <v>1</v>
      </c>
      <c r="H39" s="93"/>
      <c r="I39" s="93">
        <f t="shared" si="3"/>
        <v>4</v>
      </c>
      <c r="J39" s="103">
        <f t="shared" si="3"/>
        <v>0</v>
      </c>
      <c r="K39" s="44"/>
      <c r="L39" s="196"/>
      <c r="M39" s="196"/>
      <c r="N39" s="196"/>
      <c r="O39" s="196"/>
      <c r="P39" s="196">
        <v>1</v>
      </c>
      <c r="Q39" s="204"/>
      <c r="R39" s="128">
        <f t="shared" si="4"/>
        <v>1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3"/>
        <v>0</v>
      </c>
      <c r="J40" s="103">
        <f t="shared" si="3"/>
        <v>0</v>
      </c>
      <c r="K40" s="44"/>
      <c r="L40" s="196"/>
      <c r="M40" s="196"/>
      <c r="N40" s="196"/>
      <c r="O40" s="196"/>
      <c r="P40" s="196"/>
      <c r="Q40" s="204"/>
      <c r="R40" s="128">
        <f t="shared" si="4"/>
        <v>0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>
        <v>785</v>
      </c>
      <c r="D41" s="198"/>
      <c r="E41" s="199"/>
      <c r="F41" s="199"/>
      <c r="G41" s="107"/>
      <c r="H41" s="108"/>
      <c r="I41" s="93">
        <f t="shared" si="3"/>
        <v>785</v>
      </c>
      <c r="J41" s="103">
        <f t="shared" si="3"/>
        <v>0</v>
      </c>
      <c r="K41" s="64"/>
      <c r="L41" s="196"/>
      <c r="M41" s="196"/>
      <c r="N41" s="196"/>
      <c r="O41" s="196"/>
      <c r="P41" s="196"/>
      <c r="Q41" s="204"/>
      <c r="R41" s="128">
        <f t="shared" si="4"/>
        <v>0</v>
      </c>
      <c r="S41" s="273">
        <f t="shared" si="4"/>
        <v>0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>
        <v>1766</v>
      </c>
      <c r="D42" s="268"/>
      <c r="E42" s="269"/>
      <c r="F42" s="269"/>
      <c r="G42" s="111">
        <v>58</v>
      </c>
      <c r="H42" s="112"/>
      <c r="I42" s="93">
        <f t="shared" si="3"/>
        <v>1708</v>
      </c>
      <c r="J42" s="103">
        <f t="shared" si="3"/>
        <v>0</v>
      </c>
      <c r="K42" s="69"/>
      <c r="L42" s="269">
        <v>48</v>
      </c>
      <c r="M42" s="269"/>
      <c r="N42" s="269"/>
      <c r="O42" s="269"/>
      <c r="P42" s="269">
        <v>10</v>
      </c>
      <c r="Q42" s="270"/>
      <c r="R42" s="128">
        <f t="shared" si="4"/>
        <v>58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>
        <v>26621</v>
      </c>
      <c r="D44" s="198"/>
      <c r="E44" s="199">
        <v>1728</v>
      </c>
      <c r="F44" s="199"/>
      <c r="G44" s="107">
        <v>1337</v>
      </c>
      <c r="H44" s="108"/>
      <c r="I44" s="93">
        <f>C44+E44-G44</f>
        <v>27012</v>
      </c>
      <c r="J44" s="103">
        <f t="shared" si="3"/>
        <v>0</v>
      </c>
      <c r="K44" s="64"/>
      <c r="L44" s="205">
        <v>815</v>
      </c>
      <c r="M44" s="205"/>
      <c r="N44" s="205">
        <v>191</v>
      </c>
      <c r="O44" s="205"/>
      <c r="P44" s="205">
        <v>331</v>
      </c>
      <c r="Q44" s="206"/>
      <c r="R44" s="128">
        <f t="shared" si="4"/>
        <v>1337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>
        <f>2366</f>
        <v>2366</v>
      </c>
      <c r="D48" s="195">
        <v>5</v>
      </c>
      <c r="E48" s="196"/>
      <c r="F48" s="196"/>
      <c r="G48" s="102">
        <v>1</v>
      </c>
      <c r="H48" s="93"/>
      <c r="I48" s="93">
        <f t="shared" si="3"/>
        <v>2365</v>
      </c>
      <c r="J48" s="103">
        <f t="shared" si="3"/>
        <v>5</v>
      </c>
      <c r="K48" s="44"/>
      <c r="L48" s="196"/>
      <c r="M48" s="196"/>
      <c r="N48" s="196">
        <v>1</v>
      </c>
      <c r="O48" s="196"/>
      <c r="P48" s="196"/>
      <c r="Q48" s="204"/>
      <c r="R48" s="128">
        <f t="shared" si="4"/>
        <v>1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3"/>
        <v>0</v>
      </c>
      <c r="J50" s="103">
        <f t="shared" si="3"/>
        <v>0</v>
      </c>
      <c r="K50" s="44"/>
      <c r="L50" s="196"/>
      <c r="M50" s="196"/>
      <c r="N50" s="196"/>
      <c r="O50" s="196"/>
      <c r="P50" s="196"/>
      <c r="Q50" s="204"/>
      <c r="R50" s="128">
        <f t="shared" si="4"/>
        <v>0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>
        <v>2</v>
      </c>
      <c r="D51" s="195"/>
      <c r="E51" s="196"/>
      <c r="F51" s="196"/>
      <c r="G51" s="102"/>
      <c r="H51" s="93"/>
      <c r="I51" s="93">
        <f t="shared" si="3"/>
        <v>2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3"/>
        <v>34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/>
      <c r="D54" s="195"/>
      <c r="E54" s="196"/>
      <c r="F54" s="196"/>
      <c r="G54" s="102"/>
      <c r="H54" s="93"/>
      <c r="I54" s="93">
        <f t="shared" si="3"/>
        <v>0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40806</v>
      </c>
      <c r="D60" s="71">
        <f>SUM(D8:D59)</f>
        <v>68</v>
      </c>
      <c r="E60" s="47">
        <f>SUM(E8:E59)</f>
        <v>1791</v>
      </c>
      <c r="F60" s="47"/>
      <c r="G60" s="31">
        <f>SUM(G8:G59)</f>
        <v>1707</v>
      </c>
      <c r="H60" s="73">
        <f>SUM(H8:H59)</f>
        <v>30</v>
      </c>
      <c r="I60" s="73">
        <f>SUM(I8:I59)</f>
        <v>40890</v>
      </c>
      <c r="J60" s="48">
        <f>SUM(J8:J59)</f>
        <v>38</v>
      </c>
      <c r="K60" s="49"/>
      <c r="L60" s="98">
        <f t="shared" ref="L60:S60" si="5">SUM(L8:L59)</f>
        <v>1084</v>
      </c>
      <c r="M60" s="98">
        <f t="shared" si="5"/>
        <v>5</v>
      </c>
      <c r="N60" s="98">
        <f t="shared" si="5"/>
        <v>230</v>
      </c>
      <c r="O60" s="98">
        <f t="shared" si="5"/>
        <v>11</v>
      </c>
      <c r="P60" s="98">
        <f t="shared" si="5"/>
        <v>393</v>
      </c>
      <c r="Q60" s="99">
        <f t="shared" si="5"/>
        <v>14</v>
      </c>
      <c r="R60" s="127">
        <f t="shared" si="5"/>
        <v>1707</v>
      </c>
      <c r="S60" s="124">
        <f t="shared" si="5"/>
        <v>30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43" t="s">
        <v>3</v>
      </c>
      <c r="D69" s="144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43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15AE-D547-4D82-8A91-5D01227172A9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46065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45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35</v>
      </c>
      <c r="D8" s="195"/>
      <c r="E8" s="196"/>
      <c r="F8" s="196"/>
      <c r="G8" s="102"/>
      <c r="H8" s="93"/>
      <c r="I8" s="93">
        <f>C8-G8</f>
        <v>35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73">
        <f t="shared" si="1"/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2">A8+1</f>
        <v>2</v>
      </c>
      <c r="B9" s="54" t="s">
        <v>49</v>
      </c>
      <c r="C9" s="197">
        <v>97</v>
      </c>
      <c r="D9" s="198"/>
      <c r="E9" s="199"/>
      <c r="F9" s="199"/>
      <c r="G9" s="107"/>
      <c r="H9" s="108"/>
      <c r="I9" s="93">
        <f t="shared" ref="I9:J59" si="3">C9-G9</f>
        <v>97</v>
      </c>
      <c r="J9" s="103">
        <f t="shared" si="0"/>
        <v>0</v>
      </c>
      <c r="K9" s="64"/>
      <c r="L9" s="205"/>
      <c r="M9" s="205"/>
      <c r="N9" s="205"/>
      <c r="O9" s="205"/>
      <c r="P9" s="205"/>
      <c r="Q9" s="206"/>
      <c r="R9" s="128">
        <f t="shared" si="1"/>
        <v>0</v>
      </c>
      <c r="S9" s="273">
        <f t="shared" si="1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2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3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1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2"/>
        <v>4</v>
      </c>
      <c r="B11" s="13" t="s">
        <v>50</v>
      </c>
      <c r="C11" s="194">
        <v>74</v>
      </c>
      <c r="D11" s="195"/>
      <c r="E11" s="196"/>
      <c r="F11" s="196"/>
      <c r="G11" s="102">
        <v>8</v>
      </c>
      <c r="H11" s="93"/>
      <c r="I11" s="93">
        <f t="shared" si="3"/>
        <v>66</v>
      </c>
      <c r="J11" s="103">
        <f t="shared" si="0"/>
        <v>0</v>
      </c>
      <c r="K11" s="44"/>
      <c r="L11" s="196"/>
      <c r="M11" s="196"/>
      <c r="N11" s="196">
        <v>8</v>
      </c>
      <c r="O11" s="196"/>
      <c r="P11" s="196"/>
      <c r="Q11" s="204"/>
      <c r="R11" s="128">
        <f t="shared" si="1"/>
        <v>8</v>
      </c>
      <c r="S11" s="273">
        <f t="shared" si="1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2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3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2"/>
        <v>6</v>
      </c>
      <c r="B13" s="54" t="s">
        <v>44</v>
      </c>
      <c r="C13" s="197">
        <v>3608</v>
      </c>
      <c r="D13" s="198">
        <v>9</v>
      </c>
      <c r="E13" s="199"/>
      <c r="F13" s="199"/>
      <c r="G13" s="107">
        <v>23</v>
      </c>
      <c r="H13" s="108">
        <v>12</v>
      </c>
      <c r="I13" s="93">
        <f t="shared" si="3"/>
        <v>3585</v>
      </c>
      <c r="J13" s="103">
        <f>D13-H13</f>
        <v>-3</v>
      </c>
      <c r="K13" s="68"/>
      <c r="L13" s="205">
        <v>10</v>
      </c>
      <c r="M13" s="205">
        <v>2</v>
      </c>
      <c r="N13" s="205">
        <v>8</v>
      </c>
      <c r="O13" s="205">
        <v>10</v>
      </c>
      <c r="P13" s="205">
        <v>5</v>
      </c>
      <c r="Q13" s="206"/>
      <c r="R13" s="128">
        <f>L13+N13+P13</f>
        <v>23</v>
      </c>
      <c r="S13" s="273">
        <f>M13+O13+Q13</f>
        <v>12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2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93">
        <f t="shared" si="3"/>
        <v>5</v>
      </c>
      <c r="J14" s="103">
        <f t="shared" si="3"/>
        <v>0</v>
      </c>
      <c r="K14" s="44"/>
      <c r="L14" s="196"/>
      <c r="M14" s="196"/>
      <c r="N14" s="196"/>
      <c r="O14" s="196"/>
      <c r="P14" s="196"/>
      <c r="Q14" s="204"/>
      <c r="R14" s="128">
        <f t="shared" ref="R14:S59" si="4">L14+N14+P14</f>
        <v>0</v>
      </c>
      <c r="S14" s="273">
        <f t="shared" si="4"/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2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3"/>
        <v>0</v>
      </c>
      <c r="J15" s="103">
        <f t="shared" si="3"/>
        <v>0</v>
      </c>
      <c r="K15" s="44"/>
      <c r="L15" s="196"/>
      <c r="M15" s="196"/>
      <c r="N15" s="196"/>
      <c r="O15" s="196"/>
      <c r="P15" s="196"/>
      <c r="Q15" s="204"/>
      <c r="R15" s="128">
        <f t="shared" si="4"/>
        <v>0</v>
      </c>
      <c r="S15" s="273">
        <f t="shared" si="4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2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3"/>
        <v>0</v>
      </c>
      <c r="J16" s="103">
        <f t="shared" si="3"/>
        <v>0</v>
      </c>
      <c r="K16" s="44"/>
      <c r="L16" s="196"/>
      <c r="M16" s="196"/>
      <c r="N16" s="196"/>
      <c r="O16" s="196"/>
      <c r="P16" s="196"/>
      <c r="Q16" s="204"/>
      <c r="R16" s="128">
        <f t="shared" si="4"/>
        <v>0</v>
      </c>
      <c r="S16" s="273">
        <f t="shared" si="4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2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3"/>
        <v>0</v>
      </c>
      <c r="J17" s="103">
        <f t="shared" si="3"/>
        <v>0</v>
      </c>
      <c r="K17" s="44"/>
      <c r="L17" s="196"/>
      <c r="M17" s="196"/>
      <c r="N17" s="196"/>
      <c r="O17" s="196"/>
      <c r="P17" s="196"/>
      <c r="Q17" s="204"/>
      <c r="R17" s="128">
        <f t="shared" si="4"/>
        <v>0</v>
      </c>
      <c r="S17" s="273">
        <f t="shared" si="4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2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3"/>
        <v>4</v>
      </c>
      <c r="J18" s="103">
        <f t="shared" si="3"/>
        <v>0</v>
      </c>
      <c r="K18" s="44"/>
      <c r="L18" s="196"/>
      <c r="M18" s="196"/>
      <c r="N18" s="196"/>
      <c r="O18" s="196"/>
      <c r="P18" s="196"/>
      <c r="Q18" s="204"/>
      <c r="R18" s="128">
        <f t="shared" si="4"/>
        <v>0</v>
      </c>
      <c r="S18" s="273">
        <f t="shared" si="4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2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3"/>
        <v>0</v>
      </c>
      <c r="J19" s="103">
        <f t="shared" si="3"/>
        <v>0</v>
      </c>
      <c r="K19" s="44"/>
      <c r="L19" s="196"/>
      <c r="M19" s="196"/>
      <c r="N19" s="196"/>
      <c r="O19" s="196"/>
      <c r="P19" s="196"/>
      <c r="Q19" s="204"/>
      <c r="R19" s="128">
        <f t="shared" si="4"/>
        <v>0</v>
      </c>
      <c r="S19" s="273">
        <f t="shared" si="4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2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3"/>
        <v>4</v>
      </c>
      <c r="J20" s="103">
        <f t="shared" si="3"/>
        <v>0</v>
      </c>
      <c r="K20" s="44"/>
      <c r="L20" s="196"/>
      <c r="M20" s="196"/>
      <c r="N20" s="196"/>
      <c r="O20" s="196"/>
      <c r="P20" s="196"/>
      <c r="Q20" s="204"/>
      <c r="R20" s="128">
        <f t="shared" si="4"/>
        <v>0</v>
      </c>
      <c r="S20" s="273">
        <f t="shared" si="4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2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3"/>
        <v>6</v>
      </c>
      <c r="J21" s="103">
        <f t="shared" si="3"/>
        <v>0</v>
      </c>
      <c r="K21" s="44"/>
      <c r="L21" s="196"/>
      <c r="M21" s="196"/>
      <c r="N21" s="196"/>
      <c r="O21" s="196"/>
      <c r="P21" s="196"/>
      <c r="Q21" s="204"/>
      <c r="R21" s="128">
        <f t="shared" si="4"/>
        <v>0</v>
      </c>
      <c r="S21" s="273">
        <f t="shared" si="4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2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3"/>
        <v>4</v>
      </c>
      <c r="J22" s="103">
        <f t="shared" si="3"/>
        <v>0</v>
      </c>
      <c r="K22" s="44"/>
      <c r="L22" s="196"/>
      <c r="M22" s="196"/>
      <c r="N22" s="196"/>
      <c r="O22" s="196"/>
      <c r="P22" s="196"/>
      <c r="Q22" s="204"/>
      <c r="R22" s="128">
        <f t="shared" si="4"/>
        <v>0</v>
      </c>
      <c r="S22" s="273">
        <f t="shared" si="4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2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3"/>
        <v>2</v>
      </c>
      <c r="J23" s="103">
        <f t="shared" si="3"/>
        <v>0</v>
      </c>
      <c r="K23" s="45"/>
      <c r="L23" s="196"/>
      <c r="M23" s="196"/>
      <c r="N23" s="196"/>
      <c r="O23" s="196"/>
      <c r="P23" s="196"/>
      <c r="Q23" s="204"/>
      <c r="R23" s="128">
        <f t="shared" si="4"/>
        <v>0</v>
      </c>
      <c r="S23" s="273">
        <f t="shared" si="4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2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3"/>
        <v>48</v>
      </c>
      <c r="J24" s="103">
        <f t="shared" si="3"/>
        <v>0</v>
      </c>
      <c r="K24" s="45"/>
      <c r="L24" s="196"/>
      <c r="M24" s="196"/>
      <c r="N24" s="196"/>
      <c r="O24" s="196"/>
      <c r="P24" s="196"/>
      <c r="Q24" s="204"/>
      <c r="R24" s="128">
        <f t="shared" si="4"/>
        <v>0</v>
      </c>
      <c r="S24" s="273">
        <f t="shared" si="4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2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3"/>
        <v>7</v>
      </c>
      <c r="J25" s="103">
        <f t="shared" si="3"/>
        <v>0</v>
      </c>
      <c r="K25" s="44"/>
      <c r="L25" s="196"/>
      <c r="M25" s="196"/>
      <c r="N25" s="196"/>
      <c r="O25" s="196"/>
      <c r="P25" s="196"/>
      <c r="Q25" s="204"/>
      <c r="R25" s="128">
        <f t="shared" si="4"/>
        <v>0</v>
      </c>
      <c r="S25" s="273">
        <f t="shared" si="4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2"/>
        <v>19</v>
      </c>
      <c r="B26" s="13" t="s">
        <v>22</v>
      </c>
      <c r="C26" s="194">
        <v>92</v>
      </c>
      <c r="D26" s="195">
        <v>23</v>
      </c>
      <c r="E26" s="196"/>
      <c r="F26" s="196"/>
      <c r="G26" s="102"/>
      <c r="H26" s="93"/>
      <c r="I26" s="93">
        <f t="shared" si="3"/>
        <v>92</v>
      </c>
      <c r="J26" s="103">
        <f t="shared" si="3"/>
        <v>23</v>
      </c>
      <c r="K26" s="44"/>
      <c r="L26" s="196"/>
      <c r="M26" s="196"/>
      <c r="N26" s="196"/>
      <c r="O26" s="196"/>
      <c r="P26" s="196"/>
      <c r="Q26" s="204"/>
      <c r="R26" s="128">
        <f t="shared" si="4"/>
        <v>0</v>
      </c>
      <c r="S26" s="273">
        <f t="shared" si="4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2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3"/>
        <v>0</v>
      </c>
      <c r="J27" s="103">
        <f t="shared" si="3"/>
        <v>0</v>
      </c>
      <c r="K27" s="45"/>
      <c r="L27" s="196"/>
      <c r="M27" s="196"/>
      <c r="N27" s="196"/>
      <c r="O27" s="196"/>
      <c r="P27" s="196"/>
      <c r="Q27" s="204"/>
      <c r="R27" s="128">
        <f t="shared" si="4"/>
        <v>0</v>
      </c>
      <c r="S27" s="273">
        <f t="shared" si="4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2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3"/>
        <v>0</v>
      </c>
      <c r="J28" s="103">
        <f t="shared" si="3"/>
        <v>0</v>
      </c>
      <c r="K28" s="45"/>
      <c r="L28" s="196"/>
      <c r="M28" s="196"/>
      <c r="N28" s="196"/>
      <c r="O28" s="196"/>
      <c r="P28" s="196"/>
      <c r="Q28" s="204"/>
      <c r="R28" s="128">
        <f t="shared" si="4"/>
        <v>0</v>
      </c>
      <c r="S28" s="273">
        <f t="shared" si="4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2"/>
        <v>22</v>
      </c>
      <c r="B29" s="13" t="s">
        <v>25</v>
      </c>
      <c r="C29" s="194">
        <v>63</v>
      </c>
      <c r="D29" s="195"/>
      <c r="E29" s="196"/>
      <c r="F29" s="196"/>
      <c r="G29" s="102"/>
      <c r="H29" s="93"/>
      <c r="I29" s="93">
        <f t="shared" si="3"/>
        <v>63</v>
      </c>
      <c r="J29" s="103">
        <f t="shared" si="3"/>
        <v>0</v>
      </c>
      <c r="K29" s="45"/>
      <c r="L29" s="196"/>
      <c r="M29" s="196"/>
      <c r="N29" s="196"/>
      <c r="O29" s="196"/>
      <c r="P29" s="196"/>
      <c r="Q29" s="204"/>
      <c r="R29" s="128">
        <f t="shared" si="4"/>
        <v>0</v>
      </c>
      <c r="S29" s="273">
        <f t="shared" si="4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2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3"/>
        <v>0</v>
      </c>
      <c r="J30" s="103">
        <f t="shared" si="3"/>
        <v>0</v>
      </c>
      <c r="K30" s="44"/>
      <c r="L30" s="196"/>
      <c r="M30" s="196"/>
      <c r="N30" s="196"/>
      <c r="O30" s="196"/>
      <c r="P30" s="196"/>
      <c r="Q30" s="204"/>
      <c r="R30" s="128">
        <f t="shared" si="4"/>
        <v>0</v>
      </c>
      <c r="S30" s="273">
        <f t="shared" si="4"/>
        <v>0</v>
      </c>
      <c r="T30" s="272"/>
      <c r="U30" s="191"/>
      <c r="V30" s="30"/>
    </row>
    <row r="31" spans="1:58" ht="19.5" thickBot="1" x14ac:dyDescent="0.3">
      <c r="A31" s="3">
        <f t="shared" si="2"/>
        <v>24</v>
      </c>
      <c r="B31" s="13" t="s">
        <v>29</v>
      </c>
      <c r="C31" s="194">
        <v>64</v>
      </c>
      <c r="D31" s="195"/>
      <c r="E31" s="196"/>
      <c r="F31" s="196"/>
      <c r="G31" s="102"/>
      <c r="H31" s="93"/>
      <c r="I31" s="93">
        <f t="shared" si="3"/>
        <v>64</v>
      </c>
      <c r="J31" s="103">
        <f t="shared" si="3"/>
        <v>0</v>
      </c>
      <c r="K31" s="44"/>
      <c r="L31" s="196"/>
      <c r="M31" s="196"/>
      <c r="N31" s="196"/>
      <c r="O31" s="196"/>
      <c r="P31" s="196"/>
      <c r="Q31" s="204"/>
      <c r="R31" s="128">
        <f t="shared" si="4"/>
        <v>0</v>
      </c>
      <c r="S31" s="273">
        <f t="shared" si="4"/>
        <v>0</v>
      </c>
      <c r="T31" s="272"/>
      <c r="U31" s="191"/>
      <c r="V31" s="30"/>
    </row>
    <row r="32" spans="1:58" ht="19.5" thickBot="1" x14ac:dyDescent="0.3">
      <c r="A32" s="3">
        <f t="shared" si="2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3"/>
        <v>0</v>
      </c>
      <c r="J32" s="103">
        <f t="shared" si="3"/>
        <v>0</v>
      </c>
      <c r="K32" s="44"/>
      <c r="L32" s="196"/>
      <c r="M32" s="196"/>
      <c r="N32" s="196"/>
      <c r="O32" s="196"/>
      <c r="P32" s="196"/>
      <c r="Q32" s="204"/>
      <c r="R32" s="128">
        <f t="shared" si="4"/>
        <v>0</v>
      </c>
      <c r="S32" s="273">
        <f t="shared" si="4"/>
        <v>0</v>
      </c>
      <c r="T32" s="272"/>
      <c r="U32" s="191"/>
      <c r="V32" s="30"/>
    </row>
    <row r="33" spans="1:24" ht="19.5" thickBot="1" x14ac:dyDescent="0.3">
      <c r="A33" s="3">
        <f t="shared" si="2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3"/>
        <v>0</v>
      </c>
      <c r="J33" s="103">
        <f t="shared" si="3"/>
        <v>0</v>
      </c>
      <c r="K33" s="44"/>
      <c r="L33" s="196"/>
      <c r="M33" s="196"/>
      <c r="N33" s="196"/>
      <c r="O33" s="196"/>
      <c r="P33" s="196"/>
      <c r="Q33" s="204"/>
      <c r="R33" s="128">
        <f t="shared" si="4"/>
        <v>0</v>
      </c>
      <c r="S33" s="273">
        <f t="shared" si="4"/>
        <v>0</v>
      </c>
      <c r="T33" s="272"/>
      <c r="U33" s="191"/>
      <c r="V33" s="30"/>
    </row>
    <row r="34" spans="1:24" ht="19.5" thickBot="1" x14ac:dyDescent="0.3">
      <c r="A34" s="3">
        <f t="shared" si="2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3"/>
        <v>0</v>
      </c>
      <c r="J34" s="103">
        <f t="shared" si="3"/>
        <v>0</v>
      </c>
      <c r="K34" s="44"/>
      <c r="L34" s="196"/>
      <c r="M34" s="196"/>
      <c r="N34" s="196"/>
      <c r="O34" s="196"/>
      <c r="P34" s="196"/>
      <c r="Q34" s="204"/>
      <c r="R34" s="128">
        <f t="shared" si="4"/>
        <v>0</v>
      </c>
      <c r="S34" s="273">
        <f t="shared" si="4"/>
        <v>0</v>
      </c>
      <c r="T34" s="272"/>
      <c r="U34" s="191"/>
      <c r="V34" s="30"/>
    </row>
    <row r="35" spans="1:24" ht="19.5" thickBot="1" x14ac:dyDescent="0.3">
      <c r="A35" s="3">
        <f t="shared" si="2"/>
        <v>28</v>
      </c>
      <c r="B35" s="13" t="s">
        <v>31</v>
      </c>
      <c r="C35" s="194">
        <v>134</v>
      </c>
      <c r="D35" s="195">
        <v>23</v>
      </c>
      <c r="E35" s="196"/>
      <c r="F35" s="196"/>
      <c r="G35" s="102">
        <v>20</v>
      </c>
      <c r="H35" s="93">
        <v>6</v>
      </c>
      <c r="I35" s="93">
        <f t="shared" si="3"/>
        <v>114</v>
      </c>
      <c r="J35" s="103">
        <f t="shared" si="3"/>
        <v>17</v>
      </c>
      <c r="K35" s="44"/>
      <c r="L35" s="196"/>
      <c r="M35" s="196"/>
      <c r="N35" s="196">
        <v>20</v>
      </c>
      <c r="O35" s="196">
        <v>6</v>
      </c>
      <c r="P35" s="196"/>
      <c r="Q35" s="204"/>
      <c r="R35" s="128">
        <f t="shared" si="4"/>
        <v>20</v>
      </c>
      <c r="S35" s="273">
        <f t="shared" si="4"/>
        <v>6</v>
      </c>
      <c r="T35" s="272"/>
      <c r="U35" s="191"/>
      <c r="V35" s="30"/>
    </row>
    <row r="36" spans="1:24" ht="18.75" hidden="1" customHeight="1" x14ac:dyDescent="0.25">
      <c r="A36" s="3">
        <f t="shared" si="2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3"/>
        <v>0</v>
      </c>
      <c r="J36" s="103">
        <f t="shared" si="3"/>
        <v>0</v>
      </c>
      <c r="K36" s="44"/>
      <c r="L36" s="196"/>
      <c r="M36" s="196"/>
      <c r="N36" s="196"/>
      <c r="O36" s="196"/>
      <c r="P36" s="196"/>
      <c r="Q36" s="204"/>
      <c r="R36" s="128">
        <f t="shared" si="4"/>
        <v>0</v>
      </c>
      <c r="S36" s="273">
        <f t="shared" si="4"/>
        <v>0</v>
      </c>
      <c r="T36" s="272"/>
      <c r="U36" s="191"/>
      <c r="V36" s="30"/>
    </row>
    <row r="37" spans="1:24" ht="18.75" customHeight="1" thickBot="1" x14ac:dyDescent="0.3">
      <c r="A37" s="3">
        <f t="shared" si="2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3"/>
        <v>0</v>
      </c>
      <c r="J37" s="103">
        <f t="shared" si="3"/>
        <v>0</v>
      </c>
      <c r="K37" s="44"/>
      <c r="L37" s="196"/>
      <c r="M37" s="196"/>
      <c r="N37" s="196"/>
      <c r="O37" s="196"/>
      <c r="P37" s="196"/>
      <c r="Q37" s="204"/>
      <c r="R37" s="128">
        <f t="shared" si="4"/>
        <v>0</v>
      </c>
      <c r="S37" s="273">
        <f t="shared" si="4"/>
        <v>0</v>
      </c>
      <c r="T37" s="272"/>
      <c r="U37" s="191"/>
      <c r="V37" s="30"/>
    </row>
    <row r="38" spans="1:24" ht="19.5" thickBot="1" x14ac:dyDescent="0.3">
      <c r="A38" s="3">
        <f t="shared" si="2"/>
        <v>31</v>
      </c>
      <c r="B38" s="54" t="s">
        <v>33</v>
      </c>
      <c r="C38" s="197">
        <v>4731</v>
      </c>
      <c r="D38" s="198">
        <v>2</v>
      </c>
      <c r="E38" s="199"/>
      <c r="F38" s="199"/>
      <c r="G38" s="107">
        <v>70</v>
      </c>
      <c r="H38" s="108"/>
      <c r="I38" s="93">
        <f t="shared" si="3"/>
        <v>4661</v>
      </c>
      <c r="J38" s="103">
        <f t="shared" si="3"/>
        <v>2</v>
      </c>
      <c r="K38" s="64"/>
      <c r="L38" s="205">
        <v>10</v>
      </c>
      <c r="M38" s="205"/>
      <c r="N38" s="205">
        <v>30</v>
      </c>
      <c r="O38" s="205"/>
      <c r="P38" s="205">
        <v>30</v>
      </c>
      <c r="Q38" s="206"/>
      <c r="R38" s="128">
        <f t="shared" si="4"/>
        <v>70</v>
      </c>
      <c r="S38" s="273">
        <f t="shared" si="4"/>
        <v>0</v>
      </c>
      <c r="T38" s="217"/>
      <c r="U38" s="215"/>
      <c r="V38" s="66"/>
    </row>
    <row r="39" spans="1:24" ht="19.5" thickBot="1" x14ac:dyDescent="0.3">
      <c r="A39" s="3">
        <f t="shared" si="2"/>
        <v>32</v>
      </c>
      <c r="B39" s="10" t="s">
        <v>34</v>
      </c>
      <c r="C39" s="194">
        <v>4</v>
      </c>
      <c r="D39" s="195"/>
      <c r="E39" s="196"/>
      <c r="F39" s="196"/>
      <c r="G39" s="102"/>
      <c r="H39" s="93"/>
      <c r="I39" s="93">
        <f t="shared" si="3"/>
        <v>4</v>
      </c>
      <c r="J39" s="103">
        <f t="shared" si="3"/>
        <v>0</v>
      </c>
      <c r="K39" s="44"/>
      <c r="L39" s="196"/>
      <c r="M39" s="196"/>
      <c r="N39" s="196"/>
      <c r="O39" s="196"/>
      <c r="P39" s="196"/>
      <c r="Q39" s="204"/>
      <c r="R39" s="128">
        <f t="shared" si="4"/>
        <v>0</v>
      </c>
      <c r="S39" s="273">
        <f t="shared" si="4"/>
        <v>0</v>
      </c>
      <c r="T39" s="272"/>
      <c r="U39" s="191"/>
      <c r="V39" s="30"/>
    </row>
    <row r="40" spans="1:24" ht="19.5" thickBot="1" x14ac:dyDescent="0.3">
      <c r="A40" s="3">
        <f t="shared" si="2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3"/>
        <v>0</v>
      </c>
      <c r="J40" s="103">
        <f t="shared" si="3"/>
        <v>0</v>
      </c>
      <c r="K40" s="44"/>
      <c r="L40" s="196"/>
      <c r="M40" s="196"/>
      <c r="N40" s="196"/>
      <c r="O40" s="196"/>
      <c r="P40" s="196"/>
      <c r="Q40" s="204"/>
      <c r="R40" s="128">
        <f t="shared" si="4"/>
        <v>0</v>
      </c>
      <c r="S40" s="273">
        <f t="shared" si="4"/>
        <v>0</v>
      </c>
      <c r="T40" s="272"/>
      <c r="U40" s="220"/>
      <c r="V40" s="122"/>
    </row>
    <row r="41" spans="1:24" ht="19.5" thickBot="1" x14ac:dyDescent="0.3">
      <c r="A41" s="3">
        <f t="shared" si="2"/>
        <v>34</v>
      </c>
      <c r="B41" s="54" t="s">
        <v>35</v>
      </c>
      <c r="C41" s="197">
        <v>785</v>
      </c>
      <c r="D41" s="198"/>
      <c r="E41" s="199"/>
      <c r="F41" s="199"/>
      <c r="G41" s="107">
        <v>20</v>
      </c>
      <c r="H41" s="108"/>
      <c r="I41" s="93">
        <f t="shared" si="3"/>
        <v>765</v>
      </c>
      <c r="J41" s="103">
        <f t="shared" si="3"/>
        <v>0</v>
      </c>
      <c r="K41" s="64"/>
      <c r="L41" s="196"/>
      <c r="M41" s="196"/>
      <c r="N41" s="196">
        <v>20</v>
      </c>
      <c r="O41" s="196"/>
      <c r="P41" s="196"/>
      <c r="Q41" s="204"/>
      <c r="R41" s="128">
        <f t="shared" si="4"/>
        <v>20</v>
      </c>
      <c r="S41" s="273">
        <f t="shared" si="4"/>
        <v>0</v>
      </c>
      <c r="T41" s="217"/>
      <c r="U41" s="215"/>
      <c r="V41" s="66"/>
    </row>
    <row r="42" spans="1:24" ht="19.5" thickBot="1" x14ac:dyDescent="0.3">
      <c r="A42" s="3">
        <f t="shared" si="2"/>
        <v>35</v>
      </c>
      <c r="B42" s="59" t="s">
        <v>36</v>
      </c>
      <c r="C42" s="267">
        <v>1708</v>
      </c>
      <c r="D42" s="268"/>
      <c r="E42" s="269"/>
      <c r="F42" s="269"/>
      <c r="G42" s="111">
        <v>12</v>
      </c>
      <c r="H42" s="112"/>
      <c r="I42" s="93">
        <f t="shared" si="3"/>
        <v>1696</v>
      </c>
      <c r="J42" s="103">
        <f t="shared" si="3"/>
        <v>0</v>
      </c>
      <c r="K42" s="69"/>
      <c r="L42" s="269"/>
      <c r="M42" s="269"/>
      <c r="N42" s="269"/>
      <c r="O42" s="269"/>
      <c r="P42" s="269">
        <v>12</v>
      </c>
      <c r="Q42" s="270"/>
      <c r="R42" s="128">
        <f t="shared" si="4"/>
        <v>12</v>
      </c>
      <c r="S42" s="273">
        <f t="shared" si="4"/>
        <v>0</v>
      </c>
      <c r="T42" s="276"/>
      <c r="U42" s="277"/>
      <c r="V42" s="63"/>
    </row>
    <row r="43" spans="1:24" ht="18.75" hidden="1" customHeight="1" x14ac:dyDescent="0.25">
      <c r="A43" s="3">
        <f t="shared" si="2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3"/>
        <v>0</v>
      </c>
      <c r="J43" s="103">
        <f t="shared" si="3"/>
        <v>0</v>
      </c>
      <c r="K43" s="44"/>
      <c r="L43" s="196"/>
      <c r="M43" s="196"/>
      <c r="N43" s="196"/>
      <c r="O43" s="196"/>
      <c r="P43" s="196"/>
      <c r="Q43" s="204"/>
      <c r="R43" s="128">
        <f t="shared" si="4"/>
        <v>0</v>
      </c>
      <c r="S43" s="273">
        <f t="shared" si="4"/>
        <v>0</v>
      </c>
      <c r="T43" s="272"/>
      <c r="U43" s="191"/>
      <c r="V43" s="30"/>
    </row>
    <row r="44" spans="1:24" ht="19.5" thickBot="1" x14ac:dyDescent="0.3">
      <c r="A44" s="3">
        <f t="shared" si="2"/>
        <v>37</v>
      </c>
      <c r="B44" s="54" t="s">
        <v>37</v>
      </c>
      <c r="C44" s="197">
        <f>27012</f>
        <v>27012</v>
      </c>
      <c r="D44" s="198"/>
      <c r="E44" s="199"/>
      <c r="F44" s="199"/>
      <c r="G44" s="107">
        <v>771</v>
      </c>
      <c r="H44" s="108"/>
      <c r="I44" s="93">
        <f>C44+E44-G44</f>
        <v>26241</v>
      </c>
      <c r="J44" s="103">
        <f t="shared" si="3"/>
        <v>0</v>
      </c>
      <c r="K44" s="64"/>
      <c r="L44" s="205">
        <v>355</v>
      </c>
      <c r="M44" s="205"/>
      <c r="N44" s="205">
        <v>212</v>
      </c>
      <c r="O44" s="205"/>
      <c r="P44" s="205">
        <v>204</v>
      </c>
      <c r="Q44" s="206"/>
      <c r="R44" s="128">
        <f t="shared" si="4"/>
        <v>771</v>
      </c>
      <c r="S44" s="273">
        <f t="shared" si="4"/>
        <v>0</v>
      </c>
      <c r="T44" s="217"/>
      <c r="U44" s="215"/>
      <c r="V44" s="66"/>
      <c r="X44" s="50"/>
    </row>
    <row r="45" spans="1:24" ht="18.75" hidden="1" customHeight="1" x14ac:dyDescent="0.25">
      <c r="A45" s="3">
        <f t="shared" si="2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3"/>
        <v>0</v>
      </c>
      <c r="J45" s="103">
        <f t="shared" si="3"/>
        <v>0</v>
      </c>
      <c r="K45" s="44"/>
      <c r="L45" s="196"/>
      <c r="M45" s="196"/>
      <c r="N45" s="196"/>
      <c r="O45" s="196"/>
      <c r="P45" s="196"/>
      <c r="Q45" s="204"/>
      <c r="R45" s="128">
        <f t="shared" si="4"/>
        <v>0</v>
      </c>
      <c r="S45" s="273">
        <f t="shared" si="4"/>
        <v>0</v>
      </c>
      <c r="T45" s="272"/>
      <c r="U45" s="191"/>
      <c r="V45" s="30"/>
    </row>
    <row r="46" spans="1:24" ht="19.5" thickBot="1" x14ac:dyDescent="0.3">
      <c r="A46" s="3">
        <f t="shared" si="2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3"/>
        <v>0</v>
      </c>
      <c r="J46" s="103">
        <f t="shared" si="3"/>
        <v>0</v>
      </c>
      <c r="K46" s="44"/>
      <c r="L46" s="196"/>
      <c r="M46" s="196"/>
      <c r="N46" s="196"/>
      <c r="O46" s="196"/>
      <c r="P46" s="196"/>
      <c r="Q46" s="204"/>
      <c r="R46" s="128">
        <f t="shared" si="4"/>
        <v>0</v>
      </c>
      <c r="S46" s="273">
        <f t="shared" si="4"/>
        <v>0</v>
      </c>
      <c r="T46" s="272"/>
      <c r="U46" s="191"/>
      <c r="V46" s="30"/>
    </row>
    <row r="47" spans="1:24" ht="19.5" thickBot="1" x14ac:dyDescent="0.3">
      <c r="A47" s="3">
        <f t="shared" si="2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3"/>
        <v>0</v>
      </c>
      <c r="J47" s="103">
        <f t="shared" si="3"/>
        <v>0</v>
      </c>
      <c r="K47" s="44"/>
      <c r="L47" s="196"/>
      <c r="M47" s="196"/>
      <c r="N47" s="196"/>
      <c r="O47" s="196"/>
      <c r="P47" s="196"/>
      <c r="Q47" s="204"/>
      <c r="R47" s="128">
        <f t="shared" si="4"/>
        <v>0</v>
      </c>
      <c r="S47" s="273">
        <f t="shared" si="4"/>
        <v>0</v>
      </c>
      <c r="T47" s="272"/>
      <c r="U47" s="191"/>
      <c r="V47" s="30"/>
    </row>
    <row r="48" spans="1:24" ht="19.5" thickBot="1" x14ac:dyDescent="0.3">
      <c r="A48" s="3">
        <f t="shared" si="2"/>
        <v>41</v>
      </c>
      <c r="B48" s="13" t="s">
        <v>39</v>
      </c>
      <c r="C48" s="194">
        <v>2365</v>
      </c>
      <c r="D48" s="195">
        <v>5</v>
      </c>
      <c r="E48" s="196"/>
      <c r="F48" s="196"/>
      <c r="G48" s="102"/>
      <c r="H48" s="93"/>
      <c r="I48" s="93">
        <f t="shared" si="3"/>
        <v>2365</v>
      </c>
      <c r="J48" s="103">
        <f t="shared" si="3"/>
        <v>5</v>
      </c>
      <c r="K48" s="44"/>
      <c r="L48" s="196"/>
      <c r="M48" s="196"/>
      <c r="N48" s="196"/>
      <c r="O48" s="196"/>
      <c r="P48" s="196"/>
      <c r="Q48" s="204"/>
      <c r="R48" s="128">
        <f t="shared" si="4"/>
        <v>0</v>
      </c>
      <c r="S48" s="273">
        <f t="shared" si="4"/>
        <v>0</v>
      </c>
      <c r="T48" s="272"/>
      <c r="U48" s="191"/>
      <c r="V48" s="30"/>
    </row>
    <row r="49" spans="1:22" ht="19.5" thickBot="1" x14ac:dyDescent="0.3">
      <c r="A49" s="3">
        <f t="shared" si="2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3"/>
        <v>0</v>
      </c>
      <c r="J49" s="103">
        <f t="shared" si="3"/>
        <v>0</v>
      </c>
      <c r="K49" s="44"/>
      <c r="L49" s="196"/>
      <c r="M49" s="196"/>
      <c r="N49" s="196"/>
      <c r="O49" s="196"/>
      <c r="P49" s="196"/>
      <c r="Q49" s="204"/>
      <c r="R49" s="128">
        <f t="shared" si="4"/>
        <v>0</v>
      </c>
      <c r="S49" s="273">
        <f t="shared" si="4"/>
        <v>0</v>
      </c>
      <c r="T49" s="272"/>
      <c r="U49" s="191"/>
      <c r="V49" s="30"/>
    </row>
    <row r="50" spans="1:22" ht="19.5" thickBot="1" x14ac:dyDescent="0.3">
      <c r="A50" s="3">
        <f t="shared" si="2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3"/>
        <v>0</v>
      </c>
      <c r="J50" s="103">
        <f t="shared" si="3"/>
        <v>0</v>
      </c>
      <c r="K50" s="44"/>
      <c r="L50" s="196"/>
      <c r="M50" s="196"/>
      <c r="N50" s="196"/>
      <c r="O50" s="196"/>
      <c r="P50" s="196"/>
      <c r="Q50" s="204"/>
      <c r="R50" s="128">
        <f t="shared" si="4"/>
        <v>0</v>
      </c>
      <c r="S50" s="273">
        <f t="shared" si="4"/>
        <v>0</v>
      </c>
      <c r="T50" s="272"/>
      <c r="U50" s="191"/>
      <c r="V50" s="30"/>
    </row>
    <row r="51" spans="1:22" ht="19.5" thickBot="1" x14ac:dyDescent="0.3">
      <c r="A51" s="3">
        <f t="shared" si="2"/>
        <v>44</v>
      </c>
      <c r="B51" s="13" t="s">
        <v>73</v>
      </c>
      <c r="C51" s="194">
        <v>2</v>
      </c>
      <c r="D51" s="195"/>
      <c r="E51" s="196"/>
      <c r="F51" s="196"/>
      <c r="G51" s="102"/>
      <c r="H51" s="93"/>
      <c r="I51" s="93">
        <f t="shared" si="3"/>
        <v>2</v>
      </c>
      <c r="J51" s="103">
        <f t="shared" si="3"/>
        <v>0</v>
      </c>
      <c r="K51" s="44"/>
      <c r="L51" s="196"/>
      <c r="M51" s="196"/>
      <c r="N51" s="196"/>
      <c r="O51" s="196"/>
      <c r="P51" s="196"/>
      <c r="Q51" s="204"/>
      <c r="R51" s="128">
        <f t="shared" si="4"/>
        <v>0</v>
      </c>
      <c r="S51" s="273">
        <f t="shared" si="4"/>
        <v>0</v>
      </c>
      <c r="T51" s="272"/>
      <c r="U51" s="191"/>
      <c r="V51" s="30"/>
    </row>
    <row r="52" spans="1:22" ht="19.5" thickBot="1" x14ac:dyDescent="0.3">
      <c r="A52" s="3">
        <f t="shared" si="2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3"/>
        <v>34</v>
      </c>
      <c r="J52" s="103">
        <f t="shared" si="3"/>
        <v>0</v>
      </c>
      <c r="K52" s="44"/>
      <c r="L52" s="196"/>
      <c r="M52" s="196"/>
      <c r="N52" s="196"/>
      <c r="O52" s="196"/>
      <c r="P52" s="196"/>
      <c r="Q52" s="204"/>
      <c r="R52" s="128">
        <f t="shared" si="4"/>
        <v>0</v>
      </c>
      <c r="S52" s="273">
        <f t="shared" si="4"/>
        <v>0</v>
      </c>
      <c r="T52" s="272"/>
      <c r="U52" s="191"/>
      <c r="V52" s="30"/>
    </row>
    <row r="53" spans="1:22" ht="19.5" thickBot="1" x14ac:dyDescent="0.3">
      <c r="A53" s="3">
        <f t="shared" si="2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3"/>
        <v>0</v>
      </c>
      <c r="J53" s="103">
        <f t="shared" si="3"/>
        <v>0</v>
      </c>
      <c r="K53" s="44"/>
      <c r="L53" s="196"/>
      <c r="M53" s="196"/>
      <c r="N53" s="196"/>
      <c r="O53" s="196"/>
      <c r="P53" s="196"/>
      <c r="Q53" s="204"/>
      <c r="R53" s="128">
        <f t="shared" si="4"/>
        <v>0</v>
      </c>
      <c r="S53" s="273">
        <f t="shared" si="4"/>
        <v>0</v>
      </c>
      <c r="T53" s="272"/>
      <c r="U53" s="191"/>
      <c r="V53" s="30"/>
    </row>
    <row r="54" spans="1:22" ht="19.5" thickBot="1" x14ac:dyDescent="0.3">
      <c r="A54" s="3">
        <f t="shared" si="2"/>
        <v>47</v>
      </c>
      <c r="B54" s="13" t="s">
        <v>78</v>
      </c>
      <c r="C54" s="194"/>
      <c r="D54" s="195"/>
      <c r="E54" s="196"/>
      <c r="F54" s="196"/>
      <c r="G54" s="102"/>
      <c r="H54" s="93"/>
      <c r="I54" s="93">
        <f t="shared" si="3"/>
        <v>0</v>
      </c>
      <c r="J54" s="103">
        <f t="shared" si="3"/>
        <v>0</v>
      </c>
      <c r="K54" s="44"/>
      <c r="L54" s="196"/>
      <c r="M54" s="196"/>
      <c r="N54" s="196"/>
      <c r="O54" s="196"/>
      <c r="P54" s="196"/>
      <c r="Q54" s="204"/>
      <c r="R54" s="128">
        <f t="shared" si="4"/>
        <v>0</v>
      </c>
      <c r="S54" s="273">
        <f t="shared" si="4"/>
        <v>0</v>
      </c>
      <c r="T54" s="272"/>
      <c r="U54" s="191"/>
      <c r="V54" s="30"/>
    </row>
    <row r="55" spans="1:22" ht="19.5" thickBot="1" x14ac:dyDescent="0.3">
      <c r="A55" s="3">
        <f t="shared" si="2"/>
        <v>48</v>
      </c>
      <c r="B55" s="13"/>
      <c r="C55" s="194"/>
      <c r="D55" s="195"/>
      <c r="E55" s="196"/>
      <c r="F55" s="196"/>
      <c r="G55" s="102"/>
      <c r="H55" s="93"/>
      <c r="I55" s="93">
        <f t="shared" si="3"/>
        <v>0</v>
      </c>
      <c r="J55" s="103">
        <f t="shared" si="3"/>
        <v>0</v>
      </c>
      <c r="K55" s="44"/>
      <c r="L55" s="196"/>
      <c r="M55" s="196"/>
      <c r="N55" s="196"/>
      <c r="O55" s="196"/>
      <c r="P55" s="196"/>
      <c r="Q55" s="204"/>
      <c r="R55" s="128">
        <f t="shared" si="4"/>
        <v>0</v>
      </c>
      <c r="S55" s="273">
        <f t="shared" si="4"/>
        <v>0</v>
      </c>
      <c r="T55" s="272"/>
      <c r="U55" s="191"/>
      <c r="V55" s="30"/>
    </row>
    <row r="56" spans="1:22" ht="19.5" thickBot="1" x14ac:dyDescent="0.3">
      <c r="A56" s="3">
        <f t="shared" si="2"/>
        <v>49</v>
      </c>
      <c r="B56" s="13"/>
      <c r="C56" s="194"/>
      <c r="D56" s="195"/>
      <c r="E56" s="196"/>
      <c r="F56" s="196"/>
      <c r="G56" s="102"/>
      <c r="H56" s="93"/>
      <c r="I56" s="93">
        <f t="shared" si="3"/>
        <v>0</v>
      </c>
      <c r="J56" s="103">
        <f t="shared" si="3"/>
        <v>0</v>
      </c>
      <c r="K56" s="44"/>
      <c r="L56" s="196"/>
      <c r="M56" s="196"/>
      <c r="N56" s="196"/>
      <c r="O56" s="196"/>
      <c r="P56" s="196"/>
      <c r="Q56" s="204"/>
      <c r="R56" s="128">
        <f t="shared" si="4"/>
        <v>0</v>
      </c>
      <c r="S56" s="273">
        <f t="shared" si="4"/>
        <v>0</v>
      </c>
      <c r="T56" s="272"/>
      <c r="U56" s="191"/>
      <c r="V56" s="30"/>
    </row>
    <row r="57" spans="1:22" ht="19.5" thickBot="1" x14ac:dyDescent="0.3">
      <c r="A57" s="3">
        <f t="shared" si="2"/>
        <v>50</v>
      </c>
      <c r="B57" s="13"/>
      <c r="C57" s="194"/>
      <c r="D57" s="195"/>
      <c r="E57" s="196"/>
      <c r="F57" s="196"/>
      <c r="G57" s="102"/>
      <c r="H57" s="93"/>
      <c r="I57" s="93">
        <f t="shared" si="3"/>
        <v>0</v>
      </c>
      <c r="J57" s="103">
        <f t="shared" si="3"/>
        <v>0</v>
      </c>
      <c r="K57" s="44"/>
      <c r="L57" s="196"/>
      <c r="M57" s="196"/>
      <c r="N57" s="196"/>
      <c r="O57" s="196"/>
      <c r="P57" s="196"/>
      <c r="Q57" s="204"/>
      <c r="R57" s="128">
        <f t="shared" si="4"/>
        <v>0</v>
      </c>
      <c r="S57" s="273">
        <f t="shared" si="4"/>
        <v>0</v>
      </c>
      <c r="T57" s="272"/>
      <c r="U57" s="191"/>
      <c r="V57" s="30"/>
    </row>
    <row r="58" spans="1:22" ht="19.5" thickBot="1" x14ac:dyDescent="0.3">
      <c r="A58" s="3">
        <f t="shared" si="2"/>
        <v>51</v>
      </c>
      <c r="B58" s="13"/>
      <c r="C58" s="194"/>
      <c r="D58" s="195"/>
      <c r="E58" s="196"/>
      <c r="F58" s="196"/>
      <c r="G58" s="102"/>
      <c r="H58" s="93"/>
      <c r="I58" s="93">
        <f t="shared" si="3"/>
        <v>0</v>
      </c>
      <c r="J58" s="103">
        <f t="shared" si="3"/>
        <v>0</v>
      </c>
      <c r="K58" s="44"/>
      <c r="L58" s="196"/>
      <c r="M58" s="196"/>
      <c r="N58" s="196"/>
      <c r="O58" s="196"/>
      <c r="P58" s="196"/>
      <c r="Q58" s="204"/>
      <c r="R58" s="128">
        <f t="shared" si="4"/>
        <v>0</v>
      </c>
      <c r="S58" s="273">
        <f t="shared" si="4"/>
        <v>0</v>
      </c>
      <c r="T58" s="272"/>
      <c r="U58" s="191"/>
      <c r="V58" s="30"/>
    </row>
    <row r="59" spans="1:22" ht="19.5" thickBot="1" x14ac:dyDescent="0.3">
      <c r="A59" s="3">
        <f t="shared" si="2"/>
        <v>52</v>
      </c>
      <c r="B59" s="13"/>
      <c r="C59" s="194"/>
      <c r="D59" s="195"/>
      <c r="E59" s="196"/>
      <c r="F59" s="196"/>
      <c r="G59" s="102"/>
      <c r="H59" s="93"/>
      <c r="I59" s="93">
        <f t="shared" si="3"/>
        <v>0</v>
      </c>
      <c r="J59" s="103">
        <f t="shared" si="3"/>
        <v>0</v>
      </c>
      <c r="K59" s="44"/>
      <c r="L59" s="196"/>
      <c r="M59" s="196"/>
      <c r="N59" s="196"/>
      <c r="O59" s="196"/>
      <c r="P59" s="196"/>
      <c r="Q59" s="204"/>
      <c r="R59" s="128">
        <f t="shared" si="4"/>
        <v>0</v>
      </c>
      <c r="S59" s="273">
        <f t="shared" si="4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40889</v>
      </c>
      <c r="D60" s="71">
        <f>SUM(D8:D59)</f>
        <v>62</v>
      </c>
      <c r="E60" s="47">
        <f>SUM(E8:E59)</f>
        <v>0</v>
      </c>
      <c r="F60" s="47"/>
      <c r="G60" s="31">
        <f>SUM(G8:G59)</f>
        <v>924</v>
      </c>
      <c r="H60" s="73">
        <f>SUM(H8:H59)</f>
        <v>18</v>
      </c>
      <c r="I60" s="73">
        <f>SUM(I8:I59)</f>
        <v>39965</v>
      </c>
      <c r="J60" s="48">
        <f>SUM(J8:J59)</f>
        <v>44</v>
      </c>
      <c r="K60" s="49"/>
      <c r="L60" s="98">
        <f t="shared" ref="L60:S60" si="5">SUM(L8:L59)</f>
        <v>375</v>
      </c>
      <c r="M60" s="98">
        <f t="shared" si="5"/>
        <v>2</v>
      </c>
      <c r="N60" s="98">
        <f t="shared" si="5"/>
        <v>298</v>
      </c>
      <c r="O60" s="98">
        <f t="shared" si="5"/>
        <v>16</v>
      </c>
      <c r="P60" s="98">
        <f t="shared" si="5"/>
        <v>251</v>
      </c>
      <c r="Q60" s="99">
        <f t="shared" si="5"/>
        <v>0</v>
      </c>
      <c r="R60" s="127">
        <f t="shared" si="5"/>
        <v>924</v>
      </c>
      <c r="S60" s="124">
        <f t="shared" si="5"/>
        <v>18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43" t="s">
        <v>3</v>
      </c>
      <c r="D69" s="144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43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CA4A-EDFC-4F9F-B9C4-2585F0208CA1}">
  <sheetPr>
    <pageSetUpPr fitToPage="1"/>
  </sheetPr>
  <dimension ref="A1:BF90"/>
  <sheetViews>
    <sheetView zoomScale="85" zoomScaleNormal="85" zoomScaleSheetLayoutView="85" zoomScalePageLayoutView="80" workbookViewId="0">
      <selection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>
        <v>46066</v>
      </c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15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94">
        <v>35</v>
      </c>
      <c r="D8" s="195"/>
      <c r="E8" s="196"/>
      <c r="F8" s="196"/>
      <c r="G8" s="102"/>
      <c r="H8" s="93"/>
      <c r="I8" s="93">
        <f>C8-G8</f>
        <v>35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R12" si="1">L8+N8+P8</f>
        <v>0</v>
      </c>
      <c r="S8" s="273">
        <f t="shared" ref="S8:S12" si="2">M8+O8+Q8</f>
        <v>0</v>
      </c>
      <c r="T8" s="272"/>
      <c r="U8" s="191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3">A8+1</f>
        <v>2</v>
      </c>
      <c r="B9" s="54" t="s">
        <v>49</v>
      </c>
      <c r="C9" s="197">
        <v>97</v>
      </c>
      <c r="D9" s="198"/>
      <c r="E9" s="199"/>
      <c r="F9" s="199"/>
      <c r="G9" s="107"/>
      <c r="H9" s="108"/>
      <c r="I9" s="93">
        <f t="shared" ref="I9:I59" si="4">C9-G9</f>
        <v>97</v>
      </c>
      <c r="J9" s="103">
        <f t="shared" si="0"/>
        <v>0</v>
      </c>
      <c r="K9" s="64"/>
      <c r="L9" s="205"/>
      <c r="M9" s="205"/>
      <c r="N9" s="205"/>
      <c r="O9" s="205"/>
      <c r="P9" s="205"/>
      <c r="Q9" s="206"/>
      <c r="R9" s="128">
        <f t="shared" si="1"/>
        <v>0</v>
      </c>
      <c r="S9" s="273">
        <f t="shared" si="2"/>
        <v>0</v>
      </c>
      <c r="T9" s="217"/>
      <c r="U9" s="215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03">
        <f t="shared" si="0"/>
        <v>0</v>
      </c>
      <c r="K10" s="44"/>
      <c r="L10" s="196"/>
      <c r="M10" s="196"/>
      <c r="N10" s="196"/>
      <c r="O10" s="196"/>
      <c r="P10" s="196"/>
      <c r="Q10" s="204"/>
      <c r="R10" s="128">
        <f t="shared" si="1"/>
        <v>0</v>
      </c>
      <c r="S10" s="273">
        <f t="shared" si="2"/>
        <v>0</v>
      </c>
      <c r="T10" s="272"/>
      <c r="U10" s="191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3"/>
        <v>4</v>
      </c>
      <c r="B11" s="13" t="s">
        <v>50</v>
      </c>
      <c r="C11" s="194">
        <v>66</v>
      </c>
      <c r="D11" s="195"/>
      <c r="E11" s="196"/>
      <c r="F11" s="196"/>
      <c r="G11" s="102"/>
      <c r="H11" s="93"/>
      <c r="I11" s="93">
        <f t="shared" si="4"/>
        <v>66</v>
      </c>
      <c r="J11" s="103">
        <f t="shared" si="0"/>
        <v>0</v>
      </c>
      <c r="K11" s="44"/>
      <c r="L11" s="196"/>
      <c r="M11" s="196"/>
      <c r="N11" s="196"/>
      <c r="O11" s="196"/>
      <c r="P11" s="196"/>
      <c r="Q11" s="204"/>
      <c r="R11" s="128">
        <f t="shared" si="1"/>
        <v>0</v>
      </c>
      <c r="S11" s="273">
        <f t="shared" si="2"/>
        <v>0</v>
      </c>
      <c r="T11" s="272"/>
      <c r="U11" s="191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3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4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2"/>
        <v>0</v>
      </c>
      <c r="T12" s="272"/>
      <c r="U12" s="191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3"/>
        <v>6</v>
      </c>
      <c r="B13" s="54" t="s">
        <v>44</v>
      </c>
      <c r="C13" s="197">
        <v>3584</v>
      </c>
      <c r="D13" s="198">
        <v>21</v>
      </c>
      <c r="E13" s="199"/>
      <c r="F13" s="199"/>
      <c r="G13" s="107">
        <v>15</v>
      </c>
      <c r="H13" s="108">
        <v>2</v>
      </c>
      <c r="I13" s="93">
        <f t="shared" si="4"/>
        <v>3569</v>
      </c>
      <c r="J13" s="103">
        <f>D13-H13</f>
        <v>19</v>
      </c>
      <c r="K13" s="68"/>
      <c r="L13" s="205"/>
      <c r="M13" s="205"/>
      <c r="N13" s="205">
        <v>8</v>
      </c>
      <c r="O13" s="205"/>
      <c r="P13" s="205">
        <v>7</v>
      </c>
      <c r="Q13" s="206">
        <v>2</v>
      </c>
      <c r="R13" s="128">
        <f>L13+N13+P13</f>
        <v>15</v>
      </c>
      <c r="S13" s="273">
        <f>M13+O13+Q13</f>
        <v>2</v>
      </c>
      <c r="T13" s="274"/>
      <c r="U13" s="215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3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93">
        <f t="shared" si="4"/>
        <v>5</v>
      </c>
      <c r="J14" s="103">
        <f t="shared" ref="J14:J59" si="5">D14-H14</f>
        <v>0</v>
      </c>
      <c r="K14" s="44"/>
      <c r="L14" s="196"/>
      <c r="M14" s="196"/>
      <c r="N14" s="196"/>
      <c r="O14" s="196"/>
      <c r="P14" s="196"/>
      <c r="Q14" s="204"/>
      <c r="R14" s="128">
        <f t="shared" ref="R14:R59" si="6">L14+N14+P14</f>
        <v>0</v>
      </c>
      <c r="S14" s="273">
        <f t="shared" ref="S14:S59" si="7">M14+O14+Q14</f>
        <v>0</v>
      </c>
      <c r="T14" s="272"/>
      <c r="U14" s="191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5"/>
        <v>0</v>
      </c>
      <c r="K15" s="44"/>
      <c r="L15" s="196"/>
      <c r="M15" s="196"/>
      <c r="N15" s="196"/>
      <c r="O15" s="196"/>
      <c r="P15" s="196"/>
      <c r="Q15" s="204"/>
      <c r="R15" s="128">
        <f t="shared" si="6"/>
        <v>0</v>
      </c>
      <c r="S15" s="273">
        <f t="shared" si="7"/>
        <v>0</v>
      </c>
      <c r="T15" s="272"/>
      <c r="U15" s="191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5"/>
        <v>0</v>
      </c>
      <c r="K16" s="44"/>
      <c r="L16" s="196"/>
      <c r="M16" s="196"/>
      <c r="N16" s="196"/>
      <c r="O16" s="196"/>
      <c r="P16" s="196"/>
      <c r="Q16" s="204"/>
      <c r="R16" s="128">
        <f t="shared" si="6"/>
        <v>0</v>
      </c>
      <c r="S16" s="273">
        <f t="shared" si="7"/>
        <v>0</v>
      </c>
      <c r="T16" s="272"/>
      <c r="U16" s="191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5"/>
        <v>0</v>
      </c>
      <c r="K17" s="44"/>
      <c r="L17" s="196"/>
      <c r="M17" s="196"/>
      <c r="N17" s="196"/>
      <c r="O17" s="196"/>
      <c r="P17" s="196"/>
      <c r="Q17" s="204"/>
      <c r="R17" s="128">
        <f t="shared" si="6"/>
        <v>0</v>
      </c>
      <c r="S17" s="273">
        <f t="shared" si="7"/>
        <v>0</v>
      </c>
      <c r="T17" s="272"/>
      <c r="U17" s="191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3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4"/>
        <v>4</v>
      </c>
      <c r="J18" s="103">
        <f t="shared" si="5"/>
        <v>0</v>
      </c>
      <c r="K18" s="44"/>
      <c r="L18" s="196"/>
      <c r="M18" s="196"/>
      <c r="N18" s="196"/>
      <c r="O18" s="196"/>
      <c r="P18" s="196"/>
      <c r="Q18" s="204"/>
      <c r="R18" s="128">
        <f t="shared" si="6"/>
        <v>0</v>
      </c>
      <c r="S18" s="273">
        <f t="shared" si="7"/>
        <v>0</v>
      </c>
      <c r="T18" s="272"/>
      <c r="U18" s="191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5"/>
        <v>0</v>
      </c>
      <c r="K19" s="44"/>
      <c r="L19" s="196"/>
      <c r="M19" s="196"/>
      <c r="N19" s="196"/>
      <c r="O19" s="196"/>
      <c r="P19" s="196"/>
      <c r="Q19" s="204"/>
      <c r="R19" s="128">
        <f t="shared" si="6"/>
        <v>0</v>
      </c>
      <c r="S19" s="273">
        <f t="shared" si="7"/>
        <v>0</v>
      </c>
      <c r="T19" s="272"/>
      <c r="U19" s="191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3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4"/>
        <v>4</v>
      </c>
      <c r="J20" s="103">
        <f t="shared" si="5"/>
        <v>0</v>
      </c>
      <c r="K20" s="44"/>
      <c r="L20" s="196"/>
      <c r="M20" s="196"/>
      <c r="N20" s="196"/>
      <c r="O20" s="196"/>
      <c r="P20" s="196"/>
      <c r="Q20" s="204"/>
      <c r="R20" s="128">
        <f t="shared" si="6"/>
        <v>0</v>
      </c>
      <c r="S20" s="273">
        <f t="shared" si="7"/>
        <v>0</v>
      </c>
      <c r="T20" s="272"/>
      <c r="U20" s="191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3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4"/>
        <v>6</v>
      </c>
      <c r="J21" s="103">
        <f t="shared" si="5"/>
        <v>0</v>
      </c>
      <c r="K21" s="44"/>
      <c r="L21" s="196"/>
      <c r="M21" s="196"/>
      <c r="N21" s="196"/>
      <c r="O21" s="196"/>
      <c r="P21" s="196"/>
      <c r="Q21" s="204"/>
      <c r="R21" s="128">
        <f t="shared" si="6"/>
        <v>0</v>
      </c>
      <c r="S21" s="273">
        <f t="shared" si="7"/>
        <v>0</v>
      </c>
      <c r="T21" s="272"/>
      <c r="U21" s="191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3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4"/>
        <v>4</v>
      </c>
      <c r="J22" s="103">
        <f t="shared" si="5"/>
        <v>0</v>
      </c>
      <c r="K22" s="44"/>
      <c r="L22" s="196"/>
      <c r="M22" s="196"/>
      <c r="N22" s="196"/>
      <c r="O22" s="196"/>
      <c r="P22" s="196"/>
      <c r="Q22" s="204"/>
      <c r="R22" s="128">
        <f t="shared" si="6"/>
        <v>0</v>
      </c>
      <c r="S22" s="273">
        <f t="shared" si="7"/>
        <v>0</v>
      </c>
      <c r="T22" s="272"/>
      <c r="U22" s="191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3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4"/>
        <v>2</v>
      </c>
      <c r="J23" s="103">
        <f t="shared" si="5"/>
        <v>0</v>
      </c>
      <c r="K23" s="45"/>
      <c r="L23" s="196"/>
      <c r="M23" s="196"/>
      <c r="N23" s="196"/>
      <c r="O23" s="196"/>
      <c r="P23" s="196"/>
      <c r="Q23" s="204"/>
      <c r="R23" s="128">
        <f t="shared" si="6"/>
        <v>0</v>
      </c>
      <c r="S23" s="273">
        <f t="shared" si="7"/>
        <v>0</v>
      </c>
      <c r="T23" s="275"/>
      <c r="U23" s="191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3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4"/>
        <v>48</v>
      </c>
      <c r="J24" s="103">
        <f t="shared" si="5"/>
        <v>0</v>
      </c>
      <c r="K24" s="45"/>
      <c r="L24" s="196"/>
      <c r="M24" s="196"/>
      <c r="N24" s="196"/>
      <c r="O24" s="196"/>
      <c r="P24" s="196"/>
      <c r="Q24" s="204"/>
      <c r="R24" s="128">
        <f t="shared" si="6"/>
        <v>0</v>
      </c>
      <c r="S24" s="273">
        <f t="shared" si="7"/>
        <v>0</v>
      </c>
      <c r="T24" s="275"/>
      <c r="U24" s="191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3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4"/>
        <v>7</v>
      </c>
      <c r="J25" s="103">
        <f t="shared" si="5"/>
        <v>0</v>
      </c>
      <c r="K25" s="44"/>
      <c r="L25" s="196"/>
      <c r="M25" s="196"/>
      <c r="N25" s="196"/>
      <c r="O25" s="196"/>
      <c r="P25" s="196"/>
      <c r="Q25" s="204"/>
      <c r="R25" s="128">
        <f t="shared" si="6"/>
        <v>0</v>
      </c>
      <c r="S25" s="273">
        <f t="shared" si="7"/>
        <v>0</v>
      </c>
      <c r="T25" s="272"/>
      <c r="U25" s="191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3"/>
        <v>19</v>
      </c>
      <c r="B26" s="13" t="s">
        <v>22</v>
      </c>
      <c r="C26" s="194">
        <v>92</v>
      </c>
      <c r="D26" s="195">
        <v>23</v>
      </c>
      <c r="E26" s="196"/>
      <c r="F26" s="196"/>
      <c r="G26" s="102"/>
      <c r="H26" s="93"/>
      <c r="I26" s="93">
        <f t="shared" si="4"/>
        <v>92</v>
      </c>
      <c r="J26" s="103">
        <f t="shared" si="5"/>
        <v>23</v>
      </c>
      <c r="K26" s="44"/>
      <c r="L26" s="196"/>
      <c r="M26" s="196"/>
      <c r="N26" s="196"/>
      <c r="O26" s="196"/>
      <c r="P26" s="196"/>
      <c r="Q26" s="204"/>
      <c r="R26" s="128">
        <f t="shared" si="6"/>
        <v>0</v>
      </c>
      <c r="S26" s="273">
        <f t="shared" si="7"/>
        <v>0</v>
      </c>
      <c r="T26" s="272"/>
      <c r="U26" s="191"/>
      <c r="V26" s="30"/>
      <c r="BC26" s="14" t="e">
        <f>#REF!-BC25</f>
        <v>#REF!</v>
      </c>
    </row>
    <row r="27" spans="1:58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5"/>
        <v>0</v>
      </c>
      <c r="K27" s="45"/>
      <c r="L27" s="196"/>
      <c r="M27" s="196"/>
      <c r="N27" s="196"/>
      <c r="O27" s="196"/>
      <c r="P27" s="196"/>
      <c r="Q27" s="204"/>
      <c r="R27" s="128">
        <f t="shared" si="6"/>
        <v>0</v>
      </c>
      <c r="S27" s="273">
        <f t="shared" si="7"/>
        <v>0</v>
      </c>
      <c r="T27" s="275"/>
      <c r="U27" s="191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5"/>
        <v>0</v>
      </c>
      <c r="K28" s="45"/>
      <c r="L28" s="196"/>
      <c r="M28" s="196"/>
      <c r="N28" s="196"/>
      <c r="O28" s="196"/>
      <c r="P28" s="196"/>
      <c r="Q28" s="204"/>
      <c r="R28" s="128">
        <f t="shared" si="6"/>
        <v>0</v>
      </c>
      <c r="S28" s="273">
        <f t="shared" si="7"/>
        <v>0</v>
      </c>
      <c r="T28" s="275"/>
      <c r="U28" s="191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3"/>
        <v>22</v>
      </c>
      <c r="B29" s="13" t="s">
        <v>25</v>
      </c>
      <c r="C29" s="194">
        <v>63</v>
      </c>
      <c r="D29" s="195"/>
      <c r="E29" s="196"/>
      <c r="F29" s="196"/>
      <c r="G29" s="102">
        <v>5</v>
      </c>
      <c r="H29" s="93"/>
      <c r="I29" s="93">
        <f t="shared" si="4"/>
        <v>58</v>
      </c>
      <c r="J29" s="103">
        <f t="shared" si="5"/>
        <v>0</v>
      </c>
      <c r="K29" s="45"/>
      <c r="L29" s="196"/>
      <c r="M29" s="196"/>
      <c r="N29" s="196"/>
      <c r="O29" s="196"/>
      <c r="P29" s="196">
        <v>5</v>
      </c>
      <c r="Q29" s="204"/>
      <c r="R29" s="128">
        <f t="shared" si="6"/>
        <v>5</v>
      </c>
      <c r="S29" s="273">
        <f t="shared" si="7"/>
        <v>0</v>
      </c>
      <c r="T29" s="275"/>
      <c r="U29" s="191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5"/>
        <v>0</v>
      </c>
      <c r="K30" s="44"/>
      <c r="L30" s="196"/>
      <c r="M30" s="196"/>
      <c r="N30" s="196"/>
      <c r="O30" s="196"/>
      <c r="P30" s="196"/>
      <c r="Q30" s="204"/>
      <c r="R30" s="128">
        <f t="shared" si="6"/>
        <v>0</v>
      </c>
      <c r="S30" s="273">
        <f t="shared" si="7"/>
        <v>0</v>
      </c>
      <c r="T30" s="272"/>
      <c r="U30" s="191"/>
      <c r="V30" s="30"/>
    </row>
    <row r="31" spans="1:58" ht="19.5" thickBot="1" x14ac:dyDescent="0.3">
      <c r="A31" s="3">
        <f t="shared" si="3"/>
        <v>24</v>
      </c>
      <c r="B31" s="13" t="s">
        <v>29</v>
      </c>
      <c r="C31" s="194">
        <v>64</v>
      </c>
      <c r="D31" s="195"/>
      <c r="E31" s="196"/>
      <c r="F31" s="196"/>
      <c r="G31" s="102"/>
      <c r="H31" s="93"/>
      <c r="I31" s="93">
        <f t="shared" si="4"/>
        <v>64</v>
      </c>
      <c r="J31" s="103">
        <f t="shared" si="5"/>
        <v>0</v>
      </c>
      <c r="K31" s="44"/>
      <c r="L31" s="196"/>
      <c r="M31" s="196"/>
      <c r="N31" s="196"/>
      <c r="O31" s="196"/>
      <c r="P31" s="196"/>
      <c r="Q31" s="204"/>
      <c r="R31" s="128">
        <f t="shared" si="6"/>
        <v>0</v>
      </c>
      <c r="S31" s="273">
        <f t="shared" si="7"/>
        <v>0</v>
      </c>
      <c r="T31" s="272"/>
      <c r="U31" s="191"/>
      <c r="V31" s="30"/>
    </row>
    <row r="32" spans="1:58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5"/>
        <v>0</v>
      </c>
      <c r="K32" s="44"/>
      <c r="L32" s="196"/>
      <c r="M32" s="196"/>
      <c r="N32" s="196"/>
      <c r="O32" s="196"/>
      <c r="P32" s="196"/>
      <c r="Q32" s="204"/>
      <c r="R32" s="128">
        <f t="shared" si="6"/>
        <v>0</v>
      </c>
      <c r="S32" s="273">
        <f t="shared" si="7"/>
        <v>0</v>
      </c>
      <c r="T32" s="272"/>
      <c r="U32" s="191"/>
      <c r="V32" s="30"/>
    </row>
    <row r="33" spans="1:24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5"/>
        <v>0</v>
      </c>
      <c r="K33" s="44"/>
      <c r="L33" s="196"/>
      <c r="M33" s="196"/>
      <c r="N33" s="196"/>
      <c r="O33" s="196"/>
      <c r="P33" s="196"/>
      <c r="Q33" s="204"/>
      <c r="R33" s="128">
        <f t="shared" si="6"/>
        <v>0</v>
      </c>
      <c r="S33" s="273">
        <f t="shared" si="7"/>
        <v>0</v>
      </c>
      <c r="T33" s="272"/>
      <c r="U33" s="191"/>
      <c r="V33" s="30"/>
    </row>
    <row r="34" spans="1:24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5"/>
        <v>0</v>
      </c>
      <c r="K34" s="44"/>
      <c r="L34" s="196"/>
      <c r="M34" s="196"/>
      <c r="N34" s="196"/>
      <c r="O34" s="196"/>
      <c r="P34" s="196"/>
      <c r="Q34" s="204"/>
      <c r="R34" s="128">
        <f t="shared" si="6"/>
        <v>0</v>
      </c>
      <c r="S34" s="273">
        <f t="shared" si="7"/>
        <v>0</v>
      </c>
      <c r="T34" s="272"/>
      <c r="U34" s="191"/>
      <c r="V34" s="30"/>
    </row>
    <row r="35" spans="1:24" ht="19.5" thickBot="1" x14ac:dyDescent="0.3">
      <c r="A35" s="3">
        <f t="shared" si="3"/>
        <v>28</v>
      </c>
      <c r="B35" s="13" t="s">
        <v>31</v>
      </c>
      <c r="C35" s="194">
        <v>114</v>
      </c>
      <c r="D35" s="195">
        <v>17</v>
      </c>
      <c r="E35" s="196"/>
      <c r="F35" s="196"/>
      <c r="G35" s="102">
        <v>5</v>
      </c>
      <c r="H35" s="93"/>
      <c r="I35" s="93">
        <f t="shared" si="4"/>
        <v>109</v>
      </c>
      <c r="J35" s="103">
        <f t="shared" si="5"/>
        <v>17</v>
      </c>
      <c r="K35" s="44"/>
      <c r="L35" s="196"/>
      <c r="M35" s="196"/>
      <c r="N35" s="196">
        <v>5</v>
      </c>
      <c r="O35" s="196"/>
      <c r="P35" s="196"/>
      <c r="Q35" s="204"/>
      <c r="R35" s="128">
        <f t="shared" si="6"/>
        <v>5</v>
      </c>
      <c r="S35" s="273">
        <f t="shared" si="7"/>
        <v>0</v>
      </c>
      <c r="T35" s="272"/>
      <c r="U35" s="191"/>
      <c r="V35" s="30"/>
    </row>
    <row r="36" spans="1:24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5"/>
        <v>0</v>
      </c>
      <c r="K36" s="44"/>
      <c r="L36" s="196"/>
      <c r="M36" s="196"/>
      <c r="N36" s="196"/>
      <c r="O36" s="196"/>
      <c r="P36" s="196"/>
      <c r="Q36" s="204"/>
      <c r="R36" s="128">
        <f t="shared" si="6"/>
        <v>0</v>
      </c>
      <c r="S36" s="273">
        <f t="shared" si="7"/>
        <v>0</v>
      </c>
      <c r="T36" s="272"/>
      <c r="U36" s="191"/>
      <c r="V36" s="30"/>
    </row>
    <row r="37" spans="1:24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5"/>
        <v>0</v>
      </c>
      <c r="K37" s="44"/>
      <c r="L37" s="196"/>
      <c r="M37" s="196"/>
      <c r="N37" s="196"/>
      <c r="O37" s="196"/>
      <c r="P37" s="196"/>
      <c r="Q37" s="204"/>
      <c r="R37" s="128">
        <f t="shared" si="6"/>
        <v>0</v>
      </c>
      <c r="S37" s="273">
        <f t="shared" si="7"/>
        <v>0</v>
      </c>
      <c r="T37" s="272"/>
      <c r="U37" s="191"/>
      <c r="V37" s="30"/>
    </row>
    <row r="38" spans="1:24" ht="19.5" thickBot="1" x14ac:dyDescent="0.3">
      <c r="A38" s="3">
        <f t="shared" si="3"/>
        <v>31</v>
      </c>
      <c r="B38" s="54" t="s">
        <v>33</v>
      </c>
      <c r="C38" s="197">
        <v>4661</v>
      </c>
      <c r="D38" s="198">
        <v>2</v>
      </c>
      <c r="E38" s="199"/>
      <c r="F38" s="199"/>
      <c r="G38" s="107">
        <v>56</v>
      </c>
      <c r="H38" s="108"/>
      <c r="I38" s="93">
        <f t="shared" si="4"/>
        <v>4605</v>
      </c>
      <c r="J38" s="103">
        <f t="shared" si="5"/>
        <v>2</v>
      </c>
      <c r="K38" s="64"/>
      <c r="L38" s="205"/>
      <c r="M38" s="205"/>
      <c r="N38" s="205">
        <v>50</v>
      </c>
      <c r="O38" s="205"/>
      <c r="P38" s="205">
        <v>6</v>
      </c>
      <c r="Q38" s="206"/>
      <c r="R38" s="128">
        <f t="shared" si="6"/>
        <v>56</v>
      </c>
      <c r="S38" s="273">
        <f t="shared" si="7"/>
        <v>0</v>
      </c>
      <c r="T38" s="217"/>
      <c r="U38" s="215"/>
      <c r="V38" s="66"/>
    </row>
    <row r="39" spans="1:24" ht="19.5" thickBot="1" x14ac:dyDescent="0.3">
      <c r="A39" s="3">
        <f t="shared" si="3"/>
        <v>32</v>
      </c>
      <c r="B39" s="10" t="s">
        <v>34</v>
      </c>
      <c r="C39" s="194">
        <v>4</v>
      </c>
      <c r="D39" s="195"/>
      <c r="E39" s="196"/>
      <c r="F39" s="196"/>
      <c r="G39" s="102"/>
      <c r="H39" s="93"/>
      <c r="I39" s="93">
        <f t="shared" si="4"/>
        <v>4</v>
      </c>
      <c r="J39" s="103">
        <f t="shared" si="5"/>
        <v>0</v>
      </c>
      <c r="K39" s="44"/>
      <c r="L39" s="196"/>
      <c r="M39" s="196"/>
      <c r="N39" s="196"/>
      <c r="O39" s="196"/>
      <c r="P39" s="196"/>
      <c r="Q39" s="204"/>
      <c r="R39" s="128">
        <f t="shared" si="6"/>
        <v>0</v>
      </c>
      <c r="S39" s="273">
        <f t="shared" si="7"/>
        <v>0</v>
      </c>
      <c r="T39" s="272"/>
      <c r="U39" s="191"/>
      <c r="V39" s="30"/>
    </row>
    <row r="40" spans="1:24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5"/>
        <v>0</v>
      </c>
      <c r="K40" s="44"/>
      <c r="L40" s="196"/>
      <c r="M40" s="196"/>
      <c r="N40" s="196"/>
      <c r="O40" s="196"/>
      <c r="P40" s="196"/>
      <c r="Q40" s="204"/>
      <c r="R40" s="128">
        <f t="shared" si="6"/>
        <v>0</v>
      </c>
      <c r="S40" s="273">
        <f t="shared" si="7"/>
        <v>0</v>
      </c>
      <c r="T40" s="272"/>
      <c r="U40" s="220"/>
      <c r="V40" s="122"/>
    </row>
    <row r="41" spans="1:24" ht="19.5" thickBot="1" x14ac:dyDescent="0.3">
      <c r="A41" s="3">
        <f t="shared" si="3"/>
        <v>34</v>
      </c>
      <c r="B41" s="54" t="s">
        <v>35</v>
      </c>
      <c r="C41" s="197">
        <v>765</v>
      </c>
      <c r="D41" s="198"/>
      <c r="E41" s="199"/>
      <c r="F41" s="199"/>
      <c r="G41" s="107">
        <v>5</v>
      </c>
      <c r="H41" s="108"/>
      <c r="I41" s="93">
        <f t="shared" si="4"/>
        <v>760</v>
      </c>
      <c r="J41" s="103">
        <f t="shared" si="5"/>
        <v>0</v>
      </c>
      <c r="K41" s="64"/>
      <c r="L41" s="196"/>
      <c r="M41" s="196"/>
      <c r="N41" s="196">
        <v>5</v>
      </c>
      <c r="O41" s="196"/>
      <c r="P41" s="196"/>
      <c r="Q41" s="204"/>
      <c r="R41" s="128">
        <f t="shared" si="6"/>
        <v>5</v>
      </c>
      <c r="S41" s="273">
        <f t="shared" si="7"/>
        <v>0</v>
      </c>
      <c r="T41" s="217"/>
      <c r="U41" s="215"/>
      <c r="V41" s="66"/>
    </row>
    <row r="42" spans="1:24" ht="19.5" thickBot="1" x14ac:dyDescent="0.3">
      <c r="A42" s="3">
        <f t="shared" si="3"/>
        <v>35</v>
      </c>
      <c r="B42" s="59" t="s">
        <v>36</v>
      </c>
      <c r="C42" s="267">
        <v>1696</v>
      </c>
      <c r="D42" s="268"/>
      <c r="E42" s="269"/>
      <c r="F42" s="269"/>
      <c r="G42" s="111">
        <v>5</v>
      </c>
      <c r="H42" s="112"/>
      <c r="I42" s="93">
        <f t="shared" si="4"/>
        <v>1691</v>
      </c>
      <c r="J42" s="103">
        <f t="shared" si="5"/>
        <v>0</v>
      </c>
      <c r="K42" s="69"/>
      <c r="L42" s="269"/>
      <c r="M42" s="269"/>
      <c r="N42" s="269"/>
      <c r="O42" s="269"/>
      <c r="P42" s="269">
        <v>5</v>
      </c>
      <c r="Q42" s="270"/>
      <c r="R42" s="128">
        <f t="shared" si="6"/>
        <v>5</v>
      </c>
      <c r="S42" s="273">
        <f t="shared" si="7"/>
        <v>0</v>
      </c>
      <c r="T42" s="276"/>
      <c r="U42" s="277"/>
      <c r="V42" s="63"/>
    </row>
    <row r="43" spans="1:24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03">
        <f t="shared" si="5"/>
        <v>0</v>
      </c>
      <c r="K43" s="44"/>
      <c r="L43" s="196"/>
      <c r="M43" s="196"/>
      <c r="N43" s="196"/>
      <c r="O43" s="196"/>
      <c r="P43" s="196"/>
      <c r="Q43" s="204"/>
      <c r="R43" s="128">
        <f t="shared" si="6"/>
        <v>0</v>
      </c>
      <c r="S43" s="273">
        <f t="shared" si="7"/>
        <v>0</v>
      </c>
      <c r="T43" s="272"/>
      <c r="U43" s="191"/>
      <c r="V43" s="30"/>
    </row>
    <row r="44" spans="1:24" ht="19.5" thickBot="1" x14ac:dyDescent="0.3">
      <c r="A44" s="3">
        <f t="shared" si="3"/>
        <v>37</v>
      </c>
      <c r="B44" s="54" t="s">
        <v>37</v>
      </c>
      <c r="C44" s="197">
        <v>26241</v>
      </c>
      <c r="D44" s="198"/>
      <c r="E44" s="199"/>
      <c r="F44" s="199"/>
      <c r="G44" s="107">
        <v>387</v>
      </c>
      <c r="H44" s="108"/>
      <c r="I44" s="93">
        <f t="shared" si="4"/>
        <v>25854</v>
      </c>
      <c r="J44" s="103">
        <f t="shared" si="5"/>
        <v>0</v>
      </c>
      <c r="K44" s="64"/>
      <c r="L44" s="205"/>
      <c r="M44" s="205"/>
      <c r="N44" s="205">
        <v>150</v>
      </c>
      <c r="O44" s="205"/>
      <c r="P44" s="205">
        <v>237</v>
      </c>
      <c r="Q44" s="206"/>
      <c r="R44" s="128">
        <f t="shared" si="6"/>
        <v>387</v>
      </c>
      <c r="S44" s="273">
        <f t="shared" si="7"/>
        <v>0</v>
      </c>
      <c r="T44" s="217"/>
      <c r="U44" s="215"/>
      <c r="V44" s="66"/>
      <c r="X44" s="50"/>
    </row>
    <row r="45" spans="1:24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93">
        <f t="shared" si="4"/>
        <v>0</v>
      </c>
      <c r="J45" s="103">
        <f t="shared" si="5"/>
        <v>0</v>
      </c>
      <c r="K45" s="44"/>
      <c r="L45" s="196"/>
      <c r="M45" s="196"/>
      <c r="N45" s="196"/>
      <c r="O45" s="196"/>
      <c r="P45" s="196"/>
      <c r="Q45" s="204"/>
      <c r="R45" s="128">
        <f t="shared" si="6"/>
        <v>0</v>
      </c>
      <c r="S45" s="273">
        <f t="shared" si="7"/>
        <v>0</v>
      </c>
      <c r="T45" s="272"/>
      <c r="U45" s="191"/>
      <c r="V45" s="30"/>
    </row>
    <row r="46" spans="1:24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93">
        <f t="shared" si="4"/>
        <v>0</v>
      </c>
      <c r="J46" s="103">
        <f t="shared" si="5"/>
        <v>0</v>
      </c>
      <c r="K46" s="44"/>
      <c r="L46" s="196"/>
      <c r="M46" s="196"/>
      <c r="N46" s="196"/>
      <c r="O46" s="196"/>
      <c r="P46" s="196"/>
      <c r="Q46" s="204"/>
      <c r="R46" s="128">
        <f t="shared" si="6"/>
        <v>0</v>
      </c>
      <c r="S46" s="273">
        <f t="shared" si="7"/>
        <v>0</v>
      </c>
      <c r="T46" s="272"/>
      <c r="U46" s="191"/>
      <c r="V46" s="30"/>
    </row>
    <row r="47" spans="1:24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5"/>
        <v>0</v>
      </c>
      <c r="K47" s="44"/>
      <c r="L47" s="196"/>
      <c r="M47" s="196"/>
      <c r="N47" s="196"/>
      <c r="O47" s="196"/>
      <c r="P47" s="196"/>
      <c r="Q47" s="204"/>
      <c r="R47" s="128">
        <f t="shared" si="6"/>
        <v>0</v>
      </c>
      <c r="S47" s="273">
        <f t="shared" si="7"/>
        <v>0</v>
      </c>
      <c r="T47" s="272"/>
      <c r="U47" s="191"/>
      <c r="V47" s="30"/>
    </row>
    <row r="48" spans="1:24" ht="19.5" thickBot="1" x14ac:dyDescent="0.3">
      <c r="A48" s="3">
        <f t="shared" si="3"/>
        <v>41</v>
      </c>
      <c r="B48" s="13" t="s">
        <v>39</v>
      </c>
      <c r="C48" s="194">
        <v>2365</v>
      </c>
      <c r="D48" s="195">
        <v>5</v>
      </c>
      <c r="E48" s="196"/>
      <c r="F48" s="196"/>
      <c r="G48" s="102"/>
      <c r="H48" s="93"/>
      <c r="I48" s="93">
        <f t="shared" si="4"/>
        <v>2365</v>
      </c>
      <c r="J48" s="103">
        <f t="shared" si="5"/>
        <v>5</v>
      </c>
      <c r="K48" s="44"/>
      <c r="L48" s="196"/>
      <c r="M48" s="196"/>
      <c r="N48" s="196"/>
      <c r="O48" s="196"/>
      <c r="P48" s="196"/>
      <c r="Q48" s="204"/>
      <c r="R48" s="128">
        <f t="shared" si="6"/>
        <v>0</v>
      </c>
      <c r="S48" s="273">
        <f t="shared" si="7"/>
        <v>0</v>
      </c>
      <c r="T48" s="272"/>
      <c r="U48" s="191"/>
      <c r="V48" s="30"/>
    </row>
    <row r="49" spans="1:22" ht="19.5" thickBot="1" x14ac:dyDescent="0.3">
      <c r="A49" s="3">
        <f t="shared" si="3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5"/>
        <v>0</v>
      </c>
      <c r="K49" s="44"/>
      <c r="L49" s="196"/>
      <c r="M49" s="196"/>
      <c r="N49" s="196"/>
      <c r="O49" s="196"/>
      <c r="P49" s="196"/>
      <c r="Q49" s="204"/>
      <c r="R49" s="128">
        <f t="shared" si="6"/>
        <v>0</v>
      </c>
      <c r="S49" s="273">
        <f t="shared" si="7"/>
        <v>0</v>
      </c>
      <c r="T49" s="272"/>
      <c r="U49" s="191"/>
      <c r="V49" s="30"/>
    </row>
    <row r="50" spans="1:22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5"/>
        <v>0</v>
      </c>
      <c r="K50" s="44"/>
      <c r="L50" s="196"/>
      <c r="M50" s="196"/>
      <c r="N50" s="196"/>
      <c r="O50" s="196"/>
      <c r="P50" s="196"/>
      <c r="Q50" s="204"/>
      <c r="R50" s="128">
        <f t="shared" si="6"/>
        <v>0</v>
      </c>
      <c r="S50" s="273">
        <f t="shared" si="7"/>
        <v>0</v>
      </c>
      <c r="T50" s="272"/>
      <c r="U50" s="191"/>
      <c r="V50" s="30"/>
    </row>
    <row r="51" spans="1:22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5"/>
        <v>0</v>
      </c>
      <c r="K51" s="44"/>
      <c r="L51" s="196"/>
      <c r="M51" s="196"/>
      <c r="N51" s="196"/>
      <c r="O51" s="196"/>
      <c r="P51" s="196"/>
      <c r="Q51" s="204"/>
      <c r="R51" s="128">
        <f t="shared" si="6"/>
        <v>0</v>
      </c>
      <c r="S51" s="273">
        <f t="shared" si="7"/>
        <v>0</v>
      </c>
      <c r="T51" s="272"/>
      <c r="U51" s="191"/>
      <c r="V51" s="30"/>
    </row>
    <row r="52" spans="1:22" ht="19.5" thickBot="1" x14ac:dyDescent="0.3">
      <c r="A52" s="3">
        <f t="shared" si="3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4"/>
        <v>34</v>
      </c>
      <c r="J52" s="103">
        <f t="shared" si="5"/>
        <v>0</v>
      </c>
      <c r="K52" s="44"/>
      <c r="L52" s="196"/>
      <c r="M52" s="196"/>
      <c r="N52" s="196"/>
      <c r="O52" s="196"/>
      <c r="P52" s="196"/>
      <c r="Q52" s="204"/>
      <c r="R52" s="128">
        <f t="shared" si="6"/>
        <v>0</v>
      </c>
      <c r="S52" s="273">
        <f t="shared" si="7"/>
        <v>0</v>
      </c>
      <c r="T52" s="272"/>
      <c r="U52" s="191"/>
      <c r="V52" s="30"/>
    </row>
    <row r="53" spans="1:22" ht="19.5" thickBot="1" x14ac:dyDescent="0.3">
      <c r="A53" s="3">
        <f t="shared" si="3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5"/>
        <v>0</v>
      </c>
      <c r="K53" s="44"/>
      <c r="L53" s="196"/>
      <c r="M53" s="196"/>
      <c r="N53" s="196"/>
      <c r="O53" s="196"/>
      <c r="P53" s="196"/>
      <c r="Q53" s="204"/>
      <c r="R53" s="128">
        <f t="shared" si="6"/>
        <v>0</v>
      </c>
      <c r="S53" s="273">
        <f t="shared" si="7"/>
        <v>0</v>
      </c>
      <c r="T53" s="272"/>
      <c r="U53" s="191"/>
      <c r="V53" s="30"/>
    </row>
    <row r="54" spans="1:22" ht="19.5" thickBot="1" x14ac:dyDescent="0.3">
      <c r="A54" s="3">
        <f t="shared" si="3"/>
        <v>47</v>
      </c>
      <c r="B54" s="13" t="s">
        <v>78</v>
      </c>
      <c r="C54" s="194">
        <v>2</v>
      </c>
      <c r="D54" s="195"/>
      <c r="E54" s="196"/>
      <c r="F54" s="196"/>
      <c r="G54" s="102"/>
      <c r="H54" s="93"/>
      <c r="I54" s="93">
        <f t="shared" si="4"/>
        <v>2</v>
      </c>
      <c r="J54" s="103">
        <f t="shared" si="5"/>
        <v>0</v>
      </c>
      <c r="K54" s="44"/>
      <c r="L54" s="196"/>
      <c r="M54" s="196"/>
      <c r="N54" s="196"/>
      <c r="O54" s="196"/>
      <c r="P54" s="196"/>
      <c r="Q54" s="204"/>
      <c r="R54" s="128">
        <f t="shared" si="6"/>
        <v>0</v>
      </c>
      <c r="S54" s="273">
        <f t="shared" si="7"/>
        <v>0</v>
      </c>
      <c r="T54" s="272"/>
      <c r="U54" s="191"/>
      <c r="V54" s="30"/>
    </row>
    <row r="55" spans="1:22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5"/>
        <v>0</v>
      </c>
      <c r="K55" s="44"/>
      <c r="L55" s="196"/>
      <c r="M55" s="196"/>
      <c r="N55" s="196"/>
      <c r="O55" s="196"/>
      <c r="P55" s="196"/>
      <c r="Q55" s="204"/>
      <c r="R55" s="128">
        <f t="shared" si="6"/>
        <v>0</v>
      </c>
      <c r="S55" s="273">
        <f t="shared" si="7"/>
        <v>0</v>
      </c>
      <c r="T55" s="272"/>
      <c r="U55" s="191"/>
      <c r="V55" s="30"/>
    </row>
    <row r="56" spans="1:22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5"/>
        <v>0</v>
      </c>
      <c r="K56" s="44"/>
      <c r="L56" s="196"/>
      <c r="M56" s="196"/>
      <c r="N56" s="196"/>
      <c r="O56" s="196"/>
      <c r="P56" s="196"/>
      <c r="Q56" s="204"/>
      <c r="R56" s="128">
        <f t="shared" si="6"/>
        <v>0</v>
      </c>
      <c r="S56" s="273">
        <f t="shared" si="7"/>
        <v>0</v>
      </c>
      <c r="T56" s="272"/>
      <c r="U56" s="191"/>
      <c r="V56" s="30"/>
    </row>
    <row r="57" spans="1:22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5"/>
        <v>0</v>
      </c>
      <c r="K57" s="44"/>
      <c r="L57" s="196"/>
      <c r="M57" s="196"/>
      <c r="N57" s="196"/>
      <c r="O57" s="196"/>
      <c r="P57" s="196"/>
      <c r="Q57" s="204"/>
      <c r="R57" s="128">
        <f t="shared" si="6"/>
        <v>0</v>
      </c>
      <c r="S57" s="273">
        <f t="shared" si="7"/>
        <v>0</v>
      </c>
      <c r="T57" s="272"/>
      <c r="U57" s="191"/>
      <c r="V57" s="30"/>
    </row>
    <row r="58" spans="1:22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5"/>
        <v>0</v>
      </c>
      <c r="K58" s="44"/>
      <c r="L58" s="196"/>
      <c r="M58" s="196"/>
      <c r="N58" s="196"/>
      <c r="O58" s="196"/>
      <c r="P58" s="196"/>
      <c r="Q58" s="204"/>
      <c r="R58" s="128">
        <f t="shared" si="6"/>
        <v>0</v>
      </c>
      <c r="S58" s="273">
        <f t="shared" si="7"/>
        <v>0</v>
      </c>
      <c r="T58" s="272"/>
      <c r="U58" s="191"/>
      <c r="V58" s="30"/>
    </row>
    <row r="59" spans="1:22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5"/>
        <v>0</v>
      </c>
      <c r="K59" s="44"/>
      <c r="L59" s="196"/>
      <c r="M59" s="196"/>
      <c r="N59" s="196"/>
      <c r="O59" s="196"/>
      <c r="P59" s="196"/>
      <c r="Q59" s="204"/>
      <c r="R59" s="128">
        <f t="shared" si="6"/>
        <v>0</v>
      </c>
      <c r="S59" s="273">
        <f t="shared" si="7"/>
        <v>0</v>
      </c>
      <c r="T59" s="272"/>
      <c r="U59" s="191"/>
      <c r="V59" s="30"/>
    </row>
    <row r="60" spans="1:22" s="1" customFormat="1" ht="19.5" thickBot="1" x14ac:dyDescent="0.3">
      <c r="B60" s="15" t="s">
        <v>13</v>
      </c>
      <c r="C60" s="46">
        <f>SUM(C8:C59)</f>
        <v>39964</v>
      </c>
      <c r="D60" s="71">
        <f>SUM(D8:D59)</f>
        <v>68</v>
      </c>
      <c r="E60" s="47">
        <f>SUM(E8:E59)</f>
        <v>0</v>
      </c>
      <c r="F60" s="47"/>
      <c r="G60" s="31">
        <f>SUM(G8:G59)</f>
        <v>478</v>
      </c>
      <c r="H60" s="73">
        <f>SUM(H8:H59)</f>
        <v>2</v>
      </c>
      <c r="I60" s="73">
        <f>SUM(I8:I59)</f>
        <v>39486</v>
      </c>
      <c r="J60" s="48">
        <f>SUM(J8:J59)</f>
        <v>66</v>
      </c>
      <c r="K60" s="49"/>
      <c r="L60" s="98">
        <f t="shared" ref="L60:S60" si="8">SUM(L8:L59)</f>
        <v>0</v>
      </c>
      <c r="M60" s="98">
        <f t="shared" si="8"/>
        <v>0</v>
      </c>
      <c r="N60" s="98">
        <f t="shared" si="8"/>
        <v>218</v>
      </c>
      <c r="O60" s="98">
        <f t="shared" si="8"/>
        <v>0</v>
      </c>
      <c r="P60" s="98">
        <f t="shared" si="8"/>
        <v>260</v>
      </c>
      <c r="Q60" s="99">
        <f t="shared" si="8"/>
        <v>2</v>
      </c>
      <c r="R60" s="127">
        <f t="shared" si="8"/>
        <v>478</v>
      </c>
      <c r="S60" s="124">
        <f t="shared" si="8"/>
        <v>2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13" t="s">
        <v>3</v>
      </c>
      <c r="D69" s="114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13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708C-D093-4A9C-9961-2E39923C8C8E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46067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148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>
        <v>35</v>
      </c>
      <c r="D8" s="195"/>
      <c r="E8" s="196"/>
      <c r="F8" s="196"/>
      <c r="G8" s="102">
        <v>2</v>
      </c>
      <c r="H8" s="93"/>
      <c r="I8" s="93">
        <f>C8-G8</f>
        <v>33</v>
      </c>
      <c r="J8" s="103">
        <f t="shared" ref="J8:J12" si="0">D8-H8</f>
        <v>0</v>
      </c>
      <c r="K8" s="44"/>
      <c r="L8" s="196">
        <v>1</v>
      </c>
      <c r="M8" s="196"/>
      <c r="N8" s="196">
        <v>1</v>
      </c>
      <c r="O8" s="196"/>
      <c r="P8" s="196"/>
      <c r="Q8" s="204"/>
      <c r="R8" s="128">
        <f t="shared" ref="R8:S12" si="1">L8+N8+P8</f>
        <v>2</v>
      </c>
      <c r="S8" s="273">
        <f t="shared" si="1"/>
        <v>0</v>
      </c>
      <c r="T8" s="272"/>
      <c r="U8" s="191">
        <f>L8*24+N8*24+P8*24</f>
        <v>48</v>
      </c>
      <c r="V8" s="214">
        <f>U8/24</f>
        <v>2</v>
      </c>
      <c r="W8" s="213">
        <f t="shared" ref="W8:W12" si="2">I8*24+J8</f>
        <v>792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>
        <v>97</v>
      </c>
      <c r="D9" s="198"/>
      <c r="E9" s="199"/>
      <c r="F9" s="199"/>
      <c r="G9" s="107">
        <v>2</v>
      </c>
      <c r="H9" s="108"/>
      <c r="I9" s="107">
        <f t="shared" ref="I9:J59" si="4">C9-G9</f>
        <v>95</v>
      </c>
      <c r="J9" s="160">
        <f t="shared" si="0"/>
        <v>0</v>
      </c>
      <c r="K9" s="64"/>
      <c r="L9" s="205">
        <v>2</v>
      </c>
      <c r="M9" s="205"/>
      <c r="N9" s="205"/>
      <c r="O9" s="205"/>
      <c r="P9" s="205"/>
      <c r="Q9" s="206"/>
      <c r="R9" s="166">
        <f t="shared" si="1"/>
        <v>2</v>
      </c>
      <c r="S9" s="278">
        <f t="shared" si="1"/>
        <v>0</v>
      </c>
      <c r="T9" s="217"/>
      <c r="U9" s="215">
        <f>L9*24+N9*24+P9*24</f>
        <v>48</v>
      </c>
      <c r="V9" s="216">
        <f>U9/24</f>
        <v>2</v>
      </c>
      <c r="W9" s="217">
        <f t="shared" si="2"/>
        <v>2280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79">
        <f t="shared" si="1"/>
        <v>0</v>
      </c>
      <c r="T10" s="272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>
        <v>66</v>
      </c>
      <c r="D11" s="195"/>
      <c r="E11" s="196"/>
      <c r="F11" s="196"/>
      <c r="G11" s="102">
        <v>2</v>
      </c>
      <c r="H11" s="93"/>
      <c r="I11" s="93">
        <f t="shared" si="4"/>
        <v>64</v>
      </c>
      <c r="J11" s="103">
        <f t="shared" si="0"/>
        <v>0</v>
      </c>
      <c r="K11" s="44"/>
      <c r="L11" s="196">
        <v>2</v>
      </c>
      <c r="M11" s="196"/>
      <c r="N11" s="196"/>
      <c r="O11" s="196"/>
      <c r="P11" s="196"/>
      <c r="Q11" s="204"/>
      <c r="R11" s="128">
        <f t="shared" si="1"/>
        <v>2</v>
      </c>
      <c r="S11" s="273">
        <f t="shared" si="1"/>
        <v>0</v>
      </c>
      <c r="T11" s="272"/>
      <c r="U11" s="191">
        <f>L11*24+N11*24+P11*24</f>
        <v>48</v>
      </c>
      <c r="V11" s="214">
        <f>U11/24</f>
        <v>2</v>
      </c>
      <c r="W11" s="213">
        <f t="shared" si="2"/>
        <v>1536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4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24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>
        <v>3569</v>
      </c>
      <c r="D13" s="198">
        <v>19</v>
      </c>
      <c r="E13" s="199"/>
      <c r="F13" s="199"/>
      <c r="G13" s="107">
        <v>16</v>
      </c>
      <c r="H13" s="108">
        <v>40</v>
      </c>
      <c r="I13" s="116">
        <f t="shared" si="4"/>
        <v>3553</v>
      </c>
      <c r="J13" s="160">
        <f>D13-H13</f>
        <v>-21</v>
      </c>
      <c r="K13" s="68"/>
      <c r="L13" s="205">
        <v>2</v>
      </c>
      <c r="M13" s="205">
        <v>13</v>
      </c>
      <c r="N13" s="205">
        <v>6</v>
      </c>
      <c r="O13" s="205">
        <v>15</v>
      </c>
      <c r="P13" s="205">
        <v>8</v>
      </c>
      <c r="Q13" s="206">
        <v>12</v>
      </c>
      <c r="R13" s="163">
        <f>L13+N13+P13</f>
        <v>16</v>
      </c>
      <c r="S13" s="278">
        <f>M13+O13+Q13</f>
        <v>40</v>
      </c>
      <c r="T13" s="274"/>
      <c r="U13" s="215">
        <f>L13*24+N13*24+P13*24</f>
        <v>384</v>
      </c>
      <c r="V13" s="219">
        <f t="shared" si="6"/>
        <v>16</v>
      </c>
      <c r="W13" s="217">
        <f>I13*24+J13</f>
        <v>85251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159">
        <f t="shared" si="4"/>
        <v>5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79">
        <f t="shared" si="7"/>
        <v>0</v>
      </c>
      <c r="T14" s="272"/>
      <c r="U14" s="191">
        <f t="shared" si="5"/>
        <v>0</v>
      </c>
      <c r="V14" s="193">
        <f t="shared" si="6"/>
        <v>0</v>
      </c>
      <c r="W14" s="213">
        <f t="shared" ref="W14:W37" si="8">I14*24+J14</f>
        <v>120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73">
        <f t="shared" si="7"/>
        <v>0</v>
      </c>
      <c r="T15" s="272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73">
        <f t="shared" si="7"/>
        <v>0</v>
      </c>
      <c r="T16" s="272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73">
        <f t="shared" si="7"/>
        <v>0</v>
      </c>
      <c r="T17" s="272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4"/>
        <v>4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73">
        <f t="shared" si="7"/>
        <v>0</v>
      </c>
      <c r="T18" s="272"/>
      <c r="U18" s="191">
        <f t="shared" si="5"/>
        <v>0</v>
      </c>
      <c r="V18" s="214">
        <f t="shared" si="6"/>
        <v>0</v>
      </c>
      <c r="W18" s="213">
        <f t="shared" si="8"/>
        <v>96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73">
        <f t="shared" si="7"/>
        <v>0</v>
      </c>
      <c r="T19" s="272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4"/>
        <v>4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73">
        <f t="shared" si="7"/>
        <v>0</v>
      </c>
      <c r="T20" s="272"/>
      <c r="U20" s="191">
        <f t="shared" si="5"/>
        <v>0</v>
      </c>
      <c r="V20" s="214">
        <f t="shared" si="6"/>
        <v>0</v>
      </c>
      <c r="W20" s="213">
        <f t="shared" si="8"/>
        <v>96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4"/>
        <v>6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73">
        <f t="shared" si="7"/>
        <v>0</v>
      </c>
      <c r="T21" s="272"/>
      <c r="U21" s="191">
        <f t="shared" si="5"/>
        <v>0</v>
      </c>
      <c r="V21" s="214">
        <f t="shared" si="6"/>
        <v>0</v>
      </c>
      <c r="W21" s="213">
        <f t="shared" si="8"/>
        <v>144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4"/>
        <v>4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73">
        <f t="shared" si="7"/>
        <v>0</v>
      </c>
      <c r="T22" s="272"/>
      <c r="U22" s="191">
        <f t="shared" si="5"/>
        <v>0</v>
      </c>
      <c r="V22" s="214">
        <f t="shared" si="6"/>
        <v>0</v>
      </c>
      <c r="W22" s="213">
        <f t="shared" si="8"/>
        <v>96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4"/>
        <v>2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73">
        <f t="shared" si="7"/>
        <v>0</v>
      </c>
      <c r="T23" s="275"/>
      <c r="U23" s="191">
        <f t="shared" si="5"/>
        <v>0</v>
      </c>
      <c r="V23" s="214">
        <f t="shared" si="6"/>
        <v>0</v>
      </c>
      <c r="W23" s="213">
        <f t="shared" si="8"/>
        <v>48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4"/>
        <v>48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73">
        <f t="shared" si="7"/>
        <v>0</v>
      </c>
      <c r="T24" s="275"/>
      <c r="U24" s="191">
        <f t="shared" si="5"/>
        <v>0</v>
      </c>
      <c r="V24" s="214">
        <f t="shared" si="6"/>
        <v>0</v>
      </c>
      <c r="W24" s="213">
        <f t="shared" si="8"/>
        <v>1152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4"/>
        <v>7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73">
        <f t="shared" si="7"/>
        <v>0</v>
      </c>
      <c r="T25" s="272"/>
      <c r="U25" s="191">
        <f t="shared" si="5"/>
        <v>0</v>
      </c>
      <c r="V25" s="214">
        <f t="shared" si="6"/>
        <v>0</v>
      </c>
      <c r="W25" s="213">
        <f t="shared" si="8"/>
        <v>168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>
        <v>92</v>
      </c>
      <c r="D26" s="195">
        <v>23</v>
      </c>
      <c r="E26" s="196"/>
      <c r="F26" s="196"/>
      <c r="G26" s="102">
        <v>3</v>
      </c>
      <c r="H26" s="93"/>
      <c r="I26" s="93">
        <f t="shared" si="4"/>
        <v>89</v>
      </c>
      <c r="J26" s="103">
        <f t="shared" si="4"/>
        <v>23</v>
      </c>
      <c r="K26" s="44"/>
      <c r="L26" s="196">
        <v>3</v>
      </c>
      <c r="M26" s="196"/>
      <c r="N26" s="196"/>
      <c r="O26" s="196"/>
      <c r="P26" s="196"/>
      <c r="Q26" s="204"/>
      <c r="R26" s="128">
        <f t="shared" si="7"/>
        <v>3</v>
      </c>
      <c r="S26" s="273">
        <f t="shared" si="7"/>
        <v>0</v>
      </c>
      <c r="T26" s="272"/>
      <c r="U26" s="191">
        <f t="shared" si="5"/>
        <v>72</v>
      </c>
      <c r="V26" s="214">
        <f t="shared" si="6"/>
        <v>3</v>
      </c>
      <c r="W26" s="213">
        <f t="shared" si="8"/>
        <v>2159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73">
        <f t="shared" si="7"/>
        <v>0</v>
      </c>
      <c r="T27" s="27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73">
        <f t="shared" si="7"/>
        <v>0</v>
      </c>
      <c r="T28" s="27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>
        <v>58</v>
      </c>
      <c r="D29" s="195"/>
      <c r="E29" s="196"/>
      <c r="F29" s="196"/>
      <c r="G29" s="102">
        <v>8</v>
      </c>
      <c r="H29" s="93"/>
      <c r="I29" s="93">
        <f t="shared" si="4"/>
        <v>50</v>
      </c>
      <c r="J29" s="103">
        <f t="shared" si="4"/>
        <v>0</v>
      </c>
      <c r="K29" s="45"/>
      <c r="L29" s="196">
        <v>5</v>
      </c>
      <c r="M29" s="196"/>
      <c r="N29" s="196"/>
      <c r="O29" s="196"/>
      <c r="P29" s="196">
        <v>3</v>
      </c>
      <c r="Q29" s="204"/>
      <c r="R29" s="128">
        <f t="shared" si="7"/>
        <v>8</v>
      </c>
      <c r="S29" s="273">
        <f t="shared" si="7"/>
        <v>0</v>
      </c>
      <c r="T29" s="275"/>
      <c r="U29" s="191">
        <f t="shared" si="5"/>
        <v>192</v>
      </c>
      <c r="V29" s="214">
        <f t="shared" si="6"/>
        <v>8</v>
      </c>
      <c r="W29" s="213">
        <f t="shared" si="8"/>
        <v>1200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73">
        <f t="shared" si="7"/>
        <v>0</v>
      </c>
      <c r="T30" s="272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>
        <v>64</v>
      </c>
      <c r="D31" s="195"/>
      <c r="E31" s="196"/>
      <c r="F31" s="196"/>
      <c r="G31" s="102"/>
      <c r="H31" s="93"/>
      <c r="I31" s="93">
        <f t="shared" si="4"/>
        <v>64</v>
      </c>
      <c r="J31" s="103">
        <f t="shared" si="4"/>
        <v>0</v>
      </c>
      <c r="K31" s="44"/>
      <c r="L31" s="196"/>
      <c r="M31" s="196"/>
      <c r="N31" s="196"/>
      <c r="O31" s="196"/>
      <c r="P31" s="196"/>
      <c r="Q31" s="204"/>
      <c r="R31" s="128">
        <f t="shared" si="7"/>
        <v>0</v>
      </c>
      <c r="S31" s="273">
        <f t="shared" si="7"/>
        <v>0</v>
      </c>
      <c r="T31" s="272"/>
      <c r="U31" s="191">
        <f t="shared" si="5"/>
        <v>0</v>
      </c>
      <c r="V31" s="214">
        <f t="shared" si="6"/>
        <v>0</v>
      </c>
      <c r="W31" s="213">
        <f t="shared" si="8"/>
        <v>1536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73">
        <f t="shared" si="7"/>
        <v>0</v>
      </c>
      <c r="T32" s="272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73">
        <f t="shared" si="7"/>
        <v>0</v>
      </c>
      <c r="T33" s="272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73">
        <f t="shared" si="7"/>
        <v>0</v>
      </c>
      <c r="T34" s="272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>
        <v>109</v>
      </c>
      <c r="D35" s="195">
        <v>17</v>
      </c>
      <c r="E35" s="196"/>
      <c r="F35" s="196"/>
      <c r="G35" s="102"/>
      <c r="H35" s="93"/>
      <c r="I35" s="93">
        <f t="shared" si="4"/>
        <v>109</v>
      </c>
      <c r="J35" s="103">
        <f t="shared" si="4"/>
        <v>17</v>
      </c>
      <c r="K35" s="44"/>
      <c r="L35" s="196"/>
      <c r="M35" s="196"/>
      <c r="N35" s="196"/>
      <c r="O35" s="196"/>
      <c r="P35" s="196"/>
      <c r="Q35" s="204"/>
      <c r="R35" s="128">
        <f t="shared" si="7"/>
        <v>0</v>
      </c>
      <c r="S35" s="273">
        <f t="shared" si="7"/>
        <v>0</v>
      </c>
      <c r="T35" s="272"/>
      <c r="U35" s="191">
        <f t="shared" si="5"/>
        <v>0</v>
      </c>
      <c r="V35" s="214">
        <f t="shared" si="6"/>
        <v>0</v>
      </c>
      <c r="W35" s="213">
        <f t="shared" si="8"/>
        <v>2633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73">
        <f t="shared" si="7"/>
        <v>0</v>
      </c>
      <c r="T36" s="272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73">
        <f t="shared" si="7"/>
        <v>0</v>
      </c>
      <c r="T37" s="272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54" t="s">
        <v>33</v>
      </c>
      <c r="C38" s="197">
        <v>4605</v>
      </c>
      <c r="D38" s="198">
        <v>2</v>
      </c>
      <c r="E38" s="199"/>
      <c r="F38" s="199"/>
      <c r="G38" s="107">
        <v>70</v>
      </c>
      <c r="H38" s="108"/>
      <c r="I38" s="116">
        <f t="shared" si="4"/>
        <v>4535</v>
      </c>
      <c r="J38" s="160">
        <f t="shared" si="4"/>
        <v>2</v>
      </c>
      <c r="K38" s="64"/>
      <c r="L38" s="205">
        <v>40</v>
      </c>
      <c r="M38" s="205"/>
      <c r="N38" s="205"/>
      <c r="O38" s="205"/>
      <c r="P38" s="205">
        <v>30</v>
      </c>
      <c r="Q38" s="206"/>
      <c r="R38" s="163">
        <f t="shared" si="7"/>
        <v>70</v>
      </c>
      <c r="S38" s="278">
        <f t="shared" si="7"/>
        <v>0</v>
      </c>
      <c r="T38" s="217"/>
      <c r="U38" s="215">
        <f>L38*6+N38*6+P38*6</f>
        <v>420</v>
      </c>
      <c r="V38" s="216">
        <f>U38/6</f>
        <v>70</v>
      </c>
      <c r="W38" s="217">
        <f>I38*6+J38</f>
        <v>27212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>
        <v>4</v>
      </c>
      <c r="D39" s="195"/>
      <c r="E39" s="196"/>
      <c r="F39" s="196"/>
      <c r="G39" s="102"/>
      <c r="H39" s="93"/>
      <c r="I39" s="159">
        <f t="shared" si="4"/>
        <v>4</v>
      </c>
      <c r="J39" s="161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79">
        <f t="shared" si="7"/>
        <v>0</v>
      </c>
      <c r="T39" s="272"/>
      <c r="U39" s="191">
        <f t="shared" ref="U39:U40" si="9">L39*24+N39*24+P39*24</f>
        <v>0</v>
      </c>
      <c r="V39" s="218">
        <f t="shared" si="6"/>
        <v>0</v>
      </c>
      <c r="W39" s="213">
        <f t="shared" ref="W39:W40" si="10">I39*24+J39</f>
        <v>96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73">
        <f t="shared" si="7"/>
        <v>0</v>
      </c>
      <c r="T40" s="272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54" t="s">
        <v>35</v>
      </c>
      <c r="C41" s="197">
        <v>760</v>
      </c>
      <c r="D41" s="198"/>
      <c r="E41" s="199"/>
      <c r="F41" s="199"/>
      <c r="G41" s="107">
        <v>62</v>
      </c>
      <c r="H41" s="108"/>
      <c r="I41" s="116">
        <f t="shared" si="4"/>
        <v>698</v>
      </c>
      <c r="J41" s="160">
        <f t="shared" si="4"/>
        <v>0</v>
      </c>
      <c r="K41" s="64"/>
      <c r="L41" s="196">
        <v>61</v>
      </c>
      <c r="M41" s="196"/>
      <c r="N41" s="196">
        <v>1</v>
      </c>
      <c r="O41" s="196"/>
      <c r="P41" s="196"/>
      <c r="Q41" s="204"/>
      <c r="R41" s="166">
        <f t="shared" si="7"/>
        <v>62</v>
      </c>
      <c r="S41" s="278">
        <f t="shared" si="7"/>
        <v>0</v>
      </c>
      <c r="T41" s="217"/>
      <c r="U41" s="280">
        <f t="shared" ref="U41" si="11">L41*24+N41*24+P41*24</f>
        <v>1488</v>
      </c>
      <c r="V41" s="219">
        <f t="shared" si="6"/>
        <v>62</v>
      </c>
      <c r="W41" s="219">
        <f t="shared" ref="W41" si="12">I41*24+J41</f>
        <v>16752</v>
      </c>
      <c r="X41" s="66"/>
    </row>
    <row r="42" spans="1:26" ht="19.5" thickBot="1" x14ac:dyDescent="0.3">
      <c r="A42" s="3">
        <f t="shared" si="3"/>
        <v>35</v>
      </c>
      <c r="B42" s="59" t="s">
        <v>36</v>
      </c>
      <c r="C42" s="267">
        <v>1691</v>
      </c>
      <c r="D42" s="268"/>
      <c r="E42" s="269"/>
      <c r="F42" s="269"/>
      <c r="G42" s="111">
        <v>13</v>
      </c>
      <c r="H42" s="112"/>
      <c r="I42" s="111">
        <f t="shared" si="4"/>
        <v>1678</v>
      </c>
      <c r="J42" s="161">
        <f t="shared" si="4"/>
        <v>0</v>
      </c>
      <c r="K42" s="69"/>
      <c r="L42" s="269"/>
      <c r="M42" s="269"/>
      <c r="N42" s="269">
        <v>5</v>
      </c>
      <c r="O42" s="269"/>
      <c r="P42" s="269">
        <v>8</v>
      </c>
      <c r="Q42" s="270"/>
      <c r="R42" s="167">
        <f t="shared" si="7"/>
        <v>13</v>
      </c>
      <c r="S42" s="281">
        <f t="shared" si="7"/>
        <v>0</v>
      </c>
      <c r="T42" s="276"/>
      <c r="U42" s="277">
        <f>L42*12+N42*12+P42*12</f>
        <v>156</v>
      </c>
      <c r="V42" s="282">
        <f>U42/12</f>
        <v>13</v>
      </c>
      <c r="W42" s="276">
        <f>I42*12+J42</f>
        <v>20136</v>
      </c>
      <c r="X42" s="63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166">
        <f t="shared" si="7"/>
        <v>0</v>
      </c>
      <c r="S43" s="283">
        <f t="shared" si="7"/>
        <v>0</v>
      </c>
      <c r="T43" s="272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>
        <v>25854</v>
      </c>
      <c r="D44" s="198"/>
      <c r="E44" s="199">
        <v>3672</v>
      </c>
      <c r="F44" s="199"/>
      <c r="G44" s="107">
        <v>960</v>
      </c>
      <c r="H44" s="108">
        <v>2</v>
      </c>
      <c r="I44" s="93">
        <f>C44+E44-G44</f>
        <v>28566</v>
      </c>
      <c r="J44" s="173">
        <f t="shared" si="4"/>
        <v>-2</v>
      </c>
      <c r="K44" s="64"/>
      <c r="L44" s="205">
        <v>323</v>
      </c>
      <c r="M44" s="205">
        <v>2</v>
      </c>
      <c r="N44" s="205">
        <v>309</v>
      </c>
      <c r="O44" s="205"/>
      <c r="P44" s="205">
        <v>328</v>
      </c>
      <c r="Q44" s="206"/>
      <c r="R44" s="168">
        <f t="shared" si="7"/>
        <v>960</v>
      </c>
      <c r="S44" s="281">
        <f t="shared" si="7"/>
        <v>2</v>
      </c>
      <c r="T44" s="217"/>
      <c r="U44" s="215">
        <f>L44*6+N44*6+P44*6</f>
        <v>5760</v>
      </c>
      <c r="V44" s="214">
        <f>U44/6</f>
        <v>960</v>
      </c>
      <c r="W44" s="217">
        <f>I44*6+J44</f>
        <v>171394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83">
        <f t="shared" si="7"/>
        <v>0</v>
      </c>
      <c r="T45" s="272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84">
        <f t="shared" si="7"/>
        <v>0</v>
      </c>
      <c r="T46" s="272"/>
      <c r="U46" s="191">
        <f t="shared" ref="U46:U47" si="13">L46*24+N46*24+P46*24</f>
        <v>0</v>
      </c>
      <c r="V46" s="218">
        <f t="shared" ref="V46:V47" si="14">U46/24</f>
        <v>0</v>
      </c>
      <c r="W46" s="213">
        <f t="shared" ref="W46:W47" si="15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73">
        <f t="shared" si="7"/>
        <v>0</v>
      </c>
      <c r="T47" s="272"/>
      <c r="U47" s="191">
        <f t="shared" si="13"/>
        <v>0</v>
      </c>
      <c r="V47" s="214">
        <f t="shared" si="14"/>
        <v>0</v>
      </c>
      <c r="W47" s="213">
        <f t="shared" si="15"/>
        <v>0</v>
      </c>
      <c r="X47" s="30"/>
    </row>
    <row r="48" spans="1:26" ht="19.5" thickBot="1" x14ac:dyDescent="0.3">
      <c r="A48" s="3">
        <f t="shared" si="3"/>
        <v>41</v>
      </c>
      <c r="B48" s="13" t="s">
        <v>39</v>
      </c>
      <c r="C48" s="194">
        <v>2365</v>
      </c>
      <c r="D48" s="195">
        <v>5</v>
      </c>
      <c r="E48" s="196"/>
      <c r="F48" s="196"/>
      <c r="G48" s="102"/>
      <c r="H48" s="93"/>
      <c r="I48" s="93">
        <f t="shared" si="4"/>
        <v>2365</v>
      </c>
      <c r="J48" s="103">
        <f t="shared" si="4"/>
        <v>5</v>
      </c>
      <c r="K48" s="44"/>
      <c r="L48" s="196"/>
      <c r="M48" s="196"/>
      <c r="N48" s="196"/>
      <c r="O48" s="196"/>
      <c r="P48" s="196"/>
      <c r="Q48" s="204"/>
      <c r="R48" s="128">
        <f t="shared" si="7"/>
        <v>0</v>
      </c>
      <c r="S48" s="273">
        <f t="shared" si="7"/>
        <v>0</v>
      </c>
      <c r="T48" s="272"/>
      <c r="U48" s="191">
        <f>L48*6+N48*6+P48*6</f>
        <v>0</v>
      </c>
      <c r="V48" s="214">
        <f>U48/6</f>
        <v>0</v>
      </c>
      <c r="W48" s="213">
        <f>I48*6+J48</f>
        <v>14195</v>
      </c>
      <c r="X48" s="30"/>
    </row>
    <row r="49" spans="1:24" ht="19.5" thickBot="1" x14ac:dyDescent="0.3">
      <c r="A49" s="3">
        <f t="shared" si="3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28">
        <f t="shared" si="7"/>
        <v>0</v>
      </c>
      <c r="S49" s="273">
        <f t="shared" si="7"/>
        <v>0</v>
      </c>
      <c r="T49" s="272"/>
      <c r="U49" s="191">
        <f t="shared" ref="U49:U51" si="16">L49*24+N49*24+P49*24</f>
        <v>0</v>
      </c>
      <c r="V49" s="214">
        <f t="shared" ref="V49:V51" si="17">U49/24</f>
        <v>0</v>
      </c>
      <c r="W49" s="213">
        <f t="shared" ref="W49:W51" si="18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73">
        <f t="shared" si="7"/>
        <v>0</v>
      </c>
      <c r="T50" s="272"/>
      <c r="U50" s="191">
        <f t="shared" si="16"/>
        <v>0</v>
      </c>
      <c r="V50" s="214">
        <f t="shared" si="17"/>
        <v>0</v>
      </c>
      <c r="W50" s="213">
        <f t="shared" si="18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73">
        <f t="shared" si="7"/>
        <v>0</v>
      </c>
      <c r="T51" s="272"/>
      <c r="U51" s="191">
        <f t="shared" si="16"/>
        <v>0</v>
      </c>
      <c r="V51" s="214">
        <f t="shared" si="17"/>
        <v>0</v>
      </c>
      <c r="W51" s="213">
        <f t="shared" si="18"/>
        <v>0</v>
      </c>
      <c r="X51" s="30"/>
    </row>
    <row r="52" spans="1:24" ht="19.5" thickBot="1" x14ac:dyDescent="0.3">
      <c r="A52" s="3">
        <f t="shared" si="3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4"/>
        <v>34</v>
      </c>
      <c r="J52" s="103">
        <f t="shared" si="4"/>
        <v>0</v>
      </c>
      <c r="K52" s="44"/>
      <c r="L52" s="196"/>
      <c r="M52" s="196"/>
      <c r="N52" s="196"/>
      <c r="O52" s="196"/>
      <c r="P52" s="196"/>
      <c r="Q52" s="204"/>
      <c r="R52" s="128">
        <f t="shared" si="7"/>
        <v>0</v>
      </c>
      <c r="S52" s="273">
        <f t="shared" si="7"/>
        <v>0</v>
      </c>
      <c r="T52" s="272"/>
      <c r="U52" s="191">
        <f>L52*6+N52*6+P52*6</f>
        <v>0</v>
      </c>
      <c r="V52" s="214">
        <f>U52/6</f>
        <v>0</v>
      </c>
      <c r="W52" s="213">
        <f>I52*6+J52</f>
        <v>204</v>
      </c>
      <c r="X52" s="30"/>
    </row>
    <row r="53" spans="1:24" ht="19.5" thickBot="1" x14ac:dyDescent="0.3">
      <c r="A53" s="3">
        <f t="shared" si="3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28">
        <f t="shared" si="7"/>
        <v>0</v>
      </c>
      <c r="S53" s="273">
        <f t="shared" si="7"/>
        <v>0</v>
      </c>
      <c r="T53" s="272"/>
      <c r="U53" s="191">
        <f t="shared" ref="U53:U54" si="19">L53*24+N53*24+P53*24</f>
        <v>0</v>
      </c>
      <c r="V53" s="214">
        <f t="shared" ref="V53:V54" si="20">U53/24</f>
        <v>0</v>
      </c>
      <c r="W53" s="213">
        <f t="shared" ref="W53:W54" si="21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>
        <v>2</v>
      </c>
      <c r="D54" s="195"/>
      <c r="E54" s="196"/>
      <c r="F54" s="196"/>
      <c r="G54" s="102"/>
      <c r="H54" s="93"/>
      <c r="I54" s="93">
        <f t="shared" si="4"/>
        <v>2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73">
        <f t="shared" si="7"/>
        <v>0</v>
      </c>
      <c r="T54" s="272"/>
      <c r="U54" s="191">
        <f t="shared" si="19"/>
        <v>0</v>
      </c>
      <c r="V54" s="214">
        <f t="shared" si="20"/>
        <v>0</v>
      </c>
      <c r="W54" s="213">
        <f t="shared" si="21"/>
        <v>48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73">
        <f t="shared" si="7"/>
        <v>0</v>
      </c>
      <c r="T55" s="272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73">
        <f t="shared" si="7"/>
        <v>0</v>
      </c>
      <c r="T56" s="272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73">
        <f t="shared" si="7"/>
        <v>0</v>
      </c>
      <c r="T57" s="272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73">
        <f t="shared" si="7"/>
        <v>0</v>
      </c>
      <c r="T58" s="272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73">
        <f t="shared" si="7"/>
        <v>0</v>
      </c>
      <c r="T59" s="272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39486</v>
      </c>
      <c r="D60" s="71">
        <f>SUM(D8:D59)</f>
        <v>66</v>
      </c>
      <c r="E60" s="47">
        <f>SUM(E8:E59)</f>
        <v>3672</v>
      </c>
      <c r="F60" s="47"/>
      <c r="G60" s="31">
        <f>SUM(G8:G59)</f>
        <v>1138</v>
      </c>
      <c r="H60" s="73">
        <f>SUM(H8:H59)</f>
        <v>42</v>
      </c>
      <c r="I60" s="73">
        <f>SUM(I8:I59)</f>
        <v>42020</v>
      </c>
      <c r="J60" s="48">
        <f>SUM(J8:J59)</f>
        <v>24</v>
      </c>
      <c r="K60" s="49"/>
      <c r="L60" s="98">
        <f t="shared" ref="L60:S60" si="22">SUM(L8:L59)</f>
        <v>439</v>
      </c>
      <c r="M60" s="98">
        <f t="shared" si="22"/>
        <v>15</v>
      </c>
      <c r="N60" s="98">
        <f t="shared" si="22"/>
        <v>322</v>
      </c>
      <c r="O60" s="98">
        <f t="shared" si="22"/>
        <v>15</v>
      </c>
      <c r="P60" s="98">
        <f t="shared" si="22"/>
        <v>377</v>
      </c>
      <c r="Q60" s="99">
        <f t="shared" si="22"/>
        <v>12</v>
      </c>
      <c r="R60" s="127">
        <f t="shared" si="22"/>
        <v>1138</v>
      </c>
      <c r="S60" s="124">
        <f t="shared" si="22"/>
        <v>42</v>
      </c>
      <c r="T60" s="49"/>
      <c r="U60" s="46">
        <f>SUM(U8:U59)</f>
        <v>8616</v>
      </c>
      <c r="V60" s="176">
        <f>SUM(V8:V59)</f>
        <v>1138</v>
      </c>
      <c r="W60" s="156">
        <f>SUM(W8:W59)</f>
        <v>349368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146" t="s">
        <v>3</v>
      </c>
      <c r="D69" s="147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C943-9DF6-450B-B2D7-4B1F70F069CD}">
  <sheetPr>
    <pageSetUpPr fitToPage="1"/>
  </sheetPr>
  <dimension ref="A1:BF90"/>
  <sheetViews>
    <sheetView zoomScale="85" zoomScaleNormal="85" zoomScaleSheetLayoutView="55" zoomScalePageLayoutView="80" workbookViewId="0">
      <selection activeCell="C6" sqref="C6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294"/>
      <c r="Q1" s="295"/>
      <c r="R1" s="295"/>
      <c r="S1" s="295"/>
      <c r="T1" s="295"/>
      <c r="U1" s="295"/>
      <c r="V1" s="296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06"/>
    </row>
    <row r="5" spans="1:58" s="3" customFormat="1" ht="38.25" thickBot="1" x14ac:dyDescent="0.3">
      <c r="A5" s="53"/>
      <c r="B5" s="288"/>
      <c r="C5" s="297"/>
      <c r="D5" s="307"/>
      <c r="E5" s="52" t="s">
        <v>8</v>
      </c>
      <c r="F5" s="151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82</v>
      </c>
      <c r="V5" s="6" t="s">
        <v>6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ht="19.5" thickBot="1" x14ac:dyDescent="0.3">
      <c r="B6" s="10"/>
      <c r="C6" s="28"/>
      <c r="D6" s="70"/>
      <c r="E6" s="27"/>
      <c r="F6" s="27"/>
      <c r="G6" s="29"/>
      <c r="H6" s="72"/>
      <c r="I6" s="72"/>
      <c r="J6" s="30"/>
      <c r="K6" s="44"/>
      <c r="L6" s="27"/>
      <c r="M6" s="27"/>
      <c r="N6" s="27"/>
      <c r="O6" s="27"/>
      <c r="P6" s="27"/>
      <c r="Q6" s="84"/>
      <c r="R6" s="130"/>
      <c r="S6" s="125"/>
      <c r="T6" s="44"/>
      <c r="U6" s="28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ht="19.5" thickBot="1" x14ac:dyDescent="0.3">
      <c r="B7" s="10"/>
      <c r="C7" s="28"/>
      <c r="D7" s="70"/>
      <c r="E7" s="27"/>
      <c r="F7" s="27"/>
      <c r="G7" s="29"/>
      <c r="H7" s="72"/>
      <c r="I7" s="72"/>
      <c r="J7" s="30"/>
      <c r="K7" s="44"/>
      <c r="L7" s="27"/>
      <c r="M7" s="27"/>
      <c r="N7" s="27"/>
      <c r="O7" s="27"/>
      <c r="P7" s="27"/>
      <c r="Q7" s="84"/>
      <c r="R7" s="130"/>
      <c r="S7" s="125"/>
      <c r="T7" s="44"/>
      <c r="U7" s="28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ht="19.5" thickBot="1" x14ac:dyDescent="0.3">
      <c r="A8" s="3">
        <v>1</v>
      </c>
      <c r="B8" s="10" t="s">
        <v>46</v>
      </c>
      <c r="C8" s="100"/>
      <c r="D8" s="101"/>
      <c r="E8" s="91"/>
      <c r="F8" s="91"/>
      <c r="G8" s="102"/>
      <c r="H8" s="93"/>
      <c r="I8" s="93"/>
      <c r="J8" s="103"/>
      <c r="K8" s="44"/>
      <c r="L8" s="91"/>
      <c r="M8" s="91"/>
      <c r="N8" s="91"/>
      <c r="O8" s="91"/>
      <c r="P8" s="91"/>
      <c r="Q8" s="92"/>
      <c r="R8" s="128"/>
      <c r="S8" s="126"/>
      <c r="T8" s="44"/>
      <c r="U8" s="28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9" si="0">A8+1</f>
        <v>2</v>
      </c>
      <c r="B9" s="54" t="s">
        <v>49</v>
      </c>
      <c r="C9" s="104"/>
      <c r="D9" s="105"/>
      <c r="E9" s="106"/>
      <c r="F9" s="106"/>
      <c r="G9" s="107"/>
      <c r="H9" s="108"/>
      <c r="I9" s="116"/>
      <c r="J9" s="178"/>
      <c r="K9" s="64"/>
      <c r="L9" s="94"/>
      <c r="M9" s="94"/>
      <c r="N9" s="94"/>
      <c r="O9" s="94"/>
      <c r="P9" s="94"/>
      <c r="Q9" s="95"/>
      <c r="R9" s="163"/>
      <c r="S9" s="169"/>
      <c r="T9" s="64"/>
      <c r="U9" s="67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ht="19.5" thickBot="1" x14ac:dyDescent="0.3">
      <c r="A10" s="3">
        <f t="shared" si="0"/>
        <v>3</v>
      </c>
      <c r="B10" s="10" t="s">
        <v>47</v>
      </c>
      <c r="C10" s="100"/>
      <c r="D10" s="101"/>
      <c r="E10" s="91"/>
      <c r="F10" s="91"/>
      <c r="G10" s="102"/>
      <c r="H10" s="93"/>
      <c r="I10" s="159"/>
      <c r="J10" s="103"/>
      <c r="K10" s="44"/>
      <c r="L10" s="91"/>
      <c r="M10" s="91"/>
      <c r="N10" s="91"/>
      <c r="O10" s="91"/>
      <c r="P10" s="91"/>
      <c r="Q10" s="92"/>
      <c r="R10" s="162"/>
      <c r="S10" s="170"/>
      <c r="T10" s="44"/>
      <c r="U10" s="28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ht="19.5" thickBot="1" x14ac:dyDescent="0.3">
      <c r="A11" s="3">
        <f t="shared" si="0"/>
        <v>4</v>
      </c>
      <c r="B11" s="13" t="s">
        <v>50</v>
      </c>
      <c r="C11" s="100"/>
      <c r="D11" s="101"/>
      <c r="E11" s="91"/>
      <c r="F11" s="91"/>
      <c r="G11" s="102"/>
      <c r="H11" s="93"/>
      <c r="I11" s="93"/>
      <c r="J11" s="103"/>
      <c r="K11" s="44"/>
      <c r="L11" s="91"/>
      <c r="M11" s="91"/>
      <c r="N11" s="91"/>
      <c r="O11" s="91"/>
      <c r="P11" s="91"/>
      <c r="Q11" s="92"/>
      <c r="R11" s="128"/>
      <c r="S11" s="126"/>
      <c r="T11" s="44"/>
      <c r="U11" s="28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ht="19.5" thickBot="1" x14ac:dyDescent="0.3">
      <c r="A12" s="3">
        <f t="shared" si="0"/>
        <v>5</v>
      </c>
      <c r="B12" s="13" t="s">
        <v>48</v>
      </c>
      <c r="C12" s="100"/>
      <c r="D12" s="101"/>
      <c r="E12" s="91"/>
      <c r="F12" s="91"/>
      <c r="G12" s="102"/>
      <c r="H12" s="93"/>
      <c r="I12" s="93"/>
      <c r="J12" s="103"/>
      <c r="K12" s="44"/>
      <c r="L12" s="91"/>
      <c r="M12" s="91"/>
      <c r="N12" s="91"/>
      <c r="O12" s="91"/>
      <c r="P12" s="91"/>
      <c r="Q12" s="92"/>
      <c r="R12" s="128"/>
      <c r="S12" s="126"/>
      <c r="T12" s="44"/>
      <c r="U12" s="28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f t="shared" si="0"/>
        <v>6</v>
      </c>
      <c r="B13" s="54" t="s">
        <v>44</v>
      </c>
      <c r="C13" s="104"/>
      <c r="D13" s="105"/>
      <c r="E13" s="106"/>
      <c r="F13" s="106"/>
      <c r="G13" s="107"/>
      <c r="H13" s="108"/>
      <c r="I13" s="116"/>
      <c r="J13" s="178"/>
      <c r="K13" s="68"/>
      <c r="L13" s="94"/>
      <c r="M13" s="94"/>
      <c r="N13" s="94"/>
      <c r="O13" s="94"/>
      <c r="P13" s="94"/>
      <c r="Q13" s="95"/>
      <c r="R13" s="166"/>
      <c r="S13" s="165"/>
      <c r="T13" s="68"/>
      <c r="U13" s="67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ht="19.5" thickBot="1" x14ac:dyDescent="0.3">
      <c r="A14" s="3">
        <f t="shared" si="0"/>
        <v>7</v>
      </c>
      <c r="B14" s="10" t="s">
        <v>15</v>
      </c>
      <c r="C14" s="100"/>
      <c r="D14" s="101"/>
      <c r="E14" s="91"/>
      <c r="F14" s="91"/>
      <c r="G14" s="102"/>
      <c r="H14" s="93"/>
      <c r="I14" s="159"/>
      <c r="J14" s="103"/>
      <c r="K14" s="44"/>
      <c r="L14" s="91"/>
      <c r="M14" s="91"/>
      <c r="N14" s="91"/>
      <c r="O14" s="91"/>
      <c r="P14" s="91"/>
      <c r="Q14" s="92"/>
      <c r="R14" s="167"/>
      <c r="S14" s="164"/>
      <c r="T14" s="44"/>
      <c r="U14" s="28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ht="19.5" thickBot="1" x14ac:dyDescent="0.3">
      <c r="A15" s="3">
        <f t="shared" si="0"/>
        <v>8</v>
      </c>
      <c r="B15" s="13" t="s">
        <v>16</v>
      </c>
      <c r="C15" s="100"/>
      <c r="D15" s="101"/>
      <c r="E15" s="91"/>
      <c r="F15" s="91"/>
      <c r="G15" s="102"/>
      <c r="H15" s="93"/>
      <c r="I15" s="93"/>
      <c r="J15" s="103"/>
      <c r="K15" s="44"/>
      <c r="L15" s="91"/>
      <c r="M15" s="91"/>
      <c r="N15" s="91"/>
      <c r="O15" s="91"/>
      <c r="P15" s="91"/>
      <c r="Q15" s="92"/>
      <c r="R15" s="128"/>
      <c r="S15" s="126"/>
      <c r="T15" s="44"/>
      <c r="U15" s="28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9.5" thickBot="1" x14ac:dyDescent="0.3">
      <c r="A16" s="3">
        <f t="shared" si="0"/>
        <v>9</v>
      </c>
      <c r="B16" s="13" t="s">
        <v>17</v>
      </c>
      <c r="C16" s="100"/>
      <c r="D16" s="101"/>
      <c r="E16" s="91"/>
      <c r="F16" s="91"/>
      <c r="G16" s="102"/>
      <c r="H16" s="93"/>
      <c r="I16" s="93"/>
      <c r="J16" s="103"/>
      <c r="K16" s="44"/>
      <c r="L16" s="91"/>
      <c r="M16" s="91"/>
      <c r="N16" s="91"/>
      <c r="O16" s="91"/>
      <c r="P16" s="91"/>
      <c r="Q16" s="92"/>
      <c r="R16" s="128"/>
      <c r="S16" s="126"/>
      <c r="T16" s="44"/>
      <c r="U16" s="28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ht="19.5" thickBot="1" x14ac:dyDescent="0.3">
      <c r="A17" s="3">
        <f t="shared" si="0"/>
        <v>10</v>
      </c>
      <c r="B17" s="13" t="s">
        <v>18</v>
      </c>
      <c r="C17" s="100"/>
      <c r="D17" s="101"/>
      <c r="E17" s="91"/>
      <c r="F17" s="91"/>
      <c r="G17" s="102"/>
      <c r="H17" s="93"/>
      <c r="I17" s="93"/>
      <c r="J17" s="103"/>
      <c r="K17" s="44"/>
      <c r="L17" s="91"/>
      <c r="M17" s="91"/>
      <c r="N17" s="91"/>
      <c r="O17" s="91"/>
      <c r="P17" s="91"/>
      <c r="Q17" s="92"/>
      <c r="R17" s="128"/>
      <c r="S17" s="126"/>
      <c r="T17" s="44"/>
      <c r="U17" s="28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ht="19.5" thickBot="1" x14ac:dyDescent="0.3">
      <c r="A18" s="3">
        <f t="shared" si="0"/>
        <v>11</v>
      </c>
      <c r="B18" s="13" t="s">
        <v>19</v>
      </c>
      <c r="C18" s="100"/>
      <c r="D18" s="101"/>
      <c r="E18" s="91"/>
      <c r="F18" s="91"/>
      <c r="G18" s="102"/>
      <c r="H18" s="93"/>
      <c r="I18" s="93"/>
      <c r="J18" s="103"/>
      <c r="K18" s="44"/>
      <c r="L18" s="91"/>
      <c r="M18" s="91"/>
      <c r="N18" s="91"/>
      <c r="O18" s="91"/>
      <c r="P18" s="91"/>
      <c r="Q18" s="92"/>
      <c r="R18" s="128"/>
      <c r="S18" s="126"/>
      <c r="T18" s="44"/>
      <c r="U18" s="28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0"/>
        <v>12</v>
      </c>
      <c r="B19" s="13" t="s">
        <v>23</v>
      </c>
      <c r="C19" s="100"/>
      <c r="D19" s="101"/>
      <c r="E19" s="91"/>
      <c r="F19" s="91"/>
      <c r="G19" s="102"/>
      <c r="H19" s="93"/>
      <c r="I19" s="93"/>
      <c r="J19" s="103"/>
      <c r="K19" s="44"/>
      <c r="L19" s="91"/>
      <c r="M19" s="91"/>
      <c r="N19" s="91"/>
      <c r="O19" s="91"/>
      <c r="P19" s="91"/>
      <c r="Q19" s="92"/>
      <c r="R19" s="128"/>
      <c r="S19" s="126"/>
      <c r="T19" s="44"/>
      <c r="U19" s="28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ht="19.5" thickBot="1" x14ac:dyDescent="0.3">
      <c r="A20" s="3">
        <f t="shared" si="0"/>
        <v>13</v>
      </c>
      <c r="B20" s="13" t="s">
        <v>67</v>
      </c>
      <c r="C20" s="100"/>
      <c r="D20" s="101"/>
      <c r="E20" s="91"/>
      <c r="F20" s="91"/>
      <c r="G20" s="102"/>
      <c r="H20" s="93"/>
      <c r="I20" s="93"/>
      <c r="J20" s="103"/>
      <c r="K20" s="44"/>
      <c r="L20" s="91"/>
      <c r="M20" s="91"/>
      <c r="N20" s="91"/>
      <c r="O20" s="91"/>
      <c r="P20" s="91"/>
      <c r="Q20" s="92"/>
      <c r="R20" s="128"/>
      <c r="S20" s="126"/>
      <c r="T20" s="44"/>
      <c r="U20" s="28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ht="19.5" thickBot="1" x14ac:dyDescent="0.3">
      <c r="A21" s="3">
        <f t="shared" si="0"/>
        <v>14</v>
      </c>
      <c r="B21" s="13" t="s">
        <v>20</v>
      </c>
      <c r="C21" s="100"/>
      <c r="D21" s="101"/>
      <c r="E21" s="91"/>
      <c r="F21" s="91"/>
      <c r="G21" s="102"/>
      <c r="H21" s="93"/>
      <c r="I21" s="93"/>
      <c r="J21" s="103"/>
      <c r="K21" s="44"/>
      <c r="L21" s="91"/>
      <c r="M21" s="91"/>
      <c r="N21" s="91"/>
      <c r="O21" s="91"/>
      <c r="P21" s="91"/>
      <c r="Q21" s="92"/>
      <c r="R21" s="128"/>
      <c r="S21" s="126"/>
      <c r="T21" s="44"/>
      <c r="U21" s="28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ht="19.5" thickBot="1" x14ac:dyDescent="0.3">
      <c r="A22" s="3">
        <f t="shared" si="0"/>
        <v>15</v>
      </c>
      <c r="B22" s="13" t="s">
        <v>21</v>
      </c>
      <c r="C22" s="100"/>
      <c r="D22" s="101"/>
      <c r="E22" s="91"/>
      <c r="F22" s="91"/>
      <c r="G22" s="102"/>
      <c r="H22" s="93"/>
      <c r="I22" s="93"/>
      <c r="J22" s="103"/>
      <c r="K22" s="44"/>
      <c r="L22" s="91"/>
      <c r="M22" s="91"/>
      <c r="N22" s="91"/>
      <c r="O22" s="91"/>
      <c r="P22" s="91"/>
      <c r="Q22" s="92"/>
      <c r="R22" s="128"/>
      <c r="S22" s="126"/>
      <c r="T22" s="44"/>
      <c r="U22" s="28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ht="19.5" thickBot="1" x14ac:dyDescent="0.3">
      <c r="A23" s="3">
        <f t="shared" si="0"/>
        <v>16</v>
      </c>
      <c r="B23" s="13" t="s">
        <v>68</v>
      </c>
      <c r="C23" s="100"/>
      <c r="D23" s="101"/>
      <c r="E23" s="91"/>
      <c r="F23" s="91"/>
      <c r="G23" s="102"/>
      <c r="H23" s="93"/>
      <c r="I23" s="93"/>
      <c r="J23" s="103"/>
      <c r="K23" s="45"/>
      <c r="L23" s="91"/>
      <c r="M23" s="91"/>
      <c r="N23" s="91"/>
      <c r="O23" s="91"/>
      <c r="P23" s="91"/>
      <c r="Q23" s="92"/>
      <c r="R23" s="128"/>
      <c r="S23" s="126"/>
      <c r="T23" s="45"/>
      <c r="U23" s="28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ht="19.5" thickBot="1" x14ac:dyDescent="0.3">
      <c r="A24" s="3">
        <f t="shared" si="0"/>
        <v>17</v>
      </c>
      <c r="B24" s="13" t="s">
        <v>69</v>
      </c>
      <c r="C24" s="100"/>
      <c r="D24" s="101"/>
      <c r="E24" s="91"/>
      <c r="F24" s="91"/>
      <c r="G24" s="102"/>
      <c r="H24" s="93"/>
      <c r="I24" s="93"/>
      <c r="J24" s="103"/>
      <c r="K24" s="45"/>
      <c r="L24" s="91"/>
      <c r="M24" s="91"/>
      <c r="N24" s="91"/>
      <c r="O24" s="91"/>
      <c r="P24" s="91"/>
      <c r="Q24" s="92"/>
      <c r="R24" s="128"/>
      <c r="S24" s="126"/>
      <c r="T24" s="45"/>
      <c r="U24" s="28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ht="19.5" thickBot="1" x14ac:dyDescent="0.3">
      <c r="A25" s="3">
        <f t="shared" si="0"/>
        <v>18</v>
      </c>
      <c r="B25" s="13" t="s">
        <v>70</v>
      </c>
      <c r="C25" s="100"/>
      <c r="D25" s="101"/>
      <c r="E25" s="91"/>
      <c r="F25" s="91"/>
      <c r="G25" s="102"/>
      <c r="H25" s="93"/>
      <c r="I25" s="93"/>
      <c r="J25" s="103"/>
      <c r="K25" s="44"/>
      <c r="L25" s="91"/>
      <c r="M25" s="91"/>
      <c r="N25" s="91"/>
      <c r="O25" s="91"/>
      <c r="P25" s="91"/>
      <c r="Q25" s="92"/>
      <c r="R25" s="128"/>
      <c r="S25" s="126"/>
      <c r="T25" s="44"/>
      <c r="U25" s="28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ht="19.5" thickBot="1" x14ac:dyDescent="0.3">
      <c r="A26" s="3">
        <f t="shared" si="0"/>
        <v>19</v>
      </c>
      <c r="B26" s="13" t="s">
        <v>22</v>
      </c>
      <c r="C26" s="100"/>
      <c r="D26" s="101"/>
      <c r="E26" s="91"/>
      <c r="F26" s="91"/>
      <c r="G26" s="102"/>
      <c r="H26" s="93"/>
      <c r="I26" s="93"/>
      <c r="J26" s="103"/>
      <c r="K26" s="44"/>
      <c r="L26" s="91"/>
      <c r="M26" s="91"/>
      <c r="N26" s="91"/>
      <c r="O26" s="91"/>
      <c r="P26" s="91"/>
      <c r="Q26" s="92"/>
      <c r="R26" s="128"/>
      <c r="S26" s="126"/>
      <c r="T26" s="44"/>
      <c r="U26" s="28"/>
      <c r="V26" s="30"/>
      <c r="BC26" s="14" t="e">
        <f>#REF!-BC25</f>
        <v>#REF!</v>
      </c>
    </row>
    <row r="27" spans="1:58" s="1" customFormat="1" ht="19.5" thickBot="1" x14ac:dyDescent="0.3">
      <c r="A27" s="3">
        <f t="shared" si="0"/>
        <v>20</v>
      </c>
      <c r="B27" s="13" t="s">
        <v>24</v>
      </c>
      <c r="C27" s="100"/>
      <c r="D27" s="101"/>
      <c r="E27" s="91"/>
      <c r="F27" s="91"/>
      <c r="G27" s="102"/>
      <c r="H27" s="93"/>
      <c r="I27" s="93"/>
      <c r="J27" s="103"/>
      <c r="K27" s="45"/>
      <c r="L27" s="91"/>
      <c r="M27" s="91"/>
      <c r="N27" s="91"/>
      <c r="O27" s="91"/>
      <c r="P27" s="91"/>
      <c r="Q27" s="92"/>
      <c r="R27" s="128"/>
      <c r="S27" s="126"/>
      <c r="T27" s="45"/>
      <c r="U27" s="28"/>
      <c r="V27" s="30"/>
      <c r="W27" s="2"/>
      <c r="AB27" s="2"/>
      <c r="AE27" s="2"/>
      <c r="AF27" s="2"/>
      <c r="AG27" s="2"/>
      <c r="AH27" s="2"/>
      <c r="AI27" s="2"/>
    </row>
    <row r="28" spans="1:58" s="1" customFormat="1" ht="19.5" thickBot="1" x14ac:dyDescent="0.3">
      <c r="A28" s="3">
        <f t="shared" si="0"/>
        <v>21</v>
      </c>
      <c r="B28" s="13" t="s">
        <v>77</v>
      </c>
      <c r="C28" s="100"/>
      <c r="D28" s="101"/>
      <c r="E28" s="91"/>
      <c r="F28" s="91"/>
      <c r="G28" s="102"/>
      <c r="H28" s="93"/>
      <c r="I28" s="93"/>
      <c r="J28" s="103"/>
      <c r="K28" s="45"/>
      <c r="L28" s="91"/>
      <c r="M28" s="91"/>
      <c r="N28" s="91"/>
      <c r="O28" s="91"/>
      <c r="P28" s="91"/>
      <c r="Q28" s="92"/>
      <c r="R28" s="128"/>
      <c r="S28" s="126"/>
      <c r="T28" s="45"/>
      <c r="U28" s="28"/>
      <c r="V28" s="30"/>
      <c r="W28" s="2"/>
      <c r="AB28" s="2"/>
      <c r="AE28" s="2"/>
      <c r="AF28" s="2"/>
      <c r="AG28" s="2"/>
      <c r="AH28" s="2"/>
      <c r="AI28" s="2"/>
    </row>
    <row r="29" spans="1:58" s="1" customFormat="1" ht="19.5" thickBot="1" x14ac:dyDescent="0.3">
      <c r="A29" s="3">
        <f t="shared" si="0"/>
        <v>22</v>
      </c>
      <c r="B29" s="13" t="s">
        <v>25</v>
      </c>
      <c r="C29" s="100"/>
      <c r="D29" s="101"/>
      <c r="E29" s="91"/>
      <c r="F29" s="91"/>
      <c r="G29" s="102"/>
      <c r="H29" s="93"/>
      <c r="I29" s="93"/>
      <c r="J29" s="103"/>
      <c r="K29" s="45"/>
      <c r="L29" s="91"/>
      <c r="M29" s="91"/>
      <c r="N29" s="91"/>
      <c r="O29" s="91"/>
      <c r="P29" s="91"/>
      <c r="Q29" s="92"/>
      <c r="R29" s="128"/>
      <c r="S29" s="126"/>
      <c r="T29" s="45"/>
      <c r="U29" s="28"/>
      <c r="V29" s="30"/>
      <c r="W29" s="2"/>
      <c r="AB29" s="2"/>
      <c r="AE29" s="2"/>
      <c r="AF29" s="2"/>
      <c r="AG29" s="2"/>
      <c r="AH29" s="2"/>
      <c r="AI29" s="2"/>
    </row>
    <row r="30" spans="1:58" ht="19.5" thickBot="1" x14ac:dyDescent="0.3">
      <c r="A30" s="3">
        <f t="shared" si="0"/>
        <v>23</v>
      </c>
      <c r="B30" s="13" t="s">
        <v>27</v>
      </c>
      <c r="C30" s="100"/>
      <c r="D30" s="101"/>
      <c r="E30" s="91"/>
      <c r="F30" s="91"/>
      <c r="G30" s="102"/>
      <c r="H30" s="93"/>
      <c r="I30" s="93"/>
      <c r="J30" s="103"/>
      <c r="K30" s="44"/>
      <c r="L30" s="91"/>
      <c r="M30" s="91"/>
      <c r="N30" s="91"/>
      <c r="O30" s="91"/>
      <c r="P30" s="91"/>
      <c r="Q30" s="92"/>
      <c r="R30" s="128"/>
      <c r="S30" s="126"/>
      <c r="T30" s="44"/>
      <c r="U30" s="28"/>
      <c r="V30" s="30"/>
    </row>
    <row r="31" spans="1:58" ht="19.5" thickBot="1" x14ac:dyDescent="0.3">
      <c r="A31" s="3">
        <f t="shared" si="0"/>
        <v>24</v>
      </c>
      <c r="B31" s="13" t="s">
        <v>29</v>
      </c>
      <c r="C31" s="100"/>
      <c r="D31" s="101"/>
      <c r="E31" s="91"/>
      <c r="F31" s="91"/>
      <c r="G31" s="102"/>
      <c r="H31" s="93"/>
      <c r="I31" s="93"/>
      <c r="J31" s="103"/>
      <c r="K31" s="44"/>
      <c r="L31" s="91"/>
      <c r="M31" s="91"/>
      <c r="N31" s="91"/>
      <c r="O31" s="91"/>
      <c r="P31" s="91"/>
      <c r="Q31" s="92"/>
      <c r="R31" s="128"/>
      <c r="S31" s="126"/>
      <c r="T31" s="44"/>
      <c r="U31" s="28"/>
      <c r="V31" s="30"/>
    </row>
    <row r="32" spans="1:58" ht="19.5" thickBot="1" x14ac:dyDescent="0.3">
      <c r="A32" s="3">
        <f t="shared" si="0"/>
        <v>25</v>
      </c>
      <c r="B32" s="13" t="s">
        <v>26</v>
      </c>
      <c r="C32" s="100"/>
      <c r="D32" s="101"/>
      <c r="E32" s="91"/>
      <c r="F32" s="91"/>
      <c r="G32" s="102"/>
      <c r="H32" s="93"/>
      <c r="I32" s="93"/>
      <c r="J32" s="103"/>
      <c r="K32" s="44"/>
      <c r="L32" s="91"/>
      <c r="M32" s="91"/>
      <c r="N32" s="91"/>
      <c r="O32" s="91"/>
      <c r="P32" s="91"/>
      <c r="Q32" s="92"/>
      <c r="R32" s="128"/>
      <c r="S32" s="126"/>
      <c r="T32" s="44"/>
      <c r="U32" s="28"/>
      <c r="V32" s="30"/>
    </row>
    <row r="33" spans="1:24" ht="19.5" thickBot="1" x14ac:dyDescent="0.3">
      <c r="A33" s="3">
        <f t="shared" si="0"/>
        <v>26</v>
      </c>
      <c r="B33" s="13" t="s">
        <v>28</v>
      </c>
      <c r="C33" s="100"/>
      <c r="D33" s="101"/>
      <c r="E33" s="91"/>
      <c r="F33" s="91"/>
      <c r="G33" s="102"/>
      <c r="H33" s="93"/>
      <c r="I33" s="93"/>
      <c r="J33" s="103"/>
      <c r="K33" s="44"/>
      <c r="L33" s="91"/>
      <c r="M33" s="91"/>
      <c r="N33" s="91"/>
      <c r="O33" s="91"/>
      <c r="P33" s="91"/>
      <c r="Q33" s="92"/>
      <c r="R33" s="128"/>
      <c r="S33" s="126"/>
      <c r="T33" s="44"/>
      <c r="U33" s="28"/>
      <c r="V33" s="30"/>
    </row>
    <row r="34" spans="1:24" ht="19.5" thickBot="1" x14ac:dyDescent="0.3">
      <c r="A34" s="3">
        <f t="shared" si="0"/>
        <v>27</v>
      </c>
      <c r="B34" s="13" t="s">
        <v>30</v>
      </c>
      <c r="C34" s="100"/>
      <c r="D34" s="101"/>
      <c r="E34" s="91"/>
      <c r="F34" s="91"/>
      <c r="G34" s="102"/>
      <c r="H34" s="93"/>
      <c r="I34" s="93"/>
      <c r="J34" s="103"/>
      <c r="K34" s="44"/>
      <c r="L34" s="91"/>
      <c r="M34" s="91"/>
      <c r="N34" s="91"/>
      <c r="O34" s="91"/>
      <c r="P34" s="91"/>
      <c r="Q34" s="92"/>
      <c r="R34" s="128"/>
      <c r="S34" s="126"/>
      <c r="T34" s="44"/>
      <c r="U34" s="28"/>
      <c r="V34" s="30"/>
    </row>
    <row r="35" spans="1:24" ht="19.5" thickBot="1" x14ac:dyDescent="0.3">
      <c r="A35" s="3">
        <f t="shared" si="0"/>
        <v>28</v>
      </c>
      <c r="B35" s="13" t="s">
        <v>31</v>
      </c>
      <c r="C35" s="100"/>
      <c r="D35" s="101"/>
      <c r="E35" s="91"/>
      <c r="F35" s="91"/>
      <c r="G35" s="102"/>
      <c r="H35" s="93"/>
      <c r="I35" s="93"/>
      <c r="J35" s="103"/>
      <c r="K35" s="44"/>
      <c r="L35" s="91"/>
      <c r="M35" s="91"/>
      <c r="N35" s="91"/>
      <c r="O35" s="91"/>
      <c r="P35" s="91"/>
      <c r="Q35" s="92"/>
      <c r="R35" s="128"/>
      <c r="S35" s="126"/>
      <c r="T35" s="44"/>
      <c r="U35" s="28"/>
      <c r="V35" s="30"/>
    </row>
    <row r="36" spans="1:24" ht="18.75" hidden="1" customHeight="1" x14ac:dyDescent="0.25">
      <c r="A36" s="3">
        <f t="shared" si="0"/>
        <v>29</v>
      </c>
      <c r="B36" s="13" t="s">
        <v>39</v>
      </c>
      <c r="C36" s="100"/>
      <c r="D36" s="101"/>
      <c r="E36" s="91"/>
      <c r="F36" s="91"/>
      <c r="G36" s="102"/>
      <c r="H36" s="93"/>
      <c r="I36" s="93"/>
      <c r="J36" s="103"/>
      <c r="K36" s="44"/>
      <c r="L36" s="91"/>
      <c r="M36" s="91"/>
      <c r="N36" s="91"/>
      <c r="O36" s="91"/>
      <c r="P36" s="91"/>
      <c r="Q36" s="92"/>
      <c r="R36" s="128"/>
      <c r="S36" s="126"/>
      <c r="T36" s="44"/>
      <c r="U36" s="28"/>
      <c r="V36" s="30"/>
    </row>
    <row r="37" spans="1:24" ht="18.75" customHeight="1" thickBot="1" x14ac:dyDescent="0.3">
      <c r="A37" s="3">
        <f t="shared" si="0"/>
        <v>30</v>
      </c>
      <c r="B37" s="13" t="s">
        <v>32</v>
      </c>
      <c r="C37" s="100"/>
      <c r="D37" s="101"/>
      <c r="E37" s="91"/>
      <c r="F37" s="91"/>
      <c r="G37" s="102"/>
      <c r="H37" s="93"/>
      <c r="I37" s="93"/>
      <c r="J37" s="103"/>
      <c r="K37" s="44"/>
      <c r="L37" s="91"/>
      <c r="M37" s="91"/>
      <c r="N37" s="91"/>
      <c r="O37" s="91"/>
      <c r="P37" s="91"/>
      <c r="Q37" s="92"/>
      <c r="R37" s="128"/>
      <c r="S37" s="126"/>
      <c r="T37" s="44"/>
      <c r="U37" s="28"/>
      <c r="V37" s="30"/>
    </row>
    <row r="38" spans="1:24" ht="19.5" thickBot="1" x14ac:dyDescent="0.3">
      <c r="A38" s="3">
        <f t="shared" si="0"/>
        <v>31</v>
      </c>
      <c r="B38" s="54" t="s">
        <v>33</v>
      </c>
      <c r="C38" s="104"/>
      <c r="D38" s="105"/>
      <c r="E38" s="106"/>
      <c r="F38" s="106"/>
      <c r="G38" s="107"/>
      <c r="H38" s="108"/>
      <c r="I38" s="116"/>
      <c r="J38" s="160"/>
      <c r="K38" s="64"/>
      <c r="L38" s="94"/>
      <c r="M38" s="94"/>
      <c r="N38" s="94"/>
      <c r="O38" s="94"/>
      <c r="P38" s="94"/>
      <c r="Q38" s="95"/>
      <c r="R38" s="166"/>
      <c r="S38" s="169"/>
      <c r="T38" s="64"/>
      <c r="U38" s="67"/>
      <c r="V38" s="66"/>
    </row>
    <row r="39" spans="1:24" ht="19.5" thickBot="1" x14ac:dyDescent="0.3">
      <c r="A39" s="3">
        <f t="shared" si="0"/>
        <v>32</v>
      </c>
      <c r="B39" s="10" t="s">
        <v>34</v>
      </c>
      <c r="C39" s="100"/>
      <c r="D39" s="101"/>
      <c r="E39" s="91"/>
      <c r="F39" s="91"/>
      <c r="G39" s="102"/>
      <c r="H39" s="93"/>
      <c r="I39" s="159"/>
      <c r="J39" s="161"/>
      <c r="K39" s="44"/>
      <c r="L39" s="91"/>
      <c r="M39" s="91"/>
      <c r="N39" s="91"/>
      <c r="O39" s="91"/>
      <c r="P39" s="91"/>
      <c r="Q39" s="92"/>
      <c r="R39" s="167"/>
      <c r="S39" s="170"/>
      <c r="T39" s="44"/>
      <c r="U39" s="28"/>
      <c r="V39" s="30"/>
    </row>
    <row r="40" spans="1:24" ht="19.5" thickBot="1" x14ac:dyDescent="0.3">
      <c r="A40" s="3">
        <f t="shared" si="0"/>
        <v>33</v>
      </c>
      <c r="B40" s="117" t="s">
        <v>76</v>
      </c>
      <c r="C40" s="118"/>
      <c r="D40" s="119"/>
      <c r="E40" s="120"/>
      <c r="F40" s="120"/>
      <c r="G40" s="121"/>
      <c r="H40" s="116"/>
      <c r="I40" s="93"/>
      <c r="J40" s="103"/>
      <c r="K40" s="44"/>
      <c r="L40" s="91"/>
      <c r="M40" s="91"/>
      <c r="N40" s="91"/>
      <c r="O40" s="91"/>
      <c r="P40" s="91"/>
      <c r="Q40" s="92"/>
      <c r="R40" s="128"/>
      <c r="S40" s="126"/>
      <c r="T40" s="44"/>
      <c r="U40" s="28"/>
      <c r="V40" s="30"/>
    </row>
    <row r="41" spans="1:24" ht="19.5" thickBot="1" x14ac:dyDescent="0.3">
      <c r="A41" s="3">
        <f t="shared" si="0"/>
        <v>34</v>
      </c>
      <c r="B41" s="54" t="s">
        <v>35</v>
      </c>
      <c r="C41" s="104"/>
      <c r="D41" s="105"/>
      <c r="E41" s="106"/>
      <c r="F41" s="106"/>
      <c r="G41" s="107"/>
      <c r="H41" s="108"/>
      <c r="I41" s="116"/>
      <c r="J41" s="160"/>
      <c r="K41" s="64"/>
      <c r="L41" s="91"/>
      <c r="M41" s="91"/>
      <c r="N41" s="91"/>
      <c r="O41" s="91"/>
      <c r="P41" s="91"/>
      <c r="Q41" s="92"/>
      <c r="R41" s="163"/>
      <c r="S41" s="169"/>
      <c r="T41" s="64"/>
      <c r="U41" s="67"/>
      <c r="V41" s="66"/>
    </row>
    <row r="42" spans="1:24" ht="19.5" thickBot="1" x14ac:dyDescent="0.3">
      <c r="A42" s="3">
        <f t="shared" si="0"/>
        <v>35</v>
      </c>
      <c r="B42" s="59" t="s">
        <v>36</v>
      </c>
      <c r="C42" s="109"/>
      <c r="D42" s="110"/>
      <c r="E42" s="96"/>
      <c r="F42" s="96"/>
      <c r="G42" s="111"/>
      <c r="H42" s="112"/>
      <c r="I42" s="159"/>
      <c r="J42" s="173"/>
      <c r="K42" s="69"/>
      <c r="L42" s="96"/>
      <c r="M42" s="96"/>
      <c r="N42" s="96"/>
      <c r="O42" s="96"/>
      <c r="P42" s="96"/>
      <c r="Q42" s="97"/>
      <c r="R42" s="162"/>
      <c r="S42" s="172"/>
      <c r="T42" s="69"/>
      <c r="U42" s="60"/>
      <c r="V42" s="63"/>
    </row>
    <row r="43" spans="1:24" ht="18.75" hidden="1" customHeight="1" x14ac:dyDescent="0.3">
      <c r="A43" s="3">
        <f t="shared" si="0"/>
        <v>36</v>
      </c>
      <c r="B43" s="10" t="s">
        <v>43</v>
      </c>
      <c r="C43" s="100"/>
      <c r="D43" s="101"/>
      <c r="E43" s="91"/>
      <c r="F43" s="91"/>
      <c r="G43" s="102"/>
      <c r="H43" s="93"/>
      <c r="I43" s="116"/>
      <c r="J43" s="103"/>
      <c r="K43" s="44"/>
      <c r="L43" s="91"/>
      <c r="M43" s="91"/>
      <c r="N43" s="91"/>
      <c r="O43" s="91"/>
      <c r="P43" s="91"/>
      <c r="Q43" s="92"/>
      <c r="R43" s="166"/>
      <c r="S43" s="171"/>
      <c r="T43" s="44"/>
      <c r="U43" s="28"/>
      <c r="V43" s="30"/>
    </row>
    <row r="44" spans="1:24" ht="19.5" thickBot="1" x14ac:dyDescent="0.3">
      <c r="A44" s="3">
        <f t="shared" si="0"/>
        <v>37</v>
      </c>
      <c r="B44" s="54" t="s">
        <v>37</v>
      </c>
      <c r="C44" s="104"/>
      <c r="D44" s="105"/>
      <c r="E44" s="106"/>
      <c r="F44" s="106"/>
      <c r="G44" s="107"/>
      <c r="H44" s="108"/>
      <c r="I44" s="159"/>
      <c r="J44" s="103"/>
      <c r="K44" s="64"/>
      <c r="L44" s="94"/>
      <c r="M44" s="94"/>
      <c r="N44" s="94"/>
      <c r="O44" s="94"/>
      <c r="P44" s="94"/>
      <c r="Q44" s="95"/>
      <c r="R44" s="167"/>
      <c r="S44" s="172"/>
      <c r="T44" s="64"/>
      <c r="U44" s="67"/>
      <c r="V44" s="66"/>
      <c r="X44" s="50"/>
    </row>
    <row r="45" spans="1:24" ht="18.75" hidden="1" customHeight="1" x14ac:dyDescent="0.3">
      <c r="A45" s="3">
        <f t="shared" si="0"/>
        <v>38</v>
      </c>
      <c r="B45" s="10" t="s">
        <v>45</v>
      </c>
      <c r="C45" s="100"/>
      <c r="D45" s="101"/>
      <c r="E45" s="91"/>
      <c r="F45" s="91"/>
      <c r="G45" s="102"/>
      <c r="H45" s="93"/>
      <c r="I45" s="116"/>
      <c r="J45" s="160"/>
      <c r="K45" s="44"/>
      <c r="L45" s="91"/>
      <c r="M45" s="91"/>
      <c r="N45" s="91"/>
      <c r="O45" s="91"/>
      <c r="P45" s="91"/>
      <c r="Q45" s="92"/>
      <c r="R45" s="166"/>
      <c r="S45" s="171"/>
      <c r="T45" s="44"/>
      <c r="U45" s="28"/>
      <c r="V45" s="30"/>
    </row>
    <row r="46" spans="1:24" ht="19.5" thickBot="1" x14ac:dyDescent="0.3">
      <c r="A46" s="3">
        <f t="shared" si="0"/>
        <v>39</v>
      </c>
      <c r="B46" s="13" t="s">
        <v>38</v>
      </c>
      <c r="C46" s="100"/>
      <c r="D46" s="101"/>
      <c r="E46" s="91"/>
      <c r="F46" s="91"/>
      <c r="G46" s="102"/>
      <c r="H46" s="93"/>
      <c r="I46" s="159"/>
      <c r="J46" s="161"/>
      <c r="K46" s="44"/>
      <c r="L46" s="91"/>
      <c r="M46" s="91"/>
      <c r="N46" s="91"/>
      <c r="O46" s="91"/>
      <c r="P46" s="91"/>
      <c r="Q46" s="92"/>
      <c r="R46" s="167"/>
      <c r="S46" s="170"/>
      <c r="T46" s="44"/>
      <c r="U46" s="28"/>
      <c r="V46" s="30"/>
    </row>
    <row r="47" spans="1:24" ht="19.5" thickBot="1" x14ac:dyDescent="0.3">
      <c r="A47" s="3">
        <f t="shared" si="0"/>
        <v>40</v>
      </c>
      <c r="B47" s="13" t="s">
        <v>71</v>
      </c>
      <c r="C47" s="100"/>
      <c r="D47" s="101"/>
      <c r="E47" s="91"/>
      <c r="F47" s="91"/>
      <c r="G47" s="102"/>
      <c r="H47" s="93"/>
      <c r="I47" s="93"/>
      <c r="J47" s="103"/>
      <c r="K47" s="44"/>
      <c r="L47" s="91"/>
      <c r="M47" s="91"/>
      <c r="N47" s="91"/>
      <c r="O47" s="91"/>
      <c r="P47" s="91"/>
      <c r="Q47" s="92"/>
      <c r="R47" s="128"/>
      <c r="S47" s="126"/>
      <c r="T47" s="44"/>
      <c r="U47" s="28"/>
      <c r="V47" s="30"/>
    </row>
    <row r="48" spans="1:24" ht="19.5" thickBot="1" x14ac:dyDescent="0.3">
      <c r="A48" s="3">
        <f t="shared" si="0"/>
        <v>41</v>
      </c>
      <c r="B48" s="13" t="s">
        <v>39</v>
      </c>
      <c r="C48" s="100"/>
      <c r="D48" s="101"/>
      <c r="E48" s="91"/>
      <c r="F48" s="91"/>
      <c r="G48" s="102"/>
      <c r="H48" s="93"/>
      <c r="I48" s="93"/>
      <c r="J48" s="103"/>
      <c r="K48" s="44"/>
      <c r="L48" s="91"/>
      <c r="M48" s="91"/>
      <c r="N48" s="91"/>
      <c r="O48" s="91"/>
      <c r="P48" s="91"/>
      <c r="Q48" s="92"/>
      <c r="R48" s="128"/>
      <c r="S48" s="126"/>
      <c r="T48" s="44"/>
      <c r="U48" s="28"/>
      <c r="V48" s="30"/>
    </row>
    <row r="49" spans="1:22" ht="19.5" thickBot="1" x14ac:dyDescent="0.3">
      <c r="A49" s="3">
        <f t="shared" si="0"/>
        <v>42</v>
      </c>
      <c r="B49" s="13" t="s">
        <v>72</v>
      </c>
      <c r="C49" s="100"/>
      <c r="D49" s="101"/>
      <c r="E49" s="91"/>
      <c r="F49" s="91"/>
      <c r="G49" s="102"/>
      <c r="H49" s="93"/>
      <c r="I49" s="93"/>
      <c r="J49" s="103"/>
      <c r="K49" s="44"/>
      <c r="L49" s="91"/>
      <c r="M49" s="91"/>
      <c r="N49" s="91"/>
      <c r="O49" s="91"/>
      <c r="P49" s="91"/>
      <c r="Q49" s="92"/>
      <c r="R49" s="128"/>
      <c r="S49" s="126"/>
      <c r="T49" s="44"/>
      <c r="U49" s="28"/>
      <c r="V49" s="30"/>
    </row>
    <row r="50" spans="1:22" ht="19.5" thickBot="1" x14ac:dyDescent="0.3">
      <c r="A50" s="3">
        <f t="shared" si="0"/>
        <v>43</v>
      </c>
      <c r="B50" s="13" t="s">
        <v>40</v>
      </c>
      <c r="C50" s="100"/>
      <c r="D50" s="101"/>
      <c r="E50" s="91"/>
      <c r="F50" s="91"/>
      <c r="G50" s="102"/>
      <c r="H50" s="93"/>
      <c r="I50" s="93"/>
      <c r="J50" s="103"/>
      <c r="K50" s="44"/>
      <c r="L50" s="91"/>
      <c r="M50" s="91"/>
      <c r="N50" s="91"/>
      <c r="O50" s="91"/>
      <c r="P50" s="91"/>
      <c r="Q50" s="92"/>
      <c r="R50" s="128"/>
      <c r="S50" s="126"/>
      <c r="T50" s="44"/>
      <c r="U50" s="28"/>
      <c r="V50" s="30"/>
    </row>
    <row r="51" spans="1:22" ht="19.5" thickBot="1" x14ac:dyDescent="0.3">
      <c r="A51" s="3">
        <f t="shared" si="0"/>
        <v>44</v>
      </c>
      <c r="B51" s="13" t="s">
        <v>73</v>
      </c>
      <c r="C51" s="100"/>
      <c r="D51" s="101"/>
      <c r="E51" s="91"/>
      <c r="F51" s="91"/>
      <c r="G51" s="102"/>
      <c r="H51" s="93"/>
      <c r="I51" s="93"/>
      <c r="J51" s="103"/>
      <c r="K51" s="44"/>
      <c r="L51" s="91"/>
      <c r="M51" s="91"/>
      <c r="N51" s="91"/>
      <c r="O51" s="91"/>
      <c r="P51" s="91"/>
      <c r="Q51" s="92"/>
      <c r="R51" s="128"/>
      <c r="S51" s="126"/>
      <c r="T51" s="44"/>
      <c r="U51" s="28"/>
      <c r="V51" s="30"/>
    </row>
    <row r="52" spans="1:22" ht="19.5" thickBot="1" x14ac:dyDescent="0.3">
      <c r="A52" s="3">
        <f t="shared" si="0"/>
        <v>45</v>
      </c>
      <c r="B52" s="13" t="s">
        <v>41</v>
      </c>
      <c r="C52" s="100"/>
      <c r="D52" s="101"/>
      <c r="E52" s="91"/>
      <c r="F52" s="91"/>
      <c r="G52" s="102"/>
      <c r="H52" s="93"/>
      <c r="I52" s="93"/>
      <c r="J52" s="103"/>
      <c r="K52" s="44"/>
      <c r="L52" s="91"/>
      <c r="M52" s="91"/>
      <c r="N52" s="91"/>
      <c r="O52" s="91"/>
      <c r="P52" s="91"/>
      <c r="Q52" s="92"/>
      <c r="R52" s="128"/>
      <c r="S52" s="126"/>
      <c r="T52" s="44"/>
      <c r="U52" s="28"/>
      <c r="V52" s="30"/>
    </row>
    <row r="53" spans="1:22" ht="19.5" thickBot="1" x14ac:dyDescent="0.3">
      <c r="A53" s="3">
        <f t="shared" si="0"/>
        <v>46</v>
      </c>
      <c r="B53" s="13" t="s">
        <v>42</v>
      </c>
      <c r="C53" s="100"/>
      <c r="D53" s="101"/>
      <c r="E53" s="91"/>
      <c r="F53" s="91"/>
      <c r="G53" s="102"/>
      <c r="H53" s="93"/>
      <c r="I53" s="93"/>
      <c r="J53" s="103"/>
      <c r="K53" s="44"/>
      <c r="L53" s="91"/>
      <c r="M53" s="91"/>
      <c r="N53" s="91"/>
      <c r="O53" s="91"/>
      <c r="P53" s="91"/>
      <c r="Q53" s="92"/>
      <c r="R53" s="128"/>
      <c r="S53" s="126"/>
      <c r="T53" s="44"/>
      <c r="U53" s="28"/>
      <c r="V53" s="30"/>
    </row>
    <row r="54" spans="1:22" ht="19.5" thickBot="1" x14ac:dyDescent="0.3">
      <c r="A54" s="3">
        <f t="shared" si="0"/>
        <v>47</v>
      </c>
      <c r="B54" s="13" t="s">
        <v>78</v>
      </c>
      <c r="C54" s="100"/>
      <c r="D54" s="101"/>
      <c r="E54" s="91"/>
      <c r="F54" s="91"/>
      <c r="G54" s="102"/>
      <c r="H54" s="93"/>
      <c r="I54" s="93"/>
      <c r="J54" s="103"/>
      <c r="K54" s="44"/>
      <c r="L54" s="91"/>
      <c r="M54" s="91"/>
      <c r="N54" s="91"/>
      <c r="O54" s="91"/>
      <c r="P54" s="91"/>
      <c r="Q54" s="92"/>
      <c r="R54" s="128"/>
      <c r="S54" s="126"/>
      <c r="T54" s="44"/>
      <c r="U54" s="28"/>
      <c r="V54" s="30"/>
    </row>
    <row r="55" spans="1:22" ht="19.5" thickBot="1" x14ac:dyDescent="0.3">
      <c r="A55" s="3">
        <f t="shared" si="0"/>
        <v>48</v>
      </c>
      <c r="B55" s="13"/>
      <c r="C55" s="100"/>
      <c r="D55" s="101"/>
      <c r="E55" s="91"/>
      <c r="F55" s="91"/>
      <c r="G55" s="102"/>
      <c r="H55" s="93"/>
      <c r="I55" s="93"/>
      <c r="J55" s="103"/>
      <c r="K55" s="44"/>
      <c r="L55" s="91"/>
      <c r="M55" s="91"/>
      <c r="N55" s="91"/>
      <c r="O55" s="91"/>
      <c r="P55" s="91"/>
      <c r="Q55" s="92"/>
      <c r="R55" s="128"/>
      <c r="S55" s="126"/>
      <c r="T55" s="44"/>
      <c r="U55" s="28"/>
      <c r="V55" s="30"/>
    </row>
    <row r="56" spans="1:22" ht="19.5" thickBot="1" x14ac:dyDescent="0.3">
      <c r="A56" s="3">
        <f t="shared" si="0"/>
        <v>49</v>
      </c>
      <c r="B56" s="13"/>
      <c r="C56" s="100"/>
      <c r="D56" s="101"/>
      <c r="E56" s="91"/>
      <c r="F56" s="91"/>
      <c r="G56" s="102"/>
      <c r="H56" s="93"/>
      <c r="I56" s="93"/>
      <c r="J56" s="103"/>
      <c r="K56" s="44"/>
      <c r="L56" s="91"/>
      <c r="M56" s="91"/>
      <c r="N56" s="91"/>
      <c r="O56" s="91"/>
      <c r="P56" s="91"/>
      <c r="Q56" s="92"/>
      <c r="R56" s="128"/>
      <c r="S56" s="126"/>
      <c r="T56" s="44"/>
      <c r="U56" s="28"/>
      <c r="V56" s="30"/>
    </row>
    <row r="57" spans="1:22" ht="19.5" thickBot="1" x14ac:dyDescent="0.3">
      <c r="A57" s="3">
        <f t="shared" si="0"/>
        <v>50</v>
      </c>
      <c r="B57" s="13"/>
      <c r="C57" s="100"/>
      <c r="D57" s="101"/>
      <c r="E57" s="91"/>
      <c r="F57" s="91"/>
      <c r="G57" s="102"/>
      <c r="H57" s="93"/>
      <c r="I57" s="93"/>
      <c r="J57" s="103"/>
      <c r="K57" s="44"/>
      <c r="L57" s="91"/>
      <c r="M57" s="91"/>
      <c r="N57" s="91"/>
      <c r="O57" s="91"/>
      <c r="P57" s="91"/>
      <c r="Q57" s="92"/>
      <c r="R57" s="128"/>
      <c r="S57" s="126"/>
      <c r="T57" s="44"/>
      <c r="U57" s="28"/>
      <c r="V57" s="30"/>
    </row>
    <row r="58" spans="1:22" ht="19.5" thickBot="1" x14ac:dyDescent="0.3">
      <c r="A58" s="3">
        <f t="shared" si="0"/>
        <v>51</v>
      </c>
      <c r="B58" s="13"/>
      <c r="C58" s="100"/>
      <c r="D58" s="101"/>
      <c r="E58" s="91"/>
      <c r="F58" s="91"/>
      <c r="G58" s="102"/>
      <c r="H58" s="93"/>
      <c r="I58" s="93"/>
      <c r="J58" s="103"/>
      <c r="K58" s="44"/>
      <c r="L58" s="91"/>
      <c r="M58" s="91"/>
      <c r="N58" s="91"/>
      <c r="O58" s="91"/>
      <c r="P58" s="91"/>
      <c r="Q58" s="92"/>
      <c r="R58" s="128"/>
      <c r="S58" s="126"/>
      <c r="T58" s="44"/>
      <c r="U58" s="28"/>
      <c r="V58" s="30"/>
    </row>
    <row r="59" spans="1:22" ht="19.5" thickBot="1" x14ac:dyDescent="0.3">
      <c r="A59" s="3">
        <f t="shared" si="0"/>
        <v>52</v>
      </c>
      <c r="B59" s="13"/>
      <c r="C59" s="100"/>
      <c r="D59" s="101"/>
      <c r="E59" s="91"/>
      <c r="F59" s="91"/>
      <c r="G59" s="102"/>
      <c r="H59" s="93"/>
      <c r="I59" s="93"/>
      <c r="J59" s="103"/>
      <c r="K59" s="44"/>
      <c r="L59" s="91"/>
      <c r="M59" s="91"/>
      <c r="N59" s="91"/>
      <c r="O59" s="91"/>
      <c r="P59" s="91"/>
      <c r="Q59" s="92"/>
      <c r="R59" s="128"/>
      <c r="S59" s="126"/>
      <c r="T59" s="44"/>
      <c r="U59" s="28"/>
      <c r="V59" s="30"/>
    </row>
    <row r="60" spans="1:22" s="1" customFormat="1" ht="19.5" thickBot="1" x14ac:dyDescent="0.3">
      <c r="B60" s="15" t="s">
        <v>13</v>
      </c>
      <c r="C60" s="46">
        <f>SUM(C8:C59)</f>
        <v>0</v>
      </c>
      <c r="D60" s="71">
        <f>SUM(D8:D59)</f>
        <v>0</v>
      </c>
      <c r="E60" s="47">
        <f>SUM(E8:E59)</f>
        <v>0</v>
      </c>
      <c r="F60" s="47"/>
      <c r="G60" s="31">
        <f>SUM(G8:G59)</f>
        <v>0</v>
      </c>
      <c r="H60" s="73">
        <f>SUM(H8:H59)</f>
        <v>0</v>
      </c>
      <c r="I60" s="73">
        <f>SUM(I8:I59)</f>
        <v>0</v>
      </c>
      <c r="J60" s="48">
        <f>SUM(J8:J59)</f>
        <v>0</v>
      </c>
      <c r="K60" s="49"/>
      <c r="L60" s="98">
        <f t="shared" ref="L60:S60" si="1">SUM(L8:L59)</f>
        <v>0</v>
      </c>
      <c r="M60" s="98">
        <f t="shared" si="1"/>
        <v>0</v>
      </c>
      <c r="N60" s="98">
        <f t="shared" si="1"/>
        <v>0</v>
      </c>
      <c r="O60" s="98">
        <f t="shared" si="1"/>
        <v>0</v>
      </c>
      <c r="P60" s="98">
        <f t="shared" si="1"/>
        <v>0</v>
      </c>
      <c r="Q60" s="99">
        <f t="shared" si="1"/>
        <v>0</v>
      </c>
      <c r="R60" s="127">
        <f t="shared" si="1"/>
        <v>0</v>
      </c>
      <c r="S60" s="124">
        <f t="shared" si="1"/>
        <v>0</v>
      </c>
      <c r="T60" s="49"/>
      <c r="U60" s="46"/>
      <c r="V60" s="48"/>
    </row>
    <row r="61" spans="1:22" ht="19.5" thickBot="1" x14ac:dyDescent="0.3"/>
    <row r="62" spans="1:22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2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2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2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2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2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2" ht="19.5" thickBot="1" x14ac:dyDescent="0.3"/>
    <row r="69" spans="2:22" ht="113.25" thickBot="1" x14ac:dyDescent="0.3">
      <c r="B69" s="17" t="s">
        <v>53</v>
      </c>
      <c r="C69" s="149" t="s">
        <v>3</v>
      </c>
      <c r="D69" s="150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9" t="s">
        <v>55</v>
      </c>
      <c r="V69" s="149" t="s">
        <v>56</v>
      </c>
    </row>
    <row r="70" spans="2:22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V70" s="23"/>
    </row>
    <row r="71" spans="2:22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1" spans="2:22" ht="11.25" customHeight="1" x14ac:dyDescent="0.25"/>
    <row r="82" spans="2:22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  <row r="83" spans="2:22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V83" s="23"/>
    </row>
    <row r="84" spans="2:22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V84" s="23"/>
    </row>
    <row r="85" spans="2:22" ht="11.25" customHeight="1" x14ac:dyDescent="0.25"/>
    <row r="86" spans="2:22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V86" s="23"/>
    </row>
    <row r="87" spans="2:22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V87" s="23"/>
    </row>
    <row r="88" spans="2:22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V88" s="23"/>
    </row>
    <row r="90" spans="2:22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V90" s="23"/>
    </row>
  </sheetData>
  <mergeCells count="12">
    <mergeCell ref="G62:G64"/>
    <mergeCell ref="G65:G67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7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AE78-EC19-4DA2-B788-BF5EF0C7665B}">
  <sheetPr>
    <pageSetUpPr fitToPage="1"/>
  </sheetPr>
  <dimension ref="A1:BH90"/>
  <sheetViews>
    <sheetView zoomScale="85" zoomScaleNormal="85" zoomScaleSheetLayoutView="85" zoomScalePageLayoutView="80" workbookViewId="0">
      <selection activeCell="U15" sqref="U15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46069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154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>
        <v>33</v>
      </c>
      <c r="D8" s="195"/>
      <c r="E8" s="196"/>
      <c r="F8" s="196"/>
      <c r="G8" s="102"/>
      <c r="H8" s="93"/>
      <c r="I8" s="93">
        <f>C8-G8</f>
        <v>33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73">
        <f t="shared" si="1"/>
        <v>0</v>
      </c>
      <c r="T8" s="272"/>
      <c r="U8" s="191">
        <f>L8*24+N8*24+P8*24</f>
        <v>0</v>
      </c>
      <c r="V8" s="214">
        <f>U8/24</f>
        <v>0</v>
      </c>
      <c r="W8" s="213">
        <f t="shared" ref="W8:W12" si="2">I8*24+J8</f>
        <v>792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>
        <v>95</v>
      </c>
      <c r="D9" s="198"/>
      <c r="E9" s="199"/>
      <c r="F9" s="199"/>
      <c r="G9" s="107"/>
      <c r="H9" s="108"/>
      <c r="I9" s="107">
        <f t="shared" ref="I9:J59" si="4">C9-G9</f>
        <v>95</v>
      </c>
      <c r="J9" s="160">
        <f t="shared" si="0"/>
        <v>0</v>
      </c>
      <c r="K9" s="64"/>
      <c r="L9" s="205"/>
      <c r="M9" s="205"/>
      <c r="N9" s="205"/>
      <c r="O9" s="205"/>
      <c r="P9" s="205"/>
      <c r="Q9" s="206"/>
      <c r="R9" s="166">
        <f t="shared" si="1"/>
        <v>0</v>
      </c>
      <c r="S9" s="278">
        <f t="shared" si="1"/>
        <v>0</v>
      </c>
      <c r="T9" s="217"/>
      <c r="U9" s="215">
        <f>L9*24+N9*24+P9*24</f>
        <v>0</v>
      </c>
      <c r="V9" s="216">
        <f>U9/24</f>
        <v>0</v>
      </c>
      <c r="W9" s="217">
        <f t="shared" si="2"/>
        <v>2280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79">
        <f t="shared" si="1"/>
        <v>0</v>
      </c>
      <c r="T10" s="272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>
        <v>64</v>
      </c>
      <c r="D11" s="195"/>
      <c r="E11" s="196"/>
      <c r="F11" s="196"/>
      <c r="G11" s="102">
        <v>3</v>
      </c>
      <c r="H11" s="93"/>
      <c r="I11" s="93">
        <f t="shared" si="4"/>
        <v>61</v>
      </c>
      <c r="J11" s="103">
        <f t="shared" si="0"/>
        <v>0</v>
      </c>
      <c r="K11" s="44"/>
      <c r="L11" s="196"/>
      <c r="M11" s="196"/>
      <c r="N11" s="196"/>
      <c r="O11" s="196"/>
      <c r="P11" s="196">
        <v>3</v>
      </c>
      <c r="Q11" s="204"/>
      <c r="R11" s="128">
        <f t="shared" si="1"/>
        <v>3</v>
      </c>
      <c r="S11" s="273">
        <f t="shared" si="1"/>
        <v>0</v>
      </c>
      <c r="T11" s="272"/>
      <c r="U11" s="191">
        <f>L11*24+N11*24+P11*24</f>
        <v>72</v>
      </c>
      <c r="V11" s="214">
        <f>U11/24</f>
        <v>3</v>
      </c>
      <c r="W11" s="213">
        <f t="shared" si="2"/>
        <v>1464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4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24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>
        <v>3552</v>
      </c>
      <c r="D13" s="198">
        <v>3</v>
      </c>
      <c r="E13" s="199"/>
      <c r="F13" s="199"/>
      <c r="G13" s="107">
        <v>38</v>
      </c>
      <c r="H13" s="108">
        <v>13</v>
      </c>
      <c r="I13" s="116">
        <f t="shared" si="4"/>
        <v>3514</v>
      </c>
      <c r="J13" s="160">
        <f>D13-H13</f>
        <v>-10</v>
      </c>
      <c r="K13" s="68"/>
      <c r="L13" s="205">
        <v>13</v>
      </c>
      <c r="M13" s="205">
        <v>3</v>
      </c>
      <c r="N13" s="205">
        <v>15</v>
      </c>
      <c r="O13" s="205">
        <v>6</v>
      </c>
      <c r="P13" s="205">
        <v>10</v>
      </c>
      <c r="Q13" s="206">
        <v>4</v>
      </c>
      <c r="R13" s="163">
        <f>L13+N13+P13</f>
        <v>38</v>
      </c>
      <c r="S13" s="278">
        <f>M13+O13+Q13</f>
        <v>13</v>
      </c>
      <c r="T13" s="274"/>
      <c r="U13" s="215">
        <f>L13*24+N13*24+P13*24</f>
        <v>912</v>
      </c>
      <c r="V13" s="219">
        <f t="shared" si="6"/>
        <v>38</v>
      </c>
      <c r="W13" s="217">
        <f>I13*24+J13</f>
        <v>84326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159">
        <f t="shared" si="4"/>
        <v>5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79">
        <f t="shared" si="7"/>
        <v>0</v>
      </c>
      <c r="T14" s="272"/>
      <c r="U14" s="191">
        <f t="shared" si="5"/>
        <v>0</v>
      </c>
      <c r="V14" s="193">
        <f t="shared" si="6"/>
        <v>0</v>
      </c>
      <c r="W14" s="213">
        <f t="shared" ref="W14:W37" si="8">I14*24+J14</f>
        <v>120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73">
        <f t="shared" si="7"/>
        <v>0</v>
      </c>
      <c r="T15" s="272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73">
        <f t="shared" si="7"/>
        <v>0</v>
      </c>
      <c r="T16" s="272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73">
        <f t="shared" si="7"/>
        <v>0</v>
      </c>
      <c r="T17" s="272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4"/>
        <v>4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73">
        <f t="shared" si="7"/>
        <v>0</v>
      </c>
      <c r="T18" s="272"/>
      <c r="U18" s="191">
        <f t="shared" si="5"/>
        <v>0</v>
      </c>
      <c r="V18" s="214">
        <f t="shared" si="6"/>
        <v>0</v>
      </c>
      <c r="W18" s="213">
        <f t="shared" si="8"/>
        <v>96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73">
        <f t="shared" si="7"/>
        <v>0</v>
      </c>
      <c r="T19" s="272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4"/>
        <v>4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73">
        <f t="shared" si="7"/>
        <v>0</v>
      </c>
      <c r="T20" s="272"/>
      <c r="U20" s="191">
        <f t="shared" si="5"/>
        <v>0</v>
      </c>
      <c r="V20" s="214">
        <f t="shared" si="6"/>
        <v>0</v>
      </c>
      <c r="W20" s="213">
        <f t="shared" si="8"/>
        <v>96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4"/>
        <v>6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73">
        <f t="shared" si="7"/>
        <v>0</v>
      </c>
      <c r="T21" s="272"/>
      <c r="U21" s="191">
        <f t="shared" si="5"/>
        <v>0</v>
      </c>
      <c r="V21" s="214">
        <f t="shared" si="6"/>
        <v>0</v>
      </c>
      <c r="W21" s="213">
        <f t="shared" si="8"/>
        <v>144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4"/>
        <v>4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73">
        <f t="shared" si="7"/>
        <v>0</v>
      </c>
      <c r="T22" s="272"/>
      <c r="U22" s="191">
        <f t="shared" si="5"/>
        <v>0</v>
      </c>
      <c r="V22" s="214">
        <f t="shared" si="6"/>
        <v>0</v>
      </c>
      <c r="W22" s="213">
        <f t="shared" si="8"/>
        <v>96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4"/>
        <v>2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73">
        <f t="shared" si="7"/>
        <v>0</v>
      </c>
      <c r="T23" s="275"/>
      <c r="U23" s="191">
        <f t="shared" si="5"/>
        <v>0</v>
      </c>
      <c r="V23" s="214">
        <f t="shared" si="6"/>
        <v>0</v>
      </c>
      <c r="W23" s="213">
        <f t="shared" si="8"/>
        <v>48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4"/>
        <v>48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73">
        <f t="shared" si="7"/>
        <v>0</v>
      </c>
      <c r="T24" s="275"/>
      <c r="U24" s="191">
        <f t="shared" si="5"/>
        <v>0</v>
      </c>
      <c r="V24" s="214">
        <f t="shared" si="6"/>
        <v>0</v>
      </c>
      <c r="W24" s="213">
        <f t="shared" si="8"/>
        <v>1152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4"/>
        <v>7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73">
        <f t="shared" si="7"/>
        <v>0</v>
      </c>
      <c r="T25" s="272"/>
      <c r="U25" s="191">
        <f t="shared" si="5"/>
        <v>0</v>
      </c>
      <c r="V25" s="214">
        <f t="shared" si="6"/>
        <v>0</v>
      </c>
      <c r="W25" s="213">
        <f t="shared" si="8"/>
        <v>168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>
        <v>89</v>
      </c>
      <c r="D26" s="195">
        <v>23</v>
      </c>
      <c r="E26" s="196"/>
      <c r="F26" s="196"/>
      <c r="G26" s="102"/>
      <c r="H26" s="93"/>
      <c r="I26" s="93">
        <f t="shared" si="4"/>
        <v>89</v>
      </c>
      <c r="J26" s="103">
        <f t="shared" si="4"/>
        <v>23</v>
      </c>
      <c r="K26" s="44"/>
      <c r="L26" s="196"/>
      <c r="M26" s="196"/>
      <c r="N26" s="196"/>
      <c r="O26" s="196"/>
      <c r="P26" s="196"/>
      <c r="Q26" s="204"/>
      <c r="R26" s="128">
        <f t="shared" si="7"/>
        <v>0</v>
      </c>
      <c r="S26" s="273">
        <f t="shared" si="7"/>
        <v>0</v>
      </c>
      <c r="T26" s="272"/>
      <c r="U26" s="191">
        <f t="shared" si="5"/>
        <v>0</v>
      </c>
      <c r="V26" s="214">
        <f t="shared" si="6"/>
        <v>0</v>
      </c>
      <c r="W26" s="213">
        <f t="shared" si="8"/>
        <v>2159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73">
        <f t="shared" si="7"/>
        <v>0</v>
      </c>
      <c r="T27" s="27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73">
        <f t="shared" si="7"/>
        <v>0</v>
      </c>
      <c r="T28" s="27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>
        <v>50</v>
      </c>
      <c r="D29" s="195"/>
      <c r="E29" s="196"/>
      <c r="F29" s="196"/>
      <c r="G29" s="102">
        <v>13</v>
      </c>
      <c r="H29" s="93"/>
      <c r="I29" s="93">
        <f t="shared" si="4"/>
        <v>37</v>
      </c>
      <c r="J29" s="103">
        <f t="shared" si="4"/>
        <v>0</v>
      </c>
      <c r="K29" s="45"/>
      <c r="L29" s="196">
        <v>9</v>
      </c>
      <c r="M29" s="196"/>
      <c r="N29" s="196">
        <v>3</v>
      </c>
      <c r="O29" s="196"/>
      <c r="P29" s="196">
        <v>1</v>
      </c>
      <c r="Q29" s="204"/>
      <c r="R29" s="128">
        <f t="shared" si="7"/>
        <v>13</v>
      </c>
      <c r="S29" s="273">
        <f t="shared" si="7"/>
        <v>0</v>
      </c>
      <c r="T29" s="275"/>
      <c r="U29" s="191">
        <f t="shared" si="5"/>
        <v>312</v>
      </c>
      <c r="V29" s="214">
        <f t="shared" si="6"/>
        <v>13</v>
      </c>
      <c r="W29" s="213">
        <f t="shared" si="8"/>
        <v>888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73">
        <f t="shared" si="7"/>
        <v>0</v>
      </c>
      <c r="T30" s="272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>
        <v>64</v>
      </c>
      <c r="D31" s="195"/>
      <c r="E31" s="196"/>
      <c r="F31" s="196"/>
      <c r="G31" s="102"/>
      <c r="H31" s="93"/>
      <c r="I31" s="93">
        <f t="shared" si="4"/>
        <v>64</v>
      </c>
      <c r="J31" s="103">
        <f t="shared" si="4"/>
        <v>0</v>
      </c>
      <c r="K31" s="44"/>
      <c r="L31" s="196"/>
      <c r="M31" s="196"/>
      <c r="N31" s="196"/>
      <c r="O31" s="196"/>
      <c r="P31" s="196"/>
      <c r="Q31" s="204"/>
      <c r="R31" s="128">
        <f t="shared" si="7"/>
        <v>0</v>
      </c>
      <c r="S31" s="273">
        <f t="shared" si="7"/>
        <v>0</v>
      </c>
      <c r="T31" s="272"/>
      <c r="U31" s="191">
        <f t="shared" si="5"/>
        <v>0</v>
      </c>
      <c r="V31" s="214">
        <f t="shared" si="6"/>
        <v>0</v>
      </c>
      <c r="W31" s="213">
        <f t="shared" si="8"/>
        <v>1536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73">
        <f t="shared" si="7"/>
        <v>0</v>
      </c>
      <c r="T32" s="272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73">
        <f t="shared" si="7"/>
        <v>0</v>
      </c>
      <c r="T33" s="272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73">
        <f t="shared" si="7"/>
        <v>0</v>
      </c>
      <c r="T34" s="272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>
        <v>109</v>
      </c>
      <c r="D35" s="195">
        <v>17</v>
      </c>
      <c r="E35" s="196"/>
      <c r="F35" s="196"/>
      <c r="G35" s="102">
        <v>5</v>
      </c>
      <c r="H35" s="93"/>
      <c r="I35" s="93">
        <f t="shared" si="4"/>
        <v>104</v>
      </c>
      <c r="J35" s="103">
        <f t="shared" si="4"/>
        <v>17</v>
      </c>
      <c r="K35" s="44"/>
      <c r="L35" s="196">
        <v>5</v>
      </c>
      <c r="M35" s="196"/>
      <c r="N35" s="196"/>
      <c r="O35" s="196"/>
      <c r="P35" s="196"/>
      <c r="Q35" s="204"/>
      <c r="R35" s="128">
        <f t="shared" si="7"/>
        <v>5</v>
      </c>
      <c r="S35" s="273">
        <f t="shared" si="7"/>
        <v>0</v>
      </c>
      <c r="T35" s="272"/>
      <c r="U35" s="191">
        <f t="shared" si="5"/>
        <v>120</v>
      </c>
      <c r="V35" s="214">
        <f t="shared" si="6"/>
        <v>5</v>
      </c>
      <c r="W35" s="213">
        <f t="shared" si="8"/>
        <v>2513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73">
        <f t="shared" si="7"/>
        <v>0</v>
      </c>
      <c r="T36" s="272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73">
        <f t="shared" si="7"/>
        <v>0</v>
      </c>
      <c r="T37" s="272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54" t="s">
        <v>33</v>
      </c>
      <c r="C38" s="197">
        <v>4535</v>
      </c>
      <c r="D38" s="198">
        <v>2</v>
      </c>
      <c r="E38" s="199"/>
      <c r="F38" s="199"/>
      <c r="G38" s="107">
        <v>163</v>
      </c>
      <c r="H38" s="108"/>
      <c r="I38" s="116">
        <f t="shared" si="4"/>
        <v>4372</v>
      </c>
      <c r="J38" s="160">
        <f t="shared" si="4"/>
        <v>2</v>
      </c>
      <c r="K38" s="64"/>
      <c r="L38" s="205">
        <v>118</v>
      </c>
      <c r="M38" s="205"/>
      <c r="N38" s="205"/>
      <c r="O38" s="205"/>
      <c r="P38" s="205">
        <v>45</v>
      </c>
      <c r="Q38" s="206"/>
      <c r="R38" s="163">
        <f t="shared" si="7"/>
        <v>163</v>
      </c>
      <c r="S38" s="278">
        <f t="shared" si="7"/>
        <v>0</v>
      </c>
      <c r="T38" s="217"/>
      <c r="U38" s="215">
        <f>L38*6+N38*6+P38*6</f>
        <v>978</v>
      </c>
      <c r="V38" s="216">
        <f>U38/6</f>
        <v>163</v>
      </c>
      <c r="W38" s="217">
        <f>I38*6+J38</f>
        <v>26234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>
        <v>4</v>
      </c>
      <c r="D39" s="195"/>
      <c r="E39" s="196"/>
      <c r="F39" s="196"/>
      <c r="G39" s="102"/>
      <c r="H39" s="93"/>
      <c r="I39" s="159">
        <f t="shared" si="4"/>
        <v>4</v>
      </c>
      <c r="J39" s="161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79">
        <f t="shared" si="7"/>
        <v>0</v>
      </c>
      <c r="T39" s="272"/>
      <c r="U39" s="191">
        <f t="shared" ref="U39:U41" si="9">L39*24+N39*24+P39*24</f>
        <v>0</v>
      </c>
      <c r="V39" s="218">
        <f t="shared" si="6"/>
        <v>0</v>
      </c>
      <c r="W39" s="213">
        <f t="shared" ref="W39:W41" si="10">I39*24+J39</f>
        <v>96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73">
        <f t="shared" si="7"/>
        <v>0</v>
      </c>
      <c r="T40" s="272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54" t="s">
        <v>35</v>
      </c>
      <c r="C41" s="197">
        <v>698</v>
      </c>
      <c r="D41" s="198"/>
      <c r="E41" s="199"/>
      <c r="F41" s="199"/>
      <c r="G41" s="107"/>
      <c r="H41" s="108"/>
      <c r="I41" s="116">
        <f t="shared" si="4"/>
        <v>698</v>
      </c>
      <c r="J41" s="160">
        <f t="shared" si="4"/>
        <v>0</v>
      </c>
      <c r="K41" s="64"/>
      <c r="L41" s="196"/>
      <c r="M41" s="196"/>
      <c r="N41" s="196"/>
      <c r="O41" s="196"/>
      <c r="P41" s="196"/>
      <c r="Q41" s="204"/>
      <c r="R41" s="166">
        <f t="shared" si="7"/>
        <v>0</v>
      </c>
      <c r="S41" s="278">
        <f t="shared" si="7"/>
        <v>0</v>
      </c>
      <c r="T41" s="217"/>
      <c r="U41" s="280">
        <f t="shared" si="9"/>
        <v>0</v>
      </c>
      <c r="V41" s="219">
        <f t="shared" si="6"/>
        <v>0</v>
      </c>
      <c r="W41" s="219">
        <f t="shared" si="10"/>
        <v>16752</v>
      </c>
      <c r="X41" s="66"/>
    </row>
    <row r="42" spans="1:26" ht="19.5" thickBot="1" x14ac:dyDescent="0.3">
      <c r="A42" s="3">
        <f t="shared" si="3"/>
        <v>35</v>
      </c>
      <c r="B42" s="59" t="s">
        <v>36</v>
      </c>
      <c r="C42" s="267">
        <v>1678</v>
      </c>
      <c r="D42" s="268"/>
      <c r="E42" s="269"/>
      <c r="F42" s="269"/>
      <c r="G42" s="111">
        <v>2</v>
      </c>
      <c r="H42" s="112"/>
      <c r="I42" s="111">
        <f t="shared" si="4"/>
        <v>1676</v>
      </c>
      <c r="J42" s="161">
        <f t="shared" si="4"/>
        <v>0</v>
      </c>
      <c r="K42" s="69"/>
      <c r="L42" s="269">
        <v>2</v>
      </c>
      <c r="M42" s="269"/>
      <c r="N42" s="269"/>
      <c r="O42" s="269"/>
      <c r="P42" s="269"/>
      <c r="Q42" s="270"/>
      <c r="R42" s="167">
        <f t="shared" si="7"/>
        <v>2</v>
      </c>
      <c r="S42" s="281">
        <f t="shared" si="7"/>
        <v>0</v>
      </c>
      <c r="T42" s="276"/>
      <c r="U42" s="277">
        <f>L42*12+N42*12+P42*12</f>
        <v>24</v>
      </c>
      <c r="V42" s="282">
        <f>U42/12</f>
        <v>2</v>
      </c>
      <c r="W42" s="276">
        <f>I42*12+J42</f>
        <v>20112</v>
      </c>
      <c r="X42" s="63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166">
        <f t="shared" si="7"/>
        <v>0</v>
      </c>
      <c r="S43" s="283">
        <f t="shared" si="7"/>
        <v>0</v>
      </c>
      <c r="T43" s="272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>
        <f>28565</f>
        <v>28565</v>
      </c>
      <c r="D44" s="198">
        <v>4</v>
      </c>
      <c r="E44" s="199">
        <v>3672</v>
      </c>
      <c r="F44" s="199"/>
      <c r="G44" s="107">
        <v>1029</v>
      </c>
      <c r="H44" s="108"/>
      <c r="I44" s="93">
        <f>C44+E44-G44</f>
        <v>31208</v>
      </c>
      <c r="J44" s="173">
        <f t="shared" si="4"/>
        <v>4</v>
      </c>
      <c r="K44" s="64"/>
      <c r="L44" s="205">
        <v>287</v>
      </c>
      <c r="M44" s="205"/>
      <c r="N44" s="205">
        <v>439</v>
      </c>
      <c r="O44" s="205"/>
      <c r="P44" s="205">
        <v>303</v>
      </c>
      <c r="Q44" s="206"/>
      <c r="R44" s="168">
        <f t="shared" si="7"/>
        <v>1029</v>
      </c>
      <c r="S44" s="281">
        <f t="shared" si="7"/>
        <v>0</v>
      </c>
      <c r="T44" s="217"/>
      <c r="U44" s="215">
        <f>L44*6+N44*6+P44*6</f>
        <v>6174</v>
      </c>
      <c r="V44" s="214">
        <f>U44/6</f>
        <v>1029</v>
      </c>
      <c r="W44" s="217">
        <f>I44*6+J44</f>
        <v>187252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83">
        <f t="shared" si="7"/>
        <v>0</v>
      </c>
      <c r="T45" s="272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84">
        <f t="shared" si="7"/>
        <v>0</v>
      </c>
      <c r="T46" s="272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73">
        <f t="shared" si="7"/>
        <v>0</v>
      </c>
      <c r="T47" s="272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13" t="s">
        <v>39</v>
      </c>
      <c r="C48" s="194">
        <v>2365</v>
      </c>
      <c r="D48" s="195">
        <v>5</v>
      </c>
      <c r="E48" s="196"/>
      <c r="F48" s="196"/>
      <c r="G48" s="102"/>
      <c r="H48" s="93"/>
      <c r="I48" s="93">
        <f t="shared" si="4"/>
        <v>2365</v>
      </c>
      <c r="J48" s="103">
        <f t="shared" si="4"/>
        <v>5</v>
      </c>
      <c r="K48" s="44"/>
      <c r="L48" s="196"/>
      <c r="M48" s="196"/>
      <c r="N48" s="196"/>
      <c r="O48" s="196"/>
      <c r="P48" s="196"/>
      <c r="Q48" s="204"/>
      <c r="R48" s="128">
        <f t="shared" si="7"/>
        <v>0</v>
      </c>
      <c r="S48" s="273">
        <f t="shared" si="7"/>
        <v>0</v>
      </c>
      <c r="T48" s="272"/>
      <c r="U48" s="191">
        <f>L48*6+N48*6+P48*6</f>
        <v>0</v>
      </c>
      <c r="V48" s="214">
        <f>U48/6</f>
        <v>0</v>
      </c>
      <c r="W48" s="213">
        <f>I48*6+J48</f>
        <v>14195</v>
      </c>
      <c r="X48" s="30"/>
    </row>
    <row r="49" spans="1:24" ht="19.5" thickBot="1" x14ac:dyDescent="0.3">
      <c r="A49" s="3">
        <f t="shared" si="3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28">
        <f t="shared" si="7"/>
        <v>0</v>
      </c>
      <c r="S49" s="273">
        <f t="shared" si="7"/>
        <v>0</v>
      </c>
      <c r="T49" s="272"/>
      <c r="U49" s="191">
        <f t="shared" ref="U49:U51" si="14">L49*24+N49*24+P49*24</f>
        <v>0</v>
      </c>
      <c r="V49" s="214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73">
        <f t="shared" si="7"/>
        <v>0</v>
      </c>
      <c r="T50" s="272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73">
        <f t="shared" si="7"/>
        <v>0</v>
      </c>
      <c r="T51" s="272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4"/>
        <v>34</v>
      </c>
      <c r="J52" s="103">
        <f t="shared" si="4"/>
        <v>0</v>
      </c>
      <c r="K52" s="44"/>
      <c r="L52" s="196"/>
      <c r="M52" s="196"/>
      <c r="N52" s="196"/>
      <c r="O52" s="196"/>
      <c r="P52" s="196"/>
      <c r="Q52" s="204"/>
      <c r="R52" s="128">
        <f t="shared" si="7"/>
        <v>0</v>
      </c>
      <c r="S52" s="273">
        <f t="shared" si="7"/>
        <v>0</v>
      </c>
      <c r="T52" s="272"/>
      <c r="U52" s="191">
        <f>L52*6+N52*6+P52*6</f>
        <v>0</v>
      </c>
      <c r="V52" s="214">
        <f>U52/6</f>
        <v>0</v>
      </c>
      <c r="W52" s="213">
        <f>I52*6+J52</f>
        <v>204</v>
      </c>
      <c r="X52" s="30"/>
    </row>
    <row r="53" spans="1:24" ht="19.5" thickBot="1" x14ac:dyDescent="0.3">
      <c r="A53" s="3">
        <f t="shared" si="3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28">
        <f t="shared" si="7"/>
        <v>0</v>
      </c>
      <c r="S53" s="273">
        <f t="shared" si="7"/>
        <v>0</v>
      </c>
      <c r="T53" s="272"/>
      <c r="U53" s="191">
        <f t="shared" ref="U53:U54" si="17">L53*24+N53*24+P53*24</f>
        <v>0</v>
      </c>
      <c r="V53" s="214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>
        <v>2</v>
      </c>
      <c r="D54" s="195"/>
      <c r="E54" s="196"/>
      <c r="F54" s="196"/>
      <c r="G54" s="102"/>
      <c r="H54" s="93"/>
      <c r="I54" s="93">
        <f t="shared" si="4"/>
        <v>2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73">
        <f t="shared" si="7"/>
        <v>0</v>
      </c>
      <c r="T54" s="272"/>
      <c r="U54" s="191">
        <f t="shared" si="17"/>
        <v>0</v>
      </c>
      <c r="V54" s="214">
        <f t="shared" si="18"/>
        <v>0</v>
      </c>
      <c r="W54" s="213">
        <f t="shared" si="19"/>
        <v>48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73">
        <f t="shared" si="7"/>
        <v>0</v>
      </c>
      <c r="T55" s="272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73">
        <f t="shared" si="7"/>
        <v>0</v>
      </c>
      <c r="T56" s="272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73">
        <f t="shared" si="7"/>
        <v>0</v>
      </c>
      <c r="T57" s="272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73">
        <f t="shared" si="7"/>
        <v>0</v>
      </c>
      <c r="T58" s="272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73">
        <f t="shared" si="7"/>
        <v>0</v>
      </c>
      <c r="T59" s="272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42018</v>
      </c>
      <c r="D60" s="71">
        <f>SUM(D8:D59)</f>
        <v>54</v>
      </c>
      <c r="E60" s="47">
        <f>SUM(E8:E59)</f>
        <v>3672</v>
      </c>
      <c r="F60" s="47"/>
      <c r="G60" s="31">
        <f>SUM(G8:G59)</f>
        <v>1253</v>
      </c>
      <c r="H60" s="73">
        <f>SUM(H8:H59)</f>
        <v>13</v>
      </c>
      <c r="I60" s="73">
        <f>SUM(I8:I59)</f>
        <v>44437</v>
      </c>
      <c r="J60" s="48">
        <f>SUM(J8:J59)</f>
        <v>41</v>
      </c>
      <c r="K60" s="49"/>
      <c r="L60" s="98">
        <f t="shared" ref="L60:S60" si="20">SUM(L8:L59)</f>
        <v>434</v>
      </c>
      <c r="M60" s="98">
        <f t="shared" si="20"/>
        <v>3</v>
      </c>
      <c r="N60" s="98">
        <f t="shared" si="20"/>
        <v>457</v>
      </c>
      <c r="O60" s="98">
        <f t="shared" si="20"/>
        <v>6</v>
      </c>
      <c r="P60" s="98">
        <f t="shared" si="20"/>
        <v>362</v>
      </c>
      <c r="Q60" s="99">
        <f t="shared" si="20"/>
        <v>4</v>
      </c>
      <c r="R60" s="127">
        <f t="shared" si="20"/>
        <v>1253</v>
      </c>
      <c r="S60" s="124">
        <f t="shared" si="20"/>
        <v>13</v>
      </c>
      <c r="T60" s="49"/>
      <c r="U60" s="46">
        <f>SUM(U8:U59)</f>
        <v>8592</v>
      </c>
      <c r="V60" s="176">
        <f>SUM(V8:V59)</f>
        <v>1253</v>
      </c>
      <c r="W60" s="156">
        <f>SUM(W8:W59)</f>
        <v>362795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152" t="s">
        <v>3</v>
      </c>
      <c r="D69" s="153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5B6C-C4ED-4E2B-8620-2CD5D9C6EBBF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46070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181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71"/>
      <c r="T6" s="272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71"/>
      <c r="T7" s="272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>
        <v>33</v>
      </c>
      <c r="D8" s="195"/>
      <c r="E8" s="196"/>
      <c r="F8" s="196"/>
      <c r="G8" s="102"/>
      <c r="H8" s="93"/>
      <c r="I8" s="93">
        <f>C8-G8</f>
        <v>33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73">
        <f t="shared" si="1"/>
        <v>0</v>
      </c>
      <c r="T8" s="272"/>
      <c r="U8" s="191">
        <f>L8*24+N8*24+P8*24</f>
        <v>0</v>
      </c>
      <c r="V8" s="214">
        <f>U8/24</f>
        <v>0</v>
      </c>
      <c r="W8" s="213">
        <f t="shared" ref="W8:W12" si="2">I8*24+J8</f>
        <v>792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>
        <v>95</v>
      </c>
      <c r="D9" s="198"/>
      <c r="E9" s="199"/>
      <c r="F9" s="199"/>
      <c r="G9" s="107"/>
      <c r="H9" s="108"/>
      <c r="I9" s="107">
        <f t="shared" ref="I9:J59" si="4">C9-G9</f>
        <v>95</v>
      </c>
      <c r="J9" s="160">
        <f t="shared" si="0"/>
        <v>0</v>
      </c>
      <c r="K9" s="64"/>
      <c r="L9" s="205"/>
      <c r="M9" s="205"/>
      <c r="N9" s="205"/>
      <c r="O9" s="205"/>
      <c r="P9" s="205"/>
      <c r="Q9" s="206"/>
      <c r="R9" s="166">
        <f t="shared" si="1"/>
        <v>0</v>
      </c>
      <c r="S9" s="278">
        <f t="shared" si="1"/>
        <v>0</v>
      </c>
      <c r="T9" s="217"/>
      <c r="U9" s="215">
        <f>L9*24+N9*24+P9*24</f>
        <v>0</v>
      </c>
      <c r="V9" s="216">
        <f>U9/24</f>
        <v>0</v>
      </c>
      <c r="W9" s="217">
        <f t="shared" si="2"/>
        <v>2280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79">
        <f t="shared" si="1"/>
        <v>0</v>
      </c>
      <c r="T10" s="272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>
        <v>61</v>
      </c>
      <c r="D11" s="195"/>
      <c r="E11" s="196"/>
      <c r="F11" s="196"/>
      <c r="G11" s="102">
        <v>2</v>
      </c>
      <c r="H11" s="93"/>
      <c r="I11" s="93">
        <f t="shared" si="4"/>
        <v>59</v>
      </c>
      <c r="J11" s="103">
        <f t="shared" si="0"/>
        <v>0</v>
      </c>
      <c r="K11" s="44"/>
      <c r="L11" s="196"/>
      <c r="M11" s="196"/>
      <c r="N11" s="196">
        <v>2</v>
      </c>
      <c r="O11" s="196"/>
      <c r="P11" s="196"/>
      <c r="Q11" s="204"/>
      <c r="R11" s="128">
        <f t="shared" si="1"/>
        <v>2</v>
      </c>
      <c r="S11" s="273">
        <f t="shared" si="1"/>
        <v>0</v>
      </c>
      <c r="T11" s="272"/>
      <c r="U11" s="191">
        <f>L11*24+N11*24+P11*24</f>
        <v>48</v>
      </c>
      <c r="V11" s="214">
        <f>U11/24</f>
        <v>2</v>
      </c>
      <c r="W11" s="213">
        <f t="shared" si="2"/>
        <v>1416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4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73">
        <f t="shared" si="1"/>
        <v>0</v>
      </c>
      <c r="T12" s="272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24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>
        <v>3513</v>
      </c>
      <c r="D13" s="198">
        <v>14</v>
      </c>
      <c r="E13" s="199"/>
      <c r="F13" s="199"/>
      <c r="G13" s="107">
        <v>18</v>
      </c>
      <c r="H13" s="108">
        <v>18</v>
      </c>
      <c r="I13" s="116">
        <f t="shared" si="4"/>
        <v>3495</v>
      </c>
      <c r="J13" s="160">
        <f>D13-H13</f>
        <v>-4</v>
      </c>
      <c r="K13" s="68"/>
      <c r="L13" s="205">
        <v>2</v>
      </c>
      <c r="M13" s="205">
        <v>8</v>
      </c>
      <c r="N13" s="205">
        <v>6</v>
      </c>
      <c r="O13" s="205">
        <v>6</v>
      </c>
      <c r="P13" s="205">
        <v>10</v>
      </c>
      <c r="Q13" s="206">
        <v>4</v>
      </c>
      <c r="R13" s="163">
        <f>L13+N13+P13</f>
        <v>18</v>
      </c>
      <c r="S13" s="278">
        <f>M13+O13+Q13</f>
        <v>18</v>
      </c>
      <c r="T13" s="274"/>
      <c r="U13" s="215">
        <f>L13*24+N13*24+P13*24</f>
        <v>432</v>
      </c>
      <c r="V13" s="219">
        <f t="shared" si="6"/>
        <v>18</v>
      </c>
      <c r="W13" s="217">
        <f>I13*24+J13</f>
        <v>83876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159">
        <f t="shared" si="4"/>
        <v>5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79">
        <f t="shared" si="7"/>
        <v>0</v>
      </c>
      <c r="T14" s="272"/>
      <c r="U14" s="191">
        <f t="shared" si="5"/>
        <v>0</v>
      </c>
      <c r="V14" s="193">
        <f t="shared" si="6"/>
        <v>0</v>
      </c>
      <c r="W14" s="213">
        <f t="shared" ref="W14:W37" si="8">I14*24+J14</f>
        <v>120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73">
        <f t="shared" si="7"/>
        <v>0</v>
      </c>
      <c r="T15" s="272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73">
        <f t="shared" si="7"/>
        <v>0</v>
      </c>
      <c r="T16" s="272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73">
        <f t="shared" si="7"/>
        <v>0</v>
      </c>
      <c r="T17" s="272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4"/>
        <v>4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73">
        <f t="shared" si="7"/>
        <v>0</v>
      </c>
      <c r="T18" s="272"/>
      <c r="U18" s="191">
        <f t="shared" si="5"/>
        <v>0</v>
      </c>
      <c r="V18" s="214">
        <f t="shared" si="6"/>
        <v>0</v>
      </c>
      <c r="W18" s="213">
        <f t="shared" si="8"/>
        <v>96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73">
        <f t="shared" si="7"/>
        <v>0</v>
      </c>
      <c r="T19" s="272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4"/>
        <v>4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73">
        <f t="shared" si="7"/>
        <v>0</v>
      </c>
      <c r="T20" s="272"/>
      <c r="U20" s="191">
        <f t="shared" si="5"/>
        <v>0</v>
      </c>
      <c r="V20" s="214">
        <f t="shared" si="6"/>
        <v>0</v>
      </c>
      <c r="W20" s="213">
        <f t="shared" si="8"/>
        <v>96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4"/>
        <v>6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73">
        <f t="shared" si="7"/>
        <v>0</v>
      </c>
      <c r="T21" s="272"/>
      <c r="U21" s="191">
        <f t="shared" si="5"/>
        <v>0</v>
      </c>
      <c r="V21" s="214">
        <f t="shared" si="6"/>
        <v>0</v>
      </c>
      <c r="W21" s="213">
        <f t="shared" si="8"/>
        <v>144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4"/>
        <v>4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73">
        <f t="shared" si="7"/>
        <v>0</v>
      </c>
      <c r="T22" s="272"/>
      <c r="U22" s="191">
        <f t="shared" si="5"/>
        <v>0</v>
      </c>
      <c r="V22" s="214">
        <f t="shared" si="6"/>
        <v>0</v>
      </c>
      <c r="W22" s="213">
        <f t="shared" si="8"/>
        <v>96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4"/>
        <v>2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73">
        <f t="shared" si="7"/>
        <v>0</v>
      </c>
      <c r="T23" s="275"/>
      <c r="U23" s="191">
        <f t="shared" si="5"/>
        <v>0</v>
      </c>
      <c r="V23" s="214">
        <f t="shared" si="6"/>
        <v>0</v>
      </c>
      <c r="W23" s="213">
        <f t="shared" si="8"/>
        <v>48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4"/>
        <v>48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73">
        <f t="shared" si="7"/>
        <v>0</v>
      </c>
      <c r="T24" s="275"/>
      <c r="U24" s="191">
        <f t="shared" si="5"/>
        <v>0</v>
      </c>
      <c r="V24" s="214">
        <f t="shared" si="6"/>
        <v>0</v>
      </c>
      <c r="W24" s="213">
        <f t="shared" si="8"/>
        <v>1152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4"/>
        <v>7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73">
        <f t="shared" si="7"/>
        <v>0</v>
      </c>
      <c r="T25" s="272"/>
      <c r="U25" s="191">
        <f t="shared" si="5"/>
        <v>0</v>
      </c>
      <c r="V25" s="214">
        <f t="shared" si="6"/>
        <v>0</v>
      </c>
      <c r="W25" s="213">
        <f t="shared" si="8"/>
        <v>168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>
        <v>89</v>
      </c>
      <c r="D26" s="195">
        <v>23</v>
      </c>
      <c r="E26" s="196"/>
      <c r="F26" s="196"/>
      <c r="G26" s="102"/>
      <c r="H26" s="93"/>
      <c r="I26" s="93">
        <f t="shared" si="4"/>
        <v>89</v>
      </c>
      <c r="J26" s="103">
        <f t="shared" si="4"/>
        <v>23</v>
      </c>
      <c r="K26" s="44"/>
      <c r="L26" s="196"/>
      <c r="M26" s="196"/>
      <c r="N26" s="196"/>
      <c r="O26" s="196"/>
      <c r="P26" s="196"/>
      <c r="Q26" s="204"/>
      <c r="R26" s="128">
        <f t="shared" si="7"/>
        <v>0</v>
      </c>
      <c r="S26" s="273">
        <f t="shared" si="7"/>
        <v>0</v>
      </c>
      <c r="T26" s="272"/>
      <c r="U26" s="191">
        <f t="shared" si="5"/>
        <v>0</v>
      </c>
      <c r="V26" s="214">
        <f t="shared" si="6"/>
        <v>0</v>
      </c>
      <c r="W26" s="213">
        <f t="shared" si="8"/>
        <v>2159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73">
        <f t="shared" si="7"/>
        <v>0</v>
      </c>
      <c r="T27" s="27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73">
        <f t="shared" si="7"/>
        <v>0</v>
      </c>
      <c r="T28" s="27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>
        <v>37</v>
      </c>
      <c r="D29" s="195"/>
      <c r="E29" s="196"/>
      <c r="F29" s="196"/>
      <c r="G29" s="102">
        <v>1</v>
      </c>
      <c r="H29" s="93"/>
      <c r="I29" s="93">
        <f t="shared" si="4"/>
        <v>36</v>
      </c>
      <c r="J29" s="103">
        <f t="shared" si="4"/>
        <v>0</v>
      </c>
      <c r="K29" s="45"/>
      <c r="L29" s="196"/>
      <c r="M29" s="196"/>
      <c r="N29" s="196">
        <v>1</v>
      </c>
      <c r="O29" s="196"/>
      <c r="P29" s="196"/>
      <c r="Q29" s="204"/>
      <c r="R29" s="128">
        <f t="shared" si="7"/>
        <v>1</v>
      </c>
      <c r="S29" s="273">
        <f t="shared" si="7"/>
        <v>0</v>
      </c>
      <c r="T29" s="275"/>
      <c r="U29" s="191">
        <f t="shared" si="5"/>
        <v>24</v>
      </c>
      <c r="V29" s="214">
        <f t="shared" si="6"/>
        <v>1</v>
      </c>
      <c r="W29" s="213">
        <f t="shared" si="8"/>
        <v>864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73">
        <f t="shared" si="7"/>
        <v>0</v>
      </c>
      <c r="T30" s="272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>
        <v>64</v>
      </c>
      <c r="D31" s="195"/>
      <c r="E31" s="196"/>
      <c r="F31" s="196"/>
      <c r="G31" s="102">
        <v>1</v>
      </c>
      <c r="H31" s="93"/>
      <c r="I31" s="93">
        <f t="shared" si="4"/>
        <v>63</v>
      </c>
      <c r="J31" s="103">
        <f t="shared" si="4"/>
        <v>0</v>
      </c>
      <c r="K31" s="44"/>
      <c r="L31" s="196"/>
      <c r="M31" s="196"/>
      <c r="N31" s="196">
        <v>1</v>
      </c>
      <c r="O31" s="196"/>
      <c r="P31" s="196"/>
      <c r="Q31" s="204"/>
      <c r="R31" s="128">
        <f t="shared" si="7"/>
        <v>1</v>
      </c>
      <c r="S31" s="273">
        <f t="shared" si="7"/>
        <v>0</v>
      </c>
      <c r="T31" s="272"/>
      <c r="U31" s="191">
        <f t="shared" si="5"/>
        <v>24</v>
      </c>
      <c r="V31" s="214">
        <f t="shared" si="6"/>
        <v>1</v>
      </c>
      <c r="W31" s="213">
        <f t="shared" si="8"/>
        <v>1512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73">
        <f t="shared" si="7"/>
        <v>0</v>
      </c>
      <c r="T32" s="272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73">
        <f t="shared" si="7"/>
        <v>0</v>
      </c>
      <c r="T33" s="272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73">
        <f t="shared" si="7"/>
        <v>0</v>
      </c>
      <c r="T34" s="272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>
        <v>104</v>
      </c>
      <c r="D35" s="195">
        <v>17</v>
      </c>
      <c r="E35" s="196"/>
      <c r="F35" s="196"/>
      <c r="G35" s="102"/>
      <c r="H35" s="93"/>
      <c r="I35" s="93">
        <f t="shared" si="4"/>
        <v>104</v>
      </c>
      <c r="J35" s="103">
        <f t="shared" si="4"/>
        <v>17</v>
      </c>
      <c r="K35" s="44"/>
      <c r="L35" s="196"/>
      <c r="M35" s="196"/>
      <c r="N35" s="196"/>
      <c r="O35" s="196"/>
      <c r="P35" s="196"/>
      <c r="Q35" s="204"/>
      <c r="R35" s="128">
        <f t="shared" si="7"/>
        <v>0</v>
      </c>
      <c r="S35" s="273">
        <f t="shared" si="7"/>
        <v>0</v>
      </c>
      <c r="T35" s="272"/>
      <c r="U35" s="191">
        <f t="shared" si="5"/>
        <v>0</v>
      </c>
      <c r="V35" s="214">
        <f t="shared" si="6"/>
        <v>0</v>
      </c>
      <c r="W35" s="213">
        <f t="shared" si="8"/>
        <v>2513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73">
        <f t="shared" si="7"/>
        <v>0</v>
      </c>
      <c r="T36" s="272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73">
        <f t="shared" si="7"/>
        <v>0</v>
      </c>
      <c r="T37" s="272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54" t="s">
        <v>33</v>
      </c>
      <c r="C38" s="197">
        <v>4372</v>
      </c>
      <c r="D38" s="198">
        <v>2</v>
      </c>
      <c r="E38" s="199"/>
      <c r="F38" s="199"/>
      <c r="G38" s="107">
        <v>103</v>
      </c>
      <c r="H38" s="108"/>
      <c r="I38" s="116">
        <f t="shared" si="4"/>
        <v>4269</v>
      </c>
      <c r="J38" s="160">
        <f t="shared" si="4"/>
        <v>2</v>
      </c>
      <c r="K38" s="64"/>
      <c r="L38" s="205">
        <v>28</v>
      </c>
      <c r="M38" s="205"/>
      <c r="N38" s="205">
        <v>23</v>
      </c>
      <c r="O38" s="205"/>
      <c r="P38" s="205">
        <v>52</v>
      </c>
      <c r="Q38" s="206"/>
      <c r="R38" s="163">
        <f t="shared" si="7"/>
        <v>103</v>
      </c>
      <c r="S38" s="278">
        <f t="shared" si="7"/>
        <v>0</v>
      </c>
      <c r="T38" s="217"/>
      <c r="U38" s="215">
        <f>L38*6+N38*6+P38*6</f>
        <v>618</v>
      </c>
      <c r="V38" s="216">
        <f>U38/6</f>
        <v>103</v>
      </c>
      <c r="W38" s="217">
        <f>I38*6+J38</f>
        <v>25616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>
        <v>4</v>
      </c>
      <c r="D39" s="195"/>
      <c r="E39" s="196"/>
      <c r="F39" s="196"/>
      <c r="G39" s="102"/>
      <c r="H39" s="93"/>
      <c r="I39" s="159">
        <f t="shared" si="4"/>
        <v>4</v>
      </c>
      <c r="J39" s="161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79">
        <f t="shared" si="7"/>
        <v>0</v>
      </c>
      <c r="T39" s="272"/>
      <c r="U39" s="191">
        <f t="shared" ref="U39:U41" si="9">L39*24+N39*24+P39*24</f>
        <v>0</v>
      </c>
      <c r="V39" s="218">
        <f t="shared" si="6"/>
        <v>0</v>
      </c>
      <c r="W39" s="213">
        <f t="shared" ref="W39:W41" si="10">I39*24+J39</f>
        <v>96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73">
        <f t="shared" si="7"/>
        <v>0</v>
      </c>
      <c r="T40" s="272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54" t="s">
        <v>35</v>
      </c>
      <c r="C41" s="197">
        <v>698</v>
      </c>
      <c r="D41" s="198"/>
      <c r="E41" s="199"/>
      <c r="F41" s="199"/>
      <c r="G41" s="107"/>
      <c r="H41" s="108"/>
      <c r="I41" s="116">
        <f t="shared" si="4"/>
        <v>698</v>
      </c>
      <c r="J41" s="160">
        <f t="shared" si="4"/>
        <v>0</v>
      </c>
      <c r="K41" s="64"/>
      <c r="L41" s="196"/>
      <c r="M41" s="196"/>
      <c r="N41" s="196"/>
      <c r="O41" s="196"/>
      <c r="P41" s="196"/>
      <c r="Q41" s="204"/>
      <c r="R41" s="166">
        <f t="shared" si="7"/>
        <v>0</v>
      </c>
      <c r="S41" s="278">
        <f t="shared" si="7"/>
        <v>0</v>
      </c>
      <c r="T41" s="217"/>
      <c r="U41" s="280">
        <f t="shared" si="9"/>
        <v>0</v>
      </c>
      <c r="V41" s="219">
        <f t="shared" si="6"/>
        <v>0</v>
      </c>
      <c r="W41" s="219">
        <f t="shared" si="10"/>
        <v>16752</v>
      </c>
      <c r="X41" s="66"/>
    </row>
    <row r="42" spans="1:26" ht="19.5" thickBot="1" x14ac:dyDescent="0.3">
      <c r="A42" s="3">
        <f t="shared" si="3"/>
        <v>35</v>
      </c>
      <c r="B42" s="59" t="s">
        <v>36</v>
      </c>
      <c r="C42" s="267">
        <v>1676</v>
      </c>
      <c r="D42" s="268"/>
      <c r="E42" s="269"/>
      <c r="F42" s="269"/>
      <c r="G42" s="111">
        <v>28</v>
      </c>
      <c r="H42" s="112"/>
      <c r="I42" s="111">
        <f t="shared" si="4"/>
        <v>1648</v>
      </c>
      <c r="J42" s="161">
        <f t="shared" si="4"/>
        <v>0</v>
      </c>
      <c r="K42" s="69"/>
      <c r="L42" s="269">
        <v>6</v>
      </c>
      <c r="M42" s="269"/>
      <c r="N42" s="269">
        <v>2</v>
      </c>
      <c r="O42" s="269"/>
      <c r="P42" s="269">
        <v>20</v>
      </c>
      <c r="Q42" s="270"/>
      <c r="R42" s="167">
        <f t="shared" si="7"/>
        <v>28</v>
      </c>
      <c r="S42" s="281">
        <f t="shared" si="7"/>
        <v>0</v>
      </c>
      <c r="T42" s="276"/>
      <c r="U42" s="277">
        <f>L42*12+N42*12+P42*12</f>
        <v>336</v>
      </c>
      <c r="V42" s="282">
        <f>U42/12</f>
        <v>28</v>
      </c>
      <c r="W42" s="276">
        <f>I42*12+J42</f>
        <v>19776</v>
      </c>
      <c r="X42" s="63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166">
        <f t="shared" si="7"/>
        <v>0</v>
      </c>
      <c r="S43" s="283">
        <f t="shared" si="7"/>
        <v>0</v>
      </c>
      <c r="T43" s="272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>
        <v>31208</v>
      </c>
      <c r="D44" s="198">
        <v>3</v>
      </c>
      <c r="E44" s="199"/>
      <c r="F44" s="199"/>
      <c r="G44" s="107">
        <v>967</v>
      </c>
      <c r="H44" s="108"/>
      <c r="I44" s="93">
        <f>C44+E44-G44</f>
        <v>30241</v>
      </c>
      <c r="J44" s="173">
        <f t="shared" si="4"/>
        <v>3</v>
      </c>
      <c r="K44" s="64"/>
      <c r="L44" s="205">
        <v>303</v>
      </c>
      <c r="M44" s="205"/>
      <c r="N44" s="205">
        <v>292</v>
      </c>
      <c r="O44" s="205"/>
      <c r="P44" s="205">
        <v>372</v>
      </c>
      <c r="Q44" s="206"/>
      <c r="R44" s="168">
        <f t="shared" si="7"/>
        <v>967</v>
      </c>
      <c r="S44" s="281">
        <f t="shared" si="7"/>
        <v>0</v>
      </c>
      <c r="T44" s="217"/>
      <c r="U44" s="215">
        <f>L44*6+N44*6+P44*6</f>
        <v>5802</v>
      </c>
      <c r="V44" s="214">
        <f>U44/6</f>
        <v>967</v>
      </c>
      <c r="W44" s="217">
        <f>I44*6+J44</f>
        <v>181449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83">
        <f t="shared" si="7"/>
        <v>0</v>
      </c>
      <c r="T45" s="272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84">
        <f t="shared" si="7"/>
        <v>0</v>
      </c>
      <c r="T46" s="272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73">
        <f t="shared" si="7"/>
        <v>0</v>
      </c>
      <c r="T47" s="272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13" t="s">
        <v>39</v>
      </c>
      <c r="C48" s="194">
        <v>2365</v>
      </c>
      <c r="D48" s="195">
        <v>5</v>
      </c>
      <c r="E48" s="196"/>
      <c r="F48" s="196"/>
      <c r="G48" s="102"/>
      <c r="H48" s="93"/>
      <c r="I48" s="93">
        <f t="shared" si="4"/>
        <v>2365</v>
      </c>
      <c r="J48" s="103">
        <f t="shared" si="4"/>
        <v>5</v>
      </c>
      <c r="K48" s="44"/>
      <c r="L48" s="196"/>
      <c r="M48" s="196"/>
      <c r="N48" s="196"/>
      <c r="O48" s="196"/>
      <c r="P48" s="196"/>
      <c r="Q48" s="204"/>
      <c r="R48" s="128">
        <f t="shared" si="7"/>
        <v>0</v>
      </c>
      <c r="S48" s="273">
        <f t="shared" si="7"/>
        <v>0</v>
      </c>
      <c r="T48" s="272"/>
      <c r="U48" s="191">
        <f>L48*6+N48*6+P48*6</f>
        <v>0</v>
      </c>
      <c r="V48" s="214">
        <f>U48/6</f>
        <v>0</v>
      </c>
      <c r="W48" s="213">
        <f>I48*6+J48</f>
        <v>14195</v>
      </c>
      <c r="X48" s="30"/>
    </row>
    <row r="49" spans="1:24" ht="19.5" thickBot="1" x14ac:dyDescent="0.3">
      <c r="A49" s="3">
        <f t="shared" si="3"/>
        <v>42</v>
      </c>
      <c r="B49" s="13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28">
        <f t="shared" si="7"/>
        <v>0</v>
      </c>
      <c r="S49" s="273">
        <f t="shared" si="7"/>
        <v>0</v>
      </c>
      <c r="T49" s="272"/>
      <c r="U49" s="191">
        <f t="shared" ref="U49:U51" si="14">L49*24+N49*24+P49*24</f>
        <v>0</v>
      </c>
      <c r="V49" s="214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73">
        <f t="shared" si="7"/>
        <v>0</v>
      </c>
      <c r="T50" s="272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73">
        <f t="shared" si="7"/>
        <v>0</v>
      </c>
      <c r="T51" s="272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13" t="s">
        <v>41</v>
      </c>
      <c r="C52" s="194">
        <v>34</v>
      </c>
      <c r="D52" s="195"/>
      <c r="E52" s="196"/>
      <c r="F52" s="196"/>
      <c r="G52" s="102"/>
      <c r="H52" s="93"/>
      <c r="I52" s="93">
        <f t="shared" si="4"/>
        <v>34</v>
      </c>
      <c r="J52" s="103">
        <f t="shared" si="4"/>
        <v>0</v>
      </c>
      <c r="K52" s="44"/>
      <c r="L52" s="196"/>
      <c r="M52" s="196"/>
      <c r="N52" s="196"/>
      <c r="O52" s="196"/>
      <c r="P52" s="196"/>
      <c r="Q52" s="204"/>
      <c r="R52" s="128">
        <f t="shared" si="7"/>
        <v>0</v>
      </c>
      <c r="S52" s="273">
        <f t="shared" si="7"/>
        <v>0</v>
      </c>
      <c r="T52" s="272"/>
      <c r="U52" s="191">
        <f>L52*6+N52*6+P52*6</f>
        <v>0</v>
      </c>
      <c r="V52" s="214">
        <f>U52/6</f>
        <v>0</v>
      </c>
      <c r="W52" s="213">
        <f>I52*6+J52</f>
        <v>204</v>
      </c>
      <c r="X52" s="30"/>
    </row>
    <row r="53" spans="1:24" ht="19.5" thickBot="1" x14ac:dyDescent="0.3">
      <c r="A53" s="3">
        <f t="shared" si="3"/>
        <v>46</v>
      </c>
      <c r="B53" s="13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28">
        <f t="shared" si="7"/>
        <v>0</v>
      </c>
      <c r="S53" s="273">
        <f t="shared" si="7"/>
        <v>0</v>
      </c>
      <c r="T53" s="272"/>
      <c r="U53" s="191">
        <f t="shared" ref="U53:U54" si="17">L53*24+N53*24+P53*24</f>
        <v>0</v>
      </c>
      <c r="V53" s="214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>
        <v>2</v>
      </c>
      <c r="D54" s="195"/>
      <c r="E54" s="196"/>
      <c r="F54" s="196"/>
      <c r="G54" s="102"/>
      <c r="H54" s="93"/>
      <c r="I54" s="93">
        <f t="shared" si="4"/>
        <v>2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73">
        <f t="shared" si="7"/>
        <v>0</v>
      </c>
      <c r="T54" s="272"/>
      <c r="U54" s="191">
        <f t="shared" si="17"/>
        <v>0</v>
      </c>
      <c r="V54" s="214">
        <f t="shared" si="18"/>
        <v>0</v>
      </c>
      <c r="W54" s="213">
        <f t="shared" si="19"/>
        <v>48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73">
        <f t="shared" si="7"/>
        <v>0</v>
      </c>
      <c r="T55" s="272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73">
        <f t="shared" si="7"/>
        <v>0</v>
      </c>
      <c r="T56" s="272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73">
        <f t="shared" si="7"/>
        <v>0</v>
      </c>
      <c r="T57" s="272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73">
        <f t="shared" si="7"/>
        <v>0</v>
      </c>
      <c r="T58" s="272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73">
        <f t="shared" si="7"/>
        <v>0</v>
      </c>
      <c r="T59" s="272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44436</v>
      </c>
      <c r="D60" s="71">
        <f>SUM(D8:D59)</f>
        <v>64</v>
      </c>
      <c r="E60" s="47">
        <f>SUM(E8:E59)</f>
        <v>0</v>
      </c>
      <c r="F60" s="47"/>
      <c r="G60" s="31">
        <f>SUM(G8:G59)</f>
        <v>1120</v>
      </c>
      <c r="H60" s="73">
        <f>SUM(H8:H59)</f>
        <v>18</v>
      </c>
      <c r="I60" s="73">
        <f>SUM(I8:I59)</f>
        <v>43316</v>
      </c>
      <c r="J60" s="48">
        <f>SUM(J8:J59)</f>
        <v>46</v>
      </c>
      <c r="K60" s="49"/>
      <c r="L60" s="98">
        <f t="shared" ref="L60:S60" si="20">SUM(L8:L59)</f>
        <v>339</v>
      </c>
      <c r="M60" s="98">
        <f t="shared" si="20"/>
        <v>8</v>
      </c>
      <c r="N60" s="98">
        <f t="shared" si="20"/>
        <v>327</v>
      </c>
      <c r="O60" s="98">
        <f t="shared" si="20"/>
        <v>6</v>
      </c>
      <c r="P60" s="98">
        <f t="shared" si="20"/>
        <v>454</v>
      </c>
      <c r="Q60" s="99">
        <f t="shared" si="20"/>
        <v>4</v>
      </c>
      <c r="R60" s="127">
        <f t="shared" si="20"/>
        <v>1120</v>
      </c>
      <c r="S60" s="124">
        <f t="shared" si="20"/>
        <v>18</v>
      </c>
      <c r="T60" s="49"/>
      <c r="U60" s="46">
        <f>SUM(U8:U59)</f>
        <v>7284</v>
      </c>
      <c r="V60" s="176">
        <f>SUM(V8:V59)</f>
        <v>1120</v>
      </c>
      <c r="W60" s="156">
        <f>SUM(W8:W59)</f>
        <v>355492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179" t="s">
        <v>3</v>
      </c>
      <c r="D69" s="180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0E46-1C86-48F7-90EB-0F46D64CAEFA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46071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184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07"/>
      <c r="T6" s="44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07"/>
      <c r="T7" s="44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>
        <v>33</v>
      </c>
      <c r="D8" s="195"/>
      <c r="E8" s="196"/>
      <c r="F8" s="196"/>
      <c r="G8" s="102"/>
      <c r="H8" s="93"/>
      <c r="I8" s="93">
        <f>C8-G8</f>
        <v>33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08">
        <f t="shared" si="1"/>
        <v>0</v>
      </c>
      <c r="T8" s="44"/>
      <c r="U8" s="191">
        <f>L8*24+N8*24+P8*24</f>
        <v>0</v>
      </c>
      <c r="V8" s="214">
        <f>U8/24</f>
        <v>0</v>
      </c>
      <c r="W8" s="213">
        <f t="shared" ref="W8:W12" si="2">I8*24+J8</f>
        <v>792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>
        <v>95</v>
      </c>
      <c r="D9" s="198"/>
      <c r="E9" s="199"/>
      <c r="F9" s="199"/>
      <c r="G9" s="107">
        <v>1</v>
      </c>
      <c r="H9" s="108"/>
      <c r="I9" s="107">
        <f t="shared" ref="I9:J59" si="4">C9-G9</f>
        <v>94</v>
      </c>
      <c r="J9" s="160">
        <f t="shared" si="0"/>
        <v>0</v>
      </c>
      <c r="K9" s="64"/>
      <c r="L9" s="205"/>
      <c r="M9" s="205"/>
      <c r="N9" s="205">
        <v>1</v>
      </c>
      <c r="O9" s="205"/>
      <c r="P9" s="205"/>
      <c r="Q9" s="206"/>
      <c r="R9" s="166">
        <f t="shared" si="1"/>
        <v>1</v>
      </c>
      <c r="S9" s="209">
        <f t="shared" si="1"/>
        <v>0</v>
      </c>
      <c r="T9" s="64"/>
      <c r="U9" s="215">
        <f>L9*24+N9*24+P9*24</f>
        <v>24</v>
      </c>
      <c r="V9" s="216">
        <f>U9/24</f>
        <v>1</v>
      </c>
      <c r="W9" s="217">
        <f t="shared" si="2"/>
        <v>2256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10">
        <f t="shared" si="1"/>
        <v>0</v>
      </c>
      <c r="T10" s="44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>
        <v>59</v>
      </c>
      <c r="D11" s="195"/>
      <c r="E11" s="196"/>
      <c r="F11" s="196"/>
      <c r="G11" s="102">
        <v>1</v>
      </c>
      <c r="H11" s="93"/>
      <c r="I11" s="93">
        <f t="shared" si="4"/>
        <v>58</v>
      </c>
      <c r="J11" s="103">
        <f t="shared" si="0"/>
        <v>0</v>
      </c>
      <c r="K11" s="44"/>
      <c r="L11" s="196"/>
      <c r="M11" s="196"/>
      <c r="N11" s="196">
        <v>1</v>
      </c>
      <c r="O11" s="196"/>
      <c r="P11" s="196"/>
      <c r="Q11" s="204"/>
      <c r="R11" s="128">
        <f t="shared" si="1"/>
        <v>1</v>
      </c>
      <c r="S11" s="208">
        <f t="shared" si="1"/>
        <v>0</v>
      </c>
      <c r="T11" s="44"/>
      <c r="U11" s="191">
        <f>L11*24+N11*24+P11*24</f>
        <v>24</v>
      </c>
      <c r="V11" s="214">
        <f>U11/24</f>
        <v>1</v>
      </c>
      <c r="W11" s="213">
        <f t="shared" si="2"/>
        <v>1392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4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08">
        <f t="shared" si="1"/>
        <v>0</v>
      </c>
      <c r="T12" s="44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24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>
        <v>3494</v>
      </c>
      <c r="D13" s="198">
        <v>20</v>
      </c>
      <c r="E13" s="199"/>
      <c r="F13" s="199"/>
      <c r="G13" s="107">
        <v>19</v>
      </c>
      <c r="H13" s="108">
        <v>10</v>
      </c>
      <c r="I13" s="116">
        <f t="shared" si="4"/>
        <v>3475</v>
      </c>
      <c r="J13" s="160">
        <f>D13-H13</f>
        <v>10</v>
      </c>
      <c r="K13" s="68"/>
      <c r="L13" s="205"/>
      <c r="M13" s="205"/>
      <c r="N13" s="205">
        <v>11</v>
      </c>
      <c r="O13" s="205">
        <v>10</v>
      </c>
      <c r="P13" s="205">
        <v>8</v>
      </c>
      <c r="Q13" s="206"/>
      <c r="R13" s="163">
        <f>L13+N13+P13</f>
        <v>19</v>
      </c>
      <c r="S13" s="209">
        <f>M13+O13+Q13</f>
        <v>10</v>
      </c>
      <c r="T13" s="68"/>
      <c r="U13" s="215">
        <f>L13*24+N13*24+P13*24</f>
        <v>456</v>
      </c>
      <c r="V13" s="219">
        <f t="shared" si="6"/>
        <v>19</v>
      </c>
      <c r="W13" s="217">
        <f>I13*24+J13</f>
        <v>83410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159">
        <f t="shared" si="4"/>
        <v>5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10">
        <f t="shared" si="7"/>
        <v>0</v>
      </c>
      <c r="T14" s="44"/>
      <c r="U14" s="191">
        <f t="shared" si="5"/>
        <v>0</v>
      </c>
      <c r="V14" s="193">
        <f t="shared" si="6"/>
        <v>0</v>
      </c>
      <c r="W14" s="213">
        <f t="shared" ref="W14:W37" si="8">I14*24+J14</f>
        <v>120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08">
        <f t="shared" si="7"/>
        <v>0</v>
      </c>
      <c r="T15" s="44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08">
        <f t="shared" si="7"/>
        <v>0</v>
      </c>
      <c r="T16" s="44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08">
        <f t="shared" si="7"/>
        <v>0</v>
      </c>
      <c r="T17" s="44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4"/>
        <v>4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08">
        <f t="shared" si="7"/>
        <v>0</v>
      </c>
      <c r="T18" s="44"/>
      <c r="U18" s="191">
        <f t="shared" si="5"/>
        <v>0</v>
      </c>
      <c r="V18" s="214">
        <f t="shared" si="6"/>
        <v>0</v>
      </c>
      <c r="W18" s="213">
        <f t="shared" si="8"/>
        <v>96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08">
        <f t="shared" si="7"/>
        <v>0</v>
      </c>
      <c r="T19" s="44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4"/>
        <v>4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08">
        <f t="shared" si="7"/>
        <v>0</v>
      </c>
      <c r="T20" s="44"/>
      <c r="U20" s="191">
        <f t="shared" si="5"/>
        <v>0</v>
      </c>
      <c r="V20" s="214">
        <f t="shared" si="6"/>
        <v>0</v>
      </c>
      <c r="W20" s="213">
        <f t="shared" si="8"/>
        <v>96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4"/>
        <v>6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08">
        <f t="shared" si="7"/>
        <v>0</v>
      </c>
      <c r="T21" s="44"/>
      <c r="U21" s="191">
        <f t="shared" si="5"/>
        <v>0</v>
      </c>
      <c r="V21" s="214">
        <f t="shared" si="6"/>
        <v>0</v>
      </c>
      <c r="W21" s="213">
        <f t="shared" si="8"/>
        <v>144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4"/>
        <v>4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08">
        <f t="shared" si="7"/>
        <v>0</v>
      </c>
      <c r="T22" s="44"/>
      <c r="U22" s="191">
        <f t="shared" si="5"/>
        <v>0</v>
      </c>
      <c r="V22" s="214">
        <f t="shared" si="6"/>
        <v>0</v>
      </c>
      <c r="W22" s="213">
        <f t="shared" si="8"/>
        <v>96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4"/>
        <v>2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08">
        <f t="shared" si="7"/>
        <v>0</v>
      </c>
      <c r="T23" s="45"/>
      <c r="U23" s="191">
        <f t="shared" si="5"/>
        <v>0</v>
      </c>
      <c r="V23" s="214">
        <f t="shared" si="6"/>
        <v>0</v>
      </c>
      <c r="W23" s="213">
        <f t="shared" si="8"/>
        <v>48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4"/>
        <v>48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08">
        <f t="shared" si="7"/>
        <v>0</v>
      </c>
      <c r="T24" s="45"/>
      <c r="U24" s="191">
        <f t="shared" si="5"/>
        <v>0</v>
      </c>
      <c r="V24" s="214">
        <f t="shared" si="6"/>
        <v>0</v>
      </c>
      <c r="W24" s="213">
        <f t="shared" si="8"/>
        <v>1152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4"/>
        <v>7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08">
        <f t="shared" si="7"/>
        <v>0</v>
      </c>
      <c r="T25" s="44"/>
      <c r="U25" s="191">
        <f t="shared" si="5"/>
        <v>0</v>
      </c>
      <c r="V25" s="214">
        <f t="shared" si="6"/>
        <v>0</v>
      </c>
      <c r="W25" s="213">
        <f t="shared" si="8"/>
        <v>168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>
        <v>89</v>
      </c>
      <c r="D26" s="195">
        <v>23</v>
      </c>
      <c r="E26" s="196"/>
      <c r="F26" s="196"/>
      <c r="G26" s="102">
        <v>2</v>
      </c>
      <c r="H26" s="93"/>
      <c r="I26" s="93">
        <f t="shared" si="4"/>
        <v>87</v>
      </c>
      <c r="J26" s="103">
        <f t="shared" si="4"/>
        <v>23</v>
      </c>
      <c r="K26" s="44"/>
      <c r="L26" s="196"/>
      <c r="M26" s="196"/>
      <c r="N26" s="196">
        <v>2</v>
      </c>
      <c r="O26" s="196"/>
      <c r="P26" s="196"/>
      <c r="Q26" s="204"/>
      <c r="R26" s="128">
        <f t="shared" si="7"/>
        <v>2</v>
      </c>
      <c r="S26" s="208">
        <f t="shared" si="7"/>
        <v>0</v>
      </c>
      <c r="T26" s="44"/>
      <c r="U26" s="191">
        <f t="shared" si="5"/>
        <v>48</v>
      </c>
      <c r="V26" s="214">
        <f t="shared" si="6"/>
        <v>2</v>
      </c>
      <c r="W26" s="213">
        <f t="shared" si="8"/>
        <v>2111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08">
        <f t="shared" si="7"/>
        <v>0</v>
      </c>
      <c r="T27" s="4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08">
        <f t="shared" si="7"/>
        <v>0</v>
      </c>
      <c r="T28" s="4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>
        <v>36</v>
      </c>
      <c r="D29" s="195"/>
      <c r="E29" s="196"/>
      <c r="F29" s="196"/>
      <c r="G29" s="102">
        <v>3</v>
      </c>
      <c r="H29" s="93"/>
      <c r="I29" s="93">
        <f t="shared" si="4"/>
        <v>33</v>
      </c>
      <c r="J29" s="103">
        <f t="shared" si="4"/>
        <v>0</v>
      </c>
      <c r="K29" s="45"/>
      <c r="L29" s="196"/>
      <c r="M29" s="196"/>
      <c r="N29" s="196">
        <v>3</v>
      </c>
      <c r="O29" s="196"/>
      <c r="P29" s="196"/>
      <c r="Q29" s="204"/>
      <c r="R29" s="128">
        <f t="shared" si="7"/>
        <v>3</v>
      </c>
      <c r="S29" s="208">
        <f t="shared" si="7"/>
        <v>0</v>
      </c>
      <c r="T29" s="45"/>
      <c r="U29" s="191">
        <f t="shared" si="5"/>
        <v>72</v>
      </c>
      <c r="V29" s="214">
        <f t="shared" si="6"/>
        <v>3</v>
      </c>
      <c r="W29" s="213">
        <f t="shared" si="8"/>
        <v>792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08">
        <f t="shared" si="7"/>
        <v>0</v>
      </c>
      <c r="T30" s="44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>
        <v>63</v>
      </c>
      <c r="D31" s="195"/>
      <c r="E31" s="196"/>
      <c r="F31" s="196"/>
      <c r="G31" s="102"/>
      <c r="H31" s="93"/>
      <c r="I31" s="93">
        <f t="shared" si="4"/>
        <v>63</v>
      </c>
      <c r="J31" s="103">
        <f t="shared" si="4"/>
        <v>0</v>
      </c>
      <c r="K31" s="44"/>
      <c r="L31" s="196"/>
      <c r="M31" s="196"/>
      <c r="N31" s="196"/>
      <c r="O31" s="196"/>
      <c r="P31" s="196"/>
      <c r="Q31" s="204"/>
      <c r="R31" s="128">
        <f t="shared" si="7"/>
        <v>0</v>
      </c>
      <c r="S31" s="208">
        <f t="shared" si="7"/>
        <v>0</v>
      </c>
      <c r="T31" s="44"/>
      <c r="U31" s="191">
        <f t="shared" si="5"/>
        <v>0</v>
      </c>
      <c r="V31" s="214">
        <f t="shared" si="6"/>
        <v>0</v>
      </c>
      <c r="W31" s="213">
        <f t="shared" si="8"/>
        <v>1512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08">
        <f t="shared" si="7"/>
        <v>0</v>
      </c>
      <c r="T32" s="44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08">
        <f t="shared" si="7"/>
        <v>0</v>
      </c>
      <c r="T33" s="44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08">
        <f t="shared" si="7"/>
        <v>0</v>
      </c>
      <c r="T34" s="44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>
        <v>104</v>
      </c>
      <c r="D35" s="195">
        <v>17</v>
      </c>
      <c r="E35" s="196"/>
      <c r="F35" s="196"/>
      <c r="G35" s="102"/>
      <c r="H35" s="93"/>
      <c r="I35" s="93">
        <f t="shared" si="4"/>
        <v>104</v>
      </c>
      <c r="J35" s="103">
        <f t="shared" si="4"/>
        <v>17</v>
      </c>
      <c r="K35" s="44"/>
      <c r="L35" s="196"/>
      <c r="M35" s="196"/>
      <c r="N35" s="196"/>
      <c r="O35" s="196"/>
      <c r="P35" s="196"/>
      <c r="Q35" s="204"/>
      <c r="R35" s="128">
        <f t="shared" si="7"/>
        <v>0</v>
      </c>
      <c r="S35" s="208">
        <f t="shared" si="7"/>
        <v>0</v>
      </c>
      <c r="T35" s="44"/>
      <c r="U35" s="191">
        <f t="shared" si="5"/>
        <v>0</v>
      </c>
      <c r="V35" s="214">
        <f t="shared" si="6"/>
        <v>0</v>
      </c>
      <c r="W35" s="213">
        <f t="shared" si="8"/>
        <v>2513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08">
        <f t="shared" si="7"/>
        <v>0</v>
      </c>
      <c r="T36" s="44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08">
        <f t="shared" si="7"/>
        <v>0</v>
      </c>
      <c r="T37" s="44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222" t="s">
        <v>33</v>
      </c>
      <c r="C38" s="197">
        <v>4269</v>
      </c>
      <c r="D38" s="198">
        <v>2</v>
      </c>
      <c r="E38" s="199"/>
      <c r="F38" s="199"/>
      <c r="G38" s="107">
        <v>112</v>
      </c>
      <c r="H38" s="108"/>
      <c r="I38" s="223">
        <f t="shared" si="4"/>
        <v>4157</v>
      </c>
      <c r="J38" s="224">
        <f t="shared" si="4"/>
        <v>2</v>
      </c>
      <c r="K38" s="64"/>
      <c r="L38" s="205"/>
      <c r="M38" s="205"/>
      <c r="N38" s="205">
        <v>18</v>
      </c>
      <c r="O38" s="205"/>
      <c r="P38" s="205">
        <v>94</v>
      </c>
      <c r="Q38" s="206"/>
      <c r="R38" s="163">
        <f t="shared" si="7"/>
        <v>112</v>
      </c>
      <c r="S38" s="209">
        <f t="shared" si="7"/>
        <v>0</v>
      </c>
      <c r="T38" s="64"/>
      <c r="U38" s="215">
        <f>L38*6+N38*6+P38*6</f>
        <v>672</v>
      </c>
      <c r="V38" s="219">
        <f>U38/6</f>
        <v>112</v>
      </c>
      <c r="W38" s="217">
        <f>I38*6+J38</f>
        <v>24944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>
        <v>4</v>
      </c>
      <c r="D39" s="195"/>
      <c r="E39" s="196"/>
      <c r="F39" s="196"/>
      <c r="G39" s="102"/>
      <c r="H39" s="93"/>
      <c r="I39" s="102">
        <f t="shared" si="4"/>
        <v>4</v>
      </c>
      <c r="J39" s="103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10">
        <f t="shared" si="7"/>
        <v>0</v>
      </c>
      <c r="T39" s="44"/>
      <c r="U39" s="191">
        <f t="shared" ref="U39:U41" si="9">L39*24+N39*24+P39*24</f>
        <v>0</v>
      </c>
      <c r="V39" s="193">
        <f t="shared" si="6"/>
        <v>0</v>
      </c>
      <c r="W39" s="213">
        <f t="shared" ref="W39:W41" si="10">I39*24+J39</f>
        <v>96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08">
        <f t="shared" si="7"/>
        <v>0</v>
      </c>
      <c r="T40" s="44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229" t="s">
        <v>35</v>
      </c>
      <c r="C41" s="230">
        <v>698</v>
      </c>
      <c r="D41" s="231"/>
      <c r="E41" s="232"/>
      <c r="F41" s="232"/>
      <c r="G41" s="233">
        <v>2</v>
      </c>
      <c r="H41" s="234"/>
      <c r="I41" s="235">
        <f t="shared" si="4"/>
        <v>696</v>
      </c>
      <c r="J41" s="236">
        <f t="shared" si="4"/>
        <v>0</v>
      </c>
      <c r="K41" s="237"/>
      <c r="L41" s="238"/>
      <c r="M41" s="238"/>
      <c r="N41" s="238"/>
      <c r="O41" s="238"/>
      <c r="P41" s="238">
        <v>2</v>
      </c>
      <c r="Q41" s="239"/>
      <c r="R41" s="240">
        <f t="shared" si="7"/>
        <v>2</v>
      </c>
      <c r="S41" s="241">
        <f t="shared" si="7"/>
        <v>0</v>
      </c>
      <c r="T41" s="237"/>
      <c r="U41" s="242">
        <f t="shared" si="9"/>
        <v>48</v>
      </c>
      <c r="V41" s="243">
        <f t="shared" si="6"/>
        <v>2</v>
      </c>
      <c r="W41" s="243">
        <f t="shared" si="10"/>
        <v>16704</v>
      </c>
      <c r="X41" s="244"/>
    </row>
    <row r="42" spans="1:26" ht="19.5" thickBot="1" x14ac:dyDescent="0.3">
      <c r="A42" s="3">
        <f t="shared" si="3"/>
        <v>35</v>
      </c>
      <c r="B42" s="246" t="s">
        <v>36</v>
      </c>
      <c r="C42" s="247">
        <v>1648</v>
      </c>
      <c r="D42" s="248"/>
      <c r="E42" s="249"/>
      <c r="F42" s="249"/>
      <c r="G42" s="250">
        <v>9</v>
      </c>
      <c r="H42" s="251"/>
      <c r="I42" s="250">
        <f t="shared" si="4"/>
        <v>1639</v>
      </c>
      <c r="J42" s="252">
        <f t="shared" si="4"/>
        <v>0</v>
      </c>
      <c r="K42" s="253"/>
      <c r="L42" s="249"/>
      <c r="M42" s="249"/>
      <c r="N42" s="249">
        <v>9</v>
      </c>
      <c r="O42" s="249"/>
      <c r="P42" s="249"/>
      <c r="Q42" s="254"/>
      <c r="R42" s="255">
        <f t="shared" si="7"/>
        <v>9</v>
      </c>
      <c r="S42" s="256">
        <f t="shared" si="7"/>
        <v>0</v>
      </c>
      <c r="T42" s="253"/>
      <c r="U42" s="257">
        <f>L42*12+N42*12+P42*12</f>
        <v>108</v>
      </c>
      <c r="V42" s="258">
        <f>U42/12</f>
        <v>9</v>
      </c>
      <c r="W42" s="259">
        <f>I42*12+J42</f>
        <v>19668</v>
      </c>
      <c r="X42" s="260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245">
        <f t="shared" si="7"/>
        <v>0</v>
      </c>
      <c r="S43" s="211">
        <f t="shared" si="7"/>
        <v>0</v>
      </c>
      <c r="T43" s="44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>
        <v>30241</v>
      </c>
      <c r="D44" s="198">
        <v>3</v>
      </c>
      <c r="E44" s="199"/>
      <c r="F44" s="199"/>
      <c r="G44" s="107">
        <v>530</v>
      </c>
      <c r="H44" s="108"/>
      <c r="I44" s="93">
        <f>C44+E44-G44</f>
        <v>29711</v>
      </c>
      <c r="J44" s="261">
        <f t="shared" si="4"/>
        <v>3</v>
      </c>
      <c r="K44" s="64"/>
      <c r="L44" s="205"/>
      <c r="M44" s="205"/>
      <c r="N44" s="205">
        <v>280</v>
      </c>
      <c r="O44" s="205"/>
      <c r="P44" s="205">
        <v>250</v>
      </c>
      <c r="Q44" s="206"/>
      <c r="R44" s="262">
        <f t="shared" si="7"/>
        <v>530</v>
      </c>
      <c r="S44" s="263">
        <f t="shared" si="7"/>
        <v>0</v>
      </c>
      <c r="T44" s="64"/>
      <c r="U44" s="215">
        <f>L44*6+N44*6+P44*6</f>
        <v>3180</v>
      </c>
      <c r="V44" s="214">
        <f>U44/6</f>
        <v>530</v>
      </c>
      <c r="W44" s="217">
        <f>I44*6+J44</f>
        <v>178269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11">
        <f t="shared" si="7"/>
        <v>0</v>
      </c>
      <c r="T45" s="44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12">
        <f t="shared" si="7"/>
        <v>0</v>
      </c>
      <c r="T46" s="44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08">
        <f t="shared" si="7"/>
        <v>0</v>
      </c>
      <c r="T47" s="44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54" t="s">
        <v>39</v>
      </c>
      <c r="C48" s="225">
        <v>2365</v>
      </c>
      <c r="D48" s="226">
        <v>5</v>
      </c>
      <c r="E48" s="205"/>
      <c r="F48" s="205"/>
      <c r="G48" s="227">
        <v>3</v>
      </c>
      <c r="H48" s="223"/>
      <c r="I48" s="223">
        <f t="shared" si="4"/>
        <v>2362</v>
      </c>
      <c r="J48" s="224">
        <f t="shared" si="4"/>
        <v>5</v>
      </c>
      <c r="K48" s="64"/>
      <c r="L48" s="205"/>
      <c r="M48" s="205"/>
      <c r="N48" s="205">
        <v>3</v>
      </c>
      <c r="O48" s="205"/>
      <c r="P48" s="205"/>
      <c r="Q48" s="206"/>
      <c r="R48" s="163">
        <f t="shared" si="7"/>
        <v>3</v>
      </c>
      <c r="S48" s="228">
        <f t="shared" si="7"/>
        <v>0</v>
      </c>
      <c r="T48" s="64"/>
      <c r="U48" s="215">
        <f>L48*6+N48*6+P48*6</f>
        <v>18</v>
      </c>
      <c r="V48" s="219">
        <f>U48/6</f>
        <v>3</v>
      </c>
      <c r="W48" s="217">
        <f>I48*6+J48</f>
        <v>14177</v>
      </c>
      <c r="X48" s="66"/>
    </row>
    <row r="49" spans="1:24" ht="19.5" thickBot="1" x14ac:dyDescent="0.3">
      <c r="A49" s="3">
        <f t="shared" si="3"/>
        <v>42</v>
      </c>
      <c r="B49" s="10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62">
        <f t="shared" si="7"/>
        <v>0</v>
      </c>
      <c r="S49" s="210">
        <f t="shared" si="7"/>
        <v>0</v>
      </c>
      <c r="T49" s="44"/>
      <c r="U49" s="191">
        <f t="shared" ref="U49:U51" si="14">L49*24+N49*24+P49*24</f>
        <v>0</v>
      </c>
      <c r="V49" s="193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08">
        <f t="shared" si="7"/>
        <v>0</v>
      </c>
      <c r="T50" s="44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08">
        <f t="shared" si="7"/>
        <v>0</v>
      </c>
      <c r="T51" s="44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54" t="s">
        <v>41</v>
      </c>
      <c r="C52" s="225">
        <v>34</v>
      </c>
      <c r="D52" s="226"/>
      <c r="E52" s="205"/>
      <c r="F52" s="205"/>
      <c r="G52" s="227"/>
      <c r="H52" s="223"/>
      <c r="I52" s="223">
        <f t="shared" si="4"/>
        <v>34</v>
      </c>
      <c r="J52" s="224">
        <f t="shared" si="4"/>
        <v>0</v>
      </c>
      <c r="K52" s="64"/>
      <c r="L52" s="205"/>
      <c r="M52" s="205"/>
      <c r="N52" s="205"/>
      <c r="O52" s="205"/>
      <c r="P52" s="205"/>
      <c r="Q52" s="206"/>
      <c r="R52" s="163">
        <f t="shared" si="7"/>
        <v>0</v>
      </c>
      <c r="S52" s="228">
        <f t="shared" si="7"/>
        <v>0</v>
      </c>
      <c r="T52" s="64"/>
      <c r="U52" s="215">
        <f>L52*6+N52*6+P52*6</f>
        <v>0</v>
      </c>
      <c r="V52" s="219">
        <f>U52/6</f>
        <v>0</v>
      </c>
      <c r="W52" s="217">
        <f>I52*6+J52</f>
        <v>204</v>
      </c>
      <c r="X52" s="66"/>
    </row>
    <row r="53" spans="1:24" ht="19.5" thickBot="1" x14ac:dyDescent="0.3">
      <c r="A53" s="3">
        <f t="shared" si="3"/>
        <v>46</v>
      </c>
      <c r="B53" s="10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62">
        <f t="shared" si="7"/>
        <v>0</v>
      </c>
      <c r="S53" s="210">
        <f t="shared" si="7"/>
        <v>0</v>
      </c>
      <c r="T53" s="44"/>
      <c r="U53" s="191">
        <f t="shared" ref="U53:U54" si="17">L53*24+N53*24+P53*24</f>
        <v>0</v>
      </c>
      <c r="V53" s="193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>
        <v>2</v>
      </c>
      <c r="D54" s="195"/>
      <c r="E54" s="196"/>
      <c r="F54" s="196"/>
      <c r="G54" s="102"/>
      <c r="H54" s="93"/>
      <c r="I54" s="93">
        <f t="shared" si="4"/>
        <v>2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08">
        <f t="shared" si="7"/>
        <v>0</v>
      </c>
      <c r="T54" s="44"/>
      <c r="U54" s="191">
        <f t="shared" si="17"/>
        <v>0</v>
      </c>
      <c r="V54" s="214">
        <f t="shared" si="18"/>
        <v>0</v>
      </c>
      <c r="W54" s="213">
        <f t="shared" si="19"/>
        <v>48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08">
        <f t="shared" si="7"/>
        <v>0</v>
      </c>
      <c r="T55" s="44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08">
        <f t="shared" si="7"/>
        <v>0</v>
      </c>
      <c r="T56" s="44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08">
        <f t="shared" si="7"/>
        <v>0</v>
      </c>
      <c r="T57" s="44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08">
        <f t="shared" si="7"/>
        <v>0</v>
      </c>
      <c r="T58" s="44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08">
        <f t="shared" si="7"/>
        <v>0</v>
      </c>
      <c r="T59" s="44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43315</v>
      </c>
      <c r="D60" s="71">
        <f>SUM(D8:D59)</f>
        <v>70</v>
      </c>
      <c r="E60" s="47">
        <f>SUM(E8:E59)</f>
        <v>0</v>
      </c>
      <c r="F60" s="47"/>
      <c r="G60" s="31">
        <f>SUM(G8:G59)</f>
        <v>682</v>
      </c>
      <c r="H60" s="73">
        <f>SUM(H8:H59)</f>
        <v>10</v>
      </c>
      <c r="I60" s="73">
        <f>SUM(I8:I59)</f>
        <v>42633</v>
      </c>
      <c r="J60" s="48">
        <f>SUM(J8:J59)</f>
        <v>60</v>
      </c>
      <c r="K60" s="49"/>
      <c r="L60" s="98">
        <f t="shared" ref="L60:S60" si="20">SUM(L8:L59)</f>
        <v>0</v>
      </c>
      <c r="M60" s="98">
        <f t="shared" si="20"/>
        <v>0</v>
      </c>
      <c r="N60" s="98">
        <f t="shared" si="20"/>
        <v>328</v>
      </c>
      <c r="O60" s="98">
        <f t="shared" si="20"/>
        <v>10</v>
      </c>
      <c r="P60" s="98">
        <f t="shared" si="20"/>
        <v>354</v>
      </c>
      <c r="Q60" s="99">
        <f t="shared" si="20"/>
        <v>0</v>
      </c>
      <c r="R60" s="127">
        <f t="shared" si="20"/>
        <v>682</v>
      </c>
      <c r="S60" s="124">
        <f t="shared" si="20"/>
        <v>10</v>
      </c>
      <c r="T60" s="49"/>
      <c r="U60" s="46">
        <f>SUM(U8:U59)</f>
        <v>4650</v>
      </c>
      <c r="V60" s="176">
        <f>SUM(V8:V59)</f>
        <v>682</v>
      </c>
      <c r="W60" s="156">
        <f>SUM(W8:W59)</f>
        <v>350832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182" t="s">
        <v>3</v>
      </c>
      <c r="D69" s="183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F750-3D1C-4077-BE1E-4E3AB73F0352}">
  <sheetPr>
    <pageSetUpPr fitToPage="1"/>
  </sheetPr>
  <dimension ref="A1:BH90"/>
  <sheetViews>
    <sheetView view="pageBreakPreview" zoomScale="55" zoomScaleNormal="85" zoomScaleSheetLayoutView="55" zoomScalePageLayoutView="80" workbookViewId="0">
      <selection activeCell="D8" sqref="D8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/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187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07"/>
      <c r="T6" s="44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07"/>
      <c r="T7" s="44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/>
      <c r="D8" s="195"/>
      <c r="E8" s="196"/>
      <c r="F8" s="196"/>
      <c r="G8" s="102"/>
      <c r="H8" s="93"/>
      <c r="I8" s="93"/>
      <c r="J8" s="103"/>
      <c r="K8" s="44"/>
      <c r="L8" s="196"/>
      <c r="M8" s="196"/>
      <c r="N8" s="196"/>
      <c r="O8" s="196"/>
      <c r="P8" s="196"/>
      <c r="Q8" s="204"/>
      <c r="R8" s="128"/>
      <c r="S8" s="208"/>
      <c r="T8" s="44"/>
      <c r="U8" s="191"/>
      <c r="V8" s="214"/>
      <c r="W8" s="213"/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0">A8+1</f>
        <v>2</v>
      </c>
      <c r="B9" s="54" t="s">
        <v>49</v>
      </c>
      <c r="C9" s="197"/>
      <c r="D9" s="198"/>
      <c r="E9" s="199"/>
      <c r="F9" s="199"/>
      <c r="G9" s="107"/>
      <c r="H9" s="108"/>
      <c r="I9" s="107"/>
      <c r="J9" s="160"/>
      <c r="K9" s="64"/>
      <c r="L9" s="205"/>
      <c r="M9" s="205"/>
      <c r="N9" s="205"/>
      <c r="O9" s="205"/>
      <c r="P9" s="205"/>
      <c r="Q9" s="206"/>
      <c r="R9" s="166"/>
      <c r="S9" s="209"/>
      <c r="T9" s="64"/>
      <c r="U9" s="215"/>
      <c r="V9" s="216"/>
      <c r="W9" s="217"/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0"/>
        <v>3</v>
      </c>
      <c r="B10" s="10" t="s">
        <v>47</v>
      </c>
      <c r="C10" s="194"/>
      <c r="D10" s="195"/>
      <c r="E10" s="196"/>
      <c r="F10" s="196"/>
      <c r="G10" s="102"/>
      <c r="H10" s="93"/>
      <c r="I10" s="93"/>
      <c r="J10" s="161"/>
      <c r="K10" s="44"/>
      <c r="L10" s="196"/>
      <c r="M10" s="196"/>
      <c r="N10" s="196"/>
      <c r="O10" s="196"/>
      <c r="P10" s="196"/>
      <c r="Q10" s="204"/>
      <c r="R10" s="167"/>
      <c r="S10" s="210"/>
      <c r="T10" s="44"/>
      <c r="U10" s="191"/>
      <c r="V10" s="218"/>
      <c r="W10" s="213"/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0"/>
        <v>4</v>
      </c>
      <c r="B11" s="13" t="s">
        <v>50</v>
      </c>
      <c r="C11" s="194"/>
      <c r="D11" s="195"/>
      <c r="E11" s="196"/>
      <c r="F11" s="196"/>
      <c r="G11" s="102"/>
      <c r="H11" s="93"/>
      <c r="I11" s="93"/>
      <c r="J11" s="103"/>
      <c r="K11" s="44"/>
      <c r="L11" s="196"/>
      <c r="M11" s="196"/>
      <c r="N11" s="196"/>
      <c r="O11" s="196"/>
      <c r="P11" s="196"/>
      <c r="Q11" s="204"/>
      <c r="R11" s="128"/>
      <c r="S11" s="208"/>
      <c r="T11" s="44"/>
      <c r="U11" s="191"/>
      <c r="V11" s="214"/>
      <c r="W11" s="213"/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0"/>
        <v>5</v>
      </c>
      <c r="B12" s="13" t="s">
        <v>48</v>
      </c>
      <c r="C12" s="194"/>
      <c r="D12" s="195"/>
      <c r="E12" s="196"/>
      <c r="F12" s="196"/>
      <c r="G12" s="102"/>
      <c r="H12" s="93"/>
      <c r="I12" s="93"/>
      <c r="J12" s="103"/>
      <c r="K12" s="44"/>
      <c r="L12" s="196"/>
      <c r="M12" s="196"/>
      <c r="N12" s="196"/>
      <c r="O12" s="196"/>
      <c r="P12" s="196"/>
      <c r="Q12" s="204"/>
      <c r="R12" s="128"/>
      <c r="S12" s="208"/>
      <c r="T12" s="44"/>
      <c r="U12" s="191"/>
      <c r="V12" s="214"/>
      <c r="W12" s="213"/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0"/>
        <v>6</v>
      </c>
      <c r="B13" s="54" t="s">
        <v>44</v>
      </c>
      <c r="C13" s="197"/>
      <c r="D13" s="198"/>
      <c r="E13" s="199"/>
      <c r="F13" s="199"/>
      <c r="G13" s="107"/>
      <c r="H13" s="108"/>
      <c r="I13" s="116"/>
      <c r="J13" s="160"/>
      <c r="K13" s="68"/>
      <c r="L13" s="205"/>
      <c r="M13" s="205"/>
      <c r="N13" s="205"/>
      <c r="O13" s="205"/>
      <c r="P13" s="205"/>
      <c r="Q13" s="206"/>
      <c r="R13" s="163"/>
      <c r="S13" s="209"/>
      <c r="T13" s="68"/>
      <c r="U13" s="215"/>
      <c r="V13" s="219"/>
      <c r="W13" s="217"/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0"/>
        <v>7</v>
      </c>
      <c r="B14" s="10" t="s">
        <v>15</v>
      </c>
      <c r="C14" s="194"/>
      <c r="D14" s="195"/>
      <c r="E14" s="196"/>
      <c r="F14" s="196"/>
      <c r="G14" s="102"/>
      <c r="H14" s="93"/>
      <c r="I14" s="159"/>
      <c r="J14" s="161"/>
      <c r="K14" s="44"/>
      <c r="L14" s="196"/>
      <c r="M14" s="196"/>
      <c r="N14" s="196"/>
      <c r="O14" s="196"/>
      <c r="P14" s="196"/>
      <c r="Q14" s="204"/>
      <c r="R14" s="162"/>
      <c r="S14" s="210"/>
      <c r="T14" s="44"/>
      <c r="U14" s="191"/>
      <c r="V14" s="193"/>
      <c r="W14" s="213"/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0"/>
        <v>8</v>
      </c>
      <c r="B15" s="13" t="s">
        <v>16</v>
      </c>
      <c r="C15" s="194"/>
      <c r="D15" s="195"/>
      <c r="E15" s="196"/>
      <c r="F15" s="196"/>
      <c r="G15" s="102"/>
      <c r="H15" s="93"/>
      <c r="I15" s="93"/>
      <c r="J15" s="103"/>
      <c r="K15" s="44"/>
      <c r="L15" s="196"/>
      <c r="M15" s="196"/>
      <c r="N15" s="196"/>
      <c r="O15" s="196"/>
      <c r="P15" s="196"/>
      <c r="Q15" s="204"/>
      <c r="R15" s="128"/>
      <c r="S15" s="208"/>
      <c r="T15" s="44"/>
      <c r="U15" s="191"/>
      <c r="V15" s="214"/>
      <c r="W15" s="213"/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0"/>
        <v>9</v>
      </c>
      <c r="B16" s="13" t="s">
        <v>17</v>
      </c>
      <c r="C16" s="194"/>
      <c r="D16" s="195"/>
      <c r="E16" s="196"/>
      <c r="F16" s="196"/>
      <c r="G16" s="102"/>
      <c r="H16" s="93"/>
      <c r="I16" s="93"/>
      <c r="J16" s="103"/>
      <c r="K16" s="44"/>
      <c r="L16" s="196"/>
      <c r="M16" s="196"/>
      <c r="N16" s="196"/>
      <c r="O16" s="196"/>
      <c r="P16" s="196"/>
      <c r="Q16" s="204"/>
      <c r="R16" s="128"/>
      <c r="S16" s="208"/>
      <c r="T16" s="44"/>
      <c r="U16" s="191"/>
      <c r="V16" s="214"/>
      <c r="W16" s="213"/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0"/>
        <v>10</v>
      </c>
      <c r="B17" s="13" t="s">
        <v>18</v>
      </c>
      <c r="C17" s="194"/>
      <c r="D17" s="195"/>
      <c r="E17" s="196"/>
      <c r="F17" s="196"/>
      <c r="G17" s="102"/>
      <c r="H17" s="93"/>
      <c r="I17" s="93"/>
      <c r="J17" s="103"/>
      <c r="K17" s="44"/>
      <c r="L17" s="196"/>
      <c r="M17" s="196"/>
      <c r="N17" s="196"/>
      <c r="O17" s="196"/>
      <c r="P17" s="196"/>
      <c r="Q17" s="204"/>
      <c r="R17" s="128"/>
      <c r="S17" s="208"/>
      <c r="T17" s="44"/>
      <c r="U17" s="191"/>
      <c r="V17" s="214"/>
      <c r="W17" s="213"/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0"/>
        <v>11</v>
      </c>
      <c r="B18" s="13" t="s">
        <v>19</v>
      </c>
      <c r="C18" s="194"/>
      <c r="D18" s="195"/>
      <c r="E18" s="196"/>
      <c r="F18" s="196"/>
      <c r="G18" s="102"/>
      <c r="H18" s="93"/>
      <c r="I18" s="93"/>
      <c r="J18" s="103"/>
      <c r="K18" s="44"/>
      <c r="L18" s="196"/>
      <c r="M18" s="196"/>
      <c r="N18" s="196"/>
      <c r="O18" s="196"/>
      <c r="P18" s="196"/>
      <c r="Q18" s="204"/>
      <c r="R18" s="128"/>
      <c r="S18" s="208"/>
      <c r="T18" s="44"/>
      <c r="U18" s="191"/>
      <c r="V18" s="214"/>
      <c r="W18" s="213"/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0"/>
        <v>12</v>
      </c>
      <c r="B19" s="13" t="s">
        <v>23</v>
      </c>
      <c r="C19" s="194"/>
      <c r="D19" s="195"/>
      <c r="E19" s="196"/>
      <c r="F19" s="196"/>
      <c r="G19" s="102"/>
      <c r="H19" s="93"/>
      <c r="I19" s="93"/>
      <c r="J19" s="103"/>
      <c r="K19" s="44"/>
      <c r="L19" s="196"/>
      <c r="M19" s="196"/>
      <c r="N19" s="196"/>
      <c r="O19" s="196"/>
      <c r="P19" s="196"/>
      <c r="Q19" s="204"/>
      <c r="R19" s="128"/>
      <c r="S19" s="208"/>
      <c r="T19" s="44"/>
      <c r="U19" s="191"/>
      <c r="V19" s="214"/>
      <c r="W19" s="213"/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0"/>
        <v>13</v>
      </c>
      <c r="B20" s="13" t="s">
        <v>67</v>
      </c>
      <c r="C20" s="194"/>
      <c r="D20" s="195"/>
      <c r="E20" s="196"/>
      <c r="F20" s="196"/>
      <c r="G20" s="102"/>
      <c r="H20" s="93"/>
      <c r="I20" s="93"/>
      <c r="J20" s="103"/>
      <c r="K20" s="44"/>
      <c r="L20" s="196"/>
      <c r="M20" s="196"/>
      <c r="N20" s="196"/>
      <c r="O20" s="196"/>
      <c r="P20" s="196"/>
      <c r="Q20" s="204"/>
      <c r="R20" s="128"/>
      <c r="S20" s="208"/>
      <c r="T20" s="44"/>
      <c r="U20" s="191"/>
      <c r="V20" s="214"/>
      <c r="W20" s="213"/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0"/>
        <v>14</v>
      </c>
      <c r="B21" s="13" t="s">
        <v>20</v>
      </c>
      <c r="C21" s="194"/>
      <c r="D21" s="195"/>
      <c r="E21" s="196"/>
      <c r="F21" s="196"/>
      <c r="G21" s="102"/>
      <c r="H21" s="93"/>
      <c r="I21" s="93"/>
      <c r="J21" s="103"/>
      <c r="K21" s="44"/>
      <c r="L21" s="196"/>
      <c r="M21" s="196"/>
      <c r="N21" s="196"/>
      <c r="O21" s="196"/>
      <c r="P21" s="196"/>
      <c r="Q21" s="204"/>
      <c r="R21" s="128"/>
      <c r="S21" s="208"/>
      <c r="T21" s="44"/>
      <c r="U21" s="191"/>
      <c r="V21" s="214"/>
      <c r="W21" s="213"/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0"/>
        <v>15</v>
      </c>
      <c r="B22" s="13" t="s">
        <v>21</v>
      </c>
      <c r="C22" s="194"/>
      <c r="D22" s="195"/>
      <c r="E22" s="196"/>
      <c r="F22" s="196"/>
      <c r="G22" s="102"/>
      <c r="H22" s="93"/>
      <c r="I22" s="93"/>
      <c r="J22" s="103"/>
      <c r="K22" s="44"/>
      <c r="L22" s="196"/>
      <c r="M22" s="196"/>
      <c r="N22" s="196"/>
      <c r="O22" s="196"/>
      <c r="P22" s="196"/>
      <c r="Q22" s="204"/>
      <c r="R22" s="128"/>
      <c r="S22" s="208"/>
      <c r="T22" s="44"/>
      <c r="U22" s="191"/>
      <c r="V22" s="214"/>
      <c r="W22" s="213"/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0"/>
        <v>16</v>
      </c>
      <c r="B23" s="13" t="s">
        <v>68</v>
      </c>
      <c r="C23" s="194"/>
      <c r="D23" s="195"/>
      <c r="E23" s="196"/>
      <c r="F23" s="196"/>
      <c r="G23" s="102"/>
      <c r="H23" s="93"/>
      <c r="I23" s="93"/>
      <c r="J23" s="103"/>
      <c r="K23" s="45"/>
      <c r="L23" s="196"/>
      <c r="M23" s="196"/>
      <c r="N23" s="196"/>
      <c r="O23" s="196"/>
      <c r="P23" s="196"/>
      <c r="Q23" s="204"/>
      <c r="R23" s="128"/>
      <c r="S23" s="208"/>
      <c r="T23" s="45"/>
      <c r="U23" s="191"/>
      <c r="V23" s="214"/>
      <c r="W23" s="213"/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0"/>
        <v>17</v>
      </c>
      <c r="B24" s="13" t="s">
        <v>69</v>
      </c>
      <c r="C24" s="194"/>
      <c r="D24" s="195"/>
      <c r="E24" s="196"/>
      <c r="F24" s="196"/>
      <c r="G24" s="102"/>
      <c r="H24" s="93"/>
      <c r="I24" s="93"/>
      <c r="J24" s="103"/>
      <c r="K24" s="45"/>
      <c r="L24" s="196"/>
      <c r="M24" s="196"/>
      <c r="N24" s="196"/>
      <c r="O24" s="196"/>
      <c r="P24" s="196"/>
      <c r="Q24" s="204"/>
      <c r="R24" s="128"/>
      <c r="S24" s="208"/>
      <c r="T24" s="45"/>
      <c r="U24" s="191"/>
      <c r="V24" s="214"/>
      <c r="W24" s="213"/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0"/>
        <v>18</v>
      </c>
      <c r="B25" s="13" t="s">
        <v>70</v>
      </c>
      <c r="C25" s="194"/>
      <c r="D25" s="195"/>
      <c r="E25" s="196"/>
      <c r="F25" s="196"/>
      <c r="G25" s="102"/>
      <c r="H25" s="93"/>
      <c r="I25" s="93"/>
      <c r="J25" s="103"/>
      <c r="K25" s="44"/>
      <c r="L25" s="196"/>
      <c r="M25" s="196"/>
      <c r="N25" s="196"/>
      <c r="O25" s="196"/>
      <c r="P25" s="196"/>
      <c r="Q25" s="204"/>
      <c r="R25" s="128"/>
      <c r="S25" s="208"/>
      <c r="T25" s="44"/>
      <c r="U25" s="191"/>
      <c r="V25" s="214"/>
      <c r="W25" s="213"/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0"/>
        <v>19</v>
      </c>
      <c r="B26" s="13" t="s">
        <v>22</v>
      </c>
      <c r="C26" s="194"/>
      <c r="D26" s="195"/>
      <c r="E26" s="196"/>
      <c r="F26" s="196"/>
      <c r="G26" s="102"/>
      <c r="H26" s="93"/>
      <c r="I26" s="93"/>
      <c r="J26" s="103"/>
      <c r="K26" s="44"/>
      <c r="L26" s="196"/>
      <c r="M26" s="196"/>
      <c r="N26" s="196"/>
      <c r="O26" s="196"/>
      <c r="P26" s="196"/>
      <c r="Q26" s="204"/>
      <c r="R26" s="128"/>
      <c r="S26" s="208"/>
      <c r="T26" s="44"/>
      <c r="U26" s="191"/>
      <c r="V26" s="214"/>
      <c r="W26" s="213"/>
      <c r="X26" s="30"/>
      <c r="BE26" s="14" t="e">
        <f>#REF!-BE25</f>
        <v>#REF!</v>
      </c>
    </row>
    <row r="27" spans="1:60" s="1" customFormat="1" ht="19.5" thickBot="1" x14ac:dyDescent="0.3">
      <c r="A27" s="3">
        <f t="shared" si="0"/>
        <v>20</v>
      </c>
      <c r="B27" s="13" t="s">
        <v>24</v>
      </c>
      <c r="C27" s="194"/>
      <c r="D27" s="195"/>
      <c r="E27" s="196"/>
      <c r="F27" s="196"/>
      <c r="G27" s="102"/>
      <c r="H27" s="93"/>
      <c r="I27" s="93"/>
      <c r="J27" s="103"/>
      <c r="K27" s="45"/>
      <c r="L27" s="196"/>
      <c r="M27" s="196"/>
      <c r="N27" s="196"/>
      <c r="O27" s="196"/>
      <c r="P27" s="196"/>
      <c r="Q27" s="204"/>
      <c r="R27" s="128"/>
      <c r="S27" s="208"/>
      <c r="T27" s="45"/>
      <c r="U27" s="191"/>
      <c r="V27" s="214"/>
      <c r="W27" s="213"/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0"/>
        <v>21</v>
      </c>
      <c r="B28" s="13" t="s">
        <v>77</v>
      </c>
      <c r="C28" s="194"/>
      <c r="D28" s="195"/>
      <c r="E28" s="196"/>
      <c r="F28" s="196"/>
      <c r="G28" s="102"/>
      <c r="H28" s="93"/>
      <c r="I28" s="93"/>
      <c r="J28" s="103"/>
      <c r="K28" s="45"/>
      <c r="L28" s="196"/>
      <c r="M28" s="196"/>
      <c r="N28" s="196"/>
      <c r="O28" s="196"/>
      <c r="P28" s="196"/>
      <c r="Q28" s="204"/>
      <c r="R28" s="128"/>
      <c r="S28" s="208"/>
      <c r="T28" s="45"/>
      <c r="U28" s="191"/>
      <c r="V28" s="214"/>
      <c r="W28" s="213"/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0"/>
        <v>22</v>
      </c>
      <c r="B29" s="13" t="s">
        <v>25</v>
      </c>
      <c r="C29" s="194"/>
      <c r="D29" s="195"/>
      <c r="E29" s="196"/>
      <c r="F29" s="196"/>
      <c r="G29" s="102"/>
      <c r="H29" s="93"/>
      <c r="I29" s="93"/>
      <c r="J29" s="103"/>
      <c r="K29" s="45"/>
      <c r="L29" s="196"/>
      <c r="M29" s="196"/>
      <c r="N29" s="196"/>
      <c r="O29" s="196"/>
      <c r="P29" s="196"/>
      <c r="Q29" s="204"/>
      <c r="R29" s="128"/>
      <c r="S29" s="208"/>
      <c r="T29" s="45"/>
      <c r="U29" s="191"/>
      <c r="V29" s="214"/>
      <c r="W29" s="213"/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0"/>
        <v>23</v>
      </c>
      <c r="B30" s="13" t="s">
        <v>27</v>
      </c>
      <c r="C30" s="194"/>
      <c r="D30" s="195"/>
      <c r="E30" s="196"/>
      <c r="F30" s="196"/>
      <c r="G30" s="102"/>
      <c r="H30" s="93"/>
      <c r="I30" s="93"/>
      <c r="J30" s="103"/>
      <c r="K30" s="44"/>
      <c r="L30" s="196"/>
      <c r="M30" s="196"/>
      <c r="N30" s="196"/>
      <c r="O30" s="196"/>
      <c r="P30" s="196"/>
      <c r="Q30" s="204"/>
      <c r="R30" s="128"/>
      <c r="S30" s="208"/>
      <c r="T30" s="44"/>
      <c r="U30" s="191"/>
      <c r="V30" s="214"/>
      <c r="W30" s="213"/>
      <c r="X30" s="30"/>
    </row>
    <row r="31" spans="1:60" ht="19.5" thickBot="1" x14ac:dyDescent="0.3">
      <c r="A31" s="3">
        <f t="shared" si="0"/>
        <v>24</v>
      </c>
      <c r="B31" s="13" t="s">
        <v>29</v>
      </c>
      <c r="C31" s="194"/>
      <c r="D31" s="195"/>
      <c r="E31" s="196"/>
      <c r="F31" s="196"/>
      <c r="G31" s="102"/>
      <c r="H31" s="93"/>
      <c r="I31" s="93"/>
      <c r="J31" s="103"/>
      <c r="K31" s="44"/>
      <c r="L31" s="196"/>
      <c r="M31" s="196"/>
      <c r="N31" s="196"/>
      <c r="O31" s="196"/>
      <c r="P31" s="196"/>
      <c r="Q31" s="204"/>
      <c r="R31" s="128"/>
      <c r="S31" s="208"/>
      <c r="T31" s="44"/>
      <c r="U31" s="191"/>
      <c r="V31" s="214"/>
      <c r="W31" s="213"/>
      <c r="X31" s="30"/>
    </row>
    <row r="32" spans="1:60" ht="19.5" thickBot="1" x14ac:dyDescent="0.3">
      <c r="A32" s="3">
        <f t="shared" si="0"/>
        <v>25</v>
      </c>
      <c r="B32" s="13" t="s">
        <v>26</v>
      </c>
      <c r="C32" s="194"/>
      <c r="D32" s="195"/>
      <c r="E32" s="196"/>
      <c r="F32" s="196"/>
      <c r="G32" s="102"/>
      <c r="H32" s="93"/>
      <c r="I32" s="93"/>
      <c r="J32" s="103"/>
      <c r="K32" s="44"/>
      <c r="L32" s="196"/>
      <c r="M32" s="196"/>
      <c r="N32" s="196"/>
      <c r="O32" s="196"/>
      <c r="P32" s="196"/>
      <c r="Q32" s="204"/>
      <c r="R32" s="128"/>
      <c r="S32" s="208"/>
      <c r="T32" s="44"/>
      <c r="U32" s="191"/>
      <c r="V32" s="214"/>
      <c r="W32" s="213"/>
      <c r="X32" s="30"/>
    </row>
    <row r="33" spans="1:26" ht="19.5" thickBot="1" x14ac:dyDescent="0.3">
      <c r="A33" s="3">
        <f t="shared" si="0"/>
        <v>26</v>
      </c>
      <c r="B33" s="13" t="s">
        <v>28</v>
      </c>
      <c r="C33" s="194"/>
      <c r="D33" s="195"/>
      <c r="E33" s="196"/>
      <c r="F33" s="196"/>
      <c r="G33" s="102"/>
      <c r="H33" s="93"/>
      <c r="I33" s="93"/>
      <c r="J33" s="103"/>
      <c r="K33" s="44"/>
      <c r="L33" s="196"/>
      <c r="M33" s="196"/>
      <c r="N33" s="196"/>
      <c r="O33" s="196"/>
      <c r="P33" s="196"/>
      <c r="Q33" s="204"/>
      <c r="R33" s="128"/>
      <c r="S33" s="208"/>
      <c r="T33" s="44"/>
      <c r="U33" s="191"/>
      <c r="V33" s="214"/>
      <c r="W33" s="213"/>
      <c r="X33" s="30"/>
    </row>
    <row r="34" spans="1:26" ht="19.5" thickBot="1" x14ac:dyDescent="0.3">
      <c r="A34" s="3">
        <f t="shared" si="0"/>
        <v>27</v>
      </c>
      <c r="B34" s="13" t="s">
        <v>30</v>
      </c>
      <c r="C34" s="194"/>
      <c r="D34" s="195"/>
      <c r="E34" s="196"/>
      <c r="F34" s="196"/>
      <c r="G34" s="102"/>
      <c r="H34" s="93"/>
      <c r="I34" s="93"/>
      <c r="J34" s="103"/>
      <c r="K34" s="44"/>
      <c r="L34" s="196"/>
      <c r="M34" s="196"/>
      <c r="N34" s="196"/>
      <c r="O34" s="196"/>
      <c r="P34" s="196"/>
      <c r="Q34" s="204"/>
      <c r="R34" s="128"/>
      <c r="S34" s="208"/>
      <c r="T34" s="44"/>
      <c r="U34" s="191"/>
      <c r="V34" s="214"/>
      <c r="W34" s="213"/>
      <c r="X34" s="30"/>
    </row>
    <row r="35" spans="1:26" ht="19.5" thickBot="1" x14ac:dyDescent="0.3">
      <c r="A35" s="3">
        <f t="shared" si="0"/>
        <v>28</v>
      </c>
      <c r="B35" s="13" t="s">
        <v>31</v>
      </c>
      <c r="C35" s="194"/>
      <c r="D35" s="195"/>
      <c r="E35" s="196"/>
      <c r="F35" s="196"/>
      <c r="G35" s="102"/>
      <c r="H35" s="93"/>
      <c r="I35" s="93"/>
      <c r="J35" s="103"/>
      <c r="K35" s="44"/>
      <c r="L35" s="196"/>
      <c r="M35" s="196"/>
      <c r="N35" s="196"/>
      <c r="O35" s="196"/>
      <c r="P35" s="196"/>
      <c r="Q35" s="204"/>
      <c r="R35" s="128"/>
      <c r="S35" s="208"/>
      <c r="T35" s="44"/>
      <c r="U35" s="191"/>
      <c r="V35" s="214"/>
      <c r="W35" s="213"/>
      <c r="X35" s="30"/>
    </row>
    <row r="36" spans="1:26" ht="18.75" hidden="1" customHeight="1" x14ac:dyDescent="0.3">
      <c r="A36" s="3">
        <f t="shared" si="0"/>
        <v>29</v>
      </c>
      <c r="B36" s="13" t="s">
        <v>39</v>
      </c>
      <c r="C36" s="194"/>
      <c r="D36" s="195"/>
      <c r="E36" s="196"/>
      <c r="F36" s="196"/>
      <c r="G36" s="102"/>
      <c r="H36" s="93"/>
      <c r="I36" s="93"/>
      <c r="J36" s="103"/>
      <c r="K36" s="44"/>
      <c r="L36" s="196"/>
      <c r="M36" s="196"/>
      <c r="N36" s="196"/>
      <c r="O36" s="196"/>
      <c r="P36" s="196"/>
      <c r="Q36" s="204"/>
      <c r="R36" s="128"/>
      <c r="S36" s="208"/>
      <c r="T36" s="44"/>
      <c r="U36" s="191"/>
      <c r="V36" s="214"/>
      <c r="W36" s="213"/>
      <c r="X36" s="30"/>
    </row>
    <row r="37" spans="1:26" ht="18.75" customHeight="1" thickBot="1" x14ac:dyDescent="0.3">
      <c r="A37" s="3">
        <f t="shared" si="0"/>
        <v>30</v>
      </c>
      <c r="B37" s="13" t="s">
        <v>32</v>
      </c>
      <c r="C37" s="194"/>
      <c r="D37" s="195"/>
      <c r="E37" s="196"/>
      <c r="F37" s="196"/>
      <c r="G37" s="102"/>
      <c r="H37" s="93"/>
      <c r="I37" s="93"/>
      <c r="J37" s="103"/>
      <c r="K37" s="44"/>
      <c r="L37" s="196"/>
      <c r="M37" s="196"/>
      <c r="N37" s="196"/>
      <c r="O37" s="196"/>
      <c r="P37" s="196"/>
      <c r="Q37" s="204"/>
      <c r="R37" s="128"/>
      <c r="S37" s="208"/>
      <c r="T37" s="44"/>
      <c r="U37" s="191"/>
      <c r="V37" s="214"/>
      <c r="W37" s="213"/>
      <c r="X37" s="30"/>
    </row>
    <row r="38" spans="1:26" ht="19.5" thickBot="1" x14ac:dyDescent="0.3">
      <c r="A38" s="3">
        <f t="shared" si="0"/>
        <v>31</v>
      </c>
      <c r="B38" s="222" t="s">
        <v>33</v>
      </c>
      <c r="C38" s="197"/>
      <c r="D38" s="198"/>
      <c r="E38" s="199"/>
      <c r="F38" s="199"/>
      <c r="G38" s="107"/>
      <c r="H38" s="108"/>
      <c r="I38" s="223"/>
      <c r="J38" s="224"/>
      <c r="K38" s="64"/>
      <c r="L38" s="205"/>
      <c r="M38" s="205"/>
      <c r="N38" s="205"/>
      <c r="O38" s="205"/>
      <c r="P38" s="205"/>
      <c r="Q38" s="206"/>
      <c r="R38" s="163"/>
      <c r="S38" s="209"/>
      <c r="T38" s="64"/>
      <c r="U38" s="215"/>
      <c r="V38" s="219"/>
      <c r="W38" s="217"/>
      <c r="X38" s="66"/>
    </row>
    <row r="39" spans="1:26" ht="19.5" thickBot="1" x14ac:dyDescent="0.3">
      <c r="A39" s="3">
        <f t="shared" si="0"/>
        <v>32</v>
      </c>
      <c r="B39" s="10" t="s">
        <v>34</v>
      </c>
      <c r="C39" s="194"/>
      <c r="D39" s="195"/>
      <c r="E39" s="196"/>
      <c r="F39" s="196"/>
      <c r="G39" s="102"/>
      <c r="H39" s="93"/>
      <c r="I39" s="102"/>
      <c r="J39" s="103"/>
      <c r="K39" s="44"/>
      <c r="L39" s="196"/>
      <c r="M39" s="196"/>
      <c r="N39" s="196"/>
      <c r="O39" s="196"/>
      <c r="P39" s="196"/>
      <c r="Q39" s="204"/>
      <c r="R39" s="162"/>
      <c r="S39" s="210"/>
      <c r="T39" s="44"/>
      <c r="U39" s="191"/>
      <c r="V39" s="193"/>
      <c r="W39" s="213"/>
      <c r="X39" s="30"/>
    </row>
    <row r="40" spans="1:26" ht="19.5" thickBot="1" x14ac:dyDescent="0.3">
      <c r="A40" s="3">
        <f t="shared" si="0"/>
        <v>33</v>
      </c>
      <c r="B40" s="117" t="s">
        <v>76</v>
      </c>
      <c r="C40" s="200"/>
      <c r="D40" s="201"/>
      <c r="E40" s="202"/>
      <c r="F40" s="202"/>
      <c r="G40" s="121"/>
      <c r="H40" s="116"/>
      <c r="I40" s="93"/>
      <c r="J40" s="103"/>
      <c r="K40" s="44"/>
      <c r="L40" s="196"/>
      <c r="M40" s="196"/>
      <c r="N40" s="196"/>
      <c r="O40" s="196"/>
      <c r="P40" s="196"/>
      <c r="Q40" s="204"/>
      <c r="R40" s="128"/>
      <c r="S40" s="208"/>
      <c r="T40" s="44"/>
      <c r="U40" s="220"/>
      <c r="V40" s="214"/>
      <c r="W40" s="221"/>
      <c r="X40" s="158"/>
    </row>
    <row r="41" spans="1:26" ht="19.5" thickBot="1" x14ac:dyDescent="0.3">
      <c r="A41" s="3">
        <f t="shared" si="0"/>
        <v>34</v>
      </c>
      <c r="B41" s="229" t="s">
        <v>35</v>
      </c>
      <c r="C41" s="230"/>
      <c r="D41" s="231"/>
      <c r="E41" s="232"/>
      <c r="F41" s="232"/>
      <c r="G41" s="233"/>
      <c r="H41" s="234"/>
      <c r="I41" s="235"/>
      <c r="J41" s="236"/>
      <c r="K41" s="237"/>
      <c r="L41" s="238"/>
      <c r="M41" s="238"/>
      <c r="N41" s="238"/>
      <c r="O41" s="238"/>
      <c r="P41" s="238"/>
      <c r="Q41" s="239"/>
      <c r="R41" s="240"/>
      <c r="S41" s="241"/>
      <c r="T41" s="237"/>
      <c r="U41" s="242"/>
      <c r="V41" s="243"/>
      <c r="W41" s="243"/>
      <c r="X41" s="244"/>
    </row>
    <row r="42" spans="1:26" ht="19.5" thickBot="1" x14ac:dyDescent="0.3">
      <c r="A42" s="3">
        <f t="shared" si="0"/>
        <v>35</v>
      </c>
      <c r="B42" s="246" t="s">
        <v>36</v>
      </c>
      <c r="C42" s="247"/>
      <c r="D42" s="248"/>
      <c r="E42" s="249"/>
      <c r="F42" s="249"/>
      <c r="G42" s="250"/>
      <c r="H42" s="251"/>
      <c r="I42" s="250"/>
      <c r="J42" s="252"/>
      <c r="K42" s="253"/>
      <c r="L42" s="249"/>
      <c r="M42" s="249"/>
      <c r="N42" s="249"/>
      <c r="O42" s="249"/>
      <c r="P42" s="249"/>
      <c r="Q42" s="254"/>
      <c r="R42" s="255"/>
      <c r="S42" s="256"/>
      <c r="T42" s="253"/>
      <c r="U42" s="257"/>
      <c r="V42" s="258"/>
      <c r="W42" s="259"/>
      <c r="X42" s="260"/>
    </row>
    <row r="43" spans="1:26" ht="18.75" hidden="1" customHeight="1" x14ac:dyDescent="0.3">
      <c r="A43" s="3">
        <f t="shared" si="0"/>
        <v>36</v>
      </c>
      <c r="B43" s="10" t="s">
        <v>43</v>
      </c>
      <c r="C43" s="194"/>
      <c r="D43" s="195"/>
      <c r="E43" s="196"/>
      <c r="F43" s="196"/>
      <c r="G43" s="102"/>
      <c r="H43" s="93"/>
      <c r="I43" s="93"/>
      <c r="J43" s="160"/>
      <c r="K43" s="44"/>
      <c r="L43" s="196"/>
      <c r="M43" s="196"/>
      <c r="N43" s="196"/>
      <c r="O43" s="196"/>
      <c r="P43" s="196"/>
      <c r="Q43" s="204"/>
      <c r="R43" s="245"/>
      <c r="S43" s="211"/>
      <c r="T43" s="44"/>
      <c r="U43" s="191"/>
      <c r="V43" s="193"/>
      <c r="W43" s="213"/>
      <c r="X43" s="30"/>
    </row>
    <row r="44" spans="1:26" ht="19.5" thickBot="1" x14ac:dyDescent="0.3">
      <c r="A44" s="3">
        <f t="shared" si="0"/>
        <v>37</v>
      </c>
      <c r="B44" s="54" t="s">
        <v>37</v>
      </c>
      <c r="C44" s="197"/>
      <c r="D44" s="198"/>
      <c r="E44" s="199"/>
      <c r="F44" s="199"/>
      <c r="G44" s="107"/>
      <c r="H44" s="108"/>
      <c r="I44" s="93"/>
      <c r="J44" s="261"/>
      <c r="K44" s="64"/>
      <c r="L44" s="205"/>
      <c r="M44" s="205"/>
      <c r="N44" s="205"/>
      <c r="O44" s="205"/>
      <c r="P44" s="205"/>
      <c r="Q44" s="206"/>
      <c r="R44" s="262"/>
      <c r="S44" s="263"/>
      <c r="T44" s="64"/>
      <c r="U44" s="215"/>
      <c r="V44" s="214"/>
      <c r="W44" s="217"/>
      <c r="X44" s="66"/>
      <c r="Z44" s="50"/>
    </row>
    <row r="45" spans="1:26" ht="18.75" hidden="1" customHeight="1" x14ac:dyDescent="0.3">
      <c r="A45" s="3">
        <f t="shared" si="0"/>
        <v>38</v>
      </c>
      <c r="B45" s="10" t="s">
        <v>45</v>
      </c>
      <c r="C45" s="194"/>
      <c r="D45" s="195"/>
      <c r="E45" s="196"/>
      <c r="F45" s="196"/>
      <c r="G45" s="102"/>
      <c r="H45" s="93"/>
      <c r="I45" s="116"/>
      <c r="J45" s="103"/>
      <c r="K45" s="44"/>
      <c r="L45" s="196"/>
      <c r="M45" s="196"/>
      <c r="N45" s="196"/>
      <c r="O45" s="196"/>
      <c r="P45" s="196"/>
      <c r="Q45" s="204"/>
      <c r="R45" s="162"/>
      <c r="S45" s="211"/>
      <c r="T45" s="44"/>
      <c r="U45" s="191"/>
      <c r="V45" s="216"/>
      <c r="W45" s="213"/>
      <c r="X45" s="30"/>
    </row>
    <row r="46" spans="1:26" ht="19.5" thickBot="1" x14ac:dyDescent="0.3">
      <c r="A46" s="3">
        <f t="shared" si="0"/>
        <v>39</v>
      </c>
      <c r="B46" s="13" t="s">
        <v>38</v>
      </c>
      <c r="C46" s="194"/>
      <c r="D46" s="195"/>
      <c r="E46" s="196"/>
      <c r="F46" s="196"/>
      <c r="G46" s="102"/>
      <c r="H46" s="93"/>
      <c r="I46" s="159"/>
      <c r="J46" s="103"/>
      <c r="K46" s="44"/>
      <c r="L46" s="196"/>
      <c r="M46" s="196"/>
      <c r="N46" s="196"/>
      <c r="O46" s="196"/>
      <c r="P46" s="196"/>
      <c r="Q46" s="204"/>
      <c r="R46" s="128"/>
      <c r="S46" s="212"/>
      <c r="T46" s="44"/>
      <c r="U46" s="191"/>
      <c r="V46" s="218"/>
      <c r="W46" s="213"/>
      <c r="X46" s="30"/>
    </row>
    <row r="47" spans="1:26" ht="19.5" thickBot="1" x14ac:dyDescent="0.3">
      <c r="A47" s="3">
        <f t="shared" si="0"/>
        <v>40</v>
      </c>
      <c r="B47" s="13" t="s">
        <v>71</v>
      </c>
      <c r="C47" s="194"/>
      <c r="D47" s="195"/>
      <c r="E47" s="196"/>
      <c r="F47" s="196"/>
      <c r="G47" s="102"/>
      <c r="H47" s="93"/>
      <c r="I47" s="93"/>
      <c r="J47" s="103"/>
      <c r="K47" s="44"/>
      <c r="L47" s="196"/>
      <c r="M47" s="196"/>
      <c r="N47" s="196"/>
      <c r="O47" s="196"/>
      <c r="P47" s="196"/>
      <c r="Q47" s="204"/>
      <c r="R47" s="128"/>
      <c r="S47" s="208"/>
      <c r="T47" s="44"/>
      <c r="U47" s="191"/>
      <c r="V47" s="214"/>
      <c r="W47" s="213"/>
      <c r="X47" s="30"/>
    </row>
    <row r="48" spans="1:26" ht="19.5" thickBot="1" x14ac:dyDescent="0.3">
      <c r="A48" s="3">
        <f t="shared" si="0"/>
        <v>41</v>
      </c>
      <c r="B48" s="54" t="s">
        <v>39</v>
      </c>
      <c r="C48" s="225"/>
      <c r="D48" s="226"/>
      <c r="E48" s="205"/>
      <c r="F48" s="205"/>
      <c r="G48" s="227"/>
      <c r="H48" s="223"/>
      <c r="I48" s="223"/>
      <c r="J48" s="224"/>
      <c r="K48" s="64"/>
      <c r="L48" s="205"/>
      <c r="M48" s="205"/>
      <c r="N48" s="205"/>
      <c r="O48" s="205"/>
      <c r="P48" s="205"/>
      <c r="Q48" s="206"/>
      <c r="R48" s="163"/>
      <c r="S48" s="228"/>
      <c r="T48" s="64"/>
      <c r="U48" s="215"/>
      <c r="V48" s="219"/>
      <c r="W48" s="217"/>
      <c r="X48" s="66"/>
    </row>
    <row r="49" spans="1:24" ht="19.5" thickBot="1" x14ac:dyDescent="0.3">
      <c r="A49" s="3">
        <f t="shared" si="0"/>
        <v>42</v>
      </c>
      <c r="B49" s="10" t="s">
        <v>72</v>
      </c>
      <c r="C49" s="194"/>
      <c r="D49" s="195"/>
      <c r="E49" s="196"/>
      <c r="F49" s="196"/>
      <c r="G49" s="102"/>
      <c r="H49" s="93"/>
      <c r="I49" s="93"/>
      <c r="J49" s="103"/>
      <c r="K49" s="44"/>
      <c r="L49" s="196"/>
      <c r="M49" s="196"/>
      <c r="N49" s="196"/>
      <c r="O49" s="196"/>
      <c r="P49" s="196"/>
      <c r="Q49" s="204"/>
      <c r="R49" s="162"/>
      <c r="S49" s="210"/>
      <c r="T49" s="44"/>
      <c r="U49" s="191"/>
      <c r="V49" s="193"/>
      <c r="W49" s="213"/>
      <c r="X49" s="30"/>
    </row>
    <row r="50" spans="1:24" ht="19.5" thickBot="1" x14ac:dyDescent="0.3">
      <c r="A50" s="3">
        <f t="shared" si="0"/>
        <v>43</v>
      </c>
      <c r="B50" s="13" t="s">
        <v>40</v>
      </c>
      <c r="C50" s="194"/>
      <c r="D50" s="195"/>
      <c r="E50" s="196"/>
      <c r="F50" s="196"/>
      <c r="G50" s="102"/>
      <c r="H50" s="93"/>
      <c r="I50" s="93"/>
      <c r="J50" s="103"/>
      <c r="K50" s="44"/>
      <c r="L50" s="196"/>
      <c r="M50" s="196"/>
      <c r="N50" s="196"/>
      <c r="O50" s="196"/>
      <c r="P50" s="196"/>
      <c r="Q50" s="204"/>
      <c r="R50" s="128"/>
      <c r="S50" s="208"/>
      <c r="T50" s="44"/>
      <c r="U50" s="191"/>
      <c r="V50" s="214"/>
      <c r="W50" s="213"/>
      <c r="X50" s="30"/>
    </row>
    <row r="51" spans="1:24" ht="19.5" thickBot="1" x14ac:dyDescent="0.3">
      <c r="A51" s="3">
        <f t="shared" si="0"/>
        <v>44</v>
      </c>
      <c r="B51" s="13" t="s">
        <v>73</v>
      </c>
      <c r="C51" s="194"/>
      <c r="D51" s="195"/>
      <c r="E51" s="196"/>
      <c r="F51" s="196"/>
      <c r="G51" s="102"/>
      <c r="H51" s="93"/>
      <c r="I51" s="93"/>
      <c r="J51" s="103"/>
      <c r="K51" s="44"/>
      <c r="L51" s="196"/>
      <c r="M51" s="196"/>
      <c r="N51" s="196"/>
      <c r="O51" s="196"/>
      <c r="P51" s="196"/>
      <c r="Q51" s="204"/>
      <c r="R51" s="128"/>
      <c r="S51" s="208"/>
      <c r="T51" s="44"/>
      <c r="U51" s="191"/>
      <c r="V51" s="214"/>
      <c r="W51" s="213"/>
      <c r="X51" s="30"/>
    </row>
    <row r="52" spans="1:24" ht="19.5" thickBot="1" x14ac:dyDescent="0.3">
      <c r="A52" s="3">
        <f t="shared" si="0"/>
        <v>45</v>
      </c>
      <c r="B52" s="54" t="s">
        <v>41</v>
      </c>
      <c r="C52" s="225"/>
      <c r="D52" s="226"/>
      <c r="E52" s="205"/>
      <c r="F52" s="205"/>
      <c r="G52" s="227"/>
      <c r="H52" s="223"/>
      <c r="I52" s="223"/>
      <c r="J52" s="224"/>
      <c r="K52" s="64"/>
      <c r="L52" s="205"/>
      <c r="M52" s="205"/>
      <c r="N52" s="205"/>
      <c r="O52" s="205"/>
      <c r="P52" s="205"/>
      <c r="Q52" s="206"/>
      <c r="R52" s="163"/>
      <c r="S52" s="228"/>
      <c r="T52" s="64"/>
      <c r="U52" s="215"/>
      <c r="V52" s="219"/>
      <c r="W52" s="217"/>
      <c r="X52" s="66"/>
    </row>
    <row r="53" spans="1:24" ht="19.5" thickBot="1" x14ac:dyDescent="0.3">
      <c r="A53" s="3">
        <f t="shared" si="0"/>
        <v>46</v>
      </c>
      <c r="B53" s="10" t="s">
        <v>42</v>
      </c>
      <c r="C53" s="194"/>
      <c r="D53" s="195"/>
      <c r="E53" s="196"/>
      <c r="F53" s="196"/>
      <c r="G53" s="102"/>
      <c r="H53" s="93"/>
      <c r="I53" s="93"/>
      <c r="J53" s="103"/>
      <c r="K53" s="44"/>
      <c r="L53" s="196"/>
      <c r="M53" s="196"/>
      <c r="N53" s="196"/>
      <c r="O53" s="196"/>
      <c r="P53" s="196"/>
      <c r="Q53" s="204"/>
      <c r="R53" s="162"/>
      <c r="S53" s="210"/>
      <c r="T53" s="44"/>
      <c r="U53" s="191"/>
      <c r="V53" s="193"/>
      <c r="W53" s="213"/>
      <c r="X53" s="30"/>
    </row>
    <row r="54" spans="1:24" ht="19.5" thickBot="1" x14ac:dyDescent="0.3">
      <c r="A54" s="3">
        <f t="shared" si="0"/>
        <v>47</v>
      </c>
      <c r="B54" s="13" t="s">
        <v>78</v>
      </c>
      <c r="C54" s="194"/>
      <c r="D54" s="195"/>
      <c r="E54" s="196"/>
      <c r="F54" s="196"/>
      <c r="G54" s="102"/>
      <c r="H54" s="93"/>
      <c r="I54" s="93"/>
      <c r="J54" s="103"/>
      <c r="K54" s="44"/>
      <c r="L54" s="196"/>
      <c r="M54" s="196"/>
      <c r="N54" s="196"/>
      <c r="O54" s="196"/>
      <c r="P54" s="196"/>
      <c r="Q54" s="204"/>
      <c r="R54" s="128"/>
      <c r="S54" s="208"/>
      <c r="T54" s="44"/>
      <c r="U54" s="191"/>
      <c r="V54" s="214"/>
      <c r="W54" s="213"/>
      <c r="X54" s="30"/>
    </row>
    <row r="55" spans="1:24" ht="19.5" thickBot="1" x14ac:dyDescent="0.3">
      <c r="A55" s="3">
        <f t="shared" si="0"/>
        <v>48</v>
      </c>
      <c r="B55" s="13"/>
      <c r="C55" s="194"/>
      <c r="D55" s="195"/>
      <c r="E55" s="196"/>
      <c r="F55" s="196"/>
      <c r="G55" s="102"/>
      <c r="H55" s="93"/>
      <c r="I55" s="93"/>
      <c r="J55" s="103"/>
      <c r="K55" s="44"/>
      <c r="L55" s="196"/>
      <c r="M55" s="196"/>
      <c r="N55" s="196"/>
      <c r="O55" s="196"/>
      <c r="P55" s="196"/>
      <c r="Q55" s="204"/>
      <c r="R55" s="128"/>
      <c r="S55" s="208"/>
      <c r="T55" s="44"/>
      <c r="U55" s="191"/>
      <c r="V55" s="214"/>
      <c r="W55" s="213"/>
      <c r="X55" s="30"/>
    </row>
    <row r="56" spans="1:24" ht="19.5" thickBot="1" x14ac:dyDescent="0.3">
      <c r="A56" s="3">
        <f t="shared" si="0"/>
        <v>49</v>
      </c>
      <c r="B56" s="13"/>
      <c r="C56" s="194"/>
      <c r="D56" s="195"/>
      <c r="E56" s="196"/>
      <c r="F56" s="196"/>
      <c r="G56" s="102"/>
      <c r="H56" s="93"/>
      <c r="I56" s="93"/>
      <c r="J56" s="103"/>
      <c r="K56" s="44"/>
      <c r="L56" s="196"/>
      <c r="M56" s="196"/>
      <c r="N56" s="196"/>
      <c r="O56" s="196"/>
      <c r="P56" s="196"/>
      <c r="Q56" s="204"/>
      <c r="R56" s="128"/>
      <c r="S56" s="208"/>
      <c r="T56" s="44"/>
      <c r="U56" s="191"/>
      <c r="V56" s="214"/>
      <c r="W56" s="213"/>
      <c r="X56" s="30"/>
    </row>
    <row r="57" spans="1:24" ht="19.5" thickBot="1" x14ac:dyDescent="0.3">
      <c r="A57" s="3">
        <f t="shared" si="0"/>
        <v>50</v>
      </c>
      <c r="B57" s="13"/>
      <c r="C57" s="194"/>
      <c r="D57" s="195"/>
      <c r="E57" s="196"/>
      <c r="F57" s="196"/>
      <c r="G57" s="102"/>
      <c r="H57" s="93"/>
      <c r="I57" s="93"/>
      <c r="J57" s="103"/>
      <c r="K57" s="44"/>
      <c r="L57" s="196"/>
      <c r="M57" s="196"/>
      <c r="N57" s="196"/>
      <c r="O57" s="196"/>
      <c r="P57" s="196"/>
      <c r="Q57" s="204"/>
      <c r="R57" s="128"/>
      <c r="S57" s="208"/>
      <c r="T57" s="44"/>
      <c r="U57" s="191"/>
      <c r="V57" s="214"/>
      <c r="W57" s="213"/>
      <c r="X57" s="30"/>
    </row>
    <row r="58" spans="1:24" ht="19.5" thickBot="1" x14ac:dyDescent="0.3">
      <c r="A58" s="3">
        <f t="shared" si="0"/>
        <v>51</v>
      </c>
      <c r="B58" s="13"/>
      <c r="C58" s="194"/>
      <c r="D58" s="195"/>
      <c r="E58" s="196"/>
      <c r="F58" s="196"/>
      <c r="G58" s="102"/>
      <c r="H58" s="93"/>
      <c r="I58" s="93"/>
      <c r="J58" s="103"/>
      <c r="K58" s="44"/>
      <c r="L58" s="196"/>
      <c r="M58" s="196"/>
      <c r="N58" s="196"/>
      <c r="O58" s="196"/>
      <c r="P58" s="196"/>
      <c r="Q58" s="204"/>
      <c r="R58" s="128"/>
      <c r="S58" s="208"/>
      <c r="T58" s="44"/>
      <c r="U58" s="191"/>
      <c r="V58" s="214"/>
      <c r="W58" s="213"/>
      <c r="X58" s="30"/>
    </row>
    <row r="59" spans="1:24" ht="19.5" thickBot="1" x14ac:dyDescent="0.3">
      <c r="A59" s="3">
        <f t="shared" si="0"/>
        <v>52</v>
      </c>
      <c r="B59" s="13"/>
      <c r="C59" s="194"/>
      <c r="D59" s="195"/>
      <c r="E59" s="196"/>
      <c r="F59" s="196"/>
      <c r="G59" s="102"/>
      <c r="H59" s="93"/>
      <c r="I59" s="93"/>
      <c r="J59" s="103"/>
      <c r="K59" s="44"/>
      <c r="L59" s="196"/>
      <c r="M59" s="196"/>
      <c r="N59" s="196"/>
      <c r="O59" s="196"/>
      <c r="P59" s="196"/>
      <c r="Q59" s="204"/>
      <c r="R59" s="128"/>
      <c r="S59" s="208"/>
      <c r="T59" s="44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/>
      <c r="D60" s="71"/>
      <c r="E60" s="47"/>
      <c r="F60" s="47"/>
      <c r="G60" s="31"/>
      <c r="H60" s="73"/>
      <c r="I60" s="73"/>
      <c r="J60" s="48"/>
      <c r="K60" s="49"/>
      <c r="L60" s="98"/>
      <c r="M60" s="98"/>
      <c r="N60" s="98"/>
      <c r="O60" s="98"/>
      <c r="P60" s="98"/>
      <c r="Q60" s="99"/>
      <c r="R60" s="127"/>
      <c r="S60" s="124"/>
      <c r="T60" s="49"/>
      <c r="U60" s="46"/>
      <c r="V60" s="176"/>
      <c r="W60" s="156"/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185" t="s">
        <v>3</v>
      </c>
      <c r="D69" s="186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" footer="0"/>
  <pageSetup paperSize="9" scale="46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F79B-AC0F-437D-8FB6-9224E8317347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46072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190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07"/>
      <c r="T6" s="44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07"/>
      <c r="T7" s="44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/>
      <c r="D8" s="195"/>
      <c r="E8" s="196"/>
      <c r="F8" s="196"/>
      <c r="G8" s="102"/>
      <c r="H8" s="93"/>
      <c r="I8" s="93">
        <f>C8-G8</f>
        <v>0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08">
        <f t="shared" si="1"/>
        <v>0</v>
      </c>
      <c r="T8" s="44"/>
      <c r="U8" s="191">
        <f>L8*24+N8*24+P8*24</f>
        <v>0</v>
      </c>
      <c r="V8" s="214">
        <f>U8/24</f>
        <v>0</v>
      </c>
      <c r="W8" s="213">
        <f t="shared" ref="W8:W12" si="2">I8*24+J8</f>
        <v>0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/>
      <c r="D9" s="198"/>
      <c r="E9" s="199"/>
      <c r="F9" s="199"/>
      <c r="G9" s="107"/>
      <c r="H9" s="108"/>
      <c r="I9" s="107">
        <f t="shared" ref="I9:J59" si="4">C9-G9</f>
        <v>0</v>
      </c>
      <c r="J9" s="160">
        <f t="shared" si="0"/>
        <v>0</v>
      </c>
      <c r="K9" s="64"/>
      <c r="L9" s="205"/>
      <c r="M9" s="205"/>
      <c r="N9" s="205"/>
      <c r="O9" s="205"/>
      <c r="P9" s="205"/>
      <c r="Q9" s="206"/>
      <c r="R9" s="166">
        <f t="shared" si="1"/>
        <v>0</v>
      </c>
      <c r="S9" s="209">
        <f t="shared" si="1"/>
        <v>0</v>
      </c>
      <c r="T9" s="64"/>
      <c r="U9" s="215">
        <f>L9*24+N9*24+P9*24</f>
        <v>0</v>
      </c>
      <c r="V9" s="216">
        <f>U9/24</f>
        <v>0</v>
      </c>
      <c r="W9" s="217">
        <f t="shared" si="2"/>
        <v>0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10">
        <f t="shared" si="1"/>
        <v>0</v>
      </c>
      <c r="T10" s="44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/>
      <c r="D11" s="195"/>
      <c r="E11" s="196"/>
      <c r="F11" s="196"/>
      <c r="G11" s="102"/>
      <c r="H11" s="93"/>
      <c r="I11" s="93">
        <f t="shared" si="4"/>
        <v>0</v>
      </c>
      <c r="J11" s="103">
        <f t="shared" si="0"/>
        <v>0</v>
      </c>
      <c r="K11" s="44"/>
      <c r="L11" s="196"/>
      <c r="M11" s="196"/>
      <c r="N11" s="196"/>
      <c r="O11" s="196"/>
      <c r="P11" s="196"/>
      <c r="Q11" s="204"/>
      <c r="R11" s="128">
        <f t="shared" si="1"/>
        <v>0</v>
      </c>
      <c r="S11" s="208">
        <f t="shared" si="1"/>
        <v>0</v>
      </c>
      <c r="T11" s="44"/>
      <c r="U11" s="191">
        <f>L11*24+N11*24+P11*24</f>
        <v>0</v>
      </c>
      <c r="V11" s="214">
        <f>U11/24</f>
        <v>0</v>
      </c>
      <c r="W11" s="213">
        <f t="shared" si="2"/>
        <v>0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/>
      <c r="D12" s="195"/>
      <c r="E12" s="196"/>
      <c r="F12" s="196"/>
      <c r="G12" s="102"/>
      <c r="H12" s="93"/>
      <c r="I12" s="93">
        <f t="shared" si="4"/>
        <v>0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08">
        <f t="shared" si="1"/>
        <v>0</v>
      </c>
      <c r="T12" s="44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0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/>
      <c r="D13" s="198"/>
      <c r="E13" s="199"/>
      <c r="F13" s="199"/>
      <c r="G13" s="107"/>
      <c r="H13" s="108"/>
      <c r="I13" s="116">
        <f t="shared" si="4"/>
        <v>0</v>
      </c>
      <c r="J13" s="160">
        <f>D13-H13</f>
        <v>0</v>
      </c>
      <c r="K13" s="68"/>
      <c r="L13" s="205"/>
      <c r="M13" s="205"/>
      <c r="N13" s="205"/>
      <c r="O13" s="205"/>
      <c r="P13" s="205"/>
      <c r="Q13" s="206"/>
      <c r="R13" s="163">
        <f>L13+N13+P13</f>
        <v>0</v>
      </c>
      <c r="S13" s="209">
        <f>M13+O13+Q13</f>
        <v>0</v>
      </c>
      <c r="T13" s="68"/>
      <c r="U13" s="215">
        <f>L13*24+N13*24+P13*24</f>
        <v>0</v>
      </c>
      <c r="V13" s="219">
        <f t="shared" si="6"/>
        <v>0</v>
      </c>
      <c r="W13" s="217">
        <f>I13*24+J13</f>
        <v>0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/>
      <c r="D14" s="195"/>
      <c r="E14" s="196"/>
      <c r="F14" s="196"/>
      <c r="G14" s="102"/>
      <c r="H14" s="93"/>
      <c r="I14" s="159">
        <f t="shared" si="4"/>
        <v>0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10">
        <f t="shared" si="7"/>
        <v>0</v>
      </c>
      <c r="T14" s="44"/>
      <c r="U14" s="191">
        <f t="shared" si="5"/>
        <v>0</v>
      </c>
      <c r="V14" s="193">
        <f t="shared" si="6"/>
        <v>0</v>
      </c>
      <c r="W14" s="213">
        <f t="shared" ref="W14:W37" si="8">I14*24+J14</f>
        <v>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08">
        <f t="shared" si="7"/>
        <v>0</v>
      </c>
      <c r="T15" s="44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08">
        <f t="shared" si="7"/>
        <v>0</v>
      </c>
      <c r="T16" s="44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08">
        <f t="shared" si="7"/>
        <v>0</v>
      </c>
      <c r="T17" s="44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/>
      <c r="D18" s="195"/>
      <c r="E18" s="196"/>
      <c r="F18" s="196"/>
      <c r="G18" s="102"/>
      <c r="H18" s="93"/>
      <c r="I18" s="93">
        <f t="shared" si="4"/>
        <v>0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08">
        <f t="shared" si="7"/>
        <v>0</v>
      </c>
      <c r="T18" s="44"/>
      <c r="U18" s="191">
        <f t="shared" si="5"/>
        <v>0</v>
      </c>
      <c r="V18" s="214">
        <f t="shared" si="6"/>
        <v>0</v>
      </c>
      <c r="W18" s="213">
        <f t="shared" si="8"/>
        <v>0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25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08">
        <f t="shared" si="7"/>
        <v>0</v>
      </c>
      <c r="T19" s="44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/>
      <c r="D20" s="195"/>
      <c r="E20" s="196"/>
      <c r="F20" s="196"/>
      <c r="G20" s="102"/>
      <c r="H20" s="93"/>
      <c r="I20" s="93">
        <f t="shared" si="4"/>
        <v>0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08">
        <f t="shared" si="7"/>
        <v>0</v>
      </c>
      <c r="T20" s="44"/>
      <c r="U20" s="191">
        <f t="shared" si="5"/>
        <v>0</v>
      </c>
      <c r="V20" s="214">
        <f t="shared" si="6"/>
        <v>0</v>
      </c>
      <c r="W20" s="213">
        <f t="shared" si="8"/>
        <v>0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/>
      <c r="D21" s="195"/>
      <c r="E21" s="196"/>
      <c r="F21" s="196"/>
      <c r="G21" s="102"/>
      <c r="H21" s="93"/>
      <c r="I21" s="93">
        <f t="shared" si="4"/>
        <v>0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08">
        <f t="shared" si="7"/>
        <v>0</v>
      </c>
      <c r="T21" s="44"/>
      <c r="U21" s="191">
        <f t="shared" si="5"/>
        <v>0</v>
      </c>
      <c r="V21" s="214">
        <f t="shared" si="6"/>
        <v>0</v>
      </c>
      <c r="W21" s="213">
        <f t="shared" si="8"/>
        <v>0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/>
      <c r="D22" s="195"/>
      <c r="E22" s="196"/>
      <c r="F22" s="196"/>
      <c r="G22" s="102"/>
      <c r="H22" s="93"/>
      <c r="I22" s="93">
        <f t="shared" si="4"/>
        <v>0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08">
        <f t="shared" si="7"/>
        <v>0</v>
      </c>
      <c r="T22" s="44"/>
      <c r="U22" s="191">
        <f t="shared" si="5"/>
        <v>0</v>
      </c>
      <c r="V22" s="214">
        <f t="shared" si="6"/>
        <v>0</v>
      </c>
      <c r="W22" s="213">
        <f t="shared" si="8"/>
        <v>0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/>
      <c r="D23" s="195"/>
      <c r="E23" s="196"/>
      <c r="F23" s="196"/>
      <c r="G23" s="102"/>
      <c r="H23" s="93"/>
      <c r="I23" s="93">
        <f t="shared" si="4"/>
        <v>0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08">
        <f t="shared" si="7"/>
        <v>0</v>
      </c>
      <c r="T23" s="45"/>
      <c r="U23" s="191">
        <f t="shared" si="5"/>
        <v>0</v>
      </c>
      <c r="V23" s="214">
        <f t="shared" si="6"/>
        <v>0</v>
      </c>
      <c r="W23" s="213">
        <f t="shared" si="8"/>
        <v>0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/>
      <c r="D24" s="195"/>
      <c r="E24" s="196"/>
      <c r="F24" s="196"/>
      <c r="G24" s="102"/>
      <c r="H24" s="93"/>
      <c r="I24" s="93">
        <f t="shared" si="4"/>
        <v>0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08">
        <f t="shared" si="7"/>
        <v>0</v>
      </c>
      <c r="T24" s="45"/>
      <c r="U24" s="191">
        <f t="shared" si="5"/>
        <v>0</v>
      </c>
      <c r="V24" s="214">
        <f t="shared" si="6"/>
        <v>0</v>
      </c>
      <c r="W24" s="213">
        <f t="shared" si="8"/>
        <v>0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/>
      <c r="D25" s="195"/>
      <c r="E25" s="196"/>
      <c r="F25" s="196"/>
      <c r="G25" s="102"/>
      <c r="H25" s="93"/>
      <c r="I25" s="93">
        <f t="shared" si="4"/>
        <v>0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08">
        <f t="shared" si="7"/>
        <v>0</v>
      </c>
      <c r="T25" s="44"/>
      <c r="U25" s="191">
        <f t="shared" si="5"/>
        <v>0</v>
      </c>
      <c r="V25" s="214">
        <f t="shared" si="6"/>
        <v>0</v>
      </c>
      <c r="W25" s="213">
        <f t="shared" si="8"/>
        <v>0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/>
      <c r="D26" s="195"/>
      <c r="E26" s="196"/>
      <c r="F26" s="196"/>
      <c r="G26" s="102"/>
      <c r="H26" s="93"/>
      <c r="I26" s="93">
        <f t="shared" si="4"/>
        <v>0</v>
      </c>
      <c r="J26" s="103">
        <f t="shared" si="4"/>
        <v>0</v>
      </c>
      <c r="K26" s="44"/>
      <c r="L26" s="196"/>
      <c r="M26" s="196"/>
      <c r="N26" s="196"/>
      <c r="O26" s="196"/>
      <c r="P26" s="196"/>
      <c r="Q26" s="204"/>
      <c r="R26" s="128">
        <f t="shared" si="7"/>
        <v>0</v>
      </c>
      <c r="S26" s="208">
        <f t="shared" si="7"/>
        <v>0</v>
      </c>
      <c r="T26" s="44"/>
      <c r="U26" s="191">
        <f t="shared" si="5"/>
        <v>0</v>
      </c>
      <c r="V26" s="214">
        <f t="shared" si="6"/>
        <v>0</v>
      </c>
      <c r="W26" s="213">
        <f t="shared" si="8"/>
        <v>0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08">
        <f t="shared" si="7"/>
        <v>0</v>
      </c>
      <c r="T27" s="4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08">
        <f t="shared" si="7"/>
        <v>0</v>
      </c>
      <c r="T28" s="4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/>
      <c r="D29" s="195"/>
      <c r="E29" s="196"/>
      <c r="F29" s="196"/>
      <c r="G29" s="102"/>
      <c r="H29" s="93"/>
      <c r="I29" s="93">
        <f t="shared" si="4"/>
        <v>0</v>
      </c>
      <c r="J29" s="103">
        <f t="shared" si="4"/>
        <v>0</v>
      </c>
      <c r="K29" s="45"/>
      <c r="L29" s="196"/>
      <c r="M29" s="196"/>
      <c r="N29" s="196"/>
      <c r="O29" s="196"/>
      <c r="P29" s="196"/>
      <c r="Q29" s="204"/>
      <c r="R29" s="128">
        <f t="shared" si="7"/>
        <v>0</v>
      </c>
      <c r="S29" s="208">
        <f t="shared" si="7"/>
        <v>0</v>
      </c>
      <c r="T29" s="45"/>
      <c r="U29" s="191">
        <f t="shared" si="5"/>
        <v>0</v>
      </c>
      <c r="V29" s="214">
        <f t="shared" si="6"/>
        <v>0</v>
      </c>
      <c r="W29" s="213">
        <f t="shared" si="8"/>
        <v>0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08">
        <f t="shared" si="7"/>
        <v>0</v>
      </c>
      <c r="T30" s="44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/>
      <c r="D31" s="195"/>
      <c r="E31" s="196"/>
      <c r="F31" s="196"/>
      <c r="G31" s="102"/>
      <c r="H31" s="93"/>
      <c r="I31" s="93">
        <f t="shared" si="4"/>
        <v>0</v>
      </c>
      <c r="J31" s="103">
        <f t="shared" si="4"/>
        <v>0</v>
      </c>
      <c r="K31" s="44"/>
      <c r="L31" s="196"/>
      <c r="M31" s="196"/>
      <c r="N31" s="196"/>
      <c r="O31" s="196"/>
      <c r="P31" s="196"/>
      <c r="Q31" s="204"/>
      <c r="R31" s="128">
        <f t="shared" si="7"/>
        <v>0</v>
      </c>
      <c r="S31" s="208">
        <f t="shared" si="7"/>
        <v>0</v>
      </c>
      <c r="T31" s="44"/>
      <c r="U31" s="191">
        <f t="shared" si="5"/>
        <v>0</v>
      </c>
      <c r="V31" s="214">
        <f t="shared" si="6"/>
        <v>0</v>
      </c>
      <c r="W31" s="213">
        <f t="shared" si="8"/>
        <v>0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08">
        <f t="shared" si="7"/>
        <v>0</v>
      </c>
      <c r="T32" s="44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08">
        <f t="shared" si="7"/>
        <v>0</v>
      </c>
      <c r="T33" s="44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08">
        <f t="shared" si="7"/>
        <v>0</v>
      </c>
      <c r="T34" s="44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/>
      <c r="D35" s="195"/>
      <c r="E35" s="196"/>
      <c r="F35" s="196"/>
      <c r="G35" s="102"/>
      <c r="H35" s="93"/>
      <c r="I35" s="93">
        <f t="shared" si="4"/>
        <v>0</v>
      </c>
      <c r="J35" s="103">
        <f t="shared" si="4"/>
        <v>0</v>
      </c>
      <c r="K35" s="44"/>
      <c r="L35" s="196"/>
      <c r="M35" s="196"/>
      <c r="N35" s="196"/>
      <c r="O35" s="196"/>
      <c r="P35" s="196"/>
      <c r="Q35" s="204"/>
      <c r="R35" s="128">
        <f t="shared" si="7"/>
        <v>0</v>
      </c>
      <c r="S35" s="208">
        <f t="shared" si="7"/>
        <v>0</v>
      </c>
      <c r="T35" s="44"/>
      <c r="U35" s="191">
        <f t="shared" si="5"/>
        <v>0</v>
      </c>
      <c r="V35" s="214">
        <f t="shared" si="6"/>
        <v>0</v>
      </c>
      <c r="W35" s="213">
        <f t="shared" si="8"/>
        <v>0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08">
        <f t="shared" si="7"/>
        <v>0</v>
      </c>
      <c r="T36" s="44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08">
        <f t="shared" si="7"/>
        <v>0</v>
      </c>
      <c r="T37" s="44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222" t="s">
        <v>33</v>
      </c>
      <c r="C38" s="197"/>
      <c r="D38" s="198"/>
      <c r="E38" s="199"/>
      <c r="F38" s="199"/>
      <c r="G38" s="107"/>
      <c r="H38" s="108"/>
      <c r="I38" s="223">
        <f t="shared" si="4"/>
        <v>0</v>
      </c>
      <c r="J38" s="224">
        <f t="shared" si="4"/>
        <v>0</v>
      </c>
      <c r="K38" s="64"/>
      <c r="L38" s="205"/>
      <c r="M38" s="205"/>
      <c r="N38" s="205"/>
      <c r="O38" s="205"/>
      <c r="P38" s="205"/>
      <c r="Q38" s="206"/>
      <c r="R38" s="163">
        <f t="shared" si="7"/>
        <v>0</v>
      </c>
      <c r="S38" s="209">
        <f t="shared" si="7"/>
        <v>0</v>
      </c>
      <c r="T38" s="64"/>
      <c r="U38" s="215">
        <f>L38*6+N38*6+P38*6</f>
        <v>0</v>
      </c>
      <c r="V38" s="219">
        <f>U38/6</f>
        <v>0</v>
      </c>
      <c r="W38" s="217">
        <f>I38*6+J38</f>
        <v>0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/>
      <c r="D39" s="195"/>
      <c r="E39" s="196"/>
      <c r="F39" s="196"/>
      <c r="G39" s="102"/>
      <c r="H39" s="93"/>
      <c r="I39" s="102">
        <f t="shared" si="4"/>
        <v>0</v>
      </c>
      <c r="J39" s="103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10">
        <f t="shared" si="7"/>
        <v>0</v>
      </c>
      <c r="T39" s="44"/>
      <c r="U39" s="191">
        <f t="shared" ref="U39:U41" si="9">L39*24+N39*24+P39*24</f>
        <v>0</v>
      </c>
      <c r="V39" s="193">
        <f t="shared" si="6"/>
        <v>0</v>
      </c>
      <c r="W39" s="213">
        <f t="shared" ref="W39:W41" si="10">I39*24+J39</f>
        <v>0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08">
        <f t="shared" si="7"/>
        <v>0</v>
      </c>
      <c r="T40" s="44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229" t="s">
        <v>35</v>
      </c>
      <c r="C41" s="230"/>
      <c r="D41" s="231"/>
      <c r="E41" s="232"/>
      <c r="F41" s="232"/>
      <c r="G41" s="233"/>
      <c r="H41" s="234"/>
      <c r="I41" s="235">
        <f t="shared" si="4"/>
        <v>0</v>
      </c>
      <c r="J41" s="236">
        <f t="shared" si="4"/>
        <v>0</v>
      </c>
      <c r="K41" s="237"/>
      <c r="L41" s="238"/>
      <c r="M41" s="238"/>
      <c r="N41" s="238"/>
      <c r="O41" s="238"/>
      <c r="P41" s="238"/>
      <c r="Q41" s="239"/>
      <c r="R41" s="240">
        <f t="shared" si="7"/>
        <v>0</v>
      </c>
      <c r="S41" s="241">
        <f t="shared" si="7"/>
        <v>0</v>
      </c>
      <c r="T41" s="237"/>
      <c r="U41" s="242">
        <f t="shared" si="9"/>
        <v>0</v>
      </c>
      <c r="V41" s="243">
        <f t="shared" si="6"/>
        <v>0</v>
      </c>
      <c r="W41" s="243">
        <f t="shared" si="10"/>
        <v>0</v>
      </c>
      <c r="X41" s="244"/>
    </row>
    <row r="42" spans="1:26" ht="19.5" thickBot="1" x14ac:dyDescent="0.3">
      <c r="A42" s="3">
        <f t="shared" si="3"/>
        <v>35</v>
      </c>
      <c r="B42" s="246" t="s">
        <v>36</v>
      </c>
      <c r="C42" s="247"/>
      <c r="D42" s="248"/>
      <c r="E42" s="249"/>
      <c r="F42" s="249"/>
      <c r="G42" s="250"/>
      <c r="H42" s="251"/>
      <c r="I42" s="250">
        <f t="shared" si="4"/>
        <v>0</v>
      </c>
      <c r="J42" s="252">
        <f t="shared" si="4"/>
        <v>0</v>
      </c>
      <c r="K42" s="253"/>
      <c r="L42" s="249"/>
      <c r="M42" s="249"/>
      <c r="N42" s="249"/>
      <c r="O42" s="249"/>
      <c r="P42" s="249"/>
      <c r="Q42" s="254"/>
      <c r="R42" s="255">
        <f t="shared" si="7"/>
        <v>0</v>
      </c>
      <c r="S42" s="256">
        <f t="shared" si="7"/>
        <v>0</v>
      </c>
      <c r="T42" s="253"/>
      <c r="U42" s="257">
        <f>L42*12+N42*12+P42*12</f>
        <v>0</v>
      </c>
      <c r="V42" s="258">
        <f>U42/12</f>
        <v>0</v>
      </c>
      <c r="W42" s="259">
        <f>I42*12+J42</f>
        <v>0</v>
      </c>
      <c r="X42" s="260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245">
        <f t="shared" si="7"/>
        <v>0</v>
      </c>
      <c r="S43" s="211">
        <f t="shared" si="7"/>
        <v>0</v>
      </c>
      <c r="T43" s="44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/>
      <c r="D44" s="198"/>
      <c r="E44" s="199"/>
      <c r="F44" s="199"/>
      <c r="G44" s="107"/>
      <c r="H44" s="108"/>
      <c r="I44" s="93">
        <f>C44+E44-G44</f>
        <v>0</v>
      </c>
      <c r="J44" s="261">
        <f t="shared" si="4"/>
        <v>0</v>
      </c>
      <c r="K44" s="64"/>
      <c r="L44" s="205"/>
      <c r="M44" s="205"/>
      <c r="N44" s="205"/>
      <c r="O44" s="205"/>
      <c r="P44" s="205"/>
      <c r="Q44" s="206"/>
      <c r="R44" s="262">
        <f t="shared" si="7"/>
        <v>0</v>
      </c>
      <c r="S44" s="263">
        <f t="shared" si="7"/>
        <v>0</v>
      </c>
      <c r="T44" s="64"/>
      <c r="U44" s="215">
        <f>L44*6+N44*6+P44*6</f>
        <v>0</v>
      </c>
      <c r="V44" s="214">
        <f>U44/6</f>
        <v>0</v>
      </c>
      <c r="W44" s="217">
        <f>I44*6+J44</f>
        <v>0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11">
        <f t="shared" si="7"/>
        <v>0</v>
      </c>
      <c r="T45" s="44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12">
        <f t="shared" si="7"/>
        <v>0</v>
      </c>
      <c r="T46" s="44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08">
        <f t="shared" si="7"/>
        <v>0</v>
      </c>
      <c r="T47" s="44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54" t="s">
        <v>39</v>
      </c>
      <c r="C48" s="225"/>
      <c r="D48" s="226"/>
      <c r="E48" s="205"/>
      <c r="F48" s="205"/>
      <c r="G48" s="227"/>
      <c r="H48" s="223"/>
      <c r="I48" s="223">
        <f t="shared" si="4"/>
        <v>0</v>
      </c>
      <c r="J48" s="224">
        <f t="shared" si="4"/>
        <v>0</v>
      </c>
      <c r="K48" s="64"/>
      <c r="L48" s="205"/>
      <c r="M48" s="205"/>
      <c r="N48" s="205"/>
      <c r="O48" s="205"/>
      <c r="P48" s="205"/>
      <c r="Q48" s="206"/>
      <c r="R48" s="163">
        <f t="shared" si="7"/>
        <v>0</v>
      </c>
      <c r="S48" s="228">
        <f t="shared" si="7"/>
        <v>0</v>
      </c>
      <c r="T48" s="64"/>
      <c r="U48" s="215">
        <f>L48*6+N48*6+P48*6</f>
        <v>0</v>
      </c>
      <c r="V48" s="219">
        <f>U48/6</f>
        <v>0</v>
      </c>
      <c r="W48" s="217">
        <f>I48*6+J48</f>
        <v>0</v>
      </c>
      <c r="X48" s="66"/>
    </row>
    <row r="49" spans="1:24" ht="19.5" thickBot="1" x14ac:dyDescent="0.3">
      <c r="A49" s="3">
        <f t="shared" si="3"/>
        <v>42</v>
      </c>
      <c r="B49" s="10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62">
        <f t="shared" si="7"/>
        <v>0</v>
      </c>
      <c r="S49" s="210">
        <f t="shared" si="7"/>
        <v>0</v>
      </c>
      <c r="T49" s="44"/>
      <c r="U49" s="191">
        <f t="shared" ref="U49:U51" si="14">L49*24+N49*24+P49*24</f>
        <v>0</v>
      </c>
      <c r="V49" s="193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08">
        <f t="shared" si="7"/>
        <v>0</v>
      </c>
      <c r="T50" s="44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08">
        <f t="shared" si="7"/>
        <v>0</v>
      </c>
      <c r="T51" s="44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54" t="s">
        <v>41</v>
      </c>
      <c r="C52" s="225"/>
      <c r="D52" s="226"/>
      <c r="E52" s="205"/>
      <c r="F52" s="205"/>
      <c r="G52" s="227"/>
      <c r="H52" s="223"/>
      <c r="I52" s="223">
        <f t="shared" si="4"/>
        <v>0</v>
      </c>
      <c r="J52" s="224">
        <f t="shared" si="4"/>
        <v>0</v>
      </c>
      <c r="K52" s="64"/>
      <c r="L52" s="205"/>
      <c r="M52" s="205"/>
      <c r="N52" s="205"/>
      <c r="O52" s="205"/>
      <c r="P52" s="205"/>
      <c r="Q52" s="206"/>
      <c r="R52" s="163">
        <f t="shared" si="7"/>
        <v>0</v>
      </c>
      <c r="S52" s="228">
        <f t="shared" si="7"/>
        <v>0</v>
      </c>
      <c r="T52" s="64"/>
      <c r="U52" s="215">
        <f>L52*6+N52*6+P52*6</f>
        <v>0</v>
      </c>
      <c r="V52" s="219">
        <f>U52/6</f>
        <v>0</v>
      </c>
      <c r="W52" s="217">
        <f>I52*6+J52</f>
        <v>0</v>
      </c>
      <c r="X52" s="66"/>
    </row>
    <row r="53" spans="1:24" ht="19.5" thickBot="1" x14ac:dyDescent="0.3">
      <c r="A53" s="3">
        <f t="shared" si="3"/>
        <v>46</v>
      </c>
      <c r="B53" s="10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62">
        <f t="shared" si="7"/>
        <v>0</v>
      </c>
      <c r="S53" s="210">
        <f t="shared" si="7"/>
        <v>0</v>
      </c>
      <c r="T53" s="44"/>
      <c r="U53" s="191">
        <f t="shared" ref="U53:U54" si="17">L53*24+N53*24+P53*24</f>
        <v>0</v>
      </c>
      <c r="V53" s="193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/>
      <c r="D54" s="195"/>
      <c r="E54" s="196"/>
      <c r="F54" s="196"/>
      <c r="G54" s="102"/>
      <c r="H54" s="93"/>
      <c r="I54" s="93">
        <f t="shared" si="4"/>
        <v>0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08">
        <f t="shared" si="7"/>
        <v>0</v>
      </c>
      <c r="T54" s="44"/>
      <c r="U54" s="191">
        <f t="shared" si="17"/>
        <v>0</v>
      </c>
      <c r="V54" s="214">
        <f t="shared" si="18"/>
        <v>0</v>
      </c>
      <c r="W54" s="213">
        <f t="shared" si="19"/>
        <v>0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08">
        <f t="shared" si="7"/>
        <v>0</v>
      </c>
      <c r="T55" s="44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08">
        <f t="shared" si="7"/>
        <v>0</v>
      </c>
      <c r="T56" s="44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08">
        <f t="shared" si="7"/>
        <v>0</v>
      </c>
      <c r="T57" s="44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08">
        <f t="shared" si="7"/>
        <v>0</v>
      </c>
      <c r="T58" s="44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08">
        <f t="shared" si="7"/>
        <v>0</v>
      </c>
      <c r="T59" s="44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0</v>
      </c>
      <c r="D60" s="71">
        <f>SUM(D8:D59)</f>
        <v>0</v>
      </c>
      <c r="E60" s="47">
        <f>SUM(E8:E59)</f>
        <v>0</v>
      </c>
      <c r="F60" s="47"/>
      <c r="G60" s="31">
        <f>SUM(G8:G59)</f>
        <v>0</v>
      </c>
      <c r="H60" s="73">
        <f>SUM(H8:H59)</f>
        <v>0</v>
      </c>
      <c r="I60" s="73">
        <f>SUM(I8:I59)</f>
        <v>0</v>
      </c>
      <c r="J60" s="48">
        <f>SUM(J8:J59)</f>
        <v>0</v>
      </c>
      <c r="K60" s="49"/>
      <c r="L60" s="98">
        <f t="shared" ref="L60:S60" si="20">SUM(L8:L59)</f>
        <v>0</v>
      </c>
      <c r="M60" s="98">
        <f t="shared" si="20"/>
        <v>0</v>
      </c>
      <c r="N60" s="98">
        <f t="shared" si="20"/>
        <v>0</v>
      </c>
      <c r="O60" s="98">
        <f t="shared" si="20"/>
        <v>0</v>
      </c>
      <c r="P60" s="98">
        <f t="shared" si="20"/>
        <v>0</v>
      </c>
      <c r="Q60" s="99">
        <f t="shared" si="20"/>
        <v>0</v>
      </c>
      <c r="R60" s="127">
        <f t="shared" si="20"/>
        <v>0</v>
      </c>
      <c r="S60" s="124">
        <f t="shared" si="20"/>
        <v>0</v>
      </c>
      <c r="T60" s="49"/>
      <c r="U60" s="46">
        <f>SUM(U8:U59)</f>
        <v>0</v>
      </c>
      <c r="V60" s="176">
        <f>SUM(V8:V59)</f>
        <v>0</v>
      </c>
      <c r="W60" s="156">
        <f>SUM(W8:W59)</f>
        <v>0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188" t="s">
        <v>3</v>
      </c>
      <c r="D69" s="189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C1E0-EAFE-43DC-8333-CFEC58F7C5E8}">
  <sheetPr>
    <pageSetUpPr fitToPage="1"/>
  </sheetPr>
  <dimension ref="A1:BH90"/>
  <sheetViews>
    <sheetView zoomScale="85" zoomScaleNormal="85" zoomScaleSheetLayoutView="85" zoomScalePageLayoutView="80" workbookViewId="0">
      <selection activeCell="C55" sqref="C55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46073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266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07"/>
      <c r="T6" s="44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07"/>
      <c r="T7" s="44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>
        <v>31</v>
      </c>
      <c r="D8" s="195"/>
      <c r="E8" s="196"/>
      <c r="F8" s="196"/>
      <c r="G8" s="102">
        <v>1</v>
      </c>
      <c r="H8" s="93"/>
      <c r="I8" s="93">
        <f>C8-G8</f>
        <v>30</v>
      </c>
      <c r="J8" s="103">
        <f t="shared" ref="J8:J12" si="0">D8-H8</f>
        <v>0</v>
      </c>
      <c r="K8" s="44"/>
      <c r="L8" s="196">
        <v>1</v>
      </c>
      <c r="M8" s="196"/>
      <c r="N8" s="196"/>
      <c r="O8" s="196"/>
      <c r="P8" s="196"/>
      <c r="Q8" s="204"/>
      <c r="R8" s="128">
        <f t="shared" ref="R8:S12" si="1">L8+N8+P8</f>
        <v>1</v>
      </c>
      <c r="S8" s="208">
        <f t="shared" si="1"/>
        <v>0</v>
      </c>
      <c r="T8" s="44"/>
      <c r="U8" s="191">
        <f>L8*24+N8*24+P8*24</f>
        <v>24</v>
      </c>
      <c r="V8" s="214">
        <f>U8/24</f>
        <v>1</v>
      </c>
      <c r="W8" s="213">
        <f t="shared" ref="W8:W12" si="2">I8*24+J8</f>
        <v>720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>
        <v>94</v>
      </c>
      <c r="D9" s="198"/>
      <c r="E9" s="199"/>
      <c r="F9" s="199"/>
      <c r="G9" s="107">
        <v>1</v>
      </c>
      <c r="H9" s="108"/>
      <c r="I9" s="107">
        <f t="shared" ref="I9:J59" si="4">C9-G9</f>
        <v>93</v>
      </c>
      <c r="J9" s="160">
        <f t="shared" si="0"/>
        <v>0</v>
      </c>
      <c r="K9" s="64"/>
      <c r="L9" s="205">
        <v>1</v>
      </c>
      <c r="M9" s="205"/>
      <c r="N9" s="205"/>
      <c r="O9" s="205"/>
      <c r="P9" s="205"/>
      <c r="Q9" s="206"/>
      <c r="R9" s="166">
        <f t="shared" si="1"/>
        <v>1</v>
      </c>
      <c r="S9" s="209">
        <f t="shared" si="1"/>
        <v>0</v>
      </c>
      <c r="T9" s="64"/>
      <c r="U9" s="215">
        <f>L9*24+N9*24+P9*24</f>
        <v>24</v>
      </c>
      <c r="V9" s="216">
        <f>U9/24</f>
        <v>1</v>
      </c>
      <c r="W9" s="217">
        <f t="shared" si="2"/>
        <v>2232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10">
        <f t="shared" si="1"/>
        <v>0</v>
      </c>
      <c r="T10" s="44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>
        <v>57</v>
      </c>
      <c r="D11" s="195"/>
      <c r="E11" s="196"/>
      <c r="F11" s="196"/>
      <c r="G11" s="102"/>
      <c r="H11" s="93"/>
      <c r="I11" s="93">
        <f t="shared" si="4"/>
        <v>57</v>
      </c>
      <c r="J11" s="103">
        <f t="shared" si="0"/>
        <v>0</v>
      </c>
      <c r="K11" s="44"/>
      <c r="L11" s="196"/>
      <c r="M11" s="196"/>
      <c r="N11" s="196"/>
      <c r="O11" s="196"/>
      <c r="P11" s="196"/>
      <c r="Q11" s="204"/>
      <c r="R11" s="128">
        <f t="shared" si="1"/>
        <v>0</v>
      </c>
      <c r="S11" s="208">
        <f t="shared" si="1"/>
        <v>0</v>
      </c>
      <c r="T11" s="44"/>
      <c r="U11" s="191">
        <f>L11*24+N11*24+P11*24</f>
        <v>0</v>
      </c>
      <c r="V11" s="214">
        <f>U11/24</f>
        <v>0</v>
      </c>
      <c r="W11" s="213">
        <f t="shared" si="2"/>
        <v>1368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4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08">
        <f t="shared" si="1"/>
        <v>0</v>
      </c>
      <c r="T12" s="44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24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>
        <v>3442</v>
      </c>
      <c r="D13" s="198">
        <v>4</v>
      </c>
      <c r="E13" s="199"/>
      <c r="F13" s="199"/>
      <c r="G13" s="107">
        <v>37</v>
      </c>
      <c r="H13" s="108">
        <v>30</v>
      </c>
      <c r="I13" s="116">
        <f t="shared" si="4"/>
        <v>3405</v>
      </c>
      <c r="J13" s="160">
        <f>D13-H13</f>
        <v>-26</v>
      </c>
      <c r="K13" s="68"/>
      <c r="L13" s="205">
        <v>15</v>
      </c>
      <c r="M13" s="205">
        <v>10</v>
      </c>
      <c r="N13" s="205">
        <v>6</v>
      </c>
      <c r="O13" s="205">
        <v>11</v>
      </c>
      <c r="P13" s="205">
        <v>16</v>
      </c>
      <c r="Q13" s="206">
        <v>9</v>
      </c>
      <c r="R13" s="163">
        <f>L13+N13+P13</f>
        <v>37</v>
      </c>
      <c r="S13" s="209">
        <f>M13+O13+Q13</f>
        <v>30</v>
      </c>
      <c r="T13" s="68"/>
      <c r="U13" s="215">
        <f>L13*24+N13*24+P13*24</f>
        <v>888</v>
      </c>
      <c r="V13" s="219">
        <f t="shared" si="6"/>
        <v>37</v>
      </c>
      <c r="W13" s="217">
        <f>I13*24+J13</f>
        <v>81694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159">
        <f t="shared" si="4"/>
        <v>5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10">
        <f t="shared" si="7"/>
        <v>0</v>
      </c>
      <c r="T14" s="44"/>
      <c r="U14" s="191">
        <f t="shared" si="5"/>
        <v>0</v>
      </c>
      <c r="V14" s="193">
        <f t="shared" si="6"/>
        <v>0</v>
      </c>
      <c r="W14" s="213">
        <f t="shared" ref="W14:W37" si="8">I14*24+J14</f>
        <v>120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08">
        <f t="shared" si="7"/>
        <v>0</v>
      </c>
      <c r="T15" s="44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08">
        <f t="shared" si="7"/>
        <v>0</v>
      </c>
      <c r="T16" s="44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08">
        <f t="shared" si="7"/>
        <v>0</v>
      </c>
      <c r="T17" s="44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4"/>
        <v>4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08">
        <f t="shared" si="7"/>
        <v>0</v>
      </c>
      <c r="T18" s="44"/>
      <c r="U18" s="191">
        <f t="shared" si="5"/>
        <v>0</v>
      </c>
      <c r="V18" s="214">
        <f t="shared" si="6"/>
        <v>0</v>
      </c>
      <c r="W18" s="213">
        <f t="shared" si="8"/>
        <v>96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08">
        <f t="shared" si="7"/>
        <v>0</v>
      </c>
      <c r="T19" s="44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4"/>
        <v>4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08">
        <f t="shared" si="7"/>
        <v>0</v>
      </c>
      <c r="T20" s="44"/>
      <c r="U20" s="191">
        <f t="shared" si="5"/>
        <v>0</v>
      </c>
      <c r="V20" s="214">
        <f t="shared" si="6"/>
        <v>0</v>
      </c>
      <c r="W20" s="213">
        <f t="shared" si="8"/>
        <v>96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4"/>
        <v>6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08">
        <f t="shared" si="7"/>
        <v>0</v>
      </c>
      <c r="T21" s="44"/>
      <c r="U21" s="191">
        <f t="shared" si="5"/>
        <v>0</v>
      </c>
      <c r="V21" s="214">
        <f t="shared" si="6"/>
        <v>0</v>
      </c>
      <c r="W21" s="213">
        <f t="shared" si="8"/>
        <v>144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4"/>
        <v>4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08">
        <f t="shared" si="7"/>
        <v>0</v>
      </c>
      <c r="T22" s="44"/>
      <c r="U22" s="191">
        <f t="shared" si="5"/>
        <v>0</v>
      </c>
      <c r="V22" s="214">
        <f t="shared" si="6"/>
        <v>0</v>
      </c>
      <c r="W22" s="213">
        <f t="shared" si="8"/>
        <v>96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4"/>
        <v>2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08">
        <f t="shared" si="7"/>
        <v>0</v>
      </c>
      <c r="T23" s="45"/>
      <c r="U23" s="191">
        <f t="shared" si="5"/>
        <v>0</v>
      </c>
      <c r="V23" s="214">
        <f t="shared" si="6"/>
        <v>0</v>
      </c>
      <c r="W23" s="213">
        <f t="shared" si="8"/>
        <v>48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4"/>
        <v>48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08">
        <f t="shared" si="7"/>
        <v>0</v>
      </c>
      <c r="T24" s="45"/>
      <c r="U24" s="191">
        <f t="shared" si="5"/>
        <v>0</v>
      </c>
      <c r="V24" s="214">
        <f t="shared" si="6"/>
        <v>0</v>
      </c>
      <c r="W24" s="213">
        <f t="shared" si="8"/>
        <v>1152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4"/>
        <v>7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08">
        <f t="shared" si="7"/>
        <v>0</v>
      </c>
      <c r="T25" s="44"/>
      <c r="U25" s="191">
        <f t="shared" si="5"/>
        <v>0</v>
      </c>
      <c r="V25" s="214">
        <f t="shared" si="6"/>
        <v>0</v>
      </c>
      <c r="W25" s="213">
        <f t="shared" si="8"/>
        <v>168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>
        <v>85</v>
      </c>
      <c r="D26" s="195">
        <v>23</v>
      </c>
      <c r="E26" s="196"/>
      <c r="F26" s="196"/>
      <c r="G26" s="102">
        <v>2</v>
      </c>
      <c r="H26" s="93"/>
      <c r="I26" s="93">
        <f t="shared" si="4"/>
        <v>83</v>
      </c>
      <c r="J26" s="103">
        <f t="shared" si="4"/>
        <v>23</v>
      </c>
      <c r="K26" s="44"/>
      <c r="L26" s="196">
        <v>2</v>
      </c>
      <c r="M26" s="196"/>
      <c r="N26" s="196"/>
      <c r="O26" s="196"/>
      <c r="P26" s="196"/>
      <c r="Q26" s="204"/>
      <c r="R26" s="128">
        <f t="shared" si="7"/>
        <v>2</v>
      </c>
      <c r="S26" s="208">
        <f t="shared" si="7"/>
        <v>0</v>
      </c>
      <c r="T26" s="44"/>
      <c r="U26" s="191">
        <f t="shared" si="5"/>
        <v>48</v>
      </c>
      <c r="V26" s="214">
        <f t="shared" si="6"/>
        <v>2</v>
      </c>
      <c r="W26" s="213">
        <f t="shared" si="8"/>
        <v>2015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08">
        <f t="shared" si="7"/>
        <v>0</v>
      </c>
      <c r="T27" s="4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08">
        <f t="shared" si="7"/>
        <v>0</v>
      </c>
      <c r="T28" s="4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>
        <v>29</v>
      </c>
      <c r="D29" s="195"/>
      <c r="E29" s="196"/>
      <c r="F29" s="196"/>
      <c r="G29" s="102">
        <v>6</v>
      </c>
      <c r="H29" s="93"/>
      <c r="I29" s="93">
        <f t="shared" si="4"/>
        <v>23</v>
      </c>
      <c r="J29" s="103">
        <f t="shared" si="4"/>
        <v>0</v>
      </c>
      <c r="K29" s="45"/>
      <c r="L29" s="196">
        <v>1</v>
      </c>
      <c r="M29" s="196"/>
      <c r="N29" s="196"/>
      <c r="O29" s="196"/>
      <c r="P29" s="196">
        <v>5</v>
      </c>
      <c r="Q29" s="204"/>
      <c r="R29" s="128">
        <f t="shared" si="7"/>
        <v>6</v>
      </c>
      <c r="S29" s="208">
        <f t="shared" si="7"/>
        <v>0</v>
      </c>
      <c r="T29" s="45"/>
      <c r="U29" s="191">
        <f t="shared" si="5"/>
        <v>144</v>
      </c>
      <c r="V29" s="214">
        <f t="shared" si="6"/>
        <v>6</v>
      </c>
      <c r="W29" s="213">
        <f t="shared" si="8"/>
        <v>552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08">
        <f t="shared" si="7"/>
        <v>0</v>
      </c>
      <c r="T30" s="44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>
        <v>63</v>
      </c>
      <c r="D31" s="195"/>
      <c r="E31" s="196"/>
      <c r="F31" s="196"/>
      <c r="G31" s="102"/>
      <c r="H31" s="93"/>
      <c r="I31" s="93">
        <f t="shared" si="4"/>
        <v>63</v>
      </c>
      <c r="J31" s="103">
        <f t="shared" si="4"/>
        <v>0</v>
      </c>
      <c r="K31" s="44"/>
      <c r="L31" s="196"/>
      <c r="M31" s="196"/>
      <c r="N31" s="196"/>
      <c r="O31" s="196"/>
      <c r="P31" s="196"/>
      <c r="Q31" s="204"/>
      <c r="R31" s="128">
        <f t="shared" si="7"/>
        <v>0</v>
      </c>
      <c r="S31" s="208">
        <f t="shared" si="7"/>
        <v>0</v>
      </c>
      <c r="T31" s="44"/>
      <c r="U31" s="191">
        <f t="shared" si="5"/>
        <v>0</v>
      </c>
      <c r="V31" s="214">
        <f t="shared" si="6"/>
        <v>0</v>
      </c>
      <c r="W31" s="213">
        <f t="shared" si="8"/>
        <v>1512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08">
        <f t="shared" si="7"/>
        <v>0</v>
      </c>
      <c r="T32" s="44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08">
        <f t="shared" si="7"/>
        <v>0</v>
      </c>
      <c r="T33" s="44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08">
        <f t="shared" si="7"/>
        <v>0</v>
      </c>
      <c r="T34" s="44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>
        <v>101</v>
      </c>
      <c r="D35" s="195">
        <v>5</v>
      </c>
      <c r="E35" s="196"/>
      <c r="F35" s="196"/>
      <c r="G35" s="102">
        <v>3</v>
      </c>
      <c r="H35" s="93"/>
      <c r="I35" s="93">
        <f t="shared" si="4"/>
        <v>98</v>
      </c>
      <c r="J35" s="103">
        <f t="shared" si="4"/>
        <v>5</v>
      </c>
      <c r="K35" s="44"/>
      <c r="L35" s="196"/>
      <c r="M35" s="196"/>
      <c r="N35" s="196">
        <v>1</v>
      </c>
      <c r="O35" s="196"/>
      <c r="P35" s="196">
        <v>2</v>
      </c>
      <c r="Q35" s="204"/>
      <c r="R35" s="128">
        <f t="shared" si="7"/>
        <v>3</v>
      </c>
      <c r="S35" s="208">
        <f t="shared" si="7"/>
        <v>0</v>
      </c>
      <c r="T35" s="44"/>
      <c r="U35" s="191">
        <f t="shared" si="5"/>
        <v>72</v>
      </c>
      <c r="V35" s="214">
        <f t="shared" si="6"/>
        <v>3</v>
      </c>
      <c r="W35" s="213">
        <f t="shared" si="8"/>
        <v>2357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08">
        <f t="shared" si="7"/>
        <v>0</v>
      </c>
      <c r="T36" s="44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08">
        <f t="shared" si="7"/>
        <v>0</v>
      </c>
      <c r="T37" s="44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222" t="s">
        <v>33</v>
      </c>
      <c r="C38" s="197">
        <v>4067</v>
      </c>
      <c r="D38" s="198">
        <v>2</v>
      </c>
      <c r="E38" s="199"/>
      <c r="F38" s="199"/>
      <c r="G38" s="107">
        <v>120</v>
      </c>
      <c r="H38" s="108"/>
      <c r="I38" s="223">
        <f t="shared" si="4"/>
        <v>3947</v>
      </c>
      <c r="J38" s="224">
        <f t="shared" si="4"/>
        <v>2</v>
      </c>
      <c r="K38" s="64"/>
      <c r="L38" s="205">
        <v>16</v>
      </c>
      <c r="M38" s="205"/>
      <c r="N38" s="205">
        <v>13</v>
      </c>
      <c r="O38" s="205"/>
      <c r="P38" s="205">
        <v>91</v>
      </c>
      <c r="Q38" s="206"/>
      <c r="R38" s="163">
        <f t="shared" si="7"/>
        <v>120</v>
      </c>
      <c r="S38" s="209">
        <f t="shared" si="7"/>
        <v>0</v>
      </c>
      <c r="T38" s="64"/>
      <c r="U38" s="215">
        <f>L38*6+N38*6+P38*6</f>
        <v>720</v>
      </c>
      <c r="V38" s="219">
        <f>U38/6</f>
        <v>120</v>
      </c>
      <c r="W38" s="217">
        <f>I38*6+J38</f>
        <v>23684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>
        <v>4</v>
      </c>
      <c r="D39" s="195"/>
      <c r="E39" s="196"/>
      <c r="F39" s="196"/>
      <c r="G39" s="102"/>
      <c r="H39" s="93"/>
      <c r="I39" s="102">
        <f t="shared" si="4"/>
        <v>4</v>
      </c>
      <c r="J39" s="103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10">
        <f t="shared" si="7"/>
        <v>0</v>
      </c>
      <c r="T39" s="44"/>
      <c r="U39" s="191">
        <f t="shared" ref="U39:U41" si="9">L39*24+N39*24+P39*24</f>
        <v>0</v>
      </c>
      <c r="V39" s="193">
        <f t="shared" si="6"/>
        <v>0</v>
      </c>
      <c r="W39" s="213">
        <f t="shared" ref="W39:W41" si="10">I39*24+J39</f>
        <v>96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08">
        <f t="shared" si="7"/>
        <v>0</v>
      </c>
      <c r="T40" s="44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229" t="s">
        <v>35</v>
      </c>
      <c r="C41" s="230">
        <v>695</v>
      </c>
      <c r="D41" s="231">
        <v>12</v>
      </c>
      <c r="E41" s="232"/>
      <c r="F41" s="232"/>
      <c r="G41" s="233"/>
      <c r="H41" s="234"/>
      <c r="I41" s="235">
        <f t="shared" si="4"/>
        <v>695</v>
      </c>
      <c r="J41" s="236">
        <f t="shared" si="4"/>
        <v>12</v>
      </c>
      <c r="K41" s="237"/>
      <c r="L41" s="238"/>
      <c r="M41" s="238"/>
      <c r="N41" s="238"/>
      <c r="O41" s="238"/>
      <c r="P41" s="238"/>
      <c r="Q41" s="239"/>
      <c r="R41" s="240">
        <f t="shared" si="7"/>
        <v>0</v>
      </c>
      <c r="S41" s="241">
        <f t="shared" si="7"/>
        <v>0</v>
      </c>
      <c r="T41" s="237"/>
      <c r="U41" s="242">
        <f t="shared" si="9"/>
        <v>0</v>
      </c>
      <c r="V41" s="243">
        <f t="shared" si="6"/>
        <v>0</v>
      </c>
      <c r="W41" s="243">
        <f t="shared" si="10"/>
        <v>16692</v>
      </c>
      <c r="X41" s="244"/>
    </row>
    <row r="42" spans="1:26" ht="19.5" thickBot="1" x14ac:dyDescent="0.3">
      <c r="A42" s="3">
        <f t="shared" si="3"/>
        <v>35</v>
      </c>
      <c r="B42" s="246" t="s">
        <v>36</v>
      </c>
      <c r="C42" s="247">
        <v>1614</v>
      </c>
      <c r="D42" s="248"/>
      <c r="E42" s="249"/>
      <c r="F42" s="249"/>
      <c r="G42" s="250">
        <v>25</v>
      </c>
      <c r="H42" s="251"/>
      <c r="I42" s="250">
        <f t="shared" si="4"/>
        <v>1589</v>
      </c>
      <c r="J42" s="252">
        <f t="shared" si="4"/>
        <v>0</v>
      </c>
      <c r="K42" s="253"/>
      <c r="L42" s="249">
        <v>6</v>
      </c>
      <c r="M42" s="249"/>
      <c r="N42" s="249">
        <v>5</v>
      </c>
      <c r="O42" s="249"/>
      <c r="P42" s="249">
        <v>14</v>
      </c>
      <c r="Q42" s="254"/>
      <c r="R42" s="255">
        <f t="shared" si="7"/>
        <v>25</v>
      </c>
      <c r="S42" s="256">
        <f t="shared" si="7"/>
        <v>0</v>
      </c>
      <c r="T42" s="253"/>
      <c r="U42" s="257">
        <f>L42*12+N42*12+P42*12</f>
        <v>300</v>
      </c>
      <c r="V42" s="258">
        <f>U42/12</f>
        <v>25</v>
      </c>
      <c r="W42" s="259">
        <f>I42*12+J42</f>
        <v>19068</v>
      </c>
      <c r="X42" s="260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245">
        <f t="shared" si="7"/>
        <v>0</v>
      </c>
      <c r="S43" s="211">
        <f t="shared" si="7"/>
        <v>0</v>
      </c>
      <c r="T43" s="44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>
        <v>28785</v>
      </c>
      <c r="D44" s="198">
        <v>2</v>
      </c>
      <c r="E44" s="199">
        <v>1836</v>
      </c>
      <c r="F44" s="199"/>
      <c r="G44" s="107">
        <v>961</v>
      </c>
      <c r="H44" s="108"/>
      <c r="I44" s="93">
        <f>C44+E44-G44</f>
        <v>29660</v>
      </c>
      <c r="J44" s="261">
        <f t="shared" si="4"/>
        <v>2</v>
      </c>
      <c r="K44" s="64"/>
      <c r="L44" s="205">
        <v>415</v>
      </c>
      <c r="M44" s="205"/>
      <c r="N44" s="205">
        <v>171</v>
      </c>
      <c r="O44" s="205"/>
      <c r="P44" s="205">
        <v>375</v>
      </c>
      <c r="Q44" s="206"/>
      <c r="R44" s="262">
        <f t="shared" si="7"/>
        <v>961</v>
      </c>
      <c r="S44" s="263">
        <f t="shared" si="7"/>
        <v>0</v>
      </c>
      <c r="T44" s="64"/>
      <c r="U44" s="215">
        <f>L44*6+N44*6+P44*6</f>
        <v>5766</v>
      </c>
      <c r="V44" s="214">
        <f>U44/6</f>
        <v>961</v>
      </c>
      <c r="W44" s="217">
        <f>I44*6+J44</f>
        <v>177962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11">
        <f t="shared" si="7"/>
        <v>0</v>
      </c>
      <c r="T45" s="44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12">
        <f t="shared" si="7"/>
        <v>0</v>
      </c>
      <c r="T46" s="44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08">
        <f t="shared" si="7"/>
        <v>0</v>
      </c>
      <c r="T47" s="44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54" t="s">
        <v>39</v>
      </c>
      <c r="C48" s="225">
        <v>2361</v>
      </c>
      <c r="D48" s="226">
        <v>4</v>
      </c>
      <c r="E48" s="205"/>
      <c r="F48" s="205"/>
      <c r="G48" s="227">
        <v>2</v>
      </c>
      <c r="H48" s="223"/>
      <c r="I48" s="223">
        <f t="shared" si="4"/>
        <v>2359</v>
      </c>
      <c r="J48" s="224">
        <f t="shared" si="4"/>
        <v>4</v>
      </c>
      <c r="K48" s="64"/>
      <c r="L48" s="205"/>
      <c r="M48" s="205"/>
      <c r="N48" s="205">
        <v>2</v>
      </c>
      <c r="O48" s="205"/>
      <c r="P48" s="205"/>
      <c r="Q48" s="206"/>
      <c r="R48" s="163">
        <f t="shared" si="7"/>
        <v>2</v>
      </c>
      <c r="S48" s="228">
        <f t="shared" si="7"/>
        <v>0</v>
      </c>
      <c r="T48" s="64"/>
      <c r="U48" s="215">
        <f>L48*6+N48*6+P48*6</f>
        <v>12</v>
      </c>
      <c r="V48" s="219">
        <f>U48/6</f>
        <v>2</v>
      </c>
      <c r="W48" s="217">
        <f>I48*6+J48</f>
        <v>14158</v>
      </c>
      <c r="X48" s="66"/>
    </row>
    <row r="49" spans="1:24" ht="19.5" thickBot="1" x14ac:dyDescent="0.3">
      <c r="A49" s="3">
        <f t="shared" si="3"/>
        <v>42</v>
      </c>
      <c r="B49" s="10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62">
        <f t="shared" si="7"/>
        <v>0</v>
      </c>
      <c r="S49" s="210">
        <f t="shared" si="7"/>
        <v>0</v>
      </c>
      <c r="T49" s="44"/>
      <c r="U49" s="191">
        <f t="shared" ref="U49:U51" si="14">L49*24+N49*24+P49*24</f>
        <v>0</v>
      </c>
      <c r="V49" s="193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08">
        <f t="shared" si="7"/>
        <v>0</v>
      </c>
      <c r="T50" s="44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08">
        <f t="shared" si="7"/>
        <v>0</v>
      </c>
      <c r="T51" s="44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54" t="s">
        <v>41</v>
      </c>
      <c r="C52" s="225">
        <v>34</v>
      </c>
      <c r="D52" s="226"/>
      <c r="E52" s="205"/>
      <c r="F52" s="205"/>
      <c r="G52" s="227"/>
      <c r="H52" s="223"/>
      <c r="I52" s="223">
        <f t="shared" si="4"/>
        <v>34</v>
      </c>
      <c r="J52" s="224">
        <f t="shared" si="4"/>
        <v>0</v>
      </c>
      <c r="K52" s="64"/>
      <c r="L52" s="205"/>
      <c r="M52" s="205"/>
      <c r="N52" s="205"/>
      <c r="O52" s="205"/>
      <c r="P52" s="205"/>
      <c r="Q52" s="206"/>
      <c r="R52" s="163">
        <f t="shared" si="7"/>
        <v>0</v>
      </c>
      <c r="S52" s="228">
        <f t="shared" si="7"/>
        <v>0</v>
      </c>
      <c r="T52" s="64"/>
      <c r="U52" s="215">
        <f>L52*6+N52*6+P52*6</f>
        <v>0</v>
      </c>
      <c r="V52" s="219">
        <f>U52/6</f>
        <v>0</v>
      </c>
      <c r="W52" s="217">
        <f>I52*6+J52</f>
        <v>204</v>
      </c>
      <c r="X52" s="66"/>
    </row>
    <row r="53" spans="1:24" ht="19.5" thickBot="1" x14ac:dyDescent="0.3">
      <c r="A53" s="3">
        <f t="shared" si="3"/>
        <v>46</v>
      </c>
      <c r="B53" s="10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62">
        <f t="shared" si="7"/>
        <v>0</v>
      </c>
      <c r="S53" s="210">
        <f t="shared" si="7"/>
        <v>0</v>
      </c>
      <c r="T53" s="44"/>
      <c r="U53" s="191">
        <f t="shared" ref="U53:U54" si="17">L53*24+N53*24+P53*24</f>
        <v>0</v>
      </c>
      <c r="V53" s="193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>
        <v>2</v>
      </c>
      <c r="D54" s="195"/>
      <c r="E54" s="196"/>
      <c r="F54" s="196"/>
      <c r="G54" s="102"/>
      <c r="H54" s="93"/>
      <c r="I54" s="93">
        <f t="shared" si="4"/>
        <v>2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08">
        <f t="shared" si="7"/>
        <v>0</v>
      </c>
      <c r="T54" s="44"/>
      <c r="U54" s="191">
        <f t="shared" si="17"/>
        <v>0</v>
      </c>
      <c r="V54" s="214">
        <f t="shared" si="18"/>
        <v>0</v>
      </c>
      <c r="W54" s="213">
        <f t="shared" si="19"/>
        <v>48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08">
        <f t="shared" si="7"/>
        <v>0</v>
      </c>
      <c r="T55" s="44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08">
        <f t="shared" si="7"/>
        <v>0</v>
      </c>
      <c r="T56" s="44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08">
        <f t="shared" si="7"/>
        <v>0</v>
      </c>
      <c r="T57" s="44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08">
        <f t="shared" si="7"/>
        <v>0</v>
      </c>
      <c r="T58" s="44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08">
        <f t="shared" si="7"/>
        <v>0</v>
      </c>
      <c r="T59" s="44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41545</v>
      </c>
      <c r="D60" s="71">
        <f>SUM(D8:D59)</f>
        <v>52</v>
      </c>
      <c r="E60" s="47">
        <f>SUM(E8:E59)</f>
        <v>1836</v>
      </c>
      <c r="F60" s="47"/>
      <c r="G60" s="31">
        <f>SUM(G8:G59)</f>
        <v>1158</v>
      </c>
      <c r="H60" s="73">
        <f>SUM(H8:H59)</f>
        <v>30</v>
      </c>
      <c r="I60" s="73">
        <f>SUM(I8:I59)</f>
        <v>42223</v>
      </c>
      <c r="J60" s="48">
        <f>SUM(J8:J59)</f>
        <v>22</v>
      </c>
      <c r="K60" s="49"/>
      <c r="L60" s="98">
        <f t="shared" ref="L60:S60" si="20">SUM(L8:L59)</f>
        <v>457</v>
      </c>
      <c r="M60" s="98">
        <f t="shared" si="20"/>
        <v>10</v>
      </c>
      <c r="N60" s="98">
        <f t="shared" si="20"/>
        <v>198</v>
      </c>
      <c r="O60" s="98">
        <f t="shared" si="20"/>
        <v>11</v>
      </c>
      <c r="P60" s="98">
        <f t="shared" si="20"/>
        <v>503</v>
      </c>
      <c r="Q60" s="99">
        <f t="shared" si="20"/>
        <v>9</v>
      </c>
      <c r="R60" s="127">
        <f t="shared" si="20"/>
        <v>1158</v>
      </c>
      <c r="S60" s="124">
        <f t="shared" si="20"/>
        <v>30</v>
      </c>
      <c r="T60" s="49"/>
      <c r="U60" s="46">
        <f>SUM(U8:U59)</f>
        <v>7998</v>
      </c>
      <c r="V60" s="176">
        <f>SUM(V8:V59)</f>
        <v>1158</v>
      </c>
      <c r="W60" s="156">
        <f>SUM(W8:W59)</f>
        <v>346306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264" t="s">
        <v>3</v>
      </c>
      <c r="D69" s="265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4647-763D-4F06-8122-C3689A2C10F0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46075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266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07"/>
      <c r="T6" s="44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07"/>
      <c r="T7" s="44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>
        <v>30</v>
      </c>
      <c r="D8" s="195"/>
      <c r="E8" s="196"/>
      <c r="F8" s="196"/>
      <c r="G8" s="102"/>
      <c r="H8" s="93">
        <v>12</v>
      </c>
      <c r="I8" s="93">
        <f>C8-G8</f>
        <v>30</v>
      </c>
      <c r="J8" s="103">
        <f t="shared" ref="J8:J12" si="0">D8-H8</f>
        <v>-12</v>
      </c>
      <c r="K8" s="44"/>
      <c r="L8" s="196"/>
      <c r="M8" s="196">
        <v>12</v>
      </c>
      <c r="N8" s="196"/>
      <c r="O8" s="196"/>
      <c r="P8" s="196"/>
      <c r="Q8" s="204"/>
      <c r="R8" s="128">
        <f t="shared" ref="R8:S12" si="1">L8+N8+P8</f>
        <v>0</v>
      </c>
      <c r="S8" s="208">
        <f t="shared" si="1"/>
        <v>12</v>
      </c>
      <c r="T8" s="44"/>
      <c r="U8" s="191">
        <f>L8*24+N8*24+P8*24</f>
        <v>0</v>
      </c>
      <c r="V8" s="214">
        <f>U8/24</f>
        <v>0</v>
      </c>
      <c r="W8" s="213">
        <f t="shared" ref="W8:W12" si="2">I8*24+J8</f>
        <v>708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>
        <v>93</v>
      </c>
      <c r="D9" s="198"/>
      <c r="E9" s="199"/>
      <c r="F9" s="199"/>
      <c r="G9" s="107">
        <v>2</v>
      </c>
      <c r="H9" s="108"/>
      <c r="I9" s="107">
        <f t="shared" ref="I9:J59" si="4">C9-G9</f>
        <v>91</v>
      </c>
      <c r="J9" s="160">
        <f t="shared" si="0"/>
        <v>0</v>
      </c>
      <c r="K9" s="64"/>
      <c r="L9" s="205"/>
      <c r="M9" s="205"/>
      <c r="N9" s="205"/>
      <c r="O9" s="205"/>
      <c r="P9" s="205">
        <v>2</v>
      </c>
      <c r="Q9" s="206"/>
      <c r="R9" s="166">
        <f t="shared" si="1"/>
        <v>2</v>
      </c>
      <c r="S9" s="209">
        <f t="shared" si="1"/>
        <v>0</v>
      </c>
      <c r="T9" s="64"/>
      <c r="U9" s="215">
        <f>L9*24+N9*24+P9*24</f>
        <v>48</v>
      </c>
      <c r="V9" s="216">
        <f>U9/24</f>
        <v>2</v>
      </c>
      <c r="W9" s="217">
        <f t="shared" si="2"/>
        <v>2184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10">
        <f t="shared" si="1"/>
        <v>0</v>
      </c>
      <c r="T10" s="44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>
        <v>57</v>
      </c>
      <c r="D11" s="195"/>
      <c r="E11" s="196"/>
      <c r="F11" s="196"/>
      <c r="G11" s="102">
        <v>1</v>
      </c>
      <c r="H11" s="93"/>
      <c r="I11" s="93">
        <f t="shared" si="4"/>
        <v>56</v>
      </c>
      <c r="J11" s="103">
        <f t="shared" si="0"/>
        <v>0</v>
      </c>
      <c r="K11" s="44"/>
      <c r="L11" s="196"/>
      <c r="M11" s="196"/>
      <c r="N11" s="196">
        <v>1</v>
      </c>
      <c r="O11" s="196"/>
      <c r="P11" s="196"/>
      <c r="Q11" s="204"/>
      <c r="R11" s="128">
        <f t="shared" si="1"/>
        <v>1</v>
      </c>
      <c r="S11" s="208">
        <f t="shared" si="1"/>
        <v>0</v>
      </c>
      <c r="T11" s="44"/>
      <c r="U11" s="191">
        <f>L11*24+N11*24+P11*24</f>
        <v>24</v>
      </c>
      <c r="V11" s="214">
        <f>U11/24</f>
        <v>1</v>
      </c>
      <c r="W11" s="213">
        <f t="shared" si="2"/>
        <v>1344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4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08">
        <f t="shared" si="1"/>
        <v>0</v>
      </c>
      <c r="T12" s="44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24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>
        <f>3403</f>
        <v>3403</v>
      </c>
      <c r="D13" s="198">
        <v>22</v>
      </c>
      <c r="E13" s="199"/>
      <c r="F13" s="199"/>
      <c r="G13" s="107">
        <v>34</v>
      </c>
      <c r="H13" s="108">
        <v>29</v>
      </c>
      <c r="I13" s="116">
        <f t="shared" si="4"/>
        <v>3369</v>
      </c>
      <c r="J13" s="160">
        <f>D13-H13</f>
        <v>-7</v>
      </c>
      <c r="K13" s="68"/>
      <c r="L13" s="205">
        <v>9</v>
      </c>
      <c r="M13" s="205">
        <v>14</v>
      </c>
      <c r="N13" s="205">
        <v>10</v>
      </c>
      <c r="O13" s="205"/>
      <c r="P13" s="205">
        <v>15</v>
      </c>
      <c r="Q13" s="206">
        <v>15</v>
      </c>
      <c r="R13" s="163">
        <f>L13+N13+P13</f>
        <v>34</v>
      </c>
      <c r="S13" s="209">
        <f>M13+O13+Q13</f>
        <v>29</v>
      </c>
      <c r="T13" s="68"/>
      <c r="U13" s="215">
        <f>L13*24+N13*24+P13*24</f>
        <v>816</v>
      </c>
      <c r="V13" s="219">
        <f t="shared" si="6"/>
        <v>34</v>
      </c>
      <c r="W13" s="217">
        <f>I13*24+J13</f>
        <v>80849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159">
        <f t="shared" si="4"/>
        <v>5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10">
        <f t="shared" si="7"/>
        <v>0</v>
      </c>
      <c r="T14" s="44"/>
      <c r="U14" s="191">
        <f t="shared" si="5"/>
        <v>0</v>
      </c>
      <c r="V14" s="193">
        <f t="shared" si="6"/>
        <v>0</v>
      </c>
      <c r="W14" s="213">
        <f t="shared" ref="W14:W37" si="8">I14*24+J14</f>
        <v>120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08">
        <f t="shared" si="7"/>
        <v>0</v>
      </c>
      <c r="T15" s="44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08">
        <f t="shared" si="7"/>
        <v>0</v>
      </c>
      <c r="T16" s="44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08">
        <f t="shared" si="7"/>
        <v>0</v>
      </c>
      <c r="T17" s="44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4"/>
        <v>4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08">
        <f t="shared" si="7"/>
        <v>0</v>
      </c>
      <c r="T18" s="44"/>
      <c r="U18" s="191">
        <f t="shared" si="5"/>
        <v>0</v>
      </c>
      <c r="V18" s="214">
        <f t="shared" si="6"/>
        <v>0</v>
      </c>
      <c r="W18" s="213">
        <f t="shared" si="8"/>
        <v>96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08">
        <f t="shared" si="7"/>
        <v>0</v>
      </c>
      <c r="T19" s="44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4"/>
        <v>4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08">
        <f t="shared" si="7"/>
        <v>0</v>
      </c>
      <c r="T20" s="44"/>
      <c r="U20" s="191">
        <f t="shared" si="5"/>
        <v>0</v>
      </c>
      <c r="V20" s="214">
        <f t="shared" si="6"/>
        <v>0</v>
      </c>
      <c r="W20" s="213">
        <f t="shared" si="8"/>
        <v>96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4"/>
        <v>6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08">
        <f t="shared" si="7"/>
        <v>0</v>
      </c>
      <c r="T21" s="44"/>
      <c r="U21" s="191">
        <f t="shared" si="5"/>
        <v>0</v>
      </c>
      <c r="V21" s="214">
        <f t="shared" si="6"/>
        <v>0</v>
      </c>
      <c r="W21" s="213">
        <f t="shared" si="8"/>
        <v>144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4"/>
        <v>4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08">
        <f t="shared" si="7"/>
        <v>0</v>
      </c>
      <c r="T22" s="44"/>
      <c r="U22" s="191">
        <f t="shared" si="5"/>
        <v>0</v>
      </c>
      <c r="V22" s="214">
        <f t="shared" si="6"/>
        <v>0</v>
      </c>
      <c r="W22" s="213">
        <f t="shared" si="8"/>
        <v>96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4"/>
        <v>2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08">
        <f t="shared" si="7"/>
        <v>0</v>
      </c>
      <c r="T23" s="45"/>
      <c r="U23" s="191">
        <f t="shared" si="5"/>
        <v>0</v>
      </c>
      <c r="V23" s="214">
        <f t="shared" si="6"/>
        <v>0</v>
      </c>
      <c r="W23" s="213">
        <f t="shared" si="8"/>
        <v>48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4"/>
        <v>48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08">
        <f t="shared" si="7"/>
        <v>0</v>
      </c>
      <c r="T24" s="45"/>
      <c r="U24" s="191">
        <f t="shared" si="5"/>
        <v>0</v>
      </c>
      <c r="V24" s="214">
        <f t="shared" si="6"/>
        <v>0</v>
      </c>
      <c r="W24" s="213">
        <f t="shared" si="8"/>
        <v>1152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4"/>
        <v>7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08">
        <f t="shared" si="7"/>
        <v>0</v>
      </c>
      <c r="T25" s="44"/>
      <c r="U25" s="191">
        <f t="shared" si="5"/>
        <v>0</v>
      </c>
      <c r="V25" s="214">
        <f t="shared" si="6"/>
        <v>0</v>
      </c>
      <c r="W25" s="213">
        <f t="shared" si="8"/>
        <v>168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>
        <v>83</v>
      </c>
      <c r="D26" s="195">
        <v>23</v>
      </c>
      <c r="E26" s="196"/>
      <c r="F26" s="196"/>
      <c r="G26" s="102">
        <v>5</v>
      </c>
      <c r="H26" s="93">
        <v>12</v>
      </c>
      <c r="I26" s="93">
        <f t="shared" si="4"/>
        <v>78</v>
      </c>
      <c r="J26" s="103">
        <f t="shared" si="4"/>
        <v>11</v>
      </c>
      <c r="K26" s="44"/>
      <c r="L26" s="196">
        <v>4</v>
      </c>
      <c r="M26" s="196">
        <v>12</v>
      </c>
      <c r="N26" s="196">
        <v>1</v>
      </c>
      <c r="O26" s="196"/>
      <c r="P26" s="196"/>
      <c r="Q26" s="204"/>
      <c r="R26" s="128">
        <f t="shared" si="7"/>
        <v>5</v>
      </c>
      <c r="S26" s="208">
        <f t="shared" si="7"/>
        <v>12</v>
      </c>
      <c r="T26" s="44"/>
      <c r="U26" s="191">
        <f t="shared" si="5"/>
        <v>120</v>
      </c>
      <c r="V26" s="214">
        <f t="shared" si="6"/>
        <v>5</v>
      </c>
      <c r="W26" s="213">
        <f t="shared" si="8"/>
        <v>1883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08">
        <f t="shared" si="7"/>
        <v>0</v>
      </c>
      <c r="T27" s="4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08">
        <f t="shared" si="7"/>
        <v>0</v>
      </c>
      <c r="T28" s="4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>
        <v>23</v>
      </c>
      <c r="D29" s="195"/>
      <c r="E29" s="196"/>
      <c r="F29" s="196"/>
      <c r="G29" s="102">
        <v>6</v>
      </c>
      <c r="H29" s="93"/>
      <c r="I29" s="93">
        <f t="shared" si="4"/>
        <v>17</v>
      </c>
      <c r="J29" s="103">
        <f t="shared" si="4"/>
        <v>0</v>
      </c>
      <c r="K29" s="45"/>
      <c r="L29" s="196">
        <v>1</v>
      </c>
      <c r="M29" s="196"/>
      <c r="N29" s="196"/>
      <c r="O29" s="196"/>
      <c r="P29" s="196">
        <v>5</v>
      </c>
      <c r="Q29" s="204"/>
      <c r="R29" s="128">
        <f t="shared" si="7"/>
        <v>6</v>
      </c>
      <c r="S29" s="208">
        <f t="shared" si="7"/>
        <v>0</v>
      </c>
      <c r="T29" s="45"/>
      <c r="U29" s="191">
        <f t="shared" si="5"/>
        <v>144</v>
      </c>
      <c r="V29" s="214">
        <f t="shared" si="6"/>
        <v>6</v>
      </c>
      <c r="W29" s="213">
        <f t="shared" si="8"/>
        <v>408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08">
        <f t="shared" si="7"/>
        <v>0</v>
      </c>
      <c r="T30" s="44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>
        <v>63</v>
      </c>
      <c r="D31" s="195"/>
      <c r="E31" s="196"/>
      <c r="F31" s="196"/>
      <c r="G31" s="102">
        <v>2</v>
      </c>
      <c r="H31" s="93"/>
      <c r="I31" s="93">
        <f t="shared" si="4"/>
        <v>61</v>
      </c>
      <c r="J31" s="103">
        <f t="shared" si="4"/>
        <v>0</v>
      </c>
      <c r="K31" s="44"/>
      <c r="L31" s="196">
        <v>2</v>
      </c>
      <c r="M31" s="196"/>
      <c r="N31" s="196"/>
      <c r="O31" s="196"/>
      <c r="P31" s="196"/>
      <c r="Q31" s="204"/>
      <c r="R31" s="128">
        <f t="shared" si="7"/>
        <v>2</v>
      </c>
      <c r="S31" s="208">
        <f t="shared" si="7"/>
        <v>0</v>
      </c>
      <c r="T31" s="44"/>
      <c r="U31" s="191">
        <f t="shared" si="5"/>
        <v>48</v>
      </c>
      <c r="V31" s="214">
        <f t="shared" si="6"/>
        <v>2</v>
      </c>
      <c r="W31" s="213">
        <f t="shared" si="8"/>
        <v>1464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08">
        <f t="shared" si="7"/>
        <v>0</v>
      </c>
      <c r="T32" s="44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08">
        <f t="shared" si="7"/>
        <v>0</v>
      </c>
      <c r="T33" s="44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08">
        <f t="shared" si="7"/>
        <v>0</v>
      </c>
      <c r="T34" s="44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>
        <v>98</v>
      </c>
      <c r="D35" s="195">
        <v>5</v>
      </c>
      <c r="E35" s="196"/>
      <c r="F35" s="196"/>
      <c r="G35" s="102">
        <v>6</v>
      </c>
      <c r="H35" s="93"/>
      <c r="I35" s="93">
        <f t="shared" si="4"/>
        <v>92</v>
      </c>
      <c r="J35" s="103">
        <f t="shared" si="4"/>
        <v>5</v>
      </c>
      <c r="K35" s="44"/>
      <c r="L35" s="196">
        <v>3</v>
      </c>
      <c r="M35" s="196"/>
      <c r="N35" s="196"/>
      <c r="O35" s="196"/>
      <c r="P35" s="196">
        <v>3</v>
      </c>
      <c r="Q35" s="204"/>
      <c r="R35" s="128">
        <f t="shared" si="7"/>
        <v>6</v>
      </c>
      <c r="S35" s="208">
        <f t="shared" si="7"/>
        <v>0</v>
      </c>
      <c r="T35" s="44"/>
      <c r="U35" s="191">
        <f t="shared" si="5"/>
        <v>144</v>
      </c>
      <c r="V35" s="214">
        <f t="shared" si="6"/>
        <v>6</v>
      </c>
      <c r="W35" s="213">
        <f t="shared" si="8"/>
        <v>2213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08">
        <f t="shared" si="7"/>
        <v>0</v>
      </c>
      <c r="T36" s="44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08">
        <f t="shared" si="7"/>
        <v>0</v>
      </c>
      <c r="T37" s="44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222" t="s">
        <v>33</v>
      </c>
      <c r="C38" s="197">
        <v>3947</v>
      </c>
      <c r="D38" s="198">
        <v>2</v>
      </c>
      <c r="E38" s="199"/>
      <c r="F38" s="199"/>
      <c r="G38" s="107">
        <v>60</v>
      </c>
      <c r="H38" s="108"/>
      <c r="I38" s="223">
        <f t="shared" si="4"/>
        <v>3887</v>
      </c>
      <c r="J38" s="224">
        <f t="shared" si="4"/>
        <v>2</v>
      </c>
      <c r="K38" s="64"/>
      <c r="L38" s="205">
        <v>6</v>
      </c>
      <c r="M38" s="205"/>
      <c r="N38" s="205">
        <v>33</v>
      </c>
      <c r="O38" s="205"/>
      <c r="P38" s="205">
        <v>21</v>
      </c>
      <c r="Q38" s="206"/>
      <c r="R38" s="163">
        <f t="shared" si="7"/>
        <v>60</v>
      </c>
      <c r="S38" s="209">
        <f t="shared" si="7"/>
        <v>0</v>
      </c>
      <c r="T38" s="64"/>
      <c r="U38" s="215">
        <f>L38*6+N38*6+P38*6</f>
        <v>360</v>
      </c>
      <c r="V38" s="219">
        <f>U38/6</f>
        <v>60</v>
      </c>
      <c r="W38" s="217">
        <f>I38*6+J38</f>
        <v>23324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>
        <v>4</v>
      </c>
      <c r="D39" s="195"/>
      <c r="E39" s="196"/>
      <c r="F39" s="196"/>
      <c r="G39" s="102"/>
      <c r="H39" s="93"/>
      <c r="I39" s="102">
        <f t="shared" si="4"/>
        <v>4</v>
      </c>
      <c r="J39" s="103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10">
        <f t="shared" si="7"/>
        <v>0</v>
      </c>
      <c r="T39" s="44"/>
      <c r="U39" s="191">
        <f t="shared" ref="U39:U41" si="9">L39*24+N39*24+P39*24</f>
        <v>0</v>
      </c>
      <c r="V39" s="193">
        <f t="shared" si="6"/>
        <v>0</v>
      </c>
      <c r="W39" s="213">
        <f t="shared" ref="W39:W41" si="10">I39*24+J39</f>
        <v>96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08">
        <f t="shared" si="7"/>
        <v>0</v>
      </c>
      <c r="T40" s="44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229" t="s">
        <v>35</v>
      </c>
      <c r="C41" s="230">
        <v>695</v>
      </c>
      <c r="D41" s="231">
        <v>12</v>
      </c>
      <c r="E41" s="232"/>
      <c r="F41" s="232"/>
      <c r="G41" s="233">
        <v>70</v>
      </c>
      <c r="H41" s="234"/>
      <c r="I41" s="235">
        <f t="shared" si="4"/>
        <v>625</v>
      </c>
      <c r="J41" s="236">
        <f t="shared" si="4"/>
        <v>12</v>
      </c>
      <c r="K41" s="237"/>
      <c r="L41" s="238">
        <v>70</v>
      </c>
      <c r="M41" s="238"/>
      <c r="N41" s="238"/>
      <c r="O41" s="238"/>
      <c r="P41" s="238"/>
      <c r="Q41" s="239"/>
      <c r="R41" s="240">
        <f t="shared" si="7"/>
        <v>70</v>
      </c>
      <c r="S41" s="241">
        <f t="shared" si="7"/>
        <v>0</v>
      </c>
      <c r="T41" s="237"/>
      <c r="U41" s="242">
        <f t="shared" si="9"/>
        <v>1680</v>
      </c>
      <c r="V41" s="243">
        <f t="shared" si="6"/>
        <v>70</v>
      </c>
      <c r="W41" s="243">
        <f t="shared" si="10"/>
        <v>15012</v>
      </c>
      <c r="X41" s="244"/>
    </row>
    <row r="42" spans="1:26" ht="19.5" thickBot="1" x14ac:dyDescent="0.3">
      <c r="A42" s="3">
        <f t="shared" si="3"/>
        <v>35</v>
      </c>
      <c r="B42" s="246" t="s">
        <v>36</v>
      </c>
      <c r="C42" s="247">
        <v>1589</v>
      </c>
      <c r="D42" s="248"/>
      <c r="E42" s="249"/>
      <c r="F42" s="249"/>
      <c r="G42" s="250">
        <v>11</v>
      </c>
      <c r="H42" s="251"/>
      <c r="I42" s="250">
        <f t="shared" si="4"/>
        <v>1578</v>
      </c>
      <c r="J42" s="252">
        <f t="shared" si="4"/>
        <v>0</v>
      </c>
      <c r="K42" s="253"/>
      <c r="L42" s="249"/>
      <c r="M42" s="249"/>
      <c r="N42" s="249">
        <v>1</v>
      </c>
      <c r="O42" s="249"/>
      <c r="P42" s="249">
        <v>10</v>
      </c>
      <c r="Q42" s="254"/>
      <c r="R42" s="255">
        <f t="shared" si="7"/>
        <v>11</v>
      </c>
      <c r="S42" s="256">
        <f t="shared" si="7"/>
        <v>0</v>
      </c>
      <c r="T42" s="253"/>
      <c r="U42" s="257">
        <f>L42*12+N42*12+P42*12</f>
        <v>132</v>
      </c>
      <c r="V42" s="258">
        <f>U42/12</f>
        <v>11</v>
      </c>
      <c r="W42" s="259">
        <f>I42*12+J42</f>
        <v>18936</v>
      </c>
      <c r="X42" s="260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245">
        <f t="shared" si="7"/>
        <v>0</v>
      </c>
      <c r="S43" s="211">
        <f t="shared" si="7"/>
        <v>0</v>
      </c>
      <c r="T43" s="44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>
        <v>29660</v>
      </c>
      <c r="D44" s="198"/>
      <c r="E44" s="199"/>
      <c r="F44" s="199"/>
      <c r="G44" s="107">
        <v>1002</v>
      </c>
      <c r="H44" s="108"/>
      <c r="I44" s="93">
        <f>C44+E44-G44</f>
        <v>28658</v>
      </c>
      <c r="J44" s="261">
        <f t="shared" si="4"/>
        <v>0</v>
      </c>
      <c r="K44" s="64"/>
      <c r="L44" s="205">
        <v>307</v>
      </c>
      <c r="M44" s="205"/>
      <c r="N44" s="205">
        <v>322</v>
      </c>
      <c r="O44" s="205"/>
      <c r="P44" s="205">
        <v>373</v>
      </c>
      <c r="Q44" s="206"/>
      <c r="R44" s="262">
        <f t="shared" si="7"/>
        <v>1002</v>
      </c>
      <c r="S44" s="263">
        <f t="shared" si="7"/>
        <v>0</v>
      </c>
      <c r="T44" s="64"/>
      <c r="U44" s="215">
        <f>L44*6+N44*6+P44*6</f>
        <v>6012</v>
      </c>
      <c r="V44" s="214">
        <f>U44/6</f>
        <v>1002</v>
      </c>
      <c r="W44" s="217">
        <f>I44*6+J44</f>
        <v>171948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11">
        <f t="shared" si="7"/>
        <v>0</v>
      </c>
      <c r="T45" s="44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12">
        <f t="shared" si="7"/>
        <v>0</v>
      </c>
      <c r="T46" s="44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08">
        <f t="shared" si="7"/>
        <v>0</v>
      </c>
      <c r="T47" s="44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54" t="s">
        <v>39</v>
      </c>
      <c r="C48" s="225">
        <v>2359</v>
      </c>
      <c r="D48" s="226">
        <v>4</v>
      </c>
      <c r="E48" s="205"/>
      <c r="F48" s="205"/>
      <c r="G48" s="227">
        <v>1</v>
      </c>
      <c r="H48" s="223"/>
      <c r="I48" s="223">
        <f t="shared" si="4"/>
        <v>2358</v>
      </c>
      <c r="J48" s="224">
        <f t="shared" si="4"/>
        <v>4</v>
      </c>
      <c r="K48" s="64"/>
      <c r="L48" s="205">
        <v>1</v>
      </c>
      <c r="M48" s="205"/>
      <c r="N48" s="205"/>
      <c r="O48" s="205"/>
      <c r="P48" s="205"/>
      <c r="Q48" s="206"/>
      <c r="R48" s="163">
        <f t="shared" si="7"/>
        <v>1</v>
      </c>
      <c r="S48" s="228">
        <f t="shared" si="7"/>
        <v>0</v>
      </c>
      <c r="T48" s="64"/>
      <c r="U48" s="215">
        <f>L48*6+N48*6+P48*6</f>
        <v>6</v>
      </c>
      <c r="V48" s="219">
        <f>U48/6</f>
        <v>1</v>
      </c>
      <c r="W48" s="217">
        <f>I48*6+J48</f>
        <v>14152</v>
      </c>
      <c r="X48" s="66"/>
    </row>
    <row r="49" spans="1:24" ht="19.5" thickBot="1" x14ac:dyDescent="0.3">
      <c r="A49" s="3">
        <f t="shared" si="3"/>
        <v>42</v>
      </c>
      <c r="B49" s="10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62">
        <f t="shared" si="7"/>
        <v>0</v>
      </c>
      <c r="S49" s="210">
        <f t="shared" si="7"/>
        <v>0</v>
      </c>
      <c r="T49" s="44"/>
      <c r="U49" s="191">
        <f t="shared" ref="U49:U51" si="14">L49*24+N49*24+P49*24</f>
        <v>0</v>
      </c>
      <c r="V49" s="193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08">
        <f t="shared" si="7"/>
        <v>0</v>
      </c>
      <c r="T50" s="44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08">
        <f t="shared" si="7"/>
        <v>0</v>
      </c>
      <c r="T51" s="44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54" t="s">
        <v>41</v>
      </c>
      <c r="C52" s="225">
        <v>34</v>
      </c>
      <c r="D52" s="226"/>
      <c r="E52" s="205"/>
      <c r="F52" s="205"/>
      <c r="G52" s="227"/>
      <c r="H52" s="223"/>
      <c r="I52" s="223">
        <f t="shared" si="4"/>
        <v>34</v>
      </c>
      <c r="J52" s="224">
        <f t="shared" si="4"/>
        <v>0</v>
      </c>
      <c r="K52" s="64"/>
      <c r="L52" s="205"/>
      <c r="M52" s="205"/>
      <c r="N52" s="205"/>
      <c r="O52" s="205"/>
      <c r="P52" s="205"/>
      <c r="Q52" s="206"/>
      <c r="R52" s="163">
        <f t="shared" si="7"/>
        <v>0</v>
      </c>
      <c r="S52" s="228">
        <f t="shared" si="7"/>
        <v>0</v>
      </c>
      <c r="T52" s="64"/>
      <c r="U52" s="215">
        <f>L52*6+N52*6+P52*6</f>
        <v>0</v>
      </c>
      <c r="V52" s="219">
        <f>U52/6</f>
        <v>0</v>
      </c>
      <c r="W52" s="217">
        <f>I52*6+J52</f>
        <v>204</v>
      </c>
      <c r="X52" s="66"/>
    </row>
    <row r="53" spans="1:24" ht="19.5" thickBot="1" x14ac:dyDescent="0.3">
      <c r="A53" s="3">
        <f t="shared" si="3"/>
        <v>46</v>
      </c>
      <c r="B53" s="10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62">
        <f t="shared" si="7"/>
        <v>0</v>
      </c>
      <c r="S53" s="210">
        <f t="shared" si="7"/>
        <v>0</v>
      </c>
      <c r="T53" s="44"/>
      <c r="U53" s="191">
        <f t="shared" ref="U53:U54" si="17">L53*24+N53*24+P53*24</f>
        <v>0</v>
      </c>
      <c r="V53" s="193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>
        <v>2</v>
      </c>
      <c r="D54" s="195"/>
      <c r="E54" s="196"/>
      <c r="F54" s="196"/>
      <c r="G54" s="102"/>
      <c r="H54" s="93"/>
      <c r="I54" s="93">
        <f t="shared" si="4"/>
        <v>2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08">
        <f t="shared" si="7"/>
        <v>0</v>
      </c>
      <c r="T54" s="44"/>
      <c r="U54" s="191">
        <f t="shared" si="17"/>
        <v>0</v>
      </c>
      <c r="V54" s="214">
        <f t="shared" si="18"/>
        <v>0</v>
      </c>
      <c r="W54" s="213">
        <f t="shared" si="19"/>
        <v>48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08">
        <f t="shared" si="7"/>
        <v>0</v>
      </c>
      <c r="T55" s="44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08">
        <f t="shared" si="7"/>
        <v>0</v>
      </c>
      <c r="T56" s="44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08">
        <f t="shared" si="7"/>
        <v>0</v>
      </c>
      <c r="T57" s="44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08">
        <f t="shared" si="7"/>
        <v>0</v>
      </c>
      <c r="T58" s="44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08">
        <f t="shared" si="7"/>
        <v>0</v>
      </c>
      <c r="T59" s="44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42221</v>
      </c>
      <c r="D60" s="71">
        <f>SUM(D8:D59)</f>
        <v>68</v>
      </c>
      <c r="E60" s="47">
        <f>SUM(E8:E59)</f>
        <v>0</v>
      </c>
      <c r="F60" s="47"/>
      <c r="G60" s="31">
        <f>SUM(G8:G59)</f>
        <v>1200</v>
      </c>
      <c r="H60" s="73">
        <f>SUM(H8:H59)</f>
        <v>53</v>
      </c>
      <c r="I60" s="73">
        <f>SUM(I8:I59)</f>
        <v>41021</v>
      </c>
      <c r="J60" s="48">
        <f>SUM(J8:J59)</f>
        <v>15</v>
      </c>
      <c r="K60" s="49"/>
      <c r="L60" s="98">
        <f t="shared" ref="L60:S60" si="20">SUM(L8:L59)</f>
        <v>403</v>
      </c>
      <c r="M60" s="98">
        <f t="shared" si="20"/>
        <v>38</v>
      </c>
      <c r="N60" s="98">
        <f t="shared" si="20"/>
        <v>368</v>
      </c>
      <c r="O60" s="98">
        <f t="shared" si="20"/>
        <v>0</v>
      </c>
      <c r="P60" s="98">
        <f t="shared" si="20"/>
        <v>429</v>
      </c>
      <c r="Q60" s="99">
        <f t="shared" si="20"/>
        <v>15</v>
      </c>
      <c r="R60" s="127">
        <f t="shared" si="20"/>
        <v>1200</v>
      </c>
      <c r="S60" s="124">
        <f t="shared" si="20"/>
        <v>53</v>
      </c>
      <c r="T60" s="49"/>
      <c r="U60" s="46">
        <f>SUM(U8:U59)</f>
        <v>9534</v>
      </c>
      <c r="V60" s="176">
        <f>SUM(V8:V59)</f>
        <v>1200</v>
      </c>
      <c r="W60" s="156">
        <f>SUM(W8:W59)</f>
        <v>336717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264" t="s">
        <v>3</v>
      </c>
      <c r="D69" s="265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F761-5F28-4007-8E21-DF989CFDFD6A}">
  <sheetPr>
    <pageSetUpPr fitToPage="1"/>
  </sheetPr>
  <dimension ref="A1:BH90"/>
  <sheetViews>
    <sheetView tabSelected="1"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46076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266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07"/>
      <c r="T6" s="44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07"/>
      <c r="T7" s="44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>
        <v>29</v>
      </c>
      <c r="D8" s="195">
        <v>12</v>
      </c>
      <c r="E8" s="196"/>
      <c r="F8" s="196"/>
      <c r="G8" s="102"/>
      <c r="H8" s="93"/>
      <c r="I8" s="93">
        <f>C8-G8</f>
        <v>29</v>
      </c>
      <c r="J8" s="103">
        <f t="shared" ref="J8:J12" si="0">D8-H8</f>
        <v>12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08">
        <f t="shared" si="1"/>
        <v>0</v>
      </c>
      <c r="T8" s="44"/>
      <c r="U8" s="191">
        <f>L8*24+N8*24+P8*24</f>
        <v>0</v>
      </c>
      <c r="V8" s="214">
        <f>U8/24</f>
        <v>0</v>
      </c>
      <c r="W8" s="213">
        <f t="shared" ref="W8:W12" si="2">I8*24+J8</f>
        <v>708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>
        <v>91</v>
      </c>
      <c r="D9" s="198"/>
      <c r="E9" s="199"/>
      <c r="F9" s="199"/>
      <c r="G9" s="107"/>
      <c r="H9" s="108"/>
      <c r="I9" s="107">
        <f t="shared" ref="I9:J59" si="4">C9-G9</f>
        <v>91</v>
      </c>
      <c r="J9" s="160">
        <f t="shared" si="0"/>
        <v>0</v>
      </c>
      <c r="K9" s="64"/>
      <c r="L9" s="205"/>
      <c r="M9" s="205"/>
      <c r="N9" s="205"/>
      <c r="O9" s="205"/>
      <c r="P9" s="205"/>
      <c r="Q9" s="206"/>
      <c r="R9" s="166">
        <f t="shared" si="1"/>
        <v>0</v>
      </c>
      <c r="S9" s="209">
        <f t="shared" si="1"/>
        <v>0</v>
      </c>
      <c r="T9" s="64"/>
      <c r="U9" s="215">
        <f>L9*24+N9*24+P9*24</f>
        <v>0</v>
      </c>
      <c r="V9" s="216">
        <f>U9/24</f>
        <v>0</v>
      </c>
      <c r="W9" s="217">
        <f t="shared" si="2"/>
        <v>2184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10">
        <f t="shared" si="1"/>
        <v>0</v>
      </c>
      <c r="T10" s="44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>
        <v>56</v>
      </c>
      <c r="D11" s="195"/>
      <c r="E11" s="196"/>
      <c r="F11" s="196"/>
      <c r="G11" s="102"/>
      <c r="H11" s="93"/>
      <c r="I11" s="93">
        <f t="shared" si="4"/>
        <v>56</v>
      </c>
      <c r="J11" s="103">
        <f t="shared" si="0"/>
        <v>0</v>
      </c>
      <c r="K11" s="44"/>
      <c r="L11" s="196"/>
      <c r="M11" s="196"/>
      <c r="N11" s="196"/>
      <c r="O11" s="196"/>
      <c r="P11" s="196"/>
      <c r="Q11" s="204"/>
      <c r="R11" s="128">
        <f t="shared" si="1"/>
        <v>0</v>
      </c>
      <c r="S11" s="208">
        <f t="shared" si="1"/>
        <v>0</v>
      </c>
      <c r="T11" s="44"/>
      <c r="U11" s="191">
        <f>L11*24+N11*24+P11*24</f>
        <v>0</v>
      </c>
      <c r="V11" s="214">
        <f>U11/24</f>
        <v>0</v>
      </c>
      <c r="W11" s="213">
        <f t="shared" si="2"/>
        <v>1344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>
        <v>1</v>
      </c>
      <c r="D12" s="195"/>
      <c r="E12" s="196"/>
      <c r="F12" s="196"/>
      <c r="G12" s="102"/>
      <c r="H12" s="93"/>
      <c r="I12" s="93">
        <f t="shared" si="4"/>
        <v>1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08">
        <f t="shared" si="1"/>
        <v>0</v>
      </c>
      <c r="T12" s="44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24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>
        <v>3368</v>
      </c>
      <c r="D13" s="198">
        <v>17</v>
      </c>
      <c r="E13" s="199"/>
      <c r="F13" s="199"/>
      <c r="G13" s="107">
        <v>10</v>
      </c>
      <c r="H13" s="108">
        <v>13</v>
      </c>
      <c r="I13" s="116">
        <f t="shared" si="4"/>
        <v>3358</v>
      </c>
      <c r="J13" s="160">
        <f>D13-H13</f>
        <v>4</v>
      </c>
      <c r="K13" s="68"/>
      <c r="L13" s="205"/>
      <c r="M13" s="205"/>
      <c r="N13" s="205"/>
      <c r="O13" s="205"/>
      <c r="P13" s="205">
        <v>10</v>
      </c>
      <c r="Q13" s="206">
        <v>13</v>
      </c>
      <c r="R13" s="163">
        <f>L13+N13+P13</f>
        <v>10</v>
      </c>
      <c r="S13" s="209">
        <f>M13+O13+Q13</f>
        <v>13</v>
      </c>
      <c r="T13" s="68"/>
      <c r="U13" s="215">
        <f>L13*24+N13*24+P13*24</f>
        <v>240</v>
      </c>
      <c r="V13" s="219">
        <f t="shared" si="6"/>
        <v>10</v>
      </c>
      <c r="W13" s="217">
        <f>I13*24+J13</f>
        <v>80596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>
        <v>5</v>
      </c>
      <c r="D14" s="195"/>
      <c r="E14" s="196"/>
      <c r="F14" s="196"/>
      <c r="G14" s="102"/>
      <c r="H14" s="93"/>
      <c r="I14" s="159">
        <f t="shared" si="4"/>
        <v>5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10">
        <f t="shared" si="7"/>
        <v>0</v>
      </c>
      <c r="T14" s="44"/>
      <c r="U14" s="191">
        <f t="shared" si="5"/>
        <v>0</v>
      </c>
      <c r="V14" s="193">
        <f t="shared" si="6"/>
        <v>0</v>
      </c>
      <c r="W14" s="213">
        <f t="shared" ref="W14:W37" si="8">I14*24+J14</f>
        <v>120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08">
        <f t="shared" si="7"/>
        <v>0</v>
      </c>
      <c r="T15" s="44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08">
        <f t="shared" si="7"/>
        <v>0</v>
      </c>
      <c r="T16" s="44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08">
        <f t="shared" si="7"/>
        <v>0</v>
      </c>
      <c r="T17" s="44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>
        <v>4</v>
      </c>
      <c r="D18" s="195"/>
      <c r="E18" s="196"/>
      <c r="F18" s="196"/>
      <c r="G18" s="102"/>
      <c r="H18" s="93"/>
      <c r="I18" s="93">
        <f t="shared" si="4"/>
        <v>4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08">
        <f t="shared" si="7"/>
        <v>0</v>
      </c>
      <c r="T18" s="44"/>
      <c r="U18" s="191">
        <f t="shared" si="5"/>
        <v>0</v>
      </c>
      <c r="V18" s="214">
        <f t="shared" si="6"/>
        <v>0</v>
      </c>
      <c r="W18" s="213">
        <f t="shared" si="8"/>
        <v>96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08">
        <f t="shared" si="7"/>
        <v>0</v>
      </c>
      <c r="T19" s="44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>
        <v>4</v>
      </c>
      <c r="D20" s="195"/>
      <c r="E20" s="196"/>
      <c r="F20" s="196"/>
      <c r="G20" s="102"/>
      <c r="H20" s="93"/>
      <c r="I20" s="93">
        <f t="shared" si="4"/>
        <v>4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08">
        <f t="shared" si="7"/>
        <v>0</v>
      </c>
      <c r="T20" s="44"/>
      <c r="U20" s="191">
        <f t="shared" si="5"/>
        <v>0</v>
      </c>
      <c r="V20" s="214">
        <f t="shared" si="6"/>
        <v>0</v>
      </c>
      <c r="W20" s="213">
        <f t="shared" si="8"/>
        <v>96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>
        <v>6</v>
      </c>
      <c r="D21" s="195"/>
      <c r="E21" s="196"/>
      <c r="F21" s="196"/>
      <c r="G21" s="102"/>
      <c r="H21" s="93"/>
      <c r="I21" s="93">
        <f t="shared" si="4"/>
        <v>6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08">
        <f t="shared" si="7"/>
        <v>0</v>
      </c>
      <c r="T21" s="44"/>
      <c r="U21" s="191">
        <f t="shared" si="5"/>
        <v>0</v>
      </c>
      <c r="V21" s="214">
        <f t="shared" si="6"/>
        <v>0</v>
      </c>
      <c r="W21" s="213">
        <f t="shared" si="8"/>
        <v>144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>
        <v>4</v>
      </c>
      <c r="D22" s="195"/>
      <c r="E22" s="196"/>
      <c r="F22" s="196"/>
      <c r="G22" s="102"/>
      <c r="H22" s="93"/>
      <c r="I22" s="93">
        <f t="shared" si="4"/>
        <v>4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08">
        <f t="shared" si="7"/>
        <v>0</v>
      </c>
      <c r="T22" s="44"/>
      <c r="U22" s="191">
        <f t="shared" si="5"/>
        <v>0</v>
      </c>
      <c r="V22" s="214">
        <f t="shared" si="6"/>
        <v>0</v>
      </c>
      <c r="W22" s="213">
        <f t="shared" si="8"/>
        <v>96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>
        <v>2</v>
      </c>
      <c r="D23" s="195"/>
      <c r="E23" s="196"/>
      <c r="F23" s="196"/>
      <c r="G23" s="102"/>
      <c r="H23" s="93"/>
      <c r="I23" s="93">
        <f t="shared" si="4"/>
        <v>2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08">
        <f t="shared" si="7"/>
        <v>0</v>
      </c>
      <c r="T23" s="45"/>
      <c r="U23" s="191">
        <f t="shared" si="5"/>
        <v>0</v>
      </c>
      <c r="V23" s="214">
        <f t="shared" si="6"/>
        <v>0</v>
      </c>
      <c r="W23" s="213">
        <f t="shared" si="8"/>
        <v>48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>
        <v>48</v>
      </c>
      <c r="D24" s="195"/>
      <c r="E24" s="196"/>
      <c r="F24" s="196"/>
      <c r="G24" s="102"/>
      <c r="H24" s="93"/>
      <c r="I24" s="93">
        <f t="shared" si="4"/>
        <v>48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08">
        <f t="shared" si="7"/>
        <v>0</v>
      </c>
      <c r="T24" s="45"/>
      <c r="U24" s="191">
        <f t="shared" si="5"/>
        <v>0</v>
      </c>
      <c r="V24" s="214">
        <f t="shared" si="6"/>
        <v>0</v>
      </c>
      <c r="W24" s="213">
        <f t="shared" si="8"/>
        <v>1152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>
        <v>7</v>
      </c>
      <c r="D25" s="195"/>
      <c r="E25" s="196"/>
      <c r="F25" s="196"/>
      <c r="G25" s="102"/>
      <c r="H25" s="93"/>
      <c r="I25" s="93">
        <f t="shared" si="4"/>
        <v>7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08">
        <f t="shared" si="7"/>
        <v>0</v>
      </c>
      <c r="T25" s="44"/>
      <c r="U25" s="191">
        <f t="shared" si="5"/>
        <v>0</v>
      </c>
      <c r="V25" s="214">
        <f t="shared" si="6"/>
        <v>0</v>
      </c>
      <c r="W25" s="213">
        <f t="shared" si="8"/>
        <v>168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>
        <v>78</v>
      </c>
      <c r="D26" s="195">
        <v>11</v>
      </c>
      <c r="E26" s="196"/>
      <c r="F26" s="196"/>
      <c r="G26" s="102"/>
      <c r="H26" s="93"/>
      <c r="I26" s="93">
        <f t="shared" si="4"/>
        <v>78</v>
      </c>
      <c r="J26" s="103">
        <f t="shared" si="4"/>
        <v>11</v>
      </c>
      <c r="K26" s="44"/>
      <c r="L26" s="196"/>
      <c r="M26" s="196"/>
      <c r="N26" s="196"/>
      <c r="O26" s="196"/>
      <c r="P26" s="196"/>
      <c r="Q26" s="204"/>
      <c r="R26" s="128">
        <f t="shared" si="7"/>
        <v>0</v>
      </c>
      <c r="S26" s="208">
        <f t="shared" si="7"/>
        <v>0</v>
      </c>
      <c r="T26" s="44"/>
      <c r="U26" s="191">
        <f t="shared" si="5"/>
        <v>0</v>
      </c>
      <c r="V26" s="214">
        <f t="shared" si="6"/>
        <v>0</v>
      </c>
      <c r="W26" s="213">
        <f t="shared" si="8"/>
        <v>1883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08">
        <f t="shared" si="7"/>
        <v>0</v>
      </c>
      <c r="T27" s="4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08">
        <f t="shared" si="7"/>
        <v>0</v>
      </c>
      <c r="T28" s="4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>
        <v>17</v>
      </c>
      <c r="D29" s="195"/>
      <c r="E29" s="196"/>
      <c r="F29" s="196"/>
      <c r="G29" s="102">
        <v>3</v>
      </c>
      <c r="H29" s="93"/>
      <c r="I29" s="93">
        <f t="shared" si="4"/>
        <v>14</v>
      </c>
      <c r="J29" s="103">
        <f t="shared" si="4"/>
        <v>0</v>
      </c>
      <c r="K29" s="45"/>
      <c r="L29" s="196"/>
      <c r="M29" s="196"/>
      <c r="N29" s="196"/>
      <c r="O29" s="196"/>
      <c r="P29" s="196">
        <v>3</v>
      </c>
      <c r="Q29" s="204"/>
      <c r="R29" s="128">
        <f t="shared" si="7"/>
        <v>3</v>
      </c>
      <c r="S29" s="208">
        <f t="shared" si="7"/>
        <v>0</v>
      </c>
      <c r="T29" s="45"/>
      <c r="U29" s="191">
        <f t="shared" si="5"/>
        <v>72</v>
      </c>
      <c r="V29" s="214">
        <f t="shared" si="6"/>
        <v>3</v>
      </c>
      <c r="W29" s="213">
        <f t="shared" si="8"/>
        <v>336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08">
        <f t="shared" si="7"/>
        <v>0</v>
      </c>
      <c r="T30" s="44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>
        <v>61</v>
      </c>
      <c r="D31" s="195"/>
      <c r="E31" s="196"/>
      <c r="F31" s="196"/>
      <c r="G31" s="102"/>
      <c r="H31" s="93"/>
      <c r="I31" s="93">
        <f t="shared" si="4"/>
        <v>61</v>
      </c>
      <c r="J31" s="103">
        <f t="shared" si="4"/>
        <v>0</v>
      </c>
      <c r="K31" s="44"/>
      <c r="L31" s="196"/>
      <c r="M31" s="196"/>
      <c r="N31" s="196"/>
      <c r="O31" s="196"/>
      <c r="P31" s="196"/>
      <c r="Q31" s="204"/>
      <c r="R31" s="128">
        <f t="shared" si="7"/>
        <v>0</v>
      </c>
      <c r="S31" s="208">
        <f t="shared" si="7"/>
        <v>0</v>
      </c>
      <c r="T31" s="44"/>
      <c r="U31" s="191">
        <f t="shared" si="5"/>
        <v>0</v>
      </c>
      <c r="V31" s="214">
        <f t="shared" si="6"/>
        <v>0</v>
      </c>
      <c r="W31" s="213">
        <f t="shared" si="8"/>
        <v>1464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08">
        <f t="shared" si="7"/>
        <v>0</v>
      </c>
      <c r="T32" s="44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08">
        <f t="shared" si="7"/>
        <v>0</v>
      </c>
      <c r="T33" s="44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08">
        <f t="shared" si="7"/>
        <v>0</v>
      </c>
      <c r="T34" s="44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>
        <v>92</v>
      </c>
      <c r="D35" s="195">
        <v>5</v>
      </c>
      <c r="E35" s="196"/>
      <c r="F35" s="196"/>
      <c r="G35" s="102"/>
      <c r="H35" s="93"/>
      <c r="I35" s="93">
        <f t="shared" si="4"/>
        <v>92</v>
      </c>
      <c r="J35" s="103">
        <f t="shared" si="4"/>
        <v>5</v>
      </c>
      <c r="K35" s="44"/>
      <c r="L35" s="196"/>
      <c r="M35" s="196"/>
      <c r="N35" s="196"/>
      <c r="O35" s="196"/>
      <c r="P35" s="196"/>
      <c r="Q35" s="204"/>
      <c r="R35" s="128">
        <f t="shared" si="7"/>
        <v>0</v>
      </c>
      <c r="S35" s="208">
        <f t="shared" si="7"/>
        <v>0</v>
      </c>
      <c r="T35" s="44"/>
      <c r="U35" s="191">
        <f t="shared" si="5"/>
        <v>0</v>
      </c>
      <c r="V35" s="214">
        <f t="shared" si="6"/>
        <v>0</v>
      </c>
      <c r="W35" s="213">
        <f t="shared" si="8"/>
        <v>2213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08">
        <f t="shared" si="7"/>
        <v>0</v>
      </c>
      <c r="T36" s="44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08">
        <f t="shared" si="7"/>
        <v>0</v>
      </c>
      <c r="T37" s="44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222" t="s">
        <v>33</v>
      </c>
      <c r="C38" s="197">
        <v>3887</v>
      </c>
      <c r="D38" s="198">
        <v>2</v>
      </c>
      <c r="E38" s="199"/>
      <c r="F38" s="199"/>
      <c r="G38" s="107">
        <v>97</v>
      </c>
      <c r="H38" s="108"/>
      <c r="I38" s="223">
        <f t="shared" si="4"/>
        <v>3790</v>
      </c>
      <c r="J38" s="224">
        <f t="shared" si="4"/>
        <v>2</v>
      </c>
      <c r="K38" s="64"/>
      <c r="L38" s="205"/>
      <c r="M38" s="205"/>
      <c r="N38" s="205"/>
      <c r="O38" s="205"/>
      <c r="P38" s="205">
        <v>97</v>
      </c>
      <c r="Q38" s="206"/>
      <c r="R38" s="163">
        <f t="shared" si="7"/>
        <v>97</v>
      </c>
      <c r="S38" s="209">
        <f t="shared" si="7"/>
        <v>0</v>
      </c>
      <c r="T38" s="64"/>
      <c r="U38" s="215">
        <f>L38*6+N38*6+P38*6</f>
        <v>582</v>
      </c>
      <c r="V38" s="219">
        <f>U38/6</f>
        <v>97</v>
      </c>
      <c r="W38" s="217">
        <f>I38*6+J38</f>
        <v>22742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>
        <v>4</v>
      </c>
      <c r="D39" s="195"/>
      <c r="E39" s="196"/>
      <c r="F39" s="196"/>
      <c r="G39" s="102"/>
      <c r="H39" s="93"/>
      <c r="I39" s="102">
        <f t="shared" si="4"/>
        <v>4</v>
      </c>
      <c r="J39" s="103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10">
        <f t="shared" si="7"/>
        <v>0</v>
      </c>
      <c r="T39" s="44"/>
      <c r="U39" s="191">
        <f t="shared" ref="U39:U41" si="9">L39*24+N39*24+P39*24</f>
        <v>0</v>
      </c>
      <c r="V39" s="193">
        <f t="shared" si="6"/>
        <v>0</v>
      </c>
      <c r="W39" s="213">
        <f t="shared" ref="W39:W41" si="10">I39*24+J39</f>
        <v>96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08">
        <f t="shared" si="7"/>
        <v>0</v>
      </c>
      <c r="T40" s="44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229" t="s">
        <v>35</v>
      </c>
      <c r="C41" s="230">
        <v>625</v>
      </c>
      <c r="D41" s="231">
        <v>12</v>
      </c>
      <c r="E41" s="232"/>
      <c r="F41" s="232"/>
      <c r="G41" s="233"/>
      <c r="H41" s="234"/>
      <c r="I41" s="235">
        <f t="shared" si="4"/>
        <v>625</v>
      </c>
      <c r="J41" s="236">
        <f t="shared" si="4"/>
        <v>12</v>
      </c>
      <c r="K41" s="237"/>
      <c r="L41" s="238"/>
      <c r="M41" s="238"/>
      <c r="N41" s="238"/>
      <c r="O41" s="238"/>
      <c r="P41" s="238"/>
      <c r="Q41" s="239"/>
      <c r="R41" s="240">
        <f t="shared" si="7"/>
        <v>0</v>
      </c>
      <c r="S41" s="241">
        <f t="shared" si="7"/>
        <v>0</v>
      </c>
      <c r="T41" s="237"/>
      <c r="U41" s="242">
        <f t="shared" si="9"/>
        <v>0</v>
      </c>
      <c r="V41" s="243">
        <f t="shared" si="6"/>
        <v>0</v>
      </c>
      <c r="W41" s="243">
        <f t="shared" si="10"/>
        <v>15012</v>
      </c>
      <c r="X41" s="244"/>
    </row>
    <row r="42" spans="1:26" ht="19.5" thickBot="1" x14ac:dyDescent="0.3">
      <c r="A42" s="3">
        <f t="shared" si="3"/>
        <v>35</v>
      </c>
      <c r="B42" s="246" t="s">
        <v>36</v>
      </c>
      <c r="C42" s="247">
        <v>1578</v>
      </c>
      <c r="D42" s="248"/>
      <c r="E42" s="249"/>
      <c r="F42" s="249"/>
      <c r="G42" s="250">
        <v>8</v>
      </c>
      <c r="H42" s="251"/>
      <c r="I42" s="250">
        <f t="shared" si="4"/>
        <v>1570</v>
      </c>
      <c r="J42" s="252">
        <f t="shared" si="4"/>
        <v>0</v>
      </c>
      <c r="K42" s="253"/>
      <c r="L42" s="249"/>
      <c r="M42" s="249"/>
      <c r="N42" s="249"/>
      <c r="O42" s="249"/>
      <c r="P42" s="249">
        <v>8</v>
      </c>
      <c r="Q42" s="254"/>
      <c r="R42" s="255">
        <f t="shared" si="7"/>
        <v>8</v>
      </c>
      <c r="S42" s="256">
        <f t="shared" si="7"/>
        <v>0</v>
      </c>
      <c r="T42" s="253"/>
      <c r="U42" s="257">
        <f>L42*12+N42*12+P42*12</f>
        <v>96</v>
      </c>
      <c r="V42" s="258">
        <f>U42/12</f>
        <v>8</v>
      </c>
      <c r="W42" s="259">
        <f>I42*12+J42</f>
        <v>18840</v>
      </c>
      <c r="X42" s="260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245">
        <f t="shared" si="7"/>
        <v>0</v>
      </c>
      <c r="S43" s="211">
        <f t="shared" si="7"/>
        <v>0</v>
      </c>
      <c r="T43" s="44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>
        <v>28657</v>
      </c>
      <c r="D44" s="198">
        <v>5</v>
      </c>
      <c r="E44" s="199"/>
      <c r="F44" s="199"/>
      <c r="G44" s="107">
        <v>404</v>
      </c>
      <c r="H44" s="108"/>
      <c r="I44" s="93">
        <f>C44+E44-G44</f>
        <v>28253</v>
      </c>
      <c r="J44" s="261">
        <f t="shared" si="4"/>
        <v>5</v>
      </c>
      <c r="K44" s="64"/>
      <c r="L44" s="205"/>
      <c r="M44" s="205"/>
      <c r="N44" s="205"/>
      <c r="O44" s="205"/>
      <c r="P44" s="205">
        <v>404</v>
      </c>
      <c r="Q44" s="206"/>
      <c r="R44" s="262">
        <f t="shared" si="7"/>
        <v>404</v>
      </c>
      <c r="S44" s="263">
        <f t="shared" si="7"/>
        <v>0</v>
      </c>
      <c r="T44" s="64"/>
      <c r="U44" s="215">
        <f>L44*6+N44*6+P44*6</f>
        <v>2424</v>
      </c>
      <c r="V44" s="214">
        <f>U44/6</f>
        <v>404</v>
      </c>
      <c r="W44" s="217">
        <f>I44*6+J44</f>
        <v>169523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11">
        <f t="shared" si="7"/>
        <v>0</v>
      </c>
      <c r="T45" s="44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12">
        <f t="shared" si="7"/>
        <v>0</v>
      </c>
      <c r="T46" s="44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08">
        <f t="shared" si="7"/>
        <v>0</v>
      </c>
      <c r="T47" s="44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54" t="s">
        <v>39</v>
      </c>
      <c r="C48" s="225">
        <v>2358</v>
      </c>
      <c r="D48" s="226">
        <v>4</v>
      </c>
      <c r="E48" s="205"/>
      <c r="F48" s="205"/>
      <c r="G48" s="227"/>
      <c r="H48" s="223"/>
      <c r="I48" s="223">
        <f t="shared" si="4"/>
        <v>2358</v>
      </c>
      <c r="J48" s="224">
        <f t="shared" si="4"/>
        <v>4</v>
      </c>
      <c r="K48" s="64"/>
      <c r="L48" s="205"/>
      <c r="M48" s="205"/>
      <c r="N48" s="205"/>
      <c r="O48" s="205"/>
      <c r="P48" s="205"/>
      <c r="Q48" s="206"/>
      <c r="R48" s="163">
        <f t="shared" si="7"/>
        <v>0</v>
      </c>
      <c r="S48" s="228">
        <f t="shared" si="7"/>
        <v>0</v>
      </c>
      <c r="T48" s="64"/>
      <c r="U48" s="215">
        <f>L48*6+N48*6+P48*6</f>
        <v>0</v>
      </c>
      <c r="V48" s="219">
        <f>U48/6</f>
        <v>0</v>
      </c>
      <c r="W48" s="217">
        <f>I48*6+J48</f>
        <v>14152</v>
      </c>
      <c r="X48" s="66"/>
    </row>
    <row r="49" spans="1:24" ht="19.5" thickBot="1" x14ac:dyDescent="0.3">
      <c r="A49" s="3">
        <f t="shared" si="3"/>
        <v>42</v>
      </c>
      <c r="B49" s="10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62">
        <f t="shared" si="7"/>
        <v>0</v>
      </c>
      <c r="S49" s="210">
        <f t="shared" si="7"/>
        <v>0</v>
      </c>
      <c r="T49" s="44"/>
      <c r="U49" s="191">
        <f t="shared" ref="U49:U51" si="14">L49*24+N49*24+P49*24</f>
        <v>0</v>
      </c>
      <c r="V49" s="193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08">
        <f t="shared" si="7"/>
        <v>0</v>
      </c>
      <c r="T50" s="44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08">
        <f t="shared" si="7"/>
        <v>0</v>
      </c>
      <c r="T51" s="44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54" t="s">
        <v>41</v>
      </c>
      <c r="C52" s="225">
        <v>34</v>
      </c>
      <c r="D52" s="226"/>
      <c r="E52" s="205"/>
      <c r="F52" s="205"/>
      <c r="G52" s="227"/>
      <c r="H52" s="223"/>
      <c r="I52" s="223">
        <f t="shared" si="4"/>
        <v>34</v>
      </c>
      <c r="J52" s="224">
        <f t="shared" si="4"/>
        <v>0</v>
      </c>
      <c r="K52" s="64"/>
      <c r="L52" s="205"/>
      <c r="M52" s="205"/>
      <c r="N52" s="205"/>
      <c r="O52" s="205"/>
      <c r="P52" s="205"/>
      <c r="Q52" s="206"/>
      <c r="R52" s="163">
        <f t="shared" si="7"/>
        <v>0</v>
      </c>
      <c r="S52" s="228">
        <f t="shared" si="7"/>
        <v>0</v>
      </c>
      <c r="T52" s="64"/>
      <c r="U52" s="215">
        <f>L52*6+N52*6+P52*6</f>
        <v>0</v>
      </c>
      <c r="V52" s="219">
        <f>U52/6</f>
        <v>0</v>
      </c>
      <c r="W52" s="217">
        <f>I52*6+J52</f>
        <v>204</v>
      </c>
      <c r="X52" s="66"/>
    </row>
    <row r="53" spans="1:24" ht="19.5" thickBot="1" x14ac:dyDescent="0.3">
      <c r="A53" s="3">
        <f t="shared" si="3"/>
        <v>46</v>
      </c>
      <c r="B53" s="10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62">
        <f t="shared" si="7"/>
        <v>0</v>
      </c>
      <c r="S53" s="210">
        <f t="shared" si="7"/>
        <v>0</v>
      </c>
      <c r="T53" s="44"/>
      <c r="U53" s="191">
        <f t="shared" ref="U53:U54" si="17">L53*24+N53*24+P53*24</f>
        <v>0</v>
      </c>
      <c r="V53" s="193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>
        <v>2</v>
      </c>
      <c r="D54" s="195"/>
      <c r="E54" s="196"/>
      <c r="F54" s="196"/>
      <c r="G54" s="102"/>
      <c r="H54" s="93"/>
      <c r="I54" s="93">
        <f t="shared" si="4"/>
        <v>2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08">
        <f t="shared" si="7"/>
        <v>0</v>
      </c>
      <c r="T54" s="44"/>
      <c r="U54" s="191">
        <f t="shared" si="17"/>
        <v>0</v>
      </c>
      <c r="V54" s="214">
        <f t="shared" si="18"/>
        <v>0</v>
      </c>
      <c r="W54" s="213">
        <f t="shared" si="19"/>
        <v>48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08">
        <f t="shared" si="7"/>
        <v>0</v>
      </c>
      <c r="T55" s="44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08">
        <f t="shared" si="7"/>
        <v>0</v>
      </c>
      <c r="T56" s="44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08">
        <f t="shared" si="7"/>
        <v>0</v>
      </c>
      <c r="T57" s="44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08">
        <f t="shared" si="7"/>
        <v>0</v>
      </c>
      <c r="T58" s="44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08">
        <f t="shared" si="7"/>
        <v>0</v>
      </c>
      <c r="T59" s="44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41018</v>
      </c>
      <c r="D60" s="71">
        <f>SUM(D8:D59)</f>
        <v>68</v>
      </c>
      <c r="E60" s="47">
        <f>SUM(E8:E59)</f>
        <v>0</v>
      </c>
      <c r="F60" s="47"/>
      <c r="G60" s="31">
        <f>SUM(G8:G59)</f>
        <v>522</v>
      </c>
      <c r="H60" s="73">
        <f>SUM(H8:H59)</f>
        <v>13</v>
      </c>
      <c r="I60" s="73">
        <f>SUM(I8:I59)</f>
        <v>40496</v>
      </c>
      <c r="J60" s="48">
        <f>SUM(J8:J59)</f>
        <v>55</v>
      </c>
      <c r="K60" s="49"/>
      <c r="L60" s="98">
        <f t="shared" ref="L60:S60" si="20">SUM(L8:L59)</f>
        <v>0</v>
      </c>
      <c r="M60" s="98">
        <f t="shared" si="20"/>
        <v>0</v>
      </c>
      <c r="N60" s="98">
        <f t="shared" si="20"/>
        <v>0</v>
      </c>
      <c r="O60" s="98">
        <f t="shared" si="20"/>
        <v>0</v>
      </c>
      <c r="P60" s="98">
        <f t="shared" si="20"/>
        <v>522</v>
      </c>
      <c r="Q60" s="99">
        <f t="shared" si="20"/>
        <v>13</v>
      </c>
      <c r="R60" s="127">
        <f t="shared" si="20"/>
        <v>522</v>
      </c>
      <c r="S60" s="124">
        <f t="shared" si="20"/>
        <v>13</v>
      </c>
      <c r="T60" s="49"/>
      <c r="U60" s="46">
        <f>SUM(U8:U59)</f>
        <v>3414</v>
      </c>
      <c r="V60" s="176">
        <f>SUM(V8:V59)</f>
        <v>522</v>
      </c>
      <c r="W60" s="156">
        <f>SUM(W8:W59)</f>
        <v>333289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264" t="s">
        <v>3</v>
      </c>
      <c r="D69" s="265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729E-EFB5-4085-B0E0-F526ACF90605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46077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287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07"/>
      <c r="T6" s="44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07"/>
      <c r="T7" s="44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/>
      <c r="D8" s="195"/>
      <c r="E8" s="196"/>
      <c r="F8" s="196"/>
      <c r="G8" s="102"/>
      <c r="H8" s="93"/>
      <c r="I8" s="93">
        <f>C8-G8</f>
        <v>0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08">
        <f t="shared" si="1"/>
        <v>0</v>
      </c>
      <c r="T8" s="44"/>
      <c r="U8" s="191">
        <f>L8*24+N8*24+P8*24</f>
        <v>0</v>
      </c>
      <c r="V8" s="214">
        <f>U8/24</f>
        <v>0</v>
      </c>
      <c r="W8" s="213">
        <f t="shared" ref="W8:W12" si="2">I8*24+J8</f>
        <v>0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/>
      <c r="D9" s="198"/>
      <c r="E9" s="199"/>
      <c r="F9" s="199"/>
      <c r="G9" s="107"/>
      <c r="H9" s="108"/>
      <c r="I9" s="107">
        <f t="shared" ref="I9:J59" si="4">C9-G9</f>
        <v>0</v>
      </c>
      <c r="J9" s="160">
        <f t="shared" si="0"/>
        <v>0</v>
      </c>
      <c r="K9" s="64"/>
      <c r="L9" s="205"/>
      <c r="M9" s="205"/>
      <c r="N9" s="205"/>
      <c r="O9" s="205"/>
      <c r="P9" s="205"/>
      <c r="Q9" s="206"/>
      <c r="R9" s="166">
        <f t="shared" si="1"/>
        <v>0</v>
      </c>
      <c r="S9" s="209">
        <f t="shared" si="1"/>
        <v>0</v>
      </c>
      <c r="T9" s="64"/>
      <c r="U9" s="215">
        <f>L9*24+N9*24+P9*24</f>
        <v>0</v>
      </c>
      <c r="V9" s="216">
        <f>U9/24</f>
        <v>0</v>
      </c>
      <c r="W9" s="217">
        <f t="shared" si="2"/>
        <v>0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10">
        <f t="shared" si="1"/>
        <v>0</v>
      </c>
      <c r="T10" s="44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/>
      <c r="D11" s="195"/>
      <c r="E11" s="196"/>
      <c r="F11" s="196"/>
      <c r="G11" s="102"/>
      <c r="H11" s="93"/>
      <c r="I11" s="93">
        <f t="shared" si="4"/>
        <v>0</v>
      </c>
      <c r="J11" s="103">
        <f t="shared" si="0"/>
        <v>0</v>
      </c>
      <c r="K11" s="44"/>
      <c r="L11" s="196"/>
      <c r="M11" s="196"/>
      <c r="N11" s="196"/>
      <c r="O11" s="196"/>
      <c r="P11" s="196"/>
      <c r="Q11" s="204"/>
      <c r="R11" s="128">
        <f t="shared" si="1"/>
        <v>0</v>
      </c>
      <c r="S11" s="208">
        <f t="shared" si="1"/>
        <v>0</v>
      </c>
      <c r="T11" s="44"/>
      <c r="U11" s="191">
        <f>L11*24+N11*24+P11*24</f>
        <v>0</v>
      </c>
      <c r="V11" s="214">
        <f>U11/24</f>
        <v>0</v>
      </c>
      <c r="W11" s="213">
        <f t="shared" si="2"/>
        <v>0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/>
      <c r="D12" s="195"/>
      <c r="E12" s="196"/>
      <c r="F12" s="196"/>
      <c r="G12" s="102"/>
      <c r="H12" s="93"/>
      <c r="I12" s="93">
        <f t="shared" si="4"/>
        <v>0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08">
        <f t="shared" si="1"/>
        <v>0</v>
      </c>
      <c r="T12" s="44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0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/>
      <c r="D13" s="198"/>
      <c r="E13" s="199"/>
      <c r="F13" s="199"/>
      <c r="G13" s="107"/>
      <c r="H13" s="108"/>
      <c r="I13" s="116">
        <f t="shared" si="4"/>
        <v>0</v>
      </c>
      <c r="J13" s="160">
        <f>D13-H13</f>
        <v>0</v>
      </c>
      <c r="K13" s="68"/>
      <c r="L13" s="205"/>
      <c r="M13" s="205"/>
      <c r="N13" s="205"/>
      <c r="O13" s="205"/>
      <c r="P13" s="205"/>
      <c r="Q13" s="206"/>
      <c r="R13" s="163">
        <f>L13+N13+P13</f>
        <v>0</v>
      </c>
      <c r="S13" s="209">
        <f>M13+O13+Q13</f>
        <v>0</v>
      </c>
      <c r="T13" s="68"/>
      <c r="U13" s="215">
        <f>L13*24+N13*24+P13*24</f>
        <v>0</v>
      </c>
      <c r="V13" s="219">
        <f t="shared" si="6"/>
        <v>0</v>
      </c>
      <c r="W13" s="217">
        <f>I13*24+J13</f>
        <v>0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/>
      <c r="D14" s="195"/>
      <c r="E14" s="196"/>
      <c r="F14" s="196"/>
      <c r="G14" s="102"/>
      <c r="H14" s="93"/>
      <c r="I14" s="159">
        <f t="shared" si="4"/>
        <v>0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10">
        <f t="shared" si="7"/>
        <v>0</v>
      </c>
      <c r="T14" s="44"/>
      <c r="U14" s="191">
        <f t="shared" si="5"/>
        <v>0</v>
      </c>
      <c r="V14" s="193">
        <f t="shared" si="6"/>
        <v>0</v>
      </c>
      <c r="W14" s="213">
        <f t="shared" ref="W14:W37" si="8">I14*24+J14</f>
        <v>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08">
        <f t="shared" si="7"/>
        <v>0</v>
      </c>
      <c r="T15" s="44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08">
        <f t="shared" si="7"/>
        <v>0</v>
      </c>
      <c r="T16" s="44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08">
        <f t="shared" si="7"/>
        <v>0</v>
      </c>
      <c r="T17" s="44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/>
      <c r="D18" s="195"/>
      <c r="E18" s="196"/>
      <c r="F18" s="196"/>
      <c r="G18" s="102"/>
      <c r="H18" s="93"/>
      <c r="I18" s="93">
        <f t="shared" si="4"/>
        <v>0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08">
        <f t="shared" si="7"/>
        <v>0</v>
      </c>
      <c r="T18" s="44"/>
      <c r="U18" s="191">
        <f t="shared" si="5"/>
        <v>0</v>
      </c>
      <c r="V18" s="214">
        <f t="shared" si="6"/>
        <v>0</v>
      </c>
      <c r="W18" s="213">
        <f t="shared" si="8"/>
        <v>0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08">
        <f t="shared" si="7"/>
        <v>0</v>
      </c>
      <c r="T19" s="44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/>
      <c r="D20" s="195"/>
      <c r="E20" s="196"/>
      <c r="F20" s="196"/>
      <c r="G20" s="102"/>
      <c r="H20" s="93"/>
      <c r="I20" s="93">
        <f t="shared" si="4"/>
        <v>0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08">
        <f t="shared" si="7"/>
        <v>0</v>
      </c>
      <c r="T20" s="44"/>
      <c r="U20" s="191">
        <f t="shared" si="5"/>
        <v>0</v>
      </c>
      <c r="V20" s="214">
        <f t="shared" si="6"/>
        <v>0</v>
      </c>
      <c r="W20" s="213">
        <f t="shared" si="8"/>
        <v>0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/>
      <c r="D21" s="195"/>
      <c r="E21" s="196"/>
      <c r="F21" s="196"/>
      <c r="G21" s="102"/>
      <c r="H21" s="93"/>
      <c r="I21" s="93">
        <f t="shared" si="4"/>
        <v>0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08">
        <f t="shared" si="7"/>
        <v>0</v>
      </c>
      <c r="T21" s="44"/>
      <c r="U21" s="191">
        <f t="shared" si="5"/>
        <v>0</v>
      </c>
      <c r="V21" s="214">
        <f t="shared" si="6"/>
        <v>0</v>
      </c>
      <c r="W21" s="213">
        <f t="shared" si="8"/>
        <v>0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/>
      <c r="D22" s="195"/>
      <c r="E22" s="196"/>
      <c r="F22" s="196"/>
      <c r="G22" s="102"/>
      <c r="H22" s="93"/>
      <c r="I22" s="93">
        <f t="shared" si="4"/>
        <v>0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08">
        <f t="shared" si="7"/>
        <v>0</v>
      </c>
      <c r="T22" s="44"/>
      <c r="U22" s="191">
        <f t="shared" si="5"/>
        <v>0</v>
      </c>
      <c r="V22" s="214">
        <f t="shared" si="6"/>
        <v>0</v>
      </c>
      <c r="W22" s="213">
        <f t="shared" si="8"/>
        <v>0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/>
      <c r="D23" s="195"/>
      <c r="E23" s="196"/>
      <c r="F23" s="196"/>
      <c r="G23" s="102"/>
      <c r="H23" s="93"/>
      <c r="I23" s="93">
        <f t="shared" si="4"/>
        <v>0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08">
        <f t="shared" si="7"/>
        <v>0</v>
      </c>
      <c r="T23" s="45"/>
      <c r="U23" s="191">
        <f t="shared" si="5"/>
        <v>0</v>
      </c>
      <c r="V23" s="214">
        <f t="shared" si="6"/>
        <v>0</v>
      </c>
      <c r="W23" s="213">
        <f t="shared" si="8"/>
        <v>0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/>
      <c r="D24" s="195"/>
      <c r="E24" s="196"/>
      <c r="F24" s="196"/>
      <c r="G24" s="102"/>
      <c r="H24" s="93"/>
      <c r="I24" s="93">
        <f t="shared" si="4"/>
        <v>0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08">
        <f t="shared" si="7"/>
        <v>0</v>
      </c>
      <c r="T24" s="45"/>
      <c r="U24" s="191">
        <f t="shared" si="5"/>
        <v>0</v>
      </c>
      <c r="V24" s="214">
        <f t="shared" si="6"/>
        <v>0</v>
      </c>
      <c r="W24" s="213">
        <f t="shared" si="8"/>
        <v>0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/>
      <c r="D25" s="195"/>
      <c r="E25" s="196"/>
      <c r="F25" s="196"/>
      <c r="G25" s="102"/>
      <c r="H25" s="93"/>
      <c r="I25" s="93">
        <f t="shared" si="4"/>
        <v>0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08">
        <f t="shared" si="7"/>
        <v>0</v>
      </c>
      <c r="T25" s="44"/>
      <c r="U25" s="191">
        <f t="shared" si="5"/>
        <v>0</v>
      </c>
      <c r="V25" s="214">
        <f t="shared" si="6"/>
        <v>0</v>
      </c>
      <c r="W25" s="213">
        <f t="shared" si="8"/>
        <v>0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/>
      <c r="D26" s="195"/>
      <c r="E26" s="196"/>
      <c r="F26" s="196"/>
      <c r="G26" s="102"/>
      <c r="H26" s="93"/>
      <c r="I26" s="93">
        <f t="shared" si="4"/>
        <v>0</v>
      </c>
      <c r="J26" s="103">
        <f t="shared" si="4"/>
        <v>0</v>
      </c>
      <c r="K26" s="44"/>
      <c r="L26" s="196"/>
      <c r="M26" s="196"/>
      <c r="N26" s="196"/>
      <c r="O26" s="196"/>
      <c r="P26" s="196"/>
      <c r="Q26" s="204"/>
      <c r="R26" s="128">
        <f t="shared" si="7"/>
        <v>0</v>
      </c>
      <c r="S26" s="208">
        <f t="shared" si="7"/>
        <v>0</v>
      </c>
      <c r="T26" s="44"/>
      <c r="U26" s="191">
        <f t="shared" si="5"/>
        <v>0</v>
      </c>
      <c r="V26" s="214">
        <f t="shared" si="6"/>
        <v>0</v>
      </c>
      <c r="W26" s="213">
        <f t="shared" si="8"/>
        <v>0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08">
        <f t="shared" si="7"/>
        <v>0</v>
      </c>
      <c r="T27" s="4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08">
        <f t="shared" si="7"/>
        <v>0</v>
      </c>
      <c r="T28" s="4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/>
      <c r="D29" s="195"/>
      <c r="E29" s="196"/>
      <c r="F29" s="196"/>
      <c r="G29" s="102"/>
      <c r="H29" s="93"/>
      <c r="I29" s="93">
        <f t="shared" si="4"/>
        <v>0</v>
      </c>
      <c r="J29" s="103">
        <f t="shared" si="4"/>
        <v>0</v>
      </c>
      <c r="K29" s="45"/>
      <c r="L29" s="196"/>
      <c r="M29" s="196"/>
      <c r="N29" s="196"/>
      <c r="O29" s="196"/>
      <c r="P29" s="196"/>
      <c r="Q29" s="204"/>
      <c r="R29" s="128">
        <f t="shared" si="7"/>
        <v>0</v>
      </c>
      <c r="S29" s="208">
        <f t="shared" si="7"/>
        <v>0</v>
      </c>
      <c r="T29" s="45"/>
      <c r="U29" s="191">
        <f t="shared" si="5"/>
        <v>0</v>
      </c>
      <c r="V29" s="214">
        <f t="shared" si="6"/>
        <v>0</v>
      </c>
      <c r="W29" s="213">
        <f t="shared" si="8"/>
        <v>0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08">
        <f t="shared" si="7"/>
        <v>0</v>
      </c>
      <c r="T30" s="44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/>
      <c r="D31" s="195"/>
      <c r="E31" s="196"/>
      <c r="F31" s="196"/>
      <c r="G31" s="102"/>
      <c r="H31" s="93"/>
      <c r="I31" s="93">
        <f t="shared" si="4"/>
        <v>0</v>
      </c>
      <c r="J31" s="103">
        <f t="shared" si="4"/>
        <v>0</v>
      </c>
      <c r="K31" s="44"/>
      <c r="L31" s="196"/>
      <c r="M31" s="196"/>
      <c r="N31" s="196"/>
      <c r="O31" s="196"/>
      <c r="P31" s="196"/>
      <c r="Q31" s="204"/>
      <c r="R31" s="128">
        <f t="shared" si="7"/>
        <v>0</v>
      </c>
      <c r="S31" s="208">
        <f t="shared" si="7"/>
        <v>0</v>
      </c>
      <c r="T31" s="44"/>
      <c r="U31" s="191">
        <f t="shared" si="5"/>
        <v>0</v>
      </c>
      <c r="V31" s="214">
        <f t="shared" si="6"/>
        <v>0</v>
      </c>
      <c r="W31" s="213">
        <f t="shared" si="8"/>
        <v>0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08">
        <f t="shared" si="7"/>
        <v>0</v>
      </c>
      <c r="T32" s="44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08">
        <f t="shared" si="7"/>
        <v>0</v>
      </c>
      <c r="T33" s="44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08">
        <f t="shared" si="7"/>
        <v>0</v>
      </c>
      <c r="T34" s="44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/>
      <c r="D35" s="195"/>
      <c r="E35" s="196"/>
      <c r="F35" s="196"/>
      <c r="G35" s="102"/>
      <c r="H35" s="93"/>
      <c r="I35" s="93">
        <f t="shared" si="4"/>
        <v>0</v>
      </c>
      <c r="J35" s="103">
        <f t="shared" si="4"/>
        <v>0</v>
      </c>
      <c r="K35" s="44"/>
      <c r="L35" s="196"/>
      <c r="M35" s="196"/>
      <c r="N35" s="196"/>
      <c r="O35" s="196"/>
      <c r="P35" s="196"/>
      <c r="Q35" s="204"/>
      <c r="R35" s="128">
        <f t="shared" si="7"/>
        <v>0</v>
      </c>
      <c r="S35" s="208">
        <f t="shared" si="7"/>
        <v>0</v>
      </c>
      <c r="T35" s="44"/>
      <c r="U35" s="191">
        <f t="shared" si="5"/>
        <v>0</v>
      </c>
      <c r="V35" s="214">
        <f t="shared" si="6"/>
        <v>0</v>
      </c>
      <c r="W35" s="213">
        <f t="shared" si="8"/>
        <v>0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08">
        <f t="shared" si="7"/>
        <v>0</v>
      </c>
      <c r="T36" s="44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08">
        <f t="shared" si="7"/>
        <v>0</v>
      </c>
      <c r="T37" s="44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222" t="s">
        <v>33</v>
      </c>
      <c r="C38" s="197"/>
      <c r="D38" s="198"/>
      <c r="E38" s="199"/>
      <c r="F38" s="199"/>
      <c r="G38" s="107"/>
      <c r="H38" s="108"/>
      <c r="I38" s="223">
        <f t="shared" si="4"/>
        <v>0</v>
      </c>
      <c r="J38" s="224">
        <f t="shared" si="4"/>
        <v>0</v>
      </c>
      <c r="K38" s="64"/>
      <c r="L38" s="205"/>
      <c r="M38" s="205"/>
      <c r="N38" s="205"/>
      <c r="O38" s="205"/>
      <c r="P38" s="205"/>
      <c r="Q38" s="206"/>
      <c r="R38" s="163">
        <f t="shared" si="7"/>
        <v>0</v>
      </c>
      <c r="S38" s="209">
        <f t="shared" si="7"/>
        <v>0</v>
      </c>
      <c r="T38" s="64"/>
      <c r="U38" s="215">
        <f>L38*6+N38*6+P38*6</f>
        <v>0</v>
      </c>
      <c r="V38" s="219">
        <f>U38/6</f>
        <v>0</v>
      </c>
      <c r="W38" s="217">
        <f>I38*6+J38</f>
        <v>0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/>
      <c r="D39" s="195"/>
      <c r="E39" s="196"/>
      <c r="F39" s="196"/>
      <c r="G39" s="102"/>
      <c r="H39" s="93"/>
      <c r="I39" s="102">
        <f t="shared" si="4"/>
        <v>0</v>
      </c>
      <c r="J39" s="103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10">
        <f t="shared" si="7"/>
        <v>0</v>
      </c>
      <c r="T39" s="44"/>
      <c r="U39" s="191">
        <f t="shared" ref="U39:U41" si="9">L39*24+N39*24+P39*24</f>
        <v>0</v>
      </c>
      <c r="V39" s="193">
        <f t="shared" si="6"/>
        <v>0</v>
      </c>
      <c r="W39" s="213">
        <f t="shared" ref="W39:W41" si="10">I39*24+J39</f>
        <v>0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08">
        <f t="shared" si="7"/>
        <v>0</v>
      </c>
      <c r="T40" s="44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229" t="s">
        <v>35</v>
      </c>
      <c r="C41" s="230"/>
      <c r="D41" s="231"/>
      <c r="E41" s="232"/>
      <c r="F41" s="232"/>
      <c r="G41" s="233"/>
      <c r="H41" s="234"/>
      <c r="I41" s="235">
        <f t="shared" si="4"/>
        <v>0</v>
      </c>
      <c r="J41" s="236">
        <f t="shared" si="4"/>
        <v>0</v>
      </c>
      <c r="K41" s="237"/>
      <c r="L41" s="238"/>
      <c r="M41" s="238"/>
      <c r="N41" s="238"/>
      <c r="O41" s="238"/>
      <c r="P41" s="238"/>
      <c r="Q41" s="239"/>
      <c r="R41" s="240">
        <f t="shared" si="7"/>
        <v>0</v>
      </c>
      <c r="S41" s="241">
        <f t="shared" si="7"/>
        <v>0</v>
      </c>
      <c r="T41" s="237"/>
      <c r="U41" s="242">
        <f t="shared" si="9"/>
        <v>0</v>
      </c>
      <c r="V41" s="243">
        <f t="shared" si="6"/>
        <v>0</v>
      </c>
      <c r="W41" s="243">
        <f t="shared" si="10"/>
        <v>0</v>
      </c>
      <c r="X41" s="244"/>
    </row>
    <row r="42" spans="1:26" ht="19.5" thickBot="1" x14ac:dyDescent="0.3">
      <c r="A42" s="3">
        <f t="shared" si="3"/>
        <v>35</v>
      </c>
      <c r="B42" s="246" t="s">
        <v>36</v>
      </c>
      <c r="C42" s="247"/>
      <c r="D42" s="248"/>
      <c r="E42" s="249"/>
      <c r="F42" s="249"/>
      <c r="G42" s="250"/>
      <c r="H42" s="251"/>
      <c r="I42" s="250">
        <f t="shared" si="4"/>
        <v>0</v>
      </c>
      <c r="J42" s="252">
        <f t="shared" si="4"/>
        <v>0</v>
      </c>
      <c r="K42" s="253"/>
      <c r="L42" s="249"/>
      <c r="M42" s="249"/>
      <c r="N42" s="249"/>
      <c r="O42" s="249"/>
      <c r="P42" s="249"/>
      <c r="Q42" s="254"/>
      <c r="R42" s="255">
        <f t="shared" si="7"/>
        <v>0</v>
      </c>
      <c r="S42" s="256">
        <f t="shared" si="7"/>
        <v>0</v>
      </c>
      <c r="T42" s="253"/>
      <c r="U42" s="257">
        <f>L42*12+N42*12+P42*12</f>
        <v>0</v>
      </c>
      <c r="V42" s="258">
        <f>U42/12</f>
        <v>0</v>
      </c>
      <c r="W42" s="259">
        <f>I42*12+J42</f>
        <v>0</v>
      </c>
      <c r="X42" s="260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245">
        <f t="shared" si="7"/>
        <v>0</v>
      </c>
      <c r="S43" s="211">
        <f t="shared" si="7"/>
        <v>0</v>
      </c>
      <c r="T43" s="44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/>
      <c r="D44" s="198"/>
      <c r="E44" s="199"/>
      <c r="F44" s="199"/>
      <c r="G44" s="107"/>
      <c r="H44" s="108"/>
      <c r="I44" s="93">
        <f>C44+E44-G44</f>
        <v>0</v>
      </c>
      <c r="J44" s="261">
        <f t="shared" si="4"/>
        <v>0</v>
      </c>
      <c r="K44" s="64"/>
      <c r="L44" s="205"/>
      <c r="M44" s="205"/>
      <c r="N44" s="205"/>
      <c r="O44" s="205"/>
      <c r="P44" s="205"/>
      <c r="Q44" s="206"/>
      <c r="R44" s="262">
        <f t="shared" si="7"/>
        <v>0</v>
      </c>
      <c r="S44" s="263">
        <f t="shared" si="7"/>
        <v>0</v>
      </c>
      <c r="T44" s="64"/>
      <c r="U44" s="215">
        <f>L44*6+N44*6+P44*6</f>
        <v>0</v>
      </c>
      <c r="V44" s="214">
        <f>U44/6</f>
        <v>0</v>
      </c>
      <c r="W44" s="217">
        <f>I44*6+J44</f>
        <v>0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11">
        <f t="shared" si="7"/>
        <v>0</v>
      </c>
      <c r="T45" s="44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12">
        <f t="shared" si="7"/>
        <v>0</v>
      </c>
      <c r="T46" s="44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08">
        <f t="shared" si="7"/>
        <v>0</v>
      </c>
      <c r="T47" s="44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54" t="s">
        <v>39</v>
      </c>
      <c r="C48" s="225"/>
      <c r="D48" s="226"/>
      <c r="E48" s="205"/>
      <c r="F48" s="205"/>
      <c r="G48" s="227"/>
      <c r="H48" s="223"/>
      <c r="I48" s="223">
        <f t="shared" si="4"/>
        <v>0</v>
      </c>
      <c r="J48" s="224">
        <f t="shared" si="4"/>
        <v>0</v>
      </c>
      <c r="K48" s="64"/>
      <c r="L48" s="205"/>
      <c r="M48" s="205"/>
      <c r="N48" s="205"/>
      <c r="O48" s="205"/>
      <c r="P48" s="205"/>
      <c r="Q48" s="206"/>
      <c r="R48" s="163">
        <f t="shared" si="7"/>
        <v>0</v>
      </c>
      <c r="S48" s="228">
        <f t="shared" si="7"/>
        <v>0</v>
      </c>
      <c r="T48" s="64"/>
      <c r="U48" s="215">
        <f>L48*6+N48*6+P48*6</f>
        <v>0</v>
      </c>
      <c r="V48" s="219">
        <f>U48/6</f>
        <v>0</v>
      </c>
      <c r="W48" s="217">
        <f>I48*6+J48</f>
        <v>0</v>
      </c>
      <c r="X48" s="66"/>
    </row>
    <row r="49" spans="1:24" ht="19.5" thickBot="1" x14ac:dyDescent="0.3">
      <c r="A49" s="3">
        <f t="shared" si="3"/>
        <v>42</v>
      </c>
      <c r="B49" s="10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62">
        <f t="shared" si="7"/>
        <v>0</v>
      </c>
      <c r="S49" s="210">
        <f t="shared" si="7"/>
        <v>0</v>
      </c>
      <c r="T49" s="44"/>
      <c r="U49" s="191">
        <f t="shared" ref="U49:U51" si="14">L49*24+N49*24+P49*24</f>
        <v>0</v>
      </c>
      <c r="V49" s="193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08">
        <f t="shared" si="7"/>
        <v>0</v>
      </c>
      <c r="T50" s="44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08">
        <f t="shared" si="7"/>
        <v>0</v>
      </c>
      <c r="T51" s="44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54" t="s">
        <v>41</v>
      </c>
      <c r="C52" s="225"/>
      <c r="D52" s="226"/>
      <c r="E52" s="205"/>
      <c r="F52" s="205"/>
      <c r="G52" s="227"/>
      <c r="H52" s="223"/>
      <c r="I52" s="223">
        <f t="shared" si="4"/>
        <v>0</v>
      </c>
      <c r="J52" s="224">
        <f t="shared" si="4"/>
        <v>0</v>
      </c>
      <c r="K52" s="64"/>
      <c r="L52" s="205"/>
      <c r="M52" s="205"/>
      <c r="N52" s="205"/>
      <c r="O52" s="205"/>
      <c r="P52" s="205"/>
      <c r="Q52" s="206"/>
      <c r="R52" s="163">
        <f t="shared" si="7"/>
        <v>0</v>
      </c>
      <c r="S52" s="228">
        <f t="shared" si="7"/>
        <v>0</v>
      </c>
      <c r="T52" s="64"/>
      <c r="U52" s="215">
        <f>L52*6+N52*6+P52*6</f>
        <v>0</v>
      </c>
      <c r="V52" s="219">
        <f>U52/6</f>
        <v>0</v>
      </c>
      <c r="W52" s="217">
        <f>I52*6+J52</f>
        <v>0</v>
      </c>
      <c r="X52" s="66"/>
    </row>
    <row r="53" spans="1:24" ht="19.5" thickBot="1" x14ac:dyDescent="0.3">
      <c r="A53" s="3">
        <f t="shared" si="3"/>
        <v>46</v>
      </c>
      <c r="B53" s="10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62">
        <f t="shared" si="7"/>
        <v>0</v>
      </c>
      <c r="S53" s="210">
        <f t="shared" si="7"/>
        <v>0</v>
      </c>
      <c r="T53" s="44"/>
      <c r="U53" s="191">
        <f t="shared" ref="U53:U54" si="17">L53*24+N53*24+P53*24</f>
        <v>0</v>
      </c>
      <c r="V53" s="193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/>
      <c r="D54" s="195"/>
      <c r="E54" s="196"/>
      <c r="F54" s="196"/>
      <c r="G54" s="102"/>
      <c r="H54" s="93"/>
      <c r="I54" s="93">
        <f t="shared" si="4"/>
        <v>0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08">
        <f t="shared" si="7"/>
        <v>0</v>
      </c>
      <c r="T54" s="44"/>
      <c r="U54" s="191">
        <f t="shared" si="17"/>
        <v>0</v>
      </c>
      <c r="V54" s="214">
        <f t="shared" si="18"/>
        <v>0</v>
      </c>
      <c r="W54" s="213">
        <f t="shared" si="19"/>
        <v>0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08">
        <f t="shared" si="7"/>
        <v>0</v>
      </c>
      <c r="T55" s="44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08">
        <f t="shared" si="7"/>
        <v>0</v>
      </c>
      <c r="T56" s="44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08">
        <f t="shared" si="7"/>
        <v>0</v>
      </c>
      <c r="T57" s="44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08">
        <f t="shared" si="7"/>
        <v>0</v>
      </c>
      <c r="T58" s="44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08">
        <f t="shared" si="7"/>
        <v>0</v>
      </c>
      <c r="T59" s="44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0</v>
      </c>
      <c r="D60" s="71">
        <f>SUM(D8:D59)</f>
        <v>0</v>
      </c>
      <c r="E60" s="47">
        <f>SUM(E8:E59)</f>
        <v>0</v>
      </c>
      <c r="F60" s="47"/>
      <c r="G60" s="31">
        <f>SUM(G8:G59)</f>
        <v>0</v>
      </c>
      <c r="H60" s="73">
        <f>SUM(H8:H59)</f>
        <v>0</v>
      </c>
      <c r="I60" s="73">
        <f>SUM(I8:I59)</f>
        <v>0</v>
      </c>
      <c r="J60" s="48">
        <f>SUM(J8:J59)</f>
        <v>0</v>
      </c>
      <c r="K60" s="49"/>
      <c r="L60" s="98">
        <f t="shared" ref="L60:S60" si="20">SUM(L8:L59)</f>
        <v>0</v>
      </c>
      <c r="M60" s="98">
        <f t="shared" si="20"/>
        <v>0</v>
      </c>
      <c r="N60" s="98">
        <f t="shared" si="20"/>
        <v>0</v>
      </c>
      <c r="O60" s="98">
        <f t="shared" si="20"/>
        <v>0</v>
      </c>
      <c r="P60" s="98">
        <f t="shared" si="20"/>
        <v>0</v>
      </c>
      <c r="Q60" s="99">
        <f t="shared" si="20"/>
        <v>0</v>
      </c>
      <c r="R60" s="127">
        <f t="shared" si="20"/>
        <v>0</v>
      </c>
      <c r="S60" s="124">
        <f t="shared" si="20"/>
        <v>0</v>
      </c>
      <c r="T60" s="49"/>
      <c r="U60" s="46">
        <f>SUM(U8:U59)</f>
        <v>0</v>
      </c>
      <c r="V60" s="176">
        <f>SUM(V8:V59)</f>
        <v>0</v>
      </c>
      <c r="W60" s="156">
        <f>SUM(W8:W59)</f>
        <v>0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285" t="s">
        <v>3</v>
      </c>
      <c r="D69" s="286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A7D3-8989-4623-A474-B7DBA15B5BF7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46078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287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07"/>
      <c r="T6" s="44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07"/>
      <c r="T7" s="44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/>
      <c r="D8" s="195"/>
      <c r="E8" s="196"/>
      <c r="F8" s="196"/>
      <c r="G8" s="102"/>
      <c r="H8" s="93"/>
      <c r="I8" s="93">
        <f>C8-G8</f>
        <v>0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08">
        <f t="shared" si="1"/>
        <v>0</v>
      </c>
      <c r="T8" s="44"/>
      <c r="U8" s="191">
        <f>L8*24+N8*24+P8*24</f>
        <v>0</v>
      </c>
      <c r="V8" s="214">
        <f>U8/24</f>
        <v>0</v>
      </c>
      <c r="W8" s="213">
        <f t="shared" ref="W8:W12" si="2">I8*24+J8</f>
        <v>0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/>
      <c r="D9" s="198"/>
      <c r="E9" s="199"/>
      <c r="F9" s="199"/>
      <c r="G9" s="107"/>
      <c r="H9" s="108"/>
      <c r="I9" s="107">
        <f t="shared" ref="I9:J59" si="4">C9-G9</f>
        <v>0</v>
      </c>
      <c r="J9" s="160">
        <f t="shared" si="0"/>
        <v>0</v>
      </c>
      <c r="K9" s="64"/>
      <c r="L9" s="205"/>
      <c r="M9" s="205"/>
      <c r="N9" s="205"/>
      <c r="O9" s="205"/>
      <c r="P9" s="205"/>
      <c r="Q9" s="206"/>
      <c r="R9" s="166">
        <f t="shared" si="1"/>
        <v>0</v>
      </c>
      <c r="S9" s="209">
        <f t="shared" si="1"/>
        <v>0</v>
      </c>
      <c r="T9" s="64"/>
      <c r="U9" s="215">
        <f>L9*24+N9*24+P9*24</f>
        <v>0</v>
      </c>
      <c r="V9" s="216">
        <f>U9/24</f>
        <v>0</v>
      </c>
      <c r="W9" s="217">
        <f t="shared" si="2"/>
        <v>0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10">
        <f t="shared" si="1"/>
        <v>0</v>
      </c>
      <c r="T10" s="44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/>
      <c r="D11" s="195"/>
      <c r="E11" s="196"/>
      <c r="F11" s="196"/>
      <c r="G11" s="102"/>
      <c r="H11" s="93"/>
      <c r="I11" s="93">
        <f t="shared" si="4"/>
        <v>0</v>
      </c>
      <c r="J11" s="103">
        <f t="shared" si="0"/>
        <v>0</v>
      </c>
      <c r="K11" s="44"/>
      <c r="L11" s="196"/>
      <c r="M11" s="196"/>
      <c r="N11" s="196"/>
      <c r="O11" s="196"/>
      <c r="P11" s="196"/>
      <c r="Q11" s="204"/>
      <c r="R11" s="128">
        <f t="shared" si="1"/>
        <v>0</v>
      </c>
      <c r="S11" s="208">
        <f t="shared" si="1"/>
        <v>0</v>
      </c>
      <c r="T11" s="44"/>
      <c r="U11" s="191">
        <f>L11*24+N11*24+P11*24</f>
        <v>0</v>
      </c>
      <c r="V11" s="214">
        <f>U11/24</f>
        <v>0</v>
      </c>
      <c r="W11" s="213">
        <f t="shared" si="2"/>
        <v>0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/>
      <c r="D12" s="195"/>
      <c r="E12" s="196"/>
      <c r="F12" s="196"/>
      <c r="G12" s="102"/>
      <c r="H12" s="93"/>
      <c r="I12" s="93">
        <f t="shared" si="4"/>
        <v>0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08">
        <f t="shared" si="1"/>
        <v>0</v>
      </c>
      <c r="T12" s="44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0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/>
      <c r="D13" s="198"/>
      <c r="E13" s="199"/>
      <c r="F13" s="199"/>
      <c r="G13" s="107"/>
      <c r="H13" s="108"/>
      <c r="I13" s="116">
        <f t="shared" si="4"/>
        <v>0</v>
      </c>
      <c r="J13" s="160">
        <f>D13-H13</f>
        <v>0</v>
      </c>
      <c r="K13" s="68"/>
      <c r="L13" s="205"/>
      <c r="M13" s="205"/>
      <c r="N13" s="205"/>
      <c r="O13" s="205"/>
      <c r="P13" s="205"/>
      <c r="Q13" s="206"/>
      <c r="R13" s="163">
        <f>L13+N13+P13</f>
        <v>0</v>
      </c>
      <c r="S13" s="209">
        <f>M13+O13+Q13</f>
        <v>0</v>
      </c>
      <c r="T13" s="68"/>
      <c r="U13" s="215">
        <f>L13*24+N13*24+P13*24</f>
        <v>0</v>
      </c>
      <c r="V13" s="219">
        <f t="shared" si="6"/>
        <v>0</v>
      </c>
      <c r="W13" s="217">
        <f>I13*24+J13</f>
        <v>0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/>
      <c r="D14" s="195"/>
      <c r="E14" s="196"/>
      <c r="F14" s="196"/>
      <c r="G14" s="102"/>
      <c r="H14" s="93"/>
      <c r="I14" s="159">
        <f t="shared" si="4"/>
        <v>0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10">
        <f t="shared" si="7"/>
        <v>0</v>
      </c>
      <c r="T14" s="44"/>
      <c r="U14" s="191">
        <f t="shared" si="5"/>
        <v>0</v>
      </c>
      <c r="V14" s="193">
        <f t="shared" si="6"/>
        <v>0</v>
      </c>
      <c r="W14" s="213">
        <f t="shared" ref="W14:W37" si="8">I14*24+J14</f>
        <v>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08">
        <f t="shared" si="7"/>
        <v>0</v>
      </c>
      <c r="T15" s="44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08">
        <f t="shared" si="7"/>
        <v>0</v>
      </c>
      <c r="T16" s="44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08">
        <f t="shared" si="7"/>
        <v>0</v>
      </c>
      <c r="T17" s="44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/>
      <c r="D18" s="195"/>
      <c r="E18" s="196"/>
      <c r="F18" s="196"/>
      <c r="G18" s="102"/>
      <c r="H18" s="93"/>
      <c r="I18" s="93">
        <f t="shared" si="4"/>
        <v>0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08">
        <f t="shared" si="7"/>
        <v>0</v>
      </c>
      <c r="T18" s="44"/>
      <c r="U18" s="191">
        <f t="shared" si="5"/>
        <v>0</v>
      </c>
      <c r="V18" s="214">
        <f t="shared" si="6"/>
        <v>0</v>
      </c>
      <c r="W18" s="213">
        <f t="shared" si="8"/>
        <v>0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08">
        <f t="shared" si="7"/>
        <v>0</v>
      </c>
      <c r="T19" s="44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/>
      <c r="D20" s="195"/>
      <c r="E20" s="196"/>
      <c r="F20" s="196"/>
      <c r="G20" s="102"/>
      <c r="H20" s="93"/>
      <c r="I20" s="93">
        <f t="shared" si="4"/>
        <v>0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08">
        <f t="shared" si="7"/>
        <v>0</v>
      </c>
      <c r="T20" s="44"/>
      <c r="U20" s="191">
        <f t="shared" si="5"/>
        <v>0</v>
      </c>
      <c r="V20" s="214">
        <f t="shared" si="6"/>
        <v>0</v>
      </c>
      <c r="W20" s="213">
        <f t="shared" si="8"/>
        <v>0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/>
      <c r="D21" s="195"/>
      <c r="E21" s="196"/>
      <c r="F21" s="196"/>
      <c r="G21" s="102"/>
      <c r="H21" s="93"/>
      <c r="I21" s="93">
        <f t="shared" si="4"/>
        <v>0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08">
        <f t="shared" si="7"/>
        <v>0</v>
      </c>
      <c r="T21" s="44"/>
      <c r="U21" s="191">
        <f t="shared" si="5"/>
        <v>0</v>
      </c>
      <c r="V21" s="214">
        <f t="shared" si="6"/>
        <v>0</v>
      </c>
      <c r="W21" s="213">
        <f t="shared" si="8"/>
        <v>0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/>
      <c r="D22" s="195"/>
      <c r="E22" s="196"/>
      <c r="F22" s="196"/>
      <c r="G22" s="102"/>
      <c r="H22" s="93"/>
      <c r="I22" s="93">
        <f t="shared" si="4"/>
        <v>0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08">
        <f t="shared" si="7"/>
        <v>0</v>
      </c>
      <c r="T22" s="44"/>
      <c r="U22" s="191">
        <f t="shared" si="5"/>
        <v>0</v>
      </c>
      <c r="V22" s="214">
        <f t="shared" si="6"/>
        <v>0</v>
      </c>
      <c r="W22" s="213">
        <f t="shared" si="8"/>
        <v>0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/>
      <c r="D23" s="195"/>
      <c r="E23" s="196"/>
      <c r="F23" s="196"/>
      <c r="G23" s="102"/>
      <c r="H23" s="93"/>
      <c r="I23" s="93">
        <f t="shared" si="4"/>
        <v>0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08">
        <f t="shared" si="7"/>
        <v>0</v>
      </c>
      <c r="T23" s="45"/>
      <c r="U23" s="191">
        <f t="shared" si="5"/>
        <v>0</v>
      </c>
      <c r="V23" s="214">
        <f t="shared" si="6"/>
        <v>0</v>
      </c>
      <c r="W23" s="213">
        <f t="shared" si="8"/>
        <v>0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/>
      <c r="D24" s="195"/>
      <c r="E24" s="196"/>
      <c r="F24" s="196"/>
      <c r="G24" s="102"/>
      <c r="H24" s="93"/>
      <c r="I24" s="93">
        <f t="shared" si="4"/>
        <v>0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08">
        <f t="shared" si="7"/>
        <v>0</v>
      </c>
      <c r="T24" s="45"/>
      <c r="U24" s="191">
        <f t="shared" si="5"/>
        <v>0</v>
      </c>
      <c r="V24" s="214">
        <f t="shared" si="6"/>
        <v>0</v>
      </c>
      <c r="W24" s="213">
        <f t="shared" si="8"/>
        <v>0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/>
      <c r="D25" s="195"/>
      <c r="E25" s="196"/>
      <c r="F25" s="196"/>
      <c r="G25" s="102"/>
      <c r="H25" s="93"/>
      <c r="I25" s="93">
        <f t="shared" si="4"/>
        <v>0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08">
        <f t="shared" si="7"/>
        <v>0</v>
      </c>
      <c r="T25" s="44"/>
      <c r="U25" s="191">
        <f t="shared" si="5"/>
        <v>0</v>
      </c>
      <c r="V25" s="214">
        <f t="shared" si="6"/>
        <v>0</v>
      </c>
      <c r="W25" s="213">
        <f t="shared" si="8"/>
        <v>0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/>
      <c r="D26" s="195"/>
      <c r="E26" s="196"/>
      <c r="F26" s="196"/>
      <c r="G26" s="102"/>
      <c r="H26" s="93"/>
      <c r="I26" s="93">
        <f t="shared" si="4"/>
        <v>0</v>
      </c>
      <c r="J26" s="103">
        <f t="shared" si="4"/>
        <v>0</v>
      </c>
      <c r="K26" s="44"/>
      <c r="L26" s="196"/>
      <c r="M26" s="196"/>
      <c r="N26" s="196"/>
      <c r="O26" s="196"/>
      <c r="P26" s="196"/>
      <c r="Q26" s="204"/>
      <c r="R26" s="128">
        <f t="shared" si="7"/>
        <v>0</v>
      </c>
      <c r="S26" s="208">
        <f t="shared" si="7"/>
        <v>0</v>
      </c>
      <c r="T26" s="44"/>
      <c r="U26" s="191">
        <f t="shared" si="5"/>
        <v>0</v>
      </c>
      <c r="V26" s="214">
        <f t="shared" si="6"/>
        <v>0</v>
      </c>
      <c r="W26" s="213">
        <f t="shared" si="8"/>
        <v>0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08">
        <f t="shared" si="7"/>
        <v>0</v>
      </c>
      <c r="T27" s="4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08">
        <f t="shared" si="7"/>
        <v>0</v>
      </c>
      <c r="T28" s="4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/>
      <c r="D29" s="195"/>
      <c r="E29" s="196"/>
      <c r="F29" s="196"/>
      <c r="G29" s="102"/>
      <c r="H29" s="93"/>
      <c r="I29" s="93">
        <f t="shared" si="4"/>
        <v>0</v>
      </c>
      <c r="J29" s="103">
        <f t="shared" si="4"/>
        <v>0</v>
      </c>
      <c r="K29" s="45"/>
      <c r="L29" s="196"/>
      <c r="M29" s="196"/>
      <c r="N29" s="196"/>
      <c r="O29" s="196"/>
      <c r="P29" s="196"/>
      <c r="Q29" s="204"/>
      <c r="R29" s="128">
        <f t="shared" si="7"/>
        <v>0</v>
      </c>
      <c r="S29" s="208">
        <f t="shared" si="7"/>
        <v>0</v>
      </c>
      <c r="T29" s="45"/>
      <c r="U29" s="191">
        <f t="shared" si="5"/>
        <v>0</v>
      </c>
      <c r="V29" s="214">
        <f t="shared" si="6"/>
        <v>0</v>
      </c>
      <c r="W29" s="213">
        <f t="shared" si="8"/>
        <v>0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08">
        <f t="shared" si="7"/>
        <v>0</v>
      </c>
      <c r="T30" s="44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/>
      <c r="D31" s="195"/>
      <c r="E31" s="196"/>
      <c r="F31" s="196"/>
      <c r="G31" s="102"/>
      <c r="H31" s="93"/>
      <c r="I31" s="93">
        <f t="shared" si="4"/>
        <v>0</v>
      </c>
      <c r="J31" s="103">
        <f t="shared" si="4"/>
        <v>0</v>
      </c>
      <c r="K31" s="44"/>
      <c r="L31" s="196"/>
      <c r="M31" s="196"/>
      <c r="N31" s="196"/>
      <c r="O31" s="196"/>
      <c r="P31" s="196"/>
      <c r="Q31" s="204"/>
      <c r="R31" s="128">
        <f t="shared" si="7"/>
        <v>0</v>
      </c>
      <c r="S31" s="208">
        <f t="shared" si="7"/>
        <v>0</v>
      </c>
      <c r="T31" s="44"/>
      <c r="U31" s="191">
        <f t="shared" si="5"/>
        <v>0</v>
      </c>
      <c r="V31" s="214">
        <f t="shared" si="6"/>
        <v>0</v>
      </c>
      <c r="W31" s="213">
        <f t="shared" si="8"/>
        <v>0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08">
        <f t="shared" si="7"/>
        <v>0</v>
      </c>
      <c r="T32" s="44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08">
        <f t="shared" si="7"/>
        <v>0</v>
      </c>
      <c r="T33" s="44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08">
        <f t="shared" si="7"/>
        <v>0</v>
      </c>
      <c r="T34" s="44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/>
      <c r="D35" s="195"/>
      <c r="E35" s="196"/>
      <c r="F35" s="196"/>
      <c r="G35" s="102"/>
      <c r="H35" s="93"/>
      <c r="I35" s="93">
        <f t="shared" si="4"/>
        <v>0</v>
      </c>
      <c r="J35" s="103">
        <f t="shared" si="4"/>
        <v>0</v>
      </c>
      <c r="K35" s="44"/>
      <c r="L35" s="196"/>
      <c r="M35" s="196"/>
      <c r="N35" s="196"/>
      <c r="O35" s="196"/>
      <c r="P35" s="196"/>
      <c r="Q35" s="204"/>
      <c r="R35" s="128">
        <f t="shared" si="7"/>
        <v>0</v>
      </c>
      <c r="S35" s="208">
        <f t="shared" si="7"/>
        <v>0</v>
      </c>
      <c r="T35" s="44"/>
      <c r="U35" s="191">
        <f t="shared" si="5"/>
        <v>0</v>
      </c>
      <c r="V35" s="214">
        <f t="shared" si="6"/>
        <v>0</v>
      </c>
      <c r="W35" s="213">
        <f t="shared" si="8"/>
        <v>0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08">
        <f t="shared" si="7"/>
        <v>0</v>
      </c>
      <c r="T36" s="44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08">
        <f t="shared" si="7"/>
        <v>0</v>
      </c>
      <c r="T37" s="44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222" t="s">
        <v>33</v>
      </c>
      <c r="C38" s="197"/>
      <c r="D38" s="198"/>
      <c r="E38" s="199"/>
      <c r="F38" s="199"/>
      <c r="G38" s="107"/>
      <c r="H38" s="108"/>
      <c r="I38" s="223">
        <f t="shared" si="4"/>
        <v>0</v>
      </c>
      <c r="J38" s="224">
        <f t="shared" si="4"/>
        <v>0</v>
      </c>
      <c r="K38" s="64"/>
      <c r="L38" s="205"/>
      <c r="M38" s="205"/>
      <c r="N38" s="205"/>
      <c r="O38" s="205"/>
      <c r="P38" s="205"/>
      <c r="Q38" s="206"/>
      <c r="R38" s="163">
        <f t="shared" si="7"/>
        <v>0</v>
      </c>
      <c r="S38" s="209">
        <f t="shared" si="7"/>
        <v>0</v>
      </c>
      <c r="T38" s="64"/>
      <c r="U38" s="215">
        <f>L38*6+N38*6+P38*6</f>
        <v>0</v>
      </c>
      <c r="V38" s="219">
        <f>U38/6</f>
        <v>0</v>
      </c>
      <c r="W38" s="217">
        <f>I38*6+J38</f>
        <v>0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/>
      <c r="D39" s="195"/>
      <c r="E39" s="196"/>
      <c r="F39" s="196"/>
      <c r="G39" s="102"/>
      <c r="H39" s="93"/>
      <c r="I39" s="102">
        <f t="shared" si="4"/>
        <v>0</v>
      </c>
      <c r="J39" s="103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10">
        <f t="shared" si="7"/>
        <v>0</v>
      </c>
      <c r="T39" s="44"/>
      <c r="U39" s="191">
        <f t="shared" ref="U39:U41" si="9">L39*24+N39*24+P39*24</f>
        <v>0</v>
      </c>
      <c r="V39" s="193">
        <f t="shared" si="6"/>
        <v>0</v>
      </c>
      <c r="W39" s="213">
        <f t="shared" ref="W39:W41" si="10">I39*24+J39</f>
        <v>0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08">
        <f t="shared" si="7"/>
        <v>0</v>
      </c>
      <c r="T40" s="44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229" t="s">
        <v>35</v>
      </c>
      <c r="C41" s="230"/>
      <c r="D41" s="231"/>
      <c r="E41" s="232"/>
      <c r="F41" s="232"/>
      <c r="G41" s="233"/>
      <c r="H41" s="234"/>
      <c r="I41" s="235">
        <f t="shared" si="4"/>
        <v>0</v>
      </c>
      <c r="J41" s="236">
        <f t="shared" si="4"/>
        <v>0</v>
      </c>
      <c r="K41" s="237"/>
      <c r="L41" s="238"/>
      <c r="M41" s="238"/>
      <c r="N41" s="238"/>
      <c r="O41" s="238"/>
      <c r="P41" s="238"/>
      <c r="Q41" s="239"/>
      <c r="R41" s="240">
        <f t="shared" si="7"/>
        <v>0</v>
      </c>
      <c r="S41" s="241">
        <f t="shared" si="7"/>
        <v>0</v>
      </c>
      <c r="T41" s="237"/>
      <c r="U41" s="242">
        <f t="shared" si="9"/>
        <v>0</v>
      </c>
      <c r="V41" s="243">
        <f t="shared" si="6"/>
        <v>0</v>
      </c>
      <c r="W41" s="243">
        <f t="shared" si="10"/>
        <v>0</v>
      </c>
      <c r="X41" s="244"/>
    </row>
    <row r="42" spans="1:26" ht="19.5" thickBot="1" x14ac:dyDescent="0.3">
      <c r="A42" s="3">
        <f t="shared" si="3"/>
        <v>35</v>
      </c>
      <c r="B42" s="246" t="s">
        <v>36</v>
      </c>
      <c r="C42" s="247"/>
      <c r="D42" s="248"/>
      <c r="E42" s="249"/>
      <c r="F42" s="249"/>
      <c r="G42" s="250"/>
      <c r="H42" s="251"/>
      <c r="I42" s="250">
        <f t="shared" si="4"/>
        <v>0</v>
      </c>
      <c r="J42" s="252">
        <f t="shared" si="4"/>
        <v>0</v>
      </c>
      <c r="K42" s="253"/>
      <c r="L42" s="249"/>
      <c r="M42" s="249"/>
      <c r="N42" s="249"/>
      <c r="O42" s="249"/>
      <c r="P42" s="249"/>
      <c r="Q42" s="254"/>
      <c r="R42" s="255">
        <f t="shared" si="7"/>
        <v>0</v>
      </c>
      <c r="S42" s="256">
        <f t="shared" si="7"/>
        <v>0</v>
      </c>
      <c r="T42" s="253"/>
      <c r="U42" s="257">
        <f>L42*12+N42*12+P42*12</f>
        <v>0</v>
      </c>
      <c r="V42" s="258">
        <f>U42/12</f>
        <v>0</v>
      </c>
      <c r="W42" s="259">
        <f>I42*12+J42</f>
        <v>0</v>
      </c>
      <c r="X42" s="260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245">
        <f t="shared" si="7"/>
        <v>0</v>
      </c>
      <c r="S43" s="211">
        <f t="shared" si="7"/>
        <v>0</v>
      </c>
      <c r="T43" s="44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/>
      <c r="D44" s="198"/>
      <c r="E44" s="199"/>
      <c r="F44" s="199"/>
      <c r="G44" s="107"/>
      <c r="H44" s="108"/>
      <c r="I44" s="93">
        <f>C44+E44-G44</f>
        <v>0</v>
      </c>
      <c r="J44" s="261">
        <f t="shared" si="4"/>
        <v>0</v>
      </c>
      <c r="K44" s="64"/>
      <c r="L44" s="205"/>
      <c r="M44" s="205"/>
      <c r="N44" s="205"/>
      <c r="O44" s="205"/>
      <c r="P44" s="205"/>
      <c r="Q44" s="206"/>
      <c r="R44" s="262">
        <f t="shared" si="7"/>
        <v>0</v>
      </c>
      <c r="S44" s="263">
        <f t="shared" si="7"/>
        <v>0</v>
      </c>
      <c r="T44" s="64"/>
      <c r="U44" s="215">
        <f>L44*6+N44*6+P44*6</f>
        <v>0</v>
      </c>
      <c r="V44" s="214">
        <f>U44/6</f>
        <v>0</v>
      </c>
      <c r="W44" s="217">
        <f>I44*6+J44</f>
        <v>0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11">
        <f t="shared" si="7"/>
        <v>0</v>
      </c>
      <c r="T45" s="44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12">
        <f t="shared" si="7"/>
        <v>0</v>
      </c>
      <c r="T46" s="44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08">
        <f t="shared" si="7"/>
        <v>0</v>
      </c>
      <c r="T47" s="44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54" t="s">
        <v>39</v>
      </c>
      <c r="C48" s="225"/>
      <c r="D48" s="226"/>
      <c r="E48" s="205"/>
      <c r="F48" s="205"/>
      <c r="G48" s="227"/>
      <c r="H48" s="223"/>
      <c r="I48" s="223">
        <f t="shared" si="4"/>
        <v>0</v>
      </c>
      <c r="J48" s="224">
        <f t="shared" si="4"/>
        <v>0</v>
      </c>
      <c r="K48" s="64"/>
      <c r="L48" s="205"/>
      <c r="M48" s="205"/>
      <c r="N48" s="205"/>
      <c r="O48" s="205"/>
      <c r="P48" s="205"/>
      <c r="Q48" s="206"/>
      <c r="R48" s="163">
        <f t="shared" si="7"/>
        <v>0</v>
      </c>
      <c r="S48" s="228">
        <f t="shared" si="7"/>
        <v>0</v>
      </c>
      <c r="T48" s="64"/>
      <c r="U48" s="215">
        <f>L48*6+N48*6+P48*6</f>
        <v>0</v>
      </c>
      <c r="V48" s="219">
        <f>U48/6</f>
        <v>0</v>
      </c>
      <c r="W48" s="217">
        <f>I48*6+J48</f>
        <v>0</v>
      </c>
      <c r="X48" s="66"/>
    </row>
    <row r="49" spans="1:24" ht="19.5" thickBot="1" x14ac:dyDescent="0.3">
      <c r="A49" s="3">
        <f t="shared" si="3"/>
        <v>42</v>
      </c>
      <c r="B49" s="10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62">
        <f t="shared" si="7"/>
        <v>0</v>
      </c>
      <c r="S49" s="210">
        <f t="shared" si="7"/>
        <v>0</v>
      </c>
      <c r="T49" s="44"/>
      <c r="U49" s="191">
        <f t="shared" ref="U49:U51" si="14">L49*24+N49*24+P49*24</f>
        <v>0</v>
      </c>
      <c r="V49" s="193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08">
        <f t="shared" si="7"/>
        <v>0</v>
      </c>
      <c r="T50" s="44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08">
        <f t="shared" si="7"/>
        <v>0</v>
      </c>
      <c r="T51" s="44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54" t="s">
        <v>41</v>
      </c>
      <c r="C52" s="225"/>
      <c r="D52" s="226"/>
      <c r="E52" s="205"/>
      <c r="F52" s="205"/>
      <c r="G52" s="227"/>
      <c r="H52" s="223"/>
      <c r="I52" s="223">
        <f t="shared" si="4"/>
        <v>0</v>
      </c>
      <c r="J52" s="224">
        <f t="shared" si="4"/>
        <v>0</v>
      </c>
      <c r="K52" s="64"/>
      <c r="L52" s="205"/>
      <c r="M52" s="205"/>
      <c r="N52" s="205"/>
      <c r="O52" s="205"/>
      <c r="P52" s="205"/>
      <c r="Q52" s="206"/>
      <c r="R52" s="163">
        <f t="shared" si="7"/>
        <v>0</v>
      </c>
      <c r="S52" s="228">
        <f t="shared" si="7"/>
        <v>0</v>
      </c>
      <c r="T52" s="64"/>
      <c r="U52" s="215">
        <f>L52*6+N52*6+P52*6</f>
        <v>0</v>
      </c>
      <c r="V52" s="219">
        <f>U52/6</f>
        <v>0</v>
      </c>
      <c r="W52" s="217">
        <f>I52*6+J52</f>
        <v>0</v>
      </c>
      <c r="X52" s="66"/>
    </row>
    <row r="53" spans="1:24" ht="19.5" thickBot="1" x14ac:dyDescent="0.3">
      <c r="A53" s="3">
        <f t="shared" si="3"/>
        <v>46</v>
      </c>
      <c r="B53" s="10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62">
        <f t="shared" si="7"/>
        <v>0</v>
      </c>
      <c r="S53" s="210">
        <f t="shared" si="7"/>
        <v>0</v>
      </c>
      <c r="T53" s="44"/>
      <c r="U53" s="191">
        <f t="shared" ref="U53:U54" si="17">L53*24+N53*24+P53*24</f>
        <v>0</v>
      </c>
      <c r="V53" s="193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/>
      <c r="D54" s="195"/>
      <c r="E54" s="196"/>
      <c r="F54" s="196"/>
      <c r="G54" s="102"/>
      <c r="H54" s="93"/>
      <c r="I54" s="93">
        <f t="shared" si="4"/>
        <v>0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08">
        <f t="shared" si="7"/>
        <v>0</v>
      </c>
      <c r="T54" s="44"/>
      <c r="U54" s="191">
        <f t="shared" si="17"/>
        <v>0</v>
      </c>
      <c r="V54" s="214">
        <f t="shared" si="18"/>
        <v>0</v>
      </c>
      <c r="W54" s="213">
        <f t="shared" si="19"/>
        <v>0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08">
        <f t="shared" si="7"/>
        <v>0</v>
      </c>
      <c r="T55" s="44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08">
        <f t="shared" si="7"/>
        <v>0</v>
      </c>
      <c r="T56" s="44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08">
        <f t="shared" si="7"/>
        <v>0</v>
      </c>
      <c r="T57" s="44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08">
        <f t="shared" si="7"/>
        <v>0</v>
      </c>
      <c r="T58" s="44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08">
        <f t="shared" si="7"/>
        <v>0</v>
      </c>
      <c r="T59" s="44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0</v>
      </c>
      <c r="D60" s="71">
        <f>SUM(D8:D59)</f>
        <v>0</v>
      </c>
      <c r="E60" s="47">
        <f>SUM(E8:E59)</f>
        <v>0</v>
      </c>
      <c r="F60" s="47"/>
      <c r="G60" s="31">
        <f>SUM(G8:G59)</f>
        <v>0</v>
      </c>
      <c r="H60" s="73">
        <f>SUM(H8:H59)</f>
        <v>0</v>
      </c>
      <c r="I60" s="73">
        <f>SUM(I8:I59)</f>
        <v>0</v>
      </c>
      <c r="J60" s="48">
        <f>SUM(J8:J59)</f>
        <v>0</v>
      </c>
      <c r="K60" s="49"/>
      <c r="L60" s="98">
        <f t="shared" ref="L60:S60" si="20">SUM(L8:L59)</f>
        <v>0</v>
      </c>
      <c r="M60" s="98">
        <f t="shared" si="20"/>
        <v>0</v>
      </c>
      <c r="N60" s="98">
        <f t="shared" si="20"/>
        <v>0</v>
      </c>
      <c r="O60" s="98">
        <f t="shared" si="20"/>
        <v>0</v>
      </c>
      <c r="P60" s="98">
        <f t="shared" si="20"/>
        <v>0</v>
      </c>
      <c r="Q60" s="99">
        <f t="shared" si="20"/>
        <v>0</v>
      </c>
      <c r="R60" s="127">
        <f t="shared" si="20"/>
        <v>0</v>
      </c>
      <c r="S60" s="124">
        <f t="shared" si="20"/>
        <v>0</v>
      </c>
      <c r="T60" s="49"/>
      <c r="U60" s="46">
        <f>SUM(U8:U59)</f>
        <v>0</v>
      </c>
      <c r="V60" s="176">
        <f>SUM(V8:V59)</f>
        <v>0</v>
      </c>
      <c r="W60" s="156">
        <f>SUM(W8:W59)</f>
        <v>0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285" t="s">
        <v>3</v>
      </c>
      <c r="D69" s="286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C864-55FE-4D18-A736-3F38E46A3729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46079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287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07"/>
      <c r="T6" s="44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07"/>
      <c r="T7" s="44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/>
      <c r="D8" s="195"/>
      <c r="E8" s="196"/>
      <c r="F8" s="196"/>
      <c r="G8" s="102"/>
      <c r="H8" s="93"/>
      <c r="I8" s="93">
        <f>C8-G8</f>
        <v>0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08">
        <f t="shared" si="1"/>
        <v>0</v>
      </c>
      <c r="T8" s="44"/>
      <c r="U8" s="191">
        <f>L8*24+N8*24+P8*24</f>
        <v>0</v>
      </c>
      <c r="V8" s="214">
        <f>U8/24</f>
        <v>0</v>
      </c>
      <c r="W8" s="213">
        <f t="shared" ref="W8:W12" si="2">I8*24+J8</f>
        <v>0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/>
      <c r="D9" s="198"/>
      <c r="E9" s="199"/>
      <c r="F9" s="199"/>
      <c r="G9" s="107"/>
      <c r="H9" s="108"/>
      <c r="I9" s="107">
        <f t="shared" ref="I9:J59" si="4">C9-G9</f>
        <v>0</v>
      </c>
      <c r="J9" s="160">
        <f t="shared" si="0"/>
        <v>0</v>
      </c>
      <c r="K9" s="64"/>
      <c r="L9" s="205"/>
      <c r="M9" s="205"/>
      <c r="N9" s="205"/>
      <c r="O9" s="205"/>
      <c r="P9" s="205"/>
      <c r="Q9" s="206"/>
      <c r="R9" s="166">
        <f t="shared" si="1"/>
        <v>0</v>
      </c>
      <c r="S9" s="209">
        <f t="shared" si="1"/>
        <v>0</v>
      </c>
      <c r="T9" s="64"/>
      <c r="U9" s="215">
        <f>L9*24+N9*24+P9*24</f>
        <v>0</v>
      </c>
      <c r="V9" s="216">
        <f>U9/24</f>
        <v>0</v>
      </c>
      <c r="W9" s="217">
        <f t="shared" si="2"/>
        <v>0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10">
        <f t="shared" si="1"/>
        <v>0</v>
      </c>
      <c r="T10" s="44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/>
      <c r="D11" s="195"/>
      <c r="E11" s="196"/>
      <c r="F11" s="196"/>
      <c r="G11" s="102"/>
      <c r="H11" s="93"/>
      <c r="I11" s="93">
        <f t="shared" si="4"/>
        <v>0</v>
      </c>
      <c r="J11" s="103">
        <f t="shared" si="0"/>
        <v>0</v>
      </c>
      <c r="K11" s="44"/>
      <c r="L11" s="196"/>
      <c r="M11" s="196"/>
      <c r="N11" s="196"/>
      <c r="O11" s="196"/>
      <c r="P11" s="196"/>
      <c r="Q11" s="204"/>
      <c r="R11" s="128">
        <f t="shared" si="1"/>
        <v>0</v>
      </c>
      <c r="S11" s="208">
        <f t="shared" si="1"/>
        <v>0</v>
      </c>
      <c r="T11" s="44"/>
      <c r="U11" s="191">
        <f>L11*24+N11*24+P11*24</f>
        <v>0</v>
      </c>
      <c r="V11" s="214">
        <f>U11/24</f>
        <v>0</v>
      </c>
      <c r="W11" s="213">
        <f t="shared" si="2"/>
        <v>0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/>
      <c r="D12" s="195"/>
      <c r="E12" s="196"/>
      <c r="F12" s="196"/>
      <c r="G12" s="102"/>
      <c r="H12" s="93"/>
      <c r="I12" s="93">
        <f t="shared" si="4"/>
        <v>0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08">
        <f t="shared" si="1"/>
        <v>0</v>
      </c>
      <c r="T12" s="44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0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/>
      <c r="D13" s="198"/>
      <c r="E13" s="199"/>
      <c r="F13" s="199"/>
      <c r="G13" s="107"/>
      <c r="H13" s="108"/>
      <c r="I13" s="116">
        <f t="shared" si="4"/>
        <v>0</v>
      </c>
      <c r="J13" s="160">
        <f>D13-H13</f>
        <v>0</v>
      </c>
      <c r="K13" s="68"/>
      <c r="L13" s="205"/>
      <c r="M13" s="205"/>
      <c r="N13" s="205"/>
      <c r="O13" s="205"/>
      <c r="P13" s="205"/>
      <c r="Q13" s="206"/>
      <c r="R13" s="163">
        <f>L13+N13+P13</f>
        <v>0</v>
      </c>
      <c r="S13" s="209">
        <f>M13+O13+Q13</f>
        <v>0</v>
      </c>
      <c r="T13" s="68"/>
      <c r="U13" s="215">
        <f>L13*24+N13*24+P13*24</f>
        <v>0</v>
      </c>
      <c r="V13" s="219">
        <f t="shared" si="6"/>
        <v>0</v>
      </c>
      <c r="W13" s="217">
        <f>I13*24+J13</f>
        <v>0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/>
      <c r="D14" s="195"/>
      <c r="E14" s="196"/>
      <c r="F14" s="196"/>
      <c r="G14" s="102"/>
      <c r="H14" s="93"/>
      <c r="I14" s="159">
        <f t="shared" si="4"/>
        <v>0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10">
        <f t="shared" si="7"/>
        <v>0</v>
      </c>
      <c r="T14" s="44"/>
      <c r="U14" s="191">
        <f t="shared" si="5"/>
        <v>0</v>
      </c>
      <c r="V14" s="193">
        <f t="shared" si="6"/>
        <v>0</v>
      </c>
      <c r="W14" s="213">
        <f t="shared" ref="W14:W37" si="8">I14*24+J14</f>
        <v>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08">
        <f t="shared" si="7"/>
        <v>0</v>
      </c>
      <c r="T15" s="44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08">
        <f t="shared" si="7"/>
        <v>0</v>
      </c>
      <c r="T16" s="44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08">
        <f t="shared" si="7"/>
        <v>0</v>
      </c>
      <c r="T17" s="44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/>
      <c r="D18" s="195"/>
      <c r="E18" s="196"/>
      <c r="F18" s="196"/>
      <c r="G18" s="102"/>
      <c r="H18" s="93"/>
      <c r="I18" s="93">
        <f t="shared" si="4"/>
        <v>0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08">
        <f t="shared" si="7"/>
        <v>0</v>
      </c>
      <c r="T18" s="44"/>
      <c r="U18" s="191">
        <f t="shared" si="5"/>
        <v>0</v>
      </c>
      <c r="V18" s="214">
        <f t="shared" si="6"/>
        <v>0</v>
      </c>
      <c r="W18" s="213">
        <f t="shared" si="8"/>
        <v>0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08">
        <f t="shared" si="7"/>
        <v>0</v>
      </c>
      <c r="T19" s="44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/>
      <c r="D20" s="195"/>
      <c r="E20" s="196"/>
      <c r="F20" s="196"/>
      <c r="G20" s="102"/>
      <c r="H20" s="93"/>
      <c r="I20" s="93">
        <f t="shared" si="4"/>
        <v>0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08">
        <f t="shared" si="7"/>
        <v>0</v>
      </c>
      <c r="T20" s="44"/>
      <c r="U20" s="191">
        <f t="shared" si="5"/>
        <v>0</v>
      </c>
      <c r="V20" s="214">
        <f t="shared" si="6"/>
        <v>0</v>
      </c>
      <c r="W20" s="213">
        <f t="shared" si="8"/>
        <v>0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/>
      <c r="D21" s="195"/>
      <c r="E21" s="196"/>
      <c r="F21" s="196"/>
      <c r="G21" s="102"/>
      <c r="H21" s="93"/>
      <c r="I21" s="93">
        <f t="shared" si="4"/>
        <v>0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08">
        <f t="shared" si="7"/>
        <v>0</v>
      </c>
      <c r="T21" s="44"/>
      <c r="U21" s="191">
        <f t="shared" si="5"/>
        <v>0</v>
      </c>
      <c r="V21" s="214">
        <f t="shared" si="6"/>
        <v>0</v>
      </c>
      <c r="W21" s="213">
        <f t="shared" si="8"/>
        <v>0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/>
      <c r="D22" s="195"/>
      <c r="E22" s="196"/>
      <c r="F22" s="196"/>
      <c r="G22" s="102"/>
      <c r="H22" s="93"/>
      <c r="I22" s="93">
        <f t="shared" si="4"/>
        <v>0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08">
        <f t="shared" si="7"/>
        <v>0</v>
      </c>
      <c r="T22" s="44"/>
      <c r="U22" s="191">
        <f t="shared" si="5"/>
        <v>0</v>
      </c>
      <c r="V22" s="214">
        <f t="shared" si="6"/>
        <v>0</v>
      </c>
      <c r="W22" s="213">
        <f t="shared" si="8"/>
        <v>0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/>
      <c r="D23" s="195"/>
      <c r="E23" s="196"/>
      <c r="F23" s="196"/>
      <c r="G23" s="102"/>
      <c r="H23" s="93"/>
      <c r="I23" s="93">
        <f t="shared" si="4"/>
        <v>0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08">
        <f t="shared" si="7"/>
        <v>0</v>
      </c>
      <c r="T23" s="45"/>
      <c r="U23" s="191">
        <f t="shared" si="5"/>
        <v>0</v>
      </c>
      <c r="V23" s="214">
        <f t="shared" si="6"/>
        <v>0</v>
      </c>
      <c r="W23" s="213">
        <f t="shared" si="8"/>
        <v>0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/>
      <c r="D24" s="195"/>
      <c r="E24" s="196"/>
      <c r="F24" s="196"/>
      <c r="G24" s="102"/>
      <c r="H24" s="93"/>
      <c r="I24" s="93">
        <f t="shared" si="4"/>
        <v>0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08">
        <f t="shared" si="7"/>
        <v>0</v>
      </c>
      <c r="T24" s="45"/>
      <c r="U24" s="191">
        <f t="shared" si="5"/>
        <v>0</v>
      </c>
      <c r="V24" s="214">
        <f t="shared" si="6"/>
        <v>0</v>
      </c>
      <c r="W24" s="213">
        <f t="shared" si="8"/>
        <v>0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/>
      <c r="D25" s="195"/>
      <c r="E25" s="196"/>
      <c r="F25" s="196"/>
      <c r="G25" s="102"/>
      <c r="H25" s="93"/>
      <c r="I25" s="93">
        <f t="shared" si="4"/>
        <v>0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08">
        <f t="shared" si="7"/>
        <v>0</v>
      </c>
      <c r="T25" s="44"/>
      <c r="U25" s="191">
        <f t="shared" si="5"/>
        <v>0</v>
      </c>
      <c r="V25" s="214">
        <f t="shared" si="6"/>
        <v>0</v>
      </c>
      <c r="W25" s="213">
        <f t="shared" si="8"/>
        <v>0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/>
      <c r="D26" s="195"/>
      <c r="E26" s="196"/>
      <c r="F26" s="196"/>
      <c r="G26" s="102"/>
      <c r="H26" s="93"/>
      <c r="I26" s="93">
        <f t="shared" si="4"/>
        <v>0</v>
      </c>
      <c r="J26" s="103">
        <f t="shared" si="4"/>
        <v>0</v>
      </c>
      <c r="K26" s="44"/>
      <c r="L26" s="196"/>
      <c r="M26" s="196"/>
      <c r="N26" s="196"/>
      <c r="O26" s="196"/>
      <c r="P26" s="196"/>
      <c r="Q26" s="204"/>
      <c r="R26" s="128">
        <f t="shared" si="7"/>
        <v>0</v>
      </c>
      <c r="S26" s="208">
        <f t="shared" si="7"/>
        <v>0</v>
      </c>
      <c r="T26" s="44"/>
      <c r="U26" s="191">
        <f t="shared" si="5"/>
        <v>0</v>
      </c>
      <c r="V26" s="214">
        <f t="shared" si="6"/>
        <v>0</v>
      </c>
      <c r="W26" s="213">
        <f t="shared" si="8"/>
        <v>0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08">
        <f t="shared" si="7"/>
        <v>0</v>
      </c>
      <c r="T27" s="4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08">
        <f t="shared" si="7"/>
        <v>0</v>
      </c>
      <c r="T28" s="4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/>
      <c r="D29" s="195"/>
      <c r="E29" s="196"/>
      <c r="F29" s="196"/>
      <c r="G29" s="102"/>
      <c r="H29" s="93"/>
      <c r="I29" s="93">
        <f t="shared" si="4"/>
        <v>0</v>
      </c>
      <c r="J29" s="103">
        <f t="shared" si="4"/>
        <v>0</v>
      </c>
      <c r="K29" s="45"/>
      <c r="L29" s="196"/>
      <c r="M29" s="196"/>
      <c r="N29" s="196"/>
      <c r="O29" s="196"/>
      <c r="P29" s="196"/>
      <c r="Q29" s="204"/>
      <c r="R29" s="128">
        <f t="shared" si="7"/>
        <v>0</v>
      </c>
      <c r="S29" s="208">
        <f t="shared" si="7"/>
        <v>0</v>
      </c>
      <c r="T29" s="45"/>
      <c r="U29" s="191">
        <f t="shared" si="5"/>
        <v>0</v>
      </c>
      <c r="V29" s="214">
        <f t="shared" si="6"/>
        <v>0</v>
      </c>
      <c r="W29" s="213">
        <f t="shared" si="8"/>
        <v>0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08">
        <f t="shared" si="7"/>
        <v>0</v>
      </c>
      <c r="T30" s="44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/>
      <c r="D31" s="195"/>
      <c r="E31" s="196"/>
      <c r="F31" s="196"/>
      <c r="G31" s="102"/>
      <c r="H31" s="93"/>
      <c r="I31" s="93">
        <f t="shared" si="4"/>
        <v>0</v>
      </c>
      <c r="J31" s="103">
        <f t="shared" si="4"/>
        <v>0</v>
      </c>
      <c r="K31" s="44"/>
      <c r="L31" s="196"/>
      <c r="M31" s="196"/>
      <c r="N31" s="196"/>
      <c r="O31" s="196"/>
      <c r="P31" s="196"/>
      <c r="Q31" s="204"/>
      <c r="R31" s="128">
        <f t="shared" si="7"/>
        <v>0</v>
      </c>
      <c r="S31" s="208">
        <f t="shared" si="7"/>
        <v>0</v>
      </c>
      <c r="T31" s="44"/>
      <c r="U31" s="191">
        <f t="shared" si="5"/>
        <v>0</v>
      </c>
      <c r="V31" s="214">
        <f t="shared" si="6"/>
        <v>0</v>
      </c>
      <c r="W31" s="213">
        <f t="shared" si="8"/>
        <v>0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08">
        <f t="shared" si="7"/>
        <v>0</v>
      </c>
      <c r="T32" s="44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08">
        <f t="shared" si="7"/>
        <v>0</v>
      </c>
      <c r="T33" s="44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08">
        <f t="shared" si="7"/>
        <v>0</v>
      </c>
      <c r="T34" s="44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/>
      <c r="D35" s="195"/>
      <c r="E35" s="196"/>
      <c r="F35" s="196"/>
      <c r="G35" s="102"/>
      <c r="H35" s="93"/>
      <c r="I35" s="93">
        <f t="shared" si="4"/>
        <v>0</v>
      </c>
      <c r="J35" s="103">
        <f t="shared" si="4"/>
        <v>0</v>
      </c>
      <c r="K35" s="44"/>
      <c r="L35" s="196"/>
      <c r="M35" s="196"/>
      <c r="N35" s="196"/>
      <c r="O35" s="196"/>
      <c r="P35" s="196"/>
      <c r="Q35" s="204"/>
      <c r="R35" s="128">
        <f t="shared" si="7"/>
        <v>0</v>
      </c>
      <c r="S35" s="208">
        <f t="shared" si="7"/>
        <v>0</v>
      </c>
      <c r="T35" s="44"/>
      <c r="U35" s="191">
        <f t="shared" si="5"/>
        <v>0</v>
      </c>
      <c r="V35" s="214">
        <f t="shared" si="6"/>
        <v>0</v>
      </c>
      <c r="W35" s="213">
        <f t="shared" si="8"/>
        <v>0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08">
        <f t="shared" si="7"/>
        <v>0</v>
      </c>
      <c r="T36" s="44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08">
        <f t="shared" si="7"/>
        <v>0</v>
      </c>
      <c r="T37" s="44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222" t="s">
        <v>33</v>
      </c>
      <c r="C38" s="197"/>
      <c r="D38" s="198"/>
      <c r="E38" s="199"/>
      <c r="F38" s="199"/>
      <c r="G38" s="107"/>
      <c r="H38" s="108"/>
      <c r="I38" s="223">
        <f t="shared" si="4"/>
        <v>0</v>
      </c>
      <c r="J38" s="224">
        <f t="shared" si="4"/>
        <v>0</v>
      </c>
      <c r="K38" s="64"/>
      <c r="L38" s="205"/>
      <c r="M38" s="205"/>
      <c r="N38" s="205"/>
      <c r="O38" s="205"/>
      <c r="P38" s="205"/>
      <c r="Q38" s="206"/>
      <c r="R38" s="163">
        <f t="shared" si="7"/>
        <v>0</v>
      </c>
      <c r="S38" s="209">
        <f t="shared" si="7"/>
        <v>0</v>
      </c>
      <c r="T38" s="64"/>
      <c r="U38" s="215">
        <f>L38*6+N38*6+P38*6</f>
        <v>0</v>
      </c>
      <c r="V38" s="219">
        <f>U38/6</f>
        <v>0</v>
      </c>
      <c r="W38" s="217">
        <f>I38*6+J38</f>
        <v>0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/>
      <c r="D39" s="195"/>
      <c r="E39" s="196"/>
      <c r="F39" s="196"/>
      <c r="G39" s="102"/>
      <c r="H39" s="93"/>
      <c r="I39" s="102">
        <f t="shared" si="4"/>
        <v>0</v>
      </c>
      <c r="J39" s="103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10">
        <f t="shared" si="7"/>
        <v>0</v>
      </c>
      <c r="T39" s="44"/>
      <c r="U39" s="191">
        <f t="shared" ref="U39:U41" si="9">L39*24+N39*24+P39*24</f>
        <v>0</v>
      </c>
      <c r="V39" s="193">
        <f t="shared" si="6"/>
        <v>0</v>
      </c>
      <c r="W39" s="213">
        <f t="shared" ref="W39:W41" si="10">I39*24+J39</f>
        <v>0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08">
        <f t="shared" si="7"/>
        <v>0</v>
      </c>
      <c r="T40" s="44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229" t="s">
        <v>35</v>
      </c>
      <c r="C41" s="230"/>
      <c r="D41" s="231"/>
      <c r="E41" s="232"/>
      <c r="F41" s="232"/>
      <c r="G41" s="233"/>
      <c r="H41" s="234"/>
      <c r="I41" s="235">
        <f t="shared" si="4"/>
        <v>0</v>
      </c>
      <c r="J41" s="236">
        <f t="shared" si="4"/>
        <v>0</v>
      </c>
      <c r="K41" s="237"/>
      <c r="L41" s="238"/>
      <c r="M41" s="238"/>
      <c r="N41" s="238"/>
      <c r="O41" s="238"/>
      <c r="P41" s="238"/>
      <c r="Q41" s="239"/>
      <c r="R41" s="240">
        <f t="shared" si="7"/>
        <v>0</v>
      </c>
      <c r="S41" s="241">
        <f t="shared" si="7"/>
        <v>0</v>
      </c>
      <c r="T41" s="237"/>
      <c r="U41" s="242">
        <f t="shared" si="9"/>
        <v>0</v>
      </c>
      <c r="V41" s="243">
        <f t="shared" si="6"/>
        <v>0</v>
      </c>
      <c r="W41" s="243">
        <f t="shared" si="10"/>
        <v>0</v>
      </c>
      <c r="X41" s="244"/>
    </row>
    <row r="42" spans="1:26" ht="19.5" thickBot="1" x14ac:dyDescent="0.3">
      <c r="A42" s="3">
        <f t="shared" si="3"/>
        <v>35</v>
      </c>
      <c r="B42" s="246" t="s">
        <v>36</v>
      </c>
      <c r="C42" s="247"/>
      <c r="D42" s="248"/>
      <c r="E42" s="249"/>
      <c r="F42" s="249"/>
      <c r="G42" s="250"/>
      <c r="H42" s="251"/>
      <c r="I42" s="250">
        <f t="shared" si="4"/>
        <v>0</v>
      </c>
      <c r="J42" s="252">
        <f t="shared" si="4"/>
        <v>0</v>
      </c>
      <c r="K42" s="253"/>
      <c r="L42" s="249"/>
      <c r="M42" s="249"/>
      <c r="N42" s="249"/>
      <c r="O42" s="249"/>
      <c r="P42" s="249"/>
      <c r="Q42" s="254"/>
      <c r="R42" s="255">
        <f t="shared" si="7"/>
        <v>0</v>
      </c>
      <c r="S42" s="256">
        <f t="shared" si="7"/>
        <v>0</v>
      </c>
      <c r="T42" s="253"/>
      <c r="U42" s="257">
        <f>L42*12+N42*12+P42*12</f>
        <v>0</v>
      </c>
      <c r="V42" s="258">
        <f>U42/12</f>
        <v>0</v>
      </c>
      <c r="W42" s="259">
        <f>I42*12+J42</f>
        <v>0</v>
      </c>
      <c r="X42" s="260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245">
        <f t="shared" si="7"/>
        <v>0</v>
      </c>
      <c r="S43" s="211">
        <f t="shared" si="7"/>
        <v>0</v>
      </c>
      <c r="T43" s="44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/>
      <c r="D44" s="198"/>
      <c r="E44" s="199"/>
      <c r="F44" s="199"/>
      <c r="G44" s="107"/>
      <c r="H44" s="108"/>
      <c r="I44" s="93">
        <f>C44+E44-G44</f>
        <v>0</v>
      </c>
      <c r="J44" s="261">
        <f t="shared" si="4"/>
        <v>0</v>
      </c>
      <c r="K44" s="64"/>
      <c r="L44" s="205"/>
      <c r="M44" s="205"/>
      <c r="N44" s="205"/>
      <c r="O44" s="205"/>
      <c r="P44" s="205"/>
      <c r="Q44" s="206"/>
      <c r="R44" s="262">
        <f t="shared" si="7"/>
        <v>0</v>
      </c>
      <c r="S44" s="263">
        <f t="shared" si="7"/>
        <v>0</v>
      </c>
      <c r="T44" s="64"/>
      <c r="U44" s="215">
        <f>L44*6+N44*6+P44*6</f>
        <v>0</v>
      </c>
      <c r="V44" s="214">
        <f>U44/6</f>
        <v>0</v>
      </c>
      <c r="W44" s="217">
        <f>I44*6+J44</f>
        <v>0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11">
        <f t="shared" si="7"/>
        <v>0</v>
      </c>
      <c r="T45" s="44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12">
        <f t="shared" si="7"/>
        <v>0</v>
      </c>
      <c r="T46" s="44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08">
        <f t="shared" si="7"/>
        <v>0</v>
      </c>
      <c r="T47" s="44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54" t="s">
        <v>39</v>
      </c>
      <c r="C48" s="225"/>
      <c r="D48" s="226"/>
      <c r="E48" s="205"/>
      <c r="F48" s="205"/>
      <c r="G48" s="227"/>
      <c r="H48" s="223"/>
      <c r="I48" s="223">
        <f t="shared" si="4"/>
        <v>0</v>
      </c>
      <c r="J48" s="224">
        <f t="shared" si="4"/>
        <v>0</v>
      </c>
      <c r="K48" s="64"/>
      <c r="L48" s="205"/>
      <c r="M48" s="205"/>
      <c r="N48" s="205"/>
      <c r="O48" s="205"/>
      <c r="P48" s="205"/>
      <c r="Q48" s="206"/>
      <c r="R48" s="163">
        <f t="shared" si="7"/>
        <v>0</v>
      </c>
      <c r="S48" s="228">
        <f t="shared" si="7"/>
        <v>0</v>
      </c>
      <c r="T48" s="64"/>
      <c r="U48" s="215">
        <f>L48*6+N48*6+P48*6</f>
        <v>0</v>
      </c>
      <c r="V48" s="219">
        <f>U48/6</f>
        <v>0</v>
      </c>
      <c r="W48" s="217">
        <f>I48*6+J48</f>
        <v>0</v>
      </c>
      <c r="X48" s="66"/>
    </row>
    <row r="49" spans="1:24" ht="19.5" thickBot="1" x14ac:dyDescent="0.3">
      <c r="A49" s="3">
        <f t="shared" si="3"/>
        <v>42</v>
      </c>
      <c r="B49" s="10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62">
        <f t="shared" si="7"/>
        <v>0</v>
      </c>
      <c r="S49" s="210">
        <f t="shared" si="7"/>
        <v>0</v>
      </c>
      <c r="T49" s="44"/>
      <c r="U49" s="191">
        <f t="shared" ref="U49:U51" si="14">L49*24+N49*24+P49*24</f>
        <v>0</v>
      </c>
      <c r="V49" s="193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08">
        <f t="shared" si="7"/>
        <v>0</v>
      </c>
      <c r="T50" s="44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08">
        <f t="shared" si="7"/>
        <v>0</v>
      </c>
      <c r="T51" s="44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54" t="s">
        <v>41</v>
      </c>
      <c r="C52" s="225"/>
      <c r="D52" s="226"/>
      <c r="E52" s="205"/>
      <c r="F52" s="205"/>
      <c r="G52" s="227"/>
      <c r="H52" s="223"/>
      <c r="I52" s="223">
        <f t="shared" si="4"/>
        <v>0</v>
      </c>
      <c r="J52" s="224">
        <f t="shared" si="4"/>
        <v>0</v>
      </c>
      <c r="K52" s="64"/>
      <c r="L52" s="205"/>
      <c r="M52" s="205"/>
      <c r="N52" s="205"/>
      <c r="O52" s="205"/>
      <c r="P52" s="205"/>
      <c r="Q52" s="206"/>
      <c r="R52" s="163">
        <f t="shared" si="7"/>
        <v>0</v>
      </c>
      <c r="S52" s="228">
        <f t="shared" si="7"/>
        <v>0</v>
      </c>
      <c r="T52" s="64"/>
      <c r="U52" s="215">
        <f>L52*6+N52*6+P52*6</f>
        <v>0</v>
      </c>
      <c r="V52" s="219">
        <f>U52/6</f>
        <v>0</v>
      </c>
      <c r="W52" s="217">
        <f>I52*6+J52</f>
        <v>0</v>
      </c>
      <c r="X52" s="66"/>
    </row>
    <row r="53" spans="1:24" ht="19.5" thickBot="1" x14ac:dyDescent="0.3">
      <c r="A53" s="3">
        <f t="shared" si="3"/>
        <v>46</v>
      </c>
      <c r="B53" s="10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62">
        <f t="shared" si="7"/>
        <v>0</v>
      </c>
      <c r="S53" s="210">
        <f t="shared" si="7"/>
        <v>0</v>
      </c>
      <c r="T53" s="44"/>
      <c r="U53" s="191">
        <f t="shared" ref="U53:U54" si="17">L53*24+N53*24+P53*24</f>
        <v>0</v>
      </c>
      <c r="V53" s="193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/>
      <c r="D54" s="195"/>
      <c r="E54" s="196"/>
      <c r="F54" s="196"/>
      <c r="G54" s="102"/>
      <c r="H54" s="93"/>
      <c r="I54" s="93">
        <f t="shared" si="4"/>
        <v>0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08">
        <f t="shared" si="7"/>
        <v>0</v>
      </c>
      <c r="T54" s="44"/>
      <c r="U54" s="191">
        <f t="shared" si="17"/>
        <v>0</v>
      </c>
      <c r="V54" s="214">
        <f t="shared" si="18"/>
        <v>0</v>
      </c>
      <c r="W54" s="213">
        <f t="shared" si="19"/>
        <v>0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08">
        <f t="shared" si="7"/>
        <v>0</v>
      </c>
      <c r="T55" s="44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08">
        <f t="shared" si="7"/>
        <v>0</v>
      </c>
      <c r="T56" s="44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08">
        <f t="shared" si="7"/>
        <v>0</v>
      </c>
      <c r="T57" s="44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08">
        <f t="shared" si="7"/>
        <v>0</v>
      </c>
      <c r="T58" s="44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08">
        <f t="shared" si="7"/>
        <v>0</v>
      </c>
      <c r="T59" s="44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0</v>
      </c>
      <c r="D60" s="71">
        <f>SUM(D8:D59)</f>
        <v>0</v>
      </c>
      <c r="E60" s="47">
        <f>SUM(E8:E59)</f>
        <v>0</v>
      </c>
      <c r="F60" s="47"/>
      <c r="G60" s="31">
        <f>SUM(G8:G59)</f>
        <v>0</v>
      </c>
      <c r="H60" s="73">
        <f>SUM(H8:H59)</f>
        <v>0</v>
      </c>
      <c r="I60" s="73">
        <f>SUM(I8:I59)</f>
        <v>0</v>
      </c>
      <c r="J60" s="48">
        <f>SUM(J8:J59)</f>
        <v>0</v>
      </c>
      <c r="K60" s="49"/>
      <c r="L60" s="98">
        <f t="shared" ref="L60:S60" si="20">SUM(L8:L59)</f>
        <v>0</v>
      </c>
      <c r="M60" s="98">
        <f t="shared" si="20"/>
        <v>0</v>
      </c>
      <c r="N60" s="98">
        <f t="shared" si="20"/>
        <v>0</v>
      </c>
      <c r="O60" s="98">
        <f t="shared" si="20"/>
        <v>0</v>
      </c>
      <c r="P60" s="98">
        <f t="shared" si="20"/>
        <v>0</v>
      </c>
      <c r="Q60" s="99">
        <f t="shared" si="20"/>
        <v>0</v>
      </c>
      <c r="R60" s="127">
        <f t="shared" si="20"/>
        <v>0</v>
      </c>
      <c r="S60" s="124">
        <f t="shared" si="20"/>
        <v>0</v>
      </c>
      <c r="T60" s="49"/>
      <c r="U60" s="46">
        <f>SUM(U8:U59)</f>
        <v>0</v>
      </c>
      <c r="V60" s="176">
        <f>SUM(V8:V59)</f>
        <v>0</v>
      </c>
      <c r="W60" s="156">
        <f>SUM(W8:W59)</f>
        <v>0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285" t="s">
        <v>3</v>
      </c>
      <c r="D69" s="286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E014-EBD2-4A40-855B-1716E9D020FA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94">
        <v>46080</v>
      </c>
      <c r="Q1" s="295"/>
      <c r="R1" s="295"/>
      <c r="S1" s="295"/>
      <c r="T1" s="295"/>
      <c r="U1" s="295"/>
      <c r="V1" s="295"/>
      <c r="W1" s="295"/>
      <c r="X1" s="296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53"/>
      <c r="B4" s="288" t="s">
        <v>74</v>
      </c>
      <c r="C4" s="297" t="s">
        <v>3</v>
      </c>
      <c r="D4" s="307" t="s">
        <v>75</v>
      </c>
      <c r="E4" s="298" t="s">
        <v>4</v>
      </c>
      <c r="F4" s="299"/>
      <c r="G4" s="300" t="s">
        <v>5</v>
      </c>
      <c r="H4" s="308" t="s">
        <v>75</v>
      </c>
      <c r="I4" s="302" t="s">
        <v>6</v>
      </c>
      <c r="J4" s="308" t="s">
        <v>75</v>
      </c>
      <c r="L4" s="304" t="s">
        <v>7</v>
      </c>
      <c r="M4" s="305"/>
      <c r="N4" s="305"/>
      <c r="O4" s="305"/>
      <c r="P4" s="305"/>
      <c r="Q4" s="305"/>
      <c r="R4" s="305"/>
      <c r="S4" s="305"/>
      <c r="T4" s="305"/>
      <c r="U4" s="305"/>
      <c r="V4" s="310"/>
      <c r="W4" s="305"/>
      <c r="X4" s="306"/>
    </row>
    <row r="5" spans="1:60" s="3" customFormat="1" ht="57" thickBot="1" x14ac:dyDescent="0.3">
      <c r="A5" s="53"/>
      <c r="B5" s="288"/>
      <c r="C5" s="297"/>
      <c r="D5" s="307"/>
      <c r="E5" s="52" t="s">
        <v>8</v>
      </c>
      <c r="F5" s="287" t="s">
        <v>9</v>
      </c>
      <c r="G5" s="301"/>
      <c r="H5" s="309"/>
      <c r="I5" s="303"/>
      <c r="J5" s="309"/>
      <c r="L5" s="4" t="s">
        <v>10</v>
      </c>
      <c r="M5" s="90" t="s">
        <v>75</v>
      </c>
      <c r="N5" s="5" t="s">
        <v>11</v>
      </c>
      <c r="O5" s="90" t="s">
        <v>75</v>
      </c>
      <c r="P5" s="5" t="s">
        <v>12</v>
      </c>
      <c r="Q5" s="90" t="s">
        <v>75</v>
      </c>
      <c r="R5" s="129" t="s">
        <v>13</v>
      </c>
      <c r="S5" s="123" t="s">
        <v>75</v>
      </c>
      <c r="T5" s="7"/>
      <c r="U5" s="8" t="s">
        <v>80</v>
      </c>
      <c r="V5" s="157" t="s">
        <v>79</v>
      </c>
      <c r="W5" s="155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91"/>
      <c r="D6" s="192"/>
      <c r="E6" s="193"/>
      <c r="F6" s="193"/>
      <c r="G6" s="29"/>
      <c r="H6" s="72"/>
      <c r="I6" s="72"/>
      <c r="J6" s="30"/>
      <c r="K6" s="44"/>
      <c r="L6" s="193"/>
      <c r="M6" s="193"/>
      <c r="N6" s="193"/>
      <c r="O6" s="193"/>
      <c r="P6" s="193"/>
      <c r="Q6" s="203"/>
      <c r="R6" s="130"/>
      <c r="S6" s="207"/>
      <c r="T6" s="44"/>
      <c r="U6" s="191"/>
      <c r="V6" s="193"/>
      <c r="W6" s="213"/>
      <c r="X6" s="30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91"/>
      <c r="D7" s="192"/>
      <c r="E7" s="193"/>
      <c r="F7" s="193"/>
      <c r="G7" s="29"/>
      <c r="H7" s="72"/>
      <c r="I7" s="72"/>
      <c r="J7" s="30"/>
      <c r="K7" s="44"/>
      <c r="L7" s="193"/>
      <c r="M7" s="193"/>
      <c r="N7" s="193"/>
      <c r="O7" s="193"/>
      <c r="P7" s="193"/>
      <c r="Q7" s="203"/>
      <c r="R7" s="130"/>
      <c r="S7" s="207"/>
      <c r="T7" s="44"/>
      <c r="U7" s="191"/>
      <c r="V7" s="214"/>
      <c r="W7" s="213"/>
      <c r="X7" s="30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94"/>
      <c r="D8" s="195"/>
      <c r="E8" s="196"/>
      <c r="F8" s="196"/>
      <c r="G8" s="102"/>
      <c r="H8" s="93"/>
      <c r="I8" s="93">
        <f>C8-G8</f>
        <v>0</v>
      </c>
      <c r="J8" s="103">
        <f t="shared" ref="J8:J12" si="0">D8-H8</f>
        <v>0</v>
      </c>
      <c r="K8" s="44"/>
      <c r="L8" s="196"/>
      <c r="M8" s="196"/>
      <c r="N8" s="196"/>
      <c r="O8" s="196"/>
      <c r="P8" s="196"/>
      <c r="Q8" s="204"/>
      <c r="R8" s="128">
        <f t="shared" ref="R8:S12" si="1">L8+N8+P8</f>
        <v>0</v>
      </c>
      <c r="S8" s="208">
        <f t="shared" si="1"/>
        <v>0</v>
      </c>
      <c r="T8" s="44"/>
      <c r="U8" s="191">
        <f>L8*24+N8*24+P8*24</f>
        <v>0</v>
      </c>
      <c r="V8" s="214">
        <f>U8/24</f>
        <v>0</v>
      </c>
      <c r="W8" s="213">
        <f t="shared" ref="W8:W12" si="2">I8*24+J8</f>
        <v>0</v>
      </c>
      <c r="X8" s="30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4" t="s">
        <v>49</v>
      </c>
      <c r="C9" s="197"/>
      <c r="D9" s="198"/>
      <c r="E9" s="199"/>
      <c r="F9" s="199"/>
      <c r="G9" s="107"/>
      <c r="H9" s="108"/>
      <c r="I9" s="107">
        <f t="shared" ref="I9:J59" si="4">C9-G9</f>
        <v>0</v>
      </c>
      <c r="J9" s="160">
        <f t="shared" si="0"/>
        <v>0</v>
      </c>
      <c r="K9" s="64"/>
      <c r="L9" s="205"/>
      <c r="M9" s="205"/>
      <c r="N9" s="205"/>
      <c r="O9" s="205"/>
      <c r="P9" s="205"/>
      <c r="Q9" s="206"/>
      <c r="R9" s="166">
        <f t="shared" si="1"/>
        <v>0</v>
      </c>
      <c r="S9" s="209">
        <f t="shared" si="1"/>
        <v>0</v>
      </c>
      <c r="T9" s="64"/>
      <c r="U9" s="215">
        <f>L9*24+N9*24+P9*24</f>
        <v>0</v>
      </c>
      <c r="V9" s="216">
        <f>U9/24</f>
        <v>0</v>
      </c>
      <c r="W9" s="217">
        <f t="shared" si="2"/>
        <v>0</v>
      </c>
      <c r="X9" s="66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94"/>
      <c r="D10" s="195"/>
      <c r="E10" s="196"/>
      <c r="F10" s="196"/>
      <c r="G10" s="102"/>
      <c r="H10" s="93"/>
      <c r="I10" s="93">
        <f t="shared" si="4"/>
        <v>0</v>
      </c>
      <c r="J10" s="161">
        <f t="shared" si="0"/>
        <v>0</v>
      </c>
      <c r="K10" s="44"/>
      <c r="L10" s="196"/>
      <c r="M10" s="196"/>
      <c r="N10" s="196"/>
      <c r="O10" s="196"/>
      <c r="P10" s="196"/>
      <c r="Q10" s="204"/>
      <c r="R10" s="167">
        <f t="shared" si="1"/>
        <v>0</v>
      </c>
      <c r="S10" s="210">
        <f t="shared" si="1"/>
        <v>0</v>
      </c>
      <c r="T10" s="44"/>
      <c r="U10" s="191">
        <f>L10*24+N10*24+P10*24</f>
        <v>0</v>
      </c>
      <c r="V10" s="218">
        <f>U10/24</f>
        <v>0</v>
      </c>
      <c r="W10" s="213">
        <f t="shared" si="2"/>
        <v>0</v>
      </c>
      <c r="X10" s="30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94"/>
      <c r="D11" s="195"/>
      <c r="E11" s="196"/>
      <c r="F11" s="196"/>
      <c r="G11" s="102"/>
      <c r="H11" s="93"/>
      <c r="I11" s="93">
        <f t="shared" si="4"/>
        <v>0</v>
      </c>
      <c r="J11" s="103">
        <f t="shared" si="0"/>
        <v>0</v>
      </c>
      <c r="K11" s="44"/>
      <c r="L11" s="196"/>
      <c r="M11" s="196"/>
      <c r="N11" s="196"/>
      <c r="O11" s="196"/>
      <c r="P11" s="196"/>
      <c r="Q11" s="204"/>
      <c r="R11" s="128">
        <f t="shared" si="1"/>
        <v>0</v>
      </c>
      <c r="S11" s="208">
        <f t="shared" si="1"/>
        <v>0</v>
      </c>
      <c r="T11" s="44"/>
      <c r="U11" s="191">
        <f>L11*24+N11*24+P11*24</f>
        <v>0</v>
      </c>
      <c r="V11" s="214">
        <f>U11/24</f>
        <v>0</v>
      </c>
      <c r="W11" s="213">
        <f t="shared" si="2"/>
        <v>0</v>
      </c>
      <c r="X11" s="30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94"/>
      <c r="D12" s="195"/>
      <c r="E12" s="196"/>
      <c r="F12" s="196"/>
      <c r="G12" s="102"/>
      <c r="H12" s="93"/>
      <c r="I12" s="93">
        <f t="shared" si="4"/>
        <v>0</v>
      </c>
      <c r="J12" s="103">
        <f t="shared" si="0"/>
        <v>0</v>
      </c>
      <c r="K12" s="44"/>
      <c r="L12" s="196"/>
      <c r="M12" s="196"/>
      <c r="N12" s="196"/>
      <c r="O12" s="196"/>
      <c r="P12" s="196"/>
      <c r="Q12" s="204"/>
      <c r="R12" s="128">
        <f t="shared" si="1"/>
        <v>0</v>
      </c>
      <c r="S12" s="208">
        <f t="shared" si="1"/>
        <v>0</v>
      </c>
      <c r="T12" s="44"/>
      <c r="U12" s="191">
        <f t="shared" ref="U12:U37" si="5">L12*24+N12*24+P12*24</f>
        <v>0</v>
      </c>
      <c r="V12" s="214">
        <f t="shared" ref="V12:V41" si="6">U12/24</f>
        <v>0</v>
      </c>
      <c r="W12" s="213">
        <f t="shared" si="2"/>
        <v>0</v>
      </c>
      <c r="X12" s="30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4" t="s">
        <v>44</v>
      </c>
      <c r="C13" s="197"/>
      <c r="D13" s="198"/>
      <c r="E13" s="199"/>
      <c r="F13" s="199"/>
      <c r="G13" s="107"/>
      <c r="H13" s="108"/>
      <c r="I13" s="116">
        <f t="shared" si="4"/>
        <v>0</v>
      </c>
      <c r="J13" s="160">
        <f>D13-H13</f>
        <v>0</v>
      </c>
      <c r="K13" s="68"/>
      <c r="L13" s="205"/>
      <c r="M13" s="205"/>
      <c r="N13" s="205"/>
      <c r="O13" s="205"/>
      <c r="P13" s="205"/>
      <c r="Q13" s="206"/>
      <c r="R13" s="163">
        <f>L13+N13+P13</f>
        <v>0</v>
      </c>
      <c r="S13" s="209">
        <f>M13+O13+Q13</f>
        <v>0</v>
      </c>
      <c r="T13" s="68"/>
      <c r="U13" s="215">
        <f>L13*24+N13*24+P13*24</f>
        <v>0</v>
      </c>
      <c r="V13" s="219">
        <f t="shared" si="6"/>
        <v>0</v>
      </c>
      <c r="W13" s="217">
        <f>I13*24+J13</f>
        <v>0</v>
      </c>
      <c r="X13" s="66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94"/>
      <c r="D14" s="195"/>
      <c r="E14" s="196"/>
      <c r="F14" s="196"/>
      <c r="G14" s="102"/>
      <c r="H14" s="93"/>
      <c r="I14" s="159">
        <f t="shared" si="4"/>
        <v>0</v>
      </c>
      <c r="J14" s="161">
        <f t="shared" si="4"/>
        <v>0</v>
      </c>
      <c r="K14" s="44"/>
      <c r="L14" s="196"/>
      <c r="M14" s="196"/>
      <c r="N14" s="196"/>
      <c r="O14" s="196"/>
      <c r="P14" s="196"/>
      <c r="Q14" s="204"/>
      <c r="R14" s="162">
        <f t="shared" ref="R14:S59" si="7">L14+N14+P14</f>
        <v>0</v>
      </c>
      <c r="S14" s="210">
        <f t="shared" si="7"/>
        <v>0</v>
      </c>
      <c r="T14" s="44"/>
      <c r="U14" s="191">
        <f t="shared" si="5"/>
        <v>0</v>
      </c>
      <c r="V14" s="193">
        <f t="shared" si="6"/>
        <v>0</v>
      </c>
      <c r="W14" s="213">
        <f t="shared" ref="W14:W37" si="8">I14*24+J14</f>
        <v>0</v>
      </c>
      <c r="X14" s="30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94"/>
      <c r="D15" s="195"/>
      <c r="E15" s="196"/>
      <c r="F15" s="196"/>
      <c r="G15" s="102"/>
      <c r="H15" s="93"/>
      <c r="I15" s="93">
        <f t="shared" si="4"/>
        <v>0</v>
      </c>
      <c r="J15" s="103">
        <f t="shared" si="4"/>
        <v>0</v>
      </c>
      <c r="K15" s="44"/>
      <c r="L15" s="196"/>
      <c r="M15" s="196"/>
      <c r="N15" s="196"/>
      <c r="O15" s="196"/>
      <c r="P15" s="196"/>
      <c r="Q15" s="204"/>
      <c r="R15" s="128">
        <f t="shared" si="7"/>
        <v>0</v>
      </c>
      <c r="S15" s="208">
        <f t="shared" si="7"/>
        <v>0</v>
      </c>
      <c r="T15" s="44"/>
      <c r="U15" s="191">
        <f t="shared" si="5"/>
        <v>0</v>
      </c>
      <c r="V15" s="214">
        <f t="shared" si="6"/>
        <v>0</v>
      </c>
      <c r="W15" s="213">
        <f t="shared" si="8"/>
        <v>0</v>
      </c>
      <c r="X15" s="30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94"/>
      <c r="D16" s="195"/>
      <c r="E16" s="196"/>
      <c r="F16" s="196"/>
      <c r="G16" s="102"/>
      <c r="H16" s="93"/>
      <c r="I16" s="93">
        <f t="shared" si="4"/>
        <v>0</v>
      </c>
      <c r="J16" s="103">
        <f t="shared" si="4"/>
        <v>0</v>
      </c>
      <c r="K16" s="44"/>
      <c r="L16" s="196"/>
      <c r="M16" s="196"/>
      <c r="N16" s="196"/>
      <c r="O16" s="196"/>
      <c r="P16" s="196"/>
      <c r="Q16" s="204"/>
      <c r="R16" s="128">
        <f t="shared" si="7"/>
        <v>0</v>
      </c>
      <c r="S16" s="208">
        <f t="shared" si="7"/>
        <v>0</v>
      </c>
      <c r="T16" s="44"/>
      <c r="U16" s="191">
        <f t="shared" si="5"/>
        <v>0</v>
      </c>
      <c r="V16" s="214">
        <f t="shared" si="6"/>
        <v>0</v>
      </c>
      <c r="W16" s="213">
        <f t="shared" si="8"/>
        <v>0</v>
      </c>
      <c r="X16" s="30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94"/>
      <c r="D17" s="195"/>
      <c r="E17" s="196"/>
      <c r="F17" s="196"/>
      <c r="G17" s="102"/>
      <c r="H17" s="93"/>
      <c r="I17" s="93">
        <f t="shared" si="4"/>
        <v>0</v>
      </c>
      <c r="J17" s="103">
        <f t="shared" si="4"/>
        <v>0</v>
      </c>
      <c r="K17" s="44"/>
      <c r="L17" s="196"/>
      <c r="M17" s="196"/>
      <c r="N17" s="196"/>
      <c r="O17" s="196"/>
      <c r="P17" s="196"/>
      <c r="Q17" s="204"/>
      <c r="R17" s="128">
        <f t="shared" si="7"/>
        <v>0</v>
      </c>
      <c r="S17" s="208">
        <f t="shared" si="7"/>
        <v>0</v>
      </c>
      <c r="T17" s="44"/>
      <c r="U17" s="191">
        <f t="shared" si="5"/>
        <v>0</v>
      </c>
      <c r="V17" s="214">
        <f t="shared" si="6"/>
        <v>0</v>
      </c>
      <c r="W17" s="213">
        <f t="shared" si="8"/>
        <v>0</v>
      </c>
      <c r="X17" s="30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94"/>
      <c r="D18" s="195"/>
      <c r="E18" s="196"/>
      <c r="F18" s="196"/>
      <c r="G18" s="102"/>
      <c r="H18" s="93"/>
      <c r="I18" s="93">
        <f t="shared" si="4"/>
        <v>0</v>
      </c>
      <c r="J18" s="103">
        <f t="shared" si="4"/>
        <v>0</v>
      </c>
      <c r="K18" s="44"/>
      <c r="L18" s="196"/>
      <c r="M18" s="196"/>
      <c r="N18" s="196"/>
      <c r="O18" s="196"/>
      <c r="P18" s="196"/>
      <c r="Q18" s="204"/>
      <c r="R18" s="128">
        <f t="shared" si="7"/>
        <v>0</v>
      </c>
      <c r="S18" s="208">
        <f t="shared" si="7"/>
        <v>0</v>
      </c>
      <c r="T18" s="44"/>
      <c r="U18" s="191">
        <f t="shared" si="5"/>
        <v>0</v>
      </c>
      <c r="V18" s="214">
        <f t="shared" si="6"/>
        <v>0</v>
      </c>
      <c r="W18" s="213">
        <f t="shared" si="8"/>
        <v>0</v>
      </c>
      <c r="X18" s="30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94"/>
      <c r="D19" s="195"/>
      <c r="E19" s="196"/>
      <c r="F19" s="196"/>
      <c r="G19" s="102"/>
      <c r="H19" s="93"/>
      <c r="I19" s="93">
        <f t="shared" si="4"/>
        <v>0</v>
      </c>
      <c r="J19" s="103">
        <f t="shared" si="4"/>
        <v>0</v>
      </c>
      <c r="K19" s="44"/>
      <c r="L19" s="196"/>
      <c r="M19" s="196"/>
      <c r="N19" s="196"/>
      <c r="O19" s="196"/>
      <c r="P19" s="196"/>
      <c r="Q19" s="204"/>
      <c r="R19" s="128">
        <f t="shared" si="7"/>
        <v>0</v>
      </c>
      <c r="S19" s="208">
        <f t="shared" si="7"/>
        <v>0</v>
      </c>
      <c r="T19" s="44"/>
      <c r="U19" s="191">
        <f t="shared" si="5"/>
        <v>0</v>
      </c>
      <c r="V19" s="214">
        <f t="shared" si="6"/>
        <v>0</v>
      </c>
      <c r="W19" s="213">
        <f t="shared" si="8"/>
        <v>0</v>
      </c>
      <c r="X19" s="30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94"/>
      <c r="D20" s="195"/>
      <c r="E20" s="196"/>
      <c r="F20" s="196"/>
      <c r="G20" s="102"/>
      <c r="H20" s="93"/>
      <c r="I20" s="93">
        <f t="shared" si="4"/>
        <v>0</v>
      </c>
      <c r="J20" s="103">
        <f t="shared" si="4"/>
        <v>0</v>
      </c>
      <c r="K20" s="44"/>
      <c r="L20" s="196"/>
      <c r="M20" s="196"/>
      <c r="N20" s="196"/>
      <c r="O20" s="196"/>
      <c r="P20" s="196"/>
      <c r="Q20" s="204"/>
      <c r="R20" s="128">
        <f t="shared" si="7"/>
        <v>0</v>
      </c>
      <c r="S20" s="208">
        <f t="shared" si="7"/>
        <v>0</v>
      </c>
      <c r="T20" s="44"/>
      <c r="U20" s="191">
        <f t="shared" si="5"/>
        <v>0</v>
      </c>
      <c r="V20" s="214">
        <f t="shared" si="6"/>
        <v>0</v>
      </c>
      <c r="W20" s="213">
        <f t="shared" si="8"/>
        <v>0</v>
      </c>
      <c r="X20" s="30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94"/>
      <c r="D21" s="195"/>
      <c r="E21" s="196"/>
      <c r="F21" s="196"/>
      <c r="G21" s="102"/>
      <c r="H21" s="93"/>
      <c r="I21" s="93">
        <f t="shared" si="4"/>
        <v>0</v>
      </c>
      <c r="J21" s="103">
        <f t="shared" si="4"/>
        <v>0</v>
      </c>
      <c r="K21" s="44"/>
      <c r="L21" s="196"/>
      <c r="M21" s="196"/>
      <c r="N21" s="196"/>
      <c r="O21" s="196"/>
      <c r="P21" s="196"/>
      <c r="Q21" s="204"/>
      <c r="R21" s="128">
        <f t="shared" si="7"/>
        <v>0</v>
      </c>
      <c r="S21" s="208">
        <f t="shared" si="7"/>
        <v>0</v>
      </c>
      <c r="T21" s="44"/>
      <c r="U21" s="191">
        <f t="shared" si="5"/>
        <v>0</v>
      </c>
      <c r="V21" s="214">
        <f t="shared" si="6"/>
        <v>0</v>
      </c>
      <c r="W21" s="213">
        <f t="shared" si="8"/>
        <v>0</v>
      </c>
      <c r="X21" s="30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94"/>
      <c r="D22" s="195"/>
      <c r="E22" s="196"/>
      <c r="F22" s="196"/>
      <c r="G22" s="102"/>
      <c r="H22" s="93"/>
      <c r="I22" s="93">
        <f t="shared" si="4"/>
        <v>0</v>
      </c>
      <c r="J22" s="103">
        <f t="shared" si="4"/>
        <v>0</v>
      </c>
      <c r="K22" s="44"/>
      <c r="L22" s="196"/>
      <c r="M22" s="196"/>
      <c r="N22" s="196"/>
      <c r="O22" s="196"/>
      <c r="P22" s="196"/>
      <c r="Q22" s="204"/>
      <c r="R22" s="128">
        <f t="shared" si="7"/>
        <v>0</v>
      </c>
      <c r="S22" s="208">
        <f t="shared" si="7"/>
        <v>0</v>
      </c>
      <c r="T22" s="44"/>
      <c r="U22" s="191">
        <f t="shared" si="5"/>
        <v>0</v>
      </c>
      <c r="V22" s="214">
        <f t="shared" si="6"/>
        <v>0</v>
      </c>
      <c r="W22" s="213">
        <f t="shared" si="8"/>
        <v>0</v>
      </c>
      <c r="X22" s="30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94"/>
      <c r="D23" s="195"/>
      <c r="E23" s="196"/>
      <c r="F23" s="196"/>
      <c r="G23" s="102"/>
      <c r="H23" s="93"/>
      <c r="I23" s="93">
        <f t="shared" si="4"/>
        <v>0</v>
      </c>
      <c r="J23" s="103">
        <f t="shared" si="4"/>
        <v>0</v>
      </c>
      <c r="K23" s="45"/>
      <c r="L23" s="196"/>
      <c r="M23" s="196"/>
      <c r="N23" s="196"/>
      <c r="O23" s="196"/>
      <c r="P23" s="196"/>
      <c r="Q23" s="204"/>
      <c r="R23" s="128">
        <f t="shared" si="7"/>
        <v>0</v>
      </c>
      <c r="S23" s="208">
        <f t="shared" si="7"/>
        <v>0</v>
      </c>
      <c r="T23" s="45"/>
      <c r="U23" s="191">
        <f t="shared" si="5"/>
        <v>0</v>
      </c>
      <c r="V23" s="214">
        <f t="shared" si="6"/>
        <v>0</v>
      </c>
      <c r="W23" s="213">
        <f t="shared" si="8"/>
        <v>0</v>
      </c>
      <c r="X23" s="30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94"/>
      <c r="D24" s="195"/>
      <c r="E24" s="196"/>
      <c r="F24" s="196"/>
      <c r="G24" s="102"/>
      <c r="H24" s="93"/>
      <c r="I24" s="93">
        <f t="shared" si="4"/>
        <v>0</v>
      </c>
      <c r="J24" s="103">
        <f t="shared" si="4"/>
        <v>0</v>
      </c>
      <c r="K24" s="45"/>
      <c r="L24" s="196"/>
      <c r="M24" s="196"/>
      <c r="N24" s="196"/>
      <c r="O24" s="196"/>
      <c r="P24" s="196"/>
      <c r="Q24" s="204"/>
      <c r="R24" s="128">
        <f t="shared" si="7"/>
        <v>0</v>
      </c>
      <c r="S24" s="208">
        <f t="shared" si="7"/>
        <v>0</v>
      </c>
      <c r="T24" s="45"/>
      <c r="U24" s="191">
        <f t="shared" si="5"/>
        <v>0</v>
      </c>
      <c r="V24" s="214">
        <f t="shared" si="6"/>
        <v>0</v>
      </c>
      <c r="W24" s="213">
        <f t="shared" si="8"/>
        <v>0</v>
      </c>
      <c r="X24" s="30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94"/>
      <c r="D25" s="195"/>
      <c r="E25" s="196"/>
      <c r="F25" s="196"/>
      <c r="G25" s="102"/>
      <c r="H25" s="93"/>
      <c r="I25" s="93">
        <f t="shared" si="4"/>
        <v>0</v>
      </c>
      <c r="J25" s="103">
        <f t="shared" si="4"/>
        <v>0</v>
      </c>
      <c r="K25" s="44"/>
      <c r="L25" s="196"/>
      <c r="M25" s="196"/>
      <c r="N25" s="196"/>
      <c r="O25" s="196"/>
      <c r="P25" s="196"/>
      <c r="Q25" s="204"/>
      <c r="R25" s="128">
        <f t="shared" si="7"/>
        <v>0</v>
      </c>
      <c r="S25" s="208">
        <f t="shared" si="7"/>
        <v>0</v>
      </c>
      <c r="T25" s="44"/>
      <c r="U25" s="191">
        <f t="shared" si="5"/>
        <v>0</v>
      </c>
      <c r="V25" s="214">
        <f t="shared" si="6"/>
        <v>0</v>
      </c>
      <c r="W25" s="213">
        <f t="shared" si="8"/>
        <v>0</v>
      </c>
      <c r="X25" s="30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94"/>
      <c r="D26" s="195"/>
      <c r="E26" s="196"/>
      <c r="F26" s="196"/>
      <c r="G26" s="102"/>
      <c r="H26" s="93"/>
      <c r="I26" s="93">
        <f t="shared" si="4"/>
        <v>0</v>
      </c>
      <c r="J26" s="103">
        <f t="shared" si="4"/>
        <v>0</v>
      </c>
      <c r="K26" s="44"/>
      <c r="L26" s="196"/>
      <c r="M26" s="196"/>
      <c r="N26" s="196"/>
      <c r="O26" s="196"/>
      <c r="P26" s="196"/>
      <c r="Q26" s="204"/>
      <c r="R26" s="128">
        <f t="shared" si="7"/>
        <v>0</v>
      </c>
      <c r="S26" s="208">
        <f t="shared" si="7"/>
        <v>0</v>
      </c>
      <c r="T26" s="44"/>
      <c r="U26" s="191">
        <f t="shared" si="5"/>
        <v>0</v>
      </c>
      <c r="V26" s="214">
        <f t="shared" si="6"/>
        <v>0</v>
      </c>
      <c r="W26" s="213">
        <f t="shared" si="8"/>
        <v>0</v>
      </c>
      <c r="X26" s="30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94"/>
      <c r="D27" s="195"/>
      <c r="E27" s="196"/>
      <c r="F27" s="196"/>
      <c r="G27" s="102"/>
      <c r="H27" s="93"/>
      <c r="I27" s="93">
        <f t="shared" si="4"/>
        <v>0</v>
      </c>
      <c r="J27" s="103">
        <f t="shared" si="4"/>
        <v>0</v>
      </c>
      <c r="K27" s="45"/>
      <c r="L27" s="196"/>
      <c r="M27" s="196"/>
      <c r="N27" s="196"/>
      <c r="O27" s="196"/>
      <c r="P27" s="196"/>
      <c r="Q27" s="204"/>
      <c r="R27" s="128">
        <f t="shared" si="7"/>
        <v>0</v>
      </c>
      <c r="S27" s="208">
        <f t="shared" si="7"/>
        <v>0</v>
      </c>
      <c r="T27" s="45"/>
      <c r="U27" s="191">
        <f t="shared" si="5"/>
        <v>0</v>
      </c>
      <c r="V27" s="214">
        <f t="shared" si="6"/>
        <v>0</v>
      </c>
      <c r="W27" s="213">
        <f t="shared" si="8"/>
        <v>0</v>
      </c>
      <c r="X27" s="30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94"/>
      <c r="D28" s="195"/>
      <c r="E28" s="196"/>
      <c r="F28" s="196"/>
      <c r="G28" s="102"/>
      <c r="H28" s="93"/>
      <c r="I28" s="93">
        <f t="shared" si="4"/>
        <v>0</v>
      </c>
      <c r="J28" s="103">
        <f t="shared" si="4"/>
        <v>0</v>
      </c>
      <c r="K28" s="45"/>
      <c r="L28" s="196"/>
      <c r="M28" s="196"/>
      <c r="N28" s="196"/>
      <c r="O28" s="196"/>
      <c r="P28" s="196"/>
      <c r="Q28" s="204"/>
      <c r="R28" s="128">
        <f t="shared" si="7"/>
        <v>0</v>
      </c>
      <c r="S28" s="208">
        <f t="shared" si="7"/>
        <v>0</v>
      </c>
      <c r="T28" s="45"/>
      <c r="U28" s="191">
        <f t="shared" si="5"/>
        <v>0</v>
      </c>
      <c r="V28" s="214">
        <f t="shared" si="6"/>
        <v>0</v>
      </c>
      <c r="W28" s="213">
        <f t="shared" si="8"/>
        <v>0</v>
      </c>
      <c r="X28" s="30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94"/>
      <c r="D29" s="195"/>
      <c r="E29" s="196"/>
      <c r="F29" s="196"/>
      <c r="G29" s="102"/>
      <c r="H29" s="93"/>
      <c r="I29" s="93">
        <f t="shared" si="4"/>
        <v>0</v>
      </c>
      <c r="J29" s="103">
        <f t="shared" si="4"/>
        <v>0</v>
      </c>
      <c r="K29" s="45"/>
      <c r="L29" s="196"/>
      <c r="M29" s="196"/>
      <c r="N29" s="196"/>
      <c r="O29" s="196"/>
      <c r="P29" s="196"/>
      <c r="Q29" s="204"/>
      <c r="R29" s="128">
        <f t="shared" si="7"/>
        <v>0</v>
      </c>
      <c r="S29" s="208">
        <f t="shared" si="7"/>
        <v>0</v>
      </c>
      <c r="T29" s="45"/>
      <c r="U29" s="191">
        <f t="shared" si="5"/>
        <v>0</v>
      </c>
      <c r="V29" s="214">
        <f t="shared" si="6"/>
        <v>0</v>
      </c>
      <c r="W29" s="213">
        <f t="shared" si="8"/>
        <v>0</v>
      </c>
      <c r="X29" s="30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94"/>
      <c r="D30" s="195"/>
      <c r="E30" s="196"/>
      <c r="F30" s="196"/>
      <c r="G30" s="102"/>
      <c r="H30" s="93"/>
      <c r="I30" s="93">
        <f t="shared" si="4"/>
        <v>0</v>
      </c>
      <c r="J30" s="103">
        <f t="shared" si="4"/>
        <v>0</v>
      </c>
      <c r="K30" s="44"/>
      <c r="L30" s="196"/>
      <c r="M30" s="196"/>
      <c r="N30" s="196"/>
      <c r="O30" s="196"/>
      <c r="P30" s="196"/>
      <c r="Q30" s="204"/>
      <c r="R30" s="128">
        <f t="shared" si="7"/>
        <v>0</v>
      </c>
      <c r="S30" s="208">
        <f t="shared" si="7"/>
        <v>0</v>
      </c>
      <c r="T30" s="44"/>
      <c r="U30" s="191">
        <f t="shared" si="5"/>
        <v>0</v>
      </c>
      <c r="V30" s="214">
        <f t="shared" si="6"/>
        <v>0</v>
      </c>
      <c r="W30" s="213">
        <f t="shared" si="8"/>
        <v>0</v>
      </c>
      <c r="X30" s="30"/>
    </row>
    <row r="31" spans="1:60" ht="19.5" thickBot="1" x14ac:dyDescent="0.3">
      <c r="A31" s="3">
        <f t="shared" si="3"/>
        <v>24</v>
      </c>
      <c r="B31" s="13" t="s">
        <v>29</v>
      </c>
      <c r="C31" s="194"/>
      <c r="D31" s="195"/>
      <c r="E31" s="196"/>
      <c r="F31" s="196"/>
      <c r="G31" s="102"/>
      <c r="H31" s="93"/>
      <c r="I31" s="93">
        <f t="shared" si="4"/>
        <v>0</v>
      </c>
      <c r="J31" s="103">
        <f t="shared" si="4"/>
        <v>0</v>
      </c>
      <c r="K31" s="44"/>
      <c r="L31" s="196"/>
      <c r="M31" s="196"/>
      <c r="N31" s="196"/>
      <c r="O31" s="196"/>
      <c r="P31" s="196"/>
      <c r="Q31" s="204"/>
      <c r="R31" s="128">
        <f t="shared" si="7"/>
        <v>0</v>
      </c>
      <c r="S31" s="208">
        <f t="shared" si="7"/>
        <v>0</v>
      </c>
      <c r="T31" s="44"/>
      <c r="U31" s="191">
        <f t="shared" si="5"/>
        <v>0</v>
      </c>
      <c r="V31" s="214">
        <f t="shared" si="6"/>
        <v>0</v>
      </c>
      <c r="W31" s="213">
        <f t="shared" si="8"/>
        <v>0</v>
      </c>
      <c r="X31" s="30"/>
    </row>
    <row r="32" spans="1:60" ht="19.5" thickBot="1" x14ac:dyDescent="0.3">
      <c r="A32" s="3">
        <f t="shared" si="3"/>
        <v>25</v>
      </c>
      <c r="B32" s="13" t="s">
        <v>26</v>
      </c>
      <c r="C32" s="194"/>
      <c r="D32" s="195"/>
      <c r="E32" s="196"/>
      <c r="F32" s="196"/>
      <c r="G32" s="102"/>
      <c r="H32" s="93"/>
      <c r="I32" s="93">
        <f t="shared" si="4"/>
        <v>0</v>
      </c>
      <c r="J32" s="103">
        <f t="shared" si="4"/>
        <v>0</v>
      </c>
      <c r="K32" s="44"/>
      <c r="L32" s="196"/>
      <c r="M32" s="196"/>
      <c r="N32" s="196"/>
      <c r="O32" s="196"/>
      <c r="P32" s="196"/>
      <c r="Q32" s="204"/>
      <c r="R32" s="128">
        <f t="shared" si="7"/>
        <v>0</v>
      </c>
      <c r="S32" s="208">
        <f t="shared" si="7"/>
        <v>0</v>
      </c>
      <c r="T32" s="44"/>
      <c r="U32" s="191">
        <f t="shared" si="5"/>
        <v>0</v>
      </c>
      <c r="V32" s="214">
        <f t="shared" si="6"/>
        <v>0</v>
      </c>
      <c r="W32" s="213">
        <f t="shared" si="8"/>
        <v>0</v>
      </c>
      <c r="X32" s="30"/>
    </row>
    <row r="33" spans="1:26" ht="19.5" thickBot="1" x14ac:dyDescent="0.3">
      <c r="A33" s="3">
        <f t="shared" si="3"/>
        <v>26</v>
      </c>
      <c r="B33" s="13" t="s">
        <v>28</v>
      </c>
      <c r="C33" s="194"/>
      <c r="D33" s="195"/>
      <c r="E33" s="196"/>
      <c r="F33" s="196"/>
      <c r="G33" s="102"/>
      <c r="H33" s="93"/>
      <c r="I33" s="93">
        <f t="shared" si="4"/>
        <v>0</v>
      </c>
      <c r="J33" s="103">
        <f t="shared" si="4"/>
        <v>0</v>
      </c>
      <c r="K33" s="44"/>
      <c r="L33" s="196"/>
      <c r="M33" s="196"/>
      <c r="N33" s="196"/>
      <c r="O33" s="196"/>
      <c r="P33" s="196"/>
      <c r="Q33" s="204"/>
      <c r="R33" s="128">
        <f t="shared" si="7"/>
        <v>0</v>
      </c>
      <c r="S33" s="208">
        <f t="shared" si="7"/>
        <v>0</v>
      </c>
      <c r="T33" s="44"/>
      <c r="U33" s="191">
        <f t="shared" si="5"/>
        <v>0</v>
      </c>
      <c r="V33" s="214">
        <f t="shared" si="6"/>
        <v>0</v>
      </c>
      <c r="W33" s="213">
        <f t="shared" si="8"/>
        <v>0</v>
      </c>
      <c r="X33" s="30"/>
    </row>
    <row r="34" spans="1:26" ht="19.5" thickBot="1" x14ac:dyDescent="0.3">
      <c r="A34" s="3">
        <f t="shared" si="3"/>
        <v>27</v>
      </c>
      <c r="B34" s="13" t="s">
        <v>30</v>
      </c>
      <c r="C34" s="194"/>
      <c r="D34" s="195"/>
      <c r="E34" s="196"/>
      <c r="F34" s="196"/>
      <c r="G34" s="102"/>
      <c r="H34" s="93"/>
      <c r="I34" s="93">
        <f t="shared" si="4"/>
        <v>0</v>
      </c>
      <c r="J34" s="103">
        <f t="shared" si="4"/>
        <v>0</v>
      </c>
      <c r="K34" s="44"/>
      <c r="L34" s="196"/>
      <c r="M34" s="196"/>
      <c r="N34" s="196"/>
      <c r="O34" s="196"/>
      <c r="P34" s="196"/>
      <c r="Q34" s="204"/>
      <c r="R34" s="128">
        <f t="shared" si="7"/>
        <v>0</v>
      </c>
      <c r="S34" s="208">
        <f t="shared" si="7"/>
        <v>0</v>
      </c>
      <c r="T34" s="44"/>
      <c r="U34" s="191">
        <f t="shared" si="5"/>
        <v>0</v>
      </c>
      <c r="V34" s="214">
        <f t="shared" si="6"/>
        <v>0</v>
      </c>
      <c r="W34" s="213">
        <f t="shared" si="8"/>
        <v>0</v>
      </c>
      <c r="X34" s="30"/>
    </row>
    <row r="35" spans="1:26" ht="19.5" thickBot="1" x14ac:dyDescent="0.3">
      <c r="A35" s="3">
        <f t="shared" si="3"/>
        <v>28</v>
      </c>
      <c r="B35" s="13" t="s">
        <v>31</v>
      </c>
      <c r="C35" s="194"/>
      <c r="D35" s="195"/>
      <c r="E35" s="196"/>
      <c r="F35" s="196"/>
      <c r="G35" s="102"/>
      <c r="H35" s="93"/>
      <c r="I35" s="93">
        <f t="shared" si="4"/>
        <v>0</v>
      </c>
      <c r="J35" s="103">
        <f t="shared" si="4"/>
        <v>0</v>
      </c>
      <c r="K35" s="44"/>
      <c r="L35" s="196"/>
      <c r="M35" s="196"/>
      <c r="N35" s="196"/>
      <c r="O35" s="196"/>
      <c r="P35" s="196"/>
      <c r="Q35" s="204"/>
      <c r="R35" s="128">
        <f t="shared" si="7"/>
        <v>0</v>
      </c>
      <c r="S35" s="208">
        <f t="shared" si="7"/>
        <v>0</v>
      </c>
      <c r="T35" s="44"/>
      <c r="U35" s="191">
        <f t="shared" si="5"/>
        <v>0</v>
      </c>
      <c r="V35" s="214">
        <f t="shared" si="6"/>
        <v>0</v>
      </c>
      <c r="W35" s="213">
        <f t="shared" si="8"/>
        <v>0</v>
      </c>
      <c r="X35" s="30"/>
    </row>
    <row r="36" spans="1:26" ht="18.75" hidden="1" customHeight="1" x14ac:dyDescent="0.3">
      <c r="A36" s="3">
        <f t="shared" si="3"/>
        <v>29</v>
      </c>
      <c r="B36" s="13" t="s">
        <v>39</v>
      </c>
      <c r="C36" s="194"/>
      <c r="D36" s="195"/>
      <c r="E36" s="196"/>
      <c r="F36" s="196"/>
      <c r="G36" s="102"/>
      <c r="H36" s="93"/>
      <c r="I36" s="93">
        <f t="shared" si="4"/>
        <v>0</v>
      </c>
      <c r="J36" s="103">
        <f t="shared" si="4"/>
        <v>0</v>
      </c>
      <c r="K36" s="44"/>
      <c r="L36" s="196"/>
      <c r="M36" s="196"/>
      <c r="N36" s="196"/>
      <c r="O36" s="196"/>
      <c r="P36" s="196"/>
      <c r="Q36" s="204"/>
      <c r="R36" s="128">
        <f t="shared" si="7"/>
        <v>0</v>
      </c>
      <c r="S36" s="208">
        <f t="shared" si="7"/>
        <v>0</v>
      </c>
      <c r="T36" s="44"/>
      <c r="U36" s="191">
        <f t="shared" si="5"/>
        <v>0</v>
      </c>
      <c r="V36" s="214">
        <f t="shared" si="6"/>
        <v>0</v>
      </c>
      <c r="W36" s="213">
        <f t="shared" si="8"/>
        <v>0</v>
      </c>
      <c r="X36" s="30"/>
    </row>
    <row r="37" spans="1:26" ht="18.75" customHeight="1" thickBot="1" x14ac:dyDescent="0.3">
      <c r="A37" s="3">
        <f t="shared" si="3"/>
        <v>30</v>
      </c>
      <c r="B37" s="13" t="s">
        <v>32</v>
      </c>
      <c r="C37" s="194"/>
      <c r="D37" s="195"/>
      <c r="E37" s="196"/>
      <c r="F37" s="196"/>
      <c r="G37" s="102"/>
      <c r="H37" s="93"/>
      <c r="I37" s="93">
        <f t="shared" si="4"/>
        <v>0</v>
      </c>
      <c r="J37" s="103">
        <f t="shared" si="4"/>
        <v>0</v>
      </c>
      <c r="K37" s="44"/>
      <c r="L37" s="196"/>
      <c r="M37" s="196"/>
      <c r="N37" s="196"/>
      <c r="O37" s="196"/>
      <c r="P37" s="196"/>
      <c r="Q37" s="204"/>
      <c r="R37" s="128">
        <f t="shared" si="7"/>
        <v>0</v>
      </c>
      <c r="S37" s="208">
        <f t="shared" si="7"/>
        <v>0</v>
      </c>
      <c r="T37" s="44"/>
      <c r="U37" s="191">
        <f t="shared" si="5"/>
        <v>0</v>
      </c>
      <c r="V37" s="214">
        <f t="shared" si="6"/>
        <v>0</v>
      </c>
      <c r="W37" s="213">
        <f t="shared" si="8"/>
        <v>0</v>
      </c>
      <c r="X37" s="30"/>
    </row>
    <row r="38" spans="1:26" ht="19.5" thickBot="1" x14ac:dyDescent="0.3">
      <c r="A38" s="3">
        <f t="shared" si="3"/>
        <v>31</v>
      </c>
      <c r="B38" s="222" t="s">
        <v>33</v>
      </c>
      <c r="C38" s="197"/>
      <c r="D38" s="198"/>
      <c r="E38" s="199"/>
      <c r="F38" s="199"/>
      <c r="G38" s="107"/>
      <c r="H38" s="108"/>
      <c r="I38" s="223">
        <f t="shared" si="4"/>
        <v>0</v>
      </c>
      <c r="J38" s="224">
        <f t="shared" si="4"/>
        <v>0</v>
      </c>
      <c r="K38" s="64"/>
      <c r="L38" s="205"/>
      <c r="M38" s="205"/>
      <c r="N38" s="205"/>
      <c r="O38" s="205"/>
      <c r="P38" s="205"/>
      <c r="Q38" s="206"/>
      <c r="R38" s="163">
        <f t="shared" si="7"/>
        <v>0</v>
      </c>
      <c r="S38" s="209">
        <f t="shared" si="7"/>
        <v>0</v>
      </c>
      <c r="T38" s="64"/>
      <c r="U38" s="215">
        <f>L38*6+N38*6+P38*6</f>
        <v>0</v>
      </c>
      <c r="V38" s="219">
        <f>U38/6</f>
        <v>0</v>
      </c>
      <c r="W38" s="217">
        <f>I38*6+J38</f>
        <v>0</v>
      </c>
      <c r="X38" s="66"/>
    </row>
    <row r="39" spans="1:26" ht="19.5" thickBot="1" x14ac:dyDescent="0.3">
      <c r="A39" s="3">
        <f t="shared" si="3"/>
        <v>32</v>
      </c>
      <c r="B39" s="10" t="s">
        <v>34</v>
      </c>
      <c r="C39" s="194"/>
      <c r="D39" s="195"/>
      <c r="E39" s="196"/>
      <c r="F39" s="196"/>
      <c r="G39" s="102"/>
      <c r="H39" s="93"/>
      <c r="I39" s="102">
        <f t="shared" si="4"/>
        <v>0</v>
      </c>
      <c r="J39" s="103">
        <f t="shared" si="4"/>
        <v>0</v>
      </c>
      <c r="K39" s="44"/>
      <c r="L39" s="196"/>
      <c r="M39" s="196"/>
      <c r="N39" s="196"/>
      <c r="O39" s="196"/>
      <c r="P39" s="196"/>
      <c r="Q39" s="204"/>
      <c r="R39" s="162">
        <f t="shared" si="7"/>
        <v>0</v>
      </c>
      <c r="S39" s="210">
        <f t="shared" si="7"/>
        <v>0</v>
      </c>
      <c r="T39" s="44"/>
      <c r="U39" s="191">
        <f t="shared" ref="U39:U41" si="9">L39*24+N39*24+P39*24</f>
        <v>0</v>
      </c>
      <c r="V39" s="193">
        <f t="shared" si="6"/>
        <v>0</v>
      </c>
      <c r="W39" s="213">
        <f t="shared" ref="W39:W41" si="10">I39*24+J39</f>
        <v>0</v>
      </c>
      <c r="X39" s="30"/>
    </row>
    <row r="40" spans="1:26" ht="19.5" thickBot="1" x14ac:dyDescent="0.3">
      <c r="A40" s="3">
        <f t="shared" si="3"/>
        <v>33</v>
      </c>
      <c r="B40" s="117" t="s">
        <v>76</v>
      </c>
      <c r="C40" s="200"/>
      <c r="D40" s="201"/>
      <c r="E40" s="202"/>
      <c r="F40" s="202"/>
      <c r="G40" s="121"/>
      <c r="H40" s="116"/>
      <c r="I40" s="93">
        <f t="shared" si="4"/>
        <v>0</v>
      </c>
      <c r="J40" s="103">
        <f t="shared" si="4"/>
        <v>0</v>
      </c>
      <c r="K40" s="44"/>
      <c r="L40" s="196"/>
      <c r="M40" s="196"/>
      <c r="N40" s="196"/>
      <c r="O40" s="196"/>
      <c r="P40" s="196"/>
      <c r="Q40" s="204"/>
      <c r="R40" s="128">
        <f t="shared" si="7"/>
        <v>0</v>
      </c>
      <c r="S40" s="208">
        <f t="shared" si="7"/>
        <v>0</v>
      </c>
      <c r="T40" s="44"/>
      <c r="U40" s="220">
        <f t="shared" si="9"/>
        <v>0</v>
      </c>
      <c r="V40" s="214">
        <f t="shared" si="6"/>
        <v>0</v>
      </c>
      <c r="W40" s="221">
        <f t="shared" si="10"/>
        <v>0</v>
      </c>
      <c r="X40" s="158"/>
    </row>
    <row r="41" spans="1:26" ht="19.5" thickBot="1" x14ac:dyDescent="0.3">
      <c r="A41" s="3">
        <f t="shared" si="3"/>
        <v>34</v>
      </c>
      <c r="B41" s="229" t="s">
        <v>35</v>
      </c>
      <c r="C41" s="230"/>
      <c r="D41" s="231"/>
      <c r="E41" s="232"/>
      <c r="F41" s="232"/>
      <c r="G41" s="233"/>
      <c r="H41" s="234"/>
      <c r="I41" s="235">
        <f t="shared" si="4"/>
        <v>0</v>
      </c>
      <c r="J41" s="236">
        <f t="shared" si="4"/>
        <v>0</v>
      </c>
      <c r="K41" s="237"/>
      <c r="L41" s="238"/>
      <c r="M41" s="238"/>
      <c r="N41" s="238"/>
      <c r="O41" s="238"/>
      <c r="P41" s="238"/>
      <c r="Q41" s="239"/>
      <c r="R41" s="240">
        <f t="shared" si="7"/>
        <v>0</v>
      </c>
      <c r="S41" s="241">
        <f t="shared" si="7"/>
        <v>0</v>
      </c>
      <c r="T41" s="237"/>
      <c r="U41" s="242">
        <f t="shared" si="9"/>
        <v>0</v>
      </c>
      <c r="V41" s="243">
        <f t="shared" si="6"/>
        <v>0</v>
      </c>
      <c r="W41" s="243">
        <f t="shared" si="10"/>
        <v>0</v>
      </c>
      <c r="X41" s="244"/>
    </row>
    <row r="42" spans="1:26" ht="19.5" thickBot="1" x14ac:dyDescent="0.3">
      <c r="A42" s="3">
        <f t="shared" si="3"/>
        <v>35</v>
      </c>
      <c r="B42" s="246" t="s">
        <v>36</v>
      </c>
      <c r="C42" s="247"/>
      <c r="D42" s="248"/>
      <c r="E42" s="249"/>
      <c r="F42" s="249"/>
      <c r="G42" s="250"/>
      <c r="H42" s="251"/>
      <c r="I42" s="250">
        <f t="shared" si="4"/>
        <v>0</v>
      </c>
      <c r="J42" s="252">
        <f t="shared" si="4"/>
        <v>0</v>
      </c>
      <c r="K42" s="253"/>
      <c r="L42" s="249"/>
      <c r="M42" s="249"/>
      <c r="N42" s="249"/>
      <c r="O42" s="249"/>
      <c r="P42" s="249"/>
      <c r="Q42" s="254"/>
      <c r="R42" s="255">
        <f t="shared" si="7"/>
        <v>0</v>
      </c>
      <c r="S42" s="256">
        <f t="shared" si="7"/>
        <v>0</v>
      </c>
      <c r="T42" s="253"/>
      <c r="U42" s="257">
        <f>L42*12+N42*12+P42*12</f>
        <v>0</v>
      </c>
      <c r="V42" s="258">
        <f>U42/12</f>
        <v>0</v>
      </c>
      <c r="W42" s="259">
        <f>I42*12+J42</f>
        <v>0</v>
      </c>
      <c r="X42" s="260"/>
    </row>
    <row r="43" spans="1:26" ht="18.75" hidden="1" customHeight="1" x14ac:dyDescent="0.3">
      <c r="A43" s="3">
        <f t="shared" si="3"/>
        <v>36</v>
      </c>
      <c r="B43" s="10" t="s">
        <v>43</v>
      </c>
      <c r="C43" s="194"/>
      <c r="D43" s="195"/>
      <c r="E43" s="196"/>
      <c r="F43" s="196"/>
      <c r="G43" s="102"/>
      <c r="H43" s="93"/>
      <c r="I43" s="93">
        <f t="shared" si="4"/>
        <v>0</v>
      </c>
      <c r="J43" s="160">
        <f t="shared" si="4"/>
        <v>0</v>
      </c>
      <c r="K43" s="44"/>
      <c r="L43" s="196"/>
      <c r="M43" s="196"/>
      <c r="N43" s="196"/>
      <c r="O43" s="196"/>
      <c r="P43" s="196"/>
      <c r="Q43" s="204"/>
      <c r="R43" s="245">
        <f t="shared" si="7"/>
        <v>0</v>
      </c>
      <c r="S43" s="211">
        <f t="shared" si="7"/>
        <v>0</v>
      </c>
      <c r="T43" s="44"/>
      <c r="U43" s="191"/>
      <c r="V43" s="193"/>
      <c r="W43" s="213"/>
      <c r="X43" s="30"/>
    </row>
    <row r="44" spans="1:26" ht="19.5" thickBot="1" x14ac:dyDescent="0.3">
      <c r="A44" s="3">
        <f t="shared" si="3"/>
        <v>37</v>
      </c>
      <c r="B44" s="54" t="s">
        <v>37</v>
      </c>
      <c r="C44" s="197"/>
      <c r="D44" s="198"/>
      <c r="E44" s="199"/>
      <c r="F44" s="199"/>
      <c r="G44" s="107"/>
      <c r="H44" s="108"/>
      <c r="I44" s="93">
        <f>C44+E44-G44</f>
        <v>0</v>
      </c>
      <c r="J44" s="261">
        <f t="shared" si="4"/>
        <v>0</v>
      </c>
      <c r="K44" s="64"/>
      <c r="L44" s="205"/>
      <c r="M44" s="205"/>
      <c r="N44" s="205"/>
      <c r="O44" s="205"/>
      <c r="P44" s="205"/>
      <c r="Q44" s="206"/>
      <c r="R44" s="262">
        <f t="shared" si="7"/>
        <v>0</v>
      </c>
      <c r="S44" s="263">
        <f t="shared" si="7"/>
        <v>0</v>
      </c>
      <c r="T44" s="64"/>
      <c r="U44" s="215">
        <f>L44*6+N44*6+P44*6</f>
        <v>0</v>
      </c>
      <c r="V44" s="214">
        <f>U44/6</f>
        <v>0</v>
      </c>
      <c r="W44" s="217">
        <f>I44*6+J44</f>
        <v>0</v>
      </c>
      <c r="X44" s="66"/>
      <c r="Z44" s="50"/>
    </row>
    <row r="45" spans="1:26" ht="18.75" hidden="1" customHeight="1" x14ac:dyDescent="0.3">
      <c r="A45" s="3">
        <f t="shared" si="3"/>
        <v>38</v>
      </c>
      <c r="B45" s="10" t="s">
        <v>45</v>
      </c>
      <c r="C45" s="194"/>
      <c r="D45" s="195"/>
      <c r="E45" s="196"/>
      <c r="F45" s="196"/>
      <c r="G45" s="102"/>
      <c r="H45" s="93"/>
      <c r="I45" s="116">
        <f t="shared" si="4"/>
        <v>0</v>
      </c>
      <c r="J45" s="103">
        <f t="shared" si="4"/>
        <v>0</v>
      </c>
      <c r="K45" s="44"/>
      <c r="L45" s="196"/>
      <c r="M45" s="196"/>
      <c r="N45" s="196"/>
      <c r="O45" s="196"/>
      <c r="P45" s="196"/>
      <c r="Q45" s="204"/>
      <c r="R45" s="162">
        <f t="shared" si="7"/>
        <v>0</v>
      </c>
      <c r="S45" s="211">
        <f t="shared" si="7"/>
        <v>0</v>
      </c>
      <c r="T45" s="44"/>
      <c r="U45" s="191"/>
      <c r="V45" s="216"/>
      <c r="W45" s="213"/>
      <c r="X45" s="30"/>
    </row>
    <row r="46" spans="1:26" ht="19.5" thickBot="1" x14ac:dyDescent="0.3">
      <c r="A46" s="3">
        <f t="shared" si="3"/>
        <v>39</v>
      </c>
      <c r="B46" s="13" t="s">
        <v>38</v>
      </c>
      <c r="C46" s="194"/>
      <c r="D46" s="195"/>
      <c r="E46" s="196"/>
      <c r="F46" s="196"/>
      <c r="G46" s="102"/>
      <c r="H46" s="93"/>
      <c r="I46" s="159">
        <f t="shared" si="4"/>
        <v>0</v>
      </c>
      <c r="J46" s="103">
        <f t="shared" si="4"/>
        <v>0</v>
      </c>
      <c r="K46" s="44"/>
      <c r="L46" s="196"/>
      <c r="M46" s="196"/>
      <c r="N46" s="196"/>
      <c r="O46" s="196"/>
      <c r="P46" s="196"/>
      <c r="Q46" s="204"/>
      <c r="R46" s="128">
        <f t="shared" si="7"/>
        <v>0</v>
      </c>
      <c r="S46" s="212">
        <f t="shared" si="7"/>
        <v>0</v>
      </c>
      <c r="T46" s="44"/>
      <c r="U46" s="191">
        <f t="shared" ref="U46:U47" si="11">L46*24+N46*24+P46*24</f>
        <v>0</v>
      </c>
      <c r="V46" s="218">
        <f t="shared" ref="V46:V47" si="12">U46/24</f>
        <v>0</v>
      </c>
      <c r="W46" s="213">
        <f t="shared" ref="W46:W47" si="13">I46*24+J46</f>
        <v>0</v>
      </c>
      <c r="X46" s="30"/>
    </row>
    <row r="47" spans="1:26" ht="19.5" thickBot="1" x14ac:dyDescent="0.3">
      <c r="A47" s="3">
        <f t="shared" si="3"/>
        <v>40</v>
      </c>
      <c r="B47" s="13" t="s">
        <v>71</v>
      </c>
      <c r="C47" s="194"/>
      <c r="D47" s="195"/>
      <c r="E47" s="196"/>
      <c r="F47" s="196"/>
      <c r="G47" s="102"/>
      <c r="H47" s="93"/>
      <c r="I47" s="93">
        <f t="shared" si="4"/>
        <v>0</v>
      </c>
      <c r="J47" s="103">
        <f t="shared" si="4"/>
        <v>0</v>
      </c>
      <c r="K47" s="44"/>
      <c r="L47" s="196"/>
      <c r="M47" s="196"/>
      <c r="N47" s="196"/>
      <c r="O47" s="196"/>
      <c r="P47" s="196"/>
      <c r="Q47" s="204"/>
      <c r="R47" s="128">
        <f t="shared" si="7"/>
        <v>0</v>
      </c>
      <c r="S47" s="208">
        <f t="shared" si="7"/>
        <v>0</v>
      </c>
      <c r="T47" s="44"/>
      <c r="U47" s="191">
        <f t="shared" si="11"/>
        <v>0</v>
      </c>
      <c r="V47" s="214">
        <f t="shared" si="12"/>
        <v>0</v>
      </c>
      <c r="W47" s="213">
        <f t="shared" si="13"/>
        <v>0</v>
      </c>
      <c r="X47" s="30"/>
    </row>
    <row r="48" spans="1:26" ht="19.5" thickBot="1" x14ac:dyDescent="0.3">
      <c r="A48" s="3">
        <f t="shared" si="3"/>
        <v>41</v>
      </c>
      <c r="B48" s="54" t="s">
        <v>39</v>
      </c>
      <c r="C48" s="225"/>
      <c r="D48" s="226"/>
      <c r="E48" s="205"/>
      <c r="F48" s="205"/>
      <c r="G48" s="227"/>
      <c r="H48" s="223"/>
      <c r="I48" s="223">
        <f t="shared" si="4"/>
        <v>0</v>
      </c>
      <c r="J48" s="224">
        <f t="shared" si="4"/>
        <v>0</v>
      </c>
      <c r="K48" s="64"/>
      <c r="L48" s="205"/>
      <c r="M48" s="205"/>
      <c r="N48" s="205"/>
      <c r="O48" s="205"/>
      <c r="P48" s="205"/>
      <c r="Q48" s="206"/>
      <c r="R48" s="163">
        <f t="shared" si="7"/>
        <v>0</v>
      </c>
      <c r="S48" s="228">
        <f t="shared" si="7"/>
        <v>0</v>
      </c>
      <c r="T48" s="64"/>
      <c r="U48" s="215">
        <f>L48*6+N48*6+P48*6</f>
        <v>0</v>
      </c>
      <c r="V48" s="219">
        <f>U48/6</f>
        <v>0</v>
      </c>
      <c r="W48" s="217">
        <f>I48*6+J48</f>
        <v>0</v>
      </c>
      <c r="X48" s="66"/>
    </row>
    <row r="49" spans="1:24" ht="19.5" thickBot="1" x14ac:dyDescent="0.3">
      <c r="A49" s="3">
        <f t="shared" si="3"/>
        <v>42</v>
      </c>
      <c r="B49" s="10" t="s">
        <v>72</v>
      </c>
      <c r="C49" s="194"/>
      <c r="D49" s="195"/>
      <c r="E49" s="196"/>
      <c r="F49" s="196"/>
      <c r="G49" s="102"/>
      <c r="H49" s="93"/>
      <c r="I49" s="93">
        <f t="shared" si="4"/>
        <v>0</v>
      </c>
      <c r="J49" s="103">
        <f t="shared" si="4"/>
        <v>0</v>
      </c>
      <c r="K49" s="44"/>
      <c r="L49" s="196"/>
      <c r="M49" s="196"/>
      <c r="N49" s="196"/>
      <c r="O49" s="196"/>
      <c r="P49" s="196"/>
      <c r="Q49" s="204"/>
      <c r="R49" s="162">
        <f t="shared" si="7"/>
        <v>0</v>
      </c>
      <c r="S49" s="210">
        <f t="shared" si="7"/>
        <v>0</v>
      </c>
      <c r="T49" s="44"/>
      <c r="U49" s="191">
        <f t="shared" ref="U49:U51" si="14">L49*24+N49*24+P49*24</f>
        <v>0</v>
      </c>
      <c r="V49" s="193">
        <f t="shared" ref="V49:V51" si="15">U49/24</f>
        <v>0</v>
      </c>
      <c r="W49" s="213">
        <f t="shared" ref="W49:W51" si="16">I49*24+J49</f>
        <v>0</v>
      </c>
      <c r="X49" s="30"/>
    </row>
    <row r="50" spans="1:24" ht="19.5" thickBot="1" x14ac:dyDescent="0.3">
      <c r="A50" s="3">
        <f t="shared" si="3"/>
        <v>43</v>
      </c>
      <c r="B50" s="13" t="s">
        <v>40</v>
      </c>
      <c r="C50" s="194"/>
      <c r="D50" s="195"/>
      <c r="E50" s="196"/>
      <c r="F50" s="196"/>
      <c r="G50" s="102"/>
      <c r="H50" s="93"/>
      <c r="I50" s="93">
        <f t="shared" si="4"/>
        <v>0</v>
      </c>
      <c r="J50" s="103">
        <f t="shared" si="4"/>
        <v>0</v>
      </c>
      <c r="K50" s="44"/>
      <c r="L50" s="196"/>
      <c r="M50" s="196"/>
      <c r="N50" s="196"/>
      <c r="O50" s="196"/>
      <c r="P50" s="196"/>
      <c r="Q50" s="204"/>
      <c r="R50" s="128">
        <f t="shared" si="7"/>
        <v>0</v>
      </c>
      <c r="S50" s="208">
        <f t="shared" si="7"/>
        <v>0</v>
      </c>
      <c r="T50" s="44"/>
      <c r="U50" s="191">
        <f t="shared" si="14"/>
        <v>0</v>
      </c>
      <c r="V50" s="214">
        <f t="shared" si="15"/>
        <v>0</v>
      </c>
      <c r="W50" s="213">
        <f t="shared" si="16"/>
        <v>0</v>
      </c>
      <c r="X50" s="30"/>
    </row>
    <row r="51" spans="1:24" ht="19.5" thickBot="1" x14ac:dyDescent="0.3">
      <c r="A51" s="3">
        <f t="shared" si="3"/>
        <v>44</v>
      </c>
      <c r="B51" s="13" t="s">
        <v>73</v>
      </c>
      <c r="C51" s="194"/>
      <c r="D51" s="195"/>
      <c r="E51" s="196"/>
      <c r="F51" s="196"/>
      <c r="G51" s="102"/>
      <c r="H51" s="93"/>
      <c r="I51" s="93">
        <f t="shared" si="4"/>
        <v>0</v>
      </c>
      <c r="J51" s="103">
        <f t="shared" si="4"/>
        <v>0</v>
      </c>
      <c r="K51" s="44"/>
      <c r="L51" s="196"/>
      <c r="M51" s="196"/>
      <c r="N51" s="196"/>
      <c r="O51" s="196"/>
      <c r="P51" s="196"/>
      <c r="Q51" s="204"/>
      <c r="R51" s="128">
        <f t="shared" si="7"/>
        <v>0</v>
      </c>
      <c r="S51" s="208">
        <f t="shared" si="7"/>
        <v>0</v>
      </c>
      <c r="T51" s="44"/>
      <c r="U51" s="191">
        <f t="shared" si="14"/>
        <v>0</v>
      </c>
      <c r="V51" s="214">
        <f t="shared" si="15"/>
        <v>0</v>
      </c>
      <c r="W51" s="213">
        <f t="shared" si="16"/>
        <v>0</v>
      </c>
      <c r="X51" s="30"/>
    </row>
    <row r="52" spans="1:24" ht="19.5" thickBot="1" x14ac:dyDescent="0.3">
      <c r="A52" s="3">
        <f t="shared" si="3"/>
        <v>45</v>
      </c>
      <c r="B52" s="54" t="s">
        <v>41</v>
      </c>
      <c r="C52" s="225"/>
      <c r="D52" s="226"/>
      <c r="E52" s="205"/>
      <c r="F52" s="205"/>
      <c r="G52" s="227"/>
      <c r="H52" s="223"/>
      <c r="I52" s="223">
        <f t="shared" si="4"/>
        <v>0</v>
      </c>
      <c r="J52" s="224">
        <f t="shared" si="4"/>
        <v>0</v>
      </c>
      <c r="K52" s="64"/>
      <c r="L52" s="205"/>
      <c r="M52" s="205"/>
      <c r="N52" s="205"/>
      <c r="O52" s="205"/>
      <c r="P52" s="205"/>
      <c r="Q52" s="206"/>
      <c r="R52" s="163">
        <f t="shared" si="7"/>
        <v>0</v>
      </c>
      <c r="S52" s="228">
        <f t="shared" si="7"/>
        <v>0</v>
      </c>
      <c r="T52" s="64"/>
      <c r="U52" s="215">
        <f>L52*6+N52*6+P52*6</f>
        <v>0</v>
      </c>
      <c r="V52" s="219">
        <f>U52/6</f>
        <v>0</v>
      </c>
      <c r="W52" s="217">
        <f>I52*6+J52</f>
        <v>0</v>
      </c>
      <c r="X52" s="66"/>
    </row>
    <row r="53" spans="1:24" ht="19.5" thickBot="1" x14ac:dyDescent="0.3">
      <c r="A53" s="3">
        <f t="shared" si="3"/>
        <v>46</v>
      </c>
      <c r="B53" s="10" t="s">
        <v>42</v>
      </c>
      <c r="C53" s="194"/>
      <c r="D53" s="195"/>
      <c r="E53" s="196"/>
      <c r="F53" s="196"/>
      <c r="G53" s="102"/>
      <c r="H53" s="93"/>
      <c r="I53" s="93">
        <f t="shared" si="4"/>
        <v>0</v>
      </c>
      <c r="J53" s="103">
        <f t="shared" si="4"/>
        <v>0</v>
      </c>
      <c r="K53" s="44"/>
      <c r="L53" s="196"/>
      <c r="M53" s="196"/>
      <c r="N53" s="196"/>
      <c r="O53" s="196"/>
      <c r="P53" s="196"/>
      <c r="Q53" s="204"/>
      <c r="R53" s="162">
        <f t="shared" si="7"/>
        <v>0</v>
      </c>
      <c r="S53" s="210">
        <f t="shared" si="7"/>
        <v>0</v>
      </c>
      <c r="T53" s="44"/>
      <c r="U53" s="191">
        <f t="shared" ref="U53:U54" si="17">L53*24+N53*24+P53*24</f>
        <v>0</v>
      </c>
      <c r="V53" s="193">
        <f t="shared" ref="V53:V54" si="18">U53/24</f>
        <v>0</v>
      </c>
      <c r="W53" s="213">
        <f t="shared" ref="W53:W54" si="19">I53*24+J53</f>
        <v>0</v>
      </c>
      <c r="X53" s="30"/>
    </row>
    <row r="54" spans="1:24" ht="19.5" thickBot="1" x14ac:dyDescent="0.3">
      <c r="A54" s="3">
        <f t="shared" si="3"/>
        <v>47</v>
      </c>
      <c r="B54" s="13" t="s">
        <v>78</v>
      </c>
      <c r="C54" s="194"/>
      <c r="D54" s="195"/>
      <c r="E54" s="196"/>
      <c r="F54" s="196"/>
      <c r="G54" s="102"/>
      <c r="H54" s="93"/>
      <c r="I54" s="93">
        <f t="shared" si="4"/>
        <v>0</v>
      </c>
      <c r="J54" s="103">
        <f t="shared" si="4"/>
        <v>0</v>
      </c>
      <c r="K54" s="44"/>
      <c r="L54" s="196"/>
      <c r="M54" s="196"/>
      <c r="N54" s="196"/>
      <c r="O54" s="196"/>
      <c r="P54" s="196"/>
      <c r="Q54" s="204"/>
      <c r="R54" s="128">
        <f t="shared" si="7"/>
        <v>0</v>
      </c>
      <c r="S54" s="208">
        <f t="shared" si="7"/>
        <v>0</v>
      </c>
      <c r="T54" s="44"/>
      <c r="U54" s="191">
        <f t="shared" si="17"/>
        <v>0</v>
      </c>
      <c r="V54" s="214">
        <f t="shared" si="18"/>
        <v>0</v>
      </c>
      <c r="W54" s="213">
        <f t="shared" si="19"/>
        <v>0</v>
      </c>
      <c r="X54" s="30"/>
    </row>
    <row r="55" spans="1:24" ht="19.5" thickBot="1" x14ac:dyDescent="0.3">
      <c r="A55" s="3">
        <f t="shared" si="3"/>
        <v>48</v>
      </c>
      <c r="B55" s="13"/>
      <c r="C55" s="194"/>
      <c r="D55" s="195"/>
      <c r="E55" s="196"/>
      <c r="F55" s="196"/>
      <c r="G55" s="102"/>
      <c r="H55" s="93"/>
      <c r="I55" s="93">
        <f t="shared" si="4"/>
        <v>0</v>
      </c>
      <c r="J55" s="103">
        <f t="shared" si="4"/>
        <v>0</v>
      </c>
      <c r="K55" s="44"/>
      <c r="L55" s="196"/>
      <c r="M55" s="196"/>
      <c r="N55" s="196"/>
      <c r="O55" s="196"/>
      <c r="P55" s="196"/>
      <c r="Q55" s="204"/>
      <c r="R55" s="128">
        <f t="shared" si="7"/>
        <v>0</v>
      </c>
      <c r="S55" s="208">
        <f t="shared" si="7"/>
        <v>0</v>
      </c>
      <c r="T55" s="44"/>
      <c r="U55" s="191"/>
      <c r="V55" s="214"/>
      <c r="W55" s="213"/>
      <c r="X55" s="30"/>
    </row>
    <row r="56" spans="1:24" ht="19.5" thickBot="1" x14ac:dyDescent="0.3">
      <c r="A56" s="3">
        <f t="shared" si="3"/>
        <v>49</v>
      </c>
      <c r="B56" s="13"/>
      <c r="C56" s="194"/>
      <c r="D56" s="195"/>
      <c r="E56" s="196"/>
      <c r="F56" s="196"/>
      <c r="G56" s="102"/>
      <c r="H56" s="93"/>
      <c r="I56" s="93">
        <f t="shared" si="4"/>
        <v>0</v>
      </c>
      <c r="J56" s="103">
        <f t="shared" si="4"/>
        <v>0</v>
      </c>
      <c r="K56" s="44"/>
      <c r="L56" s="196"/>
      <c r="M56" s="196"/>
      <c r="N56" s="196"/>
      <c r="O56" s="196"/>
      <c r="P56" s="196"/>
      <c r="Q56" s="204"/>
      <c r="R56" s="128">
        <f t="shared" si="7"/>
        <v>0</v>
      </c>
      <c r="S56" s="208">
        <f t="shared" si="7"/>
        <v>0</v>
      </c>
      <c r="T56" s="44"/>
      <c r="U56" s="191"/>
      <c r="V56" s="214"/>
      <c r="W56" s="213"/>
      <c r="X56" s="30"/>
    </row>
    <row r="57" spans="1:24" ht="19.5" thickBot="1" x14ac:dyDescent="0.3">
      <c r="A57" s="3">
        <f t="shared" si="3"/>
        <v>50</v>
      </c>
      <c r="B57" s="13"/>
      <c r="C57" s="194"/>
      <c r="D57" s="195"/>
      <c r="E57" s="196"/>
      <c r="F57" s="196"/>
      <c r="G57" s="102"/>
      <c r="H57" s="93"/>
      <c r="I57" s="93">
        <f t="shared" si="4"/>
        <v>0</v>
      </c>
      <c r="J57" s="103">
        <f t="shared" si="4"/>
        <v>0</v>
      </c>
      <c r="K57" s="44"/>
      <c r="L57" s="196"/>
      <c r="M57" s="196"/>
      <c r="N57" s="196"/>
      <c r="O57" s="196"/>
      <c r="P57" s="196"/>
      <c r="Q57" s="204"/>
      <c r="R57" s="128">
        <f t="shared" si="7"/>
        <v>0</v>
      </c>
      <c r="S57" s="208">
        <f t="shared" si="7"/>
        <v>0</v>
      </c>
      <c r="T57" s="44"/>
      <c r="U57" s="191"/>
      <c r="V57" s="214"/>
      <c r="W57" s="213"/>
      <c r="X57" s="30"/>
    </row>
    <row r="58" spans="1:24" ht="19.5" thickBot="1" x14ac:dyDescent="0.3">
      <c r="A58" s="3">
        <f t="shared" si="3"/>
        <v>51</v>
      </c>
      <c r="B58" s="13"/>
      <c r="C58" s="194"/>
      <c r="D58" s="195"/>
      <c r="E58" s="196"/>
      <c r="F58" s="196"/>
      <c r="G58" s="102"/>
      <c r="H58" s="93"/>
      <c r="I58" s="93">
        <f t="shared" si="4"/>
        <v>0</v>
      </c>
      <c r="J58" s="103">
        <f t="shared" si="4"/>
        <v>0</v>
      </c>
      <c r="K58" s="44"/>
      <c r="L58" s="196"/>
      <c r="M58" s="196"/>
      <c r="N58" s="196"/>
      <c r="O58" s="196"/>
      <c r="P58" s="196"/>
      <c r="Q58" s="204"/>
      <c r="R58" s="128">
        <f t="shared" si="7"/>
        <v>0</v>
      </c>
      <c r="S58" s="208">
        <f t="shared" si="7"/>
        <v>0</v>
      </c>
      <c r="T58" s="44"/>
      <c r="U58" s="191"/>
      <c r="V58" s="214"/>
      <c r="W58" s="213"/>
      <c r="X58" s="30"/>
    </row>
    <row r="59" spans="1:24" ht="19.5" thickBot="1" x14ac:dyDescent="0.3">
      <c r="A59" s="3">
        <f t="shared" si="3"/>
        <v>52</v>
      </c>
      <c r="B59" s="13"/>
      <c r="C59" s="194"/>
      <c r="D59" s="195"/>
      <c r="E59" s="196"/>
      <c r="F59" s="196"/>
      <c r="G59" s="102"/>
      <c r="H59" s="93"/>
      <c r="I59" s="93">
        <f t="shared" si="4"/>
        <v>0</v>
      </c>
      <c r="J59" s="103">
        <f t="shared" si="4"/>
        <v>0</v>
      </c>
      <c r="K59" s="44"/>
      <c r="L59" s="196"/>
      <c r="M59" s="196"/>
      <c r="N59" s="196"/>
      <c r="O59" s="196"/>
      <c r="P59" s="196"/>
      <c r="Q59" s="204"/>
      <c r="R59" s="128">
        <f t="shared" si="7"/>
        <v>0</v>
      </c>
      <c r="S59" s="208">
        <f t="shared" si="7"/>
        <v>0</v>
      </c>
      <c r="T59" s="44"/>
      <c r="U59" s="191"/>
      <c r="V59" s="214"/>
      <c r="W59" s="213"/>
      <c r="X59" s="30"/>
    </row>
    <row r="60" spans="1:24" s="1" customFormat="1" ht="19.5" thickBot="1" x14ac:dyDescent="0.3">
      <c r="B60" s="15" t="s">
        <v>13</v>
      </c>
      <c r="C60" s="46">
        <f>SUM(C8:C59)</f>
        <v>0</v>
      </c>
      <c r="D60" s="71">
        <f>SUM(D8:D59)</f>
        <v>0</v>
      </c>
      <c r="E60" s="47">
        <f>SUM(E8:E59)</f>
        <v>0</v>
      </c>
      <c r="F60" s="47"/>
      <c r="G60" s="31">
        <f>SUM(G8:G59)</f>
        <v>0</v>
      </c>
      <c r="H60" s="73">
        <f>SUM(H8:H59)</f>
        <v>0</v>
      </c>
      <c r="I60" s="73">
        <f>SUM(I8:I59)</f>
        <v>0</v>
      </c>
      <c r="J60" s="48">
        <f>SUM(J8:J59)</f>
        <v>0</v>
      </c>
      <c r="K60" s="49"/>
      <c r="L60" s="98">
        <f t="shared" ref="L60:S60" si="20">SUM(L8:L59)</f>
        <v>0</v>
      </c>
      <c r="M60" s="98">
        <f t="shared" si="20"/>
        <v>0</v>
      </c>
      <c r="N60" s="98">
        <f t="shared" si="20"/>
        <v>0</v>
      </c>
      <c r="O60" s="98">
        <f t="shared" si="20"/>
        <v>0</v>
      </c>
      <c r="P60" s="98">
        <f t="shared" si="20"/>
        <v>0</v>
      </c>
      <c r="Q60" s="99">
        <f t="shared" si="20"/>
        <v>0</v>
      </c>
      <c r="R60" s="127">
        <f t="shared" si="20"/>
        <v>0</v>
      </c>
      <c r="S60" s="124">
        <f t="shared" si="20"/>
        <v>0</v>
      </c>
      <c r="T60" s="49"/>
      <c r="U60" s="46">
        <f>SUM(U8:U59)</f>
        <v>0</v>
      </c>
      <c r="V60" s="176">
        <f>SUM(V8:V59)</f>
        <v>0</v>
      </c>
      <c r="W60" s="156">
        <f>SUM(W8:W59)</f>
        <v>0</v>
      </c>
      <c r="X60" s="48"/>
    </row>
    <row r="61" spans="1:24" ht="19.5" thickBot="1" x14ac:dyDescent="0.3">
      <c r="V61" s="177"/>
    </row>
    <row r="62" spans="1:24" ht="18.75" customHeight="1" x14ac:dyDescent="0.25">
      <c r="G62" s="289" t="s">
        <v>65</v>
      </c>
      <c r="H62" s="74"/>
      <c r="I62" s="74"/>
      <c r="J62" s="24" t="s">
        <v>66</v>
      </c>
      <c r="L62" s="33"/>
      <c r="M62" s="79"/>
      <c r="N62" s="34"/>
      <c r="O62" s="34"/>
      <c r="P62" s="34"/>
      <c r="Q62" s="85"/>
      <c r="R62" s="85"/>
      <c r="S62" s="35"/>
    </row>
    <row r="63" spans="1:24" x14ac:dyDescent="0.25">
      <c r="G63" s="290"/>
      <c r="H63" s="75"/>
      <c r="I63" s="75"/>
      <c r="J63" s="25" t="s">
        <v>51</v>
      </c>
      <c r="L63" s="36"/>
      <c r="M63" s="80"/>
      <c r="N63" s="37"/>
      <c r="O63" s="37"/>
      <c r="P63" s="37"/>
      <c r="Q63" s="86"/>
      <c r="R63" s="86"/>
      <c r="S63" s="38"/>
    </row>
    <row r="64" spans="1:24" x14ac:dyDescent="0.25">
      <c r="G64" s="291"/>
      <c r="H64" s="76"/>
      <c r="I64" s="76"/>
      <c r="J64" s="25" t="s">
        <v>52</v>
      </c>
      <c r="L64" s="39"/>
      <c r="M64" s="81"/>
      <c r="N64" s="40"/>
      <c r="O64" s="40"/>
      <c r="P64" s="40"/>
      <c r="Q64" s="87"/>
      <c r="R64" s="87"/>
      <c r="S64" s="41"/>
    </row>
    <row r="65" spans="2:24" x14ac:dyDescent="0.25">
      <c r="G65" s="292" t="s">
        <v>64</v>
      </c>
      <c r="H65" s="77"/>
      <c r="I65" s="77"/>
      <c r="J65" s="25" t="s">
        <v>66</v>
      </c>
      <c r="L65" s="39"/>
      <c r="M65" s="81"/>
      <c r="N65" s="40"/>
      <c r="O65" s="40"/>
      <c r="P65" s="40"/>
      <c r="Q65" s="87"/>
      <c r="R65" s="87"/>
      <c r="S65" s="41"/>
    </row>
    <row r="66" spans="2:24" x14ac:dyDescent="0.25">
      <c r="G66" s="292"/>
      <c r="H66" s="77"/>
      <c r="I66" s="77"/>
      <c r="J66" s="25" t="s">
        <v>51</v>
      </c>
      <c r="L66" s="36"/>
      <c r="M66" s="80"/>
      <c r="N66" s="37"/>
      <c r="O66" s="37"/>
      <c r="P66" s="37"/>
      <c r="Q66" s="86"/>
      <c r="R66" s="86"/>
      <c r="S66" s="38"/>
    </row>
    <row r="67" spans="2:24" ht="19.5" thickBot="1" x14ac:dyDescent="0.3">
      <c r="G67" s="293"/>
      <c r="H67" s="78"/>
      <c r="I67" s="78"/>
      <c r="J67" s="26" t="s">
        <v>52</v>
      </c>
      <c r="L67" s="42"/>
      <c r="M67" s="82"/>
      <c r="N67" s="43"/>
      <c r="O67" s="43"/>
      <c r="P67" s="43"/>
      <c r="Q67" s="88"/>
      <c r="R67" s="88"/>
      <c r="S67" s="32"/>
    </row>
    <row r="68" spans="2:24" ht="19.5" thickBot="1" x14ac:dyDescent="0.3"/>
    <row r="69" spans="2:24" ht="49.5" customHeight="1" thickBot="1" x14ac:dyDescent="0.3">
      <c r="B69" s="17" t="s">
        <v>53</v>
      </c>
      <c r="C69" s="285" t="s">
        <v>3</v>
      </c>
      <c r="D69" s="286"/>
      <c r="E69" s="19" t="s">
        <v>54</v>
      </c>
      <c r="L69" s="20" t="s">
        <v>10</v>
      </c>
      <c r="M69" s="83"/>
      <c r="N69" s="21" t="s">
        <v>11</v>
      </c>
      <c r="O69" s="21"/>
      <c r="P69" s="21" t="s">
        <v>12</v>
      </c>
      <c r="Q69" s="89"/>
      <c r="R69" s="89"/>
      <c r="S69" s="174" t="s">
        <v>55</v>
      </c>
      <c r="X69" s="175" t="s">
        <v>56</v>
      </c>
    </row>
    <row r="70" spans="2:24" x14ac:dyDescent="0.25">
      <c r="B70" s="22" t="s">
        <v>31</v>
      </c>
      <c r="C70" s="11"/>
      <c r="D70" s="11"/>
      <c r="E70" s="23"/>
      <c r="L70" s="11"/>
      <c r="M70" s="11"/>
      <c r="N70" s="11"/>
      <c r="O70" s="11"/>
      <c r="P70" s="11"/>
      <c r="Q70" s="11"/>
      <c r="R70" s="11"/>
      <c r="S70" s="11"/>
      <c r="X70" s="23"/>
    </row>
    <row r="71" spans="2:24" x14ac:dyDescent="0.25">
      <c r="B71" s="16" t="s">
        <v>57</v>
      </c>
      <c r="C71" s="11"/>
      <c r="D71" s="11"/>
      <c r="E71" s="23"/>
      <c r="L71" s="23"/>
      <c r="M71" s="23"/>
      <c r="N71" s="23"/>
      <c r="O71" s="23"/>
      <c r="P71" s="23"/>
      <c r="Q71" s="23"/>
      <c r="R71" s="23"/>
      <c r="S71" s="23"/>
      <c r="X71" s="23"/>
    </row>
    <row r="72" spans="2:24" x14ac:dyDescent="0.25">
      <c r="B72" s="16" t="s">
        <v>58</v>
      </c>
      <c r="C72" s="11"/>
      <c r="D72" s="11"/>
      <c r="E72" s="23"/>
      <c r="L72" s="23"/>
      <c r="M72" s="23"/>
      <c r="N72" s="23"/>
      <c r="O72" s="23"/>
      <c r="P72" s="23"/>
      <c r="Q72" s="23"/>
      <c r="R72" s="23"/>
      <c r="S72" s="23"/>
      <c r="X72" s="23"/>
    </row>
    <row r="73" spans="2:24" ht="11.25" customHeight="1" x14ac:dyDescent="0.25"/>
    <row r="74" spans="2:24" x14ac:dyDescent="0.25">
      <c r="B74" s="16" t="s">
        <v>59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X74" s="23"/>
    </row>
    <row r="75" spans="2:24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X75" s="23"/>
    </row>
    <row r="76" spans="2:24" x14ac:dyDescent="0.25">
      <c r="B76" s="16" t="s">
        <v>58</v>
      </c>
      <c r="C76" s="23"/>
      <c r="D76" s="23"/>
      <c r="E76" s="23"/>
      <c r="L76" s="23"/>
      <c r="M76" s="23"/>
      <c r="N76" s="23"/>
      <c r="O76" s="23"/>
      <c r="P76" s="23"/>
      <c r="Q76" s="23"/>
      <c r="R76" s="23"/>
      <c r="S76" s="23"/>
      <c r="X76" s="23"/>
    </row>
    <row r="77" spans="2:24" ht="11.25" customHeight="1" x14ac:dyDescent="0.25"/>
    <row r="78" spans="2:24" x14ac:dyDescent="0.25">
      <c r="B78" s="16" t="s">
        <v>60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X78" s="23"/>
    </row>
    <row r="79" spans="2:24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X79" s="23"/>
    </row>
    <row r="80" spans="2:24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X80" s="23"/>
    </row>
    <row r="81" spans="2:24" ht="11.25" customHeight="1" x14ac:dyDescent="0.25"/>
    <row r="82" spans="2:24" x14ac:dyDescent="0.25">
      <c r="B82" s="16" t="s">
        <v>61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X82" s="23"/>
    </row>
    <row r="83" spans="2:24" x14ac:dyDescent="0.25">
      <c r="B83" s="16" t="s">
        <v>57</v>
      </c>
      <c r="C83" s="23"/>
      <c r="D83" s="23"/>
      <c r="E83" s="23"/>
      <c r="L83" s="23"/>
      <c r="M83" s="23"/>
      <c r="N83" s="23"/>
      <c r="O83" s="23"/>
      <c r="P83" s="23"/>
      <c r="Q83" s="23"/>
      <c r="R83" s="23"/>
      <c r="S83" s="23"/>
      <c r="X83" s="23"/>
    </row>
    <row r="84" spans="2:24" x14ac:dyDescent="0.25">
      <c r="B84" s="16" t="s">
        <v>58</v>
      </c>
      <c r="C84" s="11"/>
      <c r="D84" s="11"/>
      <c r="E84" s="23"/>
      <c r="L84" s="23"/>
      <c r="M84" s="23"/>
      <c r="N84" s="23"/>
      <c r="O84" s="23"/>
      <c r="P84" s="23"/>
      <c r="Q84" s="23"/>
      <c r="R84" s="23"/>
      <c r="S84" s="23"/>
      <c r="X84" s="23"/>
    </row>
    <row r="85" spans="2:24" ht="11.25" customHeight="1" x14ac:dyDescent="0.25"/>
    <row r="86" spans="2:24" x14ac:dyDescent="0.25">
      <c r="B86" s="16" t="s">
        <v>62</v>
      </c>
      <c r="C86" s="23"/>
      <c r="D86" s="23"/>
      <c r="E86" s="23"/>
      <c r="L86" s="23"/>
      <c r="M86" s="23"/>
      <c r="N86" s="23"/>
      <c r="O86" s="23"/>
      <c r="P86" s="23"/>
      <c r="Q86" s="23"/>
      <c r="R86" s="23"/>
      <c r="S86" s="23"/>
      <c r="X86" s="23"/>
    </row>
    <row r="87" spans="2:24" x14ac:dyDescent="0.25">
      <c r="B87" s="16" t="s">
        <v>57</v>
      </c>
      <c r="C87" s="23"/>
      <c r="D87" s="23"/>
      <c r="E87" s="23"/>
      <c r="L87" s="23"/>
      <c r="M87" s="23"/>
      <c r="N87" s="23"/>
      <c r="O87" s="23"/>
      <c r="P87" s="23"/>
      <c r="Q87" s="23"/>
      <c r="R87" s="23"/>
      <c r="S87" s="23"/>
      <c r="X87" s="23"/>
    </row>
    <row r="88" spans="2:24" x14ac:dyDescent="0.25">
      <c r="B88" s="16" t="s">
        <v>58</v>
      </c>
      <c r="C88" s="23"/>
      <c r="D88" s="23"/>
      <c r="E88" s="23"/>
      <c r="L88" s="23"/>
      <c r="M88" s="23"/>
      <c r="N88" s="23"/>
      <c r="O88" s="23"/>
      <c r="P88" s="23"/>
      <c r="Q88" s="23"/>
      <c r="R88" s="23"/>
      <c r="S88" s="23"/>
      <c r="X88" s="23"/>
    </row>
    <row r="90" spans="2:24" x14ac:dyDescent="0.25">
      <c r="B90" s="16" t="s">
        <v>63</v>
      </c>
      <c r="C90" s="23"/>
      <c r="D90" s="23"/>
      <c r="E90" s="23"/>
      <c r="L90" s="23"/>
      <c r="M90" s="23"/>
      <c r="N90" s="23"/>
      <c r="O90" s="23"/>
      <c r="P90" s="23"/>
      <c r="Q90" s="23"/>
      <c r="R90" s="23"/>
      <c r="S90" s="23"/>
      <c r="X90" s="23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27</vt:i4>
      </vt:variant>
    </vt:vector>
  </HeadingPairs>
  <TitlesOfParts>
    <vt:vector size="54" baseType="lpstr">
      <vt:lpstr>SAMPLE</vt:lpstr>
      <vt:lpstr>02,02</vt:lpstr>
      <vt:lpstr>02,03</vt:lpstr>
      <vt:lpstr>02,04</vt:lpstr>
      <vt:lpstr>02,05</vt:lpstr>
      <vt:lpstr>02,05 PROMO</vt:lpstr>
      <vt:lpstr>02,06</vt:lpstr>
      <vt:lpstr>02,07</vt:lpstr>
      <vt:lpstr>02,09</vt:lpstr>
      <vt:lpstr>02,10</vt:lpstr>
      <vt:lpstr>02,11</vt:lpstr>
      <vt:lpstr>02,12</vt:lpstr>
      <vt:lpstr>02,13</vt:lpstr>
      <vt:lpstr>02,14</vt:lpstr>
      <vt:lpstr>EXAMPLE</vt:lpstr>
      <vt:lpstr>02,16</vt:lpstr>
      <vt:lpstr>02,17</vt:lpstr>
      <vt:lpstr>02,18</vt:lpstr>
      <vt:lpstr>EXAMPLE2</vt:lpstr>
      <vt:lpstr>02,19___</vt:lpstr>
      <vt:lpstr>02,20</vt:lpstr>
      <vt:lpstr>02,22</vt:lpstr>
      <vt:lpstr>02,23</vt:lpstr>
      <vt:lpstr>02,24</vt:lpstr>
      <vt:lpstr>02,25</vt:lpstr>
      <vt:lpstr>02,26</vt:lpstr>
      <vt:lpstr>02,27</vt:lpstr>
      <vt:lpstr>'02,02'!Print_Area</vt:lpstr>
      <vt:lpstr>'02,03'!Print_Area</vt:lpstr>
      <vt:lpstr>'02,04'!Print_Area</vt:lpstr>
      <vt:lpstr>'02,05'!Print_Area</vt:lpstr>
      <vt:lpstr>'02,05 PROMO'!Print_Area</vt:lpstr>
      <vt:lpstr>'02,06'!Print_Area</vt:lpstr>
      <vt:lpstr>'02,07'!Print_Area</vt:lpstr>
      <vt:lpstr>'02,09'!Print_Area</vt:lpstr>
      <vt:lpstr>'02,10'!Print_Area</vt:lpstr>
      <vt:lpstr>'02,11'!Print_Area</vt:lpstr>
      <vt:lpstr>'02,12'!Print_Area</vt:lpstr>
      <vt:lpstr>'02,13'!Print_Area</vt:lpstr>
      <vt:lpstr>'02,14'!Print_Area</vt:lpstr>
      <vt:lpstr>'02,16'!Print_Area</vt:lpstr>
      <vt:lpstr>'02,17'!Print_Area</vt:lpstr>
      <vt:lpstr>'02,18'!Print_Area</vt:lpstr>
      <vt:lpstr>'02,19___'!Print_Area</vt:lpstr>
      <vt:lpstr>'02,20'!Print_Area</vt:lpstr>
      <vt:lpstr>'02,22'!Print_Area</vt:lpstr>
      <vt:lpstr>'02,23'!Print_Area</vt:lpstr>
      <vt:lpstr>'02,24'!Print_Area</vt:lpstr>
      <vt:lpstr>'02,25'!Print_Area</vt:lpstr>
      <vt:lpstr>'02,26'!Print_Area</vt:lpstr>
      <vt:lpstr>'02,27'!Print_Area</vt:lpstr>
      <vt:lpstr>EXAMPLE!Print_Area</vt:lpstr>
      <vt:lpstr>EXAMPLE2!Print_Area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2026-02-19T01:52:56Z</cp:lastPrinted>
  <dcterms:created xsi:type="dcterms:W3CDTF">2024-09-01T23:32:49Z</dcterms:created>
  <dcterms:modified xsi:type="dcterms:W3CDTF">2026-02-24T05:14:15Z</dcterms:modified>
</cp:coreProperties>
</file>