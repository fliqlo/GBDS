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9D618D7C-1FEB-41AF-A8F1-846D8D65B12D}" xr6:coauthVersionLast="45" xr6:coauthVersionMax="45" xr10:uidLastSave="{00000000-0000-0000-0000-000000000000}"/>
  <bookViews>
    <workbookView xWindow="-120" yWindow="-120" windowWidth="29040" windowHeight="15840" activeTab="13" xr2:uid="{00000000-000D-0000-FFFF-FFFF00000000}"/>
  </bookViews>
  <sheets>
    <sheet name="SAMPLE" sheetId="20" r:id="rId1"/>
    <sheet name="02,02" sheetId="71" r:id="rId2"/>
    <sheet name="02,03" sheetId="72" r:id="rId3"/>
    <sheet name="02,04" sheetId="73" r:id="rId4"/>
    <sheet name="02,05" sheetId="74" r:id="rId5"/>
    <sheet name="02,05 PROMO" sheetId="76" r:id="rId6"/>
    <sheet name="02,06" sheetId="75" r:id="rId7"/>
    <sheet name="02,07" sheetId="77" r:id="rId8"/>
    <sheet name="02,09" sheetId="78" r:id="rId9"/>
    <sheet name="02,10" sheetId="79" r:id="rId10"/>
    <sheet name="02,11" sheetId="80" r:id="rId11"/>
    <sheet name="02,12" sheetId="81" r:id="rId12"/>
    <sheet name="02,13" sheetId="70" r:id="rId13"/>
    <sheet name="02,14" sheetId="82" r:id="rId14"/>
    <sheet name="02,16" sheetId="83" r:id="rId15"/>
  </sheets>
  <definedNames>
    <definedName name="_xlnm.Print_Area" localSheetId="1">'02,02'!$A$1:$W$61</definedName>
    <definedName name="_xlnm.Print_Area" localSheetId="2">'02,03'!$A$1:$W$61</definedName>
    <definedName name="_xlnm.Print_Area" localSheetId="3">'02,04'!$A$1:$W$61</definedName>
    <definedName name="_xlnm.Print_Area" localSheetId="4">'02,05'!$A$1:$W$61</definedName>
    <definedName name="_xlnm.Print_Area" localSheetId="5">'02,05 PROMO'!$A$1:$W$61</definedName>
    <definedName name="_xlnm.Print_Area" localSheetId="6">'02,06'!$A$1:$W$61</definedName>
    <definedName name="_xlnm.Print_Area" localSheetId="7">'02,07'!$A$1:$W$61</definedName>
    <definedName name="_xlnm.Print_Area" localSheetId="8">'02,09'!$A$1:$W$61</definedName>
    <definedName name="_xlnm.Print_Area" localSheetId="9">'02,10'!$A$1:$W$61</definedName>
    <definedName name="_xlnm.Print_Area" localSheetId="10">'02,11'!$A$1:$W$61</definedName>
    <definedName name="_xlnm.Print_Area" localSheetId="11">'02,12'!$A$1:$W$61</definedName>
    <definedName name="_xlnm.Print_Area" localSheetId="12">'02,13'!$A$1:$W$61</definedName>
    <definedName name="_xlnm.Print_Area" localSheetId="13">'02,14'!$A$1:$W$61</definedName>
    <definedName name="_xlnm.Print_Area" localSheetId="14">'02,16'!$A$1:$W$61</definedName>
    <definedName name="_xlnm.Print_Area" localSheetId="0">SAMPLE!$A$1:$Q$91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83" l="1"/>
  <c r="P60" i="83"/>
  <c r="O60" i="83"/>
  <c r="N60" i="83"/>
  <c r="M60" i="83"/>
  <c r="L60" i="83"/>
  <c r="H60" i="83"/>
  <c r="G60" i="83"/>
  <c r="E60" i="83"/>
  <c r="D60" i="83"/>
  <c r="C60" i="83"/>
  <c r="S59" i="83"/>
  <c r="R59" i="83"/>
  <c r="J59" i="83"/>
  <c r="I59" i="83"/>
  <c r="S58" i="83"/>
  <c r="R58" i="83"/>
  <c r="J58" i="83"/>
  <c r="I58" i="83"/>
  <c r="S57" i="83"/>
  <c r="R57" i="83"/>
  <c r="J57" i="83"/>
  <c r="I57" i="83"/>
  <c r="S56" i="83"/>
  <c r="R56" i="83"/>
  <c r="J56" i="83"/>
  <c r="I56" i="83"/>
  <c r="S55" i="83"/>
  <c r="R55" i="83"/>
  <c r="J55" i="83"/>
  <c r="I55" i="83"/>
  <c r="S54" i="83"/>
  <c r="R54" i="83"/>
  <c r="J54" i="83"/>
  <c r="I54" i="83"/>
  <c r="S53" i="83"/>
  <c r="R53" i="83"/>
  <c r="J53" i="83"/>
  <c r="I53" i="83"/>
  <c r="S52" i="83"/>
  <c r="R52" i="83"/>
  <c r="J52" i="83"/>
  <c r="I52" i="83"/>
  <c r="S51" i="83"/>
  <c r="R51" i="83"/>
  <c r="J51" i="83"/>
  <c r="I51" i="83"/>
  <c r="S50" i="83"/>
  <c r="R50" i="83"/>
  <c r="J50" i="83"/>
  <c r="I50" i="83"/>
  <c r="S49" i="83"/>
  <c r="R49" i="83"/>
  <c r="J49" i="83"/>
  <c r="I49" i="83"/>
  <c r="S48" i="83"/>
  <c r="R48" i="83"/>
  <c r="J48" i="83"/>
  <c r="I48" i="83"/>
  <c r="S47" i="83"/>
  <c r="R47" i="83"/>
  <c r="J47" i="83"/>
  <c r="I47" i="83"/>
  <c r="S46" i="83"/>
  <c r="R46" i="83"/>
  <c r="J46" i="83"/>
  <c r="I46" i="83"/>
  <c r="S45" i="83"/>
  <c r="R45" i="83"/>
  <c r="J45" i="83"/>
  <c r="I45" i="83"/>
  <c r="S44" i="83"/>
  <c r="R44" i="83"/>
  <c r="J44" i="83"/>
  <c r="I44" i="83"/>
  <c r="S43" i="83"/>
  <c r="R43" i="83"/>
  <c r="J43" i="83"/>
  <c r="I43" i="83"/>
  <c r="S42" i="83"/>
  <c r="R42" i="83"/>
  <c r="J42" i="83"/>
  <c r="I42" i="83"/>
  <c r="S41" i="83"/>
  <c r="R41" i="83"/>
  <c r="J41" i="83"/>
  <c r="I41" i="83"/>
  <c r="S40" i="83"/>
  <c r="R40" i="83"/>
  <c r="J40" i="83"/>
  <c r="I40" i="83"/>
  <c r="S39" i="83"/>
  <c r="R39" i="83"/>
  <c r="J39" i="83"/>
  <c r="I39" i="83"/>
  <c r="S38" i="83"/>
  <c r="R38" i="83"/>
  <c r="J38" i="83"/>
  <c r="I38" i="83"/>
  <c r="S37" i="83"/>
  <c r="R37" i="83"/>
  <c r="J37" i="83"/>
  <c r="I37" i="83"/>
  <c r="S36" i="83"/>
  <c r="R36" i="83"/>
  <c r="J36" i="83"/>
  <c r="I36" i="83"/>
  <c r="S35" i="83"/>
  <c r="R35" i="83"/>
  <c r="J35" i="83"/>
  <c r="I35" i="83"/>
  <c r="S34" i="83"/>
  <c r="R34" i="83"/>
  <c r="J34" i="83"/>
  <c r="I34" i="83"/>
  <c r="S33" i="83"/>
  <c r="R33" i="83"/>
  <c r="J33" i="83"/>
  <c r="I33" i="83"/>
  <c r="S32" i="83"/>
  <c r="R32" i="83"/>
  <c r="J32" i="83"/>
  <c r="I32" i="83"/>
  <c r="S31" i="83"/>
  <c r="R31" i="83"/>
  <c r="J31" i="83"/>
  <c r="I31" i="83"/>
  <c r="S30" i="83"/>
  <c r="R30" i="83"/>
  <c r="J30" i="83"/>
  <c r="I30" i="83"/>
  <c r="S29" i="83"/>
  <c r="R29" i="83"/>
  <c r="J29" i="83"/>
  <c r="I29" i="83"/>
  <c r="S28" i="83"/>
  <c r="R28" i="83"/>
  <c r="J28" i="83"/>
  <c r="I28" i="83"/>
  <c r="S27" i="83"/>
  <c r="R27" i="83"/>
  <c r="J27" i="83"/>
  <c r="I27" i="83"/>
  <c r="BC26" i="83"/>
  <c r="S26" i="83"/>
  <c r="R26" i="83"/>
  <c r="J26" i="83"/>
  <c r="I26" i="83"/>
  <c r="S25" i="83"/>
  <c r="R25" i="83"/>
  <c r="J25" i="83"/>
  <c r="I25" i="83"/>
  <c r="S24" i="83"/>
  <c r="R24" i="83"/>
  <c r="J24" i="83"/>
  <c r="I24" i="83"/>
  <c r="S23" i="83"/>
  <c r="R23" i="83"/>
  <c r="J23" i="83"/>
  <c r="I23" i="83"/>
  <c r="S22" i="83"/>
  <c r="R22" i="83"/>
  <c r="J22" i="83"/>
  <c r="I22" i="83"/>
  <c r="S21" i="83"/>
  <c r="R21" i="83"/>
  <c r="J21" i="83"/>
  <c r="I21" i="83"/>
  <c r="S20" i="83"/>
  <c r="R20" i="83"/>
  <c r="J20" i="83"/>
  <c r="I20" i="83"/>
  <c r="S19" i="83"/>
  <c r="R19" i="83"/>
  <c r="J19" i="83"/>
  <c r="I19" i="83"/>
  <c r="S18" i="83"/>
  <c r="R18" i="83"/>
  <c r="J18" i="83"/>
  <c r="I18" i="83"/>
  <c r="S17" i="83"/>
  <c r="R17" i="83"/>
  <c r="J17" i="83"/>
  <c r="I17" i="83"/>
  <c r="S16" i="83"/>
  <c r="R16" i="83"/>
  <c r="J16" i="83"/>
  <c r="I16" i="83"/>
  <c r="S15" i="83"/>
  <c r="R15" i="83"/>
  <c r="J15" i="83"/>
  <c r="I15" i="83"/>
  <c r="S14" i="83"/>
  <c r="R14" i="83"/>
  <c r="J14" i="83"/>
  <c r="I14" i="83"/>
  <c r="S13" i="83"/>
  <c r="R13" i="83"/>
  <c r="J13" i="83"/>
  <c r="I13" i="83"/>
  <c r="I60" i="83" s="1"/>
  <c r="S12" i="83"/>
  <c r="R12" i="83"/>
  <c r="J12" i="83"/>
  <c r="I12" i="83"/>
  <c r="S11" i="83"/>
  <c r="R11" i="83"/>
  <c r="J11" i="83"/>
  <c r="I11" i="83"/>
  <c r="S10" i="83"/>
  <c r="R10" i="83"/>
  <c r="J10" i="83"/>
  <c r="J60" i="83" s="1"/>
  <c r="I10" i="83"/>
  <c r="A10" i="83"/>
  <c r="A11" i="83" s="1"/>
  <c r="A12" i="83" s="1"/>
  <c r="A13" i="83" s="1"/>
  <c r="A14" i="83" s="1"/>
  <c r="A15" i="83" s="1"/>
  <c r="A16" i="83" s="1"/>
  <c r="A17" i="83" s="1"/>
  <c r="A18" i="83" s="1"/>
  <c r="A19" i="83" s="1"/>
  <c r="A20" i="83" s="1"/>
  <c r="A21" i="83" s="1"/>
  <c r="A22" i="83" s="1"/>
  <c r="A23" i="83" s="1"/>
  <c r="A24" i="83" s="1"/>
  <c r="A25" i="83" s="1"/>
  <c r="A26" i="83" s="1"/>
  <c r="A27" i="83" s="1"/>
  <c r="A28" i="83" s="1"/>
  <c r="A29" i="83" s="1"/>
  <c r="A30" i="83" s="1"/>
  <c r="A31" i="83" s="1"/>
  <c r="A32" i="83" s="1"/>
  <c r="A33" i="83" s="1"/>
  <c r="A34" i="83" s="1"/>
  <c r="A35" i="83" s="1"/>
  <c r="A36" i="83" s="1"/>
  <c r="A37" i="83" s="1"/>
  <c r="A38" i="83" s="1"/>
  <c r="A39" i="83" s="1"/>
  <c r="A40" i="83" s="1"/>
  <c r="A41" i="83" s="1"/>
  <c r="A42" i="83" s="1"/>
  <c r="A43" i="83" s="1"/>
  <c r="A44" i="83" s="1"/>
  <c r="A45" i="83" s="1"/>
  <c r="A46" i="83" s="1"/>
  <c r="A47" i="83" s="1"/>
  <c r="A48" i="83" s="1"/>
  <c r="A49" i="83" s="1"/>
  <c r="A50" i="83" s="1"/>
  <c r="A51" i="83" s="1"/>
  <c r="A52" i="83" s="1"/>
  <c r="A53" i="83" s="1"/>
  <c r="A54" i="83" s="1"/>
  <c r="A55" i="83" s="1"/>
  <c r="A56" i="83" s="1"/>
  <c r="A57" i="83" s="1"/>
  <c r="A58" i="83" s="1"/>
  <c r="A59" i="83" s="1"/>
  <c r="S9" i="83"/>
  <c r="R9" i="83"/>
  <c r="R60" i="83" s="1"/>
  <c r="J9" i="83"/>
  <c r="I9" i="83"/>
  <c r="A9" i="83"/>
  <c r="S8" i="83"/>
  <c r="S60" i="83" s="1"/>
  <c r="R8" i="83"/>
  <c r="J8" i="83"/>
  <c r="I8" i="83"/>
  <c r="Q60" i="82" l="1"/>
  <c r="P60" i="82"/>
  <c r="O60" i="82"/>
  <c r="N60" i="82"/>
  <c r="M60" i="82"/>
  <c r="L60" i="82"/>
  <c r="H60" i="82"/>
  <c r="G60" i="82"/>
  <c r="E60" i="82"/>
  <c r="D60" i="82"/>
  <c r="C60" i="82"/>
  <c r="S59" i="82"/>
  <c r="R59" i="82"/>
  <c r="J59" i="82"/>
  <c r="I59" i="82"/>
  <c r="S58" i="82"/>
  <c r="R58" i="82"/>
  <c r="J58" i="82"/>
  <c r="I58" i="82"/>
  <c r="S57" i="82"/>
  <c r="R57" i="82"/>
  <c r="J57" i="82"/>
  <c r="I57" i="82"/>
  <c r="S56" i="82"/>
  <c r="R56" i="82"/>
  <c r="J56" i="82"/>
  <c r="I56" i="82"/>
  <c r="S55" i="82"/>
  <c r="R55" i="82"/>
  <c r="J55" i="82"/>
  <c r="I55" i="82"/>
  <c r="S54" i="82"/>
  <c r="R54" i="82"/>
  <c r="J54" i="82"/>
  <c r="I54" i="82"/>
  <c r="S53" i="82"/>
  <c r="R53" i="82"/>
  <c r="J53" i="82"/>
  <c r="I53" i="82"/>
  <c r="S52" i="82"/>
  <c r="R52" i="82"/>
  <c r="J52" i="82"/>
  <c r="I52" i="82"/>
  <c r="S51" i="82"/>
  <c r="R51" i="82"/>
  <c r="J51" i="82"/>
  <c r="I51" i="82"/>
  <c r="S50" i="82"/>
  <c r="R50" i="82"/>
  <c r="J50" i="82"/>
  <c r="I50" i="82"/>
  <c r="S49" i="82"/>
  <c r="R49" i="82"/>
  <c r="J49" i="82"/>
  <c r="I49" i="82"/>
  <c r="S48" i="82"/>
  <c r="R48" i="82"/>
  <c r="J48" i="82"/>
  <c r="I48" i="82"/>
  <c r="S47" i="82"/>
  <c r="R47" i="82"/>
  <c r="J47" i="82"/>
  <c r="I47" i="82"/>
  <c r="S46" i="82"/>
  <c r="R46" i="82"/>
  <c r="J46" i="82"/>
  <c r="I46" i="82"/>
  <c r="S45" i="82"/>
  <c r="R45" i="82"/>
  <c r="J45" i="82"/>
  <c r="I45" i="82"/>
  <c r="S44" i="82"/>
  <c r="R44" i="82"/>
  <c r="J44" i="82"/>
  <c r="I44" i="82"/>
  <c r="S43" i="82"/>
  <c r="R43" i="82"/>
  <c r="J43" i="82"/>
  <c r="I43" i="82"/>
  <c r="S42" i="82"/>
  <c r="R42" i="82"/>
  <c r="J42" i="82"/>
  <c r="I42" i="82"/>
  <c r="S41" i="82"/>
  <c r="R41" i="82"/>
  <c r="J41" i="82"/>
  <c r="I41" i="82"/>
  <c r="S40" i="82"/>
  <c r="R40" i="82"/>
  <c r="J40" i="82"/>
  <c r="I40" i="82"/>
  <c r="S39" i="82"/>
  <c r="R39" i="82"/>
  <c r="J39" i="82"/>
  <c r="I39" i="82"/>
  <c r="S38" i="82"/>
  <c r="R38" i="82"/>
  <c r="J38" i="82"/>
  <c r="I38" i="82"/>
  <c r="S37" i="82"/>
  <c r="R37" i="82"/>
  <c r="J37" i="82"/>
  <c r="I37" i="82"/>
  <c r="S36" i="82"/>
  <c r="R36" i="82"/>
  <c r="J36" i="82"/>
  <c r="I36" i="82"/>
  <c r="S35" i="82"/>
  <c r="R35" i="82"/>
  <c r="J35" i="82"/>
  <c r="I35" i="82"/>
  <c r="S34" i="82"/>
  <c r="R34" i="82"/>
  <c r="J34" i="82"/>
  <c r="I34" i="82"/>
  <c r="S33" i="82"/>
  <c r="R33" i="82"/>
  <c r="J33" i="82"/>
  <c r="I33" i="82"/>
  <c r="S32" i="82"/>
  <c r="R32" i="82"/>
  <c r="J32" i="82"/>
  <c r="I32" i="82"/>
  <c r="S31" i="82"/>
  <c r="R31" i="82"/>
  <c r="J31" i="82"/>
  <c r="I31" i="82"/>
  <c r="S30" i="82"/>
  <c r="R30" i="82"/>
  <c r="J30" i="82"/>
  <c r="I30" i="82"/>
  <c r="S29" i="82"/>
  <c r="R29" i="82"/>
  <c r="J29" i="82"/>
  <c r="I29" i="82"/>
  <c r="S28" i="82"/>
  <c r="R28" i="82"/>
  <c r="J28" i="82"/>
  <c r="I28" i="82"/>
  <c r="S27" i="82"/>
  <c r="R27" i="82"/>
  <c r="J27" i="82"/>
  <c r="I27" i="82"/>
  <c r="BC26" i="82"/>
  <c r="S26" i="82"/>
  <c r="R26" i="82"/>
  <c r="J26" i="82"/>
  <c r="I26" i="82"/>
  <c r="S25" i="82"/>
  <c r="R25" i="82"/>
  <c r="J25" i="82"/>
  <c r="I25" i="82"/>
  <c r="S24" i="82"/>
  <c r="R24" i="82"/>
  <c r="J24" i="82"/>
  <c r="I24" i="82"/>
  <c r="S23" i="82"/>
  <c r="R23" i="82"/>
  <c r="J23" i="82"/>
  <c r="I23" i="82"/>
  <c r="S22" i="82"/>
  <c r="R22" i="82"/>
  <c r="J22" i="82"/>
  <c r="I22" i="82"/>
  <c r="S21" i="82"/>
  <c r="R21" i="82"/>
  <c r="J21" i="82"/>
  <c r="I21" i="82"/>
  <c r="S20" i="82"/>
  <c r="R20" i="82"/>
  <c r="J20" i="82"/>
  <c r="I20" i="82"/>
  <c r="S19" i="82"/>
  <c r="R19" i="82"/>
  <c r="J19" i="82"/>
  <c r="I19" i="82"/>
  <c r="S18" i="82"/>
  <c r="R18" i="82"/>
  <c r="J18" i="82"/>
  <c r="I18" i="82"/>
  <c r="S17" i="82"/>
  <c r="R17" i="82"/>
  <c r="J17" i="82"/>
  <c r="I17" i="82"/>
  <c r="S16" i="82"/>
  <c r="R16" i="82"/>
  <c r="J16" i="82"/>
  <c r="I16" i="82"/>
  <c r="S15" i="82"/>
  <c r="R15" i="82"/>
  <c r="J15" i="82"/>
  <c r="I15" i="82"/>
  <c r="S14" i="82"/>
  <c r="R14" i="82"/>
  <c r="J14" i="82"/>
  <c r="I14" i="82"/>
  <c r="S13" i="82"/>
  <c r="R13" i="82"/>
  <c r="J13" i="82"/>
  <c r="I13" i="82"/>
  <c r="S12" i="82"/>
  <c r="R12" i="82"/>
  <c r="J12" i="82"/>
  <c r="I12" i="82"/>
  <c r="S11" i="82"/>
  <c r="R11" i="82"/>
  <c r="J11" i="82"/>
  <c r="I11" i="82"/>
  <c r="S10" i="82"/>
  <c r="R10" i="82"/>
  <c r="J10" i="82"/>
  <c r="I10" i="82"/>
  <c r="S9" i="82"/>
  <c r="R9" i="82"/>
  <c r="J9" i="82"/>
  <c r="I9" i="82"/>
  <c r="A9" i="82"/>
  <c r="A10" i="82" s="1"/>
  <c r="A11" i="82" s="1"/>
  <c r="A12" i="82" s="1"/>
  <c r="A13" i="82" s="1"/>
  <c r="A14" i="82" s="1"/>
  <c r="A15" i="82" s="1"/>
  <c r="A16" i="82" s="1"/>
  <c r="A17" i="82" s="1"/>
  <c r="A18" i="82" s="1"/>
  <c r="A19" i="82" s="1"/>
  <c r="A20" i="82" s="1"/>
  <c r="A21" i="82" s="1"/>
  <c r="A22" i="82" s="1"/>
  <c r="A23" i="82" s="1"/>
  <c r="A24" i="82" s="1"/>
  <c r="A25" i="82" s="1"/>
  <c r="A26" i="82" s="1"/>
  <c r="A27" i="82" s="1"/>
  <c r="A28" i="82" s="1"/>
  <c r="A29" i="82" s="1"/>
  <c r="A30" i="82" s="1"/>
  <c r="A31" i="82" s="1"/>
  <c r="A32" i="82" s="1"/>
  <c r="A33" i="82" s="1"/>
  <c r="A34" i="82" s="1"/>
  <c r="A35" i="82" s="1"/>
  <c r="A36" i="82" s="1"/>
  <c r="A37" i="82" s="1"/>
  <c r="A38" i="82" s="1"/>
  <c r="A39" i="82" s="1"/>
  <c r="A40" i="82" s="1"/>
  <c r="A41" i="82" s="1"/>
  <c r="A42" i="82" s="1"/>
  <c r="A43" i="82" s="1"/>
  <c r="A44" i="82" s="1"/>
  <c r="A45" i="82" s="1"/>
  <c r="A46" i="82" s="1"/>
  <c r="A47" i="82" s="1"/>
  <c r="A48" i="82" s="1"/>
  <c r="A49" i="82" s="1"/>
  <c r="A50" i="82" s="1"/>
  <c r="A51" i="82" s="1"/>
  <c r="A52" i="82" s="1"/>
  <c r="A53" i="82" s="1"/>
  <c r="A54" i="82" s="1"/>
  <c r="A55" i="82" s="1"/>
  <c r="A56" i="82" s="1"/>
  <c r="A57" i="82" s="1"/>
  <c r="A58" i="82" s="1"/>
  <c r="A59" i="82" s="1"/>
  <c r="S8" i="82"/>
  <c r="R8" i="82"/>
  <c r="J8" i="82"/>
  <c r="I8" i="82"/>
  <c r="C44" i="81"/>
  <c r="I44" i="81" s="1"/>
  <c r="C48" i="80"/>
  <c r="C60" i="80" s="1"/>
  <c r="I44" i="80"/>
  <c r="I29" i="80"/>
  <c r="Q60" i="81"/>
  <c r="P60" i="81"/>
  <c r="O60" i="81"/>
  <c r="N60" i="81"/>
  <c r="M60" i="81"/>
  <c r="L60" i="81"/>
  <c r="H60" i="81"/>
  <c r="G60" i="81"/>
  <c r="E60" i="81"/>
  <c r="D60" i="81"/>
  <c r="C60" i="81"/>
  <c r="S59" i="81"/>
  <c r="R59" i="81"/>
  <c r="J59" i="81"/>
  <c r="I59" i="81"/>
  <c r="S58" i="81"/>
  <c r="R58" i="81"/>
  <c r="J58" i="81"/>
  <c r="I58" i="81"/>
  <c r="S57" i="81"/>
  <c r="R57" i="81"/>
  <c r="J57" i="81"/>
  <c r="I57" i="81"/>
  <c r="S56" i="81"/>
  <c r="R56" i="81"/>
  <c r="J56" i="81"/>
  <c r="I56" i="81"/>
  <c r="S55" i="81"/>
  <c r="R55" i="81"/>
  <c r="J55" i="81"/>
  <c r="I55" i="81"/>
  <c r="S54" i="81"/>
  <c r="R54" i="81"/>
  <c r="J54" i="81"/>
  <c r="I54" i="81"/>
  <c r="S53" i="81"/>
  <c r="R53" i="81"/>
  <c r="J53" i="81"/>
  <c r="I53" i="81"/>
  <c r="S52" i="81"/>
  <c r="R52" i="81"/>
  <c r="J52" i="81"/>
  <c r="I52" i="81"/>
  <c r="S51" i="81"/>
  <c r="R51" i="81"/>
  <c r="J51" i="81"/>
  <c r="I51" i="81"/>
  <c r="S50" i="81"/>
  <c r="R50" i="81"/>
  <c r="J50" i="81"/>
  <c r="I50" i="81"/>
  <c r="S49" i="81"/>
  <c r="R49" i="81"/>
  <c r="J49" i="81"/>
  <c r="I49" i="81"/>
  <c r="S48" i="81"/>
  <c r="R48" i="81"/>
  <c r="J48" i="81"/>
  <c r="I48" i="81"/>
  <c r="S47" i="81"/>
  <c r="R47" i="81"/>
  <c r="J47" i="81"/>
  <c r="I47" i="81"/>
  <c r="S46" i="81"/>
  <c r="R46" i="81"/>
  <c r="J46" i="81"/>
  <c r="I46" i="81"/>
  <c r="S45" i="81"/>
  <c r="R45" i="81"/>
  <c r="J45" i="81"/>
  <c r="I45" i="81"/>
  <c r="S44" i="81"/>
  <c r="R44" i="81"/>
  <c r="J44" i="81"/>
  <c r="S43" i="81"/>
  <c r="R43" i="81"/>
  <c r="J43" i="81"/>
  <c r="I43" i="81"/>
  <c r="S42" i="81"/>
  <c r="R42" i="81"/>
  <c r="J42" i="81"/>
  <c r="I42" i="81"/>
  <c r="S41" i="81"/>
  <c r="R41" i="81"/>
  <c r="J41" i="81"/>
  <c r="I41" i="81"/>
  <c r="S40" i="81"/>
  <c r="R40" i="81"/>
  <c r="J40" i="81"/>
  <c r="I40" i="81"/>
  <c r="S39" i="81"/>
  <c r="R39" i="81"/>
  <c r="J39" i="81"/>
  <c r="I39" i="81"/>
  <c r="S38" i="81"/>
  <c r="R38" i="81"/>
  <c r="J38" i="81"/>
  <c r="I38" i="81"/>
  <c r="S37" i="81"/>
  <c r="R37" i="81"/>
  <c r="J37" i="81"/>
  <c r="I37" i="81"/>
  <c r="S36" i="81"/>
  <c r="R36" i="81"/>
  <c r="J36" i="81"/>
  <c r="I36" i="81"/>
  <c r="S35" i="81"/>
  <c r="R35" i="81"/>
  <c r="J35" i="81"/>
  <c r="I35" i="81"/>
  <c r="S34" i="81"/>
  <c r="R34" i="81"/>
  <c r="J34" i="81"/>
  <c r="I34" i="81"/>
  <c r="S33" i="81"/>
  <c r="R33" i="81"/>
  <c r="J33" i="81"/>
  <c r="I33" i="81"/>
  <c r="S32" i="81"/>
  <c r="R32" i="81"/>
  <c r="J32" i="81"/>
  <c r="I32" i="81"/>
  <c r="S31" i="81"/>
  <c r="R31" i="81"/>
  <c r="J31" i="81"/>
  <c r="I31" i="81"/>
  <c r="S30" i="81"/>
  <c r="R30" i="81"/>
  <c r="J30" i="81"/>
  <c r="I30" i="81"/>
  <c r="S29" i="81"/>
  <c r="R29" i="81"/>
  <c r="J29" i="81"/>
  <c r="I29" i="81"/>
  <c r="S28" i="81"/>
  <c r="R28" i="81"/>
  <c r="J28" i="81"/>
  <c r="I28" i="81"/>
  <c r="S27" i="81"/>
  <c r="R27" i="81"/>
  <c r="J27" i="81"/>
  <c r="I27" i="81"/>
  <c r="BC26" i="81"/>
  <c r="S26" i="81"/>
  <c r="R26" i="81"/>
  <c r="J26" i="81"/>
  <c r="I26" i="81"/>
  <c r="S25" i="81"/>
  <c r="R25" i="81"/>
  <c r="J25" i="81"/>
  <c r="I25" i="81"/>
  <c r="S24" i="81"/>
  <c r="R24" i="81"/>
  <c r="J24" i="81"/>
  <c r="I24" i="81"/>
  <c r="S23" i="81"/>
  <c r="R23" i="81"/>
  <c r="J23" i="81"/>
  <c r="I23" i="81"/>
  <c r="S22" i="81"/>
  <c r="R22" i="81"/>
  <c r="J22" i="81"/>
  <c r="I22" i="81"/>
  <c r="S21" i="81"/>
  <c r="R21" i="81"/>
  <c r="J21" i="81"/>
  <c r="I21" i="81"/>
  <c r="S20" i="81"/>
  <c r="R20" i="81"/>
  <c r="J20" i="81"/>
  <c r="I20" i="81"/>
  <c r="S19" i="81"/>
  <c r="R19" i="81"/>
  <c r="J19" i="81"/>
  <c r="I19" i="81"/>
  <c r="S18" i="81"/>
  <c r="R18" i="81"/>
  <c r="J18" i="81"/>
  <c r="I18" i="81"/>
  <c r="S17" i="81"/>
  <c r="R17" i="81"/>
  <c r="J17" i="81"/>
  <c r="I17" i="81"/>
  <c r="S16" i="81"/>
  <c r="R16" i="81"/>
  <c r="J16" i="81"/>
  <c r="I16" i="81"/>
  <c r="S15" i="81"/>
  <c r="R15" i="81"/>
  <c r="J15" i="81"/>
  <c r="I15" i="81"/>
  <c r="S14" i="81"/>
  <c r="R14" i="81"/>
  <c r="J14" i="81"/>
  <c r="I14" i="81"/>
  <c r="S13" i="81"/>
  <c r="R13" i="81"/>
  <c r="J13" i="81"/>
  <c r="I13" i="81"/>
  <c r="S12" i="81"/>
  <c r="R12" i="81"/>
  <c r="J12" i="81"/>
  <c r="I12" i="81"/>
  <c r="S11" i="81"/>
  <c r="R11" i="81"/>
  <c r="J11" i="81"/>
  <c r="I11" i="81"/>
  <c r="S10" i="81"/>
  <c r="R10" i="81"/>
  <c r="J10" i="81"/>
  <c r="I10" i="81"/>
  <c r="A10" i="81"/>
  <c r="A11" i="81" s="1"/>
  <c r="A12" i="81" s="1"/>
  <c r="A13" i="81" s="1"/>
  <c r="A14" i="81" s="1"/>
  <c r="A15" i="81" s="1"/>
  <c r="A16" i="81" s="1"/>
  <c r="A17" i="81" s="1"/>
  <c r="A18" i="81" s="1"/>
  <c r="A19" i="81" s="1"/>
  <c r="A20" i="81" s="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A58" i="81" s="1"/>
  <c r="A59" i="81" s="1"/>
  <c r="S9" i="81"/>
  <c r="R9" i="81"/>
  <c r="J9" i="81"/>
  <c r="I9" i="81"/>
  <c r="A9" i="81"/>
  <c r="S8" i="81"/>
  <c r="R8" i="81"/>
  <c r="J8" i="81"/>
  <c r="I8" i="81"/>
  <c r="Q60" i="80"/>
  <c r="P60" i="80"/>
  <c r="O60" i="80"/>
  <c r="N60" i="80"/>
  <c r="M60" i="80"/>
  <c r="L60" i="80"/>
  <c r="H60" i="80"/>
  <c r="G60" i="80"/>
  <c r="E60" i="80"/>
  <c r="D60" i="80"/>
  <c r="S59" i="80"/>
  <c r="R59" i="80"/>
  <c r="J59" i="80"/>
  <c r="I59" i="80"/>
  <c r="S58" i="80"/>
  <c r="R58" i="80"/>
  <c r="J58" i="80"/>
  <c r="I58" i="80"/>
  <c r="S57" i="80"/>
  <c r="R57" i="80"/>
  <c r="J57" i="80"/>
  <c r="I57" i="80"/>
  <c r="S56" i="80"/>
  <c r="R56" i="80"/>
  <c r="J56" i="80"/>
  <c r="I56" i="80"/>
  <c r="S55" i="80"/>
  <c r="R55" i="80"/>
  <c r="J55" i="80"/>
  <c r="I55" i="80"/>
  <c r="S54" i="80"/>
  <c r="R54" i="80"/>
  <c r="J54" i="80"/>
  <c r="I54" i="80"/>
  <c r="S53" i="80"/>
  <c r="R53" i="80"/>
  <c r="J53" i="80"/>
  <c r="I53" i="80"/>
  <c r="S52" i="80"/>
  <c r="R52" i="80"/>
  <c r="J52" i="80"/>
  <c r="I52" i="80"/>
  <c r="S51" i="80"/>
  <c r="R51" i="80"/>
  <c r="J51" i="80"/>
  <c r="I51" i="80"/>
  <c r="S50" i="80"/>
  <c r="R50" i="80"/>
  <c r="J50" i="80"/>
  <c r="I50" i="80"/>
  <c r="S49" i="80"/>
  <c r="R49" i="80"/>
  <c r="J49" i="80"/>
  <c r="I49" i="80"/>
  <c r="S48" i="80"/>
  <c r="R48" i="80"/>
  <c r="J48" i="80"/>
  <c r="I48" i="80"/>
  <c r="S47" i="80"/>
  <c r="R47" i="80"/>
  <c r="J47" i="80"/>
  <c r="I47" i="80"/>
  <c r="S46" i="80"/>
  <c r="R46" i="80"/>
  <c r="J46" i="80"/>
  <c r="I46" i="80"/>
  <c r="S45" i="80"/>
  <c r="R45" i="80"/>
  <c r="J45" i="80"/>
  <c r="I45" i="80"/>
  <c r="S44" i="80"/>
  <c r="R44" i="80"/>
  <c r="J44" i="80"/>
  <c r="S43" i="80"/>
  <c r="R43" i="80"/>
  <c r="J43" i="80"/>
  <c r="I43" i="80"/>
  <c r="S42" i="80"/>
  <c r="R42" i="80"/>
  <c r="J42" i="80"/>
  <c r="I42" i="80"/>
  <c r="S41" i="80"/>
  <c r="R41" i="80"/>
  <c r="J41" i="80"/>
  <c r="I41" i="80"/>
  <c r="S40" i="80"/>
  <c r="R40" i="80"/>
  <c r="J40" i="80"/>
  <c r="I40" i="80"/>
  <c r="S39" i="80"/>
  <c r="R39" i="80"/>
  <c r="J39" i="80"/>
  <c r="I39" i="80"/>
  <c r="S38" i="80"/>
  <c r="R38" i="80"/>
  <c r="J38" i="80"/>
  <c r="I38" i="80"/>
  <c r="S37" i="80"/>
  <c r="R37" i="80"/>
  <c r="J37" i="80"/>
  <c r="I37" i="80"/>
  <c r="S36" i="80"/>
  <c r="R36" i="80"/>
  <c r="J36" i="80"/>
  <c r="I36" i="80"/>
  <c r="S35" i="80"/>
  <c r="R35" i="80"/>
  <c r="J35" i="80"/>
  <c r="I35" i="80"/>
  <c r="S34" i="80"/>
  <c r="R34" i="80"/>
  <c r="J34" i="80"/>
  <c r="I34" i="80"/>
  <c r="S33" i="80"/>
  <c r="R33" i="80"/>
  <c r="J33" i="80"/>
  <c r="I33" i="80"/>
  <c r="S32" i="80"/>
  <c r="R32" i="80"/>
  <c r="J32" i="80"/>
  <c r="I32" i="80"/>
  <c r="S31" i="80"/>
  <c r="R31" i="80"/>
  <c r="J31" i="80"/>
  <c r="I31" i="80"/>
  <c r="S30" i="80"/>
  <c r="R30" i="80"/>
  <c r="J30" i="80"/>
  <c r="I30" i="80"/>
  <c r="S29" i="80"/>
  <c r="R29" i="80"/>
  <c r="J29" i="80"/>
  <c r="S28" i="80"/>
  <c r="R28" i="80"/>
  <c r="J28" i="80"/>
  <c r="I28" i="80"/>
  <c r="S27" i="80"/>
  <c r="R27" i="80"/>
  <c r="J27" i="80"/>
  <c r="I27" i="80"/>
  <c r="BC26" i="80"/>
  <c r="S26" i="80"/>
  <c r="R26" i="80"/>
  <c r="J26" i="80"/>
  <c r="I26" i="80"/>
  <c r="S25" i="80"/>
  <c r="R25" i="80"/>
  <c r="J25" i="80"/>
  <c r="I25" i="80"/>
  <c r="S24" i="80"/>
  <c r="R24" i="80"/>
  <c r="J24" i="80"/>
  <c r="I24" i="80"/>
  <c r="S23" i="80"/>
  <c r="R23" i="80"/>
  <c r="J23" i="80"/>
  <c r="I23" i="80"/>
  <c r="S22" i="80"/>
  <c r="R22" i="80"/>
  <c r="J22" i="80"/>
  <c r="I22" i="80"/>
  <c r="S21" i="80"/>
  <c r="R21" i="80"/>
  <c r="J21" i="80"/>
  <c r="I21" i="80"/>
  <c r="S20" i="80"/>
  <c r="R20" i="80"/>
  <c r="J20" i="80"/>
  <c r="I20" i="80"/>
  <c r="S19" i="80"/>
  <c r="R19" i="80"/>
  <c r="J19" i="80"/>
  <c r="I19" i="80"/>
  <c r="S18" i="80"/>
  <c r="R18" i="80"/>
  <c r="J18" i="80"/>
  <c r="I18" i="80"/>
  <c r="S17" i="80"/>
  <c r="R17" i="80"/>
  <c r="J17" i="80"/>
  <c r="I17" i="80"/>
  <c r="S16" i="80"/>
  <c r="R16" i="80"/>
  <c r="J16" i="80"/>
  <c r="I16" i="80"/>
  <c r="S15" i="80"/>
  <c r="R15" i="80"/>
  <c r="J15" i="80"/>
  <c r="I15" i="80"/>
  <c r="S14" i="80"/>
  <c r="R14" i="80"/>
  <c r="J14" i="80"/>
  <c r="I14" i="80"/>
  <c r="S13" i="80"/>
  <c r="R13" i="80"/>
  <c r="J13" i="80"/>
  <c r="I13" i="80"/>
  <c r="S12" i="80"/>
  <c r="R12" i="80"/>
  <c r="J12" i="80"/>
  <c r="I12" i="80"/>
  <c r="S11" i="80"/>
  <c r="R11" i="80"/>
  <c r="J11" i="80"/>
  <c r="I11" i="80"/>
  <c r="S10" i="80"/>
  <c r="R10" i="80"/>
  <c r="J10" i="80"/>
  <c r="I10" i="80"/>
  <c r="S9" i="80"/>
  <c r="R9" i="80"/>
  <c r="J9" i="80"/>
  <c r="I9" i="80"/>
  <c r="A9" i="80"/>
  <c r="A10" i="80" s="1"/>
  <c r="A11" i="80" s="1"/>
  <c r="A12" i="80" s="1"/>
  <c r="A13" i="80" s="1"/>
  <c r="A14" i="80" s="1"/>
  <c r="A15" i="80" s="1"/>
  <c r="A16" i="80" s="1"/>
  <c r="A17" i="80" s="1"/>
  <c r="A18" i="80" s="1"/>
  <c r="A19" i="80" s="1"/>
  <c r="A20" i="80" s="1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A58" i="80" s="1"/>
  <c r="A59" i="80" s="1"/>
  <c r="S8" i="80"/>
  <c r="R8" i="80"/>
  <c r="J8" i="80"/>
  <c r="I8" i="80"/>
  <c r="I44" i="79"/>
  <c r="C38" i="79"/>
  <c r="R60" i="82" l="1"/>
  <c r="S60" i="82"/>
  <c r="I60" i="82"/>
  <c r="J60" i="82"/>
  <c r="J60" i="81"/>
  <c r="S60" i="81"/>
  <c r="R60" i="81"/>
  <c r="I60" i="81"/>
  <c r="S60" i="80"/>
  <c r="R60" i="80"/>
  <c r="I60" i="80"/>
  <c r="J60" i="80"/>
  <c r="C48" i="78" l="1"/>
  <c r="C60" i="78" s="1"/>
  <c r="Q60" i="79"/>
  <c r="P60" i="79"/>
  <c r="O60" i="79"/>
  <c r="N60" i="79"/>
  <c r="M60" i="79"/>
  <c r="L60" i="79"/>
  <c r="H60" i="79"/>
  <c r="G60" i="79"/>
  <c r="E60" i="79"/>
  <c r="D60" i="79"/>
  <c r="C60" i="79"/>
  <c r="S59" i="79"/>
  <c r="R59" i="79"/>
  <c r="J59" i="79"/>
  <c r="I59" i="79"/>
  <c r="S58" i="79"/>
  <c r="R58" i="79"/>
  <c r="J58" i="79"/>
  <c r="I58" i="79"/>
  <c r="S57" i="79"/>
  <c r="R57" i="79"/>
  <c r="J57" i="79"/>
  <c r="I57" i="79"/>
  <c r="S56" i="79"/>
  <c r="R56" i="79"/>
  <c r="J56" i="79"/>
  <c r="I56" i="79"/>
  <c r="S55" i="79"/>
  <c r="R55" i="79"/>
  <c r="J55" i="79"/>
  <c r="I55" i="79"/>
  <c r="S54" i="79"/>
  <c r="R54" i="79"/>
  <c r="J54" i="79"/>
  <c r="I54" i="79"/>
  <c r="S53" i="79"/>
  <c r="R53" i="79"/>
  <c r="J53" i="79"/>
  <c r="I53" i="79"/>
  <c r="S52" i="79"/>
  <c r="R52" i="79"/>
  <c r="J52" i="79"/>
  <c r="I52" i="79"/>
  <c r="S51" i="79"/>
  <c r="R51" i="79"/>
  <c r="J51" i="79"/>
  <c r="I51" i="79"/>
  <c r="S50" i="79"/>
  <c r="R50" i="79"/>
  <c r="J50" i="79"/>
  <c r="I50" i="79"/>
  <c r="S49" i="79"/>
  <c r="R49" i="79"/>
  <c r="J49" i="79"/>
  <c r="I49" i="79"/>
  <c r="S48" i="79"/>
  <c r="R48" i="79"/>
  <c r="J48" i="79"/>
  <c r="I48" i="79"/>
  <c r="S47" i="79"/>
  <c r="R47" i="79"/>
  <c r="J47" i="79"/>
  <c r="I47" i="79"/>
  <c r="S46" i="79"/>
  <c r="R46" i="79"/>
  <c r="J46" i="79"/>
  <c r="I46" i="79"/>
  <c r="S45" i="79"/>
  <c r="R45" i="79"/>
  <c r="J45" i="79"/>
  <c r="I45" i="79"/>
  <c r="S44" i="79"/>
  <c r="R44" i="79"/>
  <c r="J44" i="79"/>
  <c r="S43" i="79"/>
  <c r="R43" i="79"/>
  <c r="J43" i="79"/>
  <c r="I43" i="79"/>
  <c r="S42" i="79"/>
  <c r="R42" i="79"/>
  <c r="J42" i="79"/>
  <c r="I42" i="79"/>
  <c r="S41" i="79"/>
  <c r="R41" i="79"/>
  <c r="J41" i="79"/>
  <c r="I41" i="79"/>
  <c r="S40" i="79"/>
  <c r="R40" i="79"/>
  <c r="J40" i="79"/>
  <c r="I40" i="79"/>
  <c r="S39" i="79"/>
  <c r="R39" i="79"/>
  <c r="J39" i="79"/>
  <c r="I39" i="79"/>
  <c r="S38" i="79"/>
  <c r="R38" i="79"/>
  <c r="J38" i="79"/>
  <c r="I38" i="79"/>
  <c r="S37" i="79"/>
  <c r="R37" i="79"/>
  <c r="J37" i="79"/>
  <c r="I37" i="79"/>
  <c r="S36" i="79"/>
  <c r="R36" i="79"/>
  <c r="J36" i="79"/>
  <c r="I36" i="79"/>
  <c r="S35" i="79"/>
  <c r="R35" i="79"/>
  <c r="J35" i="79"/>
  <c r="I35" i="79"/>
  <c r="S34" i="79"/>
  <c r="R34" i="79"/>
  <c r="J34" i="79"/>
  <c r="I34" i="79"/>
  <c r="S33" i="79"/>
  <c r="R33" i="79"/>
  <c r="J33" i="79"/>
  <c r="I33" i="79"/>
  <c r="S32" i="79"/>
  <c r="R32" i="79"/>
  <c r="J32" i="79"/>
  <c r="I32" i="79"/>
  <c r="S31" i="79"/>
  <c r="R31" i="79"/>
  <c r="J31" i="79"/>
  <c r="I31" i="79"/>
  <c r="S30" i="79"/>
  <c r="R30" i="79"/>
  <c r="J30" i="79"/>
  <c r="I30" i="79"/>
  <c r="S29" i="79"/>
  <c r="R29" i="79"/>
  <c r="J29" i="79"/>
  <c r="I29" i="79"/>
  <c r="S28" i="79"/>
  <c r="R28" i="79"/>
  <c r="J28" i="79"/>
  <c r="I28" i="79"/>
  <c r="S27" i="79"/>
  <c r="R27" i="79"/>
  <c r="J27" i="79"/>
  <c r="I27" i="79"/>
  <c r="BC26" i="79"/>
  <c r="S26" i="79"/>
  <c r="R26" i="79"/>
  <c r="J26" i="79"/>
  <c r="I26" i="79"/>
  <c r="S25" i="79"/>
  <c r="R25" i="79"/>
  <c r="J25" i="79"/>
  <c r="I25" i="79"/>
  <c r="S24" i="79"/>
  <c r="R24" i="79"/>
  <c r="J24" i="79"/>
  <c r="I24" i="79"/>
  <c r="S23" i="79"/>
  <c r="R23" i="79"/>
  <c r="J23" i="79"/>
  <c r="I23" i="79"/>
  <c r="S22" i="79"/>
  <c r="R22" i="79"/>
  <c r="J22" i="79"/>
  <c r="I22" i="79"/>
  <c r="S21" i="79"/>
  <c r="R21" i="79"/>
  <c r="J21" i="79"/>
  <c r="I21" i="79"/>
  <c r="S20" i="79"/>
  <c r="R20" i="79"/>
  <c r="J20" i="79"/>
  <c r="I20" i="79"/>
  <c r="S19" i="79"/>
  <c r="R19" i="79"/>
  <c r="J19" i="79"/>
  <c r="I19" i="79"/>
  <c r="S18" i="79"/>
  <c r="R18" i="79"/>
  <c r="J18" i="79"/>
  <c r="I18" i="79"/>
  <c r="S17" i="79"/>
  <c r="R17" i="79"/>
  <c r="J17" i="79"/>
  <c r="I17" i="79"/>
  <c r="S16" i="79"/>
  <c r="R16" i="79"/>
  <c r="J16" i="79"/>
  <c r="I16" i="79"/>
  <c r="S15" i="79"/>
  <c r="R15" i="79"/>
  <c r="J15" i="79"/>
  <c r="I15" i="79"/>
  <c r="S14" i="79"/>
  <c r="R14" i="79"/>
  <c r="J14" i="79"/>
  <c r="I14" i="79"/>
  <c r="S13" i="79"/>
  <c r="R13" i="79"/>
  <c r="J13" i="79"/>
  <c r="I13" i="79"/>
  <c r="S12" i="79"/>
  <c r="R12" i="79"/>
  <c r="J12" i="79"/>
  <c r="I12" i="79"/>
  <c r="S11" i="79"/>
  <c r="R11" i="79"/>
  <c r="J11" i="79"/>
  <c r="I11" i="79"/>
  <c r="A11" i="79"/>
  <c r="A12" i="79" s="1"/>
  <c r="A13" i="79" s="1"/>
  <c r="A14" i="79" s="1"/>
  <c r="A15" i="79" s="1"/>
  <c r="A16" i="79" s="1"/>
  <c r="A17" i="79" s="1"/>
  <c r="A18" i="79" s="1"/>
  <c r="A19" i="79" s="1"/>
  <c r="A20" i="79" s="1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A58" i="79" s="1"/>
  <c r="A59" i="79" s="1"/>
  <c r="S10" i="79"/>
  <c r="R10" i="79"/>
  <c r="J10" i="79"/>
  <c r="I10" i="79"/>
  <c r="A10" i="79"/>
  <c r="S9" i="79"/>
  <c r="R9" i="79"/>
  <c r="J9" i="79"/>
  <c r="I9" i="79"/>
  <c r="A9" i="79"/>
  <c r="S8" i="79"/>
  <c r="R8" i="79"/>
  <c r="J8" i="79"/>
  <c r="I8" i="79"/>
  <c r="Q60" i="78"/>
  <c r="P60" i="78"/>
  <c r="O60" i="78"/>
  <c r="N60" i="78"/>
  <c r="M60" i="78"/>
  <c r="L60" i="78"/>
  <c r="H60" i="78"/>
  <c r="G60" i="78"/>
  <c r="E60" i="78"/>
  <c r="D60" i="78"/>
  <c r="S59" i="78"/>
  <c r="R59" i="78"/>
  <c r="J59" i="78"/>
  <c r="I59" i="78"/>
  <c r="S58" i="78"/>
  <c r="R58" i="78"/>
  <c r="J58" i="78"/>
  <c r="I58" i="78"/>
  <c r="S57" i="78"/>
  <c r="R57" i="78"/>
  <c r="J57" i="78"/>
  <c r="I57" i="78"/>
  <c r="S56" i="78"/>
  <c r="R56" i="78"/>
  <c r="J56" i="78"/>
  <c r="I56" i="78"/>
  <c r="S55" i="78"/>
  <c r="R55" i="78"/>
  <c r="J55" i="78"/>
  <c r="I55" i="78"/>
  <c r="S54" i="78"/>
  <c r="R54" i="78"/>
  <c r="J54" i="78"/>
  <c r="I54" i="78"/>
  <c r="S53" i="78"/>
  <c r="R53" i="78"/>
  <c r="J53" i="78"/>
  <c r="I53" i="78"/>
  <c r="S52" i="78"/>
  <c r="R52" i="78"/>
  <c r="J52" i="78"/>
  <c r="I52" i="78"/>
  <c r="S51" i="78"/>
  <c r="R51" i="78"/>
  <c r="J51" i="78"/>
  <c r="I51" i="78"/>
  <c r="S50" i="78"/>
  <c r="R50" i="78"/>
  <c r="J50" i="78"/>
  <c r="I50" i="78"/>
  <c r="S49" i="78"/>
  <c r="R49" i="78"/>
  <c r="J49" i="78"/>
  <c r="I49" i="78"/>
  <c r="S48" i="78"/>
  <c r="R48" i="78"/>
  <c r="J48" i="78"/>
  <c r="S47" i="78"/>
  <c r="R47" i="78"/>
  <c r="J47" i="78"/>
  <c r="I47" i="78"/>
  <c r="S46" i="78"/>
  <c r="R46" i="78"/>
  <c r="J46" i="78"/>
  <c r="I46" i="78"/>
  <c r="S45" i="78"/>
  <c r="R45" i="78"/>
  <c r="J45" i="78"/>
  <c r="I45" i="78"/>
  <c r="S44" i="78"/>
  <c r="R44" i="78"/>
  <c r="J44" i="78"/>
  <c r="I44" i="78"/>
  <c r="S43" i="78"/>
  <c r="R43" i="78"/>
  <c r="J43" i="78"/>
  <c r="I43" i="78"/>
  <c r="S42" i="78"/>
  <c r="R42" i="78"/>
  <c r="J42" i="78"/>
  <c r="I42" i="78"/>
  <c r="S41" i="78"/>
  <c r="R41" i="78"/>
  <c r="J41" i="78"/>
  <c r="I41" i="78"/>
  <c r="S40" i="78"/>
  <c r="R40" i="78"/>
  <c r="J40" i="78"/>
  <c r="I40" i="78"/>
  <c r="S39" i="78"/>
  <c r="R39" i="78"/>
  <c r="J39" i="78"/>
  <c r="I39" i="78"/>
  <c r="S38" i="78"/>
  <c r="R38" i="78"/>
  <c r="J38" i="78"/>
  <c r="I38" i="78"/>
  <c r="S37" i="78"/>
  <c r="R37" i="78"/>
  <c r="J37" i="78"/>
  <c r="I37" i="78"/>
  <c r="S36" i="78"/>
  <c r="R36" i="78"/>
  <c r="J36" i="78"/>
  <c r="I36" i="78"/>
  <c r="S35" i="78"/>
  <c r="R35" i="78"/>
  <c r="J35" i="78"/>
  <c r="I35" i="78"/>
  <c r="S34" i="78"/>
  <c r="R34" i="78"/>
  <c r="J34" i="78"/>
  <c r="I34" i="78"/>
  <c r="S33" i="78"/>
  <c r="R33" i="78"/>
  <c r="J33" i="78"/>
  <c r="I33" i="78"/>
  <c r="S32" i="78"/>
  <c r="R32" i="78"/>
  <c r="J32" i="78"/>
  <c r="I32" i="78"/>
  <c r="S31" i="78"/>
  <c r="R31" i="78"/>
  <c r="J31" i="78"/>
  <c r="I31" i="78"/>
  <c r="S30" i="78"/>
  <c r="R30" i="78"/>
  <c r="J30" i="78"/>
  <c r="I30" i="78"/>
  <c r="S29" i="78"/>
  <c r="R29" i="78"/>
  <c r="J29" i="78"/>
  <c r="I29" i="78"/>
  <c r="S28" i="78"/>
  <c r="R28" i="78"/>
  <c r="J28" i="78"/>
  <c r="I28" i="78"/>
  <c r="S27" i="78"/>
  <c r="R27" i="78"/>
  <c r="J27" i="78"/>
  <c r="I27" i="78"/>
  <c r="BC26" i="78"/>
  <c r="S26" i="78"/>
  <c r="R26" i="78"/>
  <c r="J26" i="78"/>
  <c r="I26" i="78"/>
  <c r="S25" i="78"/>
  <c r="R25" i="78"/>
  <c r="J25" i="78"/>
  <c r="I25" i="78"/>
  <c r="S24" i="78"/>
  <c r="R24" i="78"/>
  <c r="J24" i="78"/>
  <c r="I24" i="78"/>
  <c r="S23" i="78"/>
  <c r="R23" i="78"/>
  <c r="J23" i="78"/>
  <c r="I23" i="78"/>
  <c r="S22" i="78"/>
  <c r="R22" i="78"/>
  <c r="J22" i="78"/>
  <c r="I22" i="78"/>
  <c r="S21" i="78"/>
  <c r="R21" i="78"/>
  <c r="J21" i="78"/>
  <c r="I21" i="78"/>
  <c r="S20" i="78"/>
  <c r="R20" i="78"/>
  <c r="J20" i="78"/>
  <c r="I20" i="78"/>
  <c r="S19" i="78"/>
  <c r="R19" i="78"/>
  <c r="J19" i="78"/>
  <c r="I19" i="78"/>
  <c r="S18" i="78"/>
  <c r="R18" i="78"/>
  <c r="J18" i="78"/>
  <c r="I18" i="78"/>
  <c r="S17" i="78"/>
  <c r="R17" i="78"/>
  <c r="J17" i="78"/>
  <c r="I17" i="78"/>
  <c r="S16" i="78"/>
  <c r="R16" i="78"/>
  <c r="J16" i="78"/>
  <c r="I16" i="78"/>
  <c r="S15" i="78"/>
  <c r="R15" i="78"/>
  <c r="J15" i="78"/>
  <c r="I15" i="78"/>
  <c r="S14" i="78"/>
  <c r="R14" i="78"/>
  <c r="J14" i="78"/>
  <c r="I14" i="78"/>
  <c r="S13" i="78"/>
  <c r="R13" i="78"/>
  <c r="J13" i="78"/>
  <c r="I13" i="78"/>
  <c r="S12" i="78"/>
  <c r="R12" i="78"/>
  <c r="J12" i="78"/>
  <c r="I12" i="78"/>
  <c r="S11" i="78"/>
  <c r="R11" i="78"/>
  <c r="J11" i="78"/>
  <c r="I11" i="78"/>
  <c r="S10" i="78"/>
  <c r="R10" i="78"/>
  <c r="J10" i="78"/>
  <c r="I10" i="78"/>
  <c r="S9" i="78"/>
  <c r="R9" i="78"/>
  <c r="J9" i="78"/>
  <c r="I9" i="78"/>
  <c r="A9" i="78"/>
  <c r="A10" i="78" s="1"/>
  <c r="A11" i="78" s="1"/>
  <c r="A12" i="78" s="1"/>
  <c r="A13" i="78" s="1"/>
  <c r="A14" i="78" s="1"/>
  <c r="A15" i="78" s="1"/>
  <c r="A16" i="78" s="1"/>
  <c r="A17" i="78" s="1"/>
  <c r="A18" i="78" s="1"/>
  <c r="A19" i="78" s="1"/>
  <c r="A20" i="78" s="1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A58" i="78" s="1"/>
  <c r="A59" i="78" s="1"/>
  <c r="S8" i="78"/>
  <c r="R8" i="78"/>
  <c r="J8" i="78"/>
  <c r="I8" i="78"/>
  <c r="Q60" i="77"/>
  <c r="P60" i="77"/>
  <c r="O60" i="77"/>
  <c r="N60" i="77"/>
  <c r="M60" i="77"/>
  <c r="L60" i="77"/>
  <c r="H60" i="77"/>
  <c r="G60" i="77"/>
  <c r="E60" i="77"/>
  <c r="D60" i="77"/>
  <c r="S59" i="77"/>
  <c r="R59" i="77"/>
  <c r="J59" i="77"/>
  <c r="I59" i="77"/>
  <c r="S58" i="77"/>
  <c r="R58" i="77"/>
  <c r="J58" i="77"/>
  <c r="I58" i="77"/>
  <c r="S57" i="77"/>
  <c r="R57" i="77"/>
  <c r="J57" i="77"/>
  <c r="I57" i="77"/>
  <c r="S56" i="77"/>
  <c r="R56" i="77"/>
  <c r="J56" i="77"/>
  <c r="I56" i="77"/>
  <c r="S55" i="77"/>
  <c r="R55" i="77"/>
  <c r="J55" i="77"/>
  <c r="I55" i="77"/>
  <c r="S54" i="77"/>
  <c r="R54" i="77"/>
  <c r="J54" i="77"/>
  <c r="I54" i="77"/>
  <c r="S53" i="77"/>
  <c r="R53" i="77"/>
  <c r="J53" i="77"/>
  <c r="I53" i="77"/>
  <c r="S52" i="77"/>
  <c r="R52" i="77"/>
  <c r="J52" i="77"/>
  <c r="I52" i="77"/>
  <c r="S51" i="77"/>
  <c r="R51" i="77"/>
  <c r="J51" i="77"/>
  <c r="I51" i="77"/>
  <c r="S50" i="77"/>
  <c r="R50" i="77"/>
  <c r="J50" i="77"/>
  <c r="I50" i="77"/>
  <c r="S49" i="77"/>
  <c r="R49" i="77"/>
  <c r="J49" i="77"/>
  <c r="I49" i="77"/>
  <c r="S48" i="77"/>
  <c r="R48" i="77"/>
  <c r="J48" i="77"/>
  <c r="I48" i="77"/>
  <c r="S47" i="77"/>
  <c r="R47" i="77"/>
  <c r="J47" i="77"/>
  <c r="I47" i="77"/>
  <c r="S46" i="77"/>
  <c r="R46" i="77"/>
  <c r="J46" i="77"/>
  <c r="I46" i="77"/>
  <c r="S45" i="77"/>
  <c r="R45" i="77"/>
  <c r="J45" i="77"/>
  <c r="I45" i="77"/>
  <c r="S44" i="77"/>
  <c r="R44" i="77"/>
  <c r="J44" i="77"/>
  <c r="I44" i="77"/>
  <c r="S43" i="77"/>
  <c r="R43" i="77"/>
  <c r="J43" i="77"/>
  <c r="I43" i="77"/>
  <c r="S42" i="77"/>
  <c r="R42" i="77"/>
  <c r="J42" i="77"/>
  <c r="I42" i="77"/>
  <c r="S41" i="77"/>
  <c r="R41" i="77"/>
  <c r="J41" i="77"/>
  <c r="I41" i="77"/>
  <c r="C60" i="77"/>
  <c r="S40" i="77"/>
  <c r="R40" i="77"/>
  <c r="J40" i="77"/>
  <c r="I40" i="77"/>
  <c r="S39" i="77"/>
  <c r="R39" i="77"/>
  <c r="J39" i="77"/>
  <c r="I39" i="77"/>
  <c r="S38" i="77"/>
  <c r="R38" i="77"/>
  <c r="J38" i="77"/>
  <c r="I38" i="77"/>
  <c r="S37" i="77"/>
  <c r="R37" i="77"/>
  <c r="J37" i="77"/>
  <c r="I37" i="77"/>
  <c r="S36" i="77"/>
  <c r="R36" i="77"/>
  <c r="J36" i="77"/>
  <c r="I36" i="77"/>
  <c r="S35" i="77"/>
  <c r="R35" i="77"/>
  <c r="J35" i="77"/>
  <c r="I35" i="77"/>
  <c r="S34" i="77"/>
  <c r="R34" i="77"/>
  <c r="J34" i="77"/>
  <c r="I34" i="77"/>
  <c r="S33" i="77"/>
  <c r="R33" i="77"/>
  <c r="J33" i="77"/>
  <c r="I33" i="77"/>
  <c r="S32" i="77"/>
  <c r="R32" i="77"/>
  <c r="J32" i="77"/>
  <c r="I32" i="77"/>
  <c r="S31" i="77"/>
  <c r="R31" i="77"/>
  <c r="J31" i="77"/>
  <c r="I31" i="77"/>
  <c r="S30" i="77"/>
  <c r="R30" i="77"/>
  <c r="J30" i="77"/>
  <c r="I30" i="77"/>
  <c r="S29" i="77"/>
  <c r="R29" i="77"/>
  <c r="J29" i="77"/>
  <c r="I29" i="77"/>
  <c r="S28" i="77"/>
  <c r="R28" i="77"/>
  <c r="J28" i="77"/>
  <c r="I28" i="77"/>
  <c r="S27" i="77"/>
  <c r="R27" i="77"/>
  <c r="J27" i="77"/>
  <c r="I27" i="77"/>
  <c r="BC26" i="77"/>
  <c r="S26" i="77"/>
  <c r="R26" i="77"/>
  <c r="J26" i="77"/>
  <c r="I26" i="77"/>
  <c r="S25" i="77"/>
  <c r="R25" i="77"/>
  <c r="J25" i="77"/>
  <c r="I25" i="77"/>
  <c r="S24" i="77"/>
  <c r="R24" i="77"/>
  <c r="J24" i="77"/>
  <c r="I24" i="77"/>
  <c r="S23" i="77"/>
  <c r="R23" i="77"/>
  <c r="J23" i="77"/>
  <c r="I23" i="77"/>
  <c r="S22" i="77"/>
  <c r="R22" i="77"/>
  <c r="J22" i="77"/>
  <c r="I22" i="77"/>
  <c r="S21" i="77"/>
  <c r="R21" i="77"/>
  <c r="J21" i="77"/>
  <c r="I21" i="77"/>
  <c r="S20" i="77"/>
  <c r="R20" i="77"/>
  <c r="J20" i="77"/>
  <c r="I20" i="77"/>
  <c r="S19" i="77"/>
  <c r="R19" i="77"/>
  <c r="J19" i="77"/>
  <c r="I19" i="77"/>
  <c r="S18" i="77"/>
  <c r="R18" i="77"/>
  <c r="J18" i="77"/>
  <c r="I18" i="77"/>
  <c r="S17" i="77"/>
  <c r="R17" i="77"/>
  <c r="J17" i="77"/>
  <c r="I17" i="77"/>
  <c r="S16" i="77"/>
  <c r="R16" i="77"/>
  <c r="J16" i="77"/>
  <c r="I16" i="77"/>
  <c r="S15" i="77"/>
  <c r="R15" i="77"/>
  <c r="J15" i="77"/>
  <c r="I15" i="77"/>
  <c r="S14" i="77"/>
  <c r="R14" i="77"/>
  <c r="J14" i="77"/>
  <c r="I14" i="77"/>
  <c r="S13" i="77"/>
  <c r="R13" i="77"/>
  <c r="J13" i="77"/>
  <c r="I13" i="77"/>
  <c r="S12" i="77"/>
  <c r="R12" i="77"/>
  <c r="J12" i="77"/>
  <c r="I12" i="77"/>
  <c r="S11" i="77"/>
  <c r="R11" i="77"/>
  <c r="J11" i="77"/>
  <c r="I11" i="77"/>
  <c r="S10" i="77"/>
  <c r="R10" i="77"/>
  <c r="J10" i="77"/>
  <c r="I10" i="77"/>
  <c r="S9" i="77"/>
  <c r="R9" i="77"/>
  <c r="J9" i="77"/>
  <c r="I9" i="77"/>
  <c r="A9" i="77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S8" i="77"/>
  <c r="R8" i="77"/>
  <c r="J8" i="77"/>
  <c r="I8" i="77"/>
  <c r="C42" i="75"/>
  <c r="C41" i="75"/>
  <c r="F60" i="76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  <c r="S60" i="79" l="1"/>
  <c r="J60" i="79"/>
  <c r="R60" i="79"/>
  <c r="I60" i="79"/>
  <c r="I48" i="78"/>
  <c r="I60" i="78" s="1"/>
  <c r="J60" i="78"/>
  <c r="R60" i="78"/>
  <c r="S60" i="78"/>
  <c r="R60" i="77"/>
  <c r="S60" i="77"/>
  <c r="J60" i="77"/>
  <c r="I60" i="77"/>
  <c r="Q60" i="75"/>
  <c r="P60" i="75"/>
  <c r="O60" i="75"/>
  <c r="N60" i="75"/>
  <c r="M60" i="75"/>
  <c r="L60" i="75"/>
  <c r="H60" i="75"/>
  <c r="G60" i="75"/>
  <c r="E60" i="75"/>
  <c r="D60" i="75"/>
  <c r="S59" i="75"/>
  <c r="R59" i="75"/>
  <c r="J59" i="75"/>
  <c r="I59" i="75"/>
  <c r="S58" i="75"/>
  <c r="R58" i="75"/>
  <c r="J58" i="75"/>
  <c r="I58" i="75"/>
  <c r="S57" i="75"/>
  <c r="R57" i="75"/>
  <c r="J57" i="75"/>
  <c r="I57" i="75"/>
  <c r="S56" i="75"/>
  <c r="R56" i="75"/>
  <c r="J56" i="75"/>
  <c r="I56" i="75"/>
  <c r="S55" i="75"/>
  <c r="R55" i="75"/>
  <c r="J55" i="75"/>
  <c r="I55" i="75"/>
  <c r="S54" i="75"/>
  <c r="R54" i="75"/>
  <c r="J54" i="75"/>
  <c r="I54" i="75"/>
  <c r="S53" i="75"/>
  <c r="R53" i="75"/>
  <c r="J53" i="75"/>
  <c r="I53" i="75"/>
  <c r="S52" i="75"/>
  <c r="R52" i="75"/>
  <c r="J52" i="75"/>
  <c r="I52" i="75"/>
  <c r="S51" i="75"/>
  <c r="R51" i="75"/>
  <c r="J51" i="75"/>
  <c r="I51" i="75"/>
  <c r="S50" i="75"/>
  <c r="R50" i="75"/>
  <c r="J50" i="75"/>
  <c r="I50" i="75"/>
  <c r="S49" i="75"/>
  <c r="R49" i="75"/>
  <c r="J49" i="75"/>
  <c r="I49" i="75"/>
  <c r="S48" i="75"/>
  <c r="R48" i="75"/>
  <c r="J48" i="75"/>
  <c r="I48" i="75"/>
  <c r="S47" i="75"/>
  <c r="R47" i="75"/>
  <c r="J47" i="75"/>
  <c r="I47" i="75"/>
  <c r="S46" i="75"/>
  <c r="R46" i="75"/>
  <c r="J46" i="75"/>
  <c r="I46" i="75"/>
  <c r="S45" i="75"/>
  <c r="R45" i="75"/>
  <c r="J45" i="75"/>
  <c r="I45" i="75"/>
  <c r="S44" i="75"/>
  <c r="R44" i="75"/>
  <c r="J44" i="75"/>
  <c r="C60" i="75"/>
  <c r="S43" i="75"/>
  <c r="R43" i="75"/>
  <c r="J43" i="75"/>
  <c r="I43" i="75"/>
  <c r="S42" i="75"/>
  <c r="R42" i="75"/>
  <c r="J42" i="75"/>
  <c r="I42" i="75"/>
  <c r="S41" i="75"/>
  <c r="R41" i="75"/>
  <c r="J41" i="75"/>
  <c r="I41" i="75"/>
  <c r="S40" i="75"/>
  <c r="R40" i="75"/>
  <c r="J40" i="75"/>
  <c r="I40" i="75"/>
  <c r="S39" i="75"/>
  <c r="R39" i="75"/>
  <c r="J39" i="75"/>
  <c r="I39" i="75"/>
  <c r="S38" i="75"/>
  <c r="R38" i="75"/>
  <c r="J38" i="75"/>
  <c r="I38" i="75"/>
  <c r="S37" i="75"/>
  <c r="R37" i="75"/>
  <c r="J37" i="75"/>
  <c r="I37" i="75"/>
  <c r="S36" i="75"/>
  <c r="R36" i="75"/>
  <c r="J36" i="75"/>
  <c r="I36" i="75"/>
  <c r="S35" i="75"/>
  <c r="R35" i="75"/>
  <c r="J35" i="75"/>
  <c r="I35" i="75"/>
  <c r="S34" i="75"/>
  <c r="R34" i="75"/>
  <c r="J34" i="75"/>
  <c r="I34" i="75"/>
  <c r="S33" i="75"/>
  <c r="R33" i="75"/>
  <c r="J33" i="75"/>
  <c r="I33" i="75"/>
  <c r="S32" i="75"/>
  <c r="R32" i="75"/>
  <c r="J32" i="75"/>
  <c r="I32" i="75"/>
  <c r="S31" i="75"/>
  <c r="R31" i="75"/>
  <c r="J31" i="75"/>
  <c r="I31" i="75"/>
  <c r="S30" i="75"/>
  <c r="R30" i="75"/>
  <c r="J30" i="75"/>
  <c r="I30" i="75"/>
  <c r="S29" i="75"/>
  <c r="R29" i="75"/>
  <c r="J29" i="75"/>
  <c r="I29" i="75"/>
  <c r="S28" i="75"/>
  <c r="R28" i="75"/>
  <c r="J28" i="75"/>
  <c r="I28" i="75"/>
  <c r="S27" i="75"/>
  <c r="R27" i="75"/>
  <c r="J27" i="75"/>
  <c r="I27" i="75"/>
  <c r="BC26" i="75"/>
  <c r="S26" i="75"/>
  <c r="R26" i="75"/>
  <c r="J26" i="75"/>
  <c r="I26" i="75"/>
  <c r="S25" i="75"/>
  <c r="R25" i="75"/>
  <c r="J25" i="75"/>
  <c r="I25" i="75"/>
  <c r="S24" i="75"/>
  <c r="R24" i="75"/>
  <c r="J24" i="75"/>
  <c r="I24" i="75"/>
  <c r="S23" i="75"/>
  <c r="R23" i="75"/>
  <c r="J23" i="75"/>
  <c r="I23" i="75"/>
  <c r="S22" i="75"/>
  <c r="R22" i="75"/>
  <c r="J22" i="75"/>
  <c r="I22" i="75"/>
  <c r="S21" i="75"/>
  <c r="R21" i="75"/>
  <c r="J21" i="75"/>
  <c r="I21" i="75"/>
  <c r="S20" i="75"/>
  <c r="R20" i="75"/>
  <c r="J20" i="75"/>
  <c r="I20" i="75"/>
  <c r="S19" i="75"/>
  <c r="R19" i="75"/>
  <c r="J19" i="75"/>
  <c r="I19" i="75"/>
  <c r="S18" i="75"/>
  <c r="R18" i="75"/>
  <c r="J18" i="75"/>
  <c r="I18" i="75"/>
  <c r="S17" i="75"/>
  <c r="R17" i="75"/>
  <c r="J17" i="75"/>
  <c r="I17" i="75"/>
  <c r="S16" i="75"/>
  <c r="R16" i="75"/>
  <c r="J16" i="75"/>
  <c r="I16" i="75"/>
  <c r="S15" i="75"/>
  <c r="R15" i="75"/>
  <c r="J15" i="75"/>
  <c r="I15" i="75"/>
  <c r="S14" i="75"/>
  <c r="R14" i="75"/>
  <c r="J14" i="75"/>
  <c r="I14" i="75"/>
  <c r="S13" i="75"/>
  <c r="R13" i="75"/>
  <c r="J13" i="75"/>
  <c r="I13" i="75"/>
  <c r="S12" i="75"/>
  <c r="R12" i="75"/>
  <c r="J12" i="75"/>
  <c r="I12" i="75"/>
  <c r="S11" i="75"/>
  <c r="R11" i="75"/>
  <c r="J11" i="75"/>
  <c r="I11" i="75"/>
  <c r="A11" i="75"/>
  <c r="A12" i="75" s="1"/>
  <c r="A13" i="75" s="1"/>
  <c r="A14" i="75" s="1"/>
  <c r="A15" i="75" s="1"/>
  <c r="A16" i="75" s="1"/>
  <c r="A17" i="75" s="1"/>
  <c r="A18" i="75" s="1"/>
  <c r="A19" i="75" s="1"/>
  <c r="A20" i="75" s="1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A58" i="75" s="1"/>
  <c r="A59" i="75" s="1"/>
  <c r="S10" i="75"/>
  <c r="R10" i="75"/>
  <c r="J10" i="75"/>
  <c r="I10" i="75"/>
  <c r="A10" i="75"/>
  <c r="S9" i="75"/>
  <c r="R9" i="75"/>
  <c r="J9" i="75"/>
  <c r="I9" i="75"/>
  <c r="A9" i="75"/>
  <c r="S8" i="75"/>
  <c r="R8" i="75"/>
  <c r="J8" i="75"/>
  <c r="I8" i="75"/>
  <c r="C44" i="74"/>
  <c r="R60" i="75" l="1"/>
  <c r="S60" i="75"/>
  <c r="J60" i="75"/>
  <c r="I44" i="75"/>
  <c r="I60" i="75" s="1"/>
  <c r="Q60" i="74"/>
  <c r="P60" i="74"/>
  <c r="O60" i="74"/>
  <c r="N60" i="74"/>
  <c r="M60" i="74"/>
  <c r="L60" i="74"/>
  <c r="H60" i="74"/>
  <c r="G60" i="74"/>
  <c r="E60" i="74"/>
  <c r="D60" i="74"/>
  <c r="C60" i="74"/>
  <c r="S59" i="74"/>
  <c r="R59" i="74"/>
  <c r="J59" i="74"/>
  <c r="I59" i="74"/>
  <c r="S58" i="74"/>
  <c r="R58" i="74"/>
  <c r="J58" i="74"/>
  <c r="I58" i="74"/>
  <c r="S57" i="74"/>
  <c r="R57" i="74"/>
  <c r="J57" i="74"/>
  <c r="I57" i="74"/>
  <c r="S56" i="74"/>
  <c r="R56" i="74"/>
  <c r="J56" i="74"/>
  <c r="I56" i="74"/>
  <c r="S55" i="74"/>
  <c r="R55" i="74"/>
  <c r="J55" i="74"/>
  <c r="I55" i="74"/>
  <c r="S54" i="74"/>
  <c r="R54" i="74"/>
  <c r="J54" i="74"/>
  <c r="I54" i="74"/>
  <c r="S53" i="74"/>
  <c r="R53" i="74"/>
  <c r="J53" i="74"/>
  <c r="I53" i="74"/>
  <c r="S52" i="74"/>
  <c r="R52" i="74"/>
  <c r="J52" i="74"/>
  <c r="I52" i="74"/>
  <c r="S51" i="74"/>
  <c r="R51" i="74"/>
  <c r="J51" i="74"/>
  <c r="I51" i="74"/>
  <c r="S50" i="74"/>
  <c r="R50" i="74"/>
  <c r="J50" i="74"/>
  <c r="I50" i="74"/>
  <c r="S49" i="74"/>
  <c r="R49" i="74"/>
  <c r="J49" i="74"/>
  <c r="I49" i="74"/>
  <c r="S48" i="74"/>
  <c r="R48" i="74"/>
  <c r="J48" i="74"/>
  <c r="I48" i="74"/>
  <c r="S47" i="74"/>
  <c r="R47" i="74"/>
  <c r="J47" i="74"/>
  <c r="I47" i="74"/>
  <c r="S46" i="74"/>
  <c r="R46" i="74"/>
  <c r="J46" i="74"/>
  <c r="I46" i="74"/>
  <c r="S45" i="74"/>
  <c r="R45" i="74"/>
  <c r="J45" i="74"/>
  <c r="I45" i="74"/>
  <c r="S44" i="74"/>
  <c r="R44" i="74"/>
  <c r="J44" i="74"/>
  <c r="I44" i="74"/>
  <c r="S43" i="74"/>
  <c r="R43" i="74"/>
  <c r="J43" i="74"/>
  <c r="I43" i="74"/>
  <c r="S42" i="74"/>
  <c r="R42" i="74"/>
  <c r="J42" i="74"/>
  <c r="I42" i="74"/>
  <c r="S41" i="74"/>
  <c r="R41" i="74"/>
  <c r="J41" i="74"/>
  <c r="I41" i="74"/>
  <c r="S40" i="74"/>
  <c r="R40" i="74"/>
  <c r="J40" i="74"/>
  <c r="I40" i="74"/>
  <c r="S39" i="74"/>
  <c r="R39" i="74"/>
  <c r="J39" i="74"/>
  <c r="I39" i="74"/>
  <c r="S38" i="74"/>
  <c r="R38" i="74"/>
  <c r="J38" i="74"/>
  <c r="I38" i="74"/>
  <c r="S37" i="74"/>
  <c r="R37" i="74"/>
  <c r="J37" i="74"/>
  <c r="I37" i="74"/>
  <c r="S36" i="74"/>
  <c r="R36" i="74"/>
  <c r="J36" i="74"/>
  <c r="I36" i="74"/>
  <c r="S35" i="74"/>
  <c r="R35" i="74"/>
  <c r="J35" i="74"/>
  <c r="I35" i="74"/>
  <c r="S34" i="74"/>
  <c r="R34" i="74"/>
  <c r="J34" i="74"/>
  <c r="I34" i="74"/>
  <c r="S33" i="74"/>
  <c r="R33" i="74"/>
  <c r="J33" i="74"/>
  <c r="I33" i="74"/>
  <c r="S32" i="74"/>
  <c r="R32" i="74"/>
  <c r="J32" i="74"/>
  <c r="I32" i="74"/>
  <c r="S31" i="74"/>
  <c r="R31" i="74"/>
  <c r="J31" i="74"/>
  <c r="I31" i="74"/>
  <c r="S30" i="74"/>
  <c r="R30" i="74"/>
  <c r="J30" i="74"/>
  <c r="I30" i="74"/>
  <c r="S29" i="74"/>
  <c r="R29" i="74"/>
  <c r="J29" i="74"/>
  <c r="I29" i="74"/>
  <c r="S28" i="74"/>
  <c r="R28" i="74"/>
  <c r="J28" i="74"/>
  <c r="I28" i="74"/>
  <c r="S27" i="74"/>
  <c r="R27" i="74"/>
  <c r="J27" i="74"/>
  <c r="I27" i="74"/>
  <c r="BC26" i="74"/>
  <c r="S26" i="74"/>
  <c r="R26" i="74"/>
  <c r="J26" i="74"/>
  <c r="I26" i="74"/>
  <c r="S25" i="74"/>
  <c r="R25" i="74"/>
  <c r="J25" i="74"/>
  <c r="I25" i="74"/>
  <c r="S24" i="74"/>
  <c r="R24" i="74"/>
  <c r="J24" i="74"/>
  <c r="I24" i="74"/>
  <c r="S23" i="74"/>
  <c r="R23" i="74"/>
  <c r="J23" i="74"/>
  <c r="I23" i="74"/>
  <c r="S22" i="74"/>
  <c r="R22" i="74"/>
  <c r="J22" i="74"/>
  <c r="I22" i="74"/>
  <c r="S21" i="74"/>
  <c r="R21" i="74"/>
  <c r="J21" i="74"/>
  <c r="I21" i="74"/>
  <c r="S20" i="74"/>
  <c r="R20" i="74"/>
  <c r="J20" i="74"/>
  <c r="I20" i="74"/>
  <c r="S19" i="74"/>
  <c r="R19" i="74"/>
  <c r="J19" i="74"/>
  <c r="I19" i="74"/>
  <c r="S18" i="74"/>
  <c r="R18" i="74"/>
  <c r="J18" i="74"/>
  <c r="I18" i="74"/>
  <c r="S17" i="74"/>
  <c r="R17" i="74"/>
  <c r="J17" i="74"/>
  <c r="I17" i="74"/>
  <c r="S16" i="74"/>
  <c r="R16" i="74"/>
  <c r="J16" i="74"/>
  <c r="I16" i="74"/>
  <c r="S15" i="74"/>
  <c r="R15" i="74"/>
  <c r="J15" i="74"/>
  <c r="I15" i="74"/>
  <c r="S14" i="74"/>
  <c r="R14" i="74"/>
  <c r="J14" i="74"/>
  <c r="I14" i="74"/>
  <c r="S13" i="74"/>
  <c r="R13" i="74"/>
  <c r="J13" i="74"/>
  <c r="I13" i="74"/>
  <c r="S12" i="74"/>
  <c r="R12" i="74"/>
  <c r="J12" i="74"/>
  <c r="I12" i="74"/>
  <c r="S11" i="74"/>
  <c r="R11" i="74"/>
  <c r="J11" i="74"/>
  <c r="I11" i="74"/>
  <c r="S10" i="74"/>
  <c r="R10" i="74"/>
  <c r="J10" i="74"/>
  <c r="I10" i="74"/>
  <c r="S9" i="74"/>
  <c r="R9" i="74"/>
  <c r="J9" i="74"/>
  <c r="I9" i="74"/>
  <c r="A9" i="74"/>
  <c r="A10" i="74" s="1"/>
  <c r="A11" i="74" s="1"/>
  <c r="A12" i="74" s="1"/>
  <c r="A13" i="74" s="1"/>
  <c r="A14" i="74" s="1"/>
  <c r="A15" i="74" s="1"/>
  <c r="A16" i="74" s="1"/>
  <c r="A17" i="74" s="1"/>
  <c r="A18" i="74" s="1"/>
  <c r="A19" i="74" s="1"/>
  <c r="A20" i="74" s="1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A58" i="74" s="1"/>
  <c r="A59" i="74" s="1"/>
  <c r="S8" i="74"/>
  <c r="R8" i="74"/>
  <c r="J8" i="74"/>
  <c r="I8" i="74"/>
  <c r="Q60" i="73"/>
  <c r="P60" i="73"/>
  <c r="O60" i="73"/>
  <c r="N60" i="73"/>
  <c r="M60" i="73"/>
  <c r="L60" i="73"/>
  <c r="H60" i="73"/>
  <c r="G60" i="73"/>
  <c r="E60" i="73"/>
  <c r="D60" i="73"/>
  <c r="C60" i="73"/>
  <c r="S59" i="73"/>
  <c r="R59" i="73"/>
  <c r="J59" i="73"/>
  <c r="I59" i="73"/>
  <c r="S58" i="73"/>
  <c r="R58" i="73"/>
  <c r="J58" i="73"/>
  <c r="I58" i="73"/>
  <c r="S57" i="73"/>
  <c r="R57" i="73"/>
  <c r="J57" i="73"/>
  <c r="I57" i="73"/>
  <c r="S56" i="73"/>
  <c r="R56" i="73"/>
  <c r="J56" i="73"/>
  <c r="I56" i="73"/>
  <c r="S55" i="73"/>
  <c r="R55" i="73"/>
  <c r="J55" i="73"/>
  <c r="I55" i="73"/>
  <c r="S54" i="73"/>
  <c r="R54" i="73"/>
  <c r="J54" i="73"/>
  <c r="I54" i="73"/>
  <c r="S53" i="73"/>
  <c r="R53" i="73"/>
  <c r="J53" i="73"/>
  <c r="I53" i="73"/>
  <c r="S52" i="73"/>
  <c r="R52" i="73"/>
  <c r="J52" i="73"/>
  <c r="I52" i="73"/>
  <c r="S51" i="73"/>
  <c r="R51" i="73"/>
  <c r="J51" i="73"/>
  <c r="I51" i="73"/>
  <c r="S50" i="73"/>
  <c r="R50" i="73"/>
  <c r="J50" i="73"/>
  <c r="I50" i="73"/>
  <c r="S49" i="73"/>
  <c r="R49" i="73"/>
  <c r="J49" i="73"/>
  <c r="I49" i="73"/>
  <c r="S48" i="73"/>
  <c r="R48" i="73"/>
  <c r="J48" i="73"/>
  <c r="I48" i="73"/>
  <c r="S47" i="73"/>
  <c r="R47" i="73"/>
  <c r="J47" i="73"/>
  <c r="I47" i="73"/>
  <c r="S46" i="73"/>
  <c r="R46" i="73"/>
  <c r="J46" i="73"/>
  <c r="I46" i="73"/>
  <c r="S45" i="73"/>
  <c r="R45" i="73"/>
  <c r="J45" i="73"/>
  <c r="I45" i="73"/>
  <c r="S44" i="73"/>
  <c r="R44" i="73"/>
  <c r="J44" i="73"/>
  <c r="I44" i="73"/>
  <c r="S43" i="73"/>
  <c r="R43" i="73"/>
  <c r="J43" i="73"/>
  <c r="I43" i="73"/>
  <c r="S42" i="73"/>
  <c r="R42" i="73"/>
  <c r="J42" i="73"/>
  <c r="I42" i="73"/>
  <c r="S41" i="73"/>
  <c r="R41" i="73"/>
  <c r="J41" i="73"/>
  <c r="I41" i="73"/>
  <c r="S40" i="73"/>
  <c r="R40" i="73"/>
  <c r="J40" i="73"/>
  <c r="I40" i="73"/>
  <c r="S39" i="73"/>
  <c r="R39" i="73"/>
  <c r="J39" i="73"/>
  <c r="I39" i="73"/>
  <c r="S38" i="73"/>
  <c r="R38" i="73"/>
  <c r="J38" i="73"/>
  <c r="I38" i="73"/>
  <c r="S37" i="73"/>
  <c r="R37" i="73"/>
  <c r="J37" i="73"/>
  <c r="I37" i="73"/>
  <c r="S36" i="73"/>
  <c r="R36" i="73"/>
  <c r="J36" i="73"/>
  <c r="I36" i="73"/>
  <c r="S35" i="73"/>
  <c r="R35" i="73"/>
  <c r="J35" i="73"/>
  <c r="I35" i="73"/>
  <c r="S34" i="73"/>
  <c r="R34" i="73"/>
  <c r="J34" i="73"/>
  <c r="I34" i="73"/>
  <c r="S33" i="73"/>
  <c r="R33" i="73"/>
  <c r="J33" i="73"/>
  <c r="I33" i="73"/>
  <c r="S32" i="73"/>
  <c r="R32" i="73"/>
  <c r="J32" i="73"/>
  <c r="I32" i="73"/>
  <c r="S31" i="73"/>
  <c r="R31" i="73"/>
  <c r="J31" i="73"/>
  <c r="I31" i="73"/>
  <c r="S30" i="73"/>
  <c r="R30" i="73"/>
  <c r="J30" i="73"/>
  <c r="I30" i="73"/>
  <c r="S29" i="73"/>
  <c r="R29" i="73"/>
  <c r="J29" i="73"/>
  <c r="I29" i="73"/>
  <c r="S28" i="73"/>
  <c r="R28" i="73"/>
  <c r="J28" i="73"/>
  <c r="I28" i="73"/>
  <c r="S27" i="73"/>
  <c r="R27" i="73"/>
  <c r="J27" i="73"/>
  <c r="I27" i="73"/>
  <c r="BC26" i="73"/>
  <c r="S26" i="73"/>
  <c r="R26" i="73"/>
  <c r="J26" i="73"/>
  <c r="I26" i="73"/>
  <c r="S25" i="73"/>
  <c r="R25" i="73"/>
  <c r="J25" i="73"/>
  <c r="I25" i="73"/>
  <c r="S24" i="73"/>
  <c r="R24" i="73"/>
  <c r="J24" i="73"/>
  <c r="I24" i="73"/>
  <c r="S23" i="73"/>
  <c r="R23" i="73"/>
  <c r="J23" i="73"/>
  <c r="I23" i="73"/>
  <c r="S22" i="73"/>
  <c r="R22" i="73"/>
  <c r="J22" i="73"/>
  <c r="I22" i="73"/>
  <c r="S21" i="73"/>
  <c r="R21" i="73"/>
  <c r="J21" i="73"/>
  <c r="I21" i="73"/>
  <c r="S20" i="73"/>
  <c r="R20" i="73"/>
  <c r="J20" i="73"/>
  <c r="I20" i="73"/>
  <c r="S19" i="73"/>
  <c r="R19" i="73"/>
  <c r="J19" i="73"/>
  <c r="I19" i="73"/>
  <c r="S18" i="73"/>
  <c r="R18" i="73"/>
  <c r="J18" i="73"/>
  <c r="I18" i="73"/>
  <c r="S17" i="73"/>
  <c r="R17" i="73"/>
  <c r="J17" i="73"/>
  <c r="I17" i="73"/>
  <c r="S16" i="73"/>
  <c r="R16" i="73"/>
  <c r="J16" i="73"/>
  <c r="I16" i="73"/>
  <c r="S15" i="73"/>
  <c r="R15" i="73"/>
  <c r="J15" i="73"/>
  <c r="I15" i="73"/>
  <c r="S14" i="73"/>
  <c r="R14" i="73"/>
  <c r="J14" i="73"/>
  <c r="I14" i="73"/>
  <c r="S13" i="73"/>
  <c r="R13" i="73"/>
  <c r="J13" i="73"/>
  <c r="I13" i="73"/>
  <c r="S12" i="73"/>
  <c r="R12" i="73"/>
  <c r="J12" i="73"/>
  <c r="I12" i="73"/>
  <c r="S11" i="73"/>
  <c r="R11" i="73"/>
  <c r="J11" i="73"/>
  <c r="I11" i="73"/>
  <c r="S10" i="73"/>
  <c r="R10" i="73"/>
  <c r="J10" i="73"/>
  <c r="I10" i="73"/>
  <c r="S9" i="73"/>
  <c r="R9" i="73"/>
  <c r="J9" i="73"/>
  <c r="I9" i="73"/>
  <c r="A9" i="73"/>
  <c r="A10" i="73" s="1"/>
  <c r="A11" i="73" s="1"/>
  <c r="A12" i="73" s="1"/>
  <c r="A13" i="73" s="1"/>
  <c r="A14" i="73" s="1"/>
  <c r="A15" i="73" s="1"/>
  <c r="A16" i="73" s="1"/>
  <c r="A17" i="73" s="1"/>
  <c r="A18" i="73" s="1"/>
  <c r="A19" i="73" s="1"/>
  <c r="A20" i="73" s="1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A58" i="73" s="1"/>
  <c r="A59" i="73" s="1"/>
  <c r="S8" i="73"/>
  <c r="R8" i="73"/>
  <c r="J8" i="73"/>
  <c r="I8" i="73"/>
  <c r="S60" i="74" l="1"/>
  <c r="R60" i="74"/>
  <c r="J60" i="74"/>
  <c r="I60" i="74"/>
  <c r="R60" i="73"/>
  <c r="S60" i="73"/>
  <c r="I60" i="73"/>
  <c r="J60" i="73"/>
  <c r="I26" i="72"/>
  <c r="Q60" i="72"/>
  <c r="P60" i="72"/>
  <c r="O60" i="72"/>
  <c r="N60" i="72"/>
  <c r="M60" i="72"/>
  <c r="L60" i="72"/>
  <c r="H60" i="72"/>
  <c r="G60" i="72"/>
  <c r="E60" i="72"/>
  <c r="D60" i="72"/>
  <c r="C60" i="72"/>
  <c r="S59" i="72"/>
  <c r="R59" i="72"/>
  <c r="J59" i="72"/>
  <c r="I59" i="72"/>
  <c r="S58" i="72"/>
  <c r="R58" i="72"/>
  <c r="J58" i="72"/>
  <c r="I58" i="72"/>
  <c r="S57" i="72"/>
  <c r="R57" i="72"/>
  <c r="J57" i="72"/>
  <c r="I57" i="72"/>
  <c r="S56" i="72"/>
  <c r="R56" i="72"/>
  <c r="J56" i="72"/>
  <c r="I56" i="72"/>
  <c r="S55" i="72"/>
  <c r="R55" i="72"/>
  <c r="J55" i="72"/>
  <c r="I55" i="72"/>
  <c r="S54" i="72"/>
  <c r="R54" i="72"/>
  <c r="J54" i="72"/>
  <c r="I54" i="72"/>
  <c r="S53" i="72"/>
  <c r="R53" i="72"/>
  <c r="J53" i="72"/>
  <c r="I53" i="72"/>
  <c r="S52" i="72"/>
  <c r="R52" i="72"/>
  <c r="J52" i="72"/>
  <c r="I52" i="72"/>
  <c r="S51" i="72"/>
  <c r="R51" i="72"/>
  <c r="J51" i="72"/>
  <c r="I51" i="72"/>
  <c r="S50" i="72"/>
  <c r="R50" i="72"/>
  <c r="J50" i="72"/>
  <c r="I50" i="72"/>
  <c r="S49" i="72"/>
  <c r="R49" i="72"/>
  <c r="J49" i="72"/>
  <c r="I49" i="72"/>
  <c r="S48" i="72"/>
  <c r="R48" i="72"/>
  <c r="J48" i="72"/>
  <c r="I48" i="72"/>
  <c r="S47" i="72"/>
  <c r="R47" i="72"/>
  <c r="J47" i="72"/>
  <c r="I47" i="72"/>
  <c r="S46" i="72"/>
  <c r="R46" i="72"/>
  <c r="J46" i="72"/>
  <c r="I46" i="72"/>
  <c r="S45" i="72"/>
  <c r="R45" i="72"/>
  <c r="J45" i="72"/>
  <c r="I45" i="72"/>
  <c r="S44" i="72"/>
  <c r="R44" i="72"/>
  <c r="J44" i="72"/>
  <c r="I44" i="72"/>
  <c r="S43" i="72"/>
  <c r="R43" i="72"/>
  <c r="J43" i="72"/>
  <c r="I43" i="72"/>
  <c r="S42" i="72"/>
  <c r="R42" i="72"/>
  <c r="J42" i="72"/>
  <c r="I42" i="72"/>
  <c r="S41" i="72"/>
  <c r="R41" i="72"/>
  <c r="J41" i="72"/>
  <c r="I41" i="72"/>
  <c r="S40" i="72"/>
  <c r="R40" i="72"/>
  <c r="J40" i="72"/>
  <c r="I40" i="72"/>
  <c r="S39" i="72"/>
  <c r="R39" i="72"/>
  <c r="J39" i="72"/>
  <c r="I39" i="72"/>
  <c r="S38" i="72"/>
  <c r="R38" i="72"/>
  <c r="J38" i="72"/>
  <c r="I38" i="72"/>
  <c r="S37" i="72"/>
  <c r="R37" i="72"/>
  <c r="J37" i="72"/>
  <c r="I37" i="72"/>
  <c r="S36" i="72"/>
  <c r="R36" i="72"/>
  <c r="J36" i="72"/>
  <c r="I36" i="72"/>
  <c r="S35" i="72"/>
  <c r="R35" i="72"/>
  <c r="J35" i="72"/>
  <c r="I35" i="72"/>
  <c r="S34" i="72"/>
  <c r="R34" i="72"/>
  <c r="J34" i="72"/>
  <c r="I34" i="72"/>
  <c r="S33" i="72"/>
  <c r="R33" i="72"/>
  <c r="J33" i="72"/>
  <c r="I33" i="72"/>
  <c r="S32" i="72"/>
  <c r="R32" i="72"/>
  <c r="J32" i="72"/>
  <c r="I32" i="72"/>
  <c r="S31" i="72"/>
  <c r="R31" i="72"/>
  <c r="J31" i="72"/>
  <c r="I31" i="72"/>
  <c r="S30" i="72"/>
  <c r="R30" i="72"/>
  <c r="J30" i="72"/>
  <c r="I30" i="72"/>
  <c r="S29" i="72"/>
  <c r="R29" i="72"/>
  <c r="J29" i="72"/>
  <c r="I29" i="72"/>
  <c r="S28" i="72"/>
  <c r="R28" i="72"/>
  <c r="J28" i="72"/>
  <c r="I28" i="72"/>
  <c r="S27" i="72"/>
  <c r="R27" i="72"/>
  <c r="J27" i="72"/>
  <c r="I27" i="72"/>
  <c r="BC26" i="72"/>
  <c r="S26" i="72"/>
  <c r="R26" i="72"/>
  <c r="J26" i="72"/>
  <c r="S25" i="72"/>
  <c r="R25" i="72"/>
  <c r="J25" i="72"/>
  <c r="I25" i="72"/>
  <c r="S24" i="72"/>
  <c r="R24" i="72"/>
  <c r="J24" i="72"/>
  <c r="I24" i="72"/>
  <c r="S23" i="72"/>
  <c r="R23" i="72"/>
  <c r="J23" i="72"/>
  <c r="I23" i="72"/>
  <c r="S22" i="72"/>
  <c r="R22" i="72"/>
  <c r="J22" i="72"/>
  <c r="I22" i="72"/>
  <c r="S21" i="72"/>
  <c r="R21" i="72"/>
  <c r="J21" i="72"/>
  <c r="I21" i="72"/>
  <c r="S20" i="72"/>
  <c r="R20" i="72"/>
  <c r="J20" i="72"/>
  <c r="I20" i="72"/>
  <c r="S19" i="72"/>
  <c r="R19" i="72"/>
  <c r="J19" i="72"/>
  <c r="I19" i="72"/>
  <c r="S18" i="72"/>
  <c r="R18" i="72"/>
  <c r="J18" i="72"/>
  <c r="I18" i="72"/>
  <c r="S17" i="72"/>
  <c r="R17" i="72"/>
  <c r="J17" i="72"/>
  <c r="I17" i="72"/>
  <c r="S16" i="72"/>
  <c r="R16" i="72"/>
  <c r="J16" i="72"/>
  <c r="I16" i="72"/>
  <c r="S15" i="72"/>
  <c r="R15" i="72"/>
  <c r="J15" i="72"/>
  <c r="I15" i="72"/>
  <c r="S14" i="72"/>
  <c r="R14" i="72"/>
  <c r="J14" i="72"/>
  <c r="I14" i="72"/>
  <c r="S13" i="72"/>
  <c r="R13" i="72"/>
  <c r="J13" i="72"/>
  <c r="I13" i="72"/>
  <c r="S12" i="72"/>
  <c r="R12" i="72"/>
  <c r="J12" i="72"/>
  <c r="I12" i="72"/>
  <c r="S11" i="72"/>
  <c r="R11" i="72"/>
  <c r="J11" i="72"/>
  <c r="I11" i="72"/>
  <c r="S10" i="72"/>
  <c r="R10" i="72"/>
  <c r="J10" i="72"/>
  <c r="I10" i="72"/>
  <c r="S9" i="72"/>
  <c r="R9" i="72"/>
  <c r="J9" i="72"/>
  <c r="I9" i="72"/>
  <c r="A9" i="72"/>
  <c r="A10" i="72" s="1"/>
  <c r="A11" i="72" s="1"/>
  <c r="A12" i="72" s="1"/>
  <c r="A13" i="72" s="1"/>
  <c r="A14" i="72" s="1"/>
  <c r="A15" i="72" s="1"/>
  <c r="A16" i="72" s="1"/>
  <c r="A17" i="72" s="1"/>
  <c r="A18" i="72" s="1"/>
  <c r="A19" i="72" s="1"/>
  <c r="A20" i="72" s="1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A58" i="72" s="1"/>
  <c r="A59" i="72" s="1"/>
  <c r="S8" i="72"/>
  <c r="R8" i="72"/>
  <c r="J8" i="72"/>
  <c r="I8" i="72"/>
  <c r="S60" i="72" l="1"/>
  <c r="R60" i="72"/>
  <c r="J60" i="72"/>
  <c r="I60" i="72"/>
  <c r="Q60" i="71"/>
  <c r="P60" i="71"/>
  <c r="O60" i="71"/>
  <c r="N60" i="71"/>
  <c r="M60" i="71"/>
  <c r="L60" i="71"/>
  <c r="H60" i="71"/>
  <c r="G60" i="71"/>
  <c r="E60" i="71"/>
  <c r="D60" i="71"/>
  <c r="C60" i="71"/>
  <c r="S59" i="71"/>
  <c r="R59" i="71"/>
  <c r="J59" i="71"/>
  <c r="I59" i="71"/>
  <c r="S58" i="71"/>
  <c r="R58" i="71"/>
  <c r="J58" i="71"/>
  <c r="I58" i="71"/>
  <c r="S57" i="71"/>
  <c r="R57" i="71"/>
  <c r="J57" i="71"/>
  <c r="I57" i="71"/>
  <c r="S56" i="71"/>
  <c r="R56" i="71"/>
  <c r="J56" i="71"/>
  <c r="I56" i="71"/>
  <c r="S55" i="71"/>
  <c r="R55" i="71"/>
  <c r="J55" i="71"/>
  <c r="I55" i="71"/>
  <c r="S54" i="71"/>
  <c r="R54" i="71"/>
  <c r="J54" i="71"/>
  <c r="I54" i="71"/>
  <c r="S53" i="71"/>
  <c r="R53" i="71"/>
  <c r="J53" i="71"/>
  <c r="I53" i="71"/>
  <c r="S52" i="71"/>
  <c r="R52" i="71"/>
  <c r="J52" i="71"/>
  <c r="I52" i="71"/>
  <c r="S51" i="71"/>
  <c r="R51" i="71"/>
  <c r="J51" i="71"/>
  <c r="I51" i="71"/>
  <c r="S50" i="71"/>
  <c r="R50" i="71"/>
  <c r="J50" i="71"/>
  <c r="I50" i="71"/>
  <c r="S49" i="71"/>
  <c r="R49" i="71"/>
  <c r="J49" i="71"/>
  <c r="I49" i="71"/>
  <c r="S48" i="71"/>
  <c r="R48" i="71"/>
  <c r="J48" i="71"/>
  <c r="I48" i="71"/>
  <c r="S47" i="71"/>
  <c r="R47" i="71"/>
  <c r="J47" i="71"/>
  <c r="I47" i="71"/>
  <c r="S46" i="71"/>
  <c r="R46" i="71"/>
  <c r="J46" i="71"/>
  <c r="I46" i="71"/>
  <c r="S45" i="71"/>
  <c r="R45" i="71"/>
  <c r="J45" i="71"/>
  <c r="I45" i="71"/>
  <c r="S44" i="71"/>
  <c r="R44" i="71"/>
  <c r="J44" i="71"/>
  <c r="I44" i="71"/>
  <c r="S43" i="71"/>
  <c r="R43" i="71"/>
  <c r="J43" i="71"/>
  <c r="I43" i="71"/>
  <c r="S42" i="71"/>
  <c r="R42" i="71"/>
  <c r="J42" i="71"/>
  <c r="I42" i="71"/>
  <c r="S41" i="71"/>
  <c r="R41" i="71"/>
  <c r="J41" i="71"/>
  <c r="I41" i="71"/>
  <c r="S40" i="71"/>
  <c r="R40" i="71"/>
  <c r="J40" i="71"/>
  <c r="I40" i="71"/>
  <c r="S39" i="71"/>
  <c r="R39" i="71"/>
  <c r="J39" i="71"/>
  <c r="I39" i="71"/>
  <c r="S38" i="71"/>
  <c r="R38" i="71"/>
  <c r="J38" i="71"/>
  <c r="I38" i="71"/>
  <c r="S37" i="71"/>
  <c r="R37" i="71"/>
  <c r="J37" i="71"/>
  <c r="I37" i="71"/>
  <c r="S36" i="71"/>
  <c r="R36" i="71"/>
  <c r="J36" i="71"/>
  <c r="I36" i="71"/>
  <c r="S35" i="71"/>
  <c r="R35" i="71"/>
  <c r="J35" i="71"/>
  <c r="I35" i="71"/>
  <c r="S34" i="71"/>
  <c r="R34" i="71"/>
  <c r="J34" i="71"/>
  <c r="I34" i="71"/>
  <c r="S33" i="71"/>
  <c r="R33" i="71"/>
  <c r="J33" i="71"/>
  <c r="I33" i="71"/>
  <c r="S32" i="71"/>
  <c r="R32" i="71"/>
  <c r="J32" i="71"/>
  <c r="I32" i="71"/>
  <c r="S31" i="71"/>
  <c r="R31" i="71"/>
  <c r="J31" i="71"/>
  <c r="I31" i="71"/>
  <c r="S30" i="71"/>
  <c r="R30" i="71"/>
  <c r="J30" i="71"/>
  <c r="I30" i="71"/>
  <c r="S29" i="71"/>
  <c r="R29" i="71"/>
  <c r="J29" i="71"/>
  <c r="I29" i="71"/>
  <c r="S28" i="71"/>
  <c r="R28" i="71"/>
  <c r="J28" i="71"/>
  <c r="I28" i="71"/>
  <c r="S27" i="71"/>
  <c r="R27" i="71"/>
  <c r="J27" i="71"/>
  <c r="I27" i="71"/>
  <c r="BC26" i="71"/>
  <c r="S26" i="71"/>
  <c r="R26" i="71"/>
  <c r="J26" i="71"/>
  <c r="I26" i="71"/>
  <c r="S25" i="71"/>
  <c r="R25" i="71"/>
  <c r="J25" i="71"/>
  <c r="I25" i="71"/>
  <c r="S24" i="71"/>
  <c r="R24" i="71"/>
  <c r="J24" i="71"/>
  <c r="I24" i="71"/>
  <c r="S23" i="71"/>
  <c r="R23" i="71"/>
  <c r="J23" i="71"/>
  <c r="I23" i="71"/>
  <c r="S22" i="71"/>
  <c r="R22" i="71"/>
  <c r="J22" i="71"/>
  <c r="I22" i="71"/>
  <c r="S21" i="71"/>
  <c r="R21" i="71"/>
  <c r="J21" i="71"/>
  <c r="I21" i="71"/>
  <c r="S20" i="71"/>
  <c r="R20" i="71"/>
  <c r="J20" i="71"/>
  <c r="I20" i="71"/>
  <c r="S19" i="71"/>
  <c r="R19" i="71"/>
  <c r="J19" i="71"/>
  <c r="I19" i="71"/>
  <c r="S18" i="71"/>
  <c r="R18" i="71"/>
  <c r="J18" i="71"/>
  <c r="I18" i="71"/>
  <c r="S17" i="71"/>
  <c r="R17" i="71"/>
  <c r="J17" i="71"/>
  <c r="I17" i="71"/>
  <c r="S16" i="71"/>
  <c r="R16" i="71"/>
  <c r="J16" i="71"/>
  <c r="I16" i="71"/>
  <c r="S15" i="71"/>
  <c r="R15" i="71"/>
  <c r="J15" i="71"/>
  <c r="I15" i="71"/>
  <c r="S14" i="71"/>
  <c r="R14" i="71"/>
  <c r="J14" i="71"/>
  <c r="I14" i="71"/>
  <c r="S13" i="71"/>
  <c r="R13" i="71"/>
  <c r="J13" i="71"/>
  <c r="I13" i="71"/>
  <c r="S12" i="71"/>
  <c r="R12" i="71"/>
  <c r="J12" i="71"/>
  <c r="I12" i="71"/>
  <c r="S11" i="71"/>
  <c r="R11" i="71"/>
  <c r="J11" i="71"/>
  <c r="I11" i="71"/>
  <c r="S10" i="71"/>
  <c r="R10" i="71"/>
  <c r="J10" i="71"/>
  <c r="I10" i="71"/>
  <c r="S9" i="71"/>
  <c r="R9" i="71"/>
  <c r="J9" i="71"/>
  <c r="I9" i="71"/>
  <c r="A9" i="71"/>
  <c r="A10" i="71" s="1"/>
  <c r="A11" i="71" s="1"/>
  <c r="A12" i="71" s="1"/>
  <c r="A13" i="71" s="1"/>
  <c r="A14" i="71" s="1"/>
  <c r="A15" i="71" s="1"/>
  <c r="A16" i="71" s="1"/>
  <c r="A17" i="71" s="1"/>
  <c r="A18" i="71" s="1"/>
  <c r="A19" i="71" s="1"/>
  <c r="A20" i="71" s="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A58" i="71" s="1"/>
  <c r="A59" i="71" s="1"/>
  <c r="S8" i="71"/>
  <c r="R8" i="71"/>
  <c r="J8" i="71"/>
  <c r="I8" i="71"/>
  <c r="R60" i="71" l="1"/>
  <c r="S60" i="71"/>
  <c r="I60" i="71"/>
  <c r="J60" i="71"/>
  <c r="S59" i="70"/>
  <c r="S58" i="70"/>
  <c r="S57" i="70"/>
  <c r="S56" i="70"/>
  <c r="S55" i="70"/>
  <c r="S54" i="70"/>
  <c r="S53" i="70"/>
  <c r="S52" i="70"/>
  <c r="S51" i="70"/>
  <c r="S50" i="70"/>
  <c r="S49" i="70"/>
  <c r="S48" i="70"/>
  <c r="S47" i="70"/>
  <c r="S46" i="70"/>
  <c r="S45" i="70"/>
  <c r="S44" i="70"/>
  <c r="S43" i="70"/>
  <c r="S42" i="70"/>
  <c r="S41" i="70"/>
  <c r="S40" i="70"/>
  <c r="S39" i="70"/>
  <c r="S38" i="70"/>
  <c r="S37" i="70"/>
  <c r="S36" i="70"/>
  <c r="S35" i="70"/>
  <c r="S34" i="70"/>
  <c r="S33" i="70"/>
  <c r="S32" i="70"/>
  <c r="S31" i="70"/>
  <c r="S30" i="70"/>
  <c r="S29" i="70"/>
  <c r="S28" i="70"/>
  <c r="S27" i="70"/>
  <c r="S26" i="70"/>
  <c r="S25" i="70"/>
  <c r="S24" i="70"/>
  <c r="S23" i="70"/>
  <c r="S22" i="70"/>
  <c r="S21" i="70"/>
  <c r="S20" i="70"/>
  <c r="S19" i="70"/>
  <c r="S18" i="70"/>
  <c r="S17" i="70"/>
  <c r="S16" i="70"/>
  <c r="S15" i="70"/>
  <c r="S14" i="70"/>
  <c r="S12" i="70"/>
  <c r="S11" i="70"/>
  <c r="S10" i="70"/>
  <c r="S9" i="70"/>
  <c r="S8" i="70"/>
  <c r="R59" i="70"/>
  <c r="R58" i="70"/>
  <c r="R57" i="70"/>
  <c r="R56" i="70"/>
  <c r="R55" i="70"/>
  <c r="R54" i="70"/>
  <c r="R53" i="70"/>
  <c r="R52" i="70"/>
  <c r="R51" i="70"/>
  <c r="R50" i="70"/>
  <c r="R49" i="70"/>
  <c r="R48" i="70"/>
  <c r="R47" i="70"/>
  <c r="R46" i="70"/>
  <c r="R45" i="70"/>
  <c r="R44" i="70"/>
  <c r="R43" i="70"/>
  <c r="R42" i="70"/>
  <c r="R41" i="70"/>
  <c r="R40" i="70"/>
  <c r="R39" i="70"/>
  <c r="R38" i="70"/>
  <c r="R37" i="70"/>
  <c r="R36" i="70"/>
  <c r="R35" i="70"/>
  <c r="R34" i="70"/>
  <c r="R33" i="70"/>
  <c r="R32" i="70"/>
  <c r="R31" i="70"/>
  <c r="R30" i="70"/>
  <c r="R29" i="70"/>
  <c r="R28" i="70"/>
  <c r="R27" i="70"/>
  <c r="R26" i="70"/>
  <c r="R25" i="70"/>
  <c r="R24" i="70"/>
  <c r="R23" i="70"/>
  <c r="R22" i="70"/>
  <c r="R21" i="70"/>
  <c r="R20" i="70"/>
  <c r="R19" i="70"/>
  <c r="R18" i="70"/>
  <c r="R17" i="70"/>
  <c r="R16" i="70"/>
  <c r="R15" i="70"/>
  <c r="R14" i="70"/>
  <c r="R12" i="70"/>
  <c r="R11" i="70"/>
  <c r="R10" i="70"/>
  <c r="R9" i="70"/>
  <c r="R8" i="70"/>
  <c r="S13" i="70"/>
  <c r="R13" i="70"/>
  <c r="J59" i="70"/>
  <c r="J58" i="70"/>
  <c r="J57" i="70"/>
  <c r="J56" i="70"/>
  <c r="J55" i="70"/>
  <c r="J54" i="70"/>
  <c r="J53" i="70"/>
  <c r="J52" i="70"/>
  <c r="J51" i="70"/>
  <c r="J50" i="70"/>
  <c r="J49" i="70"/>
  <c r="J48" i="70"/>
  <c r="J47" i="70"/>
  <c r="J46" i="70"/>
  <c r="J45" i="70"/>
  <c r="J44" i="70"/>
  <c r="J43" i="70"/>
  <c r="J42" i="70"/>
  <c r="J41" i="70"/>
  <c r="J40" i="70"/>
  <c r="J39" i="70"/>
  <c r="J38" i="70"/>
  <c r="J37" i="70"/>
  <c r="J36" i="70"/>
  <c r="J35" i="70"/>
  <c r="J34" i="70"/>
  <c r="J33" i="70"/>
  <c r="J32" i="70"/>
  <c r="J31" i="70"/>
  <c r="J30" i="70"/>
  <c r="J29" i="70"/>
  <c r="J28" i="70"/>
  <c r="J27" i="70"/>
  <c r="J26" i="70"/>
  <c r="J25" i="70"/>
  <c r="J24" i="70"/>
  <c r="J23" i="70"/>
  <c r="J22" i="70"/>
  <c r="J21" i="70"/>
  <c r="J20" i="70"/>
  <c r="J19" i="70"/>
  <c r="J18" i="70"/>
  <c r="J17" i="70"/>
  <c r="J16" i="70"/>
  <c r="J15" i="70"/>
  <c r="J14" i="70"/>
  <c r="J12" i="70"/>
  <c r="J11" i="70"/>
  <c r="J10" i="70"/>
  <c r="J9" i="70"/>
  <c r="J8" i="70"/>
  <c r="J13" i="70"/>
  <c r="I59" i="70"/>
  <c r="I58" i="70"/>
  <c r="I57" i="70"/>
  <c r="I56" i="70"/>
  <c r="I55" i="70"/>
  <c r="I54" i="70"/>
  <c r="I53" i="70"/>
  <c r="I52" i="70"/>
  <c r="I51" i="70"/>
  <c r="I50" i="70"/>
  <c r="I49" i="70"/>
  <c r="I48" i="70"/>
  <c r="I47" i="70"/>
  <c r="I46" i="70"/>
  <c r="I45" i="70"/>
  <c r="I44" i="70"/>
  <c r="I43" i="70"/>
  <c r="I42" i="70"/>
  <c r="I41" i="70"/>
  <c r="I40" i="70"/>
  <c r="I39" i="70"/>
  <c r="I38" i="70"/>
  <c r="I37" i="70"/>
  <c r="I36" i="70"/>
  <c r="I35" i="70"/>
  <c r="I34" i="70"/>
  <c r="I33" i="70"/>
  <c r="I32" i="70"/>
  <c r="I31" i="70"/>
  <c r="I30" i="70"/>
  <c r="I29" i="70"/>
  <c r="I28" i="70"/>
  <c r="I27" i="70"/>
  <c r="I26" i="70"/>
  <c r="I25" i="70"/>
  <c r="I24" i="70"/>
  <c r="I23" i="70"/>
  <c r="I22" i="70"/>
  <c r="I21" i="70"/>
  <c r="I20" i="70"/>
  <c r="I19" i="70"/>
  <c r="I18" i="70"/>
  <c r="I17" i="70"/>
  <c r="I16" i="70"/>
  <c r="I15" i="70"/>
  <c r="I14" i="70"/>
  <c r="I13" i="70"/>
  <c r="I12" i="70"/>
  <c r="I11" i="70"/>
  <c r="I10" i="70"/>
  <c r="I9" i="70"/>
  <c r="I8" i="70"/>
  <c r="A15" i="70"/>
  <c r="A16" i="70" s="1"/>
  <c r="A17" i="70" s="1"/>
  <c r="A18" i="70" s="1"/>
  <c r="A19" i="70" s="1"/>
  <c r="A20" i="70" s="1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A58" i="70" s="1"/>
  <c r="A59" i="70" s="1"/>
  <c r="A13" i="70"/>
  <c r="A14" i="70" s="1"/>
  <c r="J60" i="70" l="1"/>
  <c r="I60" i="70"/>
  <c r="A51" i="20"/>
  <c r="A52" i="20" s="1"/>
  <c r="A53" i="20" s="1"/>
  <c r="A54" i="20" s="1"/>
  <c r="A55" i="20" s="1"/>
  <c r="A56" i="20" s="1"/>
  <c r="A57" i="20" s="1"/>
  <c r="E60" i="70" l="1"/>
  <c r="Q60" i="70"/>
  <c r="P60" i="70"/>
  <c r="O60" i="70"/>
  <c r="N60" i="70"/>
  <c r="M60" i="70"/>
  <c r="L60" i="70"/>
  <c r="H60" i="70"/>
  <c r="G60" i="70"/>
  <c r="D60" i="70"/>
  <c r="C60" i="70"/>
  <c r="BC26" i="70"/>
  <c r="A9" i="70"/>
  <c r="A10" i="70" s="1"/>
  <c r="A11" i="70" s="1"/>
  <c r="A12" i="70" s="1"/>
  <c r="S60" i="70" l="1"/>
  <c r="R60" i="70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V26" i="20" l="1"/>
</calcChain>
</file>

<file path=xl/sharedStrings.xml><?xml version="1.0" encoding="utf-8"?>
<sst xmlns="http://schemas.openxmlformats.org/spreadsheetml/2006/main" count="1538" uniqueCount="79">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</sst>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6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7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58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2" borderId="24" xfId="3" applyNumberFormat="1" applyFont="1" applyFill="1" applyBorder="1" applyAlignment="1">
      <alignment vertical="center"/>
    </xf>
    <xf numFmtId="3" fontId="3" fillId="2" borderId="60" xfId="3" applyNumberFormat="1" applyFont="1" applyFill="1" applyBorder="1" applyAlignment="1">
      <alignment vertical="center"/>
    </xf>
    <xf numFmtId="3" fontId="3" fillId="2" borderId="61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167" fontId="3" fillId="2" borderId="24" xfId="3" applyNumberFormat="1" applyFont="1" applyFill="1" applyBorder="1" applyAlignment="1">
      <alignment vertical="center"/>
    </xf>
    <xf numFmtId="167" fontId="3" fillId="0" borderId="59" xfId="3" applyNumberFormat="1" applyFont="1" applyFill="1" applyBorder="1" applyAlignment="1">
      <alignment vertical="center"/>
    </xf>
    <xf numFmtId="0" fontId="5" fillId="0" borderId="60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167" fontId="3" fillId="2" borderId="3" xfId="3" applyNumberFormat="1" applyFont="1" applyFill="1" applyBorder="1" applyAlignment="1">
      <alignment vertical="center"/>
    </xf>
    <xf numFmtId="3" fontId="3" fillId="2" borderId="3" xfId="3" applyNumberFormat="1" applyFont="1" applyFill="1" applyBorder="1" applyAlignment="1">
      <alignment vertical="center"/>
    </xf>
    <xf numFmtId="3" fontId="2" fillId="0" borderId="48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0" fontId="2" fillId="0" borderId="59" xfId="1" applyFont="1" applyBorder="1" applyAlignment="1">
      <alignment horizontal="center" vertical="center" wrapText="1"/>
    </xf>
    <xf numFmtId="167" fontId="3" fillId="0" borderId="6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8"/>
  <sheetViews>
    <sheetView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B21" sqref="B2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156"/>
      <c r="L1" s="157"/>
      <c r="M1" s="157"/>
      <c r="N1" s="157"/>
      <c r="O1" s="158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150" t="s">
        <v>74</v>
      </c>
      <c r="C4" s="159" t="s">
        <v>3</v>
      </c>
      <c r="D4" s="160" t="s">
        <v>4</v>
      </c>
      <c r="E4" s="161"/>
      <c r="F4" s="162" t="s">
        <v>5</v>
      </c>
      <c r="G4" s="164" t="s">
        <v>6</v>
      </c>
      <c r="I4" s="166" t="s">
        <v>7</v>
      </c>
      <c r="J4" s="167"/>
      <c r="K4" s="167"/>
      <c r="L4" s="167"/>
      <c r="M4" s="167"/>
      <c r="N4" s="167"/>
      <c r="O4" s="168"/>
    </row>
    <row r="5" spans="1:51" s="3" customFormat="1" ht="38.25" thickBot="1" x14ac:dyDescent="0.3">
      <c r="A5" s="53"/>
      <c r="B5" s="150"/>
      <c r="C5" s="159"/>
      <c r="D5" s="52" t="s">
        <v>8</v>
      </c>
      <c r="E5" s="51" t="s">
        <v>9</v>
      </c>
      <c r="F5" s="163"/>
      <c r="G5" s="165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7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78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70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22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24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25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27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29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26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28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30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31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39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13" t="s">
        <v>32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ht="19.5" thickBot="1" x14ac:dyDescent="0.3">
      <c r="A38" s="3">
        <f t="shared" si="0"/>
        <v>33</v>
      </c>
      <c r="B38" s="54" t="s">
        <v>33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10" t="s">
        <v>34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4" t="s">
        <v>35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3">
      <c r="A41" s="3">
        <f t="shared" si="0"/>
        <v>36</v>
      </c>
      <c r="B41" s="59" t="s">
        <v>36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10" t="s">
        <v>43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3">
      <c r="A43" s="3">
        <f t="shared" si="0"/>
        <v>37</v>
      </c>
      <c r="B43" s="54" t="s">
        <v>37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0" t="s">
        <v>45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38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71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76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77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39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72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40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x14ac:dyDescent="0.25">
      <c r="A52" s="3">
        <f t="shared" si="0"/>
        <v>45</v>
      </c>
      <c r="B52" s="13" t="s">
        <v>73</v>
      </c>
      <c r="C52" s="28"/>
      <c r="D52" s="27"/>
      <c r="E52" s="27"/>
      <c r="F52" s="29"/>
      <c r="G52" s="30"/>
      <c r="H52" s="44"/>
      <c r="I52" s="27"/>
      <c r="J52" s="27"/>
      <c r="K52" s="27"/>
      <c r="L52" s="30"/>
      <c r="M52" s="44"/>
      <c r="N52" s="28"/>
      <c r="O52" s="30"/>
    </row>
    <row r="53" spans="1:15" x14ac:dyDescent="0.25">
      <c r="A53" s="3">
        <f t="shared" si="0"/>
        <v>46</v>
      </c>
      <c r="B53" s="13" t="s">
        <v>41</v>
      </c>
      <c r="C53" s="28"/>
      <c r="D53" s="27"/>
      <c r="E53" s="27"/>
      <c r="F53" s="29"/>
      <c r="G53" s="30"/>
      <c r="H53" s="44"/>
      <c r="I53" s="27"/>
      <c r="J53" s="27"/>
      <c r="K53" s="27"/>
      <c r="L53" s="30"/>
      <c r="M53" s="44"/>
      <c r="N53" s="28"/>
      <c r="O53" s="30"/>
    </row>
    <row r="54" spans="1:15" x14ac:dyDescent="0.25">
      <c r="A54" s="3">
        <f t="shared" si="0"/>
        <v>47</v>
      </c>
      <c r="B54" s="13" t="s">
        <v>42</v>
      </c>
      <c r="C54" s="28"/>
      <c r="D54" s="27"/>
      <c r="E54" s="27"/>
      <c r="F54" s="29"/>
      <c r="G54" s="30"/>
      <c r="H54" s="44"/>
      <c r="I54" s="27"/>
      <c r="J54" s="27"/>
      <c r="K54" s="27"/>
      <c r="L54" s="30"/>
      <c r="M54" s="44"/>
      <c r="N54" s="28"/>
      <c r="O54" s="30"/>
    </row>
    <row r="55" spans="1:15" x14ac:dyDescent="0.25">
      <c r="A55" s="3">
        <f t="shared" si="0"/>
        <v>48</v>
      </c>
      <c r="B55" s="13"/>
      <c r="C55" s="28"/>
      <c r="D55" s="27"/>
      <c r="E55" s="27"/>
      <c r="F55" s="29"/>
      <c r="G55" s="30"/>
      <c r="H55" s="44"/>
      <c r="I55" s="27"/>
      <c r="J55" s="27"/>
      <c r="K55" s="27"/>
      <c r="L55" s="30"/>
      <c r="M55" s="44"/>
      <c r="N55" s="28"/>
      <c r="O55" s="30"/>
    </row>
    <row r="56" spans="1:15" x14ac:dyDescent="0.25">
      <c r="A56" s="3">
        <f t="shared" si="0"/>
        <v>49</v>
      </c>
      <c r="B56" s="13"/>
      <c r="C56" s="28"/>
      <c r="D56" s="27"/>
      <c r="E56" s="27"/>
      <c r="F56" s="29"/>
      <c r="G56" s="30"/>
      <c r="H56" s="44"/>
      <c r="I56" s="27"/>
      <c r="J56" s="27"/>
      <c r="K56" s="27"/>
      <c r="L56" s="30"/>
      <c r="M56" s="44"/>
      <c r="N56" s="28"/>
      <c r="O56" s="30"/>
    </row>
    <row r="57" spans="1:15" x14ac:dyDescent="0.25">
      <c r="A57" s="3">
        <f t="shared" si="0"/>
        <v>50</v>
      </c>
      <c r="B57" s="13"/>
      <c r="C57" s="28"/>
      <c r="D57" s="27"/>
      <c r="E57" s="27"/>
      <c r="F57" s="29"/>
      <c r="G57" s="30"/>
      <c r="H57" s="44"/>
      <c r="I57" s="27"/>
      <c r="J57" s="27"/>
      <c r="K57" s="27"/>
      <c r="L57" s="30"/>
      <c r="M57" s="44"/>
      <c r="N57" s="28"/>
      <c r="O57" s="30"/>
    </row>
    <row r="58" spans="1:15" s="1" customFormat="1" ht="19.5" thickBot="1" x14ac:dyDescent="0.3">
      <c r="B58" s="15" t="s">
        <v>13</v>
      </c>
      <c r="C58" s="46"/>
      <c r="D58" s="47"/>
      <c r="E58" s="47"/>
      <c r="F58" s="31"/>
      <c r="G58" s="48"/>
      <c r="H58" s="49"/>
      <c r="I58" s="47"/>
      <c r="J58" s="47"/>
      <c r="K58" s="47"/>
      <c r="L58" s="48"/>
      <c r="M58" s="49"/>
      <c r="N58" s="46"/>
      <c r="O58" s="48"/>
    </row>
    <row r="59" spans="1:15" ht="19.5" thickBot="1" x14ac:dyDescent="0.3"/>
    <row r="60" spans="1:15" ht="18.75" customHeight="1" x14ac:dyDescent="0.25">
      <c r="F60" s="151" t="s">
        <v>65</v>
      </c>
      <c r="G60" s="24" t="s">
        <v>66</v>
      </c>
      <c r="I60" s="33"/>
      <c r="J60" s="34"/>
      <c r="K60" s="34"/>
      <c r="L60" s="35"/>
    </row>
    <row r="61" spans="1:15" x14ac:dyDescent="0.25">
      <c r="F61" s="152"/>
      <c r="G61" s="25" t="s">
        <v>51</v>
      </c>
      <c r="I61" s="36"/>
      <c r="J61" s="37"/>
      <c r="K61" s="37"/>
      <c r="L61" s="38"/>
    </row>
    <row r="62" spans="1:15" x14ac:dyDescent="0.25">
      <c r="F62" s="153"/>
      <c r="G62" s="25" t="s">
        <v>52</v>
      </c>
      <c r="I62" s="39"/>
      <c r="J62" s="40"/>
      <c r="K62" s="40"/>
      <c r="L62" s="41"/>
    </row>
    <row r="63" spans="1:15" x14ac:dyDescent="0.25">
      <c r="F63" s="154" t="s">
        <v>64</v>
      </c>
      <c r="G63" s="25" t="s">
        <v>66</v>
      </c>
      <c r="I63" s="39"/>
      <c r="J63" s="40"/>
      <c r="K63" s="40"/>
      <c r="L63" s="41"/>
    </row>
    <row r="64" spans="1:15" x14ac:dyDescent="0.25">
      <c r="F64" s="154"/>
      <c r="G64" s="25" t="s">
        <v>51</v>
      </c>
      <c r="I64" s="36"/>
      <c r="J64" s="37"/>
      <c r="K64" s="37"/>
      <c r="L64" s="38"/>
    </row>
    <row r="65" spans="2:15" ht="19.5" thickBot="1" x14ac:dyDescent="0.3">
      <c r="F65" s="155"/>
      <c r="G65" s="26" t="s">
        <v>52</v>
      </c>
      <c r="I65" s="42"/>
      <c r="J65" s="43"/>
      <c r="K65" s="43"/>
      <c r="L65" s="32"/>
    </row>
    <row r="66" spans="2:15" ht="19.5" thickBot="1" x14ac:dyDescent="0.3"/>
    <row r="67" spans="2:15" ht="57" thickBot="1" x14ac:dyDescent="0.3">
      <c r="B67" s="17" t="s">
        <v>53</v>
      </c>
      <c r="C67" s="18" t="s">
        <v>3</v>
      </c>
      <c r="D67" s="19" t="s">
        <v>54</v>
      </c>
      <c r="I67" s="20" t="s">
        <v>10</v>
      </c>
      <c r="J67" s="21" t="s">
        <v>11</v>
      </c>
      <c r="K67" s="21" t="s">
        <v>12</v>
      </c>
      <c r="L67" s="19" t="s">
        <v>55</v>
      </c>
      <c r="O67" s="18" t="s">
        <v>56</v>
      </c>
    </row>
    <row r="68" spans="2:15" x14ac:dyDescent="0.25">
      <c r="B68" s="22" t="s">
        <v>31</v>
      </c>
      <c r="C68" s="11"/>
      <c r="D68" s="23"/>
      <c r="I68" s="11"/>
      <c r="J68" s="11"/>
      <c r="K68" s="11"/>
      <c r="L68" s="11"/>
      <c r="O68" s="23"/>
    </row>
    <row r="69" spans="2:15" x14ac:dyDescent="0.25">
      <c r="B69" s="16" t="s">
        <v>57</v>
      </c>
      <c r="C69" s="11"/>
      <c r="D69" s="23"/>
      <c r="I69" s="23"/>
      <c r="J69" s="23"/>
      <c r="K69" s="23"/>
      <c r="L69" s="23"/>
      <c r="O69" s="23"/>
    </row>
    <row r="70" spans="2:15" x14ac:dyDescent="0.25">
      <c r="B70" s="16" t="s">
        <v>58</v>
      </c>
      <c r="C70" s="11"/>
      <c r="D70" s="23"/>
      <c r="I70" s="23"/>
      <c r="J70" s="23"/>
      <c r="K70" s="23"/>
      <c r="L70" s="23"/>
      <c r="O70" s="23"/>
    </row>
    <row r="71" spans="2:15" ht="11.25" customHeight="1" x14ac:dyDescent="0.25"/>
    <row r="72" spans="2:15" x14ac:dyDescent="0.25">
      <c r="B72" s="16" t="s">
        <v>59</v>
      </c>
      <c r="C72" s="23"/>
      <c r="D72" s="23"/>
      <c r="I72" s="23"/>
      <c r="J72" s="23"/>
      <c r="K72" s="23"/>
      <c r="L72" s="23"/>
      <c r="O72" s="23"/>
    </row>
    <row r="73" spans="2:15" x14ac:dyDescent="0.25">
      <c r="B73" s="16" t="s">
        <v>57</v>
      </c>
      <c r="C73" s="23"/>
      <c r="D73" s="23"/>
      <c r="I73" s="23"/>
      <c r="J73" s="23"/>
      <c r="K73" s="23"/>
      <c r="L73" s="23"/>
      <c r="O73" s="23"/>
    </row>
    <row r="74" spans="2:15" x14ac:dyDescent="0.25">
      <c r="B74" s="16" t="s">
        <v>58</v>
      </c>
      <c r="C74" s="23"/>
      <c r="D74" s="23"/>
      <c r="I74" s="23"/>
      <c r="J74" s="23"/>
      <c r="K74" s="23"/>
      <c r="L74" s="23"/>
      <c r="O74" s="23"/>
    </row>
    <row r="75" spans="2:15" ht="11.25" customHeight="1" x14ac:dyDescent="0.25"/>
    <row r="76" spans="2:15" x14ac:dyDescent="0.25">
      <c r="B76" s="16" t="s">
        <v>60</v>
      </c>
      <c r="C76" s="23"/>
      <c r="D76" s="23"/>
      <c r="I76" s="23"/>
      <c r="J76" s="23"/>
      <c r="K76" s="23"/>
      <c r="L76" s="23"/>
      <c r="O76" s="23"/>
    </row>
    <row r="77" spans="2:15" x14ac:dyDescent="0.25">
      <c r="B77" s="16" t="s">
        <v>57</v>
      </c>
      <c r="C77" s="23"/>
      <c r="D77" s="23"/>
      <c r="I77" s="23"/>
      <c r="J77" s="23"/>
      <c r="K77" s="23"/>
      <c r="L77" s="23"/>
      <c r="O77" s="23"/>
    </row>
    <row r="78" spans="2:15" x14ac:dyDescent="0.25">
      <c r="B78" s="16" t="s">
        <v>58</v>
      </c>
      <c r="C78" s="23"/>
      <c r="D78" s="23"/>
      <c r="I78" s="23"/>
      <c r="J78" s="23"/>
      <c r="K78" s="23"/>
      <c r="L78" s="23"/>
      <c r="O78" s="23"/>
    </row>
    <row r="79" spans="2:15" ht="11.25" customHeight="1" x14ac:dyDescent="0.25"/>
    <row r="80" spans="2:15" x14ac:dyDescent="0.25">
      <c r="B80" s="16" t="s">
        <v>61</v>
      </c>
      <c r="C80" s="23"/>
      <c r="D80" s="23"/>
      <c r="I80" s="23"/>
      <c r="J80" s="23"/>
      <c r="K80" s="23"/>
      <c r="L80" s="23"/>
      <c r="O80" s="23"/>
    </row>
    <row r="81" spans="2:15" x14ac:dyDescent="0.25">
      <c r="B81" s="16" t="s">
        <v>57</v>
      </c>
      <c r="C81" s="23"/>
      <c r="D81" s="23"/>
      <c r="I81" s="23"/>
      <c r="J81" s="23"/>
      <c r="K81" s="23"/>
      <c r="L81" s="23"/>
      <c r="O81" s="23"/>
    </row>
    <row r="82" spans="2:15" x14ac:dyDescent="0.25">
      <c r="B82" s="16" t="s">
        <v>58</v>
      </c>
      <c r="C82" s="11"/>
      <c r="D82" s="23"/>
      <c r="I82" s="23"/>
      <c r="J82" s="23"/>
      <c r="K82" s="23"/>
      <c r="L82" s="23"/>
      <c r="O82" s="23"/>
    </row>
    <row r="83" spans="2:15" ht="11.25" customHeight="1" x14ac:dyDescent="0.25"/>
    <row r="84" spans="2:15" x14ac:dyDescent="0.25">
      <c r="B84" s="16" t="s">
        <v>62</v>
      </c>
      <c r="C84" s="23"/>
      <c r="D84" s="23"/>
      <c r="I84" s="23"/>
      <c r="J84" s="23"/>
      <c r="K84" s="23"/>
      <c r="L84" s="23"/>
      <c r="O84" s="23"/>
    </row>
    <row r="85" spans="2:15" x14ac:dyDescent="0.25">
      <c r="B85" s="16" t="s">
        <v>57</v>
      </c>
      <c r="C85" s="23"/>
      <c r="D85" s="23"/>
      <c r="I85" s="23"/>
      <c r="J85" s="23"/>
      <c r="K85" s="23"/>
      <c r="L85" s="23"/>
      <c r="O85" s="23"/>
    </row>
    <row r="86" spans="2:15" x14ac:dyDescent="0.25">
      <c r="B86" s="16" t="s">
        <v>58</v>
      </c>
      <c r="C86" s="23"/>
      <c r="D86" s="23"/>
      <c r="I86" s="23"/>
      <c r="J86" s="23"/>
      <c r="K86" s="23"/>
      <c r="L86" s="23"/>
      <c r="O86" s="23"/>
    </row>
    <row r="88" spans="2:15" x14ac:dyDescent="0.25">
      <c r="B88" s="16" t="s">
        <v>63</v>
      </c>
      <c r="C88" s="23"/>
      <c r="D88" s="23"/>
      <c r="I88" s="23"/>
      <c r="J88" s="23"/>
      <c r="K88" s="23"/>
      <c r="L88" s="23"/>
      <c r="O88" s="23"/>
    </row>
  </sheetData>
  <mergeCells count="9">
    <mergeCell ref="B4:B5"/>
    <mergeCell ref="F60:F62"/>
    <mergeCell ref="F63:F65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BC87-E8E6-4750-8FA2-C13418529E74}">
  <sheetPr>
    <pageSetUpPr fitToPage="1"/>
  </sheetPr>
  <dimension ref="A1:BF90"/>
  <sheetViews>
    <sheetView zoomScale="85" zoomScaleNormal="85" zoomScaleSheetLayoutView="85" zoomScalePageLayoutView="80" workbookViewId="0">
      <selection activeCell="X5" sqref="X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6">
        <v>46055</v>
      </c>
      <c r="Q1" s="157"/>
      <c r="R1" s="157"/>
      <c r="S1" s="157"/>
      <c r="T1" s="157"/>
      <c r="U1" s="157"/>
      <c r="V1" s="15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50" t="s">
        <v>74</v>
      </c>
      <c r="C4" s="159" t="s">
        <v>3</v>
      </c>
      <c r="D4" s="169" t="s">
        <v>75</v>
      </c>
      <c r="E4" s="160" t="s">
        <v>4</v>
      </c>
      <c r="F4" s="161"/>
      <c r="G4" s="162" t="s">
        <v>5</v>
      </c>
      <c r="H4" s="170" t="s">
        <v>75</v>
      </c>
      <c r="I4" s="164" t="s">
        <v>6</v>
      </c>
      <c r="J4" s="170" t="s">
        <v>75</v>
      </c>
      <c r="L4" s="166" t="s">
        <v>7</v>
      </c>
      <c r="M4" s="167"/>
      <c r="N4" s="167"/>
      <c r="O4" s="167"/>
      <c r="P4" s="167"/>
      <c r="Q4" s="167"/>
      <c r="R4" s="167"/>
      <c r="S4" s="167"/>
      <c r="T4" s="167"/>
      <c r="U4" s="167"/>
      <c r="V4" s="168"/>
    </row>
    <row r="5" spans="1:58" s="3" customFormat="1" ht="38.25" thickBot="1" x14ac:dyDescent="0.3">
      <c r="A5" s="53"/>
      <c r="B5" s="150"/>
      <c r="C5" s="159"/>
      <c r="D5" s="169"/>
      <c r="E5" s="52" t="s">
        <v>8</v>
      </c>
      <c r="F5" s="134" t="s">
        <v>9</v>
      </c>
      <c r="G5" s="163"/>
      <c r="H5" s="171"/>
      <c r="I5" s="165"/>
      <c r="J5" s="17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110</v>
      </c>
      <c r="D9" s="105"/>
      <c r="E9" s="106"/>
      <c r="F9" s="106"/>
      <c r="G9" s="107"/>
      <c r="H9" s="108"/>
      <c r="I9" s="93">
        <f t="shared" ref="I9:J59" si="3">C9-G9</f>
        <v>110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146</v>
      </c>
      <c r="D11" s="101"/>
      <c r="E11" s="91"/>
      <c r="F11" s="91"/>
      <c r="G11" s="102">
        <v>2</v>
      </c>
      <c r="H11" s="93"/>
      <c r="I11" s="93">
        <f t="shared" si="3"/>
        <v>144</v>
      </c>
      <c r="J11" s="103">
        <f t="shared" si="0"/>
        <v>0</v>
      </c>
      <c r="K11" s="44"/>
      <c r="L11" s="91"/>
      <c r="M11" s="91"/>
      <c r="N11" s="91">
        <v>2</v>
      </c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4</v>
      </c>
      <c r="D12" s="101"/>
      <c r="E12" s="91"/>
      <c r="F12" s="91"/>
      <c r="G12" s="102"/>
      <c r="H12" s="93"/>
      <c r="I12" s="93">
        <f t="shared" si="3"/>
        <v>4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3872</v>
      </c>
      <c r="D13" s="105">
        <v>2</v>
      </c>
      <c r="E13" s="106"/>
      <c r="F13" s="106"/>
      <c r="G13" s="107">
        <v>41</v>
      </c>
      <c r="H13" s="108">
        <v>33</v>
      </c>
      <c r="I13" s="93">
        <f t="shared" si="3"/>
        <v>3831</v>
      </c>
      <c r="J13" s="103">
        <f>D13-H13</f>
        <v>-31</v>
      </c>
      <c r="K13" s="68"/>
      <c r="L13" s="94">
        <v>14</v>
      </c>
      <c r="M13" s="94">
        <v>7</v>
      </c>
      <c r="N13" s="94">
        <v>20</v>
      </c>
      <c r="O13" s="94">
        <v>22</v>
      </c>
      <c r="P13" s="94">
        <v>4</v>
      </c>
      <c r="Q13" s="95">
        <v>41</v>
      </c>
      <c r="R13" s="129">
        <f>L13+N13+P13</f>
        <v>38</v>
      </c>
      <c r="S13" s="127">
        <f>M13+O13+Q13</f>
        <v>70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116</v>
      </c>
      <c r="D26" s="101">
        <v>11</v>
      </c>
      <c r="E26" s="91"/>
      <c r="F26" s="91"/>
      <c r="G26" s="102"/>
      <c r="H26" s="93"/>
      <c r="I26" s="93">
        <f t="shared" si="3"/>
        <v>116</v>
      </c>
      <c r="J26" s="103">
        <f t="shared" si="3"/>
        <v>11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3</v>
      </c>
      <c r="D27" s="101"/>
      <c r="E27" s="91"/>
      <c r="F27" s="91"/>
      <c r="G27" s="102"/>
      <c r="H27" s="93"/>
      <c r="I27" s="93">
        <f t="shared" si="3"/>
        <v>3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78</v>
      </c>
      <c r="D29" s="101"/>
      <c r="E29" s="91"/>
      <c r="F29" s="91"/>
      <c r="G29" s="102">
        <v>5</v>
      </c>
      <c r="H29" s="93"/>
      <c r="I29" s="93">
        <f t="shared" si="3"/>
        <v>73</v>
      </c>
      <c r="J29" s="103">
        <f t="shared" si="3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4"/>
        <v>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>
        <v>12</v>
      </c>
      <c r="E31" s="91"/>
      <c r="F31" s="91"/>
      <c r="G31" s="102"/>
      <c r="H31" s="93"/>
      <c r="I31" s="93">
        <f t="shared" si="3"/>
        <v>78</v>
      </c>
      <c r="J31" s="103">
        <f t="shared" si="3"/>
        <v>12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3</v>
      </c>
      <c r="D32" s="101"/>
      <c r="E32" s="91"/>
      <c r="F32" s="91"/>
      <c r="G32" s="102"/>
      <c r="H32" s="93"/>
      <c r="I32" s="93">
        <f t="shared" si="3"/>
        <v>3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/>
      <c r="H35" s="93"/>
      <c r="I35" s="93">
        <f t="shared" si="3"/>
        <v>200</v>
      </c>
      <c r="J35" s="103">
        <f t="shared" si="3"/>
        <v>11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5809</v>
      </c>
      <c r="D38" s="105">
        <v>2</v>
      </c>
      <c r="E38" s="106"/>
      <c r="F38" s="106"/>
      <c r="G38" s="107">
        <v>211</v>
      </c>
      <c r="H38" s="108"/>
      <c r="I38" s="93">
        <f t="shared" si="3"/>
        <v>5598</v>
      </c>
      <c r="J38" s="103">
        <f t="shared" si="3"/>
        <v>2</v>
      </c>
      <c r="K38" s="64"/>
      <c r="L38" s="94">
        <v>118</v>
      </c>
      <c r="M38" s="94"/>
      <c r="N38" s="94">
        <v>53</v>
      </c>
      <c r="O38" s="94"/>
      <c r="P38" s="94">
        <v>80</v>
      </c>
      <c r="Q38" s="95"/>
      <c r="R38" s="129">
        <f t="shared" si="4"/>
        <v>251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12</v>
      </c>
      <c r="D39" s="101"/>
      <c r="E39" s="91"/>
      <c r="F39" s="91"/>
      <c r="G39" s="102"/>
      <c r="H39" s="93"/>
      <c r="I39" s="93">
        <f t="shared" si="3"/>
        <v>12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/>
      <c r="H41" s="108"/>
      <c r="I41" s="93">
        <f t="shared" si="3"/>
        <v>823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1963</v>
      </c>
      <c r="D42" s="110"/>
      <c r="E42" s="96"/>
      <c r="F42" s="96"/>
      <c r="G42" s="111">
        <v>28</v>
      </c>
      <c r="H42" s="112"/>
      <c r="I42" s="93">
        <f t="shared" si="3"/>
        <v>1935</v>
      </c>
      <c r="J42" s="103">
        <f t="shared" si="3"/>
        <v>0</v>
      </c>
      <c r="K42" s="69"/>
      <c r="L42" s="96">
        <v>10</v>
      </c>
      <c r="M42" s="96"/>
      <c r="N42" s="96">
        <v>11</v>
      </c>
      <c r="O42" s="96"/>
      <c r="P42" s="96">
        <v>7</v>
      </c>
      <c r="Q42" s="97"/>
      <c r="R42" s="129">
        <f t="shared" si="4"/>
        <v>28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31248</v>
      </c>
      <c r="D44" s="105"/>
      <c r="E44" s="106"/>
      <c r="F44" s="106"/>
      <c r="G44" s="107">
        <v>1071</v>
      </c>
      <c r="H44" s="108"/>
      <c r="I44" s="93">
        <f t="shared" si="3"/>
        <v>30177</v>
      </c>
      <c r="J44" s="103">
        <f t="shared" si="3"/>
        <v>0</v>
      </c>
      <c r="K44" s="64"/>
      <c r="L44" s="94">
        <v>283</v>
      </c>
      <c r="M44" s="94"/>
      <c r="N44" s="94">
        <v>458</v>
      </c>
      <c r="O44" s="94"/>
      <c r="P44" s="94">
        <v>330</v>
      </c>
      <c r="Q44" s="95"/>
      <c r="R44" s="129">
        <f t="shared" si="4"/>
        <v>1071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2400</v>
      </c>
      <c r="D48" s="101">
        <v>5</v>
      </c>
      <c r="E48" s="91"/>
      <c r="F48" s="91"/>
      <c r="G48" s="102"/>
      <c r="H48" s="93"/>
      <c r="I48" s="93">
        <f t="shared" si="3"/>
        <v>2400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47042</v>
      </c>
      <c r="D60" s="71">
        <f>SUM(D8:D59)</f>
        <v>55</v>
      </c>
      <c r="E60" s="47">
        <f>SUM(E8:E59)</f>
        <v>0</v>
      </c>
      <c r="F60" s="47"/>
      <c r="G60" s="31">
        <f>SUM(G8:G59)</f>
        <v>1358</v>
      </c>
      <c r="H60" s="73">
        <f>SUM(H8:H59)</f>
        <v>33</v>
      </c>
      <c r="I60" s="73">
        <f>SUM(I8:I59)</f>
        <v>45684</v>
      </c>
      <c r="J60" s="48">
        <f>SUM(J8:J59)</f>
        <v>22</v>
      </c>
      <c r="K60" s="49"/>
      <c r="L60" s="98">
        <f t="shared" ref="L60:S60" si="5">SUM(L8:L59)</f>
        <v>425</v>
      </c>
      <c r="M60" s="98">
        <f t="shared" si="5"/>
        <v>7</v>
      </c>
      <c r="N60" s="98">
        <f t="shared" si="5"/>
        <v>544</v>
      </c>
      <c r="O60" s="98">
        <f t="shared" si="5"/>
        <v>22</v>
      </c>
      <c r="P60" s="98">
        <f t="shared" si="5"/>
        <v>426</v>
      </c>
      <c r="Q60" s="99">
        <f t="shared" si="5"/>
        <v>41</v>
      </c>
      <c r="R60" s="128">
        <f t="shared" si="5"/>
        <v>1395</v>
      </c>
      <c r="S60" s="125">
        <f t="shared" si="5"/>
        <v>70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5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5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2" t="s">
        <v>3</v>
      </c>
      <c r="D69" s="13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2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A6D3-DCF3-4CDD-8803-E7214DD1DF69}">
  <sheetPr>
    <pageSetUpPr fitToPage="1"/>
  </sheetPr>
  <dimension ref="A1:BF90"/>
  <sheetViews>
    <sheetView zoomScale="85" zoomScaleNormal="85" zoomScaleSheetLayoutView="85" zoomScalePageLayoutView="80" workbookViewId="0">
      <selection activeCell="C53" sqref="C53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6">
        <v>46056</v>
      </c>
      <c r="Q1" s="157"/>
      <c r="R1" s="157"/>
      <c r="S1" s="157"/>
      <c r="T1" s="157"/>
      <c r="U1" s="157"/>
      <c r="V1" s="15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50" t="s">
        <v>74</v>
      </c>
      <c r="C4" s="159" t="s">
        <v>3</v>
      </c>
      <c r="D4" s="169" t="s">
        <v>75</v>
      </c>
      <c r="E4" s="160" t="s">
        <v>4</v>
      </c>
      <c r="F4" s="161"/>
      <c r="G4" s="162" t="s">
        <v>5</v>
      </c>
      <c r="H4" s="170" t="s">
        <v>75</v>
      </c>
      <c r="I4" s="164" t="s">
        <v>6</v>
      </c>
      <c r="J4" s="170" t="s">
        <v>75</v>
      </c>
      <c r="L4" s="166" t="s">
        <v>7</v>
      </c>
      <c r="M4" s="167"/>
      <c r="N4" s="167"/>
      <c r="O4" s="167"/>
      <c r="P4" s="167"/>
      <c r="Q4" s="167"/>
      <c r="R4" s="167"/>
      <c r="S4" s="167"/>
      <c r="T4" s="167"/>
      <c r="U4" s="167"/>
      <c r="V4" s="168"/>
    </row>
    <row r="5" spans="1:58" s="3" customFormat="1" ht="38.25" thickBot="1" x14ac:dyDescent="0.3">
      <c r="A5" s="53"/>
      <c r="B5" s="150"/>
      <c r="C5" s="159"/>
      <c r="D5" s="169"/>
      <c r="E5" s="52" t="s">
        <v>8</v>
      </c>
      <c r="F5" s="134" t="s">
        <v>9</v>
      </c>
      <c r="G5" s="163"/>
      <c r="H5" s="171"/>
      <c r="I5" s="165"/>
      <c r="J5" s="17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110</v>
      </c>
      <c r="D9" s="105"/>
      <c r="E9" s="106"/>
      <c r="F9" s="106"/>
      <c r="G9" s="107">
        <v>2</v>
      </c>
      <c r="H9" s="108"/>
      <c r="I9" s="93">
        <f t="shared" ref="I9:J59" si="3">C9-G9</f>
        <v>108</v>
      </c>
      <c r="J9" s="103">
        <f t="shared" si="0"/>
        <v>0</v>
      </c>
      <c r="K9" s="64"/>
      <c r="L9" s="94"/>
      <c r="M9" s="94"/>
      <c r="N9" s="94"/>
      <c r="O9" s="94"/>
      <c r="P9" s="94">
        <v>2</v>
      </c>
      <c r="Q9" s="95"/>
      <c r="R9" s="129">
        <f t="shared" si="1"/>
        <v>2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144</v>
      </c>
      <c r="D11" s="101"/>
      <c r="E11" s="91"/>
      <c r="F11" s="91"/>
      <c r="G11" s="102">
        <v>5</v>
      </c>
      <c r="H11" s="93"/>
      <c r="I11" s="93">
        <f t="shared" si="3"/>
        <v>139</v>
      </c>
      <c r="J11" s="103">
        <f t="shared" si="0"/>
        <v>0</v>
      </c>
      <c r="K11" s="44"/>
      <c r="L11" s="91">
        <v>2</v>
      </c>
      <c r="M11" s="91"/>
      <c r="N11" s="91">
        <v>1</v>
      </c>
      <c r="O11" s="91"/>
      <c r="P11" s="91">
        <v>2</v>
      </c>
      <c r="Q11" s="92"/>
      <c r="R11" s="129">
        <f t="shared" si="1"/>
        <v>5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4</v>
      </c>
      <c r="D12" s="101"/>
      <c r="E12" s="91"/>
      <c r="F12" s="91"/>
      <c r="G12" s="102">
        <v>2</v>
      </c>
      <c r="H12" s="93"/>
      <c r="I12" s="93">
        <f t="shared" si="3"/>
        <v>2</v>
      </c>
      <c r="J12" s="103">
        <f t="shared" si="0"/>
        <v>0</v>
      </c>
      <c r="K12" s="44"/>
      <c r="L12" s="91">
        <v>2</v>
      </c>
      <c r="M12" s="91"/>
      <c r="N12" s="91"/>
      <c r="O12" s="91"/>
      <c r="P12" s="91"/>
      <c r="Q12" s="92"/>
      <c r="R12" s="129">
        <f t="shared" si="1"/>
        <v>2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3829</v>
      </c>
      <c r="D13" s="105">
        <v>17</v>
      </c>
      <c r="E13" s="106"/>
      <c r="F13" s="106"/>
      <c r="G13" s="107">
        <v>18</v>
      </c>
      <c r="H13" s="108">
        <v>15</v>
      </c>
      <c r="I13" s="93">
        <f t="shared" si="3"/>
        <v>3811</v>
      </c>
      <c r="J13" s="103">
        <f>D13-H13</f>
        <v>2</v>
      </c>
      <c r="K13" s="68"/>
      <c r="L13" s="94">
        <v>2</v>
      </c>
      <c r="M13" s="94">
        <v>2</v>
      </c>
      <c r="N13" s="94">
        <v>4</v>
      </c>
      <c r="O13" s="94">
        <v>9</v>
      </c>
      <c r="P13" s="94">
        <v>12</v>
      </c>
      <c r="Q13" s="95">
        <v>4</v>
      </c>
      <c r="R13" s="129">
        <f>L13+N13+P13</f>
        <v>18</v>
      </c>
      <c r="S13" s="127">
        <f>M13+O13+Q13</f>
        <v>15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116</v>
      </c>
      <c r="D26" s="101">
        <v>11</v>
      </c>
      <c r="E26" s="91"/>
      <c r="F26" s="91"/>
      <c r="G26" s="102"/>
      <c r="H26" s="93">
        <v>12</v>
      </c>
      <c r="I26" s="93">
        <f t="shared" si="3"/>
        <v>116</v>
      </c>
      <c r="J26" s="103">
        <f t="shared" si="3"/>
        <v>-1</v>
      </c>
      <c r="K26" s="44"/>
      <c r="L26" s="91"/>
      <c r="M26" s="91">
        <v>12</v>
      </c>
      <c r="N26" s="91"/>
      <c r="O26" s="91"/>
      <c r="P26" s="91"/>
      <c r="Q26" s="92"/>
      <c r="R26" s="129">
        <f t="shared" si="4"/>
        <v>0</v>
      </c>
      <c r="S26" s="127">
        <f t="shared" si="4"/>
        <v>12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3</v>
      </c>
      <c r="D27" s="101"/>
      <c r="E27" s="91"/>
      <c r="F27" s="91"/>
      <c r="G27" s="102">
        <v>1</v>
      </c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>
        <v>1</v>
      </c>
      <c r="Q27" s="92"/>
      <c r="R27" s="129">
        <f t="shared" si="4"/>
        <v>1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73</v>
      </c>
      <c r="D29" s="101"/>
      <c r="E29" s="91"/>
      <c r="F29" s="91"/>
      <c r="G29" s="102">
        <v>4</v>
      </c>
      <c r="H29" s="93"/>
      <c r="I29" s="93">
        <f t="shared" si="3"/>
        <v>69</v>
      </c>
      <c r="J29" s="103">
        <f t="shared" si="3"/>
        <v>0</v>
      </c>
      <c r="K29" s="45"/>
      <c r="L29" s="91">
        <v>1</v>
      </c>
      <c r="M29" s="91"/>
      <c r="N29" s="91"/>
      <c r="O29" s="91"/>
      <c r="P29" s="91">
        <v>3</v>
      </c>
      <c r="Q29" s="92"/>
      <c r="R29" s="129">
        <f t="shared" si="4"/>
        <v>4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>
        <v>12</v>
      </c>
      <c r="E31" s="91"/>
      <c r="F31" s="91"/>
      <c r="G31" s="102"/>
      <c r="H31" s="93">
        <v>12</v>
      </c>
      <c r="I31" s="93">
        <f t="shared" si="3"/>
        <v>78</v>
      </c>
      <c r="J31" s="103">
        <f t="shared" si="3"/>
        <v>0</v>
      </c>
      <c r="K31" s="44"/>
      <c r="L31" s="91"/>
      <c r="M31" s="91">
        <v>12</v>
      </c>
      <c r="N31" s="91"/>
      <c r="O31" s="91"/>
      <c r="P31" s="91"/>
      <c r="Q31" s="92"/>
      <c r="R31" s="129">
        <f t="shared" si="4"/>
        <v>0</v>
      </c>
      <c r="S31" s="127">
        <f t="shared" si="4"/>
        <v>12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3</v>
      </c>
      <c r="D32" s="101"/>
      <c r="E32" s="91"/>
      <c r="F32" s="91"/>
      <c r="G32" s="102">
        <v>1</v>
      </c>
      <c r="H32" s="93"/>
      <c r="I32" s="93">
        <f t="shared" si="3"/>
        <v>2</v>
      </c>
      <c r="J32" s="103">
        <f t="shared" si="3"/>
        <v>0</v>
      </c>
      <c r="K32" s="44"/>
      <c r="L32" s="91"/>
      <c r="M32" s="91"/>
      <c r="N32" s="91">
        <v>1</v>
      </c>
      <c r="O32" s="91"/>
      <c r="P32" s="91"/>
      <c r="Q32" s="92"/>
      <c r="R32" s="129">
        <f t="shared" si="4"/>
        <v>1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/>
      <c r="H35" s="93"/>
      <c r="I35" s="93">
        <f t="shared" si="3"/>
        <v>200</v>
      </c>
      <c r="J35" s="103">
        <f t="shared" si="3"/>
        <v>11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5598</v>
      </c>
      <c r="D38" s="105">
        <v>2</v>
      </c>
      <c r="E38" s="106"/>
      <c r="F38" s="106"/>
      <c r="G38" s="107">
        <v>88</v>
      </c>
      <c r="H38" s="108"/>
      <c r="I38" s="93">
        <f t="shared" si="3"/>
        <v>5510</v>
      </c>
      <c r="J38" s="103">
        <f t="shared" si="3"/>
        <v>2</v>
      </c>
      <c r="K38" s="64"/>
      <c r="L38" s="94">
        <v>20</v>
      </c>
      <c r="M38" s="94"/>
      <c r="N38" s="94">
        <v>33</v>
      </c>
      <c r="O38" s="94"/>
      <c r="P38" s="94">
        <v>35</v>
      </c>
      <c r="Q38" s="95"/>
      <c r="R38" s="129">
        <f t="shared" si="4"/>
        <v>88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12</v>
      </c>
      <c r="D39" s="101"/>
      <c r="E39" s="91"/>
      <c r="F39" s="91"/>
      <c r="G39" s="102">
        <v>1</v>
      </c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>
        <v>1</v>
      </c>
      <c r="Q39" s="92"/>
      <c r="R39" s="129">
        <f t="shared" si="4"/>
        <v>1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/>
      <c r="H41" s="108"/>
      <c r="I41" s="93">
        <f t="shared" si="3"/>
        <v>823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1935</v>
      </c>
      <c r="D42" s="110"/>
      <c r="E42" s="96"/>
      <c r="F42" s="96"/>
      <c r="G42" s="111">
        <v>19</v>
      </c>
      <c r="H42" s="112"/>
      <c r="I42" s="93">
        <f t="shared" si="3"/>
        <v>1916</v>
      </c>
      <c r="J42" s="103">
        <f t="shared" si="3"/>
        <v>0</v>
      </c>
      <c r="K42" s="69"/>
      <c r="L42" s="96">
        <v>8</v>
      </c>
      <c r="M42" s="96"/>
      <c r="N42" s="96">
        <v>7</v>
      </c>
      <c r="O42" s="96"/>
      <c r="P42" s="96">
        <v>4</v>
      </c>
      <c r="Q42" s="97"/>
      <c r="R42" s="129">
        <f t="shared" si="4"/>
        <v>19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30177</v>
      </c>
      <c r="D44" s="105"/>
      <c r="E44" s="106"/>
      <c r="F44" s="106"/>
      <c r="G44" s="107">
        <v>963</v>
      </c>
      <c r="H44" s="108"/>
      <c r="I44" s="93">
        <f t="shared" si="3"/>
        <v>29214</v>
      </c>
      <c r="J44" s="103">
        <f t="shared" si="3"/>
        <v>0</v>
      </c>
      <c r="K44" s="64"/>
      <c r="L44" s="94">
        <v>307</v>
      </c>
      <c r="M44" s="94"/>
      <c r="N44" s="94">
        <v>242</v>
      </c>
      <c r="O44" s="94"/>
      <c r="P44" s="94">
        <v>414</v>
      </c>
      <c r="Q44" s="95"/>
      <c r="R44" s="129">
        <f t="shared" si="4"/>
        <v>963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2400</v>
      </c>
      <c r="D48" s="101">
        <v>5</v>
      </c>
      <c r="E48" s="91"/>
      <c r="F48" s="91"/>
      <c r="G48" s="102">
        <v>5</v>
      </c>
      <c r="H48" s="93"/>
      <c r="I48" s="93">
        <f t="shared" si="3"/>
        <v>2395</v>
      </c>
      <c r="J48" s="103">
        <f t="shared" si="3"/>
        <v>5</v>
      </c>
      <c r="K48" s="44"/>
      <c r="L48" s="91">
        <v>5</v>
      </c>
      <c r="M48" s="91"/>
      <c r="N48" s="91"/>
      <c r="O48" s="91"/>
      <c r="P48" s="91"/>
      <c r="Q48" s="92"/>
      <c r="R48" s="129">
        <f t="shared" si="4"/>
        <v>5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3</v>
      </c>
      <c r="D51" s="101"/>
      <c r="E51" s="91"/>
      <c r="F51" s="91"/>
      <c r="G51" s="102"/>
      <c r="H51" s="93"/>
      <c r="I51" s="93">
        <f t="shared" si="3"/>
        <v>3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45682</v>
      </c>
      <c r="D60" s="71">
        <f>SUM(D8:D59)</f>
        <v>70</v>
      </c>
      <c r="E60" s="47">
        <f>SUM(E8:E59)</f>
        <v>0</v>
      </c>
      <c r="F60" s="47"/>
      <c r="G60" s="31">
        <f>SUM(G8:G59)</f>
        <v>1109</v>
      </c>
      <c r="H60" s="73">
        <f>SUM(H8:H59)</f>
        <v>39</v>
      </c>
      <c r="I60" s="73">
        <f>SUM(I8:I59)</f>
        <v>44573</v>
      </c>
      <c r="J60" s="48">
        <f>SUM(J8:J59)</f>
        <v>31</v>
      </c>
      <c r="K60" s="49"/>
      <c r="L60" s="98">
        <f t="shared" ref="L60:S60" si="5">SUM(L8:L59)</f>
        <v>347</v>
      </c>
      <c r="M60" s="98">
        <f t="shared" si="5"/>
        <v>26</v>
      </c>
      <c r="N60" s="98">
        <f t="shared" si="5"/>
        <v>288</v>
      </c>
      <c r="O60" s="98">
        <f t="shared" si="5"/>
        <v>9</v>
      </c>
      <c r="P60" s="98">
        <f t="shared" si="5"/>
        <v>474</v>
      </c>
      <c r="Q60" s="99">
        <f t="shared" si="5"/>
        <v>4</v>
      </c>
      <c r="R60" s="128">
        <f t="shared" si="5"/>
        <v>1109</v>
      </c>
      <c r="S60" s="125">
        <f t="shared" si="5"/>
        <v>39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5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5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2" t="s">
        <v>3</v>
      </c>
      <c r="D69" s="13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2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AD195-3F03-46F5-9CB0-C4B28412B0D7}">
  <sheetPr>
    <pageSetUpPr fitToPage="1"/>
  </sheetPr>
  <dimension ref="A1:BF90"/>
  <sheetViews>
    <sheetView zoomScale="85" zoomScaleNormal="85" zoomScaleSheetLayoutView="85" zoomScalePageLayoutView="80" workbookViewId="0">
      <selection activeCell="C28" sqref="C2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6">
        <v>46057</v>
      </c>
      <c r="Q1" s="157"/>
      <c r="R1" s="157"/>
      <c r="S1" s="157"/>
      <c r="T1" s="157"/>
      <c r="U1" s="157"/>
      <c r="V1" s="15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50" t="s">
        <v>74</v>
      </c>
      <c r="C4" s="159" t="s">
        <v>3</v>
      </c>
      <c r="D4" s="169" t="s">
        <v>75</v>
      </c>
      <c r="E4" s="160" t="s">
        <v>4</v>
      </c>
      <c r="F4" s="161"/>
      <c r="G4" s="162" t="s">
        <v>5</v>
      </c>
      <c r="H4" s="170" t="s">
        <v>75</v>
      </c>
      <c r="I4" s="164" t="s">
        <v>6</v>
      </c>
      <c r="J4" s="170" t="s">
        <v>75</v>
      </c>
      <c r="L4" s="166" t="s">
        <v>7</v>
      </c>
      <c r="M4" s="167"/>
      <c r="N4" s="167"/>
      <c r="O4" s="167"/>
      <c r="P4" s="167"/>
      <c r="Q4" s="167"/>
      <c r="R4" s="167"/>
      <c r="S4" s="167"/>
      <c r="T4" s="167"/>
      <c r="U4" s="167"/>
      <c r="V4" s="168"/>
    </row>
    <row r="5" spans="1:58" s="3" customFormat="1" ht="38.25" thickBot="1" x14ac:dyDescent="0.3">
      <c r="A5" s="53"/>
      <c r="B5" s="150"/>
      <c r="C5" s="159"/>
      <c r="D5" s="169"/>
      <c r="E5" s="52" t="s">
        <v>8</v>
      </c>
      <c r="F5" s="137" t="s">
        <v>9</v>
      </c>
      <c r="G5" s="163"/>
      <c r="H5" s="171"/>
      <c r="I5" s="165"/>
      <c r="J5" s="17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108</v>
      </c>
      <c r="D9" s="105"/>
      <c r="E9" s="106"/>
      <c r="F9" s="106"/>
      <c r="G9" s="107"/>
      <c r="H9" s="108"/>
      <c r="I9" s="93">
        <f t="shared" ref="I9:J59" si="3">C9-G9</f>
        <v>108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139</v>
      </c>
      <c r="D11" s="101"/>
      <c r="E11" s="91"/>
      <c r="F11" s="91"/>
      <c r="G11" s="102">
        <v>7</v>
      </c>
      <c r="H11" s="93"/>
      <c r="I11" s="93">
        <f t="shared" si="3"/>
        <v>132</v>
      </c>
      <c r="J11" s="103">
        <f t="shared" si="0"/>
        <v>0</v>
      </c>
      <c r="K11" s="44"/>
      <c r="L11" s="91"/>
      <c r="M11" s="91"/>
      <c r="N11" s="91"/>
      <c r="O11" s="91"/>
      <c r="P11" s="91">
        <v>7</v>
      </c>
      <c r="Q11" s="92"/>
      <c r="R11" s="129">
        <f t="shared" si="1"/>
        <v>7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/>
      <c r="H12" s="93"/>
      <c r="I12" s="93">
        <f t="shared" si="3"/>
        <v>2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3811</v>
      </c>
      <c r="D13" s="105">
        <v>2</v>
      </c>
      <c r="E13" s="106"/>
      <c r="F13" s="106"/>
      <c r="G13" s="107">
        <v>26</v>
      </c>
      <c r="H13" s="108">
        <v>4</v>
      </c>
      <c r="I13" s="93">
        <f t="shared" si="3"/>
        <v>3785</v>
      </c>
      <c r="J13" s="103">
        <f>D13-H13</f>
        <v>-2</v>
      </c>
      <c r="K13" s="68"/>
      <c r="L13" s="94">
        <v>5</v>
      </c>
      <c r="M13" s="94">
        <v>3</v>
      </c>
      <c r="N13" s="94">
        <v>8</v>
      </c>
      <c r="O13" s="94">
        <v>1</v>
      </c>
      <c r="P13" s="94">
        <v>13</v>
      </c>
      <c r="Q13" s="95"/>
      <c r="R13" s="129">
        <f>L13+N13+P13</f>
        <v>26</v>
      </c>
      <c r="S13" s="127">
        <f>M13+O13+Q13</f>
        <v>4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115</v>
      </c>
      <c r="D26" s="101">
        <v>23</v>
      </c>
      <c r="E26" s="91"/>
      <c r="F26" s="91"/>
      <c r="G26" s="102">
        <v>2</v>
      </c>
      <c r="H26" s="93"/>
      <c r="I26" s="93">
        <f t="shared" si="3"/>
        <v>113</v>
      </c>
      <c r="J26" s="103">
        <f t="shared" si="3"/>
        <v>23</v>
      </c>
      <c r="K26" s="44"/>
      <c r="L26" s="91"/>
      <c r="M26" s="91"/>
      <c r="N26" s="91"/>
      <c r="O26" s="91"/>
      <c r="P26" s="91">
        <v>2</v>
      </c>
      <c r="Q26" s="92"/>
      <c r="R26" s="129">
        <f t="shared" si="4"/>
        <v>2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69</v>
      </c>
      <c r="D29" s="101"/>
      <c r="E29" s="91"/>
      <c r="F29" s="91"/>
      <c r="G29" s="102">
        <v>5</v>
      </c>
      <c r="H29" s="93"/>
      <c r="I29" s="93">
        <f t="shared" si="3"/>
        <v>64</v>
      </c>
      <c r="J29" s="103">
        <f t="shared" si="3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4"/>
        <v>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/>
      <c r="H31" s="93"/>
      <c r="I31" s="93">
        <f t="shared" si="3"/>
        <v>78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2</v>
      </c>
      <c r="D32" s="101"/>
      <c r="E32" s="91"/>
      <c r="F32" s="91"/>
      <c r="G32" s="102"/>
      <c r="H32" s="93"/>
      <c r="I32" s="93">
        <f t="shared" si="3"/>
        <v>2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>
        <v>3</v>
      </c>
      <c r="H35" s="93"/>
      <c r="I35" s="93">
        <f t="shared" si="3"/>
        <v>197</v>
      </c>
      <c r="J35" s="103">
        <f t="shared" si="3"/>
        <v>11</v>
      </c>
      <c r="K35" s="44"/>
      <c r="L35" s="91"/>
      <c r="M35" s="91"/>
      <c r="N35" s="91"/>
      <c r="O35" s="91"/>
      <c r="P35" s="91">
        <v>3</v>
      </c>
      <c r="Q35" s="92"/>
      <c r="R35" s="129">
        <f t="shared" si="4"/>
        <v>3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5510</v>
      </c>
      <c r="D38" s="105">
        <v>2</v>
      </c>
      <c r="E38" s="106"/>
      <c r="F38" s="106"/>
      <c r="G38" s="107">
        <v>183</v>
      </c>
      <c r="H38" s="108"/>
      <c r="I38" s="93">
        <f t="shared" si="3"/>
        <v>5327</v>
      </c>
      <c r="J38" s="103">
        <f t="shared" si="3"/>
        <v>2</v>
      </c>
      <c r="K38" s="64"/>
      <c r="L38" s="94">
        <v>22</v>
      </c>
      <c r="M38" s="94"/>
      <c r="N38" s="94">
        <v>18</v>
      </c>
      <c r="O38" s="94"/>
      <c r="P38" s="94">
        <v>143</v>
      </c>
      <c r="Q38" s="95"/>
      <c r="R38" s="129">
        <f t="shared" si="4"/>
        <v>183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/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>
        <v>2</v>
      </c>
      <c r="H41" s="108"/>
      <c r="I41" s="93">
        <f t="shared" si="3"/>
        <v>821</v>
      </c>
      <c r="J41" s="103">
        <f t="shared" si="3"/>
        <v>12</v>
      </c>
      <c r="K41" s="64"/>
      <c r="L41" s="91"/>
      <c r="M41" s="91"/>
      <c r="N41" s="91"/>
      <c r="O41" s="91"/>
      <c r="P41" s="91">
        <v>2</v>
      </c>
      <c r="Q41" s="92"/>
      <c r="R41" s="129">
        <f t="shared" si="4"/>
        <v>2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1916</v>
      </c>
      <c r="D42" s="110"/>
      <c r="E42" s="96"/>
      <c r="F42" s="96"/>
      <c r="G42" s="111">
        <v>27</v>
      </c>
      <c r="H42" s="112"/>
      <c r="I42" s="93">
        <f t="shared" si="3"/>
        <v>1889</v>
      </c>
      <c r="J42" s="103">
        <f t="shared" si="3"/>
        <v>0</v>
      </c>
      <c r="K42" s="69"/>
      <c r="L42" s="96">
        <v>2</v>
      </c>
      <c r="M42" s="96"/>
      <c r="N42" s="96">
        <v>5</v>
      </c>
      <c r="O42" s="96"/>
      <c r="P42" s="96">
        <v>20</v>
      </c>
      <c r="Q42" s="97"/>
      <c r="R42" s="129">
        <f t="shared" si="4"/>
        <v>27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29214</v>
      </c>
      <c r="D44" s="105"/>
      <c r="E44" s="106"/>
      <c r="F44" s="106"/>
      <c r="G44" s="107">
        <v>912</v>
      </c>
      <c r="H44" s="108"/>
      <c r="I44" s="93">
        <f t="shared" si="3"/>
        <v>28302</v>
      </c>
      <c r="J44" s="103">
        <f t="shared" si="3"/>
        <v>0</v>
      </c>
      <c r="K44" s="64"/>
      <c r="L44" s="94">
        <v>235</v>
      </c>
      <c r="M44" s="94"/>
      <c r="N44" s="94">
        <v>203</v>
      </c>
      <c r="O44" s="94"/>
      <c r="P44" s="94">
        <v>474</v>
      </c>
      <c r="Q44" s="95"/>
      <c r="R44" s="129">
        <f t="shared" si="4"/>
        <v>912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2395</v>
      </c>
      <c r="D48" s="101">
        <v>5</v>
      </c>
      <c r="E48" s="91"/>
      <c r="F48" s="91"/>
      <c r="G48" s="102">
        <v>7</v>
      </c>
      <c r="H48" s="93"/>
      <c r="I48" s="93">
        <f t="shared" si="3"/>
        <v>2388</v>
      </c>
      <c r="J48" s="103">
        <f t="shared" si="3"/>
        <v>5</v>
      </c>
      <c r="K48" s="44"/>
      <c r="L48" s="91"/>
      <c r="M48" s="91"/>
      <c r="N48" s="91">
        <v>3</v>
      </c>
      <c r="O48" s="91"/>
      <c r="P48" s="91">
        <v>4</v>
      </c>
      <c r="Q48" s="92"/>
      <c r="R48" s="129">
        <f t="shared" si="4"/>
        <v>7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3</v>
      </c>
      <c r="D51" s="101"/>
      <c r="E51" s="91"/>
      <c r="F51" s="91"/>
      <c r="G51" s="102"/>
      <c r="H51" s="93"/>
      <c r="I51" s="93">
        <f t="shared" si="3"/>
        <v>3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44572</v>
      </c>
      <c r="D60" s="71">
        <f>SUM(D8:D59)</f>
        <v>55</v>
      </c>
      <c r="E60" s="47">
        <f>SUM(E8:E59)</f>
        <v>0</v>
      </c>
      <c r="F60" s="47"/>
      <c r="G60" s="31">
        <f>SUM(G8:G59)</f>
        <v>1174</v>
      </c>
      <c r="H60" s="73">
        <f>SUM(H8:H59)</f>
        <v>4</v>
      </c>
      <c r="I60" s="73">
        <f>SUM(I8:I59)</f>
        <v>43398</v>
      </c>
      <c r="J60" s="48">
        <f>SUM(J8:J59)</f>
        <v>51</v>
      </c>
      <c r="K60" s="49"/>
      <c r="L60" s="98">
        <f t="shared" ref="L60:S60" si="5">SUM(L8:L59)</f>
        <v>264</v>
      </c>
      <c r="M60" s="98">
        <f t="shared" si="5"/>
        <v>3</v>
      </c>
      <c r="N60" s="98">
        <f t="shared" si="5"/>
        <v>237</v>
      </c>
      <c r="O60" s="98">
        <f t="shared" si="5"/>
        <v>1</v>
      </c>
      <c r="P60" s="98">
        <f t="shared" si="5"/>
        <v>673</v>
      </c>
      <c r="Q60" s="99">
        <f t="shared" si="5"/>
        <v>0</v>
      </c>
      <c r="R60" s="128">
        <f t="shared" si="5"/>
        <v>1174</v>
      </c>
      <c r="S60" s="125">
        <f t="shared" si="5"/>
        <v>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5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5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5" t="s">
        <v>3</v>
      </c>
      <c r="D69" s="13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5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89603-8493-4677-B323-3D25A9118F36}">
  <sheetPr>
    <pageSetUpPr fitToPage="1"/>
  </sheetPr>
  <dimension ref="A1:BF90"/>
  <sheetViews>
    <sheetView zoomScale="85" zoomScaleNormal="8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6">
        <v>46058</v>
      </c>
      <c r="Q1" s="157"/>
      <c r="R1" s="157"/>
      <c r="S1" s="157"/>
      <c r="T1" s="157"/>
      <c r="U1" s="157"/>
      <c r="V1" s="15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50" t="s">
        <v>74</v>
      </c>
      <c r="C4" s="159" t="s">
        <v>3</v>
      </c>
      <c r="D4" s="169" t="s">
        <v>75</v>
      </c>
      <c r="E4" s="160" t="s">
        <v>4</v>
      </c>
      <c r="F4" s="161"/>
      <c r="G4" s="162" t="s">
        <v>5</v>
      </c>
      <c r="H4" s="170" t="s">
        <v>75</v>
      </c>
      <c r="I4" s="164" t="s">
        <v>6</v>
      </c>
      <c r="J4" s="170" t="s">
        <v>75</v>
      </c>
      <c r="L4" s="166" t="s">
        <v>7</v>
      </c>
      <c r="M4" s="167"/>
      <c r="N4" s="167"/>
      <c r="O4" s="167"/>
      <c r="P4" s="167"/>
      <c r="Q4" s="167"/>
      <c r="R4" s="167"/>
      <c r="S4" s="167"/>
      <c r="T4" s="167"/>
      <c r="U4" s="167"/>
      <c r="V4" s="168"/>
    </row>
    <row r="5" spans="1:58" s="3" customFormat="1" ht="38.25" thickBot="1" x14ac:dyDescent="0.3">
      <c r="A5" s="53"/>
      <c r="B5" s="150"/>
      <c r="C5" s="159"/>
      <c r="D5" s="169"/>
      <c r="E5" s="52" t="s">
        <v>8</v>
      </c>
      <c r="F5" s="137" t="s">
        <v>9</v>
      </c>
      <c r="G5" s="163"/>
      <c r="H5" s="171"/>
      <c r="I5" s="165"/>
      <c r="J5" s="17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>
        <v>2</v>
      </c>
      <c r="H8" s="93"/>
      <c r="I8" s="93">
        <f>C8-G8</f>
        <v>42</v>
      </c>
      <c r="J8" s="103">
        <f t="shared" ref="J8:J12" si="0">D8-H8</f>
        <v>0</v>
      </c>
      <c r="K8" s="44"/>
      <c r="L8" s="91">
        <v>1</v>
      </c>
      <c r="M8" s="91"/>
      <c r="N8" s="91"/>
      <c r="O8" s="91"/>
      <c r="P8" s="91">
        <v>1</v>
      </c>
      <c r="Q8" s="92"/>
      <c r="R8" s="129">
        <f t="shared" ref="R8:S12" si="1">L8+N8+P8</f>
        <v>2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108</v>
      </c>
      <c r="D9" s="105"/>
      <c r="E9" s="106"/>
      <c r="F9" s="106"/>
      <c r="G9" s="107">
        <v>1</v>
      </c>
      <c r="H9" s="108"/>
      <c r="I9" s="93">
        <f t="shared" ref="I9:J59" si="3">C9-G9</f>
        <v>107</v>
      </c>
      <c r="J9" s="103">
        <f t="shared" si="0"/>
        <v>0</v>
      </c>
      <c r="K9" s="64"/>
      <c r="L9" s="94"/>
      <c r="M9" s="94"/>
      <c r="N9" s="94"/>
      <c r="O9" s="94"/>
      <c r="P9" s="94">
        <v>1</v>
      </c>
      <c r="Q9" s="95"/>
      <c r="R9" s="129">
        <f t="shared" si="1"/>
        <v>1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132</v>
      </c>
      <c r="D11" s="101"/>
      <c r="E11" s="91"/>
      <c r="F11" s="91"/>
      <c r="G11" s="102">
        <v>8</v>
      </c>
      <c r="H11" s="93"/>
      <c r="I11" s="93">
        <f t="shared" si="3"/>
        <v>124</v>
      </c>
      <c r="J11" s="103">
        <f t="shared" si="0"/>
        <v>0</v>
      </c>
      <c r="K11" s="44"/>
      <c r="L11" s="91">
        <v>4</v>
      </c>
      <c r="M11" s="91"/>
      <c r="N11" s="91">
        <v>4</v>
      </c>
      <c r="O11" s="91"/>
      <c r="P11" s="91"/>
      <c r="Q11" s="92"/>
      <c r="R11" s="129">
        <f t="shared" si="1"/>
        <v>8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/>
      <c r="H12" s="93"/>
      <c r="I12" s="93">
        <f t="shared" si="3"/>
        <v>2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3784</v>
      </c>
      <c r="D13" s="105">
        <v>22</v>
      </c>
      <c r="E13" s="106"/>
      <c r="F13" s="106"/>
      <c r="G13" s="107">
        <v>22</v>
      </c>
      <c r="H13" s="108">
        <v>17</v>
      </c>
      <c r="I13" s="93">
        <f t="shared" si="3"/>
        <v>3762</v>
      </c>
      <c r="J13" s="103">
        <f>D13-H13</f>
        <v>5</v>
      </c>
      <c r="K13" s="68"/>
      <c r="L13" s="94">
        <v>4</v>
      </c>
      <c r="M13" s="94">
        <v>6</v>
      </c>
      <c r="N13" s="94">
        <v>8</v>
      </c>
      <c r="O13" s="94">
        <v>2</v>
      </c>
      <c r="P13" s="94">
        <v>10</v>
      </c>
      <c r="Q13" s="95">
        <v>9</v>
      </c>
      <c r="R13" s="129">
        <f>L13+N13+P13</f>
        <v>22</v>
      </c>
      <c r="S13" s="127">
        <f>M13+O13+Q13</f>
        <v>17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>
        <v>3</v>
      </c>
      <c r="H24" s="93"/>
      <c r="I24" s="93">
        <f t="shared" si="3"/>
        <v>51</v>
      </c>
      <c r="J24" s="103">
        <f t="shared" si="3"/>
        <v>0</v>
      </c>
      <c r="K24" s="45"/>
      <c r="L24" s="91">
        <v>3</v>
      </c>
      <c r="M24" s="91"/>
      <c r="N24" s="91"/>
      <c r="O24" s="91"/>
      <c r="P24" s="91"/>
      <c r="Q24" s="92"/>
      <c r="R24" s="129">
        <f t="shared" si="4"/>
        <v>3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113</v>
      </c>
      <c r="D26" s="101">
        <v>23</v>
      </c>
      <c r="E26" s="91"/>
      <c r="F26" s="91"/>
      <c r="G26" s="102">
        <v>4</v>
      </c>
      <c r="H26" s="93"/>
      <c r="I26" s="93">
        <f t="shared" si="3"/>
        <v>109</v>
      </c>
      <c r="J26" s="103">
        <f t="shared" si="3"/>
        <v>23</v>
      </c>
      <c r="K26" s="44"/>
      <c r="L26" s="91"/>
      <c r="M26" s="91"/>
      <c r="N26" s="91"/>
      <c r="O26" s="91"/>
      <c r="P26" s="91">
        <v>4</v>
      </c>
      <c r="Q26" s="92"/>
      <c r="R26" s="129">
        <f t="shared" si="4"/>
        <v>4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64</v>
      </c>
      <c r="D29" s="101"/>
      <c r="E29" s="91"/>
      <c r="F29" s="91"/>
      <c r="G29" s="102">
        <v>6</v>
      </c>
      <c r="H29" s="93"/>
      <c r="I29" s="93">
        <f t="shared" si="3"/>
        <v>58</v>
      </c>
      <c r="J29" s="103">
        <f t="shared" si="3"/>
        <v>0</v>
      </c>
      <c r="K29" s="45"/>
      <c r="L29" s="91">
        <v>2</v>
      </c>
      <c r="M29" s="91"/>
      <c r="N29" s="91">
        <v>1</v>
      </c>
      <c r="O29" s="91"/>
      <c r="P29" s="91">
        <v>3</v>
      </c>
      <c r="Q29" s="92"/>
      <c r="R29" s="129">
        <f t="shared" si="4"/>
        <v>6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/>
      <c r="H31" s="93"/>
      <c r="I31" s="93">
        <f t="shared" si="3"/>
        <v>78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2</v>
      </c>
      <c r="D32" s="101"/>
      <c r="E32" s="91"/>
      <c r="F32" s="91"/>
      <c r="G32" s="102">
        <v>2</v>
      </c>
      <c r="H32" s="93"/>
      <c r="I32" s="93">
        <f t="shared" si="3"/>
        <v>0</v>
      </c>
      <c r="J32" s="103">
        <f t="shared" si="3"/>
        <v>0</v>
      </c>
      <c r="K32" s="44"/>
      <c r="L32" s="91">
        <v>1</v>
      </c>
      <c r="M32" s="91"/>
      <c r="N32" s="91">
        <v>1</v>
      </c>
      <c r="O32" s="91"/>
      <c r="P32" s="91"/>
      <c r="Q32" s="92"/>
      <c r="R32" s="129">
        <f t="shared" si="4"/>
        <v>2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>
        <v>1</v>
      </c>
      <c r="H33" s="93"/>
      <c r="I33" s="93">
        <f t="shared" si="3"/>
        <v>2</v>
      </c>
      <c r="J33" s="103">
        <f t="shared" si="3"/>
        <v>0</v>
      </c>
      <c r="K33" s="44"/>
      <c r="L33" s="91"/>
      <c r="M33" s="91"/>
      <c r="N33" s="91">
        <v>1</v>
      </c>
      <c r="O33" s="91"/>
      <c r="P33" s="91"/>
      <c r="Q33" s="92"/>
      <c r="R33" s="129">
        <f t="shared" si="4"/>
        <v>1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197</v>
      </c>
      <c r="D35" s="101">
        <v>11</v>
      </c>
      <c r="E35" s="91"/>
      <c r="F35" s="91"/>
      <c r="G35" s="102">
        <v>2</v>
      </c>
      <c r="H35" s="93">
        <v>12</v>
      </c>
      <c r="I35" s="93">
        <f t="shared" si="3"/>
        <v>195</v>
      </c>
      <c r="J35" s="103">
        <f t="shared" si="3"/>
        <v>-1</v>
      </c>
      <c r="K35" s="44"/>
      <c r="L35" s="91"/>
      <c r="M35" s="91"/>
      <c r="N35" s="91">
        <v>2</v>
      </c>
      <c r="O35" s="91"/>
      <c r="P35" s="91"/>
      <c r="Q35" s="92">
        <v>12</v>
      </c>
      <c r="R35" s="129">
        <f t="shared" si="4"/>
        <v>2</v>
      </c>
      <c r="S35" s="127">
        <f t="shared" si="4"/>
        <v>12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5327</v>
      </c>
      <c r="D38" s="105">
        <v>2</v>
      </c>
      <c r="E38" s="106"/>
      <c r="F38" s="106"/>
      <c r="G38" s="107">
        <v>68</v>
      </c>
      <c r="H38" s="108"/>
      <c r="I38" s="93">
        <f t="shared" si="3"/>
        <v>5259</v>
      </c>
      <c r="J38" s="103">
        <f t="shared" si="3"/>
        <v>2</v>
      </c>
      <c r="K38" s="64"/>
      <c r="L38" s="94">
        <v>33</v>
      </c>
      <c r="M38" s="94"/>
      <c r="N38" s="94">
        <v>29</v>
      </c>
      <c r="O38" s="94"/>
      <c r="P38" s="94">
        <v>6</v>
      </c>
      <c r="Q38" s="95"/>
      <c r="R38" s="129">
        <f t="shared" si="4"/>
        <v>68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/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821</v>
      </c>
      <c r="D41" s="105">
        <v>12</v>
      </c>
      <c r="E41" s="106"/>
      <c r="F41" s="106"/>
      <c r="G41" s="107"/>
      <c r="H41" s="108"/>
      <c r="I41" s="93">
        <f t="shared" si="3"/>
        <v>821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1889</v>
      </c>
      <c r="D42" s="110"/>
      <c r="E42" s="96"/>
      <c r="F42" s="96"/>
      <c r="G42" s="111">
        <v>1</v>
      </c>
      <c r="H42" s="112"/>
      <c r="I42" s="93">
        <f t="shared" si="3"/>
        <v>1888</v>
      </c>
      <c r="J42" s="103">
        <f t="shared" si="3"/>
        <v>0</v>
      </c>
      <c r="K42" s="69"/>
      <c r="L42" s="96">
        <v>1</v>
      </c>
      <c r="M42" s="96"/>
      <c r="N42" s="96"/>
      <c r="O42" s="96"/>
      <c r="P42" s="96"/>
      <c r="Q42" s="97"/>
      <c r="R42" s="129">
        <f t="shared" si="4"/>
        <v>1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f>28302</f>
        <v>28302</v>
      </c>
      <c r="D44" s="105"/>
      <c r="E44" s="106"/>
      <c r="F44" s="106"/>
      <c r="G44" s="107">
        <v>660</v>
      </c>
      <c r="H44" s="108"/>
      <c r="I44" s="93">
        <f t="shared" si="3"/>
        <v>27642</v>
      </c>
      <c r="J44" s="103">
        <f t="shared" si="3"/>
        <v>0</v>
      </c>
      <c r="K44" s="64"/>
      <c r="L44" s="94">
        <v>207</v>
      </c>
      <c r="M44" s="94"/>
      <c r="N44" s="94">
        <v>205</v>
      </c>
      <c r="O44" s="94"/>
      <c r="P44" s="94">
        <v>248</v>
      </c>
      <c r="Q44" s="95"/>
      <c r="R44" s="129">
        <f t="shared" si="4"/>
        <v>660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2388</v>
      </c>
      <c r="D48" s="101">
        <v>5</v>
      </c>
      <c r="E48" s="91"/>
      <c r="F48" s="91"/>
      <c r="G48" s="102"/>
      <c r="H48" s="93"/>
      <c r="I48" s="93">
        <f t="shared" si="3"/>
        <v>2388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>
        <v>1</v>
      </c>
      <c r="Q50" s="92"/>
      <c r="R50" s="129">
        <f t="shared" si="4"/>
        <v>1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43392</v>
      </c>
      <c r="D60" s="71">
        <f>SUM(D8:D59)</f>
        <v>75</v>
      </c>
      <c r="E60" s="47">
        <f>SUM(E8:E59)</f>
        <v>0</v>
      </c>
      <c r="F60" s="47"/>
      <c r="G60" s="31">
        <f>SUM(G8:G59)</f>
        <v>780</v>
      </c>
      <c r="H60" s="73">
        <f>SUM(H8:H59)</f>
        <v>29</v>
      </c>
      <c r="I60" s="73">
        <f>SUM(I8:I59)</f>
        <v>42612</v>
      </c>
      <c r="J60" s="48">
        <f>SUM(J8:J59)</f>
        <v>46</v>
      </c>
      <c r="K60" s="49"/>
      <c r="L60" s="98">
        <f t="shared" ref="L60:S60" si="5">SUM(L8:L59)</f>
        <v>256</v>
      </c>
      <c r="M60" s="98">
        <f t="shared" si="5"/>
        <v>6</v>
      </c>
      <c r="N60" s="98">
        <f t="shared" si="5"/>
        <v>251</v>
      </c>
      <c r="O60" s="98">
        <f t="shared" si="5"/>
        <v>2</v>
      </c>
      <c r="P60" s="98">
        <f t="shared" si="5"/>
        <v>274</v>
      </c>
      <c r="Q60" s="99">
        <f t="shared" si="5"/>
        <v>21</v>
      </c>
      <c r="R60" s="128">
        <f t="shared" si="5"/>
        <v>781</v>
      </c>
      <c r="S60" s="125">
        <f t="shared" si="5"/>
        <v>29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5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5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5" t="s">
        <v>3</v>
      </c>
      <c r="D69" s="13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5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6">
        <v>46058</v>
      </c>
      <c r="Q1" s="157"/>
      <c r="R1" s="157"/>
      <c r="S1" s="157"/>
      <c r="T1" s="157"/>
      <c r="U1" s="157"/>
      <c r="V1" s="15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50" t="s">
        <v>74</v>
      </c>
      <c r="C4" s="159" t="s">
        <v>3</v>
      </c>
      <c r="D4" s="169" t="s">
        <v>75</v>
      </c>
      <c r="E4" s="160" t="s">
        <v>4</v>
      </c>
      <c r="F4" s="161"/>
      <c r="G4" s="162" t="s">
        <v>5</v>
      </c>
      <c r="H4" s="170" t="s">
        <v>75</v>
      </c>
      <c r="I4" s="164" t="s">
        <v>6</v>
      </c>
      <c r="J4" s="170" t="s">
        <v>75</v>
      </c>
      <c r="L4" s="166" t="s">
        <v>7</v>
      </c>
      <c r="M4" s="167"/>
      <c r="N4" s="167"/>
      <c r="O4" s="167"/>
      <c r="P4" s="167"/>
      <c r="Q4" s="167"/>
      <c r="R4" s="167"/>
      <c r="S4" s="167"/>
      <c r="T4" s="167"/>
      <c r="U4" s="167"/>
      <c r="V4" s="168"/>
    </row>
    <row r="5" spans="1:58" s="3" customFormat="1" ht="38.25" thickBot="1" x14ac:dyDescent="0.3">
      <c r="A5" s="53"/>
      <c r="B5" s="150"/>
      <c r="C5" s="159"/>
      <c r="D5" s="169"/>
      <c r="E5" s="52" t="s">
        <v>8</v>
      </c>
      <c r="F5" s="143" t="s">
        <v>9</v>
      </c>
      <c r="G5" s="163"/>
      <c r="H5" s="171"/>
      <c r="I5" s="165"/>
      <c r="J5" s="17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>
        <f>C8-G8</f>
        <v>0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/>
      <c r="D9" s="105"/>
      <c r="E9" s="106"/>
      <c r="F9" s="106"/>
      <c r="G9" s="107"/>
      <c r="H9" s="108"/>
      <c r="I9" s="93">
        <f t="shared" ref="I9:J59" si="3">C9-G9</f>
        <v>0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/>
      <c r="D11" s="101"/>
      <c r="E11" s="91"/>
      <c r="F11" s="91"/>
      <c r="G11" s="102"/>
      <c r="H11" s="93"/>
      <c r="I11" s="93">
        <f t="shared" si="3"/>
        <v>0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/>
      <c r="D12" s="101"/>
      <c r="E12" s="91"/>
      <c r="F12" s="91"/>
      <c r="G12" s="102"/>
      <c r="H12" s="93"/>
      <c r="I12" s="93">
        <f t="shared" si="3"/>
        <v>0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/>
      <c r="D13" s="105"/>
      <c r="E13" s="106"/>
      <c r="F13" s="106"/>
      <c r="G13" s="107"/>
      <c r="H13" s="108"/>
      <c r="I13" s="93">
        <f t="shared" si="3"/>
        <v>0</v>
      </c>
      <c r="J13" s="103">
        <f>D13-H13</f>
        <v>0</v>
      </c>
      <c r="K13" s="68"/>
      <c r="L13" s="94"/>
      <c r="M13" s="94"/>
      <c r="N13" s="94"/>
      <c r="O13" s="94"/>
      <c r="P13" s="94"/>
      <c r="Q13" s="95"/>
      <c r="R13" s="129">
        <f>L13+N13+P13</f>
        <v>0</v>
      </c>
      <c r="S13" s="127">
        <f>M13+O13+Q13</f>
        <v>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/>
      <c r="D18" s="101"/>
      <c r="E18" s="91"/>
      <c r="F18" s="91"/>
      <c r="G18" s="102"/>
      <c r="H18" s="93"/>
      <c r="I18" s="93">
        <f t="shared" si="3"/>
        <v>0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/>
      <c r="D20" s="101"/>
      <c r="E20" s="91"/>
      <c r="F20" s="91"/>
      <c r="G20" s="102"/>
      <c r="H20" s="93"/>
      <c r="I20" s="93">
        <f t="shared" si="3"/>
        <v>0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/>
      <c r="D21" s="101"/>
      <c r="E21" s="91"/>
      <c r="F21" s="91"/>
      <c r="G21" s="102"/>
      <c r="H21" s="93"/>
      <c r="I21" s="93">
        <f t="shared" si="3"/>
        <v>0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/>
      <c r="D22" s="101"/>
      <c r="E22" s="91"/>
      <c r="F22" s="91"/>
      <c r="G22" s="102"/>
      <c r="H22" s="93"/>
      <c r="I22" s="93">
        <f t="shared" si="3"/>
        <v>0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/>
      <c r="D23" s="101"/>
      <c r="E23" s="91"/>
      <c r="F23" s="91"/>
      <c r="G23" s="102"/>
      <c r="H23" s="93"/>
      <c r="I23" s="93">
        <f t="shared" si="3"/>
        <v>0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/>
      <c r="D24" s="101"/>
      <c r="E24" s="91"/>
      <c r="F24" s="91"/>
      <c r="G24" s="102"/>
      <c r="H24" s="93"/>
      <c r="I24" s="93">
        <f t="shared" si="3"/>
        <v>0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/>
      <c r="D25" s="101"/>
      <c r="E25" s="91"/>
      <c r="F25" s="91"/>
      <c r="G25" s="102"/>
      <c r="H25" s="93"/>
      <c r="I25" s="93">
        <f t="shared" si="3"/>
        <v>0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/>
      <c r="D26" s="101"/>
      <c r="E26" s="91"/>
      <c r="F26" s="91"/>
      <c r="G26" s="102"/>
      <c r="H26" s="93"/>
      <c r="I26" s="93">
        <f t="shared" si="3"/>
        <v>0</v>
      </c>
      <c r="J26" s="103">
        <f t="shared" si="3"/>
        <v>0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/>
      <c r="D29" s="101"/>
      <c r="E29" s="91"/>
      <c r="F29" s="91"/>
      <c r="G29" s="102"/>
      <c r="H29" s="93"/>
      <c r="I29" s="93">
        <f t="shared" si="3"/>
        <v>0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/>
      <c r="D31" s="101"/>
      <c r="E31" s="91"/>
      <c r="F31" s="91"/>
      <c r="G31" s="102"/>
      <c r="H31" s="93"/>
      <c r="I31" s="93">
        <f t="shared" si="3"/>
        <v>0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/>
      <c r="D35" s="101"/>
      <c r="E35" s="91"/>
      <c r="F35" s="91"/>
      <c r="G35" s="102"/>
      <c r="H35" s="93"/>
      <c r="I35" s="93">
        <f t="shared" si="3"/>
        <v>0</v>
      </c>
      <c r="J35" s="103">
        <f t="shared" si="3"/>
        <v>0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/>
      <c r="D38" s="105"/>
      <c r="E38" s="106"/>
      <c r="F38" s="106"/>
      <c r="G38" s="107"/>
      <c r="H38" s="108"/>
      <c r="I38" s="93">
        <f t="shared" si="3"/>
        <v>0</v>
      </c>
      <c r="J38" s="103">
        <f t="shared" si="3"/>
        <v>0</v>
      </c>
      <c r="K38" s="64"/>
      <c r="L38" s="94"/>
      <c r="M38" s="94"/>
      <c r="N38" s="94"/>
      <c r="O38" s="94"/>
      <c r="P38" s="94"/>
      <c r="Q38" s="95"/>
      <c r="R38" s="129">
        <f t="shared" si="4"/>
        <v>0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/>
      <c r="D39" s="101"/>
      <c r="E39" s="91"/>
      <c r="F39" s="91"/>
      <c r="G39" s="102"/>
      <c r="H39" s="93"/>
      <c r="I39" s="93">
        <f t="shared" si="3"/>
        <v>0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/>
      <c r="D41" s="105"/>
      <c r="E41" s="106"/>
      <c r="F41" s="106">
        <v>20</v>
      </c>
      <c r="G41" s="107">
        <v>10</v>
      </c>
      <c r="H41" s="108"/>
      <c r="I41" s="93">
        <f t="shared" si="3"/>
        <v>-10</v>
      </c>
      <c r="J41" s="103">
        <f t="shared" si="3"/>
        <v>0</v>
      </c>
      <c r="K41" s="64"/>
      <c r="L41" s="91">
        <v>10</v>
      </c>
      <c r="M41" s="91"/>
      <c r="N41" s="91"/>
      <c r="O41" s="91"/>
      <c r="P41" s="91"/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/>
      <c r="D42" s="110"/>
      <c r="E42" s="96"/>
      <c r="F42" s="96"/>
      <c r="G42" s="111"/>
      <c r="H42" s="112"/>
      <c r="I42" s="93">
        <f t="shared" si="3"/>
        <v>0</v>
      </c>
      <c r="J42" s="103">
        <f t="shared" si="3"/>
        <v>0</v>
      </c>
      <c r="K42" s="69"/>
      <c r="L42" s="96"/>
      <c r="M42" s="96"/>
      <c r="N42" s="96"/>
      <c r="O42" s="96"/>
      <c r="P42" s="96"/>
      <c r="Q42" s="97"/>
      <c r="R42" s="129">
        <f t="shared" si="4"/>
        <v>0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/>
      <c r="D44" s="105"/>
      <c r="E44" s="106"/>
      <c r="F44" s="106"/>
      <c r="G44" s="107"/>
      <c r="H44" s="108"/>
      <c r="I44" s="93">
        <f t="shared" si="3"/>
        <v>0</v>
      </c>
      <c r="J44" s="103">
        <f t="shared" si="3"/>
        <v>0</v>
      </c>
      <c r="K44" s="64"/>
      <c r="L44" s="94"/>
      <c r="M44" s="94"/>
      <c r="N44" s="94"/>
      <c r="O44" s="94"/>
      <c r="P44" s="94"/>
      <c r="Q44" s="95"/>
      <c r="R44" s="129">
        <f t="shared" si="4"/>
        <v>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/>
      <c r="D48" s="101"/>
      <c r="E48" s="91"/>
      <c r="F48" s="91"/>
      <c r="G48" s="102"/>
      <c r="H48" s="93"/>
      <c r="I48" s="93">
        <f t="shared" si="3"/>
        <v>0</v>
      </c>
      <c r="J48" s="103">
        <f t="shared" si="3"/>
        <v>0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/>
      <c r="D52" s="101"/>
      <c r="E52" s="91"/>
      <c r="F52" s="91"/>
      <c r="G52" s="102"/>
      <c r="H52" s="93"/>
      <c r="I52" s="93">
        <f t="shared" si="3"/>
        <v>0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 t="shared" ref="C60:J60" si="5">SUM(C8:C59)</f>
        <v>0</v>
      </c>
      <c r="D60" s="71">
        <f t="shared" si="5"/>
        <v>0</v>
      </c>
      <c r="E60" s="47">
        <f t="shared" si="5"/>
        <v>0</v>
      </c>
      <c r="F60" s="31">
        <f t="shared" si="5"/>
        <v>20</v>
      </c>
      <c r="G60" s="31">
        <f t="shared" si="5"/>
        <v>10</v>
      </c>
      <c r="H60" s="73">
        <f t="shared" si="5"/>
        <v>0</v>
      </c>
      <c r="I60" s="73">
        <f t="shared" si="5"/>
        <v>-10</v>
      </c>
      <c r="J60" s="48">
        <f t="shared" si="5"/>
        <v>0</v>
      </c>
      <c r="K60" s="49"/>
      <c r="L60" s="98">
        <f t="shared" ref="L60:S60" si="6">SUM(L8:L59)</f>
        <v>10</v>
      </c>
      <c r="M60" s="98">
        <f t="shared" si="6"/>
        <v>0</v>
      </c>
      <c r="N60" s="98">
        <f t="shared" si="6"/>
        <v>0</v>
      </c>
      <c r="O60" s="98">
        <f t="shared" si="6"/>
        <v>0</v>
      </c>
      <c r="P60" s="98">
        <f t="shared" si="6"/>
        <v>0</v>
      </c>
      <c r="Q60" s="99">
        <f t="shared" si="6"/>
        <v>0</v>
      </c>
      <c r="R60" s="128">
        <f t="shared" si="6"/>
        <v>10</v>
      </c>
      <c r="S60" s="125">
        <f t="shared" si="6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5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5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D6921-6572-4F23-B9EF-217AF928C94E}">
  <sheetPr>
    <pageSetUpPr fitToPage="1"/>
  </sheetPr>
  <dimension ref="A1:BF90"/>
  <sheetViews>
    <sheetView zoomScale="85" zoomScaleNormal="85" zoomScaleSheetLayoutView="85" zoomScalePageLayoutView="80" workbookViewId="0">
      <selection activeCell="J60" sqref="J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6">
        <v>46059</v>
      </c>
      <c r="Q1" s="157"/>
      <c r="R1" s="157"/>
      <c r="S1" s="157"/>
      <c r="T1" s="157"/>
      <c r="U1" s="157"/>
      <c r="V1" s="15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50" t="s">
        <v>74</v>
      </c>
      <c r="C4" s="159" t="s">
        <v>3</v>
      </c>
      <c r="D4" s="169" t="s">
        <v>75</v>
      </c>
      <c r="E4" s="160" t="s">
        <v>4</v>
      </c>
      <c r="F4" s="161"/>
      <c r="G4" s="162" t="s">
        <v>5</v>
      </c>
      <c r="H4" s="170" t="s">
        <v>75</v>
      </c>
      <c r="I4" s="164" t="s">
        <v>6</v>
      </c>
      <c r="J4" s="170" t="s">
        <v>75</v>
      </c>
      <c r="L4" s="166" t="s">
        <v>7</v>
      </c>
      <c r="M4" s="167"/>
      <c r="N4" s="167"/>
      <c r="O4" s="167"/>
      <c r="P4" s="167"/>
      <c r="Q4" s="167"/>
      <c r="R4" s="167"/>
      <c r="S4" s="167"/>
      <c r="T4" s="167"/>
      <c r="U4" s="167"/>
      <c r="V4" s="168"/>
    </row>
    <row r="5" spans="1:58" s="3" customFormat="1" ht="38.25" thickBot="1" x14ac:dyDescent="0.3">
      <c r="A5" s="53"/>
      <c r="B5" s="150"/>
      <c r="C5" s="159"/>
      <c r="D5" s="169"/>
      <c r="E5" s="52" t="s">
        <v>8</v>
      </c>
      <c r="F5" s="140" t="s">
        <v>9</v>
      </c>
      <c r="G5" s="163"/>
      <c r="H5" s="171"/>
      <c r="I5" s="165"/>
      <c r="J5" s="17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42</v>
      </c>
      <c r="D8" s="101"/>
      <c r="E8" s="91"/>
      <c r="F8" s="91"/>
      <c r="G8" s="102">
        <v>5</v>
      </c>
      <c r="H8" s="93"/>
      <c r="I8" s="93">
        <f>C8-G8</f>
        <v>37</v>
      </c>
      <c r="J8" s="103">
        <f t="shared" ref="J8:J12" si="0">D8-H8</f>
        <v>0</v>
      </c>
      <c r="K8" s="44"/>
      <c r="L8" s="91">
        <v>5</v>
      </c>
      <c r="M8" s="91"/>
      <c r="N8" s="91"/>
      <c r="O8" s="91"/>
      <c r="P8" s="91"/>
      <c r="Q8" s="92"/>
      <c r="R8" s="129">
        <f t="shared" ref="R8:S12" si="1">L8+N8+P8</f>
        <v>5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107</v>
      </c>
      <c r="D9" s="105"/>
      <c r="E9" s="106"/>
      <c r="F9" s="106"/>
      <c r="G9" s="107">
        <v>10</v>
      </c>
      <c r="H9" s="108"/>
      <c r="I9" s="93">
        <f t="shared" ref="I9:J59" si="3">C9-G9</f>
        <v>97</v>
      </c>
      <c r="J9" s="103">
        <f t="shared" si="0"/>
        <v>0</v>
      </c>
      <c r="K9" s="64"/>
      <c r="L9" s="94">
        <v>10</v>
      </c>
      <c r="M9" s="94"/>
      <c r="N9" s="94"/>
      <c r="O9" s="94"/>
      <c r="P9" s="94"/>
      <c r="Q9" s="95"/>
      <c r="R9" s="129">
        <f t="shared" si="1"/>
        <v>10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124</v>
      </c>
      <c r="D11" s="101"/>
      <c r="E11" s="91"/>
      <c r="F11" s="91"/>
      <c r="G11" s="102">
        <v>5</v>
      </c>
      <c r="H11" s="93"/>
      <c r="I11" s="93">
        <f t="shared" si="3"/>
        <v>119</v>
      </c>
      <c r="J11" s="103">
        <f t="shared" si="0"/>
        <v>0</v>
      </c>
      <c r="K11" s="44"/>
      <c r="L11" s="91">
        <v>5</v>
      </c>
      <c r="M11" s="91"/>
      <c r="N11" s="91"/>
      <c r="O11" s="91"/>
      <c r="P11" s="91"/>
      <c r="Q11" s="92"/>
      <c r="R11" s="129">
        <f t="shared" si="1"/>
        <v>5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>
        <v>1</v>
      </c>
      <c r="H12" s="93"/>
      <c r="I12" s="93">
        <f t="shared" si="3"/>
        <v>1</v>
      </c>
      <c r="J12" s="103">
        <f t="shared" si="0"/>
        <v>0</v>
      </c>
      <c r="K12" s="44"/>
      <c r="L12" s="91">
        <v>1</v>
      </c>
      <c r="M12" s="91"/>
      <c r="N12" s="91"/>
      <c r="O12" s="91"/>
      <c r="P12" s="91"/>
      <c r="Q12" s="92"/>
      <c r="R12" s="129">
        <f t="shared" si="1"/>
        <v>1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3762</v>
      </c>
      <c r="D13" s="105">
        <v>5</v>
      </c>
      <c r="E13" s="106"/>
      <c r="F13" s="106"/>
      <c r="G13" s="107">
        <v>9</v>
      </c>
      <c r="H13" s="108">
        <v>21</v>
      </c>
      <c r="I13" s="93">
        <f t="shared" si="3"/>
        <v>3753</v>
      </c>
      <c r="J13" s="103">
        <f>D13-H13</f>
        <v>-16</v>
      </c>
      <c r="K13" s="68"/>
      <c r="L13" s="94">
        <v>2</v>
      </c>
      <c r="M13" s="94">
        <v>11</v>
      </c>
      <c r="N13" s="94">
        <v>7</v>
      </c>
      <c r="O13" s="94">
        <v>10</v>
      </c>
      <c r="P13" s="94"/>
      <c r="Q13" s="95"/>
      <c r="R13" s="129">
        <f>L13+N13+P13</f>
        <v>9</v>
      </c>
      <c r="S13" s="127">
        <f>M13+O13+Q13</f>
        <v>21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>
        <v>1</v>
      </c>
      <c r="H18" s="93"/>
      <c r="I18" s="93">
        <f t="shared" si="3"/>
        <v>4</v>
      </c>
      <c r="J18" s="103">
        <f t="shared" si="3"/>
        <v>0</v>
      </c>
      <c r="K18" s="44"/>
      <c r="L18" s="91">
        <v>1</v>
      </c>
      <c r="M18" s="91"/>
      <c r="N18" s="91"/>
      <c r="O18" s="91"/>
      <c r="P18" s="91"/>
      <c r="Q18" s="92"/>
      <c r="R18" s="129">
        <f t="shared" si="4"/>
        <v>1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6</v>
      </c>
      <c r="D22" s="101"/>
      <c r="E22" s="91"/>
      <c r="F22" s="91"/>
      <c r="G22" s="102"/>
      <c r="H22" s="93"/>
      <c r="I22" s="93">
        <f t="shared" si="3"/>
        <v>6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>
        <v>1</v>
      </c>
      <c r="M23" s="91"/>
      <c r="N23" s="91"/>
      <c r="O23" s="91"/>
      <c r="P23" s="91"/>
      <c r="Q23" s="92"/>
      <c r="R23" s="129">
        <f t="shared" si="4"/>
        <v>1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51</v>
      </c>
      <c r="D24" s="101"/>
      <c r="E24" s="91"/>
      <c r="F24" s="91"/>
      <c r="G24" s="102">
        <v>1</v>
      </c>
      <c r="H24" s="93"/>
      <c r="I24" s="93">
        <f t="shared" si="3"/>
        <v>50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109</v>
      </c>
      <c r="D26" s="101">
        <v>23</v>
      </c>
      <c r="E26" s="91"/>
      <c r="F26" s="91"/>
      <c r="G26" s="102"/>
      <c r="H26" s="93"/>
      <c r="I26" s="93">
        <f t="shared" si="3"/>
        <v>109</v>
      </c>
      <c r="J26" s="103">
        <f t="shared" si="3"/>
        <v>23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>
        <v>2</v>
      </c>
      <c r="M27" s="91"/>
      <c r="N27" s="91"/>
      <c r="O27" s="91"/>
      <c r="P27" s="91"/>
      <c r="Q27" s="92"/>
      <c r="R27" s="129">
        <f t="shared" si="4"/>
        <v>2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>
        <v>2</v>
      </c>
      <c r="H28" s="93"/>
      <c r="I28" s="93">
        <f t="shared" si="3"/>
        <v>0</v>
      </c>
      <c r="J28" s="103">
        <f t="shared" si="3"/>
        <v>0</v>
      </c>
      <c r="K28" s="45"/>
      <c r="L28" s="91">
        <v>2</v>
      </c>
      <c r="M28" s="91"/>
      <c r="N28" s="91"/>
      <c r="O28" s="91"/>
      <c r="P28" s="91"/>
      <c r="Q28" s="92"/>
      <c r="R28" s="129">
        <f t="shared" si="4"/>
        <v>2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58</v>
      </c>
      <c r="D29" s="101"/>
      <c r="E29" s="91"/>
      <c r="F29" s="91"/>
      <c r="G29" s="102">
        <v>55</v>
      </c>
      <c r="H29" s="93"/>
      <c r="I29" s="93">
        <f t="shared" si="3"/>
        <v>3</v>
      </c>
      <c r="J29" s="103">
        <f t="shared" si="3"/>
        <v>0</v>
      </c>
      <c r="K29" s="45"/>
      <c r="L29" s="91">
        <v>50</v>
      </c>
      <c r="M29" s="91"/>
      <c r="N29" s="91">
        <v>5</v>
      </c>
      <c r="O29" s="91"/>
      <c r="P29" s="91"/>
      <c r="Q29" s="92"/>
      <c r="R29" s="129">
        <f t="shared" si="4"/>
        <v>55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>
        <v>5</v>
      </c>
      <c r="H31" s="93"/>
      <c r="I31" s="93">
        <f t="shared" si="3"/>
        <v>73</v>
      </c>
      <c r="J31" s="103">
        <f t="shared" si="3"/>
        <v>0</v>
      </c>
      <c r="K31" s="44"/>
      <c r="L31" s="91">
        <v>5</v>
      </c>
      <c r="M31" s="91"/>
      <c r="N31" s="91"/>
      <c r="O31" s="91"/>
      <c r="P31" s="91"/>
      <c r="Q31" s="92"/>
      <c r="R31" s="129">
        <f t="shared" si="4"/>
        <v>5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2</v>
      </c>
      <c r="D33" s="101"/>
      <c r="E33" s="91"/>
      <c r="F33" s="91"/>
      <c r="G33" s="102">
        <v>2</v>
      </c>
      <c r="H33" s="93"/>
      <c r="I33" s="93">
        <f t="shared" si="3"/>
        <v>0</v>
      </c>
      <c r="J33" s="103">
        <f t="shared" si="3"/>
        <v>0</v>
      </c>
      <c r="K33" s="44"/>
      <c r="L33" s="91">
        <v>2</v>
      </c>
      <c r="M33" s="91"/>
      <c r="N33" s="91"/>
      <c r="O33" s="91"/>
      <c r="P33" s="91"/>
      <c r="Q33" s="92"/>
      <c r="R33" s="129">
        <f t="shared" si="4"/>
        <v>2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194</v>
      </c>
      <c r="D35" s="101">
        <v>23</v>
      </c>
      <c r="E35" s="91"/>
      <c r="F35" s="91"/>
      <c r="G35" s="102">
        <v>1</v>
      </c>
      <c r="H35" s="93"/>
      <c r="I35" s="93">
        <f t="shared" si="3"/>
        <v>193</v>
      </c>
      <c r="J35" s="103">
        <f t="shared" si="3"/>
        <v>23</v>
      </c>
      <c r="K35" s="44"/>
      <c r="L35" s="91"/>
      <c r="M35" s="91"/>
      <c r="N35" s="91">
        <v>1</v>
      </c>
      <c r="O35" s="91"/>
      <c r="P35" s="91"/>
      <c r="Q35" s="92"/>
      <c r="R35" s="129">
        <f t="shared" si="4"/>
        <v>1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5259</v>
      </c>
      <c r="D38" s="105">
        <v>2</v>
      </c>
      <c r="E38" s="106"/>
      <c r="F38" s="106"/>
      <c r="G38" s="107">
        <v>61</v>
      </c>
      <c r="H38" s="108"/>
      <c r="I38" s="93">
        <f t="shared" si="3"/>
        <v>5198</v>
      </c>
      <c r="J38" s="103">
        <f t="shared" si="3"/>
        <v>2</v>
      </c>
      <c r="K38" s="64"/>
      <c r="L38" s="94">
        <v>7</v>
      </c>
      <c r="M38" s="94"/>
      <c r="N38" s="94">
        <v>54</v>
      </c>
      <c r="O38" s="94"/>
      <c r="P38" s="94"/>
      <c r="Q38" s="95"/>
      <c r="R38" s="129">
        <f t="shared" si="4"/>
        <v>61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>
        <v>5</v>
      </c>
      <c r="H39" s="93"/>
      <c r="I39" s="93">
        <f t="shared" si="3"/>
        <v>6</v>
      </c>
      <c r="J39" s="103">
        <f t="shared" si="3"/>
        <v>0</v>
      </c>
      <c r="K39" s="44"/>
      <c r="L39" s="91">
        <v>5</v>
      </c>
      <c r="M39" s="91"/>
      <c r="N39" s="91"/>
      <c r="O39" s="91"/>
      <c r="P39" s="91"/>
      <c r="Q39" s="92"/>
      <c r="R39" s="129">
        <f t="shared" si="4"/>
        <v>5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>
        <v>2</v>
      </c>
      <c r="H40" s="116"/>
      <c r="I40" s="93">
        <f t="shared" si="3"/>
        <v>0</v>
      </c>
      <c r="J40" s="103">
        <f t="shared" si="3"/>
        <v>0</v>
      </c>
      <c r="K40" s="44"/>
      <c r="L40" s="91">
        <v>2</v>
      </c>
      <c r="M40" s="91"/>
      <c r="N40" s="91"/>
      <c r="O40" s="91"/>
      <c r="P40" s="91"/>
      <c r="Q40" s="92"/>
      <c r="R40" s="129">
        <f t="shared" si="4"/>
        <v>2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f>821</f>
        <v>821</v>
      </c>
      <c r="D41" s="105">
        <v>12</v>
      </c>
      <c r="E41" s="106"/>
      <c r="F41" s="106"/>
      <c r="G41" s="107">
        <v>10</v>
      </c>
      <c r="H41" s="108"/>
      <c r="I41" s="93">
        <f t="shared" si="3"/>
        <v>811</v>
      </c>
      <c r="J41" s="103">
        <f t="shared" si="3"/>
        <v>12</v>
      </c>
      <c r="K41" s="64"/>
      <c r="L41" s="91">
        <v>10</v>
      </c>
      <c r="M41" s="91"/>
      <c r="N41" s="91"/>
      <c r="O41" s="91"/>
      <c r="P41" s="91"/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f>1888</f>
        <v>1888</v>
      </c>
      <c r="D42" s="110"/>
      <c r="E42" s="96"/>
      <c r="F42" s="96"/>
      <c r="G42" s="111">
        <v>32</v>
      </c>
      <c r="H42" s="112"/>
      <c r="I42" s="93">
        <f t="shared" si="3"/>
        <v>1856</v>
      </c>
      <c r="J42" s="103">
        <f t="shared" si="3"/>
        <v>0</v>
      </c>
      <c r="K42" s="69"/>
      <c r="L42" s="96">
        <v>25</v>
      </c>
      <c r="M42" s="96"/>
      <c r="N42" s="96">
        <v>7</v>
      </c>
      <c r="O42" s="96"/>
      <c r="P42" s="96"/>
      <c r="Q42" s="97"/>
      <c r="R42" s="129">
        <f t="shared" si="4"/>
        <v>32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27642</v>
      </c>
      <c r="D44" s="105"/>
      <c r="E44" s="106"/>
      <c r="F44" s="106"/>
      <c r="G44" s="107">
        <v>237</v>
      </c>
      <c r="H44" s="108"/>
      <c r="I44" s="93">
        <f t="shared" si="3"/>
        <v>27405</v>
      </c>
      <c r="J44" s="103">
        <f t="shared" si="3"/>
        <v>0</v>
      </c>
      <c r="K44" s="64"/>
      <c r="L44" s="94">
        <v>57</v>
      </c>
      <c r="M44" s="94"/>
      <c r="N44" s="94">
        <v>180</v>
      </c>
      <c r="O44" s="94"/>
      <c r="P44" s="94"/>
      <c r="Q44" s="95"/>
      <c r="R44" s="129">
        <f t="shared" si="4"/>
        <v>237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2388</v>
      </c>
      <c r="D48" s="101">
        <v>5</v>
      </c>
      <c r="E48" s="91"/>
      <c r="F48" s="91"/>
      <c r="G48" s="102">
        <v>12</v>
      </c>
      <c r="H48" s="93"/>
      <c r="I48" s="93">
        <f t="shared" si="3"/>
        <v>2376</v>
      </c>
      <c r="J48" s="103">
        <f t="shared" si="3"/>
        <v>5</v>
      </c>
      <c r="K48" s="44"/>
      <c r="L48" s="91">
        <v>10</v>
      </c>
      <c r="M48" s="91"/>
      <c r="N48" s="91">
        <v>2</v>
      </c>
      <c r="O48" s="91"/>
      <c r="P48" s="91"/>
      <c r="Q48" s="92"/>
      <c r="R48" s="129">
        <f t="shared" si="4"/>
        <v>12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42612</v>
      </c>
      <c r="D60" s="71">
        <f>SUM(D8:D59)</f>
        <v>70</v>
      </c>
      <c r="E60" s="47">
        <f>SUM(E8:E59)</f>
        <v>0</v>
      </c>
      <c r="F60" s="47"/>
      <c r="G60" s="31">
        <f>SUM(G8:G59)</f>
        <v>456</v>
      </c>
      <c r="H60" s="73">
        <f>SUM(H8:H59)</f>
        <v>21</v>
      </c>
      <c r="I60" s="73">
        <f>SUM(I8:I59)</f>
        <v>42156</v>
      </c>
      <c r="J60" s="48">
        <f>SUM(J8:J59)</f>
        <v>49</v>
      </c>
      <c r="K60" s="49"/>
      <c r="L60" s="98">
        <f t="shared" ref="L60:S60" si="5">SUM(L8:L59)</f>
        <v>202</v>
      </c>
      <c r="M60" s="98">
        <f t="shared" si="5"/>
        <v>11</v>
      </c>
      <c r="N60" s="98">
        <f t="shared" si="5"/>
        <v>256</v>
      </c>
      <c r="O60" s="98">
        <f t="shared" si="5"/>
        <v>10</v>
      </c>
      <c r="P60" s="98">
        <f t="shared" si="5"/>
        <v>0</v>
      </c>
      <c r="Q60" s="99">
        <f t="shared" si="5"/>
        <v>0</v>
      </c>
      <c r="R60" s="128">
        <f t="shared" si="5"/>
        <v>458</v>
      </c>
      <c r="S60" s="125">
        <f t="shared" si="5"/>
        <v>21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5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5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8" t="s">
        <v>3</v>
      </c>
      <c r="D69" s="139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8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F492D-4EEA-484A-B2C6-3B9C2B5349E0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6">
        <v>46060</v>
      </c>
      <c r="Q1" s="157"/>
      <c r="R1" s="157"/>
      <c r="S1" s="157"/>
      <c r="T1" s="157"/>
      <c r="U1" s="157"/>
      <c r="V1" s="15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50" t="s">
        <v>74</v>
      </c>
      <c r="C4" s="159" t="s">
        <v>3</v>
      </c>
      <c r="D4" s="169" t="s">
        <v>75</v>
      </c>
      <c r="E4" s="160" t="s">
        <v>4</v>
      </c>
      <c r="F4" s="161"/>
      <c r="G4" s="162" t="s">
        <v>5</v>
      </c>
      <c r="H4" s="170" t="s">
        <v>75</v>
      </c>
      <c r="I4" s="164" t="s">
        <v>6</v>
      </c>
      <c r="J4" s="170" t="s">
        <v>75</v>
      </c>
      <c r="L4" s="166" t="s">
        <v>7</v>
      </c>
      <c r="M4" s="167"/>
      <c r="N4" s="167"/>
      <c r="O4" s="167"/>
      <c r="P4" s="167"/>
      <c r="Q4" s="167"/>
      <c r="R4" s="167"/>
      <c r="S4" s="167"/>
      <c r="T4" s="167"/>
      <c r="U4" s="167"/>
      <c r="V4" s="168"/>
    </row>
    <row r="5" spans="1:58" s="3" customFormat="1" ht="38.25" thickBot="1" x14ac:dyDescent="0.3">
      <c r="A5" s="53"/>
      <c r="B5" s="150"/>
      <c r="C5" s="159"/>
      <c r="D5" s="169"/>
      <c r="E5" s="52" t="s">
        <v>8</v>
      </c>
      <c r="F5" s="143" t="s">
        <v>9</v>
      </c>
      <c r="G5" s="163"/>
      <c r="H5" s="171"/>
      <c r="I5" s="165"/>
      <c r="J5" s="17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37</v>
      </c>
      <c r="D8" s="101"/>
      <c r="E8" s="91"/>
      <c r="F8" s="91"/>
      <c r="G8" s="102">
        <v>2</v>
      </c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>
        <v>2</v>
      </c>
      <c r="Q8" s="92"/>
      <c r="R8" s="129">
        <f t="shared" ref="R8:S12" si="1">L8+N8+P8</f>
        <v>2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119</v>
      </c>
      <c r="D11" s="101"/>
      <c r="E11" s="91"/>
      <c r="F11" s="91"/>
      <c r="G11" s="102">
        <v>2</v>
      </c>
      <c r="H11" s="93"/>
      <c r="I11" s="93">
        <f t="shared" si="3"/>
        <v>117</v>
      </c>
      <c r="J11" s="103">
        <f t="shared" si="0"/>
        <v>0</v>
      </c>
      <c r="K11" s="44"/>
      <c r="L11" s="91">
        <v>2</v>
      </c>
      <c r="M11" s="91"/>
      <c r="N11" s="91"/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3752</v>
      </c>
      <c r="D13" s="105">
        <v>8</v>
      </c>
      <c r="E13" s="106"/>
      <c r="F13" s="106"/>
      <c r="G13" s="107">
        <v>15</v>
      </c>
      <c r="H13" s="108">
        <v>34</v>
      </c>
      <c r="I13" s="93">
        <f t="shared" si="3"/>
        <v>3737</v>
      </c>
      <c r="J13" s="103">
        <f>D13-H13</f>
        <v>-26</v>
      </c>
      <c r="K13" s="68"/>
      <c r="L13" s="94">
        <v>1</v>
      </c>
      <c r="M13" s="94">
        <v>14</v>
      </c>
      <c r="N13" s="94">
        <v>11</v>
      </c>
      <c r="O13" s="94">
        <v>15</v>
      </c>
      <c r="P13" s="94">
        <v>3</v>
      </c>
      <c r="Q13" s="95">
        <v>5</v>
      </c>
      <c r="R13" s="129">
        <f>L13+N13+P13</f>
        <v>15</v>
      </c>
      <c r="S13" s="127">
        <f>M13+O13+Q13</f>
        <v>34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51</v>
      </c>
      <c r="D24" s="101"/>
      <c r="E24" s="91"/>
      <c r="F24" s="91"/>
      <c r="G24" s="102">
        <v>3</v>
      </c>
      <c r="H24" s="93"/>
      <c r="I24" s="93">
        <f t="shared" si="3"/>
        <v>48</v>
      </c>
      <c r="J24" s="103">
        <f t="shared" si="3"/>
        <v>0</v>
      </c>
      <c r="K24" s="45"/>
      <c r="L24" s="91">
        <v>3</v>
      </c>
      <c r="M24" s="91"/>
      <c r="N24" s="91"/>
      <c r="O24" s="91"/>
      <c r="P24" s="91"/>
      <c r="Q24" s="92"/>
      <c r="R24" s="129">
        <f t="shared" si="4"/>
        <v>3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109</v>
      </c>
      <c r="D26" s="101">
        <v>23</v>
      </c>
      <c r="E26" s="91"/>
      <c r="F26" s="91"/>
      <c r="G26" s="102">
        <v>2</v>
      </c>
      <c r="H26" s="93"/>
      <c r="I26" s="93">
        <f t="shared" si="3"/>
        <v>107</v>
      </c>
      <c r="J26" s="103">
        <f t="shared" si="3"/>
        <v>23</v>
      </c>
      <c r="K26" s="44"/>
      <c r="L26" s="91">
        <v>2</v>
      </c>
      <c r="M26" s="91"/>
      <c r="N26" s="91"/>
      <c r="O26" s="91"/>
      <c r="P26" s="91"/>
      <c r="Q26" s="92"/>
      <c r="R26" s="129">
        <f t="shared" si="4"/>
        <v>2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3</v>
      </c>
      <c r="D29" s="101"/>
      <c r="E29" s="91"/>
      <c r="F29" s="91"/>
      <c r="G29" s="102">
        <v>1</v>
      </c>
      <c r="H29" s="93"/>
      <c r="I29" s="93">
        <f t="shared" si="3"/>
        <v>2</v>
      </c>
      <c r="J29" s="103">
        <f t="shared" si="3"/>
        <v>0</v>
      </c>
      <c r="K29" s="45"/>
      <c r="L29" s="91">
        <v>1</v>
      </c>
      <c r="M29" s="91"/>
      <c r="N29" s="91"/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73</v>
      </c>
      <c r="D31" s="101"/>
      <c r="E31" s="91"/>
      <c r="F31" s="91"/>
      <c r="G31" s="102">
        <v>2</v>
      </c>
      <c r="H31" s="93"/>
      <c r="I31" s="93">
        <f t="shared" si="3"/>
        <v>71</v>
      </c>
      <c r="J31" s="103">
        <f t="shared" si="3"/>
        <v>0</v>
      </c>
      <c r="K31" s="44"/>
      <c r="L31" s="91">
        <v>2</v>
      </c>
      <c r="M31" s="91"/>
      <c r="N31" s="91"/>
      <c r="O31" s="91"/>
      <c r="P31" s="91"/>
      <c r="Q31" s="92"/>
      <c r="R31" s="129">
        <f t="shared" si="4"/>
        <v>2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193</v>
      </c>
      <c r="D35" s="101">
        <v>23</v>
      </c>
      <c r="E35" s="91"/>
      <c r="F35" s="91"/>
      <c r="G35" s="102">
        <v>4</v>
      </c>
      <c r="H35" s="93"/>
      <c r="I35" s="93">
        <f t="shared" si="3"/>
        <v>189</v>
      </c>
      <c r="J35" s="103">
        <f t="shared" si="3"/>
        <v>23</v>
      </c>
      <c r="K35" s="44"/>
      <c r="L35" s="91">
        <v>4</v>
      </c>
      <c r="M35" s="91"/>
      <c r="N35" s="91"/>
      <c r="O35" s="91"/>
      <c r="P35" s="91"/>
      <c r="Q35" s="92"/>
      <c r="R35" s="129">
        <f t="shared" si="4"/>
        <v>4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5198</v>
      </c>
      <c r="D38" s="105">
        <v>2</v>
      </c>
      <c r="E38" s="106"/>
      <c r="F38" s="106"/>
      <c r="G38" s="107">
        <v>41</v>
      </c>
      <c r="H38" s="108"/>
      <c r="I38" s="93">
        <f t="shared" si="3"/>
        <v>5157</v>
      </c>
      <c r="J38" s="103">
        <f t="shared" si="3"/>
        <v>2</v>
      </c>
      <c r="K38" s="64"/>
      <c r="L38" s="94">
        <v>22</v>
      </c>
      <c r="M38" s="94"/>
      <c r="N38" s="94">
        <v>3</v>
      </c>
      <c r="O38" s="94"/>
      <c r="P38" s="94">
        <v>16</v>
      </c>
      <c r="Q38" s="95"/>
      <c r="R38" s="129">
        <f t="shared" si="4"/>
        <v>41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/>
      <c r="H39" s="93"/>
      <c r="I39" s="93">
        <f t="shared" si="3"/>
        <v>6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811</v>
      </c>
      <c r="D41" s="105">
        <v>12</v>
      </c>
      <c r="E41" s="106"/>
      <c r="F41" s="106"/>
      <c r="G41" s="107">
        <v>15</v>
      </c>
      <c r="H41" s="108"/>
      <c r="I41" s="93">
        <f t="shared" si="3"/>
        <v>796</v>
      </c>
      <c r="J41" s="103">
        <f t="shared" si="3"/>
        <v>12</v>
      </c>
      <c r="K41" s="64"/>
      <c r="L41" s="91">
        <v>15</v>
      </c>
      <c r="M41" s="91"/>
      <c r="N41" s="91"/>
      <c r="O41" s="91"/>
      <c r="P41" s="91"/>
      <c r="Q41" s="92"/>
      <c r="R41" s="129">
        <f t="shared" si="4"/>
        <v>15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1856</v>
      </c>
      <c r="D42" s="110"/>
      <c r="E42" s="96"/>
      <c r="F42" s="96"/>
      <c r="G42" s="111">
        <v>26</v>
      </c>
      <c r="H42" s="112"/>
      <c r="I42" s="93">
        <f t="shared" si="3"/>
        <v>1830</v>
      </c>
      <c r="J42" s="103">
        <f t="shared" si="3"/>
        <v>0</v>
      </c>
      <c r="K42" s="69"/>
      <c r="L42" s="96">
        <v>5</v>
      </c>
      <c r="M42" s="96"/>
      <c r="N42" s="96">
        <v>11</v>
      </c>
      <c r="O42" s="96"/>
      <c r="P42" s="96">
        <v>10</v>
      </c>
      <c r="Q42" s="97"/>
      <c r="R42" s="129">
        <f t="shared" si="4"/>
        <v>26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27405</v>
      </c>
      <c r="D44" s="105"/>
      <c r="E44" s="106"/>
      <c r="F44" s="106"/>
      <c r="G44" s="107">
        <v>850</v>
      </c>
      <c r="H44" s="108"/>
      <c r="I44" s="93">
        <f t="shared" si="3"/>
        <v>26555</v>
      </c>
      <c r="J44" s="103">
        <f t="shared" si="3"/>
        <v>0</v>
      </c>
      <c r="K44" s="64"/>
      <c r="L44" s="94">
        <v>159</v>
      </c>
      <c r="M44" s="94"/>
      <c r="N44" s="94">
        <v>333</v>
      </c>
      <c r="O44" s="94"/>
      <c r="P44" s="94">
        <v>358</v>
      </c>
      <c r="Q44" s="95"/>
      <c r="R44" s="129">
        <f t="shared" si="4"/>
        <v>850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2376</v>
      </c>
      <c r="D48" s="101">
        <v>5</v>
      </c>
      <c r="E48" s="91"/>
      <c r="F48" s="91"/>
      <c r="G48" s="102"/>
      <c r="H48" s="93"/>
      <c r="I48" s="93">
        <f t="shared" si="3"/>
        <v>2376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42156</v>
      </c>
      <c r="D60" s="71">
        <f>SUM(D8:D59)</f>
        <v>73</v>
      </c>
      <c r="E60" s="47">
        <f>SUM(E8:E59)</f>
        <v>0</v>
      </c>
      <c r="F60" s="47"/>
      <c r="G60" s="31">
        <f>SUM(G8:G59)</f>
        <v>963</v>
      </c>
      <c r="H60" s="73">
        <f>SUM(H8:H59)</f>
        <v>34</v>
      </c>
      <c r="I60" s="73">
        <f>SUM(I8:I59)</f>
        <v>41193</v>
      </c>
      <c r="J60" s="48">
        <f>SUM(J8:J59)</f>
        <v>39</v>
      </c>
      <c r="K60" s="49"/>
      <c r="L60" s="98">
        <f t="shared" ref="L60:S60" si="5">SUM(L8:L59)</f>
        <v>216</v>
      </c>
      <c r="M60" s="98">
        <f t="shared" si="5"/>
        <v>14</v>
      </c>
      <c r="N60" s="98">
        <f t="shared" si="5"/>
        <v>358</v>
      </c>
      <c r="O60" s="98">
        <f t="shared" si="5"/>
        <v>15</v>
      </c>
      <c r="P60" s="98">
        <f t="shared" si="5"/>
        <v>389</v>
      </c>
      <c r="Q60" s="99">
        <f t="shared" si="5"/>
        <v>5</v>
      </c>
      <c r="R60" s="128">
        <f t="shared" si="5"/>
        <v>963</v>
      </c>
      <c r="S60" s="125">
        <f t="shared" si="5"/>
        <v>34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5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5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B72BC-8155-48AD-A234-EF9CA44DF671}">
  <sheetPr>
    <pageSetUpPr fitToPage="1"/>
  </sheetPr>
  <dimension ref="A1:BF90"/>
  <sheetViews>
    <sheetView zoomScale="85" zoomScaleNormal="85" zoomScaleSheetLayoutView="85" zoomScalePageLayoutView="80" workbookViewId="0">
      <selection activeCell="N14" sqref="N1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6">
        <v>46062</v>
      </c>
      <c r="Q1" s="157"/>
      <c r="R1" s="157"/>
      <c r="S1" s="157"/>
      <c r="T1" s="157"/>
      <c r="U1" s="157"/>
      <c r="V1" s="15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50" t="s">
        <v>74</v>
      </c>
      <c r="C4" s="159" t="s">
        <v>3</v>
      </c>
      <c r="D4" s="169" t="s">
        <v>75</v>
      </c>
      <c r="E4" s="160" t="s">
        <v>4</v>
      </c>
      <c r="F4" s="161"/>
      <c r="G4" s="162" t="s">
        <v>5</v>
      </c>
      <c r="H4" s="170" t="s">
        <v>75</v>
      </c>
      <c r="I4" s="164" t="s">
        <v>6</v>
      </c>
      <c r="J4" s="170" t="s">
        <v>75</v>
      </c>
      <c r="L4" s="166" t="s">
        <v>7</v>
      </c>
      <c r="M4" s="167"/>
      <c r="N4" s="167"/>
      <c r="O4" s="167"/>
      <c r="P4" s="167"/>
      <c r="Q4" s="167"/>
      <c r="R4" s="167"/>
      <c r="S4" s="167"/>
      <c r="T4" s="167"/>
      <c r="U4" s="167"/>
      <c r="V4" s="168"/>
    </row>
    <row r="5" spans="1:58" s="3" customFormat="1" ht="38.25" thickBot="1" x14ac:dyDescent="0.3">
      <c r="A5" s="53"/>
      <c r="B5" s="150"/>
      <c r="C5" s="159"/>
      <c r="D5" s="169"/>
      <c r="E5" s="52" t="s">
        <v>8</v>
      </c>
      <c r="F5" s="143" t="s">
        <v>9</v>
      </c>
      <c r="G5" s="163"/>
      <c r="H5" s="171"/>
      <c r="I5" s="165"/>
      <c r="J5" s="17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117</v>
      </c>
      <c r="D11" s="101"/>
      <c r="E11" s="91"/>
      <c r="F11" s="91"/>
      <c r="G11" s="102">
        <v>3</v>
      </c>
      <c r="H11" s="93"/>
      <c r="I11" s="93">
        <f t="shared" si="3"/>
        <v>114</v>
      </c>
      <c r="J11" s="103">
        <f t="shared" si="0"/>
        <v>0</v>
      </c>
      <c r="K11" s="44"/>
      <c r="L11" s="91">
        <v>2</v>
      </c>
      <c r="M11" s="91"/>
      <c r="N11" s="91">
        <v>1</v>
      </c>
      <c r="O11" s="91"/>
      <c r="P11" s="91"/>
      <c r="Q11" s="92"/>
      <c r="R11" s="129">
        <f t="shared" si="1"/>
        <v>3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3735</v>
      </c>
      <c r="D13" s="105">
        <v>22</v>
      </c>
      <c r="E13" s="106"/>
      <c r="F13" s="106"/>
      <c r="G13" s="107">
        <v>44</v>
      </c>
      <c r="H13" s="108">
        <v>23</v>
      </c>
      <c r="I13" s="93">
        <f t="shared" si="3"/>
        <v>3691</v>
      </c>
      <c r="J13" s="103">
        <f>D13-H13</f>
        <v>-1</v>
      </c>
      <c r="K13" s="68"/>
      <c r="L13" s="94">
        <v>10</v>
      </c>
      <c r="M13" s="94">
        <v>19</v>
      </c>
      <c r="N13" s="94">
        <v>21</v>
      </c>
      <c r="O13" s="94"/>
      <c r="P13" s="94">
        <v>13</v>
      </c>
      <c r="Q13" s="95">
        <v>4</v>
      </c>
      <c r="R13" s="129">
        <f>L13+N13+P13</f>
        <v>44</v>
      </c>
      <c r="S13" s="127">
        <f>M13+O13+Q13</f>
        <v>23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107</v>
      </c>
      <c r="D26" s="101">
        <v>23</v>
      </c>
      <c r="E26" s="91"/>
      <c r="F26" s="91"/>
      <c r="G26" s="102">
        <v>5</v>
      </c>
      <c r="H26" s="93"/>
      <c r="I26" s="93">
        <f t="shared" si="3"/>
        <v>102</v>
      </c>
      <c r="J26" s="103">
        <f t="shared" si="3"/>
        <v>23</v>
      </c>
      <c r="K26" s="44"/>
      <c r="L26" s="91">
        <v>5</v>
      </c>
      <c r="M26" s="91"/>
      <c r="N26" s="91"/>
      <c r="O26" s="91"/>
      <c r="P26" s="91"/>
      <c r="Q26" s="92"/>
      <c r="R26" s="129">
        <f t="shared" si="4"/>
        <v>5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2</v>
      </c>
      <c r="D29" s="101"/>
      <c r="E29" s="91"/>
      <c r="F29" s="91"/>
      <c r="G29" s="102">
        <v>1</v>
      </c>
      <c r="H29" s="93"/>
      <c r="I29" s="93">
        <f t="shared" si="3"/>
        <v>1</v>
      </c>
      <c r="J29" s="103">
        <f t="shared" si="3"/>
        <v>0</v>
      </c>
      <c r="K29" s="45"/>
      <c r="L29" s="91"/>
      <c r="M29" s="91"/>
      <c r="N29" s="91">
        <v>1</v>
      </c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71</v>
      </c>
      <c r="D31" s="101"/>
      <c r="E31" s="91"/>
      <c r="F31" s="91"/>
      <c r="G31" s="102">
        <v>1</v>
      </c>
      <c r="H31" s="93"/>
      <c r="I31" s="93">
        <f t="shared" si="3"/>
        <v>70</v>
      </c>
      <c r="J31" s="103">
        <f t="shared" si="3"/>
        <v>0</v>
      </c>
      <c r="K31" s="44"/>
      <c r="L31" s="91"/>
      <c r="M31" s="91"/>
      <c r="N31" s="91">
        <v>1</v>
      </c>
      <c r="O31" s="91"/>
      <c r="P31" s="91"/>
      <c r="Q31" s="92"/>
      <c r="R31" s="129">
        <f t="shared" si="4"/>
        <v>1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189</v>
      </c>
      <c r="D35" s="101">
        <v>23</v>
      </c>
      <c r="E35" s="91"/>
      <c r="F35" s="91"/>
      <c r="G35" s="102">
        <v>12</v>
      </c>
      <c r="H35" s="93"/>
      <c r="I35" s="93">
        <f t="shared" si="3"/>
        <v>177</v>
      </c>
      <c r="J35" s="103">
        <f t="shared" si="3"/>
        <v>23</v>
      </c>
      <c r="K35" s="44"/>
      <c r="L35" s="91">
        <v>10</v>
      </c>
      <c r="M35" s="91"/>
      <c r="N35" s="91"/>
      <c r="O35" s="91"/>
      <c r="P35" s="91">
        <v>2</v>
      </c>
      <c r="Q35" s="92"/>
      <c r="R35" s="129">
        <f t="shared" si="4"/>
        <v>12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5157</v>
      </c>
      <c r="D38" s="105">
        <v>2</v>
      </c>
      <c r="E38" s="106"/>
      <c r="F38" s="106"/>
      <c r="G38" s="107">
        <v>205</v>
      </c>
      <c r="H38" s="108"/>
      <c r="I38" s="93">
        <f t="shared" si="3"/>
        <v>4952</v>
      </c>
      <c r="J38" s="103">
        <f t="shared" si="3"/>
        <v>2</v>
      </c>
      <c r="K38" s="64"/>
      <c r="L38" s="94">
        <v>14</v>
      </c>
      <c r="M38" s="94"/>
      <c r="N38" s="94">
        <v>106</v>
      </c>
      <c r="O38" s="94"/>
      <c r="P38" s="94">
        <v>85</v>
      </c>
      <c r="Q38" s="95"/>
      <c r="R38" s="129">
        <f t="shared" si="4"/>
        <v>205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/>
      <c r="H39" s="93"/>
      <c r="I39" s="93">
        <f t="shared" si="3"/>
        <v>6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796</v>
      </c>
      <c r="D41" s="105">
        <v>12</v>
      </c>
      <c r="E41" s="106"/>
      <c r="F41" s="106"/>
      <c r="G41" s="107">
        <v>1</v>
      </c>
      <c r="H41" s="108">
        <v>12</v>
      </c>
      <c r="I41" s="93">
        <f t="shared" si="3"/>
        <v>795</v>
      </c>
      <c r="J41" s="103">
        <f t="shared" si="3"/>
        <v>0</v>
      </c>
      <c r="K41" s="64"/>
      <c r="L41" s="91"/>
      <c r="M41" s="91"/>
      <c r="N41" s="91"/>
      <c r="O41" s="91"/>
      <c r="P41" s="91">
        <v>1</v>
      </c>
      <c r="Q41" s="92">
        <v>12</v>
      </c>
      <c r="R41" s="129">
        <f t="shared" si="4"/>
        <v>1</v>
      </c>
      <c r="S41" s="127">
        <f t="shared" si="4"/>
        <v>12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1830</v>
      </c>
      <c r="D42" s="110"/>
      <c r="E42" s="96"/>
      <c r="F42" s="96"/>
      <c r="G42" s="111">
        <v>21</v>
      </c>
      <c r="H42" s="112"/>
      <c r="I42" s="93">
        <f t="shared" si="3"/>
        <v>1809</v>
      </c>
      <c r="J42" s="103">
        <f t="shared" si="3"/>
        <v>0</v>
      </c>
      <c r="K42" s="69"/>
      <c r="L42" s="96">
        <v>11</v>
      </c>
      <c r="M42" s="96"/>
      <c r="N42" s="96"/>
      <c r="O42" s="96"/>
      <c r="P42" s="96">
        <v>10</v>
      </c>
      <c r="Q42" s="97"/>
      <c r="R42" s="129">
        <f t="shared" si="4"/>
        <v>21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26555</v>
      </c>
      <c r="D44" s="105"/>
      <c r="E44" s="106"/>
      <c r="F44" s="106"/>
      <c r="G44" s="107">
        <v>983</v>
      </c>
      <c r="H44" s="108"/>
      <c r="I44" s="93">
        <f t="shared" si="3"/>
        <v>25572</v>
      </c>
      <c r="J44" s="103">
        <f t="shared" si="3"/>
        <v>0</v>
      </c>
      <c r="K44" s="64"/>
      <c r="L44" s="94">
        <v>350</v>
      </c>
      <c r="M44" s="94"/>
      <c r="N44" s="94">
        <v>328</v>
      </c>
      <c r="O44" s="94"/>
      <c r="P44" s="94">
        <v>305</v>
      </c>
      <c r="Q44" s="95"/>
      <c r="R44" s="129">
        <f t="shared" si="4"/>
        <v>983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f>2376</f>
        <v>2376</v>
      </c>
      <c r="D48" s="101">
        <v>5</v>
      </c>
      <c r="E48" s="91"/>
      <c r="F48" s="91"/>
      <c r="G48" s="102"/>
      <c r="H48" s="93"/>
      <c r="I48" s="93">
        <f t="shared" si="3"/>
        <v>2376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41191</v>
      </c>
      <c r="D60" s="71">
        <f>SUM(D8:D59)</f>
        <v>87</v>
      </c>
      <c r="E60" s="47">
        <f>SUM(E8:E59)</f>
        <v>0</v>
      </c>
      <c r="F60" s="47"/>
      <c r="G60" s="31">
        <f>SUM(G8:G59)</f>
        <v>1276</v>
      </c>
      <c r="H60" s="73">
        <f>SUM(H8:H59)</f>
        <v>35</v>
      </c>
      <c r="I60" s="73">
        <f>SUM(I8:I59)</f>
        <v>39915</v>
      </c>
      <c r="J60" s="48">
        <f>SUM(J8:J59)</f>
        <v>52</v>
      </c>
      <c r="K60" s="49"/>
      <c r="L60" s="98">
        <f t="shared" ref="L60:S60" si="5">SUM(L8:L59)</f>
        <v>402</v>
      </c>
      <c r="M60" s="98">
        <f t="shared" si="5"/>
        <v>19</v>
      </c>
      <c r="N60" s="98">
        <f t="shared" si="5"/>
        <v>458</v>
      </c>
      <c r="O60" s="98">
        <f t="shared" si="5"/>
        <v>0</v>
      </c>
      <c r="P60" s="98">
        <f t="shared" si="5"/>
        <v>416</v>
      </c>
      <c r="Q60" s="99">
        <f t="shared" si="5"/>
        <v>16</v>
      </c>
      <c r="R60" s="128">
        <f t="shared" si="5"/>
        <v>1276</v>
      </c>
      <c r="S60" s="125">
        <f t="shared" si="5"/>
        <v>35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5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5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D18AA-5238-43C6-9323-7E13E3256073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6">
        <v>46063</v>
      </c>
      <c r="Q1" s="157"/>
      <c r="R1" s="157"/>
      <c r="S1" s="157"/>
      <c r="T1" s="157"/>
      <c r="U1" s="157"/>
      <c r="V1" s="15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50" t="s">
        <v>74</v>
      </c>
      <c r="C4" s="159" t="s">
        <v>3</v>
      </c>
      <c r="D4" s="169" t="s">
        <v>75</v>
      </c>
      <c r="E4" s="160" t="s">
        <v>4</v>
      </c>
      <c r="F4" s="161"/>
      <c r="G4" s="162" t="s">
        <v>5</v>
      </c>
      <c r="H4" s="170" t="s">
        <v>75</v>
      </c>
      <c r="I4" s="164" t="s">
        <v>6</v>
      </c>
      <c r="J4" s="170" t="s">
        <v>75</v>
      </c>
      <c r="L4" s="166" t="s">
        <v>7</v>
      </c>
      <c r="M4" s="167"/>
      <c r="N4" s="167"/>
      <c r="O4" s="167"/>
      <c r="P4" s="167"/>
      <c r="Q4" s="167"/>
      <c r="R4" s="167"/>
      <c r="S4" s="167"/>
      <c r="T4" s="167"/>
      <c r="U4" s="167"/>
      <c r="V4" s="168"/>
    </row>
    <row r="5" spans="1:58" s="3" customFormat="1" ht="38.25" thickBot="1" x14ac:dyDescent="0.3">
      <c r="A5" s="53"/>
      <c r="B5" s="150"/>
      <c r="C5" s="159"/>
      <c r="D5" s="169"/>
      <c r="E5" s="52" t="s">
        <v>8</v>
      </c>
      <c r="F5" s="143" t="s">
        <v>9</v>
      </c>
      <c r="G5" s="163"/>
      <c r="H5" s="171"/>
      <c r="I5" s="165"/>
      <c r="J5" s="17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114</v>
      </c>
      <c r="D11" s="101"/>
      <c r="E11" s="91"/>
      <c r="F11" s="91"/>
      <c r="G11" s="102">
        <v>17</v>
      </c>
      <c r="H11" s="93"/>
      <c r="I11" s="93">
        <f t="shared" si="3"/>
        <v>97</v>
      </c>
      <c r="J11" s="103">
        <f t="shared" si="0"/>
        <v>0</v>
      </c>
      <c r="K11" s="44"/>
      <c r="L11" s="91">
        <v>1</v>
      </c>
      <c r="M11" s="91"/>
      <c r="N11" s="91">
        <v>6</v>
      </c>
      <c r="O11" s="91"/>
      <c r="P11" s="91">
        <v>10</v>
      </c>
      <c r="Q11" s="92"/>
      <c r="R11" s="129">
        <f t="shared" si="1"/>
        <v>17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3690</v>
      </c>
      <c r="D13" s="105">
        <v>23</v>
      </c>
      <c r="E13" s="106"/>
      <c r="F13" s="106"/>
      <c r="G13" s="107">
        <v>11</v>
      </c>
      <c r="H13" s="108">
        <v>32</v>
      </c>
      <c r="I13" s="93">
        <f t="shared" si="3"/>
        <v>3679</v>
      </c>
      <c r="J13" s="103">
        <f>D13-H13</f>
        <v>-9</v>
      </c>
      <c r="K13" s="68"/>
      <c r="L13" s="94">
        <v>2</v>
      </c>
      <c r="M13" s="94">
        <v>11</v>
      </c>
      <c r="N13" s="94">
        <v>9</v>
      </c>
      <c r="O13" s="94">
        <v>15</v>
      </c>
      <c r="P13" s="94"/>
      <c r="Q13" s="95">
        <v>6</v>
      </c>
      <c r="R13" s="129">
        <f>L13+N13+P13</f>
        <v>11</v>
      </c>
      <c r="S13" s="127">
        <f>M13+O13+Q13</f>
        <v>32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102</v>
      </c>
      <c r="D26" s="101">
        <v>23</v>
      </c>
      <c r="E26" s="91"/>
      <c r="F26" s="91"/>
      <c r="G26" s="102"/>
      <c r="H26" s="93"/>
      <c r="I26" s="93">
        <f t="shared" si="3"/>
        <v>102</v>
      </c>
      <c r="J26" s="103">
        <f t="shared" si="3"/>
        <v>23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1</v>
      </c>
      <c r="D29" s="101"/>
      <c r="E29" s="91"/>
      <c r="F29" s="91"/>
      <c r="G29" s="102"/>
      <c r="H29" s="93"/>
      <c r="I29" s="93">
        <f t="shared" si="3"/>
        <v>1</v>
      </c>
      <c r="J29" s="103">
        <f t="shared" si="3"/>
        <v>0</v>
      </c>
      <c r="K29" s="45"/>
      <c r="L29" s="91"/>
      <c r="M29" s="91"/>
      <c r="N29" s="91">
        <v>1</v>
      </c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70</v>
      </c>
      <c r="D31" s="101"/>
      <c r="E31" s="91"/>
      <c r="F31" s="91"/>
      <c r="G31" s="102"/>
      <c r="H31" s="93"/>
      <c r="I31" s="93">
        <f t="shared" si="3"/>
        <v>70</v>
      </c>
      <c r="J31" s="103">
        <f t="shared" si="3"/>
        <v>0</v>
      </c>
      <c r="K31" s="44"/>
      <c r="L31" s="91"/>
      <c r="M31" s="91"/>
      <c r="N31" s="91"/>
      <c r="O31" s="91"/>
      <c r="P31" s="91">
        <v>5</v>
      </c>
      <c r="Q31" s="92"/>
      <c r="R31" s="129">
        <f t="shared" si="4"/>
        <v>5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177</v>
      </c>
      <c r="D35" s="101">
        <v>23</v>
      </c>
      <c r="E35" s="91"/>
      <c r="F35" s="91"/>
      <c r="G35" s="102">
        <v>10</v>
      </c>
      <c r="H35" s="93"/>
      <c r="I35" s="93">
        <f t="shared" si="3"/>
        <v>167</v>
      </c>
      <c r="J35" s="103">
        <f t="shared" si="3"/>
        <v>23</v>
      </c>
      <c r="K35" s="44"/>
      <c r="L35" s="91"/>
      <c r="M35" s="91"/>
      <c r="N35" s="91"/>
      <c r="O35" s="91"/>
      <c r="P35" s="91">
        <v>10</v>
      </c>
      <c r="Q35" s="92"/>
      <c r="R35" s="129">
        <f t="shared" si="4"/>
        <v>10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f>4952</f>
        <v>4952</v>
      </c>
      <c r="D38" s="105">
        <v>2</v>
      </c>
      <c r="E38" s="106"/>
      <c r="F38" s="106"/>
      <c r="G38" s="107">
        <v>47</v>
      </c>
      <c r="H38" s="108"/>
      <c r="I38" s="93">
        <f t="shared" si="3"/>
        <v>4905</v>
      </c>
      <c r="J38" s="103">
        <f t="shared" si="3"/>
        <v>2</v>
      </c>
      <c r="K38" s="64"/>
      <c r="L38" s="94">
        <v>25</v>
      </c>
      <c r="M38" s="94"/>
      <c r="N38" s="94">
        <v>22</v>
      </c>
      <c r="O38" s="94"/>
      <c r="P38" s="94"/>
      <c r="Q38" s="95"/>
      <c r="R38" s="129">
        <f t="shared" si="4"/>
        <v>47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>
        <v>1</v>
      </c>
      <c r="H39" s="93"/>
      <c r="I39" s="93">
        <f t="shared" si="3"/>
        <v>5</v>
      </c>
      <c r="J39" s="103">
        <f t="shared" si="3"/>
        <v>0</v>
      </c>
      <c r="K39" s="44"/>
      <c r="L39" s="91"/>
      <c r="M39" s="91"/>
      <c r="N39" s="91">
        <v>1</v>
      </c>
      <c r="O39" s="91"/>
      <c r="P39" s="91"/>
      <c r="Q39" s="92"/>
      <c r="R39" s="129">
        <f t="shared" si="4"/>
        <v>1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795</v>
      </c>
      <c r="D41" s="105"/>
      <c r="E41" s="106"/>
      <c r="F41" s="106"/>
      <c r="G41" s="107">
        <v>10</v>
      </c>
      <c r="H41" s="108"/>
      <c r="I41" s="93">
        <f t="shared" si="3"/>
        <v>785</v>
      </c>
      <c r="J41" s="103">
        <f t="shared" si="3"/>
        <v>0</v>
      </c>
      <c r="K41" s="64"/>
      <c r="L41" s="91"/>
      <c r="M41" s="91"/>
      <c r="N41" s="91"/>
      <c r="O41" s="91"/>
      <c r="P41" s="91">
        <v>10</v>
      </c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1809</v>
      </c>
      <c r="D42" s="110"/>
      <c r="E42" s="96"/>
      <c r="F42" s="96"/>
      <c r="G42" s="111">
        <v>43</v>
      </c>
      <c r="H42" s="112"/>
      <c r="I42" s="93">
        <f t="shared" si="3"/>
        <v>1766</v>
      </c>
      <c r="J42" s="103">
        <f t="shared" si="3"/>
        <v>0</v>
      </c>
      <c r="K42" s="69"/>
      <c r="L42" s="96">
        <v>4</v>
      </c>
      <c r="M42" s="96"/>
      <c r="N42" s="96">
        <v>4</v>
      </c>
      <c r="O42" s="96"/>
      <c r="P42" s="96">
        <v>35</v>
      </c>
      <c r="Q42" s="97"/>
      <c r="R42" s="129">
        <f t="shared" si="4"/>
        <v>43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25572</v>
      </c>
      <c r="D44" s="105"/>
      <c r="E44" s="106">
        <v>1836</v>
      </c>
      <c r="F44" s="106"/>
      <c r="G44" s="107">
        <v>787</v>
      </c>
      <c r="H44" s="108"/>
      <c r="I44" s="93">
        <f>C44+E44-G44</f>
        <v>26621</v>
      </c>
      <c r="J44" s="103">
        <f t="shared" si="3"/>
        <v>0</v>
      </c>
      <c r="K44" s="64"/>
      <c r="L44" s="94">
        <v>229</v>
      </c>
      <c r="M44" s="94"/>
      <c r="N44" s="94">
        <v>231</v>
      </c>
      <c r="O44" s="94"/>
      <c r="P44" s="94">
        <v>327</v>
      </c>
      <c r="Q44" s="95"/>
      <c r="R44" s="129">
        <f t="shared" si="4"/>
        <v>787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2376</v>
      </c>
      <c r="D48" s="101">
        <v>5</v>
      </c>
      <c r="E48" s="91"/>
      <c r="F48" s="91"/>
      <c r="G48" s="102">
        <v>10</v>
      </c>
      <c r="H48" s="93"/>
      <c r="I48" s="93">
        <f t="shared" si="3"/>
        <v>2366</v>
      </c>
      <c r="J48" s="103">
        <f t="shared" si="3"/>
        <v>5</v>
      </c>
      <c r="K48" s="44"/>
      <c r="L48" s="91"/>
      <c r="M48" s="91"/>
      <c r="N48" s="91"/>
      <c r="O48" s="91"/>
      <c r="P48" s="91">
        <v>10</v>
      </c>
      <c r="Q48" s="92"/>
      <c r="R48" s="129">
        <f t="shared" si="4"/>
        <v>10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39914</v>
      </c>
      <c r="D60" s="71">
        <f>SUM(D8:D59)</f>
        <v>76</v>
      </c>
      <c r="E60" s="47">
        <f>SUM(E8:E59)</f>
        <v>1836</v>
      </c>
      <c r="F60" s="47"/>
      <c r="G60" s="31">
        <f>SUM(G8:G59)</f>
        <v>936</v>
      </c>
      <c r="H60" s="73">
        <f>SUM(H8:H59)</f>
        <v>32</v>
      </c>
      <c r="I60" s="73">
        <f>SUM(I8:I59)</f>
        <v>40814</v>
      </c>
      <c r="J60" s="48">
        <f>SUM(J8:J59)</f>
        <v>44</v>
      </c>
      <c r="K60" s="49"/>
      <c r="L60" s="98">
        <f t="shared" ref="L60:S60" si="5">SUM(L8:L59)</f>
        <v>261</v>
      </c>
      <c r="M60" s="98">
        <f t="shared" si="5"/>
        <v>11</v>
      </c>
      <c r="N60" s="98">
        <f t="shared" si="5"/>
        <v>274</v>
      </c>
      <c r="O60" s="98">
        <f t="shared" si="5"/>
        <v>15</v>
      </c>
      <c r="P60" s="98">
        <f t="shared" si="5"/>
        <v>407</v>
      </c>
      <c r="Q60" s="99">
        <f t="shared" si="5"/>
        <v>6</v>
      </c>
      <c r="R60" s="128">
        <f t="shared" si="5"/>
        <v>942</v>
      </c>
      <c r="S60" s="125">
        <f t="shared" si="5"/>
        <v>32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5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5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000C1-6EA1-4C36-A546-4F0F77604104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6">
        <v>46064</v>
      </c>
      <c r="Q1" s="157"/>
      <c r="R1" s="157"/>
      <c r="S1" s="157"/>
      <c r="T1" s="157"/>
      <c r="U1" s="157"/>
      <c r="V1" s="15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50" t="s">
        <v>74</v>
      </c>
      <c r="C4" s="159" t="s">
        <v>3</v>
      </c>
      <c r="D4" s="169" t="s">
        <v>75</v>
      </c>
      <c r="E4" s="160" t="s">
        <v>4</v>
      </c>
      <c r="F4" s="161"/>
      <c r="G4" s="162" t="s">
        <v>5</v>
      </c>
      <c r="H4" s="170" t="s">
        <v>75</v>
      </c>
      <c r="I4" s="164" t="s">
        <v>6</v>
      </c>
      <c r="J4" s="170" t="s">
        <v>75</v>
      </c>
      <c r="L4" s="166" t="s">
        <v>7</v>
      </c>
      <c r="M4" s="167"/>
      <c r="N4" s="167"/>
      <c r="O4" s="167"/>
      <c r="P4" s="167"/>
      <c r="Q4" s="167"/>
      <c r="R4" s="167"/>
      <c r="S4" s="167"/>
      <c r="T4" s="167"/>
      <c r="U4" s="167"/>
      <c r="V4" s="168"/>
    </row>
    <row r="5" spans="1:58" s="3" customFormat="1" ht="38.25" thickBot="1" x14ac:dyDescent="0.3">
      <c r="A5" s="53"/>
      <c r="B5" s="150"/>
      <c r="C5" s="159"/>
      <c r="D5" s="169"/>
      <c r="E5" s="52" t="s">
        <v>8</v>
      </c>
      <c r="F5" s="146" t="s">
        <v>9</v>
      </c>
      <c r="G5" s="163"/>
      <c r="H5" s="171"/>
      <c r="I5" s="165"/>
      <c r="J5" s="17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97</v>
      </c>
      <c r="D11" s="101"/>
      <c r="E11" s="91"/>
      <c r="F11" s="91"/>
      <c r="G11" s="102">
        <v>23</v>
      </c>
      <c r="H11" s="93"/>
      <c r="I11" s="93">
        <f t="shared" si="3"/>
        <v>74</v>
      </c>
      <c r="J11" s="103">
        <f t="shared" si="0"/>
        <v>0</v>
      </c>
      <c r="K11" s="44"/>
      <c r="L11" s="91">
        <v>21</v>
      </c>
      <c r="M11" s="91"/>
      <c r="N11" s="91"/>
      <c r="O11" s="91"/>
      <c r="P11" s="91">
        <v>2</v>
      </c>
      <c r="Q11" s="92"/>
      <c r="R11" s="129">
        <f t="shared" si="1"/>
        <v>23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3678</v>
      </c>
      <c r="D13" s="105">
        <v>15</v>
      </c>
      <c r="E13" s="106"/>
      <c r="F13" s="106"/>
      <c r="G13" s="107">
        <v>69</v>
      </c>
      <c r="H13" s="108">
        <v>30</v>
      </c>
      <c r="I13" s="93">
        <f t="shared" si="3"/>
        <v>3609</v>
      </c>
      <c r="J13" s="103">
        <f>D13-H13</f>
        <v>-15</v>
      </c>
      <c r="K13" s="68"/>
      <c r="L13" s="94">
        <v>52</v>
      </c>
      <c r="M13" s="94">
        <v>5</v>
      </c>
      <c r="N13" s="94">
        <v>8</v>
      </c>
      <c r="O13" s="94">
        <v>11</v>
      </c>
      <c r="P13" s="94">
        <v>9</v>
      </c>
      <c r="Q13" s="95">
        <v>14</v>
      </c>
      <c r="R13" s="129">
        <f>L13+N13+P13</f>
        <v>69</v>
      </c>
      <c r="S13" s="127">
        <f>M13+O13+Q13</f>
        <v>30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102</v>
      </c>
      <c r="D26" s="101">
        <v>23</v>
      </c>
      <c r="E26" s="91"/>
      <c r="F26" s="91"/>
      <c r="G26" s="102">
        <v>10</v>
      </c>
      <c r="H26" s="93"/>
      <c r="I26" s="93">
        <f t="shared" si="3"/>
        <v>92</v>
      </c>
      <c r="J26" s="103">
        <f t="shared" si="3"/>
        <v>23</v>
      </c>
      <c r="K26" s="44"/>
      <c r="L26" s="91">
        <v>10</v>
      </c>
      <c r="M26" s="91"/>
      <c r="N26" s="91"/>
      <c r="O26" s="91"/>
      <c r="P26" s="91"/>
      <c r="Q26" s="92"/>
      <c r="R26" s="129">
        <f t="shared" si="4"/>
        <v>10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/>
      <c r="D29" s="101"/>
      <c r="E29" s="91">
        <v>63</v>
      </c>
      <c r="F29" s="91"/>
      <c r="G29" s="102"/>
      <c r="H29" s="93"/>
      <c r="I29" s="93">
        <f>C29-G29+E29</f>
        <v>63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65</v>
      </c>
      <c r="D31" s="101"/>
      <c r="E31" s="91"/>
      <c r="F31" s="91"/>
      <c r="G31" s="102">
        <v>1</v>
      </c>
      <c r="H31" s="93"/>
      <c r="I31" s="93">
        <f t="shared" si="3"/>
        <v>64</v>
      </c>
      <c r="J31" s="103">
        <f t="shared" si="3"/>
        <v>0</v>
      </c>
      <c r="K31" s="44"/>
      <c r="L31" s="91"/>
      <c r="M31" s="91"/>
      <c r="N31" s="91"/>
      <c r="O31" s="91"/>
      <c r="P31" s="91">
        <v>1</v>
      </c>
      <c r="Q31" s="92"/>
      <c r="R31" s="129">
        <f t="shared" si="4"/>
        <v>1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167</v>
      </c>
      <c r="D35" s="101">
        <v>23</v>
      </c>
      <c r="E35" s="91"/>
      <c r="F35" s="91"/>
      <c r="G35" s="102">
        <v>33</v>
      </c>
      <c r="H35" s="93"/>
      <c r="I35" s="93">
        <f t="shared" si="3"/>
        <v>134</v>
      </c>
      <c r="J35" s="103">
        <f t="shared" si="3"/>
        <v>23</v>
      </c>
      <c r="K35" s="44"/>
      <c r="L35" s="91">
        <v>30</v>
      </c>
      <c r="M35" s="91"/>
      <c r="N35" s="91"/>
      <c r="O35" s="91"/>
      <c r="P35" s="91">
        <v>3</v>
      </c>
      <c r="Q35" s="92"/>
      <c r="R35" s="129">
        <f t="shared" si="4"/>
        <v>33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4905</v>
      </c>
      <c r="D38" s="105">
        <v>2</v>
      </c>
      <c r="E38" s="106"/>
      <c r="F38" s="106"/>
      <c r="G38" s="107">
        <v>174</v>
      </c>
      <c r="H38" s="108"/>
      <c r="I38" s="93">
        <f t="shared" si="3"/>
        <v>4731</v>
      </c>
      <c r="J38" s="103">
        <f t="shared" si="3"/>
        <v>2</v>
      </c>
      <c r="K38" s="64"/>
      <c r="L38" s="94">
        <v>108</v>
      </c>
      <c r="M38" s="94"/>
      <c r="N38" s="94">
        <v>30</v>
      </c>
      <c r="O38" s="94"/>
      <c r="P38" s="94">
        <v>36</v>
      </c>
      <c r="Q38" s="95"/>
      <c r="R38" s="129">
        <f t="shared" si="4"/>
        <v>174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5</v>
      </c>
      <c r="D39" s="101"/>
      <c r="E39" s="91"/>
      <c r="F39" s="91"/>
      <c r="G39" s="102">
        <v>1</v>
      </c>
      <c r="H39" s="93"/>
      <c r="I39" s="93">
        <f t="shared" si="3"/>
        <v>4</v>
      </c>
      <c r="J39" s="103">
        <f t="shared" si="3"/>
        <v>0</v>
      </c>
      <c r="K39" s="44"/>
      <c r="L39" s="91"/>
      <c r="M39" s="91"/>
      <c r="N39" s="91"/>
      <c r="O39" s="91"/>
      <c r="P39" s="91">
        <v>1</v>
      </c>
      <c r="Q39" s="92"/>
      <c r="R39" s="129">
        <f t="shared" si="4"/>
        <v>1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785</v>
      </c>
      <c r="D41" s="105"/>
      <c r="E41" s="106"/>
      <c r="F41" s="106"/>
      <c r="G41" s="107"/>
      <c r="H41" s="108"/>
      <c r="I41" s="93">
        <f t="shared" si="3"/>
        <v>785</v>
      </c>
      <c r="J41" s="103">
        <f t="shared" si="3"/>
        <v>0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1766</v>
      </c>
      <c r="D42" s="110"/>
      <c r="E42" s="96"/>
      <c r="F42" s="96"/>
      <c r="G42" s="111">
        <v>58</v>
      </c>
      <c r="H42" s="112"/>
      <c r="I42" s="93">
        <f t="shared" si="3"/>
        <v>1708</v>
      </c>
      <c r="J42" s="103">
        <f t="shared" si="3"/>
        <v>0</v>
      </c>
      <c r="K42" s="69"/>
      <c r="L42" s="96">
        <v>48</v>
      </c>
      <c r="M42" s="96"/>
      <c r="N42" s="96"/>
      <c r="O42" s="96"/>
      <c r="P42" s="96">
        <v>10</v>
      </c>
      <c r="Q42" s="97"/>
      <c r="R42" s="129">
        <f t="shared" si="4"/>
        <v>58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26621</v>
      </c>
      <c r="D44" s="105"/>
      <c r="E44" s="106">
        <v>1728</v>
      </c>
      <c r="F44" s="106"/>
      <c r="G44" s="107">
        <v>1337</v>
      </c>
      <c r="H44" s="108"/>
      <c r="I44" s="93">
        <f>C44+E44-G44</f>
        <v>27012</v>
      </c>
      <c r="J44" s="103">
        <f t="shared" si="3"/>
        <v>0</v>
      </c>
      <c r="K44" s="64"/>
      <c r="L44" s="94">
        <v>815</v>
      </c>
      <c r="M44" s="94"/>
      <c r="N44" s="94">
        <v>191</v>
      </c>
      <c r="O44" s="94"/>
      <c r="P44" s="94">
        <v>331</v>
      </c>
      <c r="Q44" s="95"/>
      <c r="R44" s="129">
        <f t="shared" si="4"/>
        <v>1337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f>2366</f>
        <v>2366</v>
      </c>
      <c r="D48" s="101">
        <v>5</v>
      </c>
      <c r="E48" s="91"/>
      <c r="F48" s="91"/>
      <c r="G48" s="102">
        <v>1</v>
      </c>
      <c r="H48" s="93"/>
      <c r="I48" s="93">
        <f t="shared" si="3"/>
        <v>2365</v>
      </c>
      <c r="J48" s="103">
        <f t="shared" si="3"/>
        <v>5</v>
      </c>
      <c r="K48" s="44"/>
      <c r="L48" s="91"/>
      <c r="M48" s="91"/>
      <c r="N48" s="91">
        <v>1</v>
      </c>
      <c r="O48" s="91"/>
      <c r="P48" s="91"/>
      <c r="Q48" s="92"/>
      <c r="R48" s="129">
        <f t="shared" si="4"/>
        <v>1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2</v>
      </c>
      <c r="D51" s="101"/>
      <c r="E51" s="91"/>
      <c r="F51" s="91"/>
      <c r="G51" s="102"/>
      <c r="H51" s="93"/>
      <c r="I51" s="93">
        <f t="shared" si="3"/>
        <v>2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40806</v>
      </c>
      <c r="D60" s="71">
        <f>SUM(D8:D59)</f>
        <v>68</v>
      </c>
      <c r="E60" s="47">
        <f>SUM(E8:E59)</f>
        <v>1791</v>
      </c>
      <c r="F60" s="47"/>
      <c r="G60" s="31">
        <f>SUM(G8:G59)</f>
        <v>1707</v>
      </c>
      <c r="H60" s="73">
        <f>SUM(H8:H59)</f>
        <v>30</v>
      </c>
      <c r="I60" s="73">
        <f>SUM(I8:I59)</f>
        <v>40890</v>
      </c>
      <c r="J60" s="48">
        <f>SUM(J8:J59)</f>
        <v>38</v>
      </c>
      <c r="K60" s="49"/>
      <c r="L60" s="98">
        <f t="shared" ref="L60:S60" si="5">SUM(L8:L59)</f>
        <v>1084</v>
      </c>
      <c r="M60" s="98">
        <f t="shared" si="5"/>
        <v>5</v>
      </c>
      <c r="N60" s="98">
        <f t="shared" si="5"/>
        <v>230</v>
      </c>
      <c r="O60" s="98">
        <f t="shared" si="5"/>
        <v>11</v>
      </c>
      <c r="P60" s="98">
        <f t="shared" si="5"/>
        <v>393</v>
      </c>
      <c r="Q60" s="99">
        <f t="shared" si="5"/>
        <v>14</v>
      </c>
      <c r="R60" s="128">
        <f t="shared" si="5"/>
        <v>1707</v>
      </c>
      <c r="S60" s="125">
        <f t="shared" si="5"/>
        <v>30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5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5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4" t="s">
        <v>3</v>
      </c>
      <c r="D69" s="14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A15AE-D547-4D82-8A91-5D01227172A9}">
  <sheetPr>
    <pageSetUpPr fitToPage="1"/>
  </sheetPr>
  <dimension ref="A1:BF90"/>
  <sheetViews>
    <sheetView zoomScale="85" zoomScaleNormal="85" zoomScaleSheetLayoutView="85" zoomScalePageLayoutView="80" workbookViewId="0">
      <selection activeCell="C15" sqref="C1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6">
        <v>46065</v>
      </c>
      <c r="Q1" s="157"/>
      <c r="R1" s="157"/>
      <c r="S1" s="157"/>
      <c r="T1" s="157"/>
      <c r="U1" s="157"/>
      <c r="V1" s="15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50" t="s">
        <v>74</v>
      </c>
      <c r="C4" s="159" t="s">
        <v>3</v>
      </c>
      <c r="D4" s="169" t="s">
        <v>75</v>
      </c>
      <c r="E4" s="160" t="s">
        <v>4</v>
      </c>
      <c r="F4" s="161"/>
      <c r="G4" s="162" t="s">
        <v>5</v>
      </c>
      <c r="H4" s="170" t="s">
        <v>75</v>
      </c>
      <c r="I4" s="164" t="s">
        <v>6</v>
      </c>
      <c r="J4" s="170" t="s">
        <v>75</v>
      </c>
      <c r="L4" s="166" t="s">
        <v>7</v>
      </c>
      <c r="M4" s="167"/>
      <c r="N4" s="167"/>
      <c r="O4" s="167"/>
      <c r="P4" s="167"/>
      <c r="Q4" s="167"/>
      <c r="R4" s="167"/>
      <c r="S4" s="167"/>
      <c r="T4" s="167"/>
      <c r="U4" s="167"/>
      <c r="V4" s="168"/>
    </row>
    <row r="5" spans="1:58" s="3" customFormat="1" ht="38.25" thickBot="1" x14ac:dyDescent="0.3">
      <c r="A5" s="53"/>
      <c r="B5" s="150"/>
      <c r="C5" s="159"/>
      <c r="D5" s="169"/>
      <c r="E5" s="52" t="s">
        <v>8</v>
      </c>
      <c r="F5" s="146" t="s">
        <v>9</v>
      </c>
      <c r="G5" s="163"/>
      <c r="H5" s="171"/>
      <c r="I5" s="165"/>
      <c r="J5" s="17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74</v>
      </c>
      <c r="D11" s="101"/>
      <c r="E11" s="91"/>
      <c r="F11" s="91"/>
      <c r="G11" s="102">
        <v>8</v>
      </c>
      <c r="H11" s="93"/>
      <c r="I11" s="93">
        <f t="shared" si="3"/>
        <v>66</v>
      </c>
      <c r="J11" s="103">
        <f t="shared" si="0"/>
        <v>0</v>
      </c>
      <c r="K11" s="44"/>
      <c r="L11" s="91"/>
      <c r="M11" s="91"/>
      <c r="N11" s="91">
        <v>8</v>
      </c>
      <c r="O11" s="91"/>
      <c r="P11" s="91"/>
      <c r="Q11" s="92"/>
      <c r="R11" s="129">
        <f t="shared" si="1"/>
        <v>8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3608</v>
      </c>
      <c r="D13" s="105">
        <v>9</v>
      </c>
      <c r="E13" s="106"/>
      <c r="F13" s="106"/>
      <c r="G13" s="107">
        <v>23</v>
      </c>
      <c r="H13" s="108">
        <v>12</v>
      </c>
      <c r="I13" s="93">
        <f t="shared" si="3"/>
        <v>3585</v>
      </c>
      <c r="J13" s="103">
        <f>D13-H13</f>
        <v>-3</v>
      </c>
      <c r="K13" s="68"/>
      <c r="L13" s="94">
        <v>10</v>
      </c>
      <c r="M13" s="94">
        <v>2</v>
      </c>
      <c r="N13" s="94">
        <v>8</v>
      </c>
      <c r="O13" s="94">
        <v>10</v>
      </c>
      <c r="P13" s="94">
        <v>5</v>
      </c>
      <c r="Q13" s="95"/>
      <c r="R13" s="129">
        <f>L13+N13+P13</f>
        <v>23</v>
      </c>
      <c r="S13" s="127">
        <f>M13+O13+Q13</f>
        <v>12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92</v>
      </c>
      <c r="D26" s="101">
        <v>23</v>
      </c>
      <c r="E26" s="91"/>
      <c r="F26" s="91"/>
      <c r="G26" s="102"/>
      <c r="H26" s="93"/>
      <c r="I26" s="93">
        <f t="shared" si="3"/>
        <v>92</v>
      </c>
      <c r="J26" s="103">
        <f t="shared" si="3"/>
        <v>23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63</v>
      </c>
      <c r="D29" s="101"/>
      <c r="E29" s="91"/>
      <c r="F29" s="91"/>
      <c r="G29" s="102"/>
      <c r="H29" s="93"/>
      <c r="I29" s="93">
        <f t="shared" si="3"/>
        <v>63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3"/>
        <v>64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134</v>
      </c>
      <c r="D35" s="101">
        <v>23</v>
      </c>
      <c r="E35" s="91"/>
      <c r="F35" s="91"/>
      <c r="G35" s="102">
        <v>20</v>
      </c>
      <c r="H35" s="93">
        <v>6</v>
      </c>
      <c r="I35" s="93">
        <f t="shared" si="3"/>
        <v>114</v>
      </c>
      <c r="J35" s="103">
        <f t="shared" si="3"/>
        <v>17</v>
      </c>
      <c r="K35" s="44"/>
      <c r="L35" s="91"/>
      <c r="M35" s="91"/>
      <c r="N35" s="91">
        <v>20</v>
      </c>
      <c r="O35" s="91">
        <v>6</v>
      </c>
      <c r="P35" s="91"/>
      <c r="Q35" s="92"/>
      <c r="R35" s="129">
        <f t="shared" si="4"/>
        <v>20</v>
      </c>
      <c r="S35" s="127">
        <f t="shared" si="4"/>
        <v>6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4731</v>
      </c>
      <c r="D38" s="105">
        <v>2</v>
      </c>
      <c r="E38" s="106"/>
      <c r="F38" s="106"/>
      <c r="G38" s="107">
        <v>70</v>
      </c>
      <c r="H38" s="108"/>
      <c r="I38" s="93">
        <f t="shared" si="3"/>
        <v>4661</v>
      </c>
      <c r="J38" s="103">
        <f t="shared" si="3"/>
        <v>2</v>
      </c>
      <c r="K38" s="64"/>
      <c r="L38" s="94">
        <v>10</v>
      </c>
      <c r="M38" s="94"/>
      <c r="N38" s="94">
        <v>30</v>
      </c>
      <c r="O38" s="94"/>
      <c r="P38" s="94">
        <v>30</v>
      </c>
      <c r="Q38" s="95"/>
      <c r="R38" s="129">
        <f t="shared" si="4"/>
        <v>70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93">
        <f t="shared" si="3"/>
        <v>4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785</v>
      </c>
      <c r="D41" s="105"/>
      <c r="E41" s="106"/>
      <c r="F41" s="106"/>
      <c r="G41" s="107">
        <v>20</v>
      </c>
      <c r="H41" s="108"/>
      <c r="I41" s="93">
        <f t="shared" si="3"/>
        <v>765</v>
      </c>
      <c r="J41" s="103">
        <f t="shared" si="3"/>
        <v>0</v>
      </c>
      <c r="K41" s="64"/>
      <c r="L41" s="91"/>
      <c r="M41" s="91"/>
      <c r="N41" s="91">
        <v>20</v>
      </c>
      <c r="O41" s="91"/>
      <c r="P41" s="91"/>
      <c r="Q41" s="92"/>
      <c r="R41" s="129">
        <f t="shared" si="4"/>
        <v>20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1708</v>
      </c>
      <c r="D42" s="110"/>
      <c r="E42" s="96"/>
      <c r="F42" s="96"/>
      <c r="G42" s="111">
        <v>12</v>
      </c>
      <c r="H42" s="112"/>
      <c r="I42" s="93">
        <f t="shared" si="3"/>
        <v>1696</v>
      </c>
      <c r="J42" s="103">
        <f t="shared" si="3"/>
        <v>0</v>
      </c>
      <c r="K42" s="69"/>
      <c r="L42" s="96"/>
      <c r="M42" s="96"/>
      <c r="N42" s="96"/>
      <c r="O42" s="96"/>
      <c r="P42" s="96">
        <v>12</v>
      </c>
      <c r="Q42" s="97"/>
      <c r="R42" s="129">
        <f t="shared" si="4"/>
        <v>12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f>27012</f>
        <v>27012</v>
      </c>
      <c r="D44" s="105"/>
      <c r="E44" s="106"/>
      <c r="F44" s="106"/>
      <c r="G44" s="107">
        <v>771</v>
      </c>
      <c r="H44" s="108"/>
      <c r="I44" s="93">
        <f>C44+E44-G44</f>
        <v>26241</v>
      </c>
      <c r="J44" s="103">
        <f t="shared" si="3"/>
        <v>0</v>
      </c>
      <c r="K44" s="64"/>
      <c r="L44" s="94">
        <v>355</v>
      </c>
      <c r="M44" s="94"/>
      <c r="N44" s="94">
        <v>212</v>
      </c>
      <c r="O44" s="94"/>
      <c r="P44" s="94">
        <v>204</v>
      </c>
      <c r="Q44" s="95"/>
      <c r="R44" s="129">
        <f t="shared" si="4"/>
        <v>771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3"/>
        <v>2365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2</v>
      </c>
      <c r="D51" s="101"/>
      <c r="E51" s="91"/>
      <c r="F51" s="91"/>
      <c r="G51" s="102"/>
      <c r="H51" s="93"/>
      <c r="I51" s="93">
        <f t="shared" si="3"/>
        <v>2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40889</v>
      </c>
      <c r="D60" s="71">
        <f>SUM(D8:D59)</f>
        <v>62</v>
      </c>
      <c r="E60" s="47">
        <f>SUM(E8:E59)</f>
        <v>0</v>
      </c>
      <c r="F60" s="47"/>
      <c r="G60" s="31">
        <f>SUM(G8:G59)</f>
        <v>924</v>
      </c>
      <c r="H60" s="73">
        <f>SUM(H8:H59)</f>
        <v>18</v>
      </c>
      <c r="I60" s="73">
        <f>SUM(I8:I59)</f>
        <v>39965</v>
      </c>
      <c r="J60" s="48">
        <f>SUM(J8:J59)</f>
        <v>44</v>
      </c>
      <c r="K60" s="49"/>
      <c r="L60" s="98">
        <f t="shared" ref="L60:S60" si="5">SUM(L8:L59)</f>
        <v>375</v>
      </c>
      <c r="M60" s="98">
        <f t="shared" si="5"/>
        <v>2</v>
      </c>
      <c r="N60" s="98">
        <f t="shared" si="5"/>
        <v>298</v>
      </c>
      <c r="O60" s="98">
        <f t="shared" si="5"/>
        <v>16</v>
      </c>
      <c r="P60" s="98">
        <f t="shared" si="5"/>
        <v>251</v>
      </c>
      <c r="Q60" s="99">
        <f t="shared" si="5"/>
        <v>0</v>
      </c>
      <c r="R60" s="128">
        <f t="shared" si="5"/>
        <v>924</v>
      </c>
      <c r="S60" s="125">
        <f t="shared" si="5"/>
        <v>18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5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5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4" t="s">
        <v>3</v>
      </c>
      <c r="D69" s="14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FCA4A-EDFC-4F9F-B9C4-2585F0208CA1}">
  <sheetPr>
    <pageSetUpPr fitToPage="1"/>
  </sheetPr>
  <dimension ref="A1:BF90"/>
  <sheetViews>
    <sheetView zoomScale="85" zoomScaleNormal="85" zoomScaleSheetLayoutView="85" zoomScalePageLayoutView="80" workbookViewId="0">
      <selection activeCell="R13" sqref="R13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6">
        <v>46066</v>
      </c>
      <c r="Q1" s="157"/>
      <c r="R1" s="157"/>
      <c r="S1" s="157"/>
      <c r="T1" s="157"/>
      <c r="U1" s="157"/>
      <c r="V1" s="15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50" t="s">
        <v>74</v>
      </c>
      <c r="C4" s="159" t="s">
        <v>3</v>
      </c>
      <c r="D4" s="169" t="s">
        <v>75</v>
      </c>
      <c r="E4" s="160" t="s">
        <v>4</v>
      </c>
      <c r="F4" s="161"/>
      <c r="G4" s="162" t="s">
        <v>5</v>
      </c>
      <c r="H4" s="170" t="s">
        <v>75</v>
      </c>
      <c r="I4" s="164" t="s">
        <v>6</v>
      </c>
      <c r="J4" s="170" t="s">
        <v>75</v>
      </c>
      <c r="L4" s="166" t="s">
        <v>7</v>
      </c>
      <c r="M4" s="167"/>
      <c r="N4" s="167"/>
      <c r="O4" s="167"/>
      <c r="P4" s="167"/>
      <c r="Q4" s="167"/>
      <c r="R4" s="167"/>
      <c r="S4" s="167"/>
      <c r="T4" s="167"/>
      <c r="U4" s="167"/>
      <c r="V4" s="168"/>
    </row>
    <row r="5" spans="1:58" s="3" customFormat="1" ht="38.25" thickBot="1" x14ac:dyDescent="0.3">
      <c r="A5" s="53"/>
      <c r="B5" s="150"/>
      <c r="C5" s="159"/>
      <c r="D5" s="169"/>
      <c r="E5" s="52" t="s">
        <v>8</v>
      </c>
      <c r="F5" s="115" t="s">
        <v>9</v>
      </c>
      <c r="G5" s="163"/>
      <c r="H5" s="171"/>
      <c r="I5" s="165"/>
      <c r="J5" s="17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R12" si="1">L8+N8+P8</f>
        <v>0</v>
      </c>
      <c r="S8" s="127">
        <f t="shared" ref="S8:S12" si="2"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3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I59" si="4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2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2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3"/>
        <v>4</v>
      </c>
      <c r="B11" s="13" t="s">
        <v>50</v>
      </c>
      <c r="C11" s="100">
        <v>66</v>
      </c>
      <c r="D11" s="101"/>
      <c r="E11" s="91"/>
      <c r="F11" s="91"/>
      <c r="G11" s="102"/>
      <c r="H11" s="93"/>
      <c r="I11" s="93">
        <f t="shared" si="4"/>
        <v>66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2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3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4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2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3"/>
        <v>6</v>
      </c>
      <c r="B13" s="54" t="s">
        <v>44</v>
      </c>
      <c r="C13" s="104">
        <v>3584</v>
      </c>
      <c r="D13" s="105">
        <v>21</v>
      </c>
      <c r="E13" s="106"/>
      <c r="F13" s="106"/>
      <c r="G13" s="107">
        <v>15</v>
      </c>
      <c r="H13" s="108">
        <v>2</v>
      </c>
      <c r="I13" s="93">
        <f t="shared" si="4"/>
        <v>3569</v>
      </c>
      <c r="J13" s="103">
        <f>D13-H13</f>
        <v>19</v>
      </c>
      <c r="K13" s="68"/>
      <c r="L13" s="94"/>
      <c r="M13" s="94"/>
      <c r="N13" s="94">
        <v>8</v>
      </c>
      <c r="O13" s="94"/>
      <c r="P13" s="94">
        <v>7</v>
      </c>
      <c r="Q13" s="95">
        <v>2</v>
      </c>
      <c r="R13" s="129">
        <f>L13+N13+P13</f>
        <v>15</v>
      </c>
      <c r="S13" s="127">
        <f>M13+O13+Q13</f>
        <v>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3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4"/>
        <v>5</v>
      </c>
      <c r="J14" s="103">
        <f t="shared" ref="J14:J59" si="5">D14-H14</f>
        <v>0</v>
      </c>
      <c r="K14" s="44"/>
      <c r="L14" s="91"/>
      <c r="M14" s="91"/>
      <c r="N14" s="91"/>
      <c r="O14" s="91"/>
      <c r="P14" s="91"/>
      <c r="Q14" s="92"/>
      <c r="R14" s="129">
        <f t="shared" ref="R14:R59" si="6">L14+N14+P14</f>
        <v>0</v>
      </c>
      <c r="S14" s="127">
        <f t="shared" ref="S14:S59" si="7">M14+O14+Q14</f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5"/>
        <v>0</v>
      </c>
      <c r="K15" s="44"/>
      <c r="L15" s="91"/>
      <c r="M15" s="91"/>
      <c r="N15" s="91"/>
      <c r="O15" s="91"/>
      <c r="P15" s="91"/>
      <c r="Q15" s="92"/>
      <c r="R15" s="129">
        <f t="shared" si="6"/>
        <v>0</v>
      </c>
      <c r="S15" s="127">
        <f t="shared" si="7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5"/>
        <v>0</v>
      </c>
      <c r="K16" s="44"/>
      <c r="L16" s="91"/>
      <c r="M16" s="91"/>
      <c r="N16" s="91"/>
      <c r="O16" s="91"/>
      <c r="P16" s="91"/>
      <c r="Q16" s="92"/>
      <c r="R16" s="129">
        <f t="shared" si="6"/>
        <v>0</v>
      </c>
      <c r="S16" s="127">
        <f t="shared" si="7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5"/>
        <v>0</v>
      </c>
      <c r="K17" s="44"/>
      <c r="L17" s="91"/>
      <c r="M17" s="91"/>
      <c r="N17" s="91"/>
      <c r="O17" s="91"/>
      <c r="P17" s="91"/>
      <c r="Q17" s="92"/>
      <c r="R17" s="129">
        <f t="shared" si="6"/>
        <v>0</v>
      </c>
      <c r="S17" s="127">
        <f t="shared" si="7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3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4"/>
        <v>4</v>
      </c>
      <c r="J18" s="103">
        <f t="shared" si="5"/>
        <v>0</v>
      </c>
      <c r="K18" s="44"/>
      <c r="L18" s="91"/>
      <c r="M18" s="91"/>
      <c r="N18" s="91"/>
      <c r="O18" s="91"/>
      <c r="P18" s="91"/>
      <c r="Q18" s="92"/>
      <c r="R18" s="129">
        <f t="shared" si="6"/>
        <v>0</v>
      </c>
      <c r="S18" s="127">
        <f t="shared" si="7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5"/>
        <v>0</v>
      </c>
      <c r="K19" s="44"/>
      <c r="L19" s="91"/>
      <c r="M19" s="91"/>
      <c r="N19" s="91"/>
      <c r="O19" s="91"/>
      <c r="P19" s="91"/>
      <c r="Q19" s="92"/>
      <c r="R19" s="129">
        <f t="shared" si="6"/>
        <v>0</v>
      </c>
      <c r="S19" s="127">
        <f t="shared" si="7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3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4"/>
        <v>4</v>
      </c>
      <c r="J20" s="103">
        <f t="shared" si="5"/>
        <v>0</v>
      </c>
      <c r="K20" s="44"/>
      <c r="L20" s="91"/>
      <c r="M20" s="91"/>
      <c r="N20" s="91"/>
      <c r="O20" s="91"/>
      <c r="P20" s="91"/>
      <c r="Q20" s="92"/>
      <c r="R20" s="129">
        <f t="shared" si="6"/>
        <v>0</v>
      </c>
      <c r="S20" s="127">
        <f t="shared" si="7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3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4"/>
        <v>6</v>
      </c>
      <c r="J21" s="103">
        <f t="shared" si="5"/>
        <v>0</v>
      </c>
      <c r="K21" s="44"/>
      <c r="L21" s="91"/>
      <c r="M21" s="91"/>
      <c r="N21" s="91"/>
      <c r="O21" s="91"/>
      <c r="P21" s="91"/>
      <c r="Q21" s="92"/>
      <c r="R21" s="129">
        <f t="shared" si="6"/>
        <v>0</v>
      </c>
      <c r="S21" s="127">
        <f t="shared" si="7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3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4"/>
        <v>4</v>
      </c>
      <c r="J22" s="103">
        <f t="shared" si="5"/>
        <v>0</v>
      </c>
      <c r="K22" s="44"/>
      <c r="L22" s="91"/>
      <c r="M22" s="91"/>
      <c r="N22" s="91"/>
      <c r="O22" s="91"/>
      <c r="P22" s="91"/>
      <c r="Q22" s="92"/>
      <c r="R22" s="129">
        <f t="shared" si="6"/>
        <v>0</v>
      </c>
      <c r="S22" s="127">
        <f t="shared" si="7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3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4"/>
        <v>2</v>
      </c>
      <c r="J23" s="103">
        <f t="shared" si="5"/>
        <v>0</v>
      </c>
      <c r="K23" s="45"/>
      <c r="L23" s="91"/>
      <c r="M23" s="91"/>
      <c r="N23" s="91"/>
      <c r="O23" s="91"/>
      <c r="P23" s="91"/>
      <c r="Q23" s="92"/>
      <c r="R23" s="129">
        <f t="shared" si="6"/>
        <v>0</v>
      </c>
      <c r="S23" s="127">
        <f t="shared" si="7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3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4"/>
        <v>48</v>
      </c>
      <c r="J24" s="103">
        <f t="shared" si="5"/>
        <v>0</v>
      </c>
      <c r="K24" s="45"/>
      <c r="L24" s="91"/>
      <c r="M24" s="91"/>
      <c r="N24" s="91"/>
      <c r="O24" s="91"/>
      <c r="P24" s="91"/>
      <c r="Q24" s="92"/>
      <c r="R24" s="129">
        <f t="shared" si="6"/>
        <v>0</v>
      </c>
      <c r="S24" s="127">
        <f t="shared" si="7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3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4"/>
        <v>7</v>
      </c>
      <c r="J25" s="103">
        <f t="shared" si="5"/>
        <v>0</v>
      </c>
      <c r="K25" s="44"/>
      <c r="L25" s="91"/>
      <c r="M25" s="91"/>
      <c r="N25" s="91"/>
      <c r="O25" s="91"/>
      <c r="P25" s="91"/>
      <c r="Q25" s="92"/>
      <c r="R25" s="129">
        <f t="shared" si="6"/>
        <v>0</v>
      </c>
      <c r="S25" s="127">
        <f t="shared" si="7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3"/>
        <v>19</v>
      </c>
      <c r="B26" s="13" t="s">
        <v>22</v>
      </c>
      <c r="C26" s="100">
        <v>92</v>
      </c>
      <c r="D26" s="101">
        <v>23</v>
      </c>
      <c r="E26" s="91"/>
      <c r="F26" s="91"/>
      <c r="G26" s="102"/>
      <c r="H26" s="93"/>
      <c r="I26" s="93">
        <f t="shared" si="4"/>
        <v>92</v>
      </c>
      <c r="J26" s="103">
        <f t="shared" si="5"/>
        <v>23</v>
      </c>
      <c r="K26" s="44"/>
      <c r="L26" s="91"/>
      <c r="M26" s="91"/>
      <c r="N26" s="91"/>
      <c r="O26" s="91"/>
      <c r="P26" s="91"/>
      <c r="Q26" s="92"/>
      <c r="R26" s="129">
        <f t="shared" si="6"/>
        <v>0</v>
      </c>
      <c r="S26" s="127">
        <f t="shared" si="7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5"/>
        <v>0</v>
      </c>
      <c r="K27" s="45"/>
      <c r="L27" s="91"/>
      <c r="M27" s="91"/>
      <c r="N27" s="91"/>
      <c r="O27" s="91"/>
      <c r="P27" s="91"/>
      <c r="Q27" s="92"/>
      <c r="R27" s="129">
        <f t="shared" si="6"/>
        <v>0</v>
      </c>
      <c r="S27" s="127">
        <f t="shared" si="7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5"/>
        <v>0</v>
      </c>
      <c r="K28" s="45"/>
      <c r="L28" s="91"/>
      <c r="M28" s="91"/>
      <c r="N28" s="91"/>
      <c r="O28" s="91"/>
      <c r="P28" s="91"/>
      <c r="Q28" s="92"/>
      <c r="R28" s="129">
        <f t="shared" si="6"/>
        <v>0</v>
      </c>
      <c r="S28" s="127">
        <f t="shared" si="7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3"/>
        <v>22</v>
      </c>
      <c r="B29" s="13" t="s">
        <v>25</v>
      </c>
      <c r="C29" s="100">
        <v>63</v>
      </c>
      <c r="D29" s="101"/>
      <c r="E29" s="91"/>
      <c r="F29" s="91"/>
      <c r="G29" s="102">
        <v>5</v>
      </c>
      <c r="H29" s="93"/>
      <c r="I29" s="93">
        <f t="shared" si="4"/>
        <v>58</v>
      </c>
      <c r="J29" s="103">
        <f t="shared" si="5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6"/>
        <v>5</v>
      </c>
      <c r="S29" s="127">
        <f t="shared" si="7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5"/>
        <v>0</v>
      </c>
      <c r="K30" s="44"/>
      <c r="L30" s="91"/>
      <c r="M30" s="91"/>
      <c r="N30" s="91"/>
      <c r="O30" s="91"/>
      <c r="P30" s="91"/>
      <c r="Q30" s="92"/>
      <c r="R30" s="129">
        <f t="shared" si="6"/>
        <v>0</v>
      </c>
      <c r="S30" s="127">
        <f t="shared" si="7"/>
        <v>0</v>
      </c>
      <c r="T30" s="44"/>
      <c r="U30" s="28"/>
      <c r="V30" s="30"/>
    </row>
    <row r="31" spans="1:58" ht="19.5" thickBot="1" x14ac:dyDescent="0.3">
      <c r="A31" s="3">
        <f t="shared" si="3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4"/>
        <v>64</v>
      </c>
      <c r="J31" s="103">
        <f t="shared" si="5"/>
        <v>0</v>
      </c>
      <c r="K31" s="44"/>
      <c r="L31" s="91"/>
      <c r="M31" s="91"/>
      <c r="N31" s="91"/>
      <c r="O31" s="91"/>
      <c r="P31" s="91"/>
      <c r="Q31" s="92"/>
      <c r="R31" s="129">
        <f t="shared" si="6"/>
        <v>0</v>
      </c>
      <c r="S31" s="127">
        <f t="shared" si="7"/>
        <v>0</v>
      </c>
      <c r="T31" s="44"/>
      <c r="U31" s="28"/>
      <c r="V31" s="30"/>
    </row>
    <row r="32" spans="1:58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5"/>
        <v>0</v>
      </c>
      <c r="K32" s="44"/>
      <c r="L32" s="91"/>
      <c r="M32" s="91"/>
      <c r="N32" s="91"/>
      <c r="O32" s="91"/>
      <c r="P32" s="91"/>
      <c r="Q32" s="92"/>
      <c r="R32" s="129">
        <f t="shared" si="6"/>
        <v>0</v>
      </c>
      <c r="S32" s="127">
        <f t="shared" si="7"/>
        <v>0</v>
      </c>
      <c r="T32" s="44"/>
      <c r="U32" s="28"/>
      <c r="V32" s="30"/>
    </row>
    <row r="33" spans="1:24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5"/>
        <v>0</v>
      </c>
      <c r="K33" s="44"/>
      <c r="L33" s="91"/>
      <c r="M33" s="91"/>
      <c r="N33" s="91"/>
      <c r="O33" s="91"/>
      <c r="P33" s="91"/>
      <c r="Q33" s="92"/>
      <c r="R33" s="129">
        <f t="shared" si="6"/>
        <v>0</v>
      </c>
      <c r="S33" s="127">
        <f t="shared" si="7"/>
        <v>0</v>
      </c>
      <c r="T33" s="44"/>
      <c r="U33" s="28"/>
      <c r="V33" s="30"/>
    </row>
    <row r="34" spans="1:24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5"/>
        <v>0</v>
      </c>
      <c r="K34" s="44"/>
      <c r="L34" s="91"/>
      <c r="M34" s="91"/>
      <c r="N34" s="91"/>
      <c r="O34" s="91"/>
      <c r="P34" s="91"/>
      <c r="Q34" s="92"/>
      <c r="R34" s="129">
        <f t="shared" si="6"/>
        <v>0</v>
      </c>
      <c r="S34" s="127">
        <f t="shared" si="7"/>
        <v>0</v>
      </c>
      <c r="T34" s="44"/>
      <c r="U34" s="28"/>
      <c r="V34" s="30"/>
    </row>
    <row r="35" spans="1:24" ht="19.5" thickBot="1" x14ac:dyDescent="0.3">
      <c r="A35" s="3">
        <f t="shared" si="3"/>
        <v>28</v>
      </c>
      <c r="B35" s="13" t="s">
        <v>31</v>
      </c>
      <c r="C35" s="100">
        <v>114</v>
      </c>
      <c r="D35" s="101">
        <v>17</v>
      </c>
      <c r="E35" s="91"/>
      <c r="F35" s="91"/>
      <c r="G35" s="102">
        <v>5</v>
      </c>
      <c r="H35" s="93"/>
      <c r="I35" s="93">
        <f t="shared" si="4"/>
        <v>109</v>
      </c>
      <c r="J35" s="103">
        <f t="shared" si="5"/>
        <v>17</v>
      </c>
      <c r="K35" s="44"/>
      <c r="L35" s="91"/>
      <c r="M35" s="91"/>
      <c r="N35" s="91">
        <v>5</v>
      </c>
      <c r="O35" s="91"/>
      <c r="P35" s="91"/>
      <c r="Q35" s="92"/>
      <c r="R35" s="129">
        <f t="shared" si="6"/>
        <v>5</v>
      </c>
      <c r="S35" s="127">
        <f t="shared" si="7"/>
        <v>0</v>
      </c>
      <c r="T35" s="44"/>
      <c r="U35" s="28"/>
      <c r="V35" s="30"/>
    </row>
    <row r="36" spans="1:24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5"/>
        <v>0</v>
      </c>
      <c r="K36" s="44"/>
      <c r="L36" s="91"/>
      <c r="M36" s="91"/>
      <c r="N36" s="91"/>
      <c r="O36" s="91"/>
      <c r="P36" s="91"/>
      <c r="Q36" s="92"/>
      <c r="R36" s="129">
        <f t="shared" si="6"/>
        <v>0</v>
      </c>
      <c r="S36" s="127">
        <f t="shared" si="7"/>
        <v>0</v>
      </c>
      <c r="T36" s="44"/>
      <c r="U36" s="28"/>
      <c r="V36" s="30"/>
    </row>
    <row r="37" spans="1:24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5"/>
        <v>0</v>
      </c>
      <c r="K37" s="44"/>
      <c r="L37" s="91"/>
      <c r="M37" s="91"/>
      <c r="N37" s="91"/>
      <c r="O37" s="91"/>
      <c r="P37" s="91"/>
      <c r="Q37" s="92"/>
      <c r="R37" s="129">
        <f t="shared" si="6"/>
        <v>0</v>
      </c>
      <c r="S37" s="127">
        <f t="shared" si="7"/>
        <v>0</v>
      </c>
      <c r="T37" s="44"/>
      <c r="U37" s="28"/>
      <c r="V37" s="30"/>
    </row>
    <row r="38" spans="1:24" ht="19.5" thickBot="1" x14ac:dyDescent="0.3">
      <c r="A38" s="3">
        <f t="shared" si="3"/>
        <v>31</v>
      </c>
      <c r="B38" s="54" t="s">
        <v>33</v>
      </c>
      <c r="C38" s="104">
        <v>4661</v>
      </c>
      <c r="D38" s="105">
        <v>2</v>
      </c>
      <c r="E38" s="106"/>
      <c r="F38" s="106"/>
      <c r="G38" s="107">
        <v>56</v>
      </c>
      <c r="H38" s="108"/>
      <c r="I38" s="93">
        <f t="shared" si="4"/>
        <v>4605</v>
      </c>
      <c r="J38" s="103">
        <f t="shared" si="5"/>
        <v>2</v>
      </c>
      <c r="K38" s="64"/>
      <c r="L38" s="94"/>
      <c r="M38" s="94"/>
      <c r="N38" s="94">
        <v>50</v>
      </c>
      <c r="O38" s="94"/>
      <c r="P38" s="94">
        <v>6</v>
      </c>
      <c r="Q38" s="95"/>
      <c r="R38" s="129">
        <f t="shared" si="6"/>
        <v>56</v>
      </c>
      <c r="S38" s="127">
        <f t="shared" si="7"/>
        <v>0</v>
      </c>
      <c r="T38" s="64"/>
      <c r="U38" s="67"/>
      <c r="V38" s="66"/>
    </row>
    <row r="39" spans="1:24" ht="19.5" thickBot="1" x14ac:dyDescent="0.3">
      <c r="A39" s="3">
        <f t="shared" si="3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93">
        <f t="shared" si="4"/>
        <v>4</v>
      </c>
      <c r="J39" s="103">
        <f t="shared" si="5"/>
        <v>0</v>
      </c>
      <c r="K39" s="44"/>
      <c r="L39" s="91"/>
      <c r="M39" s="91"/>
      <c r="N39" s="91"/>
      <c r="O39" s="91"/>
      <c r="P39" s="91"/>
      <c r="Q39" s="92"/>
      <c r="R39" s="129">
        <f t="shared" si="6"/>
        <v>0</v>
      </c>
      <c r="S39" s="127">
        <f t="shared" si="7"/>
        <v>0</v>
      </c>
      <c r="T39" s="44"/>
      <c r="U39" s="28"/>
      <c r="V39" s="30"/>
    </row>
    <row r="40" spans="1:24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5"/>
        <v>0</v>
      </c>
      <c r="K40" s="44"/>
      <c r="L40" s="91"/>
      <c r="M40" s="91"/>
      <c r="N40" s="91"/>
      <c r="O40" s="91"/>
      <c r="P40" s="91"/>
      <c r="Q40" s="92"/>
      <c r="R40" s="129">
        <f t="shared" si="6"/>
        <v>0</v>
      </c>
      <c r="S40" s="127">
        <f t="shared" si="7"/>
        <v>0</v>
      </c>
      <c r="T40" s="44"/>
      <c r="U40" s="122"/>
      <c r="V40" s="123"/>
    </row>
    <row r="41" spans="1:24" ht="19.5" thickBot="1" x14ac:dyDescent="0.3">
      <c r="A41" s="3">
        <f t="shared" si="3"/>
        <v>34</v>
      </c>
      <c r="B41" s="54" t="s">
        <v>35</v>
      </c>
      <c r="C41" s="104">
        <v>765</v>
      </c>
      <c r="D41" s="105"/>
      <c r="E41" s="106"/>
      <c r="F41" s="106"/>
      <c r="G41" s="107">
        <v>5</v>
      </c>
      <c r="H41" s="108"/>
      <c r="I41" s="93">
        <f t="shared" si="4"/>
        <v>760</v>
      </c>
      <c r="J41" s="103">
        <f t="shared" si="5"/>
        <v>0</v>
      </c>
      <c r="K41" s="64"/>
      <c r="L41" s="91"/>
      <c r="M41" s="91"/>
      <c r="N41" s="91">
        <v>5</v>
      </c>
      <c r="O41" s="91"/>
      <c r="P41" s="91"/>
      <c r="Q41" s="92"/>
      <c r="R41" s="129">
        <f t="shared" si="6"/>
        <v>5</v>
      </c>
      <c r="S41" s="127">
        <f t="shared" si="7"/>
        <v>0</v>
      </c>
      <c r="T41" s="64"/>
      <c r="U41" s="67"/>
      <c r="V41" s="66"/>
    </row>
    <row r="42" spans="1:24" ht="19.5" thickBot="1" x14ac:dyDescent="0.3">
      <c r="A42" s="3">
        <f t="shared" si="3"/>
        <v>35</v>
      </c>
      <c r="B42" s="59" t="s">
        <v>36</v>
      </c>
      <c r="C42" s="109">
        <v>1696</v>
      </c>
      <c r="D42" s="110"/>
      <c r="E42" s="96"/>
      <c r="F42" s="96"/>
      <c r="G42" s="111">
        <v>5</v>
      </c>
      <c r="H42" s="112"/>
      <c r="I42" s="93">
        <f t="shared" si="4"/>
        <v>1691</v>
      </c>
      <c r="J42" s="103">
        <f t="shared" si="5"/>
        <v>0</v>
      </c>
      <c r="K42" s="69"/>
      <c r="L42" s="96"/>
      <c r="M42" s="96"/>
      <c r="N42" s="96"/>
      <c r="O42" s="96"/>
      <c r="P42" s="96">
        <v>5</v>
      </c>
      <c r="Q42" s="97"/>
      <c r="R42" s="129">
        <f t="shared" si="6"/>
        <v>5</v>
      </c>
      <c r="S42" s="127">
        <f t="shared" si="7"/>
        <v>0</v>
      </c>
      <c r="T42" s="69"/>
      <c r="U42" s="60"/>
      <c r="V42" s="63"/>
    </row>
    <row r="43" spans="1:24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03">
        <f t="shared" si="5"/>
        <v>0</v>
      </c>
      <c r="K43" s="44"/>
      <c r="L43" s="91"/>
      <c r="M43" s="91"/>
      <c r="N43" s="91"/>
      <c r="O43" s="91"/>
      <c r="P43" s="91"/>
      <c r="Q43" s="92"/>
      <c r="R43" s="129">
        <f t="shared" si="6"/>
        <v>0</v>
      </c>
      <c r="S43" s="127">
        <f t="shared" si="7"/>
        <v>0</v>
      </c>
      <c r="T43" s="44"/>
      <c r="U43" s="28"/>
      <c r="V43" s="30"/>
    </row>
    <row r="44" spans="1:24" ht="19.5" thickBot="1" x14ac:dyDescent="0.3">
      <c r="A44" s="3">
        <f t="shared" si="3"/>
        <v>37</v>
      </c>
      <c r="B44" s="54" t="s">
        <v>37</v>
      </c>
      <c r="C44" s="104">
        <v>26241</v>
      </c>
      <c r="D44" s="105"/>
      <c r="E44" s="106"/>
      <c r="F44" s="106"/>
      <c r="G44" s="107">
        <v>387</v>
      </c>
      <c r="H44" s="108"/>
      <c r="I44" s="93">
        <f t="shared" si="4"/>
        <v>25854</v>
      </c>
      <c r="J44" s="103">
        <f t="shared" si="5"/>
        <v>0</v>
      </c>
      <c r="K44" s="64"/>
      <c r="L44" s="94"/>
      <c r="M44" s="94"/>
      <c r="N44" s="94">
        <v>150</v>
      </c>
      <c r="O44" s="94"/>
      <c r="P44" s="94">
        <v>237</v>
      </c>
      <c r="Q44" s="95"/>
      <c r="R44" s="129">
        <f t="shared" si="6"/>
        <v>387</v>
      </c>
      <c r="S44" s="127">
        <f t="shared" si="7"/>
        <v>0</v>
      </c>
      <c r="T44" s="64"/>
      <c r="U44" s="67"/>
      <c r="V44" s="66"/>
      <c r="X44" s="50"/>
    </row>
    <row r="45" spans="1:24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4"/>
        <v>0</v>
      </c>
      <c r="J45" s="103">
        <f t="shared" si="5"/>
        <v>0</v>
      </c>
      <c r="K45" s="44"/>
      <c r="L45" s="91"/>
      <c r="M45" s="91"/>
      <c r="N45" s="91"/>
      <c r="O45" s="91"/>
      <c r="P45" s="91"/>
      <c r="Q45" s="92"/>
      <c r="R45" s="129">
        <f t="shared" si="6"/>
        <v>0</v>
      </c>
      <c r="S45" s="127">
        <f t="shared" si="7"/>
        <v>0</v>
      </c>
      <c r="T45" s="44"/>
      <c r="U45" s="28"/>
      <c r="V45" s="30"/>
    </row>
    <row r="46" spans="1:24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4"/>
        <v>0</v>
      </c>
      <c r="J46" s="103">
        <f t="shared" si="5"/>
        <v>0</v>
      </c>
      <c r="K46" s="44"/>
      <c r="L46" s="91"/>
      <c r="M46" s="91"/>
      <c r="N46" s="91"/>
      <c r="O46" s="91"/>
      <c r="P46" s="91"/>
      <c r="Q46" s="92"/>
      <c r="R46" s="129">
        <f t="shared" si="6"/>
        <v>0</v>
      </c>
      <c r="S46" s="127">
        <f t="shared" si="7"/>
        <v>0</v>
      </c>
      <c r="T46" s="44"/>
      <c r="U46" s="28"/>
      <c r="V46" s="30"/>
    </row>
    <row r="47" spans="1:24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5"/>
        <v>0</v>
      </c>
      <c r="K47" s="44"/>
      <c r="L47" s="91"/>
      <c r="M47" s="91"/>
      <c r="N47" s="91"/>
      <c r="O47" s="91"/>
      <c r="P47" s="91"/>
      <c r="Q47" s="92"/>
      <c r="R47" s="129">
        <f t="shared" si="6"/>
        <v>0</v>
      </c>
      <c r="S47" s="127">
        <f t="shared" si="7"/>
        <v>0</v>
      </c>
      <c r="T47" s="44"/>
      <c r="U47" s="28"/>
      <c r="V47" s="30"/>
    </row>
    <row r="48" spans="1:24" ht="19.5" thickBot="1" x14ac:dyDescent="0.3">
      <c r="A48" s="3">
        <f t="shared" si="3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4"/>
        <v>2365</v>
      </c>
      <c r="J48" s="103">
        <f t="shared" si="5"/>
        <v>5</v>
      </c>
      <c r="K48" s="44"/>
      <c r="L48" s="91"/>
      <c r="M48" s="91"/>
      <c r="N48" s="91"/>
      <c r="O48" s="91"/>
      <c r="P48" s="91"/>
      <c r="Q48" s="92"/>
      <c r="R48" s="129">
        <f t="shared" si="6"/>
        <v>0</v>
      </c>
      <c r="S48" s="127">
        <f t="shared" si="7"/>
        <v>0</v>
      </c>
      <c r="T48" s="44"/>
      <c r="U48" s="28"/>
      <c r="V48" s="30"/>
    </row>
    <row r="49" spans="1:22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5"/>
        <v>0</v>
      </c>
      <c r="K49" s="44"/>
      <c r="L49" s="91"/>
      <c r="M49" s="91"/>
      <c r="N49" s="91"/>
      <c r="O49" s="91"/>
      <c r="P49" s="91"/>
      <c r="Q49" s="92"/>
      <c r="R49" s="129">
        <f t="shared" si="6"/>
        <v>0</v>
      </c>
      <c r="S49" s="127">
        <f t="shared" si="7"/>
        <v>0</v>
      </c>
      <c r="T49" s="44"/>
      <c r="U49" s="28"/>
      <c r="V49" s="30"/>
    </row>
    <row r="50" spans="1:22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5"/>
        <v>0</v>
      </c>
      <c r="K50" s="44"/>
      <c r="L50" s="91"/>
      <c r="M50" s="91"/>
      <c r="N50" s="91"/>
      <c r="O50" s="91"/>
      <c r="P50" s="91"/>
      <c r="Q50" s="92"/>
      <c r="R50" s="129">
        <f t="shared" si="6"/>
        <v>0</v>
      </c>
      <c r="S50" s="127">
        <f t="shared" si="7"/>
        <v>0</v>
      </c>
      <c r="T50" s="44"/>
      <c r="U50" s="28"/>
      <c r="V50" s="30"/>
    </row>
    <row r="51" spans="1:22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5"/>
        <v>0</v>
      </c>
      <c r="K51" s="44"/>
      <c r="L51" s="91"/>
      <c r="M51" s="91"/>
      <c r="N51" s="91"/>
      <c r="O51" s="91"/>
      <c r="P51" s="91"/>
      <c r="Q51" s="92"/>
      <c r="R51" s="129">
        <f t="shared" si="6"/>
        <v>0</v>
      </c>
      <c r="S51" s="127">
        <f t="shared" si="7"/>
        <v>0</v>
      </c>
      <c r="T51" s="44"/>
      <c r="U51" s="28"/>
      <c r="V51" s="30"/>
    </row>
    <row r="52" spans="1:22" ht="19.5" thickBot="1" x14ac:dyDescent="0.3">
      <c r="A52" s="3">
        <f t="shared" si="3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4"/>
        <v>34</v>
      </c>
      <c r="J52" s="103">
        <f t="shared" si="5"/>
        <v>0</v>
      </c>
      <c r="K52" s="44"/>
      <c r="L52" s="91"/>
      <c r="M52" s="91"/>
      <c r="N52" s="91"/>
      <c r="O52" s="91"/>
      <c r="P52" s="91"/>
      <c r="Q52" s="92"/>
      <c r="R52" s="129">
        <f t="shared" si="6"/>
        <v>0</v>
      </c>
      <c r="S52" s="127">
        <f t="shared" si="7"/>
        <v>0</v>
      </c>
      <c r="T52" s="44"/>
      <c r="U52" s="28"/>
      <c r="V52" s="30"/>
    </row>
    <row r="53" spans="1:22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5"/>
        <v>0</v>
      </c>
      <c r="K53" s="44"/>
      <c r="L53" s="91"/>
      <c r="M53" s="91"/>
      <c r="N53" s="91"/>
      <c r="O53" s="91"/>
      <c r="P53" s="91"/>
      <c r="Q53" s="92"/>
      <c r="R53" s="129">
        <f t="shared" si="6"/>
        <v>0</v>
      </c>
      <c r="S53" s="127">
        <f t="shared" si="7"/>
        <v>0</v>
      </c>
      <c r="T53" s="44"/>
      <c r="U53" s="28"/>
      <c r="V53" s="30"/>
    </row>
    <row r="54" spans="1:22" ht="19.5" thickBot="1" x14ac:dyDescent="0.3">
      <c r="A54" s="3">
        <f t="shared" si="3"/>
        <v>47</v>
      </c>
      <c r="B54" s="13" t="s">
        <v>78</v>
      </c>
      <c r="C54" s="100">
        <v>2</v>
      </c>
      <c r="D54" s="101"/>
      <c r="E54" s="91"/>
      <c r="F54" s="91"/>
      <c r="G54" s="102"/>
      <c r="H54" s="93"/>
      <c r="I54" s="93">
        <f t="shared" si="4"/>
        <v>2</v>
      </c>
      <c r="J54" s="103">
        <f t="shared" si="5"/>
        <v>0</v>
      </c>
      <c r="K54" s="44"/>
      <c r="L54" s="91"/>
      <c r="M54" s="91"/>
      <c r="N54" s="91"/>
      <c r="O54" s="91"/>
      <c r="P54" s="91"/>
      <c r="Q54" s="92"/>
      <c r="R54" s="129">
        <f t="shared" si="6"/>
        <v>0</v>
      </c>
      <c r="S54" s="127">
        <f t="shared" si="7"/>
        <v>0</v>
      </c>
      <c r="T54" s="44"/>
      <c r="U54" s="28"/>
      <c r="V54" s="30"/>
    </row>
    <row r="55" spans="1:22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5"/>
        <v>0</v>
      </c>
      <c r="K55" s="44"/>
      <c r="L55" s="91"/>
      <c r="M55" s="91"/>
      <c r="N55" s="91"/>
      <c r="O55" s="91"/>
      <c r="P55" s="91"/>
      <c r="Q55" s="92"/>
      <c r="R55" s="129">
        <f t="shared" si="6"/>
        <v>0</v>
      </c>
      <c r="S55" s="127">
        <f t="shared" si="7"/>
        <v>0</v>
      </c>
      <c r="T55" s="44"/>
      <c r="U55" s="28"/>
      <c r="V55" s="30"/>
    </row>
    <row r="56" spans="1:22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5"/>
        <v>0</v>
      </c>
      <c r="K56" s="44"/>
      <c r="L56" s="91"/>
      <c r="M56" s="91"/>
      <c r="N56" s="91"/>
      <c r="O56" s="91"/>
      <c r="P56" s="91"/>
      <c r="Q56" s="92"/>
      <c r="R56" s="129">
        <f t="shared" si="6"/>
        <v>0</v>
      </c>
      <c r="S56" s="127">
        <f t="shared" si="7"/>
        <v>0</v>
      </c>
      <c r="T56" s="44"/>
      <c r="U56" s="28"/>
      <c r="V56" s="30"/>
    </row>
    <row r="57" spans="1:22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5"/>
        <v>0</v>
      </c>
      <c r="K57" s="44"/>
      <c r="L57" s="91"/>
      <c r="M57" s="91"/>
      <c r="N57" s="91"/>
      <c r="O57" s="91"/>
      <c r="P57" s="91"/>
      <c r="Q57" s="92"/>
      <c r="R57" s="129">
        <f t="shared" si="6"/>
        <v>0</v>
      </c>
      <c r="S57" s="127">
        <f t="shared" si="7"/>
        <v>0</v>
      </c>
      <c r="T57" s="44"/>
      <c r="U57" s="28"/>
      <c r="V57" s="30"/>
    </row>
    <row r="58" spans="1:22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5"/>
        <v>0</v>
      </c>
      <c r="K58" s="44"/>
      <c r="L58" s="91"/>
      <c r="M58" s="91"/>
      <c r="N58" s="91"/>
      <c r="O58" s="91"/>
      <c r="P58" s="91"/>
      <c r="Q58" s="92"/>
      <c r="R58" s="129">
        <f t="shared" si="6"/>
        <v>0</v>
      </c>
      <c r="S58" s="127">
        <f t="shared" si="7"/>
        <v>0</v>
      </c>
      <c r="T58" s="44"/>
      <c r="U58" s="28"/>
      <c r="V58" s="30"/>
    </row>
    <row r="59" spans="1:22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5"/>
        <v>0</v>
      </c>
      <c r="K59" s="44"/>
      <c r="L59" s="91"/>
      <c r="M59" s="91"/>
      <c r="N59" s="91"/>
      <c r="O59" s="91"/>
      <c r="P59" s="91"/>
      <c r="Q59" s="92"/>
      <c r="R59" s="129">
        <f t="shared" si="6"/>
        <v>0</v>
      </c>
      <c r="S59" s="127">
        <f t="shared" si="7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39964</v>
      </c>
      <c r="D60" s="71">
        <f>SUM(D8:D59)</f>
        <v>68</v>
      </c>
      <c r="E60" s="47">
        <f>SUM(E8:E59)</f>
        <v>0</v>
      </c>
      <c r="F60" s="47"/>
      <c r="G60" s="31">
        <f>SUM(G8:G59)</f>
        <v>478</v>
      </c>
      <c r="H60" s="73">
        <f>SUM(H8:H59)</f>
        <v>2</v>
      </c>
      <c r="I60" s="73">
        <f>SUM(I8:I59)</f>
        <v>39486</v>
      </c>
      <c r="J60" s="48">
        <f>SUM(J8:J59)</f>
        <v>66</v>
      </c>
      <c r="K60" s="49"/>
      <c r="L60" s="98">
        <f t="shared" ref="L60:S60" si="8">SUM(L8:L59)</f>
        <v>0</v>
      </c>
      <c r="M60" s="98">
        <f t="shared" si="8"/>
        <v>0</v>
      </c>
      <c r="N60" s="98">
        <f t="shared" si="8"/>
        <v>218</v>
      </c>
      <c r="O60" s="98">
        <f t="shared" si="8"/>
        <v>0</v>
      </c>
      <c r="P60" s="98">
        <f t="shared" si="8"/>
        <v>260</v>
      </c>
      <c r="Q60" s="99">
        <f t="shared" si="8"/>
        <v>2</v>
      </c>
      <c r="R60" s="128">
        <f t="shared" si="8"/>
        <v>478</v>
      </c>
      <c r="S60" s="125">
        <f t="shared" si="8"/>
        <v>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5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5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13" t="s">
        <v>3</v>
      </c>
      <c r="D69" s="11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1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16F88-EE71-4349-916D-81B542C7D9EB}">
  <sheetPr>
    <pageSetUpPr fitToPage="1"/>
  </sheetPr>
  <dimension ref="A1:BF90"/>
  <sheetViews>
    <sheetView tabSelected="1" zoomScale="85" zoomScaleNormal="85" zoomScaleSheetLayoutView="85" zoomScalePageLayoutView="80" workbookViewId="0">
      <selection activeCell="D10" sqref="D1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6">
        <v>46067</v>
      </c>
      <c r="Q1" s="157"/>
      <c r="R1" s="157"/>
      <c r="S1" s="157"/>
      <c r="T1" s="157"/>
      <c r="U1" s="157"/>
      <c r="V1" s="15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50" t="s">
        <v>74</v>
      </c>
      <c r="C4" s="159" t="s">
        <v>3</v>
      </c>
      <c r="D4" s="169" t="s">
        <v>75</v>
      </c>
      <c r="E4" s="160" t="s">
        <v>4</v>
      </c>
      <c r="F4" s="161"/>
      <c r="G4" s="162" t="s">
        <v>5</v>
      </c>
      <c r="H4" s="170" t="s">
        <v>75</v>
      </c>
      <c r="I4" s="164" t="s">
        <v>6</v>
      </c>
      <c r="J4" s="170" t="s">
        <v>75</v>
      </c>
      <c r="L4" s="166" t="s">
        <v>7</v>
      </c>
      <c r="M4" s="167"/>
      <c r="N4" s="167"/>
      <c r="O4" s="167"/>
      <c r="P4" s="167"/>
      <c r="Q4" s="167"/>
      <c r="R4" s="167"/>
      <c r="S4" s="167"/>
      <c r="T4" s="167"/>
      <c r="U4" s="167"/>
      <c r="V4" s="168"/>
    </row>
    <row r="5" spans="1:58" s="3" customFormat="1" ht="38.25" thickBot="1" x14ac:dyDescent="0.3">
      <c r="A5" s="53"/>
      <c r="B5" s="150"/>
      <c r="C5" s="159"/>
      <c r="D5" s="169"/>
      <c r="E5" s="52" t="s">
        <v>8</v>
      </c>
      <c r="F5" s="146" t="s">
        <v>9</v>
      </c>
      <c r="G5" s="163"/>
      <c r="H5" s="171"/>
      <c r="I5" s="165"/>
      <c r="J5" s="17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>
        <f>C8-G8</f>
        <v>0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/>
      <c r="D9" s="105"/>
      <c r="E9" s="106"/>
      <c r="F9" s="106"/>
      <c r="G9" s="107"/>
      <c r="H9" s="108"/>
      <c r="I9" s="93">
        <f t="shared" ref="I9:J59" si="3">C9-G9</f>
        <v>0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/>
      <c r="D11" s="101"/>
      <c r="E11" s="91"/>
      <c r="F11" s="91"/>
      <c r="G11" s="102"/>
      <c r="H11" s="93"/>
      <c r="I11" s="93">
        <f t="shared" si="3"/>
        <v>0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/>
      <c r="D12" s="101"/>
      <c r="E12" s="91"/>
      <c r="F12" s="91"/>
      <c r="G12" s="102"/>
      <c r="H12" s="93"/>
      <c r="I12" s="93">
        <f t="shared" si="3"/>
        <v>0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/>
      <c r="D13" s="105"/>
      <c r="E13" s="106"/>
      <c r="F13" s="106"/>
      <c r="G13" s="107"/>
      <c r="H13" s="108"/>
      <c r="I13" s="93">
        <f t="shared" si="3"/>
        <v>0</v>
      </c>
      <c r="J13" s="103">
        <f>D13-H13</f>
        <v>0</v>
      </c>
      <c r="K13" s="68"/>
      <c r="L13" s="94"/>
      <c r="M13" s="94"/>
      <c r="N13" s="94"/>
      <c r="O13" s="94"/>
      <c r="P13" s="94"/>
      <c r="Q13" s="95"/>
      <c r="R13" s="129">
        <f>L13+N13+P13</f>
        <v>0</v>
      </c>
      <c r="S13" s="127">
        <f>M13+O13+Q13</f>
        <v>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/>
      <c r="D18" s="101"/>
      <c r="E18" s="91"/>
      <c r="F18" s="91"/>
      <c r="G18" s="102"/>
      <c r="H18" s="93"/>
      <c r="I18" s="93">
        <f t="shared" si="3"/>
        <v>0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/>
      <c r="D20" s="101"/>
      <c r="E20" s="91"/>
      <c r="F20" s="91"/>
      <c r="G20" s="102"/>
      <c r="H20" s="93"/>
      <c r="I20" s="93">
        <f t="shared" si="3"/>
        <v>0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/>
      <c r="D21" s="101"/>
      <c r="E21" s="91"/>
      <c r="F21" s="91"/>
      <c r="G21" s="102"/>
      <c r="H21" s="93"/>
      <c r="I21" s="93">
        <f t="shared" si="3"/>
        <v>0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/>
      <c r="D22" s="101"/>
      <c r="E22" s="91"/>
      <c r="F22" s="91"/>
      <c r="G22" s="102"/>
      <c r="H22" s="93"/>
      <c r="I22" s="93">
        <f t="shared" si="3"/>
        <v>0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/>
      <c r="D23" s="101"/>
      <c r="E23" s="91"/>
      <c r="F23" s="91"/>
      <c r="G23" s="102"/>
      <c r="H23" s="93"/>
      <c r="I23" s="93">
        <f t="shared" si="3"/>
        <v>0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/>
      <c r="D24" s="101"/>
      <c r="E24" s="91"/>
      <c r="F24" s="91"/>
      <c r="G24" s="102"/>
      <c r="H24" s="93"/>
      <c r="I24" s="93">
        <f t="shared" si="3"/>
        <v>0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/>
      <c r="D25" s="101"/>
      <c r="E25" s="91"/>
      <c r="F25" s="91"/>
      <c r="G25" s="102"/>
      <c r="H25" s="93"/>
      <c r="I25" s="93">
        <f t="shared" si="3"/>
        <v>0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/>
      <c r="D26" s="101"/>
      <c r="E26" s="91"/>
      <c r="F26" s="91"/>
      <c r="G26" s="102"/>
      <c r="H26" s="93"/>
      <c r="I26" s="93">
        <f t="shared" si="3"/>
        <v>0</v>
      </c>
      <c r="J26" s="103">
        <f t="shared" si="3"/>
        <v>0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/>
      <c r="D29" s="101"/>
      <c r="E29" s="91"/>
      <c r="F29" s="91"/>
      <c r="G29" s="102"/>
      <c r="H29" s="93"/>
      <c r="I29" s="93">
        <f t="shared" si="3"/>
        <v>0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/>
      <c r="D31" s="101"/>
      <c r="E31" s="91"/>
      <c r="F31" s="91"/>
      <c r="G31" s="102"/>
      <c r="H31" s="93"/>
      <c r="I31" s="93">
        <f t="shared" si="3"/>
        <v>0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/>
      <c r="D35" s="101"/>
      <c r="E35" s="91"/>
      <c r="F35" s="91"/>
      <c r="G35" s="102"/>
      <c r="H35" s="93"/>
      <c r="I35" s="93">
        <f t="shared" si="3"/>
        <v>0</v>
      </c>
      <c r="J35" s="103">
        <f t="shared" si="3"/>
        <v>0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/>
      <c r="D38" s="105"/>
      <c r="E38" s="106"/>
      <c r="F38" s="106"/>
      <c r="G38" s="107"/>
      <c r="H38" s="108"/>
      <c r="I38" s="93">
        <f t="shared" si="3"/>
        <v>0</v>
      </c>
      <c r="J38" s="103">
        <f t="shared" si="3"/>
        <v>0</v>
      </c>
      <c r="K38" s="64"/>
      <c r="L38" s="94"/>
      <c r="M38" s="94"/>
      <c r="N38" s="94"/>
      <c r="O38" s="94"/>
      <c r="P38" s="94"/>
      <c r="Q38" s="95"/>
      <c r="R38" s="129">
        <f t="shared" si="4"/>
        <v>0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/>
      <c r="D39" s="101"/>
      <c r="E39" s="91"/>
      <c r="F39" s="91"/>
      <c r="G39" s="102"/>
      <c r="H39" s="93"/>
      <c r="I39" s="93">
        <f t="shared" si="3"/>
        <v>0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/>
      <c r="D41" s="105"/>
      <c r="E41" s="106"/>
      <c r="F41" s="106"/>
      <c r="G41" s="107"/>
      <c r="H41" s="108"/>
      <c r="I41" s="93">
        <f t="shared" si="3"/>
        <v>0</v>
      </c>
      <c r="J41" s="103">
        <f t="shared" si="3"/>
        <v>0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/>
      <c r="D42" s="110"/>
      <c r="E42" s="96"/>
      <c r="F42" s="96"/>
      <c r="G42" s="111"/>
      <c r="H42" s="112"/>
      <c r="I42" s="93">
        <f t="shared" si="3"/>
        <v>0</v>
      </c>
      <c r="J42" s="103">
        <f t="shared" si="3"/>
        <v>0</v>
      </c>
      <c r="K42" s="69"/>
      <c r="L42" s="96"/>
      <c r="M42" s="96"/>
      <c r="N42" s="96"/>
      <c r="O42" s="96"/>
      <c r="P42" s="96"/>
      <c r="Q42" s="97"/>
      <c r="R42" s="129">
        <f t="shared" si="4"/>
        <v>0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/>
      <c r="D44" s="105"/>
      <c r="E44" s="106"/>
      <c r="F44" s="106"/>
      <c r="G44" s="107"/>
      <c r="H44" s="108"/>
      <c r="I44" s="93">
        <f t="shared" si="3"/>
        <v>0</v>
      </c>
      <c r="J44" s="103">
        <f t="shared" si="3"/>
        <v>0</v>
      </c>
      <c r="K44" s="64"/>
      <c r="L44" s="94"/>
      <c r="M44" s="94"/>
      <c r="N44" s="94"/>
      <c r="O44" s="94"/>
      <c r="P44" s="94"/>
      <c r="Q44" s="95"/>
      <c r="R44" s="129">
        <f t="shared" si="4"/>
        <v>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/>
      <c r="D48" s="101"/>
      <c r="E48" s="91"/>
      <c r="F48" s="91"/>
      <c r="G48" s="102"/>
      <c r="H48" s="93"/>
      <c r="I48" s="93">
        <f t="shared" si="3"/>
        <v>0</v>
      </c>
      <c r="J48" s="103">
        <f t="shared" si="3"/>
        <v>0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/>
      <c r="D52" s="101"/>
      <c r="E52" s="91"/>
      <c r="F52" s="91"/>
      <c r="G52" s="102"/>
      <c r="H52" s="93"/>
      <c r="I52" s="93">
        <f t="shared" si="3"/>
        <v>0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5">SUM(L8:L59)</f>
        <v>0</v>
      </c>
      <c r="M60" s="98">
        <f t="shared" si="5"/>
        <v>0</v>
      </c>
      <c r="N60" s="98">
        <f t="shared" si="5"/>
        <v>0</v>
      </c>
      <c r="O60" s="98">
        <f t="shared" si="5"/>
        <v>0</v>
      </c>
      <c r="P60" s="98">
        <f t="shared" si="5"/>
        <v>0</v>
      </c>
      <c r="Q60" s="99">
        <f t="shared" si="5"/>
        <v>0</v>
      </c>
      <c r="R60" s="128">
        <f t="shared" si="5"/>
        <v>0</v>
      </c>
      <c r="S60" s="125">
        <f t="shared" si="5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5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5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4" t="s">
        <v>3</v>
      </c>
      <c r="D69" s="14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3708C-D093-4A9C-9961-2E39923C8C8E}">
  <sheetPr>
    <pageSetUpPr fitToPage="1"/>
  </sheetPr>
  <dimension ref="A1:BF90"/>
  <sheetViews>
    <sheetView zoomScale="85" zoomScaleNormal="85" zoomScaleSheetLayoutView="85" zoomScalePageLayoutView="80" workbookViewId="0">
      <selection activeCell="D10" sqref="D1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6">
        <v>46067</v>
      </c>
      <c r="Q1" s="157"/>
      <c r="R1" s="157"/>
      <c r="S1" s="157"/>
      <c r="T1" s="157"/>
      <c r="U1" s="157"/>
      <c r="V1" s="15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50" t="s">
        <v>74</v>
      </c>
      <c r="C4" s="159" t="s">
        <v>3</v>
      </c>
      <c r="D4" s="169" t="s">
        <v>75</v>
      </c>
      <c r="E4" s="160" t="s">
        <v>4</v>
      </c>
      <c r="F4" s="161"/>
      <c r="G4" s="162" t="s">
        <v>5</v>
      </c>
      <c r="H4" s="170" t="s">
        <v>75</v>
      </c>
      <c r="I4" s="164" t="s">
        <v>6</v>
      </c>
      <c r="J4" s="170" t="s">
        <v>75</v>
      </c>
      <c r="L4" s="166" t="s">
        <v>7</v>
      </c>
      <c r="M4" s="167"/>
      <c r="N4" s="167"/>
      <c r="O4" s="167"/>
      <c r="P4" s="167"/>
      <c r="Q4" s="167"/>
      <c r="R4" s="167"/>
      <c r="S4" s="167"/>
      <c r="T4" s="167"/>
      <c r="U4" s="167"/>
      <c r="V4" s="168"/>
    </row>
    <row r="5" spans="1:58" s="3" customFormat="1" ht="38.25" thickBot="1" x14ac:dyDescent="0.3">
      <c r="A5" s="53"/>
      <c r="B5" s="150"/>
      <c r="C5" s="159"/>
      <c r="D5" s="169"/>
      <c r="E5" s="52" t="s">
        <v>8</v>
      </c>
      <c r="F5" s="149" t="s">
        <v>9</v>
      </c>
      <c r="G5" s="163"/>
      <c r="H5" s="171"/>
      <c r="I5" s="165"/>
      <c r="J5" s="171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>
        <f>C8-G8</f>
        <v>0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/>
      <c r="D9" s="105"/>
      <c r="E9" s="106"/>
      <c r="F9" s="106"/>
      <c r="G9" s="107"/>
      <c r="H9" s="108"/>
      <c r="I9" s="93">
        <f t="shared" ref="I9:J59" si="3">C9-G9</f>
        <v>0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/>
      <c r="D11" s="101"/>
      <c r="E11" s="91"/>
      <c r="F11" s="91"/>
      <c r="G11" s="102"/>
      <c r="H11" s="93"/>
      <c r="I11" s="93">
        <f t="shared" si="3"/>
        <v>0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/>
      <c r="D12" s="101"/>
      <c r="E12" s="91"/>
      <c r="F12" s="91"/>
      <c r="G12" s="102"/>
      <c r="H12" s="93"/>
      <c r="I12" s="93">
        <f t="shared" si="3"/>
        <v>0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/>
      <c r="D13" s="105"/>
      <c r="E13" s="106"/>
      <c r="F13" s="106"/>
      <c r="G13" s="107"/>
      <c r="H13" s="108"/>
      <c r="I13" s="93">
        <f t="shared" si="3"/>
        <v>0</v>
      </c>
      <c r="J13" s="103">
        <f>D13-H13</f>
        <v>0</v>
      </c>
      <c r="K13" s="68"/>
      <c r="L13" s="94"/>
      <c r="M13" s="94"/>
      <c r="N13" s="94"/>
      <c r="O13" s="94"/>
      <c r="P13" s="94"/>
      <c r="Q13" s="95"/>
      <c r="R13" s="129">
        <f>L13+N13+P13</f>
        <v>0</v>
      </c>
      <c r="S13" s="127">
        <f>M13+O13+Q13</f>
        <v>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/>
      <c r="D18" s="101"/>
      <c r="E18" s="91"/>
      <c r="F18" s="91"/>
      <c r="G18" s="102"/>
      <c r="H18" s="93"/>
      <c r="I18" s="93">
        <f t="shared" si="3"/>
        <v>0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/>
      <c r="D20" s="101"/>
      <c r="E20" s="91"/>
      <c r="F20" s="91"/>
      <c r="G20" s="102"/>
      <c r="H20" s="93"/>
      <c r="I20" s="93">
        <f t="shared" si="3"/>
        <v>0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/>
      <c r="D21" s="101"/>
      <c r="E21" s="91"/>
      <c r="F21" s="91"/>
      <c r="G21" s="102"/>
      <c r="H21" s="93"/>
      <c r="I21" s="93">
        <f t="shared" si="3"/>
        <v>0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/>
      <c r="D22" s="101"/>
      <c r="E22" s="91"/>
      <c r="F22" s="91"/>
      <c r="G22" s="102"/>
      <c r="H22" s="93"/>
      <c r="I22" s="93">
        <f t="shared" si="3"/>
        <v>0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/>
      <c r="D23" s="101"/>
      <c r="E23" s="91"/>
      <c r="F23" s="91"/>
      <c r="G23" s="102"/>
      <c r="H23" s="93"/>
      <c r="I23" s="93">
        <f t="shared" si="3"/>
        <v>0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/>
      <c r="D24" s="101"/>
      <c r="E24" s="91"/>
      <c r="F24" s="91"/>
      <c r="G24" s="102"/>
      <c r="H24" s="93"/>
      <c r="I24" s="93">
        <f t="shared" si="3"/>
        <v>0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/>
      <c r="D25" s="101"/>
      <c r="E25" s="91"/>
      <c r="F25" s="91"/>
      <c r="G25" s="102"/>
      <c r="H25" s="93"/>
      <c r="I25" s="93">
        <f t="shared" si="3"/>
        <v>0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/>
      <c r="D26" s="101"/>
      <c r="E26" s="91"/>
      <c r="F26" s="91"/>
      <c r="G26" s="102"/>
      <c r="H26" s="93"/>
      <c r="I26" s="93">
        <f t="shared" si="3"/>
        <v>0</v>
      </c>
      <c r="J26" s="103">
        <f t="shared" si="3"/>
        <v>0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/>
      <c r="D29" s="101"/>
      <c r="E29" s="91"/>
      <c r="F29" s="91"/>
      <c r="G29" s="102"/>
      <c r="H29" s="93"/>
      <c r="I29" s="93">
        <f t="shared" si="3"/>
        <v>0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/>
      <c r="D31" s="101"/>
      <c r="E31" s="91"/>
      <c r="F31" s="91"/>
      <c r="G31" s="102"/>
      <c r="H31" s="93"/>
      <c r="I31" s="93">
        <f t="shared" si="3"/>
        <v>0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/>
      <c r="D35" s="101"/>
      <c r="E35" s="91"/>
      <c r="F35" s="91"/>
      <c r="G35" s="102"/>
      <c r="H35" s="93"/>
      <c r="I35" s="93">
        <f t="shared" si="3"/>
        <v>0</v>
      </c>
      <c r="J35" s="103">
        <f t="shared" si="3"/>
        <v>0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/>
      <c r="D38" s="105"/>
      <c r="E38" s="106"/>
      <c r="F38" s="106"/>
      <c r="G38" s="107"/>
      <c r="H38" s="108"/>
      <c r="I38" s="93">
        <f t="shared" si="3"/>
        <v>0</v>
      </c>
      <c r="J38" s="103">
        <f t="shared" si="3"/>
        <v>0</v>
      </c>
      <c r="K38" s="64"/>
      <c r="L38" s="94"/>
      <c r="M38" s="94"/>
      <c r="N38" s="94"/>
      <c r="O38" s="94"/>
      <c r="P38" s="94"/>
      <c r="Q38" s="95"/>
      <c r="R38" s="129">
        <f t="shared" si="4"/>
        <v>0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/>
      <c r="D39" s="101"/>
      <c r="E39" s="91"/>
      <c r="F39" s="91"/>
      <c r="G39" s="102"/>
      <c r="H39" s="93"/>
      <c r="I39" s="93">
        <f t="shared" si="3"/>
        <v>0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/>
      <c r="D41" s="105"/>
      <c r="E41" s="106"/>
      <c r="F41" s="106"/>
      <c r="G41" s="107"/>
      <c r="H41" s="108"/>
      <c r="I41" s="93">
        <f t="shared" si="3"/>
        <v>0</v>
      </c>
      <c r="J41" s="103">
        <f t="shared" si="3"/>
        <v>0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/>
      <c r="D42" s="110"/>
      <c r="E42" s="96"/>
      <c r="F42" s="96"/>
      <c r="G42" s="111"/>
      <c r="H42" s="112"/>
      <c r="I42" s="93">
        <f t="shared" si="3"/>
        <v>0</v>
      </c>
      <c r="J42" s="103">
        <f t="shared" si="3"/>
        <v>0</v>
      </c>
      <c r="K42" s="69"/>
      <c r="L42" s="96"/>
      <c r="M42" s="96"/>
      <c r="N42" s="96"/>
      <c r="O42" s="96"/>
      <c r="P42" s="96"/>
      <c r="Q42" s="97"/>
      <c r="R42" s="129">
        <f t="shared" si="4"/>
        <v>0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/>
      <c r="D44" s="105"/>
      <c r="E44" s="106"/>
      <c r="F44" s="106"/>
      <c r="G44" s="107"/>
      <c r="H44" s="108"/>
      <c r="I44" s="93">
        <f t="shared" si="3"/>
        <v>0</v>
      </c>
      <c r="J44" s="103">
        <f t="shared" si="3"/>
        <v>0</v>
      </c>
      <c r="K44" s="64"/>
      <c r="L44" s="94"/>
      <c r="M44" s="94"/>
      <c r="N44" s="94"/>
      <c r="O44" s="94"/>
      <c r="P44" s="94"/>
      <c r="Q44" s="95"/>
      <c r="R44" s="129">
        <f t="shared" si="4"/>
        <v>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/>
      <c r="D48" s="101"/>
      <c r="E48" s="91"/>
      <c r="F48" s="91"/>
      <c r="G48" s="102"/>
      <c r="H48" s="93"/>
      <c r="I48" s="93">
        <f t="shared" si="3"/>
        <v>0</v>
      </c>
      <c r="J48" s="103">
        <f t="shared" si="3"/>
        <v>0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/>
      <c r="D52" s="101"/>
      <c r="E52" s="91"/>
      <c r="F52" s="91"/>
      <c r="G52" s="102"/>
      <c r="H52" s="93"/>
      <c r="I52" s="93">
        <f t="shared" si="3"/>
        <v>0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5">SUM(L8:L59)</f>
        <v>0</v>
      </c>
      <c r="M60" s="98">
        <f t="shared" si="5"/>
        <v>0</v>
      </c>
      <c r="N60" s="98">
        <f t="shared" si="5"/>
        <v>0</v>
      </c>
      <c r="O60" s="98">
        <f t="shared" si="5"/>
        <v>0</v>
      </c>
      <c r="P60" s="98">
        <f t="shared" si="5"/>
        <v>0</v>
      </c>
      <c r="Q60" s="99">
        <f t="shared" si="5"/>
        <v>0</v>
      </c>
      <c r="R60" s="128">
        <f t="shared" si="5"/>
        <v>0</v>
      </c>
      <c r="S60" s="125">
        <f t="shared" si="5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51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52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3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4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4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5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7" t="s">
        <v>3</v>
      </c>
      <c r="D69" s="148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7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15</vt:i4>
      </vt:variant>
    </vt:vector>
  </HeadingPairs>
  <TitlesOfParts>
    <vt:vector size="30" baseType="lpstr">
      <vt:lpstr>SAMPLE</vt:lpstr>
      <vt:lpstr>02,02</vt:lpstr>
      <vt:lpstr>02,03</vt:lpstr>
      <vt:lpstr>02,04</vt:lpstr>
      <vt:lpstr>02,05</vt:lpstr>
      <vt:lpstr>02,05 PROMO</vt:lpstr>
      <vt:lpstr>02,06</vt:lpstr>
      <vt:lpstr>02,07</vt:lpstr>
      <vt:lpstr>02,09</vt:lpstr>
      <vt:lpstr>02,10</vt:lpstr>
      <vt:lpstr>02,11</vt:lpstr>
      <vt:lpstr>02,12</vt:lpstr>
      <vt:lpstr>02,13</vt:lpstr>
      <vt:lpstr>02,14</vt:lpstr>
      <vt:lpstr>02,16</vt:lpstr>
      <vt:lpstr>'02,02'!Print_Area</vt:lpstr>
      <vt:lpstr>'02,03'!Print_Area</vt:lpstr>
      <vt:lpstr>'02,04'!Print_Area</vt:lpstr>
      <vt:lpstr>'02,05'!Print_Area</vt:lpstr>
      <vt:lpstr>'02,05 PROMO'!Print_Area</vt:lpstr>
      <vt:lpstr>'02,06'!Print_Area</vt:lpstr>
      <vt:lpstr>'02,07'!Print_Area</vt:lpstr>
      <vt:lpstr>'02,09'!Print_Area</vt:lpstr>
      <vt:lpstr>'02,10'!Print_Area</vt:lpstr>
      <vt:lpstr>'02,11'!Print_Area</vt:lpstr>
      <vt:lpstr>'02,12'!Print_Area</vt:lpstr>
      <vt:lpstr>'02,13'!Print_Area</vt:lpstr>
      <vt:lpstr>'02,14'!Print_Area</vt:lpstr>
      <vt:lpstr>'02,16'!Print_Area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2026-02-02T08:53:54Z</cp:lastPrinted>
  <dcterms:created xsi:type="dcterms:W3CDTF">2024-09-01T23:32:49Z</dcterms:created>
  <dcterms:modified xsi:type="dcterms:W3CDTF">2026-02-16T03:17:23Z</dcterms:modified>
</cp:coreProperties>
</file>