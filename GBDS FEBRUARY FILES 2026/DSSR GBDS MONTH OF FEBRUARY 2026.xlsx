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077B2BE-DF5E-4210-8331-A2090BFD1B14}" xr6:coauthVersionLast="45" xr6:coauthVersionMax="45" xr10:uidLastSave="{00000000-0000-0000-0000-000000000000}"/>
  <bookViews>
    <workbookView xWindow="-120" yWindow="-120" windowWidth="29040" windowHeight="15840" activeTab="8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3" sheetId="70" r:id="rId11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'02,13'!$A$1:$W$61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I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S60" i="79" s="1"/>
  <c r="R9" i="79"/>
  <c r="J9" i="79"/>
  <c r="J60" i="79" s="1"/>
  <c r="I9" i="79"/>
  <c r="I60" i="79" s="1"/>
  <c r="A9" i="79"/>
  <c r="S8" i="79"/>
  <c r="R8" i="79"/>
  <c r="R60" i="79" s="1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I48" i="78" l="1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</calcChain>
</file>

<file path=xl/sharedStrings.xml><?xml version="1.0" encoding="utf-8"?>
<sst xmlns="http://schemas.openxmlformats.org/spreadsheetml/2006/main" count="1126" uniqueCount="79">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</sst>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6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50"/>
      <c r="L1" s="151"/>
      <c r="M1" s="151"/>
      <c r="N1" s="151"/>
      <c r="O1" s="152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44" t="s">
        <v>74</v>
      </c>
      <c r="C4" s="153" t="s">
        <v>3</v>
      </c>
      <c r="D4" s="154" t="s">
        <v>4</v>
      </c>
      <c r="E4" s="155"/>
      <c r="F4" s="156" t="s">
        <v>5</v>
      </c>
      <c r="G4" s="158" t="s">
        <v>6</v>
      </c>
      <c r="I4" s="160" t="s">
        <v>7</v>
      </c>
      <c r="J4" s="161"/>
      <c r="K4" s="161"/>
      <c r="L4" s="161"/>
      <c r="M4" s="161"/>
      <c r="N4" s="161"/>
      <c r="O4" s="162"/>
    </row>
    <row r="5" spans="1:51" s="3" customFormat="1" ht="38.25" thickBot="1" x14ac:dyDescent="0.3">
      <c r="A5" s="53"/>
      <c r="B5" s="144"/>
      <c r="C5" s="153"/>
      <c r="D5" s="52" t="s">
        <v>8</v>
      </c>
      <c r="E5" s="51" t="s">
        <v>9</v>
      </c>
      <c r="F5" s="157"/>
      <c r="G5" s="159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45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46"/>
      <c r="G61" s="25" t="s">
        <v>51</v>
      </c>
      <c r="I61" s="36"/>
      <c r="J61" s="37"/>
      <c r="K61" s="37"/>
      <c r="L61" s="38"/>
    </row>
    <row r="62" spans="1:15" x14ac:dyDescent="0.25">
      <c r="F62" s="147"/>
      <c r="G62" s="25" t="s">
        <v>52</v>
      </c>
      <c r="I62" s="39"/>
      <c r="J62" s="40"/>
      <c r="K62" s="40"/>
      <c r="L62" s="41"/>
    </row>
    <row r="63" spans="1:15" x14ac:dyDescent="0.25">
      <c r="F63" s="148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148"/>
      <c r="G64" s="25" t="s">
        <v>51</v>
      </c>
      <c r="I64" s="36"/>
      <c r="J64" s="37"/>
      <c r="K64" s="37"/>
      <c r="L64" s="38"/>
    </row>
    <row r="65" spans="2:15" ht="19.5" thickBot="1" x14ac:dyDescent="0.3">
      <c r="F65" s="149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46055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34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146</v>
      </c>
      <c r="D11" s="101"/>
      <c r="E11" s="91"/>
      <c r="F11" s="91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/>
      <c r="H12" s="93"/>
      <c r="I12" s="93">
        <f t="shared" si="3"/>
        <v>4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3872</v>
      </c>
      <c r="D13" s="105">
        <v>2</v>
      </c>
      <c r="E13" s="106"/>
      <c r="F13" s="106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94">
        <v>14</v>
      </c>
      <c r="M13" s="94">
        <v>7</v>
      </c>
      <c r="N13" s="94">
        <v>20</v>
      </c>
      <c r="O13" s="94">
        <v>22</v>
      </c>
      <c r="P13" s="94">
        <v>4</v>
      </c>
      <c r="Q13" s="95">
        <v>41</v>
      </c>
      <c r="R13" s="129">
        <f>L13+N13+P13</f>
        <v>38</v>
      </c>
      <c r="S13" s="127">
        <f>M13+O13+Q13</f>
        <v>70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/>
      <c r="I26" s="93">
        <f t="shared" si="3"/>
        <v>116</v>
      </c>
      <c r="J26" s="103">
        <f t="shared" si="3"/>
        <v>11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/>
      <c r="H27" s="93"/>
      <c r="I27" s="93">
        <f t="shared" si="3"/>
        <v>3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78</v>
      </c>
      <c r="D29" s="101"/>
      <c r="E29" s="91"/>
      <c r="F29" s="91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/>
      <c r="I31" s="93">
        <f t="shared" si="3"/>
        <v>78</v>
      </c>
      <c r="J31" s="103">
        <f t="shared" si="3"/>
        <v>12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/>
      <c r="H32" s="93"/>
      <c r="I32" s="93">
        <f t="shared" si="3"/>
        <v>3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5809</v>
      </c>
      <c r="D38" s="105">
        <v>2</v>
      </c>
      <c r="E38" s="106"/>
      <c r="F38" s="106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94">
        <v>118</v>
      </c>
      <c r="M38" s="94"/>
      <c r="N38" s="94">
        <v>53</v>
      </c>
      <c r="O38" s="94"/>
      <c r="P38" s="94">
        <v>80</v>
      </c>
      <c r="Q38" s="95"/>
      <c r="R38" s="129">
        <f t="shared" si="4"/>
        <v>251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/>
      <c r="H39" s="93"/>
      <c r="I39" s="93">
        <f t="shared" si="3"/>
        <v>12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1963</v>
      </c>
      <c r="D42" s="110"/>
      <c r="E42" s="96"/>
      <c r="F42" s="96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96">
        <v>10</v>
      </c>
      <c r="M42" s="96"/>
      <c r="N42" s="96">
        <v>11</v>
      </c>
      <c r="O42" s="96"/>
      <c r="P42" s="96">
        <v>7</v>
      </c>
      <c r="Q42" s="97"/>
      <c r="R42" s="129">
        <f t="shared" si="4"/>
        <v>28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31248</v>
      </c>
      <c r="D44" s="105"/>
      <c r="E44" s="106"/>
      <c r="F44" s="106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94">
        <v>283</v>
      </c>
      <c r="M44" s="94"/>
      <c r="N44" s="94">
        <v>458</v>
      </c>
      <c r="O44" s="94"/>
      <c r="P44" s="94">
        <v>330</v>
      </c>
      <c r="Q44" s="95"/>
      <c r="R44" s="129">
        <f t="shared" si="4"/>
        <v>1071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/>
      <c r="H48" s="93"/>
      <c r="I48" s="93">
        <f t="shared" si="3"/>
        <v>2400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8">
        <f t="shared" si="5"/>
        <v>1395</v>
      </c>
      <c r="S60" s="125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C53" sqref="C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46056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34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>
        <v>2</v>
      </c>
      <c r="Q9" s="95"/>
      <c r="R9" s="129">
        <f t="shared" si="1"/>
        <v>2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144</v>
      </c>
      <c r="D11" s="101"/>
      <c r="E11" s="91"/>
      <c r="F11" s="91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>
        <v>2</v>
      </c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91">
        <v>2</v>
      </c>
      <c r="M12" s="91"/>
      <c r="N12" s="91"/>
      <c r="O12" s="91"/>
      <c r="P12" s="91"/>
      <c r="Q12" s="92"/>
      <c r="R12" s="129">
        <f t="shared" si="1"/>
        <v>2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3829</v>
      </c>
      <c r="D13" s="105">
        <v>17</v>
      </c>
      <c r="E13" s="106"/>
      <c r="F13" s="106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94">
        <v>2</v>
      </c>
      <c r="M13" s="94">
        <v>2</v>
      </c>
      <c r="N13" s="94">
        <v>4</v>
      </c>
      <c r="O13" s="94">
        <v>9</v>
      </c>
      <c r="P13" s="94">
        <v>12</v>
      </c>
      <c r="Q13" s="95">
        <v>4</v>
      </c>
      <c r="R13" s="129">
        <f>L13+N13+P13</f>
        <v>18</v>
      </c>
      <c r="S13" s="127">
        <f>M13+O13+Q13</f>
        <v>15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91"/>
      <c r="M26" s="91">
        <v>12</v>
      </c>
      <c r="N26" s="91"/>
      <c r="O26" s="91"/>
      <c r="P26" s="91"/>
      <c r="Q26" s="92"/>
      <c r="R26" s="129">
        <f t="shared" si="4"/>
        <v>0</v>
      </c>
      <c r="S26" s="127">
        <f t="shared" si="4"/>
        <v>12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>
        <v>1</v>
      </c>
      <c r="Q27" s="92"/>
      <c r="R27" s="129">
        <f t="shared" si="4"/>
        <v>1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73</v>
      </c>
      <c r="D29" s="101"/>
      <c r="E29" s="91"/>
      <c r="F29" s="91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>
        <v>3</v>
      </c>
      <c r="Q29" s="92"/>
      <c r="R29" s="129">
        <f t="shared" si="4"/>
        <v>4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91"/>
      <c r="M31" s="91">
        <v>12</v>
      </c>
      <c r="N31" s="91"/>
      <c r="O31" s="91"/>
      <c r="P31" s="91"/>
      <c r="Q31" s="92"/>
      <c r="R31" s="129">
        <f t="shared" si="4"/>
        <v>0</v>
      </c>
      <c r="S31" s="127">
        <f t="shared" si="4"/>
        <v>12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>
        <v>1</v>
      </c>
      <c r="O32" s="91"/>
      <c r="P32" s="91"/>
      <c r="Q32" s="92"/>
      <c r="R32" s="129">
        <f t="shared" si="4"/>
        <v>1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5598</v>
      </c>
      <c r="D38" s="105">
        <v>2</v>
      </c>
      <c r="E38" s="106"/>
      <c r="F38" s="106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94">
        <v>20</v>
      </c>
      <c r="M38" s="94"/>
      <c r="N38" s="94">
        <v>33</v>
      </c>
      <c r="O38" s="94"/>
      <c r="P38" s="94">
        <v>35</v>
      </c>
      <c r="Q38" s="95"/>
      <c r="R38" s="129">
        <f t="shared" si="4"/>
        <v>88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1935</v>
      </c>
      <c r="D42" s="110"/>
      <c r="E42" s="96"/>
      <c r="F42" s="96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96">
        <v>8</v>
      </c>
      <c r="M42" s="96"/>
      <c r="N42" s="96">
        <v>7</v>
      </c>
      <c r="O42" s="96"/>
      <c r="P42" s="96">
        <v>4</v>
      </c>
      <c r="Q42" s="97"/>
      <c r="R42" s="129">
        <f t="shared" si="4"/>
        <v>19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30177</v>
      </c>
      <c r="D44" s="105"/>
      <c r="E44" s="106"/>
      <c r="F44" s="106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94">
        <v>307</v>
      </c>
      <c r="M44" s="94"/>
      <c r="N44" s="94">
        <v>242</v>
      </c>
      <c r="O44" s="94"/>
      <c r="P44" s="94">
        <v>414</v>
      </c>
      <c r="Q44" s="95"/>
      <c r="R44" s="129">
        <f t="shared" si="4"/>
        <v>963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91">
        <v>5</v>
      </c>
      <c r="M48" s="91"/>
      <c r="N48" s="91"/>
      <c r="O48" s="91"/>
      <c r="P48" s="91"/>
      <c r="Q48" s="92"/>
      <c r="R48" s="129">
        <f t="shared" si="4"/>
        <v>5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8">
        <f t="shared" si="5"/>
        <v>1109</v>
      </c>
      <c r="S60" s="125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C28" sqref="C2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46057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37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139</v>
      </c>
      <c r="D11" s="101"/>
      <c r="E11" s="91"/>
      <c r="F11" s="91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91"/>
      <c r="M11" s="91"/>
      <c r="N11" s="91"/>
      <c r="O11" s="91"/>
      <c r="P11" s="91">
        <v>7</v>
      </c>
      <c r="Q11" s="92"/>
      <c r="R11" s="129">
        <f t="shared" si="1"/>
        <v>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3811</v>
      </c>
      <c r="D13" s="105">
        <v>2</v>
      </c>
      <c r="E13" s="106"/>
      <c r="F13" s="106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94">
        <v>5</v>
      </c>
      <c r="M13" s="94">
        <v>3</v>
      </c>
      <c r="N13" s="94">
        <v>8</v>
      </c>
      <c r="O13" s="94">
        <v>1</v>
      </c>
      <c r="P13" s="94">
        <v>13</v>
      </c>
      <c r="Q13" s="95"/>
      <c r="R13" s="129">
        <f>L13+N13+P13</f>
        <v>26</v>
      </c>
      <c r="S13" s="127">
        <f>M13+O13+Q13</f>
        <v>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115</v>
      </c>
      <c r="D26" s="101">
        <v>23</v>
      </c>
      <c r="E26" s="91"/>
      <c r="F26" s="91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91"/>
      <c r="M26" s="91"/>
      <c r="N26" s="91"/>
      <c r="O26" s="91"/>
      <c r="P26" s="91">
        <v>2</v>
      </c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69</v>
      </c>
      <c r="D29" s="101"/>
      <c r="E29" s="91"/>
      <c r="F29" s="91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/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91"/>
      <c r="M35" s="91"/>
      <c r="N35" s="91"/>
      <c r="O35" s="91"/>
      <c r="P35" s="91">
        <v>3</v>
      </c>
      <c r="Q35" s="92"/>
      <c r="R35" s="129">
        <f t="shared" si="4"/>
        <v>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5510</v>
      </c>
      <c r="D38" s="105">
        <v>2</v>
      </c>
      <c r="E38" s="106"/>
      <c r="F38" s="106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94">
        <v>22</v>
      </c>
      <c r="M38" s="94"/>
      <c r="N38" s="94">
        <v>18</v>
      </c>
      <c r="O38" s="94"/>
      <c r="P38" s="94">
        <v>143</v>
      </c>
      <c r="Q38" s="95"/>
      <c r="R38" s="129">
        <f t="shared" si="4"/>
        <v>183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>
        <v>2</v>
      </c>
      <c r="Q41" s="92"/>
      <c r="R41" s="129">
        <f t="shared" si="4"/>
        <v>2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1916</v>
      </c>
      <c r="D42" s="110"/>
      <c r="E42" s="96"/>
      <c r="F42" s="96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96">
        <v>2</v>
      </c>
      <c r="M42" s="96"/>
      <c r="N42" s="96">
        <v>5</v>
      </c>
      <c r="O42" s="96"/>
      <c r="P42" s="96">
        <v>20</v>
      </c>
      <c r="Q42" s="97"/>
      <c r="R42" s="129">
        <f t="shared" si="4"/>
        <v>27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29214</v>
      </c>
      <c r="D44" s="105"/>
      <c r="E44" s="106"/>
      <c r="F44" s="106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94">
        <v>235</v>
      </c>
      <c r="M44" s="94"/>
      <c r="N44" s="94">
        <v>203</v>
      </c>
      <c r="O44" s="94"/>
      <c r="P44" s="94">
        <v>474</v>
      </c>
      <c r="Q44" s="95"/>
      <c r="R44" s="129">
        <f t="shared" si="4"/>
        <v>912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2395</v>
      </c>
      <c r="D48" s="101">
        <v>5</v>
      </c>
      <c r="E48" s="91"/>
      <c r="F48" s="91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>
        <v>3</v>
      </c>
      <c r="O48" s="91"/>
      <c r="P48" s="91">
        <v>4</v>
      </c>
      <c r="Q48" s="92"/>
      <c r="R48" s="129">
        <f t="shared" si="4"/>
        <v>7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8">
        <f t="shared" si="5"/>
        <v>1174</v>
      </c>
      <c r="S60" s="125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46058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37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91">
        <v>1</v>
      </c>
      <c r="M8" s="91"/>
      <c r="N8" s="91"/>
      <c r="O8" s="91"/>
      <c r="P8" s="91">
        <v>1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94"/>
      <c r="M9" s="94"/>
      <c r="N9" s="94"/>
      <c r="O9" s="94"/>
      <c r="P9" s="94">
        <v>1</v>
      </c>
      <c r="Q9" s="95"/>
      <c r="R9" s="129">
        <f t="shared" si="1"/>
        <v>1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132</v>
      </c>
      <c r="D11" s="101"/>
      <c r="E11" s="91"/>
      <c r="F11" s="91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91">
        <v>4</v>
      </c>
      <c r="M11" s="91"/>
      <c r="N11" s="91">
        <v>4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3784</v>
      </c>
      <c r="D13" s="105">
        <v>22</v>
      </c>
      <c r="E13" s="106"/>
      <c r="F13" s="106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94">
        <v>4</v>
      </c>
      <c r="M13" s="94">
        <v>6</v>
      </c>
      <c r="N13" s="94">
        <v>8</v>
      </c>
      <c r="O13" s="94">
        <v>2</v>
      </c>
      <c r="P13" s="94">
        <v>10</v>
      </c>
      <c r="Q13" s="95">
        <v>9</v>
      </c>
      <c r="R13" s="129">
        <f>L13+N13+P13</f>
        <v>22</v>
      </c>
      <c r="S13" s="127">
        <f>M13+O13+Q13</f>
        <v>17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113</v>
      </c>
      <c r="D26" s="101">
        <v>23</v>
      </c>
      <c r="E26" s="91"/>
      <c r="F26" s="91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>
        <v>4</v>
      </c>
      <c r="Q26" s="92"/>
      <c r="R26" s="129">
        <f t="shared" si="4"/>
        <v>4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64</v>
      </c>
      <c r="D29" s="101"/>
      <c r="E29" s="91"/>
      <c r="F29" s="91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91">
        <v>2</v>
      </c>
      <c r="M29" s="91"/>
      <c r="N29" s="91">
        <v>1</v>
      </c>
      <c r="O29" s="91"/>
      <c r="P29" s="91">
        <v>3</v>
      </c>
      <c r="Q29" s="92"/>
      <c r="R29" s="129">
        <f t="shared" si="4"/>
        <v>6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91">
        <v>1</v>
      </c>
      <c r="M32" s="91"/>
      <c r="N32" s="91">
        <v>1</v>
      </c>
      <c r="O32" s="91"/>
      <c r="P32" s="91"/>
      <c r="Q32" s="92"/>
      <c r="R32" s="129">
        <f t="shared" si="4"/>
        <v>2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91"/>
      <c r="M33" s="91"/>
      <c r="N33" s="91">
        <v>1</v>
      </c>
      <c r="O33" s="91"/>
      <c r="P33" s="91"/>
      <c r="Q33" s="92"/>
      <c r="R33" s="129">
        <f t="shared" si="4"/>
        <v>1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197</v>
      </c>
      <c r="D35" s="101">
        <v>11</v>
      </c>
      <c r="E35" s="91"/>
      <c r="F35" s="91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91"/>
      <c r="M35" s="91"/>
      <c r="N35" s="91">
        <v>2</v>
      </c>
      <c r="O35" s="91"/>
      <c r="P35" s="91"/>
      <c r="Q35" s="92">
        <v>12</v>
      </c>
      <c r="R35" s="129">
        <f t="shared" si="4"/>
        <v>2</v>
      </c>
      <c r="S35" s="127">
        <f t="shared" si="4"/>
        <v>12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5327</v>
      </c>
      <c r="D38" s="105">
        <v>2</v>
      </c>
      <c r="E38" s="106"/>
      <c r="F38" s="106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94">
        <v>33</v>
      </c>
      <c r="M38" s="94"/>
      <c r="N38" s="94">
        <v>29</v>
      </c>
      <c r="O38" s="94"/>
      <c r="P38" s="94">
        <v>6</v>
      </c>
      <c r="Q38" s="95"/>
      <c r="R38" s="129">
        <f t="shared" si="4"/>
        <v>68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821</v>
      </c>
      <c r="D41" s="105">
        <v>12</v>
      </c>
      <c r="E41" s="106"/>
      <c r="F41" s="106"/>
      <c r="G41" s="107"/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1889</v>
      </c>
      <c r="D42" s="110"/>
      <c r="E42" s="96"/>
      <c r="F42" s="96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96">
        <v>1</v>
      </c>
      <c r="M42" s="96"/>
      <c r="N42" s="96"/>
      <c r="O42" s="96"/>
      <c r="P42" s="96"/>
      <c r="Q42" s="97"/>
      <c r="R42" s="129">
        <f t="shared" si="4"/>
        <v>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28302</f>
        <v>28302</v>
      </c>
      <c r="D44" s="105"/>
      <c r="E44" s="106"/>
      <c r="F44" s="106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94">
        <v>207</v>
      </c>
      <c r="M44" s="94"/>
      <c r="N44" s="94">
        <v>205</v>
      </c>
      <c r="O44" s="94"/>
      <c r="P44" s="94">
        <v>248</v>
      </c>
      <c r="Q44" s="95"/>
      <c r="R44" s="129">
        <f t="shared" si="4"/>
        <v>660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/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>
        <v>1</v>
      </c>
      <c r="Q50" s="92"/>
      <c r="R50" s="129">
        <f t="shared" si="4"/>
        <v>1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8">
        <f t="shared" si="5"/>
        <v>781</v>
      </c>
      <c r="S60" s="125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46058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43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31">
        <f>SUM(F8:F59)</f>
        <v>20</v>
      </c>
      <c r="G60" s="31">
        <f>SUM(G8:G59)</f>
        <v>10</v>
      </c>
      <c r="H60" s="73">
        <f>SUM(H8:H59)</f>
        <v>0</v>
      </c>
      <c r="I60" s="73">
        <f>SUM(I8:I59)</f>
        <v>-10</v>
      </c>
      <c r="J60" s="48">
        <f>SUM(J8:J59)</f>
        <v>0</v>
      </c>
      <c r="K60" s="49"/>
      <c r="L60" s="98">
        <f t="shared" ref="L60:S60" si="5">SUM(L8:L59)</f>
        <v>10</v>
      </c>
      <c r="M60" s="98">
        <f t="shared" si="5"/>
        <v>0</v>
      </c>
      <c r="N60" s="98">
        <f t="shared" si="5"/>
        <v>0</v>
      </c>
      <c r="O60" s="98">
        <f t="shared" si="5"/>
        <v>0</v>
      </c>
      <c r="P60" s="98">
        <f t="shared" si="5"/>
        <v>0</v>
      </c>
      <c r="Q60" s="99">
        <f t="shared" si="5"/>
        <v>0</v>
      </c>
      <c r="R60" s="128">
        <f t="shared" si="5"/>
        <v>10</v>
      </c>
      <c r="S60" s="125">
        <f t="shared" si="5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J60" sqref="J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46059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40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42</v>
      </c>
      <c r="D8" s="101"/>
      <c r="E8" s="91"/>
      <c r="F8" s="91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91">
        <v>5</v>
      </c>
      <c r="M8" s="91"/>
      <c r="N8" s="91"/>
      <c r="O8" s="91"/>
      <c r="P8" s="91"/>
      <c r="Q8" s="92"/>
      <c r="R8" s="129">
        <f t="shared" ref="R8:S12" si="1">L8+N8+P8</f>
        <v>5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107</v>
      </c>
      <c r="D9" s="105"/>
      <c r="E9" s="106"/>
      <c r="F9" s="106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94">
        <v>10</v>
      </c>
      <c r="M9" s="94"/>
      <c r="N9" s="94"/>
      <c r="O9" s="94"/>
      <c r="P9" s="94"/>
      <c r="Q9" s="95"/>
      <c r="R9" s="129">
        <f t="shared" si="1"/>
        <v>10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124</v>
      </c>
      <c r="D11" s="101"/>
      <c r="E11" s="91"/>
      <c r="F11" s="91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91">
        <v>5</v>
      </c>
      <c r="M11" s="91"/>
      <c r="N11" s="91"/>
      <c r="O11" s="91"/>
      <c r="P11" s="91"/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91">
        <v>1</v>
      </c>
      <c r="M12" s="91"/>
      <c r="N12" s="91"/>
      <c r="O12" s="91"/>
      <c r="P12" s="91"/>
      <c r="Q12" s="92"/>
      <c r="R12" s="129">
        <f t="shared" si="1"/>
        <v>1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3762</v>
      </c>
      <c r="D13" s="105">
        <v>5</v>
      </c>
      <c r="E13" s="106"/>
      <c r="F13" s="106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94">
        <v>2</v>
      </c>
      <c r="M13" s="94">
        <v>11</v>
      </c>
      <c r="N13" s="94">
        <v>7</v>
      </c>
      <c r="O13" s="94">
        <v>10</v>
      </c>
      <c r="P13" s="94"/>
      <c r="Q13" s="95"/>
      <c r="R13" s="129">
        <f>L13+N13+P13</f>
        <v>9</v>
      </c>
      <c r="S13" s="127">
        <f>M13+O13+Q13</f>
        <v>21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91">
        <v>1</v>
      </c>
      <c r="M18" s="91"/>
      <c r="N18" s="91"/>
      <c r="O18" s="91"/>
      <c r="P18" s="91"/>
      <c r="Q18" s="92"/>
      <c r="R18" s="129">
        <f t="shared" si="4"/>
        <v>1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6</v>
      </c>
      <c r="D22" s="101"/>
      <c r="E22" s="91"/>
      <c r="F22" s="91"/>
      <c r="G22" s="102"/>
      <c r="H22" s="93"/>
      <c r="I22" s="93">
        <f t="shared" si="3"/>
        <v>6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>
        <v>1</v>
      </c>
      <c r="M23" s="91"/>
      <c r="N23" s="91"/>
      <c r="O23" s="91"/>
      <c r="P23" s="91"/>
      <c r="Q23" s="92"/>
      <c r="R23" s="129">
        <f t="shared" si="4"/>
        <v>1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/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>
        <v>2</v>
      </c>
      <c r="M27" s="91"/>
      <c r="N27" s="91"/>
      <c r="O27" s="91"/>
      <c r="P27" s="91"/>
      <c r="Q27" s="92"/>
      <c r="R27" s="129">
        <f t="shared" si="4"/>
        <v>2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91">
        <v>2</v>
      </c>
      <c r="M28" s="91"/>
      <c r="N28" s="91"/>
      <c r="O28" s="91"/>
      <c r="P28" s="91"/>
      <c r="Q28" s="92"/>
      <c r="R28" s="129">
        <f t="shared" si="4"/>
        <v>2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58</v>
      </c>
      <c r="D29" s="101"/>
      <c r="E29" s="91"/>
      <c r="F29" s="91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91">
        <v>50</v>
      </c>
      <c r="M29" s="91"/>
      <c r="N29" s="91">
        <v>5</v>
      </c>
      <c r="O29" s="91"/>
      <c r="P29" s="91"/>
      <c r="Q29" s="92"/>
      <c r="R29" s="129">
        <f t="shared" si="4"/>
        <v>55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91">
        <v>5</v>
      </c>
      <c r="M31" s="91"/>
      <c r="N31" s="91"/>
      <c r="O31" s="91"/>
      <c r="P31" s="91"/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2</v>
      </c>
      <c r="D33" s="101"/>
      <c r="E33" s="91"/>
      <c r="F33" s="91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91">
        <v>2</v>
      </c>
      <c r="M33" s="91"/>
      <c r="N33" s="91"/>
      <c r="O33" s="91"/>
      <c r="P33" s="91"/>
      <c r="Q33" s="92"/>
      <c r="R33" s="129">
        <f t="shared" si="4"/>
        <v>2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194</v>
      </c>
      <c r="D35" s="101">
        <v>23</v>
      </c>
      <c r="E35" s="91"/>
      <c r="F35" s="91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91"/>
      <c r="M35" s="91"/>
      <c r="N35" s="91">
        <v>1</v>
      </c>
      <c r="O35" s="91"/>
      <c r="P35" s="91"/>
      <c r="Q35" s="92"/>
      <c r="R35" s="129">
        <f t="shared" si="4"/>
        <v>1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5259</v>
      </c>
      <c r="D38" s="105">
        <v>2</v>
      </c>
      <c r="E38" s="106"/>
      <c r="F38" s="106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94">
        <v>7</v>
      </c>
      <c r="M38" s="94"/>
      <c r="N38" s="94">
        <v>54</v>
      </c>
      <c r="O38" s="94"/>
      <c r="P38" s="94"/>
      <c r="Q38" s="95"/>
      <c r="R38" s="129">
        <f t="shared" si="4"/>
        <v>61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91">
        <v>5</v>
      </c>
      <c r="M39" s="91"/>
      <c r="N39" s="91"/>
      <c r="O39" s="91"/>
      <c r="P39" s="91"/>
      <c r="Q39" s="92"/>
      <c r="R39" s="129">
        <f t="shared" si="4"/>
        <v>5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91">
        <v>2</v>
      </c>
      <c r="M40" s="91"/>
      <c r="N40" s="91"/>
      <c r="O40" s="91"/>
      <c r="P40" s="91"/>
      <c r="Q40" s="92"/>
      <c r="R40" s="129">
        <f t="shared" si="4"/>
        <v>2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f>821</f>
        <v>821</v>
      </c>
      <c r="D41" s="105">
        <v>12</v>
      </c>
      <c r="E41" s="106"/>
      <c r="F41" s="106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f>1888</f>
        <v>1888</v>
      </c>
      <c r="D42" s="110"/>
      <c r="E42" s="96"/>
      <c r="F42" s="96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96">
        <v>25</v>
      </c>
      <c r="M42" s="96"/>
      <c r="N42" s="96">
        <v>7</v>
      </c>
      <c r="O42" s="96"/>
      <c r="P42" s="96"/>
      <c r="Q42" s="97"/>
      <c r="R42" s="129">
        <f t="shared" si="4"/>
        <v>32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27642</v>
      </c>
      <c r="D44" s="105"/>
      <c r="E44" s="106"/>
      <c r="F44" s="106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94">
        <v>57</v>
      </c>
      <c r="M44" s="94"/>
      <c r="N44" s="94">
        <v>180</v>
      </c>
      <c r="O44" s="94"/>
      <c r="P44" s="94"/>
      <c r="Q44" s="95"/>
      <c r="R44" s="129">
        <f t="shared" si="4"/>
        <v>237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91">
        <v>10</v>
      </c>
      <c r="M48" s="91"/>
      <c r="N48" s="91">
        <v>2</v>
      </c>
      <c r="O48" s="91"/>
      <c r="P48" s="91"/>
      <c r="Q48" s="92"/>
      <c r="R48" s="129">
        <f t="shared" si="4"/>
        <v>12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8">
        <f t="shared" si="5"/>
        <v>458</v>
      </c>
      <c r="S60" s="125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8" t="s">
        <v>3</v>
      </c>
      <c r="D69" s="13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8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46060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43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37</v>
      </c>
      <c r="D8" s="101"/>
      <c r="E8" s="91"/>
      <c r="F8" s="91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>
        <v>2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119</v>
      </c>
      <c r="D11" s="101"/>
      <c r="E11" s="91"/>
      <c r="F11" s="91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3752</v>
      </c>
      <c r="D13" s="105">
        <v>8</v>
      </c>
      <c r="E13" s="106"/>
      <c r="F13" s="106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94">
        <v>1</v>
      </c>
      <c r="M13" s="94">
        <v>14</v>
      </c>
      <c r="N13" s="94">
        <v>11</v>
      </c>
      <c r="O13" s="94">
        <v>15</v>
      </c>
      <c r="P13" s="94">
        <v>3</v>
      </c>
      <c r="Q13" s="95">
        <v>5</v>
      </c>
      <c r="R13" s="129">
        <f>L13+N13+P13</f>
        <v>15</v>
      </c>
      <c r="S13" s="127">
        <f>M13+O13+Q13</f>
        <v>34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91">
        <v>2</v>
      </c>
      <c r="M26" s="91"/>
      <c r="N26" s="91"/>
      <c r="O26" s="91"/>
      <c r="P26" s="91"/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3</v>
      </c>
      <c r="D29" s="101"/>
      <c r="E29" s="91"/>
      <c r="F29" s="91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73</v>
      </c>
      <c r="D31" s="101"/>
      <c r="E31" s="91"/>
      <c r="F31" s="91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91">
        <v>2</v>
      </c>
      <c r="M31" s="91"/>
      <c r="N31" s="91"/>
      <c r="O31" s="91"/>
      <c r="P31" s="91"/>
      <c r="Q31" s="92"/>
      <c r="R31" s="129">
        <f t="shared" si="4"/>
        <v>2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193</v>
      </c>
      <c r="D35" s="101">
        <v>23</v>
      </c>
      <c r="E35" s="91"/>
      <c r="F35" s="91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91">
        <v>4</v>
      </c>
      <c r="M35" s="91"/>
      <c r="N35" s="91"/>
      <c r="O35" s="91"/>
      <c r="P35" s="91"/>
      <c r="Q35" s="92"/>
      <c r="R35" s="129">
        <f t="shared" si="4"/>
        <v>4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5198</v>
      </c>
      <c r="D38" s="105">
        <v>2</v>
      </c>
      <c r="E38" s="106"/>
      <c r="F38" s="106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94">
        <v>22</v>
      </c>
      <c r="M38" s="94"/>
      <c r="N38" s="94">
        <v>3</v>
      </c>
      <c r="O38" s="94"/>
      <c r="P38" s="94">
        <v>16</v>
      </c>
      <c r="Q38" s="95"/>
      <c r="R38" s="129">
        <f t="shared" si="4"/>
        <v>41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811</v>
      </c>
      <c r="D41" s="105">
        <v>12</v>
      </c>
      <c r="E41" s="106"/>
      <c r="F41" s="106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91">
        <v>15</v>
      </c>
      <c r="M41" s="91"/>
      <c r="N41" s="91"/>
      <c r="O41" s="91"/>
      <c r="P41" s="91"/>
      <c r="Q41" s="92"/>
      <c r="R41" s="129">
        <f t="shared" si="4"/>
        <v>15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1856</v>
      </c>
      <c r="D42" s="110"/>
      <c r="E42" s="96"/>
      <c r="F42" s="96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96">
        <v>5</v>
      </c>
      <c r="M42" s="96"/>
      <c r="N42" s="96">
        <v>11</v>
      </c>
      <c r="O42" s="96"/>
      <c r="P42" s="96">
        <v>10</v>
      </c>
      <c r="Q42" s="97"/>
      <c r="R42" s="129">
        <f t="shared" si="4"/>
        <v>26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27405</v>
      </c>
      <c r="D44" s="105"/>
      <c r="E44" s="106"/>
      <c r="F44" s="106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94">
        <v>159</v>
      </c>
      <c r="M44" s="94"/>
      <c r="N44" s="94">
        <v>333</v>
      </c>
      <c r="O44" s="94"/>
      <c r="P44" s="94">
        <v>358</v>
      </c>
      <c r="Q44" s="95"/>
      <c r="R44" s="129">
        <f t="shared" si="4"/>
        <v>850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8">
        <f t="shared" si="5"/>
        <v>963</v>
      </c>
      <c r="S60" s="125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tabSelected="1" zoomScale="85" zoomScaleNormal="85" zoomScaleSheetLayoutView="85" zoomScalePageLayoutView="80" workbookViewId="0">
      <selection activeCell="N14" sqref="N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46062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43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117</v>
      </c>
      <c r="D11" s="101"/>
      <c r="E11" s="91"/>
      <c r="F11" s="91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/>
      <c r="Q11" s="92"/>
      <c r="R11" s="129">
        <f t="shared" si="1"/>
        <v>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3735</v>
      </c>
      <c r="D13" s="105">
        <v>22</v>
      </c>
      <c r="E13" s="106"/>
      <c r="F13" s="106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94">
        <v>10</v>
      </c>
      <c r="M13" s="94">
        <v>19</v>
      </c>
      <c r="N13" s="94">
        <v>21</v>
      </c>
      <c r="O13" s="94"/>
      <c r="P13" s="94">
        <v>13</v>
      </c>
      <c r="Q13" s="95">
        <v>4</v>
      </c>
      <c r="R13" s="129">
        <f>L13+N13+P13</f>
        <v>44</v>
      </c>
      <c r="S13" s="127">
        <f>M13+O13+Q13</f>
        <v>23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107</v>
      </c>
      <c r="D26" s="101">
        <v>23</v>
      </c>
      <c r="E26" s="91"/>
      <c r="F26" s="91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91">
        <v>5</v>
      </c>
      <c r="M26" s="91"/>
      <c r="N26" s="91"/>
      <c r="O26" s="91"/>
      <c r="P26" s="91"/>
      <c r="Q26" s="92"/>
      <c r="R26" s="129">
        <f t="shared" si="4"/>
        <v>5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2</v>
      </c>
      <c r="D29" s="101"/>
      <c r="E29" s="91"/>
      <c r="F29" s="91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71</v>
      </c>
      <c r="D31" s="101"/>
      <c r="E31" s="91"/>
      <c r="F31" s="91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189</v>
      </c>
      <c r="D35" s="101">
        <v>23</v>
      </c>
      <c r="E35" s="91"/>
      <c r="F35" s="91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91">
        <v>10</v>
      </c>
      <c r="M35" s="91"/>
      <c r="N35" s="91"/>
      <c r="O35" s="91"/>
      <c r="P35" s="91">
        <v>2</v>
      </c>
      <c r="Q35" s="92"/>
      <c r="R35" s="129">
        <f t="shared" si="4"/>
        <v>12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5157</v>
      </c>
      <c r="D38" s="105">
        <v>2</v>
      </c>
      <c r="E38" s="106"/>
      <c r="F38" s="106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94">
        <v>14</v>
      </c>
      <c r="M38" s="94"/>
      <c r="N38" s="94">
        <v>106</v>
      </c>
      <c r="O38" s="94"/>
      <c r="P38" s="94">
        <v>85</v>
      </c>
      <c r="Q38" s="95"/>
      <c r="R38" s="129">
        <f t="shared" si="4"/>
        <v>205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796</v>
      </c>
      <c r="D41" s="105">
        <v>12</v>
      </c>
      <c r="E41" s="106"/>
      <c r="F41" s="106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91"/>
      <c r="M41" s="91"/>
      <c r="N41" s="91"/>
      <c r="O41" s="91"/>
      <c r="P41" s="91">
        <v>1</v>
      </c>
      <c r="Q41" s="92">
        <v>12</v>
      </c>
      <c r="R41" s="129">
        <f t="shared" si="4"/>
        <v>1</v>
      </c>
      <c r="S41" s="127">
        <f t="shared" si="4"/>
        <v>12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1830</v>
      </c>
      <c r="D42" s="110"/>
      <c r="E42" s="96"/>
      <c r="F42" s="96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96">
        <v>11</v>
      </c>
      <c r="M42" s="96"/>
      <c r="N42" s="96"/>
      <c r="O42" s="96"/>
      <c r="P42" s="96">
        <v>10</v>
      </c>
      <c r="Q42" s="97"/>
      <c r="R42" s="129">
        <f t="shared" si="4"/>
        <v>21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26555</v>
      </c>
      <c r="D44" s="105"/>
      <c r="E44" s="106"/>
      <c r="F44" s="106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94">
        <v>350</v>
      </c>
      <c r="M44" s="94"/>
      <c r="N44" s="94">
        <v>328</v>
      </c>
      <c r="O44" s="94"/>
      <c r="P44" s="94">
        <v>305</v>
      </c>
      <c r="Q44" s="95"/>
      <c r="R44" s="129">
        <f t="shared" si="4"/>
        <v>983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2376</f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8">
        <f t="shared" si="5"/>
        <v>1276</v>
      </c>
      <c r="S60" s="125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46063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43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/>
      <c r="G41" s="107"/>
      <c r="H41" s="108"/>
      <c r="I41" s="93">
        <f t="shared" si="3"/>
        <v>0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5">SUM(L8:L59)</f>
        <v>0</v>
      </c>
      <c r="M60" s="98">
        <f t="shared" si="5"/>
        <v>0</v>
      </c>
      <c r="N60" s="98">
        <f t="shared" si="5"/>
        <v>0</v>
      </c>
      <c r="O60" s="98">
        <f t="shared" si="5"/>
        <v>0</v>
      </c>
      <c r="P60" s="98">
        <f t="shared" si="5"/>
        <v>0</v>
      </c>
      <c r="Q60" s="99">
        <f t="shared" si="5"/>
        <v>0</v>
      </c>
      <c r="R60" s="128">
        <f t="shared" si="5"/>
        <v>0</v>
      </c>
      <c r="S60" s="125">
        <f t="shared" si="5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R13" sqref="R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0">
        <v>46066</v>
      </c>
      <c r="Q1" s="151"/>
      <c r="R1" s="151"/>
      <c r="S1" s="151"/>
      <c r="T1" s="151"/>
      <c r="U1" s="151"/>
      <c r="V1" s="15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4" t="s">
        <v>74</v>
      </c>
      <c r="C4" s="153" t="s">
        <v>3</v>
      </c>
      <c r="D4" s="163" t="s">
        <v>75</v>
      </c>
      <c r="E4" s="154" t="s">
        <v>4</v>
      </c>
      <c r="F4" s="155"/>
      <c r="G4" s="156" t="s">
        <v>5</v>
      </c>
      <c r="H4" s="164" t="s">
        <v>75</v>
      </c>
      <c r="I4" s="158" t="s">
        <v>6</v>
      </c>
      <c r="J4" s="164" t="s">
        <v>75</v>
      </c>
      <c r="L4" s="160" t="s">
        <v>7</v>
      </c>
      <c r="M4" s="161"/>
      <c r="N4" s="161"/>
      <c r="O4" s="161"/>
      <c r="P4" s="161"/>
      <c r="Q4" s="161"/>
      <c r="R4" s="161"/>
      <c r="S4" s="161"/>
      <c r="T4" s="161"/>
      <c r="U4" s="161"/>
      <c r="V4" s="162"/>
    </row>
    <row r="5" spans="1:58" s="3" customFormat="1" ht="38.25" thickBot="1" x14ac:dyDescent="0.3">
      <c r="A5" s="53"/>
      <c r="B5" s="144"/>
      <c r="C5" s="153"/>
      <c r="D5" s="163"/>
      <c r="E5" s="52" t="s">
        <v>8</v>
      </c>
      <c r="F5" s="115" t="s">
        <v>9</v>
      </c>
      <c r="G5" s="157"/>
      <c r="H5" s="165"/>
      <c r="I5" s="159"/>
      <c r="J5" s="165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5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6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47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48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48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49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02,13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'02,13'!Print_Area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2026-02-02T08:53:54Z</cp:lastPrinted>
  <dcterms:created xsi:type="dcterms:W3CDTF">2024-09-01T23:32:49Z</dcterms:created>
  <dcterms:modified xsi:type="dcterms:W3CDTF">2026-02-14T03:51:04Z</dcterms:modified>
</cp:coreProperties>
</file>