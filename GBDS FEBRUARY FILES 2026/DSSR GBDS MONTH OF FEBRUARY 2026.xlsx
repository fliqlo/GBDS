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8E833E4-AB78-4BD5-BA5A-EADAFB9B30DF}" xr6:coauthVersionLast="45" xr6:coauthVersionMax="45" xr10:uidLastSave="{00000000-0000-0000-0000-000000000000}"/>
  <bookViews>
    <workbookView xWindow="-120" yWindow="-120" windowWidth="29040" windowHeight="15840" firstSheet="4" activeTab="17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02,19" sheetId="88" r:id="rId19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8">'02,19'!$A$1:$Y$61</definedName>
    <definedName name="_xlnm.Print_Area" localSheetId="14">EXAMPLE!$A$1:$W$92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60" i="88" l="1"/>
  <c r="Q60" i="88"/>
  <c r="P60" i="88"/>
  <c r="O60" i="88"/>
  <c r="N60" i="88"/>
  <c r="M60" i="88"/>
  <c r="L60" i="88"/>
  <c r="J60" i="88"/>
  <c r="H60" i="88"/>
  <c r="G60" i="88"/>
  <c r="E60" i="88"/>
  <c r="D60" i="88"/>
  <c r="C60" i="88"/>
  <c r="S59" i="88"/>
  <c r="R59" i="88"/>
  <c r="J59" i="88"/>
  <c r="I59" i="88"/>
  <c r="S58" i="88"/>
  <c r="R58" i="88"/>
  <c r="J58" i="88"/>
  <c r="I58" i="88"/>
  <c r="S57" i="88"/>
  <c r="R57" i="88"/>
  <c r="J57" i="88"/>
  <c r="I57" i="88"/>
  <c r="S56" i="88"/>
  <c r="R56" i="88"/>
  <c r="J56" i="88"/>
  <c r="I56" i="88"/>
  <c r="S55" i="88"/>
  <c r="R55" i="88"/>
  <c r="J55" i="88"/>
  <c r="I55" i="88"/>
  <c r="W54" i="88"/>
  <c r="U54" i="88"/>
  <c r="V54" i="88" s="1"/>
  <c r="S54" i="88"/>
  <c r="R54" i="88"/>
  <c r="J54" i="88"/>
  <c r="I54" i="88"/>
  <c r="W53" i="88"/>
  <c r="U53" i="88"/>
  <c r="V53" i="88" s="1"/>
  <c r="S53" i="88"/>
  <c r="R53" i="88"/>
  <c r="J53" i="88"/>
  <c r="I53" i="88"/>
  <c r="W52" i="88"/>
  <c r="U52" i="88"/>
  <c r="V52" i="88" s="1"/>
  <c r="S52" i="88"/>
  <c r="R52" i="88"/>
  <c r="J52" i="88"/>
  <c r="I52" i="88"/>
  <c r="W51" i="88"/>
  <c r="U51" i="88"/>
  <c r="V51" i="88" s="1"/>
  <c r="S51" i="88"/>
  <c r="R51" i="88"/>
  <c r="J51" i="88"/>
  <c r="I51" i="88"/>
  <c r="W50" i="88"/>
  <c r="U50" i="88"/>
  <c r="V50" i="88" s="1"/>
  <c r="S50" i="88"/>
  <c r="R50" i="88"/>
  <c r="J50" i="88"/>
  <c r="I50" i="88"/>
  <c r="W49" i="88"/>
  <c r="U49" i="88"/>
  <c r="V49" i="88" s="1"/>
  <c r="S49" i="88"/>
  <c r="R49" i="88"/>
  <c r="J49" i="88"/>
  <c r="I49" i="88"/>
  <c r="W48" i="88"/>
  <c r="U48" i="88"/>
  <c r="V48" i="88" s="1"/>
  <c r="S48" i="88"/>
  <c r="R48" i="88"/>
  <c r="J48" i="88"/>
  <c r="I48" i="88"/>
  <c r="W47" i="88"/>
  <c r="U47" i="88"/>
  <c r="U60" i="88" s="1"/>
  <c r="S47" i="88"/>
  <c r="S60" i="88" s="1"/>
  <c r="R47" i="88"/>
  <c r="J47" i="88"/>
  <c r="I47" i="88"/>
  <c r="W46" i="88"/>
  <c r="U46" i="88"/>
  <c r="V46" i="88" s="1"/>
  <c r="S46" i="88"/>
  <c r="R46" i="88"/>
  <c r="J46" i="88"/>
  <c r="I46" i="88"/>
  <c r="S45" i="88"/>
  <c r="R45" i="88"/>
  <c r="J45" i="88"/>
  <c r="I45" i="88"/>
  <c r="U44" i="88"/>
  <c r="V44" i="88" s="1"/>
  <c r="S44" i="88"/>
  <c r="R44" i="88"/>
  <c r="J44" i="88"/>
  <c r="I44" i="88"/>
  <c r="W44" i="88" s="1"/>
  <c r="S43" i="88"/>
  <c r="R43" i="88"/>
  <c r="J43" i="88"/>
  <c r="I43" i="88"/>
  <c r="W42" i="88"/>
  <c r="V42" i="88"/>
  <c r="U42" i="88"/>
  <c r="S42" i="88"/>
  <c r="R42" i="88"/>
  <c r="J42" i="88"/>
  <c r="I42" i="88"/>
  <c r="U41" i="88"/>
  <c r="V41" i="88" s="1"/>
  <c r="S41" i="88"/>
  <c r="R41" i="88"/>
  <c r="J41" i="88"/>
  <c r="I41" i="88"/>
  <c r="W41" i="88" s="1"/>
  <c r="W40" i="88"/>
  <c r="V40" i="88"/>
  <c r="U40" i="88"/>
  <c r="S40" i="88"/>
  <c r="R40" i="88"/>
  <c r="J40" i="88"/>
  <c r="I40" i="88"/>
  <c r="U39" i="88"/>
  <c r="V39" i="88" s="1"/>
  <c r="S39" i="88"/>
  <c r="R39" i="88"/>
  <c r="J39" i="88"/>
  <c r="I39" i="88"/>
  <c r="W39" i="88" s="1"/>
  <c r="W38" i="88"/>
  <c r="V38" i="88"/>
  <c r="U38" i="88"/>
  <c r="S38" i="88"/>
  <c r="R38" i="88"/>
  <c r="J38" i="88"/>
  <c r="I38" i="88"/>
  <c r="U37" i="88"/>
  <c r="V37" i="88" s="1"/>
  <c r="S37" i="88"/>
  <c r="R37" i="88"/>
  <c r="J37" i="88"/>
  <c r="I37" i="88"/>
  <c r="W37" i="88" s="1"/>
  <c r="W36" i="88"/>
  <c r="V36" i="88"/>
  <c r="U36" i="88"/>
  <c r="S36" i="88"/>
  <c r="R36" i="88"/>
  <c r="J36" i="88"/>
  <c r="I36" i="88"/>
  <c r="U35" i="88"/>
  <c r="V35" i="88" s="1"/>
  <c r="S35" i="88"/>
  <c r="R35" i="88"/>
  <c r="J35" i="88"/>
  <c r="I35" i="88"/>
  <c r="W35" i="88" s="1"/>
  <c r="W34" i="88"/>
  <c r="V34" i="88"/>
  <c r="U34" i="88"/>
  <c r="S34" i="88"/>
  <c r="R34" i="88"/>
  <c r="J34" i="88"/>
  <c r="I34" i="88"/>
  <c r="U33" i="88"/>
  <c r="V33" i="88" s="1"/>
  <c r="S33" i="88"/>
  <c r="R33" i="88"/>
  <c r="J33" i="88"/>
  <c r="I33" i="88"/>
  <c r="W33" i="88" s="1"/>
  <c r="W32" i="88"/>
  <c r="V32" i="88"/>
  <c r="U32" i="88"/>
  <c r="S32" i="88"/>
  <c r="R32" i="88"/>
  <c r="J32" i="88"/>
  <c r="I32" i="88"/>
  <c r="U31" i="88"/>
  <c r="V31" i="88" s="1"/>
  <c r="S31" i="88"/>
  <c r="R31" i="88"/>
  <c r="J31" i="88"/>
  <c r="I31" i="88"/>
  <c r="W31" i="88" s="1"/>
  <c r="W30" i="88"/>
  <c r="V30" i="88"/>
  <c r="U30" i="88"/>
  <c r="S30" i="88"/>
  <c r="R30" i="88"/>
  <c r="J30" i="88"/>
  <c r="I30" i="88"/>
  <c r="U29" i="88"/>
  <c r="V29" i="88" s="1"/>
  <c r="S29" i="88"/>
  <c r="R29" i="88"/>
  <c r="J29" i="88"/>
  <c r="I29" i="88"/>
  <c r="W29" i="88" s="1"/>
  <c r="W28" i="88"/>
  <c r="V28" i="88"/>
  <c r="U28" i="88"/>
  <c r="S28" i="88"/>
  <c r="R28" i="88"/>
  <c r="J28" i="88"/>
  <c r="I28" i="88"/>
  <c r="U27" i="88"/>
  <c r="V27" i="88" s="1"/>
  <c r="S27" i="88"/>
  <c r="R27" i="88"/>
  <c r="J27" i="88"/>
  <c r="I27" i="88"/>
  <c r="W27" i="88" s="1"/>
  <c r="BE26" i="88"/>
  <c r="W26" i="88"/>
  <c r="V26" i="88"/>
  <c r="U26" i="88"/>
  <c r="S26" i="88"/>
  <c r="R26" i="88"/>
  <c r="J26" i="88"/>
  <c r="I26" i="88"/>
  <c r="V25" i="88"/>
  <c r="U25" i="88"/>
  <c r="S25" i="88"/>
  <c r="R25" i="88"/>
  <c r="J25" i="88"/>
  <c r="I25" i="88"/>
  <c r="W25" i="88" s="1"/>
  <c r="W24" i="88"/>
  <c r="V24" i="88"/>
  <c r="U24" i="88"/>
  <c r="S24" i="88"/>
  <c r="R24" i="88"/>
  <c r="J24" i="88"/>
  <c r="I24" i="88"/>
  <c r="V23" i="88"/>
  <c r="U23" i="88"/>
  <c r="S23" i="88"/>
  <c r="R23" i="88"/>
  <c r="J23" i="88"/>
  <c r="I23" i="88"/>
  <c r="W23" i="88" s="1"/>
  <c r="W22" i="88"/>
  <c r="V22" i="88"/>
  <c r="U22" i="88"/>
  <c r="S22" i="88"/>
  <c r="R22" i="88"/>
  <c r="J22" i="88"/>
  <c r="I22" i="88"/>
  <c r="V21" i="88"/>
  <c r="U21" i="88"/>
  <c r="S21" i="88"/>
  <c r="R21" i="88"/>
  <c r="J21" i="88"/>
  <c r="I21" i="88"/>
  <c r="W21" i="88" s="1"/>
  <c r="W20" i="88"/>
  <c r="V20" i="88"/>
  <c r="U20" i="88"/>
  <c r="S20" i="88"/>
  <c r="R20" i="88"/>
  <c r="J20" i="88"/>
  <c r="I20" i="88"/>
  <c r="V19" i="88"/>
  <c r="U19" i="88"/>
  <c r="S19" i="88"/>
  <c r="R19" i="88"/>
  <c r="J19" i="88"/>
  <c r="I19" i="88"/>
  <c r="W19" i="88" s="1"/>
  <c r="W18" i="88"/>
  <c r="V18" i="88"/>
  <c r="U18" i="88"/>
  <c r="S18" i="88"/>
  <c r="R18" i="88"/>
  <c r="J18" i="88"/>
  <c r="I18" i="88"/>
  <c r="V17" i="88"/>
  <c r="U17" i="88"/>
  <c r="S17" i="88"/>
  <c r="R17" i="88"/>
  <c r="J17" i="88"/>
  <c r="I17" i="88"/>
  <c r="W17" i="88" s="1"/>
  <c r="W16" i="88"/>
  <c r="V16" i="88"/>
  <c r="U16" i="88"/>
  <c r="S16" i="88"/>
  <c r="R16" i="88"/>
  <c r="J16" i="88"/>
  <c r="I16" i="88"/>
  <c r="V15" i="88"/>
  <c r="U15" i="88"/>
  <c r="S15" i="88"/>
  <c r="R15" i="88"/>
  <c r="J15" i="88"/>
  <c r="I15" i="88"/>
  <c r="W15" i="88" s="1"/>
  <c r="W14" i="88"/>
  <c r="V14" i="88"/>
  <c r="U14" i="88"/>
  <c r="S14" i="88"/>
  <c r="R14" i="88"/>
  <c r="J14" i="88"/>
  <c r="I14" i="88"/>
  <c r="V13" i="88"/>
  <c r="U13" i="88"/>
  <c r="S13" i="88"/>
  <c r="R13" i="88"/>
  <c r="J13" i="88"/>
  <c r="I13" i="88"/>
  <c r="W13" i="88" s="1"/>
  <c r="W12" i="88"/>
  <c r="V12" i="88"/>
  <c r="U12" i="88"/>
  <c r="S12" i="88"/>
  <c r="R12" i="88"/>
  <c r="J12" i="88"/>
  <c r="I12" i="88"/>
  <c r="V11" i="88"/>
  <c r="U11" i="88"/>
  <c r="S11" i="88"/>
  <c r="R11" i="88"/>
  <c r="J11" i="88"/>
  <c r="I11" i="88"/>
  <c r="W11" i="88" s="1"/>
  <c r="W10" i="88"/>
  <c r="V10" i="88"/>
  <c r="U10" i="88"/>
  <c r="S10" i="88"/>
  <c r="R10" i="88"/>
  <c r="J10" i="88"/>
  <c r="I10" i="88"/>
  <c r="V9" i="88"/>
  <c r="U9" i="88"/>
  <c r="S9" i="88"/>
  <c r="R9" i="88"/>
  <c r="J9" i="88"/>
  <c r="I9" i="88"/>
  <c r="W9" i="88" s="1"/>
  <c r="A9" i="88"/>
  <c r="A10" i="88" s="1"/>
  <c r="A11" i="88" s="1"/>
  <c r="A12" i="88" s="1"/>
  <c r="A13" i="88" s="1"/>
  <c r="A14" i="88" s="1"/>
  <c r="A15" i="88" s="1"/>
  <c r="A16" i="88" s="1"/>
  <c r="A17" i="88" s="1"/>
  <c r="A18" i="88" s="1"/>
  <c r="A19" i="88" s="1"/>
  <c r="A20" i="88" s="1"/>
  <c r="A21" i="88" s="1"/>
  <c r="A22" i="88" s="1"/>
  <c r="A23" i="88" s="1"/>
  <c r="A24" i="88" s="1"/>
  <c r="A25" i="88" s="1"/>
  <c r="A26" i="88" s="1"/>
  <c r="A27" i="88" s="1"/>
  <c r="A28" i="88" s="1"/>
  <c r="A29" i="88" s="1"/>
  <c r="A30" i="88" s="1"/>
  <c r="A31" i="88" s="1"/>
  <c r="A32" i="88" s="1"/>
  <c r="A33" i="88" s="1"/>
  <c r="A34" i="88" s="1"/>
  <c r="A35" i="88" s="1"/>
  <c r="A36" i="88" s="1"/>
  <c r="A37" i="88" s="1"/>
  <c r="A38" i="88" s="1"/>
  <c r="A39" i="88" s="1"/>
  <c r="A40" i="88" s="1"/>
  <c r="A41" i="88" s="1"/>
  <c r="A42" i="88" s="1"/>
  <c r="A43" i="88" s="1"/>
  <c r="A44" i="88" s="1"/>
  <c r="A45" i="88" s="1"/>
  <c r="A46" i="88" s="1"/>
  <c r="A47" i="88" s="1"/>
  <c r="A48" i="88" s="1"/>
  <c r="A49" i="88" s="1"/>
  <c r="A50" i="88" s="1"/>
  <c r="A51" i="88" s="1"/>
  <c r="A52" i="88" s="1"/>
  <c r="A53" i="88" s="1"/>
  <c r="A54" i="88" s="1"/>
  <c r="A55" i="88" s="1"/>
  <c r="A56" i="88" s="1"/>
  <c r="A57" i="88" s="1"/>
  <c r="A58" i="88" s="1"/>
  <c r="A59" i="88" s="1"/>
  <c r="W8" i="88"/>
  <c r="V8" i="88"/>
  <c r="U8" i="88"/>
  <c r="S8" i="88"/>
  <c r="R8" i="88"/>
  <c r="J8" i="88"/>
  <c r="I8" i="88"/>
  <c r="I60" i="88" s="1"/>
  <c r="W60" i="88" l="1"/>
  <c r="V47" i="88"/>
  <c r="V60" i="88" s="1"/>
  <c r="Q60" i="87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W54" i="87"/>
  <c r="U54" i="87"/>
  <c r="V54" i="87" s="1"/>
  <c r="S54" i="87"/>
  <c r="R54" i="87"/>
  <c r="J54" i="87"/>
  <c r="I54" i="87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W48" i="87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W44" i="87" s="1"/>
  <c r="S43" i="87"/>
  <c r="R43" i="87"/>
  <c r="J43" i="87"/>
  <c r="I43" i="87"/>
  <c r="V42" i="87"/>
  <c r="U42" i="87"/>
  <c r="S42" i="87"/>
  <c r="R42" i="87"/>
  <c r="J42" i="87"/>
  <c r="I42" i="87"/>
  <c r="W42" i="87" s="1"/>
  <c r="W41" i="87"/>
  <c r="U41" i="87"/>
  <c r="V41" i="87" s="1"/>
  <c r="S41" i="87"/>
  <c r="R41" i="87"/>
  <c r="J41" i="87"/>
  <c r="I41" i="87"/>
  <c r="V40" i="87"/>
  <c r="U40" i="87"/>
  <c r="S40" i="87"/>
  <c r="R40" i="87"/>
  <c r="J40" i="87"/>
  <c r="I40" i="87"/>
  <c r="W40" i="87" s="1"/>
  <c r="W39" i="87"/>
  <c r="U39" i="87"/>
  <c r="V39" i="87" s="1"/>
  <c r="S39" i="87"/>
  <c r="R39" i="87"/>
  <c r="J39" i="87"/>
  <c r="I39" i="87"/>
  <c r="V38" i="87"/>
  <c r="U38" i="87"/>
  <c r="S38" i="87"/>
  <c r="R38" i="87"/>
  <c r="J38" i="87"/>
  <c r="I38" i="87"/>
  <c r="W38" i="87" s="1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W31" i="87"/>
  <c r="U31" i="87"/>
  <c r="V31" i="87" s="1"/>
  <c r="S31" i="87"/>
  <c r="R31" i="87"/>
  <c r="J31" i="87"/>
  <c r="I31" i="87"/>
  <c r="V30" i="87"/>
  <c r="U30" i="87"/>
  <c r="S30" i="87"/>
  <c r="R30" i="87"/>
  <c r="J30" i="87"/>
  <c r="I30" i="87"/>
  <c r="W30" i="87" s="1"/>
  <c r="W29" i="87"/>
  <c r="U29" i="87"/>
  <c r="V29" i="87" s="1"/>
  <c r="S29" i="87"/>
  <c r="R29" i="87"/>
  <c r="J29" i="87"/>
  <c r="I29" i="87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W26" i="87" s="1"/>
  <c r="W25" i="87"/>
  <c r="V25" i="87"/>
  <c r="U25" i="87"/>
  <c r="S25" i="87"/>
  <c r="R25" i="87"/>
  <c r="J25" i="87"/>
  <c r="I25" i="87"/>
  <c r="U24" i="87"/>
  <c r="V24" i="87" s="1"/>
  <c r="S24" i="87"/>
  <c r="R24" i="87"/>
  <c r="J24" i="87"/>
  <c r="I24" i="87"/>
  <c r="W24" i="87" s="1"/>
  <c r="W23" i="87"/>
  <c r="V23" i="87"/>
  <c r="U23" i="87"/>
  <c r="S23" i="87"/>
  <c r="R23" i="87"/>
  <c r="J23" i="87"/>
  <c r="I23" i="87"/>
  <c r="U22" i="87"/>
  <c r="V22" i="87" s="1"/>
  <c r="S22" i="87"/>
  <c r="R22" i="87"/>
  <c r="J22" i="87"/>
  <c r="I22" i="87"/>
  <c r="W22" i="87" s="1"/>
  <c r="W21" i="87"/>
  <c r="V21" i="87"/>
  <c r="U21" i="87"/>
  <c r="S21" i="87"/>
  <c r="R21" i="87"/>
  <c r="J21" i="87"/>
  <c r="I21" i="87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W13" i="87"/>
  <c r="V13" i="87"/>
  <c r="U13" i="87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V11" i="87"/>
  <c r="U11" i="87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W9" i="87"/>
  <c r="V9" i="87"/>
  <c r="U9" i="87"/>
  <c r="S9" i="87"/>
  <c r="R9" i="87"/>
  <c r="J9" i="87"/>
  <c r="I9" i="87"/>
  <c r="A9" i="87"/>
  <c r="U8" i="87"/>
  <c r="U60" i="87" s="1"/>
  <c r="S8" i="87"/>
  <c r="S60" i="87" s="1"/>
  <c r="R8" i="87"/>
  <c r="R60" i="87" s="1"/>
  <c r="J8" i="87"/>
  <c r="J60" i="87" s="1"/>
  <c r="I8" i="87"/>
  <c r="W8" i="87" s="1"/>
  <c r="W60" i="87" l="1"/>
  <c r="I60" i="87"/>
  <c r="V8" i="87"/>
  <c r="V60" i="87" s="1"/>
  <c r="C44" i="85"/>
  <c r="Q60" i="86" l="1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7591B38-06BF-423B-8971-7B6873C522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51B7AB-5D77-45C4-B9E9-69907C856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76DD131-A012-437A-B60D-D8679EDF46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<sst xmlns="http://schemas.openxmlformats.org/spreadsheetml/2006/main" count="1966" uniqueCount="83">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</sst>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3" fillId="2" borderId="49" xfId="3" applyNumberFormat="1" applyFont="1" applyFill="1" applyBorder="1" applyAlignment="1">
      <alignment vertical="center"/>
    </xf>
    <xf numFmtId="167" fontId="3" fillId="2" borderId="35" xfId="3" applyNumberFormat="1" applyFont="1" applyFill="1" applyBorder="1" applyAlignment="1">
      <alignment vertical="center"/>
    </xf>
    <xf numFmtId="167" fontId="3" fillId="2" borderId="0" xfId="3" applyNumberFormat="1" applyFont="1" applyFill="1" applyBorder="1" applyAlignment="1">
      <alignment vertical="center"/>
    </xf>
    <xf numFmtId="167" fontId="3" fillId="2" borderId="38" xfId="3" applyNumberFormat="1" applyFont="1" applyFill="1" applyBorder="1" applyAlignment="1">
      <alignment vertical="center"/>
    </xf>
    <xf numFmtId="167" fontId="2" fillId="0" borderId="51" xfId="3" applyNumberFormat="1" applyFont="1" applyFill="1" applyBorder="1" applyAlignment="1">
      <alignment vertical="center"/>
    </xf>
    <xf numFmtId="167" fontId="3" fillId="2" borderId="18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167" fontId="3" fillId="2" borderId="69" xfId="3" applyNumberFormat="1" applyFont="1" applyFill="1" applyBorder="1" applyAlignment="1">
      <alignment vertical="center"/>
    </xf>
    <xf numFmtId="167" fontId="3" fillId="2" borderId="63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02"/>
      <c r="L1" s="203"/>
      <c r="M1" s="203"/>
      <c r="N1" s="203"/>
      <c r="O1" s="204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96" t="s">
        <v>74</v>
      </c>
      <c r="C4" s="205" t="s">
        <v>3</v>
      </c>
      <c r="D4" s="206" t="s">
        <v>4</v>
      </c>
      <c r="E4" s="207"/>
      <c r="F4" s="208" t="s">
        <v>5</v>
      </c>
      <c r="G4" s="210" t="s">
        <v>6</v>
      </c>
      <c r="I4" s="212" t="s">
        <v>7</v>
      </c>
      <c r="J4" s="213"/>
      <c r="K4" s="213"/>
      <c r="L4" s="213"/>
      <c r="M4" s="213"/>
      <c r="N4" s="213"/>
      <c r="O4" s="214"/>
    </row>
    <row r="5" spans="1:51" s="3" customFormat="1" ht="38.25" thickBot="1" x14ac:dyDescent="0.3">
      <c r="A5" s="53"/>
      <c r="B5" s="196"/>
      <c r="C5" s="205"/>
      <c r="D5" s="52" t="s">
        <v>8</v>
      </c>
      <c r="E5" s="51" t="s">
        <v>9</v>
      </c>
      <c r="F5" s="209"/>
      <c r="G5" s="211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97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98"/>
      <c r="G61" s="25" t="s">
        <v>51</v>
      </c>
      <c r="I61" s="36"/>
      <c r="J61" s="37"/>
      <c r="K61" s="37"/>
      <c r="L61" s="38"/>
    </row>
    <row r="62" spans="1:15" x14ac:dyDescent="0.25">
      <c r="F62" s="199"/>
      <c r="G62" s="25" t="s">
        <v>52</v>
      </c>
      <c r="I62" s="39"/>
      <c r="J62" s="40"/>
      <c r="K62" s="40"/>
      <c r="L62" s="41"/>
    </row>
    <row r="63" spans="1:15" x14ac:dyDescent="0.25">
      <c r="F63" s="200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00"/>
      <c r="G64" s="25" t="s">
        <v>51</v>
      </c>
      <c r="I64" s="36"/>
      <c r="J64" s="37"/>
      <c r="K64" s="37"/>
      <c r="L64" s="38"/>
    </row>
    <row r="65" spans="2:15" ht="19.5" thickBot="1" x14ac:dyDescent="0.3">
      <c r="F65" s="201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X5" sqref="X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46055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34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46056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34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46057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37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46058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37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46058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43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8">
        <f t="shared" si="6"/>
        <v>10</v>
      </c>
      <c r="S60" s="125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46059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40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46060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43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46062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43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46063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43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114</v>
      </c>
      <c r="D11" s="101"/>
      <c r="E11" s="91"/>
      <c r="F11" s="91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91">
        <v>1</v>
      </c>
      <c r="M11" s="91"/>
      <c r="N11" s="91">
        <v>6</v>
      </c>
      <c r="O11" s="91"/>
      <c r="P11" s="91">
        <v>10</v>
      </c>
      <c r="Q11" s="92"/>
      <c r="R11" s="129">
        <f t="shared" si="1"/>
        <v>17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3690</v>
      </c>
      <c r="D13" s="105">
        <v>23</v>
      </c>
      <c r="E13" s="106"/>
      <c r="F13" s="106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94">
        <v>2</v>
      </c>
      <c r="M13" s="94">
        <v>11</v>
      </c>
      <c r="N13" s="94">
        <v>9</v>
      </c>
      <c r="O13" s="94">
        <v>15</v>
      </c>
      <c r="P13" s="94"/>
      <c r="Q13" s="95">
        <v>6</v>
      </c>
      <c r="R13" s="129">
        <f>L13+N13+P13</f>
        <v>11</v>
      </c>
      <c r="S13" s="127">
        <f>M13+O13+Q13</f>
        <v>32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/>
      <c r="H26" s="93"/>
      <c r="I26" s="93">
        <f t="shared" si="3"/>
        <v>102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1</v>
      </c>
      <c r="D29" s="101"/>
      <c r="E29" s="91"/>
      <c r="F29" s="91"/>
      <c r="G29" s="102"/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70</v>
      </c>
      <c r="D31" s="101"/>
      <c r="E31" s="91"/>
      <c r="F31" s="91"/>
      <c r="G31" s="102"/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/>
      <c r="O31" s="91"/>
      <c r="P31" s="91">
        <v>5</v>
      </c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177</v>
      </c>
      <c r="D35" s="101">
        <v>23</v>
      </c>
      <c r="E35" s="91"/>
      <c r="F35" s="91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91"/>
      <c r="M35" s="91"/>
      <c r="N35" s="91"/>
      <c r="O35" s="91"/>
      <c r="P35" s="91">
        <v>10</v>
      </c>
      <c r="Q35" s="92"/>
      <c r="R35" s="129">
        <f t="shared" si="4"/>
        <v>10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f>4952</f>
        <v>4952</v>
      </c>
      <c r="D38" s="105">
        <v>2</v>
      </c>
      <c r="E38" s="106"/>
      <c r="F38" s="106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94">
        <v>25</v>
      </c>
      <c r="M38" s="94"/>
      <c r="N38" s="94">
        <v>22</v>
      </c>
      <c r="O38" s="94"/>
      <c r="P38" s="94"/>
      <c r="Q38" s="95"/>
      <c r="R38" s="129">
        <f t="shared" si="4"/>
        <v>47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91"/>
      <c r="M39" s="91"/>
      <c r="N39" s="91">
        <v>1</v>
      </c>
      <c r="O39" s="91"/>
      <c r="P39" s="91"/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795</v>
      </c>
      <c r="D41" s="105"/>
      <c r="E41" s="106"/>
      <c r="F41" s="106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>
        <v>10</v>
      </c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1809</v>
      </c>
      <c r="D42" s="110"/>
      <c r="E42" s="96"/>
      <c r="F42" s="96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96">
        <v>4</v>
      </c>
      <c r="M42" s="96"/>
      <c r="N42" s="96">
        <v>4</v>
      </c>
      <c r="O42" s="96"/>
      <c r="P42" s="96">
        <v>35</v>
      </c>
      <c r="Q42" s="97"/>
      <c r="R42" s="129">
        <f t="shared" si="4"/>
        <v>43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25572</v>
      </c>
      <c r="D44" s="105"/>
      <c r="E44" s="106">
        <v>1836</v>
      </c>
      <c r="F44" s="106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94">
        <v>229</v>
      </c>
      <c r="M44" s="94"/>
      <c r="N44" s="94">
        <v>231</v>
      </c>
      <c r="O44" s="94"/>
      <c r="P44" s="94">
        <v>327</v>
      </c>
      <c r="Q44" s="95"/>
      <c r="R44" s="129">
        <f t="shared" si="4"/>
        <v>787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91"/>
      <c r="M48" s="91"/>
      <c r="N48" s="91"/>
      <c r="O48" s="91"/>
      <c r="P48" s="91">
        <v>10</v>
      </c>
      <c r="Q48" s="92"/>
      <c r="R48" s="129">
        <f t="shared" si="4"/>
        <v>10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8">
        <f t="shared" si="5"/>
        <v>942</v>
      </c>
      <c r="S60" s="125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46064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46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97</v>
      </c>
      <c r="D11" s="101"/>
      <c r="E11" s="91"/>
      <c r="F11" s="91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91">
        <v>21</v>
      </c>
      <c r="M11" s="91"/>
      <c r="N11" s="91"/>
      <c r="O11" s="91"/>
      <c r="P11" s="91">
        <v>2</v>
      </c>
      <c r="Q11" s="92"/>
      <c r="R11" s="129">
        <f t="shared" si="1"/>
        <v>23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3678</v>
      </c>
      <c r="D13" s="105">
        <v>15</v>
      </c>
      <c r="E13" s="106"/>
      <c r="F13" s="106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94">
        <v>52</v>
      </c>
      <c r="M13" s="94">
        <v>5</v>
      </c>
      <c r="N13" s="94">
        <v>8</v>
      </c>
      <c r="O13" s="94">
        <v>11</v>
      </c>
      <c r="P13" s="94">
        <v>9</v>
      </c>
      <c r="Q13" s="95">
        <v>14</v>
      </c>
      <c r="R13" s="129">
        <f>L13+N13+P13</f>
        <v>69</v>
      </c>
      <c r="S13" s="127">
        <f>M13+O13+Q13</f>
        <v>30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91">
        <v>10</v>
      </c>
      <c r="M26" s="91"/>
      <c r="N26" s="91"/>
      <c r="O26" s="91"/>
      <c r="P26" s="91"/>
      <c r="Q26" s="92"/>
      <c r="R26" s="129">
        <f t="shared" si="4"/>
        <v>10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>
        <v>63</v>
      </c>
      <c r="F29" s="91"/>
      <c r="G29" s="102"/>
      <c r="H29" s="93"/>
      <c r="I29" s="93">
        <f>C29-G29+E29</f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65</v>
      </c>
      <c r="D31" s="101"/>
      <c r="E31" s="91"/>
      <c r="F31" s="91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>
        <v>1</v>
      </c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167</v>
      </c>
      <c r="D35" s="101">
        <v>23</v>
      </c>
      <c r="E35" s="91"/>
      <c r="F35" s="91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91">
        <v>30</v>
      </c>
      <c r="M35" s="91"/>
      <c r="N35" s="91"/>
      <c r="O35" s="91"/>
      <c r="P35" s="91">
        <v>3</v>
      </c>
      <c r="Q35" s="92"/>
      <c r="R35" s="129">
        <f t="shared" si="4"/>
        <v>33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4905</v>
      </c>
      <c r="D38" s="105">
        <v>2</v>
      </c>
      <c r="E38" s="106"/>
      <c r="F38" s="106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94">
        <v>108</v>
      </c>
      <c r="M38" s="94"/>
      <c r="N38" s="94">
        <v>30</v>
      </c>
      <c r="O38" s="94"/>
      <c r="P38" s="94">
        <v>36</v>
      </c>
      <c r="Q38" s="95"/>
      <c r="R38" s="129">
        <f t="shared" si="4"/>
        <v>174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5</v>
      </c>
      <c r="D39" s="101"/>
      <c r="E39" s="91"/>
      <c r="F39" s="91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/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1766</v>
      </c>
      <c r="D42" s="110"/>
      <c r="E42" s="96"/>
      <c r="F42" s="96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96">
        <v>48</v>
      </c>
      <c r="M42" s="96"/>
      <c r="N42" s="96"/>
      <c r="O42" s="96"/>
      <c r="P42" s="96">
        <v>10</v>
      </c>
      <c r="Q42" s="97"/>
      <c r="R42" s="129">
        <f t="shared" si="4"/>
        <v>58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26621</v>
      </c>
      <c r="D44" s="105"/>
      <c r="E44" s="106">
        <v>1728</v>
      </c>
      <c r="F44" s="106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94">
        <v>815</v>
      </c>
      <c r="M44" s="94"/>
      <c r="N44" s="94">
        <v>191</v>
      </c>
      <c r="O44" s="94"/>
      <c r="P44" s="94">
        <v>331</v>
      </c>
      <c r="Q44" s="95"/>
      <c r="R44" s="129">
        <f t="shared" si="4"/>
        <v>1337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2366</f>
        <v>2366</v>
      </c>
      <c r="D48" s="101">
        <v>5</v>
      </c>
      <c r="E48" s="91"/>
      <c r="F48" s="91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>
        <v>1</v>
      </c>
      <c r="O48" s="91"/>
      <c r="P48" s="91"/>
      <c r="Q48" s="92"/>
      <c r="R48" s="129">
        <f t="shared" si="4"/>
        <v>1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8">
        <f t="shared" si="5"/>
        <v>1707</v>
      </c>
      <c r="S60" s="125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C15" sqref="C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46065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46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74</v>
      </c>
      <c r="D11" s="101"/>
      <c r="E11" s="91"/>
      <c r="F11" s="91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91"/>
      <c r="M11" s="91"/>
      <c r="N11" s="91">
        <v>8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3608</v>
      </c>
      <c r="D13" s="105">
        <v>9</v>
      </c>
      <c r="E13" s="106"/>
      <c r="F13" s="106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94">
        <v>10</v>
      </c>
      <c r="M13" s="94">
        <v>2</v>
      </c>
      <c r="N13" s="94">
        <v>8</v>
      </c>
      <c r="O13" s="94">
        <v>10</v>
      </c>
      <c r="P13" s="94">
        <v>5</v>
      </c>
      <c r="Q13" s="95"/>
      <c r="R13" s="129">
        <f>L13+N13+P13</f>
        <v>23</v>
      </c>
      <c r="S13" s="127">
        <f>M13+O13+Q13</f>
        <v>12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3"/>
        <v>92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63</v>
      </c>
      <c r="D29" s="101"/>
      <c r="E29" s="91"/>
      <c r="F29" s="91"/>
      <c r="G29" s="102"/>
      <c r="H29" s="93"/>
      <c r="I29" s="93">
        <f t="shared" si="3"/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134</v>
      </c>
      <c r="D35" s="101">
        <v>23</v>
      </c>
      <c r="E35" s="91"/>
      <c r="F35" s="91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91"/>
      <c r="M35" s="91"/>
      <c r="N35" s="91">
        <v>20</v>
      </c>
      <c r="O35" s="91">
        <v>6</v>
      </c>
      <c r="P35" s="91"/>
      <c r="Q35" s="92"/>
      <c r="R35" s="129">
        <f t="shared" si="4"/>
        <v>20</v>
      </c>
      <c r="S35" s="127">
        <f t="shared" si="4"/>
        <v>6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4731</v>
      </c>
      <c r="D38" s="105">
        <v>2</v>
      </c>
      <c r="E38" s="106"/>
      <c r="F38" s="106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94">
        <v>10</v>
      </c>
      <c r="M38" s="94"/>
      <c r="N38" s="94">
        <v>30</v>
      </c>
      <c r="O38" s="94"/>
      <c r="P38" s="94">
        <v>30</v>
      </c>
      <c r="Q38" s="95"/>
      <c r="R38" s="129">
        <f t="shared" si="4"/>
        <v>70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91"/>
      <c r="M41" s="91"/>
      <c r="N41" s="91">
        <v>20</v>
      </c>
      <c r="O41" s="91"/>
      <c r="P41" s="91"/>
      <c r="Q41" s="92"/>
      <c r="R41" s="129">
        <f t="shared" si="4"/>
        <v>20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1708</v>
      </c>
      <c r="D42" s="110"/>
      <c r="E42" s="96"/>
      <c r="F42" s="96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96"/>
      <c r="M42" s="96"/>
      <c r="N42" s="96"/>
      <c r="O42" s="96"/>
      <c r="P42" s="96">
        <v>12</v>
      </c>
      <c r="Q42" s="97"/>
      <c r="R42" s="129">
        <f t="shared" si="4"/>
        <v>12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27012</f>
        <v>27012</v>
      </c>
      <c r="D44" s="105"/>
      <c r="E44" s="106"/>
      <c r="F44" s="106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94">
        <v>355</v>
      </c>
      <c r="M44" s="94"/>
      <c r="N44" s="94">
        <v>212</v>
      </c>
      <c r="O44" s="94"/>
      <c r="P44" s="94">
        <v>204</v>
      </c>
      <c r="Q44" s="95"/>
      <c r="R44" s="129">
        <f t="shared" si="4"/>
        <v>771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8">
        <f t="shared" si="5"/>
        <v>924</v>
      </c>
      <c r="S60" s="125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>
        <v>46066</v>
      </c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15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46067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8"/>
      <c r="W4" s="213"/>
      <c r="X4" s="214"/>
    </row>
    <row r="5" spans="1:60" s="3" customFormat="1" ht="57" thickBot="1" x14ac:dyDescent="0.3">
      <c r="A5" s="53"/>
      <c r="B5" s="196"/>
      <c r="C5" s="205"/>
      <c r="D5" s="215"/>
      <c r="E5" s="52" t="s">
        <v>8</v>
      </c>
      <c r="F5" s="149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91">
        <v>1</v>
      </c>
      <c r="M8" s="91"/>
      <c r="N8" s="91">
        <v>1</v>
      </c>
      <c r="O8" s="91"/>
      <c r="P8" s="91"/>
      <c r="Q8" s="92"/>
      <c r="R8" s="129">
        <f t="shared" ref="R8:S12" si="1">L8+N8+P8</f>
        <v>2</v>
      </c>
      <c r="S8" s="127">
        <f t="shared" si="1"/>
        <v>0</v>
      </c>
      <c r="T8" s="44"/>
      <c r="U8" s="28">
        <f>L8*24+N8*24+P8*24</f>
        <v>48</v>
      </c>
      <c r="V8" s="162">
        <f>U8/24</f>
        <v>2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>
        <v>2</v>
      </c>
      <c r="H9" s="108"/>
      <c r="I9" s="107">
        <f t="shared" ref="I9:J59" si="4">C9-G9</f>
        <v>95</v>
      </c>
      <c r="J9" s="166">
        <f t="shared" si="0"/>
        <v>0</v>
      </c>
      <c r="K9" s="64"/>
      <c r="L9" s="94">
        <v>2</v>
      </c>
      <c r="M9" s="94"/>
      <c r="N9" s="94"/>
      <c r="O9" s="94"/>
      <c r="P9" s="94"/>
      <c r="Q9" s="95"/>
      <c r="R9" s="174">
        <f t="shared" si="1"/>
        <v>2</v>
      </c>
      <c r="S9" s="171">
        <f t="shared" si="1"/>
        <v>0</v>
      </c>
      <c r="T9" s="64"/>
      <c r="U9" s="67">
        <f>L9*24+N9*24+P9*24</f>
        <v>48</v>
      </c>
      <c r="V9" s="172">
        <f>U9/24</f>
        <v>2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3569</v>
      </c>
      <c r="D13" s="105">
        <v>19</v>
      </c>
      <c r="E13" s="106"/>
      <c r="F13" s="106"/>
      <c r="G13" s="107">
        <v>16</v>
      </c>
      <c r="H13" s="108">
        <v>40</v>
      </c>
      <c r="I13" s="116">
        <f t="shared" si="4"/>
        <v>3553</v>
      </c>
      <c r="J13" s="166">
        <f>D13-H13</f>
        <v>-21</v>
      </c>
      <c r="K13" s="68"/>
      <c r="L13" s="94">
        <v>2</v>
      </c>
      <c r="M13" s="94">
        <v>13</v>
      </c>
      <c r="N13" s="94">
        <v>6</v>
      </c>
      <c r="O13" s="94">
        <v>15</v>
      </c>
      <c r="P13" s="94">
        <v>8</v>
      </c>
      <c r="Q13" s="95">
        <v>12</v>
      </c>
      <c r="R13" s="169">
        <f>L13+N13+P13</f>
        <v>16</v>
      </c>
      <c r="S13" s="171">
        <f>M13+O13+Q13</f>
        <v>40</v>
      </c>
      <c r="T13" s="68"/>
      <c r="U13" s="67">
        <f>L13*24+N13*24+P13*24</f>
        <v>384</v>
      </c>
      <c r="V13" s="56">
        <f t="shared" si="6"/>
        <v>16</v>
      </c>
      <c r="W13" s="158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91">
        <v>3</v>
      </c>
      <c r="M26" s="91"/>
      <c r="N26" s="91"/>
      <c r="O26" s="91"/>
      <c r="P26" s="91"/>
      <c r="Q26" s="92"/>
      <c r="R26" s="129">
        <f t="shared" si="7"/>
        <v>3</v>
      </c>
      <c r="S26" s="127">
        <f t="shared" si="7"/>
        <v>0</v>
      </c>
      <c r="T26" s="44"/>
      <c r="U26" s="28">
        <f t="shared" si="5"/>
        <v>72</v>
      </c>
      <c r="V26" s="162">
        <f t="shared" si="6"/>
        <v>3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58</v>
      </c>
      <c r="D29" s="101"/>
      <c r="E29" s="91"/>
      <c r="F29" s="91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91">
        <v>5</v>
      </c>
      <c r="M29" s="91"/>
      <c r="N29" s="91"/>
      <c r="O29" s="91"/>
      <c r="P29" s="91">
        <v>3</v>
      </c>
      <c r="Q29" s="92"/>
      <c r="R29" s="129">
        <f t="shared" si="7"/>
        <v>8</v>
      </c>
      <c r="S29" s="127">
        <f t="shared" si="7"/>
        <v>0</v>
      </c>
      <c r="T29" s="45"/>
      <c r="U29" s="28">
        <f t="shared" si="5"/>
        <v>192</v>
      </c>
      <c r="V29" s="162">
        <f t="shared" si="6"/>
        <v>8</v>
      </c>
      <c r="W29" s="157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/>
      <c r="H35" s="93"/>
      <c r="I35" s="93">
        <f t="shared" si="4"/>
        <v>109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4605</v>
      </c>
      <c r="D38" s="105">
        <v>2</v>
      </c>
      <c r="E38" s="106"/>
      <c r="F38" s="106"/>
      <c r="G38" s="107">
        <v>70</v>
      </c>
      <c r="H38" s="108"/>
      <c r="I38" s="116">
        <f t="shared" si="4"/>
        <v>4535</v>
      </c>
      <c r="J38" s="166">
        <f t="shared" si="4"/>
        <v>2</v>
      </c>
      <c r="K38" s="64"/>
      <c r="L38" s="94">
        <v>40</v>
      </c>
      <c r="M38" s="94"/>
      <c r="N38" s="94"/>
      <c r="O38" s="94"/>
      <c r="P38" s="94">
        <v>30</v>
      </c>
      <c r="Q38" s="95"/>
      <c r="R38" s="169">
        <f t="shared" si="7"/>
        <v>70</v>
      </c>
      <c r="S38" s="171">
        <f t="shared" si="7"/>
        <v>0</v>
      </c>
      <c r="T38" s="64"/>
      <c r="U38" s="67">
        <f>L38*6+N38*6+P38*6</f>
        <v>420</v>
      </c>
      <c r="V38" s="172">
        <f>U38/6</f>
        <v>70</v>
      </c>
      <c r="W38" s="158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0" si="9">L39*24+N39*24+P39*24</f>
        <v>0</v>
      </c>
      <c r="V39" s="173">
        <f t="shared" si="6"/>
        <v>0</v>
      </c>
      <c r="W39" s="157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760</v>
      </c>
      <c r="D41" s="105"/>
      <c r="E41" s="106"/>
      <c r="F41" s="106"/>
      <c r="G41" s="107">
        <v>62</v>
      </c>
      <c r="H41" s="108"/>
      <c r="I41" s="116">
        <f t="shared" si="4"/>
        <v>698</v>
      </c>
      <c r="J41" s="166">
        <f t="shared" si="4"/>
        <v>0</v>
      </c>
      <c r="K41" s="64"/>
      <c r="L41" s="91">
        <v>61</v>
      </c>
      <c r="M41" s="91"/>
      <c r="N41" s="91">
        <v>1</v>
      </c>
      <c r="O41" s="91"/>
      <c r="P41" s="91"/>
      <c r="Q41" s="92"/>
      <c r="R41" s="174">
        <f t="shared" si="7"/>
        <v>62</v>
      </c>
      <c r="S41" s="171">
        <f t="shared" si="7"/>
        <v>0</v>
      </c>
      <c r="T41" s="64"/>
      <c r="U41" s="55">
        <f t="shared" ref="U41" si="11">L41*24+N41*24+P41*24</f>
        <v>1488</v>
      </c>
      <c r="V41" s="56">
        <f t="shared" si="6"/>
        <v>62</v>
      </c>
      <c r="W41" s="56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1691</v>
      </c>
      <c r="D42" s="110"/>
      <c r="E42" s="96"/>
      <c r="F42" s="96"/>
      <c r="G42" s="111">
        <v>13</v>
      </c>
      <c r="H42" s="112"/>
      <c r="I42" s="111">
        <f t="shared" si="4"/>
        <v>1678</v>
      </c>
      <c r="J42" s="167">
        <f t="shared" si="4"/>
        <v>0</v>
      </c>
      <c r="K42" s="69"/>
      <c r="L42" s="96"/>
      <c r="M42" s="96"/>
      <c r="N42" s="96">
        <v>5</v>
      </c>
      <c r="O42" s="96"/>
      <c r="P42" s="96">
        <v>8</v>
      </c>
      <c r="Q42" s="97"/>
      <c r="R42" s="175">
        <f t="shared" si="7"/>
        <v>13</v>
      </c>
      <c r="S42" s="180">
        <f t="shared" si="7"/>
        <v>0</v>
      </c>
      <c r="T42" s="69"/>
      <c r="U42" s="60">
        <f>L42*12+N42*12+P42*12</f>
        <v>156</v>
      </c>
      <c r="V42" s="61">
        <f>U42/12</f>
        <v>13</v>
      </c>
      <c r="W42" s="160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25854</v>
      </c>
      <c r="D44" s="105"/>
      <c r="E44" s="106">
        <v>3672</v>
      </c>
      <c r="F44" s="106"/>
      <c r="G44" s="107">
        <v>960</v>
      </c>
      <c r="H44" s="108">
        <v>2</v>
      </c>
      <c r="I44" s="93">
        <f>C44+E44-G44</f>
        <v>28566</v>
      </c>
      <c r="J44" s="181">
        <f t="shared" si="4"/>
        <v>-2</v>
      </c>
      <c r="K44" s="64"/>
      <c r="L44" s="94">
        <v>323</v>
      </c>
      <c r="M44" s="94">
        <v>2</v>
      </c>
      <c r="N44" s="94">
        <v>309</v>
      </c>
      <c r="O44" s="94"/>
      <c r="P44" s="94">
        <v>328</v>
      </c>
      <c r="Q44" s="95"/>
      <c r="R44" s="176">
        <f t="shared" si="7"/>
        <v>960</v>
      </c>
      <c r="S44" s="180">
        <f t="shared" si="7"/>
        <v>2</v>
      </c>
      <c r="T44" s="64"/>
      <c r="U44" s="67">
        <f>L44*6+N44*6+P44*6</f>
        <v>5760</v>
      </c>
      <c r="V44" s="162">
        <f>U44/6</f>
        <v>960</v>
      </c>
      <c r="W44" s="158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3">L46*24+N46*24+P46*24</f>
        <v>0</v>
      </c>
      <c r="V46" s="173">
        <f t="shared" ref="V46:V47" si="14">U46/24</f>
        <v>0</v>
      </c>
      <c r="W46" s="157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3"/>
        <v>0</v>
      </c>
      <c r="V47" s="162">
        <f t="shared" si="14"/>
        <v>0</v>
      </c>
      <c r="W47" s="157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6">L49*24+N49*24+P49*24</f>
        <v>0</v>
      </c>
      <c r="V49" s="162">
        <f t="shared" ref="V49:V51" si="17">U49/24</f>
        <v>0</v>
      </c>
      <c r="W49" s="157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6"/>
        <v>0</v>
      </c>
      <c r="V50" s="162">
        <f t="shared" si="17"/>
        <v>0</v>
      </c>
      <c r="W50" s="157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6"/>
        <v>0</v>
      </c>
      <c r="V51" s="162">
        <f t="shared" si="17"/>
        <v>0</v>
      </c>
      <c r="W51" s="157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9">L53*24+N53*24+P53*24</f>
        <v>0</v>
      </c>
      <c r="V53" s="162">
        <f t="shared" ref="V53:V54" si="20">U53/24</f>
        <v>0</v>
      </c>
      <c r="W53" s="157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9"/>
        <v>0</v>
      </c>
      <c r="V54" s="162">
        <f t="shared" si="20"/>
        <v>0</v>
      </c>
      <c r="W54" s="157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8">
        <f t="shared" si="22"/>
        <v>1138</v>
      </c>
      <c r="S60" s="125">
        <f t="shared" si="22"/>
        <v>42</v>
      </c>
      <c r="T60" s="49"/>
      <c r="U60" s="46">
        <f>SUM(U8:U59)</f>
        <v>8616</v>
      </c>
      <c r="V60" s="184">
        <f>SUM(V8:V59)</f>
        <v>1138</v>
      </c>
      <c r="W60" s="161">
        <f>SUM(W8:W59)</f>
        <v>349368</v>
      </c>
      <c r="X60" s="48"/>
    </row>
    <row r="61" spans="1:24" ht="19.5" thickBot="1" x14ac:dyDescent="0.3">
      <c r="V61" s="185"/>
    </row>
    <row r="62" spans="1:24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7" t="s">
        <v>3</v>
      </c>
      <c r="D69" s="14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V14" sqref="V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2"/>
      <c r="Q1" s="203"/>
      <c r="R1" s="203"/>
      <c r="S1" s="203"/>
      <c r="T1" s="203"/>
      <c r="U1" s="203"/>
      <c r="V1" s="20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4"/>
    </row>
    <row r="5" spans="1:58" s="3" customFormat="1" ht="38.25" thickBot="1" x14ac:dyDescent="0.3">
      <c r="A5" s="53"/>
      <c r="B5" s="196"/>
      <c r="C5" s="205"/>
      <c r="D5" s="215"/>
      <c r="E5" s="52" t="s">
        <v>8</v>
      </c>
      <c r="F5" s="152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9"/>
      <c r="S8" s="127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86"/>
      <c r="K9" s="64"/>
      <c r="L9" s="94"/>
      <c r="M9" s="94"/>
      <c r="N9" s="94"/>
      <c r="O9" s="94"/>
      <c r="P9" s="94"/>
      <c r="Q9" s="95"/>
      <c r="R9" s="169"/>
      <c r="S9" s="177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65"/>
      <c r="J10" s="103"/>
      <c r="K10" s="44"/>
      <c r="L10" s="91"/>
      <c r="M10" s="91"/>
      <c r="N10" s="91"/>
      <c r="O10" s="91"/>
      <c r="P10" s="91"/>
      <c r="Q10" s="92"/>
      <c r="R10" s="168"/>
      <c r="S10" s="178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9"/>
      <c r="S11" s="127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9"/>
      <c r="S12" s="127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86"/>
      <c r="K13" s="68"/>
      <c r="L13" s="94"/>
      <c r="M13" s="94"/>
      <c r="N13" s="94"/>
      <c r="O13" s="94"/>
      <c r="P13" s="94"/>
      <c r="Q13" s="95"/>
      <c r="R13" s="174"/>
      <c r="S13" s="171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65"/>
      <c r="J14" s="103"/>
      <c r="K14" s="44"/>
      <c r="L14" s="91"/>
      <c r="M14" s="91"/>
      <c r="N14" s="91"/>
      <c r="O14" s="91"/>
      <c r="P14" s="91"/>
      <c r="Q14" s="92"/>
      <c r="R14" s="175"/>
      <c r="S14" s="170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9"/>
      <c r="S15" s="127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9"/>
      <c r="S16" s="127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9"/>
      <c r="S17" s="127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9"/>
      <c r="S18" s="127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9"/>
      <c r="S19" s="127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9"/>
      <c r="S20" s="127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9"/>
      <c r="S21" s="127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9"/>
      <c r="S22" s="127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9"/>
      <c r="S23" s="127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9"/>
      <c r="S24" s="127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9"/>
      <c r="S25" s="127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9"/>
      <c r="S26" s="127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9"/>
      <c r="S27" s="127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9"/>
      <c r="S28" s="127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9"/>
      <c r="S29" s="127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9"/>
      <c r="S30" s="127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9"/>
      <c r="S31" s="127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9"/>
      <c r="S32" s="127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9"/>
      <c r="S33" s="127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9"/>
      <c r="S34" s="127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9"/>
      <c r="S35" s="127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9"/>
      <c r="S36" s="127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9"/>
      <c r="S37" s="127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6"/>
      <c r="K38" s="64"/>
      <c r="L38" s="94"/>
      <c r="M38" s="94"/>
      <c r="N38" s="94"/>
      <c r="O38" s="94"/>
      <c r="P38" s="94"/>
      <c r="Q38" s="95"/>
      <c r="R38" s="174"/>
      <c r="S38" s="177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65"/>
      <c r="J39" s="167"/>
      <c r="K39" s="44"/>
      <c r="L39" s="91"/>
      <c r="M39" s="91"/>
      <c r="N39" s="91"/>
      <c r="O39" s="91"/>
      <c r="P39" s="91"/>
      <c r="Q39" s="92"/>
      <c r="R39" s="175"/>
      <c r="S39" s="178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9"/>
      <c r="S40" s="127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6"/>
      <c r="K41" s="64"/>
      <c r="L41" s="91"/>
      <c r="M41" s="91"/>
      <c r="N41" s="91"/>
      <c r="O41" s="91"/>
      <c r="P41" s="91"/>
      <c r="Q41" s="92"/>
      <c r="R41" s="169"/>
      <c r="S41" s="177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65"/>
      <c r="J42" s="181"/>
      <c r="K42" s="69"/>
      <c r="L42" s="96"/>
      <c r="M42" s="96"/>
      <c r="N42" s="96"/>
      <c r="O42" s="96"/>
      <c r="P42" s="96"/>
      <c r="Q42" s="97"/>
      <c r="R42" s="168"/>
      <c r="S42" s="180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74"/>
      <c r="S43" s="179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65"/>
      <c r="J44" s="103"/>
      <c r="K44" s="64"/>
      <c r="L44" s="94"/>
      <c r="M44" s="94"/>
      <c r="N44" s="94"/>
      <c r="O44" s="94"/>
      <c r="P44" s="94"/>
      <c r="Q44" s="95"/>
      <c r="R44" s="175"/>
      <c r="S44" s="180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6"/>
      <c r="K45" s="44"/>
      <c r="L45" s="91"/>
      <c r="M45" s="91"/>
      <c r="N45" s="91"/>
      <c r="O45" s="91"/>
      <c r="P45" s="91"/>
      <c r="Q45" s="92"/>
      <c r="R45" s="174"/>
      <c r="S45" s="179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65"/>
      <c r="J46" s="167"/>
      <c r="K46" s="44"/>
      <c r="L46" s="91"/>
      <c r="M46" s="91"/>
      <c r="N46" s="91"/>
      <c r="O46" s="91"/>
      <c r="P46" s="91"/>
      <c r="Q46" s="92"/>
      <c r="R46" s="175"/>
      <c r="S46" s="178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9"/>
      <c r="S47" s="127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9"/>
      <c r="S48" s="127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9"/>
      <c r="S49" s="127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9"/>
      <c r="S50" s="127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9"/>
      <c r="S51" s="127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9"/>
      <c r="S52" s="127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9"/>
      <c r="S53" s="127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9"/>
      <c r="S54" s="127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9"/>
      <c r="S55" s="127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9"/>
      <c r="S56" s="127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9"/>
      <c r="S57" s="127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9"/>
      <c r="S58" s="127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9"/>
      <c r="S59" s="127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8">
        <f t="shared" si="1"/>
        <v>0</v>
      </c>
      <c r="S60" s="125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50" t="s">
        <v>3</v>
      </c>
      <c r="D69" s="15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5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62" sqref="U6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46069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8"/>
      <c r="W4" s="213"/>
      <c r="X4" s="214"/>
    </row>
    <row r="5" spans="1:60" s="3" customFormat="1" ht="57" thickBot="1" x14ac:dyDescent="0.3">
      <c r="A5" s="53"/>
      <c r="B5" s="196"/>
      <c r="C5" s="205"/>
      <c r="D5" s="215"/>
      <c r="E5" s="52" t="s">
        <v>8</v>
      </c>
      <c r="F5" s="155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33</v>
      </c>
      <c r="D8" s="101"/>
      <c r="E8" s="91"/>
      <c r="F8" s="91"/>
      <c r="G8" s="102"/>
      <c r="H8" s="93"/>
      <c r="I8" s="93">
        <f>C8-G8</f>
        <v>33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95</v>
      </c>
      <c r="D9" s="105"/>
      <c r="E9" s="106"/>
      <c r="F9" s="106"/>
      <c r="G9" s="107"/>
      <c r="H9" s="108"/>
      <c r="I9" s="107">
        <f t="shared" ref="I9:J59" si="4">C9-G9</f>
        <v>95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64</v>
      </c>
      <c r="D11" s="101"/>
      <c r="E11" s="91"/>
      <c r="F11" s="91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91"/>
      <c r="M11" s="91"/>
      <c r="N11" s="91"/>
      <c r="O11" s="91"/>
      <c r="P11" s="91">
        <v>3</v>
      </c>
      <c r="Q11" s="92"/>
      <c r="R11" s="129">
        <f t="shared" si="1"/>
        <v>3</v>
      </c>
      <c r="S11" s="127">
        <f t="shared" si="1"/>
        <v>0</v>
      </c>
      <c r="T11" s="44"/>
      <c r="U11" s="28">
        <f>L11*24+N11*24+P11*24</f>
        <v>72</v>
      </c>
      <c r="V11" s="162">
        <f>U11/24</f>
        <v>3</v>
      </c>
      <c r="W11" s="157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3552</v>
      </c>
      <c r="D13" s="105">
        <v>3</v>
      </c>
      <c r="E13" s="106"/>
      <c r="F13" s="106"/>
      <c r="G13" s="107">
        <v>38</v>
      </c>
      <c r="H13" s="108">
        <v>13</v>
      </c>
      <c r="I13" s="116">
        <f t="shared" si="4"/>
        <v>3514</v>
      </c>
      <c r="J13" s="166">
        <f>D13-H13</f>
        <v>-10</v>
      </c>
      <c r="K13" s="68"/>
      <c r="L13" s="94">
        <v>13</v>
      </c>
      <c r="M13" s="94">
        <v>3</v>
      </c>
      <c r="N13" s="94">
        <v>15</v>
      </c>
      <c r="O13" s="94">
        <v>6</v>
      </c>
      <c r="P13" s="94">
        <v>10</v>
      </c>
      <c r="Q13" s="95">
        <v>4</v>
      </c>
      <c r="R13" s="169">
        <f>L13+N13+P13</f>
        <v>38</v>
      </c>
      <c r="S13" s="171">
        <f>M13+O13+Q13</f>
        <v>13</v>
      </c>
      <c r="T13" s="68"/>
      <c r="U13" s="67">
        <f>L13*24+N13*24+P13*24</f>
        <v>912</v>
      </c>
      <c r="V13" s="56">
        <f t="shared" si="6"/>
        <v>38</v>
      </c>
      <c r="W13" s="158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89</v>
      </c>
      <c r="D26" s="101">
        <v>23</v>
      </c>
      <c r="E26" s="91"/>
      <c r="F26" s="91"/>
      <c r="G26" s="102"/>
      <c r="H26" s="93"/>
      <c r="I26" s="93">
        <f t="shared" si="4"/>
        <v>89</v>
      </c>
      <c r="J26" s="103">
        <f t="shared" si="4"/>
        <v>23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50</v>
      </c>
      <c r="D29" s="101"/>
      <c r="E29" s="91"/>
      <c r="F29" s="91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91">
        <v>9</v>
      </c>
      <c r="M29" s="91"/>
      <c r="N29" s="91">
        <v>3</v>
      </c>
      <c r="O29" s="91"/>
      <c r="P29" s="91">
        <v>1</v>
      </c>
      <c r="Q29" s="92"/>
      <c r="R29" s="129">
        <f t="shared" si="7"/>
        <v>13</v>
      </c>
      <c r="S29" s="127">
        <f t="shared" si="7"/>
        <v>0</v>
      </c>
      <c r="T29" s="45"/>
      <c r="U29" s="28">
        <f t="shared" si="5"/>
        <v>312</v>
      </c>
      <c r="V29" s="162">
        <f t="shared" si="6"/>
        <v>13</v>
      </c>
      <c r="W29" s="157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91">
        <v>5</v>
      </c>
      <c r="M35" s="91"/>
      <c r="N35" s="91"/>
      <c r="O35" s="91"/>
      <c r="P35" s="91"/>
      <c r="Q35" s="92"/>
      <c r="R35" s="129">
        <f t="shared" si="7"/>
        <v>5</v>
      </c>
      <c r="S35" s="127">
        <f t="shared" si="7"/>
        <v>0</v>
      </c>
      <c r="T35" s="44"/>
      <c r="U35" s="28">
        <f t="shared" si="5"/>
        <v>120</v>
      </c>
      <c r="V35" s="162">
        <f t="shared" si="6"/>
        <v>5</v>
      </c>
      <c r="W35" s="157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4535</v>
      </c>
      <c r="D38" s="105">
        <v>2</v>
      </c>
      <c r="E38" s="106"/>
      <c r="F38" s="106"/>
      <c r="G38" s="107">
        <v>163</v>
      </c>
      <c r="H38" s="108"/>
      <c r="I38" s="116">
        <f t="shared" si="4"/>
        <v>4372</v>
      </c>
      <c r="J38" s="166">
        <f t="shared" si="4"/>
        <v>2</v>
      </c>
      <c r="K38" s="64"/>
      <c r="L38" s="94">
        <v>118</v>
      </c>
      <c r="M38" s="94"/>
      <c r="N38" s="94"/>
      <c r="O38" s="94"/>
      <c r="P38" s="94">
        <v>45</v>
      </c>
      <c r="Q38" s="95"/>
      <c r="R38" s="169">
        <f t="shared" si="7"/>
        <v>163</v>
      </c>
      <c r="S38" s="171">
        <f t="shared" si="7"/>
        <v>0</v>
      </c>
      <c r="T38" s="64"/>
      <c r="U38" s="67">
        <f>L38*6+N38*6+P38*6</f>
        <v>978</v>
      </c>
      <c r="V38" s="172">
        <f>U38/6</f>
        <v>163</v>
      </c>
      <c r="W38" s="158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698</v>
      </c>
      <c r="D41" s="105"/>
      <c r="E41" s="106"/>
      <c r="F41" s="106"/>
      <c r="G41" s="107"/>
      <c r="H41" s="108"/>
      <c r="I41" s="116">
        <f t="shared" si="4"/>
        <v>698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1678</v>
      </c>
      <c r="D42" s="110"/>
      <c r="E42" s="96"/>
      <c r="F42" s="96"/>
      <c r="G42" s="111">
        <v>2</v>
      </c>
      <c r="H42" s="112"/>
      <c r="I42" s="111">
        <f t="shared" si="4"/>
        <v>1676</v>
      </c>
      <c r="J42" s="167">
        <f t="shared" si="4"/>
        <v>0</v>
      </c>
      <c r="K42" s="69"/>
      <c r="L42" s="96">
        <v>2</v>
      </c>
      <c r="M42" s="96"/>
      <c r="N42" s="96"/>
      <c r="O42" s="96"/>
      <c r="P42" s="96"/>
      <c r="Q42" s="97"/>
      <c r="R42" s="175">
        <f t="shared" si="7"/>
        <v>2</v>
      </c>
      <c r="S42" s="180">
        <f t="shared" si="7"/>
        <v>0</v>
      </c>
      <c r="T42" s="69"/>
      <c r="U42" s="60">
        <f>L42*12+N42*12+P42*12</f>
        <v>24</v>
      </c>
      <c r="V42" s="61">
        <f>U42/12</f>
        <v>2</v>
      </c>
      <c r="W42" s="160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f>28565</f>
        <v>28565</v>
      </c>
      <c r="D44" s="105">
        <v>4</v>
      </c>
      <c r="E44" s="106">
        <v>3672</v>
      </c>
      <c r="F44" s="106"/>
      <c r="G44" s="107">
        <v>1029</v>
      </c>
      <c r="H44" s="108"/>
      <c r="I44" s="93">
        <f>C44+E44-G44</f>
        <v>31208</v>
      </c>
      <c r="J44" s="181">
        <f t="shared" si="4"/>
        <v>4</v>
      </c>
      <c r="K44" s="64"/>
      <c r="L44" s="94">
        <v>287</v>
      </c>
      <c r="M44" s="94"/>
      <c r="N44" s="94">
        <v>439</v>
      </c>
      <c r="O44" s="94"/>
      <c r="P44" s="94">
        <v>303</v>
      </c>
      <c r="Q44" s="95"/>
      <c r="R44" s="176">
        <f t="shared" si="7"/>
        <v>1029</v>
      </c>
      <c r="S44" s="180">
        <f t="shared" si="7"/>
        <v>0</v>
      </c>
      <c r="T44" s="64"/>
      <c r="U44" s="67">
        <f>L44*6+N44*6+P44*6</f>
        <v>6174</v>
      </c>
      <c r="V44" s="162">
        <f>U44/6</f>
        <v>1029</v>
      </c>
      <c r="W44" s="158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8">
        <f t="shared" si="20"/>
        <v>1253</v>
      </c>
      <c r="S60" s="125">
        <f t="shared" si="20"/>
        <v>13</v>
      </c>
      <c r="T60" s="49"/>
      <c r="U60" s="46">
        <f>SUM(U8:U59)</f>
        <v>8592</v>
      </c>
      <c r="V60" s="184">
        <f>SUM(V8:V59)</f>
        <v>1253</v>
      </c>
      <c r="W60" s="161">
        <f>SUM(W8:W59)</f>
        <v>362795</v>
      </c>
      <c r="X60" s="48"/>
    </row>
    <row r="61" spans="1:24" ht="19.5" thickBot="1" x14ac:dyDescent="0.3">
      <c r="V61" s="185"/>
    </row>
    <row r="62" spans="1:24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3" t="s">
        <v>3</v>
      </c>
      <c r="D69" s="15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46070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8"/>
      <c r="W4" s="213"/>
      <c r="X4" s="214"/>
    </row>
    <row r="5" spans="1:60" s="3" customFormat="1" ht="57" thickBot="1" x14ac:dyDescent="0.3">
      <c r="A5" s="53"/>
      <c r="B5" s="196"/>
      <c r="C5" s="205"/>
      <c r="D5" s="215"/>
      <c r="E5" s="52" t="s">
        <v>8</v>
      </c>
      <c r="F5" s="189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33</v>
      </c>
      <c r="D8" s="101"/>
      <c r="E8" s="91"/>
      <c r="F8" s="91"/>
      <c r="G8" s="102"/>
      <c r="H8" s="93"/>
      <c r="I8" s="93">
        <f>C8-G8</f>
        <v>33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95</v>
      </c>
      <c r="D9" s="105"/>
      <c r="E9" s="106"/>
      <c r="F9" s="106"/>
      <c r="G9" s="107"/>
      <c r="H9" s="108"/>
      <c r="I9" s="107">
        <f t="shared" ref="I9:J59" si="4">C9-G9</f>
        <v>95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61</v>
      </c>
      <c r="D11" s="101"/>
      <c r="E11" s="91"/>
      <c r="F11" s="91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3513</v>
      </c>
      <c r="D13" s="105">
        <v>14</v>
      </c>
      <c r="E13" s="106"/>
      <c r="F13" s="106"/>
      <c r="G13" s="107">
        <v>18</v>
      </c>
      <c r="H13" s="108">
        <v>18</v>
      </c>
      <c r="I13" s="116">
        <f t="shared" si="4"/>
        <v>3495</v>
      </c>
      <c r="J13" s="166">
        <f>D13-H13</f>
        <v>-4</v>
      </c>
      <c r="K13" s="68"/>
      <c r="L13" s="94">
        <v>2</v>
      </c>
      <c r="M13" s="94">
        <v>8</v>
      </c>
      <c r="N13" s="94">
        <v>6</v>
      </c>
      <c r="O13" s="94">
        <v>6</v>
      </c>
      <c r="P13" s="94">
        <v>10</v>
      </c>
      <c r="Q13" s="95">
        <v>4</v>
      </c>
      <c r="R13" s="169">
        <f>L13+N13+P13</f>
        <v>18</v>
      </c>
      <c r="S13" s="171">
        <f>M13+O13+Q13</f>
        <v>18</v>
      </c>
      <c r="T13" s="68"/>
      <c r="U13" s="67">
        <f>L13*24+N13*24+P13*24</f>
        <v>432</v>
      </c>
      <c r="V13" s="56">
        <f t="shared" si="6"/>
        <v>18</v>
      </c>
      <c r="W13" s="158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89</v>
      </c>
      <c r="D26" s="101">
        <v>23</v>
      </c>
      <c r="E26" s="91"/>
      <c r="F26" s="91"/>
      <c r="G26" s="102"/>
      <c r="H26" s="93"/>
      <c r="I26" s="93">
        <f t="shared" si="4"/>
        <v>89</v>
      </c>
      <c r="J26" s="103">
        <f t="shared" si="4"/>
        <v>23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37</v>
      </c>
      <c r="D29" s="101"/>
      <c r="E29" s="91"/>
      <c r="F29" s="91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7"/>
        <v>1</v>
      </c>
      <c r="S29" s="127">
        <f t="shared" si="7"/>
        <v>0</v>
      </c>
      <c r="T29" s="45"/>
      <c r="U29" s="28">
        <f t="shared" si="5"/>
        <v>24</v>
      </c>
      <c r="V29" s="162">
        <f t="shared" si="6"/>
        <v>1</v>
      </c>
      <c r="W29" s="157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7"/>
        <v>1</v>
      </c>
      <c r="S31" s="127">
        <f t="shared" si="7"/>
        <v>0</v>
      </c>
      <c r="T31" s="44"/>
      <c r="U31" s="28">
        <f t="shared" si="5"/>
        <v>24</v>
      </c>
      <c r="V31" s="162">
        <f t="shared" si="6"/>
        <v>1</v>
      </c>
      <c r="W31" s="157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104</v>
      </c>
      <c r="D35" s="101">
        <v>17</v>
      </c>
      <c r="E35" s="91"/>
      <c r="F35" s="91"/>
      <c r="G35" s="102"/>
      <c r="H35" s="93"/>
      <c r="I35" s="93">
        <f t="shared" si="4"/>
        <v>104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4372</v>
      </c>
      <c r="D38" s="105">
        <v>2</v>
      </c>
      <c r="E38" s="106"/>
      <c r="F38" s="106"/>
      <c r="G38" s="107">
        <v>103</v>
      </c>
      <c r="H38" s="108"/>
      <c r="I38" s="116">
        <f t="shared" si="4"/>
        <v>4269</v>
      </c>
      <c r="J38" s="166">
        <f t="shared" si="4"/>
        <v>2</v>
      </c>
      <c r="K38" s="64"/>
      <c r="L38" s="94">
        <v>28</v>
      </c>
      <c r="M38" s="94"/>
      <c r="N38" s="94">
        <v>23</v>
      </c>
      <c r="O38" s="94"/>
      <c r="P38" s="94">
        <v>52</v>
      </c>
      <c r="Q38" s="95"/>
      <c r="R38" s="169">
        <f t="shared" si="7"/>
        <v>103</v>
      </c>
      <c r="S38" s="171">
        <f t="shared" si="7"/>
        <v>0</v>
      </c>
      <c r="T38" s="64"/>
      <c r="U38" s="67">
        <f>L38*6+N38*6+P38*6</f>
        <v>618</v>
      </c>
      <c r="V38" s="172">
        <f>U38/6</f>
        <v>103</v>
      </c>
      <c r="W38" s="158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698</v>
      </c>
      <c r="D41" s="105"/>
      <c r="E41" s="106"/>
      <c r="F41" s="106"/>
      <c r="G41" s="107"/>
      <c r="H41" s="108"/>
      <c r="I41" s="116">
        <f t="shared" si="4"/>
        <v>698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1676</v>
      </c>
      <c r="D42" s="110"/>
      <c r="E42" s="96"/>
      <c r="F42" s="96"/>
      <c r="G42" s="111">
        <v>28</v>
      </c>
      <c r="H42" s="112"/>
      <c r="I42" s="111">
        <f t="shared" si="4"/>
        <v>1648</v>
      </c>
      <c r="J42" s="167">
        <f t="shared" si="4"/>
        <v>0</v>
      </c>
      <c r="K42" s="69"/>
      <c r="L42" s="96">
        <v>6</v>
      </c>
      <c r="M42" s="96"/>
      <c r="N42" s="96">
        <v>2</v>
      </c>
      <c r="O42" s="96"/>
      <c r="P42" s="96">
        <v>20</v>
      </c>
      <c r="Q42" s="97"/>
      <c r="R42" s="175">
        <f t="shared" si="7"/>
        <v>28</v>
      </c>
      <c r="S42" s="180">
        <f t="shared" si="7"/>
        <v>0</v>
      </c>
      <c r="T42" s="69"/>
      <c r="U42" s="60">
        <f>L42*12+N42*12+P42*12</f>
        <v>336</v>
      </c>
      <c r="V42" s="61">
        <f>U42/12</f>
        <v>28</v>
      </c>
      <c r="W42" s="160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31208</v>
      </c>
      <c r="D44" s="105">
        <v>3</v>
      </c>
      <c r="E44" s="106"/>
      <c r="F44" s="106"/>
      <c r="G44" s="107">
        <v>967</v>
      </c>
      <c r="H44" s="108"/>
      <c r="I44" s="93">
        <f>C44+E44-G44</f>
        <v>30241</v>
      </c>
      <c r="J44" s="181">
        <f t="shared" si="4"/>
        <v>3</v>
      </c>
      <c r="K44" s="64"/>
      <c r="L44" s="94">
        <v>303</v>
      </c>
      <c r="M44" s="94"/>
      <c r="N44" s="94">
        <v>292</v>
      </c>
      <c r="O44" s="94"/>
      <c r="P44" s="94">
        <v>372</v>
      </c>
      <c r="Q44" s="95"/>
      <c r="R44" s="176">
        <f t="shared" si="7"/>
        <v>967</v>
      </c>
      <c r="S44" s="180">
        <f t="shared" si="7"/>
        <v>0</v>
      </c>
      <c r="T44" s="64"/>
      <c r="U44" s="67">
        <f>L44*6+N44*6+P44*6</f>
        <v>5802</v>
      </c>
      <c r="V44" s="162">
        <f>U44/6</f>
        <v>967</v>
      </c>
      <c r="W44" s="158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8">
        <f t="shared" si="20"/>
        <v>1120</v>
      </c>
      <c r="S60" s="125">
        <f t="shared" si="20"/>
        <v>18</v>
      </c>
      <c r="T60" s="49"/>
      <c r="U60" s="46">
        <f>SUM(U8:U59)</f>
        <v>7284</v>
      </c>
      <c r="V60" s="184">
        <f>SUM(V8:V59)</f>
        <v>1120</v>
      </c>
      <c r="W60" s="161">
        <f>SUM(W8:W59)</f>
        <v>355492</v>
      </c>
      <c r="X60" s="48"/>
    </row>
    <row r="61" spans="1:24" ht="19.5" thickBot="1" x14ac:dyDescent="0.3">
      <c r="V61" s="185"/>
    </row>
    <row r="62" spans="1:24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46071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8"/>
      <c r="W4" s="213"/>
      <c r="X4" s="214"/>
    </row>
    <row r="5" spans="1:60" s="3" customFormat="1" ht="57" thickBot="1" x14ac:dyDescent="0.3">
      <c r="A5" s="53"/>
      <c r="B5" s="196"/>
      <c r="C5" s="205"/>
      <c r="D5" s="215"/>
      <c r="E5" s="52" t="s">
        <v>8</v>
      </c>
      <c r="F5" s="192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/>
      <c r="D9" s="105"/>
      <c r="E9" s="106"/>
      <c r="F9" s="106"/>
      <c r="G9" s="107"/>
      <c r="H9" s="108"/>
      <c r="I9" s="107">
        <f t="shared" ref="I9:J59" si="4">C9-G9</f>
        <v>0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4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>
        <f>L11*24+N11*24+P11*24</f>
        <v>0</v>
      </c>
      <c r="V11" s="162">
        <f>U11/24</f>
        <v>0</v>
      </c>
      <c r="W11" s="157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4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/>
      <c r="D13" s="105"/>
      <c r="E13" s="106"/>
      <c r="F13" s="106"/>
      <c r="G13" s="107"/>
      <c r="H13" s="108"/>
      <c r="I13" s="116">
        <f t="shared" si="4"/>
        <v>0</v>
      </c>
      <c r="J13" s="166">
        <f>D13-H13</f>
        <v>0</v>
      </c>
      <c r="K13" s="68"/>
      <c r="L13" s="94"/>
      <c r="M13" s="94"/>
      <c r="N13" s="94"/>
      <c r="O13" s="94"/>
      <c r="P13" s="94"/>
      <c r="Q13" s="95"/>
      <c r="R13" s="169">
        <f>L13+N13+P13</f>
        <v>0</v>
      </c>
      <c r="S13" s="171">
        <f>M13+O13+Q13</f>
        <v>0</v>
      </c>
      <c r="T13" s="68"/>
      <c r="U13" s="67">
        <f>L13*24+N13*24+P13*24</f>
        <v>0</v>
      </c>
      <c r="V13" s="56">
        <f t="shared" si="6"/>
        <v>0</v>
      </c>
      <c r="W13" s="158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/>
      <c r="D14" s="101"/>
      <c r="E14" s="91"/>
      <c r="F14" s="91"/>
      <c r="G14" s="102"/>
      <c r="H14" s="93"/>
      <c r="I14" s="165">
        <f t="shared" si="4"/>
        <v>0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4"/>
        <v>0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4"/>
        <v>0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4"/>
        <v>0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4"/>
        <v>0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4"/>
        <v>0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4"/>
        <v>0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4"/>
        <v>0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4"/>
        <v>0</v>
      </c>
      <c r="J26" s="103">
        <f t="shared" si="4"/>
        <v>0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4"/>
        <v>0</v>
      </c>
      <c r="J29" s="103">
        <f t="shared" si="4"/>
        <v>0</v>
      </c>
      <c r="K29" s="45"/>
      <c r="L29" s="91"/>
      <c r="M29" s="91"/>
      <c r="N29" s="91"/>
      <c r="O29" s="91"/>
      <c r="P29" s="91"/>
      <c r="Q29" s="92"/>
      <c r="R29" s="129">
        <f t="shared" si="7"/>
        <v>0</v>
      </c>
      <c r="S29" s="127">
        <f t="shared" si="7"/>
        <v>0</v>
      </c>
      <c r="T29" s="45"/>
      <c r="U29" s="28">
        <f t="shared" si="5"/>
        <v>0</v>
      </c>
      <c r="V29" s="162">
        <f t="shared" si="6"/>
        <v>0</v>
      </c>
      <c r="W29" s="157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4"/>
        <v>0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4"/>
        <v>0</v>
      </c>
      <c r="J35" s="103">
        <f t="shared" si="4"/>
        <v>0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/>
      <c r="D38" s="105"/>
      <c r="E38" s="106"/>
      <c r="F38" s="106"/>
      <c r="G38" s="107"/>
      <c r="H38" s="108"/>
      <c r="I38" s="116">
        <f t="shared" si="4"/>
        <v>0</v>
      </c>
      <c r="J38" s="166">
        <f t="shared" si="4"/>
        <v>0</v>
      </c>
      <c r="K38" s="64"/>
      <c r="L38" s="94"/>
      <c r="M38" s="94"/>
      <c r="N38" s="94"/>
      <c r="O38" s="94"/>
      <c r="P38" s="94"/>
      <c r="Q38" s="95"/>
      <c r="R38" s="169">
        <f t="shared" si="7"/>
        <v>0</v>
      </c>
      <c r="S38" s="171">
        <f t="shared" si="7"/>
        <v>0</v>
      </c>
      <c r="T38" s="64"/>
      <c r="U38" s="67">
        <f>L38*6+N38*6+P38*6</f>
        <v>0</v>
      </c>
      <c r="V38" s="172">
        <f>U38/6</f>
        <v>0</v>
      </c>
      <c r="W38" s="158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/>
      <c r="D39" s="101"/>
      <c r="E39" s="91"/>
      <c r="F39" s="91"/>
      <c r="G39" s="102"/>
      <c r="H39" s="93"/>
      <c r="I39" s="165">
        <f t="shared" si="4"/>
        <v>0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/>
      <c r="D41" s="105"/>
      <c r="E41" s="106"/>
      <c r="F41" s="106"/>
      <c r="G41" s="107"/>
      <c r="H41" s="108"/>
      <c r="I41" s="116">
        <f t="shared" si="4"/>
        <v>0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0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/>
      <c r="D42" s="110"/>
      <c r="E42" s="96"/>
      <c r="F42" s="96"/>
      <c r="G42" s="111"/>
      <c r="H42" s="112"/>
      <c r="I42" s="111">
        <f t="shared" si="4"/>
        <v>0</v>
      </c>
      <c r="J42" s="167">
        <f t="shared" si="4"/>
        <v>0</v>
      </c>
      <c r="K42" s="69"/>
      <c r="L42" s="96"/>
      <c r="M42" s="96"/>
      <c r="N42" s="96"/>
      <c r="O42" s="96"/>
      <c r="P42" s="96"/>
      <c r="Q42" s="97"/>
      <c r="R42" s="175">
        <f t="shared" si="7"/>
        <v>0</v>
      </c>
      <c r="S42" s="180">
        <f t="shared" si="7"/>
        <v>0</v>
      </c>
      <c r="T42" s="69"/>
      <c r="U42" s="60">
        <f>L42*12+N42*12+P42*12</f>
        <v>0</v>
      </c>
      <c r="V42" s="61">
        <f>U42/12</f>
        <v>0</v>
      </c>
      <c r="W42" s="160">
        <f>I42*12+J42</f>
        <v>0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>C44+E44-G44</f>
        <v>0</v>
      </c>
      <c r="J44" s="181">
        <f t="shared" si="4"/>
        <v>0</v>
      </c>
      <c r="K44" s="64"/>
      <c r="L44" s="94"/>
      <c r="M44" s="94"/>
      <c r="N44" s="94"/>
      <c r="O44" s="94"/>
      <c r="P44" s="94"/>
      <c r="Q44" s="95"/>
      <c r="R44" s="176">
        <f t="shared" si="7"/>
        <v>0</v>
      </c>
      <c r="S44" s="180">
        <f t="shared" si="7"/>
        <v>0</v>
      </c>
      <c r="T44" s="64"/>
      <c r="U44" s="67">
        <f>L44*6+N44*6+P44*6</f>
        <v>0</v>
      </c>
      <c r="V44" s="162">
        <f>U44/6</f>
        <v>0</v>
      </c>
      <c r="W44" s="158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4"/>
        <v>0</v>
      </c>
      <c r="J48" s="103">
        <f t="shared" si="4"/>
        <v>0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0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4"/>
        <v>0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0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4"/>
        <v>0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8">
        <f t="shared" si="20"/>
        <v>0</v>
      </c>
      <c r="S60" s="125">
        <f t="shared" si="20"/>
        <v>0</v>
      </c>
      <c r="T60" s="49"/>
      <c r="U60" s="46">
        <f>SUM(U8:U59)</f>
        <v>0</v>
      </c>
      <c r="V60" s="184">
        <f>SUM(V8:V59)</f>
        <v>0</v>
      </c>
      <c r="W60" s="161">
        <f>SUM(W8:W59)</f>
        <v>0</v>
      </c>
      <c r="X60" s="48"/>
    </row>
    <row r="61" spans="1:24" ht="19.5" thickBot="1" x14ac:dyDescent="0.3">
      <c r="V61" s="185"/>
    </row>
    <row r="62" spans="1:24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0" t="s">
        <v>3</v>
      </c>
      <c r="D69" s="19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3627C-40DE-4E81-A37A-1FCDF75941A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46072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196" t="s">
        <v>74</v>
      </c>
      <c r="C4" s="205" t="s">
        <v>3</v>
      </c>
      <c r="D4" s="215" t="s">
        <v>75</v>
      </c>
      <c r="E4" s="206" t="s">
        <v>4</v>
      </c>
      <c r="F4" s="207"/>
      <c r="G4" s="208" t="s">
        <v>5</v>
      </c>
      <c r="H4" s="216" t="s">
        <v>75</v>
      </c>
      <c r="I4" s="210" t="s">
        <v>6</v>
      </c>
      <c r="J4" s="216" t="s">
        <v>75</v>
      </c>
      <c r="L4" s="212" t="s">
        <v>7</v>
      </c>
      <c r="M4" s="213"/>
      <c r="N4" s="213"/>
      <c r="O4" s="213"/>
      <c r="P4" s="213"/>
      <c r="Q4" s="213"/>
      <c r="R4" s="213"/>
      <c r="S4" s="213"/>
      <c r="T4" s="213"/>
      <c r="U4" s="213"/>
      <c r="V4" s="218"/>
      <c r="W4" s="213"/>
      <c r="X4" s="214"/>
    </row>
    <row r="5" spans="1:60" s="3" customFormat="1" ht="57" thickBot="1" x14ac:dyDescent="0.3">
      <c r="A5" s="53"/>
      <c r="B5" s="196"/>
      <c r="C5" s="205"/>
      <c r="D5" s="215"/>
      <c r="E5" s="52" t="s">
        <v>8</v>
      </c>
      <c r="F5" s="195" t="s">
        <v>9</v>
      </c>
      <c r="G5" s="209"/>
      <c r="H5" s="217"/>
      <c r="I5" s="211"/>
      <c r="J5" s="217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/>
      <c r="D9" s="105"/>
      <c r="E9" s="106"/>
      <c r="F9" s="106"/>
      <c r="G9" s="107"/>
      <c r="H9" s="108"/>
      <c r="I9" s="107">
        <f t="shared" ref="I9:J59" si="4">C9-G9</f>
        <v>0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4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>
        <f>L11*24+N11*24+P11*24</f>
        <v>0</v>
      </c>
      <c r="V11" s="162">
        <f>U11/24</f>
        <v>0</v>
      </c>
      <c r="W11" s="157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4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/>
      <c r="D13" s="105"/>
      <c r="E13" s="106"/>
      <c r="F13" s="106"/>
      <c r="G13" s="107"/>
      <c r="H13" s="108"/>
      <c r="I13" s="116">
        <f t="shared" si="4"/>
        <v>0</v>
      </c>
      <c r="J13" s="166">
        <f>D13-H13</f>
        <v>0</v>
      </c>
      <c r="K13" s="68"/>
      <c r="L13" s="94"/>
      <c r="M13" s="94"/>
      <c r="N13" s="94"/>
      <c r="O13" s="94"/>
      <c r="P13" s="94"/>
      <c r="Q13" s="95"/>
      <c r="R13" s="169">
        <f>L13+N13+P13</f>
        <v>0</v>
      </c>
      <c r="S13" s="171">
        <f>M13+O13+Q13</f>
        <v>0</v>
      </c>
      <c r="T13" s="68"/>
      <c r="U13" s="67">
        <f>L13*24+N13*24+P13*24</f>
        <v>0</v>
      </c>
      <c r="V13" s="56">
        <f t="shared" si="6"/>
        <v>0</v>
      </c>
      <c r="W13" s="158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/>
      <c r="D14" s="101"/>
      <c r="E14" s="91"/>
      <c r="F14" s="91"/>
      <c r="G14" s="102"/>
      <c r="H14" s="93"/>
      <c r="I14" s="165">
        <f t="shared" si="4"/>
        <v>0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4"/>
        <v>0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4"/>
        <v>0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4"/>
        <v>0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4"/>
        <v>0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4"/>
        <v>0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4"/>
        <v>0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4"/>
        <v>0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4"/>
        <v>0</v>
      </c>
      <c r="J26" s="103">
        <f t="shared" si="4"/>
        <v>0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4"/>
        <v>0</v>
      </c>
      <c r="J29" s="103">
        <f t="shared" si="4"/>
        <v>0</v>
      </c>
      <c r="K29" s="45"/>
      <c r="L29" s="91"/>
      <c r="M29" s="91"/>
      <c r="N29" s="91"/>
      <c r="O29" s="91"/>
      <c r="P29" s="91"/>
      <c r="Q29" s="92"/>
      <c r="R29" s="129">
        <f t="shared" si="7"/>
        <v>0</v>
      </c>
      <c r="S29" s="127">
        <f t="shared" si="7"/>
        <v>0</v>
      </c>
      <c r="T29" s="45"/>
      <c r="U29" s="28">
        <f t="shared" si="5"/>
        <v>0</v>
      </c>
      <c r="V29" s="162">
        <f t="shared" si="6"/>
        <v>0</v>
      </c>
      <c r="W29" s="157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4"/>
        <v>0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4"/>
        <v>0</v>
      </c>
      <c r="J35" s="103">
        <f t="shared" si="4"/>
        <v>0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/>
      <c r="D38" s="105"/>
      <c r="E38" s="106"/>
      <c r="F38" s="106"/>
      <c r="G38" s="107"/>
      <c r="H38" s="108"/>
      <c r="I38" s="116">
        <f t="shared" si="4"/>
        <v>0</v>
      </c>
      <c r="J38" s="166">
        <f t="shared" si="4"/>
        <v>0</v>
      </c>
      <c r="K38" s="64"/>
      <c r="L38" s="94"/>
      <c r="M38" s="94"/>
      <c r="N38" s="94"/>
      <c r="O38" s="94"/>
      <c r="P38" s="94"/>
      <c r="Q38" s="95"/>
      <c r="R38" s="169">
        <f t="shared" si="7"/>
        <v>0</v>
      </c>
      <c r="S38" s="171">
        <f t="shared" si="7"/>
        <v>0</v>
      </c>
      <c r="T38" s="64"/>
      <c r="U38" s="67">
        <f>L38*6+N38*6+P38*6</f>
        <v>0</v>
      </c>
      <c r="V38" s="172">
        <f>U38/6</f>
        <v>0</v>
      </c>
      <c r="W38" s="158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/>
      <c r="D39" s="101"/>
      <c r="E39" s="91"/>
      <c r="F39" s="91"/>
      <c r="G39" s="102"/>
      <c r="H39" s="93"/>
      <c r="I39" s="165">
        <f t="shared" si="4"/>
        <v>0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/>
      <c r="D41" s="105"/>
      <c r="E41" s="106"/>
      <c r="F41" s="106"/>
      <c r="G41" s="107"/>
      <c r="H41" s="108"/>
      <c r="I41" s="116">
        <f t="shared" si="4"/>
        <v>0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0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/>
      <c r="D42" s="110"/>
      <c r="E42" s="96"/>
      <c r="F42" s="96"/>
      <c r="G42" s="111"/>
      <c r="H42" s="112"/>
      <c r="I42" s="111">
        <f t="shared" si="4"/>
        <v>0</v>
      </c>
      <c r="J42" s="167">
        <f t="shared" si="4"/>
        <v>0</v>
      </c>
      <c r="K42" s="69"/>
      <c r="L42" s="96"/>
      <c r="M42" s="96"/>
      <c r="N42" s="96"/>
      <c r="O42" s="96"/>
      <c r="P42" s="96"/>
      <c r="Q42" s="97"/>
      <c r="R42" s="175">
        <f t="shared" si="7"/>
        <v>0</v>
      </c>
      <c r="S42" s="180">
        <f t="shared" si="7"/>
        <v>0</v>
      </c>
      <c r="T42" s="69"/>
      <c r="U42" s="60">
        <f>L42*12+N42*12+P42*12</f>
        <v>0</v>
      </c>
      <c r="V42" s="61">
        <f>U42/12</f>
        <v>0</v>
      </c>
      <c r="W42" s="160">
        <f>I42*12+J42</f>
        <v>0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>C44+E44-G44</f>
        <v>0</v>
      </c>
      <c r="J44" s="181">
        <f t="shared" si="4"/>
        <v>0</v>
      </c>
      <c r="K44" s="64"/>
      <c r="L44" s="94"/>
      <c r="M44" s="94"/>
      <c r="N44" s="94"/>
      <c r="O44" s="94"/>
      <c r="P44" s="94"/>
      <c r="Q44" s="95"/>
      <c r="R44" s="176">
        <f t="shared" si="7"/>
        <v>0</v>
      </c>
      <c r="S44" s="180">
        <f t="shared" si="7"/>
        <v>0</v>
      </c>
      <c r="T44" s="64"/>
      <c r="U44" s="67">
        <f>L44*6+N44*6+P44*6</f>
        <v>0</v>
      </c>
      <c r="V44" s="162">
        <f>U44/6</f>
        <v>0</v>
      </c>
      <c r="W44" s="158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4"/>
        <v>0</v>
      </c>
      <c r="J48" s="103">
        <f t="shared" si="4"/>
        <v>0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0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4"/>
        <v>0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0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4"/>
        <v>0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8">
        <f t="shared" si="20"/>
        <v>0</v>
      </c>
      <c r="S60" s="125">
        <f t="shared" si="20"/>
        <v>0</v>
      </c>
      <c r="T60" s="49"/>
      <c r="U60" s="46">
        <f>SUM(U8:U59)</f>
        <v>0</v>
      </c>
      <c r="V60" s="184">
        <f>SUM(V8:V59)</f>
        <v>0</v>
      </c>
      <c r="W60" s="161">
        <f>SUM(W8:W59)</f>
        <v>0</v>
      </c>
      <c r="X60" s="48"/>
    </row>
    <row r="61" spans="1:24" ht="19.5" thickBot="1" x14ac:dyDescent="0.3">
      <c r="V61" s="185"/>
    </row>
    <row r="62" spans="1:24" ht="18.75" customHeight="1" x14ac:dyDescent="0.25">
      <c r="G62" s="197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198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199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00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00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01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02,19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'02,19'!Print_Area</vt:lpstr>
      <vt:lpstr>EXAMPLE!Print_Area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2026-02-16T06:26:58Z</cp:lastPrinted>
  <dcterms:created xsi:type="dcterms:W3CDTF">2024-09-01T23:32:49Z</dcterms:created>
  <dcterms:modified xsi:type="dcterms:W3CDTF">2026-02-18T02:33:09Z</dcterms:modified>
</cp:coreProperties>
</file>