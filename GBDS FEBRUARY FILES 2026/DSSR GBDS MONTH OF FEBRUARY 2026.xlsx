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8795DA7-D53C-4A9B-B925-0BDB42F1B75D}" xr6:coauthVersionLast="45" xr6:coauthVersionMax="45" xr10:uidLastSave="{00000000-0000-0000-0000-000000000000}"/>
  <bookViews>
    <workbookView xWindow="-120" yWindow="-120" windowWidth="29040" windowHeight="15840" firstSheet="12" activeTab="22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___" sheetId="90" r:id="rId20"/>
    <sheet name="02,20" sheetId="91" r:id="rId21"/>
    <sheet name="02,22" sheetId="92" r:id="rId22"/>
    <sheet name="02,23" sheetId="93" r:id="rId23"/>
    <sheet name="02,24" sheetId="94" r:id="rId24"/>
    <sheet name="02,25" sheetId="95" r:id="rId25"/>
    <sheet name="02,26" sheetId="96" r:id="rId26"/>
    <sheet name="02,27" sheetId="97" r:id="rId27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'02,19___'!$A$1:$Y$61</definedName>
    <definedName name="_xlnm.Print_Area" localSheetId="20">'02,20'!$A$1:$Y$61</definedName>
    <definedName name="_xlnm.Print_Area" localSheetId="21">'02,22'!$A$1:$Y$61</definedName>
    <definedName name="_xlnm.Print_Area" localSheetId="22">'02,23'!$A$1:$Y$61</definedName>
    <definedName name="_xlnm.Print_Area" localSheetId="23">'02,24'!$A$1:$Y$61</definedName>
    <definedName name="_xlnm.Print_Area" localSheetId="24">'02,25'!$A$1:$Y$61</definedName>
    <definedName name="_xlnm.Print_Area" localSheetId="25">'02,26'!$A$1:$Y$61</definedName>
    <definedName name="_xlnm.Print_Area" localSheetId="26">'02,27'!$A$1:$Y$61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7" l="1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W54" i="97" s="1"/>
  <c r="I54" i="97"/>
  <c r="U53" i="97"/>
  <c r="V53" i="97" s="1"/>
  <c r="S53" i="97"/>
  <c r="R53" i="97"/>
  <c r="J53" i="97"/>
  <c r="I53" i="97"/>
  <c r="W53" i="97" s="1"/>
  <c r="V52" i="97"/>
  <c r="U52" i="97"/>
  <c r="S52" i="97"/>
  <c r="R52" i="97"/>
  <c r="J52" i="97"/>
  <c r="W52" i="97" s="1"/>
  <c r="I52" i="97"/>
  <c r="U51" i="97"/>
  <c r="V51" i="97" s="1"/>
  <c r="S51" i="97"/>
  <c r="R51" i="97"/>
  <c r="J51" i="97"/>
  <c r="I51" i="97"/>
  <c r="W51" i="97" s="1"/>
  <c r="V50" i="97"/>
  <c r="U50" i="97"/>
  <c r="S50" i="97"/>
  <c r="R50" i="97"/>
  <c r="J50" i="97"/>
  <c r="W50" i="97" s="1"/>
  <c r="I50" i="97"/>
  <c r="U49" i="97"/>
  <c r="V49" i="97" s="1"/>
  <c r="S49" i="97"/>
  <c r="R49" i="97"/>
  <c r="J49" i="97"/>
  <c r="I49" i="97"/>
  <c r="W49" i="97" s="1"/>
  <c r="V48" i="97"/>
  <c r="U48" i="97"/>
  <c r="S48" i="97"/>
  <c r="R48" i="97"/>
  <c r="J48" i="97"/>
  <c r="W48" i="97" s="1"/>
  <c r="I48" i="97"/>
  <c r="U47" i="97"/>
  <c r="V47" i="97" s="1"/>
  <c r="S47" i="97"/>
  <c r="R47" i="97"/>
  <c r="J47" i="97"/>
  <c r="I47" i="97"/>
  <c r="W47" i="97" s="1"/>
  <c r="V46" i="97"/>
  <c r="U46" i="97"/>
  <c r="S46" i="97"/>
  <c r="R46" i="97"/>
  <c r="J46" i="97"/>
  <c r="W46" i="97" s="1"/>
  <c r="I46" i="97"/>
  <c r="S45" i="97"/>
  <c r="R45" i="97"/>
  <c r="R60" i="97" s="1"/>
  <c r="J45" i="97"/>
  <c r="I45" i="97"/>
  <c r="W44" i="97"/>
  <c r="U44" i="97"/>
  <c r="V44" i="97" s="1"/>
  <c r="S44" i="97"/>
  <c r="R44" i="97"/>
  <c r="J44" i="97"/>
  <c r="I44" i="97"/>
  <c r="S43" i="97"/>
  <c r="R43" i="97"/>
  <c r="J43" i="97"/>
  <c r="I43" i="97"/>
  <c r="W42" i="97"/>
  <c r="U42" i="97"/>
  <c r="V42" i="97" s="1"/>
  <c r="S42" i="97"/>
  <c r="R42" i="97"/>
  <c r="J42" i="97"/>
  <c r="I42" i="97"/>
  <c r="W41" i="97"/>
  <c r="U41" i="97"/>
  <c r="V41" i="97" s="1"/>
  <c r="S41" i="97"/>
  <c r="R41" i="97"/>
  <c r="J41" i="97"/>
  <c r="I41" i="97"/>
  <c r="W40" i="97"/>
  <c r="U40" i="97"/>
  <c r="V40" i="97" s="1"/>
  <c r="S40" i="97"/>
  <c r="R40" i="97"/>
  <c r="J40" i="97"/>
  <c r="I40" i="97"/>
  <c r="W39" i="97"/>
  <c r="U39" i="97"/>
  <c r="V39" i="97" s="1"/>
  <c r="S39" i="97"/>
  <c r="R39" i="97"/>
  <c r="J39" i="97"/>
  <c r="I39" i="97"/>
  <c r="W38" i="97"/>
  <c r="U38" i="97"/>
  <c r="V38" i="97" s="1"/>
  <c r="S38" i="97"/>
  <c r="R38" i="97"/>
  <c r="J38" i="97"/>
  <c r="I38" i="97"/>
  <c r="W37" i="97"/>
  <c r="U37" i="97"/>
  <c r="V37" i="97" s="1"/>
  <c r="S37" i="97"/>
  <c r="R37" i="97"/>
  <c r="J37" i="97"/>
  <c r="I37" i="97"/>
  <c r="W36" i="97"/>
  <c r="U36" i="97"/>
  <c r="V36" i="97" s="1"/>
  <c r="S36" i="97"/>
  <c r="R36" i="97"/>
  <c r="J36" i="97"/>
  <c r="I36" i="97"/>
  <c r="W35" i="97"/>
  <c r="U35" i="97"/>
  <c r="V35" i="97" s="1"/>
  <c r="S35" i="97"/>
  <c r="R35" i="97"/>
  <c r="J35" i="97"/>
  <c r="I35" i="97"/>
  <c r="W34" i="97"/>
  <c r="U34" i="97"/>
  <c r="V34" i="97" s="1"/>
  <c r="S34" i="97"/>
  <c r="R34" i="97"/>
  <c r="J34" i="97"/>
  <c r="I34" i="97"/>
  <c r="W33" i="97"/>
  <c r="U33" i="97"/>
  <c r="V33" i="97" s="1"/>
  <c r="S33" i="97"/>
  <c r="R33" i="97"/>
  <c r="J33" i="97"/>
  <c r="I33" i="97"/>
  <c r="W32" i="97"/>
  <c r="U32" i="97"/>
  <c r="V32" i="97" s="1"/>
  <c r="S32" i="97"/>
  <c r="R32" i="97"/>
  <c r="J32" i="97"/>
  <c r="I32" i="97"/>
  <c r="W31" i="97"/>
  <c r="U31" i="97"/>
  <c r="V31" i="97" s="1"/>
  <c r="S31" i="97"/>
  <c r="R31" i="97"/>
  <c r="J31" i="97"/>
  <c r="I31" i="97"/>
  <c r="W30" i="97"/>
  <c r="U30" i="97"/>
  <c r="V30" i="97" s="1"/>
  <c r="S30" i="97"/>
  <c r="R30" i="97"/>
  <c r="J30" i="97"/>
  <c r="I30" i="97"/>
  <c r="W29" i="97"/>
  <c r="U29" i="97"/>
  <c r="V29" i="97" s="1"/>
  <c r="S29" i="97"/>
  <c r="R29" i="97"/>
  <c r="J29" i="97"/>
  <c r="I29" i="97"/>
  <c r="W28" i="97"/>
  <c r="U28" i="97"/>
  <c r="V28" i="97" s="1"/>
  <c r="S28" i="97"/>
  <c r="R28" i="97"/>
  <c r="J28" i="97"/>
  <c r="I28" i="97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V21" i="97"/>
  <c r="U21" i="97"/>
  <c r="S21" i="97"/>
  <c r="R21" i="97"/>
  <c r="J21" i="97"/>
  <c r="I21" i="97"/>
  <c r="W21" i="97" s="1"/>
  <c r="U20" i="97"/>
  <c r="V20" i="97" s="1"/>
  <c r="S20" i="97"/>
  <c r="R20" i="97"/>
  <c r="J20" i="97"/>
  <c r="I20" i="97"/>
  <c r="W20" i="97" s="1"/>
  <c r="V19" i="97"/>
  <c r="U19" i="97"/>
  <c r="S19" i="97"/>
  <c r="R19" i="97"/>
  <c r="J19" i="97"/>
  <c r="I19" i="97"/>
  <c r="W19" i="97" s="1"/>
  <c r="U18" i="97"/>
  <c r="V18" i="97" s="1"/>
  <c r="S18" i="97"/>
  <c r="R18" i="97"/>
  <c r="J18" i="97"/>
  <c r="I18" i="97"/>
  <c r="W18" i="97" s="1"/>
  <c r="V17" i="97"/>
  <c r="U17" i="97"/>
  <c r="S17" i="97"/>
  <c r="R17" i="97"/>
  <c r="J17" i="97"/>
  <c r="I17" i="97"/>
  <c r="W17" i="97" s="1"/>
  <c r="U16" i="97"/>
  <c r="V16" i="97" s="1"/>
  <c r="S16" i="97"/>
  <c r="R16" i="97"/>
  <c r="J16" i="97"/>
  <c r="I16" i="97"/>
  <c r="W16" i="97" s="1"/>
  <c r="V15" i="97"/>
  <c r="U15" i="97"/>
  <c r="S15" i="97"/>
  <c r="R15" i="97"/>
  <c r="J15" i="97"/>
  <c r="I15" i="97"/>
  <c r="W15" i="97" s="1"/>
  <c r="U14" i="97"/>
  <c r="V14" i="97" s="1"/>
  <c r="S14" i="97"/>
  <c r="R14" i="97"/>
  <c r="J14" i="97"/>
  <c r="I14" i="97"/>
  <c r="W14" i="97" s="1"/>
  <c r="V13" i="97"/>
  <c r="U13" i="97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V11" i="97"/>
  <c r="U11" i="97"/>
  <c r="S11" i="97"/>
  <c r="R11" i="97"/>
  <c r="J11" i="97"/>
  <c r="I11" i="97"/>
  <c r="W11" i="97" s="1"/>
  <c r="U10" i="97"/>
  <c r="V10" i="97" s="1"/>
  <c r="S10" i="97"/>
  <c r="R10" i="97"/>
  <c r="J10" i="97"/>
  <c r="I10" i="97"/>
  <c r="W10" i="97" s="1"/>
  <c r="V9" i="97"/>
  <c r="U9" i="97"/>
  <c r="S9" i="97"/>
  <c r="R9" i="97"/>
  <c r="J9" i="97"/>
  <c r="I9" i="97"/>
  <c r="W9" i="97" s="1"/>
  <c r="A9" i="97"/>
  <c r="A10" i="97" s="1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U8" i="97"/>
  <c r="U60" i="97" s="1"/>
  <c r="S8" i="97"/>
  <c r="S60" i="97" s="1"/>
  <c r="R8" i="97"/>
  <c r="J8" i="97"/>
  <c r="J60" i="97" s="1"/>
  <c r="I8" i="97"/>
  <c r="W8" i="97" s="1"/>
  <c r="U60" i="96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W54" i="96" s="1"/>
  <c r="W53" i="96"/>
  <c r="V53" i="96"/>
  <c r="U53" i="96"/>
  <c r="S53" i="96"/>
  <c r="R53" i="96"/>
  <c r="J53" i="96"/>
  <c r="I53" i="96"/>
  <c r="U52" i="96"/>
  <c r="V52" i="96" s="1"/>
  <c r="S52" i="96"/>
  <c r="R52" i="96"/>
  <c r="J52" i="96"/>
  <c r="I52" i="96"/>
  <c r="W52" i="96" s="1"/>
  <c r="W51" i="96"/>
  <c r="V51" i="96"/>
  <c r="U51" i="96"/>
  <c r="S51" i="96"/>
  <c r="R51" i="96"/>
  <c r="J51" i="96"/>
  <c r="I51" i="96"/>
  <c r="U50" i="96"/>
  <c r="V50" i="96" s="1"/>
  <c r="S50" i="96"/>
  <c r="R50" i="96"/>
  <c r="J50" i="96"/>
  <c r="I50" i="96"/>
  <c r="W50" i="96" s="1"/>
  <c r="W49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8" i="96" s="1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I46" i="96"/>
  <c r="W46" i="96" s="1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W42" i="96"/>
  <c r="V42" i="96"/>
  <c r="U42" i="96"/>
  <c r="S42" i="96"/>
  <c r="R42" i="96"/>
  <c r="J42" i="96"/>
  <c r="I42" i="96"/>
  <c r="U41" i="96"/>
  <c r="V41" i="96" s="1"/>
  <c r="S41" i="96"/>
  <c r="R41" i="96"/>
  <c r="J41" i="96"/>
  <c r="I41" i="96"/>
  <c r="W41" i="96" s="1"/>
  <c r="W40" i="96"/>
  <c r="V40" i="96"/>
  <c r="U40" i="96"/>
  <c r="S40" i="96"/>
  <c r="R40" i="96"/>
  <c r="J40" i="96"/>
  <c r="I40" i="96"/>
  <c r="U39" i="96"/>
  <c r="V39" i="96" s="1"/>
  <c r="S39" i="96"/>
  <c r="R39" i="96"/>
  <c r="J39" i="96"/>
  <c r="I39" i="96"/>
  <c r="W39" i="96" s="1"/>
  <c r="W38" i="96"/>
  <c r="V38" i="96"/>
  <c r="U38" i="96"/>
  <c r="S38" i="96"/>
  <c r="R38" i="96"/>
  <c r="J38" i="96"/>
  <c r="I38" i="96"/>
  <c r="U37" i="96"/>
  <c r="V37" i="96" s="1"/>
  <c r="S37" i="96"/>
  <c r="R37" i="96"/>
  <c r="J37" i="96"/>
  <c r="I37" i="96"/>
  <c r="W37" i="96" s="1"/>
  <c r="W36" i="96"/>
  <c r="V36" i="96"/>
  <c r="U36" i="96"/>
  <c r="S36" i="96"/>
  <c r="R36" i="96"/>
  <c r="J36" i="96"/>
  <c r="I36" i="96"/>
  <c r="U35" i="96"/>
  <c r="V35" i="96" s="1"/>
  <c r="S35" i="96"/>
  <c r="R35" i="96"/>
  <c r="J35" i="96"/>
  <c r="I35" i="96"/>
  <c r="W35" i="96" s="1"/>
  <c r="W34" i="96"/>
  <c r="V34" i="96"/>
  <c r="U34" i="96"/>
  <c r="S34" i="96"/>
  <c r="R34" i="96"/>
  <c r="J34" i="96"/>
  <c r="I34" i="96"/>
  <c r="U33" i="96"/>
  <c r="V33" i="96" s="1"/>
  <c r="S33" i="96"/>
  <c r="R33" i="96"/>
  <c r="J33" i="96"/>
  <c r="I33" i="96"/>
  <c r="W33" i="96" s="1"/>
  <c r="W32" i="96"/>
  <c r="V32" i="96"/>
  <c r="U32" i="96"/>
  <c r="S32" i="96"/>
  <c r="R32" i="96"/>
  <c r="J32" i="96"/>
  <c r="I32" i="96"/>
  <c r="U31" i="96"/>
  <c r="V31" i="96" s="1"/>
  <c r="S31" i="96"/>
  <c r="R31" i="96"/>
  <c r="J31" i="96"/>
  <c r="I31" i="96"/>
  <c r="W31" i="96" s="1"/>
  <c r="W30" i="96"/>
  <c r="V30" i="96"/>
  <c r="U30" i="96"/>
  <c r="S30" i="96"/>
  <c r="R30" i="96"/>
  <c r="J30" i="96"/>
  <c r="I30" i="96"/>
  <c r="U29" i="96"/>
  <c r="V29" i="96" s="1"/>
  <c r="S29" i="96"/>
  <c r="R29" i="96"/>
  <c r="J29" i="96"/>
  <c r="I29" i="96"/>
  <c r="W29" i="96" s="1"/>
  <c r="W28" i="96"/>
  <c r="V28" i="96"/>
  <c r="U28" i="96"/>
  <c r="S28" i="96"/>
  <c r="R28" i="96"/>
  <c r="J28" i="96"/>
  <c r="I28" i="96"/>
  <c r="U27" i="96"/>
  <c r="V27" i="96" s="1"/>
  <c r="S27" i="96"/>
  <c r="R27" i="96"/>
  <c r="J27" i="96"/>
  <c r="I27" i="96"/>
  <c r="W27" i="96" s="1"/>
  <c r="BE26" i="96"/>
  <c r="W26" i="96"/>
  <c r="V26" i="96"/>
  <c r="U26" i="96"/>
  <c r="S26" i="96"/>
  <c r="R26" i="96"/>
  <c r="J26" i="96"/>
  <c r="I26" i="96"/>
  <c r="V25" i="96"/>
  <c r="U25" i="96"/>
  <c r="S25" i="96"/>
  <c r="R25" i="96"/>
  <c r="J25" i="96"/>
  <c r="I25" i="96"/>
  <c r="W25" i="96" s="1"/>
  <c r="W24" i="96"/>
  <c r="V24" i="96"/>
  <c r="U24" i="96"/>
  <c r="S24" i="96"/>
  <c r="R24" i="96"/>
  <c r="J24" i="96"/>
  <c r="I24" i="96"/>
  <c r="V23" i="96"/>
  <c r="U23" i="96"/>
  <c r="S23" i="96"/>
  <c r="R23" i="96"/>
  <c r="J23" i="96"/>
  <c r="I23" i="96"/>
  <c r="W23" i="96" s="1"/>
  <c r="W22" i="96"/>
  <c r="V22" i="96"/>
  <c r="U22" i="96"/>
  <c r="S22" i="96"/>
  <c r="R22" i="96"/>
  <c r="J22" i="96"/>
  <c r="I22" i="96"/>
  <c r="V21" i="96"/>
  <c r="U21" i="96"/>
  <c r="S21" i="96"/>
  <c r="R21" i="96"/>
  <c r="J21" i="96"/>
  <c r="I21" i="96"/>
  <c r="W21" i="96" s="1"/>
  <c r="W20" i="96"/>
  <c r="V20" i="96"/>
  <c r="U20" i="96"/>
  <c r="S20" i="96"/>
  <c r="R20" i="96"/>
  <c r="J20" i="96"/>
  <c r="I20" i="96"/>
  <c r="V19" i="96"/>
  <c r="U19" i="96"/>
  <c r="S19" i="96"/>
  <c r="R19" i="96"/>
  <c r="J19" i="96"/>
  <c r="I19" i="96"/>
  <c r="W19" i="96" s="1"/>
  <c r="W18" i="96"/>
  <c r="V18" i="96"/>
  <c r="U18" i="96"/>
  <c r="S18" i="96"/>
  <c r="R18" i="96"/>
  <c r="J18" i="96"/>
  <c r="I18" i="96"/>
  <c r="V17" i="96"/>
  <c r="U17" i="96"/>
  <c r="S17" i="96"/>
  <c r="R17" i="96"/>
  <c r="J17" i="96"/>
  <c r="I17" i="96"/>
  <c r="W17" i="96" s="1"/>
  <c r="W16" i="96"/>
  <c r="V16" i="96"/>
  <c r="U16" i="96"/>
  <c r="S16" i="96"/>
  <c r="R16" i="96"/>
  <c r="J16" i="96"/>
  <c r="I16" i="96"/>
  <c r="V15" i="96"/>
  <c r="U15" i="96"/>
  <c r="S15" i="96"/>
  <c r="R15" i="96"/>
  <c r="J15" i="96"/>
  <c r="I15" i="96"/>
  <c r="W15" i="96" s="1"/>
  <c r="W14" i="96"/>
  <c r="V14" i="96"/>
  <c r="U14" i="96"/>
  <c r="S14" i="96"/>
  <c r="R14" i="96"/>
  <c r="J14" i="96"/>
  <c r="I14" i="96"/>
  <c r="V13" i="96"/>
  <c r="U13" i="96"/>
  <c r="S13" i="96"/>
  <c r="R13" i="96"/>
  <c r="J13" i="96"/>
  <c r="I13" i="96"/>
  <c r="W13" i="96" s="1"/>
  <c r="W12" i="96"/>
  <c r="V12" i="96"/>
  <c r="U12" i="96"/>
  <c r="S12" i="96"/>
  <c r="R12" i="96"/>
  <c r="J12" i="96"/>
  <c r="I12" i="96"/>
  <c r="V11" i="96"/>
  <c r="U11" i="96"/>
  <c r="S11" i="96"/>
  <c r="R11" i="96"/>
  <c r="J11" i="96"/>
  <c r="I11" i="96"/>
  <c r="W11" i="96" s="1"/>
  <c r="W10" i="96"/>
  <c r="V10" i="96"/>
  <c r="U10" i="96"/>
  <c r="S10" i="96"/>
  <c r="R10" i="96"/>
  <c r="J10" i="96"/>
  <c r="I10" i="96"/>
  <c r="V9" i="96"/>
  <c r="U9" i="96"/>
  <c r="S9" i="96"/>
  <c r="S60" i="96" s="1"/>
  <c r="R9" i="96"/>
  <c r="R60" i="96" s="1"/>
  <c r="J9" i="96"/>
  <c r="I9" i="96"/>
  <c r="W9" i="96" s="1"/>
  <c r="A9" i="96"/>
  <c r="A10" i="96" s="1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W8" i="96"/>
  <c r="V8" i="96"/>
  <c r="U8" i="96"/>
  <c r="S8" i="96"/>
  <c r="R8" i="96"/>
  <c r="J8" i="96"/>
  <c r="J60" i="96" s="1"/>
  <c r="I8" i="96"/>
  <c r="I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W48" i="95" s="1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W44" i="95"/>
  <c r="V44" i="95"/>
  <c r="U44" i="95"/>
  <c r="S44" i="95"/>
  <c r="R44" i="95"/>
  <c r="J44" i="95"/>
  <c r="I44" i="95"/>
  <c r="S43" i="95"/>
  <c r="R43" i="95"/>
  <c r="J43" i="95"/>
  <c r="I43" i="95"/>
  <c r="W42" i="95"/>
  <c r="V42" i="95"/>
  <c r="U42" i="95"/>
  <c r="S42" i="95"/>
  <c r="R42" i="95"/>
  <c r="J42" i="95"/>
  <c r="I42" i="95"/>
  <c r="W41" i="95"/>
  <c r="U41" i="95"/>
  <c r="V41" i="95" s="1"/>
  <c r="S41" i="95"/>
  <c r="R41" i="95"/>
  <c r="J41" i="95"/>
  <c r="I41" i="95"/>
  <c r="W40" i="95"/>
  <c r="V40" i="95"/>
  <c r="U40" i="95"/>
  <c r="S40" i="95"/>
  <c r="R40" i="95"/>
  <c r="J40" i="95"/>
  <c r="I40" i="95"/>
  <c r="W39" i="95"/>
  <c r="U39" i="95"/>
  <c r="V39" i="95" s="1"/>
  <c r="S39" i="95"/>
  <c r="R39" i="95"/>
  <c r="J39" i="95"/>
  <c r="I39" i="95"/>
  <c r="W38" i="95"/>
  <c r="V38" i="95"/>
  <c r="U38" i="95"/>
  <c r="S38" i="95"/>
  <c r="R38" i="95"/>
  <c r="J38" i="95"/>
  <c r="I38" i="95"/>
  <c r="W37" i="95"/>
  <c r="U37" i="95"/>
  <c r="V37" i="95" s="1"/>
  <c r="S37" i="95"/>
  <c r="R37" i="95"/>
  <c r="J37" i="95"/>
  <c r="I37" i="95"/>
  <c r="W36" i="95"/>
  <c r="V36" i="95"/>
  <c r="U36" i="95"/>
  <c r="S36" i="95"/>
  <c r="R36" i="95"/>
  <c r="J36" i="95"/>
  <c r="I36" i="95"/>
  <c r="W35" i="95"/>
  <c r="U35" i="95"/>
  <c r="V35" i="95" s="1"/>
  <c r="S35" i="95"/>
  <c r="R35" i="95"/>
  <c r="J35" i="95"/>
  <c r="I35" i="95"/>
  <c r="W34" i="95"/>
  <c r="V34" i="95"/>
  <c r="U34" i="95"/>
  <c r="S34" i="95"/>
  <c r="R34" i="95"/>
  <c r="J34" i="95"/>
  <c r="I34" i="95"/>
  <c r="W33" i="95"/>
  <c r="U33" i="95"/>
  <c r="V33" i="95" s="1"/>
  <c r="S33" i="95"/>
  <c r="R33" i="95"/>
  <c r="J33" i="95"/>
  <c r="I33" i="95"/>
  <c r="W32" i="95"/>
  <c r="V32" i="95"/>
  <c r="U32" i="95"/>
  <c r="S32" i="95"/>
  <c r="R32" i="95"/>
  <c r="J32" i="95"/>
  <c r="I32" i="95"/>
  <c r="W31" i="95"/>
  <c r="U31" i="95"/>
  <c r="V31" i="95" s="1"/>
  <c r="S31" i="95"/>
  <c r="R31" i="95"/>
  <c r="J31" i="95"/>
  <c r="I31" i="95"/>
  <c r="W30" i="95"/>
  <c r="V30" i="95"/>
  <c r="U30" i="95"/>
  <c r="S30" i="95"/>
  <c r="R30" i="95"/>
  <c r="J30" i="95"/>
  <c r="I30" i="95"/>
  <c r="W29" i="95"/>
  <c r="U29" i="95"/>
  <c r="V29" i="95" s="1"/>
  <c r="S29" i="95"/>
  <c r="R29" i="95"/>
  <c r="J29" i="95"/>
  <c r="I29" i="95"/>
  <c r="W28" i="95"/>
  <c r="V28" i="95"/>
  <c r="U28" i="95"/>
  <c r="S28" i="95"/>
  <c r="R28" i="95"/>
  <c r="J28" i="95"/>
  <c r="I28" i="95"/>
  <c r="W27" i="95"/>
  <c r="U27" i="95"/>
  <c r="V27" i="95" s="1"/>
  <c r="S27" i="95"/>
  <c r="R27" i="95"/>
  <c r="R60" i="95" s="1"/>
  <c r="J27" i="95"/>
  <c r="I27" i="95"/>
  <c r="BE26" i="95"/>
  <c r="W26" i="95"/>
  <c r="U26" i="95"/>
  <c r="V26" i="95" s="1"/>
  <c r="S26" i="95"/>
  <c r="R26" i="95"/>
  <c r="J26" i="95"/>
  <c r="I26" i="95"/>
  <c r="U25" i="95"/>
  <c r="V25" i="95" s="1"/>
  <c r="S25" i="95"/>
  <c r="R25" i="95"/>
  <c r="J25" i="95"/>
  <c r="I25" i="95"/>
  <c r="W25" i="95" s="1"/>
  <c r="W24" i="95"/>
  <c r="U24" i="95"/>
  <c r="V24" i="95" s="1"/>
  <c r="S24" i="95"/>
  <c r="R24" i="95"/>
  <c r="J24" i="95"/>
  <c r="I24" i="95"/>
  <c r="U23" i="95"/>
  <c r="V23" i="95" s="1"/>
  <c r="S23" i="95"/>
  <c r="R23" i="95"/>
  <c r="J23" i="95"/>
  <c r="I23" i="95"/>
  <c r="W23" i="95" s="1"/>
  <c r="W22" i="95"/>
  <c r="U22" i="95"/>
  <c r="V22" i="95" s="1"/>
  <c r="S22" i="95"/>
  <c r="R22" i="95"/>
  <c r="J22" i="95"/>
  <c r="I22" i="95"/>
  <c r="U21" i="95"/>
  <c r="V21" i="95" s="1"/>
  <c r="S21" i="95"/>
  <c r="R21" i="95"/>
  <c r="J21" i="95"/>
  <c r="I21" i="95"/>
  <c r="W21" i="95" s="1"/>
  <c r="W20" i="95"/>
  <c r="U20" i="95"/>
  <c r="V20" i="95" s="1"/>
  <c r="S20" i="95"/>
  <c r="R20" i="95"/>
  <c r="J20" i="95"/>
  <c r="I20" i="95"/>
  <c r="U19" i="95"/>
  <c r="V19" i="95" s="1"/>
  <c r="S19" i="95"/>
  <c r="R19" i="95"/>
  <c r="J19" i="95"/>
  <c r="I19" i="95"/>
  <c r="W19" i="95" s="1"/>
  <c r="W18" i="95"/>
  <c r="U18" i="95"/>
  <c r="V18" i="95" s="1"/>
  <c r="S18" i="95"/>
  <c r="R18" i="95"/>
  <c r="J18" i="95"/>
  <c r="I18" i="95"/>
  <c r="U17" i="95"/>
  <c r="V17" i="95" s="1"/>
  <c r="S17" i="95"/>
  <c r="R17" i="95"/>
  <c r="J17" i="95"/>
  <c r="I17" i="95"/>
  <c r="W17" i="95" s="1"/>
  <c r="W16" i="95"/>
  <c r="U16" i="95"/>
  <c r="V16" i="95" s="1"/>
  <c r="S16" i="95"/>
  <c r="R16" i="95"/>
  <c r="J16" i="95"/>
  <c r="I16" i="95"/>
  <c r="U15" i="95"/>
  <c r="V15" i="95" s="1"/>
  <c r="S15" i="95"/>
  <c r="R15" i="95"/>
  <c r="J15" i="95"/>
  <c r="I15" i="95"/>
  <c r="W15" i="95" s="1"/>
  <c r="W14" i="95"/>
  <c r="U14" i="95"/>
  <c r="V14" i="95" s="1"/>
  <c r="S14" i="95"/>
  <c r="R14" i="95"/>
  <c r="J14" i="95"/>
  <c r="I14" i="95"/>
  <c r="U13" i="95"/>
  <c r="V13" i="95" s="1"/>
  <c r="S13" i="95"/>
  <c r="R13" i="95"/>
  <c r="J13" i="95"/>
  <c r="I13" i="95"/>
  <c r="W13" i="95" s="1"/>
  <c r="W12" i="95"/>
  <c r="U12" i="95"/>
  <c r="V12" i="95" s="1"/>
  <c r="S12" i="95"/>
  <c r="R12" i="95"/>
  <c r="J12" i="95"/>
  <c r="I12" i="95"/>
  <c r="U11" i="95"/>
  <c r="V11" i="95" s="1"/>
  <c r="S11" i="95"/>
  <c r="R11" i="95"/>
  <c r="J11" i="95"/>
  <c r="I11" i="95"/>
  <c r="W11" i="95" s="1"/>
  <c r="W10" i="95"/>
  <c r="U10" i="95"/>
  <c r="V10" i="95" s="1"/>
  <c r="S10" i="95"/>
  <c r="R10" i="95"/>
  <c r="J10" i="95"/>
  <c r="I10" i="95"/>
  <c r="U9" i="95"/>
  <c r="V9" i="95" s="1"/>
  <c r="S9" i="95"/>
  <c r="R9" i="95"/>
  <c r="J9" i="95"/>
  <c r="I9" i="95"/>
  <c r="W9" i="95" s="1"/>
  <c r="A9" i="95"/>
  <c r="A10" i="95" s="1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W8" i="95"/>
  <c r="U8" i="95"/>
  <c r="U60" i="95" s="1"/>
  <c r="S8" i="95"/>
  <c r="S60" i="95" s="1"/>
  <c r="R8" i="95"/>
  <c r="J8" i="95"/>
  <c r="J60" i="95" s="1"/>
  <c r="I8" i="95"/>
  <c r="I60" i="95" s="1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W54" i="94"/>
  <c r="V54" i="94"/>
  <c r="U54" i="94"/>
  <c r="S54" i="94"/>
  <c r="R54" i="94"/>
  <c r="J54" i="94"/>
  <c r="I54" i="94"/>
  <c r="U53" i="94"/>
  <c r="V53" i="94" s="1"/>
  <c r="S53" i="94"/>
  <c r="R53" i="94"/>
  <c r="J53" i="94"/>
  <c r="I53" i="94"/>
  <c r="W53" i="94" s="1"/>
  <c r="W52" i="94"/>
  <c r="V52" i="94"/>
  <c r="U52" i="94"/>
  <c r="S52" i="94"/>
  <c r="R52" i="94"/>
  <c r="J52" i="94"/>
  <c r="I52" i="94"/>
  <c r="U51" i="94"/>
  <c r="V51" i="94" s="1"/>
  <c r="S51" i="94"/>
  <c r="R51" i="94"/>
  <c r="J51" i="94"/>
  <c r="I51" i="94"/>
  <c r="W51" i="94" s="1"/>
  <c r="W50" i="94"/>
  <c r="V50" i="94"/>
  <c r="U50" i="94"/>
  <c r="S50" i="94"/>
  <c r="R50" i="94"/>
  <c r="J50" i="94"/>
  <c r="I50" i="94"/>
  <c r="U49" i="94"/>
  <c r="V49" i="94" s="1"/>
  <c r="S49" i="94"/>
  <c r="R49" i="94"/>
  <c r="J49" i="94"/>
  <c r="I49" i="94"/>
  <c r="W49" i="94" s="1"/>
  <c r="W48" i="94"/>
  <c r="V48" i="94"/>
  <c r="U48" i="94"/>
  <c r="S48" i="94"/>
  <c r="R48" i="94"/>
  <c r="J48" i="94"/>
  <c r="I48" i="94"/>
  <c r="U47" i="94"/>
  <c r="V47" i="94" s="1"/>
  <c r="S47" i="94"/>
  <c r="R47" i="94"/>
  <c r="J47" i="94"/>
  <c r="I47" i="94"/>
  <c r="W47" i="94" s="1"/>
  <c r="W46" i="94"/>
  <c r="V46" i="94"/>
  <c r="U46" i="94"/>
  <c r="S46" i="94"/>
  <c r="R46" i="94"/>
  <c r="J46" i="94"/>
  <c r="I46" i="94"/>
  <c r="S45" i="94"/>
  <c r="R45" i="94"/>
  <c r="J45" i="94"/>
  <c r="I45" i="94"/>
  <c r="W44" i="94"/>
  <c r="V44" i="94"/>
  <c r="U44" i="94"/>
  <c r="S44" i="94"/>
  <c r="R44" i="94"/>
  <c r="J44" i="94"/>
  <c r="I44" i="94"/>
  <c r="S43" i="94"/>
  <c r="R43" i="94"/>
  <c r="J43" i="94"/>
  <c r="I43" i="94"/>
  <c r="U42" i="94"/>
  <c r="V42" i="94" s="1"/>
  <c r="S42" i="94"/>
  <c r="R42" i="94"/>
  <c r="J42" i="94"/>
  <c r="I42" i="94"/>
  <c r="W42" i="94" s="1"/>
  <c r="U41" i="94"/>
  <c r="V41" i="94" s="1"/>
  <c r="S41" i="94"/>
  <c r="R41" i="94"/>
  <c r="J41" i="94"/>
  <c r="I41" i="94"/>
  <c r="W41" i="94" s="1"/>
  <c r="U40" i="94"/>
  <c r="V40" i="94" s="1"/>
  <c r="S40" i="94"/>
  <c r="R40" i="94"/>
  <c r="J40" i="94"/>
  <c r="I40" i="94"/>
  <c r="W40" i="94" s="1"/>
  <c r="V39" i="94"/>
  <c r="U39" i="94"/>
  <c r="S39" i="94"/>
  <c r="R39" i="94"/>
  <c r="J39" i="94"/>
  <c r="I39" i="94"/>
  <c r="W39" i="94" s="1"/>
  <c r="U38" i="94"/>
  <c r="V38" i="94" s="1"/>
  <c r="S38" i="94"/>
  <c r="R38" i="94"/>
  <c r="J38" i="94"/>
  <c r="I38" i="94"/>
  <c r="W38" i="94" s="1"/>
  <c r="V37" i="94"/>
  <c r="U37" i="94"/>
  <c r="S37" i="94"/>
  <c r="R37" i="94"/>
  <c r="J37" i="94"/>
  <c r="I37" i="94"/>
  <c r="W37" i="94" s="1"/>
  <c r="U36" i="94"/>
  <c r="V36" i="94" s="1"/>
  <c r="S36" i="94"/>
  <c r="R36" i="94"/>
  <c r="J36" i="94"/>
  <c r="I36" i="94"/>
  <c r="W36" i="94" s="1"/>
  <c r="V35" i="94"/>
  <c r="U35" i="94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U33" i="94"/>
  <c r="V33" i="94" s="1"/>
  <c r="S33" i="94"/>
  <c r="R33" i="94"/>
  <c r="J33" i="94"/>
  <c r="I33" i="94"/>
  <c r="W33" i="94" s="1"/>
  <c r="U32" i="94"/>
  <c r="V32" i="94" s="1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U30" i="94"/>
  <c r="V30" i="94" s="1"/>
  <c r="S30" i="94"/>
  <c r="R30" i="94"/>
  <c r="J30" i="94"/>
  <c r="I30" i="94"/>
  <c r="W30" i="94" s="1"/>
  <c r="V29" i="94"/>
  <c r="U29" i="94"/>
  <c r="S29" i="94"/>
  <c r="R29" i="94"/>
  <c r="J29" i="94"/>
  <c r="I29" i="94"/>
  <c r="W29" i="94" s="1"/>
  <c r="U28" i="94"/>
  <c r="V28" i="94" s="1"/>
  <c r="S28" i="94"/>
  <c r="R28" i="94"/>
  <c r="J28" i="94"/>
  <c r="I28" i="94"/>
  <c r="W28" i="94" s="1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W26" i="94" s="1"/>
  <c r="U25" i="94"/>
  <c r="V25" i="94" s="1"/>
  <c r="S25" i="94"/>
  <c r="R25" i="94"/>
  <c r="J25" i="94"/>
  <c r="W25" i="94" s="1"/>
  <c r="I25" i="94"/>
  <c r="V24" i="94"/>
  <c r="U24" i="94"/>
  <c r="S24" i="94"/>
  <c r="R24" i="94"/>
  <c r="J24" i="94"/>
  <c r="I24" i="94"/>
  <c r="W24" i="94" s="1"/>
  <c r="U23" i="94"/>
  <c r="V23" i="94" s="1"/>
  <c r="S23" i="94"/>
  <c r="R23" i="94"/>
  <c r="J23" i="94"/>
  <c r="W23" i="94" s="1"/>
  <c r="I23" i="94"/>
  <c r="V22" i="94"/>
  <c r="U22" i="94"/>
  <c r="S22" i="94"/>
  <c r="R22" i="94"/>
  <c r="J22" i="94"/>
  <c r="I22" i="94"/>
  <c r="W22" i="94" s="1"/>
  <c r="U21" i="94"/>
  <c r="V21" i="94" s="1"/>
  <c r="S21" i="94"/>
  <c r="R21" i="94"/>
  <c r="J21" i="94"/>
  <c r="W21" i="94" s="1"/>
  <c r="I21" i="94"/>
  <c r="V20" i="94"/>
  <c r="U20" i="94"/>
  <c r="S20" i="94"/>
  <c r="R20" i="94"/>
  <c r="J20" i="94"/>
  <c r="I20" i="94"/>
  <c r="W20" i="94" s="1"/>
  <c r="U19" i="94"/>
  <c r="V19" i="94" s="1"/>
  <c r="S19" i="94"/>
  <c r="R19" i="94"/>
  <c r="J19" i="94"/>
  <c r="W19" i="94" s="1"/>
  <c r="I19" i="94"/>
  <c r="V18" i="94"/>
  <c r="U18" i="94"/>
  <c r="S18" i="94"/>
  <c r="R18" i="94"/>
  <c r="J18" i="94"/>
  <c r="I18" i="94"/>
  <c r="W18" i="94" s="1"/>
  <c r="U17" i="94"/>
  <c r="V17" i="94" s="1"/>
  <c r="S17" i="94"/>
  <c r="R17" i="94"/>
  <c r="J17" i="94"/>
  <c r="I17" i="94"/>
  <c r="W17" i="94" s="1"/>
  <c r="V16" i="94"/>
  <c r="U16" i="94"/>
  <c r="S16" i="94"/>
  <c r="R16" i="94"/>
  <c r="J16" i="94"/>
  <c r="I16" i="94"/>
  <c r="W16" i="94" s="1"/>
  <c r="U15" i="94"/>
  <c r="V15" i="94" s="1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V10" i="94"/>
  <c r="U10" i="94"/>
  <c r="S10" i="94"/>
  <c r="R10" i="94"/>
  <c r="J10" i="94"/>
  <c r="I10" i="94"/>
  <c r="W10" i="94" s="1"/>
  <c r="U9" i="94"/>
  <c r="V9" i="94" s="1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V8" i="94"/>
  <c r="U8" i="94"/>
  <c r="U60" i="94" s="1"/>
  <c r="S8" i="94"/>
  <c r="S60" i="94" s="1"/>
  <c r="R8" i="94"/>
  <c r="R60" i="94" s="1"/>
  <c r="J8" i="94"/>
  <c r="J60" i="94" s="1"/>
  <c r="I8" i="94"/>
  <c r="W8" i="94" s="1"/>
  <c r="W60" i="97" l="1"/>
  <c r="I60" i="97"/>
  <c r="V8" i="97"/>
  <c r="V60" i="97" s="1"/>
  <c r="W60" i="96"/>
  <c r="V60" i="96"/>
  <c r="W60" i="95"/>
  <c r="V8" i="95"/>
  <c r="V60" i="95" s="1"/>
  <c r="V60" i="94"/>
  <c r="W60" i="94"/>
  <c r="I60" i="94"/>
  <c r="C13" i="92" l="1"/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W42" i="93"/>
  <c r="U42" i="93"/>
  <c r="V42" i="93" s="1"/>
  <c r="S42" i="93"/>
  <c r="R42" i="93"/>
  <c r="J42" i="93"/>
  <c r="I42" i="93"/>
  <c r="U41" i="93"/>
  <c r="V41" i="93" s="1"/>
  <c r="S41" i="93"/>
  <c r="R41" i="93"/>
  <c r="J41" i="93"/>
  <c r="I41" i="93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U12" i="93"/>
  <c r="V12" i="93" s="1"/>
  <c r="S12" i="93"/>
  <c r="R12" i="93"/>
  <c r="J12" i="93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W42" i="91"/>
  <c r="U42" i="91"/>
  <c r="V42" i="91" s="1"/>
  <c r="S42" i="91"/>
  <c r="R42" i="91"/>
  <c r="J42" i="91"/>
  <c r="I42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W39" i="91" s="1"/>
  <c r="U38" i="91"/>
  <c r="V38" i="91" s="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U31" i="91"/>
  <c r="V31" i="91" s="1"/>
  <c r="S31" i="91"/>
  <c r="R31" i="91"/>
  <c r="J31" i="91"/>
  <c r="I31" i="91"/>
  <c r="W31" i="91" s="1"/>
  <c r="W30" i="91"/>
  <c r="V30" i="91"/>
  <c r="U30" i="91"/>
  <c r="S30" i="91"/>
  <c r="R30" i="91"/>
  <c r="J30" i="91"/>
  <c r="I30" i="91"/>
  <c r="U29" i="91"/>
  <c r="V29" i="91" s="1"/>
  <c r="S29" i="91"/>
  <c r="R29" i="91"/>
  <c r="J29" i="91"/>
  <c r="I29" i="91"/>
  <c r="W29" i="91" s="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W23" i="91" s="1"/>
  <c r="V22" i="91"/>
  <c r="U22" i="91"/>
  <c r="S22" i="91"/>
  <c r="R22" i="91"/>
  <c r="J22" i="91"/>
  <c r="I22" i="91"/>
  <c r="W22" i="91" s="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8" i="93" l="1"/>
  <c r="W44" i="93"/>
  <c r="W41" i="93"/>
  <c r="W38" i="93"/>
  <c r="W35" i="93"/>
  <c r="W26" i="93"/>
  <c r="W24" i="93"/>
  <c r="W22" i="93"/>
  <c r="W20" i="93"/>
  <c r="W18" i="93"/>
  <c r="S60" i="93"/>
  <c r="R60" i="93"/>
  <c r="U60" i="93"/>
  <c r="W14" i="93"/>
  <c r="W13" i="93"/>
  <c r="W12" i="93"/>
  <c r="I60" i="93"/>
  <c r="W8" i="93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W60" i="91" s="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W60" i="93" l="1"/>
  <c r="W60" i="92"/>
  <c r="S60" i="90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CDF836E-CB1E-4F45-A253-52C0543D0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54D527B-5486-4376-80D1-F7F9A8576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EE68E0A-2C38-4B09-9E81-CA699FBE1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E96CDE-E307-4A93-94EA-D245625502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3688C51-8B99-41D0-A91C-CE0D5EF64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CFCE868-8880-4395-ABC8-CC73EBE23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3DA5700-04F8-423B-82F3-9A3DEFFD1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D7E7811-DE97-41B8-9FD6-369BAA18E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0FFCA6-3D3F-4518-BC03-28BA828A9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AFF744-188D-4346-AB83-513EB190F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9D1D766-F2AD-4A71-8F4B-B3E4BD0CF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AD16C10-CCB3-43DB-8691-6A8963EF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<sst xmlns="http://schemas.openxmlformats.org/spreadsheetml/2006/main" count="2814" uniqueCount="83">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</sst>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1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94"/>
      <c r="L1" s="295"/>
      <c r="M1" s="295"/>
      <c r="N1" s="295"/>
      <c r="O1" s="296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88" t="s">
        <v>74</v>
      </c>
      <c r="C4" s="297" t="s">
        <v>3</v>
      </c>
      <c r="D4" s="298" t="s">
        <v>4</v>
      </c>
      <c r="E4" s="299"/>
      <c r="F4" s="300" t="s">
        <v>5</v>
      </c>
      <c r="G4" s="302" t="s">
        <v>6</v>
      </c>
      <c r="I4" s="304" t="s">
        <v>7</v>
      </c>
      <c r="J4" s="305"/>
      <c r="K4" s="305"/>
      <c r="L4" s="305"/>
      <c r="M4" s="305"/>
      <c r="N4" s="305"/>
      <c r="O4" s="306"/>
    </row>
    <row r="5" spans="1:51" s="3" customFormat="1" ht="38.25" thickBot="1" x14ac:dyDescent="0.3">
      <c r="A5" s="53"/>
      <c r="B5" s="288"/>
      <c r="C5" s="297"/>
      <c r="D5" s="52" t="s">
        <v>8</v>
      </c>
      <c r="E5" s="51" t="s">
        <v>9</v>
      </c>
      <c r="F5" s="301"/>
      <c r="G5" s="303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89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90"/>
      <c r="G61" s="25" t="s">
        <v>51</v>
      </c>
      <c r="I61" s="36"/>
      <c r="J61" s="37"/>
      <c r="K61" s="37"/>
      <c r="L61" s="38"/>
    </row>
    <row r="62" spans="1:15" x14ac:dyDescent="0.25">
      <c r="F62" s="291"/>
      <c r="G62" s="25" t="s">
        <v>52</v>
      </c>
      <c r="I62" s="39"/>
      <c r="J62" s="40"/>
      <c r="K62" s="40"/>
      <c r="L62" s="41"/>
    </row>
    <row r="63" spans="1:15" x14ac:dyDescent="0.25">
      <c r="F63" s="292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92"/>
      <c r="G64" s="25" t="s">
        <v>51</v>
      </c>
      <c r="I64" s="36"/>
      <c r="J64" s="37"/>
      <c r="K64" s="37"/>
      <c r="L64" s="38"/>
    </row>
    <row r="65" spans="2:15" ht="19.5" thickBot="1" x14ac:dyDescent="0.3">
      <c r="F65" s="293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73">
        <f>M13+O13+Q13</f>
        <v>70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1963</v>
      </c>
      <c r="D42" s="268"/>
      <c r="E42" s="269"/>
      <c r="F42" s="269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69">
        <v>10</v>
      </c>
      <c r="M42" s="269"/>
      <c r="N42" s="269">
        <v>11</v>
      </c>
      <c r="O42" s="269"/>
      <c r="P42" s="269">
        <v>7</v>
      </c>
      <c r="Q42" s="270"/>
      <c r="R42" s="128">
        <f t="shared" si="4"/>
        <v>28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73">
        <f>M13+O13+Q13</f>
        <v>15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73">
        <f t="shared" si="4"/>
        <v>12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73">
        <f t="shared" si="4"/>
        <v>12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1935</v>
      </c>
      <c r="D42" s="268"/>
      <c r="E42" s="269"/>
      <c r="F42" s="269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69">
        <v>8</v>
      </c>
      <c r="M42" s="269"/>
      <c r="N42" s="269">
        <v>7</v>
      </c>
      <c r="O42" s="269"/>
      <c r="P42" s="269">
        <v>4</v>
      </c>
      <c r="Q42" s="270"/>
      <c r="R42" s="128">
        <f t="shared" si="4"/>
        <v>19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46057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73">
        <f>M13+O13+Q13</f>
        <v>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1916</v>
      </c>
      <c r="D42" s="268"/>
      <c r="E42" s="269"/>
      <c r="F42" s="269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69">
        <v>2</v>
      </c>
      <c r="M42" s="269"/>
      <c r="N42" s="269">
        <v>5</v>
      </c>
      <c r="O42" s="269"/>
      <c r="P42" s="269">
        <v>20</v>
      </c>
      <c r="Q42" s="270"/>
      <c r="R42" s="128">
        <f t="shared" si="4"/>
        <v>27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73">
        <f>M13+O13+Q13</f>
        <v>17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73">
        <f t="shared" si="4"/>
        <v>12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1889</v>
      </c>
      <c r="D42" s="268"/>
      <c r="E42" s="269"/>
      <c r="F42" s="269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69">
        <v>1</v>
      </c>
      <c r="M42" s="269"/>
      <c r="N42" s="269"/>
      <c r="O42" s="269"/>
      <c r="P42" s="269"/>
      <c r="Q42" s="270"/>
      <c r="R42" s="128">
        <f t="shared" si="4"/>
        <v>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73">
        <f>M13+O13+Q13</f>
        <v>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/>
      <c r="D42" s="268"/>
      <c r="E42" s="269"/>
      <c r="F42" s="269"/>
      <c r="G42" s="111"/>
      <c r="H42" s="112"/>
      <c r="I42" s="93">
        <f t="shared" si="3"/>
        <v>0</v>
      </c>
      <c r="J42" s="103">
        <f t="shared" si="3"/>
        <v>0</v>
      </c>
      <c r="K42" s="69"/>
      <c r="L42" s="269"/>
      <c r="M42" s="269"/>
      <c r="N42" s="269"/>
      <c r="O42" s="269"/>
      <c r="P42" s="269"/>
      <c r="Q42" s="270"/>
      <c r="R42" s="128">
        <f t="shared" si="4"/>
        <v>0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46059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9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73">
        <f>M13+O13+Q13</f>
        <v>21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f>1888</f>
        <v>1888</v>
      </c>
      <c r="D42" s="268"/>
      <c r="E42" s="269"/>
      <c r="F42" s="269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69">
        <v>25</v>
      </c>
      <c r="M42" s="269"/>
      <c r="N42" s="269">
        <v>7</v>
      </c>
      <c r="O42" s="269"/>
      <c r="P42" s="269"/>
      <c r="Q42" s="270"/>
      <c r="R42" s="128">
        <f t="shared" si="4"/>
        <v>32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46060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73">
        <f>M13+O13+Q13</f>
        <v>34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1856</v>
      </c>
      <c r="D42" s="268"/>
      <c r="E42" s="269"/>
      <c r="F42" s="269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69">
        <v>5</v>
      </c>
      <c r="M42" s="269"/>
      <c r="N42" s="269">
        <v>11</v>
      </c>
      <c r="O42" s="269"/>
      <c r="P42" s="269">
        <v>10</v>
      </c>
      <c r="Q42" s="270"/>
      <c r="R42" s="128">
        <f t="shared" si="4"/>
        <v>26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46062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73">
        <f>M13+O13+Q13</f>
        <v>23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73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1830</v>
      </c>
      <c r="D42" s="268"/>
      <c r="E42" s="269"/>
      <c r="F42" s="269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69">
        <v>11</v>
      </c>
      <c r="M42" s="269"/>
      <c r="N42" s="269"/>
      <c r="O42" s="269"/>
      <c r="P42" s="269">
        <v>10</v>
      </c>
      <c r="Q42" s="270"/>
      <c r="R42" s="128">
        <f t="shared" si="4"/>
        <v>21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46063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73">
        <f>M13+O13+Q13</f>
        <v>32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1809</v>
      </c>
      <c r="D42" s="268"/>
      <c r="E42" s="269"/>
      <c r="F42" s="269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69">
        <v>4</v>
      </c>
      <c r="M42" s="269"/>
      <c r="N42" s="269">
        <v>4</v>
      </c>
      <c r="O42" s="269"/>
      <c r="P42" s="269">
        <v>35</v>
      </c>
      <c r="Q42" s="270"/>
      <c r="R42" s="128">
        <f t="shared" si="4"/>
        <v>43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46064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73">
        <f>M13+O13+Q13</f>
        <v>30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1766</v>
      </c>
      <c r="D42" s="268"/>
      <c r="E42" s="269"/>
      <c r="F42" s="269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69">
        <v>48</v>
      </c>
      <c r="M42" s="269"/>
      <c r="N42" s="269"/>
      <c r="O42" s="269"/>
      <c r="P42" s="269">
        <v>10</v>
      </c>
      <c r="Q42" s="270"/>
      <c r="R42" s="128">
        <f t="shared" si="4"/>
        <v>58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73">
        <f>M13+O13+Q13</f>
        <v>12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73">
        <f t="shared" si="4"/>
        <v>6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1708</v>
      </c>
      <c r="D42" s="268"/>
      <c r="E42" s="269"/>
      <c r="F42" s="269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69"/>
      <c r="M42" s="269"/>
      <c r="N42" s="269"/>
      <c r="O42" s="269"/>
      <c r="P42" s="269">
        <v>12</v>
      </c>
      <c r="Q42" s="270"/>
      <c r="R42" s="128">
        <f t="shared" si="4"/>
        <v>12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1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73">
        <f t="shared" ref="S8:S12" si="2">M8+O8+Q8</f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2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2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2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73">
        <f>M13+O13+Q13</f>
        <v>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73">
        <f t="shared" ref="S14:S59" si="7">M14+O14+Q14</f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73">
        <f t="shared" si="7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73">
        <f t="shared" si="7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73">
        <f t="shared" si="7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73">
        <f t="shared" si="7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73">
        <f t="shared" si="7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73">
        <f t="shared" si="7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73">
        <f t="shared" si="7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73">
        <f t="shared" si="7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73">
        <f t="shared" si="7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73">
        <f t="shared" si="7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73">
        <f t="shared" si="7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73">
        <f t="shared" si="7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73">
        <f t="shared" si="7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73">
        <f t="shared" si="7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73">
        <f t="shared" si="7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73">
        <f t="shared" si="7"/>
        <v>0</v>
      </c>
      <c r="T30" s="272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73">
        <f t="shared" si="7"/>
        <v>0</v>
      </c>
      <c r="T31" s="272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73">
        <f t="shared" si="7"/>
        <v>0</v>
      </c>
      <c r="T32" s="272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73">
        <f t="shared" si="7"/>
        <v>0</v>
      </c>
      <c r="T33" s="272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73">
        <f t="shared" si="7"/>
        <v>0</v>
      </c>
      <c r="T34" s="272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73">
        <f t="shared" si="7"/>
        <v>0</v>
      </c>
      <c r="T35" s="272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73">
        <f t="shared" si="7"/>
        <v>0</v>
      </c>
      <c r="T36" s="272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73">
        <f t="shared" si="7"/>
        <v>0</v>
      </c>
      <c r="T37" s="272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73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73">
        <f t="shared" si="7"/>
        <v>0</v>
      </c>
      <c r="T39" s="272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73">
        <f t="shared" si="7"/>
        <v>0</v>
      </c>
      <c r="T40" s="272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73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67">
        <v>1696</v>
      </c>
      <c r="D42" s="268"/>
      <c r="E42" s="269"/>
      <c r="F42" s="269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69"/>
      <c r="M42" s="269"/>
      <c r="N42" s="269"/>
      <c r="O42" s="269"/>
      <c r="P42" s="269">
        <v>5</v>
      </c>
      <c r="Q42" s="270"/>
      <c r="R42" s="128">
        <f t="shared" si="6"/>
        <v>5</v>
      </c>
      <c r="S42" s="273">
        <f t="shared" si="7"/>
        <v>0</v>
      </c>
      <c r="T42" s="276"/>
      <c r="U42" s="277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73">
        <f t="shared" si="7"/>
        <v>0</v>
      </c>
      <c r="T43" s="272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73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73">
        <f t="shared" si="7"/>
        <v>0</v>
      </c>
      <c r="T45" s="272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73">
        <f t="shared" si="7"/>
        <v>0</v>
      </c>
      <c r="T46" s="272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73">
        <f t="shared" si="7"/>
        <v>0</v>
      </c>
      <c r="T47" s="272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73">
        <f t="shared" si="7"/>
        <v>0</v>
      </c>
      <c r="T48" s="272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73">
        <f t="shared" si="7"/>
        <v>0</v>
      </c>
      <c r="T49" s="272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73">
        <f t="shared" si="7"/>
        <v>0</v>
      </c>
      <c r="T50" s="272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73">
        <f t="shared" si="7"/>
        <v>0</v>
      </c>
      <c r="T51" s="272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73">
        <f t="shared" si="7"/>
        <v>0</v>
      </c>
      <c r="T52" s="272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73">
        <f t="shared" si="7"/>
        <v>0</v>
      </c>
      <c r="T53" s="272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73">
        <f t="shared" si="7"/>
        <v>0</v>
      </c>
      <c r="T54" s="272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73">
        <f t="shared" si="7"/>
        <v>0</v>
      </c>
      <c r="T55" s="272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73">
        <f t="shared" si="7"/>
        <v>0</v>
      </c>
      <c r="T56" s="272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73">
        <f t="shared" si="7"/>
        <v>0</v>
      </c>
      <c r="T57" s="272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73">
        <f t="shared" si="7"/>
        <v>0</v>
      </c>
      <c r="T58" s="272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73">
        <f t="shared" si="7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48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73">
        <f t="shared" si="1"/>
        <v>0</v>
      </c>
      <c r="T8" s="272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78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278">
        <f>M13+O13+Q13</f>
        <v>40</v>
      </c>
      <c r="T13" s="274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73">
        <f t="shared" si="7"/>
        <v>0</v>
      </c>
      <c r="T26" s="272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73">
        <f t="shared" si="7"/>
        <v>0</v>
      </c>
      <c r="T29" s="275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278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278">
        <f t="shared" si="7"/>
        <v>0</v>
      </c>
      <c r="T41" s="217"/>
      <c r="U41" s="280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1691</v>
      </c>
      <c r="D42" s="268"/>
      <c r="E42" s="269"/>
      <c r="F42" s="269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69"/>
      <c r="M42" s="269"/>
      <c r="N42" s="269">
        <v>5</v>
      </c>
      <c r="O42" s="269"/>
      <c r="P42" s="269">
        <v>8</v>
      </c>
      <c r="Q42" s="270"/>
      <c r="R42" s="167">
        <f t="shared" si="7"/>
        <v>13</v>
      </c>
      <c r="S42" s="281">
        <f t="shared" si="7"/>
        <v>0</v>
      </c>
      <c r="T42" s="276"/>
      <c r="U42" s="277">
        <f>L42*12+N42*12+P42*12</f>
        <v>156</v>
      </c>
      <c r="V42" s="282">
        <f>U42/12</f>
        <v>13</v>
      </c>
      <c r="W42" s="276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281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5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5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73">
        <f t="shared" si="1"/>
        <v>0</v>
      </c>
      <c r="T11" s="272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278">
        <f>M13+O13+Q13</f>
        <v>13</v>
      </c>
      <c r="T13" s="274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73">
        <f t="shared" si="7"/>
        <v>0</v>
      </c>
      <c r="T29" s="275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73">
        <f t="shared" si="7"/>
        <v>0</v>
      </c>
      <c r="T35" s="272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278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1678</v>
      </c>
      <c r="D42" s="268"/>
      <c r="E42" s="269"/>
      <c r="F42" s="269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69">
        <v>2</v>
      </c>
      <c r="M42" s="269"/>
      <c r="N42" s="269"/>
      <c r="O42" s="269"/>
      <c r="P42" s="269"/>
      <c r="Q42" s="270"/>
      <c r="R42" s="167">
        <f t="shared" si="7"/>
        <v>2</v>
      </c>
      <c r="S42" s="281">
        <f t="shared" si="7"/>
        <v>0</v>
      </c>
      <c r="T42" s="276"/>
      <c r="U42" s="277">
        <f>L42*12+N42*12+P42*12</f>
        <v>24</v>
      </c>
      <c r="V42" s="282">
        <f>U42/12</f>
        <v>2</v>
      </c>
      <c r="W42" s="276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281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278">
        <f>M13+O13+Q13</f>
        <v>18</v>
      </c>
      <c r="T13" s="274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73">
        <f t="shared" si="7"/>
        <v>0</v>
      </c>
      <c r="T29" s="275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73">
        <f t="shared" si="7"/>
        <v>0</v>
      </c>
      <c r="T31" s="272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278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1676</v>
      </c>
      <c r="D42" s="268"/>
      <c r="E42" s="269"/>
      <c r="F42" s="269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69">
        <v>6</v>
      </c>
      <c r="M42" s="269"/>
      <c r="N42" s="269">
        <v>2</v>
      </c>
      <c r="O42" s="269"/>
      <c r="P42" s="269">
        <v>20</v>
      </c>
      <c r="Q42" s="270"/>
      <c r="R42" s="167">
        <f t="shared" si="7"/>
        <v>28</v>
      </c>
      <c r="S42" s="281">
        <f t="shared" si="7"/>
        <v>0</v>
      </c>
      <c r="T42" s="276"/>
      <c r="U42" s="277">
        <f>L42*12+N42*12+P42*12</f>
        <v>336</v>
      </c>
      <c r="V42" s="282">
        <f>U42/12</f>
        <v>28</v>
      </c>
      <c r="W42" s="276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281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46071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46072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90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46073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31</v>
      </c>
      <c r="D8" s="195"/>
      <c r="E8" s="196"/>
      <c r="F8" s="196"/>
      <c r="G8" s="102">
        <v>1</v>
      </c>
      <c r="H8" s="93"/>
      <c r="I8" s="93">
        <f>C8-G8</f>
        <v>30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720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94</v>
      </c>
      <c r="D9" s="198"/>
      <c r="E9" s="199"/>
      <c r="F9" s="199"/>
      <c r="G9" s="107">
        <v>1</v>
      </c>
      <c r="H9" s="108"/>
      <c r="I9" s="107">
        <f t="shared" ref="I9:J59" si="4">C9-G9</f>
        <v>93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2232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/>
      <c r="H11" s="93"/>
      <c r="I11" s="93">
        <f t="shared" si="4"/>
        <v>57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1368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3442</v>
      </c>
      <c r="D13" s="198">
        <v>4</v>
      </c>
      <c r="E13" s="199"/>
      <c r="F13" s="199"/>
      <c r="G13" s="107">
        <v>37</v>
      </c>
      <c r="H13" s="108">
        <v>30</v>
      </c>
      <c r="I13" s="116">
        <f t="shared" si="4"/>
        <v>3405</v>
      </c>
      <c r="J13" s="160">
        <f>D13-H13</f>
        <v>-26</v>
      </c>
      <c r="K13" s="68"/>
      <c r="L13" s="205">
        <v>15</v>
      </c>
      <c r="M13" s="205">
        <v>10</v>
      </c>
      <c r="N13" s="205">
        <v>6</v>
      </c>
      <c r="O13" s="205">
        <v>11</v>
      </c>
      <c r="P13" s="205">
        <v>16</v>
      </c>
      <c r="Q13" s="206">
        <v>9</v>
      </c>
      <c r="R13" s="163">
        <f>L13+N13+P13</f>
        <v>37</v>
      </c>
      <c r="S13" s="209">
        <f>M13+O13+Q13</f>
        <v>30</v>
      </c>
      <c r="T13" s="68"/>
      <c r="U13" s="215">
        <f>L13*24+N13*24+P13*24</f>
        <v>888</v>
      </c>
      <c r="V13" s="219">
        <f t="shared" si="6"/>
        <v>37</v>
      </c>
      <c r="W13" s="217">
        <f>I13*24+J13</f>
        <v>81694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85</v>
      </c>
      <c r="D26" s="195">
        <v>23</v>
      </c>
      <c r="E26" s="196"/>
      <c r="F26" s="196"/>
      <c r="G26" s="102">
        <v>2</v>
      </c>
      <c r="H26" s="93"/>
      <c r="I26" s="93">
        <f t="shared" si="4"/>
        <v>83</v>
      </c>
      <c r="J26" s="103">
        <f t="shared" si="4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2015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29</v>
      </c>
      <c r="D29" s="195"/>
      <c r="E29" s="196"/>
      <c r="F29" s="196"/>
      <c r="G29" s="102">
        <v>6</v>
      </c>
      <c r="H29" s="93"/>
      <c r="I29" s="93">
        <f t="shared" si="4"/>
        <v>23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552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101</v>
      </c>
      <c r="D35" s="195">
        <v>5</v>
      </c>
      <c r="E35" s="196"/>
      <c r="F35" s="196"/>
      <c r="G35" s="102">
        <v>3</v>
      </c>
      <c r="H35" s="93"/>
      <c r="I35" s="93">
        <f t="shared" si="4"/>
        <v>98</v>
      </c>
      <c r="J35" s="103">
        <f t="shared" si="4"/>
        <v>5</v>
      </c>
      <c r="K35" s="44"/>
      <c r="L35" s="196"/>
      <c r="M35" s="196"/>
      <c r="N35" s="196">
        <v>1</v>
      </c>
      <c r="O35" s="196"/>
      <c r="P35" s="196">
        <v>2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2357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4067</v>
      </c>
      <c r="D38" s="198">
        <v>2</v>
      </c>
      <c r="E38" s="199"/>
      <c r="F38" s="199"/>
      <c r="G38" s="107">
        <v>120</v>
      </c>
      <c r="H38" s="108"/>
      <c r="I38" s="223">
        <f t="shared" si="4"/>
        <v>3947</v>
      </c>
      <c r="J38" s="224">
        <f t="shared" si="4"/>
        <v>2</v>
      </c>
      <c r="K38" s="64"/>
      <c r="L38" s="205">
        <v>16</v>
      </c>
      <c r="M38" s="205"/>
      <c r="N38" s="205">
        <v>13</v>
      </c>
      <c r="O38" s="205"/>
      <c r="P38" s="205">
        <v>91</v>
      </c>
      <c r="Q38" s="206"/>
      <c r="R38" s="163">
        <f t="shared" si="7"/>
        <v>120</v>
      </c>
      <c r="S38" s="209">
        <f t="shared" si="7"/>
        <v>0</v>
      </c>
      <c r="T38" s="64"/>
      <c r="U38" s="215">
        <f>L38*6+N38*6+P38*6</f>
        <v>720</v>
      </c>
      <c r="V38" s="219">
        <f>U38/6</f>
        <v>120</v>
      </c>
      <c r="W38" s="217">
        <f>I38*6+J38</f>
        <v>23684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/>
      <c r="H41" s="234"/>
      <c r="I41" s="235">
        <f t="shared" si="4"/>
        <v>695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16692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1614</v>
      </c>
      <c r="D42" s="248"/>
      <c r="E42" s="249"/>
      <c r="F42" s="249"/>
      <c r="G42" s="250">
        <v>25</v>
      </c>
      <c r="H42" s="251"/>
      <c r="I42" s="250">
        <f t="shared" si="4"/>
        <v>1589</v>
      </c>
      <c r="J42" s="252">
        <f t="shared" si="4"/>
        <v>0</v>
      </c>
      <c r="K42" s="253"/>
      <c r="L42" s="249">
        <v>6</v>
      </c>
      <c r="M42" s="249"/>
      <c r="N42" s="249">
        <v>5</v>
      </c>
      <c r="O42" s="249"/>
      <c r="P42" s="249">
        <v>14</v>
      </c>
      <c r="Q42" s="254"/>
      <c r="R42" s="255">
        <f t="shared" si="7"/>
        <v>25</v>
      </c>
      <c r="S42" s="256">
        <f t="shared" si="7"/>
        <v>0</v>
      </c>
      <c r="T42" s="253"/>
      <c r="U42" s="257">
        <f>L42*12+N42*12+P42*12</f>
        <v>300</v>
      </c>
      <c r="V42" s="258">
        <f>U42/12</f>
        <v>25</v>
      </c>
      <c r="W42" s="259">
        <f>I42*12+J42</f>
        <v>19068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28785</v>
      </c>
      <c r="D44" s="198">
        <v>2</v>
      </c>
      <c r="E44" s="199">
        <v>1836</v>
      </c>
      <c r="F44" s="199"/>
      <c r="G44" s="107">
        <v>961</v>
      </c>
      <c r="H44" s="108"/>
      <c r="I44" s="93">
        <f>C44+E44-G44</f>
        <v>29660</v>
      </c>
      <c r="J44" s="261">
        <f t="shared" si="4"/>
        <v>2</v>
      </c>
      <c r="K44" s="64"/>
      <c r="L44" s="205">
        <v>415</v>
      </c>
      <c r="M44" s="205"/>
      <c r="N44" s="205">
        <v>171</v>
      </c>
      <c r="O44" s="205"/>
      <c r="P44" s="205">
        <v>375</v>
      </c>
      <c r="Q44" s="206"/>
      <c r="R44" s="262">
        <f t="shared" si="7"/>
        <v>961</v>
      </c>
      <c r="S44" s="263">
        <f t="shared" si="7"/>
        <v>0</v>
      </c>
      <c r="T44" s="64"/>
      <c r="U44" s="215">
        <f>L44*6+N44*6+P44*6</f>
        <v>5766</v>
      </c>
      <c r="V44" s="214">
        <f>U44/6</f>
        <v>961</v>
      </c>
      <c r="W44" s="217">
        <f>I44*6+J44</f>
        <v>177962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2361</v>
      </c>
      <c r="D48" s="226">
        <v>4</v>
      </c>
      <c r="E48" s="205"/>
      <c r="F48" s="205"/>
      <c r="G48" s="227">
        <v>2</v>
      </c>
      <c r="H48" s="223"/>
      <c r="I48" s="223">
        <f t="shared" si="4"/>
        <v>2359</v>
      </c>
      <c r="J48" s="224">
        <f t="shared" si="4"/>
        <v>4</v>
      </c>
      <c r="K48" s="64"/>
      <c r="L48" s="205"/>
      <c r="M48" s="205"/>
      <c r="N48" s="205">
        <v>2</v>
      </c>
      <c r="O48" s="205"/>
      <c r="P48" s="205"/>
      <c r="Q48" s="206"/>
      <c r="R48" s="163">
        <f t="shared" si="7"/>
        <v>2</v>
      </c>
      <c r="S48" s="228">
        <f t="shared" si="7"/>
        <v>0</v>
      </c>
      <c r="T48" s="64"/>
      <c r="U48" s="215">
        <f>L48*6+N48*6+P48*6</f>
        <v>12</v>
      </c>
      <c r="V48" s="219">
        <f>U48/6</f>
        <v>2</v>
      </c>
      <c r="W48" s="217">
        <f>I48*6+J48</f>
        <v>14158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41545</v>
      </c>
      <c r="D60" s="71">
        <f>SUM(D8:D59)</f>
        <v>52</v>
      </c>
      <c r="E60" s="47">
        <f>SUM(E8:E59)</f>
        <v>1836</v>
      </c>
      <c r="F60" s="47"/>
      <c r="G60" s="31">
        <f>SUM(G8:G59)</f>
        <v>1158</v>
      </c>
      <c r="H60" s="73">
        <f>SUM(H8:H59)</f>
        <v>30</v>
      </c>
      <c r="I60" s="73">
        <f>SUM(I8:I59)</f>
        <v>42223</v>
      </c>
      <c r="J60" s="48">
        <f>SUM(J8:J59)</f>
        <v>22</v>
      </c>
      <c r="K60" s="49"/>
      <c r="L60" s="98">
        <f t="shared" ref="L60:S60" si="20">SUM(L8:L59)</f>
        <v>457</v>
      </c>
      <c r="M60" s="98">
        <f t="shared" si="20"/>
        <v>10</v>
      </c>
      <c r="N60" s="98">
        <f t="shared" si="20"/>
        <v>198</v>
      </c>
      <c r="O60" s="98">
        <f t="shared" si="20"/>
        <v>11</v>
      </c>
      <c r="P60" s="98">
        <f t="shared" si="20"/>
        <v>503</v>
      </c>
      <c r="Q60" s="99">
        <f t="shared" si="20"/>
        <v>9</v>
      </c>
      <c r="R60" s="127">
        <f t="shared" si="20"/>
        <v>1158</v>
      </c>
      <c r="S60" s="124">
        <f t="shared" si="20"/>
        <v>30</v>
      </c>
      <c r="T60" s="49"/>
      <c r="U60" s="46">
        <f>SUM(U8:U59)</f>
        <v>7998</v>
      </c>
      <c r="V60" s="176">
        <f>SUM(V8:V59)</f>
        <v>1158</v>
      </c>
      <c r="W60" s="156">
        <f>SUM(W8:W59)</f>
        <v>346306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46075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30</v>
      </c>
      <c r="D8" s="195"/>
      <c r="E8" s="196"/>
      <c r="F8" s="196"/>
      <c r="G8" s="102"/>
      <c r="H8" s="93">
        <v>12</v>
      </c>
      <c r="I8" s="93">
        <f>C8-G8</f>
        <v>30</v>
      </c>
      <c r="J8" s="103">
        <f t="shared" ref="J8:J12" si="0">D8-H8</f>
        <v>-12</v>
      </c>
      <c r="K8" s="44"/>
      <c r="L8" s="196"/>
      <c r="M8" s="196">
        <v>12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93</v>
      </c>
      <c r="D9" s="198"/>
      <c r="E9" s="199"/>
      <c r="F9" s="199"/>
      <c r="G9" s="107">
        <v>2</v>
      </c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>
        <v>1</v>
      </c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3403</f>
        <v>3403</v>
      </c>
      <c r="D13" s="198">
        <v>22</v>
      </c>
      <c r="E13" s="199"/>
      <c r="F13" s="199"/>
      <c r="G13" s="107">
        <v>34</v>
      </c>
      <c r="H13" s="108">
        <v>29</v>
      </c>
      <c r="I13" s="116">
        <f t="shared" si="4"/>
        <v>3369</v>
      </c>
      <c r="J13" s="160">
        <f>D13-H13</f>
        <v>-7</v>
      </c>
      <c r="K13" s="68"/>
      <c r="L13" s="205">
        <v>9</v>
      </c>
      <c r="M13" s="205">
        <v>14</v>
      </c>
      <c r="N13" s="205">
        <v>10</v>
      </c>
      <c r="O13" s="205"/>
      <c r="P13" s="205">
        <v>15</v>
      </c>
      <c r="Q13" s="206">
        <v>15</v>
      </c>
      <c r="R13" s="163">
        <f>L13+N13+P13</f>
        <v>34</v>
      </c>
      <c r="S13" s="209">
        <f>M13+O13+Q13</f>
        <v>29</v>
      </c>
      <c r="T13" s="68"/>
      <c r="U13" s="215">
        <f>L13*24+N13*24+P13*24</f>
        <v>816</v>
      </c>
      <c r="V13" s="219">
        <f t="shared" si="6"/>
        <v>34</v>
      </c>
      <c r="W13" s="217">
        <f>I13*24+J13</f>
        <v>80849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83</v>
      </c>
      <c r="D26" s="195">
        <v>23</v>
      </c>
      <c r="E26" s="196"/>
      <c r="F26" s="196"/>
      <c r="G26" s="102">
        <v>5</v>
      </c>
      <c r="H26" s="93">
        <v>12</v>
      </c>
      <c r="I26" s="93">
        <f t="shared" si="4"/>
        <v>78</v>
      </c>
      <c r="J26" s="103">
        <f t="shared" si="4"/>
        <v>11</v>
      </c>
      <c r="K26" s="44"/>
      <c r="L26" s="196">
        <v>4</v>
      </c>
      <c r="M26" s="196">
        <v>12</v>
      </c>
      <c r="N26" s="196">
        <v>1</v>
      </c>
      <c r="O26" s="196"/>
      <c r="P26" s="196"/>
      <c r="Q26" s="204"/>
      <c r="R26" s="128">
        <f t="shared" si="7"/>
        <v>5</v>
      </c>
      <c r="S26" s="208">
        <f t="shared" si="7"/>
        <v>12</v>
      </c>
      <c r="T26" s="44"/>
      <c r="U26" s="191">
        <f t="shared" si="5"/>
        <v>120</v>
      </c>
      <c r="V26" s="214">
        <f t="shared" si="6"/>
        <v>5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23</v>
      </c>
      <c r="D29" s="195"/>
      <c r="E29" s="196"/>
      <c r="F29" s="196"/>
      <c r="G29" s="102">
        <v>6</v>
      </c>
      <c r="H29" s="93"/>
      <c r="I29" s="93">
        <f t="shared" si="4"/>
        <v>17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408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>
        <v>2</v>
      </c>
      <c r="H31" s="93"/>
      <c r="I31" s="93">
        <f t="shared" si="4"/>
        <v>61</v>
      </c>
      <c r="J31" s="103">
        <f t="shared" si="4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7"/>
        <v>2</v>
      </c>
      <c r="S31" s="208">
        <f t="shared" si="7"/>
        <v>0</v>
      </c>
      <c r="T31" s="44"/>
      <c r="U31" s="191">
        <f t="shared" si="5"/>
        <v>48</v>
      </c>
      <c r="V31" s="214">
        <f t="shared" si="6"/>
        <v>2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98</v>
      </c>
      <c r="D35" s="195">
        <v>5</v>
      </c>
      <c r="E35" s="196"/>
      <c r="F35" s="196"/>
      <c r="G35" s="102">
        <v>6</v>
      </c>
      <c r="H35" s="93"/>
      <c r="I35" s="93">
        <f t="shared" si="4"/>
        <v>92</v>
      </c>
      <c r="J35" s="103">
        <f t="shared" si="4"/>
        <v>5</v>
      </c>
      <c r="K35" s="44"/>
      <c r="L35" s="196">
        <v>3</v>
      </c>
      <c r="M35" s="196"/>
      <c r="N35" s="196"/>
      <c r="O35" s="196"/>
      <c r="P35" s="196">
        <v>3</v>
      </c>
      <c r="Q35" s="204"/>
      <c r="R35" s="128">
        <f t="shared" si="7"/>
        <v>6</v>
      </c>
      <c r="S35" s="208">
        <f t="shared" si="7"/>
        <v>0</v>
      </c>
      <c r="T35" s="44"/>
      <c r="U35" s="191">
        <f t="shared" si="5"/>
        <v>144</v>
      </c>
      <c r="V35" s="214">
        <f t="shared" si="6"/>
        <v>6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3947</v>
      </c>
      <c r="D38" s="198">
        <v>2</v>
      </c>
      <c r="E38" s="199"/>
      <c r="F38" s="199"/>
      <c r="G38" s="107">
        <v>60</v>
      </c>
      <c r="H38" s="108"/>
      <c r="I38" s="223">
        <f t="shared" si="4"/>
        <v>3887</v>
      </c>
      <c r="J38" s="224">
        <f t="shared" si="4"/>
        <v>2</v>
      </c>
      <c r="K38" s="64"/>
      <c r="L38" s="205">
        <v>6</v>
      </c>
      <c r="M38" s="205"/>
      <c r="N38" s="205">
        <v>33</v>
      </c>
      <c r="O38" s="205"/>
      <c r="P38" s="205">
        <v>21</v>
      </c>
      <c r="Q38" s="206"/>
      <c r="R38" s="163">
        <f t="shared" si="7"/>
        <v>60</v>
      </c>
      <c r="S38" s="209">
        <f t="shared" si="7"/>
        <v>0</v>
      </c>
      <c r="T38" s="64"/>
      <c r="U38" s="215">
        <f>L38*6+N38*6+P38*6</f>
        <v>360</v>
      </c>
      <c r="V38" s="219">
        <f>U38/6</f>
        <v>60</v>
      </c>
      <c r="W38" s="217">
        <f>I38*6+J38</f>
        <v>23324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>
        <v>70</v>
      </c>
      <c r="H41" s="234"/>
      <c r="I41" s="235">
        <f t="shared" si="4"/>
        <v>625</v>
      </c>
      <c r="J41" s="236">
        <f t="shared" si="4"/>
        <v>12</v>
      </c>
      <c r="K41" s="237"/>
      <c r="L41" s="238">
        <v>70</v>
      </c>
      <c r="M41" s="238"/>
      <c r="N41" s="238"/>
      <c r="O41" s="238"/>
      <c r="P41" s="238"/>
      <c r="Q41" s="239"/>
      <c r="R41" s="240">
        <f t="shared" si="7"/>
        <v>70</v>
      </c>
      <c r="S41" s="241">
        <f t="shared" si="7"/>
        <v>0</v>
      </c>
      <c r="T41" s="237"/>
      <c r="U41" s="242">
        <f t="shared" si="9"/>
        <v>1680</v>
      </c>
      <c r="V41" s="243">
        <f t="shared" si="6"/>
        <v>70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1589</v>
      </c>
      <c r="D42" s="248"/>
      <c r="E42" s="249"/>
      <c r="F42" s="249"/>
      <c r="G42" s="250">
        <v>11</v>
      </c>
      <c r="H42" s="251"/>
      <c r="I42" s="250">
        <f t="shared" si="4"/>
        <v>1578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10</v>
      </c>
      <c r="Q42" s="254"/>
      <c r="R42" s="255">
        <f t="shared" si="7"/>
        <v>11</v>
      </c>
      <c r="S42" s="256">
        <f t="shared" si="7"/>
        <v>0</v>
      </c>
      <c r="T42" s="253"/>
      <c r="U42" s="257">
        <f>L42*12+N42*12+P42*12</f>
        <v>132</v>
      </c>
      <c r="V42" s="258">
        <f>U42/12</f>
        <v>11</v>
      </c>
      <c r="W42" s="259">
        <f>I42*12+J42</f>
        <v>18936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29660</v>
      </c>
      <c r="D44" s="198"/>
      <c r="E44" s="199"/>
      <c r="F44" s="199"/>
      <c r="G44" s="107">
        <v>1002</v>
      </c>
      <c r="H44" s="108"/>
      <c r="I44" s="93">
        <f>C44+E44-G44</f>
        <v>28658</v>
      </c>
      <c r="J44" s="261">
        <f t="shared" si="4"/>
        <v>0</v>
      </c>
      <c r="K44" s="64"/>
      <c r="L44" s="205">
        <v>307</v>
      </c>
      <c r="M44" s="205"/>
      <c r="N44" s="205">
        <v>322</v>
      </c>
      <c r="O44" s="205"/>
      <c r="P44" s="205">
        <v>373</v>
      </c>
      <c r="Q44" s="206"/>
      <c r="R44" s="262">
        <f t="shared" si="7"/>
        <v>1002</v>
      </c>
      <c r="S44" s="263">
        <f t="shared" si="7"/>
        <v>0</v>
      </c>
      <c r="T44" s="64"/>
      <c r="U44" s="215">
        <f>L44*6+N44*6+P44*6</f>
        <v>6012</v>
      </c>
      <c r="V44" s="214">
        <f>U44/6</f>
        <v>1002</v>
      </c>
      <c r="W44" s="217">
        <f>I44*6+J44</f>
        <v>171948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2359</v>
      </c>
      <c r="D48" s="226">
        <v>4</v>
      </c>
      <c r="E48" s="205"/>
      <c r="F48" s="205"/>
      <c r="G48" s="227">
        <v>1</v>
      </c>
      <c r="H48" s="223"/>
      <c r="I48" s="223">
        <f t="shared" si="4"/>
        <v>2358</v>
      </c>
      <c r="J48" s="224">
        <f t="shared" si="4"/>
        <v>4</v>
      </c>
      <c r="K48" s="64"/>
      <c r="L48" s="205">
        <v>1</v>
      </c>
      <c r="M48" s="205"/>
      <c r="N48" s="205"/>
      <c r="O48" s="205"/>
      <c r="P48" s="205"/>
      <c r="Q48" s="206"/>
      <c r="R48" s="163">
        <f t="shared" si="7"/>
        <v>1</v>
      </c>
      <c r="S48" s="228">
        <f t="shared" si="7"/>
        <v>0</v>
      </c>
      <c r="T48" s="64"/>
      <c r="U48" s="215">
        <f>L48*6+N48*6+P48*6</f>
        <v>6</v>
      </c>
      <c r="V48" s="219">
        <f>U48/6</f>
        <v>1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42221</v>
      </c>
      <c r="D60" s="71">
        <f>SUM(D8:D59)</f>
        <v>68</v>
      </c>
      <c r="E60" s="47">
        <f>SUM(E8:E59)</f>
        <v>0</v>
      </c>
      <c r="F60" s="47"/>
      <c r="G60" s="31">
        <f>SUM(G8:G59)</f>
        <v>1200</v>
      </c>
      <c r="H60" s="73">
        <f>SUM(H8:H59)</f>
        <v>53</v>
      </c>
      <c r="I60" s="73">
        <f>SUM(I8:I59)</f>
        <v>41021</v>
      </c>
      <c r="J60" s="48">
        <f>SUM(J8:J59)</f>
        <v>15</v>
      </c>
      <c r="K60" s="49"/>
      <c r="L60" s="98">
        <f t="shared" ref="L60:S60" si="20">SUM(L8:L59)</f>
        <v>403</v>
      </c>
      <c r="M60" s="98">
        <f t="shared" si="20"/>
        <v>38</v>
      </c>
      <c r="N60" s="98">
        <f t="shared" si="20"/>
        <v>368</v>
      </c>
      <c r="O60" s="98">
        <f t="shared" si="20"/>
        <v>0</v>
      </c>
      <c r="P60" s="98">
        <f t="shared" si="20"/>
        <v>429</v>
      </c>
      <c r="Q60" s="99">
        <f t="shared" si="20"/>
        <v>15</v>
      </c>
      <c r="R60" s="127">
        <f t="shared" si="20"/>
        <v>1200</v>
      </c>
      <c r="S60" s="124">
        <f t="shared" si="20"/>
        <v>53</v>
      </c>
      <c r="T60" s="49"/>
      <c r="U60" s="46">
        <f>SUM(U8:U59)</f>
        <v>9534</v>
      </c>
      <c r="V60" s="176">
        <f>SUM(V8:V59)</f>
        <v>1200</v>
      </c>
      <c r="W60" s="156">
        <f>SUM(W8:W59)</f>
        <v>336717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46076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/>
      <c r="H8" s="93"/>
      <c r="I8" s="93">
        <f>C8-G8</f>
        <v>29</v>
      </c>
      <c r="J8" s="103">
        <f t="shared" ref="J8:J12" si="0">D8-H8</f>
        <v>12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3368</v>
      </c>
      <c r="D13" s="198">
        <v>17</v>
      </c>
      <c r="E13" s="199"/>
      <c r="F13" s="199"/>
      <c r="G13" s="107">
        <v>10</v>
      </c>
      <c r="H13" s="108">
        <v>13</v>
      </c>
      <c r="I13" s="116">
        <f t="shared" si="4"/>
        <v>3358</v>
      </c>
      <c r="J13" s="160">
        <f>D13-H13</f>
        <v>4</v>
      </c>
      <c r="K13" s="68"/>
      <c r="L13" s="205"/>
      <c r="M13" s="205"/>
      <c r="N13" s="205"/>
      <c r="O13" s="205"/>
      <c r="P13" s="205">
        <v>10</v>
      </c>
      <c r="Q13" s="206">
        <v>13</v>
      </c>
      <c r="R13" s="163">
        <f>L13+N13+P13</f>
        <v>10</v>
      </c>
      <c r="S13" s="209">
        <f>M13+O13+Q13</f>
        <v>13</v>
      </c>
      <c r="T13" s="68"/>
      <c r="U13" s="215">
        <f>L13*24+N13*24+P13*24</f>
        <v>240</v>
      </c>
      <c r="V13" s="219">
        <f t="shared" si="6"/>
        <v>10</v>
      </c>
      <c r="W13" s="217">
        <f>I13*24+J13</f>
        <v>80596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17</v>
      </c>
      <c r="D29" s="195"/>
      <c r="E29" s="196"/>
      <c r="F29" s="196"/>
      <c r="G29" s="102">
        <v>3</v>
      </c>
      <c r="H29" s="93"/>
      <c r="I29" s="93">
        <f t="shared" si="4"/>
        <v>14</v>
      </c>
      <c r="J29" s="103">
        <f t="shared" si="4"/>
        <v>0</v>
      </c>
      <c r="K29" s="45"/>
      <c r="L29" s="196"/>
      <c r="M29" s="196"/>
      <c r="N29" s="196"/>
      <c r="O29" s="196"/>
      <c r="P29" s="196">
        <v>3</v>
      </c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336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/>
      <c r="H35" s="93"/>
      <c r="I35" s="93">
        <f t="shared" si="4"/>
        <v>92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3887</v>
      </c>
      <c r="D38" s="198">
        <v>2</v>
      </c>
      <c r="E38" s="199"/>
      <c r="F38" s="199"/>
      <c r="G38" s="107">
        <v>97</v>
      </c>
      <c r="H38" s="108"/>
      <c r="I38" s="223">
        <f t="shared" si="4"/>
        <v>3790</v>
      </c>
      <c r="J38" s="224">
        <f t="shared" si="4"/>
        <v>2</v>
      </c>
      <c r="K38" s="64"/>
      <c r="L38" s="205"/>
      <c r="M38" s="205"/>
      <c r="N38" s="205"/>
      <c r="O38" s="205"/>
      <c r="P38" s="205">
        <v>97</v>
      </c>
      <c r="Q38" s="206"/>
      <c r="R38" s="163">
        <f t="shared" si="7"/>
        <v>97</v>
      </c>
      <c r="S38" s="209">
        <f t="shared" si="7"/>
        <v>0</v>
      </c>
      <c r="T38" s="64"/>
      <c r="U38" s="215">
        <f>L38*6+N38*6+P38*6</f>
        <v>582</v>
      </c>
      <c r="V38" s="219">
        <f>U38/6</f>
        <v>97</v>
      </c>
      <c r="W38" s="217">
        <f>I38*6+J38</f>
        <v>22742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1578</v>
      </c>
      <c r="D42" s="248"/>
      <c r="E42" s="249"/>
      <c r="F42" s="249"/>
      <c r="G42" s="250">
        <v>8</v>
      </c>
      <c r="H42" s="251"/>
      <c r="I42" s="250">
        <f t="shared" si="4"/>
        <v>1570</v>
      </c>
      <c r="J42" s="252">
        <f t="shared" si="4"/>
        <v>0</v>
      </c>
      <c r="K42" s="253"/>
      <c r="L42" s="249"/>
      <c r="M42" s="249"/>
      <c r="N42" s="249"/>
      <c r="O42" s="249"/>
      <c r="P42" s="249">
        <v>8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18840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28657</v>
      </c>
      <c r="D44" s="198">
        <v>5</v>
      </c>
      <c r="E44" s="199"/>
      <c r="F44" s="199"/>
      <c r="G44" s="107">
        <v>404</v>
      </c>
      <c r="H44" s="108"/>
      <c r="I44" s="93">
        <f>C44+E44-G44</f>
        <v>28253</v>
      </c>
      <c r="J44" s="261">
        <f t="shared" si="4"/>
        <v>5</v>
      </c>
      <c r="K44" s="64"/>
      <c r="L44" s="205"/>
      <c r="M44" s="205"/>
      <c r="N44" s="205"/>
      <c r="O44" s="205"/>
      <c r="P44" s="205">
        <v>404</v>
      </c>
      <c r="Q44" s="206"/>
      <c r="R44" s="262">
        <f t="shared" si="7"/>
        <v>404</v>
      </c>
      <c r="S44" s="263">
        <f t="shared" si="7"/>
        <v>0</v>
      </c>
      <c r="T44" s="64"/>
      <c r="U44" s="215">
        <f>L44*6+N44*6+P44*6</f>
        <v>2424</v>
      </c>
      <c r="V44" s="214">
        <f>U44/6</f>
        <v>404</v>
      </c>
      <c r="W44" s="217">
        <f>I44*6+J44</f>
        <v>169523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41018</v>
      </c>
      <c r="D60" s="71">
        <f>SUM(D8:D59)</f>
        <v>68</v>
      </c>
      <c r="E60" s="47">
        <f>SUM(E8:E59)</f>
        <v>0</v>
      </c>
      <c r="F60" s="47"/>
      <c r="G60" s="31">
        <f>SUM(G8:G59)</f>
        <v>522</v>
      </c>
      <c r="H60" s="73">
        <f>SUM(H8:H59)</f>
        <v>13</v>
      </c>
      <c r="I60" s="73">
        <f>SUM(I8:I59)</f>
        <v>40496</v>
      </c>
      <c r="J60" s="48">
        <f>SUM(J8:J59)</f>
        <v>55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522</v>
      </c>
      <c r="Q60" s="99">
        <f t="shared" si="20"/>
        <v>13</v>
      </c>
      <c r="R60" s="127">
        <f t="shared" si="20"/>
        <v>522</v>
      </c>
      <c r="S60" s="124">
        <f t="shared" si="20"/>
        <v>13</v>
      </c>
      <c r="T60" s="49"/>
      <c r="U60" s="46">
        <f>SUM(U8:U59)</f>
        <v>3414</v>
      </c>
      <c r="V60" s="176">
        <f>SUM(V8:V59)</f>
        <v>522</v>
      </c>
      <c r="W60" s="156">
        <f>SUM(W8:W59)</f>
        <v>333289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729E-EFB5-4085-B0E0-F526ACF9060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A7D3-8989-4623-A474-B7DBA15B5BF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46078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C864-55FE-4D18-A736-3F38E46A372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E014-EBD2-4A40-855B-1716E9D020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46080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27</vt:i4>
      </vt:variant>
    </vt:vector>
  </HeadingPairs>
  <TitlesOfParts>
    <vt:vector size="54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02,19___</vt:lpstr>
      <vt:lpstr>02,20</vt:lpstr>
      <vt:lpstr>02,22</vt:lpstr>
      <vt:lpstr>02,23</vt:lpstr>
      <vt:lpstr>02,24</vt:lpstr>
      <vt:lpstr>02,25</vt:lpstr>
      <vt:lpstr>02,26</vt:lpstr>
      <vt:lpstr>02,27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'02,19___'!Print_Area</vt:lpstr>
      <vt:lpstr>'02,20'!Print_Area</vt:lpstr>
      <vt:lpstr>'02,22'!Print_Area</vt:lpstr>
      <vt:lpstr>'02,23'!Print_Area</vt:lpstr>
      <vt:lpstr>'02,24'!Print_Area</vt:lpstr>
      <vt:lpstr>'02,25'!Print_Area</vt:lpstr>
      <vt:lpstr>'02,26'!Print_Area</vt:lpstr>
      <vt:lpstr>'02,27'!Print_Area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2026-02-24T02:15:34Z</dcterms:modified>
</cp:coreProperties>
</file>