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70E36B2B-EB13-4661-92F4-50D880960B1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AMPLE" sheetId="20" r:id="rId1"/>
    <sheet name="01,07" sheetId="68" r:id="rId2"/>
    <sheet name="01,08" sheetId="69" r:id="rId3"/>
    <sheet name="01,09" sheetId="70" r:id="rId4"/>
    <sheet name="01,09 (2)" sheetId="71" r:id="rId5"/>
  </sheets>
  <definedNames>
    <definedName name="_xlnm.Print_Area" localSheetId="1">'01,07'!$A$1:$W$53</definedName>
    <definedName name="_xlnm.Print_Area" localSheetId="2">'01,08'!$A$1:$W$53</definedName>
    <definedName name="_xlnm.Print_Area" localSheetId="3">'01,09'!$A$1:$W$53</definedName>
    <definedName name="_xlnm.Print_Area" localSheetId="4">'01,09 (2)'!$A$1:$W$53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" i="20" l="1"/>
  <c r="A52" i="20" s="1"/>
  <c r="A53" i="20" s="1"/>
  <c r="A54" i="20" s="1"/>
  <c r="A55" i="20" s="1"/>
  <c r="A56" i="20" s="1"/>
  <c r="A57" i="20" s="1"/>
  <c r="J13" i="71" l="1"/>
  <c r="I13" i="71"/>
  <c r="Q52" i="71" l="1"/>
  <c r="P52" i="71"/>
  <c r="O52" i="71"/>
  <c r="N52" i="71"/>
  <c r="M52" i="71"/>
  <c r="L52" i="71"/>
  <c r="H52" i="71"/>
  <c r="G52" i="71"/>
  <c r="E52" i="71"/>
  <c r="D52" i="71"/>
  <c r="C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A46" i="71"/>
  <c r="A47" i="71" s="1"/>
  <c r="A48" i="71" s="1"/>
  <c r="A49" i="71" s="1"/>
  <c r="A50" i="71" s="1"/>
  <c r="A51" i="71" s="1"/>
  <c r="S45" i="71"/>
  <c r="R45" i="71"/>
  <c r="J45" i="71"/>
  <c r="I45" i="71"/>
  <c r="A45" i="71"/>
  <c r="S44" i="71"/>
  <c r="R44" i="71"/>
  <c r="J44" i="71"/>
  <c r="I44" i="71"/>
  <c r="S43" i="71"/>
  <c r="R43" i="71"/>
  <c r="J43" i="71"/>
  <c r="I43" i="71"/>
  <c r="A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A38" i="71"/>
  <c r="A39" i="71" s="1"/>
  <c r="A40" i="71" s="1"/>
  <c r="A41" i="71" s="1"/>
  <c r="S37" i="71"/>
  <c r="R37" i="71"/>
  <c r="J37" i="71"/>
  <c r="I37" i="71"/>
  <c r="A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A22" i="7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S21" i="71"/>
  <c r="R21" i="71"/>
  <c r="J21" i="71"/>
  <c r="I21" i="71"/>
  <c r="A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A17" i="71"/>
  <c r="A18" i="71" s="1"/>
  <c r="A19" i="71" s="1"/>
  <c r="S16" i="71"/>
  <c r="R16" i="71"/>
  <c r="J16" i="71"/>
  <c r="I16" i="71"/>
  <c r="A16" i="71"/>
  <c r="S15" i="71"/>
  <c r="R15" i="71"/>
  <c r="J15" i="71"/>
  <c r="I15" i="71"/>
  <c r="A15" i="71"/>
  <c r="S14" i="71"/>
  <c r="R14" i="71"/>
  <c r="J14" i="71"/>
  <c r="I14" i="71"/>
  <c r="S13" i="71"/>
  <c r="R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A10" i="71"/>
  <c r="A11" i="71" s="1"/>
  <c r="A12" i="71" s="1"/>
  <c r="S9" i="71"/>
  <c r="R9" i="71"/>
  <c r="J9" i="71"/>
  <c r="I9" i="71"/>
  <c r="A9" i="71"/>
  <c r="S8" i="71"/>
  <c r="R8" i="71"/>
  <c r="J8" i="71"/>
  <c r="I8" i="71"/>
  <c r="R52" i="71" l="1"/>
  <c r="S52" i="71"/>
  <c r="I52" i="71"/>
  <c r="J52" i="71"/>
  <c r="E52" i="70" l="1"/>
  <c r="I42" i="70"/>
  <c r="Q52" i="70"/>
  <c r="P52" i="70"/>
  <c r="O52" i="70"/>
  <c r="N52" i="70"/>
  <c r="M52" i="70"/>
  <c r="L52" i="70"/>
  <c r="H52" i="70"/>
  <c r="G52" i="70"/>
  <c r="D52" i="70"/>
  <c r="C52" i="70"/>
  <c r="S51" i="70"/>
  <c r="R51" i="70"/>
  <c r="J51" i="70"/>
  <c r="I51" i="70"/>
  <c r="S50" i="70"/>
  <c r="R50" i="70"/>
  <c r="J50" i="70"/>
  <c r="I50" i="70"/>
  <c r="S49" i="70"/>
  <c r="R49" i="70"/>
  <c r="J49" i="70"/>
  <c r="I49" i="70"/>
  <c r="S48" i="70"/>
  <c r="R48" i="70"/>
  <c r="J48" i="70"/>
  <c r="I48" i="70"/>
  <c r="S47" i="70"/>
  <c r="R47" i="70"/>
  <c r="J47" i="70"/>
  <c r="I47" i="70"/>
  <c r="S46" i="70"/>
  <c r="R46" i="70"/>
  <c r="J46" i="70"/>
  <c r="I46" i="70"/>
  <c r="A46" i="70"/>
  <c r="A47" i="70" s="1"/>
  <c r="A48" i="70" s="1"/>
  <c r="A49" i="70" s="1"/>
  <c r="A50" i="70" s="1"/>
  <c r="A51" i="70" s="1"/>
  <c r="S45" i="70"/>
  <c r="R45" i="70"/>
  <c r="J45" i="70"/>
  <c r="I45" i="70"/>
  <c r="A45" i="70"/>
  <c r="S44" i="70"/>
  <c r="R44" i="70"/>
  <c r="J44" i="70"/>
  <c r="I44" i="70"/>
  <c r="S43" i="70"/>
  <c r="R43" i="70"/>
  <c r="J43" i="70"/>
  <c r="I43" i="70"/>
  <c r="A43" i="70"/>
  <c r="S42" i="70"/>
  <c r="R42" i="70"/>
  <c r="J42" i="70"/>
  <c r="S41" i="70"/>
  <c r="R41" i="70"/>
  <c r="J41" i="70"/>
  <c r="I41" i="70"/>
  <c r="S40" i="70"/>
  <c r="R40" i="70"/>
  <c r="J40" i="70"/>
  <c r="I40" i="70"/>
  <c r="S39" i="70"/>
  <c r="R39" i="70"/>
  <c r="J39" i="70"/>
  <c r="I39" i="70"/>
  <c r="S38" i="70"/>
  <c r="R38" i="70"/>
  <c r="J38" i="70"/>
  <c r="I38" i="70"/>
  <c r="S37" i="70"/>
  <c r="R37" i="70"/>
  <c r="J37" i="70"/>
  <c r="I37" i="70"/>
  <c r="A37" i="70"/>
  <c r="A38" i="70" s="1"/>
  <c r="A39" i="70" s="1"/>
  <c r="A40" i="70" s="1"/>
  <c r="A41" i="70" s="1"/>
  <c r="S36" i="70"/>
  <c r="R36" i="70"/>
  <c r="J36" i="70"/>
  <c r="I36" i="70"/>
  <c r="S35" i="70"/>
  <c r="R35" i="70"/>
  <c r="J35" i="70"/>
  <c r="I35" i="70"/>
  <c r="S34" i="70"/>
  <c r="R34" i="70"/>
  <c r="J34" i="70"/>
  <c r="I34" i="70"/>
  <c r="S33" i="70"/>
  <c r="R33" i="70"/>
  <c r="J33" i="70"/>
  <c r="I33" i="70"/>
  <c r="S32" i="70"/>
  <c r="R32" i="70"/>
  <c r="J32" i="70"/>
  <c r="I32" i="70"/>
  <c r="S31" i="70"/>
  <c r="R31" i="70"/>
  <c r="J31" i="70"/>
  <c r="I31" i="70"/>
  <c r="S30" i="70"/>
  <c r="R30" i="70"/>
  <c r="J30" i="70"/>
  <c r="I30" i="70"/>
  <c r="S29" i="70"/>
  <c r="R29" i="70"/>
  <c r="J29" i="70"/>
  <c r="I29" i="70"/>
  <c r="S28" i="70"/>
  <c r="R28" i="70"/>
  <c r="J28" i="70"/>
  <c r="I28" i="70"/>
  <c r="S27" i="70"/>
  <c r="R27" i="70"/>
  <c r="J27" i="70"/>
  <c r="I27" i="70"/>
  <c r="BC26" i="70"/>
  <c r="S26" i="70"/>
  <c r="R26" i="70"/>
  <c r="J26" i="70"/>
  <c r="I26" i="70"/>
  <c r="S25" i="70"/>
  <c r="R25" i="70"/>
  <c r="J25" i="70"/>
  <c r="I25" i="70"/>
  <c r="S24" i="70"/>
  <c r="R24" i="70"/>
  <c r="J24" i="70"/>
  <c r="I24" i="70"/>
  <c r="S23" i="70"/>
  <c r="R23" i="70"/>
  <c r="J23" i="70"/>
  <c r="I23" i="70"/>
  <c r="A23" i="70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S22" i="70"/>
  <c r="R22" i="70"/>
  <c r="J22" i="70"/>
  <c r="I22" i="70"/>
  <c r="A22" i="70"/>
  <c r="S21" i="70"/>
  <c r="R21" i="70"/>
  <c r="J21" i="70"/>
  <c r="I21" i="70"/>
  <c r="A21" i="70"/>
  <c r="S20" i="70"/>
  <c r="R20" i="70"/>
  <c r="J20" i="70"/>
  <c r="I20" i="70"/>
  <c r="S19" i="70"/>
  <c r="R19" i="70"/>
  <c r="J19" i="70"/>
  <c r="I19" i="70"/>
  <c r="S18" i="70"/>
  <c r="R18" i="70"/>
  <c r="J18" i="70"/>
  <c r="I18" i="70"/>
  <c r="S17" i="70"/>
  <c r="R17" i="70"/>
  <c r="J17" i="70"/>
  <c r="I17" i="70"/>
  <c r="S16" i="70"/>
  <c r="R16" i="70"/>
  <c r="J16" i="70"/>
  <c r="I16" i="70"/>
  <c r="A16" i="70"/>
  <c r="A17" i="70" s="1"/>
  <c r="A18" i="70" s="1"/>
  <c r="A19" i="70" s="1"/>
  <c r="S15" i="70"/>
  <c r="R15" i="70"/>
  <c r="J15" i="70"/>
  <c r="I15" i="70"/>
  <c r="A15" i="70"/>
  <c r="S14" i="70"/>
  <c r="R14" i="70"/>
  <c r="J14" i="70"/>
  <c r="I14" i="70"/>
  <c r="S13" i="70"/>
  <c r="R13" i="70"/>
  <c r="J13" i="70"/>
  <c r="I13" i="70"/>
  <c r="S12" i="70"/>
  <c r="R12" i="70"/>
  <c r="J12" i="70"/>
  <c r="I12" i="70"/>
  <c r="S11" i="70"/>
  <c r="R11" i="70"/>
  <c r="J11" i="70"/>
  <c r="I11" i="70"/>
  <c r="S10" i="70"/>
  <c r="R10" i="70"/>
  <c r="J10" i="70"/>
  <c r="I10" i="70"/>
  <c r="S9" i="70"/>
  <c r="R9" i="70"/>
  <c r="J9" i="70"/>
  <c r="I9" i="70"/>
  <c r="A9" i="70"/>
  <c r="A10" i="70" s="1"/>
  <c r="A11" i="70" s="1"/>
  <c r="A12" i="70" s="1"/>
  <c r="S8" i="70"/>
  <c r="R8" i="70"/>
  <c r="J8" i="70"/>
  <c r="I8" i="70"/>
  <c r="I52" i="70" l="1"/>
  <c r="S52" i="70"/>
  <c r="R52" i="70"/>
  <c r="J52" i="70"/>
  <c r="J52" i="69"/>
  <c r="I52" i="69"/>
  <c r="I28" i="69"/>
  <c r="Q52" i="69" l="1"/>
  <c r="P52" i="69"/>
  <c r="O52" i="69"/>
  <c r="N52" i="69"/>
  <c r="M52" i="69"/>
  <c r="L52" i="69"/>
  <c r="H52" i="69"/>
  <c r="G52" i="69"/>
  <c r="D52" i="69"/>
  <c r="C52" i="69"/>
  <c r="S51" i="69"/>
  <c r="R51" i="69"/>
  <c r="J51" i="69"/>
  <c r="I51" i="69"/>
  <c r="S50" i="69"/>
  <c r="R50" i="69"/>
  <c r="J50" i="69"/>
  <c r="I50" i="69"/>
  <c r="S49" i="69"/>
  <c r="R49" i="69"/>
  <c r="J49" i="69"/>
  <c r="I49" i="69"/>
  <c r="S48" i="69"/>
  <c r="R48" i="69"/>
  <c r="J48" i="69"/>
  <c r="I48" i="69"/>
  <c r="S47" i="69"/>
  <c r="R47" i="69"/>
  <c r="J47" i="69"/>
  <c r="I47" i="69"/>
  <c r="S46" i="69"/>
  <c r="R46" i="69"/>
  <c r="J46" i="69"/>
  <c r="I46" i="69"/>
  <c r="A46" i="69"/>
  <c r="A47" i="69" s="1"/>
  <c r="A48" i="69" s="1"/>
  <c r="A49" i="69" s="1"/>
  <c r="A50" i="69" s="1"/>
  <c r="A51" i="69" s="1"/>
  <c r="S45" i="69"/>
  <c r="R45" i="69"/>
  <c r="J45" i="69"/>
  <c r="I45" i="69"/>
  <c r="A45" i="69"/>
  <c r="S44" i="69"/>
  <c r="R44" i="69"/>
  <c r="J44" i="69"/>
  <c r="I44" i="69"/>
  <c r="S43" i="69"/>
  <c r="R43" i="69"/>
  <c r="J43" i="69"/>
  <c r="I43" i="69"/>
  <c r="A43" i="69"/>
  <c r="S42" i="69"/>
  <c r="R42" i="69"/>
  <c r="J42" i="69"/>
  <c r="I42" i="69"/>
  <c r="S41" i="69"/>
  <c r="R41" i="69"/>
  <c r="J41" i="69"/>
  <c r="I41" i="69"/>
  <c r="S40" i="69"/>
  <c r="R40" i="69"/>
  <c r="J40" i="69"/>
  <c r="I40" i="69"/>
  <c r="S39" i="69"/>
  <c r="R39" i="69"/>
  <c r="J39" i="69"/>
  <c r="I39" i="69"/>
  <c r="A39" i="69"/>
  <c r="A40" i="69" s="1"/>
  <c r="A41" i="69" s="1"/>
  <c r="S38" i="69"/>
  <c r="R38" i="69"/>
  <c r="J38" i="69"/>
  <c r="I38" i="69"/>
  <c r="A38" i="69"/>
  <c r="S37" i="69"/>
  <c r="R37" i="69"/>
  <c r="J37" i="69"/>
  <c r="I37" i="69"/>
  <c r="A37" i="69"/>
  <c r="S36" i="69"/>
  <c r="R36" i="69"/>
  <c r="J36" i="69"/>
  <c r="I36" i="69"/>
  <c r="S35" i="69"/>
  <c r="R35" i="69"/>
  <c r="J35" i="69"/>
  <c r="I35" i="69"/>
  <c r="S34" i="69"/>
  <c r="R34" i="69"/>
  <c r="J34" i="69"/>
  <c r="I34" i="69"/>
  <c r="S33" i="69"/>
  <c r="R33" i="69"/>
  <c r="J33" i="69"/>
  <c r="I33" i="69"/>
  <c r="S32" i="69"/>
  <c r="R32" i="69"/>
  <c r="J32" i="69"/>
  <c r="I32" i="69"/>
  <c r="S31" i="69"/>
  <c r="R31" i="69"/>
  <c r="J31" i="69"/>
  <c r="I31" i="69"/>
  <c r="S30" i="69"/>
  <c r="R30" i="69"/>
  <c r="J30" i="69"/>
  <c r="I30" i="69"/>
  <c r="S29" i="69"/>
  <c r="R29" i="69"/>
  <c r="J29" i="69"/>
  <c r="I29" i="69"/>
  <c r="S28" i="69"/>
  <c r="R28" i="69"/>
  <c r="J28" i="69"/>
  <c r="S27" i="69"/>
  <c r="R27" i="69"/>
  <c r="J27" i="69"/>
  <c r="I27" i="69"/>
  <c r="BC26" i="69"/>
  <c r="S26" i="69"/>
  <c r="R26" i="69"/>
  <c r="J26" i="69"/>
  <c r="I26" i="69"/>
  <c r="S25" i="69"/>
  <c r="R25" i="69"/>
  <c r="J25" i="69"/>
  <c r="I25" i="69"/>
  <c r="S24" i="69"/>
  <c r="R24" i="69"/>
  <c r="J24" i="69"/>
  <c r="I24" i="69"/>
  <c r="S23" i="69"/>
  <c r="R23" i="69"/>
  <c r="J23" i="69"/>
  <c r="I23" i="69"/>
  <c r="A23" i="69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S22" i="69"/>
  <c r="R22" i="69"/>
  <c r="J22" i="69"/>
  <c r="I22" i="69"/>
  <c r="A22" i="69"/>
  <c r="S21" i="69"/>
  <c r="R21" i="69"/>
  <c r="J21" i="69"/>
  <c r="I21" i="69"/>
  <c r="A21" i="69"/>
  <c r="S20" i="69"/>
  <c r="R20" i="69"/>
  <c r="J20" i="69"/>
  <c r="I20" i="69"/>
  <c r="S19" i="69"/>
  <c r="R19" i="69"/>
  <c r="J19" i="69"/>
  <c r="I19" i="69"/>
  <c r="S18" i="69"/>
  <c r="R18" i="69"/>
  <c r="J18" i="69"/>
  <c r="I18" i="69"/>
  <c r="S17" i="69"/>
  <c r="R17" i="69"/>
  <c r="J17" i="69"/>
  <c r="I17" i="69"/>
  <c r="S16" i="69"/>
  <c r="R16" i="69"/>
  <c r="J16" i="69"/>
  <c r="I16" i="69"/>
  <c r="S15" i="69"/>
  <c r="R15" i="69"/>
  <c r="J15" i="69"/>
  <c r="I15" i="69"/>
  <c r="A15" i="69"/>
  <c r="A16" i="69" s="1"/>
  <c r="A17" i="69" s="1"/>
  <c r="A18" i="69" s="1"/>
  <c r="A19" i="69" s="1"/>
  <c r="S14" i="69"/>
  <c r="R14" i="69"/>
  <c r="J14" i="69"/>
  <c r="I14" i="69"/>
  <c r="S13" i="69"/>
  <c r="R13" i="69"/>
  <c r="J13" i="69"/>
  <c r="I13" i="69"/>
  <c r="S12" i="69"/>
  <c r="R12" i="69"/>
  <c r="J12" i="69"/>
  <c r="I12" i="69"/>
  <c r="S11" i="69"/>
  <c r="R11" i="69"/>
  <c r="J11" i="69"/>
  <c r="I11" i="69"/>
  <c r="S10" i="69"/>
  <c r="R10" i="69"/>
  <c r="J10" i="69"/>
  <c r="I10" i="69"/>
  <c r="A10" i="69"/>
  <c r="A11" i="69" s="1"/>
  <c r="A12" i="69" s="1"/>
  <c r="S9" i="69"/>
  <c r="R9" i="69"/>
  <c r="J9" i="69"/>
  <c r="I9" i="69"/>
  <c r="A9" i="69"/>
  <c r="S8" i="69"/>
  <c r="R8" i="69"/>
  <c r="J8" i="69"/>
  <c r="I8" i="69"/>
  <c r="R52" i="69" l="1"/>
  <c r="S52" i="69"/>
  <c r="J52" i="68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<sst xmlns="http://schemas.openxmlformats.org/spreadsheetml/2006/main" count="496" uniqueCount="79">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</sst>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rgb="FFFF0000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rgb="FFFF000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5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6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tabSelected="1"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43"/>
      <c r="L1" s="144"/>
      <c r="M1" s="144"/>
      <c r="N1" s="144"/>
      <c r="O1" s="14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37" t="s">
        <v>74</v>
      </c>
      <c r="C4" s="146" t="s">
        <v>3</v>
      </c>
      <c r="D4" s="147" t="s">
        <v>4</v>
      </c>
      <c r="E4" s="148"/>
      <c r="F4" s="149" t="s">
        <v>5</v>
      </c>
      <c r="G4" s="151" t="s">
        <v>6</v>
      </c>
      <c r="I4" s="153" t="s">
        <v>7</v>
      </c>
      <c r="J4" s="154"/>
      <c r="K4" s="154"/>
      <c r="L4" s="154"/>
      <c r="M4" s="154"/>
      <c r="N4" s="154"/>
      <c r="O4" s="155"/>
    </row>
    <row r="5" spans="1:51" s="3" customFormat="1" ht="38.25" thickBot="1" x14ac:dyDescent="0.3">
      <c r="A5" s="53"/>
      <c r="B5" s="137"/>
      <c r="C5" s="146"/>
      <c r="D5" s="52" t="s">
        <v>8</v>
      </c>
      <c r="E5" s="51" t="s">
        <v>9</v>
      </c>
      <c r="F5" s="150"/>
      <c r="G5" s="15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38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39"/>
      <c r="G61" s="25" t="s">
        <v>51</v>
      </c>
      <c r="I61" s="36"/>
      <c r="J61" s="37"/>
      <c r="K61" s="37"/>
      <c r="L61" s="38"/>
    </row>
    <row r="62" spans="1:15" x14ac:dyDescent="0.25">
      <c r="F62" s="140"/>
      <c r="G62" s="25" t="s">
        <v>52</v>
      </c>
      <c r="I62" s="39"/>
      <c r="J62" s="40"/>
      <c r="K62" s="40"/>
      <c r="L62" s="41"/>
    </row>
    <row r="63" spans="1:15" x14ac:dyDescent="0.25">
      <c r="F63" s="141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41"/>
      <c r="G64" s="25" t="s">
        <v>51</v>
      </c>
      <c r="I64" s="36"/>
      <c r="J64" s="37"/>
      <c r="K64" s="37"/>
      <c r="L64" s="38"/>
    </row>
    <row r="65" spans="2:15" ht="19.5" thickBot="1" x14ac:dyDescent="0.3">
      <c r="F65" s="142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30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46029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6" t="s">
        <v>75</v>
      </c>
      <c r="E4" s="147" t="s">
        <v>4</v>
      </c>
      <c r="F4" s="148"/>
      <c r="G4" s="149" t="s">
        <v>5</v>
      </c>
      <c r="H4" s="157" t="s">
        <v>75</v>
      </c>
      <c r="I4" s="151" t="s">
        <v>6</v>
      </c>
      <c r="J4" s="157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6"/>
      <c r="E5" s="52" t="s">
        <v>8</v>
      </c>
      <c r="F5" s="70" t="s">
        <v>9</v>
      </c>
      <c r="G5" s="150"/>
      <c r="H5" s="158"/>
      <c r="I5" s="152"/>
      <c r="J5" s="158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P1:V1"/>
    <mergeCell ref="B4:B5"/>
    <mergeCell ref="C4:C5"/>
    <mergeCell ref="E4:F4"/>
    <mergeCell ref="G4:G5"/>
    <mergeCell ref="J4:J5"/>
    <mergeCell ref="L4:V4"/>
    <mergeCell ref="G54:G56"/>
    <mergeCell ref="G57:G59"/>
    <mergeCell ref="D4:D5"/>
    <mergeCell ref="H4:H5"/>
    <mergeCell ref="I4:I5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5008-6B14-473E-BB6E-746E4E9397BF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46030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6" t="s">
        <v>75</v>
      </c>
      <c r="E4" s="147" t="s">
        <v>4</v>
      </c>
      <c r="F4" s="148"/>
      <c r="G4" s="149" t="s">
        <v>5</v>
      </c>
      <c r="H4" s="157" t="s">
        <v>75</v>
      </c>
      <c r="I4" s="151" t="s">
        <v>6</v>
      </c>
      <c r="J4" s="157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6"/>
      <c r="E5" s="52" t="s">
        <v>8</v>
      </c>
      <c r="F5" s="119" t="s">
        <v>9</v>
      </c>
      <c r="G5" s="150"/>
      <c r="H5" s="158"/>
      <c r="I5" s="152"/>
      <c r="J5" s="158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89</v>
      </c>
      <c r="D8" s="105"/>
      <c r="E8" s="94"/>
      <c r="F8" s="94"/>
      <c r="G8" s="106"/>
      <c r="H8" s="96"/>
      <c r="I8" s="96">
        <f>C8-G8</f>
        <v>89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18</v>
      </c>
      <c r="D11" s="105"/>
      <c r="E11" s="94"/>
      <c r="F11" s="94"/>
      <c r="G11" s="106">
        <v>6</v>
      </c>
      <c r="H11" s="96"/>
      <c r="I11" s="96">
        <f t="shared" si="1"/>
        <v>12</v>
      </c>
      <c r="J11" s="107">
        <f t="shared" si="1"/>
        <v>0</v>
      </c>
      <c r="K11" s="44"/>
      <c r="L11" s="94">
        <v>1</v>
      </c>
      <c r="M11" s="94"/>
      <c r="N11" s="94"/>
      <c r="O11" s="94"/>
      <c r="P11" s="94">
        <v>5</v>
      </c>
      <c r="Q11" s="95"/>
      <c r="R11" s="96">
        <f t="shared" si="2"/>
        <v>6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33</v>
      </c>
      <c r="D12" s="105"/>
      <c r="E12" s="94"/>
      <c r="F12" s="94"/>
      <c r="G12" s="106">
        <v>5</v>
      </c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>
        <v>5</v>
      </c>
      <c r="Q12" s="95"/>
      <c r="R12" s="96">
        <f t="shared" si="2"/>
        <v>5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3957</v>
      </c>
      <c r="D13" s="109">
        <v>9</v>
      </c>
      <c r="E13" s="110"/>
      <c r="F13" s="110"/>
      <c r="G13" s="111">
        <v>42</v>
      </c>
      <c r="H13" s="112">
        <v>20</v>
      </c>
      <c r="I13" s="96">
        <f t="shared" si="1"/>
        <v>3915</v>
      </c>
      <c r="J13" s="107">
        <f t="shared" si="1"/>
        <v>-11</v>
      </c>
      <c r="K13" s="68"/>
      <c r="L13" s="97">
        <v>13</v>
      </c>
      <c r="M13" s="97">
        <v>3</v>
      </c>
      <c r="N13" s="97">
        <v>15</v>
      </c>
      <c r="O13" s="97">
        <v>11</v>
      </c>
      <c r="P13" s="97">
        <v>14</v>
      </c>
      <c r="Q13" s="98">
        <v>6</v>
      </c>
      <c r="R13" s="96">
        <f t="shared" si="2"/>
        <v>42</v>
      </c>
      <c r="S13" s="95">
        <f t="shared" si="2"/>
        <v>20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66</v>
      </c>
      <c r="D26" s="105">
        <v>11</v>
      </c>
      <c r="E26" s="94"/>
      <c r="F26" s="94"/>
      <c r="G26" s="106"/>
      <c r="H26" s="96">
        <v>12</v>
      </c>
      <c r="I26" s="96">
        <f t="shared" si="1"/>
        <v>66</v>
      </c>
      <c r="J26" s="107">
        <f t="shared" si="1"/>
        <v>-1</v>
      </c>
      <c r="K26" s="44"/>
      <c r="L26" s="94"/>
      <c r="M26" s="94">
        <v>12</v>
      </c>
      <c r="N26" s="94"/>
      <c r="O26" s="94"/>
      <c r="P26" s="94"/>
      <c r="Q26" s="95"/>
      <c r="R26" s="96">
        <f t="shared" si="2"/>
        <v>0</v>
      </c>
      <c r="S26" s="95">
        <f t="shared" si="2"/>
        <v>12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21</v>
      </c>
      <c r="D27" s="105"/>
      <c r="E27" s="94"/>
      <c r="F27" s="94"/>
      <c r="G27" s="106">
        <v>1</v>
      </c>
      <c r="H27" s="96"/>
      <c r="I27" s="96">
        <f t="shared" si="1"/>
        <v>20</v>
      </c>
      <c r="J27" s="107">
        <f t="shared" si="1"/>
        <v>0</v>
      </c>
      <c r="K27" s="45"/>
      <c r="L27" s="94">
        <v>1</v>
      </c>
      <c r="M27" s="94"/>
      <c r="N27" s="94"/>
      <c r="O27" s="94"/>
      <c r="P27" s="94"/>
      <c r="Q27" s="95"/>
      <c r="R27" s="96">
        <f t="shared" si="2"/>
        <v>1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83</v>
      </c>
      <c r="D28" s="105">
        <v>12</v>
      </c>
      <c r="E28" s="94"/>
      <c r="F28" s="94"/>
      <c r="G28" s="106">
        <v>3</v>
      </c>
      <c r="H28" s="96">
        <v>12</v>
      </c>
      <c r="I28" s="96">
        <f t="shared" si="1"/>
        <v>80</v>
      </c>
      <c r="J28" s="107">
        <f t="shared" si="1"/>
        <v>0</v>
      </c>
      <c r="K28" s="45"/>
      <c r="L28" s="94"/>
      <c r="M28" s="94">
        <v>12</v>
      </c>
      <c r="N28" s="94"/>
      <c r="O28" s="94"/>
      <c r="P28" s="94">
        <v>3</v>
      </c>
      <c r="Q28" s="95"/>
      <c r="R28" s="96">
        <f t="shared" si="2"/>
        <v>3</v>
      </c>
      <c r="S28" s="95">
        <f t="shared" si="2"/>
        <v>12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>
        <v>1</v>
      </c>
      <c r="H29" s="96"/>
      <c r="I29" s="96">
        <f t="shared" si="1"/>
        <v>9</v>
      </c>
      <c r="J29" s="107">
        <f t="shared" si="1"/>
        <v>0</v>
      </c>
      <c r="K29" s="44"/>
      <c r="L29" s="94"/>
      <c r="M29" s="94"/>
      <c r="N29" s="94"/>
      <c r="O29" s="94"/>
      <c r="P29" s="94">
        <v>1</v>
      </c>
      <c r="Q29" s="95"/>
      <c r="R29" s="96">
        <f t="shared" si="2"/>
        <v>1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102</v>
      </c>
      <c r="D30" s="105"/>
      <c r="E30" s="94"/>
      <c r="F30" s="94"/>
      <c r="G30" s="106"/>
      <c r="H30" s="96"/>
      <c r="I30" s="96">
        <f t="shared" si="1"/>
        <v>102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209</v>
      </c>
      <c r="D34" s="105">
        <v>23</v>
      </c>
      <c r="E34" s="94"/>
      <c r="F34" s="94"/>
      <c r="G34" s="106">
        <v>1</v>
      </c>
      <c r="H34" s="96"/>
      <c r="I34" s="96">
        <f t="shared" si="1"/>
        <v>208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6917</v>
      </c>
      <c r="D37" s="109">
        <v>2</v>
      </c>
      <c r="E37" s="110"/>
      <c r="F37" s="110"/>
      <c r="G37" s="111">
        <v>114</v>
      </c>
      <c r="H37" s="112"/>
      <c r="I37" s="96">
        <f t="shared" si="1"/>
        <v>6803</v>
      </c>
      <c r="J37" s="107">
        <f t="shared" si="1"/>
        <v>2</v>
      </c>
      <c r="K37" s="64"/>
      <c r="L37" s="97">
        <v>10</v>
      </c>
      <c r="M37" s="97"/>
      <c r="N37" s="97">
        <v>20</v>
      </c>
      <c r="O37" s="97"/>
      <c r="P37" s="97">
        <v>84</v>
      </c>
      <c r="Q37" s="98"/>
      <c r="R37" s="96">
        <f t="shared" si="2"/>
        <v>114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1098</v>
      </c>
      <c r="D39" s="109"/>
      <c r="E39" s="110"/>
      <c r="F39" s="110"/>
      <c r="G39" s="111">
        <v>4</v>
      </c>
      <c r="H39" s="112"/>
      <c r="I39" s="96">
        <f t="shared" si="1"/>
        <v>1094</v>
      </c>
      <c r="J39" s="107">
        <f t="shared" si="1"/>
        <v>0</v>
      </c>
      <c r="K39" s="64"/>
      <c r="L39" s="97">
        <v>2</v>
      </c>
      <c r="M39" s="97"/>
      <c r="N39" s="97"/>
      <c r="O39" s="97"/>
      <c r="P39" s="97">
        <v>2</v>
      </c>
      <c r="Q39" s="98"/>
      <c r="R39" s="96">
        <f t="shared" si="2"/>
        <v>4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2316</v>
      </c>
      <c r="D40" s="114"/>
      <c r="E40" s="99"/>
      <c r="F40" s="99"/>
      <c r="G40" s="115">
        <v>21</v>
      </c>
      <c r="H40" s="116"/>
      <c r="I40" s="96">
        <f t="shared" si="1"/>
        <v>2295</v>
      </c>
      <c r="J40" s="107">
        <f t="shared" si="1"/>
        <v>0</v>
      </c>
      <c r="K40" s="69"/>
      <c r="L40" s="99">
        <v>2</v>
      </c>
      <c r="M40" s="99"/>
      <c r="N40" s="99"/>
      <c r="O40" s="99"/>
      <c r="P40" s="99">
        <v>19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34124</v>
      </c>
      <c r="D42" s="109">
        <v>3</v>
      </c>
      <c r="E42" s="110"/>
      <c r="F42" s="110"/>
      <c r="G42" s="111">
        <v>1353</v>
      </c>
      <c r="H42" s="112"/>
      <c r="I42" s="96">
        <f t="shared" si="1"/>
        <v>32771</v>
      </c>
      <c r="J42" s="107">
        <f t="shared" si="1"/>
        <v>3</v>
      </c>
      <c r="K42" s="64"/>
      <c r="L42" s="97">
        <v>523</v>
      </c>
      <c r="M42" s="97"/>
      <c r="N42" s="97">
        <v>450</v>
      </c>
      <c r="O42" s="97"/>
      <c r="P42" s="97">
        <v>380</v>
      </c>
      <c r="Q42" s="98"/>
      <c r="R42" s="96">
        <f t="shared" si="2"/>
        <v>1353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2415</v>
      </c>
      <c r="D46" s="105">
        <v>3</v>
      </c>
      <c r="E46" s="94"/>
      <c r="F46" s="94"/>
      <c r="G46" s="106">
        <v>4</v>
      </c>
      <c r="H46" s="96"/>
      <c r="I46" s="96">
        <f t="shared" si="1"/>
        <v>2411</v>
      </c>
      <c r="J46" s="107">
        <f t="shared" si="1"/>
        <v>3</v>
      </c>
      <c r="K46" s="44"/>
      <c r="L46" s="94">
        <v>1</v>
      </c>
      <c r="M46" s="94"/>
      <c r="N46" s="94">
        <v>3</v>
      </c>
      <c r="O46" s="94"/>
      <c r="P46" s="94"/>
      <c r="Q46" s="95"/>
      <c r="R46" s="96">
        <f t="shared" si="2"/>
        <v>4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51776</v>
      </c>
      <c r="D52" s="74">
        <f>SUM(D8:D51)</f>
        <v>63</v>
      </c>
      <c r="E52" s="47"/>
      <c r="F52" s="47"/>
      <c r="G52" s="31">
        <f>SUM(G8:G51)</f>
        <v>1555</v>
      </c>
      <c r="H52" s="76">
        <f>SUM(H8:H51)</f>
        <v>44</v>
      </c>
      <c r="I52" s="76">
        <f>SUM(I8:I51)-2</f>
        <v>50219</v>
      </c>
      <c r="J52" s="48">
        <f>SUM(J8:J51)+48</f>
        <v>67</v>
      </c>
      <c r="K52" s="49"/>
      <c r="L52" s="101">
        <f t="shared" ref="L52:S52" si="3">SUM(L8:L51)</f>
        <v>553</v>
      </c>
      <c r="M52" s="101">
        <f t="shared" si="3"/>
        <v>27</v>
      </c>
      <c r="N52" s="101">
        <f t="shared" si="3"/>
        <v>488</v>
      </c>
      <c r="O52" s="101">
        <f t="shared" si="3"/>
        <v>11</v>
      </c>
      <c r="P52" s="101">
        <f t="shared" si="3"/>
        <v>514</v>
      </c>
      <c r="Q52" s="102">
        <f t="shared" si="3"/>
        <v>6</v>
      </c>
      <c r="R52" s="102">
        <f t="shared" si="3"/>
        <v>1555</v>
      </c>
      <c r="S52" s="103">
        <f t="shared" si="3"/>
        <v>44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17" t="s">
        <v>3</v>
      </c>
      <c r="D61" s="118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17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X7" sqref="X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46031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6" t="s">
        <v>75</v>
      </c>
      <c r="E4" s="147" t="s">
        <v>4</v>
      </c>
      <c r="F4" s="148"/>
      <c r="G4" s="149" t="s">
        <v>5</v>
      </c>
      <c r="H4" s="157" t="s">
        <v>75</v>
      </c>
      <c r="I4" s="151" t="s">
        <v>6</v>
      </c>
      <c r="J4" s="157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6"/>
      <c r="E5" s="52" t="s">
        <v>8</v>
      </c>
      <c r="F5" s="122" t="s">
        <v>9</v>
      </c>
      <c r="G5" s="150"/>
      <c r="H5" s="158"/>
      <c r="I5" s="152"/>
      <c r="J5" s="158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87</v>
      </c>
      <c r="D8" s="105"/>
      <c r="E8" s="94"/>
      <c r="F8" s="94"/>
      <c r="G8" s="106">
        <v>2</v>
      </c>
      <c r="H8" s="96"/>
      <c r="I8" s="96">
        <f>C8-G8</f>
        <v>85</v>
      </c>
      <c r="J8" s="107">
        <f>D8-H8</f>
        <v>0</v>
      </c>
      <c r="K8" s="44"/>
      <c r="L8" s="94"/>
      <c r="M8" s="94"/>
      <c r="N8" s="94">
        <v>2</v>
      </c>
      <c r="O8" s="94"/>
      <c r="P8" s="94"/>
      <c r="Q8" s="95"/>
      <c r="R8" s="96">
        <f>L8+N8+P8</f>
        <v>2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9</v>
      </c>
      <c r="D11" s="105"/>
      <c r="E11" s="94"/>
      <c r="F11" s="94"/>
      <c r="G11" s="106"/>
      <c r="H11" s="96"/>
      <c r="I11" s="96">
        <f t="shared" si="1"/>
        <v>9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28</v>
      </c>
      <c r="D12" s="105"/>
      <c r="E12" s="94"/>
      <c r="F12" s="94"/>
      <c r="G12" s="106"/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3876</v>
      </c>
      <c r="D13" s="109">
        <v>5</v>
      </c>
      <c r="E13" s="110"/>
      <c r="F13" s="110"/>
      <c r="G13" s="111">
        <v>40</v>
      </c>
      <c r="H13" s="112">
        <v>36</v>
      </c>
      <c r="I13" s="96">
        <f t="shared" si="1"/>
        <v>3836</v>
      </c>
      <c r="J13" s="107">
        <f t="shared" si="1"/>
        <v>-31</v>
      </c>
      <c r="K13" s="68"/>
      <c r="L13" s="97">
        <v>20</v>
      </c>
      <c r="M13" s="97"/>
      <c r="N13" s="97">
        <v>10</v>
      </c>
      <c r="O13" s="97">
        <v>22</v>
      </c>
      <c r="P13" s="97">
        <v>10</v>
      </c>
      <c r="Q13" s="98">
        <v>14</v>
      </c>
      <c r="R13" s="96">
        <f t="shared" si="2"/>
        <v>40</v>
      </c>
      <c r="S13" s="95">
        <f t="shared" si="2"/>
        <v>36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63</v>
      </c>
      <c r="D26" s="105">
        <v>23</v>
      </c>
      <c r="E26" s="94"/>
      <c r="F26" s="94"/>
      <c r="G26" s="106">
        <v>1</v>
      </c>
      <c r="H26" s="96"/>
      <c r="I26" s="96">
        <f t="shared" si="1"/>
        <v>62</v>
      </c>
      <c r="J26" s="107">
        <f t="shared" si="1"/>
        <v>23</v>
      </c>
      <c r="K26" s="44"/>
      <c r="L26" s="94"/>
      <c r="M26" s="94"/>
      <c r="N26" s="94">
        <v>1</v>
      </c>
      <c r="O26" s="94"/>
      <c r="P26" s="94"/>
      <c r="Q26" s="95"/>
      <c r="R26" s="96">
        <f t="shared" si="2"/>
        <v>1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20</v>
      </c>
      <c r="D27" s="105"/>
      <c r="E27" s="94"/>
      <c r="F27" s="94"/>
      <c r="G27" s="106"/>
      <c r="H27" s="96"/>
      <c r="I27" s="96">
        <f t="shared" si="1"/>
        <v>20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70</v>
      </c>
      <c r="D28" s="105"/>
      <c r="E28" s="94"/>
      <c r="F28" s="94"/>
      <c r="G28" s="106">
        <v>4</v>
      </c>
      <c r="H28" s="96"/>
      <c r="I28" s="96">
        <f t="shared" si="1"/>
        <v>66</v>
      </c>
      <c r="J28" s="107">
        <f t="shared" si="1"/>
        <v>0</v>
      </c>
      <c r="K28" s="45"/>
      <c r="L28" s="94"/>
      <c r="M28" s="94"/>
      <c r="N28" s="94"/>
      <c r="O28" s="94"/>
      <c r="P28" s="94">
        <v>4</v>
      </c>
      <c r="Q28" s="95"/>
      <c r="R28" s="96">
        <f t="shared" si="2"/>
        <v>4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7</v>
      </c>
      <c r="D29" s="105"/>
      <c r="E29" s="94"/>
      <c r="F29" s="94"/>
      <c r="G29" s="106">
        <v>2</v>
      </c>
      <c r="H29" s="96"/>
      <c r="I29" s="96">
        <f t="shared" si="1"/>
        <v>5</v>
      </c>
      <c r="J29" s="107">
        <f t="shared" si="1"/>
        <v>0</v>
      </c>
      <c r="K29" s="44"/>
      <c r="L29" s="94"/>
      <c r="M29" s="94"/>
      <c r="N29" s="94">
        <v>1</v>
      </c>
      <c r="O29" s="94"/>
      <c r="P29" s="94">
        <v>1</v>
      </c>
      <c r="Q29" s="95"/>
      <c r="R29" s="96">
        <f t="shared" si="2"/>
        <v>2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100</v>
      </c>
      <c r="D30" s="105"/>
      <c r="E30" s="94"/>
      <c r="F30" s="94"/>
      <c r="G30" s="106">
        <v>2</v>
      </c>
      <c r="H30" s="96"/>
      <c r="I30" s="96">
        <f t="shared" si="1"/>
        <v>98</v>
      </c>
      <c r="J30" s="107">
        <f t="shared" si="1"/>
        <v>0</v>
      </c>
      <c r="K30" s="44"/>
      <c r="L30" s="94"/>
      <c r="M30" s="94"/>
      <c r="N30" s="94">
        <v>1</v>
      </c>
      <c r="O30" s="94"/>
      <c r="P30" s="94">
        <v>1</v>
      </c>
      <c r="Q30" s="95"/>
      <c r="R30" s="96">
        <f t="shared" si="2"/>
        <v>2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204</v>
      </c>
      <c r="D34" s="105">
        <v>23</v>
      </c>
      <c r="E34" s="94"/>
      <c r="F34" s="94"/>
      <c r="G34" s="106">
        <v>1</v>
      </c>
      <c r="H34" s="96"/>
      <c r="I34" s="96">
        <f t="shared" si="1"/>
        <v>203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6774</v>
      </c>
      <c r="D37" s="109">
        <v>2</v>
      </c>
      <c r="E37" s="110"/>
      <c r="F37" s="110"/>
      <c r="G37" s="111">
        <v>101</v>
      </c>
      <c r="H37" s="112"/>
      <c r="I37" s="96">
        <f t="shared" si="1"/>
        <v>6673</v>
      </c>
      <c r="J37" s="107">
        <f t="shared" si="1"/>
        <v>2</v>
      </c>
      <c r="K37" s="64"/>
      <c r="L37" s="97"/>
      <c r="M37" s="97"/>
      <c r="N37" s="97">
        <v>23</v>
      </c>
      <c r="O37" s="97"/>
      <c r="P37" s="97">
        <v>78</v>
      </c>
      <c r="Q37" s="98"/>
      <c r="R37" s="96">
        <f t="shared" si="2"/>
        <v>101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1092</v>
      </c>
      <c r="D39" s="109"/>
      <c r="E39" s="110"/>
      <c r="F39" s="110"/>
      <c r="G39" s="111"/>
      <c r="H39" s="112"/>
      <c r="I39" s="96">
        <f t="shared" si="1"/>
        <v>1092</v>
      </c>
      <c r="J39" s="107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2275</v>
      </c>
      <c r="D40" s="114"/>
      <c r="E40" s="99"/>
      <c r="F40" s="99"/>
      <c r="G40" s="115">
        <v>21</v>
      </c>
      <c r="H40" s="116"/>
      <c r="I40" s="96">
        <f t="shared" si="1"/>
        <v>2254</v>
      </c>
      <c r="J40" s="107">
        <f t="shared" si="1"/>
        <v>0</v>
      </c>
      <c r="K40" s="69"/>
      <c r="L40" s="99"/>
      <c r="M40" s="99"/>
      <c r="N40" s="99">
        <v>9</v>
      </c>
      <c r="O40" s="99"/>
      <c r="P40" s="99">
        <v>12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33057</v>
      </c>
      <c r="D42" s="109">
        <v>3</v>
      </c>
      <c r="E42" s="110">
        <v>2574</v>
      </c>
      <c r="F42" s="110"/>
      <c r="G42" s="111">
        <v>1308</v>
      </c>
      <c r="H42" s="112"/>
      <c r="I42" s="96">
        <f>C42-G42+E42</f>
        <v>34323</v>
      </c>
      <c r="J42" s="107">
        <f t="shared" si="1"/>
        <v>3</v>
      </c>
      <c r="K42" s="64"/>
      <c r="L42" s="97">
        <v>647</v>
      </c>
      <c r="M42" s="97"/>
      <c r="N42" s="97">
        <v>317</v>
      </c>
      <c r="O42" s="97"/>
      <c r="P42" s="97">
        <v>344</v>
      </c>
      <c r="Q42" s="98"/>
      <c r="R42" s="96">
        <f t="shared" si="2"/>
        <v>1308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2411</v>
      </c>
      <c r="D46" s="105">
        <v>3</v>
      </c>
      <c r="E46" s="94"/>
      <c r="F46" s="94"/>
      <c r="G46" s="106">
        <v>4</v>
      </c>
      <c r="H46" s="96">
        <v>2</v>
      </c>
      <c r="I46" s="96">
        <f t="shared" si="1"/>
        <v>2407</v>
      </c>
      <c r="J46" s="107">
        <f t="shared" si="1"/>
        <v>1</v>
      </c>
      <c r="K46" s="44"/>
      <c r="L46" s="94"/>
      <c r="M46" s="94"/>
      <c r="N46" s="94"/>
      <c r="O46" s="94">
        <v>2</v>
      </c>
      <c r="P46" s="94">
        <v>4</v>
      </c>
      <c r="Q46" s="95"/>
      <c r="R46" s="96">
        <f t="shared" si="2"/>
        <v>4</v>
      </c>
      <c r="S46" s="95">
        <f t="shared" si="2"/>
        <v>2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50391</v>
      </c>
      <c r="D52" s="74">
        <f>SUM(D8:D51)</f>
        <v>59</v>
      </c>
      <c r="E52" s="47">
        <f>SUM(E8:E51)</f>
        <v>2574</v>
      </c>
      <c r="F52" s="47"/>
      <c r="G52" s="31">
        <f>SUM(G8:G51)</f>
        <v>1486</v>
      </c>
      <c r="H52" s="76">
        <f>SUM(H8:H51)</f>
        <v>38</v>
      </c>
      <c r="I52" s="76">
        <f>SUM(I8:I51)-2</f>
        <v>51477</v>
      </c>
      <c r="J52" s="48">
        <f>SUM(J8:J51)+48</f>
        <v>69</v>
      </c>
      <c r="K52" s="49"/>
      <c r="L52" s="101">
        <f t="shared" ref="L52:S52" si="3">SUM(L8:L51)</f>
        <v>667</v>
      </c>
      <c r="M52" s="101">
        <f t="shared" si="3"/>
        <v>0</v>
      </c>
      <c r="N52" s="101">
        <f t="shared" si="3"/>
        <v>364</v>
      </c>
      <c r="O52" s="101">
        <f t="shared" si="3"/>
        <v>24</v>
      </c>
      <c r="P52" s="101">
        <f t="shared" si="3"/>
        <v>455</v>
      </c>
      <c r="Q52" s="102">
        <f t="shared" si="3"/>
        <v>14</v>
      </c>
      <c r="R52" s="102">
        <f t="shared" si="3"/>
        <v>1486</v>
      </c>
      <c r="S52" s="103">
        <f t="shared" si="3"/>
        <v>38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20" t="s">
        <v>3</v>
      </c>
      <c r="D61" s="121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20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787A7-8DCF-4D48-B684-73C5C8BB6996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12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G13" sqref="G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3.5703125" style="2" bestFit="1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43">
        <v>46024</v>
      </c>
      <c r="Q1" s="144"/>
      <c r="R1" s="144"/>
      <c r="S1" s="144"/>
      <c r="T1" s="144"/>
      <c r="U1" s="144"/>
      <c r="V1" s="1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37" t="s">
        <v>74</v>
      </c>
      <c r="C4" s="146" t="s">
        <v>3</v>
      </c>
      <c r="D4" s="156" t="s">
        <v>75</v>
      </c>
      <c r="E4" s="147" t="s">
        <v>4</v>
      </c>
      <c r="F4" s="148"/>
      <c r="G4" s="149" t="s">
        <v>5</v>
      </c>
      <c r="H4" s="157" t="s">
        <v>75</v>
      </c>
      <c r="I4" s="151" t="s">
        <v>6</v>
      </c>
      <c r="J4" s="157" t="s">
        <v>75</v>
      </c>
      <c r="L4" s="153" t="s">
        <v>7</v>
      </c>
      <c r="M4" s="154"/>
      <c r="N4" s="154"/>
      <c r="O4" s="154"/>
      <c r="P4" s="154"/>
      <c r="Q4" s="154"/>
      <c r="R4" s="154"/>
      <c r="S4" s="154"/>
      <c r="T4" s="154"/>
      <c r="U4" s="154"/>
      <c r="V4" s="155"/>
    </row>
    <row r="5" spans="1:58" s="3" customFormat="1" ht="38.25" thickBot="1" x14ac:dyDescent="0.3">
      <c r="A5" s="53"/>
      <c r="B5" s="137"/>
      <c r="C5" s="146"/>
      <c r="D5" s="156"/>
      <c r="E5" s="52" t="s">
        <v>8</v>
      </c>
      <c r="F5" s="125" t="s">
        <v>9</v>
      </c>
      <c r="G5" s="150"/>
      <c r="H5" s="158"/>
      <c r="I5" s="152"/>
      <c r="J5" s="158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92</v>
      </c>
      <c r="D8" s="105"/>
      <c r="E8" s="94"/>
      <c r="F8" s="94"/>
      <c r="G8" s="106"/>
      <c r="H8" s="96"/>
      <c r="I8" s="96">
        <f>C8-G8</f>
        <v>92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152</v>
      </c>
      <c r="D9" s="109"/>
      <c r="E9" s="110"/>
      <c r="F9" s="110"/>
      <c r="G9" s="111"/>
      <c r="H9" s="112"/>
      <c r="I9" s="126">
        <f t="shared" ref="I9:J51" si="1">C9-G9</f>
        <v>152</v>
      </c>
      <c r="J9" s="132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130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23</v>
      </c>
      <c r="D11" s="105"/>
      <c r="E11" s="94"/>
      <c r="F11" s="94"/>
      <c r="G11" s="106">
        <v>1</v>
      </c>
      <c r="H11" s="96"/>
      <c r="I11" s="96">
        <f t="shared" si="1"/>
        <v>22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34</v>
      </c>
      <c r="D12" s="105"/>
      <c r="E12" s="94"/>
      <c r="F12" s="94"/>
      <c r="G12" s="106"/>
      <c r="H12" s="96"/>
      <c r="I12" s="96">
        <f t="shared" si="1"/>
        <v>34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4087</v>
      </c>
      <c r="D13" s="109">
        <v>15</v>
      </c>
      <c r="E13" s="110"/>
      <c r="F13" s="110"/>
      <c r="G13" s="111">
        <v>4</v>
      </c>
      <c r="H13" s="112">
        <v>18</v>
      </c>
      <c r="I13" s="129">
        <f>C13-G13</f>
        <v>4083</v>
      </c>
      <c r="J13" s="128">
        <f>D13-H13</f>
        <v>-3</v>
      </c>
      <c r="K13" s="68"/>
      <c r="L13" s="97"/>
      <c r="M13" s="97"/>
      <c r="N13" s="97"/>
      <c r="O13" s="97"/>
      <c r="P13" s="97"/>
      <c r="Q13" s="98"/>
      <c r="R13" s="96">
        <f t="shared" si="2"/>
        <v>0</v>
      </c>
      <c r="S13" s="95">
        <f t="shared" si="2"/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130">
        <f t="shared" si="1"/>
        <v>5</v>
      </c>
      <c r="J14" s="131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88</v>
      </c>
      <c r="D26" s="105">
        <v>23</v>
      </c>
      <c r="E26" s="94"/>
      <c r="F26" s="94"/>
      <c r="G26" s="106"/>
      <c r="H26" s="96"/>
      <c r="I26" s="96">
        <f t="shared" si="1"/>
        <v>88</v>
      </c>
      <c r="J26" s="107">
        <f t="shared" si="1"/>
        <v>23</v>
      </c>
      <c r="K26" s="44"/>
      <c r="L26" s="94"/>
      <c r="M26" s="94"/>
      <c r="N26" s="94"/>
      <c r="O26" s="94"/>
      <c r="P26" s="94"/>
      <c r="Q26" s="95"/>
      <c r="R26" s="96">
        <f t="shared" si="2"/>
        <v>0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22</v>
      </c>
      <c r="D27" s="105"/>
      <c r="E27" s="94"/>
      <c r="F27" s="94"/>
      <c r="G27" s="106"/>
      <c r="H27" s="96"/>
      <c r="I27" s="96">
        <f t="shared" si="1"/>
        <v>22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126</v>
      </c>
      <c r="D28" s="105"/>
      <c r="E28" s="94"/>
      <c r="F28" s="94"/>
      <c r="G28" s="106">
        <v>6</v>
      </c>
      <c r="H28" s="96"/>
      <c r="I28" s="96">
        <f t="shared" si="1"/>
        <v>120</v>
      </c>
      <c r="J28" s="107">
        <f t="shared" si="1"/>
        <v>0</v>
      </c>
      <c r="K28" s="45"/>
      <c r="L28" s="94"/>
      <c r="M28" s="94"/>
      <c r="N28" s="94"/>
      <c r="O28" s="94"/>
      <c r="P28" s="94"/>
      <c r="Q28" s="95"/>
      <c r="R28" s="96">
        <f t="shared" si="2"/>
        <v>0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/>
      <c r="H29" s="96"/>
      <c r="I29" s="96">
        <f t="shared" si="1"/>
        <v>10</v>
      </c>
      <c r="J29" s="107">
        <f t="shared" si="1"/>
        <v>0</v>
      </c>
      <c r="K29" s="44"/>
      <c r="L29" s="94"/>
      <c r="M29" s="94"/>
      <c r="N29" s="94"/>
      <c r="O29" s="94"/>
      <c r="P29" s="94"/>
      <c r="Q29" s="95"/>
      <c r="R29" s="96">
        <f t="shared" si="2"/>
        <v>0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106</v>
      </c>
      <c r="D30" s="105"/>
      <c r="E30" s="94"/>
      <c r="F30" s="94"/>
      <c r="G30" s="106"/>
      <c r="H30" s="96"/>
      <c r="I30" s="96">
        <f t="shared" si="1"/>
        <v>106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223</v>
      </c>
      <c r="D34" s="105">
        <v>23</v>
      </c>
      <c r="E34" s="94"/>
      <c r="F34" s="94"/>
      <c r="G34" s="106"/>
      <c r="H34" s="96"/>
      <c r="I34" s="96">
        <f t="shared" si="1"/>
        <v>223</v>
      </c>
      <c r="J34" s="107">
        <f t="shared" si="1"/>
        <v>23</v>
      </c>
      <c r="K34" s="44"/>
      <c r="L34" s="94"/>
      <c r="M34" s="94"/>
      <c r="N34" s="94"/>
      <c r="O34" s="94"/>
      <c r="P34" s="94"/>
      <c r="Q34" s="95"/>
      <c r="R34" s="96">
        <f t="shared" si="2"/>
        <v>0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7356</v>
      </c>
      <c r="D37" s="109">
        <v>2</v>
      </c>
      <c r="E37" s="110"/>
      <c r="F37" s="110"/>
      <c r="G37" s="111">
        <v>75</v>
      </c>
      <c r="H37" s="112"/>
      <c r="I37" s="126">
        <f t="shared" si="1"/>
        <v>7281</v>
      </c>
      <c r="J37" s="133">
        <f t="shared" si="1"/>
        <v>2</v>
      </c>
      <c r="K37" s="64"/>
      <c r="L37" s="97"/>
      <c r="M37" s="97"/>
      <c r="N37" s="97"/>
      <c r="O37" s="97"/>
      <c r="P37" s="97"/>
      <c r="Q37" s="98"/>
      <c r="R37" s="96">
        <f t="shared" si="2"/>
        <v>0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36</v>
      </c>
      <c r="D38" s="105"/>
      <c r="E38" s="94"/>
      <c r="F38" s="94"/>
      <c r="G38" s="106"/>
      <c r="H38" s="96"/>
      <c r="I38" s="130">
        <f t="shared" si="1"/>
        <v>36</v>
      </c>
      <c r="J38" s="131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1164</v>
      </c>
      <c r="D39" s="109"/>
      <c r="E39" s="110"/>
      <c r="F39" s="110"/>
      <c r="G39" s="111"/>
      <c r="H39" s="112"/>
      <c r="I39" s="126">
        <f t="shared" si="1"/>
        <v>1164</v>
      </c>
      <c r="J39" s="133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2360</v>
      </c>
      <c r="D40" s="114"/>
      <c r="E40" s="99"/>
      <c r="F40" s="99"/>
      <c r="G40" s="115">
        <v>12</v>
      </c>
      <c r="H40" s="116"/>
      <c r="I40" s="115">
        <f t="shared" si="1"/>
        <v>2348</v>
      </c>
      <c r="J40" s="134">
        <f t="shared" si="1"/>
        <v>0</v>
      </c>
      <c r="K40" s="69"/>
      <c r="L40" s="99"/>
      <c r="M40" s="99"/>
      <c r="N40" s="99"/>
      <c r="O40" s="99"/>
      <c r="P40" s="99"/>
      <c r="Q40" s="100"/>
      <c r="R40" s="96">
        <f t="shared" si="2"/>
        <v>0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126">
        <f t="shared" si="1"/>
        <v>0</v>
      </c>
      <c r="J41" s="128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39067</v>
      </c>
      <c r="D42" s="109">
        <v>1</v>
      </c>
      <c r="E42" s="110"/>
      <c r="F42" s="110"/>
      <c r="G42" s="111">
        <v>480</v>
      </c>
      <c r="H42" s="112"/>
      <c r="I42" s="135">
        <f>C42-G42+E42</f>
        <v>38587</v>
      </c>
      <c r="J42" s="136">
        <f t="shared" si="1"/>
        <v>1</v>
      </c>
      <c r="K42" s="64"/>
      <c r="L42" s="97"/>
      <c r="M42" s="97"/>
      <c r="N42" s="97"/>
      <c r="O42" s="97"/>
      <c r="P42" s="97"/>
      <c r="Q42" s="98"/>
      <c r="R42" s="96">
        <f t="shared" si="2"/>
        <v>0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12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127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2423</v>
      </c>
      <c r="D46" s="105">
        <v>3</v>
      </c>
      <c r="E46" s="94"/>
      <c r="F46" s="94"/>
      <c r="G46" s="106"/>
      <c r="H46" s="96"/>
      <c r="I46" s="96">
        <f t="shared" si="1"/>
        <v>2423</v>
      </c>
      <c r="J46" s="107">
        <f t="shared" si="1"/>
        <v>3</v>
      </c>
      <c r="K46" s="44"/>
      <c r="L46" s="94"/>
      <c r="M46" s="94"/>
      <c r="N46" s="94"/>
      <c r="O46" s="94"/>
      <c r="P46" s="94"/>
      <c r="Q46" s="95"/>
      <c r="R46" s="96">
        <f t="shared" si="2"/>
        <v>0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42</v>
      </c>
      <c r="D50" s="105"/>
      <c r="E50" s="94"/>
      <c r="F50" s="94"/>
      <c r="G50" s="106">
        <v>8</v>
      </c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57518</v>
      </c>
      <c r="D52" s="74">
        <f>SUM(D8:D51)</f>
        <v>67</v>
      </c>
      <c r="E52" s="47">
        <f>SUM(E8:E51)</f>
        <v>0</v>
      </c>
      <c r="F52" s="47"/>
      <c r="G52" s="31">
        <f>SUM(G8:G51)</f>
        <v>586</v>
      </c>
      <c r="H52" s="76">
        <f>SUM(H8:H51)</f>
        <v>18</v>
      </c>
      <c r="I52" s="76">
        <f>SUM(I8:I51)-2</f>
        <v>56930</v>
      </c>
      <c r="J52" s="48">
        <f>SUM(J8:J51)+48</f>
        <v>97</v>
      </c>
      <c r="K52" s="49"/>
      <c r="L52" s="101">
        <f t="shared" ref="L52:S52" si="3">SUM(L8:L51)</f>
        <v>0</v>
      </c>
      <c r="M52" s="101">
        <f t="shared" si="3"/>
        <v>0</v>
      </c>
      <c r="N52" s="101">
        <f t="shared" si="3"/>
        <v>0</v>
      </c>
      <c r="O52" s="101">
        <f t="shared" si="3"/>
        <v>0</v>
      </c>
      <c r="P52" s="101">
        <f t="shared" si="3"/>
        <v>0</v>
      </c>
      <c r="Q52" s="102">
        <f t="shared" si="3"/>
        <v>0</v>
      </c>
      <c r="R52" s="102">
        <f t="shared" si="3"/>
        <v>0</v>
      </c>
      <c r="S52" s="103">
        <f t="shared" si="3"/>
        <v>0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38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39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40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41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41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42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23" t="s">
        <v>3</v>
      </c>
      <c r="D61" s="124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23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01,07</vt:lpstr>
      <vt:lpstr>01,08</vt:lpstr>
      <vt:lpstr>01,09</vt:lpstr>
      <vt:lpstr>01,09 (2)</vt:lpstr>
      <vt:lpstr>'01,07'!Print_Area</vt:lpstr>
      <vt:lpstr>'01,08'!Print_Area</vt:lpstr>
      <vt:lpstr>'01,09'!Print_Area</vt:lpstr>
      <vt:lpstr>'01,09 (2)'!Print_Area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2026-02-02T08:57:44Z</dcterms:modified>
</cp:coreProperties>
</file>