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95589A64-5BE7-4EF6-9021-9508BCB5D0E9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FEBRUARY" sheetId="1" r:id="rId1"/>
    <sheet name="DSIS | FEBR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C455" i="2" l="1"/>
  <c r="AB455" i="2"/>
  <c r="AE455" i="2" s="1"/>
  <c r="AI455" i="2" s="1"/>
  <c r="AB454" i="2"/>
  <c r="AB453" i="2"/>
  <c r="AH452" i="2"/>
  <c r="AB452" i="2"/>
  <c r="AE452" i="2" s="1"/>
  <c r="AA453" i="2"/>
  <c r="AA454" i="2" s="1"/>
  <c r="AA455" i="2" s="1"/>
  <c r="AE453" i="2"/>
  <c r="AE454" i="2"/>
  <c r="AI454" i="2" s="1"/>
  <c r="AE456" i="2"/>
  <c r="AI456" i="2" s="1"/>
  <c r="AE457" i="2"/>
  <c r="AI457" i="2" s="1"/>
  <c r="AE458" i="2"/>
  <c r="AI458" i="2" s="1"/>
  <c r="AE459" i="2"/>
  <c r="AI459" i="2"/>
  <c r="AE460" i="2"/>
  <c r="AI460" i="2" s="1"/>
  <c r="AE461" i="2"/>
  <c r="AI461" i="2"/>
  <c r="AE462" i="2"/>
  <c r="AI462" i="2" s="1"/>
  <c r="AE463" i="2"/>
  <c r="AI463" i="2"/>
  <c r="AE464" i="2"/>
  <c r="AI464" i="2" s="1"/>
  <c r="AE465" i="2"/>
  <c r="AI465" i="2" s="1"/>
  <c r="AE466" i="2"/>
  <c r="AI466" i="2" s="1"/>
  <c r="AE467" i="2"/>
  <c r="AI467" i="2"/>
  <c r="AE468" i="2"/>
  <c r="AI468" i="2" s="1"/>
  <c r="AE469" i="2"/>
  <c r="AI469" i="2"/>
  <c r="AE470" i="2"/>
  <c r="AI470" i="2"/>
  <c r="AE471" i="2"/>
  <c r="AI471" i="2"/>
  <c r="AE472" i="2"/>
  <c r="AI472" i="2" s="1"/>
  <c r="AE473" i="2"/>
  <c r="AI473" i="2" s="1"/>
  <c r="AE474" i="2"/>
  <c r="AI474" i="2"/>
  <c r="AE475" i="2"/>
  <c r="AI475" i="2"/>
  <c r="AE476" i="2"/>
  <c r="AI476" i="2" s="1"/>
  <c r="AE477" i="2"/>
  <c r="AI477" i="2"/>
  <c r="AE478" i="2"/>
  <c r="AI478" i="2"/>
  <c r="AE479" i="2"/>
  <c r="AI479" i="2"/>
  <c r="AE480" i="2"/>
  <c r="AI480" i="2" s="1"/>
  <c r="AE481" i="2"/>
  <c r="AI481" i="2" s="1"/>
  <c r="AE482" i="2"/>
  <c r="AI482" i="2"/>
  <c r="AE483" i="2"/>
  <c r="AI483" i="2"/>
  <c r="AE484" i="2"/>
  <c r="AI484" i="2" s="1"/>
  <c r="AE485" i="2"/>
  <c r="AI485" i="2"/>
  <c r="AE486" i="2"/>
  <c r="AI486" i="2"/>
  <c r="AE487" i="2"/>
  <c r="AI487" i="2"/>
  <c r="AE488" i="2"/>
  <c r="AI488" i="2" s="1"/>
  <c r="AE489" i="2"/>
  <c r="AI489" i="2" s="1"/>
  <c r="AE490" i="2"/>
  <c r="AI490" i="2"/>
  <c r="AI491" i="2"/>
  <c r="AE492" i="2"/>
  <c r="AI492" i="2" s="1"/>
  <c r="AI493" i="2"/>
  <c r="AC495" i="2"/>
  <c r="AD495" i="2"/>
  <c r="AG495" i="2"/>
  <c r="AH495" i="2"/>
  <c r="P461" i="2"/>
  <c r="S461" i="2" s="1"/>
  <c r="W461" i="2" s="1"/>
  <c r="P460" i="2"/>
  <c r="S460" i="2" s="1"/>
  <c r="W460" i="2" s="1"/>
  <c r="P459" i="2"/>
  <c r="S459" i="2" s="1"/>
  <c r="W459" i="2" s="1"/>
  <c r="P458" i="2"/>
  <c r="P457" i="2"/>
  <c r="P456" i="2"/>
  <c r="P455" i="2"/>
  <c r="S455" i="2" s="1"/>
  <c r="W455" i="2" s="1"/>
  <c r="P454" i="2"/>
  <c r="Q453" i="2"/>
  <c r="P453" i="2"/>
  <c r="S453" i="2" s="1"/>
  <c r="W453" i="2" s="1"/>
  <c r="P452" i="2"/>
  <c r="S452" i="2"/>
  <c r="O453" i="2"/>
  <c r="O454" i="2" s="1"/>
  <c r="O455" i="2" s="1"/>
  <c r="O456" i="2" s="1"/>
  <c r="O457" i="2" s="1"/>
  <c r="O458" i="2" s="1"/>
  <c r="O459" i="2" s="1"/>
  <c r="O460" i="2" s="1"/>
  <c r="O461" i="2" s="1"/>
  <c r="S454" i="2"/>
  <c r="W454" i="2" s="1"/>
  <c r="U495" i="2"/>
  <c r="S456" i="2"/>
  <c r="W456" i="2" s="1"/>
  <c r="S457" i="2"/>
  <c r="W457" i="2" s="1"/>
  <c r="S458" i="2"/>
  <c r="W458" i="2" s="1"/>
  <c r="S462" i="2"/>
  <c r="W462" i="2" s="1"/>
  <c r="Q495" i="2"/>
  <c r="S463" i="2"/>
  <c r="W463" i="2" s="1"/>
  <c r="S464" i="2"/>
  <c r="W464" i="2" s="1"/>
  <c r="S465" i="2"/>
  <c r="W465" i="2" s="1"/>
  <c r="S466" i="2"/>
  <c r="W466" i="2"/>
  <c r="S467" i="2"/>
  <c r="W467" i="2"/>
  <c r="S468" i="2"/>
  <c r="W468" i="2"/>
  <c r="S469" i="2"/>
  <c r="W469" i="2" s="1"/>
  <c r="S470" i="2"/>
  <c r="W470" i="2"/>
  <c r="S471" i="2"/>
  <c r="W471" i="2"/>
  <c r="S472" i="2"/>
  <c r="W472" i="2"/>
  <c r="S473" i="2"/>
  <c r="W473" i="2" s="1"/>
  <c r="S474" i="2"/>
  <c r="W474" i="2"/>
  <c r="S475" i="2"/>
  <c r="W475" i="2"/>
  <c r="S476" i="2"/>
  <c r="W476" i="2"/>
  <c r="S477" i="2"/>
  <c r="W477" i="2" s="1"/>
  <c r="S478" i="2"/>
  <c r="W478" i="2"/>
  <c r="S479" i="2"/>
  <c r="W479" i="2"/>
  <c r="S480" i="2"/>
  <c r="W480" i="2"/>
  <c r="S481" i="2"/>
  <c r="W481" i="2" s="1"/>
  <c r="S482" i="2"/>
  <c r="W482" i="2"/>
  <c r="S483" i="2"/>
  <c r="W483" i="2"/>
  <c r="S484" i="2"/>
  <c r="W484" i="2"/>
  <c r="S485" i="2"/>
  <c r="W485" i="2" s="1"/>
  <c r="S486" i="2"/>
  <c r="W486" i="2"/>
  <c r="S487" i="2"/>
  <c r="W487" i="2"/>
  <c r="S488" i="2"/>
  <c r="W488" i="2"/>
  <c r="S489" i="2"/>
  <c r="W489" i="2" s="1"/>
  <c r="S490" i="2"/>
  <c r="W490" i="2"/>
  <c r="W491" i="2"/>
  <c r="S492" i="2"/>
  <c r="W492" i="2"/>
  <c r="W493" i="2"/>
  <c r="R495" i="2"/>
  <c r="V495" i="2"/>
  <c r="D458" i="2"/>
  <c r="D457" i="2"/>
  <c r="D456" i="2"/>
  <c r="I455" i="2"/>
  <c r="I495" i="2" s="1"/>
  <c r="D455" i="2"/>
  <c r="D495" i="2" s="1"/>
  <c r="E455" i="2"/>
  <c r="D454" i="2"/>
  <c r="D453" i="2"/>
  <c r="E452" i="2"/>
  <c r="D452" i="2"/>
  <c r="G452" i="2" s="1"/>
  <c r="K452" i="2" s="1"/>
  <c r="C453" i="2"/>
  <c r="C454" i="2" s="1"/>
  <c r="C455" i="2" s="1"/>
  <c r="C456" i="2" s="1"/>
  <c r="C457" i="2" s="1"/>
  <c r="C458" i="2" s="1"/>
  <c r="G454" i="2"/>
  <c r="K454" i="2" s="1"/>
  <c r="G456" i="2"/>
  <c r="K456" i="2" s="1"/>
  <c r="G457" i="2"/>
  <c r="K457" i="2" s="1"/>
  <c r="G458" i="2"/>
  <c r="K458" i="2" s="1"/>
  <c r="G459" i="2"/>
  <c r="K459" i="2"/>
  <c r="G460" i="2"/>
  <c r="K460" i="2" s="1"/>
  <c r="G461" i="2"/>
  <c r="K461" i="2"/>
  <c r="G462" i="2"/>
  <c r="K462" i="2"/>
  <c r="G463" i="2"/>
  <c r="K463" i="2"/>
  <c r="G464" i="2"/>
  <c r="K464" i="2" s="1"/>
  <c r="G465" i="2"/>
  <c r="K465" i="2"/>
  <c r="G466" i="2"/>
  <c r="K466" i="2"/>
  <c r="G467" i="2"/>
  <c r="K467" i="2"/>
  <c r="G468" i="2"/>
  <c r="K468" i="2" s="1"/>
  <c r="G469" i="2"/>
  <c r="K469" i="2"/>
  <c r="G470" i="2"/>
  <c r="K470" i="2"/>
  <c r="G471" i="2"/>
  <c r="K471" i="2"/>
  <c r="G472" i="2"/>
  <c r="K472" i="2" s="1"/>
  <c r="G473" i="2"/>
  <c r="K473" i="2"/>
  <c r="G474" i="2"/>
  <c r="K474" i="2"/>
  <c r="G475" i="2"/>
  <c r="K475" i="2"/>
  <c r="G476" i="2"/>
  <c r="K476" i="2" s="1"/>
  <c r="G477" i="2"/>
  <c r="K477" i="2"/>
  <c r="G478" i="2"/>
  <c r="K478" i="2"/>
  <c r="G479" i="2"/>
  <c r="K479" i="2"/>
  <c r="G480" i="2"/>
  <c r="K480" i="2" s="1"/>
  <c r="G481" i="2"/>
  <c r="K481" i="2"/>
  <c r="G482" i="2"/>
  <c r="K482" i="2"/>
  <c r="G483" i="2"/>
  <c r="K483" i="2"/>
  <c r="G484" i="2"/>
  <c r="K484" i="2" s="1"/>
  <c r="G485" i="2"/>
  <c r="K485" i="2"/>
  <c r="G492" i="2"/>
  <c r="K492" i="2"/>
  <c r="F495" i="2"/>
  <c r="J495" i="2"/>
  <c r="AI452" i="2" l="1"/>
  <c r="AI453" i="2"/>
  <c r="AI495" i="2" s="1"/>
  <c r="AE495" i="2"/>
  <c r="AB495" i="2"/>
  <c r="P495" i="2"/>
  <c r="W452" i="2"/>
  <c r="W495" i="2" s="1"/>
  <c r="S495" i="2"/>
  <c r="G455" i="2"/>
  <c r="K455" i="2" s="1"/>
  <c r="E495" i="2"/>
  <c r="G453" i="2"/>
  <c r="K453" i="2" s="1"/>
  <c r="K495" i="2" s="1"/>
  <c r="AB399" i="2"/>
  <c r="AB398" i="2"/>
  <c r="AE398" i="2" s="1"/>
  <c r="AI398" i="2" s="1"/>
  <c r="AH397" i="2"/>
  <c r="AH440" i="2" s="1"/>
  <c r="AG397" i="2"/>
  <c r="AB397" i="2"/>
  <c r="AE397" i="2"/>
  <c r="AA398" i="2"/>
  <c r="AA399" i="2" s="1"/>
  <c r="AE399" i="2"/>
  <c r="AI399" i="2" s="1"/>
  <c r="AG440" i="2"/>
  <c r="AE400" i="2"/>
  <c r="AI400" i="2" s="1"/>
  <c r="AE401" i="2"/>
  <c r="AI401" i="2" s="1"/>
  <c r="AE402" i="2"/>
  <c r="AI402" i="2" s="1"/>
  <c r="AE403" i="2"/>
  <c r="AI403" i="2"/>
  <c r="AE404" i="2"/>
  <c r="AI404" i="2" s="1"/>
  <c r="AE405" i="2"/>
  <c r="AI405" i="2"/>
  <c r="AE406" i="2"/>
  <c r="AI406" i="2"/>
  <c r="AE407" i="2"/>
  <c r="AI407" i="2"/>
  <c r="AE408" i="2"/>
  <c r="AI408" i="2" s="1"/>
  <c r="AE409" i="2"/>
  <c r="AI409" i="2"/>
  <c r="AE410" i="2"/>
  <c r="AI410" i="2"/>
  <c r="AE411" i="2"/>
  <c r="AI411" i="2"/>
  <c r="AE412" i="2"/>
  <c r="AI412" i="2" s="1"/>
  <c r="AE413" i="2"/>
  <c r="AI413" i="2"/>
  <c r="AE414" i="2"/>
  <c r="AI414" i="2"/>
  <c r="AE415" i="2"/>
  <c r="AI415" i="2"/>
  <c r="AE416" i="2"/>
  <c r="AI416" i="2" s="1"/>
  <c r="AE417" i="2"/>
  <c r="AI417" i="2"/>
  <c r="AE418" i="2"/>
  <c r="AI418" i="2"/>
  <c r="AE419" i="2"/>
  <c r="AI419" i="2"/>
  <c r="AE420" i="2"/>
  <c r="AI420" i="2" s="1"/>
  <c r="AE421" i="2"/>
  <c r="AI421" i="2"/>
  <c r="AE422" i="2"/>
  <c r="AI422" i="2"/>
  <c r="AE423" i="2"/>
  <c r="AI423" i="2"/>
  <c r="AE424" i="2"/>
  <c r="AI424" i="2" s="1"/>
  <c r="AE425" i="2"/>
  <c r="AI425" i="2"/>
  <c r="AE426" i="2"/>
  <c r="AI426" i="2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 s="1"/>
  <c r="AE433" i="2"/>
  <c r="AI433" i="2"/>
  <c r="AE434" i="2"/>
  <c r="AI434" i="2"/>
  <c r="AE435" i="2"/>
  <c r="AI435" i="2"/>
  <c r="AI436" i="2"/>
  <c r="AE437" i="2"/>
  <c r="AI437" i="2"/>
  <c r="AI438" i="2"/>
  <c r="AC440" i="2"/>
  <c r="AD440" i="2"/>
  <c r="P409" i="2"/>
  <c r="S409" i="2" s="1"/>
  <c r="W409" i="2" s="1"/>
  <c r="V408" i="2"/>
  <c r="V440" i="2" s="1"/>
  <c r="U408" i="2"/>
  <c r="Q408" i="2"/>
  <c r="S408" i="2" s="1"/>
  <c r="W408" i="2" s="1"/>
  <c r="P408" i="2"/>
  <c r="P407" i="2"/>
  <c r="P406" i="2"/>
  <c r="P405" i="2"/>
  <c r="P404" i="2"/>
  <c r="S404" i="2" s="1"/>
  <c r="W404" i="2" s="1"/>
  <c r="U403" i="2"/>
  <c r="U440" i="2" s="1"/>
  <c r="P403" i="2"/>
  <c r="P402" i="2"/>
  <c r="S402" i="2" s="1"/>
  <c r="W402" i="2" s="1"/>
  <c r="P401" i="2"/>
  <c r="P400" i="2"/>
  <c r="S400" i="2" s="1"/>
  <c r="W400" i="2" s="1"/>
  <c r="U399" i="2"/>
  <c r="P399" i="2"/>
  <c r="P398" i="2"/>
  <c r="S398" i="2" s="1"/>
  <c r="W398" i="2" s="1"/>
  <c r="P397" i="2"/>
  <c r="S397" i="2"/>
  <c r="W397" i="2" s="1"/>
  <c r="O398" i="2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S399" i="2"/>
  <c r="S401" i="2"/>
  <c r="W401" i="2" s="1"/>
  <c r="S403" i="2"/>
  <c r="S405" i="2"/>
  <c r="W405" i="2" s="1"/>
  <c r="S406" i="2"/>
  <c r="W406" i="2" s="1"/>
  <c r="S407" i="2"/>
  <c r="W407" i="2"/>
  <c r="S410" i="2"/>
  <c r="W410" i="2"/>
  <c r="S411" i="2"/>
  <c r="W411" i="2"/>
  <c r="S412" i="2"/>
  <c r="W412" i="2"/>
  <c r="S413" i="2"/>
  <c r="W413" i="2"/>
  <c r="S414" i="2"/>
  <c r="W414" i="2"/>
  <c r="S415" i="2"/>
  <c r="W415" i="2"/>
  <c r="S416" i="2"/>
  <c r="W416" i="2"/>
  <c r="S417" i="2"/>
  <c r="W417" i="2" s="1"/>
  <c r="S418" i="2"/>
  <c r="W418" i="2"/>
  <c r="S419" i="2"/>
  <c r="W419" i="2"/>
  <c r="S420" i="2"/>
  <c r="W420" i="2"/>
  <c r="S421" i="2"/>
  <c r="W421" i="2"/>
  <c r="S422" i="2"/>
  <c r="W422" i="2"/>
  <c r="S423" i="2"/>
  <c r="W423" i="2"/>
  <c r="S424" i="2"/>
  <c r="W424" i="2"/>
  <c r="S425" i="2"/>
  <c r="W425" i="2" s="1"/>
  <c r="S426" i="2"/>
  <c r="W426" i="2"/>
  <c r="S427" i="2"/>
  <c r="W427" i="2"/>
  <c r="S428" i="2"/>
  <c r="W428" i="2"/>
  <c r="S429" i="2"/>
  <c r="W429" i="2"/>
  <c r="S430" i="2"/>
  <c r="W430" i="2"/>
  <c r="S431" i="2"/>
  <c r="W431" i="2"/>
  <c r="S432" i="2"/>
  <c r="W432" i="2"/>
  <c r="S433" i="2"/>
  <c r="W433" i="2" s="1"/>
  <c r="S434" i="2"/>
  <c r="W434" i="2"/>
  <c r="S435" i="2"/>
  <c r="W435" i="2"/>
  <c r="W436" i="2"/>
  <c r="S437" i="2"/>
  <c r="W437" i="2"/>
  <c r="W438" i="2"/>
  <c r="R440" i="2"/>
  <c r="D403" i="2"/>
  <c r="D402" i="2"/>
  <c r="D401" i="2"/>
  <c r="G401" i="2" s="1"/>
  <c r="K401" i="2" s="1"/>
  <c r="D400" i="2"/>
  <c r="D399" i="2"/>
  <c r="D398" i="2"/>
  <c r="G398" i="2" s="1"/>
  <c r="K398" i="2" s="1"/>
  <c r="D397" i="2"/>
  <c r="G397" i="2" s="1"/>
  <c r="C398" i="2"/>
  <c r="C399" i="2" s="1"/>
  <c r="C400" i="2" s="1"/>
  <c r="C401" i="2" s="1"/>
  <c r="C402" i="2" s="1"/>
  <c r="C403" i="2" s="1"/>
  <c r="G399" i="2"/>
  <c r="K399" i="2" s="1"/>
  <c r="E440" i="2"/>
  <c r="G400" i="2"/>
  <c r="K400" i="2" s="1"/>
  <c r="I440" i="2"/>
  <c r="J440" i="2"/>
  <c r="G402" i="2"/>
  <c r="K402" i="2" s="1"/>
  <c r="G403" i="2"/>
  <c r="K403" i="2" s="1"/>
  <c r="G404" i="2"/>
  <c r="K404" i="2" s="1"/>
  <c r="G405" i="2"/>
  <c r="K405" i="2"/>
  <c r="G406" i="2"/>
  <c r="K406" i="2"/>
  <c r="G407" i="2"/>
  <c r="K407" i="2" s="1"/>
  <c r="G408" i="2"/>
  <c r="K408" i="2" s="1"/>
  <c r="G409" i="2"/>
  <c r="K409" i="2"/>
  <c r="G410" i="2"/>
  <c r="K410" i="2"/>
  <c r="G411" i="2"/>
  <c r="K411" i="2"/>
  <c r="G412" i="2"/>
  <c r="K412" i="2" s="1"/>
  <c r="G413" i="2"/>
  <c r="K413" i="2"/>
  <c r="G414" i="2"/>
  <c r="K414" i="2"/>
  <c r="G415" i="2"/>
  <c r="K415" i="2" s="1"/>
  <c r="G416" i="2"/>
  <c r="K416" i="2" s="1"/>
  <c r="G417" i="2"/>
  <c r="K417" i="2"/>
  <c r="G418" i="2"/>
  <c r="K418" i="2"/>
  <c r="G419" i="2"/>
  <c r="K419" i="2"/>
  <c r="G420" i="2"/>
  <c r="K420" i="2" s="1"/>
  <c r="G421" i="2"/>
  <c r="K421" i="2"/>
  <c r="G422" i="2"/>
  <c r="K422" i="2"/>
  <c r="G423" i="2"/>
  <c r="K423" i="2" s="1"/>
  <c r="G424" i="2"/>
  <c r="K424" i="2" s="1"/>
  <c r="G425" i="2"/>
  <c r="K425" i="2"/>
  <c r="G426" i="2"/>
  <c r="K426" i="2"/>
  <c r="G427" i="2"/>
  <c r="K427" i="2"/>
  <c r="G428" i="2"/>
  <c r="K428" i="2" s="1"/>
  <c r="G429" i="2"/>
  <c r="K429" i="2"/>
  <c r="G430" i="2"/>
  <c r="K430" i="2"/>
  <c r="G437" i="2"/>
  <c r="K437" i="2" s="1"/>
  <c r="F440" i="2"/>
  <c r="G495" i="2" l="1"/>
  <c r="AI397" i="2"/>
  <c r="AI440" i="2" s="1"/>
  <c r="AE440" i="2"/>
  <c r="AB440" i="2"/>
  <c r="Q440" i="2"/>
  <c r="W403" i="2"/>
  <c r="W399" i="2"/>
  <c r="P440" i="2"/>
  <c r="S440" i="2"/>
  <c r="W440" i="2"/>
  <c r="K397" i="2"/>
  <c r="K440" i="2" s="1"/>
  <c r="G440" i="2"/>
  <c r="D440" i="2"/>
  <c r="AA348" i="2"/>
  <c r="AB348" i="2"/>
  <c r="AE348" i="2" s="1"/>
  <c r="AI348" i="2" s="1"/>
  <c r="AB347" i="2"/>
  <c r="AE347" i="2" s="1"/>
  <c r="AI347" i="2" s="1"/>
  <c r="AB346" i="2"/>
  <c r="AB345" i="2"/>
  <c r="AE345" i="2" s="1"/>
  <c r="AI345" i="2" s="1"/>
  <c r="AG344" i="2"/>
  <c r="AG385" i="2" s="1"/>
  <c r="AB344" i="2"/>
  <c r="AB343" i="2"/>
  <c r="AG342" i="2"/>
  <c r="AB342" i="2"/>
  <c r="AE342" i="2"/>
  <c r="AI342" i="2" s="1"/>
  <c r="AA343" i="2"/>
  <c r="AA344" i="2" s="1"/>
  <c r="AA345" i="2" s="1"/>
  <c r="AA346" i="2" s="1"/>
  <c r="AA347" i="2" s="1"/>
  <c r="AE343" i="2"/>
  <c r="AI343" i="2"/>
  <c r="AC385" i="2"/>
  <c r="AE346" i="2"/>
  <c r="AI346" i="2" s="1"/>
  <c r="AE349" i="2"/>
  <c r="AI349" i="2"/>
  <c r="AE350" i="2"/>
  <c r="AI350" i="2" s="1"/>
  <c r="AE351" i="2"/>
  <c r="AI351" i="2" s="1"/>
  <c r="AE352" i="2"/>
  <c r="AI352" i="2"/>
  <c r="AE353" i="2"/>
  <c r="AI353" i="2"/>
  <c r="AE354" i="2"/>
  <c r="AI354" i="2" s="1"/>
  <c r="AE355" i="2"/>
  <c r="AI355" i="2" s="1"/>
  <c r="AE356" i="2"/>
  <c r="AI356" i="2"/>
  <c r="AE357" i="2"/>
  <c r="AI357" i="2"/>
  <c r="AE358" i="2"/>
  <c r="AI358" i="2" s="1"/>
  <c r="AE359" i="2"/>
  <c r="AI359" i="2" s="1"/>
  <c r="AE360" i="2"/>
  <c r="AI360" i="2"/>
  <c r="AE361" i="2"/>
  <c r="AI361" i="2"/>
  <c r="AE362" i="2"/>
  <c r="AI362" i="2" s="1"/>
  <c r="AE363" i="2"/>
  <c r="AI363" i="2" s="1"/>
  <c r="AE364" i="2"/>
  <c r="AI364" i="2" s="1"/>
  <c r="AE365" i="2"/>
  <c r="AI365" i="2"/>
  <c r="AE366" i="2"/>
  <c r="AI366" i="2" s="1"/>
  <c r="AE367" i="2"/>
  <c r="AI367" i="2" s="1"/>
  <c r="AE368" i="2"/>
  <c r="AI368" i="2"/>
  <c r="AE369" i="2"/>
  <c r="AI369" i="2"/>
  <c r="AE370" i="2"/>
  <c r="AI370" i="2" s="1"/>
  <c r="AE371" i="2"/>
  <c r="AI371" i="2" s="1"/>
  <c r="AE372" i="2"/>
  <c r="AI372" i="2"/>
  <c r="AE373" i="2"/>
  <c r="AI373" i="2"/>
  <c r="AE374" i="2"/>
  <c r="AI374" i="2" s="1"/>
  <c r="AE375" i="2"/>
  <c r="AI375" i="2" s="1"/>
  <c r="AE376" i="2"/>
  <c r="AI376" i="2"/>
  <c r="AE377" i="2"/>
  <c r="AI377" i="2"/>
  <c r="AE378" i="2"/>
  <c r="AI378" i="2" s="1"/>
  <c r="AE379" i="2"/>
  <c r="AI379" i="2" s="1"/>
  <c r="AE380" i="2"/>
  <c r="AI380" i="2"/>
  <c r="AI381" i="2"/>
  <c r="AE382" i="2"/>
  <c r="AI382" i="2"/>
  <c r="AI383" i="2"/>
  <c r="AD385" i="2"/>
  <c r="AH385" i="2"/>
  <c r="P344" i="2"/>
  <c r="U343" i="2"/>
  <c r="U385" i="2" s="1"/>
  <c r="Q343" i="2"/>
  <c r="Q385" i="2" s="1"/>
  <c r="P343" i="2"/>
  <c r="P342" i="2"/>
  <c r="S342" i="2" s="1"/>
  <c r="W342" i="2" s="1"/>
  <c r="O343" i="2"/>
  <c r="O344" i="2" s="1"/>
  <c r="S344" i="2"/>
  <c r="S345" i="2"/>
  <c r="W345" i="2" s="1"/>
  <c r="S346" i="2"/>
  <c r="W346" i="2" s="1"/>
  <c r="V385" i="2"/>
  <c r="S347" i="2"/>
  <c r="W347" i="2" s="1"/>
  <c r="S348" i="2"/>
  <c r="W348" i="2"/>
  <c r="S349" i="2"/>
  <c r="W349" i="2"/>
  <c r="S350" i="2"/>
  <c r="W350" i="2" s="1"/>
  <c r="S351" i="2"/>
  <c r="W351" i="2"/>
  <c r="S352" i="2"/>
  <c r="W352" i="2" s="1"/>
  <c r="S353" i="2"/>
  <c r="W353" i="2"/>
  <c r="S354" i="2"/>
  <c r="W354" i="2" s="1"/>
  <c r="S355" i="2"/>
  <c r="W355" i="2"/>
  <c r="S356" i="2"/>
  <c r="W356" i="2"/>
  <c r="S357" i="2"/>
  <c r="W357" i="2"/>
  <c r="S358" i="2"/>
  <c r="W358" i="2" s="1"/>
  <c r="S359" i="2"/>
  <c r="W359" i="2"/>
  <c r="S360" i="2"/>
  <c r="W360" i="2" s="1"/>
  <c r="S361" i="2"/>
  <c r="W361" i="2"/>
  <c r="S362" i="2"/>
  <c r="W362" i="2" s="1"/>
  <c r="S363" i="2"/>
  <c r="W363" i="2"/>
  <c r="S364" i="2"/>
  <c r="W364" i="2"/>
  <c r="S365" i="2"/>
  <c r="W365" i="2"/>
  <c r="S366" i="2"/>
  <c r="W366" i="2" s="1"/>
  <c r="S367" i="2"/>
  <c r="W367" i="2"/>
  <c r="S368" i="2"/>
  <c r="W368" i="2" s="1"/>
  <c r="S369" i="2"/>
  <c r="W369" i="2"/>
  <c r="S370" i="2"/>
  <c r="W370" i="2" s="1"/>
  <c r="S371" i="2"/>
  <c r="W371" i="2"/>
  <c r="S372" i="2"/>
  <c r="W372" i="2"/>
  <c r="S373" i="2"/>
  <c r="W373" i="2"/>
  <c r="S374" i="2"/>
  <c r="W374" i="2" s="1"/>
  <c r="S375" i="2"/>
  <c r="W375" i="2"/>
  <c r="S376" i="2"/>
  <c r="W376" i="2" s="1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R385" i="2"/>
  <c r="D349" i="2"/>
  <c r="D348" i="2"/>
  <c r="D347" i="2"/>
  <c r="G347" i="2" s="1"/>
  <c r="K347" i="2" s="1"/>
  <c r="D346" i="2"/>
  <c r="D345" i="2"/>
  <c r="J345" i="2"/>
  <c r="J385" i="2" s="1"/>
  <c r="I345" i="2"/>
  <c r="I385" i="2"/>
  <c r="E345" i="2"/>
  <c r="E385" i="2"/>
  <c r="D344" i="2"/>
  <c r="G344" i="2" s="1"/>
  <c r="K344" i="2" s="1"/>
  <c r="D343" i="2"/>
  <c r="G343" i="2" s="1"/>
  <c r="D342" i="2"/>
  <c r="G342" i="2" s="1"/>
  <c r="K342" i="2" s="1"/>
  <c r="C344" i="2"/>
  <c r="C345" i="2" s="1"/>
  <c r="C346" i="2" s="1"/>
  <c r="C347" i="2" s="1"/>
  <c r="C348" i="2" s="1"/>
  <c r="C349" i="2" s="1"/>
  <c r="C343" i="2"/>
  <c r="G346" i="2"/>
  <c r="K346" i="2" s="1"/>
  <c r="G348" i="2"/>
  <c r="K348" i="2" s="1"/>
  <c r="G349" i="2"/>
  <c r="K349" i="2" s="1"/>
  <c r="G350" i="2"/>
  <c r="K350" i="2" s="1"/>
  <c r="G351" i="2"/>
  <c r="K351" i="2" s="1"/>
  <c r="G352" i="2"/>
  <c r="K352" i="2" s="1"/>
  <c r="G353" i="2"/>
  <c r="K353" i="2"/>
  <c r="G354" i="2"/>
  <c r="K354" i="2"/>
  <c r="G355" i="2"/>
  <c r="K355" i="2" s="1"/>
  <c r="G356" i="2"/>
  <c r="K356" i="2" s="1"/>
  <c r="G357" i="2"/>
  <c r="K357" i="2"/>
  <c r="G358" i="2"/>
  <c r="K358" i="2"/>
  <c r="G359" i="2"/>
  <c r="K359" i="2"/>
  <c r="G360" i="2"/>
  <c r="K360" i="2" s="1"/>
  <c r="G361" i="2"/>
  <c r="K361" i="2"/>
  <c r="G362" i="2"/>
  <c r="K362" i="2"/>
  <c r="G363" i="2"/>
  <c r="K363" i="2" s="1"/>
  <c r="G364" i="2"/>
  <c r="K364" i="2"/>
  <c r="G365" i="2"/>
  <c r="K365" i="2"/>
  <c r="G366" i="2"/>
  <c r="K366" i="2"/>
  <c r="G367" i="2"/>
  <c r="K367" i="2"/>
  <c r="G368" i="2"/>
  <c r="K368" i="2" s="1"/>
  <c r="G369" i="2"/>
  <c r="K369" i="2"/>
  <c r="G370" i="2"/>
  <c r="K370" i="2"/>
  <c r="G371" i="2"/>
  <c r="K371" i="2" s="1"/>
  <c r="G372" i="2"/>
  <c r="K372" i="2"/>
  <c r="G373" i="2"/>
  <c r="K373" i="2"/>
  <c r="G374" i="2"/>
  <c r="K374" i="2"/>
  <c r="G375" i="2"/>
  <c r="K375" i="2"/>
  <c r="G382" i="2"/>
  <c r="K382" i="2" s="1"/>
  <c r="F385" i="2"/>
  <c r="AB385" i="2" l="1"/>
  <c r="AE344" i="2"/>
  <c r="AI344" i="2" s="1"/>
  <c r="AI385" i="2" s="1"/>
  <c r="AE385" i="2"/>
  <c r="S343" i="2"/>
  <c r="W343" i="2" s="1"/>
  <c r="P385" i="2"/>
  <c r="W344" i="2"/>
  <c r="G345" i="2"/>
  <c r="K345" i="2" s="1"/>
  <c r="K343" i="2"/>
  <c r="D385" i="2"/>
  <c r="AB292" i="2"/>
  <c r="AE292" i="2" s="1"/>
  <c r="AI292" i="2" s="1"/>
  <c r="AC291" i="2"/>
  <c r="AB291" i="2"/>
  <c r="AH290" i="2"/>
  <c r="AH330" i="2" s="1"/>
  <c r="AG290" i="2"/>
  <c r="AB290" i="2"/>
  <c r="AG289" i="2"/>
  <c r="AC289" i="2"/>
  <c r="AB289" i="2"/>
  <c r="AE289" i="2" s="1"/>
  <c r="AI289" i="2" s="1"/>
  <c r="AB287" i="2"/>
  <c r="AG330" i="2"/>
  <c r="AD330" i="2"/>
  <c r="AC330" i="2"/>
  <c r="AI328" i="2"/>
  <c r="AE327" i="2"/>
  <c r="AI327" i="2" s="1"/>
  <c r="AI326" i="2"/>
  <c r="AE325" i="2"/>
  <c r="AI325" i="2" s="1"/>
  <c r="AI324" i="2"/>
  <c r="AE324" i="2"/>
  <c r="AE323" i="2"/>
  <c r="AI323" i="2" s="1"/>
  <c r="AE322" i="2"/>
  <c r="AI322" i="2" s="1"/>
  <c r="AE321" i="2"/>
  <c r="AI321" i="2" s="1"/>
  <c r="AE320" i="2"/>
  <c r="AI320" i="2" s="1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E312" i="2"/>
  <c r="AI312" i="2" s="1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E304" i="2"/>
  <c r="AI304" i="2" s="1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E296" i="2"/>
  <c r="AI296" i="2" s="1"/>
  <c r="AE295" i="2"/>
  <c r="AI295" i="2" s="1"/>
  <c r="AE294" i="2"/>
  <c r="AI294" i="2" s="1"/>
  <c r="AE293" i="2"/>
  <c r="AI293" i="2" s="1"/>
  <c r="AE291" i="2"/>
  <c r="AI291" i="2" s="1"/>
  <c r="AE290" i="2"/>
  <c r="AE288" i="2"/>
  <c r="AI288" i="2" s="1"/>
  <c r="AA288" i="2"/>
  <c r="AA289" i="2" s="1"/>
  <c r="AA290" i="2" s="1"/>
  <c r="AA291" i="2" s="1"/>
  <c r="AA292" i="2" s="1"/>
  <c r="AE287" i="2"/>
  <c r="P293" i="2"/>
  <c r="P292" i="2"/>
  <c r="S292" i="2" s="1"/>
  <c r="W292" i="2" s="1"/>
  <c r="V291" i="2"/>
  <c r="V330" i="2" s="1"/>
  <c r="P291" i="2"/>
  <c r="S291" i="2" s="1"/>
  <c r="W291" i="2" s="1"/>
  <c r="Q291" i="2"/>
  <c r="Q330" i="2" s="1"/>
  <c r="P289" i="2"/>
  <c r="P288" i="2"/>
  <c r="S288" i="2" s="1"/>
  <c r="W288" i="2" s="1"/>
  <c r="U287" i="2"/>
  <c r="P287" i="2"/>
  <c r="S287" i="2"/>
  <c r="W287" i="2" s="1"/>
  <c r="O288" i="2"/>
  <c r="O289" i="2"/>
  <c r="O290" i="2" s="1"/>
  <c r="O291" i="2" s="1"/>
  <c r="O292" i="2" s="1"/>
  <c r="O293" i="2" s="1"/>
  <c r="S289" i="2"/>
  <c r="S290" i="2"/>
  <c r="S293" i="2"/>
  <c r="W293" i="2" s="1"/>
  <c r="S294" i="2"/>
  <c r="W294" i="2" s="1"/>
  <c r="S295" i="2"/>
  <c r="W295" i="2" s="1"/>
  <c r="S296" i="2"/>
  <c r="W296" i="2"/>
  <c r="S297" i="2"/>
  <c r="W297" i="2" s="1"/>
  <c r="S298" i="2"/>
  <c r="W298" i="2"/>
  <c r="S299" i="2"/>
  <c r="W299" i="2"/>
  <c r="S300" i="2"/>
  <c r="W300" i="2" s="1"/>
  <c r="S301" i="2"/>
  <c r="W301" i="2" s="1"/>
  <c r="S302" i="2"/>
  <c r="W302" i="2"/>
  <c r="S303" i="2"/>
  <c r="W303" i="2" s="1"/>
  <c r="S304" i="2"/>
  <c r="W304" i="2" s="1"/>
  <c r="S305" i="2"/>
  <c r="W305" i="2" s="1"/>
  <c r="S306" i="2"/>
  <c r="W306" i="2"/>
  <c r="S307" i="2"/>
  <c r="W307" i="2" s="1"/>
  <c r="S308" i="2"/>
  <c r="W308" i="2" s="1"/>
  <c r="U330" i="2"/>
  <c r="S309" i="2"/>
  <c r="W309" i="2" s="1"/>
  <c r="S310" i="2"/>
  <c r="W310" i="2"/>
  <c r="S311" i="2"/>
  <c r="W311" i="2" s="1"/>
  <c r="S312" i="2"/>
  <c r="W312" i="2"/>
  <c r="S313" i="2"/>
  <c r="W313" i="2" s="1"/>
  <c r="S314" i="2"/>
  <c r="W314" i="2"/>
  <c r="S315" i="2"/>
  <c r="W315" i="2"/>
  <c r="S316" i="2"/>
  <c r="W316" i="2" s="1"/>
  <c r="S317" i="2"/>
  <c r="W317" i="2"/>
  <c r="S318" i="2"/>
  <c r="W318" i="2"/>
  <c r="S319" i="2"/>
  <c r="W319" i="2" s="1"/>
  <c r="S320" i="2"/>
  <c r="W320" i="2"/>
  <c r="S321" i="2"/>
  <c r="W321" i="2" s="1"/>
  <c r="S322" i="2"/>
  <c r="W322" i="2"/>
  <c r="S323" i="2"/>
  <c r="W323" i="2"/>
  <c r="S324" i="2"/>
  <c r="W324" i="2" s="1"/>
  <c r="S325" i="2"/>
  <c r="W325" i="2"/>
  <c r="W326" i="2"/>
  <c r="S327" i="2"/>
  <c r="W327" i="2" s="1"/>
  <c r="W328" i="2"/>
  <c r="R330" i="2"/>
  <c r="D296" i="2"/>
  <c r="G296" i="2" s="1"/>
  <c r="K296" i="2" s="1"/>
  <c r="I295" i="2"/>
  <c r="D295" i="2"/>
  <c r="D294" i="2"/>
  <c r="G294" i="2" s="1"/>
  <c r="K294" i="2" s="1"/>
  <c r="D293" i="2"/>
  <c r="G293" i="2" s="1"/>
  <c r="K293" i="2" s="1"/>
  <c r="D292" i="2"/>
  <c r="D291" i="2"/>
  <c r="G291" i="2" s="1"/>
  <c r="K291" i="2" s="1"/>
  <c r="D290" i="2"/>
  <c r="D289" i="2"/>
  <c r="G289" i="2" s="1"/>
  <c r="K289" i="2" s="1"/>
  <c r="D288" i="2"/>
  <c r="D287" i="2"/>
  <c r="G287" i="2" s="1"/>
  <c r="C288" i="2"/>
  <c r="C289" i="2" s="1"/>
  <c r="C291" i="2" s="1"/>
  <c r="C292" i="2" s="1"/>
  <c r="C293" i="2" s="1"/>
  <c r="C294" i="2" s="1"/>
  <c r="C295" i="2" s="1"/>
  <c r="G288" i="2"/>
  <c r="K288" i="2"/>
  <c r="G290" i="2"/>
  <c r="K290" i="2" s="1"/>
  <c r="G292" i="2"/>
  <c r="K292" i="2" s="1"/>
  <c r="G295" i="2"/>
  <c r="K295" i="2" s="1"/>
  <c r="G297" i="2"/>
  <c r="K297" i="2"/>
  <c r="G298" i="2"/>
  <c r="K298" i="2"/>
  <c r="G299" i="2"/>
  <c r="K299" i="2"/>
  <c r="G300" i="2"/>
  <c r="K300" i="2"/>
  <c r="G301" i="2"/>
  <c r="K301" i="2"/>
  <c r="G302" i="2"/>
  <c r="K302" i="2"/>
  <c r="G303" i="2"/>
  <c r="K303" i="2" s="1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/>
  <c r="G311" i="2"/>
  <c r="K311" i="2" s="1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/>
  <c r="G319" i="2"/>
  <c r="K319" i="2" s="1"/>
  <c r="G320" i="2"/>
  <c r="K320" i="2"/>
  <c r="G327" i="2"/>
  <c r="K327" i="2"/>
  <c r="E330" i="2"/>
  <c r="F330" i="2"/>
  <c r="I330" i="2"/>
  <c r="J330" i="2"/>
  <c r="W385" i="2" l="1"/>
  <c r="S385" i="2"/>
  <c r="K385" i="2"/>
  <c r="G385" i="2"/>
  <c r="AI290" i="2"/>
  <c r="AI287" i="2"/>
  <c r="AE330" i="2"/>
  <c r="AB330" i="2"/>
  <c r="W290" i="2"/>
  <c r="P330" i="2"/>
  <c r="S330" i="2"/>
  <c r="W289" i="2"/>
  <c r="W330" i="2" s="1"/>
  <c r="K287" i="2"/>
  <c r="K330" i="2" s="1"/>
  <c r="G330" i="2"/>
  <c r="D330" i="2"/>
  <c r="P254" i="2"/>
  <c r="S254" i="2" s="1"/>
  <c r="W254" i="2" s="1"/>
  <c r="U253" i="2"/>
  <c r="P253" i="2"/>
  <c r="U252" i="2"/>
  <c r="P252" i="2"/>
  <c r="S252" i="2" s="1"/>
  <c r="W252" i="2" s="1"/>
  <c r="P251" i="2"/>
  <c r="P250" i="2"/>
  <c r="S250" i="2" s="1"/>
  <c r="W250" i="2" s="1"/>
  <c r="P249" i="2"/>
  <c r="P248" i="2"/>
  <c r="S248" i="2" s="1"/>
  <c r="W248" i="2" s="1"/>
  <c r="P247" i="2"/>
  <c r="P246" i="2"/>
  <c r="S246" i="2" s="1"/>
  <c r="W246" i="2" s="1"/>
  <c r="P245" i="2"/>
  <c r="S245" i="2" s="1"/>
  <c r="W245" i="2" s="1"/>
  <c r="P244" i="2"/>
  <c r="S244" i="2" s="1"/>
  <c r="W244" i="2" s="1"/>
  <c r="P243" i="2"/>
  <c r="S243" i="2" s="1"/>
  <c r="W243" i="2" s="1"/>
  <c r="P242" i="2"/>
  <c r="S242" i="2" s="1"/>
  <c r="W242" i="2" s="1"/>
  <c r="P241" i="2"/>
  <c r="P240" i="2"/>
  <c r="P239" i="2"/>
  <c r="S239" i="2" s="1"/>
  <c r="W239" i="2" s="1"/>
  <c r="P238" i="2"/>
  <c r="S238" i="2" s="1"/>
  <c r="W238" i="2" s="1"/>
  <c r="P237" i="2"/>
  <c r="P236" i="2"/>
  <c r="P235" i="2"/>
  <c r="S235" i="2" s="1"/>
  <c r="W235" i="2" s="1"/>
  <c r="P234" i="2"/>
  <c r="P233" i="2"/>
  <c r="P232" i="2"/>
  <c r="O237" i="2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O233" i="2"/>
  <c r="O234" i="2" s="1"/>
  <c r="O235" i="2" s="1"/>
  <c r="O236" i="2" s="1"/>
  <c r="S233" i="2"/>
  <c r="W233" i="2" s="1"/>
  <c r="S234" i="2"/>
  <c r="S236" i="2"/>
  <c r="W236" i="2" s="1"/>
  <c r="S237" i="2"/>
  <c r="W237" i="2" s="1"/>
  <c r="U275" i="2"/>
  <c r="S240" i="2"/>
  <c r="W240" i="2"/>
  <c r="S241" i="2"/>
  <c r="W241" i="2"/>
  <c r="S247" i="2"/>
  <c r="W247" i="2"/>
  <c r="S249" i="2"/>
  <c r="W249" i="2" s="1"/>
  <c r="S251" i="2"/>
  <c r="W251" i="2" s="1"/>
  <c r="S253" i="2"/>
  <c r="W253" i="2" s="1"/>
  <c r="S255" i="2"/>
  <c r="W255" i="2" s="1"/>
  <c r="S256" i="2"/>
  <c r="W256" i="2" s="1"/>
  <c r="S257" i="2"/>
  <c r="W257" i="2"/>
  <c r="S258" i="2"/>
  <c r="W258" i="2"/>
  <c r="S259" i="2"/>
  <c r="W259" i="2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/>
  <c r="S267" i="2"/>
  <c r="W267" i="2"/>
  <c r="S268" i="2"/>
  <c r="W268" i="2"/>
  <c r="S269" i="2"/>
  <c r="W269" i="2"/>
  <c r="S270" i="2"/>
  <c r="W270" i="2"/>
  <c r="W271" i="2"/>
  <c r="S272" i="2"/>
  <c r="W272" i="2" s="1"/>
  <c r="W273" i="2"/>
  <c r="Q275" i="2"/>
  <c r="R275" i="2"/>
  <c r="V275" i="2"/>
  <c r="D241" i="2"/>
  <c r="G241" i="2" s="1"/>
  <c r="K241" i="2" s="1"/>
  <c r="D240" i="2"/>
  <c r="D239" i="2"/>
  <c r="G239" i="2" s="1"/>
  <c r="K239" i="2" s="1"/>
  <c r="D238" i="2"/>
  <c r="G238" i="2" s="1"/>
  <c r="K238" i="2" s="1"/>
  <c r="D237" i="2"/>
  <c r="D236" i="2"/>
  <c r="D235" i="2"/>
  <c r="D234" i="2"/>
  <c r="D233" i="2"/>
  <c r="J232" i="2"/>
  <c r="I232" i="2"/>
  <c r="I275" i="2" s="1"/>
  <c r="D232" i="2"/>
  <c r="G232" i="2"/>
  <c r="C233" i="2"/>
  <c r="C234" i="2" s="1"/>
  <c r="C235" i="2" s="1"/>
  <c r="C236" i="2" s="1"/>
  <c r="C237" i="2" s="1"/>
  <c r="C238" i="2" s="1"/>
  <c r="C239" i="2" s="1"/>
  <c r="C240" i="2" s="1"/>
  <c r="C241" i="2" s="1"/>
  <c r="G233" i="2"/>
  <c r="K233" i="2" s="1"/>
  <c r="G234" i="2"/>
  <c r="K234" i="2" s="1"/>
  <c r="G235" i="2"/>
  <c r="K235" i="2" s="1"/>
  <c r="G236" i="2"/>
  <c r="K236" i="2" s="1"/>
  <c r="G240" i="2"/>
  <c r="K240" i="2" s="1"/>
  <c r="G242" i="2"/>
  <c r="K242" i="2"/>
  <c r="G243" i="2"/>
  <c r="K243" i="2"/>
  <c r="G244" i="2"/>
  <c r="K244" i="2" s="1"/>
  <c r="G245" i="2"/>
  <c r="K245" i="2" s="1"/>
  <c r="G246" i="2"/>
  <c r="K246" i="2"/>
  <c r="G247" i="2"/>
  <c r="K247" i="2" s="1"/>
  <c r="G248" i="2"/>
  <c r="K248" i="2"/>
  <c r="G249" i="2"/>
  <c r="K249" i="2"/>
  <c r="G250" i="2"/>
  <c r="K250" i="2"/>
  <c r="G251" i="2"/>
  <c r="K251" i="2" s="1"/>
  <c r="G252" i="2"/>
  <c r="K252" i="2" s="1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 s="1"/>
  <c r="G261" i="2"/>
  <c r="K261" i="2"/>
  <c r="G262" i="2"/>
  <c r="K262" i="2"/>
  <c r="G263" i="2"/>
  <c r="K263" i="2" s="1"/>
  <c r="G264" i="2"/>
  <c r="K264" i="2"/>
  <c r="G265" i="2"/>
  <c r="K265" i="2"/>
  <c r="G272" i="2"/>
  <c r="K272" i="2"/>
  <c r="E275" i="2"/>
  <c r="F275" i="2"/>
  <c r="J275" i="2"/>
  <c r="AI330" i="2" l="1"/>
  <c r="P275" i="2"/>
  <c r="S232" i="2"/>
  <c r="W232" i="2" s="1"/>
  <c r="S275" i="2"/>
  <c r="W234" i="2"/>
  <c r="W275" i="2" s="1"/>
  <c r="D275" i="2"/>
  <c r="G237" i="2"/>
  <c r="K237" i="2" s="1"/>
  <c r="K232" i="2"/>
  <c r="K275" i="2"/>
  <c r="AE179" i="2"/>
  <c r="AI179" i="2" s="1"/>
  <c r="AB181" i="2"/>
  <c r="AH180" i="2"/>
  <c r="AB180" i="2"/>
  <c r="AH177" i="2"/>
  <c r="AH220" i="2" s="1"/>
  <c r="AB177" i="2"/>
  <c r="AE177" i="2"/>
  <c r="AA178" i="2"/>
  <c r="AC220" i="2"/>
  <c r="AA179" i="2"/>
  <c r="AA180" i="2" s="1"/>
  <c r="AA181" i="2" s="1"/>
  <c r="AE180" i="2"/>
  <c r="AI180" i="2" s="1"/>
  <c r="AE181" i="2"/>
  <c r="AI181" i="2" s="1"/>
  <c r="AE182" i="2"/>
  <c r="AI182" i="2" s="1"/>
  <c r="AE183" i="2"/>
  <c r="AI183" i="2" s="1"/>
  <c r="AE184" i="2"/>
  <c r="AI184" i="2" s="1"/>
  <c r="AE185" i="2"/>
  <c r="AI185" i="2" s="1"/>
  <c r="AE186" i="2"/>
  <c r="AI186" i="2" s="1"/>
  <c r="AE187" i="2"/>
  <c r="AI187" i="2" s="1"/>
  <c r="AE188" i="2"/>
  <c r="AI188" i="2" s="1"/>
  <c r="AE189" i="2"/>
  <c r="AI189" i="2"/>
  <c r="AE190" i="2"/>
  <c r="AI190" i="2"/>
  <c r="AE191" i="2"/>
  <c r="AI191" i="2" s="1"/>
  <c r="AE192" i="2"/>
  <c r="AI192" i="2"/>
  <c r="AE193" i="2"/>
  <c r="AI193" i="2" s="1"/>
  <c r="AE194" i="2"/>
  <c r="AI194" i="2" s="1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 s="1"/>
  <c r="AE202" i="2"/>
  <c r="AI202" i="2" s="1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 s="1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/>
  <c r="AI218" i="2"/>
  <c r="AD220" i="2"/>
  <c r="AG220" i="2"/>
  <c r="P185" i="2"/>
  <c r="S185" i="2" s="1"/>
  <c r="W185" i="2" s="1"/>
  <c r="P184" i="2"/>
  <c r="V183" i="2"/>
  <c r="V220" i="2" s="1"/>
  <c r="U183" i="2"/>
  <c r="U220" i="2" s="1"/>
  <c r="P183" i="2"/>
  <c r="S183" i="2" s="1"/>
  <c r="P182" i="2"/>
  <c r="S182" i="2" s="1"/>
  <c r="W182" i="2" s="1"/>
  <c r="P181" i="2"/>
  <c r="S181" i="2" s="1"/>
  <c r="W181" i="2" s="1"/>
  <c r="P180" i="2"/>
  <c r="S180" i="2" s="1"/>
  <c r="W180" i="2" s="1"/>
  <c r="P179" i="2"/>
  <c r="P178" i="2"/>
  <c r="P177" i="2"/>
  <c r="S177" i="2" s="1"/>
  <c r="W177" i="2" s="1"/>
  <c r="O178" i="2"/>
  <c r="S178" i="2"/>
  <c r="W178" i="2" s="1"/>
  <c r="O179" i="2"/>
  <c r="S179" i="2"/>
  <c r="W179" i="2" s="1"/>
  <c r="O180" i="2"/>
  <c r="O181" i="2" s="1"/>
  <c r="O183" i="2" s="1"/>
  <c r="O184" i="2" s="1"/>
  <c r="O185" i="2" s="1"/>
  <c r="S184" i="2"/>
  <c r="W184" i="2" s="1"/>
  <c r="S186" i="2"/>
  <c r="W186" i="2"/>
  <c r="S187" i="2"/>
  <c r="W187" i="2" s="1"/>
  <c r="S188" i="2"/>
  <c r="W188" i="2" s="1"/>
  <c r="S189" i="2"/>
  <c r="W189" i="2"/>
  <c r="S190" i="2"/>
  <c r="W190" i="2" s="1"/>
  <c r="S191" i="2"/>
  <c r="W191" i="2" s="1"/>
  <c r="S192" i="2"/>
  <c r="W192" i="2" s="1"/>
  <c r="S193" i="2"/>
  <c r="W193" i="2" s="1"/>
  <c r="S194" i="2"/>
  <c r="W194" i="2" s="1"/>
  <c r="S195" i="2"/>
  <c r="W195" i="2"/>
  <c r="S196" i="2"/>
  <c r="W196" i="2" s="1"/>
  <c r="S197" i="2"/>
  <c r="W197" i="2"/>
  <c r="S198" i="2"/>
  <c r="W198" i="2" s="1"/>
  <c r="S199" i="2"/>
  <c r="W199" i="2" s="1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 s="1"/>
  <c r="W216" i="2"/>
  <c r="S217" i="2"/>
  <c r="W217" i="2"/>
  <c r="W218" i="2"/>
  <c r="Q220" i="2"/>
  <c r="R220" i="2"/>
  <c r="G187" i="2"/>
  <c r="K187" i="2" s="1"/>
  <c r="F187" i="2"/>
  <c r="F220" i="2" s="1"/>
  <c r="D187" i="2"/>
  <c r="D186" i="2"/>
  <c r="G186" i="2" s="1"/>
  <c r="K186" i="2" s="1"/>
  <c r="D185" i="2"/>
  <c r="D184" i="2"/>
  <c r="G184" i="2" s="1"/>
  <c r="K184" i="2" s="1"/>
  <c r="D183" i="2"/>
  <c r="D182" i="2"/>
  <c r="G182" i="2" s="1"/>
  <c r="K182" i="2" s="1"/>
  <c r="D181" i="2"/>
  <c r="D180" i="2"/>
  <c r="D179" i="2"/>
  <c r="J178" i="2"/>
  <c r="D178" i="2"/>
  <c r="C179" i="2"/>
  <c r="C180" i="2" s="1"/>
  <c r="C181" i="2" s="1"/>
  <c r="C182" i="2" s="1"/>
  <c r="C183" i="2" s="1"/>
  <c r="C184" i="2" s="1"/>
  <c r="C185" i="2" s="1"/>
  <c r="C186" i="2" s="1"/>
  <c r="C187" i="2" s="1"/>
  <c r="D177" i="2"/>
  <c r="G177" i="2"/>
  <c r="K177" i="2"/>
  <c r="C178" i="2"/>
  <c r="G178" i="2"/>
  <c r="K178" i="2" s="1"/>
  <c r="G179" i="2"/>
  <c r="K179" i="2"/>
  <c r="G180" i="2"/>
  <c r="K180" i="2"/>
  <c r="G181" i="2"/>
  <c r="K181" i="2" s="1"/>
  <c r="G185" i="2"/>
  <c r="K185" i="2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/>
  <c r="G196" i="2"/>
  <c r="K196" i="2"/>
  <c r="G197" i="2"/>
  <c r="K197" i="2"/>
  <c r="G198" i="2"/>
  <c r="K198" i="2"/>
  <c r="G199" i="2"/>
  <c r="K199" i="2" s="1"/>
  <c r="G200" i="2"/>
  <c r="K200" i="2"/>
  <c r="G201" i="2"/>
  <c r="K201" i="2"/>
  <c r="G202" i="2"/>
  <c r="K202" i="2"/>
  <c r="G203" i="2"/>
  <c r="K203" i="2"/>
  <c r="G204" i="2"/>
  <c r="K204" i="2"/>
  <c r="G205" i="2"/>
  <c r="K205" i="2"/>
  <c r="G206" i="2"/>
  <c r="K206" i="2" s="1"/>
  <c r="G207" i="2"/>
  <c r="K207" i="2" s="1"/>
  <c r="G208" i="2"/>
  <c r="K208" i="2"/>
  <c r="G209" i="2"/>
  <c r="K209" i="2"/>
  <c r="G210" i="2"/>
  <c r="K210" i="2"/>
  <c r="G217" i="2"/>
  <c r="K217" i="2"/>
  <c r="E220" i="2"/>
  <c r="I220" i="2"/>
  <c r="J220" i="2"/>
  <c r="G275" i="2" l="1"/>
  <c r="AB220" i="2"/>
  <c r="AI177" i="2"/>
  <c r="AE178" i="2"/>
  <c r="W183" i="2"/>
  <c r="W220" i="2" s="1"/>
  <c r="P220" i="2"/>
  <c r="S220" i="2"/>
  <c r="D220" i="2"/>
  <c r="G183" i="2"/>
  <c r="K183" i="2" s="1"/>
  <c r="G220" i="2"/>
  <c r="K220" i="2"/>
  <c r="AB129" i="2"/>
  <c r="AB128" i="2"/>
  <c r="AE128" i="2" s="1"/>
  <c r="AI128" i="2" s="1"/>
  <c r="AB126" i="2"/>
  <c r="AB125" i="2"/>
  <c r="AE125" i="2" s="1"/>
  <c r="AI125" i="2" s="1"/>
  <c r="AC124" i="2"/>
  <c r="AE124" i="2" s="1"/>
  <c r="AI124" i="2" s="1"/>
  <c r="AB124" i="2"/>
  <c r="AH123" i="2"/>
  <c r="AH165" i="2" s="1"/>
  <c r="AC123" i="2"/>
  <c r="AE123" i="2" s="1"/>
  <c r="AI123" i="2" s="1"/>
  <c r="AB123" i="2"/>
  <c r="AG122" i="2"/>
  <c r="AG165" i="2"/>
  <c r="AC122" i="2"/>
  <c r="AB122" i="2"/>
  <c r="AE122" i="2"/>
  <c r="AA123" i="2"/>
  <c r="AA124" i="2" s="1"/>
  <c r="AA125" i="2" s="1"/>
  <c r="AA126" i="2" s="1"/>
  <c r="AA127" i="2" s="1"/>
  <c r="AA128" i="2" s="1"/>
  <c r="AA129" i="2" s="1"/>
  <c r="AE126" i="2"/>
  <c r="AI126" i="2" s="1"/>
  <c r="AE127" i="2"/>
  <c r="AI127" i="2" s="1"/>
  <c r="AE129" i="2"/>
  <c r="AI129" i="2"/>
  <c r="AE130" i="2"/>
  <c r="AI130" i="2" s="1"/>
  <c r="AE131" i="2"/>
  <c r="AI131" i="2"/>
  <c r="AE132" i="2"/>
  <c r="AI132" i="2" s="1"/>
  <c r="AE133" i="2"/>
  <c r="AI133" i="2"/>
  <c r="AE134" i="2"/>
  <c r="AI134" i="2"/>
  <c r="AE135" i="2"/>
  <c r="AI135" i="2"/>
  <c r="AE136" i="2"/>
  <c r="AI136" i="2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/>
  <c r="AE151" i="2"/>
  <c r="AI151" i="2"/>
  <c r="AE152" i="2"/>
  <c r="AI152" i="2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/>
  <c r="AE160" i="2"/>
  <c r="AI160" i="2"/>
  <c r="AI161" i="2"/>
  <c r="AE162" i="2"/>
  <c r="AI162" i="2"/>
  <c r="AI163" i="2"/>
  <c r="AD165" i="2"/>
  <c r="P142" i="2"/>
  <c r="U141" i="2"/>
  <c r="U165" i="2" s="1"/>
  <c r="P141" i="2"/>
  <c r="P140" i="2"/>
  <c r="P139" i="2"/>
  <c r="P138" i="2"/>
  <c r="P137" i="2"/>
  <c r="P136" i="2"/>
  <c r="P135" i="2"/>
  <c r="P134" i="2"/>
  <c r="P133" i="2"/>
  <c r="U132" i="2"/>
  <c r="P132" i="2"/>
  <c r="P131" i="2"/>
  <c r="S131" i="2" s="1"/>
  <c r="W131" i="2" s="1"/>
  <c r="P130" i="2"/>
  <c r="P129" i="2"/>
  <c r="P128" i="2"/>
  <c r="S128" i="2" s="1"/>
  <c r="W128" i="2" s="1"/>
  <c r="P127" i="2"/>
  <c r="S127" i="2" s="1"/>
  <c r="W127" i="2" s="1"/>
  <c r="P126" i="2"/>
  <c r="P125" i="2"/>
  <c r="P124" i="2"/>
  <c r="S124" i="2" s="1"/>
  <c r="W124" i="2" s="1"/>
  <c r="P123" i="2"/>
  <c r="S123" i="2" s="1"/>
  <c r="W123" i="2" s="1"/>
  <c r="P122" i="2"/>
  <c r="S122" i="2"/>
  <c r="W122" i="2" s="1"/>
  <c r="O123" i="2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S125" i="2"/>
  <c r="W125" i="2" s="1"/>
  <c r="S126" i="2"/>
  <c r="W126" i="2" s="1"/>
  <c r="V165" i="2"/>
  <c r="S129" i="2"/>
  <c r="W129" i="2" s="1"/>
  <c r="S130" i="2"/>
  <c r="W130" i="2" s="1"/>
  <c r="S132" i="2"/>
  <c r="W132" i="2" s="1"/>
  <c r="S133" i="2"/>
  <c r="W133" i="2" s="1"/>
  <c r="S134" i="2"/>
  <c r="W134" i="2" s="1"/>
  <c r="S135" i="2"/>
  <c r="W135" i="2" s="1"/>
  <c r="S136" i="2"/>
  <c r="W136" i="2" s="1"/>
  <c r="S137" i="2"/>
  <c r="W137" i="2" s="1"/>
  <c r="S138" i="2"/>
  <c r="W138" i="2" s="1"/>
  <c r="S139" i="2"/>
  <c r="W139" i="2" s="1"/>
  <c r="S140" i="2"/>
  <c r="W140" i="2" s="1"/>
  <c r="S141" i="2"/>
  <c r="S142" i="2"/>
  <c r="W142" i="2" s="1"/>
  <c r="S143" i="2"/>
  <c r="W143" i="2"/>
  <c r="S144" i="2"/>
  <c r="W144" i="2" s="1"/>
  <c r="S145" i="2"/>
  <c r="W145" i="2" s="1"/>
  <c r="S146" i="2"/>
  <c r="W146" i="2" s="1"/>
  <c r="S147" i="2"/>
  <c r="W147" i="2"/>
  <c r="S148" i="2"/>
  <c r="W148" i="2" s="1"/>
  <c r="S149" i="2"/>
  <c r="W149" i="2"/>
  <c r="S150" i="2"/>
  <c r="W150" i="2"/>
  <c r="S151" i="2"/>
  <c r="W151" i="2"/>
  <c r="S152" i="2"/>
  <c r="W152" i="2"/>
  <c r="S153" i="2"/>
  <c r="W153" i="2"/>
  <c r="S154" i="2"/>
  <c r="W154" i="2" s="1"/>
  <c r="S155" i="2"/>
  <c r="W155" i="2"/>
  <c r="S156" i="2"/>
  <c r="W156" i="2"/>
  <c r="S157" i="2"/>
  <c r="W157" i="2"/>
  <c r="S158" i="2"/>
  <c r="W158" i="2"/>
  <c r="S159" i="2"/>
  <c r="W159" i="2"/>
  <c r="S160" i="2"/>
  <c r="W160" i="2" s="1"/>
  <c r="W161" i="2"/>
  <c r="S162" i="2"/>
  <c r="W162" i="2"/>
  <c r="W163" i="2"/>
  <c r="Q165" i="2"/>
  <c r="R165" i="2"/>
  <c r="D123" i="2"/>
  <c r="D122" i="2"/>
  <c r="G122" i="2"/>
  <c r="C123" i="2"/>
  <c r="G123" i="2"/>
  <c r="K123" i="2" s="1"/>
  <c r="D165" i="2"/>
  <c r="G124" i="2"/>
  <c r="K124" i="2" s="1"/>
  <c r="G125" i="2"/>
  <c r="K125" i="2" s="1"/>
  <c r="G126" i="2"/>
  <c r="K126" i="2" s="1"/>
  <c r="G127" i="2"/>
  <c r="K127" i="2" s="1"/>
  <c r="G128" i="2"/>
  <c r="K128" i="2" s="1"/>
  <c r="G129" i="2"/>
  <c r="K129" i="2" s="1"/>
  <c r="G130" i="2"/>
  <c r="K130" i="2" s="1"/>
  <c r="G131" i="2"/>
  <c r="K131" i="2" s="1"/>
  <c r="G132" i="2"/>
  <c r="K132" i="2" s="1"/>
  <c r="G133" i="2"/>
  <c r="K133" i="2" s="1"/>
  <c r="G134" i="2"/>
  <c r="K134" i="2" s="1"/>
  <c r="G135" i="2"/>
  <c r="K135" i="2" s="1"/>
  <c r="G136" i="2"/>
  <c r="K136" i="2" s="1"/>
  <c r="G137" i="2"/>
  <c r="K137" i="2"/>
  <c r="G138" i="2"/>
  <c r="K138" i="2" s="1"/>
  <c r="G139" i="2"/>
  <c r="K139" i="2"/>
  <c r="G140" i="2"/>
  <c r="K140" i="2"/>
  <c r="G141" i="2"/>
  <c r="K141" i="2" s="1"/>
  <c r="G142" i="2"/>
  <c r="K142" i="2" s="1"/>
  <c r="G143" i="2"/>
  <c r="K143" i="2"/>
  <c r="G144" i="2"/>
  <c r="K144" i="2" s="1"/>
  <c r="G145" i="2"/>
  <c r="K145" i="2"/>
  <c r="G146" i="2"/>
  <c r="K146" i="2" s="1"/>
  <c r="G147" i="2"/>
  <c r="K147" i="2"/>
  <c r="G148" i="2"/>
  <c r="K148" i="2"/>
  <c r="G149" i="2"/>
  <c r="K149" i="2" s="1"/>
  <c r="G150" i="2"/>
  <c r="K150" i="2" s="1"/>
  <c r="G151" i="2"/>
  <c r="K151" i="2"/>
  <c r="G152" i="2"/>
  <c r="K152" i="2" s="1"/>
  <c r="G153" i="2"/>
  <c r="K153" i="2"/>
  <c r="G154" i="2"/>
  <c r="K154" i="2" s="1"/>
  <c r="G155" i="2"/>
  <c r="K155" i="2"/>
  <c r="G162" i="2"/>
  <c r="K162" i="2"/>
  <c r="E165" i="2"/>
  <c r="F165" i="2"/>
  <c r="I165" i="2"/>
  <c r="J165" i="2"/>
  <c r="AE220" i="2" l="1"/>
  <c r="AI178" i="2"/>
  <c r="AI220" i="2" s="1"/>
  <c r="AB165" i="2"/>
  <c r="AC165" i="2"/>
  <c r="AE165" i="2"/>
  <c r="AI122" i="2"/>
  <c r="AI165" i="2" s="1"/>
  <c r="W141" i="2"/>
  <c r="W165" i="2" s="1"/>
  <c r="P165" i="2"/>
  <c r="S165" i="2"/>
  <c r="K122" i="2"/>
  <c r="K165" i="2" s="1"/>
  <c r="G165" i="2"/>
  <c r="AB71" i="2"/>
  <c r="AB70" i="2"/>
  <c r="AE70" i="2" s="1"/>
  <c r="AI70" i="2" s="1"/>
  <c r="AB69" i="2"/>
  <c r="AE69" i="2"/>
  <c r="AI69" i="2" s="1"/>
  <c r="AB68" i="2"/>
  <c r="AG67" i="2"/>
  <c r="AC67" i="2"/>
  <c r="AC110" i="2" s="1"/>
  <c r="AB67" i="2"/>
  <c r="AE67" i="2" s="1"/>
  <c r="AI67" i="2" s="1"/>
  <c r="AA68" i="2"/>
  <c r="AG110" i="2"/>
  <c r="AA69" i="2"/>
  <c r="AA70" i="2" s="1"/>
  <c r="AA71" i="2" s="1"/>
  <c r="AE71" i="2"/>
  <c r="AI71" i="2"/>
  <c r="AE72" i="2"/>
  <c r="AI72" i="2" s="1"/>
  <c r="AE73" i="2"/>
  <c r="AI73" i="2"/>
  <c r="AE74" i="2"/>
  <c r="AI74" i="2"/>
  <c r="AE75" i="2"/>
  <c r="AI75" i="2"/>
  <c r="AE76" i="2"/>
  <c r="AI76" i="2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/>
  <c r="AE100" i="2"/>
  <c r="AI100" i="2"/>
  <c r="AE101" i="2"/>
  <c r="AI101" i="2" s="1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D110" i="2"/>
  <c r="AH110" i="2"/>
  <c r="P75" i="2"/>
  <c r="P74" i="2"/>
  <c r="P73" i="2"/>
  <c r="S73" i="2" s="1"/>
  <c r="W73" i="2" s="1"/>
  <c r="P72" i="2"/>
  <c r="S72" i="2" s="1"/>
  <c r="W72" i="2" s="1"/>
  <c r="V71" i="2"/>
  <c r="V110" i="2" s="1"/>
  <c r="P71" i="2"/>
  <c r="S71" i="2" s="1"/>
  <c r="W71" i="2" s="1"/>
  <c r="P70" i="2"/>
  <c r="P69" i="2"/>
  <c r="P68" i="2"/>
  <c r="S68" i="2" s="1"/>
  <c r="W68" i="2" s="1"/>
  <c r="P67" i="2"/>
  <c r="O68" i="2"/>
  <c r="O69" i="2" s="1"/>
  <c r="O70" i="2" s="1"/>
  <c r="O71" i="2" s="1"/>
  <c r="O72" i="2" s="1"/>
  <c r="O73" i="2" s="1"/>
  <c r="O74" i="2" s="1"/>
  <c r="O75" i="2" s="1"/>
  <c r="S69" i="2"/>
  <c r="S74" i="2"/>
  <c r="W74" i="2" s="1"/>
  <c r="S75" i="2"/>
  <c r="W75" i="2" s="1"/>
  <c r="S76" i="2"/>
  <c r="W76" i="2" s="1"/>
  <c r="S77" i="2"/>
  <c r="W77" i="2"/>
  <c r="S78" i="2"/>
  <c r="W78" i="2" s="1"/>
  <c r="S79" i="2"/>
  <c r="W79" i="2" s="1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 s="1"/>
  <c r="S87" i="2"/>
  <c r="W87" i="2"/>
  <c r="S88" i="2"/>
  <c r="W88" i="2" s="1"/>
  <c r="S89" i="2"/>
  <c r="W89" i="2"/>
  <c r="S90" i="2"/>
  <c r="W90" i="2"/>
  <c r="S91" i="2"/>
  <c r="W91" i="2"/>
  <c r="S92" i="2"/>
  <c r="W92" i="2"/>
  <c r="S93" i="2"/>
  <c r="W93" i="2"/>
  <c r="S94" i="2"/>
  <c r="W94" i="2" s="1"/>
  <c r="S95" i="2"/>
  <c r="W95" i="2"/>
  <c r="S96" i="2"/>
  <c r="W96" i="2" s="1"/>
  <c r="S97" i="2"/>
  <c r="W97" i="2"/>
  <c r="S98" i="2"/>
  <c r="W98" i="2"/>
  <c r="S99" i="2"/>
  <c r="W99" i="2"/>
  <c r="S100" i="2"/>
  <c r="W100" i="2" s="1"/>
  <c r="S101" i="2"/>
  <c r="W101" i="2"/>
  <c r="S102" i="2"/>
  <c r="W102" i="2" s="1"/>
  <c r="S103" i="2"/>
  <c r="W103" i="2"/>
  <c r="S104" i="2"/>
  <c r="W104" i="2"/>
  <c r="S105" i="2"/>
  <c r="W105" i="2"/>
  <c r="W106" i="2"/>
  <c r="S107" i="2"/>
  <c r="W107" i="2"/>
  <c r="W108" i="2"/>
  <c r="Q110" i="2"/>
  <c r="R110" i="2"/>
  <c r="U110" i="2"/>
  <c r="D79" i="2"/>
  <c r="D78" i="2"/>
  <c r="G78" i="2" s="1"/>
  <c r="K78" i="2" s="1"/>
  <c r="D77" i="2"/>
  <c r="D76" i="2"/>
  <c r="G76" i="2" s="1"/>
  <c r="K76" i="2" s="1"/>
  <c r="D75" i="2"/>
  <c r="D74" i="2"/>
  <c r="G74" i="2" s="1"/>
  <c r="K74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G68" i="2" s="1"/>
  <c r="K68" i="2" s="1"/>
  <c r="D67" i="2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G69" i="2"/>
  <c r="K69" i="2" s="1"/>
  <c r="G75" i="2"/>
  <c r="K75" i="2"/>
  <c r="G77" i="2"/>
  <c r="K77" i="2" s="1"/>
  <c r="G79" i="2"/>
  <c r="K79" i="2" s="1"/>
  <c r="G80" i="2"/>
  <c r="K80" i="2"/>
  <c r="G81" i="2"/>
  <c r="K81" i="2" s="1"/>
  <c r="G82" i="2"/>
  <c r="K82" i="2" s="1"/>
  <c r="G83" i="2"/>
  <c r="K83" i="2"/>
  <c r="G84" i="2"/>
  <c r="K84" i="2" s="1"/>
  <c r="G85" i="2"/>
  <c r="K85" i="2" s="1"/>
  <c r="G86" i="2"/>
  <c r="K86" i="2" s="1"/>
  <c r="G87" i="2"/>
  <c r="K87" i="2"/>
  <c r="G88" i="2"/>
  <c r="K88" i="2"/>
  <c r="G89" i="2"/>
  <c r="K89" i="2"/>
  <c r="G90" i="2"/>
  <c r="K90" i="2" s="1"/>
  <c r="G91" i="2"/>
  <c r="K91" i="2" s="1"/>
  <c r="G92" i="2"/>
  <c r="K92" i="2" s="1"/>
  <c r="G93" i="2"/>
  <c r="K93" i="2" s="1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 s="1"/>
  <c r="G107" i="2"/>
  <c r="K107" i="2" s="1"/>
  <c r="E110" i="2"/>
  <c r="F110" i="2"/>
  <c r="I110" i="2"/>
  <c r="J110" i="2"/>
  <c r="AB110" i="2" l="1"/>
  <c r="AE68" i="2"/>
  <c r="P110" i="2"/>
  <c r="S67" i="2"/>
  <c r="W67" i="2" s="1"/>
  <c r="W69" i="2"/>
  <c r="S70" i="2"/>
  <c r="W70" i="2" s="1"/>
  <c r="D110" i="2"/>
  <c r="G67" i="2"/>
  <c r="G110" i="2" s="1"/>
  <c r="AG13" i="2"/>
  <c r="AE110" i="2" l="1"/>
  <c r="AI68" i="2"/>
  <c r="AI110" i="2" s="1"/>
  <c r="W110" i="2"/>
  <c r="S110" i="2"/>
  <c r="K67" i="2"/>
  <c r="K110" i="2" s="1"/>
  <c r="AB17" i="2"/>
  <c r="AG16" i="2"/>
  <c r="AB16" i="2"/>
  <c r="AB15" i="2"/>
  <c r="AB14" i="2"/>
  <c r="AH13" i="2"/>
  <c r="AB13" i="2"/>
  <c r="AB12" i="2"/>
  <c r="AA13" i="2"/>
  <c r="P17" i="2"/>
  <c r="P16" i="2"/>
  <c r="P15" i="2"/>
  <c r="Q14" i="2"/>
  <c r="P14" i="2"/>
  <c r="P13" i="2"/>
  <c r="P12" i="2"/>
  <c r="D19" i="2"/>
  <c r="D18" i="2"/>
  <c r="D17" i="2"/>
  <c r="D16" i="2"/>
  <c r="D15" i="2"/>
  <c r="D14" i="2"/>
  <c r="D13" i="2"/>
  <c r="I12" i="2"/>
  <c r="J12" i="2"/>
  <c r="E12" i="2"/>
  <c r="D12" i="2"/>
  <c r="J34" i="1" l="1"/>
  <c r="D34" i="1" s="1"/>
  <c r="J35" i="1"/>
  <c r="D35" i="1" s="1"/>
  <c r="J36" i="1"/>
  <c r="J37" i="1"/>
  <c r="J27" i="1"/>
  <c r="D27" i="1" s="1"/>
  <c r="J28" i="1"/>
  <c r="J29" i="1"/>
  <c r="J30" i="1"/>
  <c r="J20" i="1"/>
  <c r="D20" i="1" s="1"/>
  <c r="J21" i="1"/>
  <c r="D21" i="1" s="1"/>
  <c r="J22" i="1"/>
  <c r="D22" i="1" s="1"/>
  <c r="J23" i="1"/>
  <c r="D36" i="1"/>
  <c r="D28" i="1"/>
  <c r="D29" i="1"/>
  <c r="D30" i="1"/>
  <c r="J13" i="1"/>
  <c r="D13" i="1" s="1"/>
  <c r="J14" i="1"/>
  <c r="C13" i="2" l="1"/>
  <c r="C14" i="2" s="1"/>
  <c r="C15" i="2" s="1"/>
  <c r="C16" i="2" s="1"/>
  <c r="C17" i="2" s="1"/>
  <c r="C18" i="2" s="1"/>
  <c r="C19" i="2" s="1"/>
  <c r="J38" i="1" l="1"/>
  <c r="J39" i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8" i="1"/>
  <c r="D39" i="1"/>
  <c r="D40" i="1" l="1"/>
  <c r="O13" i="2"/>
  <c r="O14" i="2" s="1"/>
  <c r="O15" i="2" s="1"/>
  <c r="O16" i="2" s="1"/>
  <c r="O17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6" i="2" s="1"/>
  <c r="AA17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CC4A1E2C-9DDA-4996-822A-28E6ECEFC0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SINDANGAN</t>
        </r>
      </text>
    </comment>
    <comment ref="O12" authorId="0" shapeId="0" xr:uid="{185C193D-B2BD-4B26-8CC6-82A4154790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AA12" authorId="0" shapeId="0" xr:uid="{CAD1BDCF-21D1-48E8-A190-59968821D1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BACONG, SALUG</t>
        </r>
      </text>
    </comment>
    <comment ref="C13" authorId="0" shapeId="0" xr:uid="{8FD600F8-0D58-4CD2-9CD6-1B7FB152A2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13" authorId="0" shapeId="0" xr:uid="{4798CF9D-BEA6-48C0-AB17-8F05FE8450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INUMAN, SINDANGAN</t>
        </r>
      </text>
    </comment>
    <comment ref="AA13" authorId="0" shapeId="0" xr:uid="{179F2DF0-4C5E-4B3F-A331-A12B728D2B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4" authorId="0" shapeId="0" xr:uid="{D0582457-B36D-4A03-BF93-E47792DB84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14" authorId="0" shapeId="0" xr:uid="{9F7BEA4E-19D7-4BD9-85FB-6A922DEDF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4" authorId="0" shapeId="0" xr:uid="{16D19D07-C383-4A77-AF12-277C730510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POB, SALUG</t>
        </r>
      </text>
    </comment>
    <comment ref="C15" authorId="0" shapeId="0" xr:uid="{A9D023FA-9275-4578-8DE9-C2578E88D3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15" authorId="0" shapeId="0" xr:uid="{D71D7DCA-7B91-4637-9937-6CAEE7FA9A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15" authorId="0" shapeId="0" xr:uid="{44B28685-66C4-47C2-9D84-FB6CD6BF21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POB, SALUG</t>
        </r>
      </text>
    </comment>
    <comment ref="C16" authorId="0" shapeId="0" xr:uid="{0903CE4F-1174-434F-A07A-8BA6AC13E6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ABRAHAM MAHINAY
DISUD, SINDANGAN</t>
        </r>
      </text>
    </comment>
    <comment ref="O16" authorId="0" shapeId="0" xr:uid="{3B903AFB-0317-4AEE-B2FA-5ECAD3C5C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JOVEN'S BATIO-ON
PIAO, SINDANGAN</t>
        </r>
      </text>
    </comment>
    <comment ref="AA16" authorId="0" shapeId="0" xr:uid="{F0D86385-DA59-4871-B211-673E000E20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7" authorId="0" shapeId="0" xr:uid="{DF765E7D-0883-4516-ADAC-FA8EFE5AB4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MARKIM ESQUADRO
RM, SINDANGAN</t>
        </r>
      </text>
    </comment>
    <comment ref="O17" authorId="0" shapeId="0" xr:uid="{45B245AB-7293-4C66-BA4A-7A9E1DC8A7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REMULUNA STORE
UPPER INUMAN, SINDANGAN</t>
        </r>
      </text>
    </comment>
    <comment ref="AA17" authorId="0" shapeId="0" xr:uid="{7AF0D4B8-9188-407A-82EB-485DE79305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MYRNA LABRADOR
CANAWAN, SALUG</t>
        </r>
      </text>
    </comment>
    <comment ref="C18" authorId="0" shapeId="0" xr:uid="{F09EF8E2-414D-4669-B942-16EB6C77A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STORE
DAPAON, SINDANGAN</t>
        </r>
      </text>
    </comment>
    <comment ref="C19" authorId="0" shapeId="0" xr:uid="{2B9C7C2A-4E18-43BB-A412-E68CEC0876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RM, SINDANGAN</t>
        </r>
      </text>
    </comment>
    <comment ref="C67" authorId="0" shapeId="0" xr:uid="{147D934A-E37F-4695-A550-C69B75695F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TIGAS
BAGO, SINDANGAN</t>
        </r>
      </text>
    </comment>
    <comment ref="O67" authorId="0" shapeId="0" xr:uid="{1157EE41-804D-47F4-8CD3-B04EDF58C8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67" authorId="0" shapeId="0" xr:uid="{D15CDDB6-BE25-49ED-BBDD-2D490D6769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8" authorId="0" shapeId="0" xr:uid="{F83E9DDB-F2F5-47AE-B2C4-1494A1C84C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68" authorId="0" shapeId="0" xr:uid="{6A84CAA2-A076-4318-A3FB-F548F997B9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ARLEY
UPPER INUMAN, SINDANGAN</t>
        </r>
      </text>
    </comment>
    <comment ref="AA68" authorId="0" shapeId="0" xr:uid="{BD5E23C1-4F60-49F1-B765-8951EE8B89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69" authorId="0" shapeId="0" xr:uid="{99824969-AF8F-4438-BD03-C24036C7C0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69" authorId="0" shapeId="0" xr:uid="{C45AA55D-5DA8-47BB-8595-CB9574AC6B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69" authorId="0" shapeId="0" xr:uid="{A7AB54CA-8A8F-43FE-8656-8B4CF1C675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0" authorId="0" shapeId="0" xr:uid="{20423958-2DC8-4F5F-B9B4-D3C60DECB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MAQUILING
BALOK, SINDANGAN</t>
        </r>
      </text>
    </comment>
    <comment ref="O70" authorId="0" shapeId="0" xr:uid="{8A9D5525-3BDC-4F1B-AB6A-E9180CA93C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A70" authorId="0" shapeId="0" xr:uid="{3EAC3659-ED72-45E9-A885-8C0EC4B014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NELVIN STORE
KAYOK, LILOY</t>
        </r>
      </text>
    </comment>
    <comment ref="C71" authorId="0" shapeId="0" xr:uid="{A443C7E4-FABE-44FF-BC0E-C3E0C335FC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71" authorId="0" shapeId="0" xr:uid="{D286ED9C-FA79-4E72-8CBE-404BA4DD99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71" authorId="0" shapeId="0" xr:uid="{37DF59D6-9035-44C6-B42E-8EEBE2F80A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C72" authorId="0" shapeId="0" xr:uid="{47CC676D-A5F4-4245-978B-37C4DD5DF6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72" authorId="0" shapeId="0" xr:uid="{948C7B1C-40AD-4879-9D84-C6D6899529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C73" authorId="0" shapeId="0" xr:uid="{A5140C81-049F-4633-8FE7-AD994D83F6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STORE
POB, SIAYAN</t>
        </r>
      </text>
    </comment>
    <comment ref="O73" authorId="0" shapeId="0" xr:uid="{404A79EA-E6EA-4405-AC39-D34E202A47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74" authorId="0" shapeId="0" xr:uid="{DD433E95-F1A0-41A4-BB8B-E183A44862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GENEVEV STORE
POB, SIAYAN</t>
        </r>
      </text>
    </comment>
    <comment ref="O74" authorId="0" shapeId="0" xr:uid="{E006DFFD-3539-445C-BF25-BFF9D53174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C75" authorId="0" shapeId="0" xr:uid="{2A359F6F-0A7B-4F6D-8D8C-37A816F231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GOMEZ STORE
POB, SIAYAN</t>
        </r>
      </text>
    </comment>
    <comment ref="O75" authorId="0" shapeId="0" xr:uid="{6EBA0B9B-7CC7-4A96-A921-85AA57166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C76" authorId="0" shapeId="0" xr:uid="{1818033A-714E-4C04-B114-DB1C96FD18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NOR-B STORE
DAGAO, SIAYAN</t>
        </r>
      </text>
    </comment>
    <comment ref="C77" authorId="0" shapeId="0" xr:uid="{C657BAFF-2993-4BA8-B160-BBEEEA1ED1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C78" authorId="0" shapeId="0" xr:uid="{5F21FC81-AC1F-46CF-97A4-B4FA8BC9E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C79" authorId="0" shapeId="0" xr:uid="{CA27DDB0-A871-46CB-AA36-C94758DEAC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DELICANO STORE
BALOK, SINDANGAN</t>
        </r>
      </text>
    </comment>
    <comment ref="C122" authorId="0" shapeId="0" xr:uid="{DEBAE754-AFC9-4BEC-993E-C550647AD8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122" authorId="0" shapeId="0" xr:uid="{BAF0045E-FC1E-440F-A50C-F20FA4B79B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LANDA STORE
UPPER INUMAN, SINDANGAN</t>
        </r>
      </text>
    </comment>
    <comment ref="AA122" authorId="0" shapeId="0" xr:uid="{04CED5AC-6A9A-4CF0-82C2-4137DB697C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5F68FE75-80F1-49B4-9FED-14D61D5A98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BOGTONG, LEE
POB, SIAYAN</t>
        </r>
      </text>
    </comment>
    <comment ref="O123" authorId="0" shapeId="0" xr:uid="{7BB31988-3CB2-4659-B222-86C4ED901F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123" authorId="0" shapeId="0" xr:uid="{01EC14B6-7B12-44EC-87EE-72F0AEAC65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124" authorId="0" shapeId="0" xr:uid="{9803507F-FFF0-463D-B03C-FBC01E4698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24" authorId="0" shapeId="0" xr:uid="{0090DB8C-10A6-4A2F-8DA6-EDBF7B2706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O125" authorId="0" shapeId="0" xr:uid="{48F91CFE-9A91-4C88-B607-CB186BB522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25" authorId="0" shapeId="0" xr:uid="{765EC721-78AB-4D22-80D6-526134645E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CRUSH AND BLEND
POB, SALUG</t>
        </r>
      </text>
    </comment>
    <comment ref="O126" authorId="0" shapeId="0" xr:uid="{9C19D39C-4B76-45FE-80D5-F03E9305F1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TALIP
TALINGA, BACUNGAN</t>
        </r>
      </text>
    </comment>
    <comment ref="AA126" authorId="0" shapeId="0" xr:uid="{6CC8BA97-753B-4769-BB46-1EC1DCCF1B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VIRCULE PABUAYA
POB, SALUG</t>
        </r>
      </text>
    </comment>
    <comment ref="O127" authorId="0" shapeId="0" xr:uid="{A9ABAB9B-B392-4C0B-A2EF-F037F6D026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O128" authorId="0" shapeId="0" xr:uid="{10F196B3-4FDC-43FD-A51E-5A385A86C6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128" authorId="0" shapeId="0" xr:uid="{A431C948-7F85-4CCC-89A6-A150F325A7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SABINA ANTAGON
POB, SALUG</t>
        </r>
      </text>
    </comment>
    <comment ref="O129" authorId="0" shapeId="0" xr:uid="{5473F502-AA51-4FF5-9A46-556BE99DC5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RENIE BENDE
TALINGA, BACUNGAN</t>
        </r>
      </text>
    </comment>
    <comment ref="AA129" authorId="0" shapeId="0" xr:uid="{049B7B61-E2B0-4927-A24E-44DB991E40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POB, SALUG</t>
        </r>
      </text>
    </comment>
    <comment ref="O130" authorId="0" shapeId="0" xr:uid="{E53BEC03-4D18-4DF8-A2B2-3588A37777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COSEP STORE
TALINGA, BACUNGAN</t>
        </r>
      </text>
    </comment>
    <comment ref="O131" authorId="0" shapeId="0" xr:uid="{9E7805E0-AF9F-47F7-97B5-B29D0EBB38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O132" authorId="0" shapeId="0" xr:uid="{B7D8CB8D-8CA9-454B-9E35-6DDCA183ED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133" authorId="0" shapeId="0" xr:uid="{EED3769A-A53F-4E98-A5F6-68572A24ED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O134" authorId="0" shapeId="0" xr:uid="{3DAB1D18-41B5-465D-A78D-05B199C934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KING'S STORE
TALINGA, BACUNGAN</t>
        </r>
      </text>
    </comment>
    <comment ref="O135" authorId="0" shapeId="0" xr:uid="{7AADA9FF-5DD1-43F3-8FE1-9452DBD754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136" authorId="0" shapeId="0" xr:uid="{139607B0-44E2-4423-961A-A2D0F8C542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EBALLES STORE
MARAS, SINDANGAN</t>
        </r>
      </text>
    </comment>
    <comment ref="O137" authorId="0" shapeId="0" xr:uid="{943CA32C-B2DB-47D9-A7FB-87013836E6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DEOFE
MARAS, SINDANGAN</t>
        </r>
      </text>
    </comment>
    <comment ref="O138" authorId="0" shapeId="0" xr:uid="{E68745B8-C323-4E93-910D-2794F6BF50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RESONABLE STORE
MARAS, SINDANGAN</t>
        </r>
      </text>
    </comment>
    <comment ref="O139" authorId="0" shapeId="0" xr:uid="{40A676BC-B13D-415E-9AE5-C83452B164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SULTAN CABER STORE
MARAS, SINDANGAN</t>
        </r>
      </text>
    </comment>
    <comment ref="O140" authorId="0" shapeId="0" xr:uid="{32F5B826-F64A-4B6A-8407-AFC9AC9D49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41" authorId="0" shapeId="0" xr:uid="{701320C5-2607-44AB-B58A-C6D258887D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O142" authorId="0" shapeId="0" xr:uid="{37468C12-B8AA-4E0A-977D-2557E9C894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JOVEN'S BATIO-ON
PIAO, SINDANGAN</t>
        </r>
      </text>
    </comment>
    <comment ref="D177" authorId="0" shapeId="0" xr:uid="{CE13167E-9C8A-4C49-805C-1B180BA4A4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ROLEN SIASICO
POB, SIAYAN</t>
        </r>
      </text>
    </comment>
    <comment ref="O177" authorId="0" shapeId="0" xr:uid="{A96E2AA8-5A8A-46AC-BC42-7A5700ADFC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FLORENCIA DALALON
MARAS, SINDANGAN</t>
        </r>
      </text>
    </comment>
    <comment ref="AA177" authorId="0" shapeId="0" xr:uid="{C55C1263-44F1-4CD9-8A12-ADE6DCA029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ALBERT TAN
BAYBAY, LILOY</t>
        </r>
      </text>
    </comment>
    <comment ref="D178" authorId="0" shapeId="0" xr:uid="{F3E69502-5292-4412-8E1C-D0049D3724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178" authorId="0" shapeId="0" xr:uid="{24A9F7E7-E6E8-480A-A443-ED9DB274E6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SAPPAL STORE
TALINGA, BACUNGAN</t>
        </r>
      </text>
    </comment>
    <comment ref="D179" authorId="0" shapeId="0" xr:uid="{795EDC38-B3D7-4D5E-87AD-90473D385A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POB, SIAYAN</t>
        </r>
      </text>
    </comment>
    <comment ref="O179" authorId="0" shapeId="0" xr:uid="{DB535A20-FE76-421F-8E75-0F0C9CBEFC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CATHLEEN STORE
MARAS, SINDANGAN</t>
        </r>
      </text>
    </comment>
    <comment ref="D180" authorId="0" shapeId="0" xr:uid="{A338BDD6-26DE-430D-84AB-88693C30D7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O180" authorId="0" shapeId="0" xr:uid="{24579C9C-BE60-4DF3-95B8-6FC3CD1D63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A180" authorId="0" shapeId="0" xr:uid="{45D61AC3-3DE6-4383-9BC8-15FD528B76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D181" authorId="0" shapeId="0" xr:uid="{CFAC39AE-5938-4C01-AB1B-EA16A1D12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DEBURA MADULA
KALAKAS, SIAYAN</t>
        </r>
      </text>
    </comment>
    <comment ref="O181" authorId="0" shapeId="0" xr:uid="{DC4D608A-8610-41A7-B8D9-0127159239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LUCITA CAYACAP
MARAS, SINDANGAN</t>
        </r>
      </text>
    </comment>
    <comment ref="AA181" authorId="0" shapeId="0" xr:uid="{0DBB2567-CE5D-48E1-86E0-6BD8AD53D0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D182" authorId="0" shapeId="0" xr:uid="{3D5A204F-1B6E-4F60-A4E7-9C9BE8B24B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82" authorId="0" shapeId="0" xr:uid="{BCFDC1F0-1E77-4183-A572-4E63E32B1F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D183" authorId="0" shapeId="0" xr:uid="{EB3CD6CA-027E-436A-9908-414C12980F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LANGAN, JERALYN
POB, SIAYAN</t>
        </r>
      </text>
    </comment>
    <comment ref="O183" authorId="0" shapeId="0" xr:uid="{2382C0B6-6E0E-4970-8317-94A948D4A7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D184" authorId="0" shapeId="0" xr:uid="{946822CB-32D5-476B-B3EB-5EAA9AF0D9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GABIOLA STORE
DAGAO, SIAYAN</t>
        </r>
      </text>
    </comment>
    <comment ref="O184" authorId="0" shapeId="0" xr:uid="{8D0EC933-5450-4FC8-9FC4-93DE12F803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D185" authorId="0" shapeId="0" xr:uid="{74ED6D38-F073-454A-A7D4-B3CF7C0EE1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O185" authorId="0" shapeId="0" xr:uid="{B4BB97C1-F66D-45DD-896D-81D399CF91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YANO'S STORE
GOLEO, SINDANGAN</t>
        </r>
      </text>
    </comment>
    <comment ref="D186" authorId="0" shapeId="0" xr:uid="{5E5E52F0-9ABB-4CE0-BEA7-FAF9F188DA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JAYKIN IDIAS
PIAO, SINDANGAN</t>
        </r>
      </text>
    </comment>
    <comment ref="D187" authorId="0" shapeId="0" xr:uid="{902A3D68-ED17-4BA9-AD21-0AEEBD20F6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TABASA
DISUD, SINDANGAN</t>
        </r>
      </text>
    </comment>
    <comment ref="C232" authorId="0" shapeId="0" xr:uid="{CE341713-6BD8-454D-926D-A71B3D68F8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POB, SINDANGAN</t>
        </r>
      </text>
    </comment>
    <comment ref="O232" authorId="0" shapeId="0" xr:uid="{E933E43A-95F9-4726-9AFD-18187AFA4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ALBENA STORE
UPPER INUMAN, SINDANGAN</t>
        </r>
      </text>
    </comment>
    <comment ref="C233" authorId="0" shapeId="0" xr:uid="{1790845A-26AA-49D3-970A-8263987BC9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POB, SINDANGAN</t>
        </r>
      </text>
    </comment>
    <comment ref="O233" authorId="0" shapeId="0" xr:uid="{8511EAB9-7A0D-4BA4-A769-75A7ACC80D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L STORE
MAWAL, BACUNGAN</t>
        </r>
      </text>
    </comment>
    <comment ref="C234" authorId="0" shapeId="0" xr:uid="{432DC933-31C9-4483-A992-30DF0A7D73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234" authorId="0" shapeId="0" xr:uid="{B4EF0671-49D0-4DD0-88FA-01B23B933C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PAHUWAY LENDIE
MAWAL, BACUNGAN</t>
        </r>
      </text>
    </comment>
    <comment ref="C235" authorId="0" shapeId="0" xr:uid="{D32BFA90-E007-4183-A98F-5985CF4E55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ABRAHAM MAHINAY
DISUD, SINDANGAN</t>
        </r>
      </text>
    </comment>
    <comment ref="O235" authorId="0" shapeId="0" xr:uid="{D146C388-E31A-4052-A6ED-FC9F8A90BF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WOOTEN STORE
MAWAL, BACUNGAN</t>
        </r>
      </text>
    </comment>
    <comment ref="C236" authorId="0" shapeId="0" xr:uid="{0BE9E87F-30ED-4FEB-B3F4-FEFE11F625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236" authorId="0" shapeId="0" xr:uid="{3653835A-B0A5-41B4-9896-05AE9A14C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PACALDO STORE
RM, SALUG</t>
        </r>
      </text>
    </comment>
    <comment ref="C237" authorId="0" shapeId="0" xr:uid="{30B0FD89-79D4-4DA2-B210-88AC232A7E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RUSIGNA
DISUD, SINDANGAN</t>
        </r>
      </text>
    </comment>
    <comment ref="O237" authorId="0" shapeId="0" xr:uid="{410D05CA-34D0-4592-9ACD-FB59AFBA20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GUMIMAW STORE
RM, SALUG</t>
        </r>
      </text>
    </comment>
    <comment ref="C238" authorId="0" shapeId="0" xr:uid="{751101B4-F348-458A-8554-80928E933D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238" authorId="0" shapeId="0" xr:uid="{3FB476E9-1C96-447C-8337-C328DB5097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MJ STORE
RM, SALUG</t>
        </r>
      </text>
    </comment>
    <comment ref="C239" authorId="0" shapeId="0" xr:uid="{3BBCB7EC-18EA-44DC-854A-2D22C0CFB1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O239" authorId="0" shapeId="0" xr:uid="{5E77DBDA-D240-4021-95FA-B72D72E34E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GIYA STORE
RM, SALUG</t>
        </r>
      </text>
    </comment>
    <comment ref="C240" authorId="0" shapeId="0" xr:uid="{156BAA58-68E4-4612-B1C9-AB2542BC77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240" authorId="0" shapeId="0" xr:uid="{FE451C5B-0313-4EF4-825D-E8647DB93C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STORE
PALANDOK, BACUNGAN</t>
        </r>
      </text>
    </comment>
    <comment ref="C241" authorId="0" shapeId="0" xr:uid="{72AC256B-6616-46E3-A3F9-83E43D7083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DISUD, SINDANGAN</t>
        </r>
      </text>
    </comment>
    <comment ref="O241" authorId="0" shapeId="0" xr:uid="{6BFF572C-9B30-4270-9434-13B748601A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PALANDOK, BACUNGAN</t>
        </r>
      </text>
    </comment>
    <comment ref="O242" authorId="0" shapeId="0" xr:uid="{72EAB265-A216-4349-99F6-451E07DCB2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ACOJEDO STORE
MANGOP, BACUNGAN</t>
        </r>
      </text>
    </comment>
    <comment ref="O243" authorId="0" shapeId="0" xr:uid="{5031E490-5BB2-4613-A558-B2387B419A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EMELY TEBES
MANGOP, BACUNGAN</t>
        </r>
      </text>
    </comment>
    <comment ref="O244" authorId="0" shapeId="0" xr:uid="{7EBE70CC-7212-49A2-8FC1-CA3F789410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SEMBLANTE STORE
JOAN SEMBLANTE
BOGABONGAN, BACUNGAN</t>
        </r>
      </text>
    </comment>
    <comment ref="O245" authorId="0" shapeId="0" xr:uid="{1D6AE58C-A110-462A-ADF1-15A4F19F56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MAI-MAI ESTRADA
BOGABONGAN, BACUNGAN</t>
        </r>
      </text>
    </comment>
    <comment ref="O246" authorId="0" shapeId="0" xr:uid="{C0BF2929-00E5-4065-B63C-D17AC3A6D6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STORE
BOGABONGAN, BACUNGAN</t>
        </r>
      </text>
    </comment>
    <comment ref="O247" authorId="0" shapeId="0" xr:uid="{B3210F9B-BDA7-44BE-8C9B-F4975B05B4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RAFLES ARNEL
BOGABONGAN, BACUNGAN</t>
        </r>
      </text>
    </comment>
    <comment ref="O248" authorId="0" shapeId="0" xr:uid="{38B368D6-69DC-4C21-BFBA-FB8CA978B9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SALABEDRA STORE
BOGABONGAN, BACUNGAN</t>
        </r>
      </text>
    </comment>
    <comment ref="O249" authorId="0" shapeId="0" xr:uid="{5887631F-FF14-4806-8742-4C6C5F4B67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GOMEZ
BOGABONGAN, BACUNGAN</t>
        </r>
      </text>
    </comment>
    <comment ref="O250" authorId="0" shapeId="0" xr:uid="{E9D9FEC0-8D76-45BE-B1DE-91AEBE76CD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STORE
BOGABONGAN, BACUNGAN</t>
        </r>
      </text>
    </comment>
    <comment ref="O251" authorId="0" shapeId="0" xr:uid="{3F362394-AB1C-4047-AC09-1A602F0D2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JEANNIAS STORE
BOGABONGAN, BACUNGAN</t>
        </r>
      </text>
    </comment>
    <comment ref="O252" authorId="0" shapeId="0" xr:uid="{26130C2D-D771-45D1-B99D-C0BF7A36EA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GALEPOSO STORE
POB, GODON</t>
        </r>
      </text>
    </comment>
    <comment ref="O253" authorId="0" shapeId="0" xr:uid="{3D854D0D-878A-4534-BD22-F222183A8E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O254" authorId="0" shapeId="0" xr:uid="{E0077F11-3AD4-4134-ADAF-F22218F28A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C287" authorId="0" shapeId="0" xr:uid="{0C2676DA-8792-4009-BEE7-2BA531369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O287" authorId="0" shapeId="0" xr:uid="{E64594B7-D618-4ED7-A936-4B41234D51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287" authorId="0" shapeId="0" xr:uid="{E44D2056-81E1-47BC-8344-FE018130FB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C288" authorId="0" shapeId="0" xr:uid="{ADA9FD14-C7D3-47B3-89FB-81FB0D6C2F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BERTUCIO STORE
PIAO, SINDANGAN</t>
        </r>
      </text>
    </comment>
    <comment ref="O288" authorId="0" shapeId="0" xr:uid="{38D5C53A-EEF0-4DA5-B968-7ED87317EB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OCSALES STORE
MANDIH, SINDANGAN</t>
        </r>
      </text>
    </comment>
    <comment ref="C289" authorId="0" shapeId="0" xr:uid="{6712D0C4-0488-4738-B4F5-BD6BAB9675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ORILLOZA STORE
PIAO, SINDANGAN</t>
        </r>
      </text>
    </comment>
    <comment ref="O289" authorId="0" shapeId="0" xr:uid="{254EFDA2-1378-4364-8FBE-4820A811EE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HERMATA STORE
MARAS, SINDANGAN</t>
        </r>
      </text>
    </comment>
    <comment ref="AA289" authorId="0" shapeId="0" xr:uid="{6AE8A6DA-B4F5-4D26-8E0F-FC845893DA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90" authorId="0" shapeId="0" xr:uid="{1C7DABDE-FFD7-4609-90FB-11224DFE25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 STORE
LAGAG, SINDANGAN</t>
        </r>
      </text>
    </comment>
    <comment ref="AA290" authorId="0" shapeId="0" xr:uid="{7195C6C8-EEA9-4130-9DA1-A0721C7308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C291" authorId="0" shapeId="0" xr:uid="{276A04E0-5192-4AE2-BCEA-59BDA78840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291" authorId="0" shapeId="0" xr:uid="{B9EA3B31-ECEF-4993-A527-11A901A606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91" authorId="0" shapeId="0" xr:uid="{ACF8F0CE-2507-46B5-84D8-0866BD1448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2" authorId="0" shapeId="0" xr:uid="{9D7D02CF-7722-4A53-BA35-5B26057EB3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292" authorId="0" shapeId="0" xr:uid="{55083BB8-9EE0-444A-8296-99E161E46A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2" authorId="0" shapeId="0" xr:uid="{6CB47B13-1599-4523-BAD8-DCD96A6AB4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</t>
        </r>
      </text>
    </comment>
    <comment ref="C293" authorId="0" shapeId="0" xr:uid="{DE0EA04D-102E-4995-9A1B-998AFD6B7C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SABILLO STORE
POB, SAIAYAN</t>
        </r>
      </text>
    </comment>
    <comment ref="O293" authorId="0" shapeId="0" xr:uid="{8C27EB4F-D509-45C0-85BB-AA1E8E8810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GOMEZ STORE
MANDIH, SINDANGAN</t>
        </r>
      </text>
    </comment>
    <comment ref="C294" authorId="0" shapeId="0" xr:uid="{43F9A1A1-0766-4927-9432-2220214B4F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295" authorId="0" shapeId="0" xr:uid="{0E441D62-AF62-4400-871B-AA3A7BB9BB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LEE BAGTONG
POB, SIAYAN</t>
        </r>
      </text>
    </comment>
    <comment ref="C296" authorId="0" shapeId="0" xr:uid="{2E48A849-8130-4011-BB76-726992491A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C342" authorId="0" shapeId="0" xr:uid="{99A83C07-582F-4303-836A-2DE1066CA3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MARKIM ESQUADRO
DAPAON, SINDANGAN</t>
        </r>
      </text>
    </comment>
    <comment ref="O342" authorId="0" shapeId="0" xr:uid="{1B6989F7-3EF5-4E3B-8130-E009660C54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TITA BELANDRES
TALINGA, BACUNGAN</t>
        </r>
      </text>
    </comment>
    <comment ref="AA342" authorId="0" shapeId="0" xr:uid="{3FA61FA2-8173-452D-8128-A34E1A1F2C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343" authorId="0" shapeId="0" xr:uid="{5E1672A3-0C5C-4232-8342-0469BB4E66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343" authorId="0" shapeId="0" xr:uid="{F50B270E-B7C7-4D76-B6F4-ABB22D9ED1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343" authorId="0" shapeId="0" xr:uid="{31B1FE80-B83C-48AA-81E3-5CF4F1BA74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POB, SALUG</t>
        </r>
      </text>
    </comment>
    <comment ref="C344" authorId="0" shapeId="0" xr:uid="{8455E1F1-562E-4833-BFD7-3AA469DD4C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DAPAON, SINDANGAN</t>
        </r>
      </text>
    </comment>
    <comment ref="O344" authorId="0" shapeId="0" xr:uid="{28B70B5D-9F52-46D4-9D5E-00B85973E1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DADAN
TALINGA, BACUNGAN</t>
        </r>
      </text>
    </comment>
    <comment ref="AA344" authorId="0" shapeId="0" xr:uid="{D314EBA2-A081-4E5E-9D24-40FAA1549D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CONSUMER GOODS STORE
POB, SALUG</t>
        </r>
      </text>
    </comment>
    <comment ref="C345" authorId="0" shapeId="0" xr:uid="{295B7E73-949F-4A47-8986-155B38D974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AA345" authorId="0" shapeId="0" xr:uid="{7185B921-84E3-4B69-9DE1-C1328B4554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 STORE
POB, SALUG</t>
        </r>
      </text>
    </comment>
    <comment ref="C346" authorId="0" shapeId="0" xr:uid="{7B7BEB1A-48AC-4610-80DC-CE6E61C78E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AA346" authorId="0" shapeId="0" xr:uid="{88180C65-C615-43EB-9DDA-7E518FA7E8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C347" authorId="0" shapeId="0" xr:uid="{DA337012-B484-47AB-B587-D729D83EE7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MALINOG STORE
DAPAON, SINDANGAN</t>
        </r>
      </text>
    </comment>
    <comment ref="AA347" authorId="0" shapeId="0" xr:uid="{51C9E3D3-7AF8-4A5D-BC1A-0E4058F48D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PABUAYA
POB, SALUG</t>
        </r>
      </text>
    </comment>
    <comment ref="C348" authorId="0" shapeId="0" xr:uid="{E85466B0-8DB3-4372-9E18-D37910E601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DIOSDADA SOREÑO
POB, SINDANGAN</t>
        </r>
      </text>
    </comment>
    <comment ref="AA348" authorId="0" shapeId="0" xr:uid="{DA5A8779-19B0-47D5-8195-957D56347E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 STORE
BACONG, SALUG</t>
        </r>
      </text>
    </comment>
    <comment ref="C349" authorId="0" shapeId="0" xr:uid="{4D4845D8-1BA2-45A2-9286-A21DA6908A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CAMASURA GODDIE
POB, SINDANGAN</t>
        </r>
      </text>
    </comment>
    <comment ref="C397" authorId="0" shapeId="0" xr:uid="{52323DEC-B4DA-45EF-8B76-5D3A1B5A33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
POB, SINDANGAN
</t>
        </r>
      </text>
    </comment>
    <comment ref="O397" authorId="0" shapeId="0" xr:uid="{5B923E68-8CF8-4080-BD98-F06677E473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397" authorId="0" shapeId="0" xr:uid="{1E9C24F3-64D7-478E-90D9-238D04E795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398" authorId="0" shapeId="0" xr:uid="{279491CC-E261-4752-9A61-8A69C607AB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98" authorId="0" shapeId="0" xr:uid="{57518BD8-9FCD-457E-BE05-6D19FBE7C9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REDERIA
TALINGA, SINDANGAN</t>
        </r>
      </text>
    </comment>
    <comment ref="AA398" authorId="0" shapeId="0" xr:uid="{7767749C-1235-4543-9A3D-13381D3D70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99" authorId="0" shapeId="0" xr:uid="{FE65F555-4DB4-4998-9F98-18F663F5C7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399" authorId="0" shapeId="0" xr:uid="{27DB7347-44C3-4BD4-A5E1-A01A08382E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NEDIE
TALINGA, SINDANGAN</t>
        </r>
      </text>
    </comment>
    <comment ref="AA399" authorId="0" shapeId="0" xr:uid="{CB4129BA-B472-4067-9B69-3AFBD9AD26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400" authorId="0" shapeId="0" xr:uid="{A55B7654-59F9-49B8-B4AD-B485E84F45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400" authorId="0" shapeId="0" xr:uid="{5439273F-7E11-4C6E-A3E1-EF425D3E21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TERIZA DELROSARIO
TALINGA, SINDANGAN</t>
        </r>
      </text>
    </comment>
    <comment ref="C401" authorId="0" shapeId="0" xr:uid="{83FAA3EE-372E-4174-9D30-181E66F3C8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O401" authorId="0" shapeId="0" xr:uid="{982C7F61-1918-4383-A3B8-86A9A45FDF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EVELYN YOSORES
TALINGA, SINDANGAN</t>
        </r>
      </text>
    </comment>
    <comment ref="C402" authorId="0" shapeId="0" xr:uid="{8322E7DB-B2C0-405F-A482-64C255F43D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402" authorId="0" shapeId="0" xr:uid="{C7C63657-9C11-448C-AA16-BE839B56F1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
MARAS, SINDANGAN</t>
        </r>
      </text>
    </comment>
    <comment ref="C403" authorId="0" shapeId="0" xr:uid="{BA47C905-59AE-4F50-9C3A-29FA2C0F62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LYSEL BAYAWA
POB, BALOK</t>
        </r>
      </text>
    </comment>
    <comment ref="O403" authorId="0" shapeId="0" xr:uid="{6DA3810A-102F-44F9-ACB6-C49E8DBDB2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LUCITA CAYACAP
MARAS, SINDANGAN</t>
        </r>
      </text>
    </comment>
    <comment ref="O404" authorId="0" shapeId="0" xr:uid="{8EA01978-FB15-4734-8D10-03B033DEB8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MELLANA ANSELING
CALUAN, SINDANGAN</t>
        </r>
      </text>
    </comment>
    <comment ref="O405" authorId="0" shapeId="0" xr:uid="{3873F322-6C60-4F4E-A0A5-683E6E912B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406" authorId="0" shapeId="0" xr:uid="{D71B93FB-5C2B-48C5-AF2F-F782F75201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 BELARMINO
DATU TANGKILAN, SINDANGAN</t>
        </r>
      </text>
    </comment>
    <comment ref="O407" authorId="0" shapeId="0" xr:uid="{B1D96792-1C43-497B-A9C5-806AEAD8D9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JADE EATERY
GOLEO, SINDANGAN</t>
        </r>
      </text>
    </comment>
    <comment ref="O408" authorId="0" shapeId="0" xr:uid="{79773FBF-BB2E-4089-B170-BEDDF1B9DD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409" authorId="0" shapeId="0" xr:uid="{DC54CDCD-EA95-42A6-820A-24CA7A18A2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C452" authorId="0" shapeId="0" xr:uid="{08D878DD-847C-41BC-8B9B-E0C607456F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
</t>
        </r>
      </text>
    </comment>
    <comment ref="O452" authorId="0" shapeId="0" xr:uid="{B6A93569-2B03-4AC3-B702-D642A60A3C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PALLION STORE
MARAS, SINDANGAN</t>
        </r>
      </text>
    </comment>
    <comment ref="AA452" authorId="0" shapeId="0" xr:uid="{277A6C72-FA05-42DE-9FA7-EB6B7AE26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453" authorId="0" shapeId="0" xr:uid="{946DA2F2-296F-4E1C-B00B-60FB422759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453" authorId="0" shapeId="0" xr:uid="{281590AB-7FE2-4D5E-B8AB-8920487D42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AA453" authorId="0" shapeId="0" xr:uid="{B2CD20F1-846B-4365-BCC9-09AA92643F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RAYMOND ABRIOL
POB, SALUG</t>
        </r>
      </text>
    </comment>
    <comment ref="C454" authorId="0" shapeId="0" xr:uid="{BFB7499E-1DCD-44B6-B995-7B2491186B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COLLEN
BAYBAY, LILOY</t>
        </r>
      </text>
    </comment>
    <comment ref="O454" authorId="0" shapeId="0" xr:uid="{15914D97-AE47-4583-895D-133FFA5006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454" authorId="0" shapeId="0" xr:uid="{02462A6B-4BFF-4292-802E-9D76730B12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455" authorId="0" shapeId="0" xr:uid="{0FC3EE08-1C51-4E08-A92C-8A9D4C9059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455" authorId="0" shapeId="0" xr:uid="{B7D09F8C-E359-425A-9B85-29714AEB8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 POB, BACUNGAN</t>
        </r>
      </text>
    </comment>
    <comment ref="AA455" authorId="0" shapeId="0" xr:uid="{99B8F1A1-695B-4830-AF74-3B076E66A5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456" authorId="0" shapeId="0" xr:uid="{4A6FE68C-B2A5-49E3-A987-A5586EB3C2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O456" authorId="0" shapeId="0" xr:uid="{4FB54DE6-D6D2-48FA-BED8-2524784031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CATHLEEN
MARAS, SINDANGAN</t>
        </r>
      </text>
    </comment>
    <comment ref="C457" authorId="0" shapeId="0" xr:uid="{C78EA474-D11B-4C60-9202-885238E275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457" authorId="0" shapeId="0" xr:uid="{2CFA8731-D40B-463B-89F3-C70E2C7AB5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SAMONTE
MARAS, SINDANGAN</t>
        </r>
      </text>
    </comment>
    <comment ref="C458" authorId="0" shapeId="0" xr:uid="{F772F875-BA58-4E30-9A47-75E2B8F479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RUSIANA
DISUD, SINDANGAN</t>
        </r>
      </text>
    </comment>
    <comment ref="O458" authorId="0" shapeId="0" xr:uid="{ECC4DA41-D256-46BF-B4BD-1E426F1BE8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BIBOR CARINDERIA
INUMAN, SINDANGAN</t>
        </r>
      </text>
    </comment>
    <comment ref="O459" authorId="0" shapeId="0" xr:uid="{986142FC-5DF1-44AB-A0EC-1F7058614D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O460" authorId="0" shapeId="0" xr:uid="{38BC8CCF-4576-4B08-A658-D294F64676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
POB, SINDANGAN</t>
        </r>
      </text>
    </comment>
    <comment ref="O461" authorId="0" shapeId="0" xr:uid="{0746B78F-A13D-4211-9F2C-8636AE0721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JOVANI
POB, SINDANGAN</t>
        </r>
      </text>
    </comment>
  </commentList>
</comments>
</file>

<file path=xl/sharedStrings.xml><?xml version="1.0" encoding="utf-8"?>
<sst xmlns="http://schemas.openxmlformats.org/spreadsheetml/2006/main" count="577" uniqueCount="62">
  <si>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</si>
  <si>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</si>
  <si>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</si>
  <si>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</si>
  <si>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</si>
  <si>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</si>
  <si>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</si>
  <si>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</si>
  <si>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</si>
  <si>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</si>
  <si>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</si>
  <si>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</si>
  <si>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</si>
  <si>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</si>
  <si>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</si>
  <si>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</si>
  <si>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</si>
  <si>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</si>
  <si>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</si>
  <si>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</si>
  <si>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</si>
  <si>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</si>
  <si>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</si>
  <si>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</si>
  <si>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</si>
  <si>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</si>
  <si>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</si>
  <si>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</si>
  <si>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</si>
  <si>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</si>
  <si>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</si>
  <si>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</si>
  <si>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</si>
  <si>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</si>
  <si>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</si>
  <si>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</si>
  <si>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FEBRUARY 2026</t>
  </si>
  <si>
    <t>FEBRUARY 02, 2026</t>
  </si>
  <si>
    <t>8851-8858/8810-8815/8698-8700,8901-8903</t>
  </si>
  <si>
    <t>TUESDAY</t>
  </si>
  <si>
    <t>FEBRUARY 03, 2026</t>
  </si>
  <si>
    <t>8859-8871/8816-8824/8904-8908</t>
  </si>
  <si>
    <t>R3</t>
  </si>
  <si>
    <t>R4</t>
  </si>
  <si>
    <t>WEDNESDAY</t>
  </si>
  <si>
    <t>FEBRUARY 04, 2026</t>
  </si>
  <si>
    <t>8872-8873/8825-8845/8909-8916</t>
  </si>
  <si>
    <t>THURSDAY</t>
  </si>
  <si>
    <t>FEBRUARY 05, 2026</t>
  </si>
  <si>
    <t>8874-8884/8846-8954/8914,8917-8918</t>
  </si>
  <si>
    <t>FRIDAY</t>
  </si>
  <si>
    <t>FEBRUARY 06, 2026</t>
  </si>
  <si>
    <t>8885-8894/8955-8977/</t>
  </si>
  <si>
    <t>SATURDAY</t>
  </si>
  <si>
    <t>FEBRUARY 07, 2026</t>
  </si>
  <si>
    <t>8798-8900,9051/8978-8984/8919-8924</t>
  </si>
  <si>
    <t>FEBRUARY 09, 2026</t>
  </si>
  <si>
    <t>9053-9060/8985-8987/8925-8931</t>
  </si>
  <si>
    <t>FEBRUARY 10, 2026</t>
  </si>
  <si>
    <t>9061-9067/9001-9013/8932-8934</t>
  </si>
  <si>
    <t>FEBRUARY 11, 2026</t>
  </si>
  <si>
    <t>9068-9074/9101-9110/8935-8938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</si>
</sst>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7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0" borderId="1" xfId="1" applyFont="1" applyBorder="1" applyAlignme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7" zoomScaleNormal="100" workbookViewId="0">
      <selection activeCell="H20" sqref="H20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6" t="s">
        <v>36</v>
      </c>
      <c r="B6" s="96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42</v>
      </c>
      <c r="I8" s="52" t="s">
        <v>43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38</v>
      </c>
      <c r="D11" s="16">
        <f t="shared" ref="D11:D25" si="0">J11</f>
        <v>857228.5</v>
      </c>
      <c r="F11" s="14">
        <v>265335.5</v>
      </c>
      <c r="G11" s="14">
        <v>341135</v>
      </c>
      <c r="H11" s="14">
        <v>250758</v>
      </c>
      <c r="I11" s="14"/>
      <c r="J11" s="17">
        <f t="shared" ref="J11:J40" si="1">F11+G11+H11</f>
        <v>857228.5</v>
      </c>
    </row>
    <row r="12" spans="1:10" x14ac:dyDescent="0.25">
      <c r="A12" s="10">
        <f t="shared" ref="A12:A37" si="2">A11+1</f>
        <v>3</v>
      </c>
      <c r="B12" s="43" t="s">
        <v>8</v>
      </c>
      <c r="C12" s="12" t="s">
        <v>41</v>
      </c>
      <c r="D12" s="16">
        <f t="shared" si="0"/>
        <v>709919.5</v>
      </c>
      <c r="F12" s="14">
        <v>225713.5</v>
      </c>
      <c r="G12" s="14">
        <v>183193.5</v>
      </c>
      <c r="H12" s="14">
        <v>301012.5</v>
      </c>
      <c r="I12" s="14"/>
      <c r="J12" s="17">
        <f t="shared" si="1"/>
        <v>709919.5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744056.5</v>
      </c>
      <c r="F13" s="14">
        <v>168919</v>
      </c>
      <c r="G13" s="14">
        <v>150489.5</v>
      </c>
      <c r="H13" s="14">
        <v>424648</v>
      </c>
      <c r="I13" s="14"/>
      <c r="J13" s="17">
        <f t="shared" si="1"/>
        <v>744056.5</v>
      </c>
    </row>
    <row r="14" spans="1:10" x14ac:dyDescent="0.25">
      <c r="A14" s="10">
        <f t="shared" si="2"/>
        <v>5</v>
      </c>
      <c r="B14" s="11" t="s">
        <v>30</v>
      </c>
      <c r="C14" s="12" t="s">
        <v>49</v>
      </c>
      <c r="D14" s="16">
        <f t="shared" si="0"/>
        <v>501390.5</v>
      </c>
      <c r="F14" s="14">
        <v>167361</v>
      </c>
      <c r="G14" s="14">
        <v>158699.5</v>
      </c>
      <c r="H14" s="14">
        <v>175330</v>
      </c>
      <c r="I14" s="14"/>
      <c r="J14" s="17">
        <f t="shared" si="1"/>
        <v>501390.5</v>
      </c>
    </row>
    <row r="15" spans="1:10" x14ac:dyDescent="0.25">
      <c r="A15" s="10">
        <f t="shared" si="2"/>
        <v>6</v>
      </c>
      <c r="B15" s="43" t="s">
        <v>4</v>
      </c>
      <c r="C15" s="12" t="s">
        <v>52</v>
      </c>
      <c r="D15" s="16">
        <f t="shared" si="0"/>
        <v>318693.5</v>
      </c>
      <c r="F15" s="14">
        <v>155067.5</v>
      </c>
      <c r="G15" s="14">
        <v>163626</v>
      </c>
      <c r="H15" s="14"/>
      <c r="I15" s="14"/>
      <c r="J15" s="17">
        <f t="shared" si="1"/>
        <v>318693.5</v>
      </c>
    </row>
    <row r="16" spans="1:10" x14ac:dyDescent="0.25">
      <c r="A16" s="10">
        <f t="shared" si="2"/>
        <v>7</v>
      </c>
      <c r="B16" s="56" t="s">
        <v>5</v>
      </c>
      <c r="C16" s="12" t="s">
        <v>55</v>
      </c>
      <c r="D16" s="16">
        <f t="shared" si="0"/>
        <v>600356</v>
      </c>
      <c r="F16" s="14">
        <v>123829</v>
      </c>
      <c r="G16" s="14">
        <v>226892</v>
      </c>
      <c r="H16" s="14">
        <v>249635</v>
      </c>
      <c r="I16" s="14"/>
      <c r="J16" s="17">
        <f t="shared" si="1"/>
        <v>600356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 t="s">
        <v>57</v>
      </c>
      <c r="D18" s="16">
        <f t="shared" si="0"/>
        <v>809752</v>
      </c>
      <c r="F18" s="14">
        <v>260275.5</v>
      </c>
      <c r="G18" s="14">
        <v>285396</v>
      </c>
      <c r="H18" s="14">
        <v>264080.5</v>
      </c>
      <c r="I18" s="14"/>
      <c r="J18" s="17">
        <f t="shared" si="1"/>
        <v>809752</v>
      </c>
    </row>
    <row r="19" spans="1:10" x14ac:dyDescent="0.25">
      <c r="A19" s="10">
        <f t="shared" si="2"/>
        <v>10</v>
      </c>
      <c r="B19" s="43" t="s">
        <v>8</v>
      </c>
      <c r="C19" s="12" t="s">
        <v>59</v>
      </c>
      <c r="D19" s="16">
        <f t="shared" si="0"/>
        <v>614407</v>
      </c>
      <c r="F19" s="14">
        <v>168188</v>
      </c>
      <c r="G19" s="14">
        <v>173509</v>
      </c>
      <c r="H19" s="14">
        <v>272710</v>
      </c>
      <c r="I19" s="14"/>
      <c r="J19" s="17">
        <f t="shared" si="1"/>
        <v>614407</v>
      </c>
    </row>
    <row r="20" spans="1:10" x14ac:dyDescent="0.25">
      <c r="A20" s="10">
        <f t="shared" si="2"/>
        <v>11</v>
      </c>
      <c r="B20" s="56" t="s">
        <v>9</v>
      </c>
      <c r="C20" s="12" t="s">
        <v>61</v>
      </c>
      <c r="D20" s="16">
        <f t="shared" si="0"/>
        <v>1082361</v>
      </c>
      <c r="F20" s="14">
        <v>687380</v>
      </c>
      <c r="G20" s="14">
        <v>144809.5</v>
      </c>
      <c r="H20" s="14">
        <v>250171.5</v>
      </c>
      <c r="I20" s="14"/>
      <c r="J20" s="17">
        <f t="shared" si="1"/>
        <v>1082361</v>
      </c>
    </row>
    <row r="21" spans="1:10" x14ac:dyDescent="0.25">
      <c r="A21" s="10">
        <f t="shared" si="2"/>
        <v>12</v>
      </c>
      <c r="B21" s="11" t="s">
        <v>30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43" t="s">
        <v>4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56" t="s">
        <v>5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/>
      <c r="D25" s="16">
        <f t="shared" si="0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43" t="s">
        <v>8</v>
      </c>
      <c r="C26" s="12"/>
      <c r="D26" s="16">
        <f t="shared" ref="D26:D30" si="3">J26</f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56" t="s">
        <v>9</v>
      </c>
      <c r="C27" s="12"/>
      <c r="D27" s="16">
        <f t="shared" si="3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1" t="s">
        <v>30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43" t="s">
        <v>4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56" t="s">
        <v>5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/>
      <c r="D32" s="16">
        <f t="shared" ref="D32:D39" si="4">J32</f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8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9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1" t="s">
        <v>30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43" t="s">
        <v>4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/>
      <c r="B38" s="13"/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/>
      <c r="B39" s="43"/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7" t="s">
        <v>10</v>
      </c>
      <c r="B42" s="98"/>
      <c r="C42" s="99"/>
      <c r="D42" s="48">
        <f>SUM(D2:D41)</f>
        <v>6238164.5</v>
      </c>
      <c r="J42" s="49">
        <f>SUM(J10:J41)</f>
        <v>6238164.5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A465" zoomScaleNormal="100" workbookViewId="0">
      <selection activeCell="AE495" sqref="AE49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6" t="s">
        <v>17</v>
      </c>
      <c r="E10" s="106"/>
      <c r="F10" s="75"/>
      <c r="G10" s="27"/>
      <c r="I10" s="104" t="s">
        <v>18</v>
      </c>
      <c r="J10" s="105"/>
      <c r="K10" s="102" t="s">
        <v>19</v>
      </c>
      <c r="N10" s="25"/>
      <c r="O10" s="26"/>
      <c r="P10" s="106" t="s">
        <v>17</v>
      </c>
      <c r="Q10" s="106"/>
      <c r="R10" s="75"/>
      <c r="S10" s="27"/>
      <c r="U10" s="104" t="s">
        <v>18</v>
      </c>
      <c r="V10" s="105"/>
      <c r="W10" s="102" t="s">
        <v>19</v>
      </c>
      <c r="Z10" s="25"/>
      <c r="AA10" s="26"/>
      <c r="AB10" s="106" t="s">
        <v>17</v>
      </c>
      <c r="AC10" s="106"/>
      <c r="AD10" s="75"/>
      <c r="AE10" s="27"/>
      <c r="AG10" s="104" t="s">
        <v>18</v>
      </c>
      <c r="AH10" s="105"/>
      <c r="AI10" s="102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03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03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03"/>
    </row>
    <row r="12" spans="1:35" x14ac:dyDescent="0.25">
      <c r="A12" s="10">
        <v>1</v>
      </c>
      <c r="B12" s="30">
        <v>46055</v>
      </c>
      <c r="C12" s="83">
        <v>8851</v>
      </c>
      <c r="D12" s="32">
        <f>650*216+622*108+229*13</f>
        <v>210553</v>
      </c>
      <c r="E12" s="32">
        <f>-324*6</f>
        <v>-1944</v>
      </c>
      <c r="F12" s="32"/>
      <c r="G12" s="32">
        <f t="shared" ref="G12:G45" si="0">SUM(D12:E12)</f>
        <v>208609</v>
      </c>
      <c r="H12" s="12"/>
      <c r="I12" s="12">
        <f>222*111+78*11+19*1.5</f>
        <v>25528.5</v>
      </c>
      <c r="J12" s="12">
        <f>-120*5</f>
        <v>-600</v>
      </c>
      <c r="K12" s="12">
        <f t="shared" ref="K12:K45" si="1">SUM(G12:J12)</f>
        <v>233537.5</v>
      </c>
      <c r="M12" s="10">
        <v>1</v>
      </c>
      <c r="N12" s="30">
        <v>46055</v>
      </c>
      <c r="O12" s="31">
        <v>8810</v>
      </c>
      <c r="P12" s="32">
        <f>650*7+622*2</f>
        <v>5794</v>
      </c>
      <c r="Q12" s="32"/>
      <c r="R12" s="32"/>
      <c r="S12" s="32">
        <f>SUM(P12:Q12)</f>
        <v>5794</v>
      </c>
      <c r="T12" s="12"/>
      <c r="U12" s="12"/>
      <c r="V12" s="12">
        <v>-1332</v>
      </c>
      <c r="W12" s="12">
        <f>SUM(S12:V12)</f>
        <v>4462</v>
      </c>
      <c r="Y12" s="10">
        <v>1</v>
      </c>
      <c r="Z12" s="30">
        <v>46055</v>
      </c>
      <c r="AA12" s="31">
        <v>8698</v>
      </c>
      <c r="AB12" s="32">
        <f>30*650+670*2+229</f>
        <v>21069</v>
      </c>
      <c r="AC12" s="32"/>
      <c r="AD12" s="32"/>
      <c r="AE12" s="32">
        <f>SUM(AB12:AC12)</f>
        <v>21069</v>
      </c>
      <c r="AF12" s="12"/>
      <c r="AG12" s="12"/>
      <c r="AH12" s="12"/>
      <c r="AI12" s="12">
        <f>SUM(AE12:AH12)</f>
        <v>21069</v>
      </c>
    </row>
    <row r="13" spans="1:35" x14ac:dyDescent="0.25">
      <c r="A13" s="10">
        <v>2</v>
      </c>
      <c r="B13" s="30">
        <v>46055</v>
      </c>
      <c r="C13" s="83">
        <f>C12+1</f>
        <v>8852</v>
      </c>
      <c r="D13" s="32">
        <f>650*29+670*4+622*10</f>
        <v>27750</v>
      </c>
      <c r="E13" s="32"/>
      <c r="F13" s="32"/>
      <c r="G13" s="32">
        <f t="shared" si="0"/>
        <v>27750</v>
      </c>
      <c r="H13" s="12"/>
      <c r="I13" s="12">
        <v>324</v>
      </c>
      <c r="J13" s="12"/>
      <c r="K13" s="12">
        <f t="shared" si="1"/>
        <v>28074</v>
      </c>
      <c r="M13" s="10">
        <v>2</v>
      </c>
      <c r="N13" s="30">
        <v>46055</v>
      </c>
      <c r="O13" s="31">
        <f>O12+1</f>
        <v>8811</v>
      </c>
      <c r="P13" s="32">
        <f>650*5+622+9.5*6</f>
        <v>3929</v>
      </c>
      <c r="Q13" s="32"/>
      <c r="R13" s="32"/>
      <c r="S13" s="32">
        <f t="shared" ref="S13:S44" si="2">SUM(P13:Q13)</f>
        <v>3929</v>
      </c>
      <c r="T13" s="12"/>
      <c r="U13" s="12"/>
      <c r="V13" s="12">
        <v>-1110</v>
      </c>
      <c r="W13" s="12">
        <f t="shared" ref="W13:W44" si="3">SUM(S13:V13)</f>
        <v>2819</v>
      </c>
      <c r="Y13" s="10">
        <v>2</v>
      </c>
      <c r="Z13" s="30">
        <v>46055</v>
      </c>
      <c r="AA13" s="31">
        <f>AA12+1</f>
        <v>8699</v>
      </c>
      <c r="AB13" s="32">
        <f>650*108+229*4</f>
        <v>71116</v>
      </c>
      <c r="AC13" s="32"/>
      <c r="AD13" s="32"/>
      <c r="AE13" s="32">
        <f t="shared" ref="AE13:AE44" si="4">SUM(AB13:AC13)</f>
        <v>71116</v>
      </c>
      <c r="AF13" s="12"/>
      <c r="AG13" s="12">
        <f>24*1.5</f>
        <v>36</v>
      </c>
      <c r="AH13" s="12">
        <f>-111*24</f>
        <v>-2664</v>
      </c>
      <c r="AI13" s="12">
        <f t="shared" ref="AI13:AI44" si="5">SUM(AE13:AH13)</f>
        <v>68488</v>
      </c>
    </row>
    <row r="14" spans="1:35" x14ac:dyDescent="0.25">
      <c r="A14" s="10">
        <v>3</v>
      </c>
      <c r="B14" s="30">
        <v>46055</v>
      </c>
      <c r="C14" s="83">
        <f t="shared" ref="C14:C19" si="6">C13+1</f>
        <v>8853</v>
      </c>
      <c r="D14" s="33">
        <f>650*11+670</f>
        <v>7820</v>
      </c>
      <c r="E14" s="33"/>
      <c r="F14" s="33"/>
      <c r="G14" s="33">
        <f t="shared" si="0"/>
        <v>7820</v>
      </c>
      <c r="H14" s="34"/>
      <c r="I14" s="34"/>
      <c r="J14" s="34"/>
      <c r="K14" s="34">
        <f t="shared" si="1"/>
        <v>7820</v>
      </c>
      <c r="M14" s="10">
        <v>3</v>
      </c>
      <c r="N14" s="30">
        <v>46055</v>
      </c>
      <c r="O14" s="31">
        <f t="shared" ref="O14:O17" si="7">O13+1</f>
        <v>8812</v>
      </c>
      <c r="P14" s="32">
        <f>650*432+670*10+622*50+229*20+650*2</f>
        <v>324480</v>
      </c>
      <c r="Q14" s="32">
        <f>-492*6</f>
        <v>-2952</v>
      </c>
      <c r="R14" s="32"/>
      <c r="S14" s="32">
        <f t="shared" si="2"/>
        <v>321528</v>
      </c>
      <c r="T14" s="12"/>
      <c r="U14" s="12">
        <v>720</v>
      </c>
      <c r="V14" s="12"/>
      <c r="W14" s="12">
        <f t="shared" si="3"/>
        <v>322248</v>
      </c>
      <c r="Y14" s="10">
        <v>3</v>
      </c>
      <c r="Z14" s="30">
        <v>46055</v>
      </c>
      <c r="AA14" s="31">
        <f t="shared" ref="AA14:AA17" si="8">AA13+1</f>
        <v>8700</v>
      </c>
      <c r="AB14" s="33">
        <f>650*90+622*10+872*3+229*2</f>
        <v>67794</v>
      </c>
      <c r="AC14" s="33"/>
      <c r="AD14" s="32"/>
      <c r="AE14" s="32">
        <f t="shared" si="4"/>
        <v>67794</v>
      </c>
      <c r="AF14" s="12"/>
      <c r="AG14" s="12"/>
      <c r="AH14" s="12"/>
      <c r="AI14" s="12">
        <f t="shared" si="5"/>
        <v>67794</v>
      </c>
    </row>
    <row r="15" spans="1:35" x14ac:dyDescent="0.25">
      <c r="A15" s="10">
        <v>4</v>
      </c>
      <c r="B15" s="30">
        <v>46055</v>
      </c>
      <c r="C15" s="83">
        <f t="shared" si="6"/>
        <v>8854</v>
      </c>
      <c r="D15" s="32">
        <f>650*9+9.5*9</f>
        <v>5935.5</v>
      </c>
      <c r="E15" s="32"/>
      <c r="F15" s="32"/>
      <c r="G15" s="32">
        <f t="shared" si="0"/>
        <v>5935.5</v>
      </c>
      <c r="H15" s="12"/>
      <c r="I15" s="12"/>
      <c r="J15" s="12"/>
      <c r="K15" s="12">
        <f t="shared" si="1"/>
        <v>5935.5</v>
      </c>
      <c r="M15" s="10">
        <v>4</v>
      </c>
      <c r="N15" s="30">
        <v>46055</v>
      </c>
      <c r="O15" s="31">
        <f t="shared" si="7"/>
        <v>8813</v>
      </c>
      <c r="P15" s="32">
        <f>650*3+670+9.5*4</f>
        <v>2658</v>
      </c>
      <c r="Q15" s="32"/>
      <c r="R15" s="32"/>
      <c r="S15" s="32">
        <f t="shared" si="2"/>
        <v>2658</v>
      </c>
      <c r="T15" s="12"/>
      <c r="U15" s="12"/>
      <c r="V15" s="12"/>
      <c r="W15" s="12">
        <f t="shared" si="3"/>
        <v>2658</v>
      </c>
      <c r="Y15" s="10">
        <v>4</v>
      </c>
      <c r="Z15" s="30">
        <v>46055</v>
      </c>
      <c r="AA15" s="31">
        <v>8901</v>
      </c>
      <c r="AB15" s="32">
        <f>650*20+670*5+622*8+872*2+229</f>
        <v>23299</v>
      </c>
      <c r="AC15" s="32"/>
      <c r="AD15" s="32"/>
      <c r="AE15" s="32">
        <f t="shared" si="4"/>
        <v>23299</v>
      </c>
      <c r="AF15" s="12"/>
      <c r="AH15" s="12">
        <v>-333</v>
      </c>
      <c r="AI15" s="12">
        <f t="shared" si="5"/>
        <v>22966</v>
      </c>
    </row>
    <row r="16" spans="1:35" x14ac:dyDescent="0.25">
      <c r="A16" s="10">
        <v>5</v>
      </c>
      <c r="B16" s="30">
        <v>46055</v>
      </c>
      <c r="C16" s="83">
        <f t="shared" si="6"/>
        <v>8855</v>
      </c>
      <c r="D16" s="32">
        <f>670</f>
        <v>670</v>
      </c>
      <c r="E16" s="32"/>
      <c r="F16" s="32"/>
      <c r="G16" s="32">
        <f t="shared" si="0"/>
        <v>670</v>
      </c>
      <c r="H16" s="12"/>
      <c r="I16" s="12"/>
      <c r="J16" s="12"/>
      <c r="K16" s="12">
        <f t="shared" si="1"/>
        <v>670</v>
      </c>
      <c r="M16" s="10">
        <v>5</v>
      </c>
      <c r="N16" s="30">
        <v>46055</v>
      </c>
      <c r="O16" s="31">
        <f t="shared" si="7"/>
        <v>8814</v>
      </c>
      <c r="P16" s="32">
        <f>650*8+9.5*8</f>
        <v>5276</v>
      </c>
      <c r="Q16" s="32"/>
      <c r="R16" s="32"/>
      <c r="S16" s="32">
        <f t="shared" si="2"/>
        <v>5276</v>
      </c>
      <c r="T16" s="12"/>
      <c r="U16" s="12"/>
      <c r="V16" s="12"/>
      <c r="W16" s="12">
        <f t="shared" si="3"/>
        <v>5276</v>
      </c>
      <c r="Y16" s="10">
        <v>5</v>
      </c>
      <c r="Z16" s="30">
        <v>46055</v>
      </c>
      <c r="AA16" s="31">
        <f t="shared" si="8"/>
        <v>8902</v>
      </c>
      <c r="AB16" s="32">
        <f>650*80+622*20+229*2</f>
        <v>64898</v>
      </c>
      <c r="AC16" s="32"/>
      <c r="AD16" s="32"/>
      <c r="AE16" s="32">
        <f t="shared" ref="AE16:AE21" si="9">SUM(AB16:AC16)</f>
        <v>64898</v>
      </c>
      <c r="AF16" s="12"/>
      <c r="AG16" s="12">
        <f>2664+4.5*25</f>
        <v>2776.5</v>
      </c>
      <c r="AH16" s="12"/>
      <c r="AI16" s="12">
        <f t="shared" si="5"/>
        <v>67674.5</v>
      </c>
    </row>
    <row r="17" spans="1:35" x14ac:dyDescent="0.25">
      <c r="A17" s="10">
        <v>6</v>
      </c>
      <c r="B17" s="30">
        <v>46055</v>
      </c>
      <c r="C17" s="83">
        <f t="shared" si="6"/>
        <v>8856</v>
      </c>
      <c r="D17" s="32">
        <f>650*10+670*3+9.5*10</f>
        <v>8605</v>
      </c>
      <c r="E17" s="32"/>
      <c r="F17" s="32"/>
      <c r="G17" s="32">
        <f t="shared" si="0"/>
        <v>8605</v>
      </c>
      <c r="H17" s="12"/>
      <c r="I17" s="12"/>
      <c r="J17" s="12"/>
      <c r="K17" s="12">
        <f t="shared" si="1"/>
        <v>8605</v>
      </c>
      <c r="M17" s="10">
        <v>6</v>
      </c>
      <c r="N17" s="30">
        <v>46055</v>
      </c>
      <c r="O17" s="31">
        <f t="shared" si="7"/>
        <v>8815</v>
      </c>
      <c r="P17" s="32">
        <f>650*3</f>
        <v>1950</v>
      </c>
      <c r="Q17" s="32"/>
      <c r="R17" s="32"/>
      <c r="S17" s="32">
        <f t="shared" si="2"/>
        <v>1950</v>
      </c>
      <c r="T17" s="12"/>
      <c r="U17" s="12"/>
      <c r="V17" s="10"/>
      <c r="W17" s="12">
        <f t="shared" si="3"/>
        <v>1950</v>
      </c>
      <c r="Y17" s="10">
        <v>6</v>
      </c>
      <c r="Z17" s="30">
        <v>46055</v>
      </c>
      <c r="AA17" s="31">
        <f t="shared" si="8"/>
        <v>8903</v>
      </c>
      <c r="AB17" s="32">
        <f>650*2+622*2+9.5*4</f>
        <v>2582</v>
      </c>
      <c r="AC17" s="32"/>
      <c r="AD17" s="32"/>
      <c r="AE17" s="32">
        <f t="shared" si="9"/>
        <v>2582</v>
      </c>
      <c r="AF17" s="12"/>
      <c r="AG17" s="12"/>
      <c r="AH17" s="10"/>
      <c r="AI17" s="12">
        <f t="shared" si="5"/>
        <v>2582</v>
      </c>
    </row>
    <row r="18" spans="1:35" x14ac:dyDescent="0.25">
      <c r="A18" s="10">
        <v>7</v>
      </c>
      <c r="B18" s="30">
        <v>46055</v>
      </c>
      <c r="C18" s="83">
        <f t="shared" si="6"/>
        <v>8857</v>
      </c>
      <c r="D18" s="32">
        <f>3900+670+57</f>
        <v>4627</v>
      </c>
      <c r="E18" s="32"/>
      <c r="F18" s="32"/>
      <c r="G18" s="32">
        <f t="shared" si="0"/>
        <v>4627</v>
      </c>
      <c r="H18" s="12"/>
      <c r="I18" s="12"/>
      <c r="J18" s="12"/>
      <c r="K18" s="12">
        <f t="shared" si="1"/>
        <v>4627</v>
      </c>
      <c r="M18" s="10">
        <v>7</v>
      </c>
      <c r="N18" s="30"/>
      <c r="O18" s="11" t="s">
        <v>27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46055</v>
      </c>
      <c r="C19" s="83">
        <f t="shared" si="6"/>
        <v>8858</v>
      </c>
      <c r="D19" s="32">
        <f>650*2+9.5*2</f>
        <v>1319</v>
      </c>
      <c r="E19" s="32"/>
      <c r="F19" s="32"/>
      <c r="G19" s="32">
        <f t="shared" si="0"/>
        <v>1319</v>
      </c>
      <c r="H19" s="12"/>
      <c r="I19" s="12"/>
      <c r="J19" s="12"/>
      <c r="K19" s="12">
        <f t="shared" si="1"/>
        <v>1319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83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83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83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267279.5</v>
      </c>
      <c r="E55" s="38">
        <f t="shared" ref="E55:F55" si="18">SUM(E12:E52)</f>
        <v>-1944</v>
      </c>
      <c r="F55" s="38">
        <f t="shared" si="18"/>
        <v>0</v>
      </c>
      <c r="G55" s="38">
        <f>SUM(G12:G54)</f>
        <v>265335.5</v>
      </c>
      <c r="H55" s="4"/>
      <c r="I55" s="39">
        <f>SUM(I12:I54)</f>
        <v>25852.5</v>
      </c>
      <c r="J55" s="39">
        <f>SUM(J12:J54)</f>
        <v>-600</v>
      </c>
      <c r="K55" s="40">
        <f>SUM(K12:K54)</f>
        <v>290588</v>
      </c>
      <c r="N55" s="57"/>
      <c r="O55" s="57"/>
      <c r="P55" s="38">
        <f>SUM(P12:P54)</f>
        <v>344087</v>
      </c>
      <c r="Q55" s="38">
        <f>SUM(Q12:Q36)</f>
        <v>-2952</v>
      </c>
      <c r="R55" s="38">
        <f>SUM(R12:R36)</f>
        <v>0</v>
      </c>
      <c r="S55" s="38">
        <f>SUM(S12:S54)</f>
        <v>341135</v>
      </c>
      <c r="T55" s="4"/>
      <c r="U55" s="41">
        <f>SUM(U12:U54)</f>
        <v>720</v>
      </c>
      <c r="V55" s="41">
        <f>SUM(V12:V36)</f>
        <v>-2442</v>
      </c>
      <c r="W55" s="42">
        <f>SUM(W12:W54)</f>
        <v>339413</v>
      </c>
      <c r="Z55" s="57"/>
      <c r="AA55" s="57"/>
      <c r="AB55" s="38">
        <f>SUM(AB12:AB54)</f>
        <v>250758</v>
      </c>
      <c r="AC55" s="38">
        <f>SUM(AC12:AC36)</f>
        <v>0</v>
      </c>
      <c r="AD55" s="38">
        <f>SUM(AD12:AD36)</f>
        <v>0</v>
      </c>
      <c r="AE55" s="38">
        <f>SUM(AE12:AE54)</f>
        <v>250758</v>
      </c>
      <c r="AF55" s="4"/>
      <c r="AG55" s="41">
        <f>SUM(AG12:AG54)</f>
        <v>2812.5</v>
      </c>
      <c r="AH55" s="41">
        <f>SUM(AH12:AH36)</f>
        <v>-2997</v>
      </c>
      <c r="AI55" s="42">
        <f>SUM(AI12:AI54)</f>
        <v>250573.5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39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39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39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40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06" t="s">
        <v>17</v>
      </c>
      <c r="E65" s="106"/>
      <c r="F65" s="87"/>
      <c r="G65" s="27"/>
      <c r="I65" s="104" t="s">
        <v>18</v>
      </c>
      <c r="J65" s="105"/>
      <c r="K65" s="102" t="s">
        <v>19</v>
      </c>
      <c r="N65" s="25"/>
      <c r="O65" s="26"/>
      <c r="P65" s="106" t="s">
        <v>17</v>
      </c>
      <c r="Q65" s="106"/>
      <c r="R65" s="87"/>
      <c r="S65" s="27"/>
      <c r="U65" s="104" t="s">
        <v>18</v>
      </c>
      <c r="V65" s="105"/>
      <c r="W65" s="102" t="s">
        <v>19</v>
      </c>
      <c r="Z65" s="25"/>
      <c r="AA65" s="26"/>
      <c r="AB65" s="106" t="s">
        <v>17</v>
      </c>
      <c r="AC65" s="106"/>
      <c r="AD65" s="87"/>
      <c r="AE65" s="27"/>
      <c r="AG65" s="104" t="s">
        <v>18</v>
      </c>
      <c r="AH65" s="105"/>
      <c r="AI65" s="102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03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03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03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46083</v>
      </c>
      <c r="C67" s="83">
        <v>8859</v>
      </c>
      <c r="D67" s="32">
        <f>650*6</f>
        <v>3900</v>
      </c>
      <c r="E67" s="32">
        <v>-36</v>
      </c>
      <c r="F67" s="32"/>
      <c r="G67" s="32">
        <f t="shared" ref="G67:G100" si="19">SUM(D67:E67)</f>
        <v>3864</v>
      </c>
      <c r="H67" s="12"/>
      <c r="I67" s="12"/>
      <c r="J67" s="12"/>
      <c r="K67" s="12">
        <f t="shared" ref="K67:K100" si="20">SUM(G67:J67)</f>
        <v>3864</v>
      </c>
      <c r="M67" s="10">
        <v>1</v>
      </c>
      <c r="N67" s="30">
        <v>46083</v>
      </c>
      <c r="O67" s="31">
        <v>8816</v>
      </c>
      <c r="P67" s="32">
        <f>650*4+670+622</f>
        <v>3892</v>
      </c>
      <c r="Q67" s="32"/>
      <c r="R67" s="32"/>
      <c r="S67" s="32">
        <f>SUM(P67:Q67)</f>
        <v>3892</v>
      </c>
      <c r="T67" s="12"/>
      <c r="U67" s="12"/>
      <c r="V67" s="12"/>
      <c r="W67" s="12">
        <f>SUM(S67:V67)</f>
        <v>3892</v>
      </c>
      <c r="Y67" s="10">
        <v>1</v>
      </c>
      <c r="Z67" s="30">
        <v>46083</v>
      </c>
      <c r="AA67" s="31">
        <v>8904</v>
      </c>
      <c r="AB67" s="32">
        <f>650*304+622*20+1175+1175+872*3+229*9+500*2</f>
        <v>218067</v>
      </c>
      <c r="AC67" s="32">
        <f>-329*6</f>
        <v>-1974</v>
      </c>
      <c r="AD67" s="32"/>
      <c r="AE67" s="32">
        <f>SUM(AB67:AC67)</f>
        <v>216093</v>
      </c>
      <c r="AF67" s="12"/>
      <c r="AG67" s="12">
        <f>4.5*54+144*1.5</f>
        <v>459</v>
      </c>
      <c r="AH67" s="12"/>
      <c r="AI67" s="12">
        <f>SUM(AE67:AH67)</f>
        <v>216552</v>
      </c>
      <c r="AK67" s="62"/>
      <c r="AL67" s="65"/>
      <c r="AM67" s="86"/>
      <c r="AN67" s="101"/>
      <c r="AO67" s="101"/>
      <c r="AP67" s="86"/>
      <c r="AQ67" s="62"/>
      <c r="AR67" s="101"/>
      <c r="AS67" s="101"/>
      <c r="AT67" s="100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46083</v>
      </c>
      <c r="C68" s="83">
        <f>C67+1</f>
        <v>8860</v>
      </c>
      <c r="D68" s="32">
        <f>650*15+670+872</f>
        <v>11292</v>
      </c>
      <c r="E68" s="32"/>
      <c r="F68" s="32"/>
      <c r="G68" s="32">
        <f t="shared" si="19"/>
        <v>11292</v>
      </c>
      <c r="H68" s="12"/>
      <c r="I68" s="12"/>
      <c r="J68" s="12"/>
      <c r="K68" s="12">
        <f t="shared" si="20"/>
        <v>11292</v>
      </c>
      <c r="M68" s="10">
        <v>2</v>
      </c>
      <c r="N68" s="30">
        <v>46083</v>
      </c>
      <c r="O68" s="31">
        <f>O67+1</f>
        <v>8817</v>
      </c>
      <c r="P68" s="32">
        <f>650*17+622*3+9.5*20</f>
        <v>13106</v>
      </c>
      <c r="Q68" s="32"/>
      <c r="R68" s="32"/>
      <c r="S68" s="32">
        <f t="shared" ref="S68:S99" si="21">SUM(P68:Q68)</f>
        <v>13106</v>
      </c>
      <c r="T68" s="12"/>
      <c r="U68" s="12"/>
      <c r="V68" s="12"/>
      <c r="W68" s="12">
        <f t="shared" ref="W68:W99" si="22">SUM(S68:V68)</f>
        <v>13106</v>
      </c>
      <c r="Y68" s="10">
        <v>2</v>
      </c>
      <c r="Z68" s="30">
        <v>46083</v>
      </c>
      <c r="AA68" s="31">
        <f>AA67+1</f>
        <v>8905</v>
      </c>
      <c r="AB68" s="32">
        <f>650*55+622*5+229+650*2</f>
        <v>40389</v>
      </c>
      <c r="AC68" s="32"/>
      <c r="AD68" s="32"/>
      <c r="AE68" s="32">
        <f t="shared" ref="AE68:AE70" si="23">SUM(AB68:AC68)</f>
        <v>40389</v>
      </c>
      <c r="AF68" s="12"/>
      <c r="AG68" s="12"/>
      <c r="AH68" s="12"/>
      <c r="AI68" s="12">
        <f t="shared" ref="AI68:AI99" si="24">SUM(AE68:AH68)</f>
        <v>40389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0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46083</v>
      </c>
      <c r="C69" s="83">
        <f t="shared" ref="C69:C79" si="25">C68+1</f>
        <v>8861</v>
      </c>
      <c r="D69" s="33">
        <f>650*9+622+9.5*10</f>
        <v>6567</v>
      </c>
      <c r="E69" s="33"/>
      <c r="F69" s="33"/>
      <c r="G69" s="33">
        <f t="shared" si="19"/>
        <v>6567</v>
      </c>
      <c r="H69" s="34"/>
      <c r="I69" s="34"/>
      <c r="J69" s="34"/>
      <c r="K69" s="34">
        <f t="shared" si="20"/>
        <v>6567</v>
      </c>
      <c r="M69" s="10">
        <v>3</v>
      </c>
      <c r="N69" s="30">
        <v>46083</v>
      </c>
      <c r="O69" s="31">
        <f t="shared" ref="O69:O75" si="26">O68+1</f>
        <v>8818</v>
      </c>
      <c r="P69" s="32">
        <f>650*2</f>
        <v>1300</v>
      </c>
      <c r="Q69" s="32"/>
      <c r="R69" s="32"/>
      <c r="S69" s="32">
        <f t="shared" si="21"/>
        <v>1300</v>
      </c>
      <c r="T69" s="12"/>
      <c r="U69" s="12"/>
      <c r="V69" s="12"/>
      <c r="W69" s="12">
        <f t="shared" si="22"/>
        <v>1300</v>
      </c>
      <c r="Y69" s="10">
        <v>3</v>
      </c>
      <c r="Z69" s="30">
        <v>46083</v>
      </c>
      <c r="AA69" s="31">
        <f t="shared" ref="AA69:AA71" si="27">AA68+1</f>
        <v>8906</v>
      </c>
      <c r="AB69" s="33">
        <f>650*40+670*4+622*6</f>
        <v>32412</v>
      </c>
      <c r="AC69" s="33">
        <v>-300</v>
      </c>
      <c r="AD69" s="32"/>
      <c r="AE69" s="32">
        <f t="shared" si="23"/>
        <v>32112</v>
      </c>
      <c r="AF69" s="12"/>
      <c r="AG69" s="12"/>
      <c r="AH69" s="12"/>
      <c r="AI69" s="12">
        <f t="shared" si="24"/>
        <v>32112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46083</v>
      </c>
      <c r="C70" s="83">
        <f t="shared" si="25"/>
        <v>8862</v>
      </c>
      <c r="D70" s="32">
        <f>650*10+670+622*2+9.5*12</f>
        <v>8528</v>
      </c>
      <c r="E70" s="32"/>
      <c r="F70" s="32"/>
      <c r="G70" s="32">
        <f t="shared" si="19"/>
        <v>8528</v>
      </c>
      <c r="H70" s="12"/>
      <c r="I70" s="12"/>
      <c r="J70" s="12"/>
      <c r="K70" s="12">
        <f t="shared" si="20"/>
        <v>8528</v>
      </c>
      <c r="M70" s="10">
        <v>4</v>
      </c>
      <c r="N70" s="30">
        <v>46083</v>
      </c>
      <c r="O70" s="31">
        <f t="shared" si="26"/>
        <v>8819</v>
      </c>
      <c r="P70" s="32">
        <f>650*30+670+1102+9.5*30+650</f>
        <v>22207</v>
      </c>
      <c r="Q70" s="32"/>
      <c r="R70" s="32"/>
      <c r="S70" s="32">
        <f t="shared" si="21"/>
        <v>22207</v>
      </c>
      <c r="T70" s="12"/>
      <c r="U70" s="12"/>
      <c r="V70" s="12">
        <v>-333</v>
      </c>
      <c r="W70" s="12">
        <f t="shared" si="22"/>
        <v>21874</v>
      </c>
      <c r="Y70" s="10">
        <v>4</v>
      </c>
      <c r="Z70" s="30">
        <v>46083</v>
      </c>
      <c r="AA70" s="31">
        <f t="shared" si="27"/>
        <v>8907</v>
      </c>
      <c r="AB70" s="32">
        <f>650*10+622*2+9.5*12</f>
        <v>7858</v>
      </c>
      <c r="AC70" s="32"/>
      <c r="AD70" s="32"/>
      <c r="AE70" s="32">
        <f t="shared" si="23"/>
        <v>7858</v>
      </c>
      <c r="AF70" s="12"/>
      <c r="AH70" s="12"/>
      <c r="AI70" s="12">
        <f t="shared" si="24"/>
        <v>7858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46083</v>
      </c>
      <c r="C71" s="83">
        <f t="shared" si="25"/>
        <v>8863</v>
      </c>
      <c r="D71" s="32">
        <f>650*45+622*5+229</f>
        <v>32589</v>
      </c>
      <c r="E71" s="32"/>
      <c r="F71" s="32"/>
      <c r="G71" s="32">
        <f t="shared" si="19"/>
        <v>32589</v>
      </c>
      <c r="H71" s="12"/>
      <c r="I71" s="12"/>
      <c r="J71" s="12"/>
      <c r="K71" s="12">
        <f t="shared" si="20"/>
        <v>32589</v>
      </c>
      <c r="M71" s="10">
        <v>5</v>
      </c>
      <c r="N71" s="30">
        <v>46083</v>
      </c>
      <c r="O71" s="31">
        <f t="shared" si="26"/>
        <v>8820</v>
      </c>
      <c r="P71" s="32">
        <f>650*35+622*15</f>
        <v>32080</v>
      </c>
      <c r="Q71" s="32"/>
      <c r="R71" s="32"/>
      <c r="S71" s="32">
        <f t="shared" si="21"/>
        <v>32080</v>
      </c>
      <c r="T71" s="12"/>
      <c r="U71" s="12"/>
      <c r="V71" s="12">
        <f>4.5*3</f>
        <v>13.5</v>
      </c>
      <c r="W71" s="12">
        <f t="shared" si="22"/>
        <v>32093.5</v>
      </c>
      <c r="Y71" s="10">
        <v>5</v>
      </c>
      <c r="Z71" s="30">
        <v>46083</v>
      </c>
      <c r="AA71" s="31">
        <f t="shared" si="27"/>
        <v>8908</v>
      </c>
      <c r="AB71" s="32">
        <f>650*5+622*2+9.5*7</f>
        <v>4560.5</v>
      </c>
      <c r="AC71" s="32"/>
      <c r="AD71" s="32"/>
      <c r="AE71" s="32">
        <f t="shared" ref="AE71:AE76" si="28">SUM(AB71:AC71)</f>
        <v>4560.5</v>
      </c>
      <c r="AF71" s="12"/>
      <c r="AG71" s="12"/>
      <c r="AH71" s="12"/>
      <c r="AI71" s="12">
        <f t="shared" si="24"/>
        <v>4560.5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46083</v>
      </c>
      <c r="C72" s="83">
        <f t="shared" si="25"/>
        <v>8864</v>
      </c>
      <c r="D72" s="32">
        <f>650*30+622*5</f>
        <v>22610</v>
      </c>
      <c r="E72" s="32"/>
      <c r="F72" s="32"/>
      <c r="G72" s="32">
        <f t="shared" si="19"/>
        <v>22610</v>
      </c>
      <c r="H72" s="12"/>
      <c r="I72" s="12"/>
      <c r="J72" s="12"/>
      <c r="K72" s="12">
        <f t="shared" si="20"/>
        <v>22610</v>
      </c>
      <c r="M72" s="10">
        <v>6</v>
      </c>
      <c r="N72" s="30">
        <v>46083</v>
      </c>
      <c r="O72" s="31">
        <f t="shared" si="26"/>
        <v>8821</v>
      </c>
      <c r="P72" s="32">
        <f>650*126+670*6+622*8+229*2</f>
        <v>91354</v>
      </c>
      <c r="Q72" s="32">
        <v>-840</v>
      </c>
      <c r="R72" s="32"/>
      <c r="S72" s="32">
        <f t="shared" si="21"/>
        <v>90514</v>
      </c>
      <c r="T72" s="12"/>
      <c r="U72" s="12">
        <v>36</v>
      </c>
      <c r="V72" s="10">
        <v>-3885</v>
      </c>
      <c r="W72" s="12">
        <f t="shared" si="22"/>
        <v>86665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46083</v>
      </c>
      <c r="C73" s="83">
        <f t="shared" si="25"/>
        <v>8865</v>
      </c>
      <c r="D73" s="32">
        <f>650*18</f>
        <v>11700</v>
      </c>
      <c r="E73" s="32"/>
      <c r="F73" s="32"/>
      <c r="G73" s="32">
        <f t="shared" si="19"/>
        <v>11700</v>
      </c>
      <c r="H73" s="12"/>
      <c r="I73" s="12"/>
      <c r="J73" s="12"/>
      <c r="K73" s="12">
        <f t="shared" si="20"/>
        <v>11700</v>
      </c>
      <c r="M73" s="10">
        <v>7</v>
      </c>
      <c r="N73" s="30">
        <v>46083</v>
      </c>
      <c r="O73" s="31">
        <f t="shared" si="26"/>
        <v>8822</v>
      </c>
      <c r="P73" s="32">
        <f>650*10</f>
        <v>6500</v>
      </c>
      <c r="Q73" s="32"/>
      <c r="R73" s="32"/>
      <c r="S73" s="32">
        <f t="shared" si="21"/>
        <v>6500</v>
      </c>
      <c r="T73" s="12"/>
      <c r="U73" s="12"/>
      <c r="V73" s="12"/>
      <c r="W73" s="12">
        <f t="shared" si="22"/>
        <v>6500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46083</v>
      </c>
      <c r="C74" s="83">
        <f t="shared" si="25"/>
        <v>8866</v>
      </c>
      <c r="D74" s="32">
        <f>650*25+525+436+650*2</f>
        <v>18511</v>
      </c>
      <c r="E74" s="32"/>
      <c r="F74" s="32"/>
      <c r="G74" s="32">
        <f t="shared" si="19"/>
        <v>18511</v>
      </c>
      <c r="H74" s="12"/>
      <c r="I74" s="12"/>
      <c r="J74" s="12"/>
      <c r="K74" s="12">
        <f t="shared" si="20"/>
        <v>18511</v>
      </c>
      <c r="M74" s="10">
        <v>8</v>
      </c>
      <c r="N74" s="30">
        <v>46083</v>
      </c>
      <c r="O74" s="31">
        <f t="shared" si="26"/>
        <v>8823</v>
      </c>
      <c r="P74" s="32">
        <f>650*3+9.5*3</f>
        <v>1978.5</v>
      </c>
      <c r="Q74" s="32"/>
      <c r="R74" s="32"/>
      <c r="S74" s="32">
        <f t="shared" si="21"/>
        <v>1978.5</v>
      </c>
      <c r="T74" s="12"/>
      <c r="U74" s="12"/>
      <c r="V74" s="12"/>
      <c r="W74" s="12">
        <f t="shared" si="22"/>
        <v>1978.5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46083</v>
      </c>
      <c r="C75" s="83">
        <f t="shared" si="25"/>
        <v>8867</v>
      </c>
      <c r="D75" s="32">
        <f>650*100+670*5+700*5</f>
        <v>71850</v>
      </c>
      <c r="E75" s="32"/>
      <c r="F75" s="32"/>
      <c r="G75" s="32">
        <f t="shared" si="19"/>
        <v>71850</v>
      </c>
      <c r="H75" s="12"/>
      <c r="I75" s="12"/>
      <c r="J75" s="12"/>
      <c r="K75" s="12">
        <f t="shared" si="20"/>
        <v>71850</v>
      </c>
      <c r="M75" s="10">
        <v>9</v>
      </c>
      <c r="N75" s="30">
        <v>46083</v>
      </c>
      <c r="O75" s="31">
        <f t="shared" si="26"/>
        <v>8824</v>
      </c>
      <c r="P75" s="32">
        <f>650*15+622*3</f>
        <v>11616</v>
      </c>
      <c r="Q75" s="32"/>
      <c r="R75" s="32"/>
      <c r="S75" s="32">
        <f t="shared" si="21"/>
        <v>11616</v>
      </c>
      <c r="T75" s="12"/>
      <c r="U75" s="12"/>
      <c r="V75" s="12"/>
      <c r="W75" s="12">
        <f t="shared" si="22"/>
        <v>11616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46083</v>
      </c>
      <c r="C76" s="83">
        <f t="shared" si="25"/>
        <v>8868</v>
      </c>
      <c r="D76" s="32">
        <f>650*3+9.5*3</f>
        <v>1978.5</v>
      </c>
      <c r="E76" s="32"/>
      <c r="F76" s="32"/>
      <c r="G76" s="32">
        <f t="shared" si="19"/>
        <v>1978.5</v>
      </c>
      <c r="H76" s="12"/>
      <c r="I76" s="12"/>
      <c r="J76" s="12"/>
      <c r="K76" s="12">
        <f t="shared" si="20"/>
        <v>1978.5</v>
      </c>
      <c r="M76" s="10">
        <v>10</v>
      </c>
      <c r="N76" s="30"/>
      <c r="O76" s="11" t="s">
        <v>27</v>
      </c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46083</v>
      </c>
      <c r="C77" s="83">
        <f t="shared" si="25"/>
        <v>8869</v>
      </c>
      <c r="D77" s="32">
        <f>650*29+622*5</f>
        <v>21960</v>
      </c>
      <c r="E77" s="32"/>
      <c r="F77" s="32"/>
      <c r="G77" s="32">
        <f t="shared" si="19"/>
        <v>21960</v>
      </c>
      <c r="H77" s="12"/>
      <c r="I77" s="12"/>
      <c r="J77" s="12"/>
      <c r="K77" s="12">
        <f t="shared" si="20"/>
        <v>21960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46083</v>
      </c>
      <c r="C78" s="83">
        <f t="shared" si="25"/>
        <v>8870</v>
      </c>
      <c r="D78" s="32">
        <f>650*17+670+622*2</f>
        <v>12964</v>
      </c>
      <c r="E78" s="32"/>
      <c r="F78" s="32"/>
      <c r="G78" s="32">
        <f t="shared" si="19"/>
        <v>12964</v>
      </c>
      <c r="H78" s="12"/>
      <c r="I78" s="12">
        <v>1332</v>
      </c>
      <c r="J78" s="10"/>
      <c r="K78" s="12">
        <f t="shared" si="20"/>
        <v>14296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46083</v>
      </c>
      <c r="C79" s="83">
        <f t="shared" si="25"/>
        <v>8871</v>
      </c>
      <c r="D79" s="32">
        <f>650*2</f>
        <v>1300</v>
      </c>
      <c r="E79" s="32"/>
      <c r="F79" s="32"/>
      <c r="G79" s="32">
        <f t="shared" si="19"/>
        <v>1300</v>
      </c>
      <c r="H79" s="12"/>
      <c r="I79" s="12"/>
      <c r="J79" s="12"/>
      <c r="K79" s="12">
        <f t="shared" si="20"/>
        <v>1300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11" t="s">
        <v>27</v>
      </c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3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225749.5</v>
      </c>
      <c r="E110" s="38">
        <f t="shared" ref="E110:F110" si="38">SUM(E67:E107)</f>
        <v>-36</v>
      </c>
      <c r="F110" s="38">
        <f t="shared" si="38"/>
        <v>0</v>
      </c>
      <c r="G110" s="38">
        <f>SUM(G67:G109)</f>
        <v>225713.5</v>
      </c>
      <c r="H110" s="4"/>
      <c r="I110" s="39">
        <f>SUM(I67:I109)</f>
        <v>1332</v>
      </c>
      <c r="J110" s="39">
        <f>SUM(J67:J109)</f>
        <v>0</v>
      </c>
      <c r="K110" s="40">
        <f>SUM(K67:K109)</f>
        <v>227045.5</v>
      </c>
      <c r="N110" s="57"/>
      <c r="O110" s="57"/>
      <c r="P110" s="38">
        <f>SUM(P67:P109)</f>
        <v>184033.5</v>
      </c>
      <c r="Q110" s="38">
        <f>SUM(Q67:Q91)</f>
        <v>-840</v>
      </c>
      <c r="R110" s="38">
        <f>SUM(R67:R91)</f>
        <v>0</v>
      </c>
      <c r="S110" s="38">
        <f>SUM(S67:S109)</f>
        <v>183193.5</v>
      </c>
      <c r="T110" s="4"/>
      <c r="U110" s="41">
        <f>SUM(U67:U109)</f>
        <v>36</v>
      </c>
      <c r="V110" s="41">
        <f>SUM(V67:V91)</f>
        <v>-4204.5</v>
      </c>
      <c r="W110" s="42">
        <f>SUM(W67:W109)</f>
        <v>179025</v>
      </c>
      <c r="Z110" s="57"/>
      <c r="AA110" s="57"/>
      <c r="AB110" s="38">
        <f>SUM(AB67:AB109)</f>
        <v>303286.5</v>
      </c>
      <c r="AC110" s="38">
        <f>SUM(AC67:AC91)</f>
        <v>-2274</v>
      </c>
      <c r="AD110" s="38">
        <f>SUM(AD67:AD91)</f>
        <v>0</v>
      </c>
      <c r="AE110" s="38">
        <f>SUM(AE67:AE109)</f>
        <v>301012.5</v>
      </c>
      <c r="AF110" s="4"/>
      <c r="AG110" s="41">
        <f>SUM(AG67:AG109)</f>
        <v>459</v>
      </c>
      <c r="AH110" s="41">
        <f>SUM(AH67:AH91)</f>
        <v>0</v>
      </c>
      <c r="AI110" s="42">
        <f>SUM(AI67:AI109)</f>
        <v>301471.5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6" t="s">
        <v>17</v>
      </c>
      <c r="E120" s="106"/>
      <c r="F120" s="88"/>
      <c r="G120" s="27"/>
      <c r="I120" s="104" t="s">
        <v>18</v>
      </c>
      <c r="J120" s="105"/>
      <c r="K120" s="102" t="s">
        <v>19</v>
      </c>
      <c r="N120" s="25"/>
      <c r="O120" s="26"/>
      <c r="P120" s="106" t="s">
        <v>17</v>
      </c>
      <c r="Q120" s="106"/>
      <c r="R120" s="88"/>
      <c r="S120" s="27"/>
      <c r="U120" s="104" t="s">
        <v>18</v>
      </c>
      <c r="V120" s="105"/>
      <c r="W120" s="102" t="s">
        <v>19</v>
      </c>
      <c r="Z120" s="25"/>
      <c r="AA120" s="26"/>
      <c r="AB120" s="106" t="s">
        <v>17</v>
      </c>
      <c r="AC120" s="106"/>
      <c r="AD120" s="88"/>
      <c r="AE120" s="27"/>
      <c r="AG120" s="104" t="s">
        <v>18</v>
      </c>
      <c r="AH120" s="105"/>
      <c r="AI120" s="102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03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03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03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46114</v>
      </c>
      <c r="C122" s="83">
        <v>8872</v>
      </c>
      <c r="D122" s="32">
        <f>175*650+622*12+229*5</f>
        <v>122359</v>
      </c>
      <c r="E122" s="32"/>
      <c r="F122" s="32"/>
      <c r="G122" s="32">
        <f t="shared" ref="G122:G155" si="39">SUM(D122:E122)</f>
        <v>122359</v>
      </c>
      <c r="H122" s="12"/>
      <c r="I122" s="12"/>
      <c r="J122" s="12"/>
      <c r="K122" s="12">
        <f t="shared" ref="K122:K155" si="40">SUM(G122:J122)</f>
        <v>122359</v>
      </c>
      <c r="M122" s="10">
        <v>1</v>
      </c>
      <c r="N122" s="30">
        <v>46114</v>
      </c>
      <c r="O122" s="31">
        <v>8825</v>
      </c>
      <c r="P122" s="32">
        <f>650+622+9.5*2</f>
        <v>1291</v>
      </c>
      <c r="Q122" s="32"/>
      <c r="R122" s="32"/>
      <c r="S122" s="32">
        <f>SUM(P122:Q122)</f>
        <v>1291</v>
      </c>
      <c r="T122" s="12"/>
      <c r="U122" s="12"/>
      <c r="V122" s="12"/>
      <c r="W122" s="12">
        <f>SUM(S122:V122)</f>
        <v>1291</v>
      </c>
      <c r="Y122" s="10">
        <v>1</v>
      </c>
      <c r="Z122" s="30">
        <v>46114</v>
      </c>
      <c r="AA122" s="31">
        <v>8909</v>
      </c>
      <c r="AB122" s="32">
        <f>650*100+670*8+973*2+622*30+912*2+872*2+229*5+650*2</f>
        <v>96979</v>
      </c>
      <c r="AC122" s="32">
        <f>-144*6</f>
        <v>-864</v>
      </c>
      <c r="AD122" s="32"/>
      <c r="AE122" s="32">
        <f>SUM(AB122:AC122)</f>
        <v>96115</v>
      </c>
      <c r="AF122" s="12"/>
      <c r="AG122" s="12">
        <f>5*120+24*111+4.5*48+12*1.5</f>
        <v>3498</v>
      </c>
      <c r="AH122" s="12"/>
      <c r="AI122" s="12">
        <f>SUM(AE122:AH122)</f>
        <v>99613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46114</v>
      </c>
      <c r="C123" s="83">
        <f>C122+1</f>
        <v>8873</v>
      </c>
      <c r="D123" s="32">
        <f>650*60+670*2+622*10</f>
        <v>46560</v>
      </c>
      <c r="E123" s="32"/>
      <c r="F123" s="32"/>
      <c r="G123" s="32">
        <f t="shared" si="39"/>
        <v>46560</v>
      </c>
      <c r="H123" s="12"/>
      <c r="I123" s="12"/>
      <c r="J123" s="12">
        <v>-1998</v>
      </c>
      <c r="K123" s="12">
        <f t="shared" si="40"/>
        <v>44562</v>
      </c>
      <c r="M123" s="10">
        <v>2</v>
      </c>
      <c r="N123" s="30">
        <v>46114</v>
      </c>
      <c r="O123" s="31">
        <f>O122+1</f>
        <v>8826</v>
      </c>
      <c r="P123" s="32">
        <f>650*8+670*2+9.5*8</f>
        <v>6616</v>
      </c>
      <c r="Q123" s="32"/>
      <c r="R123" s="32"/>
      <c r="S123" s="32">
        <f t="shared" ref="S123:S154" si="41">SUM(P123:Q123)</f>
        <v>6616</v>
      </c>
      <c r="T123" s="12"/>
      <c r="U123" s="12"/>
      <c r="V123" s="12"/>
      <c r="W123" s="12">
        <f t="shared" ref="W123:W154" si="42">SUM(S123:V123)</f>
        <v>6616</v>
      </c>
      <c r="Y123" s="10">
        <v>2</v>
      </c>
      <c r="Z123" s="30">
        <v>46114</v>
      </c>
      <c r="AA123" s="31">
        <f>AA122+1</f>
        <v>8910</v>
      </c>
      <c r="AB123" s="32">
        <f>650*216+622*108+912+1050*2+872*2</f>
        <v>212332</v>
      </c>
      <c r="AC123" s="32">
        <f>-329*6</f>
        <v>-1974</v>
      </c>
      <c r="AD123" s="32"/>
      <c r="AE123" s="32">
        <f t="shared" ref="AE123:AE125" si="43">SUM(AB123:AC123)</f>
        <v>210358</v>
      </c>
      <c r="AF123" s="12"/>
      <c r="AG123" s="12">
        <v>72</v>
      </c>
      <c r="AH123" s="12">
        <f>-78*18</f>
        <v>-1404</v>
      </c>
      <c r="AI123" s="12">
        <f t="shared" ref="AI123:AI154" si="44">SUM(AE123:AH123)</f>
        <v>209026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/>
      <c r="C124" s="11" t="s">
        <v>27</v>
      </c>
      <c r="D124" s="33"/>
      <c r="E124" s="33"/>
      <c r="F124" s="33"/>
      <c r="G124" s="33">
        <f t="shared" si="39"/>
        <v>0</v>
      </c>
      <c r="H124" s="34"/>
      <c r="I124" s="34"/>
      <c r="J124" s="34"/>
      <c r="K124" s="34">
        <f t="shared" si="40"/>
        <v>0</v>
      </c>
      <c r="M124" s="10">
        <v>3</v>
      </c>
      <c r="N124" s="30">
        <v>46114</v>
      </c>
      <c r="O124" s="31">
        <f t="shared" ref="O124:O142" si="45">O123+1</f>
        <v>8827</v>
      </c>
      <c r="P124" s="32">
        <f>650*20+622*7+229</f>
        <v>17583</v>
      </c>
      <c r="Q124" s="32"/>
      <c r="R124" s="32"/>
      <c r="S124" s="32">
        <f t="shared" si="41"/>
        <v>17583</v>
      </c>
      <c r="T124" s="12"/>
      <c r="U124" s="12"/>
      <c r="V124" s="12"/>
      <c r="W124" s="12">
        <f t="shared" si="42"/>
        <v>17583</v>
      </c>
      <c r="Y124" s="10">
        <v>3</v>
      </c>
      <c r="Z124" s="30">
        <v>46114</v>
      </c>
      <c r="AA124" s="31">
        <f t="shared" ref="AA124:AA129" si="46">AA123+1</f>
        <v>8911</v>
      </c>
      <c r="AB124" s="33">
        <f>650*100+670*10+622*10+872+229*4</f>
        <v>79708</v>
      </c>
      <c r="AC124" s="33">
        <f>-121*6</f>
        <v>-726</v>
      </c>
      <c r="AD124" s="32"/>
      <c r="AE124" s="32">
        <f t="shared" si="43"/>
        <v>78982</v>
      </c>
      <c r="AF124" s="12"/>
      <c r="AG124" s="12">
        <v>72</v>
      </c>
      <c r="AH124" s="12"/>
      <c r="AI124" s="12">
        <f t="shared" si="44"/>
        <v>79054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83"/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10">
        <v>4</v>
      </c>
      <c r="N125" s="30">
        <v>46114</v>
      </c>
      <c r="O125" s="31">
        <f t="shared" si="45"/>
        <v>8828</v>
      </c>
      <c r="P125" s="32">
        <f>650*25+622*5+229</f>
        <v>19589</v>
      </c>
      <c r="Q125" s="32"/>
      <c r="R125" s="32"/>
      <c r="S125" s="32">
        <f t="shared" si="41"/>
        <v>19589</v>
      </c>
      <c r="T125" s="12"/>
      <c r="U125" s="12"/>
      <c r="V125" s="12"/>
      <c r="W125" s="12">
        <f t="shared" si="42"/>
        <v>19589</v>
      </c>
      <c r="Y125" s="10">
        <v>4</v>
      </c>
      <c r="Z125" s="30">
        <v>46114</v>
      </c>
      <c r="AA125" s="31">
        <f t="shared" si="46"/>
        <v>8912</v>
      </c>
      <c r="AB125" s="32">
        <f>650*4+229</f>
        <v>2829</v>
      </c>
      <c r="AC125" s="32"/>
      <c r="AD125" s="32"/>
      <c r="AE125" s="32">
        <f t="shared" si="43"/>
        <v>2829</v>
      </c>
      <c r="AF125" s="12"/>
      <c r="AH125" s="12"/>
      <c r="AI125" s="12">
        <f t="shared" si="44"/>
        <v>2829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10">
        <v>5</v>
      </c>
      <c r="N126" s="30">
        <v>46114</v>
      </c>
      <c r="O126" s="31">
        <f t="shared" si="45"/>
        <v>8829</v>
      </c>
      <c r="P126" s="32">
        <f>650*2+9.5*2</f>
        <v>1319</v>
      </c>
      <c r="Q126" s="32"/>
      <c r="R126" s="32"/>
      <c r="S126" s="32">
        <f t="shared" si="41"/>
        <v>1319</v>
      </c>
      <c r="T126" s="12"/>
      <c r="U126" s="12"/>
      <c r="V126" s="12"/>
      <c r="W126" s="12">
        <f t="shared" si="42"/>
        <v>1319</v>
      </c>
      <c r="Y126" s="10">
        <v>5</v>
      </c>
      <c r="Z126" s="30">
        <v>46114</v>
      </c>
      <c r="AA126" s="31">
        <f t="shared" si="46"/>
        <v>8913</v>
      </c>
      <c r="AB126" s="32">
        <f>650*28+670*2+700*3+229*2</f>
        <v>22098</v>
      </c>
      <c r="AC126" s="32"/>
      <c r="AD126" s="32"/>
      <c r="AE126" s="32">
        <f t="shared" ref="AE126:AE131" si="47">SUM(AB126:AC126)</f>
        <v>22098</v>
      </c>
      <c r="AF126" s="12"/>
      <c r="AG126" s="12"/>
      <c r="AH126" s="12">
        <v>-999</v>
      </c>
      <c r="AI126" s="12">
        <f t="shared" si="44"/>
        <v>21099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10">
        <v>6</v>
      </c>
      <c r="N127" s="30">
        <v>46114</v>
      </c>
      <c r="O127" s="31">
        <f t="shared" si="45"/>
        <v>8830</v>
      </c>
      <c r="P127" s="32">
        <f>650*5</f>
        <v>3250</v>
      </c>
      <c r="Q127" s="32"/>
      <c r="R127" s="32"/>
      <c r="S127" s="32">
        <f t="shared" si="41"/>
        <v>3250</v>
      </c>
      <c r="T127" s="12"/>
      <c r="U127" s="12"/>
      <c r="V127" s="10"/>
      <c r="W127" s="12">
        <f t="shared" si="42"/>
        <v>3250</v>
      </c>
      <c r="Y127" s="10">
        <v>6</v>
      </c>
      <c r="Z127" s="30">
        <v>46114</v>
      </c>
      <c r="AA127" s="31">
        <f t="shared" si="46"/>
        <v>8914</v>
      </c>
      <c r="AB127" s="32"/>
      <c r="AC127" s="32"/>
      <c r="AD127" s="32"/>
      <c r="AE127" s="32">
        <f t="shared" si="47"/>
        <v>0</v>
      </c>
      <c r="AF127" s="12"/>
      <c r="AG127" s="12"/>
      <c r="AH127" s="10"/>
      <c r="AI127" s="12">
        <f t="shared" si="44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10">
        <v>7</v>
      </c>
      <c r="N128" s="30">
        <v>46114</v>
      </c>
      <c r="O128" s="31">
        <f t="shared" si="45"/>
        <v>8831</v>
      </c>
      <c r="P128" s="32">
        <f>650*31+229</f>
        <v>20379</v>
      </c>
      <c r="Q128" s="32"/>
      <c r="R128" s="32"/>
      <c r="S128" s="32">
        <f t="shared" si="41"/>
        <v>20379</v>
      </c>
      <c r="T128" s="12"/>
      <c r="U128" s="12">
        <v>36</v>
      </c>
      <c r="V128" s="12"/>
      <c r="W128" s="12">
        <f t="shared" si="42"/>
        <v>20415</v>
      </c>
      <c r="Y128" s="10">
        <v>7</v>
      </c>
      <c r="Z128" s="30">
        <v>46114</v>
      </c>
      <c r="AA128" s="31">
        <f t="shared" si="46"/>
        <v>8915</v>
      </c>
      <c r="AB128" s="32">
        <f>650*5+700</f>
        <v>3950</v>
      </c>
      <c r="AC128" s="32"/>
      <c r="AD128" s="32"/>
      <c r="AE128" s="32">
        <f t="shared" si="47"/>
        <v>3950</v>
      </c>
      <c r="AF128" s="12"/>
      <c r="AG128" s="58"/>
      <c r="AH128" s="12"/>
      <c r="AI128" s="12">
        <f t="shared" si="44"/>
        <v>3950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10">
        <v>8</v>
      </c>
      <c r="N129" s="30">
        <v>46114</v>
      </c>
      <c r="O129" s="31">
        <f t="shared" si="45"/>
        <v>8832</v>
      </c>
      <c r="P129" s="32">
        <f>650*14+622+9.5*15</f>
        <v>9864.5</v>
      </c>
      <c r="Q129" s="32"/>
      <c r="R129" s="32"/>
      <c r="S129" s="32">
        <f t="shared" si="41"/>
        <v>9864.5</v>
      </c>
      <c r="T129" s="12"/>
      <c r="U129" s="12">
        <v>18</v>
      </c>
      <c r="V129" s="12"/>
      <c r="W129" s="12">
        <f t="shared" si="42"/>
        <v>9882.5</v>
      </c>
      <c r="Y129" s="10">
        <v>8</v>
      </c>
      <c r="Z129" s="30">
        <v>46114</v>
      </c>
      <c r="AA129" s="31">
        <f t="shared" si="46"/>
        <v>8916</v>
      </c>
      <c r="AB129" s="32">
        <f>650*8+622*3+650*5</f>
        <v>10316</v>
      </c>
      <c r="AC129" s="32"/>
      <c r="AE129" s="32">
        <f t="shared" si="47"/>
        <v>10316</v>
      </c>
      <c r="AF129" s="12"/>
      <c r="AG129" s="12"/>
      <c r="AH129" s="12"/>
      <c r="AI129" s="12">
        <f t="shared" si="44"/>
        <v>10316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10">
        <v>9</v>
      </c>
      <c r="N130" s="30">
        <v>46114</v>
      </c>
      <c r="O130" s="31">
        <f t="shared" si="45"/>
        <v>8833</v>
      </c>
      <c r="P130" s="32">
        <f>650*3+9.5*3</f>
        <v>1978.5</v>
      </c>
      <c r="Q130" s="32"/>
      <c r="R130" s="32"/>
      <c r="S130" s="32">
        <f t="shared" si="41"/>
        <v>1978.5</v>
      </c>
      <c r="T130" s="12"/>
      <c r="U130" s="12"/>
      <c r="V130" s="12"/>
      <c r="W130" s="12">
        <f t="shared" si="42"/>
        <v>1978.5</v>
      </c>
      <c r="Y130" s="10">
        <v>9</v>
      </c>
      <c r="Z130" s="30"/>
      <c r="AA130" s="11" t="s">
        <v>27</v>
      </c>
      <c r="AC130" s="32"/>
      <c r="AD130" s="32"/>
      <c r="AE130" s="32">
        <f t="shared" si="47"/>
        <v>0</v>
      </c>
      <c r="AF130" s="12"/>
      <c r="AH130" s="12"/>
      <c r="AI130" s="12">
        <f t="shared" si="44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10">
        <v>10</v>
      </c>
      <c r="N131" s="30">
        <v>46114</v>
      </c>
      <c r="O131" s="31">
        <f t="shared" si="45"/>
        <v>8834</v>
      </c>
      <c r="P131" s="32">
        <f>650*7+9.5*7</f>
        <v>4616.5</v>
      </c>
      <c r="Q131" s="32"/>
      <c r="R131" s="32"/>
      <c r="S131" s="32">
        <f t="shared" si="41"/>
        <v>4616.5</v>
      </c>
      <c r="T131" s="12"/>
      <c r="U131" s="12"/>
      <c r="V131" s="12"/>
      <c r="W131" s="12">
        <f t="shared" si="42"/>
        <v>4616.5</v>
      </c>
      <c r="Y131" s="10">
        <v>10</v>
      </c>
      <c r="Z131" s="30"/>
      <c r="AA131" s="3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4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10">
        <v>11</v>
      </c>
      <c r="N132" s="30">
        <v>46114</v>
      </c>
      <c r="O132" s="31">
        <f t="shared" si="45"/>
        <v>8835</v>
      </c>
      <c r="P132" s="32">
        <f>650*15+9.5*15</f>
        <v>9892.5</v>
      </c>
      <c r="Q132" s="32"/>
      <c r="R132" s="32"/>
      <c r="S132" s="32">
        <f t="shared" si="41"/>
        <v>9892.5</v>
      </c>
      <c r="T132" s="12"/>
      <c r="U132" s="12">
        <f>15*1.5</f>
        <v>22.5</v>
      </c>
      <c r="V132" s="12"/>
      <c r="W132" s="12">
        <f t="shared" si="42"/>
        <v>9915</v>
      </c>
      <c r="Y132" s="10">
        <v>11</v>
      </c>
      <c r="Z132" s="30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4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10">
        <v>12</v>
      </c>
      <c r="N133" s="30">
        <v>46114</v>
      </c>
      <c r="O133" s="31">
        <f t="shared" si="45"/>
        <v>8836</v>
      </c>
      <c r="P133" s="32">
        <f>650*8+9.5*8</f>
        <v>5276</v>
      </c>
      <c r="Q133" s="32"/>
      <c r="R133" s="32"/>
      <c r="S133" s="32">
        <f t="shared" si="41"/>
        <v>5276</v>
      </c>
      <c r="T133" s="12"/>
      <c r="U133" s="12">
        <v>4.5</v>
      </c>
      <c r="V133" s="12"/>
      <c r="W133" s="12">
        <f t="shared" si="42"/>
        <v>5280.5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4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10">
        <v>13</v>
      </c>
      <c r="N134" s="30">
        <v>46114</v>
      </c>
      <c r="O134" s="31">
        <f t="shared" si="45"/>
        <v>8837</v>
      </c>
      <c r="P134" s="32">
        <f>650*6+9.5*6</f>
        <v>3957</v>
      </c>
      <c r="Q134" s="32"/>
      <c r="R134" s="32"/>
      <c r="S134" s="32">
        <f t="shared" si="41"/>
        <v>3957</v>
      </c>
      <c r="T134" s="12"/>
      <c r="U134" s="12"/>
      <c r="V134" s="12"/>
      <c r="W134" s="12">
        <f t="shared" si="42"/>
        <v>3957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4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10">
        <v>14</v>
      </c>
      <c r="N135" s="30">
        <v>46114</v>
      </c>
      <c r="O135" s="31">
        <f t="shared" si="45"/>
        <v>8838</v>
      </c>
      <c r="P135" s="32">
        <f>650*5+670+700</f>
        <v>4620</v>
      </c>
      <c r="Q135" s="32"/>
      <c r="R135" s="32"/>
      <c r="S135" s="32">
        <f t="shared" si="41"/>
        <v>4620</v>
      </c>
      <c r="T135" s="12"/>
      <c r="U135" s="12"/>
      <c r="V135" s="12"/>
      <c r="W135" s="12">
        <f t="shared" si="42"/>
        <v>4620</v>
      </c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4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10">
        <v>15</v>
      </c>
      <c r="N136" s="30">
        <v>46114</v>
      </c>
      <c r="O136" s="31">
        <f t="shared" si="45"/>
        <v>8839</v>
      </c>
      <c r="P136" s="32">
        <f>650*4+670+622*2+9.5*6</f>
        <v>4571</v>
      </c>
      <c r="Q136" s="32"/>
      <c r="R136" s="32"/>
      <c r="S136" s="32">
        <f t="shared" si="41"/>
        <v>4571</v>
      </c>
      <c r="T136" s="12"/>
      <c r="U136" s="12"/>
      <c r="V136" s="12"/>
      <c r="W136" s="12">
        <f t="shared" si="42"/>
        <v>4571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4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10">
        <v>16</v>
      </c>
      <c r="N137" s="30">
        <v>46114</v>
      </c>
      <c r="O137" s="31">
        <f t="shared" si="45"/>
        <v>8840</v>
      </c>
      <c r="P137" s="32">
        <f>650*11+229</f>
        <v>7379</v>
      </c>
      <c r="Q137" s="32"/>
      <c r="R137" s="32"/>
      <c r="S137" s="32">
        <f t="shared" si="41"/>
        <v>7379</v>
      </c>
      <c r="T137" s="12"/>
      <c r="U137" s="12"/>
      <c r="V137" s="12"/>
      <c r="W137" s="12">
        <f t="shared" si="42"/>
        <v>7379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4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10">
        <v>17</v>
      </c>
      <c r="N138" s="30">
        <v>46114</v>
      </c>
      <c r="O138" s="31">
        <f t="shared" si="45"/>
        <v>8841</v>
      </c>
      <c r="P138" s="35">
        <f>650*8+700*2</f>
        <v>6600</v>
      </c>
      <c r="Q138" s="32"/>
      <c r="R138" s="32"/>
      <c r="S138" s="32">
        <f t="shared" si="41"/>
        <v>6600</v>
      </c>
      <c r="T138" s="12"/>
      <c r="U138" s="12"/>
      <c r="V138" s="12"/>
      <c r="W138" s="12">
        <f t="shared" si="42"/>
        <v>6600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4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10">
        <v>18</v>
      </c>
      <c r="N139" s="30">
        <v>46114</v>
      </c>
      <c r="O139" s="31">
        <f t="shared" si="45"/>
        <v>8842</v>
      </c>
      <c r="P139" s="32">
        <f>650*12+622+9.5*13</f>
        <v>8545.5</v>
      </c>
      <c r="Q139" s="32"/>
      <c r="R139" s="32"/>
      <c r="S139" s="32">
        <f t="shared" si="41"/>
        <v>8545.5</v>
      </c>
      <c r="T139" s="12"/>
      <c r="U139" s="12"/>
      <c r="V139" s="12"/>
      <c r="W139" s="12">
        <f t="shared" si="42"/>
        <v>8545.5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4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10">
        <v>19</v>
      </c>
      <c r="N140" s="30">
        <v>46114</v>
      </c>
      <c r="O140" s="31">
        <f t="shared" si="45"/>
        <v>8843</v>
      </c>
      <c r="P140" s="32">
        <f>650*6+9.5*6</f>
        <v>3957</v>
      </c>
      <c r="Q140" s="32"/>
      <c r="R140" s="32"/>
      <c r="S140" s="32">
        <f t="shared" si="41"/>
        <v>3957</v>
      </c>
      <c r="T140" s="12"/>
      <c r="U140" s="12"/>
      <c r="V140" s="12"/>
      <c r="W140" s="12">
        <f t="shared" si="42"/>
        <v>3957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4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10">
        <v>20</v>
      </c>
      <c r="N141" s="30">
        <v>46114</v>
      </c>
      <c r="O141" s="31">
        <f t="shared" si="45"/>
        <v>8844</v>
      </c>
      <c r="P141" s="32">
        <f>650*7+622+9.5*8</f>
        <v>5248</v>
      </c>
      <c r="Q141" s="32"/>
      <c r="R141" s="32"/>
      <c r="S141" s="32">
        <f t="shared" si="41"/>
        <v>5248</v>
      </c>
      <c r="T141" s="12"/>
      <c r="U141" s="12">
        <f>1.5*8</f>
        <v>12</v>
      </c>
      <c r="V141" s="12"/>
      <c r="W141" s="12">
        <f t="shared" si="42"/>
        <v>5260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4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10">
        <v>21</v>
      </c>
      <c r="N142" s="30">
        <v>46114</v>
      </c>
      <c r="O142" s="31">
        <f t="shared" si="45"/>
        <v>8845</v>
      </c>
      <c r="P142" s="46">
        <f>650*6+9.5*6</f>
        <v>3957</v>
      </c>
      <c r="Q142" s="31"/>
      <c r="R142" s="31"/>
      <c r="S142" s="32">
        <f t="shared" si="41"/>
        <v>3957</v>
      </c>
      <c r="T142" s="10"/>
      <c r="U142" s="10"/>
      <c r="V142" s="10"/>
      <c r="W142" s="12">
        <f t="shared" si="42"/>
        <v>3957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4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10">
        <v>22</v>
      </c>
      <c r="N143" s="30"/>
      <c r="O143" s="11" t="s">
        <v>27</v>
      </c>
      <c r="P143" s="45"/>
      <c r="Q143" s="31"/>
      <c r="R143" s="31"/>
      <c r="S143" s="32">
        <f t="shared" si="41"/>
        <v>0</v>
      </c>
      <c r="T143" s="10"/>
      <c r="U143" s="10"/>
      <c r="V143" s="10"/>
      <c r="W143" s="12">
        <f t="shared" si="42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4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10">
        <v>23</v>
      </c>
      <c r="N144" s="30"/>
      <c r="O144" s="31"/>
      <c r="P144" s="47"/>
      <c r="S144" s="32">
        <f t="shared" si="41"/>
        <v>0</v>
      </c>
      <c r="T144" s="10"/>
      <c r="U144" s="10"/>
      <c r="V144" s="10"/>
      <c r="W144" s="12">
        <f t="shared" si="42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4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10">
        <v>24</v>
      </c>
      <c r="N145" s="30"/>
      <c r="O145" s="31"/>
      <c r="P145" s="47"/>
      <c r="Q145" s="31"/>
      <c r="R145" s="31"/>
      <c r="S145" s="32">
        <f t="shared" si="41"/>
        <v>0</v>
      </c>
      <c r="T145" s="10"/>
      <c r="U145" s="10"/>
      <c r="V145" s="10"/>
      <c r="W145" s="12">
        <f t="shared" si="42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4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10">
        <v>25</v>
      </c>
      <c r="N146" s="30"/>
      <c r="O146" s="31"/>
      <c r="P146" s="47"/>
      <c r="Q146" s="31"/>
      <c r="R146" s="31"/>
      <c r="S146" s="32">
        <f t="shared" si="41"/>
        <v>0</v>
      </c>
      <c r="T146" s="10"/>
      <c r="U146" s="10"/>
      <c r="V146" s="10"/>
      <c r="W146" s="12">
        <f t="shared" si="42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4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10">
        <v>26</v>
      </c>
      <c r="N147" s="30"/>
      <c r="O147" s="31"/>
      <c r="P147" s="47"/>
      <c r="Q147" s="31"/>
      <c r="R147" s="31"/>
      <c r="S147" s="32">
        <f t="shared" si="41"/>
        <v>0</v>
      </c>
      <c r="T147" s="10"/>
      <c r="U147" s="10"/>
      <c r="V147" s="10"/>
      <c r="W147" s="12">
        <f t="shared" si="42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4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10">
        <v>27</v>
      </c>
      <c r="N148" s="30"/>
      <c r="O148" s="31"/>
      <c r="P148" s="47"/>
      <c r="Q148" s="31"/>
      <c r="R148" s="31"/>
      <c r="S148" s="32">
        <f t="shared" si="41"/>
        <v>0</v>
      </c>
      <c r="T148" s="10"/>
      <c r="U148" s="10"/>
      <c r="V148" s="10"/>
      <c r="W148" s="12">
        <f t="shared" si="42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4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10">
        <v>28</v>
      </c>
      <c r="N149" s="30"/>
      <c r="O149" s="31"/>
      <c r="P149" s="47"/>
      <c r="Q149" s="31"/>
      <c r="R149" s="31"/>
      <c r="S149" s="32">
        <f t="shared" si="41"/>
        <v>0</v>
      </c>
      <c r="T149" s="10"/>
      <c r="U149" s="10"/>
      <c r="V149" s="10"/>
      <c r="W149" s="12">
        <f t="shared" si="42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4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57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10">
        <v>29</v>
      </c>
      <c r="N150" s="30"/>
      <c r="O150" s="31"/>
      <c r="P150" s="47"/>
      <c r="Q150" s="31"/>
      <c r="R150" s="31"/>
      <c r="S150" s="32">
        <f t="shared" si="41"/>
        <v>0</v>
      </c>
      <c r="T150" s="10"/>
      <c r="U150" s="10"/>
      <c r="V150" s="10"/>
      <c r="W150" s="12">
        <f t="shared" si="42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4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10">
        <v>30</v>
      </c>
      <c r="N151" s="30"/>
      <c r="P151" s="47"/>
      <c r="Q151" s="31"/>
      <c r="R151" s="31"/>
      <c r="S151" s="32">
        <f t="shared" si="41"/>
        <v>0</v>
      </c>
      <c r="T151" s="10"/>
      <c r="U151" s="10"/>
      <c r="V151" s="10"/>
      <c r="W151" s="12">
        <f t="shared" si="42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4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10">
        <v>31</v>
      </c>
      <c r="N152" s="30"/>
      <c r="O152" s="31"/>
      <c r="P152" s="47"/>
      <c r="Q152" s="31"/>
      <c r="R152" s="31"/>
      <c r="S152" s="32">
        <f t="shared" si="41"/>
        <v>0</v>
      </c>
      <c r="T152" s="10"/>
      <c r="U152" s="10"/>
      <c r="V152" s="10"/>
      <c r="W152" s="12">
        <f t="shared" si="42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4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10">
        <v>32</v>
      </c>
      <c r="N153" s="30"/>
      <c r="O153" s="31"/>
      <c r="P153" s="47"/>
      <c r="Q153" s="31"/>
      <c r="R153" s="31"/>
      <c r="S153" s="32">
        <f t="shared" si="41"/>
        <v>0</v>
      </c>
      <c r="T153" s="10"/>
      <c r="U153" s="10"/>
      <c r="V153" s="10"/>
      <c r="W153" s="12">
        <f t="shared" si="42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4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10">
        <v>33</v>
      </c>
      <c r="N154" s="30"/>
      <c r="O154" s="31"/>
      <c r="P154" s="47"/>
      <c r="Q154" s="31"/>
      <c r="R154" s="31"/>
      <c r="S154" s="32">
        <f t="shared" si="41"/>
        <v>0</v>
      </c>
      <c r="T154" s="10"/>
      <c r="U154" s="10"/>
      <c r="V154" s="10"/>
      <c r="W154" s="12">
        <f t="shared" si="42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4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ref="W155:W163" si="50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1">SUM(AB155:AC155)</f>
        <v>0</v>
      </c>
      <c r="AF155" s="10"/>
      <c r="AG155" s="10"/>
      <c r="AH155" s="10"/>
      <c r="AI155" s="12">
        <f t="shared" ref="AI155:AI163" si="52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1"/>
        <v>0</v>
      </c>
      <c r="AF156" s="10"/>
      <c r="AG156" s="10"/>
      <c r="AH156" s="10"/>
      <c r="AI156" s="12">
        <f t="shared" si="52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1"/>
        <v>0</v>
      </c>
      <c r="AF157" s="10"/>
      <c r="AG157" s="10"/>
      <c r="AH157" s="10"/>
      <c r="AI157" s="12">
        <f t="shared" si="52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1"/>
        <v>0</v>
      </c>
      <c r="AF158" s="10"/>
      <c r="AG158" s="10"/>
      <c r="AH158" s="10"/>
      <c r="AI158" s="12">
        <f t="shared" si="52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1"/>
        <v>0</v>
      </c>
      <c r="AF159" s="10"/>
      <c r="AG159" s="10"/>
      <c r="AH159" s="10"/>
      <c r="AI159" s="12">
        <f t="shared" si="52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1"/>
        <v>0</v>
      </c>
      <c r="AF160" s="10"/>
      <c r="AG160" s="10"/>
      <c r="AH160" s="10"/>
      <c r="AI160" s="12">
        <f t="shared" si="52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2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3">SUM(D162:E162)</f>
        <v>0</v>
      </c>
      <c r="H162" s="10"/>
      <c r="I162" s="10"/>
      <c r="J162" s="10"/>
      <c r="K162" s="12">
        <f t="shared" ref="K162" si="54">SUM(G162:J162)</f>
        <v>0</v>
      </c>
      <c r="M162" s="10"/>
      <c r="N162" s="30"/>
      <c r="O162" s="31"/>
      <c r="P162" s="47"/>
      <c r="Q162" s="31"/>
      <c r="R162" s="31"/>
      <c r="S162" s="32">
        <f t="shared" ref="S162" si="55">SUM(P162:Q162)</f>
        <v>0</v>
      </c>
      <c r="T162" s="10"/>
      <c r="U162" s="10"/>
      <c r="V162" s="10"/>
      <c r="W162" s="12">
        <f t="shared" si="50"/>
        <v>0</v>
      </c>
      <c r="Y162" s="10"/>
      <c r="Z162" s="30"/>
      <c r="AA162" s="31"/>
      <c r="AB162" s="47"/>
      <c r="AC162" s="31"/>
      <c r="AD162" s="31"/>
      <c r="AE162" s="32">
        <f t="shared" ref="AE162" si="56">SUM(AB162:AC162)</f>
        <v>0</v>
      </c>
      <c r="AF162" s="10"/>
      <c r="AG162" s="10"/>
      <c r="AH162" s="10"/>
      <c r="AI162" s="12">
        <f t="shared" si="52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2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168919</v>
      </c>
      <c r="E165" s="38">
        <f t="shared" ref="E165:F165" si="57">SUM(E122:E162)</f>
        <v>0</v>
      </c>
      <c r="F165" s="38">
        <f t="shared" si="57"/>
        <v>0</v>
      </c>
      <c r="G165" s="38">
        <f>SUM(G122:G164)</f>
        <v>168919</v>
      </c>
      <c r="H165" s="4"/>
      <c r="I165" s="39">
        <f>SUM(I122:I164)</f>
        <v>0</v>
      </c>
      <c r="J165" s="39">
        <f>SUM(J122:J164)</f>
        <v>-1998</v>
      </c>
      <c r="K165" s="40">
        <f>SUM(K122:K164)</f>
        <v>166921</v>
      </c>
      <c r="N165" s="57"/>
      <c r="O165" s="57"/>
      <c r="P165" s="38">
        <f>SUM(P122:P164)</f>
        <v>150489.5</v>
      </c>
      <c r="Q165" s="38">
        <f>SUM(Q122:Q146)</f>
        <v>0</v>
      </c>
      <c r="R165" s="38">
        <f>SUM(R122:R146)</f>
        <v>0</v>
      </c>
      <c r="S165" s="38">
        <f>SUM(S122:S164)</f>
        <v>150489.5</v>
      </c>
      <c r="T165" s="4"/>
      <c r="U165" s="41">
        <f>SUM(U122:U164)</f>
        <v>93</v>
      </c>
      <c r="V165" s="41">
        <f>SUM(V122:V146)</f>
        <v>0</v>
      </c>
      <c r="W165" s="42">
        <f>SUM(W122:W164)</f>
        <v>150582.5</v>
      </c>
      <c r="Z165" s="57"/>
      <c r="AA165" s="57"/>
      <c r="AB165" s="38">
        <f>SUM(AB122:AB164)</f>
        <v>428212</v>
      </c>
      <c r="AC165" s="38">
        <f>SUM(AC122:AC146)</f>
        <v>-3564</v>
      </c>
      <c r="AD165" s="38">
        <f>SUM(AD122:AD146)</f>
        <v>0</v>
      </c>
      <c r="AE165" s="38">
        <f>SUM(AE122:AE164)</f>
        <v>424648</v>
      </c>
      <c r="AF165" s="4"/>
      <c r="AG165" s="41">
        <f>SUM(AG122:AG164)</f>
        <v>3642</v>
      </c>
      <c r="AH165" s="41">
        <f>SUM(AH122:AH146)</f>
        <v>-2403</v>
      </c>
      <c r="AI165" s="42">
        <f>SUM(AI122:AI164)</f>
        <v>425887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35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6" t="s">
        <v>17</v>
      </c>
      <c r="E175" s="106"/>
      <c r="F175" s="89"/>
      <c r="G175" s="27"/>
      <c r="I175" s="104" t="s">
        <v>18</v>
      </c>
      <c r="J175" s="105"/>
      <c r="K175" s="102" t="s">
        <v>19</v>
      </c>
      <c r="N175" s="25"/>
      <c r="O175" s="26"/>
      <c r="P175" s="106" t="s">
        <v>17</v>
      </c>
      <c r="Q175" s="106"/>
      <c r="R175" s="89"/>
      <c r="S175" s="27"/>
      <c r="U175" s="104" t="s">
        <v>18</v>
      </c>
      <c r="V175" s="105"/>
      <c r="W175" s="102" t="s">
        <v>19</v>
      </c>
      <c r="Z175" s="25"/>
      <c r="AA175" s="26"/>
      <c r="AB175" s="106" t="s">
        <v>17</v>
      </c>
      <c r="AC175" s="106"/>
      <c r="AD175" s="89"/>
      <c r="AE175" s="27"/>
      <c r="AG175" s="104" t="s">
        <v>18</v>
      </c>
      <c r="AH175" s="105"/>
      <c r="AI175" s="102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03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03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03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46144</v>
      </c>
      <c r="C177" s="83">
        <v>8874</v>
      </c>
      <c r="D177" s="32">
        <f>650*7+622</f>
        <v>5172</v>
      </c>
      <c r="E177" s="32"/>
      <c r="F177" s="32"/>
      <c r="G177" s="32">
        <f t="shared" ref="G177:G210" si="58">SUM(D177:E177)</f>
        <v>5172</v>
      </c>
      <c r="H177" s="12"/>
      <c r="I177" s="12"/>
      <c r="J177" s="12"/>
      <c r="K177" s="12">
        <f t="shared" ref="K177:K210" si="59">SUM(G177:J177)</f>
        <v>5172</v>
      </c>
      <c r="M177" s="10">
        <v>1</v>
      </c>
      <c r="N177" s="30">
        <v>46144</v>
      </c>
      <c r="O177" s="31">
        <v>8846</v>
      </c>
      <c r="P177" s="32">
        <f>650*8+622*2+9.5*10</f>
        <v>6539</v>
      </c>
      <c r="Q177" s="32">
        <v>-777</v>
      </c>
      <c r="R177" s="32"/>
      <c r="S177" s="32">
        <f>SUM(P177:Q177)</f>
        <v>5762</v>
      </c>
      <c r="T177" s="12"/>
      <c r="U177" s="12"/>
      <c r="V177" s="12"/>
      <c r="W177" s="12">
        <f>SUM(S177:V177)</f>
        <v>5762</v>
      </c>
      <c r="Y177" s="10">
        <v>1</v>
      </c>
      <c r="Z177" s="30">
        <v>46144</v>
      </c>
      <c r="AA177" s="31">
        <v>8914</v>
      </c>
      <c r="AB177" s="32">
        <f>650*100+1102+1050*2+229*4</f>
        <v>69118</v>
      </c>
      <c r="AC177" s="32">
        <v>-618</v>
      </c>
      <c r="AD177" s="32"/>
      <c r="AE177" s="32">
        <f>SUM(AB177:AC177)</f>
        <v>68500</v>
      </c>
      <c r="AF177" s="12"/>
      <c r="AG177" s="12"/>
      <c r="AH177" s="12">
        <f>-120+-111*50+-78*3</f>
        <v>-5904</v>
      </c>
      <c r="AI177" s="12">
        <f>SUM(AE177:AH177)</f>
        <v>62596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46144</v>
      </c>
      <c r="C178" s="83">
        <f>C177+1</f>
        <v>8875</v>
      </c>
      <c r="D178" s="32">
        <f>650*108+622*20+1102+872+650*4</f>
        <v>87214</v>
      </c>
      <c r="E178" s="32"/>
      <c r="F178" s="32"/>
      <c r="G178" s="32">
        <f t="shared" si="58"/>
        <v>87214</v>
      </c>
      <c r="H178" s="12"/>
      <c r="I178" s="12"/>
      <c r="J178" s="12">
        <f>-120*3+-111*6+-78*3+-84*3</f>
        <v>-1512</v>
      </c>
      <c r="K178" s="12">
        <f t="shared" si="59"/>
        <v>85702</v>
      </c>
      <c r="M178" s="10">
        <v>2</v>
      </c>
      <c r="N178" s="30">
        <v>46144</v>
      </c>
      <c r="O178" s="31">
        <f>O177+1</f>
        <v>8847</v>
      </c>
      <c r="P178" s="32">
        <f>650*4+9.5*4</f>
        <v>2638</v>
      </c>
      <c r="Q178" s="32"/>
      <c r="R178" s="32"/>
      <c r="S178" s="32">
        <f t="shared" ref="S178:S209" si="60">SUM(P178:Q178)</f>
        <v>2638</v>
      </c>
      <c r="T178" s="12"/>
      <c r="U178" s="12"/>
      <c r="V178" s="12">
        <v>-222</v>
      </c>
      <c r="W178" s="12">
        <f t="shared" ref="W178:W209" si="61">SUM(S178:V178)</f>
        <v>2416</v>
      </c>
      <c r="Y178" s="10">
        <v>2</v>
      </c>
      <c r="Z178" s="30">
        <v>46144</v>
      </c>
      <c r="AA178" s="31">
        <f>AA177+1</f>
        <v>8915</v>
      </c>
      <c r="AB178" s="32"/>
      <c r="AD178" s="32"/>
      <c r="AE178" s="32">
        <f t="shared" ref="AE178:AE179" si="62">SUM(AB178:AC178)</f>
        <v>0</v>
      </c>
      <c r="AF178" s="12"/>
      <c r="AG178" s="12"/>
      <c r="AI178" s="12">
        <f t="shared" ref="AI178:AI209" si="63">SUM(AE178:AH178)</f>
        <v>0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46144</v>
      </c>
      <c r="C179" s="83">
        <f t="shared" ref="C179:C187" si="64">C178+1</f>
        <v>8876</v>
      </c>
      <c r="D179" s="33">
        <f>622*10</f>
        <v>6220</v>
      </c>
      <c r="E179" s="33"/>
      <c r="F179" s="33"/>
      <c r="G179" s="33">
        <f t="shared" si="58"/>
        <v>6220</v>
      </c>
      <c r="H179" s="34"/>
      <c r="I179" s="34">
        <v>162</v>
      </c>
      <c r="J179" s="34"/>
      <c r="K179" s="34">
        <f t="shared" si="59"/>
        <v>6382</v>
      </c>
      <c r="M179" s="10">
        <v>3</v>
      </c>
      <c r="N179" s="30">
        <v>46144</v>
      </c>
      <c r="O179" s="31">
        <f t="shared" ref="O179:O185" si="65">O178+1</f>
        <v>8848</v>
      </c>
      <c r="P179" s="32">
        <f>650*2+9.5*2</f>
        <v>1319</v>
      </c>
      <c r="Q179" s="32"/>
      <c r="R179" s="32"/>
      <c r="S179" s="32">
        <f t="shared" si="60"/>
        <v>1319</v>
      </c>
      <c r="T179" s="12"/>
      <c r="U179" s="12"/>
      <c r="V179" s="12"/>
      <c r="W179" s="12">
        <f t="shared" si="61"/>
        <v>1319</v>
      </c>
      <c r="Y179" s="10">
        <v>3</v>
      </c>
      <c r="Z179" s="30">
        <v>46144</v>
      </c>
      <c r="AA179" s="31">
        <f t="shared" ref="AA179:AA181" si="66">AA178+1</f>
        <v>8916</v>
      </c>
      <c r="AB179" s="32"/>
      <c r="AC179" s="33"/>
      <c r="AD179" s="32"/>
      <c r="AE179" s="32">
        <f t="shared" si="62"/>
        <v>0</v>
      </c>
      <c r="AF179" s="12"/>
      <c r="AG179" s="12"/>
      <c r="AH179" s="12"/>
      <c r="AI179" s="12">
        <f t="shared" si="63"/>
        <v>0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46144</v>
      </c>
      <c r="C180" s="83">
        <f t="shared" si="64"/>
        <v>8877</v>
      </c>
      <c r="D180" s="32">
        <f>650*25+622+872+229+500</f>
        <v>18473</v>
      </c>
      <c r="E180" s="32"/>
      <c r="F180" s="32"/>
      <c r="G180" s="32">
        <f t="shared" si="58"/>
        <v>18473</v>
      </c>
      <c r="H180" s="12"/>
      <c r="I180" s="12"/>
      <c r="J180" s="12"/>
      <c r="K180" s="12">
        <f t="shared" si="59"/>
        <v>18473</v>
      </c>
      <c r="M180" s="10">
        <v>4</v>
      </c>
      <c r="N180" s="30">
        <v>46144</v>
      </c>
      <c r="O180" s="31">
        <f t="shared" si="65"/>
        <v>8849</v>
      </c>
      <c r="P180" s="32">
        <f>650*5+9.5*5</f>
        <v>3297.5</v>
      </c>
      <c r="Q180" s="32"/>
      <c r="R180" s="32"/>
      <c r="S180" s="32">
        <f t="shared" si="60"/>
        <v>3297.5</v>
      </c>
      <c r="T180" s="12"/>
      <c r="U180" s="12"/>
      <c r="V180" s="12">
        <v>-333</v>
      </c>
      <c r="W180" s="12">
        <f t="shared" si="61"/>
        <v>2964.5</v>
      </c>
      <c r="Y180" s="10">
        <v>4</v>
      </c>
      <c r="Z180" s="30">
        <v>46144</v>
      </c>
      <c r="AA180" s="31">
        <f t="shared" si="66"/>
        <v>8917</v>
      </c>
      <c r="AB180" s="32">
        <f>650*108+229*4</f>
        <v>71116</v>
      </c>
      <c r="AC180" s="32">
        <v>-648</v>
      </c>
      <c r="AD180" s="32"/>
      <c r="AE180" s="32">
        <f>SUM(AB180:AC180)</f>
        <v>70468</v>
      </c>
      <c r="AF180" s="12"/>
      <c r="AH180" s="12">
        <f>-120*11+-111*108+-78*10</f>
        <v>-14088</v>
      </c>
      <c r="AI180" s="12">
        <f>SUM(AE180:AH180)</f>
        <v>56380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46144</v>
      </c>
      <c r="C181" s="83">
        <f t="shared" si="64"/>
        <v>8878</v>
      </c>
      <c r="D181" s="32">
        <f>650*28+670+229</f>
        <v>19099</v>
      </c>
      <c r="E181" s="32"/>
      <c r="F181" s="32"/>
      <c r="G181" s="32">
        <f t="shared" si="58"/>
        <v>19099</v>
      </c>
      <c r="H181" s="12"/>
      <c r="I181" s="12"/>
      <c r="J181" s="12"/>
      <c r="K181" s="12">
        <f t="shared" si="59"/>
        <v>19099</v>
      </c>
      <c r="M181" s="10">
        <v>5</v>
      </c>
      <c r="N181" s="30">
        <v>46144</v>
      </c>
      <c r="O181" s="31">
        <f t="shared" si="65"/>
        <v>8850</v>
      </c>
      <c r="P181" s="32">
        <f>650*2+9.5*2</f>
        <v>1319</v>
      </c>
      <c r="Q181" s="32"/>
      <c r="R181" s="32"/>
      <c r="S181" s="32">
        <f t="shared" si="60"/>
        <v>1319</v>
      </c>
      <c r="T181" s="12"/>
      <c r="U181" s="12"/>
      <c r="V181" s="12"/>
      <c r="W181" s="12">
        <f t="shared" si="61"/>
        <v>1319</v>
      </c>
      <c r="Y181" s="10">
        <v>5</v>
      </c>
      <c r="Z181" s="30">
        <v>46144</v>
      </c>
      <c r="AA181" s="31">
        <f t="shared" si="66"/>
        <v>8918</v>
      </c>
      <c r="AB181" s="33">
        <f>650*40+622*6+456+1050*2+872*3+229*2+500*2</f>
        <v>36362</v>
      </c>
      <c r="AC181" s="32"/>
      <c r="AD181" s="32"/>
      <c r="AE181" s="32">
        <f>SUM(AB181:AC181)</f>
        <v>36362</v>
      </c>
      <c r="AF181" s="12"/>
      <c r="AG181" s="12"/>
      <c r="AH181" s="12"/>
      <c r="AI181" s="12">
        <f t="shared" si="63"/>
        <v>36362</v>
      </c>
      <c r="AK181" s="62"/>
      <c r="AL181" s="65"/>
      <c r="AM181" s="86"/>
      <c r="AN181" s="101"/>
      <c r="AO181" s="101"/>
      <c r="AP181" s="86"/>
      <c r="AQ181" s="62"/>
      <c r="AR181" s="101"/>
      <c r="AS181" s="101"/>
      <c r="AT181" s="100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46144</v>
      </c>
      <c r="C182" s="83">
        <f t="shared" si="64"/>
        <v>8879</v>
      </c>
      <c r="D182" s="32">
        <f>650*11</f>
        <v>7150</v>
      </c>
      <c r="E182" s="32"/>
      <c r="F182" s="32"/>
      <c r="G182" s="32">
        <f t="shared" si="58"/>
        <v>7150</v>
      </c>
      <c r="H182" s="12"/>
      <c r="I182" s="12"/>
      <c r="J182" s="12"/>
      <c r="K182" s="12">
        <f t="shared" si="59"/>
        <v>7150</v>
      </c>
      <c r="M182" s="10">
        <v>6</v>
      </c>
      <c r="N182" s="30">
        <v>46144</v>
      </c>
      <c r="O182" s="31">
        <v>8951</v>
      </c>
      <c r="P182" s="32">
        <f>650*4+622*2</f>
        <v>3844</v>
      </c>
      <c r="Q182" s="32"/>
      <c r="R182" s="32"/>
      <c r="S182" s="32">
        <f t="shared" si="60"/>
        <v>3844</v>
      </c>
      <c r="T182" s="12"/>
      <c r="U182" s="12"/>
      <c r="V182" s="10">
        <v>-444</v>
      </c>
      <c r="W182" s="12">
        <f t="shared" si="61"/>
        <v>3400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ref="AE182:AE186" si="67">SUM(AB182:AC182)</f>
        <v>0</v>
      </c>
      <c r="AF182" s="12"/>
      <c r="AG182" s="12"/>
      <c r="AH182" s="10"/>
      <c r="AI182" s="12">
        <f t="shared" si="63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00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46144</v>
      </c>
      <c r="C183" s="83">
        <f t="shared" si="64"/>
        <v>8880</v>
      </c>
      <c r="D183" s="32">
        <f>650*5+229</f>
        <v>3479</v>
      </c>
      <c r="E183" s="32"/>
      <c r="F183" s="32"/>
      <c r="G183" s="32">
        <f t="shared" si="58"/>
        <v>3479</v>
      </c>
      <c r="H183" s="12"/>
      <c r="I183" s="12"/>
      <c r="J183" s="12"/>
      <c r="K183" s="12">
        <f t="shared" si="59"/>
        <v>3479</v>
      </c>
      <c r="M183" s="10">
        <v>7</v>
      </c>
      <c r="N183" s="30">
        <v>46144</v>
      </c>
      <c r="O183" s="31">
        <f t="shared" si="65"/>
        <v>8952</v>
      </c>
      <c r="P183" s="32">
        <f>650*170+622*20+912*2+1102*2+229*7+650*2</f>
        <v>129871</v>
      </c>
      <c r="Q183" s="32">
        <v>-1152</v>
      </c>
      <c r="R183" s="32"/>
      <c r="S183" s="32">
        <f t="shared" si="60"/>
        <v>128719</v>
      </c>
      <c r="T183" s="12"/>
      <c r="U183" s="12">
        <f>6216+390</f>
        <v>6606</v>
      </c>
      <c r="V183" s="12">
        <f>-480+-333+-336</f>
        <v>-1149</v>
      </c>
      <c r="W183" s="12">
        <f t="shared" si="61"/>
        <v>134176</v>
      </c>
      <c r="Y183" s="10">
        <v>7</v>
      </c>
      <c r="Z183" s="30"/>
      <c r="AA183" s="31"/>
      <c r="AB183" s="32"/>
      <c r="AC183" s="32"/>
      <c r="AD183" s="32"/>
      <c r="AE183" s="32">
        <f t="shared" si="67"/>
        <v>0</v>
      </c>
      <c r="AF183" s="12"/>
      <c r="AG183" s="58"/>
      <c r="AH183" s="12"/>
      <c r="AI183" s="12">
        <f t="shared" si="63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46144</v>
      </c>
      <c r="C184" s="83">
        <f t="shared" si="64"/>
        <v>8881</v>
      </c>
      <c r="D184" s="32">
        <f>14*650+629+229</f>
        <v>9958</v>
      </c>
      <c r="E184" s="32"/>
      <c r="F184" s="32"/>
      <c r="G184" s="32">
        <f t="shared" si="58"/>
        <v>9958</v>
      </c>
      <c r="H184" s="12"/>
      <c r="I184" s="12"/>
      <c r="J184" s="12"/>
      <c r="K184" s="12">
        <f t="shared" si="59"/>
        <v>9958</v>
      </c>
      <c r="M184" s="10">
        <v>8</v>
      </c>
      <c r="N184" s="30">
        <v>46144</v>
      </c>
      <c r="O184" s="31">
        <f t="shared" si="65"/>
        <v>8953</v>
      </c>
      <c r="P184" s="32">
        <f>650*8+622*5+650*2</f>
        <v>9610</v>
      </c>
      <c r="Q184" s="32"/>
      <c r="R184" s="32"/>
      <c r="S184" s="32">
        <f t="shared" si="60"/>
        <v>9610</v>
      </c>
      <c r="T184" s="12"/>
      <c r="U184" s="12"/>
      <c r="V184" s="12">
        <v>-222</v>
      </c>
      <c r="W184" s="12">
        <f t="shared" si="61"/>
        <v>9388</v>
      </c>
      <c r="Y184" s="10">
        <v>8</v>
      </c>
      <c r="Z184" s="30"/>
      <c r="AA184" s="31"/>
      <c r="AB184" s="32"/>
      <c r="AC184" s="32"/>
      <c r="AE184" s="32">
        <f t="shared" si="67"/>
        <v>0</v>
      </c>
      <c r="AF184" s="12"/>
      <c r="AG184" s="12"/>
      <c r="AH184" s="12"/>
      <c r="AI184" s="12">
        <f t="shared" si="63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46144</v>
      </c>
      <c r="C185" s="83">
        <f t="shared" si="64"/>
        <v>8882</v>
      </c>
      <c r="D185" s="32">
        <f>650*5</f>
        <v>3250</v>
      </c>
      <c r="E185" s="32"/>
      <c r="F185" s="32"/>
      <c r="G185" s="32">
        <f t="shared" si="58"/>
        <v>3250</v>
      </c>
      <c r="H185" s="12"/>
      <c r="I185" s="12"/>
      <c r="J185" s="12"/>
      <c r="K185" s="12">
        <f t="shared" si="59"/>
        <v>3250</v>
      </c>
      <c r="M185" s="10">
        <v>9</v>
      </c>
      <c r="N185" s="30">
        <v>46144</v>
      </c>
      <c r="O185" s="31">
        <f t="shared" si="65"/>
        <v>8954</v>
      </c>
      <c r="P185" s="32">
        <f>650*2+872+9.5*2</f>
        <v>2191</v>
      </c>
      <c r="Q185" s="32"/>
      <c r="R185" s="32"/>
      <c r="S185" s="32">
        <f t="shared" si="60"/>
        <v>2191</v>
      </c>
      <c r="T185" s="12"/>
      <c r="U185" s="12"/>
      <c r="V185" s="12"/>
      <c r="W185" s="12">
        <f t="shared" si="61"/>
        <v>2191</v>
      </c>
      <c r="Y185" s="10">
        <v>9</v>
      </c>
      <c r="Z185" s="30"/>
      <c r="AA185" s="31"/>
      <c r="AC185" s="32"/>
      <c r="AD185" s="32"/>
      <c r="AE185" s="32">
        <f t="shared" si="67"/>
        <v>0</v>
      </c>
      <c r="AF185" s="12"/>
      <c r="AH185" s="12"/>
      <c r="AI185" s="12">
        <f t="shared" si="63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>
        <v>46144</v>
      </c>
      <c r="C186" s="83">
        <f t="shared" si="64"/>
        <v>8883</v>
      </c>
      <c r="D186" s="32">
        <f>650*4</f>
        <v>2600</v>
      </c>
      <c r="E186" s="32"/>
      <c r="F186" s="32"/>
      <c r="G186" s="32">
        <f t="shared" si="58"/>
        <v>2600</v>
      </c>
      <c r="H186" s="12"/>
      <c r="I186" s="12"/>
      <c r="J186" s="12">
        <v>-222</v>
      </c>
      <c r="K186" s="12">
        <f t="shared" si="59"/>
        <v>2378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60"/>
        <v>0</v>
      </c>
      <c r="T186" s="12"/>
      <c r="U186" s="12"/>
      <c r="V186" s="12"/>
      <c r="W186" s="12">
        <f t="shared" si="61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7"/>
        <v>0</v>
      </c>
      <c r="AF186" s="12"/>
      <c r="AG186" s="12"/>
      <c r="AH186" s="12"/>
      <c r="AI186" s="12">
        <f t="shared" si="63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>
        <v>46144</v>
      </c>
      <c r="C187" s="83">
        <f t="shared" si="64"/>
        <v>8884</v>
      </c>
      <c r="D187" s="32">
        <f>1582*3</f>
        <v>4746</v>
      </c>
      <c r="E187" s="32"/>
      <c r="F187" s="32">
        <f>973*10</f>
        <v>9730</v>
      </c>
      <c r="G187" s="32">
        <f t="shared" si="58"/>
        <v>4746</v>
      </c>
      <c r="H187" s="12"/>
      <c r="I187" s="12"/>
      <c r="J187" s="12"/>
      <c r="K187" s="12">
        <f t="shared" si="59"/>
        <v>4746</v>
      </c>
      <c r="M187" s="10">
        <v>11</v>
      </c>
      <c r="N187" s="30"/>
      <c r="O187" s="31"/>
      <c r="P187" s="32"/>
      <c r="Q187" s="32"/>
      <c r="R187" s="32"/>
      <c r="S187" s="32">
        <f t="shared" si="60"/>
        <v>0</v>
      </c>
      <c r="T187" s="12"/>
      <c r="U187" s="12"/>
      <c r="V187" s="12"/>
      <c r="W187" s="12">
        <f t="shared" si="61"/>
        <v>0</v>
      </c>
      <c r="Y187" s="10">
        <v>11</v>
      </c>
      <c r="Z187" s="30"/>
      <c r="AA187" s="31"/>
      <c r="AB187" s="32"/>
      <c r="AC187" s="32"/>
      <c r="AD187" s="32"/>
      <c r="AE187" s="32">
        <f t="shared" ref="AE187:AE209" si="68">SUM(AB187:AC187)</f>
        <v>0</v>
      </c>
      <c r="AF187" s="12"/>
      <c r="AG187" s="12"/>
      <c r="AH187" s="12"/>
      <c r="AI187" s="12">
        <f t="shared" si="63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 t="s">
        <v>27</v>
      </c>
      <c r="D188" s="32"/>
      <c r="E188" s="32"/>
      <c r="F188" s="32"/>
      <c r="G188" s="32">
        <f t="shared" si="58"/>
        <v>0</v>
      </c>
      <c r="H188" s="12"/>
      <c r="I188" s="12"/>
      <c r="J188" s="10"/>
      <c r="K188" s="12">
        <f t="shared" si="59"/>
        <v>0</v>
      </c>
      <c r="M188" s="10">
        <v>12</v>
      </c>
      <c r="N188" s="30"/>
      <c r="O188" s="31"/>
      <c r="P188" s="32"/>
      <c r="Q188" s="32"/>
      <c r="R188" s="32"/>
      <c r="S188" s="32">
        <f t="shared" si="60"/>
        <v>0</v>
      </c>
      <c r="T188" s="12"/>
      <c r="U188" s="12"/>
      <c r="V188" s="12"/>
      <c r="W188" s="12">
        <f t="shared" si="61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8"/>
        <v>0</v>
      </c>
      <c r="AF188" s="12"/>
      <c r="AG188" s="12"/>
      <c r="AH188" s="12"/>
      <c r="AI188" s="12">
        <f t="shared" si="63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58"/>
        <v>0</v>
      </c>
      <c r="H189" s="12"/>
      <c r="I189" s="12"/>
      <c r="J189" s="12"/>
      <c r="K189" s="12">
        <f t="shared" si="59"/>
        <v>0</v>
      </c>
      <c r="M189" s="10">
        <v>13</v>
      </c>
      <c r="N189" s="30"/>
      <c r="O189" s="31"/>
      <c r="P189" s="32"/>
      <c r="Q189" s="32"/>
      <c r="R189" s="32"/>
      <c r="S189" s="32">
        <f t="shared" si="60"/>
        <v>0</v>
      </c>
      <c r="T189" s="12"/>
      <c r="U189" s="12"/>
      <c r="V189" s="12"/>
      <c r="W189" s="12">
        <f t="shared" si="61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8"/>
        <v>0</v>
      </c>
      <c r="AF189" s="12"/>
      <c r="AG189" s="12"/>
      <c r="AH189" s="12"/>
      <c r="AI189" s="12">
        <f t="shared" si="63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8"/>
        <v>0</v>
      </c>
      <c r="H190" s="12"/>
      <c r="I190" s="12"/>
      <c r="J190" s="12"/>
      <c r="K190" s="12">
        <f t="shared" si="59"/>
        <v>0</v>
      </c>
      <c r="M190" s="10">
        <v>14</v>
      </c>
      <c r="N190" s="30"/>
      <c r="O190" s="31"/>
      <c r="P190" s="32"/>
      <c r="Q190" s="32"/>
      <c r="R190" s="32"/>
      <c r="S190" s="32">
        <f t="shared" si="60"/>
        <v>0</v>
      </c>
      <c r="T190" s="12"/>
      <c r="U190" s="12"/>
      <c r="V190" s="12"/>
      <c r="W190" s="12">
        <f t="shared" si="61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8"/>
        <v>0</v>
      </c>
      <c r="AF190" s="12"/>
      <c r="AG190" s="12"/>
      <c r="AH190" s="12"/>
      <c r="AI190" s="12">
        <f t="shared" si="63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8"/>
        <v>0</v>
      </c>
      <c r="H191" s="12"/>
      <c r="I191" s="12"/>
      <c r="J191" s="12"/>
      <c r="K191" s="12">
        <f t="shared" si="59"/>
        <v>0</v>
      </c>
      <c r="M191" s="10">
        <v>15</v>
      </c>
      <c r="N191" s="30"/>
      <c r="O191" s="31"/>
      <c r="P191" s="32"/>
      <c r="Q191" s="32"/>
      <c r="R191" s="32"/>
      <c r="S191" s="32">
        <f t="shared" si="60"/>
        <v>0</v>
      </c>
      <c r="T191" s="12"/>
      <c r="U191" s="12"/>
      <c r="V191" s="12"/>
      <c r="W191" s="12">
        <f t="shared" si="61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8"/>
        <v>0</v>
      </c>
      <c r="AF191" s="12"/>
      <c r="AG191" s="12"/>
      <c r="AH191" s="12"/>
      <c r="AI191" s="12">
        <f t="shared" si="63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D192" s="32"/>
      <c r="E192" s="32"/>
      <c r="F192" s="32"/>
      <c r="G192" s="32">
        <f t="shared" si="58"/>
        <v>0</v>
      </c>
      <c r="H192" s="12"/>
      <c r="I192" s="12"/>
      <c r="J192" s="12"/>
      <c r="K192" s="12">
        <f t="shared" si="59"/>
        <v>0</v>
      </c>
      <c r="M192" s="10">
        <v>16</v>
      </c>
      <c r="N192" s="30"/>
      <c r="O192" s="31"/>
      <c r="P192" s="32"/>
      <c r="Q192" s="32"/>
      <c r="R192" s="32"/>
      <c r="S192" s="32">
        <f t="shared" si="60"/>
        <v>0</v>
      </c>
      <c r="T192" s="12"/>
      <c r="U192" s="12"/>
      <c r="V192" s="12"/>
      <c r="W192" s="12">
        <f t="shared" si="61"/>
        <v>0</v>
      </c>
      <c r="Y192" s="10">
        <v>16</v>
      </c>
      <c r="Z192" s="30"/>
      <c r="AB192" s="32"/>
      <c r="AC192" s="32"/>
      <c r="AD192" s="32"/>
      <c r="AE192" s="32">
        <f t="shared" si="68"/>
        <v>0</v>
      </c>
      <c r="AF192" s="12"/>
      <c r="AG192" s="12"/>
      <c r="AH192" s="12"/>
      <c r="AI192" s="12">
        <f t="shared" si="63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58"/>
        <v>0</v>
      </c>
      <c r="H193" s="12"/>
      <c r="I193" s="12"/>
      <c r="J193" s="12"/>
      <c r="K193" s="12">
        <f t="shared" si="59"/>
        <v>0</v>
      </c>
      <c r="M193" s="10">
        <v>17</v>
      </c>
      <c r="N193" s="30"/>
      <c r="O193" s="31"/>
      <c r="P193" s="35"/>
      <c r="Q193" s="32"/>
      <c r="R193" s="32"/>
      <c r="S193" s="32">
        <f t="shared" si="60"/>
        <v>0</v>
      </c>
      <c r="T193" s="12"/>
      <c r="U193" s="12"/>
      <c r="V193" s="12"/>
      <c r="W193" s="12">
        <f t="shared" si="61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8"/>
        <v>0</v>
      </c>
      <c r="AF193" s="12"/>
      <c r="AG193" s="12"/>
      <c r="AH193" s="12"/>
      <c r="AI193" s="12">
        <f t="shared" si="63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58"/>
        <v>0</v>
      </c>
      <c r="H194" s="12"/>
      <c r="I194" s="12"/>
      <c r="J194" s="12"/>
      <c r="K194" s="12">
        <f t="shared" si="59"/>
        <v>0</v>
      </c>
      <c r="M194" s="10">
        <v>18</v>
      </c>
      <c r="N194" s="30"/>
      <c r="O194" s="31"/>
      <c r="P194" s="32"/>
      <c r="Q194" s="32"/>
      <c r="R194" s="32"/>
      <c r="S194" s="32">
        <f t="shared" si="60"/>
        <v>0</v>
      </c>
      <c r="T194" s="12"/>
      <c r="U194" s="12"/>
      <c r="V194" s="12"/>
      <c r="W194" s="12">
        <f t="shared" si="61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8"/>
        <v>0</v>
      </c>
      <c r="AF194" s="12"/>
      <c r="AG194" s="12"/>
      <c r="AH194" s="12"/>
      <c r="AI194" s="12">
        <f t="shared" si="63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8"/>
        <v>0</v>
      </c>
      <c r="H195" s="12"/>
      <c r="I195" s="12"/>
      <c r="J195" s="12"/>
      <c r="K195" s="12">
        <f t="shared" si="59"/>
        <v>0</v>
      </c>
      <c r="M195" s="10">
        <v>19</v>
      </c>
      <c r="N195" s="30"/>
      <c r="O195" s="31"/>
      <c r="P195" s="32"/>
      <c r="Q195" s="32"/>
      <c r="R195" s="32"/>
      <c r="S195" s="32">
        <f t="shared" si="60"/>
        <v>0</v>
      </c>
      <c r="T195" s="12"/>
      <c r="U195" s="12"/>
      <c r="V195" s="12"/>
      <c r="W195" s="12">
        <f t="shared" si="61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8"/>
        <v>0</v>
      </c>
      <c r="AF195" s="12"/>
      <c r="AG195" s="12"/>
      <c r="AH195" s="12"/>
      <c r="AI195" s="12">
        <f t="shared" si="63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8"/>
        <v>0</v>
      </c>
      <c r="H196" s="12"/>
      <c r="I196" s="12"/>
      <c r="J196" s="12"/>
      <c r="K196" s="12">
        <f t="shared" si="59"/>
        <v>0</v>
      </c>
      <c r="M196" s="10">
        <v>20</v>
      </c>
      <c r="N196" s="30"/>
      <c r="O196" s="31"/>
      <c r="P196" s="32"/>
      <c r="Q196" s="32"/>
      <c r="R196" s="32"/>
      <c r="S196" s="32">
        <f t="shared" si="60"/>
        <v>0</v>
      </c>
      <c r="T196" s="12"/>
      <c r="U196" s="12"/>
      <c r="V196" s="12"/>
      <c r="W196" s="12">
        <f t="shared" si="61"/>
        <v>0</v>
      </c>
      <c r="Y196" s="10">
        <v>20</v>
      </c>
      <c r="Z196" s="30"/>
      <c r="AB196" s="32"/>
      <c r="AC196" s="32"/>
      <c r="AD196" s="32"/>
      <c r="AE196" s="32">
        <f t="shared" si="68"/>
        <v>0</v>
      </c>
      <c r="AF196" s="12"/>
      <c r="AG196" s="12"/>
      <c r="AH196" s="12"/>
      <c r="AI196" s="12">
        <f t="shared" si="63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57"/>
      <c r="D197" s="32"/>
      <c r="E197" s="32"/>
      <c r="F197" s="32"/>
      <c r="G197" s="32">
        <f t="shared" si="58"/>
        <v>0</v>
      </c>
      <c r="H197" s="10"/>
      <c r="I197" s="10"/>
      <c r="J197" s="10"/>
      <c r="K197" s="12">
        <f t="shared" si="59"/>
        <v>0</v>
      </c>
      <c r="M197" s="10">
        <v>21</v>
      </c>
      <c r="N197" s="30"/>
      <c r="O197" s="31"/>
      <c r="P197" s="46"/>
      <c r="Q197" s="31"/>
      <c r="R197" s="31"/>
      <c r="S197" s="32">
        <f t="shared" si="60"/>
        <v>0</v>
      </c>
      <c r="T197" s="10"/>
      <c r="U197" s="10"/>
      <c r="V197" s="10"/>
      <c r="W197" s="12">
        <f t="shared" si="61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8"/>
        <v>0</v>
      </c>
      <c r="AF197" s="10"/>
      <c r="AG197" s="10"/>
      <c r="AH197" s="10"/>
      <c r="AI197" s="12">
        <f t="shared" si="63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8"/>
        <v>0</v>
      </c>
      <c r="H198" s="10"/>
      <c r="I198" s="10"/>
      <c r="J198" s="10"/>
      <c r="K198" s="12">
        <f t="shared" si="59"/>
        <v>0</v>
      </c>
      <c r="M198" s="10">
        <v>22</v>
      </c>
      <c r="N198" s="30"/>
      <c r="P198" s="45"/>
      <c r="Q198" s="31"/>
      <c r="R198" s="31"/>
      <c r="S198" s="32">
        <f t="shared" si="60"/>
        <v>0</v>
      </c>
      <c r="T198" s="10"/>
      <c r="U198" s="10"/>
      <c r="V198" s="10"/>
      <c r="W198" s="12">
        <f t="shared" si="61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8"/>
        <v>0</v>
      </c>
      <c r="AF198" s="10"/>
      <c r="AG198" s="10"/>
      <c r="AH198" s="10"/>
      <c r="AI198" s="12">
        <f t="shared" si="63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8"/>
        <v>0</v>
      </c>
      <c r="H199" s="10"/>
      <c r="I199" s="10"/>
      <c r="J199" s="12"/>
      <c r="K199" s="12">
        <f t="shared" si="59"/>
        <v>0</v>
      </c>
      <c r="M199" s="10">
        <v>23</v>
      </c>
      <c r="N199" s="30"/>
      <c r="O199" s="31"/>
      <c r="P199" s="47"/>
      <c r="Q199" s="31"/>
      <c r="S199" s="32">
        <f t="shared" si="60"/>
        <v>0</v>
      </c>
      <c r="T199" s="10"/>
      <c r="U199" s="10"/>
      <c r="V199" s="10"/>
      <c r="W199" s="12">
        <f t="shared" si="61"/>
        <v>0</v>
      </c>
      <c r="Y199" s="10">
        <v>23</v>
      </c>
      <c r="Z199" s="30"/>
      <c r="AA199" s="31"/>
      <c r="AB199" s="47"/>
      <c r="AE199" s="32">
        <f t="shared" si="68"/>
        <v>0</v>
      </c>
      <c r="AF199" s="10"/>
      <c r="AG199" s="10"/>
      <c r="AH199" s="10"/>
      <c r="AI199" s="12">
        <f t="shared" si="63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8"/>
        <v>0</v>
      </c>
      <c r="H200" s="10"/>
      <c r="I200" s="10"/>
      <c r="J200" s="10"/>
      <c r="K200" s="12">
        <f t="shared" si="59"/>
        <v>0</v>
      </c>
      <c r="M200" s="10">
        <v>24</v>
      </c>
      <c r="N200" s="30"/>
      <c r="O200" s="31"/>
      <c r="P200" s="47"/>
      <c r="Q200" s="31"/>
      <c r="R200" s="31"/>
      <c r="S200" s="32">
        <f t="shared" si="60"/>
        <v>0</v>
      </c>
      <c r="T200" s="10"/>
      <c r="U200" s="10"/>
      <c r="V200" s="10"/>
      <c r="W200" s="12">
        <f t="shared" si="61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8"/>
        <v>0</v>
      </c>
      <c r="AF200" s="10"/>
      <c r="AG200" s="10"/>
      <c r="AH200" s="10"/>
      <c r="AI200" s="12">
        <f t="shared" si="63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8"/>
        <v>0</v>
      </c>
      <c r="H201" s="10"/>
      <c r="I201" s="10"/>
      <c r="J201" s="10"/>
      <c r="K201" s="12">
        <f t="shared" si="59"/>
        <v>0</v>
      </c>
      <c r="M201" s="10">
        <v>25</v>
      </c>
      <c r="N201" s="30"/>
      <c r="O201" s="31"/>
      <c r="P201" s="47"/>
      <c r="Q201" s="31"/>
      <c r="R201" s="31"/>
      <c r="S201" s="32">
        <f t="shared" si="60"/>
        <v>0</v>
      </c>
      <c r="T201" s="10"/>
      <c r="U201" s="10"/>
      <c r="V201" s="10"/>
      <c r="W201" s="12">
        <f t="shared" si="61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8"/>
        <v>0</v>
      </c>
      <c r="AF201" s="10"/>
      <c r="AG201" s="10"/>
      <c r="AH201" s="10"/>
      <c r="AI201" s="12">
        <f t="shared" si="63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8"/>
        <v>0</v>
      </c>
      <c r="H202" s="10"/>
      <c r="I202" s="10"/>
      <c r="J202" s="10"/>
      <c r="K202" s="12">
        <f t="shared" si="59"/>
        <v>0</v>
      </c>
      <c r="M202" s="10">
        <v>26</v>
      </c>
      <c r="N202" s="30"/>
      <c r="O202" s="31"/>
      <c r="P202" s="47"/>
      <c r="Q202" s="31"/>
      <c r="R202" s="31"/>
      <c r="S202" s="32">
        <f t="shared" si="60"/>
        <v>0</v>
      </c>
      <c r="T202" s="10"/>
      <c r="U202" s="10"/>
      <c r="V202" s="10"/>
      <c r="W202" s="12">
        <f t="shared" si="61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8"/>
        <v>0</v>
      </c>
      <c r="AF202" s="10"/>
      <c r="AG202" s="10"/>
      <c r="AH202" s="10"/>
      <c r="AI202" s="12">
        <f t="shared" si="63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8"/>
        <v>0</v>
      </c>
      <c r="H203" s="10"/>
      <c r="I203" s="10"/>
      <c r="J203" s="10"/>
      <c r="K203" s="12">
        <f t="shared" si="59"/>
        <v>0</v>
      </c>
      <c r="M203" s="10">
        <v>27</v>
      </c>
      <c r="N203" s="30"/>
      <c r="O203" s="31"/>
      <c r="P203" s="47"/>
      <c r="Q203" s="31"/>
      <c r="R203" s="31"/>
      <c r="S203" s="32">
        <f t="shared" si="60"/>
        <v>0</v>
      </c>
      <c r="T203" s="10"/>
      <c r="U203" s="10"/>
      <c r="V203" s="10"/>
      <c r="W203" s="12">
        <f t="shared" si="61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8"/>
        <v>0</v>
      </c>
      <c r="AF203" s="10"/>
      <c r="AG203" s="10"/>
      <c r="AH203" s="10"/>
      <c r="AI203" s="12">
        <f t="shared" si="63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8"/>
        <v>0</v>
      </c>
      <c r="H204" s="10"/>
      <c r="I204" s="10"/>
      <c r="J204" s="10"/>
      <c r="K204" s="12">
        <f t="shared" si="59"/>
        <v>0</v>
      </c>
      <c r="M204" s="10">
        <v>28</v>
      </c>
      <c r="N204" s="30"/>
      <c r="O204" s="31"/>
      <c r="P204" s="47"/>
      <c r="Q204" s="31"/>
      <c r="R204" s="31"/>
      <c r="S204" s="32">
        <f t="shared" si="60"/>
        <v>0</v>
      </c>
      <c r="T204" s="10"/>
      <c r="U204" s="10"/>
      <c r="V204" s="10"/>
      <c r="W204" s="12">
        <f t="shared" si="61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8"/>
        <v>0</v>
      </c>
      <c r="AF204" s="10"/>
      <c r="AG204" s="10"/>
      <c r="AH204" s="10"/>
      <c r="AI204" s="12">
        <f t="shared" si="63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57"/>
      <c r="D205" s="32"/>
      <c r="E205" s="32"/>
      <c r="F205" s="32"/>
      <c r="G205" s="32">
        <f t="shared" si="58"/>
        <v>0</v>
      </c>
      <c r="H205" s="10"/>
      <c r="I205" s="10"/>
      <c r="J205" s="10"/>
      <c r="K205" s="12">
        <f t="shared" si="59"/>
        <v>0</v>
      </c>
      <c r="M205" s="10">
        <v>29</v>
      </c>
      <c r="N205" s="30"/>
      <c r="O205" s="31"/>
      <c r="P205" s="47"/>
      <c r="Q205" s="31"/>
      <c r="R205" s="31"/>
      <c r="S205" s="32">
        <f t="shared" si="60"/>
        <v>0</v>
      </c>
      <c r="T205" s="10"/>
      <c r="U205" s="10"/>
      <c r="V205" s="10"/>
      <c r="W205" s="12">
        <f t="shared" si="61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8"/>
        <v>0</v>
      </c>
      <c r="AF205" s="10"/>
      <c r="AG205" s="10"/>
      <c r="AH205" s="10"/>
      <c r="AI205" s="12">
        <f t="shared" si="63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8"/>
        <v>0</v>
      </c>
      <c r="H206" s="10"/>
      <c r="I206" s="10"/>
      <c r="J206" s="10"/>
      <c r="K206" s="12">
        <f t="shared" si="59"/>
        <v>0</v>
      </c>
      <c r="M206" s="10">
        <v>30</v>
      </c>
      <c r="N206" s="30"/>
      <c r="P206" s="47"/>
      <c r="Q206" s="31"/>
      <c r="R206" s="31"/>
      <c r="S206" s="32">
        <f t="shared" si="60"/>
        <v>0</v>
      </c>
      <c r="T206" s="10"/>
      <c r="U206" s="10"/>
      <c r="V206" s="10"/>
      <c r="W206" s="12">
        <f t="shared" si="61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8"/>
        <v>0</v>
      </c>
      <c r="AF206" s="10"/>
      <c r="AG206" s="10"/>
      <c r="AH206" s="10"/>
      <c r="AI206" s="12">
        <f t="shared" si="63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8"/>
        <v>0</v>
      </c>
      <c r="H207" s="10"/>
      <c r="I207" s="10"/>
      <c r="J207" s="10"/>
      <c r="K207" s="12">
        <f t="shared" si="59"/>
        <v>0</v>
      </c>
      <c r="M207" s="10">
        <v>31</v>
      </c>
      <c r="N207" s="30"/>
      <c r="O207" s="31"/>
      <c r="P207" s="47"/>
      <c r="Q207" s="31"/>
      <c r="R207" s="31"/>
      <c r="S207" s="32">
        <f t="shared" si="60"/>
        <v>0</v>
      </c>
      <c r="T207" s="10"/>
      <c r="U207" s="10"/>
      <c r="V207" s="10"/>
      <c r="W207" s="12">
        <f t="shared" si="61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8"/>
        <v>0</v>
      </c>
      <c r="AF207" s="10"/>
      <c r="AG207" s="10"/>
      <c r="AH207" s="10"/>
      <c r="AI207" s="12">
        <f t="shared" si="63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8"/>
        <v>0</v>
      </c>
      <c r="H208" s="10"/>
      <c r="I208" s="10"/>
      <c r="J208" s="10"/>
      <c r="K208" s="12">
        <f t="shared" si="59"/>
        <v>0</v>
      </c>
      <c r="M208" s="10">
        <v>32</v>
      </c>
      <c r="N208" s="30"/>
      <c r="O208" s="31"/>
      <c r="P208" s="47"/>
      <c r="Q208" s="31"/>
      <c r="R208" s="31"/>
      <c r="S208" s="32">
        <f t="shared" si="60"/>
        <v>0</v>
      </c>
      <c r="T208" s="10"/>
      <c r="U208" s="10"/>
      <c r="V208" s="10"/>
      <c r="W208" s="12">
        <f t="shared" si="61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8"/>
        <v>0</v>
      </c>
      <c r="AF208" s="10"/>
      <c r="AG208" s="10"/>
      <c r="AH208" s="10"/>
      <c r="AI208" s="12">
        <f t="shared" si="63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8"/>
        <v>0</v>
      </c>
      <c r="H209" s="10"/>
      <c r="I209" s="10"/>
      <c r="J209" s="10"/>
      <c r="K209" s="12">
        <f t="shared" si="59"/>
        <v>0</v>
      </c>
      <c r="M209" s="10">
        <v>33</v>
      </c>
      <c r="N209" s="30"/>
      <c r="O209" s="31"/>
      <c r="P209" s="47"/>
      <c r="Q209" s="31"/>
      <c r="R209" s="31"/>
      <c r="S209" s="32">
        <f t="shared" si="60"/>
        <v>0</v>
      </c>
      <c r="T209" s="10"/>
      <c r="U209" s="10"/>
      <c r="V209" s="10"/>
      <c r="W209" s="12">
        <f t="shared" si="61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8"/>
        <v>0</v>
      </c>
      <c r="AF209" s="10"/>
      <c r="AG209" s="10"/>
      <c r="AH209" s="10"/>
      <c r="AI209" s="12">
        <f t="shared" si="63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8"/>
        <v>0</v>
      </c>
      <c r="H210" s="10"/>
      <c r="I210" s="10"/>
      <c r="J210" s="10"/>
      <c r="K210" s="12">
        <f t="shared" si="59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9">SUM(P210:Q210)</f>
        <v>0</v>
      </c>
      <c r="T210" s="10"/>
      <c r="U210" s="10"/>
      <c r="V210" s="10"/>
      <c r="W210" s="12">
        <f t="shared" ref="W210:W218" si="70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71">SUM(AB210:AC210)</f>
        <v>0</v>
      </c>
      <c r="AF210" s="10"/>
      <c r="AG210" s="10"/>
      <c r="AH210" s="10"/>
      <c r="AI210" s="12">
        <f t="shared" ref="AI210:AI218" si="72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9"/>
        <v>0</v>
      </c>
      <c r="T211" s="10"/>
      <c r="U211" s="10"/>
      <c r="V211" s="10"/>
      <c r="W211" s="12">
        <f t="shared" si="7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71"/>
        <v>0</v>
      </c>
      <c r="AF211" s="10"/>
      <c r="AG211" s="10"/>
      <c r="AH211" s="10"/>
      <c r="AI211" s="12">
        <f t="shared" si="72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9"/>
        <v>0</v>
      </c>
      <c r="T212" s="10"/>
      <c r="U212" s="10"/>
      <c r="V212" s="10"/>
      <c r="W212" s="12">
        <f t="shared" si="7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71"/>
        <v>0</v>
      </c>
      <c r="AF212" s="10"/>
      <c r="AG212" s="10"/>
      <c r="AH212" s="10"/>
      <c r="AI212" s="12">
        <f t="shared" si="72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9"/>
        <v>0</v>
      </c>
      <c r="T213" s="10"/>
      <c r="U213" s="10"/>
      <c r="V213" s="10"/>
      <c r="W213" s="12">
        <f t="shared" si="7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71"/>
        <v>0</v>
      </c>
      <c r="AF213" s="10"/>
      <c r="AG213" s="10"/>
      <c r="AH213" s="10"/>
      <c r="AI213" s="12">
        <f t="shared" si="72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9"/>
        <v>0</v>
      </c>
      <c r="T214" s="10"/>
      <c r="U214" s="10"/>
      <c r="V214" s="10"/>
      <c r="W214" s="12">
        <f t="shared" si="7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71"/>
        <v>0</v>
      </c>
      <c r="AF214" s="10"/>
      <c r="AG214" s="10"/>
      <c r="AH214" s="10"/>
      <c r="AI214" s="12">
        <f t="shared" si="72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9"/>
        <v>0</v>
      </c>
      <c r="T215" s="10"/>
      <c r="U215" s="10"/>
      <c r="V215" s="10"/>
      <c r="W215" s="12">
        <f t="shared" si="7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71"/>
        <v>0</v>
      </c>
      <c r="AF215" s="10"/>
      <c r="AG215" s="10"/>
      <c r="AH215" s="10"/>
      <c r="AI215" s="12">
        <f t="shared" si="72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7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72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3">SUM(D217:E217)</f>
        <v>0</v>
      </c>
      <c r="H217" s="10"/>
      <c r="I217" s="10"/>
      <c r="J217" s="10"/>
      <c r="K217" s="12">
        <f t="shared" ref="K217" si="74">SUM(G217:J217)</f>
        <v>0</v>
      </c>
      <c r="M217" s="10"/>
      <c r="N217" s="30"/>
      <c r="O217" s="31"/>
      <c r="P217" s="47"/>
      <c r="Q217" s="31"/>
      <c r="R217" s="31"/>
      <c r="S217" s="32">
        <f t="shared" ref="S217" si="75">SUM(P217:Q217)</f>
        <v>0</v>
      </c>
      <c r="T217" s="10"/>
      <c r="U217" s="10"/>
      <c r="V217" s="10"/>
      <c r="W217" s="12">
        <f t="shared" si="70"/>
        <v>0</v>
      </c>
      <c r="Y217" s="10"/>
      <c r="Z217" s="30"/>
      <c r="AA217" s="31"/>
      <c r="AB217" s="47"/>
      <c r="AC217" s="31"/>
      <c r="AD217" s="31"/>
      <c r="AE217" s="32">
        <f t="shared" ref="AE217" si="76">SUM(AB217:AC217)</f>
        <v>0</v>
      </c>
      <c r="AF217" s="10"/>
      <c r="AG217" s="10"/>
      <c r="AH217" s="10"/>
      <c r="AI217" s="12">
        <f t="shared" si="72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7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72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167361</v>
      </c>
      <c r="E220" s="38">
        <f t="shared" ref="E220:F220" si="77">SUM(E177:E217)</f>
        <v>0</v>
      </c>
      <c r="F220" s="38">
        <f t="shared" si="77"/>
        <v>9730</v>
      </c>
      <c r="G220" s="38">
        <f>SUM(G177:G219)</f>
        <v>167361</v>
      </c>
      <c r="H220" s="4"/>
      <c r="I220" s="39">
        <f>SUM(I177:I219)</f>
        <v>162</v>
      </c>
      <c r="J220" s="39">
        <f>SUM(J177:J219)</f>
        <v>-1734</v>
      </c>
      <c r="K220" s="40">
        <f>SUM(K177:K219)</f>
        <v>165789</v>
      </c>
      <c r="N220" s="57"/>
      <c r="O220" s="57"/>
      <c r="P220" s="38">
        <f>SUM(P177:P219)</f>
        <v>160628.5</v>
      </c>
      <c r="Q220" s="38">
        <f>SUM(Q177:Q201)</f>
        <v>-1929</v>
      </c>
      <c r="R220" s="38">
        <f>SUM(R177:R201)</f>
        <v>0</v>
      </c>
      <c r="S220" s="38">
        <f>SUM(S177:S219)</f>
        <v>158699.5</v>
      </c>
      <c r="T220" s="4"/>
      <c r="U220" s="41">
        <f>SUM(U177:U219)</f>
        <v>6606</v>
      </c>
      <c r="V220" s="41">
        <f>SUM(V177:V201)</f>
        <v>-2370</v>
      </c>
      <c r="W220" s="42">
        <f>SUM(W177:W219)</f>
        <v>162935.5</v>
      </c>
      <c r="Z220" s="57"/>
      <c r="AA220" s="57"/>
      <c r="AB220" s="38">
        <f>SUM(AB177:AB219)</f>
        <v>176596</v>
      </c>
      <c r="AC220" s="38">
        <f>SUM(AC177:AC201)</f>
        <v>-1266</v>
      </c>
      <c r="AD220" s="38">
        <f>SUM(AD177:AD201)</f>
        <v>0</v>
      </c>
      <c r="AE220" s="38">
        <f>SUM(AE177:AE219)</f>
        <v>175330</v>
      </c>
      <c r="AF220" s="4"/>
      <c r="AG220" s="41">
        <f>SUM(AG177:AG219)</f>
        <v>0</v>
      </c>
      <c r="AH220" s="41">
        <f>SUM(AH177:AH201)</f>
        <v>-19992</v>
      </c>
      <c r="AI220" s="42">
        <f>SUM(AI177:AI219)</f>
        <v>155338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s="62"/>
      <c r="Z222" s="86"/>
      <c r="AA222" s="86"/>
      <c r="AB222" s="86"/>
      <c r="AC222" s="86"/>
      <c r="AD222" s="86"/>
      <c r="AE222" s="86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s="62"/>
      <c r="Z223" s="86"/>
      <c r="AA223" s="86"/>
      <c r="AB223" s="86"/>
      <c r="AC223" s="86"/>
      <c r="AD223" s="86"/>
      <c r="AE223" s="86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Y224" s="62"/>
      <c r="Z224" s="86"/>
      <c r="AA224" s="86"/>
      <c r="AB224" s="86"/>
      <c r="AC224" s="86"/>
      <c r="AD224" s="86"/>
      <c r="AE224" s="86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63"/>
      <c r="Z225" s="86"/>
      <c r="AA225" s="86"/>
      <c r="AB225" s="86"/>
      <c r="AC225" s="86"/>
      <c r="AD225" s="86"/>
      <c r="AE225" s="86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Y226" s="62"/>
      <c r="Z226" s="86"/>
      <c r="AA226" s="86"/>
      <c r="AB226" s="86"/>
      <c r="AC226" s="86"/>
      <c r="AD226" s="86"/>
      <c r="AE226" s="86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50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s="62"/>
      <c r="Z227" s="86"/>
      <c r="AA227" s="86"/>
      <c r="AB227" s="86"/>
      <c r="AC227" s="86"/>
      <c r="AD227" s="86"/>
      <c r="AE227" s="86"/>
      <c r="AF227" s="62"/>
      <c r="AG227" s="86"/>
      <c r="AH227" s="86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64"/>
      <c r="Z228" s="86"/>
      <c r="AA228" s="86"/>
      <c r="AB228" s="86"/>
      <c r="AC228" s="86"/>
      <c r="AD228" s="86"/>
      <c r="AE228" s="86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Y229" s="62"/>
      <c r="Z229" s="86"/>
      <c r="AA229" s="86"/>
      <c r="AB229" s="86"/>
      <c r="AC229" s="86"/>
      <c r="AD229" s="86"/>
      <c r="AE229" s="86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06" t="s">
        <v>17</v>
      </c>
      <c r="E230" s="106"/>
      <c r="F230" s="90"/>
      <c r="G230" s="27"/>
      <c r="I230" s="104" t="s">
        <v>18</v>
      </c>
      <c r="J230" s="105"/>
      <c r="K230" s="102" t="s">
        <v>19</v>
      </c>
      <c r="N230" s="25"/>
      <c r="O230" s="26"/>
      <c r="P230" s="106" t="s">
        <v>17</v>
      </c>
      <c r="Q230" s="106"/>
      <c r="R230" s="90"/>
      <c r="S230" s="27"/>
      <c r="U230" s="104" t="s">
        <v>18</v>
      </c>
      <c r="V230" s="105"/>
      <c r="W230" s="102" t="s">
        <v>19</v>
      </c>
      <c r="Y230" s="62"/>
      <c r="Z230" s="65"/>
      <c r="AA230" s="86"/>
      <c r="AB230" s="101"/>
      <c r="AC230" s="101"/>
      <c r="AD230" s="86"/>
      <c r="AE230" s="86"/>
      <c r="AF230" s="62"/>
      <c r="AG230" s="101"/>
      <c r="AH230" s="101"/>
      <c r="AI230" s="100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03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03"/>
      <c r="Y231" s="62"/>
      <c r="Z231" s="86"/>
      <c r="AA231" s="86"/>
      <c r="AB231" s="79"/>
      <c r="AC231" s="81"/>
      <c r="AD231" s="81"/>
      <c r="AE231" s="81"/>
      <c r="AF231" s="62"/>
      <c r="AG231" s="85"/>
      <c r="AH231" s="85"/>
      <c r="AI231" s="100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46175</v>
      </c>
      <c r="C232" s="83">
        <v>8885</v>
      </c>
      <c r="D232" s="32">
        <f>670*20+973*10+1582+500*5+700*10+872*50+872*5+500*10</f>
        <v>87172</v>
      </c>
      <c r="E232" s="32"/>
      <c r="F232" s="32"/>
      <c r="G232" s="32">
        <f t="shared" ref="G232:G265" si="78">SUM(D232:E232)</f>
        <v>87172</v>
      </c>
      <c r="H232" s="12"/>
      <c r="I232" s="12">
        <f>120*81+111*30</f>
        <v>13050</v>
      </c>
      <c r="J232" s="12">
        <f>-111*6+-84*53+-84*121</f>
        <v>-15282</v>
      </c>
      <c r="K232" s="12">
        <f t="shared" ref="K232:K265" si="79">SUM(G232:J232)</f>
        <v>84940</v>
      </c>
      <c r="M232" s="10">
        <v>1</v>
      </c>
      <c r="N232" s="30">
        <v>46175</v>
      </c>
      <c r="O232" s="31">
        <v>8955</v>
      </c>
      <c r="P232" s="32">
        <f>650*4+38</f>
        <v>2638</v>
      </c>
      <c r="Q232" s="32"/>
      <c r="R232" s="32"/>
      <c r="S232" s="32">
        <f>SUM(P232:Q232)</f>
        <v>2638</v>
      </c>
      <c r="T232" s="12"/>
      <c r="U232" s="12"/>
      <c r="V232" s="12"/>
      <c r="W232" s="12">
        <f>SUM(S232:V232)</f>
        <v>2638</v>
      </c>
      <c r="Y232" s="62"/>
      <c r="Z232" s="66"/>
      <c r="AA232" s="86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46175</v>
      </c>
      <c r="C233" s="83">
        <f>C232+1</f>
        <v>8886</v>
      </c>
      <c r="D233" s="32">
        <f>1582+650+1667*2+1175*5+1175*2+1102*2+1667*2+650*5</f>
        <v>22579</v>
      </c>
      <c r="E233" s="32"/>
      <c r="F233" s="32"/>
      <c r="G233" s="32">
        <f t="shared" si="78"/>
        <v>22579</v>
      </c>
      <c r="H233" s="12"/>
      <c r="I233" s="12"/>
      <c r="J233" s="12"/>
      <c r="K233" s="12">
        <f t="shared" si="79"/>
        <v>22579</v>
      </c>
      <c r="M233" s="10">
        <v>2</v>
      </c>
      <c r="N233" s="30">
        <v>46175</v>
      </c>
      <c r="O233" s="31">
        <f>O232+1</f>
        <v>8956</v>
      </c>
      <c r="P233" s="32">
        <f>650*9+622+9.5*10</f>
        <v>6567</v>
      </c>
      <c r="Q233" s="32"/>
      <c r="R233" s="32"/>
      <c r="S233" s="32">
        <f t="shared" ref="S233:S264" si="80">SUM(P233:Q233)</f>
        <v>6567</v>
      </c>
      <c r="T233" s="12"/>
      <c r="U233" s="12"/>
      <c r="V233" s="12"/>
      <c r="W233" s="12">
        <f t="shared" ref="W233:W264" si="81">SUM(S233:V233)</f>
        <v>6567</v>
      </c>
      <c r="Y233" s="62"/>
      <c r="Z233" s="66"/>
      <c r="AA233" s="86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46175</v>
      </c>
      <c r="C234" s="83">
        <f t="shared" ref="C234:C241" si="82">C233+1</f>
        <v>8887</v>
      </c>
      <c r="D234" s="33">
        <f>650*28+670*3+622*2+229</f>
        <v>21683</v>
      </c>
      <c r="E234" s="33"/>
      <c r="F234" s="33"/>
      <c r="G234" s="33">
        <f t="shared" si="78"/>
        <v>21683</v>
      </c>
      <c r="H234" s="34"/>
      <c r="I234" s="34"/>
      <c r="J234" s="34">
        <v>-4284</v>
      </c>
      <c r="K234" s="34">
        <f t="shared" si="79"/>
        <v>17399</v>
      </c>
      <c r="M234" s="10">
        <v>3</v>
      </c>
      <c r="N234" s="30">
        <v>46175</v>
      </c>
      <c r="O234" s="31">
        <f t="shared" ref="O234:O254" si="83">O233+1</f>
        <v>8957</v>
      </c>
      <c r="P234" s="32">
        <f>650*8+9.5*8</f>
        <v>5276</v>
      </c>
      <c r="Q234" s="32"/>
      <c r="R234" s="32"/>
      <c r="S234" s="32">
        <f t="shared" si="80"/>
        <v>5276</v>
      </c>
      <c r="T234" s="12"/>
      <c r="U234" s="12"/>
      <c r="V234" s="12"/>
      <c r="W234" s="12">
        <f t="shared" si="81"/>
        <v>5276</v>
      </c>
      <c r="Y234" s="62"/>
      <c r="Z234" s="66"/>
      <c r="AA234" s="86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46175</v>
      </c>
      <c r="C235" s="83">
        <f t="shared" si="82"/>
        <v>8888</v>
      </c>
      <c r="D235" s="32">
        <f>650*10+670</f>
        <v>7170</v>
      </c>
      <c r="E235" s="32"/>
      <c r="F235" s="32"/>
      <c r="G235" s="32">
        <f t="shared" si="78"/>
        <v>7170</v>
      </c>
      <c r="H235" s="12"/>
      <c r="I235" s="12"/>
      <c r="J235" s="12"/>
      <c r="K235" s="12">
        <f t="shared" si="79"/>
        <v>7170</v>
      </c>
      <c r="M235" s="10">
        <v>4</v>
      </c>
      <c r="N235" s="30">
        <v>46175</v>
      </c>
      <c r="O235" s="31">
        <f t="shared" si="83"/>
        <v>8958</v>
      </c>
      <c r="P235" s="32">
        <f>650+700*2+622</f>
        <v>2672</v>
      </c>
      <c r="Q235" s="32"/>
      <c r="R235" s="32"/>
      <c r="S235" s="32">
        <f t="shared" si="80"/>
        <v>2672</v>
      </c>
      <c r="T235" s="12"/>
      <c r="U235" s="12"/>
      <c r="V235" s="12"/>
      <c r="W235" s="12">
        <f t="shared" si="81"/>
        <v>2672</v>
      </c>
      <c r="Y235" s="62"/>
      <c r="Z235" s="66"/>
      <c r="AA235" s="86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46175</v>
      </c>
      <c r="C236" s="83">
        <f t="shared" si="82"/>
        <v>8889</v>
      </c>
      <c r="D236" s="32">
        <f>650*6+622</f>
        <v>4522</v>
      </c>
      <c r="E236" s="32"/>
      <c r="F236" s="32"/>
      <c r="G236" s="32">
        <f t="shared" si="78"/>
        <v>4522</v>
      </c>
      <c r="H236" s="12"/>
      <c r="I236" s="12"/>
      <c r="J236" s="12"/>
      <c r="K236" s="12">
        <f t="shared" si="79"/>
        <v>4522</v>
      </c>
      <c r="M236" s="10">
        <v>5</v>
      </c>
      <c r="N236" s="30">
        <v>46175</v>
      </c>
      <c r="O236" s="31">
        <f t="shared" si="83"/>
        <v>8959</v>
      </c>
      <c r="P236" s="32">
        <f>650*5+622+229</f>
        <v>4101</v>
      </c>
      <c r="Q236" s="32"/>
      <c r="R236" s="32"/>
      <c r="S236" s="32">
        <f t="shared" si="80"/>
        <v>4101</v>
      </c>
      <c r="T236" s="12"/>
      <c r="U236" s="12"/>
      <c r="V236" s="12"/>
      <c r="W236" s="12">
        <f t="shared" si="81"/>
        <v>4101</v>
      </c>
      <c r="Y236" s="62"/>
      <c r="Z236" s="66"/>
      <c r="AA236" s="86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46175</v>
      </c>
      <c r="C237" s="83">
        <f t="shared" si="82"/>
        <v>8890</v>
      </c>
      <c r="D237" s="32">
        <f>650*4+622*2+9.5*6</f>
        <v>3901</v>
      </c>
      <c r="E237" s="32"/>
      <c r="F237" s="32"/>
      <c r="G237" s="32">
        <f t="shared" si="78"/>
        <v>3901</v>
      </c>
      <c r="H237" s="12"/>
      <c r="I237" s="12"/>
      <c r="J237" s="12"/>
      <c r="K237" s="12">
        <f t="shared" si="79"/>
        <v>3901</v>
      </c>
      <c r="M237" s="10">
        <v>6</v>
      </c>
      <c r="N237" s="30">
        <v>46175</v>
      </c>
      <c r="O237" s="31">
        <f t="shared" si="83"/>
        <v>8960</v>
      </c>
      <c r="P237" s="32">
        <f>650*2+622+9.5*3</f>
        <v>1950.5</v>
      </c>
      <c r="Q237" s="32"/>
      <c r="R237" s="32"/>
      <c r="S237" s="32">
        <f t="shared" si="80"/>
        <v>1950.5</v>
      </c>
      <c r="T237" s="12"/>
      <c r="U237" s="12"/>
      <c r="V237" s="10"/>
      <c r="W237" s="12">
        <f t="shared" si="81"/>
        <v>1950.5</v>
      </c>
      <c r="Y237" s="62"/>
      <c r="Z237" s="66"/>
      <c r="AA237" s="86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46175</v>
      </c>
      <c r="C238" s="83">
        <f t="shared" si="82"/>
        <v>8891</v>
      </c>
      <c r="D238" s="32">
        <f>650*3+670+229</f>
        <v>2849</v>
      </c>
      <c r="E238" s="32"/>
      <c r="F238" s="32"/>
      <c r="G238" s="32">
        <f t="shared" si="78"/>
        <v>2849</v>
      </c>
      <c r="H238" s="12"/>
      <c r="I238" s="12"/>
      <c r="J238" s="12"/>
      <c r="K238" s="12">
        <f t="shared" si="79"/>
        <v>2849</v>
      </c>
      <c r="M238" s="10">
        <v>7</v>
      </c>
      <c r="N238" s="30">
        <v>46175</v>
      </c>
      <c r="O238" s="31">
        <f t="shared" si="83"/>
        <v>8961</v>
      </c>
      <c r="P238" s="32">
        <f>650*30+670*5+622*5+229</f>
        <v>26189</v>
      </c>
      <c r="Q238" s="32"/>
      <c r="R238" s="32"/>
      <c r="S238" s="32">
        <f t="shared" si="80"/>
        <v>26189</v>
      </c>
      <c r="T238" s="12"/>
      <c r="U238" s="12">
        <v>189</v>
      </c>
      <c r="V238" s="12"/>
      <c r="W238" s="12">
        <f t="shared" si="81"/>
        <v>26378</v>
      </c>
      <c r="Y238" s="62"/>
      <c r="Z238" s="66"/>
      <c r="AA238" s="86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46175</v>
      </c>
      <c r="C239" s="83">
        <f t="shared" si="82"/>
        <v>8892</v>
      </c>
      <c r="D239" s="32">
        <f>650*4+622+9.5*5</f>
        <v>3269.5</v>
      </c>
      <c r="E239" s="32"/>
      <c r="F239" s="32"/>
      <c r="G239" s="32">
        <f t="shared" si="78"/>
        <v>3269.5</v>
      </c>
      <c r="H239" s="12"/>
      <c r="I239" s="12"/>
      <c r="J239" s="12"/>
      <c r="K239" s="12">
        <f t="shared" si="79"/>
        <v>3269.5</v>
      </c>
      <c r="M239" s="10">
        <v>8</v>
      </c>
      <c r="N239" s="30">
        <v>46175</v>
      </c>
      <c r="O239" s="31">
        <f t="shared" si="83"/>
        <v>8962</v>
      </c>
      <c r="P239" s="32">
        <f>650*4+670+622+9.5*5</f>
        <v>3939.5</v>
      </c>
      <c r="Q239" s="32"/>
      <c r="R239" s="32"/>
      <c r="S239" s="32">
        <f t="shared" si="80"/>
        <v>3939.5</v>
      </c>
      <c r="T239" s="12"/>
      <c r="U239" s="12"/>
      <c r="V239" s="12"/>
      <c r="W239" s="12">
        <f t="shared" si="81"/>
        <v>3939.5</v>
      </c>
      <c r="Y239" s="62"/>
      <c r="Z239" s="66"/>
      <c r="AA239" s="86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46175</v>
      </c>
      <c r="C240" s="83">
        <f t="shared" si="82"/>
        <v>8893</v>
      </c>
      <c r="D240" s="32">
        <f>622</f>
        <v>622</v>
      </c>
      <c r="E240" s="32"/>
      <c r="F240" s="32"/>
      <c r="G240" s="32">
        <f t="shared" si="78"/>
        <v>622</v>
      </c>
      <c r="H240" s="12"/>
      <c r="I240" s="12"/>
      <c r="J240" s="12"/>
      <c r="K240" s="12">
        <f t="shared" si="79"/>
        <v>622</v>
      </c>
      <c r="M240" s="10">
        <v>9</v>
      </c>
      <c r="N240" s="30">
        <v>46175</v>
      </c>
      <c r="O240" s="31">
        <f t="shared" si="83"/>
        <v>8963</v>
      </c>
      <c r="P240" s="32">
        <f>650*4+9.5*4</f>
        <v>2638</v>
      </c>
      <c r="Q240" s="32"/>
      <c r="R240" s="32"/>
      <c r="S240" s="32">
        <f t="shared" si="80"/>
        <v>2638</v>
      </c>
      <c r="T240" s="12"/>
      <c r="U240" s="12"/>
      <c r="V240" s="12"/>
      <c r="W240" s="12">
        <f t="shared" si="81"/>
        <v>2638</v>
      </c>
      <c r="Y240" s="62"/>
      <c r="Z240" s="66"/>
      <c r="AA240" s="86"/>
      <c r="AB240" s="60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46175</v>
      </c>
      <c r="C241" s="83">
        <f t="shared" si="82"/>
        <v>8894</v>
      </c>
      <c r="D241" s="32">
        <f>650*2</f>
        <v>1300</v>
      </c>
      <c r="E241" s="32"/>
      <c r="F241" s="32"/>
      <c r="G241" s="32">
        <f t="shared" si="78"/>
        <v>1300</v>
      </c>
      <c r="H241" s="12"/>
      <c r="I241" s="12"/>
      <c r="J241" s="12"/>
      <c r="K241" s="12">
        <f t="shared" si="79"/>
        <v>1300</v>
      </c>
      <c r="M241" s="10">
        <v>10</v>
      </c>
      <c r="N241" s="30">
        <v>46175</v>
      </c>
      <c r="O241" s="31">
        <f t="shared" si="83"/>
        <v>8964</v>
      </c>
      <c r="P241" s="32">
        <f>650*2+670+9.5*2</f>
        <v>1989</v>
      </c>
      <c r="Q241" s="32"/>
      <c r="R241" s="32"/>
      <c r="S241" s="32">
        <f t="shared" si="80"/>
        <v>1989</v>
      </c>
      <c r="T241" s="12"/>
      <c r="U241" s="12"/>
      <c r="V241" s="12"/>
      <c r="W241" s="12">
        <f t="shared" si="81"/>
        <v>1989</v>
      </c>
      <c r="Y241" s="62"/>
      <c r="Z241" s="66"/>
      <c r="AA241" s="86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 t="s">
        <v>27</v>
      </c>
      <c r="D242" s="32"/>
      <c r="E242" s="32"/>
      <c r="F242" s="32"/>
      <c r="G242" s="32">
        <f t="shared" si="78"/>
        <v>0</v>
      </c>
      <c r="H242" s="12"/>
      <c r="I242" s="12"/>
      <c r="J242" s="12"/>
      <c r="K242" s="12">
        <f t="shared" si="79"/>
        <v>0</v>
      </c>
      <c r="M242" s="10">
        <v>11</v>
      </c>
      <c r="N242" s="30">
        <v>46175</v>
      </c>
      <c r="O242" s="31">
        <f t="shared" si="83"/>
        <v>8965</v>
      </c>
      <c r="P242" s="32">
        <f>650*3+9.5*3</f>
        <v>1978.5</v>
      </c>
      <c r="Q242" s="32"/>
      <c r="R242" s="32"/>
      <c r="S242" s="32">
        <f t="shared" si="80"/>
        <v>1978.5</v>
      </c>
      <c r="T242" s="12"/>
      <c r="U242" s="12"/>
      <c r="V242" s="12"/>
      <c r="W242" s="12">
        <f t="shared" si="81"/>
        <v>1978.5</v>
      </c>
      <c r="Y242" s="62"/>
      <c r="Z242" s="66"/>
      <c r="AA242" s="86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D243" s="32"/>
      <c r="E243" s="32"/>
      <c r="F243" s="32"/>
      <c r="G243" s="32">
        <f t="shared" si="78"/>
        <v>0</v>
      </c>
      <c r="H243" s="12"/>
      <c r="I243" s="12"/>
      <c r="J243" s="10"/>
      <c r="K243" s="12">
        <f t="shared" si="79"/>
        <v>0</v>
      </c>
      <c r="M243" s="10">
        <v>12</v>
      </c>
      <c r="N243" s="30">
        <v>46175</v>
      </c>
      <c r="O243" s="31">
        <f t="shared" si="83"/>
        <v>8966</v>
      </c>
      <c r="P243" s="32">
        <f>650*2+9.5*2</f>
        <v>1319</v>
      </c>
      <c r="Q243" s="32"/>
      <c r="R243" s="32"/>
      <c r="S243" s="32">
        <f t="shared" si="80"/>
        <v>1319</v>
      </c>
      <c r="T243" s="12"/>
      <c r="U243" s="12"/>
      <c r="V243" s="12"/>
      <c r="W243" s="12">
        <f t="shared" si="81"/>
        <v>1319</v>
      </c>
      <c r="Y243" s="62"/>
      <c r="Z243" s="66"/>
      <c r="AA243" s="65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78"/>
        <v>0</v>
      </c>
      <c r="H244" s="12"/>
      <c r="I244" s="12"/>
      <c r="J244" s="12"/>
      <c r="K244" s="12">
        <f t="shared" si="79"/>
        <v>0</v>
      </c>
      <c r="M244" s="10">
        <v>13</v>
      </c>
      <c r="N244" s="30">
        <v>46175</v>
      </c>
      <c r="O244" s="31">
        <f t="shared" si="83"/>
        <v>8967</v>
      </c>
      <c r="P244" s="32">
        <f>650*6+622*3+9.5*9</f>
        <v>5851.5</v>
      </c>
      <c r="Q244" s="32"/>
      <c r="R244" s="32"/>
      <c r="S244" s="32">
        <f t="shared" si="80"/>
        <v>5851.5</v>
      </c>
      <c r="T244" s="12"/>
      <c r="U244" s="12"/>
      <c r="V244" s="12">
        <v>-222</v>
      </c>
      <c r="W244" s="12">
        <f t="shared" si="81"/>
        <v>5629.5</v>
      </c>
      <c r="Y244" s="62"/>
      <c r="Z244" s="66"/>
      <c r="AA244" s="86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78"/>
        <v>0</v>
      </c>
      <c r="H245" s="12"/>
      <c r="I245" s="12"/>
      <c r="J245" s="12"/>
      <c r="K245" s="12">
        <f t="shared" si="79"/>
        <v>0</v>
      </c>
      <c r="M245" s="10">
        <v>14</v>
      </c>
      <c r="N245" s="30">
        <v>46175</v>
      </c>
      <c r="O245" s="31">
        <f t="shared" si="83"/>
        <v>8968</v>
      </c>
      <c r="P245" s="32">
        <f>650*4+622*10+9.5*14</f>
        <v>8953</v>
      </c>
      <c r="Q245" s="32"/>
      <c r="R245" s="32"/>
      <c r="S245" s="32">
        <f t="shared" si="80"/>
        <v>8953</v>
      </c>
      <c r="T245" s="12"/>
      <c r="U245" s="12"/>
      <c r="V245" s="12">
        <v>-222</v>
      </c>
      <c r="W245" s="12">
        <f t="shared" si="81"/>
        <v>8731</v>
      </c>
      <c r="Y245" s="62"/>
      <c r="Z245" s="66"/>
      <c r="AA245" s="86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78"/>
        <v>0</v>
      </c>
      <c r="H246" s="12"/>
      <c r="I246" s="12"/>
      <c r="J246" s="12"/>
      <c r="K246" s="12">
        <f t="shared" si="79"/>
        <v>0</v>
      </c>
      <c r="M246" s="10">
        <v>15</v>
      </c>
      <c r="N246" s="30">
        <v>46175</v>
      </c>
      <c r="O246" s="31">
        <f t="shared" si="83"/>
        <v>8969</v>
      </c>
      <c r="P246" s="32">
        <f>650*9</f>
        <v>5850</v>
      </c>
      <c r="Q246" s="32"/>
      <c r="R246" s="32"/>
      <c r="S246" s="32">
        <f t="shared" si="80"/>
        <v>5850</v>
      </c>
      <c r="T246" s="12"/>
      <c r="U246" s="12"/>
      <c r="V246" s="12"/>
      <c r="W246" s="12">
        <f t="shared" si="81"/>
        <v>5850</v>
      </c>
      <c r="Y246" s="62"/>
      <c r="Z246" s="66"/>
      <c r="AA246" s="86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8"/>
        <v>0</v>
      </c>
      <c r="H247" s="12"/>
      <c r="I247" s="12"/>
      <c r="J247" s="12"/>
      <c r="K247" s="12">
        <f t="shared" si="79"/>
        <v>0</v>
      </c>
      <c r="M247" s="10">
        <v>16</v>
      </c>
      <c r="N247" s="30">
        <v>46175</v>
      </c>
      <c r="O247" s="31">
        <f t="shared" si="83"/>
        <v>8970</v>
      </c>
      <c r="P247" s="32">
        <f>650*2+9.5*2</f>
        <v>1319</v>
      </c>
      <c r="Q247" s="32"/>
      <c r="R247" s="32"/>
      <c r="S247" s="32">
        <f t="shared" si="80"/>
        <v>1319</v>
      </c>
      <c r="T247" s="12"/>
      <c r="U247" s="12"/>
      <c r="V247" s="12"/>
      <c r="W247" s="12">
        <f t="shared" si="81"/>
        <v>1319</v>
      </c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78"/>
        <v>0</v>
      </c>
      <c r="H248" s="12"/>
      <c r="I248" s="12"/>
      <c r="J248" s="12"/>
      <c r="K248" s="12">
        <f t="shared" si="79"/>
        <v>0</v>
      </c>
      <c r="M248" s="10">
        <v>17</v>
      </c>
      <c r="N248" s="30">
        <v>46175</v>
      </c>
      <c r="O248" s="31">
        <f t="shared" si="83"/>
        <v>8971</v>
      </c>
      <c r="P248" s="35">
        <f>650*4+912+9.5*4</f>
        <v>3550</v>
      </c>
      <c r="Q248" s="32"/>
      <c r="R248" s="32"/>
      <c r="S248" s="32">
        <f t="shared" si="80"/>
        <v>3550</v>
      </c>
      <c r="T248" s="12"/>
      <c r="U248" s="12"/>
      <c r="V248" s="12"/>
      <c r="W248" s="12">
        <f t="shared" si="81"/>
        <v>3550</v>
      </c>
      <c r="Y248" s="62"/>
      <c r="Z248" s="66"/>
      <c r="AA248" s="86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3"/>
      <c r="D249" s="32"/>
      <c r="E249" s="32"/>
      <c r="F249" s="32"/>
      <c r="G249" s="32">
        <f t="shared" si="78"/>
        <v>0</v>
      </c>
      <c r="H249" s="12"/>
      <c r="I249" s="12"/>
      <c r="J249" s="12"/>
      <c r="K249" s="12">
        <f t="shared" si="79"/>
        <v>0</v>
      </c>
      <c r="M249" s="10">
        <v>18</v>
      </c>
      <c r="N249" s="30">
        <v>46175</v>
      </c>
      <c r="O249" s="31">
        <f t="shared" si="83"/>
        <v>8972</v>
      </c>
      <c r="P249" s="32">
        <f>650*3+9.5*3</f>
        <v>1978.5</v>
      </c>
      <c r="Q249" s="32"/>
      <c r="R249" s="32"/>
      <c r="S249" s="32">
        <f t="shared" si="80"/>
        <v>1978.5</v>
      </c>
      <c r="T249" s="12"/>
      <c r="U249" s="12"/>
      <c r="V249" s="12"/>
      <c r="W249" s="12">
        <f t="shared" si="81"/>
        <v>1978.5</v>
      </c>
      <c r="Y249" s="62"/>
      <c r="Z249" s="66"/>
      <c r="AA249" s="86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78"/>
        <v>0</v>
      </c>
      <c r="H250" s="12"/>
      <c r="I250" s="12"/>
      <c r="J250" s="12"/>
      <c r="K250" s="12">
        <f t="shared" si="79"/>
        <v>0</v>
      </c>
      <c r="M250" s="10">
        <v>19</v>
      </c>
      <c r="N250" s="30">
        <v>46175</v>
      </c>
      <c r="O250" s="31">
        <f t="shared" si="83"/>
        <v>8973</v>
      </c>
      <c r="P250" s="32">
        <f>650*3+9.5*3</f>
        <v>1978.5</v>
      </c>
      <c r="Q250" s="32"/>
      <c r="R250" s="32"/>
      <c r="S250" s="32">
        <f t="shared" si="80"/>
        <v>1978.5</v>
      </c>
      <c r="T250" s="12"/>
      <c r="U250" s="12"/>
      <c r="V250" s="12"/>
      <c r="W250" s="12">
        <f t="shared" si="81"/>
        <v>1978.5</v>
      </c>
      <c r="Y250" s="62"/>
      <c r="Z250" s="66"/>
      <c r="AA250" s="86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78"/>
        <v>0</v>
      </c>
      <c r="H251" s="12"/>
      <c r="I251" s="12"/>
      <c r="J251" s="12"/>
      <c r="K251" s="12">
        <f t="shared" si="79"/>
        <v>0</v>
      </c>
      <c r="M251" s="10">
        <v>20</v>
      </c>
      <c r="N251" s="30">
        <v>46175</v>
      </c>
      <c r="O251" s="31">
        <f t="shared" si="83"/>
        <v>8974</v>
      </c>
      <c r="P251" s="32">
        <f>650*4+9.5*4</f>
        <v>2638</v>
      </c>
      <c r="Q251" s="32"/>
      <c r="R251" s="32"/>
      <c r="S251" s="32">
        <f t="shared" si="80"/>
        <v>2638</v>
      </c>
      <c r="T251" s="12"/>
      <c r="U251" s="12"/>
      <c r="V251" s="12"/>
      <c r="W251" s="12">
        <f t="shared" si="81"/>
        <v>2638</v>
      </c>
      <c r="Y251" s="62"/>
      <c r="Z251" s="66"/>
      <c r="AA251" s="86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57"/>
      <c r="D252" s="32"/>
      <c r="E252" s="32"/>
      <c r="F252" s="32"/>
      <c r="G252" s="32">
        <f t="shared" si="78"/>
        <v>0</v>
      </c>
      <c r="H252" s="10"/>
      <c r="I252" s="10"/>
      <c r="J252" s="10"/>
      <c r="K252" s="12">
        <f t="shared" si="79"/>
        <v>0</v>
      </c>
      <c r="M252" s="10">
        <v>21</v>
      </c>
      <c r="N252" s="30">
        <v>46175</v>
      </c>
      <c r="O252" s="31">
        <f t="shared" si="83"/>
        <v>8975</v>
      </c>
      <c r="P252" s="92">
        <f>650*70+622*30+229*2</f>
        <v>64618</v>
      </c>
      <c r="Q252" s="31"/>
      <c r="R252" s="31"/>
      <c r="S252" s="32">
        <f t="shared" si="80"/>
        <v>64618</v>
      </c>
      <c r="T252" s="10"/>
      <c r="U252" s="10">
        <f>111*2+78*2+4.5*2</f>
        <v>387</v>
      </c>
      <c r="V252" s="10"/>
      <c r="W252" s="12">
        <f t="shared" si="81"/>
        <v>65005</v>
      </c>
      <c r="Y252" s="62"/>
      <c r="Z252" s="66"/>
      <c r="AA252" s="62"/>
      <c r="AB252" s="67"/>
      <c r="AC252" s="86"/>
      <c r="AD252" s="86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78"/>
        <v>0</v>
      </c>
      <c r="H253" s="10"/>
      <c r="I253" s="10"/>
      <c r="J253" s="10"/>
      <c r="K253" s="12">
        <f t="shared" si="79"/>
        <v>0</v>
      </c>
      <c r="M253" s="10">
        <v>22</v>
      </c>
      <c r="N253" s="30">
        <v>46175</v>
      </c>
      <c r="O253" s="31">
        <f t="shared" si="83"/>
        <v>8976</v>
      </c>
      <c r="P253" s="92">
        <f>872*5</f>
        <v>4360</v>
      </c>
      <c r="Q253" s="31"/>
      <c r="R253" s="31"/>
      <c r="S253" s="32">
        <f t="shared" si="80"/>
        <v>4360</v>
      </c>
      <c r="T253" s="10"/>
      <c r="U253" s="10">
        <f>120*5</f>
        <v>600</v>
      </c>
      <c r="V253" s="10"/>
      <c r="W253" s="12">
        <f t="shared" si="81"/>
        <v>4960</v>
      </c>
      <c r="Y253" s="62"/>
      <c r="Z253" s="66"/>
      <c r="AA253" s="86"/>
      <c r="AB253" s="68"/>
      <c r="AC253" s="86"/>
      <c r="AD253" s="86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78"/>
        <v>0</v>
      </c>
      <c r="H254" s="10"/>
      <c r="I254" s="10"/>
      <c r="J254" s="12"/>
      <c r="K254" s="12">
        <f t="shared" si="79"/>
        <v>0</v>
      </c>
      <c r="M254" s="10">
        <v>23</v>
      </c>
      <c r="N254" s="30">
        <v>46175</v>
      </c>
      <c r="O254" s="31">
        <f t="shared" si="83"/>
        <v>8977</v>
      </c>
      <c r="P254" s="47">
        <f>650+622</f>
        <v>1272</v>
      </c>
      <c r="Q254" s="31"/>
      <c r="S254" s="32">
        <f t="shared" si="80"/>
        <v>1272</v>
      </c>
      <c r="T254" s="10"/>
      <c r="U254" s="10"/>
      <c r="V254" s="10"/>
      <c r="W254" s="12">
        <f t="shared" si="81"/>
        <v>1272</v>
      </c>
      <c r="Y254" s="62"/>
      <c r="Z254" s="66"/>
      <c r="AA254" s="86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78"/>
        <v>0</v>
      </c>
      <c r="H255" s="10"/>
      <c r="I255" s="10"/>
      <c r="J255" s="10"/>
      <c r="K255" s="12">
        <f t="shared" si="79"/>
        <v>0</v>
      </c>
      <c r="M255" s="10">
        <v>24</v>
      </c>
      <c r="N255" s="30"/>
      <c r="O255" s="11" t="s">
        <v>27</v>
      </c>
      <c r="P255" s="47"/>
      <c r="Q255" s="31"/>
      <c r="R255" s="31"/>
      <c r="S255" s="32">
        <f t="shared" si="80"/>
        <v>0</v>
      </c>
      <c r="T255" s="10"/>
      <c r="U255" s="10"/>
      <c r="V255" s="10"/>
      <c r="W255" s="12">
        <f t="shared" si="81"/>
        <v>0</v>
      </c>
      <c r="Y255" s="62"/>
      <c r="Z255" s="66"/>
      <c r="AA255" s="86"/>
      <c r="AB255" s="69"/>
      <c r="AC255" s="86"/>
      <c r="AD255" s="86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78"/>
        <v>0</v>
      </c>
      <c r="H256" s="10"/>
      <c r="I256" s="10"/>
      <c r="J256" s="10"/>
      <c r="K256" s="12">
        <f t="shared" si="79"/>
        <v>0</v>
      </c>
      <c r="M256" s="10">
        <v>25</v>
      </c>
      <c r="N256" s="30"/>
      <c r="O256" s="31"/>
      <c r="P256" s="47"/>
      <c r="Q256" s="31"/>
      <c r="R256" s="31"/>
      <c r="S256" s="32">
        <f t="shared" si="80"/>
        <v>0</v>
      </c>
      <c r="T256" s="10"/>
      <c r="U256" s="10"/>
      <c r="V256" s="10"/>
      <c r="W256" s="12">
        <f t="shared" si="81"/>
        <v>0</v>
      </c>
      <c r="Y256" s="62"/>
      <c r="Z256" s="66"/>
      <c r="AA256" s="86"/>
      <c r="AB256" s="69"/>
      <c r="AC256" s="86"/>
      <c r="AD256" s="86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78"/>
        <v>0</v>
      </c>
      <c r="H257" s="10"/>
      <c r="I257" s="10"/>
      <c r="J257" s="10"/>
      <c r="K257" s="12">
        <f t="shared" si="79"/>
        <v>0</v>
      </c>
      <c r="M257" s="10">
        <v>26</v>
      </c>
      <c r="N257" s="30"/>
      <c r="P257" s="47"/>
      <c r="Q257" s="31"/>
      <c r="R257" s="31"/>
      <c r="S257" s="32">
        <f t="shared" si="80"/>
        <v>0</v>
      </c>
      <c r="T257" s="10"/>
      <c r="U257" s="10"/>
      <c r="V257" s="10"/>
      <c r="W257" s="12">
        <f t="shared" si="81"/>
        <v>0</v>
      </c>
      <c r="Y257" s="62"/>
      <c r="Z257" s="66"/>
      <c r="AA257" s="86"/>
      <c r="AB257" s="69"/>
      <c r="AC257" s="86"/>
      <c r="AD257" s="86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78"/>
        <v>0</v>
      </c>
      <c r="H258" s="10"/>
      <c r="I258" s="10"/>
      <c r="J258" s="10"/>
      <c r="K258" s="12">
        <f t="shared" si="79"/>
        <v>0</v>
      </c>
      <c r="M258" s="10">
        <v>27</v>
      </c>
      <c r="N258" s="30"/>
      <c r="O258" s="31"/>
      <c r="P258" s="47"/>
      <c r="Q258" s="31"/>
      <c r="R258" s="31"/>
      <c r="S258" s="32">
        <f t="shared" si="80"/>
        <v>0</v>
      </c>
      <c r="T258" s="10"/>
      <c r="U258" s="10"/>
      <c r="V258" s="10"/>
      <c r="W258" s="12">
        <f t="shared" si="81"/>
        <v>0</v>
      </c>
      <c r="Y258" s="62"/>
      <c r="Z258" s="66"/>
      <c r="AA258" s="86"/>
      <c r="AB258" s="69"/>
      <c r="AC258" s="86"/>
      <c r="AD258" s="86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78"/>
        <v>0</v>
      </c>
      <c r="H259" s="10"/>
      <c r="I259" s="10"/>
      <c r="J259" s="10"/>
      <c r="K259" s="12">
        <f t="shared" si="79"/>
        <v>0</v>
      </c>
      <c r="M259" s="10">
        <v>28</v>
      </c>
      <c r="N259" s="30"/>
      <c r="O259" s="31"/>
      <c r="P259" s="47"/>
      <c r="Q259" s="31"/>
      <c r="R259" s="31"/>
      <c r="S259" s="32">
        <f t="shared" si="80"/>
        <v>0</v>
      </c>
      <c r="T259" s="10"/>
      <c r="U259" s="10"/>
      <c r="V259" s="10"/>
      <c r="W259" s="12">
        <f t="shared" si="81"/>
        <v>0</v>
      </c>
      <c r="Y259" s="62"/>
      <c r="Z259" s="66"/>
      <c r="AA259" s="86"/>
      <c r="AB259" s="69"/>
      <c r="AC259" s="86"/>
      <c r="AD259" s="86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57"/>
      <c r="D260" s="32"/>
      <c r="E260" s="32"/>
      <c r="F260" s="32"/>
      <c r="G260" s="32">
        <f t="shared" si="78"/>
        <v>0</v>
      </c>
      <c r="H260" s="10"/>
      <c r="I260" s="10"/>
      <c r="J260" s="10"/>
      <c r="K260" s="12">
        <f t="shared" si="79"/>
        <v>0</v>
      </c>
      <c r="M260" s="10">
        <v>29</v>
      </c>
      <c r="N260" s="30"/>
      <c r="O260" s="31"/>
      <c r="P260" s="47"/>
      <c r="Q260" s="31"/>
      <c r="R260" s="31"/>
      <c r="S260" s="32">
        <f t="shared" si="80"/>
        <v>0</v>
      </c>
      <c r="T260" s="10"/>
      <c r="U260" s="10"/>
      <c r="V260" s="10"/>
      <c r="W260" s="12">
        <f t="shared" si="81"/>
        <v>0</v>
      </c>
      <c r="Y260" s="62"/>
      <c r="Z260" s="66"/>
      <c r="AA260" s="86"/>
      <c r="AB260" s="69"/>
      <c r="AC260" s="86"/>
      <c r="AD260" s="86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78"/>
        <v>0</v>
      </c>
      <c r="H261" s="10"/>
      <c r="I261" s="10"/>
      <c r="J261" s="10"/>
      <c r="K261" s="12">
        <f t="shared" si="79"/>
        <v>0</v>
      </c>
      <c r="M261" s="10">
        <v>30</v>
      </c>
      <c r="N261" s="30"/>
      <c r="P261" s="47"/>
      <c r="Q261" s="31"/>
      <c r="R261" s="31"/>
      <c r="S261" s="32">
        <f t="shared" si="80"/>
        <v>0</v>
      </c>
      <c r="T261" s="10"/>
      <c r="U261" s="10"/>
      <c r="V261" s="10"/>
      <c r="W261" s="12">
        <f t="shared" si="81"/>
        <v>0</v>
      </c>
      <c r="Y261" s="62"/>
      <c r="Z261" s="66"/>
      <c r="AA261" s="86"/>
      <c r="AB261" s="69"/>
      <c r="AC261" s="86"/>
      <c r="AD261" s="86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78"/>
        <v>0</v>
      </c>
      <c r="H262" s="10"/>
      <c r="I262" s="10"/>
      <c r="J262" s="10"/>
      <c r="K262" s="12">
        <f t="shared" si="79"/>
        <v>0</v>
      </c>
      <c r="M262" s="10">
        <v>31</v>
      </c>
      <c r="N262" s="30"/>
      <c r="O262" s="31"/>
      <c r="P262" s="47"/>
      <c r="Q262" s="31"/>
      <c r="R262" s="31"/>
      <c r="S262" s="32">
        <f t="shared" si="80"/>
        <v>0</v>
      </c>
      <c r="T262" s="10"/>
      <c r="U262" s="10"/>
      <c r="V262" s="10"/>
      <c r="W262" s="12">
        <f t="shared" si="81"/>
        <v>0</v>
      </c>
      <c r="Y262" s="62"/>
      <c r="Z262" s="66"/>
      <c r="AA262" s="86"/>
      <c r="AB262" s="69"/>
      <c r="AC262" s="86"/>
      <c r="AD262" s="86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78"/>
        <v>0</v>
      </c>
      <c r="H263" s="10"/>
      <c r="I263" s="10"/>
      <c r="J263" s="10"/>
      <c r="K263" s="12">
        <f t="shared" si="79"/>
        <v>0</v>
      </c>
      <c r="M263" s="10">
        <v>32</v>
      </c>
      <c r="N263" s="30"/>
      <c r="O263" s="31"/>
      <c r="P263" s="47"/>
      <c r="Q263" s="31"/>
      <c r="R263" s="31"/>
      <c r="S263" s="32">
        <f t="shared" si="80"/>
        <v>0</v>
      </c>
      <c r="T263" s="10"/>
      <c r="U263" s="10"/>
      <c r="V263" s="10"/>
      <c r="W263" s="12">
        <f t="shared" si="81"/>
        <v>0</v>
      </c>
      <c r="Y263" s="62"/>
      <c r="Z263" s="66"/>
      <c r="AA263" s="86"/>
      <c r="AB263" s="69"/>
      <c r="AC263" s="86"/>
      <c r="AD263" s="86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78"/>
        <v>0</v>
      </c>
      <c r="H264" s="10"/>
      <c r="I264" s="10"/>
      <c r="J264" s="10"/>
      <c r="K264" s="12">
        <f t="shared" si="79"/>
        <v>0</v>
      </c>
      <c r="M264" s="10">
        <v>33</v>
      </c>
      <c r="N264" s="30"/>
      <c r="O264" s="31"/>
      <c r="P264" s="47"/>
      <c r="Q264" s="31"/>
      <c r="R264" s="31"/>
      <c r="S264" s="32">
        <f t="shared" si="80"/>
        <v>0</v>
      </c>
      <c r="T264" s="10"/>
      <c r="U264" s="10"/>
      <c r="V264" s="10"/>
      <c r="W264" s="12">
        <f t="shared" si="81"/>
        <v>0</v>
      </c>
      <c r="Y264" s="62"/>
      <c r="Z264" s="66"/>
      <c r="AA264" s="86"/>
      <c r="AB264" s="69"/>
      <c r="AC264" s="86"/>
      <c r="AD264" s="86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78"/>
        <v>0</v>
      </c>
      <c r="H265" s="10"/>
      <c r="I265" s="10"/>
      <c r="J265" s="10"/>
      <c r="K265" s="12">
        <f t="shared" si="79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4">SUM(P265:Q265)</f>
        <v>0</v>
      </c>
      <c r="T265" s="10"/>
      <c r="U265" s="10"/>
      <c r="V265" s="10"/>
      <c r="W265" s="12">
        <f t="shared" ref="W265:W273" si="85">SUM(S265:V265)</f>
        <v>0</v>
      </c>
      <c r="Y265" s="62"/>
      <c r="Z265" s="66"/>
      <c r="AA265" s="86"/>
      <c r="AB265" s="69"/>
      <c r="AC265" s="86"/>
      <c r="AD265" s="86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4"/>
        <v>0</v>
      </c>
      <c r="T266" s="10"/>
      <c r="U266" s="10"/>
      <c r="V266" s="10"/>
      <c r="W266" s="12">
        <f t="shared" si="85"/>
        <v>0</v>
      </c>
      <c r="Y266" s="62"/>
      <c r="Z266" s="66"/>
      <c r="AA266" s="86"/>
      <c r="AB266" s="69"/>
      <c r="AC266" s="86"/>
      <c r="AD266" s="86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4"/>
        <v>0</v>
      </c>
      <c r="T267" s="10"/>
      <c r="U267" s="10"/>
      <c r="V267" s="10"/>
      <c r="W267" s="12">
        <f t="shared" si="85"/>
        <v>0</v>
      </c>
      <c r="Y267" s="62"/>
      <c r="Z267" s="66"/>
      <c r="AA267" s="86"/>
      <c r="AB267" s="69"/>
      <c r="AC267" s="86"/>
      <c r="AD267" s="86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4"/>
        <v>0</v>
      </c>
      <c r="T268" s="10"/>
      <c r="U268" s="10"/>
      <c r="V268" s="10"/>
      <c r="W268" s="12">
        <f t="shared" si="85"/>
        <v>0</v>
      </c>
      <c r="Y268" s="62"/>
      <c r="Z268" s="66"/>
      <c r="AA268" s="86"/>
      <c r="AB268" s="69"/>
      <c r="AC268" s="86"/>
      <c r="AD268" s="86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4"/>
        <v>0</v>
      </c>
      <c r="T269" s="10"/>
      <c r="U269" s="10"/>
      <c r="V269" s="10"/>
      <c r="W269" s="12">
        <f t="shared" si="85"/>
        <v>0</v>
      </c>
      <c r="Y269" s="62"/>
      <c r="Z269" s="66"/>
      <c r="AA269" s="86"/>
      <c r="AB269" s="69"/>
      <c r="AC269" s="86"/>
      <c r="AD269" s="86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4"/>
        <v>0</v>
      </c>
      <c r="T270" s="10"/>
      <c r="U270" s="10"/>
      <c r="V270" s="10"/>
      <c r="W270" s="12">
        <f t="shared" si="85"/>
        <v>0</v>
      </c>
      <c r="Y270" s="62"/>
      <c r="Z270" s="66"/>
      <c r="AA270" s="86"/>
      <c r="AB270" s="69"/>
      <c r="AC270" s="86"/>
      <c r="AD270" s="86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5"/>
        <v>0</v>
      </c>
      <c r="Y271" s="62"/>
      <c r="Z271" s="66"/>
      <c r="AA271" s="62"/>
      <c r="AB271" s="69"/>
      <c r="AC271" s="86"/>
      <c r="AD271" s="86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6">SUM(D272:E272)</f>
        <v>0</v>
      </c>
      <c r="H272" s="10"/>
      <c r="I272" s="10"/>
      <c r="J272" s="10"/>
      <c r="K272" s="12">
        <f t="shared" ref="K272" si="87">SUM(G272:J272)</f>
        <v>0</v>
      </c>
      <c r="M272" s="10"/>
      <c r="N272" s="30"/>
      <c r="O272" s="31"/>
      <c r="P272" s="47"/>
      <c r="Q272" s="31"/>
      <c r="R272" s="31"/>
      <c r="S272" s="32">
        <f t="shared" ref="S272" si="88">SUM(P272:Q272)</f>
        <v>0</v>
      </c>
      <c r="T272" s="10"/>
      <c r="U272" s="10"/>
      <c r="V272" s="10"/>
      <c r="W272" s="12">
        <f t="shared" si="85"/>
        <v>0</v>
      </c>
      <c r="Y272" s="62"/>
      <c r="Z272" s="66"/>
      <c r="AA272" s="86"/>
      <c r="AB272" s="69"/>
      <c r="AC272" s="86"/>
      <c r="AD272" s="86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5"/>
        <v>0</v>
      </c>
      <c r="Y273" s="62"/>
      <c r="Z273" s="86"/>
      <c r="AA273" s="86"/>
      <c r="AB273" s="86"/>
      <c r="AC273" s="86"/>
      <c r="AD273" s="86"/>
      <c r="AE273" s="86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Y274" s="62"/>
      <c r="Z274" s="86"/>
      <c r="AA274" s="86"/>
      <c r="AB274" s="86"/>
      <c r="AC274" s="86"/>
      <c r="AD274" s="86"/>
      <c r="AE274" s="86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155067.5</v>
      </c>
      <c r="E275" s="38">
        <f t="shared" ref="E275:F275" si="89">SUM(E232:E272)</f>
        <v>0</v>
      </c>
      <c r="F275" s="38">
        <f t="shared" si="89"/>
        <v>0</v>
      </c>
      <c r="G275" s="38">
        <f>SUM(G232:G274)</f>
        <v>155067.5</v>
      </c>
      <c r="H275" s="4"/>
      <c r="I275" s="39">
        <f>SUM(I232:I274)</f>
        <v>13050</v>
      </c>
      <c r="J275" s="39">
        <f>SUM(J232:J274)</f>
        <v>-19566</v>
      </c>
      <c r="K275" s="40">
        <f>SUM(K232:K274)</f>
        <v>148551.5</v>
      </c>
      <c r="N275" s="57"/>
      <c r="O275" s="57"/>
      <c r="P275" s="38">
        <f>SUM(P232:P274)</f>
        <v>163626</v>
      </c>
      <c r="Q275" s="38">
        <f>SUM(Q232:Q256)</f>
        <v>0</v>
      </c>
      <c r="R275" s="38">
        <f>SUM(R232:R256)</f>
        <v>0</v>
      </c>
      <c r="S275" s="38">
        <f>SUM(S232:S274)</f>
        <v>163626</v>
      </c>
      <c r="T275" s="4"/>
      <c r="U275" s="41">
        <f>SUM(U232:U274)</f>
        <v>1176</v>
      </c>
      <c r="V275" s="41">
        <f>SUM(V232:V256)</f>
        <v>-444</v>
      </c>
      <c r="W275" s="42">
        <f>SUM(W232:W274)</f>
        <v>164358</v>
      </c>
      <c r="Y275" s="62"/>
      <c r="Z275" s="86"/>
      <c r="AA275" s="86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06" t="s">
        <v>17</v>
      </c>
      <c r="E285" s="106"/>
      <c r="F285" s="91"/>
      <c r="G285" s="27"/>
      <c r="I285" s="104" t="s">
        <v>18</v>
      </c>
      <c r="J285" s="105"/>
      <c r="K285" s="102" t="s">
        <v>19</v>
      </c>
      <c r="N285" s="25"/>
      <c r="O285" s="26"/>
      <c r="P285" s="106" t="s">
        <v>17</v>
      </c>
      <c r="Q285" s="106"/>
      <c r="R285" s="91"/>
      <c r="S285" s="27"/>
      <c r="U285" s="104" t="s">
        <v>18</v>
      </c>
      <c r="V285" s="105"/>
      <c r="W285" s="102" t="s">
        <v>19</v>
      </c>
      <c r="Z285" s="25"/>
      <c r="AA285" s="26"/>
      <c r="AB285" s="106" t="s">
        <v>17</v>
      </c>
      <c r="AC285" s="106"/>
      <c r="AD285" s="91"/>
      <c r="AE285" s="27"/>
      <c r="AG285" s="104" t="s">
        <v>18</v>
      </c>
      <c r="AH285" s="105"/>
      <c r="AI285" s="102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03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03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03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46205</v>
      </c>
      <c r="C287" s="83">
        <v>8798</v>
      </c>
      <c r="D287" s="32">
        <f>650*5</f>
        <v>3250</v>
      </c>
      <c r="E287" s="32"/>
      <c r="F287" s="32"/>
      <c r="G287" s="32">
        <f t="shared" ref="G287:G320" si="90">SUM(D287:E287)</f>
        <v>3250</v>
      </c>
      <c r="H287" s="12"/>
      <c r="I287" s="12"/>
      <c r="J287" s="12"/>
      <c r="K287" s="12">
        <f t="shared" ref="K287:K320" si="91">SUM(G287:J287)</f>
        <v>3250</v>
      </c>
      <c r="M287" s="10">
        <v>1</v>
      </c>
      <c r="N287" s="30">
        <v>46205</v>
      </c>
      <c r="O287" s="31">
        <v>8978</v>
      </c>
      <c r="P287" s="32">
        <f>650*75+670*5+229*3</f>
        <v>52787</v>
      </c>
      <c r="Q287" s="32"/>
      <c r="R287" s="32"/>
      <c r="S287" s="32">
        <f>SUM(P287:Q287)</f>
        <v>52787</v>
      </c>
      <c r="T287" s="12"/>
      <c r="U287" s="12">
        <f>4.5*42</f>
        <v>189</v>
      </c>
      <c r="V287" s="12"/>
      <c r="W287" s="12">
        <f>SUM(S287:V287)</f>
        <v>52976</v>
      </c>
      <c r="Y287" s="10">
        <v>1</v>
      </c>
      <c r="Z287" s="30">
        <v>46205</v>
      </c>
      <c r="AA287" s="31">
        <v>8919</v>
      </c>
      <c r="AB287" s="32">
        <f>650*50+670*4+622*10+229</f>
        <v>41629</v>
      </c>
      <c r="AC287" s="32"/>
      <c r="AD287" s="32"/>
      <c r="AE287" s="32">
        <f>SUM(AB287:AC287)</f>
        <v>41629</v>
      </c>
      <c r="AF287" s="12"/>
      <c r="AG287" s="12"/>
      <c r="AH287" s="12"/>
      <c r="AI287" s="12">
        <f>SUM(AE287:AH287)</f>
        <v>41629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46205</v>
      </c>
      <c r="C288" s="83">
        <f>C287+1</f>
        <v>8799</v>
      </c>
      <c r="D288" s="32">
        <f>650*6+9.5*6</f>
        <v>3957</v>
      </c>
      <c r="E288" s="32"/>
      <c r="F288" s="32"/>
      <c r="G288" s="32">
        <f t="shared" si="90"/>
        <v>3957</v>
      </c>
      <c r="H288" s="12"/>
      <c r="I288" s="12"/>
      <c r="J288" s="12"/>
      <c r="K288" s="12">
        <f t="shared" si="91"/>
        <v>3957</v>
      </c>
      <c r="M288" s="10">
        <v>2</v>
      </c>
      <c r="N288" s="30">
        <v>46205</v>
      </c>
      <c r="O288" s="31">
        <f>O287+1</f>
        <v>8979</v>
      </c>
      <c r="P288" s="32">
        <f>670*5</f>
        <v>3350</v>
      </c>
      <c r="Q288" s="32"/>
      <c r="R288" s="32"/>
      <c r="S288" s="32">
        <f t="shared" ref="S288:S325" si="92">SUM(P288:Q288)</f>
        <v>3350</v>
      </c>
      <c r="T288" s="12"/>
      <c r="U288" s="12"/>
      <c r="V288" s="12"/>
      <c r="W288" s="12">
        <f t="shared" ref="W288:W328" si="93">SUM(S288:V288)</f>
        <v>3350</v>
      </c>
      <c r="Y288" s="10">
        <v>2</v>
      </c>
      <c r="Z288" s="30">
        <v>46205</v>
      </c>
      <c r="AA288" s="31">
        <f>AA287+1</f>
        <v>8920</v>
      </c>
      <c r="AB288" s="32"/>
      <c r="AD288" s="32"/>
      <c r="AE288" s="32">
        <f t="shared" ref="AE288:AE289" si="94">SUM(AB288:AC288)</f>
        <v>0</v>
      </c>
      <c r="AF288" s="12"/>
      <c r="AG288" s="12"/>
      <c r="AI288" s="12">
        <f t="shared" ref="AI288:AI289" si="95">SUM(AE288:AH288)</f>
        <v>0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46205</v>
      </c>
      <c r="C289" s="83">
        <f t="shared" ref="C289:C295" si="96">C288+1</f>
        <v>8800</v>
      </c>
      <c r="D289" s="33">
        <f>650+622+9.5*2</f>
        <v>1291</v>
      </c>
      <c r="E289" s="33"/>
      <c r="F289" s="33"/>
      <c r="G289" s="33">
        <f t="shared" si="90"/>
        <v>1291</v>
      </c>
      <c r="H289" s="34"/>
      <c r="I289" s="34"/>
      <c r="J289" s="34"/>
      <c r="K289" s="34">
        <f t="shared" si="91"/>
        <v>1291</v>
      </c>
      <c r="M289" s="10">
        <v>3</v>
      </c>
      <c r="N289" s="30">
        <v>46205</v>
      </c>
      <c r="O289" s="31">
        <f t="shared" ref="O289:O293" si="97">O288+1</f>
        <v>8980</v>
      </c>
      <c r="P289" s="32">
        <f>650*7+622*3+9.5*10</f>
        <v>6511</v>
      </c>
      <c r="Q289" s="32"/>
      <c r="R289" s="32"/>
      <c r="S289" s="32">
        <f t="shared" si="92"/>
        <v>6511</v>
      </c>
      <c r="T289" s="12"/>
      <c r="U289" s="12"/>
      <c r="V289" s="12"/>
      <c r="W289" s="12">
        <f t="shared" si="93"/>
        <v>6511</v>
      </c>
      <c r="Y289" s="10">
        <v>3</v>
      </c>
      <c r="Z289" s="30">
        <v>46205</v>
      </c>
      <c r="AA289" s="31">
        <f t="shared" ref="AA289:AA292" si="98">AA288+1</f>
        <v>8921</v>
      </c>
      <c r="AB289" s="32">
        <f>184*650+500*2</f>
        <v>120600</v>
      </c>
      <c r="AC289" s="33">
        <f>-184*6</f>
        <v>-1104</v>
      </c>
      <c r="AD289" s="32"/>
      <c r="AE289" s="32">
        <f t="shared" si="94"/>
        <v>119496</v>
      </c>
      <c r="AF289" s="12"/>
      <c r="AG289" s="12">
        <f>252+4.5*114</f>
        <v>765</v>
      </c>
      <c r="AH289" s="12"/>
      <c r="AI289" s="12">
        <f t="shared" si="95"/>
        <v>120261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46205</v>
      </c>
      <c r="C290" s="83">
        <v>8895</v>
      </c>
      <c r="D290" s="32">
        <f>650*3+670+622*2+9.5*5</f>
        <v>3911.5</v>
      </c>
      <c r="E290" s="32"/>
      <c r="F290" s="32"/>
      <c r="G290" s="32">
        <f t="shared" si="90"/>
        <v>3911.5</v>
      </c>
      <c r="H290" s="12"/>
      <c r="I290" s="12"/>
      <c r="J290" s="12"/>
      <c r="K290" s="12">
        <f t="shared" si="91"/>
        <v>3911.5</v>
      </c>
      <c r="M290" s="10">
        <v>4</v>
      </c>
      <c r="N290" s="30">
        <v>46205</v>
      </c>
      <c r="O290" s="31">
        <f t="shared" si="97"/>
        <v>8981</v>
      </c>
      <c r="P290" s="32"/>
      <c r="Q290" s="32"/>
      <c r="R290" s="32"/>
      <c r="S290" s="32">
        <f t="shared" si="92"/>
        <v>0</v>
      </c>
      <c r="T290" s="12"/>
      <c r="U290" s="12"/>
      <c r="V290" s="12"/>
      <c r="W290" s="12">
        <f t="shared" si="93"/>
        <v>0</v>
      </c>
      <c r="Y290" s="10">
        <v>4</v>
      </c>
      <c r="Z290" s="30">
        <v>46205</v>
      </c>
      <c r="AA290" s="31">
        <f t="shared" si="98"/>
        <v>8922</v>
      </c>
      <c r="AB290" s="32">
        <f>650*70+670*6</f>
        <v>49520</v>
      </c>
      <c r="AC290" s="32"/>
      <c r="AD290" s="32"/>
      <c r="AE290" s="32">
        <f>SUM(AB290:AC290)</f>
        <v>49520</v>
      </c>
      <c r="AF290" s="12"/>
      <c r="AG290">
        <f>4.5*7</f>
        <v>31.5</v>
      </c>
      <c r="AH290" s="12">
        <f>-78*9</f>
        <v>-702</v>
      </c>
      <c r="AI290" s="12">
        <f>SUM(AE290:AH290)</f>
        <v>48849.5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46205</v>
      </c>
      <c r="C291" s="83">
        <f t="shared" si="96"/>
        <v>8896</v>
      </c>
      <c r="D291" s="32">
        <f>650*6+670*2+9.5*6+650</f>
        <v>5947</v>
      </c>
      <c r="E291" s="32"/>
      <c r="F291" s="32"/>
      <c r="G291" s="32">
        <f t="shared" si="90"/>
        <v>5947</v>
      </c>
      <c r="H291" s="12"/>
      <c r="I291" s="12"/>
      <c r="J291" s="12"/>
      <c r="K291" s="12">
        <f t="shared" si="91"/>
        <v>5947</v>
      </c>
      <c r="M291" s="10">
        <v>5</v>
      </c>
      <c r="N291" s="30">
        <v>46205</v>
      </c>
      <c r="O291" s="31">
        <f t="shared" si="97"/>
        <v>8982</v>
      </c>
      <c r="P291" s="32">
        <f>650*241+229*8</f>
        <v>158482</v>
      </c>
      <c r="Q291" s="32">
        <f>-241*6</f>
        <v>-1446</v>
      </c>
      <c r="R291" s="32"/>
      <c r="S291" s="32">
        <f t="shared" si="92"/>
        <v>157036</v>
      </c>
      <c r="T291" s="12"/>
      <c r="U291" s="12">
        <v>624</v>
      </c>
      <c r="V291" s="12">
        <f>-17094+-1344+-462</f>
        <v>-18900</v>
      </c>
      <c r="W291" s="12">
        <f t="shared" si="93"/>
        <v>138760</v>
      </c>
      <c r="Y291" s="10">
        <v>5</v>
      </c>
      <c r="Z291" s="30">
        <v>46205</v>
      </c>
      <c r="AA291" s="31">
        <f t="shared" si="98"/>
        <v>8923</v>
      </c>
      <c r="AB291" s="33">
        <f>650*44+622*6+229*2</f>
        <v>32790</v>
      </c>
      <c r="AC291" s="32">
        <f>-50*6</f>
        <v>-300</v>
      </c>
      <c r="AD291" s="32"/>
      <c r="AE291" s="32">
        <f>SUM(AB291:AC291)</f>
        <v>32490</v>
      </c>
      <c r="AF291" s="12"/>
      <c r="AG291" s="12"/>
      <c r="AH291" s="12">
        <v>-2220</v>
      </c>
      <c r="AI291" s="12">
        <f t="shared" ref="AI291:AI319" si="99">SUM(AE291:AH291)</f>
        <v>30270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46205</v>
      </c>
      <c r="C292" s="83">
        <f t="shared" si="96"/>
        <v>8897</v>
      </c>
      <c r="D292" s="32">
        <f>650*26</f>
        <v>16900</v>
      </c>
      <c r="E292" s="32"/>
      <c r="F292" s="32"/>
      <c r="G292" s="32">
        <f t="shared" si="90"/>
        <v>16900</v>
      </c>
      <c r="H292" s="12"/>
      <c r="I292" s="12"/>
      <c r="J292" s="12"/>
      <c r="K292" s="12">
        <f t="shared" si="91"/>
        <v>16900</v>
      </c>
      <c r="M292" s="10">
        <v>6</v>
      </c>
      <c r="N292" s="30">
        <v>46205</v>
      </c>
      <c r="O292" s="31">
        <f t="shared" si="97"/>
        <v>8983</v>
      </c>
      <c r="P292" s="32">
        <f>650*4+670+38</f>
        <v>3308</v>
      </c>
      <c r="Q292" s="32"/>
      <c r="R292" s="32"/>
      <c r="S292" s="32">
        <f t="shared" si="92"/>
        <v>3308</v>
      </c>
      <c r="T292" s="12"/>
      <c r="U292" s="12"/>
      <c r="V292" s="10"/>
      <c r="W292" s="12">
        <f t="shared" si="93"/>
        <v>3308</v>
      </c>
      <c r="Y292" s="10">
        <v>6</v>
      </c>
      <c r="Z292" s="30">
        <v>46205</v>
      </c>
      <c r="AA292" s="31">
        <f t="shared" si="98"/>
        <v>8924</v>
      </c>
      <c r="AB292" s="32">
        <f>650*10</f>
        <v>6500</v>
      </c>
      <c r="AC292" s="32"/>
      <c r="AD292" s="32"/>
      <c r="AE292" s="32">
        <f t="shared" ref="AE292:AE296" si="100">SUM(AB292:AC292)</f>
        <v>6500</v>
      </c>
      <c r="AF292" s="12"/>
      <c r="AG292" s="12"/>
      <c r="AH292" s="10"/>
      <c r="AI292" s="12">
        <f t="shared" si="99"/>
        <v>6500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46205</v>
      </c>
      <c r="C293" s="83">
        <f t="shared" si="96"/>
        <v>8898</v>
      </c>
      <c r="D293" s="32">
        <f>650*18+9.5*12</f>
        <v>11814</v>
      </c>
      <c r="E293" s="32"/>
      <c r="F293" s="32"/>
      <c r="G293" s="32">
        <f t="shared" si="90"/>
        <v>11814</v>
      </c>
      <c r="H293" s="12"/>
      <c r="I293" s="12"/>
      <c r="J293" s="12"/>
      <c r="K293" s="12">
        <f t="shared" si="91"/>
        <v>11814</v>
      </c>
      <c r="M293" s="10">
        <v>7</v>
      </c>
      <c r="N293" s="30">
        <v>46205</v>
      </c>
      <c r="O293" s="31">
        <f t="shared" si="97"/>
        <v>8984</v>
      </c>
      <c r="P293" s="32">
        <f>650*6</f>
        <v>3900</v>
      </c>
      <c r="Q293" s="32"/>
      <c r="R293" s="32"/>
      <c r="S293" s="32">
        <f t="shared" si="92"/>
        <v>3900</v>
      </c>
      <c r="T293" s="12"/>
      <c r="U293" s="12"/>
      <c r="V293" s="12"/>
      <c r="W293" s="12">
        <f t="shared" si="93"/>
        <v>3900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100"/>
        <v>0</v>
      </c>
      <c r="AF293" s="12"/>
      <c r="AG293" s="58"/>
      <c r="AH293" s="12"/>
      <c r="AI293" s="12">
        <f t="shared" si="99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46205</v>
      </c>
      <c r="C294" s="83">
        <f t="shared" si="96"/>
        <v>8899</v>
      </c>
      <c r="D294" s="32">
        <f>650*23+670*2+622*5+912</f>
        <v>20312</v>
      </c>
      <c r="E294" s="32"/>
      <c r="F294" s="32"/>
      <c r="G294" s="32">
        <f t="shared" si="90"/>
        <v>20312</v>
      </c>
      <c r="H294" s="12"/>
      <c r="I294" s="12">
        <v>180</v>
      </c>
      <c r="J294" s="12"/>
      <c r="K294" s="12">
        <f t="shared" si="91"/>
        <v>20492</v>
      </c>
      <c r="M294" s="10">
        <v>8</v>
      </c>
      <c r="N294" s="30"/>
      <c r="O294" s="11" t="s">
        <v>27</v>
      </c>
      <c r="P294" s="32"/>
      <c r="Q294" s="32"/>
      <c r="R294" s="32"/>
      <c r="S294" s="32">
        <f t="shared" si="92"/>
        <v>0</v>
      </c>
      <c r="T294" s="12"/>
      <c r="U294" s="12"/>
      <c r="V294" s="12"/>
      <c r="W294" s="12">
        <f t="shared" si="93"/>
        <v>0</v>
      </c>
      <c r="Y294" s="10">
        <v>8</v>
      </c>
      <c r="Z294" s="30"/>
      <c r="AA294" s="31"/>
      <c r="AB294" s="32"/>
      <c r="AC294" s="32"/>
      <c r="AE294" s="32">
        <f t="shared" si="100"/>
        <v>0</v>
      </c>
      <c r="AF294" s="12"/>
      <c r="AG294" s="12"/>
      <c r="AH294" s="12"/>
      <c r="AI294" s="12">
        <f t="shared" si="99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46205</v>
      </c>
      <c r="C295" s="83">
        <f t="shared" si="96"/>
        <v>8900</v>
      </c>
      <c r="D295" s="32">
        <f>650*60+622*14+872</f>
        <v>48580</v>
      </c>
      <c r="E295" s="32"/>
      <c r="F295" s="32"/>
      <c r="G295" s="32">
        <f t="shared" si="90"/>
        <v>48580</v>
      </c>
      <c r="H295" s="12"/>
      <c r="I295" s="12">
        <f>120+4.5*14</f>
        <v>183</v>
      </c>
      <c r="J295" s="12"/>
      <c r="K295" s="12">
        <f t="shared" si="91"/>
        <v>48763</v>
      </c>
      <c r="M295" s="10">
        <v>9</v>
      </c>
      <c r="N295" s="30"/>
      <c r="O295" s="31"/>
      <c r="P295" s="32"/>
      <c r="Q295" s="32"/>
      <c r="R295" s="32"/>
      <c r="S295" s="32">
        <f t="shared" si="92"/>
        <v>0</v>
      </c>
      <c r="T295" s="12"/>
      <c r="U295" s="12"/>
      <c r="V295" s="12"/>
      <c r="W295" s="12">
        <f t="shared" si="93"/>
        <v>0</v>
      </c>
      <c r="Y295" s="10">
        <v>9</v>
      </c>
      <c r="Z295" s="30"/>
      <c r="AA295" s="31"/>
      <c r="AC295" s="32"/>
      <c r="AD295" s="32"/>
      <c r="AE295" s="32">
        <f t="shared" si="100"/>
        <v>0</v>
      </c>
      <c r="AF295" s="12"/>
      <c r="AH295" s="12"/>
      <c r="AI295" s="12">
        <f t="shared" si="99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46205</v>
      </c>
      <c r="C296" s="83">
        <v>9051</v>
      </c>
      <c r="D296" s="32">
        <f>650*11+9.5*7+650</f>
        <v>7866.5</v>
      </c>
      <c r="E296" s="32"/>
      <c r="F296" s="32"/>
      <c r="G296" s="32">
        <f t="shared" si="90"/>
        <v>7866.5</v>
      </c>
      <c r="H296" s="12"/>
      <c r="I296" s="12"/>
      <c r="J296" s="12">
        <v>-333</v>
      </c>
      <c r="K296" s="12">
        <f t="shared" si="91"/>
        <v>7533.5</v>
      </c>
      <c r="M296" s="10">
        <v>10</v>
      </c>
      <c r="N296" s="30"/>
      <c r="O296" s="31"/>
      <c r="P296" s="32"/>
      <c r="Q296" s="32"/>
      <c r="R296" s="32"/>
      <c r="S296" s="32">
        <f t="shared" si="92"/>
        <v>0</v>
      </c>
      <c r="T296" s="12"/>
      <c r="U296" s="12"/>
      <c r="V296" s="12"/>
      <c r="W296" s="12">
        <f t="shared" si="93"/>
        <v>0</v>
      </c>
      <c r="Y296" s="10">
        <v>10</v>
      </c>
      <c r="Z296" s="30"/>
      <c r="AA296" s="31"/>
      <c r="AB296" s="32"/>
      <c r="AC296" s="32"/>
      <c r="AD296" s="32"/>
      <c r="AE296" s="32">
        <f t="shared" si="100"/>
        <v>0</v>
      </c>
      <c r="AF296" s="12"/>
      <c r="AG296" s="12"/>
      <c r="AH296" s="12"/>
      <c r="AI296" s="12">
        <f t="shared" si="99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11" t="s">
        <v>27</v>
      </c>
      <c r="D297" s="32"/>
      <c r="E297" s="32"/>
      <c r="F297" s="32"/>
      <c r="G297" s="32">
        <f t="shared" si="90"/>
        <v>0</v>
      </c>
      <c r="H297" s="12"/>
      <c r="I297" s="12"/>
      <c r="J297" s="12"/>
      <c r="K297" s="12">
        <f t="shared" si="91"/>
        <v>0</v>
      </c>
      <c r="M297" s="10">
        <v>11</v>
      </c>
      <c r="N297" s="30"/>
      <c r="O297" s="31"/>
      <c r="P297" s="32"/>
      <c r="Q297" s="32"/>
      <c r="R297" s="32"/>
      <c r="S297" s="32">
        <f t="shared" si="92"/>
        <v>0</v>
      </c>
      <c r="T297" s="12"/>
      <c r="U297" s="12"/>
      <c r="V297" s="12"/>
      <c r="W297" s="12">
        <f t="shared" si="93"/>
        <v>0</v>
      </c>
      <c r="Y297" s="10">
        <v>11</v>
      </c>
      <c r="Z297" s="30"/>
      <c r="AA297" s="31"/>
      <c r="AB297" s="32"/>
      <c r="AC297" s="32"/>
      <c r="AD297" s="32"/>
      <c r="AE297" s="32">
        <f t="shared" ref="AE297:AE325" si="101">SUM(AB297:AC297)</f>
        <v>0</v>
      </c>
      <c r="AF297" s="12"/>
      <c r="AG297" s="12"/>
      <c r="AH297" s="12"/>
      <c r="AI297" s="12">
        <f t="shared" si="99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57"/>
      <c r="D298" s="32"/>
      <c r="E298" s="32"/>
      <c r="F298" s="32"/>
      <c r="G298" s="32">
        <f t="shared" si="90"/>
        <v>0</v>
      </c>
      <c r="H298" s="12"/>
      <c r="I298" s="12"/>
      <c r="J298" s="10"/>
      <c r="K298" s="12">
        <f t="shared" si="91"/>
        <v>0</v>
      </c>
      <c r="M298" s="10">
        <v>12</v>
      </c>
      <c r="N298" s="30"/>
      <c r="O298" s="31"/>
      <c r="P298" s="32"/>
      <c r="Q298" s="32"/>
      <c r="R298" s="32"/>
      <c r="S298" s="32">
        <f t="shared" si="92"/>
        <v>0</v>
      </c>
      <c r="T298" s="12"/>
      <c r="U298" s="12"/>
      <c r="V298" s="12"/>
      <c r="W298" s="12">
        <f t="shared" si="93"/>
        <v>0</v>
      </c>
      <c r="Y298" s="10">
        <v>12</v>
      </c>
      <c r="Z298" s="30"/>
      <c r="AA298" s="31"/>
      <c r="AB298" s="32"/>
      <c r="AC298" s="32"/>
      <c r="AD298" s="32"/>
      <c r="AE298" s="32">
        <f t="shared" si="101"/>
        <v>0</v>
      </c>
      <c r="AF298" s="12"/>
      <c r="AG298" s="12"/>
      <c r="AH298" s="12"/>
      <c r="AI298" s="12">
        <f t="shared" si="99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90"/>
        <v>0</v>
      </c>
      <c r="H299" s="12"/>
      <c r="I299" s="12"/>
      <c r="J299" s="12"/>
      <c r="K299" s="12">
        <f t="shared" si="91"/>
        <v>0</v>
      </c>
      <c r="M299" s="10">
        <v>13</v>
      </c>
      <c r="N299" s="30"/>
      <c r="O299" s="31"/>
      <c r="P299" s="32"/>
      <c r="Q299" s="32"/>
      <c r="R299" s="32"/>
      <c r="S299" s="32">
        <f t="shared" si="92"/>
        <v>0</v>
      </c>
      <c r="T299" s="12"/>
      <c r="U299" s="12"/>
      <c r="V299" s="12"/>
      <c r="W299" s="12">
        <f t="shared" si="93"/>
        <v>0</v>
      </c>
      <c r="Y299" s="10">
        <v>13</v>
      </c>
      <c r="Z299" s="30"/>
      <c r="AA299" s="31"/>
      <c r="AB299" s="32"/>
      <c r="AC299" s="32"/>
      <c r="AD299" s="32"/>
      <c r="AE299" s="32">
        <f t="shared" si="101"/>
        <v>0</v>
      </c>
      <c r="AF299" s="12"/>
      <c r="AG299" s="12"/>
      <c r="AH299" s="12"/>
      <c r="AI299" s="12">
        <f t="shared" si="99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90"/>
        <v>0</v>
      </c>
      <c r="H300" s="12"/>
      <c r="I300" s="12"/>
      <c r="J300" s="12"/>
      <c r="K300" s="12">
        <f t="shared" si="91"/>
        <v>0</v>
      </c>
      <c r="M300" s="10">
        <v>14</v>
      </c>
      <c r="N300" s="30"/>
      <c r="O300" s="31"/>
      <c r="P300" s="32"/>
      <c r="Q300" s="32"/>
      <c r="R300" s="32"/>
      <c r="S300" s="32">
        <f t="shared" si="92"/>
        <v>0</v>
      </c>
      <c r="T300" s="12"/>
      <c r="U300" s="12"/>
      <c r="V300" s="12"/>
      <c r="W300" s="12">
        <f t="shared" si="93"/>
        <v>0</v>
      </c>
      <c r="Y300" s="10">
        <v>14</v>
      </c>
      <c r="Z300" s="30"/>
      <c r="AA300" s="31"/>
      <c r="AB300" s="32"/>
      <c r="AC300" s="32"/>
      <c r="AD300" s="32"/>
      <c r="AE300" s="32">
        <f t="shared" si="101"/>
        <v>0</v>
      </c>
      <c r="AF300" s="12"/>
      <c r="AG300" s="12"/>
      <c r="AH300" s="12"/>
      <c r="AI300" s="12">
        <f t="shared" si="99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90"/>
        <v>0</v>
      </c>
      <c r="H301" s="12"/>
      <c r="I301" s="12"/>
      <c r="J301" s="12"/>
      <c r="K301" s="12">
        <f t="shared" si="91"/>
        <v>0</v>
      </c>
      <c r="M301" s="10">
        <v>15</v>
      </c>
      <c r="N301" s="30"/>
      <c r="O301" s="31"/>
      <c r="P301" s="32"/>
      <c r="Q301" s="32"/>
      <c r="R301" s="32"/>
      <c r="S301" s="32">
        <f t="shared" si="92"/>
        <v>0</v>
      </c>
      <c r="T301" s="12"/>
      <c r="U301" s="12"/>
      <c r="V301" s="12"/>
      <c r="W301" s="12">
        <f t="shared" si="93"/>
        <v>0</v>
      </c>
      <c r="Y301" s="10">
        <v>15</v>
      </c>
      <c r="Z301" s="30"/>
      <c r="AA301" s="31"/>
      <c r="AB301" s="32"/>
      <c r="AC301" s="32"/>
      <c r="AD301" s="32"/>
      <c r="AE301" s="32">
        <f t="shared" si="101"/>
        <v>0</v>
      </c>
      <c r="AF301" s="12"/>
      <c r="AG301" s="12"/>
      <c r="AH301" s="12"/>
      <c r="AI301" s="12">
        <f t="shared" si="99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57"/>
      <c r="D302" s="32"/>
      <c r="E302" s="32"/>
      <c r="F302" s="32"/>
      <c r="G302" s="32">
        <f t="shared" si="90"/>
        <v>0</v>
      </c>
      <c r="H302" s="12"/>
      <c r="I302" s="12"/>
      <c r="J302" s="12"/>
      <c r="K302" s="12">
        <f t="shared" si="91"/>
        <v>0</v>
      </c>
      <c r="M302" s="10">
        <v>16</v>
      </c>
      <c r="N302" s="30"/>
      <c r="O302" s="31"/>
      <c r="P302" s="32"/>
      <c r="Q302" s="32"/>
      <c r="R302" s="32"/>
      <c r="S302" s="32">
        <f t="shared" si="92"/>
        <v>0</v>
      </c>
      <c r="T302" s="12"/>
      <c r="U302" s="12"/>
      <c r="V302" s="12"/>
      <c r="W302" s="12">
        <f t="shared" si="93"/>
        <v>0</v>
      </c>
      <c r="Y302" s="10">
        <v>16</v>
      </c>
      <c r="Z302" s="30"/>
      <c r="AB302" s="32"/>
      <c r="AC302" s="32"/>
      <c r="AD302" s="32"/>
      <c r="AE302" s="32">
        <f t="shared" si="101"/>
        <v>0</v>
      </c>
      <c r="AF302" s="12"/>
      <c r="AG302" s="12"/>
      <c r="AH302" s="12"/>
      <c r="AI302" s="12">
        <f t="shared" si="99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90"/>
        <v>0</v>
      </c>
      <c r="H303" s="12"/>
      <c r="I303" s="12"/>
      <c r="J303" s="12"/>
      <c r="K303" s="12">
        <f t="shared" si="91"/>
        <v>0</v>
      </c>
      <c r="M303" s="10">
        <v>17</v>
      </c>
      <c r="N303" s="30"/>
      <c r="O303" s="31"/>
      <c r="P303" s="35"/>
      <c r="Q303" s="32"/>
      <c r="R303" s="32"/>
      <c r="S303" s="32">
        <f t="shared" si="92"/>
        <v>0</v>
      </c>
      <c r="T303" s="12"/>
      <c r="U303" s="12"/>
      <c r="V303" s="12"/>
      <c r="W303" s="12">
        <f t="shared" si="93"/>
        <v>0</v>
      </c>
      <c r="Y303" s="10">
        <v>17</v>
      </c>
      <c r="Z303" s="30"/>
      <c r="AA303" s="31"/>
      <c r="AB303" s="35"/>
      <c r="AC303" s="32"/>
      <c r="AD303" s="32"/>
      <c r="AE303" s="32">
        <f t="shared" si="101"/>
        <v>0</v>
      </c>
      <c r="AF303" s="12"/>
      <c r="AG303" s="12"/>
      <c r="AH303" s="12"/>
      <c r="AI303" s="12">
        <f t="shared" si="99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90"/>
        <v>0</v>
      </c>
      <c r="H304" s="12"/>
      <c r="I304" s="12"/>
      <c r="J304" s="12"/>
      <c r="K304" s="12">
        <f t="shared" si="91"/>
        <v>0</v>
      </c>
      <c r="M304" s="10">
        <v>18</v>
      </c>
      <c r="N304" s="30"/>
      <c r="O304" s="31"/>
      <c r="P304" s="32"/>
      <c r="Q304" s="32"/>
      <c r="R304" s="32"/>
      <c r="S304" s="32">
        <f t="shared" si="92"/>
        <v>0</v>
      </c>
      <c r="T304" s="12"/>
      <c r="U304" s="12"/>
      <c r="V304" s="12"/>
      <c r="W304" s="12">
        <f t="shared" si="93"/>
        <v>0</v>
      </c>
      <c r="Y304" s="10">
        <v>18</v>
      </c>
      <c r="Z304" s="30"/>
      <c r="AA304" s="31"/>
      <c r="AB304" s="32"/>
      <c r="AC304" s="32"/>
      <c r="AD304" s="32"/>
      <c r="AE304" s="32">
        <f t="shared" si="101"/>
        <v>0</v>
      </c>
      <c r="AF304" s="12"/>
      <c r="AG304" s="12"/>
      <c r="AH304" s="12"/>
      <c r="AI304" s="12">
        <f t="shared" si="99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90"/>
        <v>0</v>
      </c>
      <c r="H305" s="12"/>
      <c r="I305" s="12"/>
      <c r="J305" s="12"/>
      <c r="K305" s="12">
        <f t="shared" si="91"/>
        <v>0</v>
      </c>
      <c r="M305" s="10">
        <v>19</v>
      </c>
      <c r="N305" s="30"/>
      <c r="O305" s="31"/>
      <c r="P305" s="32"/>
      <c r="Q305" s="32"/>
      <c r="R305" s="32"/>
      <c r="S305" s="32">
        <f t="shared" si="92"/>
        <v>0</v>
      </c>
      <c r="T305" s="12"/>
      <c r="U305" s="12"/>
      <c r="V305" s="12"/>
      <c r="W305" s="12">
        <f t="shared" si="93"/>
        <v>0</v>
      </c>
      <c r="Y305" s="10">
        <v>19</v>
      </c>
      <c r="Z305" s="30"/>
      <c r="AA305" s="31"/>
      <c r="AB305" s="32"/>
      <c r="AC305" s="32"/>
      <c r="AD305" s="32"/>
      <c r="AE305" s="32">
        <f t="shared" si="101"/>
        <v>0</v>
      </c>
      <c r="AF305" s="12"/>
      <c r="AG305" s="12"/>
      <c r="AH305" s="12"/>
      <c r="AI305" s="12">
        <f t="shared" si="99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90"/>
        <v>0</v>
      </c>
      <c r="H306" s="12"/>
      <c r="I306" s="12"/>
      <c r="J306" s="12"/>
      <c r="K306" s="12">
        <f t="shared" si="91"/>
        <v>0</v>
      </c>
      <c r="M306" s="10">
        <v>20</v>
      </c>
      <c r="N306" s="30"/>
      <c r="O306" s="31"/>
      <c r="P306" s="32"/>
      <c r="Q306" s="32"/>
      <c r="R306" s="32"/>
      <c r="S306" s="32">
        <f t="shared" si="92"/>
        <v>0</v>
      </c>
      <c r="T306" s="12"/>
      <c r="U306" s="12"/>
      <c r="V306" s="12"/>
      <c r="W306" s="12">
        <f t="shared" si="93"/>
        <v>0</v>
      </c>
      <c r="Y306" s="10">
        <v>20</v>
      </c>
      <c r="Z306" s="30"/>
      <c r="AB306" s="32"/>
      <c r="AC306" s="32"/>
      <c r="AD306" s="32"/>
      <c r="AE306" s="32">
        <f t="shared" si="101"/>
        <v>0</v>
      </c>
      <c r="AF306" s="12"/>
      <c r="AG306" s="12"/>
      <c r="AH306" s="12"/>
      <c r="AI306" s="12">
        <f t="shared" si="99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57"/>
      <c r="D307" s="32"/>
      <c r="E307" s="32"/>
      <c r="F307" s="32"/>
      <c r="G307" s="32">
        <f t="shared" si="90"/>
        <v>0</v>
      </c>
      <c r="H307" s="10"/>
      <c r="I307" s="10"/>
      <c r="J307" s="10"/>
      <c r="K307" s="12">
        <f t="shared" si="91"/>
        <v>0</v>
      </c>
      <c r="M307" s="10">
        <v>21</v>
      </c>
      <c r="N307" s="30"/>
      <c r="O307" s="31"/>
      <c r="P307" s="92"/>
      <c r="Q307" s="31"/>
      <c r="R307" s="31"/>
      <c r="S307" s="32">
        <f t="shared" si="92"/>
        <v>0</v>
      </c>
      <c r="T307" s="10"/>
      <c r="U307" s="10"/>
      <c r="V307" s="10"/>
      <c r="W307" s="12">
        <f t="shared" si="93"/>
        <v>0</v>
      </c>
      <c r="Y307" s="10">
        <v>21</v>
      </c>
      <c r="Z307" s="30"/>
      <c r="AA307" s="31"/>
      <c r="AB307" s="46"/>
      <c r="AC307" s="31"/>
      <c r="AD307" s="31"/>
      <c r="AE307" s="32">
        <f t="shared" si="101"/>
        <v>0</v>
      </c>
      <c r="AF307" s="10"/>
      <c r="AG307" s="10"/>
      <c r="AH307" s="10"/>
      <c r="AI307" s="12">
        <f t="shared" si="99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90"/>
        <v>0</v>
      </c>
      <c r="H308" s="10"/>
      <c r="I308" s="10"/>
      <c r="J308" s="10"/>
      <c r="K308" s="12">
        <f t="shared" si="91"/>
        <v>0</v>
      </c>
      <c r="M308" s="10">
        <v>22</v>
      </c>
      <c r="N308" s="30"/>
      <c r="O308" s="31"/>
      <c r="P308" s="92"/>
      <c r="Q308" s="31"/>
      <c r="R308" s="31"/>
      <c r="S308" s="32">
        <f t="shared" si="92"/>
        <v>0</v>
      </c>
      <c r="T308" s="10"/>
      <c r="U308" s="10"/>
      <c r="V308" s="10"/>
      <c r="W308" s="12">
        <f t="shared" si="93"/>
        <v>0</v>
      </c>
      <c r="Y308" s="10">
        <v>22</v>
      </c>
      <c r="Z308" s="30"/>
      <c r="AA308" s="31"/>
      <c r="AB308" s="45"/>
      <c r="AC308" s="31"/>
      <c r="AD308" s="31"/>
      <c r="AE308" s="32">
        <f t="shared" si="101"/>
        <v>0</v>
      </c>
      <c r="AF308" s="10"/>
      <c r="AG308" s="10"/>
      <c r="AH308" s="10"/>
      <c r="AI308" s="12">
        <f t="shared" si="99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90"/>
        <v>0</v>
      </c>
      <c r="H309" s="10"/>
      <c r="I309" s="10"/>
      <c r="J309" s="12"/>
      <c r="K309" s="12">
        <f t="shared" si="91"/>
        <v>0</v>
      </c>
      <c r="M309" s="10">
        <v>23</v>
      </c>
      <c r="N309" s="30"/>
      <c r="O309" s="31"/>
      <c r="P309" s="47"/>
      <c r="Q309" s="31"/>
      <c r="S309" s="32">
        <f t="shared" si="92"/>
        <v>0</v>
      </c>
      <c r="T309" s="10"/>
      <c r="U309" s="10"/>
      <c r="V309" s="10"/>
      <c r="W309" s="12">
        <f t="shared" si="93"/>
        <v>0</v>
      </c>
      <c r="Y309" s="10">
        <v>23</v>
      </c>
      <c r="Z309" s="30"/>
      <c r="AA309" s="31"/>
      <c r="AB309" s="47"/>
      <c r="AE309" s="32">
        <f t="shared" si="101"/>
        <v>0</v>
      </c>
      <c r="AF309" s="10"/>
      <c r="AG309" s="10"/>
      <c r="AH309" s="10"/>
      <c r="AI309" s="12">
        <f t="shared" si="99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90"/>
        <v>0</v>
      </c>
      <c r="H310" s="10"/>
      <c r="I310" s="10"/>
      <c r="J310" s="10"/>
      <c r="K310" s="12">
        <f t="shared" si="91"/>
        <v>0</v>
      </c>
      <c r="M310" s="10">
        <v>24</v>
      </c>
      <c r="N310" s="30"/>
      <c r="P310" s="47"/>
      <c r="Q310" s="31"/>
      <c r="R310" s="31"/>
      <c r="S310" s="32">
        <f t="shared" si="92"/>
        <v>0</v>
      </c>
      <c r="T310" s="10"/>
      <c r="U310" s="10"/>
      <c r="V310" s="10"/>
      <c r="W310" s="12">
        <f t="shared" si="93"/>
        <v>0</v>
      </c>
      <c r="Y310" s="10">
        <v>24</v>
      </c>
      <c r="Z310" s="30"/>
      <c r="AA310" s="31"/>
      <c r="AB310" s="47"/>
      <c r="AC310" s="31"/>
      <c r="AD310" s="31"/>
      <c r="AE310" s="32">
        <f t="shared" si="101"/>
        <v>0</v>
      </c>
      <c r="AF310" s="10"/>
      <c r="AG310" s="10"/>
      <c r="AH310" s="10"/>
      <c r="AI310" s="12">
        <f t="shared" si="99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90"/>
        <v>0</v>
      </c>
      <c r="H311" s="10"/>
      <c r="I311" s="10"/>
      <c r="J311" s="10"/>
      <c r="K311" s="12">
        <f t="shared" si="91"/>
        <v>0</v>
      </c>
      <c r="M311" s="10">
        <v>25</v>
      </c>
      <c r="N311" s="30"/>
      <c r="O311" s="31"/>
      <c r="P311" s="47"/>
      <c r="Q311" s="31"/>
      <c r="R311" s="31"/>
      <c r="S311" s="32">
        <f t="shared" si="92"/>
        <v>0</v>
      </c>
      <c r="T311" s="10"/>
      <c r="U311" s="10"/>
      <c r="V311" s="10"/>
      <c r="W311" s="12">
        <f t="shared" si="93"/>
        <v>0</v>
      </c>
      <c r="Y311" s="10">
        <v>25</v>
      </c>
      <c r="Z311" s="30"/>
      <c r="AA311" s="31"/>
      <c r="AB311" s="47"/>
      <c r="AC311" s="31"/>
      <c r="AD311" s="31"/>
      <c r="AE311" s="32">
        <f t="shared" si="101"/>
        <v>0</v>
      </c>
      <c r="AF311" s="10"/>
      <c r="AG311" s="10"/>
      <c r="AH311" s="10"/>
      <c r="AI311" s="12">
        <f t="shared" si="99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90"/>
        <v>0</v>
      </c>
      <c r="H312" s="10"/>
      <c r="I312" s="10"/>
      <c r="J312" s="10"/>
      <c r="K312" s="12">
        <f t="shared" si="91"/>
        <v>0</v>
      </c>
      <c r="M312" s="10">
        <v>26</v>
      </c>
      <c r="N312" s="30"/>
      <c r="P312" s="47"/>
      <c r="Q312" s="31"/>
      <c r="R312" s="31"/>
      <c r="S312" s="32">
        <f t="shared" si="92"/>
        <v>0</v>
      </c>
      <c r="T312" s="10"/>
      <c r="U312" s="10"/>
      <c r="V312" s="10"/>
      <c r="W312" s="12">
        <f t="shared" si="93"/>
        <v>0</v>
      </c>
      <c r="Y312" s="10">
        <v>26</v>
      </c>
      <c r="Z312" s="30"/>
      <c r="AA312" s="31"/>
      <c r="AB312" s="47"/>
      <c r="AC312" s="31"/>
      <c r="AD312" s="31"/>
      <c r="AE312" s="32">
        <f t="shared" si="101"/>
        <v>0</v>
      </c>
      <c r="AF312" s="10"/>
      <c r="AG312" s="10"/>
      <c r="AH312" s="10"/>
      <c r="AI312" s="12">
        <f t="shared" si="99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90"/>
        <v>0</v>
      </c>
      <c r="H313" s="10"/>
      <c r="I313" s="10"/>
      <c r="J313" s="10"/>
      <c r="K313" s="12">
        <f t="shared" si="91"/>
        <v>0</v>
      </c>
      <c r="M313" s="10">
        <v>27</v>
      </c>
      <c r="N313" s="30"/>
      <c r="O313" s="31"/>
      <c r="P313" s="47"/>
      <c r="Q313" s="31"/>
      <c r="R313" s="31"/>
      <c r="S313" s="32">
        <f t="shared" si="92"/>
        <v>0</v>
      </c>
      <c r="T313" s="10"/>
      <c r="U313" s="10"/>
      <c r="V313" s="10"/>
      <c r="W313" s="12">
        <f t="shared" si="93"/>
        <v>0</v>
      </c>
      <c r="Y313" s="10">
        <v>27</v>
      </c>
      <c r="Z313" s="30"/>
      <c r="AA313" s="31"/>
      <c r="AB313" s="47"/>
      <c r="AC313" s="31"/>
      <c r="AD313" s="31"/>
      <c r="AE313" s="32">
        <f t="shared" si="101"/>
        <v>0</v>
      </c>
      <c r="AF313" s="10"/>
      <c r="AG313" s="10"/>
      <c r="AH313" s="10"/>
      <c r="AI313" s="12">
        <f t="shared" si="99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90"/>
        <v>0</v>
      </c>
      <c r="H314" s="10"/>
      <c r="I314" s="10"/>
      <c r="J314" s="10"/>
      <c r="K314" s="12">
        <f t="shared" si="91"/>
        <v>0</v>
      </c>
      <c r="M314" s="10">
        <v>28</v>
      </c>
      <c r="N314" s="30"/>
      <c r="O314" s="31"/>
      <c r="P314" s="47"/>
      <c r="Q314" s="31"/>
      <c r="R314" s="31"/>
      <c r="S314" s="32">
        <f t="shared" si="92"/>
        <v>0</v>
      </c>
      <c r="T314" s="10"/>
      <c r="U314" s="10"/>
      <c r="V314" s="10"/>
      <c r="W314" s="12">
        <f t="shared" si="93"/>
        <v>0</v>
      </c>
      <c r="Y314" s="10">
        <v>28</v>
      </c>
      <c r="Z314" s="30"/>
      <c r="AA314" s="31"/>
      <c r="AB314" s="47"/>
      <c r="AC314" s="31"/>
      <c r="AD314" s="31"/>
      <c r="AE314" s="32">
        <f t="shared" si="101"/>
        <v>0</v>
      </c>
      <c r="AF314" s="10"/>
      <c r="AG314" s="10"/>
      <c r="AH314" s="10"/>
      <c r="AI314" s="12">
        <f t="shared" si="99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57"/>
      <c r="D315" s="32"/>
      <c r="E315" s="32"/>
      <c r="F315" s="32"/>
      <c r="G315" s="32">
        <f t="shared" si="90"/>
        <v>0</v>
      </c>
      <c r="H315" s="10"/>
      <c r="I315" s="10"/>
      <c r="J315" s="10"/>
      <c r="K315" s="12">
        <f t="shared" si="91"/>
        <v>0</v>
      </c>
      <c r="M315" s="10">
        <v>29</v>
      </c>
      <c r="N315" s="30"/>
      <c r="O315" s="31"/>
      <c r="P315" s="47"/>
      <c r="Q315" s="31"/>
      <c r="R315" s="31"/>
      <c r="S315" s="32">
        <f t="shared" si="92"/>
        <v>0</v>
      </c>
      <c r="T315" s="10"/>
      <c r="U315" s="10"/>
      <c r="V315" s="10"/>
      <c r="W315" s="12">
        <f t="shared" si="93"/>
        <v>0</v>
      </c>
      <c r="Y315" s="10">
        <v>29</v>
      </c>
      <c r="Z315" s="30"/>
      <c r="AA315" s="31"/>
      <c r="AB315" s="47"/>
      <c r="AC315" s="31"/>
      <c r="AD315" s="31"/>
      <c r="AE315" s="32">
        <f t="shared" si="101"/>
        <v>0</v>
      </c>
      <c r="AF315" s="10"/>
      <c r="AG315" s="10"/>
      <c r="AH315" s="10"/>
      <c r="AI315" s="12">
        <f t="shared" si="99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90"/>
        <v>0</v>
      </c>
      <c r="H316" s="10"/>
      <c r="I316" s="10"/>
      <c r="J316" s="10"/>
      <c r="K316" s="12">
        <f t="shared" si="91"/>
        <v>0</v>
      </c>
      <c r="M316" s="10">
        <v>30</v>
      </c>
      <c r="N316" s="30"/>
      <c r="P316" s="47"/>
      <c r="Q316" s="31"/>
      <c r="R316" s="31"/>
      <c r="S316" s="32">
        <f t="shared" si="92"/>
        <v>0</v>
      </c>
      <c r="T316" s="10"/>
      <c r="U316" s="10"/>
      <c r="V316" s="10"/>
      <c r="W316" s="12">
        <f t="shared" si="93"/>
        <v>0</v>
      </c>
      <c r="Y316" s="10">
        <v>30</v>
      </c>
      <c r="Z316" s="30"/>
      <c r="AA316" s="31"/>
      <c r="AB316" s="47"/>
      <c r="AC316" s="31"/>
      <c r="AD316" s="31"/>
      <c r="AE316" s="32">
        <f t="shared" si="101"/>
        <v>0</v>
      </c>
      <c r="AF316" s="10"/>
      <c r="AG316" s="10"/>
      <c r="AH316" s="10"/>
      <c r="AI316" s="12">
        <f t="shared" si="99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90"/>
        <v>0</v>
      </c>
      <c r="H317" s="10"/>
      <c r="I317" s="10"/>
      <c r="J317" s="10"/>
      <c r="K317" s="12">
        <f t="shared" si="91"/>
        <v>0</v>
      </c>
      <c r="M317" s="10">
        <v>31</v>
      </c>
      <c r="N317" s="30"/>
      <c r="O317" s="31"/>
      <c r="P317" s="47"/>
      <c r="Q317" s="31"/>
      <c r="R317" s="31"/>
      <c r="S317" s="32">
        <f t="shared" si="92"/>
        <v>0</v>
      </c>
      <c r="T317" s="10"/>
      <c r="U317" s="10"/>
      <c r="V317" s="10"/>
      <c r="W317" s="12">
        <f t="shared" si="93"/>
        <v>0</v>
      </c>
      <c r="Y317" s="10">
        <v>31</v>
      </c>
      <c r="Z317" s="30"/>
      <c r="AA317" s="31"/>
      <c r="AB317" s="47"/>
      <c r="AC317" s="31"/>
      <c r="AD317" s="31"/>
      <c r="AE317" s="32">
        <f t="shared" si="101"/>
        <v>0</v>
      </c>
      <c r="AF317" s="10"/>
      <c r="AG317" s="10"/>
      <c r="AH317" s="10"/>
      <c r="AI317" s="12">
        <f t="shared" si="99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90"/>
        <v>0</v>
      </c>
      <c r="H318" s="10"/>
      <c r="I318" s="10"/>
      <c r="J318" s="10"/>
      <c r="K318" s="12">
        <f t="shared" si="91"/>
        <v>0</v>
      </c>
      <c r="M318" s="10">
        <v>32</v>
      </c>
      <c r="N318" s="30"/>
      <c r="O318" s="31"/>
      <c r="P318" s="47"/>
      <c r="Q318" s="31"/>
      <c r="R318" s="31"/>
      <c r="S318" s="32">
        <f t="shared" si="92"/>
        <v>0</v>
      </c>
      <c r="T318" s="10"/>
      <c r="U318" s="10"/>
      <c r="V318" s="10"/>
      <c r="W318" s="12">
        <f t="shared" si="93"/>
        <v>0</v>
      </c>
      <c r="Y318" s="10">
        <v>32</v>
      </c>
      <c r="Z318" s="30"/>
      <c r="AA318" s="31"/>
      <c r="AB318" s="47"/>
      <c r="AC318" s="31"/>
      <c r="AD318" s="31"/>
      <c r="AE318" s="32">
        <f t="shared" si="101"/>
        <v>0</v>
      </c>
      <c r="AF318" s="10"/>
      <c r="AG318" s="10"/>
      <c r="AH318" s="10"/>
      <c r="AI318" s="12">
        <f t="shared" si="99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90"/>
        <v>0</v>
      </c>
      <c r="H319" s="10"/>
      <c r="I319" s="10"/>
      <c r="J319" s="10"/>
      <c r="K319" s="12">
        <f t="shared" si="91"/>
        <v>0</v>
      </c>
      <c r="M319" s="10">
        <v>33</v>
      </c>
      <c r="N319" s="30"/>
      <c r="O319" s="31"/>
      <c r="P319" s="47"/>
      <c r="Q319" s="31"/>
      <c r="R319" s="31"/>
      <c r="S319" s="32">
        <f t="shared" si="92"/>
        <v>0</v>
      </c>
      <c r="T319" s="10"/>
      <c r="U319" s="10"/>
      <c r="V319" s="10"/>
      <c r="W319" s="12">
        <f t="shared" si="93"/>
        <v>0</v>
      </c>
      <c r="Y319" s="10">
        <v>33</v>
      </c>
      <c r="Z319" s="30"/>
      <c r="AA319" s="31"/>
      <c r="AB319" s="47"/>
      <c r="AC319" s="31"/>
      <c r="AD319" s="31"/>
      <c r="AE319" s="32">
        <f t="shared" si="101"/>
        <v>0</v>
      </c>
      <c r="AF319" s="10"/>
      <c r="AG319" s="10"/>
      <c r="AH319" s="10"/>
      <c r="AI319" s="12">
        <f t="shared" si="99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90"/>
        <v>0</v>
      </c>
      <c r="H320" s="10"/>
      <c r="I320" s="10"/>
      <c r="J320" s="10"/>
      <c r="K320" s="12">
        <f t="shared" si="91"/>
        <v>0</v>
      </c>
      <c r="M320" s="10">
        <v>34</v>
      </c>
      <c r="N320" s="30"/>
      <c r="O320" s="31"/>
      <c r="P320" s="47"/>
      <c r="Q320" s="31"/>
      <c r="R320" s="31"/>
      <c r="S320" s="32">
        <f t="shared" si="92"/>
        <v>0</v>
      </c>
      <c r="T320" s="10"/>
      <c r="U320" s="10"/>
      <c r="V320" s="10"/>
      <c r="W320" s="12">
        <f t="shared" si="93"/>
        <v>0</v>
      </c>
      <c r="Y320" s="10">
        <v>34</v>
      </c>
      <c r="Z320" s="30"/>
      <c r="AA320" s="31"/>
      <c r="AB320" s="47"/>
      <c r="AC320" s="31"/>
      <c r="AD320" s="31"/>
      <c r="AE320" s="32">
        <f t="shared" si="101"/>
        <v>0</v>
      </c>
      <c r="AF320" s="10"/>
      <c r="AG320" s="10"/>
      <c r="AH320" s="10"/>
      <c r="AI320" s="12">
        <f t="shared" ref="AI320:AI328" si="102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2"/>
        <v>0</v>
      </c>
      <c r="T321" s="10"/>
      <c r="U321" s="10"/>
      <c r="V321" s="10"/>
      <c r="W321" s="12">
        <f t="shared" si="93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1"/>
        <v>0</v>
      </c>
      <c r="AF321" s="10"/>
      <c r="AG321" s="10"/>
      <c r="AH321" s="10"/>
      <c r="AI321" s="12">
        <f t="shared" si="102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2"/>
        <v>0</v>
      </c>
      <c r="T322" s="10"/>
      <c r="U322" s="10"/>
      <c r="V322" s="10"/>
      <c r="W322" s="12">
        <f t="shared" si="93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1"/>
        <v>0</v>
      </c>
      <c r="AF322" s="10"/>
      <c r="AG322" s="10"/>
      <c r="AH322" s="10"/>
      <c r="AI322" s="12">
        <f t="shared" si="102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2"/>
        <v>0</v>
      </c>
      <c r="T323" s="10"/>
      <c r="U323" s="10"/>
      <c r="V323" s="10"/>
      <c r="W323" s="12">
        <f t="shared" si="93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1"/>
        <v>0</v>
      </c>
      <c r="AF323" s="10"/>
      <c r="AG323" s="10"/>
      <c r="AH323" s="10"/>
      <c r="AI323" s="12">
        <f t="shared" si="102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2"/>
        <v>0</v>
      </c>
      <c r="T324" s="10"/>
      <c r="U324" s="10"/>
      <c r="V324" s="10"/>
      <c r="W324" s="12">
        <f t="shared" si="93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1"/>
        <v>0</v>
      </c>
      <c r="AF324" s="10"/>
      <c r="AG324" s="10"/>
      <c r="AH324" s="10"/>
      <c r="AI324" s="12">
        <f t="shared" si="102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2"/>
        <v>0</v>
      </c>
      <c r="T325" s="10"/>
      <c r="U325" s="10"/>
      <c r="V325" s="10"/>
      <c r="W325" s="12">
        <f t="shared" si="93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1"/>
        <v>0</v>
      </c>
      <c r="AF325" s="10"/>
      <c r="AG325" s="10"/>
      <c r="AH325" s="10"/>
      <c r="AI325" s="12">
        <f t="shared" si="102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3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2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3">SUM(D327:E327)</f>
        <v>0</v>
      </c>
      <c r="H327" s="10"/>
      <c r="I327" s="10"/>
      <c r="J327" s="10"/>
      <c r="K327" s="12">
        <f t="shared" ref="K327" si="104">SUM(G327:J327)</f>
        <v>0</v>
      </c>
      <c r="M327" s="10"/>
      <c r="N327" s="30"/>
      <c r="O327" s="31"/>
      <c r="P327" s="47"/>
      <c r="Q327" s="31"/>
      <c r="R327" s="31"/>
      <c r="S327" s="32">
        <f t="shared" ref="S327" si="105">SUM(P327:Q327)</f>
        <v>0</v>
      </c>
      <c r="T327" s="10"/>
      <c r="U327" s="10"/>
      <c r="V327" s="10"/>
      <c r="W327" s="12">
        <f t="shared" si="93"/>
        <v>0</v>
      </c>
      <c r="Y327" s="10"/>
      <c r="Z327" s="30"/>
      <c r="AA327" s="31"/>
      <c r="AB327" s="47"/>
      <c r="AC327" s="31"/>
      <c r="AD327" s="31"/>
      <c r="AE327" s="32">
        <f t="shared" ref="AE327" si="106">SUM(AB327:AC327)</f>
        <v>0</v>
      </c>
      <c r="AF327" s="10"/>
      <c r="AG327" s="10"/>
      <c r="AH327" s="10"/>
      <c r="AI327" s="12">
        <f t="shared" si="102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3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2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123829</v>
      </c>
      <c r="E330" s="38">
        <f t="shared" ref="E330:F330" si="107">SUM(E287:E327)</f>
        <v>0</v>
      </c>
      <c r="F330" s="38">
        <f t="shared" si="107"/>
        <v>0</v>
      </c>
      <c r="G330" s="38">
        <f>SUM(G287:G329)</f>
        <v>123829</v>
      </c>
      <c r="H330" s="4"/>
      <c r="I330" s="39">
        <f>SUM(I287:I329)</f>
        <v>363</v>
      </c>
      <c r="J330" s="39">
        <f>SUM(J287:J329)</f>
        <v>-333</v>
      </c>
      <c r="K330" s="40">
        <f>SUM(K287:K329)</f>
        <v>123859</v>
      </c>
      <c r="N330" s="57"/>
      <c r="O330" s="57"/>
      <c r="P330" s="38">
        <f>SUM(P287:P329)</f>
        <v>228338</v>
      </c>
      <c r="Q330" s="38">
        <f>SUM(Q287:Q311)</f>
        <v>-1446</v>
      </c>
      <c r="R330" s="38">
        <f>SUM(R287:R311)</f>
        <v>0</v>
      </c>
      <c r="S330" s="38">
        <f>SUM(S287:S329)</f>
        <v>226892</v>
      </c>
      <c r="T330" s="4"/>
      <c r="U330" s="41">
        <f>SUM(U287:U329)</f>
        <v>813</v>
      </c>
      <c r="V330" s="41">
        <f>SUM(V287:V311)</f>
        <v>-18900</v>
      </c>
      <c r="W330" s="42">
        <f>SUM(W287:W329)</f>
        <v>208805</v>
      </c>
      <c r="Z330" s="57"/>
      <c r="AA330" s="57"/>
      <c r="AB330" s="38">
        <f>SUM(AB287:AB329)</f>
        <v>251039</v>
      </c>
      <c r="AC330" s="38">
        <f>SUM(AC287:AC311)</f>
        <v>-1404</v>
      </c>
      <c r="AD330" s="38">
        <f>SUM(AD287:AD311)</f>
        <v>0</v>
      </c>
      <c r="AE330" s="38">
        <f>SUM(AE287:AE329)</f>
        <v>249635</v>
      </c>
      <c r="AF330" s="4"/>
      <c r="AG330" s="41">
        <f>SUM(AG287:AG329)</f>
        <v>796.5</v>
      </c>
      <c r="AH330" s="41">
        <f>SUM(AH287:AH311)</f>
        <v>-2922</v>
      </c>
      <c r="AI330" s="42">
        <f>SUM(AI287:AI329)</f>
        <v>247509.5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06" t="s">
        <v>17</v>
      </c>
      <c r="E340" s="106"/>
      <c r="F340" s="93"/>
      <c r="G340" s="27"/>
      <c r="I340" s="104" t="s">
        <v>18</v>
      </c>
      <c r="J340" s="105"/>
      <c r="K340" s="102" t="s">
        <v>19</v>
      </c>
      <c r="N340" s="25"/>
      <c r="O340" s="26"/>
      <c r="P340" s="106" t="s">
        <v>17</v>
      </c>
      <c r="Q340" s="106"/>
      <c r="R340" s="93"/>
      <c r="S340" s="27"/>
      <c r="U340" s="104" t="s">
        <v>18</v>
      </c>
      <c r="V340" s="105"/>
      <c r="W340" s="102" t="s">
        <v>19</v>
      </c>
      <c r="Z340" s="25"/>
      <c r="AA340" s="26"/>
      <c r="AB340" s="106" t="s">
        <v>17</v>
      </c>
      <c r="AC340" s="106"/>
      <c r="AD340" s="93"/>
      <c r="AE340" s="27"/>
      <c r="AG340" s="104" t="s">
        <v>18</v>
      </c>
      <c r="AH340" s="105"/>
      <c r="AI340" s="102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03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03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03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46267</v>
      </c>
      <c r="C342" s="83">
        <v>9053</v>
      </c>
      <c r="D342" s="32">
        <f>650*12+670*2+622+9.5*13</f>
        <v>9885.5</v>
      </c>
      <c r="E342" s="32"/>
      <c r="F342" s="32"/>
      <c r="G342" s="32">
        <f t="shared" ref="G342:G375" si="108">SUM(D342:E342)</f>
        <v>9885.5</v>
      </c>
      <c r="H342" s="12"/>
      <c r="I342" s="12">
        <v>27</v>
      </c>
      <c r="J342" s="12"/>
      <c r="K342" s="12">
        <f t="shared" ref="K342:K375" si="109">SUM(G342:J342)</f>
        <v>9912.5</v>
      </c>
      <c r="M342" s="10">
        <v>1</v>
      </c>
      <c r="N342" s="30">
        <v>46267</v>
      </c>
      <c r="O342" s="31">
        <v>8985</v>
      </c>
      <c r="P342" s="32">
        <f>650*3</f>
        <v>1950</v>
      </c>
      <c r="Q342" s="32"/>
      <c r="R342" s="32"/>
      <c r="S342" s="32">
        <f>SUM(P342:Q342)</f>
        <v>1950</v>
      </c>
      <c r="T342" s="12"/>
      <c r="U342" s="12"/>
      <c r="V342" s="12">
        <v>-777</v>
      </c>
      <c r="W342" s="12">
        <f>SUM(S342:V342)</f>
        <v>1173</v>
      </c>
      <c r="Y342" s="10">
        <v>1</v>
      </c>
      <c r="Z342" s="30">
        <v>46267</v>
      </c>
      <c r="AA342" s="31">
        <v>8925</v>
      </c>
      <c r="AB342" s="32">
        <f>160*650+622*50+229*8</f>
        <v>136932</v>
      </c>
      <c r="AC342" s="32"/>
      <c r="AD342" s="32"/>
      <c r="AE342" s="32">
        <f>SUM(AB342:AC342)</f>
        <v>136932</v>
      </c>
      <c r="AF342" s="12"/>
      <c r="AG342" s="12">
        <f>111*41+4.5*18+144*1.5</f>
        <v>4848</v>
      </c>
      <c r="AH342" s="12">
        <v>-600</v>
      </c>
      <c r="AI342" s="12">
        <f>SUM(AE342:AH342)</f>
        <v>141180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46267</v>
      </c>
      <c r="C343" s="83">
        <f>C342+1</f>
        <v>9054</v>
      </c>
      <c r="D343" s="32">
        <f>650*37+670*3+622*10+229</f>
        <v>32509</v>
      </c>
      <c r="E343" s="32"/>
      <c r="F343" s="32"/>
      <c r="G343" s="32">
        <f t="shared" si="108"/>
        <v>32509</v>
      </c>
      <c r="H343" s="12"/>
      <c r="I343" s="12"/>
      <c r="J343" s="12"/>
      <c r="K343" s="12">
        <f t="shared" si="109"/>
        <v>32509</v>
      </c>
      <c r="M343" s="10">
        <v>2</v>
      </c>
      <c r="N343" s="30">
        <v>46267</v>
      </c>
      <c r="O343" s="31">
        <f>O342+1</f>
        <v>8986</v>
      </c>
      <c r="P343" s="32">
        <f>650*324+622*108+872*2+229*20+650</f>
        <v>284750</v>
      </c>
      <c r="Q343" s="32">
        <f>-434*6</f>
        <v>-2604</v>
      </c>
      <c r="R343" s="32"/>
      <c r="S343" s="32">
        <f t="shared" ref="S343:S380" si="110">SUM(P343:Q343)</f>
        <v>282146</v>
      </c>
      <c r="T343" s="12"/>
      <c r="U343" s="12">
        <f>120+936</f>
        <v>1056</v>
      </c>
      <c r="V343" s="12">
        <v>-672</v>
      </c>
      <c r="W343" s="12">
        <f t="shared" ref="W343:W383" si="111">SUM(S343:V343)</f>
        <v>282530</v>
      </c>
      <c r="Y343" s="10">
        <v>2</v>
      </c>
      <c r="Z343" s="30">
        <v>46267</v>
      </c>
      <c r="AA343" s="31">
        <f>AA342+1</f>
        <v>8926</v>
      </c>
      <c r="AB343" s="32">
        <f>650*40+622*10</f>
        <v>32220</v>
      </c>
      <c r="AD343" s="32"/>
      <c r="AE343" s="32">
        <f t="shared" ref="AE343:AE344" si="112">SUM(AB343:AC343)</f>
        <v>32220</v>
      </c>
      <c r="AF343" s="12"/>
      <c r="AG343" s="12"/>
      <c r="AI343" s="12">
        <f t="shared" ref="AI343:AI344" si="113">SUM(AE343:AH343)</f>
        <v>32220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46267</v>
      </c>
      <c r="C344" s="83">
        <f t="shared" ref="C344:C349" si="114">C343+1</f>
        <v>9055</v>
      </c>
      <c r="D344" s="33">
        <f>650*25+670*3+622*2</f>
        <v>19504</v>
      </c>
      <c r="E344" s="33"/>
      <c r="F344" s="33"/>
      <c r="G344" s="33">
        <f t="shared" si="108"/>
        <v>19504</v>
      </c>
      <c r="H344" s="34"/>
      <c r="I344" s="34"/>
      <c r="J344" s="34"/>
      <c r="K344" s="34">
        <f t="shared" si="109"/>
        <v>19504</v>
      </c>
      <c r="M344" s="10">
        <v>3</v>
      </c>
      <c r="N344" s="30">
        <v>46267</v>
      </c>
      <c r="O344" s="31">
        <f t="shared" ref="O344" si="115">O343+1</f>
        <v>8987</v>
      </c>
      <c r="P344" s="32">
        <f>650*2</f>
        <v>1300</v>
      </c>
      <c r="Q344" s="32"/>
      <c r="R344" s="32"/>
      <c r="S344" s="32">
        <f t="shared" si="110"/>
        <v>1300</v>
      </c>
      <c r="T344" s="12"/>
      <c r="U344" s="12"/>
      <c r="V344" s="12">
        <v>-666</v>
      </c>
      <c r="W344" s="12">
        <f t="shared" si="111"/>
        <v>634</v>
      </c>
      <c r="Y344" s="10">
        <v>3</v>
      </c>
      <c r="Z344" s="30">
        <v>46267</v>
      </c>
      <c r="AA344" s="31">
        <f t="shared" ref="AA344:AA348" si="116">AA343+1</f>
        <v>8927</v>
      </c>
      <c r="AB344" s="32">
        <f>650*55+622*10+229*2</f>
        <v>42428</v>
      </c>
      <c r="AC344" s="33"/>
      <c r="AD344" s="32"/>
      <c r="AE344" s="32">
        <f t="shared" si="112"/>
        <v>42428</v>
      </c>
      <c r="AF344" s="12"/>
      <c r="AG344" s="12">
        <f>1.5*43</f>
        <v>64.5</v>
      </c>
      <c r="AH344" s="12"/>
      <c r="AI344" s="12">
        <f t="shared" si="113"/>
        <v>42492.5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46267</v>
      </c>
      <c r="C345" s="83">
        <f t="shared" si="114"/>
        <v>9056</v>
      </c>
      <c r="D345" s="32">
        <f>650*216+912*10+1050*5+229*9+650*2</f>
        <v>158131</v>
      </c>
      <c r="E345" s="32">
        <f>-231*6</f>
        <v>-1386</v>
      </c>
      <c r="F345" s="32"/>
      <c r="G345" s="32">
        <f t="shared" si="108"/>
        <v>156745</v>
      </c>
      <c r="H345" s="12"/>
      <c r="I345" s="12">
        <f>720+468</f>
        <v>1188</v>
      </c>
      <c r="J345" s="12">
        <f>-6993+-336+-4.5</f>
        <v>-7333.5</v>
      </c>
      <c r="K345" s="12">
        <f t="shared" si="109"/>
        <v>150599.5</v>
      </c>
      <c r="M345" s="10">
        <v>4</v>
      </c>
      <c r="N345" s="30"/>
      <c r="O345" s="11" t="s">
        <v>27</v>
      </c>
      <c r="P345" s="32"/>
      <c r="Q345" s="32"/>
      <c r="R345" s="32"/>
      <c r="S345" s="32">
        <f t="shared" si="110"/>
        <v>0</v>
      </c>
      <c r="T345" s="12"/>
      <c r="U345" s="12"/>
      <c r="V345" s="12"/>
      <c r="W345" s="12">
        <f t="shared" si="111"/>
        <v>0</v>
      </c>
      <c r="Y345" s="10">
        <v>4</v>
      </c>
      <c r="Z345" s="30">
        <v>46267</v>
      </c>
      <c r="AA345" s="31">
        <f t="shared" si="116"/>
        <v>8928</v>
      </c>
      <c r="AB345" s="32">
        <f>650*20+229</f>
        <v>13229</v>
      </c>
      <c r="AC345" s="32"/>
      <c r="AD345" s="32"/>
      <c r="AE345" s="32">
        <f>SUM(AB345:AC345)</f>
        <v>13229</v>
      </c>
      <c r="AF345" s="12"/>
      <c r="AH345" s="12"/>
      <c r="AI345" s="12">
        <f>SUM(AE345:AH345)</f>
        <v>13229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46267</v>
      </c>
      <c r="C346" s="83">
        <f t="shared" si="114"/>
        <v>9057</v>
      </c>
      <c r="D346" s="32">
        <f>650*47+670*3</f>
        <v>32560</v>
      </c>
      <c r="E346" s="32"/>
      <c r="F346" s="32"/>
      <c r="G346" s="32">
        <f t="shared" si="108"/>
        <v>32560</v>
      </c>
      <c r="H346" s="12"/>
      <c r="I346" s="12">
        <v>54</v>
      </c>
      <c r="J346" s="12"/>
      <c r="K346" s="12">
        <f t="shared" si="109"/>
        <v>32614</v>
      </c>
      <c r="M346" s="10">
        <v>5</v>
      </c>
      <c r="N346" s="30"/>
      <c r="O346" s="31"/>
      <c r="P346" s="32"/>
      <c r="Q346" s="32"/>
      <c r="R346" s="32"/>
      <c r="S346" s="32">
        <f t="shared" si="110"/>
        <v>0</v>
      </c>
      <c r="T346" s="12"/>
      <c r="U346" s="12"/>
      <c r="V346" s="12"/>
      <c r="W346" s="12">
        <f t="shared" si="111"/>
        <v>0</v>
      </c>
      <c r="Y346" s="10">
        <v>5</v>
      </c>
      <c r="Z346" s="30">
        <v>46267</v>
      </c>
      <c r="AA346" s="31">
        <f t="shared" si="116"/>
        <v>8929</v>
      </c>
      <c r="AB346" s="33">
        <f>650*30+973*1.5+622*10+229*2</f>
        <v>27637.5</v>
      </c>
      <c r="AC346" s="32"/>
      <c r="AD346" s="32"/>
      <c r="AE346" s="32">
        <f>SUM(AB346:AC346)</f>
        <v>27637.5</v>
      </c>
      <c r="AF346" s="12"/>
      <c r="AG346" s="12"/>
      <c r="AH346" s="12">
        <v>-666</v>
      </c>
      <c r="AI346" s="12">
        <f t="shared" ref="AI346:AI374" si="117">SUM(AE346:AH346)</f>
        <v>26971.5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46267</v>
      </c>
      <c r="C347" s="83">
        <f t="shared" si="114"/>
        <v>9058</v>
      </c>
      <c r="D347" s="32">
        <f>650*10</f>
        <v>6500</v>
      </c>
      <c r="E347" s="32"/>
      <c r="F347" s="32"/>
      <c r="G347" s="32">
        <f t="shared" si="108"/>
        <v>6500</v>
      </c>
      <c r="H347" s="12"/>
      <c r="I347" s="12"/>
      <c r="J347" s="12"/>
      <c r="K347" s="12">
        <f t="shared" si="109"/>
        <v>6500</v>
      </c>
      <c r="M347" s="10">
        <v>6</v>
      </c>
      <c r="N347" s="30"/>
      <c r="O347" s="31"/>
      <c r="P347" s="32"/>
      <c r="Q347" s="32"/>
      <c r="R347" s="32"/>
      <c r="S347" s="32">
        <f t="shared" si="110"/>
        <v>0</v>
      </c>
      <c r="T347" s="12"/>
      <c r="U347" s="12"/>
      <c r="V347" s="10"/>
      <c r="W347" s="12">
        <f t="shared" si="111"/>
        <v>0</v>
      </c>
      <c r="Y347" s="10">
        <v>6</v>
      </c>
      <c r="Z347" s="30">
        <v>46267</v>
      </c>
      <c r="AA347" s="31">
        <f t="shared" si="116"/>
        <v>8930</v>
      </c>
      <c r="AB347" s="32">
        <f>670*10</f>
        <v>6700</v>
      </c>
      <c r="AC347" s="32"/>
      <c r="AD347" s="32"/>
      <c r="AE347" s="32">
        <f t="shared" ref="AE347:AE351" si="118">SUM(AB347:AC347)</f>
        <v>6700</v>
      </c>
      <c r="AF347" s="12"/>
      <c r="AG347" s="12"/>
      <c r="AH347" s="10"/>
      <c r="AI347" s="12">
        <f t="shared" si="117"/>
        <v>6700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46267</v>
      </c>
      <c r="C348" s="83">
        <f t="shared" si="114"/>
        <v>9059</v>
      </c>
      <c r="D348" s="32">
        <f>650+622</f>
        <v>1272</v>
      </c>
      <c r="E348" s="32"/>
      <c r="F348" s="32"/>
      <c r="G348" s="32">
        <f t="shared" si="108"/>
        <v>1272</v>
      </c>
      <c r="H348" s="12"/>
      <c r="I348" s="12"/>
      <c r="J348" s="12"/>
      <c r="K348" s="12">
        <f t="shared" si="109"/>
        <v>1272</v>
      </c>
      <c r="M348" s="10">
        <v>7</v>
      </c>
      <c r="N348" s="30"/>
      <c r="O348" s="31"/>
      <c r="P348" s="32"/>
      <c r="Q348" s="32"/>
      <c r="R348" s="32"/>
      <c r="S348" s="32">
        <f t="shared" si="110"/>
        <v>0</v>
      </c>
      <c r="T348" s="12"/>
      <c r="U348" s="12"/>
      <c r="V348" s="12"/>
      <c r="W348" s="12">
        <f t="shared" si="111"/>
        <v>0</v>
      </c>
      <c r="Y348" s="10">
        <v>7</v>
      </c>
      <c r="Z348" s="30">
        <v>46267</v>
      </c>
      <c r="AA348" s="31">
        <f t="shared" si="116"/>
        <v>8931</v>
      </c>
      <c r="AB348" s="32">
        <f>622*5+912*2</f>
        <v>4934</v>
      </c>
      <c r="AC348" s="32"/>
      <c r="AD348" s="32"/>
      <c r="AE348" s="32">
        <f t="shared" si="118"/>
        <v>4934</v>
      </c>
      <c r="AF348" s="12"/>
      <c r="AG348" s="58"/>
      <c r="AH348" s="12"/>
      <c r="AI348" s="12">
        <f t="shared" si="117"/>
        <v>4934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46267</v>
      </c>
      <c r="C349" s="83">
        <f t="shared" si="114"/>
        <v>9060</v>
      </c>
      <c r="D349" s="32">
        <f>650*2</f>
        <v>1300</v>
      </c>
      <c r="E349" s="32"/>
      <c r="F349" s="32"/>
      <c r="G349" s="32">
        <f t="shared" si="108"/>
        <v>1300</v>
      </c>
      <c r="H349" s="12"/>
      <c r="I349" s="12"/>
      <c r="J349" s="12">
        <v>-333</v>
      </c>
      <c r="K349" s="12">
        <f t="shared" si="109"/>
        <v>967</v>
      </c>
      <c r="M349" s="10">
        <v>8</v>
      </c>
      <c r="N349" s="30"/>
      <c r="P349" s="32"/>
      <c r="Q349" s="32"/>
      <c r="R349" s="32"/>
      <c r="S349" s="32">
        <f t="shared" si="110"/>
        <v>0</v>
      </c>
      <c r="T349" s="12"/>
      <c r="U349" s="12"/>
      <c r="V349" s="12"/>
      <c r="W349" s="12">
        <f t="shared" si="111"/>
        <v>0</v>
      </c>
      <c r="Y349" s="10">
        <v>8</v>
      </c>
      <c r="Z349" s="30"/>
      <c r="AA349" s="11" t="s">
        <v>27</v>
      </c>
      <c r="AB349" s="32"/>
      <c r="AC349" s="32"/>
      <c r="AE349" s="32">
        <f t="shared" si="118"/>
        <v>0</v>
      </c>
      <c r="AF349" s="12"/>
      <c r="AG349" s="12"/>
      <c r="AH349" s="12"/>
      <c r="AI349" s="12">
        <f t="shared" si="117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11" t="s">
        <v>27</v>
      </c>
      <c r="D350" s="32"/>
      <c r="E350" s="32"/>
      <c r="F350" s="32"/>
      <c r="G350" s="32">
        <f t="shared" si="108"/>
        <v>0</v>
      </c>
      <c r="H350" s="12"/>
      <c r="I350" s="12"/>
      <c r="J350" s="12"/>
      <c r="K350" s="12">
        <f t="shared" si="109"/>
        <v>0</v>
      </c>
      <c r="M350" s="10">
        <v>9</v>
      </c>
      <c r="N350" s="30"/>
      <c r="O350" s="31"/>
      <c r="P350" s="32"/>
      <c r="Q350" s="32"/>
      <c r="R350" s="32"/>
      <c r="S350" s="32">
        <f t="shared" si="110"/>
        <v>0</v>
      </c>
      <c r="T350" s="12"/>
      <c r="U350" s="12"/>
      <c r="V350" s="12"/>
      <c r="W350" s="12">
        <f t="shared" si="111"/>
        <v>0</v>
      </c>
      <c r="Y350" s="10">
        <v>9</v>
      </c>
      <c r="Z350" s="30"/>
      <c r="AA350" s="31"/>
      <c r="AC350" s="32"/>
      <c r="AD350" s="32"/>
      <c r="AE350" s="32">
        <f t="shared" si="118"/>
        <v>0</v>
      </c>
      <c r="AF350" s="12"/>
      <c r="AH350" s="12"/>
      <c r="AI350" s="12">
        <f t="shared" si="117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108"/>
        <v>0</v>
      </c>
      <c r="H351" s="12"/>
      <c r="I351" s="12"/>
      <c r="J351" s="12"/>
      <c r="K351" s="12">
        <f t="shared" si="109"/>
        <v>0</v>
      </c>
      <c r="M351" s="10">
        <v>10</v>
      </c>
      <c r="N351" s="30"/>
      <c r="O351" s="31"/>
      <c r="P351" s="32"/>
      <c r="Q351" s="32"/>
      <c r="R351" s="32"/>
      <c r="S351" s="32">
        <f t="shared" si="110"/>
        <v>0</v>
      </c>
      <c r="T351" s="12"/>
      <c r="U351" s="12"/>
      <c r="V351" s="12"/>
      <c r="W351" s="12">
        <f t="shared" si="111"/>
        <v>0</v>
      </c>
      <c r="Y351" s="10">
        <v>10</v>
      </c>
      <c r="Z351" s="30"/>
      <c r="AA351" s="31"/>
      <c r="AB351" s="32"/>
      <c r="AC351" s="32"/>
      <c r="AD351" s="32"/>
      <c r="AE351" s="32">
        <f t="shared" si="118"/>
        <v>0</v>
      </c>
      <c r="AF351" s="12"/>
      <c r="AG351" s="12"/>
      <c r="AH351" s="12"/>
      <c r="AI351" s="12">
        <f t="shared" si="117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83"/>
      <c r="D352" s="32"/>
      <c r="E352" s="32"/>
      <c r="F352" s="32"/>
      <c r="G352" s="32">
        <f t="shared" si="108"/>
        <v>0</v>
      </c>
      <c r="H352" s="12"/>
      <c r="I352" s="12"/>
      <c r="J352" s="12"/>
      <c r="K352" s="12">
        <f t="shared" si="109"/>
        <v>0</v>
      </c>
      <c r="M352" s="10">
        <v>11</v>
      </c>
      <c r="N352" s="30"/>
      <c r="O352" s="31"/>
      <c r="P352" s="32"/>
      <c r="Q352" s="32"/>
      <c r="R352" s="32"/>
      <c r="S352" s="32">
        <f t="shared" si="110"/>
        <v>0</v>
      </c>
      <c r="T352" s="12"/>
      <c r="U352" s="12"/>
      <c r="V352" s="12"/>
      <c r="W352" s="12">
        <f t="shared" si="111"/>
        <v>0</v>
      </c>
      <c r="Y352" s="10">
        <v>11</v>
      </c>
      <c r="Z352" s="30"/>
      <c r="AA352" s="31"/>
      <c r="AB352" s="32"/>
      <c r="AC352" s="32"/>
      <c r="AD352" s="32"/>
      <c r="AE352" s="32">
        <f t="shared" ref="AE352:AE380" si="119">SUM(AB352:AC352)</f>
        <v>0</v>
      </c>
      <c r="AF352" s="12"/>
      <c r="AG352" s="12"/>
      <c r="AH352" s="12"/>
      <c r="AI352" s="12">
        <f t="shared" si="117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108"/>
        <v>0</v>
      </c>
      <c r="H353" s="12"/>
      <c r="I353" s="12"/>
      <c r="J353" s="10"/>
      <c r="K353" s="12">
        <f t="shared" si="109"/>
        <v>0</v>
      </c>
      <c r="M353" s="10">
        <v>12</v>
      </c>
      <c r="N353" s="30"/>
      <c r="O353" s="31"/>
      <c r="P353" s="32"/>
      <c r="Q353" s="32"/>
      <c r="R353" s="32"/>
      <c r="S353" s="32">
        <f t="shared" si="110"/>
        <v>0</v>
      </c>
      <c r="T353" s="12"/>
      <c r="U353" s="12"/>
      <c r="V353" s="12"/>
      <c r="W353" s="12">
        <f t="shared" si="111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19"/>
        <v>0</v>
      </c>
      <c r="AF353" s="12"/>
      <c r="AG353" s="12"/>
      <c r="AH353" s="12"/>
      <c r="AI353" s="12">
        <f t="shared" si="117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108"/>
        <v>0</v>
      </c>
      <c r="H354" s="12"/>
      <c r="I354" s="12"/>
      <c r="J354" s="12"/>
      <c r="K354" s="12">
        <f t="shared" si="109"/>
        <v>0</v>
      </c>
      <c r="M354" s="10">
        <v>13</v>
      </c>
      <c r="N354" s="30"/>
      <c r="O354" s="31"/>
      <c r="P354" s="32"/>
      <c r="Q354" s="32"/>
      <c r="R354" s="32"/>
      <c r="S354" s="32">
        <f t="shared" si="110"/>
        <v>0</v>
      </c>
      <c r="T354" s="12"/>
      <c r="U354" s="12"/>
      <c r="V354" s="12"/>
      <c r="W354" s="12">
        <f t="shared" si="111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19"/>
        <v>0</v>
      </c>
      <c r="AF354" s="12"/>
      <c r="AG354" s="12"/>
      <c r="AH354" s="12"/>
      <c r="AI354" s="12">
        <f t="shared" si="117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108"/>
        <v>0</v>
      </c>
      <c r="H355" s="12"/>
      <c r="I355" s="12"/>
      <c r="J355" s="12"/>
      <c r="K355" s="12">
        <f t="shared" si="109"/>
        <v>0</v>
      </c>
      <c r="M355" s="10">
        <v>14</v>
      </c>
      <c r="N355" s="30"/>
      <c r="O355" s="31"/>
      <c r="P355" s="32"/>
      <c r="Q355" s="32"/>
      <c r="R355" s="32"/>
      <c r="S355" s="32">
        <f t="shared" si="110"/>
        <v>0</v>
      </c>
      <c r="T355" s="12"/>
      <c r="U355" s="12"/>
      <c r="V355" s="12"/>
      <c r="W355" s="12">
        <f t="shared" si="111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9"/>
        <v>0</v>
      </c>
      <c r="AF355" s="12"/>
      <c r="AG355" s="12"/>
      <c r="AH355" s="12"/>
      <c r="AI355" s="12">
        <f t="shared" si="117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108"/>
        <v>0</v>
      </c>
      <c r="H356" s="12"/>
      <c r="I356" s="12"/>
      <c r="J356" s="12"/>
      <c r="K356" s="12">
        <f t="shared" si="109"/>
        <v>0</v>
      </c>
      <c r="M356" s="10">
        <v>15</v>
      </c>
      <c r="N356" s="30"/>
      <c r="O356" s="31"/>
      <c r="P356" s="32"/>
      <c r="Q356" s="32"/>
      <c r="R356" s="32"/>
      <c r="S356" s="32">
        <f t="shared" si="110"/>
        <v>0</v>
      </c>
      <c r="T356" s="12"/>
      <c r="U356" s="12"/>
      <c r="V356" s="12"/>
      <c r="W356" s="12">
        <f t="shared" si="111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19"/>
        <v>0</v>
      </c>
      <c r="AF356" s="12"/>
      <c r="AG356" s="12"/>
      <c r="AH356" s="12"/>
      <c r="AI356" s="12">
        <f t="shared" si="117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D357" s="32"/>
      <c r="E357" s="32"/>
      <c r="F357" s="32"/>
      <c r="G357" s="32">
        <f t="shared" si="108"/>
        <v>0</v>
      </c>
      <c r="H357" s="12"/>
      <c r="I357" s="12"/>
      <c r="J357" s="12"/>
      <c r="K357" s="12">
        <f t="shared" si="109"/>
        <v>0</v>
      </c>
      <c r="M357" s="10">
        <v>16</v>
      </c>
      <c r="N357" s="30"/>
      <c r="O357" s="31"/>
      <c r="P357" s="32"/>
      <c r="Q357" s="32"/>
      <c r="R357" s="32"/>
      <c r="S357" s="32">
        <f t="shared" si="110"/>
        <v>0</v>
      </c>
      <c r="T357" s="12"/>
      <c r="U357" s="12"/>
      <c r="V357" s="12"/>
      <c r="W357" s="12">
        <f t="shared" si="111"/>
        <v>0</v>
      </c>
      <c r="Y357" s="10">
        <v>16</v>
      </c>
      <c r="Z357" s="30"/>
      <c r="AB357" s="32"/>
      <c r="AC357" s="32"/>
      <c r="AD357" s="32"/>
      <c r="AE357" s="32">
        <f t="shared" si="119"/>
        <v>0</v>
      </c>
      <c r="AF357" s="12"/>
      <c r="AG357" s="12"/>
      <c r="AH357" s="12"/>
      <c r="AI357" s="12">
        <f t="shared" si="117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108"/>
        <v>0</v>
      </c>
      <c r="H358" s="12"/>
      <c r="I358" s="12"/>
      <c r="J358" s="12"/>
      <c r="K358" s="12">
        <f t="shared" si="109"/>
        <v>0</v>
      </c>
      <c r="M358" s="10">
        <v>17</v>
      </c>
      <c r="N358" s="30"/>
      <c r="O358" s="31"/>
      <c r="P358" s="35"/>
      <c r="Q358" s="32"/>
      <c r="R358" s="32"/>
      <c r="S358" s="32">
        <f t="shared" si="110"/>
        <v>0</v>
      </c>
      <c r="T358" s="12"/>
      <c r="U358" s="12"/>
      <c r="V358" s="12"/>
      <c r="W358" s="12">
        <f t="shared" si="111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9"/>
        <v>0</v>
      </c>
      <c r="AF358" s="12"/>
      <c r="AG358" s="12"/>
      <c r="AH358" s="12"/>
      <c r="AI358" s="12">
        <f t="shared" si="117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108"/>
        <v>0</v>
      </c>
      <c r="H359" s="12"/>
      <c r="I359" s="12"/>
      <c r="J359" s="12"/>
      <c r="K359" s="12">
        <f t="shared" si="109"/>
        <v>0</v>
      </c>
      <c r="M359" s="10">
        <v>18</v>
      </c>
      <c r="N359" s="30"/>
      <c r="O359" s="31"/>
      <c r="P359" s="32"/>
      <c r="Q359" s="32"/>
      <c r="R359" s="32"/>
      <c r="S359" s="32">
        <f t="shared" si="110"/>
        <v>0</v>
      </c>
      <c r="T359" s="12"/>
      <c r="U359" s="12"/>
      <c r="V359" s="12"/>
      <c r="W359" s="12">
        <f t="shared" si="111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9"/>
        <v>0</v>
      </c>
      <c r="AF359" s="12"/>
      <c r="AG359" s="12"/>
      <c r="AH359" s="12"/>
      <c r="AI359" s="12">
        <f t="shared" si="117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108"/>
        <v>0</v>
      </c>
      <c r="H360" s="12"/>
      <c r="I360" s="12"/>
      <c r="J360" s="12"/>
      <c r="K360" s="12">
        <f t="shared" si="109"/>
        <v>0</v>
      </c>
      <c r="M360" s="10">
        <v>19</v>
      </c>
      <c r="N360" s="30"/>
      <c r="O360" s="31"/>
      <c r="P360" s="32"/>
      <c r="Q360" s="32"/>
      <c r="R360" s="32"/>
      <c r="S360" s="32">
        <f t="shared" si="110"/>
        <v>0</v>
      </c>
      <c r="T360" s="12"/>
      <c r="U360" s="12"/>
      <c r="V360" s="12"/>
      <c r="W360" s="12">
        <f t="shared" si="111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9"/>
        <v>0</v>
      </c>
      <c r="AF360" s="12"/>
      <c r="AG360" s="12"/>
      <c r="AH360" s="12"/>
      <c r="AI360" s="12">
        <f t="shared" si="117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108"/>
        <v>0</v>
      </c>
      <c r="H361" s="12"/>
      <c r="I361" s="12"/>
      <c r="J361" s="12"/>
      <c r="K361" s="12">
        <f t="shared" si="109"/>
        <v>0</v>
      </c>
      <c r="M361" s="10">
        <v>20</v>
      </c>
      <c r="N361" s="30"/>
      <c r="O361" s="31"/>
      <c r="P361" s="32"/>
      <c r="Q361" s="32"/>
      <c r="R361" s="32"/>
      <c r="S361" s="32">
        <f t="shared" si="110"/>
        <v>0</v>
      </c>
      <c r="T361" s="12"/>
      <c r="U361" s="12"/>
      <c r="V361" s="12"/>
      <c r="W361" s="12">
        <f t="shared" si="111"/>
        <v>0</v>
      </c>
      <c r="Y361" s="10">
        <v>20</v>
      </c>
      <c r="Z361" s="30"/>
      <c r="AB361" s="32"/>
      <c r="AC361" s="32"/>
      <c r="AD361" s="32"/>
      <c r="AE361" s="32">
        <f t="shared" si="119"/>
        <v>0</v>
      </c>
      <c r="AF361" s="12"/>
      <c r="AG361" s="12"/>
      <c r="AH361" s="12"/>
      <c r="AI361" s="12">
        <f t="shared" si="117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57"/>
      <c r="D362" s="32"/>
      <c r="E362" s="32"/>
      <c r="F362" s="32"/>
      <c r="G362" s="32">
        <f t="shared" si="108"/>
        <v>0</v>
      </c>
      <c r="H362" s="10"/>
      <c r="I362" s="10"/>
      <c r="J362" s="10"/>
      <c r="K362" s="12">
        <f t="shared" si="109"/>
        <v>0</v>
      </c>
      <c r="M362" s="10">
        <v>21</v>
      </c>
      <c r="N362" s="30"/>
      <c r="O362" s="31"/>
      <c r="P362" s="92"/>
      <c r="Q362" s="31"/>
      <c r="R362" s="31"/>
      <c r="S362" s="32">
        <f t="shared" si="110"/>
        <v>0</v>
      </c>
      <c r="T362" s="10"/>
      <c r="U362" s="10"/>
      <c r="V362" s="10"/>
      <c r="W362" s="12">
        <f t="shared" si="111"/>
        <v>0</v>
      </c>
      <c r="Y362" s="10">
        <v>21</v>
      </c>
      <c r="Z362" s="30"/>
      <c r="AA362" s="31"/>
      <c r="AB362" s="46"/>
      <c r="AC362" s="31"/>
      <c r="AD362" s="31"/>
      <c r="AE362" s="32">
        <f t="shared" si="119"/>
        <v>0</v>
      </c>
      <c r="AF362" s="10"/>
      <c r="AG362" s="10"/>
      <c r="AH362" s="10"/>
      <c r="AI362" s="12">
        <f t="shared" si="117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108"/>
        <v>0</v>
      </c>
      <c r="H363" s="10"/>
      <c r="I363" s="10"/>
      <c r="J363" s="10"/>
      <c r="K363" s="12">
        <f t="shared" si="109"/>
        <v>0</v>
      </c>
      <c r="M363" s="10">
        <v>22</v>
      </c>
      <c r="N363" s="30"/>
      <c r="O363" s="31"/>
      <c r="P363" s="92"/>
      <c r="Q363" s="31"/>
      <c r="R363" s="31"/>
      <c r="S363" s="32">
        <f t="shared" si="110"/>
        <v>0</v>
      </c>
      <c r="T363" s="10"/>
      <c r="U363" s="10"/>
      <c r="V363" s="10"/>
      <c r="W363" s="12">
        <f t="shared" si="111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19"/>
        <v>0</v>
      </c>
      <c r="AF363" s="10"/>
      <c r="AG363" s="10"/>
      <c r="AH363" s="10"/>
      <c r="AI363" s="12">
        <f t="shared" si="117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108"/>
        <v>0</v>
      </c>
      <c r="H364" s="10"/>
      <c r="I364" s="10"/>
      <c r="J364" s="12"/>
      <c r="K364" s="12">
        <f t="shared" si="109"/>
        <v>0</v>
      </c>
      <c r="M364" s="10">
        <v>23</v>
      </c>
      <c r="N364" s="30"/>
      <c r="O364" s="31"/>
      <c r="P364" s="47"/>
      <c r="Q364" s="31"/>
      <c r="S364" s="32">
        <f t="shared" si="110"/>
        <v>0</v>
      </c>
      <c r="T364" s="10"/>
      <c r="U364" s="10"/>
      <c r="V364" s="10"/>
      <c r="W364" s="12">
        <f t="shared" si="111"/>
        <v>0</v>
      </c>
      <c r="Y364" s="10">
        <v>23</v>
      </c>
      <c r="Z364" s="30"/>
      <c r="AA364" s="31"/>
      <c r="AB364" s="47"/>
      <c r="AC364" s="31"/>
      <c r="AE364" s="32">
        <f t="shared" si="119"/>
        <v>0</v>
      </c>
      <c r="AF364" s="10"/>
      <c r="AG364" s="10"/>
      <c r="AH364" s="10"/>
      <c r="AI364" s="12">
        <f t="shared" si="117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108"/>
        <v>0</v>
      </c>
      <c r="H365" s="10"/>
      <c r="I365" s="10"/>
      <c r="J365" s="10"/>
      <c r="K365" s="12">
        <f t="shared" si="109"/>
        <v>0</v>
      </c>
      <c r="M365" s="10">
        <v>24</v>
      </c>
      <c r="N365" s="30"/>
      <c r="P365" s="47"/>
      <c r="Q365" s="31"/>
      <c r="R365" s="31"/>
      <c r="S365" s="32">
        <f t="shared" si="110"/>
        <v>0</v>
      </c>
      <c r="T365" s="10"/>
      <c r="U365" s="10"/>
      <c r="V365" s="10"/>
      <c r="W365" s="12">
        <f t="shared" si="111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9"/>
        <v>0</v>
      </c>
      <c r="AF365" s="10"/>
      <c r="AG365" s="10"/>
      <c r="AH365" s="10"/>
      <c r="AI365" s="12">
        <f t="shared" si="117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108"/>
        <v>0</v>
      </c>
      <c r="H366" s="10"/>
      <c r="I366" s="10"/>
      <c r="J366" s="10"/>
      <c r="K366" s="12">
        <f t="shared" si="109"/>
        <v>0</v>
      </c>
      <c r="M366" s="10">
        <v>25</v>
      </c>
      <c r="N366" s="30"/>
      <c r="O366" s="31"/>
      <c r="P366" s="47"/>
      <c r="Q366" s="31"/>
      <c r="R366" s="31"/>
      <c r="S366" s="32">
        <f t="shared" si="110"/>
        <v>0</v>
      </c>
      <c r="T366" s="10"/>
      <c r="U366" s="10"/>
      <c r="V366" s="10"/>
      <c r="W366" s="12">
        <f t="shared" si="111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19"/>
        <v>0</v>
      </c>
      <c r="AF366" s="10"/>
      <c r="AG366" s="10"/>
      <c r="AH366" s="10"/>
      <c r="AI366" s="12">
        <f t="shared" si="117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108"/>
        <v>0</v>
      </c>
      <c r="H367" s="10"/>
      <c r="I367" s="10"/>
      <c r="J367" s="10"/>
      <c r="K367" s="12">
        <f t="shared" si="109"/>
        <v>0</v>
      </c>
      <c r="M367" s="10">
        <v>26</v>
      </c>
      <c r="N367" s="30"/>
      <c r="P367" s="47"/>
      <c r="Q367" s="31"/>
      <c r="R367" s="31"/>
      <c r="S367" s="32">
        <f t="shared" si="110"/>
        <v>0</v>
      </c>
      <c r="T367" s="10"/>
      <c r="U367" s="10"/>
      <c r="V367" s="10"/>
      <c r="W367" s="12">
        <f t="shared" si="111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19"/>
        <v>0</v>
      </c>
      <c r="AF367" s="10"/>
      <c r="AG367" s="10"/>
      <c r="AH367" s="10"/>
      <c r="AI367" s="12">
        <f t="shared" si="117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108"/>
        <v>0</v>
      </c>
      <c r="H368" s="10"/>
      <c r="I368" s="10"/>
      <c r="J368" s="10"/>
      <c r="K368" s="12">
        <f t="shared" si="109"/>
        <v>0</v>
      </c>
      <c r="M368" s="10">
        <v>27</v>
      </c>
      <c r="N368" s="30"/>
      <c r="O368" s="31"/>
      <c r="P368" s="47"/>
      <c r="Q368" s="31"/>
      <c r="R368" s="31"/>
      <c r="S368" s="32">
        <f t="shared" si="110"/>
        <v>0</v>
      </c>
      <c r="T368" s="10"/>
      <c r="U368" s="10"/>
      <c r="V368" s="10"/>
      <c r="W368" s="12">
        <f t="shared" si="111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9"/>
        <v>0</v>
      </c>
      <c r="AF368" s="10"/>
      <c r="AG368" s="10"/>
      <c r="AH368" s="10"/>
      <c r="AI368" s="12">
        <f t="shared" si="117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108"/>
        <v>0</v>
      </c>
      <c r="H369" s="10"/>
      <c r="I369" s="10"/>
      <c r="J369" s="10"/>
      <c r="K369" s="12">
        <f t="shared" si="109"/>
        <v>0</v>
      </c>
      <c r="M369" s="10">
        <v>28</v>
      </c>
      <c r="N369" s="30"/>
      <c r="O369" s="31"/>
      <c r="P369" s="47"/>
      <c r="Q369" s="31"/>
      <c r="R369" s="31"/>
      <c r="S369" s="32">
        <f t="shared" si="110"/>
        <v>0</v>
      </c>
      <c r="T369" s="10"/>
      <c r="U369" s="10"/>
      <c r="V369" s="10"/>
      <c r="W369" s="12">
        <f t="shared" si="111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9"/>
        <v>0</v>
      </c>
      <c r="AF369" s="10"/>
      <c r="AG369" s="10"/>
      <c r="AH369" s="10"/>
      <c r="AI369" s="12">
        <f t="shared" si="117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57"/>
      <c r="D370" s="32"/>
      <c r="E370" s="32"/>
      <c r="F370" s="32"/>
      <c r="G370" s="32">
        <f t="shared" si="108"/>
        <v>0</v>
      </c>
      <c r="H370" s="10"/>
      <c r="I370" s="10"/>
      <c r="J370" s="10"/>
      <c r="K370" s="12">
        <f t="shared" si="109"/>
        <v>0</v>
      </c>
      <c r="M370" s="10">
        <v>29</v>
      </c>
      <c r="N370" s="30"/>
      <c r="O370" s="31"/>
      <c r="P370" s="47"/>
      <c r="Q370" s="31"/>
      <c r="R370" s="31"/>
      <c r="S370" s="32">
        <f t="shared" si="110"/>
        <v>0</v>
      </c>
      <c r="T370" s="10"/>
      <c r="U370" s="10"/>
      <c r="V370" s="10"/>
      <c r="W370" s="12">
        <f t="shared" si="111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9"/>
        <v>0</v>
      </c>
      <c r="AF370" s="10"/>
      <c r="AG370" s="10"/>
      <c r="AH370" s="10"/>
      <c r="AI370" s="12">
        <f t="shared" si="117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108"/>
        <v>0</v>
      </c>
      <c r="H371" s="10"/>
      <c r="I371" s="10"/>
      <c r="J371" s="10"/>
      <c r="K371" s="12">
        <f t="shared" si="109"/>
        <v>0</v>
      </c>
      <c r="M371" s="10">
        <v>30</v>
      </c>
      <c r="N371" s="30"/>
      <c r="P371" s="47"/>
      <c r="Q371" s="31"/>
      <c r="R371" s="31"/>
      <c r="S371" s="32">
        <f t="shared" si="110"/>
        <v>0</v>
      </c>
      <c r="T371" s="10"/>
      <c r="U371" s="10"/>
      <c r="V371" s="10"/>
      <c r="W371" s="12">
        <f t="shared" si="111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19"/>
        <v>0</v>
      </c>
      <c r="AF371" s="10"/>
      <c r="AG371" s="10"/>
      <c r="AH371" s="10"/>
      <c r="AI371" s="12">
        <f t="shared" si="117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108"/>
        <v>0</v>
      </c>
      <c r="H372" s="10"/>
      <c r="I372" s="10"/>
      <c r="J372" s="10"/>
      <c r="K372" s="12">
        <f t="shared" si="109"/>
        <v>0</v>
      </c>
      <c r="M372" s="10">
        <v>31</v>
      </c>
      <c r="N372" s="30"/>
      <c r="O372" s="31"/>
      <c r="P372" s="47"/>
      <c r="Q372" s="31"/>
      <c r="R372" s="31"/>
      <c r="S372" s="32">
        <f t="shared" si="110"/>
        <v>0</v>
      </c>
      <c r="T372" s="10"/>
      <c r="U372" s="10"/>
      <c r="V372" s="10"/>
      <c r="W372" s="12">
        <f t="shared" si="111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19"/>
        <v>0</v>
      </c>
      <c r="AF372" s="10"/>
      <c r="AG372" s="10"/>
      <c r="AH372" s="10"/>
      <c r="AI372" s="12">
        <f t="shared" si="117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108"/>
        <v>0</v>
      </c>
      <c r="H373" s="10"/>
      <c r="I373" s="10"/>
      <c r="J373" s="10"/>
      <c r="K373" s="12">
        <f t="shared" si="109"/>
        <v>0</v>
      </c>
      <c r="M373" s="10">
        <v>32</v>
      </c>
      <c r="N373" s="30"/>
      <c r="O373" s="31"/>
      <c r="P373" s="47"/>
      <c r="Q373" s="31"/>
      <c r="R373" s="31"/>
      <c r="S373" s="32">
        <f t="shared" si="110"/>
        <v>0</v>
      </c>
      <c r="T373" s="10"/>
      <c r="U373" s="10"/>
      <c r="V373" s="10"/>
      <c r="W373" s="12">
        <f t="shared" si="111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9"/>
        <v>0</v>
      </c>
      <c r="AF373" s="10"/>
      <c r="AG373" s="10"/>
      <c r="AH373" s="10"/>
      <c r="AI373" s="12">
        <f t="shared" si="117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108"/>
        <v>0</v>
      </c>
      <c r="H374" s="10"/>
      <c r="I374" s="10"/>
      <c r="J374" s="10"/>
      <c r="K374" s="12">
        <f t="shared" si="109"/>
        <v>0</v>
      </c>
      <c r="M374" s="10">
        <v>33</v>
      </c>
      <c r="N374" s="30"/>
      <c r="O374" s="31"/>
      <c r="P374" s="47"/>
      <c r="Q374" s="31"/>
      <c r="R374" s="31"/>
      <c r="S374" s="32">
        <f t="shared" si="110"/>
        <v>0</v>
      </c>
      <c r="T374" s="10"/>
      <c r="U374" s="10"/>
      <c r="V374" s="10"/>
      <c r="W374" s="12">
        <f t="shared" si="111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9"/>
        <v>0</v>
      </c>
      <c r="AF374" s="10"/>
      <c r="AG374" s="10"/>
      <c r="AH374" s="10"/>
      <c r="AI374" s="12">
        <f t="shared" si="117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108"/>
        <v>0</v>
      </c>
      <c r="H375" s="10"/>
      <c r="I375" s="10"/>
      <c r="J375" s="10"/>
      <c r="K375" s="12">
        <f t="shared" si="109"/>
        <v>0</v>
      </c>
      <c r="M375" s="10">
        <v>34</v>
      </c>
      <c r="N375" s="30"/>
      <c r="O375" s="31"/>
      <c r="P375" s="47"/>
      <c r="Q375" s="31"/>
      <c r="R375" s="31"/>
      <c r="S375" s="32">
        <f t="shared" si="110"/>
        <v>0</v>
      </c>
      <c r="T375" s="10"/>
      <c r="U375" s="10"/>
      <c r="V375" s="10"/>
      <c r="W375" s="12">
        <f t="shared" si="111"/>
        <v>0</v>
      </c>
      <c r="Y375" s="10">
        <v>34</v>
      </c>
      <c r="Z375" s="30"/>
      <c r="AA375" s="31"/>
      <c r="AB375" s="47"/>
      <c r="AC375" s="31"/>
      <c r="AD375" s="31"/>
      <c r="AE375" s="32">
        <f t="shared" si="119"/>
        <v>0</v>
      </c>
      <c r="AF375" s="10"/>
      <c r="AG375" s="10"/>
      <c r="AH375" s="10"/>
      <c r="AI375" s="12">
        <f t="shared" ref="AI375:AI383" si="120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0"/>
        <v>0</v>
      </c>
      <c r="T376" s="10"/>
      <c r="U376" s="10"/>
      <c r="V376" s="10"/>
      <c r="W376" s="12">
        <f t="shared" si="111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9"/>
        <v>0</v>
      </c>
      <c r="AF376" s="10"/>
      <c r="AG376" s="10"/>
      <c r="AH376" s="10"/>
      <c r="AI376" s="12">
        <f t="shared" si="120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0"/>
        <v>0</v>
      </c>
      <c r="T377" s="10"/>
      <c r="U377" s="10"/>
      <c r="V377" s="10"/>
      <c r="W377" s="12">
        <f t="shared" si="111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9"/>
        <v>0</v>
      </c>
      <c r="AF377" s="10"/>
      <c r="AG377" s="10"/>
      <c r="AH377" s="10"/>
      <c r="AI377" s="12">
        <f t="shared" si="120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0"/>
        <v>0</v>
      </c>
      <c r="T378" s="10"/>
      <c r="U378" s="10"/>
      <c r="V378" s="10"/>
      <c r="W378" s="12">
        <f t="shared" si="111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9"/>
        <v>0</v>
      </c>
      <c r="AF378" s="10"/>
      <c r="AG378" s="10"/>
      <c r="AH378" s="10"/>
      <c r="AI378" s="12">
        <f t="shared" si="120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0"/>
        <v>0</v>
      </c>
      <c r="T379" s="10"/>
      <c r="U379" s="10"/>
      <c r="V379" s="10"/>
      <c r="W379" s="12">
        <f t="shared" si="111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9"/>
        <v>0</v>
      </c>
      <c r="AF379" s="10"/>
      <c r="AG379" s="10"/>
      <c r="AH379" s="10"/>
      <c r="AI379" s="12">
        <f t="shared" si="120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0"/>
        <v>0</v>
      </c>
      <c r="T380" s="10"/>
      <c r="U380" s="10"/>
      <c r="V380" s="10"/>
      <c r="W380" s="12">
        <f t="shared" si="111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9"/>
        <v>0</v>
      </c>
      <c r="AF380" s="10"/>
      <c r="AG380" s="10"/>
      <c r="AH380" s="10"/>
      <c r="AI380" s="12">
        <f t="shared" si="120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1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20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21">SUM(D382:E382)</f>
        <v>0</v>
      </c>
      <c r="H382" s="10"/>
      <c r="I382" s="10"/>
      <c r="J382" s="10"/>
      <c r="K382" s="12">
        <f t="shared" ref="K382" si="122">SUM(G382:J382)</f>
        <v>0</v>
      </c>
      <c r="M382" s="10"/>
      <c r="N382" s="30"/>
      <c r="O382" s="31"/>
      <c r="P382" s="47"/>
      <c r="Q382" s="31"/>
      <c r="R382" s="31"/>
      <c r="S382" s="32">
        <f t="shared" ref="S382" si="123">SUM(P382:Q382)</f>
        <v>0</v>
      </c>
      <c r="T382" s="10"/>
      <c r="U382" s="10"/>
      <c r="V382" s="10"/>
      <c r="W382" s="12">
        <f t="shared" si="111"/>
        <v>0</v>
      </c>
      <c r="Y382" s="10"/>
      <c r="Z382" s="30"/>
      <c r="AA382" s="31"/>
      <c r="AB382" s="47"/>
      <c r="AC382" s="31"/>
      <c r="AD382" s="31"/>
      <c r="AE382" s="32">
        <f t="shared" ref="AE382" si="124">SUM(AB382:AC382)</f>
        <v>0</v>
      </c>
      <c r="AF382" s="10"/>
      <c r="AG382" s="10"/>
      <c r="AH382" s="10"/>
      <c r="AI382" s="12">
        <f t="shared" si="120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1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20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261661.5</v>
      </c>
      <c r="E385" s="38">
        <f t="shared" ref="E385:F385" si="125">SUM(E342:E382)</f>
        <v>-1386</v>
      </c>
      <c r="F385" s="38">
        <f t="shared" si="125"/>
        <v>0</v>
      </c>
      <c r="G385" s="38">
        <f>SUM(G342:G384)</f>
        <v>260275.5</v>
      </c>
      <c r="H385" s="4"/>
      <c r="I385" s="39">
        <f>SUM(I342:I384)</f>
        <v>1269</v>
      </c>
      <c r="J385" s="39">
        <f>SUM(J342:J384)</f>
        <v>-7666.5</v>
      </c>
      <c r="K385" s="40">
        <f>SUM(K342:K384)</f>
        <v>253878</v>
      </c>
      <c r="N385" s="57"/>
      <c r="O385" s="57"/>
      <c r="P385" s="38">
        <f>SUM(P342:P384)</f>
        <v>288000</v>
      </c>
      <c r="Q385" s="38">
        <f>SUM(Q342:Q366)</f>
        <v>-2604</v>
      </c>
      <c r="R385" s="38">
        <f>SUM(R342:R366)</f>
        <v>0</v>
      </c>
      <c r="S385" s="38">
        <f>SUM(S342:S384)</f>
        <v>285396</v>
      </c>
      <c r="T385" s="4"/>
      <c r="U385" s="41">
        <f>SUM(U342:U384)</f>
        <v>1056</v>
      </c>
      <c r="V385" s="41">
        <f>SUM(V342:V366)</f>
        <v>-2115</v>
      </c>
      <c r="W385" s="42">
        <f>SUM(W342:W384)</f>
        <v>284337</v>
      </c>
      <c r="Z385" s="57"/>
      <c r="AA385" s="57"/>
      <c r="AB385" s="38">
        <f>SUM(AB342:AB384)</f>
        <v>264080.5</v>
      </c>
      <c r="AC385" s="38">
        <f>SUM(AC342:AC366)</f>
        <v>0</v>
      </c>
      <c r="AD385" s="38">
        <f>SUM(AD342:AD366)</f>
        <v>0</v>
      </c>
      <c r="AE385" s="38">
        <f>SUM(AE342:AE384)</f>
        <v>264080.5</v>
      </c>
      <c r="AF385" s="4"/>
      <c r="AG385" s="41">
        <f>SUM(AG342:AG384)</f>
        <v>4912.5</v>
      </c>
      <c r="AH385" s="41">
        <f>SUM(AH342:AH366)</f>
        <v>-1266</v>
      </c>
      <c r="AI385" s="42">
        <f>SUM(AI342:AI384)</f>
        <v>267727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39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39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39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35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06" t="s">
        <v>17</v>
      </c>
      <c r="E395" s="106"/>
      <c r="F395" s="94"/>
      <c r="G395" s="27"/>
      <c r="I395" s="104" t="s">
        <v>18</v>
      </c>
      <c r="J395" s="105"/>
      <c r="K395" s="102" t="s">
        <v>19</v>
      </c>
      <c r="N395" s="25"/>
      <c r="O395" s="26"/>
      <c r="P395" s="106" t="s">
        <v>17</v>
      </c>
      <c r="Q395" s="106"/>
      <c r="R395" s="94"/>
      <c r="S395" s="27"/>
      <c r="U395" s="104" t="s">
        <v>18</v>
      </c>
      <c r="V395" s="105"/>
      <c r="W395" s="102" t="s">
        <v>19</v>
      </c>
      <c r="Z395" s="25"/>
      <c r="AA395" s="26"/>
      <c r="AB395" s="106" t="s">
        <v>17</v>
      </c>
      <c r="AC395" s="106"/>
      <c r="AD395" s="94"/>
      <c r="AE395" s="27"/>
      <c r="AG395" s="104" t="s">
        <v>18</v>
      </c>
      <c r="AH395" s="105"/>
      <c r="AI395" s="102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03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03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03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46297</v>
      </c>
      <c r="C397" s="83">
        <v>9061</v>
      </c>
      <c r="D397" s="32">
        <f>650*27+622*10+229</f>
        <v>23999</v>
      </c>
      <c r="E397" s="32"/>
      <c r="F397" s="32"/>
      <c r="G397" s="32">
        <f t="shared" ref="G397:G430" si="126">SUM(D397:E397)</f>
        <v>23999</v>
      </c>
      <c r="H397" s="12"/>
      <c r="I397" s="12"/>
      <c r="J397" s="12"/>
      <c r="K397" s="12">
        <f t="shared" ref="K397:K430" si="127">SUM(G397:J397)</f>
        <v>23999</v>
      </c>
      <c r="M397" s="10">
        <v>1</v>
      </c>
      <c r="N397" s="30">
        <v>46297</v>
      </c>
      <c r="O397" s="31">
        <v>9001</v>
      </c>
      <c r="P397" s="32">
        <f>650*12+9.5*12</f>
        <v>7914</v>
      </c>
      <c r="Q397" s="32"/>
      <c r="R397" s="32"/>
      <c r="S397" s="32">
        <f>SUM(P397:Q397)</f>
        <v>7914</v>
      </c>
      <c r="T397" s="12"/>
      <c r="U397" s="12"/>
      <c r="V397" s="12">
        <v>-333</v>
      </c>
      <c r="W397" s="12">
        <f>SUM(S397:V397)</f>
        <v>7581</v>
      </c>
      <c r="Y397" s="10">
        <v>1</v>
      </c>
      <c r="Z397" s="30">
        <v>46297</v>
      </c>
      <c r="AA397" s="31">
        <v>8932</v>
      </c>
      <c r="AB397" s="32">
        <f>650*300+670*35+973*10+912*10+872*5+700*10+650*10</f>
        <v>255160</v>
      </c>
      <c r="AC397" s="32"/>
      <c r="AD397" s="32"/>
      <c r="AE397" s="32">
        <f>SUM(AB397:AC397)</f>
        <v>255160</v>
      </c>
      <c r="AF397" s="12"/>
      <c r="AG397" s="12">
        <f>345*111+120*25</f>
        <v>41295</v>
      </c>
      <c r="AH397" s="12">
        <f>-360+-5772+-4788+-21168</f>
        <v>-32088</v>
      </c>
      <c r="AI397" s="12">
        <f>SUM(AE397:AH397)</f>
        <v>264367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46297</v>
      </c>
      <c r="C398" s="83">
        <f>C397+1</f>
        <v>9062</v>
      </c>
      <c r="D398" s="32">
        <f>650*8+670</f>
        <v>5870</v>
      </c>
      <c r="E398" s="32"/>
      <c r="F398" s="32"/>
      <c r="G398" s="32">
        <f t="shared" si="126"/>
        <v>5870</v>
      </c>
      <c r="H398" s="12"/>
      <c r="I398" s="12"/>
      <c r="J398" s="12"/>
      <c r="K398" s="12">
        <f t="shared" si="127"/>
        <v>5870</v>
      </c>
      <c r="M398" s="10">
        <v>2</v>
      </c>
      <c r="N398" s="30">
        <v>46297</v>
      </c>
      <c r="O398" s="31">
        <f>O397+1</f>
        <v>9002</v>
      </c>
      <c r="P398" s="32">
        <f>650*4+229</f>
        <v>2829</v>
      </c>
      <c r="Q398" s="32"/>
      <c r="R398" s="32"/>
      <c r="S398" s="32">
        <f t="shared" ref="S398:S435" si="128">SUM(P398:Q398)</f>
        <v>2829</v>
      </c>
      <c r="T398" s="12"/>
      <c r="U398" s="12"/>
      <c r="V398" s="12"/>
      <c r="W398" s="12">
        <f t="shared" ref="W398:W438" si="129">SUM(S398:V398)</f>
        <v>2829</v>
      </c>
      <c r="Y398" s="10">
        <v>2</v>
      </c>
      <c r="Z398" s="30">
        <v>46297</v>
      </c>
      <c r="AA398" s="31">
        <f>AA397+1</f>
        <v>8933</v>
      </c>
      <c r="AB398" s="32">
        <f>650*20</f>
        <v>13000</v>
      </c>
      <c r="AD398" s="32"/>
      <c r="AE398" s="32">
        <f t="shared" ref="AE398:AE399" si="130">SUM(AB398:AC398)</f>
        <v>13000</v>
      </c>
      <c r="AF398" s="12"/>
      <c r="AG398" s="12"/>
      <c r="AH398">
        <v>-3330</v>
      </c>
      <c r="AI398" s="12">
        <f t="shared" ref="AI398:AI399" si="131">SUM(AE398:AH398)</f>
        <v>9670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46297</v>
      </c>
      <c r="C399" s="83">
        <f t="shared" ref="C399:C403" si="132">C398+1</f>
        <v>9063</v>
      </c>
      <c r="D399" s="33">
        <f>650*5+670+622</f>
        <v>4542</v>
      </c>
      <c r="E399" s="33"/>
      <c r="F399" s="33"/>
      <c r="G399" s="33">
        <f t="shared" si="126"/>
        <v>4542</v>
      </c>
      <c r="H399" s="34"/>
      <c r="I399" s="34"/>
      <c r="J399" s="34"/>
      <c r="K399" s="34">
        <f t="shared" si="127"/>
        <v>4542</v>
      </c>
      <c r="M399" s="10">
        <v>3</v>
      </c>
      <c r="N399" s="30">
        <v>46297</v>
      </c>
      <c r="O399" s="31">
        <f t="shared" ref="O399:O409" si="133">O398+1</f>
        <v>9003</v>
      </c>
      <c r="P399" s="32">
        <f>650*2</f>
        <v>1300</v>
      </c>
      <c r="Q399" s="32"/>
      <c r="R399" s="32"/>
      <c r="S399" s="32">
        <f t="shared" si="128"/>
        <v>1300</v>
      </c>
      <c r="T399" s="12"/>
      <c r="U399" s="12">
        <f>111+9</f>
        <v>120</v>
      </c>
      <c r="V399" s="12"/>
      <c r="W399" s="12">
        <f t="shared" si="129"/>
        <v>1420</v>
      </c>
      <c r="Y399" s="10">
        <v>3</v>
      </c>
      <c r="Z399" s="30">
        <v>46297</v>
      </c>
      <c r="AA399" s="31">
        <f t="shared" ref="AA399" si="134">AA398+1</f>
        <v>8934</v>
      </c>
      <c r="AB399" s="32">
        <f>650*7</f>
        <v>4550</v>
      </c>
      <c r="AC399" s="33"/>
      <c r="AD399" s="32"/>
      <c r="AE399" s="32">
        <f t="shared" si="130"/>
        <v>4550</v>
      </c>
      <c r="AF399" s="12"/>
      <c r="AG399" s="12"/>
      <c r="AH399" s="12">
        <v>-1443</v>
      </c>
      <c r="AI399" s="12">
        <f t="shared" si="131"/>
        <v>3107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46297</v>
      </c>
      <c r="C400" s="83">
        <f t="shared" si="132"/>
        <v>9064</v>
      </c>
      <c r="D400" s="32">
        <f>650*108</f>
        <v>70200</v>
      </c>
      <c r="E400" s="32"/>
      <c r="F400" s="32"/>
      <c r="G400" s="32">
        <f t="shared" si="126"/>
        <v>70200</v>
      </c>
      <c r="H400" s="12"/>
      <c r="I400" s="12"/>
      <c r="J400" s="12">
        <v>-234</v>
      </c>
      <c r="K400" s="12">
        <f t="shared" si="127"/>
        <v>69966</v>
      </c>
      <c r="M400" s="10">
        <v>4</v>
      </c>
      <c r="N400" s="30">
        <v>46297</v>
      </c>
      <c r="O400" s="31">
        <f t="shared" si="133"/>
        <v>9004</v>
      </c>
      <c r="P400" s="32">
        <f>650*3+9.5*3</f>
        <v>1978.5</v>
      </c>
      <c r="Q400" s="32"/>
      <c r="R400" s="32"/>
      <c r="S400" s="32">
        <f t="shared" si="128"/>
        <v>1978.5</v>
      </c>
      <c r="T400" s="12"/>
      <c r="U400" s="12"/>
      <c r="V400" s="12">
        <v>-111</v>
      </c>
      <c r="W400" s="12">
        <f t="shared" si="129"/>
        <v>1867.5</v>
      </c>
      <c r="Y400" s="10">
        <v>4</v>
      </c>
      <c r="Z400" s="30"/>
      <c r="AA400" s="11" t="s">
        <v>27</v>
      </c>
      <c r="AB400" s="32"/>
      <c r="AC400" s="32"/>
      <c r="AD400" s="32"/>
      <c r="AE400" s="32">
        <f>SUM(AB400:AC400)</f>
        <v>0</v>
      </c>
      <c r="AF400" s="12"/>
      <c r="AH400" s="12"/>
      <c r="AI400" s="12">
        <f>SUM(AE400:AH400)</f>
        <v>0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46297</v>
      </c>
      <c r="C401" s="83">
        <f t="shared" si="132"/>
        <v>9065</v>
      </c>
      <c r="D401" s="32">
        <f>650*10+670+229+650</f>
        <v>8049</v>
      </c>
      <c r="E401" s="32"/>
      <c r="F401" s="32"/>
      <c r="G401" s="32">
        <f t="shared" si="126"/>
        <v>8049</v>
      </c>
      <c r="H401" s="12"/>
      <c r="I401" s="12"/>
      <c r="J401" s="12"/>
      <c r="K401" s="12">
        <f t="shared" si="127"/>
        <v>8049</v>
      </c>
      <c r="M401" s="10">
        <v>5</v>
      </c>
      <c r="N401" s="30">
        <v>46297</v>
      </c>
      <c r="O401" s="31">
        <f t="shared" si="133"/>
        <v>9005</v>
      </c>
      <c r="P401" s="32">
        <f>650*2+9.5*2</f>
        <v>1319</v>
      </c>
      <c r="Q401" s="32"/>
      <c r="R401" s="32"/>
      <c r="S401" s="32">
        <f t="shared" si="128"/>
        <v>1319</v>
      </c>
      <c r="T401" s="12"/>
      <c r="U401" s="12"/>
      <c r="V401" s="12"/>
      <c r="W401" s="12">
        <f t="shared" si="129"/>
        <v>1319</v>
      </c>
      <c r="Y401" s="10">
        <v>5</v>
      </c>
      <c r="Z401" s="30"/>
      <c r="AA401" s="31"/>
      <c r="AB401" s="33"/>
      <c r="AC401" s="32"/>
      <c r="AD401" s="32"/>
      <c r="AE401" s="32">
        <f>SUM(AB401:AC401)</f>
        <v>0</v>
      </c>
      <c r="AF401" s="12"/>
      <c r="AG401" s="12"/>
      <c r="AH401" s="12"/>
      <c r="AI401" s="12">
        <f t="shared" ref="AI401:AI438" si="135">SUM(AE401:AH401)</f>
        <v>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46297</v>
      </c>
      <c r="C402" s="83">
        <f t="shared" si="132"/>
        <v>9066</v>
      </c>
      <c r="D402" s="32">
        <f>650*65+622*10</f>
        <v>48470</v>
      </c>
      <c r="E402" s="32"/>
      <c r="F402" s="32"/>
      <c r="G402" s="32">
        <f t="shared" si="126"/>
        <v>48470</v>
      </c>
      <c r="H402" s="12"/>
      <c r="I402" s="12"/>
      <c r="J402" s="12"/>
      <c r="K402" s="12">
        <f t="shared" si="127"/>
        <v>48470</v>
      </c>
      <c r="M402" s="10">
        <v>6</v>
      </c>
      <c r="N402" s="30">
        <v>46297</v>
      </c>
      <c r="O402" s="31">
        <f t="shared" si="133"/>
        <v>9006</v>
      </c>
      <c r="P402" s="32">
        <f>650*3+670+9.5*3</f>
        <v>2648.5</v>
      </c>
      <c r="Q402" s="32"/>
      <c r="R402" s="32"/>
      <c r="S402" s="32">
        <f t="shared" si="128"/>
        <v>2648.5</v>
      </c>
      <c r="T402" s="12"/>
      <c r="U402" s="12"/>
      <c r="V402" s="10">
        <v>-333</v>
      </c>
      <c r="W402" s="12">
        <f t="shared" si="129"/>
        <v>2315.5</v>
      </c>
      <c r="Y402" s="10">
        <v>6</v>
      </c>
      <c r="Z402" s="30"/>
      <c r="AA402" s="31"/>
      <c r="AB402" s="32"/>
      <c r="AC402" s="32"/>
      <c r="AD402" s="32"/>
      <c r="AE402" s="32">
        <f t="shared" ref="AE402:AE435" si="136">SUM(AB402:AC402)</f>
        <v>0</v>
      </c>
      <c r="AF402" s="12"/>
      <c r="AG402" s="12"/>
      <c r="AH402" s="10"/>
      <c r="AI402" s="12">
        <f t="shared" si="135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46297</v>
      </c>
      <c r="C403" s="83">
        <f t="shared" si="132"/>
        <v>9067</v>
      </c>
      <c r="D403" s="32">
        <f>650*6+670+622*4</f>
        <v>7058</v>
      </c>
      <c r="E403" s="32"/>
      <c r="F403" s="32"/>
      <c r="G403" s="32">
        <f t="shared" si="126"/>
        <v>7058</v>
      </c>
      <c r="H403" s="12"/>
      <c r="I403" s="12"/>
      <c r="J403" s="12">
        <v>-222</v>
      </c>
      <c r="K403" s="12">
        <f t="shared" si="127"/>
        <v>6836</v>
      </c>
      <c r="M403" s="10">
        <v>7</v>
      </c>
      <c r="N403" s="30">
        <v>46297</v>
      </c>
      <c r="O403" s="31">
        <f t="shared" si="133"/>
        <v>9007</v>
      </c>
      <c r="P403" s="32">
        <f>650*10+9.5*10</f>
        <v>6595</v>
      </c>
      <c r="Q403" s="32"/>
      <c r="R403" s="32"/>
      <c r="S403" s="32">
        <f t="shared" si="128"/>
        <v>6595</v>
      </c>
      <c r="T403" s="12"/>
      <c r="U403" s="12">
        <f>555+27</f>
        <v>582</v>
      </c>
      <c r="V403" s="12"/>
      <c r="W403" s="12">
        <f t="shared" si="129"/>
        <v>7177</v>
      </c>
      <c r="Y403" s="10">
        <v>7</v>
      </c>
      <c r="Z403" s="30"/>
      <c r="AA403" s="31"/>
      <c r="AB403" s="32"/>
      <c r="AC403" s="32"/>
      <c r="AD403" s="32"/>
      <c r="AE403" s="32">
        <f t="shared" si="136"/>
        <v>0</v>
      </c>
      <c r="AF403" s="12"/>
      <c r="AG403" s="58"/>
      <c r="AH403" s="12"/>
      <c r="AI403" s="12">
        <f t="shared" si="135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/>
      <c r="C404" s="11" t="s">
        <v>27</v>
      </c>
      <c r="D404" s="32"/>
      <c r="E404" s="32"/>
      <c r="F404" s="32"/>
      <c r="G404" s="32">
        <f t="shared" si="126"/>
        <v>0</v>
      </c>
      <c r="H404" s="12"/>
      <c r="I404" s="12"/>
      <c r="J404" s="12"/>
      <c r="K404" s="12">
        <f t="shared" si="127"/>
        <v>0</v>
      </c>
      <c r="M404" s="10">
        <v>8</v>
      </c>
      <c r="N404" s="30">
        <v>46297</v>
      </c>
      <c r="O404" s="31">
        <f t="shared" si="133"/>
        <v>9008</v>
      </c>
      <c r="P404" s="32">
        <f>650*10+872+9.5*10</f>
        <v>7467</v>
      </c>
      <c r="Q404" s="32"/>
      <c r="R404" s="32"/>
      <c r="S404" s="32">
        <f t="shared" si="128"/>
        <v>7467</v>
      </c>
      <c r="T404" s="12"/>
      <c r="U404" s="12"/>
      <c r="V404" s="12">
        <v>-444</v>
      </c>
      <c r="W404" s="12">
        <f t="shared" si="129"/>
        <v>7023</v>
      </c>
      <c r="Y404" s="10">
        <v>8</v>
      </c>
      <c r="Z404" s="30"/>
      <c r="AB404" s="32"/>
      <c r="AC404" s="32"/>
      <c r="AE404" s="32">
        <f t="shared" si="136"/>
        <v>0</v>
      </c>
      <c r="AF404" s="12"/>
      <c r="AG404" s="12"/>
      <c r="AH404" s="12"/>
      <c r="AI404" s="12">
        <f t="shared" si="135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/>
      <c r="C405" s="83"/>
      <c r="D405" s="32"/>
      <c r="E405" s="32"/>
      <c r="F405" s="32"/>
      <c r="G405" s="32">
        <f t="shared" si="126"/>
        <v>0</v>
      </c>
      <c r="H405" s="12"/>
      <c r="I405" s="12"/>
      <c r="J405" s="12"/>
      <c r="K405" s="12">
        <f t="shared" si="127"/>
        <v>0</v>
      </c>
      <c r="M405" s="10">
        <v>9</v>
      </c>
      <c r="N405" s="30">
        <v>46297</v>
      </c>
      <c r="O405" s="31">
        <f t="shared" si="133"/>
        <v>9009</v>
      </c>
      <c r="P405" s="32">
        <f>650*16+670+9.5*16</f>
        <v>11222</v>
      </c>
      <c r="Q405" s="32"/>
      <c r="R405" s="32"/>
      <c r="S405" s="32">
        <f t="shared" si="128"/>
        <v>11222</v>
      </c>
      <c r="T405" s="12"/>
      <c r="U405" s="12"/>
      <c r="V405" s="12">
        <v>-777</v>
      </c>
      <c r="W405" s="12">
        <f t="shared" si="129"/>
        <v>10445</v>
      </c>
      <c r="Y405" s="10">
        <v>9</v>
      </c>
      <c r="Z405" s="30"/>
      <c r="AA405" s="31"/>
      <c r="AC405" s="32"/>
      <c r="AD405" s="32"/>
      <c r="AE405" s="32">
        <f t="shared" si="136"/>
        <v>0</v>
      </c>
      <c r="AF405" s="12"/>
      <c r="AH405" s="12"/>
      <c r="AI405" s="12">
        <f t="shared" si="135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83"/>
      <c r="D406" s="32"/>
      <c r="E406" s="32"/>
      <c r="F406" s="32"/>
      <c r="G406" s="32">
        <f t="shared" si="126"/>
        <v>0</v>
      </c>
      <c r="H406" s="12"/>
      <c r="I406" s="12"/>
      <c r="J406" s="12"/>
      <c r="K406" s="12">
        <f t="shared" si="127"/>
        <v>0</v>
      </c>
      <c r="M406" s="10">
        <v>10</v>
      </c>
      <c r="N406" s="30">
        <v>46297</v>
      </c>
      <c r="O406" s="31">
        <f t="shared" si="133"/>
        <v>9010</v>
      </c>
      <c r="P406" s="32">
        <f>650*2+670+9.5*2</f>
        <v>1989</v>
      </c>
      <c r="Q406" s="32"/>
      <c r="R406" s="32"/>
      <c r="S406" s="32">
        <f t="shared" si="128"/>
        <v>1989</v>
      </c>
      <c r="T406" s="12"/>
      <c r="U406" s="12"/>
      <c r="V406" s="12"/>
      <c r="W406" s="12">
        <f t="shared" si="129"/>
        <v>1989</v>
      </c>
      <c r="Y406" s="10">
        <v>10</v>
      </c>
      <c r="Z406" s="30"/>
      <c r="AA406" s="31"/>
      <c r="AB406" s="32"/>
      <c r="AC406" s="32"/>
      <c r="AD406" s="32"/>
      <c r="AE406" s="32">
        <f t="shared" si="136"/>
        <v>0</v>
      </c>
      <c r="AF406" s="12"/>
      <c r="AG406" s="12"/>
      <c r="AH406" s="12"/>
      <c r="AI406" s="12">
        <f t="shared" si="135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D407" s="32"/>
      <c r="E407" s="32"/>
      <c r="F407" s="32"/>
      <c r="G407" s="32">
        <f t="shared" si="126"/>
        <v>0</v>
      </c>
      <c r="H407" s="12"/>
      <c r="I407" s="12"/>
      <c r="J407" s="12"/>
      <c r="K407" s="12">
        <f t="shared" si="127"/>
        <v>0</v>
      </c>
      <c r="M407" s="10">
        <v>11</v>
      </c>
      <c r="N407" s="30">
        <v>46297</v>
      </c>
      <c r="O407" s="31">
        <f t="shared" si="133"/>
        <v>9011</v>
      </c>
      <c r="P407" s="32">
        <f>650*3+9.5*3</f>
        <v>1978.5</v>
      </c>
      <c r="Q407" s="32"/>
      <c r="R407" s="32"/>
      <c r="S407" s="32">
        <f t="shared" si="128"/>
        <v>1978.5</v>
      </c>
      <c r="T407" s="12"/>
      <c r="U407" s="12"/>
      <c r="V407" s="12">
        <v>-111</v>
      </c>
      <c r="W407" s="12">
        <f t="shared" si="129"/>
        <v>1867.5</v>
      </c>
      <c r="Y407" s="10">
        <v>11</v>
      </c>
      <c r="Z407" s="30"/>
      <c r="AB407" s="32"/>
      <c r="AC407" s="32"/>
      <c r="AD407" s="32"/>
      <c r="AE407" s="32">
        <f t="shared" si="136"/>
        <v>0</v>
      </c>
      <c r="AF407" s="12"/>
      <c r="AG407" s="12"/>
      <c r="AH407" s="12"/>
      <c r="AI407" s="12">
        <f t="shared" si="135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26"/>
        <v>0</v>
      </c>
      <c r="H408" s="12"/>
      <c r="I408" s="12"/>
      <c r="J408" s="10"/>
      <c r="K408" s="12">
        <f t="shared" si="127"/>
        <v>0</v>
      </c>
      <c r="M408" s="10">
        <v>12</v>
      </c>
      <c r="N408" s="30">
        <v>46297</v>
      </c>
      <c r="O408" s="31">
        <f t="shared" si="133"/>
        <v>9012</v>
      </c>
      <c r="P408" s="32">
        <f>650*160+622*20+1175+1582+229*7+650*6</f>
        <v>124700</v>
      </c>
      <c r="Q408" s="32">
        <f>-180*6</f>
        <v>-1080</v>
      </c>
      <c r="R408" s="32"/>
      <c r="S408" s="32">
        <f t="shared" si="128"/>
        <v>123620</v>
      </c>
      <c r="T408" s="12"/>
      <c r="U408" s="12">
        <f>27*111+78*6</f>
        <v>3465</v>
      </c>
      <c r="V408" s="12">
        <f>-42*6</f>
        <v>-252</v>
      </c>
      <c r="W408" s="12">
        <f t="shared" si="129"/>
        <v>126833</v>
      </c>
      <c r="Y408" s="10">
        <v>12</v>
      </c>
      <c r="Z408" s="30"/>
      <c r="AA408" s="31"/>
      <c r="AB408" s="32"/>
      <c r="AC408" s="32"/>
      <c r="AD408" s="32"/>
      <c r="AE408" s="32">
        <f t="shared" si="136"/>
        <v>0</v>
      </c>
      <c r="AF408" s="12"/>
      <c r="AG408" s="12"/>
      <c r="AH408" s="12"/>
      <c r="AI408" s="12">
        <f t="shared" si="135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26"/>
        <v>0</v>
      </c>
      <c r="H409" s="12"/>
      <c r="I409" s="12"/>
      <c r="J409" s="12"/>
      <c r="K409" s="12">
        <f t="shared" si="127"/>
        <v>0</v>
      </c>
      <c r="M409" s="10">
        <v>13</v>
      </c>
      <c r="N409" s="30">
        <v>46297</v>
      </c>
      <c r="O409" s="31">
        <f t="shared" si="133"/>
        <v>9013</v>
      </c>
      <c r="P409" s="32">
        <f>650*3+670+9.5*3</f>
        <v>2648.5</v>
      </c>
      <c r="Q409" s="32"/>
      <c r="R409" s="32"/>
      <c r="S409" s="32">
        <f t="shared" si="128"/>
        <v>2648.5</v>
      </c>
      <c r="T409" s="12"/>
      <c r="U409" s="12"/>
      <c r="V409" s="12"/>
      <c r="W409" s="12">
        <f t="shared" si="129"/>
        <v>2648.5</v>
      </c>
      <c r="Y409" s="10">
        <v>13</v>
      </c>
      <c r="Z409" s="30"/>
      <c r="AA409" s="31"/>
      <c r="AB409" s="32"/>
      <c r="AC409" s="32"/>
      <c r="AD409" s="32"/>
      <c r="AE409" s="32">
        <f t="shared" si="136"/>
        <v>0</v>
      </c>
      <c r="AF409" s="12"/>
      <c r="AG409" s="12"/>
      <c r="AH409" s="12"/>
      <c r="AI409" s="12">
        <f t="shared" si="135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26"/>
        <v>0</v>
      </c>
      <c r="H410" s="12"/>
      <c r="I410" s="12"/>
      <c r="J410" s="12"/>
      <c r="K410" s="12">
        <f t="shared" si="127"/>
        <v>0</v>
      </c>
      <c r="M410" s="10">
        <v>14</v>
      </c>
      <c r="N410" s="30"/>
      <c r="O410" s="11" t="s">
        <v>27</v>
      </c>
      <c r="P410" s="32"/>
      <c r="Q410" s="32"/>
      <c r="R410" s="32"/>
      <c r="S410" s="32">
        <f t="shared" si="128"/>
        <v>0</v>
      </c>
      <c r="T410" s="12"/>
      <c r="U410" s="12"/>
      <c r="V410" s="12"/>
      <c r="W410" s="12">
        <f t="shared" si="129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36"/>
        <v>0</v>
      </c>
      <c r="AF410" s="12"/>
      <c r="AG410" s="12"/>
      <c r="AH410" s="12"/>
      <c r="AI410" s="12">
        <f t="shared" si="135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26"/>
        <v>0</v>
      </c>
      <c r="H411" s="12"/>
      <c r="I411" s="12"/>
      <c r="J411" s="12"/>
      <c r="K411" s="12">
        <f t="shared" si="127"/>
        <v>0</v>
      </c>
      <c r="M411" s="10">
        <v>15</v>
      </c>
      <c r="N411" s="30"/>
      <c r="O411" s="31"/>
      <c r="P411" s="32"/>
      <c r="Q411" s="32"/>
      <c r="R411" s="32"/>
      <c r="S411" s="32">
        <f t="shared" si="128"/>
        <v>0</v>
      </c>
      <c r="T411" s="12"/>
      <c r="U411" s="12"/>
      <c r="V411" s="12"/>
      <c r="W411" s="12">
        <f t="shared" si="129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6"/>
        <v>0</v>
      </c>
      <c r="AF411" s="12"/>
      <c r="AG411" s="12"/>
      <c r="AH411" s="12"/>
      <c r="AI411" s="12">
        <f t="shared" si="135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57"/>
      <c r="D412" s="32"/>
      <c r="E412" s="32"/>
      <c r="F412" s="32"/>
      <c r="G412" s="32">
        <f t="shared" si="126"/>
        <v>0</v>
      </c>
      <c r="H412" s="12"/>
      <c r="I412" s="12"/>
      <c r="J412" s="12"/>
      <c r="K412" s="12">
        <f t="shared" si="127"/>
        <v>0</v>
      </c>
      <c r="M412" s="10">
        <v>16</v>
      </c>
      <c r="N412" s="30"/>
      <c r="P412" s="32"/>
      <c r="Q412" s="32"/>
      <c r="R412" s="32"/>
      <c r="S412" s="32">
        <f t="shared" si="128"/>
        <v>0</v>
      </c>
      <c r="T412" s="12"/>
      <c r="U412" s="12"/>
      <c r="V412" s="12"/>
      <c r="W412" s="12">
        <f t="shared" si="129"/>
        <v>0</v>
      </c>
      <c r="Y412" s="10">
        <v>16</v>
      </c>
      <c r="Z412" s="30"/>
      <c r="AB412" s="32"/>
      <c r="AC412" s="32"/>
      <c r="AD412" s="32"/>
      <c r="AE412" s="32">
        <f t="shared" si="136"/>
        <v>0</v>
      </c>
      <c r="AF412" s="12"/>
      <c r="AG412" s="12"/>
      <c r="AH412" s="12"/>
      <c r="AI412" s="12">
        <f t="shared" si="135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26"/>
        <v>0</v>
      </c>
      <c r="H413" s="12"/>
      <c r="I413" s="12"/>
      <c r="J413" s="12"/>
      <c r="K413" s="12">
        <f t="shared" si="127"/>
        <v>0</v>
      </c>
      <c r="M413" s="10">
        <v>17</v>
      </c>
      <c r="N413" s="30"/>
      <c r="O413" s="31"/>
      <c r="P413" s="35"/>
      <c r="Q413" s="32"/>
      <c r="R413" s="32"/>
      <c r="S413" s="32">
        <f t="shared" si="128"/>
        <v>0</v>
      </c>
      <c r="T413" s="12"/>
      <c r="U413" s="12"/>
      <c r="V413" s="12"/>
      <c r="W413" s="12">
        <f t="shared" si="129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6"/>
        <v>0</v>
      </c>
      <c r="AF413" s="12"/>
      <c r="AG413" s="12"/>
      <c r="AH413" s="12"/>
      <c r="AI413" s="12">
        <f t="shared" si="135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26"/>
        <v>0</v>
      </c>
      <c r="H414" s="12"/>
      <c r="I414" s="12"/>
      <c r="J414" s="12"/>
      <c r="K414" s="12">
        <f t="shared" si="127"/>
        <v>0</v>
      </c>
      <c r="M414" s="10">
        <v>18</v>
      </c>
      <c r="N414" s="30"/>
      <c r="O414" s="31"/>
      <c r="P414" s="32"/>
      <c r="Q414" s="32"/>
      <c r="R414" s="32"/>
      <c r="S414" s="32">
        <f t="shared" si="128"/>
        <v>0</v>
      </c>
      <c r="T414" s="12"/>
      <c r="U414" s="12"/>
      <c r="V414" s="12"/>
      <c r="W414" s="12">
        <f t="shared" si="129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6"/>
        <v>0</v>
      </c>
      <c r="AF414" s="12"/>
      <c r="AG414" s="12"/>
      <c r="AH414" s="12"/>
      <c r="AI414" s="12">
        <f t="shared" si="135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26"/>
        <v>0</v>
      </c>
      <c r="H415" s="12"/>
      <c r="I415" s="12"/>
      <c r="J415" s="12"/>
      <c r="K415" s="12">
        <f t="shared" si="127"/>
        <v>0</v>
      </c>
      <c r="M415" s="10">
        <v>19</v>
      </c>
      <c r="N415" s="30"/>
      <c r="O415" s="31"/>
      <c r="P415" s="32"/>
      <c r="Q415" s="32"/>
      <c r="R415" s="32"/>
      <c r="S415" s="32">
        <f t="shared" si="128"/>
        <v>0</v>
      </c>
      <c r="T415" s="12"/>
      <c r="U415" s="12"/>
      <c r="V415" s="12"/>
      <c r="W415" s="12">
        <f t="shared" si="129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6"/>
        <v>0</v>
      </c>
      <c r="AF415" s="12"/>
      <c r="AG415" s="12"/>
      <c r="AH415" s="12"/>
      <c r="AI415" s="12">
        <f t="shared" si="135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26"/>
        <v>0</v>
      </c>
      <c r="H416" s="12"/>
      <c r="I416" s="12"/>
      <c r="J416" s="12"/>
      <c r="K416" s="12">
        <f t="shared" si="127"/>
        <v>0</v>
      </c>
      <c r="M416" s="10">
        <v>20</v>
      </c>
      <c r="N416" s="30"/>
      <c r="O416" s="31"/>
      <c r="P416" s="32"/>
      <c r="Q416" s="32"/>
      <c r="R416" s="32"/>
      <c r="S416" s="32">
        <f t="shared" si="128"/>
        <v>0</v>
      </c>
      <c r="T416" s="12"/>
      <c r="U416" s="12"/>
      <c r="V416" s="12"/>
      <c r="W416" s="12">
        <f t="shared" si="129"/>
        <v>0</v>
      </c>
      <c r="Y416" s="10">
        <v>20</v>
      </c>
      <c r="Z416" s="30"/>
      <c r="AB416" s="32"/>
      <c r="AC416" s="32"/>
      <c r="AD416" s="32"/>
      <c r="AE416" s="32">
        <f t="shared" si="136"/>
        <v>0</v>
      </c>
      <c r="AF416" s="12"/>
      <c r="AG416" s="12"/>
      <c r="AH416" s="12"/>
      <c r="AI416" s="12">
        <f t="shared" si="135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57"/>
      <c r="D417" s="32"/>
      <c r="E417" s="32"/>
      <c r="F417" s="32"/>
      <c r="G417" s="32">
        <f t="shared" si="126"/>
        <v>0</v>
      </c>
      <c r="H417" s="10"/>
      <c r="I417" s="10"/>
      <c r="J417" s="10"/>
      <c r="K417" s="12">
        <f t="shared" si="127"/>
        <v>0</v>
      </c>
      <c r="M417" s="10">
        <v>21</v>
      </c>
      <c r="N417" s="30"/>
      <c r="O417" s="31"/>
      <c r="P417" s="92"/>
      <c r="Q417" s="31"/>
      <c r="R417" s="31"/>
      <c r="S417" s="32">
        <f t="shared" si="128"/>
        <v>0</v>
      </c>
      <c r="T417" s="10"/>
      <c r="U417" s="10"/>
      <c r="V417" s="10"/>
      <c r="W417" s="12">
        <f t="shared" si="129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36"/>
        <v>0</v>
      </c>
      <c r="AF417" s="10"/>
      <c r="AG417" s="10"/>
      <c r="AH417" s="10"/>
      <c r="AI417" s="12">
        <f t="shared" si="135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26"/>
        <v>0</v>
      </c>
      <c r="H418" s="10"/>
      <c r="I418" s="10"/>
      <c r="J418" s="10"/>
      <c r="K418" s="12">
        <f t="shared" si="127"/>
        <v>0</v>
      </c>
      <c r="M418" s="10">
        <v>22</v>
      </c>
      <c r="N418" s="30"/>
      <c r="O418" s="31"/>
      <c r="P418" s="92"/>
      <c r="Q418" s="31"/>
      <c r="R418" s="31"/>
      <c r="S418" s="32">
        <f t="shared" si="128"/>
        <v>0</v>
      </c>
      <c r="T418" s="10"/>
      <c r="U418" s="10"/>
      <c r="V418" s="10"/>
      <c r="W418" s="12">
        <f t="shared" si="129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6"/>
        <v>0</v>
      </c>
      <c r="AF418" s="10"/>
      <c r="AG418" s="10"/>
      <c r="AH418" s="10"/>
      <c r="AI418" s="12">
        <f t="shared" si="135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26"/>
        <v>0</v>
      </c>
      <c r="H419" s="10"/>
      <c r="I419" s="10"/>
      <c r="J419" s="12"/>
      <c r="K419" s="12">
        <f t="shared" si="127"/>
        <v>0</v>
      </c>
      <c r="M419" s="10">
        <v>23</v>
      </c>
      <c r="N419" s="30"/>
      <c r="O419" s="31"/>
      <c r="P419" s="47"/>
      <c r="Q419" s="31"/>
      <c r="S419" s="32">
        <f t="shared" si="128"/>
        <v>0</v>
      </c>
      <c r="T419" s="10"/>
      <c r="U419" s="10"/>
      <c r="V419" s="10"/>
      <c r="W419" s="12">
        <f t="shared" si="129"/>
        <v>0</v>
      </c>
      <c r="Y419" s="10">
        <v>23</v>
      </c>
      <c r="Z419" s="30"/>
      <c r="AA419" s="31"/>
      <c r="AB419" s="47"/>
      <c r="AC419" s="31"/>
      <c r="AE419" s="32">
        <f t="shared" si="136"/>
        <v>0</v>
      </c>
      <c r="AF419" s="10"/>
      <c r="AG419" s="10"/>
      <c r="AH419" s="10"/>
      <c r="AI419" s="12">
        <f t="shared" si="135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26"/>
        <v>0</v>
      </c>
      <c r="H420" s="10"/>
      <c r="I420" s="10"/>
      <c r="J420" s="10"/>
      <c r="K420" s="12">
        <f t="shared" si="127"/>
        <v>0</v>
      </c>
      <c r="M420" s="10">
        <v>24</v>
      </c>
      <c r="N420" s="30"/>
      <c r="P420" s="47"/>
      <c r="Q420" s="31"/>
      <c r="R420" s="31"/>
      <c r="S420" s="32">
        <f t="shared" si="128"/>
        <v>0</v>
      </c>
      <c r="T420" s="10"/>
      <c r="U420" s="10"/>
      <c r="V420" s="10"/>
      <c r="W420" s="12">
        <f t="shared" si="129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6"/>
        <v>0</v>
      </c>
      <c r="AF420" s="10"/>
      <c r="AG420" s="10"/>
      <c r="AH420" s="10"/>
      <c r="AI420" s="12">
        <f t="shared" si="135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26"/>
        <v>0</v>
      </c>
      <c r="H421" s="10"/>
      <c r="I421" s="10"/>
      <c r="J421" s="10"/>
      <c r="K421" s="12">
        <f t="shared" si="127"/>
        <v>0</v>
      </c>
      <c r="M421" s="10">
        <v>25</v>
      </c>
      <c r="N421" s="30"/>
      <c r="O421" s="31"/>
      <c r="P421" s="47"/>
      <c r="Q421" s="31"/>
      <c r="R421" s="31"/>
      <c r="S421" s="32">
        <f t="shared" si="128"/>
        <v>0</v>
      </c>
      <c r="T421" s="10"/>
      <c r="U421" s="10"/>
      <c r="V421" s="10"/>
      <c r="W421" s="12">
        <f t="shared" si="129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6"/>
        <v>0</v>
      </c>
      <c r="AF421" s="10"/>
      <c r="AG421" s="10"/>
      <c r="AH421" s="10"/>
      <c r="AI421" s="12">
        <f t="shared" si="135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26"/>
        <v>0</v>
      </c>
      <c r="H422" s="10"/>
      <c r="I422" s="10"/>
      <c r="J422" s="10"/>
      <c r="K422" s="12">
        <f t="shared" si="127"/>
        <v>0</v>
      </c>
      <c r="M422" s="10">
        <v>26</v>
      </c>
      <c r="N422" s="30"/>
      <c r="P422" s="47"/>
      <c r="Q422" s="31"/>
      <c r="R422" s="31"/>
      <c r="S422" s="32">
        <f t="shared" si="128"/>
        <v>0</v>
      </c>
      <c r="T422" s="10"/>
      <c r="U422" s="10"/>
      <c r="V422" s="10"/>
      <c r="W422" s="12">
        <f t="shared" si="129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6"/>
        <v>0</v>
      </c>
      <c r="AF422" s="10"/>
      <c r="AG422" s="10"/>
      <c r="AH422" s="10"/>
      <c r="AI422" s="12">
        <f t="shared" si="135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26"/>
        <v>0</v>
      </c>
      <c r="H423" s="10"/>
      <c r="I423" s="10"/>
      <c r="J423" s="10"/>
      <c r="K423" s="12">
        <f t="shared" si="127"/>
        <v>0</v>
      </c>
      <c r="M423" s="10">
        <v>27</v>
      </c>
      <c r="N423" s="30"/>
      <c r="O423" s="31"/>
      <c r="P423" s="47"/>
      <c r="Q423" s="31"/>
      <c r="R423" s="31"/>
      <c r="S423" s="32">
        <f t="shared" si="128"/>
        <v>0</v>
      </c>
      <c r="T423" s="10"/>
      <c r="U423" s="10"/>
      <c r="V423" s="10"/>
      <c r="W423" s="12">
        <f t="shared" si="129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6"/>
        <v>0</v>
      </c>
      <c r="AF423" s="10"/>
      <c r="AG423" s="10"/>
      <c r="AH423" s="10"/>
      <c r="AI423" s="12">
        <f t="shared" si="135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26"/>
        <v>0</v>
      </c>
      <c r="H424" s="10"/>
      <c r="I424" s="10"/>
      <c r="J424" s="10"/>
      <c r="K424" s="12">
        <f t="shared" si="127"/>
        <v>0</v>
      </c>
      <c r="M424" s="10">
        <v>28</v>
      </c>
      <c r="N424" s="30"/>
      <c r="O424" s="31"/>
      <c r="P424" s="47"/>
      <c r="Q424" s="31"/>
      <c r="R424" s="31"/>
      <c r="S424" s="32">
        <f t="shared" si="128"/>
        <v>0</v>
      </c>
      <c r="T424" s="10"/>
      <c r="U424" s="10"/>
      <c r="V424" s="10"/>
      <c r="W424" s="12">
        <f t="shared" si="129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6"/>
        <v>0</v>
      </c>
      <c r="AF424" s="10"/>
      <c r="AG424" s="10"/>
      <c r="AH424" s="10"/>
      <c r="AI424" s="12">
        <f t="shared" si="135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57"/>
      <c r="D425" s="32"/>
      <c r="E425" s="32"/>
      <c r="F425" s="32"/>
      <c r="G425" s="32">
        <f t="shared" si="126"/>
        <v>0</v>
      </c>
      <c r="H425" s="10"/>
      <c r="I425" s="10"/>
      <c r="J425" s="10"/>
      <c r="K425" s="12">
        <f t="shared" si="127"/>
        <v>0</v>
      </c>
      <c r="M425" s="10">
        <v>29</v>
      </c>
      <c r="N425" s="30"/>
      <c r="O425" s="31"/>
      <c r="P425" s="47"/>
      <c r="Q425" s="31"/>
      <c r="R425" s="31"/>
      <c r="S425" s="32">
        <f t="shared" si="128"/>
        <v>0</v>
      </c>
      <c r="T425" s="10"/>
      <c r="U425" s="10"/>
      <c r="V425" s="10"/>
      <c r="W425" s="12">
        <f t="shared" si="129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6"/>
        <v>0</v>
      </c>
      <c r="AF425" s="10"/>
      <c r="AG425" s="10"/>
      <c r="AH425" s="10"/>
      <c r="AI425" s="12">
        <f t="shared" si="135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26"/>
        <v>0</v>
      </c>
      <c r="H426" s="10"/>
      <c r="I426" s="10"/>
      <c r="J426" s="10"/>
      <c r="K426" s="12">
        <f t="shared" si="127"/>
        <v>0</v>
      </c>
      <c r="M426" s="10">
        <v>30</v>
      </c>
      <c r="N426" s="30"/>
      <c r="P426" s="47"/>
      <c r="Q426" s="31"/>
      <c r="R426" s="31"/>
      <c r="S426" s="32">
        <f t="shared" si="128"/>
        <v>0</v>
      </c>
      <c r="T426" s="10"/>
      <c r="U426" s="10"/>
      <c r="V426" s="10"/>
      <c r="W426" s="12">
        <f t="shared" si="129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6"/>
        <v>0</v>
      </c>
      <c r="AF426" s="10"/>
      <c r="AG426" s="10"/>
      <c r="AH426" s="10"/>
      <c r="AI426" s="12">
        <f t="shared" si="135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26"/>
        <v>0</v>
      </c>
      <c r="H427" s="10"/>
      <c r="I427" s="10"/>
      <c r="J427" s="10"/>
      <c r="K427" s="12">
        <f t="shared" si="127"/>
        <v>0</v>
      </c>
      <c r="M427" s="10">
        <v>31</v>
      </c>
      <c r="N427" s="30"/>
      <c r="O427" s="31"/>
      <c r="P427" s="47"/>
      <c r="Q427" s="31"/>
      <c r="R427" s="31"/>
      <c r="S427" s="32">
        <f t="shared" si="128"/>
        <v>0</v>
      </c>
      <c r="T427" s="10"/>
      <c r="U427" s="10"/>
      <c r="V427" s="10"/>
      <c r="W427" s="12">
        <f t="shared" si="129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6"/>
        <v>0</v>
      </c>
      <c r="AF427" s="10"/>
      <c r="AG427" s="10"/>
      <c r="AH427" s="10"/>
      <c r="AI427" s="12">
        <f t="shared" si="135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26"/>
        <v>0</v>
      </c>
      <c r="H428" s="10"/>
      <c r="I428" s="10"/>
      <c r="J428" s="10"/>
      <c r="K428" s="12">
        <f t="shared" si="127"/>
        <v>0</v>
      </c>
      <c r="M428" s="10">
        <v>32</v>
      </c>
      <c r="N428" s="30"/>
      <c r="O428" s="31"/>
      <c r="P428" s="47"/>
      <c r="Q428" s="31"/>
      <c r="R428" s="31"/>
      <c r="S428" s="32">
        <f t="shared" si="128"/>
        <v>0</v>
      </c>
      <c r="T428" s="10"/>
      <c r="U428" s="10"/>
      <c r="V428" s="10"/>
      <c r="W428" s="12">
        <f t="shared" si="129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6"/>
        <v>0</v>
      </c>
      <c r="AF428" s="10"/>
      <c r="AG428" s="10"/>
      <c r="AH428" s="10"/>
      <c r="AI428" s="12">
        <f t="shared" si="135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26"/>
        <v>0</v>
      </c>
      <c r="H429" s="10"/>
      <c r="I429" s="10"/>
      <c r="J429" s="10"/>
      <c r="K429" s="12">
        <f t="shared" si="127"/>
        <v>0</v>
      </c>
      <c r="M429" s="10">
        <v>33</v>
      </c>
      <c r="N429" s="30"/>
      <c r="O429" s="31"/>
      <c r="P429" s="47"/>
      <c r="Q429" s="31"/>
      <c r="R429" s="31"/>
      <c r="S429" s="32">
        <f t="shared" si="128"/>
        <v>0</v>
      </c>
      <c r="T429" s="10"/>
      <c r="U429" s="10"/>
      <c r="V429" s="10"/>
      <c r="W429" s="12">
        <f t="shared" si="129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6"/>
        <v>0</v>
      </c>
      <c r="AF429" s="10"/>
      <c r="AG429" s="10"/>
      <c r="AH429" s="10"/>
      <c r="AI429" s="12">
        <f t="shared" si="135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26"/>
        <v>0</v>
      </c>
      <c r="H430" s="10"/>
      <c r="I430" s="10"/>
      <c r="J430" s="10"/>
      <c r="K430" s="12">
        <f t="shared" si="127"/>
        <v>0</v>
      </c>
      <c r="M430" s="10">
        <v>34</v>
      </c>
      <c r="N430" s="30"/>
      <c r="O430" s="31"/>
      <c r="P430" s="47"/>
      <c r="Q430" s="31"/>
      <c r="R430" s="31"/>
      <c r="S430" s="32">
        <f t="shared" si="128"/>
        <v>0</v>
      </c>
      <c r="T430" s="10"/>
      <c r="U430" s="10"/>
      <c r="V430" s="10"/>
      <c r="W430" s="12">
        <f t="shared" si="129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36"/>
        <v>0</v>
      </c>
      <c r="AF430" s="10"/>
      <c r="AG430" s="10"/>
      <c r="AH430" s="10"/>
      <c r="AI430" s="12">
        <f t="shared" si="135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8"/>
        <v>0</v>
      </c>
      <c r="T431" s="10"/>
      <c r="U431" s="10"/>
      <c r="V431" s="10"/>
      <c r="W431" s="12">
        <f t="shared" si="129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6"/>
        <v>0</v>
      </c>
      <c r="AF431" s="10"/>
      <c r="AG431" s="10"/>
      <c r="AH431" s="10"/>
      <c r="AI431" s="12">
        <f t="shared" si="135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8"/>
        <v>0</v>
      </c>
      <c r="T432" s="10"/>
      <c r="U432" s="10"/>
      <c r="V432" s="10"/>
      <c r="W432" s="12">
        <f t="shared" si="129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6"/>
        <v>0</v>
      </c>
      <c r="AF432" s="10"/>
      <c r="AG432" s="10"/>
      <c r="AH432" s="10"/>
      <c r="AI432" s="12">
        <f t="shared" si="135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8"/>
        <v>0</v>
      </c>
      <c r="T433" s="10"/>
      <c r="U433" s="10"/>
      <c r="V433" s="10"/>
      <c r="W433" s="12">
        <f t="shared" si="129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6"/>
        <v>0</v>
      </c>
      <c r="AF433" s="10"/>
      <c r="AG433" s="10"/>
      <c r="AH433" s="10"/>
      <c r="AI433" s="12">
        <f t="shared" si="135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8"/>
        <v>0</v>
      </c>
      <c r="T434" s="10"/>
      <c r="U434" s="10"/>
      <c r="V434" s="10"/>
      <c r="W434" s="12">
        <f t="shared" si="129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6"/>
        <v>0</v>
      </c>
      <c r="AF434" s="10"/>
      <c r="AG434" s="10"/>
      <c r="AH434" s="10"/>
      <c r="AI434" s="12">
        <f t="shared" si="135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8"/>
        <v>0</v>
      </c>
      <c r="T435" s="10"/>
      <c r="U435" s="10"/>
      <c r="V435" s="10"/>
      <c r="W435" s="12">
        <f t="shared" si="129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6"/>
        <v>0</v>
      </c>
      <c r="AF435" s="10"/>
      <c r="AG435" s="10"/>
      <c r="AH435" s="10"/>
      <c r="AI435" s="12">
        <f t="shared" si="135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9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5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7">SUM(D437:E437)</f>
        <v>0</v>
      </c>
      <c r="H437" s="10"/>
      <c r="I437" s="10"/>
      <c r="J437" s="10"/>
      <c r="K437" s="12">
        <f t="shared" ref="K437" si="138">SUM(G437:J437)</f>
        <v>0</v>
      </c>
      <c r="M437" s="10"/>
      <c r="N437" s="30"/>
      <c r="O437" s="31"/>
      <c r="P437" s="47"/>
      <c r="Q437" s="31"/>
      <c r="R437" s="31"/>
      <c r="S437" s="32">
        <f t="shared" ref="S437" si="139">SUM(P437:Q437)</f>
        <v>0</v>
      </c>
      <c r="T437" s="10"/>
      <c r="U437" s="10"/>
      <c r="V437" s="10"/>
      <c r="W437" s="12">
        <f t="shared" si="129"/>
        <v>0</v>
      </c>
      <c r="Y437" s="10"/>
      <c r="Z437" s="30"/>
      <c r="AA437" s="31"/>
      <c r="AB437" s="47"/>
      <c r="AC437" s="31"/>
      <c r="AD437" s="31"/>
      <c r="AE437" s="32">
        <f t="shared" ref="AE437" si="140">SUM(AB437:AC437)</f>
        <v>0</v>
      </c>
      <c r="AF437" s="10"/>
      <c r="AG437" s="10"/>
      <c r="AH437" s="10"/>
      <c r="AI437" s="12">
        <f t="shared" si="135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9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5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168188</v>
      </c>
      <c r="E440" s="38">
        <f t="shared" ref="E440:F440" si="141">SUM(E397:E437)</f>
        <v>0</v>
      </c>
      <c r="F440" s="38">
        <f t="shared" si="141"/>
        <v>0</v>
      </c>
      <c r="G440" s="38">
        <f>SUM(G397:G439)</f>
        <v>168188</v>
      </c>
      <c r="H440" s="4"/>
      <c r="I440" s="39">
        <f>SUM(I397:I439)</f>
        <v>0</v>
      </c>
      <c r="J440" s="39">
        <f>SUM(J397:J439)</f>
        <v>-456</v>
      </c>
      <c r="K440" s="40">
        <f>SUM(K397:K439)</f>
        <v>167732</v>
      </c>
      <c r="N440" s="57"/>
      <c r="O440" s="57"/>
      <c r="P440" s="38">
        <f>SUM(P397:P439)</f>
        <v>174589</v>
      </c>
      <c r="Q440" s="38">
        <f>SUM(Q397:Q421)</f>
        <v>-1080</v>
      </c>
      <c r="R440" s="38">
        <f>SUM(R397:R421)</f>
        <v>0</v>
      </c>
      <c r="S440" s="38">
        <f>SUM(S397:S439)</f>
        <v>173509</v>
      </c>
      <c r="T440" s="4"/>
      <c r="U440" s="41">
        <f>SUM(U397:U439)</f>
        <v>4167</v>
      </c>
      <c r="V440" s="41">
        <f>SUM(V397:V421)</f>
        <v>-2361</v>
      </c>
      <c r="W440" s="42">
        <f>SUM(W397:W439)</f>
        <v>175315</v>
      </c>
      <c r="Z440" s="57"/>
      <c r="AA440" s="57"/>
      <c r="AB440" s="38">
        <f>SUM(AB397:AB439)</f>
        <v>272710</v>
      </c>
      <c r="AC440" s="38">
        <f>SUM(AC397:AC421)</f>
        <v>0</v>
      </c>
      <c r="AD440" s="38">
        <f>SUM(AD397:AD421)</f>
        <v>0</v>
      </c>
      <c r="AE440" s="38">
        <f>SUM(AE397:AE439)</f>
        <v>272710</v>
      </c>
      <c r="AF440" s="4"/>
      <c r="AG440" s="41">
        <f>SUM(AG397:AG439)</f>
        <v>41295</v>
      </c>
      <c r="AH440" s="41">
        <f>SUM(AH397:AH421)</f>
        <v>-36861</v>
      </c>
      <c r="AI440" s="42">
        <f>SUM(AI397:AI439)</f>
        <v>277144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44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44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44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60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60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35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06" t="s">
        <v>17</v>
      </c>
      <c r="E450" s="106"/>
      <c r="F450" s="95"/>
      <c r="G450" s="27"/>
      <c r="I450" s="104" t="s">
        <v>18</v>
      </c>
      <c r="J450" s="105"/>
      <c r="K450" s="102" t="s">
        <v>19</v>
      </c>
      <c r="N450" s="25"/>
      <c r="O450" s="26"/>
      <c r="P450" s="106" t="s">
        <v>17</v>
      </c>
      <c r="Q450" s="106"/>
      <c r="R450" s="95"/>
      <c r="S450" s="27"/>
      <c r="U450" s="104" t="s">
        <v>18</v>
      </c>
      <c r="V450" s="105"/>
      <c r="W450" s="102" t="s">
        <v>19</v>
      </c>
      <c r="Z450" s="25"/>
      <c r="AA450" s="26"/>
      <c r="AB450" s="106" t="s">
        <v>17</v>
      </c>
      <c r="AC450" s="106"/>
      <c r="AD450" s="95"/>
      <c r="AE450" s="27"/>
      <c r="AG450" s="104" t="s">
        <v>18</v>
      </c>
      <c r="AH450" s="105"/>
      <c r="AI450" s="102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03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03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03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46328</v>
      </c>
      <c r="C452" s="83">
        <v>9068</v>
      </c>
      <c r="D452" s="32">
        <f>650*9</f>
        <v>5850</v>
      </c>
      <c r="E452" s="32">
        <f>-9*6</f>
        <v>-54</v>
      </c>
      <c r="F452" s="32"/>
      <c r="G452" s="32">
        <f t="shared" ref="G452:G496" si="142">SUM(D452:E452)</f>
        <v>5796</v>
      </c>
      <c r="H452" s="12"/>
      <c r="I452" s="12"/>
      <c r="J452" s="12"/>
      <c r="K452" s="12">
        <f t="shared" ref="K452:K496" si="143">SUM(G452:J452)</f>
        <v>5796</v>
      </c>
      <c r="M452" s="10">
        <v>1</v>
      </c>
      <c r="N452" s="30">
        <v>46328</v>
      </c>
      <c r="O452" s="31">
        <v>9101</v>
      </c>
      <c r="P452" s="32">
        <f>650*7+9.5*7</f>
        <v>4616.5</v>
      </c>
      <c r="Q452" s="32"/>
      <c r="R452" s="32"/>
      <c r="S452" s="32">
        <f>SUM(P452:Q452)</f>
        <v>4616.5</v>
      </c>
      <c r="T452" s="12"/>
      <c r="U452" s="12"/>
      <c r="V452" s="12"/>
      <c r="W452" s="12">
        <f>SUM(S452:V452)</f>
        <v>4616.5</v>
      </c>
      <c r="Y452" s="10">
        <v>1</v>
      </c>
      <c r="Z452" s="30">
        <v>46328</v>
      </c>
      <c r="AA452" s="31">
        <v>8935</v>
      </c>
      <c r="AB452" s="32">
        <f>650*216+622*30+912*3+1175+872+229*5+650*2</f>
        <v>166288</v>
      </c>
      <c r="AC452" s="32">
        <v>-1506</v>
      </c>
      <c r="AD452" s="32"/>
      <c r="AE452" s="32">
        <f>SUM(AB452:AC452)</f>
        <v>164782</v>
      </c>
      <c r="AF452" s="12"/>
      <c r="AG452" s="12"/>
      <c r="AH452" s="12">
        <f>-120+-1170+-252+-210</f>
        <v>-1752</v>
      </c>
      <c r="AI452" s="12">
        <f>SUM(AE452:AH452)</f>
        <v>163030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46328</v>
      </c>
      <c r="C453" s="83">
        <f>C452+1</f>
        <v>9069</v>
      </c>
      <c r="D453" s="32">
        <f>650*325+229*13</f>
        <v>214227</v>
      </c>
      <c r="E453" s="32">
        <v>-1950</v>
      </c>
      <c r="F453" s="32"/>
      <c r="G453" s="32">
        <f t="shared" si="142"/>
        <v>212277</v>
      </c>
      <c r="H453" s="12"/>
      <c r="I453" s="12">
        <v>468</v>
      </c>
      <c r="J453" s="12"/>
      <c r="K453" s="12">
        <f t="shared" si="143"/>
        <v>212745</v>
      </c>
      <c r="M453" s="10">
        <v>2</v>
      </c>
      <c r="N453" s="30">
        <v>46328</v>
      </c>
      <c r="O453" s="31">
        <f>O452+1</f>
        <v>9102</v>
      </c>
      <c r="P453" s="32">
        <f>650*80+622*23+229*4</f>
        <v>67222</v>
      </c>
      <c r="Q453" s="32">
        <f>-103*6</f>
        <v>-618</v>
      </c>
      <c r="R453" s="32"/>
      <c r="S453" s="32">
        <f t="shared" ref="S453:S496" si="144">SUM(P453:Q453)</f>
        <v>66604</v>
      </c>
      <c r="T453" s="12"/>
      <c r="U453" s="12">
        <v>144</v>
      </c>
      <c r="V453" s="12"/>
      <c r="W453" s="12">
        <f t="shared" ref="W453:W496" si="145">SUM(S453:V453)</f>
        <v>66748</v>
      </c>
      <c r="Y453" s="10">
        <v>2</v>
      </c>
      <c r="Z453" s="30">
        <v>46328</v>
      </c>
      <c r="AA453" s="31">
        <f>AA452+1</f>
        <v>8936</v>
      </c>
      <c r="AB453" s="32">
        <f>3250+47.5</f>
        <v>3297.5</v>
      </c>
      <c r="AD453" s="32"/>
      <c r="AE453" s="32">
        <f t="shared" ref="AE453:AE455" si="146">SUM(AB453:AC453)</f>
        <v>3297.5</v>
      </c>
      <c r="AF453" s="12"/>
      <c r="AG453" s="12"/>
      <c r="AH453">
        <v>-111</v>
      </c>
      <c r="AI453" s="12">
        <f t="shared" ref="AI453:AI455" si="147">SUM(AE453:AH453)</f>
        <v>3186.5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46328</v>
      </c>
      <c r="C454" s="83">
        <f t="shared" ref="C454:C458" si="148">C453+1</f>
        <v>9070</v>
      </c>
      <c r="D454" s="33">
        <f>650*20</f>
        <v>13000</v>
      </c>
      <c r="E454" s="33"/>
      <c r="F454" s="33"/>
      <c r="G454" s="33">
        <f t="shared" si="142"/>
        <v>13000</v>
      </c>
      <c r="H454" s="34"/>
      <c r="I454" s="34"/>
      <c r="J454" s="34"/>
      <c r="K454" s="34">
        <f t="shared" si="143"/>
        <v>13000</v>
      </c>
      <c r="M454" s="10">
        <v>3</v>
      </c>
      <c r="N454" s="30">
        <v>46328</v>
      </c>
      <c r="O454" s="31">
        <f t="shared" ref="O454:O466" si="149">O453+1</f>
        <v>9103</v>
      </c>
      <c r="P454" s="32">
        <f>650*37+229</f>
        <v>24279</v>
      </c>
      <c r="Q454" s="32"/>
      <c r="R454" s="32"/>
      <c r="S454" s="32">
        <f t="shared" si="144"/>
        <v>24279</v>
      </c>
      <c r="T454" s="12"/>
      <c r="U454" s="12">
        <v>36</v>
      </c>
      <c r="V454" s="12"/>
      <c r="W454" s="12">
        <f t="shared" si="145"/>
        <v>24315</v>
      </c>
      <c r="Y454" s="10">
        <v>3</v>
      </c>
      <c r="Z454" s="30">
        <v>46328</v>
      </c>
      <c r="AA454" s="31">
        <f t="shared" ref="AA454:AA466" si="150">AA453+1</f>
        <v>8937</v>
      </c>
      <c r="AB454" s="32">
        <f>650*60+670*5+229*2</f>
        <v>42808</v>
      </c>
      <c r="AC454" s="33">
        <v>-390</v>
      </c>
      <c r="AD454" s="32"/>
      <c r="AE454" s="32">
        <f t="shared" si="146"/>
        <v>42418</v>
      </c>
      <c r="AF454" s="12"/>
      <c r="AG454" s="12"/>
      <c r="AH454" s="12"/>
      <c r="AI454" s="12">
        <f t="shared" si="147"/>
        <v>42418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46328</v>
      </c>
      <c r="C455" s="83">
        <f t="shared" si="148"/>
        <v>9071</v>
      </c>
      <c r="D455" s="32">
        <f>650*324+670*48+108*622+912*30+1050*10+15*229</f>
        <v>351231</v>
      </c>
      <c r="E455" s="32">
        <f>-520*6</f>
        <v>-3120</v>
      </c>
      <c r="F455" s="32"/>
      <c r="G455" s="32">
        <f t="shared" si="142"/>
        <v>348111</v>
      </c>
      <c r="H455" s="12"/>
      <c r="I455" s="12">
        <f>3600+1554+288</f>
        <v>5442</v>
      </c>
      <c r="J455" s="12"/>
      <c r="K455" s="12">
        <f t="shared" si="143"/>
        <v>353553</v>
      </c>
      <c r="M455" s="10">
        <v>4</v>
      </c>
      <c r="N455" s="30">
        <v>46328</v>
      </c>
      <c r="O455" s="31">
        <f t="shared" si="149"/>
        <v>9104</v>
      </c>
      <c r="P455" s="32">
        <f>650*35+700</f>
        <v>23450</v>
      </c>
      <c r="Q455" s="32"/>
      <c r="R455" s="32"/>
      <c r="S455" s="32">
        <f t="shared" si="144"/>
        <v>23450</v>
      </c>
      <c r="T455" s="12"/>
      <c r="U455" s="12"/>
      <c r="V455" s="12"/>
      <c r="W455" s="12">
        <f t="shared" si="145"/>
        <v>23450</v>
      </c>
      <c r="Y455" s="10">
        <v>4</v>
      </c>
      <c r="Z455" s="30">
        <v>46328</v>
      </c>
      <c r="AA455" s="31">
        <f t="shared" si="150"/>
        <v>8938</v>
      </c>
      <c r="AB455" s="32">
        <f>650*50+670*5+622*6+229*2</f>
        <v>40040</v>
      </c>
      <c r="AC455" s="32">
        <f>-61*6</f>
        <v>-366</v>
      </c>
      <c r="AD455" s="32"/>
      <c r="AE455" s="32">
        <f>SUM(AB455:AC455)</f>
        <v>39674</v>
      </c>
      <c r="AF455" s="12"/>
      <c r="AG455">
        <v>156</v>
      </c>
      <c r="AH455" s="12"/>
      <c r="AI455" s="12">
        <f>SUM(AE455:AH455)</f>
        <v>39830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46328</v>
      </c>
      <c r="C456" s="83">
        <f t="shared" si="148"/>
        <v>9072</v>
      </c>
      <c r="D456" s="32">
        <f>6500+650</f>
        <v>7150</v>
      </c>
      <c r="E456" s="32"/>
      <c r="F456" s="32"/>
      <c r="G456" s="32">
        <f t="shared" si="142"/>
        <v>7150</v>
      </c>
      <c r="H456" s="12"/>
      <c r="I456" s="12"/>
      <c r="J456" s="12">
        <v>-2664</v>
      </c>
      <c r="K456" s="12">
        <f t="shared" si="143"/>
        <v>4486</v>
      </c>
      <c r="M456" s="10">
        <v>5</v>
      </c>
      <c r="N456" s="30">
        <v>46328</v>
      </c>
      <c r="O456" s="31">
        <f t="shared" si="149"/>
        <v>9105</v>
      </c>
      <c r="P456" s="32">
        <f>650</f>
        <v>650</v>
      </c>
      <c r="Q456" s="32"/>
      <c r="R456" s="32"/>
      <c r="S456" s="32">
        <f t="shared" si="144"/>
        <v>650</v>
      </c>
      <c r="T456" s="12"/>
      <c r="U456" s="12"/>
      <c r="V456" s="12"/>
      <c r="W456" s="12">
        <f t="shared" si="145"/>
        <v>650</v>
      </c>
      <c r="Y456" s="10">
        <v>5</v>
      </c>
      <c r="Z456" s="30"/>
      <c r="AA456" s="11" t="s">
        <v>27</v>
      </c>
      <c r="AB456" s="33"/>
      <c r="AC456" s="32"/>
      <c r="AD456" s="32"/>
      <c r="AE456" s="32">
        <f>SUM(AB456:AC456)</f>
        <v>0</v>
      </c>
      <c r="AF456" s="12"/>
      <c r="AG456" s="12"/>
      <c r="AH456" s="12"/>
      <c r="AI456" s="12">
        <f t="shared" ref="AI456:AI496" si="151">SUM(AE456:AH456)</f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46328</v>
      </c>
      <c r="C457" s="83">
        <f t="shared" si="148"/>
        <v>9073</v>
      </c>
      <c r="D457" s="32">
        <f>650*137+229*24</f>
        <v>94546</v>
      </c>
      <c r="E457" s="32"/>
      <c r="F457" s="32"/>
      <c r="G457" s="32">
        <f t="shared" si="142"/>
        <v>94546</v>
      </c>
      <c r="H457" s="12"/>
      <c r="I457" s="12">
        <v>1872</v>
      </c>
      <c r="J457" s="12"/>
      <c r="K457" s="12">
        <f t="shared" si="143"/>
        <v>96418</v>
      </c>
      <c r="M457" s="10">
        <v>6</v>
      </c>
      <c r="N457" s="30">
        <v>46328</v>
      </c>
      <c r="O457" s="31">
        <f t="shared" si="149"/>
        <v>9106</v>
      </c>
      <c r="P457" s="32">
        <f>1300+19</f>
        <v>1319</v>
      </c>
      <c r="Q457" s="32"/>
      <c r="R457" s="32"/>
      <c r="S457" s="32">
        <f t="shared" si="144"/>
        <v>1319</v>
      </c>
      <c r="T457" s="12"/>
      <c r="U457" s="12"/>
      <c r="V457" s="10"/>
      <c r="W457" s="12">
        <f t="shared" si="145"/>
        <v>1319</v>
      </c>
      <c r="Y457" s="10">
        <v>6</v>
      </c>
      <c r="Z457" s="30"/>
      <c r="AA457" s="31"/>
      <c r="AB457" s="32"/>
      <c r="AC457" s="32"/>
      <c r="AD457" s="32"/>
      <c r="AE457" s="32">
        <f t="shared" ref="AE457:AE496" si="152">SUM(AB457:AC457)</f>
        <v>0</v>
      </c>
      <c r="AF457" s="12"/>
      <c r="AG457" s="12"/>
      <c r="AH457" s="10"/>
      <c r="AI457" s="12">
        <f t="shared" si="151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46328</v>
      </c>
      <c r="C458" s="83">
        <f t="shared" si="148"/>
        <v>9074</v>
      </c>
      <c r="D458" s="32">
        <f>650*10</f>
        <v>6500</v>
      </c>
      <c r="E458" s="32"/>
      <c r="F458" s="32"/>
      <c r="G458" s="32">
        <f t="shared" si="142"/>
        <v>6500</v>
      </c>
      <c r="H458" s="12"/>
      <c r="I458" s="12"/>
      <c r="J458" s="12"/>
      <c r="K458" s="12">
        <f t="shared" si="143"/>
        <v>6500</v>
      </c>
      <c r="M458" s="10">
        <v>7</v>
      </c>
      <c r="N458" s="30">
        <v>46328</v>
      </c>
      <c r="O458" s="31">
        <f t="shared" si="149"/>
        <v>9107</v>
      </c>
      <c r="P458" s="32">
        <f>650*3+622*2</f>
        <v>3194</v>
      </c>
      <c r="Q458" s="32"/>
      <c r="R458" s="32"/>
      <c r="S458" s="32">
        <f t="shared" si="144"/>
        <v>3194</v>
      </c>
      <c r="T458" s="12"/>
      <c r="U458" s="12">
        <v>4.5</v>
      </c>
      <c r="V458" s="12"/>
      <c r="W458" s="12">
        <f t="shared" si="145"/>
        <v>3198.5</v>
      </c>
      <c r="Y458" s="10">
        <v>7</v>
      </c>
      <c r="Z458" s="30"/>
      <c r="AA458" s="31"/>
      <c r="AB458" s="32"/>
      <c r="AC458" s="32"/>
      <c r="AD458" s="32"/>
      <c r="AE458" s="32">
        <f t="shared" si="152"/>
        <v>0</v>
      </c>
      <c r="AF458" s="12"/>
      <c r="AG458" s="58"/>
      <c r="AH458" s="12"/>
      <c r="AI458" s="12">
        <f t="shared" si="151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11" t="s">
        <v>27</v>
      </c>
      <c r="D459" s="32"/>
      <c r="E459" s="32"/>
      <c r="F459" s="32"/>
      <c r="G459" s="32">
        <f t="shared" si="142"/>
        <v>0</v>
      </c>
      <c r="H459" s="12"/>
      <c r="I459" s="12"/>
      <c r="J459" s="12"/>
      <c r="K459" s="12">
        <f t="shared" si="143"/>
        <v>0</v>
      </c>
      <c r="M459" s="10">
        <v>8</v>
      </c>
      <c r="N459" s="30">
        <v>46328</v>
      </c>
      <c r="O459" s="31">
        <f t="shared" si="149"/>
        <v>9108</v>
      </c>
      <c r="P459" s="32">
        <f>650*18+622*4+229*3</f>
        <v>14875</v>
      </c>
      <c r="Q459" s="32"/>
      <c r="R459" s="32"/>
      <c r="S459" s="32">
        <f t="shared" si="144"/>
        <v>14875</v>
      </c>
      <c r="T459" s="12"/>
      <c r="U459" s="12"/>
      <c r="V459" s="12">
        <v>-333</v>
      </c>
      <c r="W459" s="12">
        <f t="shared" si="145"/>
        <v>14542</v>
      </c>
      <c r="Y459" s="10">
        <v>8</v>
      </c>
      <c r="Z459" s="30"/>
      <c r="AA459" s="31"/>
      <c r="AB459" s="32"/>
      <c r="AC459" s="32"/>
      <c r="AE459" s="32">
        <f t="shared" si="152"/>
        <v>0</v>
      </c>
      <c r="AF459" s="12"/>
      <c r="AG459" s="12"/>
      <c r="AH459" s="12"/>
      <c r="AI459" s="12">
        <f t="shared" si="151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3"/>
      <c r="D460" s="32"/>
      <c r="E460" s="32"/>
      <c r="F460" s="32"/>
      <c r="G460" s="32">
        <f t="shared" si="142"/>
        <v>0</v>
      </c>
      <c r="H460" s="12"/>
      <c r="I460" s="12"/>
      <c r="J460" s="12"/>
      <c r="K460" s="12">
        <f t="shared" si="143"/>
        <v>0</v>
      </c>
      <c r="M460" s="10">
        <v>9</v>
      </c>
      <c r="N460" s="30">
        <v>46328</v>
      </c>
      <c r="O460" s="31">
        <f t="shared" si="149"/>
        <v>9109</v>
      </c>
      <c r="P460" s="32">
        <f>650*8</f>
        <v>5200</v>
      </c>
      <c r="Q460" s="32"/>
      <c r="R460" s="32"/>
      <c r="S460" s="32">
        <f t="shared" si="144"/>
        <v>5200</v>
      </c>
      <c r="T460" s="12"/>
      <c r="U460" s="12"/>
      <c r="V460" s="12">
        <v>-12</v>
      </c>
      <c r="W460" s="12">
        <f t="shared" si="145"/>
        <v>5188</v>
      </c>
      <c r="Y460" s="10">
        <v>9</v>
      </c>
      <c r="Z460" s="30"/>
      <c r="AA460" s="31"/>
      <c r="AC460" s="32"/>
      <c r="AD460" s="32"/>
      <c r="AE460" s="32">
        <f t="shared" si="152"/>
        <v>0</v>
      </c>
      <c r="AF460" s="12"/>
      <c r="AH460" s="12"/>
      <c r="AI460" s="12">
        <f t="shared" si="151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3"/>
      <c r="D461" s="32"/>
      <c r="E461" s="32"/>
      <c r="F461" s="32"/>
      <c r="G461" s="32">
        <f t="shared" si="142"/>
        <v>0</v>
      </c>
      <c r="H461" s="12"/>
      <c r="I461" s="12"/>
      <c r="J461" s="12"/>
      <c r="K461" s="12">
        <f t="shared" si="143"/>
        <v>0</v>
      </c>
      <c r="M461" s="10">
        <v>10</v>
      </c>
      <c r="N461" s="30">
        <v>46328</v>
      </c>
      <c r="O461" s="31">
        <f t="shared" si="149"/>
        <v>9110</v>
      </c>
      <c r="P461" s="32">
        <f>622</f>
        <v>622</v>
      </c>
      <c r="Q461" s="32"/>
      <c r="R461" s="32"/>
      <c r="S461" s="32">
        <f t="shared" si="144"/>
        <v>622</v>
      </c>
      <c r="T461" s="12"/>
      <c r="U461" s="12"/>
      <c r="V461" s="12"/>
      <c r="W461" s="12">
        <f t="shared" si="145"/>
        <v>622</v>
      </c>
      <c r="Y461" s="10">
        <v>10</v>
      </c>
      <c r="Z461" s="30"/>
      <c r="AA461" s="31"/>
      <c r="AB461" s="32"/>
      <c r="AC461" s="32"/>
      <c r="AD461" s="32"/>
      <c r="AE461" s="32">
        <f t="shared" si="152"/>
        <v>0</v>
      </c>
      <c r="AF461" s="12"/>
      <c r="AG461" s="12"/>
      <c r="AH461" s="12"/>
      <c r="AI461" s="12">
        <f t="shared" si="151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57"/>
      <c r="D462" s="32"/>
      <c r="E462" s="32"/>
      <c r="F462" s="32"/>
      <c r="G462" s="32">
        <f t="shared" si="142"/>
        <v>0</v>
      </c>
      <c r="H462" s="12"/>
      <c r="I462" s="12"/>
      <c r="J462" s="12"/>
      <c r="K462" s="12">
        <f t="shared" si="143"/>
        <v>0</v>
      </c>
      <c r="M462" s="10">
        <v>11</v>
      </c>
      <c r="N462" s="30"/>
      <c r="O462" s="11" t="s">
        <v>27</v>
      </c>
      <c r="P462" s="32"/>
      <c r="Q462" s="32"/>
      <c r="R462" s="32"/>
      <c r="S462" s="32">
        <f t="shared" si="144"/>
        <v>0</v>
      </c>
      <c r="T462" s="12"/>
      <c r="U462" s="12"/>
      <c r="V462" s="12"/>
      <c r="W462" s="12">
        <f t="shared" si="145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52"/>
        <v>0</v>
      </c>
      <c r="AF462" s="12"/>
      <c r="AG462" s="12"/>
      <c r="AH462" s="12"/>
      <c r="AI462" s="12">
        <f t="shared" si="151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3"/>
      <c r="D463" s="32"/>
      <c r="E463" s="32"/>
      <c r="F463" s="32"/>
      <c r="G463" s="32">
        <f t="shared" si="142"/>
        <v>0</v>
      </c>
      <c r="H463" s="12"/>
      <c r="I463" s="12"/>
      <c r="J463" s="10"/>
      <c r="K463" s="12">
        <f t="shared" si="143"/>
        <v>0</v>
      </c>
      <c r="M463" s="10">
        <v>12</v>
      </c>
      <c r="N463" s="30"/>
      <c r="O463" s="31"/>
      <c r="P463" s="32"/>
      <c r="Q463" s="32"/>
      <c r="R463" s="32"/>
      <c r="S463" s="32">
        <f t="shared" si="144"/>
        <v>0</v>
      </c>
      <c r="T463" s="12"/>
      <c r="U463" s="12"/>
      <c r="V463" s="12"/>
      <c r="W463" s="12">
        <f t="shared" si="145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52"/>
        <v>0</v>
      </c>
      <c r="AF463" s="12"/>
      <c r="AG463" s="12"/>
      <c r="AH463" s="12"/>
      <c r="AI463" s="12">
        <f t="shared" si="151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3"/>
      <c r="D464" s="32"/>
      <c r="E464" s="32"/>
      <c r="F464" s="32"/>
      <c r="G464" s="32">
        <f t="shared" si="142"/>
        <v>0</v>
      </c>
      <c r="H464" s="12"/>
      <c r="I464" s="12"/>
      <c r="J464" s="12"/>
      <c r="K464" s="12">
        <f t="shared" si="143"/>
        <v>0</v>
      </c>
      <c r="M464" s="10">
        <v>13</v>
      </c>
      <c r="N464" s="30"/>
      <c r="O464" s="31"/>
      <c r="P464" s="32"/>
      <c r="Q464" s="32"/>
      <c r="R464" s="32"/>
      <c r="S464" s="32">
        <f t="shared" si="144"/>
        <v>0</v>
      </c>
      <c r="T464" s="12"/>
      <c r="U464" s="12"/>
      <c r="V464" s="12"/>
      <c r="W464" s="12">
        <f t="shared" si="145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52"/>
        <v>0</v>
      </c>
      <c r="AF464" s="12"/>
      <c r="AG464" s="12"/>
      <c r="AH464" s="12"/>
      <c r="AI464" s="12">
        <f t="shared" si="151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83"/>
      <c r="D465" s="32"/>
      <c r="E465" s="32"/>
      <c r="F465" s="32"/>
      <c r="G465" s="32">
        <f t="shared" si="142"/>
        <v>0</v>
      </c>
      <c r="H465" s="12"/>
      <c r="I465" s="12"/>
      <c r="J465" s="12"/>
      <c r="K465" s="12">
        <f t="shared" si="143"/>
        <v>0</v>
      </c>
      <c r="M465" s="10">
        <v>14</v>
      </c>
      <c r="N465" s="30"/>
      <c r="O465" s="31"/>
      <c r="P465" s="32"/>
      <c r="Q465" s="32"/>
      <c r="R465" s="32"/>
      <c r="S465" s="32">
        <f t="shared" si="144"/>
        <v>0</v>
      </c>
      <c r="T465" s="12"/>
      <c r="U465" s="12"/>
      <c r="V465" s="12"/>
      <c r="W465" s="12">
        <f t="shared" si="145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52"/>
        <v>0</v>
      </c>
      <c r="AF465" s="12"/>
      <c r="AG465" s="12"/>
      <c r="AH465" s="12"/>
      <c r="AI465" s="12">
        <f t="shared" si="151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3"/>
      <c r="D466" s="32"/>
      <c r="E466" s="32"/>
      <c r="F466" s="32"/>
      <c r="G466" s="32">
        <f t="shared" si="142"/>
        <v>0</v>
      </c>
      <c r="H466" s="12"/>
      <c r="I466" s="12"/>
      <c r="J466" s="12"/>
      <c r="K466" s="12">
        <f t="shared" si="143"/>
        <v>0</v>
      </c>
      <c r="M466" s="10">
        <v>15</v>
      </c>
      <c r="N466" s="30"/>
      <c r="O466" s="31"/>
      <c r="P466" s="32"/>
      <c r="Q466" s="32"/>
      <c r="R466" s="32"/>
      <c r="S466" s="32">
        <f t="shared" si="144"/>
        <v>0</v>
      </c>
      <c r="T466" s="12"/>
      <c r="U466" s="12"/>
      <c r="V466" s="12"/>
      <c r="W466" s="12">
        <f t="shared" si="145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52"/>
        <v>0</v>
      </c>
      <c r="AF466" s="12"/>
      <c r="AG466" s="12"/>
      <c r="AH466" s="12"/>
      <c r="AI466" s="12">
        <f t="shared" si="151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D467" s="32"/>
      <c r="E467" s="32"/>
      <c r="F467" s="32"/>
      <c r="G467" s="32">
        <f t="shared" si="142"/>
        <v>0</v>
      </c>
      <c r="H467" s="12"/>
      <c r="I467" s="12"/>
      <c r="J467" s="12"/>
      <c r="K467" s="12">
        <f t="shared" si="143"/>
        <v>0</v>
      </c>
      <c r="M467" s="10">
        <v>16</v>
      </c>
      <c r="N467" s="30"/>
      <c r="P467" s="32"/>
      <c r="Q467" s="32"/>
      <c r="R467" s="32"/>
      <c r="S467" s="32">
        <f t="shared" si="144"/>
        <v>0</v>
      </c>
      <c r="T467" s="12"/>
      <c r="U467" s="12"/>
      <c r="V467" s="12"/>
      <c r="W467" s="12">
        <f t="shared" si="145"/>
        <v>0</v>
      </c>
      <c r="Y467" s="10">
        <v>16</v>
      </c>
      <c r="Z467" s="30"/>
      <c r="AB467" s="32"/>
      <c r="AC467" s="32"/>
      <c r="AD467" s="32"/>
      <c r="AE467" s="32">
        <f t="shared" si="152"/>
        <v>0</v>
      </c>
      <c r="AF467" s="12"/>
      <c r="AG467" s="12"/>
      <c r="AH467" s="12"/>
      <c r="AI467" s="12">
        <f t="shared" si="151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42"/>
        <v>0</v>
      </c>
      <c r="H468" s="12"/>
      <c r="I468" s="12"/>
      <c r="J468" s="12"/>
      <c r="K468" s="12">
        <f t="shared" si="143"/>
        <v>0</v>
      </c>
      <c r="M468" s="10">
        <v>17</v>
      </c>
      <c r="N468" s="30"/>
      <c r="O468" s="31"/>
      <c r="P468" s="35"/>
      <c r="Q468" s="32"/>
      <c r="R468" s="32"/>
      <c r="S468" s="32">
        <f t="shared" si="144"/>
        <v>0</v>
      </c>
      <c r="T468" s="12"/>
      <c r="U468" s="12"/>
      <c r="V468" s="12"/>
      <c r="W468" s="12">
        <f t="shared" si="145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52"/>
        <v>0</v>
      </c>
      <c r="AF468" s="12"/>
      <c r="AG468" s="12"/>
      <c r="AH468" s="12"/>
      <c r="AI468" s="12">
        <f t="shared" si="151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3"/>
      <c r="D469" s="32"/>
      <c r="E469" s="32"/>
      <c r="F469" s="32"/>
      <c r="G469" s="32">
        <f t="shared" si="142"/>
        <v>0</v>
      </c>
      <c r="H469" s="12"/>
      <c r="I469" s="12"/>
      <c r="J469" s="12"/>
      <c r="K469" s="12">
        <f t="shared" si="143"/>
        <v>0</v>
      </c>
      <c r="M469" s="10">
        <v>18</v>
      </c>
      <c r="N469" s="30"/>
      <c r="O469" s="31"/>
      <c r="P469" s="32"/>
      <c r="Q469" s="32"/>
      <c r="R469" s="32"/>
      <c r="S469" s="32">
        <f t="shared" si="144"/>
        <v>0</v>
      </c>
      <c r="T469" s="12"/>
      <c r="U469" s="12"/>
      <c r="V469" s="12"/>
      <c r="W469" s="12">
        <f t="shared" si="145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52"/>
        <v>0</v>
      </c>
      <c r="AF469" s="12"/>
      <c r="AG469" s="12"/>
      <c r="AH469" s="12"/>
      <c r="AI469" s="12">
        <f t="shared" si="151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42"/>
        <v>0</v>
      </c>
      <c r="H470" s="12"/>
      <c r="I470" s="12"/>
      <c r="J470" s="12"/>
      <c r="K470" s="12">
        <f t="shared" si="143"/>
        <v>0</v>
      </c>
      <c r="M470" s="10">
        <v>19</v>
      </c>
      <c r="N470" s="30"/>
      <c r="O470" s="31"/>
      <c r="P470" s="32"/>
      <c r="Q470" s="32"/>
      <c r="R470" s="32"/>
      <c r="S470" s="32">
        <f t="shared" si="144"/>
        <v>0</v>
      </c>
      <c r="T470" s="12"/>
      <c r="U470" s="12"/>
      <c r="V470" s="12"/>
      <c r="W470" s="12">
        <f t="shared" si="145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52"/>
        <v>0</v>
      </c>
      <c r="AF470" s="12"/>
      <c r="AG470" s="12"/>
      <c r="AH470" s="12"/>
      <c r="AI470" s="12">
        <f t="shared" si="151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42"/>
        <v>0</v>
      </c>
      <c r="H471" s="12"/>
      <c r="I471" s="12"/>
      <c r="J471" s="12"/>
      <c r="K471" s="12">
        <f t="shared" si="143"/>
        <v>0</v>
      </c>
      <c r="M471" s="10">
        <v>20</v>
      </c>
      <c r="N471" s="30"/>
      <c r="O471" s="31"/>
      <c r="P471" s="32"/>
      <c r="Q471" s="32"/>
      <c r="R471" s="32"/>
      <c r="S471" s="32">
        <f t="shared" si="144"/>
        <v>0</v>
      </c>
      <c r="T471" s="12"/>
      <c r="U471" s="12"/>
      <c r="V471" s="12"/>
      <c r="W471" s="12">
        <f t="shared" si="145"/>
        <v>0</v>
      </c>
      <c r="Y471" s="10">
        <v>20</v>
      </c>
      <c r="Z471" s="30"/>
      <c r="AB471" s="32"/>
      <c r="AC471" s="32"/>
      <c r="AD471" s="32"/>
      <c r="AE471" s="32">
        <f t="shared" si="152"/>
        <v>0</v>
      </c>
      <c r="AF471" s="12"/>
      <c r="AG471" s="12"/>
      <c r="AH471" s="12"/>
      <c r="AI471" s="12">
        <f t="shared" si="151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57"/>
      <c r="D472" s="32"/>
      <c r="E472" s="32"/>
      <c r="F472" s="32"/>
      <c r="G472" s="32">
        <f t="shared" si="142"/>
        <v>0</v>
      </c>
      <c r="H472" s="10"/>
      <c r="I472" s="10"/>
      <c r="J472" s="10"/>
      <c r="K472" s="12">
        <f t="shared" si="143"/>
        <v>0</v>
      </c>
      <c r="M472" s="10">
        <v>21</v>
      </c>
      <c r="N472" s="30"/>
      <c r="O472" s="31"/>
      <c r="P472" s="92"/>
      <c r="Q472" s="31"/>
      <c r="R472" s="31"/>
      <c r="S472" s="32">
        <f t="shared" si="144"/>
        <v>0</v>
      </c>
      <c r="T472" s="10"/>
      <c r="U472" s="10"/>
      <c r="V472" s="10"/>
      <c r="W472" s="12">
        <f t="shared" si="145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52"/>
        <v>0</v>
      </c>
      <c r="AF472" s="10"/>
      <c r="AG472" s="10"/>
      <c r="AH472" s="10"/>
      <c r="AI472" s="12">
        <f t="shared" si="151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42"/>
        <v>0</v>
      </c>
      <c r="H473" s="10"/>
      <c r="I473" s="10"/>
      <c r="J473" s="10"/>
      <c r="K473" s="12">
        <f t="shared" si="143"/>
        <v>0</v>
      </c>
      <c r="M473" s="10">
        <v>22</v>
      </c>
      <c r="N473" s="30"/>
      <c r="O473" s="31"/>
      <c r="P473" s="92"/>
      <c r="Q473" s="31"/>
      <c r="R473" s="31"/>
      <c r="S473" s="32">
        <f t="shared" si="144"/>
        <v>0</v>
      </c>
      <c r="T473" s="10"/>
      <c r="U473" s="10"/>
      <c r="V473" s="10"/>
      <c r="W473" s="12">
        <f t="shared" si="145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52"/>
        <v>0</v>
      </c>
      <c r="AF473" s="10"/>
      <c r="AG473" s="10"/>
      <c r="AH473" s="10"/>
      <c r="AI473" s="12">
        <f t="shared" si="151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42"/>
        <v>0</v>
      </c>
      <c r="H474" s="10"/>
      <c r="I474" s="10"/>
      <c r="J474" s="12"/>
      <c r="K474" s="12">
        <f t="shared" si="143"/>
        <v>0</v>
      </c>
      <c r="M474" s="10">
        <v>23</v>
      </c>
      <c r="N474" s="30"/>
      <c r="O474" s="31"/>
      <c r="P474" s="47"/>
      <c r="Q474" s="31"/>
      <c r="S474" s="32">
        <f t="shared" si="144"/>
        <v>0</v>
      </c>
      <c r="T474" s="10"/>
      <c r="U474" s="10"/>
      <c r="V474" s="10"/>
      <c r="W474" s="12">
        <f t="shared" si="145"/>
        <v>0</v>
      </c>
      <c r="Y474" s="10">
        <v>23</v>
      </c>
      <c r="Z474" s="30"/>
      <c r="AA474" s="31"/>
      <c r="AB474" s="47"/>
      <c r="AC474" s="31"/>
      <c r="AE474" s="32">
        <f t="shared" si="152"/>
        <v>0</v>
      </c>
      <c r="AF474" s="10"/>
      <c r="AG474" s="10"/>
      <c r="AH474" s="10"/>
      <c r="AI474" s="12">
        <f t="shared" si="151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42"/>
        <v>0</v>
      </c>
      <c r="H475" s="10"/>
      <c r="I475" s="10"/>
      <c r="J475" s="10"/>
      <c r="K475" s="12">
        <f t="shared" si="143"/>
        <v>0</v>
      </c>
      <c r="M475" s="10">
        <v>24</v>
      </c>
      <c r="N475" s="30"/>
      <c r="P475" s="47"/>
      <c r="Q475" s="31"/>
      <c r="R475" s="31"/>
      <c r="S475" s="32">
        <f t="shared" si="144"/>
        <v>0</v>
      </c>
      <c r="T475" s="10"/>
      <c r="U475" s="10"/>
      <c r="V475" s="10"/>
      <c r="W475" s="12">
        <f t="shared" si="145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52"/>
        <v>0</v>
      </c>
      <c r="AF475" s="10"/>
      <c r="AG475" s="10"/>
      <c r="AH475" s="10"/>
      <c r="AI475" s="12">
        <f t="shared" si="151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42"/>
        <v>0</v>
      </c>
      <c r="H476" s="10"/>
      <c r="I476" s="10"/>
      <c r="J476" s="10"/>
      <c r="K476" s="12">
        <f t="shared" si="143"/>
        <v>0</v>
      </c>
      <c r="M476" s="10">
        <v>25</v>
      </c>
      <c r="N476" s="30"/>
      <c r="O476" s="31"/>
      <c r="P476" s="47"/>
      <c r="Q476" s="31"/>
      <c r="R476" s="31"/>
      <c r="S476" s="32">
        <f t="shared" si="144"/>
        <v>0</v>
      </c>
      <c r="T476" s="10"/>
      <c r="U476" s="10"/>
      <c r="V476" s="10"/>
      <c r="W476" s="12">
        <f t="shared" si="145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52"/>
        <v>0</v>
      </c>
      <c r="AF476" s="10"/>
      <c r="AG476" s="10"/>
      <c r="AH476" s="10"/>
      <c r="AI476" s="12">
        <f t="shared" si="151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42"/>
        <v>0</v>
      </c>
      <c r="H477" s="10"/>
      <c r="I477" s="10"/>
      <c r="J477" s="10"/>
      <c r="K477" s="12">
        <f t="shared" si="143"/>
        <v>0</v>
      </c>
      <c r="M477" s="10">
        <v>26</v>
      </c>
      <c r="N477" s="30"/>
      <c r="P477" s="47"/>
      <c r="Q477" s="31"/>
      <c r="R477" s="31"/>
      <c r="S477" s="32">
        <f t="shared" si="144"/>
        <v>0</v>
      </c>
      <c r="T477" s="10"/>
      <c r="U477" s="10"/>
      <c r="V477" s="10"/>
      <c r="W477" s="12">
        <f t="shared" si="145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52"/>
        <v>0</v>
      </c>
      <c r="AF477" s="10"/>
      <c r="AG477" s="10"/>
      <c r="AH477" s="10"/>
      <c r="AI477" s="12">
        <f t="shared" si="151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42"/>
        <v>0</v>
      </c>
      <c r="H478" s="10"/>
      <c r="I478" s="10"/>
      <c r="J478" s="10"/>
      <c r="K478" s="12">
        <f t="shared" si="143"/>
        <v>0</v>
      </c>
      <c r="M478" s="10">
        <v>27</v>
      </c>
      <c r="N478" s="30"/>
      <c r="O478" s="31"/>
      <c r="P478" s="47"/>
      <c r="Q478" s="31"/>
      <c r="R478" s="31"/>
      <c r="S478" s="32">
        <f t="shared" si="144"/>
        <v>0</v>
      </c>
      <c r="T478" s="10"/>
      <c r="U478" s="10"/>
      <c r="V478" s="10"/>
      <c r="W478" s="12">
        <f t="shared" si="145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52"/>
        <v>0</v>
      </c>
      <c r="AF478" s="10"/>
      <c r="AG478" s="10"/>
      <c r="AH478" s="10"/>
      <c r="AI478" s="12">
        <f t="shared" si="151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42"/>
        <v>0</v>
      </c>
      <c r="H479" s="10"/>
      <c r="I479" s="10"/>
      <c r="J479" s="10"/>
      <c r="K479" s="12">
        <f t="shared" si="143"/>
        <v>0</v>
      </c>
      <c r="M479" s="10">
        <v>28</v>
      </c>
      <c r="N479" s="30"/>
      <c r="O479" s="31"/>
      <c r="P479" s="47"/>
      <c r="Q479" s="31"/>
      <c r="R479" s="31"/>
      <c r="S479" s="32">
        <f t="shared" si="144"/>
        <v>0</v>
      </c>
      <c r="T479" s="10"/>
      <c r="U479" s="10"/>
      <c r="V479" s="10"/>
      <c r="W479" s="12">
        <f t="shared" si="145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52"/>
        <v>0</v>
      </c>
      <c r="AF479" s="10"/>
      <c r="AG479" s="10"/>
      <c r="AH479" s="10"/>
      <c r="AI479" s="12">
        <f t="shared" si="151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57"/>
      <c r="D480" s="32"/>
      <c r="E480" s="32"/>
      <c r="F480" s="32"/>
      <c r="G480" s="32">
        <f t="shared" si="142"/>
        <v>0</v>
      </c>
      <c r="H480" s="10"/>
      <c r="I480" s="10"/>
      <c r="J480" s="10"/>
      <c r="K480" s="12">
        <f t="shared" si="143"/>
        <v>0</v>
      </c>
      <c r="M480" s="10">
        <v>29</v>
      </c>
      <c r="N480" s="30"/>
      <c r="O480" s="31"/>
      <c r="P480" s="47"/>
      <c r="Q480" s="31"/>
      <c r="R480" s="31"/>
      <c r="S480" s="32">
        <f t="shared" si="144"/>
        <v>0</v>
      </c>
      <c r="T480" s="10"/>
      <c r="U480" s="10"/>
      <c r="V480" s="10"/>
      <c r="W480" s="12">
        <f t="shared" si="145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52"/>
        <v>0</v>
      </c>
      <c r="AF480" s="10"/>
      <c r="AG480" s="10"/>
      <c r="AH480" s="10"/>
      <c r="AI480" s="12">
        <f t="shared" si="151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42"/>
        <v>0</v>
      </c>
      <c r="H481" s="10"/>
      <c r="I481" s="10"/>
      <c r="J481" s="10"/>
      <c r="K481" s="12">
        <f t="shared" si="143"/>
        <v>0</v>
      </c>
      <c r="M481" s="10">
        <v>30</v>
      </c>
      <c r="N481" s="30"/>
      <c r="P481" s="47"/>
      <c r="Q481" s="31"/>
      <c r="R481" s="31"/>
      <c r="S481" s="32">
        <f t="shared" si="144"/>
        <v>0</v>
      </c>
      <c r="T481" s="10"/>
      <c r="U481" s="10"/>
      <c r="V481" s="10"/>
      <c r="W481" s="12">
        <f t="shared" si="145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52"/>
        <v>0</v>
      </c>
      <c r="AF481" s="10"/>
      <c r="AG481" s="10"/>
      <c r="AH481" s="10"/>
      <c r="AI481" s="12">
        <f t="shared" si="151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42"/>
        <v>0</v>
      </c>
      <c r="H482" s="10"/>
      <c r="I482" s="10"/>
      <c r="J482" s="10"/>
      <c r="K482" s="12">
        <f t="shared" si="143"/>
        <v>0</v>
      </c>
      <c r="M482" s="10">
        <v>31</v>
      </c>
      <c r="N482" s="30"/>
      <c r="O482" s="31"/>
      <c r="P482" s="47"/>
      <c r="Q482" s="31"/>
      <c r="R482" s="31"/>
      <c r="S482" s="32">
        <f t="shared" si="144"/>
        <v>0</v>
      </c>
      <c r="T482" s="10"/>
      <c r="U482" s="10"/>
      <c r="V482" s="10"/>
      <c r="W482" s="12">
        <f t="shared" si="145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52"/>
        <v>0</v>
      </c>
      <c r="AF482" s="10"/>
      <c r="AG482" s="10"/>
      <c r="AH482" s="10"/>
      <c r="AI482" s="12">
        <f t="shared" si="151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42"/>
        <v>0</v>
      </c>
      <c r="H483" s="10"/>
      <c r="I483" s="10"/>
      <c r="J483" s="10"/>
      <c r="K483" s="12">
        <f t="shared" si="143"/>
        <v>0</v>
      </c>
      <c r="M483" s="10">
        <v>32</v>
      </c>
      <c r="N483" s="30"/>
      <c r="O483" s="31"/>
      <c r="P483" s="47"/>
      <c r="Q483" s="31"/>
      <c r="R483" s="31"/>
      <c r="S483" s="32">
        <f t="shared" si="144"/>
        <v>0</v>
      </c>
      <c r="T483" s="10"/>
      <c r="U483" s="10"/>
      <c r="V483" s="10"/>
      <c r="W483" s="12">
        <f t="shared" si="145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52"/>
        <v>0</v>
      </c>
      <c r="AF483" s="10"/>
      <c r="AG483" s="10"/>
      <c r="AH483" s="10"/>
      <c r="AI483" s="12">
        <f t="shared" si="151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42"/>
        <v>0</v>
      </c>
      <c r="H484" s="10"/>
      <c r="I484" s="10"/>
      <c r="J484" s="10"/>
      <c r="K484" s="12">
        <f t="shared" si="143"/>
        <v>0</v>
      </c>
      <c r="M484" s="10">
        <v>33</v>
      </c>
      <c r="N484" s="30"/>
      <c r="O484" s="31"/>
      <c r="P484" s="47"/>
      <c r="Q484" s="31"/>
      <c r="R484" s="31"/>
      <c r="S484" s="32">
        <f t="shared" si="144"/>
        <v>0</v>
      </c>
      <c r="T484" s="10"/>
      <c r="U484" s="10"/>
      <c r="V484" s="10"/>
      <c r="W484" s="12">
        <f t="shared" si="145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52"/>
        <v>0</v>
      </c>
      <c r="AF484" s="10"/>
      <c r="AG484" s="10"/>
      <c r="AH484" s="10"/>
      <c r="AI484" s="12">
        <f t="shared" si="151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42"/>
        <v>0</v>
      </c>
      <c r="H485" s="10"/>
      <c r="I485" s="10"/>
      <c r="J485" s="10"/>
      <c r="K485" s="12">
        <f t="shared" si="143"/>
        <v>0</v>
      </c>
      <c r="M485" s="10">
        <v>34</v>
      </c>
      <c r="N485" s="30"/>
      <c r="O485" s="31"/>
      <c r="P485" s="47"/>
      <c r="Q485" s="31"/>
      <c r="R485" s="31"/>
      <c r="S485" s="32">
        <f t="shared" si="144"/>
        <v>0</v>
      </c>
      <c r="T485" s="10"/>
      <c r="U485" s="10"/>
      <c r="V485" s="10"/>
      <c r="W485" s="12">
        <f t="shared" si="145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52"/>
        <v>0</v>
      </c>
      <c r="AF485" s="10"/>
      <c r="AG485" s="10"/>
      <c r="AH485" s="10"/>
      <c r="AI485" s="12">
        <f t="shared" si="151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4"/>
        <v>0</v>
      </c>
      <c r="T486" s="10"/>
      <c r="U486" s="10"/>
      <c r="V486" s="10"/>
      <c r="W486" s="12">
        <f t="shared" si="145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52"/>
        <v>0</v>
      </c>
      <c r="AF486" s="10"/>
      <c r="AG486" s="10"/>
      <c r="AH486" s="10"/>
      <c r="AI486" s="12">
        <f t="shared" si="15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4"/>
        <v>0</v>
      </c>
      <c r="T487" s="10"/>
      <c r="U487" s="10"/>
      <c r="V487" s="10"/>
      <c r="W487" s="12">
        <f t="shared" si="145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52"/>
        <v>0</v>
      </c>
      <c r="AF487" s="10"/>
      <c r="AG487" s="10"/>
      <c r="AH487" s="10"/>
      <c r="AI487" s="12">
        <f t="shared" si="15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4"/>
        <v>0</v>
      </c>
      <c r="T488" s="10"/>
      <c r="U488" s="10"/>
      <c r="V488" s="10"/>
      <c r="W488" s="12">
        <f t="shared" si="145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52"/>
        <v>0</v>
      </c>
      <c r="AF488" s="10"/>
      <c r="AG488" s="10"/>
      <c r="AH488" s="10"/>
      <c r="AI488" s="12">
        <f t="shared" si="15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4"/>
        <v>0</v>
      </c>
      <c r="T489" s="10"/>
      <c r="U489" s="10"/>
      <c r="V489" s="10"/>
      <c r="W489" s="12">
        <f t="shared" si="145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52"/>
        <v>0</v>
      </c>
      <c r="AF489" s="10"/>
      <c r="AG489" s="10"/>
      <c r="AH489" s="10"/>
      <c r="AI489" s="12">
        <f t="shared" si="15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4"/>
        <v>0</v>
      </c>
      <c r="T490" s="10"/>
      <c r="U490" s="10"/>
      <c r="V490" s="10"/>
      <c r="W490" s="12">
        <f t="shared" si="145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52"/>
        <v>0</v>
      </c>
      <c r="AF490" s="10"/>
      <c r="AG490" s="10"/>
      <c r="AH490" s="10"/>
      <c r="AI490" s="12">
        <f t="shared" si="15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5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5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3">SUM(D492:E492)</f>
        <v>0</v>
      </c>
      <c r="H492" s="10"/>
      <c r="I492" s="10"/>
      <c r="J492" s="10"/>
      <c r="K492" s="12">
        <f t="shared" ref="K492" si="154">SUM(G492:J492)</f>
        <v>0</v>
      </c>
      <c r="M492" s="10"/>
      <c r="N492" s="30"/>
      <c r="O492" s="31"/>
      <c r="P492" s="47"/>
      <c r="Q492" s="31"/>
      <c r="R492" s="31"/>
      <c r="S492" s="32">
        <f t="shared" ref="S492" si="155">SUM(P492:Q492)</f>
        <v>0</v>
      </c>
      <c r="T492" s="10"/>
      <c r="U492" s="10"/>
      <c r="V492" s="10"/>
      <c r="W492" s="12">
        <f t="shared" si="145"/>
        <v>0</v>
      </c>
      <c r="Y492" s="10"/>
      <c r="Z492" s="30"/>
      <c r="AA492" s="31"/>
      <c r="AB492" s="47"/>
      <c r="AC492" s="31"/>
      <c r="AD492" s="31"/>
      <c r="AE492" s="32">
        <f t="shared" ref="AE492" si="156">SUM(AB492:AC492)</f>
        <v>0</v>
      </c>
      <c r="AF492" s="10"/>
      <c r="AG492" s="10"/>
      <c r="AH492" s="10"/>
      <c r="AI492" s="12">
        <f t="shared" si="15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5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5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692504</v>
      </c>
      <c r="E495" s="38">
        <f t="shared" ref="E495:G495" si="157">SUM(E452:E492)</f>
        <v>-5124</v>
      </c>
      <c r="F495" s="38">
        <f t="shared" si="157"/>
        <v>0</v>
      </c>
      <c r="G495" s="38">
        <f>SUM(G452:G494)</f>
        <v>687380</v>
      </c>
      <c r="H495" s="4"/>
      <c r="I495" s="39">
        <f>SUM(I452:I494)</f>
        <v>7782</v>
      </c>
      <c r="J495" s="39">
        <f>SUM(J452:J494)</f>
        <v>-2664</v>
      </c>
      <c r="K495" s="40">
        <f>SUM(K452:K494)</f>
        <v>692498</v>
      </c>
      <c r="N495" s="57"/>
      <c r="O495" s="57"/>
      <c r="P495" s="38">
        <f>SUM(P452:P494)</f>
        <v>145427.5</v>
      </c>
      <c r="Q495" s="38">
        <f>SUM(Q452:Q476)</f>
        <v>-618</v>
      </c>
      <c r="R495" s="38">
        <f>SUM(R452:R476)</f>
        <v>0</v>
      </c>
      <c r="S495" s="38">
        <f>SUM(S452:S494)</f>
        <v>144809.5</v>
      </c>
      <c r="T495" s="4"/>
      <c r="U495" s="41">
        <f>SUM(U452:U494)</f>
        <v>184.5</v>
      </c>
      <c r="V495" s="41">
        <f>SUM(V452:V476)</f>
        <v>-345</v>
      </c>
      <c r="W495" s="42">
        <f>SUM(W452:W494)</f>
        <v>144649</v>
      </c>
      <c r="Z495" s="57"/>
      <c r="AA495" s="57"/>
      <c r="AB495" s="38">
        <f>SUM(AB452:AB494)</f>
        <v>252433.5</v>
      </c>
      <c r="AC495" s="38">
        <f>SUM(AC452:AC476)</f>
        <v>-2262</v>
      </c>
      <c r="AD495" s="38">
        <f>SUM(AD452:AD476)</f>
        <v>0</v>
      </c>
      <c r="AE495" s="38">
        <f>SUM(AE452:AE494)</f>
        <v>250171.5</v>
      </c>
      <c r="AF495" s="4"/>
      <c r="AG495" s="41">
        <f>SUM(AG452:AG494)</f>
        <v>156</v>
      </c>
      <c r="AH495" s="41">
        <f>SUM(AH452:AH476)</f>
        <v>-1863</v>
      </c>
      <c r="AI495" s="42">
        <f>SUM(AI452:AI494)</f>
        <v>248464.5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6"/>
      <c r="C497" s="86"/>
      <c r="D497" s="86"/>
      <c r="E497" s="86"/>
      <c r="F497" s="86"/>
      <c r="G497" s="86"/>
      <c r="H497" s="62"/>
      <c r="I497" s="62"/>
      <c r="J497" s="62"/>
      <c r="K497" s="62"/>
      <c r="L497" s="62"/>
      <c r="M497" s="62"/>
      <c r="N497" s="86"/>
      <c r="O497" s="86"/>
      <c r="P497" s="86"/>
      <c r="Q497" s="86"/>
      <c r="R497" s="86"/>
      <c r="S497" s="86"/>
      <c r="T497" s="62"/>
      <c r="U497" s="62"/>
      <c r="V497" s="62"/>
      <c r="W497" s="62"/>
      <c r="X497" s="62"/>
      <c r="Y497" s="62"/>
      <c r="Z497" s="86"/>
      <c r="AA497" s="86"/>
      <c r="AB497" s="86"/>
      <c r="AC497" s="86"/>
      <c r="AD497" s="86"/>
      <c r="AE497" s="86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6"/>
      <c r="C498" s="86"/>
      <c r="D498" s="86"/>
      <c r="E498" s="86"/>
      <c r="F498" s="86"/>
      <c r="G498" s="86"/>
      <c r="H498" s="62"/>
      <c r="I498" s="62"/>
      <c r="J498" s="62"/>
      <c r="K498" s="62"/>
      <c r="L498" s="62"/>
      <c r="M498" s="62"/>
      <c r="N498" s="86"/>
      <c r="O498" s="86"/>
      <c r="P498" s="86"/>
      <c r="Q498" s="86"/>
      <c r="R498" s="86"/>
      <c r="S498" s="86"/>
      <c r="T498" s="62"/>
      <c r="U498" s="62"/>
      <c r="V498" s="62"/>
      <c r="W498" s="62"/>
      <c r="X498" s="62"/>
      <c r="Y498" s="62"/>
      <c r="Z498" s="86"/>
      <c r="AA498" s="86"/>
      <c r="AB498" s="86"/>
      <c r="AC498" s="86"/>
      <c r="AD498" s="86"/>
      <c r="AE498" s="86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6"/>
      <c r="C499" s="86"/>
      <c r="D499" s="86"/>
      <c r="E499" s="86"/>
      <c r="F499" s="86"/>
      <c r="G499" s="86"/>
      <c r="H499" s="62"/>
      <c r="I499" s="62"/>
      <c r="J499" s="62"/>
      <c r="K499" s="62"/>
      <c r="L499" s="62"/>
      <c r="M499" s="62"/>
      <c r="N499" s="86"/>
      <c r="O499" s="86"/>
      <c r="P499" s="86"/>
      <c r="Q499" s="86"/>
      <c r="R499" s="86"/>
      <c r="S499" s="86"/>
      <c r="T499" s="62"/>
      <c r="U499" s="62"/>
      <c r="V499" s="62"/>
      <c r="W499" s="62"/>
      <c r="X499" s="62"/>
      <c r="Y499" s="62"/>
      <c r="Z499" s="86"/>
      <c r="AA499" s="86"/>
      <c r="AB499" s="86"/>
      <c r="AC499" s="86"/>
      <c r="AD499" s="86"/>
      <c r="AE499" s="86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6"/>
      <c r="C500" s="86"/>
      <c r="D500" s="86"/>
      <c r="E500" s="86"/>
      <c r="F500" s="86"/>
      <c r="G500" s="86"/>
      <c r="H500" s="62"/>
      <c r="I500" s="62"/>
      <c r="J500" s="62"/>
      <c r="K500" s="62"/>
      <c r="L500" s="62"/>
      <c r="M500" s="63"/>
      <c r="N500" s="86"/>
      <c r="O500" s="86"/>
      <c r="P500" s="86"/>
      <c r="Q500" s="86"/>
      <c r="R500" s="86"/>
      <c r="S500" s="86"/>
      <c r="T500" s="62"/>
      <c r="U500" s="62"/>
      <c r="V500" s="62"/>
      <c r="W500" s="62"/>
      <c r="X500" s="62"/>
      <c r="Y500" s="63"/>
      <c r="Z500" s="86"/>
      <c r="AA500" s="86"/>
      <c r="AB500" s="86"/>
      <c r="AC500" s="86"/>
      <c r="AD500" s="86"/>
      <c r="AE500" s="86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6"/>
      <c r="C501" s="86"/>
      <c r="D501" s="86"/>
      <c r="E501" s="86"/>
      <c r="F501" s="86"/>
      <c r="G501" s="86"/>
      <c r="H501" s="62"/>
      <c r="I501" s="62"/>
      <c r="J501" s="62"/>
      <c r="K501" s="62"/>
      <c r="L501" s="62"/>
      <c r="M501" s="62"/>
      <c r="N501" s="86"/>
      <c r="O501" s="86"/>
      <c r="P501" s="86"/>
      <c r="Q501" s="86"/>
      <c r="R501" s="86"/>
      <c r="S501" s="86"/>
      <c r="T501" s="62"/>
      <c r="U501" s="62"/>
      <c r="V501" s="62"/>
      <c r="W501" s="62"/>
      <c r="X501" s="62"/>
      <c r="Y501" s="62"/>
      <c r="Z501" s="86"/>
      <c r="AA501" s="86"/>
      <c r="AB501" s="86"/>
      <c r="AC501" s="86"/>
      <c r="AD501" s="86"/>
      <c r="AE501" s="86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6"/>
      <c r="C502" s="86"/>
      <c r="D502" s="86"/>
      <c r="E502" s="86"/>
      <c r="F502" s="86"/>
      <c r="G502" s="86"/>
      <c r="H502" s="62"/>
      <c r="I502" s="86"/>
      <c r="J502" s="73"/>
      <c r="K502" s="62"/>
      <c r="L502" s="62"/>
      <c r="M502" s="62"/>
      <c r="N502" s="86"/>
      <c r="O502" s="86"/>
      <c r="P502" s="86"/>
      <c r="Q502" s="86"/>
      <c r="R502" s="86"/>
      <c r="S502" s="86"/>
      <c r="T502" s="62"/>
      <c r="U502" s="86"/>
      <c r="V502" s="73"/>
      <c r="W502" s="62"/>
      <c r="X502" s="62"/>
      <c r="Y502" s="62"/>
      <c r="Z502" s="86"/>
      <c r="AA502" s="86"/>
      <c r="AB502" s="86"/>
      <c r="AC502" s="86"/>
      <c r="AD502" s="86"/>
      <c r="AE502" s="86"/>
      <c r="AF502" s="62"/>
      <c r="AG502" s="86"/>
      <c r="AH502" s="86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6"/>
      <c r="C503" s="86"/>
      <c r="D503" s="86"/>
      <c r="E503" s="86"/>
      <c r="F503" s="86"/>
      <c r="G503" s="86"/>
      <c r="H503" s="62"/>
      <c r="I503" s="65"/>
      <c r="J503" s="65"/>
      <c r="K503" s="62"/>
      <c r="L503" s="62"/>
      <c r="M503" s="64"/>
      <c r="N503" s="86"/>
      <c r="O503" s="86"/>
      <c r="P503" s="86"/>
      <c r="Q503" s="86"/>
      <c r="R503" s="86"/>
      <c r="S503" s="86"/>
      <c r="T503" s="62"/>
      <c r="U503" s="65"/>
      <c r="V503" s="65"/>
      <c r="W503" s="62"/>
      <c r="X503" s="62"/>
      <c r="Y503" s="64"/>
      <c r="Z503" s="86"/>
      <c r="AA503" s="86"/>
      <c r="AB503" s="86"/>
      <c r="AC503" s="86"/>
      <c r="AD503" s="86"/>
      <c r="AE503" s="86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6"/>
      <c r="C504" s="86"/>
      <c r="D504" s="86"/>
      <c r="E504" s="86"/>
      <c r="F504" s="86"/>
      <c r="G504" s="86"/>
      <c r="H504" s="62"/>
      <c r="I504" s="62"/>
      <c r="J504" s="62"/>
      <c r="K504" s="62"/>
      <c r="L504" s="62"/>
      <c r="M504" s="62"/>
      <c r="N504" s="86"/>
      <c r="O504" s="86"/>
      <c r="P504" s="86"/>
      <c r="Q504" s="86"/>
      <c r="R504" s="86"/>
      <c r="S504" s="86"/>
      <c r="T504" s="62"/>
      <c r="U504" s="62"/>
      <c r="V504" s="62"/>
      <c r="W504" s="62"/>
      <c r="X504" s="62"/>
      <c r="Y504" s="62"/>
      <c r="Z504" s="86"/>
      <c r="AA504" s="86"/>
      <c r="AB504" s="86"/>
      <c r="AC504" s="86"/>
      <c r="AD504" s="86"/>
      <c r="AE504" s="86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6"/>
      <c r="D505" s="101"/>
      <c r="E505" s="101"/>
      <c r="F505" s="86"/>
      <c r="G505" s="86"/>
      <c r="H505" s="62"/>
      <c r="I505" s="101"/>
      <c r="J505" s="101"/>
      <c r="K505" s="100"/>
      <c r="L505" s="62"/>
      <c r="M505" s="62"/>
      <c r="N505" s="65"/>
      <c r="O505" s="86"/>
      <c r="P505" s="101"/>
      <c r="Q505" s="101"/>
      <c r="R505" s="86"/>
      <c r="S505" s="86"/>
      <c r="T505" s="62"/>
      <c r="U505" s="101"/>
      <c r="V505" s="101"/>
      <c r="W505" s="100"/>
      <c r="X505" s="62"/>
      <c r="Y505" s="62"/>
      <c r="Z505" s="65"/>
      <c r="AA505" s="86"/>
      <c r="AB505" s="101"/>
      <c r="AC505" s="101"/>
      <c r="AD505" s="86"/>
      <c r="AE505" s="86"/>
      <c r="AF505" s="62"/>
      <c r="AG505" s="101"/>
      <c r="AH505" s="101"/>
      <c r="AI505" s="100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86"/>
      <c r="C506" s="86"/>
      <c r="D506" s="79"/>
      <c r="E506" s="80"/>
      <c r="F506" s="81"/>
      <c r="G506" s="81"/>
      <c r="H506" s="62"/>
      <c r="I506" s="85"/>
      <c r="J506" s="85"/>
      <c r="K506" s="100"/>
      <c r="L506" s="62"/>
      <c r="M506" s="62"/>
      <c r="N506" s="86"/>
      <c r="O506" s="86"/>
      <c r="P506" s="79"/>
      <c r="Q506" s="81"/>
      <c r="R506" s="81"/>
      <c r="S506" s="81"/>
      <c r="T506" s="62"/>
      <c r="U506" s="85"/>
      <c r="V506" s="85"/>
      <c r="W506" s="100"/>
      <c r="X506" s="62"/>
      <c r="Y506" s="62"/>
      <c r="Z506" s="86"/>
      <c r="AA506" s="86"/>
      <c r="AB506" s="79"/>
      <c r="AC506" s="81"/>
      <c r="AD506" s="81"/>
      <c r="AE506" s="81"/>
      <c r="AF506" s="62"/>
      <c r="AG506" s="85"/>
      <c r="AH506" s="85"/>
      <c r="AI506" s="100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86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86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6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86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86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6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86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86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6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86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86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6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86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86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6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86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86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6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86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86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6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86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65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6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86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86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6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86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86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65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86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86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6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65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86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65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86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86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6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86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86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6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86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86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6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62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86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6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86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86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6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86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86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6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86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86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6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86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6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86"/>
      <c r="P527" s="67"/>
      <c r="Q527" s="86"/>
      <c r="R527" s="86"/>
      <c r="S527" s="60"/>
      <c r="T527" s="62"/>
      <c r="U527" s="62"/>
      <c r="V527" s="62"/>
      <c r="W527" s="61"/>
      <c r="X527" s="62"/>
      <c r="Y527" s="62"/>
      <c r="Z527" s="66"/>
      <c r="AA527" s="62"/>
      <c r="AB527" s="67"/>
      <c r="AC527" s="86"/>
      <c r="AD527" s="86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6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86"/>
      <c r="P528" s="68"/>
      <c r="Q528" s="86"/>
      <c r="R528" s="86"/>
      <c r="S528" s="60"/>
      <c r="T528" s="62"/>
      <c r="U528" s="62"/>
      <c r="V528" s="62"/>
      <c r="W528" s="61"/>
      <c r="X528" s="62"/>
      <c r="Y528" s="62"/>
      <c r="Z528" s="66"/>
      <c r="AA528" s="86"/>
      <c r="AB528" s="68"/>
      <c r="AC528" s="86"/>
      <c r="AD528" s="86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6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86"/>
      <c r="P529" s="69"/>
      <c r="Q529" s="86"/>
      <c r="R529" s="62"/>
      <c r="S529" s="60"/>
      <c r="T529" s="62"/>
      <c r="U529" s="62"/>
      <c r="V529" s="62"/>
      <c r="W529" s="61"/>
      <c r="X529" s="62"/>
      <c r="Y529" s="62"/>
      <c r="Z529" s="66"/>
      <c r="AA529" s="86"/>
      <c r="AB529" s="69"/>
      <c r="AC529" s="86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6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62"/>
      <c r="P530" s="69"/>
      <c r="Q530" s="86"/>
      <c r="R530" s="86"/>
      <c r="S530" s="60"/>
      <c r="T530" s="62"/>
      <c r="U530" s="62"/>
      <c r="V530" s="62"/>
      <c r="W530" s="61"/>
      <c r="X530" s="62"/>
      <c r="Y530" s="62"/>
      <c r="Z530" s="66"/>
      <c r="AA530" s="86"/>
      <c r="AB530" s="69"/>
      <c r="AC530" s="86"/>
      <c r="AD530" s="86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6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86"/>
      <c r="P531" s="69"/>
      <c r="Q531" s="86"/>
      <c r="R531" s="86"/>
      <c r="S531" s="60"/>
      <c r="T531" s="62"/>
      <c r="U531" s="62"/>
      <c r="V531" s="62"/>
      <c r="W531" s="61"/>
      <c r="X531" s="62"/>
      <c r="Y531" s="62"/>
      <c r="Z531" s="66"/>
      <c r="AA531" s="86"/>
      <c r="AB531" s="69"/>
      <c r="AC531" s="86"/>
      <c r="AD531" s="86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6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86"/>
      <c r="P532" s="69"/>
      <c r="Q532" s="86"/>
      <c r="R532" s="86"/>
      <c r="S532" s="60"/>
      <c r="T532" s="62"/>
      <c r="U532" s="62"/>
      <c r="V532" s="62"/>
      <c r="W532" s="61"/>
      <c r="X532" s="62"/>
      <c r="Y532" s="62"/>
      <c r="Z532" s="66"/>
      <c r="AA532" s="86"/>
      <c r="AB532" s="69"/>
      <c r="AC532" s="86"/>
      <c r="AD532" s="86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6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86"/>
      <c r="P533" s="69"/>
      <c r="Q533" s="86"/>
      <c r="R533" s="86"/>
      <c r="S533" s="60"/>
      <c r="T533" s="62"/>
      <c r="U533" s="62"/>
      <c r="V533" s="62"/>
      <c r="W533" s="61"/>
      <c r="X533" s="62"/>
      <c r="Y533" s="62"/>
      <c r="Z533" s="66"/>
      <c r="AA533" s="86"/>
      <c r="AB533" s="69"/>
      <c r="AC533" s="86"/>
      <c r="AD533" s="86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6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86"/>
      <c r="P534" s="69"/>
      <c r="Q534" s="86"/>
      <c r="R534" s="86"/>
      <c r="S534" s="60"/>
      <c r="T534" s="62"/>
      <c r="U534" s="62"/>
      <c r="V534" s="62"/>
      <c r="W534" s="61"/>
      <c r="X534" s="62"/>
      <c r="Y534" s="62"/>
      <c r="Z534" s="66"/>
      <c r="AA534" s="86"/>
      <c r="AB534" s="69"/>
      <c r="AC534" s="86"/>
      <c r="AD534" s="86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86"/>
      <c r="P535" s="69"/>
      <c r="Q535" s="86"/>
      <c r="R535" s="86"/>
      <c r="S535" s="60"/>
      <c r="T535" s="62"/>
      <c r="U535" s="62"/>
      <c r="V535" s="62"/>
      <c r="W535" s="61"/>
      <c r="X535" s="62"/>
      <c r="Y535" s="62"/>
      <c r="Z535" s="66"/>
      <c r="AA535" s="86"/>
      <c r="AB535" s="69"/>
      <c r="AC535" s="86"/>
      <c r="AD535" s="86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86"/>
      <c r="P536" s="69"/>
      <c r="Q536" s="86"/>
      <c r="R536" s="86"/>
      <c r="S536" s="60"/>
      <c r="T536" s="62"/>
      <c r="U536" s="62"/>
      <c r="V536" s="62"/>
      <c r="W536" s="61"/>
      <c r="X536" s="62"/>
      <c r="Y536" s="62"/>
      <c r="Z536" s="66"/>
      <c r="AA536" s="86"/>
      <c r="AB536" s="69"/>
      <c r="AC536" s="86"/>
      <c r="AD536" s="86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86"/>
      <c r="P537" s="69"/>
      <c r="Q537" s="86"/>
      <c r="R537" s="86"/>
      <c r="S537" s="60"/>
      <c r="T537" s="62"/>
      <c r="U537" s="62"/>
      <c r="V537" s="62"/>
      <c r="W537" s="61"/>
      <c r="X537" s="62"/>
      <c r="Y537" s="62"/>
      <c r="Z537" s="66"/>
      <c r="AA537" s="86"/>
      <c r="AB537" s="69"/>
      <c r="AC537" s="86"/>
      <c r="AD537" s="86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6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86"/>
      <c r="P538" s="69"/>
      <c r="Q538" s="86"/>
      <c r="R538" s="86"/>
      <c r="S538" s="60"/>
      <c r="T538" s="62"/>
      <c r="U538" s="62"/>
      <c r="V538" s="62"/>
      <c r="W538" s="61"/>
      <c r="X538" s="62"/>
      <c r="Y538" s="62"/>
      <c r="Z538" s="66"/>
      <c r="AA538" s="86"/>
      <c r="AB538" s="69"/>
      <c r="AC538" s="86"/>
      <c r="AD538" s="86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86"/>
      <c r="P539" s="69"/>
      <c r="Q539" s="86"/>
      <c r="R539" s="86"/>
      <c r="S539" s="60"/>
      <c r="T539" s="62"/>
      <c r="U539" s="62"/>
      <c r="V539" s="62"/>
      <c r="W539" s="61"/>
      <c r="X539" s="62"/>
      <c r="Y539" s="62"/>
      <c r="Z539" s="66"/>
      <c r="AA539" s="86"/>
      <c r="AB539" s="69"/>
      <c r="AC539" s="86"/>
      <c r="AD539" s="86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86"/>
      <c r="P540" s="69"/>
      <c r="Q540" s="86"/>
      <c r="R540" s="86"/>
      <c r="S540" s="60"/>
      <c r="T540" s="62"/>
      <c r="U540" s="62"/>
      <c r="V540" s="62"/>
      <c r="W540" s="61"/>
      <c r="X540" s="62"/>
      <c r="Y540" s="62"/>
      <c r="Z540" s="66"/>
      <c r="AA540" s="86"/>
      <c r="AB540" s="69"/>
      <c r="AC540" s="86"/>
      <c r="AD540" s="86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86"/>
      <c r="P541" s="69"/>
      <c r="Q541" s="86"/>
      <c r="R541" s="86"/>
      <c r="S541" s="60"/>
      <c r="T541" s="62"/>
      <c r="U541" s="62"/>
      <c r="V541" s="62"/>
      <c r="W541" s="61"/>
      <c r="X541" s="62"/>
      <c r="Y541" s="62"/>
      <c r="Z541" s="66"/>
      <c r="AA541" s="86"/>
      <c r="AB541" s="69"/>
      <c r="AC541" s="86"/>
      <c r="AD541" s="86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86"/>
      <c r="P542" s="69"/>
      <c r="Q542" s="86"/>
      <c r="R542" s="86"/>
      <c r="S542" s="60"/>
      <c r="T542" s="62"/>
      <c r="U542" s="62"/>
      <c r="V542" s="62"/>
      <c r="W542" s="61"/>
      <c r="X542" s="62"/>
      <c r="Y542" s="62"/>
      <c r="Z542" s="66"/>
      <c r="AA542" s="86"/>
      <c r="AB542" s="69"/>
      <c r="AC542" s="86"/>
      <c r="AD542" s="86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6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86"/>
      <c r="R543" s="86"/>
      <c r="S543" s="60"/>
      <c r="T543" s="62"/>
      <c r="U543" s="62"/>
      <c r="V543" s="62"/>
      <c r="W543" s="61"/>
      <c r="X543" s="62"/>
      <c r="Y543" s="62"/>
      <c r="Z543" s="66"/>
      <c r="AA543" s="86"/>
      <c r="AB543" s="69"/>
      <c r="AC543" s="86"/>
      <c r="AD543" s="86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6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86"/>
      <c r="P544" s="69"/>
      <c r="Q544" s="86"/>
      <c r="R544" s="86"/>
      <c r="S544" s="60"/>
      <c r="T544" s="62"/>
      <c r="U544" s="62"/>
      <c r="V544" s="62"/>
      <c r="W544" s="61"/>
      <c r="X544" s="62"/>
      <c r="Y544" s="62"/>
      <c r="Z544" s="66"/>
      <c r="AA544" s="86"/>
      <c r="AB544" s="69"/>
      <c r="AC544" s="86"/>
      <c r="AD544" s="86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6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86"/>
      <c r="P545" s="69"/>
      <c r="Q545" s="86"/>
      <c r="R545" s="86"/>
      <c r="S545" s="60"/>
      <c r="T545" s="62"/>
      <c r="U545" s="62"/>
      <c r="V545" s="62"/>
      <c r="W545" s="61"/>
      <c r="X545" s="62"/>
      <c r="Y545" s="62"/>
      <c r="Z545" s="66"/>
      <c r="AA545" s="86"/>
      <c r="AB545" s="69"/>
      <c r="AC545" s="86"/>
      <c r="AD545" s="86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6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86"/>
      <c r="R546" s="86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86"/>
      <c r="AD546" s="86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6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86"/>
      <c r="P547" s="69"/>
      <c r="Q547" s="86"/>
      <c r="R547" s="86"/>
      <c r="S547" s="60"/>
      <c r="T547" s="62"/>
      <c r="U547" s="62"/>
      <c r="V547" s="62"/>
      <c r="W547" s="61"/>
      <c r="X547" s="62"/>
      <c r="Y547" s="62"/>
      <c r="Z547" s="66"/>
      <c r="AA547" s="86"/>
      <c r="AB547" s="69"/>
      <c r="AC547" s="86"/>
      <c r="AD547" s="86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86"/>
      <c r="O548" s="86"/>
      <c r="P548" s="86"/>
      <c r="Q548" s="86"/>
      <c r="R548" s="86"/>
      <c r="S548" s="86"/>
      <c r="T548" s="62"/>
      <c r="U548" s="62"/>
      <c r="V548" s="62"/>
      <c r="W548" s="61"/>
      <c r="X548" s="62"/>
      <c r="Y548" s="62"/>
      <c r="Z548" s="86"/>
      <c r="AA548" s="86"/>
      <c r="AB548" s="86"/>
      <c r="AC548" s="86"/>
      <c r="AD548" s="86"/>
      <c r="AE548" s="86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6"/>
      <c r="C549" s="86"/>
      <c r="D549" s="86"/>
      <c r="E549" s="86"/>
      <c r="F549" s="86"/>
      <c r="G549" s="86"/>
      <c r="H549" s="62"/>
      <c r="I549" s="62"/>
      <c r="J549" s="62"/>
      <c r="K549" s="62"/>
      <c r="L549" s="62"/>
      <c r="M549" s="62"/>
      <c r="N549" s="86"/>
      <c r="O549" s="86"/>
      <c r="P549" s="86"/>
      <c r="Q549" s="86"/>
      <c r="R549" s="86"/>
      <c r="S549" s="86"/>
      <c r="T549" s="62"/>
      <c r="U549" s="62"/>
      <c r="V549" s="62"/>
      <c r="W549" s="62"/>
      <c r="X549" s="62"/>
      <c r="Y549" s="62"/>
      <c r="Z549" s="86"/>
      <c r="AA549" s="86"/>
      <c r="AB549" s="86"/>
      <c r="AC549" s="86"/>
      <c r="AD549" s="86"/>
      <c r="AE549" s="86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6"/>
      <c r="C550" s="86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86"/>
      <c r="O550" s="86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86"/>
      <c r="AA550" s="86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6"/>
      <c r="C552" s="86"/>
      <c r="D552" s="86"/>
      <c r="E552" s="86"/>
      <c r="F552" s="86"/>
      <c r="G552" s="86"/>
      <c r="H552" s="62"/>
      <c r="I552" s="62"/>
      <c r="J552" s="62"/>
      <c r="K552" s="62"/>
      <c r="L552" s="62"/>
      <c r="M552" s="62"/>
      <c r="N552" s="86"/>
      <c r="O552" s="86"/>
      <c r="P552" s="86"/>
      <c r="Q552" s="86"/>
      <c r="R552" s="86"/>
      <c r="S552" s="86"/>
      <c r="T552" s="62"/>
      <c r="U552" s="62"/>
      <c r="V552" s="62"/>
      <c r="W552" s="62"/>
      <c r="X552" s="62"/>
      <c r="Y552" s="62"/>
      <c r="Z552" s="86"/>
      <c r="AA552" s="86"/>
      <c r="AB552" s="86"/>
      <c r="AC552" s="86"/>
      <c r="AD552" s="86"/>
      <c r="AE552" s="86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6"/>
      <c r="C553" s="86"/>
      <c r="D553" s="86"/>
      <c r="E553" s="86"/>
      <c r="F553" s="86"/>
      <c r="G553" s="86"/>
      <c r="H553" s="62"/>
      <c r="I553" s="62"/>
      <c r="J553" s="62"/>
      <c r="K553" s="62"/>
      <c r="L553" s="62"/>
      <c r="M553" s="62"/>
      <c r="N553" s="86"/>
      <c r="O553" s="86"/>
      <c r="P553" s="86"/>
      <c r="Q553" s="86"/>
      <c r="R553" s="86"/>
      <c r="S553" s="86"/>
      <c r="T553" s="62"/>
      <c r="U553" s="62"/>
      <c r="V553" s="62"/>
      <c r="W553" s="62"/>
      <c r="X553" s="62"/>
      <c r="Y553" s="62"/>
      <c r="Z553" s="86"/>
      <c r="AA553" s="86"/>
      <c r="AB553" s="86"/>
      <c r="AC553" s="86"/>
      <c r="AD553" s="86"/>
      <c r="AE553" s="86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6"/>
      <c r="C554" s="86"/>
      <c r="D554" s="86"/>
      <c r="E554" s="86"/>
      <c r="F554" s="86"/>
      <c r="G554" s="86"/>
      <c r="H554" s="62"/>
      <c r="I554" s="62"/>
      <c r="J554" s="62"/>
      <c r="K554" s="62"/>
      <c r="L554" s="62"/>
      <c r="M554" s="62"/>
      <c r="N554" s="86"/>
      <c r="O554" s="86"/>
      <c r="P554" s="86"/>
      <c r="Q554" s="86"/>
      <c r="R554" s="86"/>
      <c r="S554" s="86"/>
      <c r="T554" s="62"/>
      <c r="U554" s="62"/>
      <c r="V554" s="62"/>
      <c r="W554" s="62"/>
      <c r="X554" s="62"/>
      <c r="Y554" s="62"/>
      <c r="Z554" s="86"/>
      <c r="AA554" s="86"/>
      <c r="AB554" s="86"/>
      <c r="AC554" s="86"/>
      <c r="AD554" s="86"/>
      <c r="AE554" s="86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6"/>
      <c r="C555" s="86"/>
      <c r="D555" s="86"/>
      <c r="E555" s="86"/>
      <c r="F555" s="86"/>
      <c r="G555" s="86"/>
      <c r="H555" s="62"/>
      <c r="I555" s="62"/>
      <c r="J555" s="62"/>
      <c r="K555" s="62"/>
      <c r="L555" s="62"/>
      <c r="M555" s="63"/>
      <c r="N555" s="86"/>
      <c r="O555" s="86"/>
      <c r="P555" s="86"/>
      <c r="Q555" s="86"/>
      <c r="R555" s="86"/>
      <c r="S555" s="86"/>
      <c r="T555" s="62"/>
      <c r="U555" s="62"/>
      <c r="V555" s="62"/>
      <c r="W555" s="62"/>
      <c r="X555" s="62"/>
      <c r="Y555" s="63"/>
      <c r="Z555" s="86"/>
      <c r="AA555" s="86"/>
      <c r="AB555" s="86"/>
      <c r="AC555" s="86"/>
      <c r="AD555" s="86"/>
      <c r="AE555" s="86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6"/>
      <c r="C556" s="86"/>
      <c r="D556" s="86"/>
      <c r="E556" s="86"/>
      <c r="F556" s="86"/>
      <c r="G556" s="86"/>
      <c r="H556" s="62"/>
      <c r="I556" s="62"/>
      <c r="J556" s="62"/>
      <c r="K556" s="62"/>
      <c r="L556" s="62"/>
      <c r="M556" s="62"/>
      <c r="N556" s="86"/>
      <c r="O556" s="86"/>
      <c r="P556" s="86"/>
      <c r="Q556" s="86"/>
      <c r="R556" s="86"/>
      <c r="S556" s="86"/>
      <c r="T556" s="62"/>
      <c r="U556" s="62"/>
      <c r="V556" s="62"/>
      <c r="W556" s="62"/>
      <c r="X556" s="62"/>
      <c r="Y556" s="62"/>
      <c r="Z556" s="86"/>
      <c r="AA556" s="86"/>
      <c r="AB556" s="86"/>
      <c r="AC556" s="86"/>
      <c r="AD556" s="86"/>
      <c r="AE556" s="86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6"/>
      <c r="C557" s="86"/>
      <c r="D557" s="86"/>
      <c r="E557" s="86"/>
      <c r="F557" s="86"/>
      <c r="G557" s="86"/>
      <c r="H557" s="62"/>
      <c r="I557" s="86"/>
      <c r="J557" s="73"/>
      <c r="K557" s="62"/>
      <c r="L557" s="62"/>
      <c r="M557" s="62"/>
      <c r="N557" s="86"/>
      <c r="O557" s="86"/>
      <c r="P557" s="86"/>
      <c r="Q557" s="86"/>
      <c r="R557" s="86"/>
      <c r="S557" s="86"/>
      <c r="T557" s="62"/>
      <c r="U557" s="86"/>
      <c r="V557" s="73"/>
      <c r="W557" s="62"/>
      <c r="X557" s="62"/>
      <c r="Y557" s="62"/>
      <c r="Z557" s="86"/>
      <c r="AA557" s="86"/>
      <c r="AB557" s="86"/>
      <c r="AC557" s="86"/>
      <c r="AD557" s="86"/>
      <c r="AE557" s="86"/>
      <c r="AF557" s="62"/>
      <c r="AG557" s="86"/>
      <c r="AH557" s="86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6"/>
      <c r="C558" s="86"/>
      <c r="D558" s="86"/>
      <c r="E558" s="86"/>
      <c r="F558" s="86"/>
      <c r="G558" s="86"/>
      <c r="H558" s="62"/>
      <c r="I558" s="65"/>
      <c r="J558" s="65"/>
      <c r="K558" s="62"/>
      <c r="L558" s="62"/>
      <c r="M558" s="64"/>
      <c r="N558" s="86"/>
      <c r="O558" s="86"/>
      <c r="P558" s="86"/>
      <c r="Q558" s="86"/>
      <c r="R558" s="86"/>
      <c r="S558" s="86"/>
      <c r="T558" s="62"/>
      <c r="U558" s="65"/>
      <c r="V558" s="65"/>
      <c r="W558" s="62"/>
      <c r="X558" s="62"/>
      <c r="Y558" s="64"/>
      <c r="Z558" s="86"/>
      <c r="AA558" s="86"/>
      <c r="AB558" s="86"/>
      <c r="AC558" s="86"/>
      <c r="AD558" s="86"/>
      <c r="AE558" s="86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6"/>
      <c r="C559" s="86"/>
      <c r="D559" s="86"/>
      <c r="E559" s="86"/>
      <c r="F559" s="86"/>
      <c r="G559" s="86"/>
      <c r="H559" s="62"/>
      <c r="I559" s="62"/>
      <c r="J559" s="62"/>
      <c r="K559" s="62"/>
      <c r="L559" s="62"/>
      <c r="M559" s="62"/>
      <c r="N559" s="86"/>
      <c r="O559" s="86"/>
      <c r="P559" s="86"/>
      <c r="Q559" s="86"/>
      <c r="R559" s="86"/>
      <c r="S559" s="86"/>
      <c r="T559" s="62"/>
      <c r="U559" s="62"/>
      <c r="V559" s="62"/>
      <c r="W559" s="62"/>
      <c r="X559" s="62"/>
      <c r="Y559" s="62"/>
      <c r="Z559" s="86"/>
      <c r="AA559" s="86"/>
      <c r="AB559" s="86"/>
      <c r="AC559" s="86"/>
      <c r="AD559" s="86"/>
      <c r="AE559" s="86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6"/>
      <c r="D560" s="101"/>
      <c r="E560" s="101"/>
      <c r="F560" s="86"/>
      <c r="G560" s="86"/>
      <c r="H560" s="62"/>
      <c r="I560" s="101"/>
      <c r="J560" s="101"/>
      <c r="K560" s="100"/>
      <c r="L560" s="62"/>
      <c r="M560" s="62"/>
      <c r="N560" s="65"/>
      <c r="O560" s="86"/>
      <c r="P560" s="101"/>
      <c r="Q560" s="101"/>
      <c r="R560" s="86"/>
      <c r="S560" s="86"/>
      <c r="T560" s="62"/>
      <c r="U560" s="101"/>
      <c r="V560" s="101"/>
      <c r="W560" s="100"/>
      <c r="X560" s="62"/>
      <c r="Y560" s="62"/>
      <c r="Z560" s="65"/>
      <c r="AA560" s="86"/>
      <c r="AB560" s="101"/>
      <c r="AC560" s="101"/>
      <c r="AD560" s="86"/>
      <c r="AE560" s="86"/>
      <c r="AF560" s="62"/>
      <c r="AG560" s="101"/>
      <c r="AH560" s="101"/>
      <c r="AI560" s="100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6"/>
      <c r="C561" s="86"/>
      <c r="D561" s="79"/>
      <c r="E561" s="80"/>
      <c r="F561" s="81"/>
      <c r="G561" s="81"/>
      <c r="H561" s="62"/>
      <c r="I561" s="85"/>
      <c r="J561" s="85"/>
      <c r="K561" s="100"/>
      <c r="L561" s="62"/>
      <c r="M561" s="62"/>
      <c r="N561" s="86"/>
      <c r="O561" s="86"/>
      <c r="P561" s="79"/>
      <c r="Q561" s="81"/>
      <c r="R561" s="81"/>
      <c r="S561" s="81"/>
      <c r="T561" s="62"/>
      <c r="U561" s="85"/>
      <c r="V561" s="85"/>
      <c r="W561" s="100"/>
      <c r="X561" s="62"/>
      <c r="Y561" s="62"/>
      <c r="Z561" s="86"/>
      <c r="AA561" s="86"/>
      <c r="AB561" s="79"/>
      <c r="AC561" s="81"/>
      <c r="AD561" s="81"/>
      <c r="AE561" s="81"/>
      <c r="AF561" s="62"/>
      <c r="AG561" s="85"/>
      <c r="AH561" s="85"/>
      <c r="AI561" s="100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6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6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86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6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6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6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86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6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6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65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65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86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86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86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86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86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62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6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6"/>
      <c r="AB570" s="6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6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86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6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6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86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62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6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6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6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6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6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6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86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6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2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86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6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6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6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86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6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6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6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6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6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86"/>
      <c r="P582" s="67"/>
      <c r="Q582" s="86"/>
      <c r="R582" s="86"/>
      <c r="S582" s="60"/>
      <c r="T582" s="62"/>
      <c r="U582" s="62"/>
      <c r="V582" s="62"/>
      <c r="W582" s="61"/>
      <c r="X582" s="62"/>
      <c r="Y582" s="62"/>
      <c r="Z582" s="66"/>
      <c r="AA582" s="62"/>
      <c r="AB582" s="67"/>
      <c r="AC582" s="86"/>
      <c r="AD582" s="86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6"/>
      <c r="P583" s="68"/>
      <c r="Q583" s="86"/>
      <c r="R583" s="86"/>
      <c r="S583" s="60"/>
      <c r="T583" s="62"/>
      <c r="U583" s="62"/>
      <c r="V583" s="62"/>
      <c r="W583" s="61"/>
      <c r="X583" s="62"/>
      <c r="Y583" s="62"/>
      <c r="Z583" s="66"/>
      <c r="AA583" s="86"/>
      <c r="AB583" s="68"/>
      <c r="AC583" s="86"/>
      <c r="AD583" s="86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6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6"/>
      <c r="P584" s="69"/>
      <c r="Q584" s="86"/>
      <c r="R584" s="62"/>
      <c r="S584" s="60"/>
      <c r="T584" s="62"/>
      <c r="U584" s="62"/>
      <c r="V584" s="62"/>
      <c r="W584" s="61"/>
      <c r="X584" s="62"/>
      <c r="Y584" s="62"/>
      <c r="Z584" s="66"/>
      <c r="AA584" s="86"/>
      <c r="AB584" s="69"/>
      <c r="AC584" s="86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6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62"/>
      <c r="P585" s="69"/>
      <c r="Q585" s="86"/>
      <c r="R585" s="86"/>
      <c r="S585" s="60"/>
      <c r="T585" s="62"/>
      <c r="U585" s="62"/>
      <c r="V585" s="62"/>
      <c r="W585" s="61"/>
      <c r="X585" s="62"/>
      <c r="Y585" s="62"/>
      <c r="Z585" s="66"/>
      <c r="AA585" s="86"/>
      <c r="AB585" s="69"/>
      <c r="AC585" s="86"/>
      <c r="AD585" s="86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6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6"/>
      <c r="P586" s="69"/>
      <c r="Q586" s="86"/>
      <c r="R586" s="86"/>
      <c r="S586" s="60"/>
      <c r="T586" s="62"/>
      <c r="U586" s="62"/>
      <c r="V586" s="62"/>
      <c r="W586" s="61"/>
      <c r="X586" s="62"/>
      <c r="Y586" s="62"/>
      <c r="Z586" s="66"/>
      <c r="AA586" s="86"/>
      <c r="AB586" s="69"/>
      <c r="AC586" s="86"/>
      <c r="AD586" s="86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86"/>
      <c r="P587" s="69"/>
      <c r="Q587" s="86"/>
      <c r="R587" s="86"/>
      <c r="S587" s="60"/>
      <c r="T587" s="62"/>
      <c r="U587" s="62"/>
      <c r="V587" s="62"/>
      <c r="W587" s="61"/>
      <c r="X587" s="62"/>
      <c r="Y587" s="62"/>
      <c r="Z587" s="66"/>
      <c r="AA587" s="86"/>
      <c r="AB587" s="69"/>
      <c r="AC587" s="86"/>
      <c r="AD587" s="86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6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6"/>
      <c r="P588" s="69"/>
      <c r="Q588" s="86"/>
      <c r="R588" s="86"/>
      <c r="S588" s="60"/>
      <c r="T588" s="62"/>
      <c r="U588" s="62"/>
      <c r="V588" s="62"/>
      <c r="W588" s="61"/>
      <c r="X588" s="62"/>
      <c r="Y588" s="62"/>
      <c r="Z588" s="66"/>
      <c r="AA588" s="86"/>
      <c r="AB588" s="69"/>
      <c r="AC588" s="86"/>
      <c r="AD588" s="86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6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6"/>
      <c r="P589" s="69"/>
      <c r="Q589" s="86"/>
      <c r="R589" s="86"/>
      <c r="S589" s="60"/>
      <c r="T589" s="62"/>
      <c r="U589" s="62"/>
      <c r="V589" s="62"/>
      <c r="W589" s="61"/>
      <c r="X589" s="62"/>
      <c r="Y589" s="62"/>
      <c r="Z589" s="66"/>
      <c r="AA589" s="86"/>
      <c r="AB589" s="69"/>
      <c r="AC589" s="86"/>
      <c r="AD589" s="86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6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6"/>
      <c r="P590" s="69"/>
      <c r="Q590" s="86"/>
      <c r="R590" s="86"/>
      <c r="S590" s="60"/>
      <c r="T590" s="62"/>
      <c r="U590" s="62"/>
      <c r="V590" s="62"/>
      <c r="W590" s="61"/>
      <c r="X590" s="62"/>
      <c r="Y590" s="62"/>
      <c r="Z590" s="66"/>
      <c r="AA590" s="86"/>
      <c r="AB590" s="69"/>
      <c r="AC590" s="86"/>
      <c r="AD590" s="86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6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86"/>
      <c r="P591" s="69"/>
      <c r="Q591" s="86"/>
      <c r="R591" s="86"/>
      <c r="S591" s="60"/>
      <c r="T591" s="62"/>
      <c r="U591" s="62"/>
      <c r="V591" s="62"/>
      <c r="W591" s="61"/>
      <c r="X591" s="62"/>
      <c r="Y591" s="62"/>
      <c r="Z591" s="66"/>
      <c r="AA591" s="86"/>
      <c r="AB591" s="69"/>
      <c r="AC591" s="86"/>
      <c r="AD591" s="86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6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6"/>
      <c r="P592" s="69"/>
      <c r="Q592" s="86"/>
      <c r="R592" s="86"/>
      <c r="S592" s="60"/>
      <c r="T592" s="62"/>
      <c r="U592" s="62"/>
      <c r="V592" s="62"/>
      <c r="W592" s="61"/>
      <c r="X592" s="62"/>
      <c r="Y592" s="62"/>
      <c r="Z592" s="66"/>
      <c r="AA592" s="86"/>
      <c r="AB592" s="69"/>
      <c r="AC592" s="86"/>
      <c r="AD592" s="86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6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6"/>
      <c r="P593" s="69"/>
      <c r="Q593" s="86"/>
      <c r="R593" s="86"/>
      <c r="S593" s="60"/>
      <c r="T593" s="62"/>
      <c r="U593" s="62"/>
      <c r="V593" s="62"/>
      <c r="W593" s="61"/>
      <c r="X593" s="62"/>
      <c r="Y593" s="62"/>
      <c r="Z593" s="66"/>
      <c r="AA593" s="86"/>
      <c r="AB593" s="69"/>
      <c r="AC593" s="86"/>
      <c r="AD593" s="86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6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6"/>
      <c r="P594" s="69"/>
      <c r="Q594" s="86"/>
      <c r="R594" s="86"/>
      <c r="S594" s="60"/>
      <c r="T594" s="62"/>
      <c r="U594" s="62"/>
      <c r="V594" s="62"/>
      <c r="W594" s="61"/>
      <c r="X594" s="62"/>
      <c r="Y594" s="62"/>
      <c r="Z594" s="66"/>
      <c r="AA594" s="86"/>
      <c r="AB594" s="69"/>
      <c r="AC594" s="86"/>
      <c r="AD594" s="86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6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6"/>
      <c r="P595" s="69"/>
      <c r="Q595" s="86"/>
      <c r="R595" s="86"/>
      <c r="S595" s="60"/>
      <c r="T595" s="62"/>
      <c r="U595" s="62"/>
      <c r="V595" s="62"/>
      <c r="W595" s="61"/>
      <c r="X595" s="62"/>
      <c r="Y595" s="62"/>
      <c r="Z595" s="66"/>
      <c r="AA595" s="86"/>
      <c r="AB595" s="69"/>
      <c r="AC595" s="86"/>
      <c r="AD595" s="86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6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6"/>
      <c r="P596" s="69"/>
      <c r="Q596" s="86"/>
      <c r="R596" s="86"/>
      <c r="S596" s="60"/>
      <c r="T596" s="62"/>
      <c r="U596" s="62"/>
      <c r="V596" s="62"/>
      <c r="W596" s="61"/>
      <c r="X596" s="62"/>
      <c r="Y596" s="62"/>
      <c r="Z596" s="66"/>
      <c r="AA596" s="86"/>
      <c r="AB596" s="69"/>
      <c r="AC596" s="86"/>
      <c r="AD596" s="86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6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6"/>
      <c r="P597" s="69"/>
      <c r="Q597" s="86"/>
      <c r="R597" s="86"/>
      <c r="S597" s="60"/>
      <c r="T597" s="62"/>
      <c r="U597" s="62"/>
      <c r="V597" s="62"/>
      <c r="W597" s="61"/>
      <c r="X597" s="62"/>
      <c r="Y597" s="62"/>
      <c r="Z597" s="66"/>
      <c r="AA597" s="86"/>
      <c r="AB597" s="69"/>
      <c r="AC597" s="86"/>
      <c r="AD597" s="86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6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6"/>
      <c r="R598" s="86"/>
      <c r="S598" s="60"/>
      <c r="T598" s="62"/>
      <c r="U598" s="62"/>
      <c r="V598" s="62"/>
      <c r="W598" s="61"/>
      <c r="X598" s="62"/>
      <c r="Y598" s="62"/>
      <c r="Z598" s="66"/>
      <c r="AA598" s="86"/>
      <c r="AB598" s="69"/>
      <c r="AC598" s="86"/>
      <c r="AD598" s="86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6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6"/>
      <c r="P599" s="69"/>
      <c r="Q599" s="86"/>
      <c r="R599" s="86"/>
      <c r="S599" s="60"/>
      <c r="T599" s="62"/>
      <c r="U599" s="62"/>
      <c r="V599" s="62"/>
      <c r="W599" s="61"/>
      <c r="X599" s="62"/>
      <c r="Y599" s="62"/>
      <c r="Z599" s="66"/>
      <c r="AA599" s="86"/>
      <c r="AB599" s="69"/>
      <c r="AC599" s="86"/>
      <c r="AD599" s="86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6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6"/>
      <c r="P600" s="69"/>
      <c r="Q600" s="86"/>
      <c r="R600" s="86"/>
      <c r="S600" s="60"/>
      <c r="T600" s="62"/>
      <c r="U600" s="62"/>
      <c r="V600" s="62"/>
      <c r="W600" s="61"/>
      <c r="X600" s="62"/>
      <c r="Y600" s="62"/>
      <c r="Z600" s="66"/>
      <c r="AA600" s="86"/>
      <c r="AB600" s="69"/>
      <c r="AC600" s="86"/>
      <c r="AD600" s="86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6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6"/>
      <c r="R601" s="86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6"/>
      <c r="AD601" s="86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6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6"/>
      <c r="P602" s="69"/>
      <c r="Q602" s="86"/>
      <c r="R602" s="86"/>
      <c r="S602" s="60"/>
      <c r="T602" s="62"/>
      <c r="U602" s="62"/>
      <c r="V602" s="62"/>
      <c r="W602" s="61"/>
      <c r="X602" s="62"/>
      <c r="Y602" s="62"/>
      <c r="Z602" s="66"/>
      <c r="AA602" s="86"/>
      <c r="AB602" s="69"/>
      <c r="AC602" s="86"/>
      <c r="AD602" s="86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6"/>
      <c r="O603" s="86"/>
      <c r="P603" s="86"/>
      <c r="Q603" s="86"/>
      <c r="R603" s="86"/>
      <c r="S603" s="86"/>
      <c r="T603" s="62"/>
      <c r="U603" s="62"/>
      <c r="V603" s="62"/>
      <c r="W603" s="61"/>
      <c r="X603" s="62"/>
      <c r="Y603" s="62"/>
      <c r="Z603" s="86"/>
      <c r="AA603" s="86"/>
      <c r="AB603" s="86"/>
      <c r="AC603" s="86"/>
      <c r="AD603" s="86"/>
      <c r="AE603" s="86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6"/>
      <c r="C604" s="86"/>
      <c r="D604" s="86"/>
      <c r="E604" s="86"/>
      <c r="F604" s="86"/>
      <c r="G604" s="86"/>
      <c r="H604" s="62"/>
      <c r="I604" s="62"/>
      <c r="J604" s="62"/>
      <c r="K604" s="62"/>
      <c r="L604" s="62"/>
      <c r="M604" s="62"/>
      <c r="N604" s="86"/>
      <c r="O604" s="86"/>
      <c r="P604" s="86"/>
      <c r="Q604" s="86"/>
      <c r="R604" s="86"/>
      <c r="S604" s="86"/>
      <c r="T604" s="62"/>
      <c r="U604" s="62"/>
      <c r="V604" s="62"/>
      <c r="W604" s="62"/>
      <c r="X604" s="62"/>
      <c r="Y604" s="62"/>
      <c r="Z604" s="86"/>
      <c r="AA604" s="86"/>
      <c r="AB604" s="86"/>
      <c r="AC604" s="86"/>
      <c r="AD604" s="86"/>
      <c r="AE604" s="86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6"/>
      <c r="C605" s="86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6"/>
      <c r="O605" s="86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6"/>
      <c r="AA605" s="86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6"/>
      <c r="C607" s="86"/>
      <c r="D607" s="86"/>
      <c r="E607" s="86"/>
      <c r="F607" s="86"/>
      <c r="G607" s="86"/>
      <c r="H607" s="62"/>
      <c r="I607" s="62"/>
      <c r="J607" s="62"/>
      <c r="K607" s="62"/>
      <c r="L607" s="62"/>
      <c r="M607" s="62"/>
      <c r="N607" s="86"/>
      <c r="O607" s="86"/>
      <c r="P607" s="86"/>
      <c r="Q607" s="86"/>
      <c r="R607" s="86"/>
      <c r="S607" s="86"/>
      <c r="T607" s="62"/>
      <c r="U607" s="62"/>
      <c r="V607" s="62"/>
      <c r="W607" s="62"/>
      <c r="X607" s="62"/>
      <c r="Y607" s="62"/>
      <c r="Z607" s="86"/>
      <c r="AA607" s="86"/>
      <c r="AB607" s="86"/>
      <c r="AC607" s="86"/>
      <c r="AD607" s="86"/>
      <c r="AE607" s="86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6"/>
      <c r="C608" s="86"/>
      <c r="D608" s="86"/>
      <c r="E608" s="86"/>
      <c r="F608" s="86"/>
      <c r="G608" s="86"/>
      <c r="H608" s="62"/>
      <c r="I608" s="62"/>
      <c r="J608" s="62"/>
      <c r="K608" s="62"/>
      <c r="L608" s="62"/>
      <c r="M608" s="62"/>
      <c r="N608" s="86"/>
      <c r="O608" s="86"/>
      <c r="P608" s="86"/>
      <c r="Q608" s="86"/>
      <c r="R608" s="86"/>
      <c r="S608" s="86"/>
      <c r="T608" s="62"/>
      <c r="U608" s="62"/>
      <c r="V608" s="62"/>
      <c r="W608" s="62"/>
      <c r="X608" s="62"/>
      <c r="Y608" s="62"/>
      <c r="Z608" s="86"/>
      <c r="AA608" s="86"/>
      <c r="AB608" s="86"/>
      <c r="AC608" s="86"/>
      <c r="AD608" s="86"/>
      <c r="AE608" s="86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6"/>
      <c r="C609" s="86"/>
      <c r="D609" s="86"/>
      <c r="E609" s="86"/>
      <c r="F609" s="86"/>
      <c r="G609" s="86"/>
      <c r="H609" s="62"/>
      <c r="I609" s="62"/>
      <c r="J609" s="62"/>
      <c r="K609" s="62"/>
      <c r="L609" s="62"/>
      <c r="M609" s="62"/>
      <c r="N609" s="86"/>
      <c r="O609" s="86"/>
      <c r="P609" s="86"/>
      <c r="Q609" s="86"/>
      <c r="R609" s="86"/>
      <c r="S609" s="86"/>
      <c r="T609" s="62"/>
      <c r="U609" s="62"/>
      <c r="V609" s="62"/>
      <c r="W609" s="62"/>
      <c r="X609" s="62"/>
      <c r="Y609" s="62"/>
      <c r="Z609" s="86"/>
      <c r="AA609" s="86"/>
      <c r="AB609" s="86"/>
      <c r="AC609" s="86"/>
      <c r="AD609" s="86"/>
      <c r="AE609" s="86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6"/>
      <c r="C610" s="86"/>
      <c r="D610" s="86"/>
      <c r="E610" s="86"/>
      <c r="F610" s="86"/>
      <c r="G610" s="86"/>
      <c r="H610" s="62"/>
      <c r="I610" s="62"/>
      <c r="J610" s="62"/>
      <c r="K610" s="62"/>
      <c r="L610" s="62"/>
      <c r="M610" s="63"/>
      <c r="N610" s="86"/>
      <c r="O610" s="86"/>
      <c r="P610" s="86"/>
      <c r="Q610" s="86"/>
      <c r="R610" s="86"/>
      <c r="S610" s="86"/>
      <c r="T610" s="62"/>
      <c r="U610" s="62"/>
      <c r="V610" s="62"/>
      <c r="W610" s="62"/>
      <c r="X610" s="62"/>
      <c r="Y610" s="63"/>
      <c r="Z610" s="86"/>
      <c r="AA610" s="86"/>
      <c r="AB610" s="86"/>
      <c r="AC610" s="86"/>
      <c r="AD610" s="86"/>
      <c r="AE610" s="86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6"/>
      <c r="C611" s="86"/>
      <c r="D611" s="86"/>
      <c r="E611" s="86"/>
      <c r="F611" s="86"/>
      <c r="G611" s="86"/>
      <c r="H611" s="62"/>
      <c r="I611" s="62"/>
      <c r="J611" s="62"/>
      <c r="K611" s="62"/>
      <c r="L611" s="62"/>
      <c r="M611" s="62"/>
      <c r="N611" s="86"/>
      <c r="O611" s="86"/>
      <c r="P611" s="86"/>
      <c r="Q611" s="86"/>
      <c r="R611" s="86"/>
      <c r="S611" s="86"/>
      <c r="T611" s="62"/>
      <c r="U611" s="62"/>
      <c r="V611" s="62"/>
      <c r="W611" s="62"/>
      <c r="X611" s="62"/>
      <c r="Y611" s="62"/>
      <c r="Z611" s="86"/>
      <c r="AA611" s="86"/>
      <c r="AB611" s="86"/>
      <c r="AC611" s="86"/>
      <c r="AD611" s="86"/>
      <c r="AE611" s="86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6"/>
      <c r="C612" s="86"/>
      <c r="D612" s="86"/>
      <c r="E612" s="86"/>
      <c r="F612" s="86"/>
      <c r="G612" s="86"/>
      <c r="H612" s="62"/>
      <c r="I612" s="86"/>
      <c r="J612" s="73"/>
      <c r="K612" s="62"/>
      <c r="L612" s="62"/>
      <c r="M612" s="62"/>
      <c r="N612" s="86"/>
      <c r="O612" s="86"/>
      <c r="P612" s="86"/>
      <c r="Q612" s="86"/>
      <c r="R612" s="86"/>
      <c r="S612" s="86"/>
      <c r="T612" s="62"/>
      <c r="U612" s="86"/>
      <c r="V612" s="73"/>
      <c r="W612" s="62"/>
      <c r="X612" s="62"/>
      <c r="Y612" s="62"/>
      <c r="Z612" s="86"/>
      <c r="AA612" s="86"/>
      <c r="AB612" s="86"/>
      <c r="AC612" s="86"/>
      <c r="AD612" s="86"/>
      <c r="AE612" s="86"/>
      <c r="AF612" s="62"/>
      <c r="AG612" s="86"/>
      <c r="AH612" s="86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6"/>
      <c r="C613" s="86"/>
      <c r="D613" s="86"/>
      <c r="E613" s="86"/>
      <c r="F613" s="86"/>
      <c r="G613" s="86"/>
      <c r="H613" s="62"/>
      <c r="I613" s="65"/>
      <c r="J613" s="65"/>
      <c r="K613" s="62"/>
      <c r="L613" s="62"/>
      <c r="M613" s="64"/>
      <c r="N613" s="86"/>
      <c r="O613" s="86"/>
      <c r="P613" s="86"/>
      <c r="Q613" s="86"/>
      <c r="R613" s="86"/>
      <c r="S613" s="86"/>
      <c r="T613" s="62"/>
      <c r="U613" s="65"/>
      <c r="V613" s="65"/>
      <c r="W613" s="62"/>
      <c r="X613" s="62"/>
      <c r="Y613" s="64"/>
      <c r="Z613" s="86"/>
      <c r="AA613" s="86"/>
      <c r="AB613" s="86"/>
      <c r="AC613" s="86"/>
      <c r="AD613" s="86"/>
      <c r="AE613" s="86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86"/>
      <c r="C614" s="86"/>
      <c r="D614" s="86"/>
      <c r="E614" s="86"/>
      <c r="F614" s="86"/>
      <c r="G614" s="86"/>
      <c r="H614" s="62"/>
      <c r="I614" s="62"/>
      <c r="J614" s="62"/>
      <c r="K614" s="62"/>
      <c r="L614" s="62"/>
      <c r="M614" s="62"/>
      <c r="N614" s="86"/>
      <c r="O614" s="86"/>
      <c r="P614" s="86"/>
      <c r="Q614" s="86"/>
      <c r="R614" s="86"/>
      <c r="S614" s="86"/>
      <c r="T614" s="62"/>
      <c r="U614" s="62"/>
      <c r="V614" s="62"/>
      <c r="W614" s="62"/>
      <c r="X614" s="62"/>
      <c r="Y614" s="62"/>
      <c r="Z614" s="86"/>
      <c r="AA614" s="86"/>
      <c r="AB614" s="86"/>
      <c r="AC614" s="86"/>
      <c r="AD614" s="86"/>
      <c r="AE614" s="86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86"/>
      <c r="D615" s="101"/>
      <c r="E615" s="101"/>
      <c r="F615" s="86"/>
      <c r="G615" s="86"/>
      <c r="H615" s="62"/>
      <c r="I615" s="101"/>
      <c r="J615" s="101"/>
      <c r="K615" s="100"/>
      <c r="L615" s="62"/>
      <c r="M615" s="62"/>
      <c r="N615" s="65"/>
      <c r="O615" s="86"/>
      <c r="P615" s="101"/>
      <c r="Q615" s="101"/>
      <c r="R615" s="86"/>
      <c r="S615" s="86"/>
      <c r="T615" s="62"/>
      <c r="U615" s="101"/>
      <c r="V615" s="101"/>
      <c r="W615" s="100"/>
      <c r="X615" s="62"/>
      <c r="Y615" s="62"/>
      <c r="Z615" s="65"/>
      <c r="AA615" s="86"/>
      <c r="AB615" s="101"/>
      <c r="AC615" s="101"/>
      <c r="AD615" s="86"/>
      <c r="AE615" s="86"/>
      <c r="AF615" s="62"/>
      <c r="AG615" s="101"/>
      <c r="AH615" s="101"/>
      <c r="AI615" s="100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6"/>
      <c r="C616" s="86"/>
      <c r="D616" s="79"/>
      <c r="E616" s="80"/>
      <c r="F616" s="81"/>
      <c r="G616" s="81"/>
      <c r="H616" s="62"/>
      <c r="I616" s="85"/>
      <c r="J616" s="85"/>
      <c r="K616" s="100"/>
      <c r="L616" s="62"/>
      <c r="M616" s="62"/>
      <c r="N616" s="86"/>
      <c r="O616" s="86"/>
      <c r="P616" s="79"/>
      <c r="Q616" s="81"/>
      <c r="R616" s="81"/>
      <c r="S616" s="81"/>
      <c r="T616" s="62"/>
      <c r="U616" s="85"/>
      <c r="V616" s="85"/>
      <c r="W616" s="100"/>
      <c r="X616" s="62"/>
      <c r="Y616" s="62"/>
      <c r="Z616" s="86"/>
      <c r="AA616" s="86"/>
      <c r="AB616" s="79"/>
      <c r="AC616" s="81"/>
      <c r="AD616" s="81"/>
      <c r="AE616" s="81"/>
      <c r="AF616" s="62"/>
      <c r="AG616" s="85"/>
      <c r="AH616" s="85"/>
      <c r="AI616" s="100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6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6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6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6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6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6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6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6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65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86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65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6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6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6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6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6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6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6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86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6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6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6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62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6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6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6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6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6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86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6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86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6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6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6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6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65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6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6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6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6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6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6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6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86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6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86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86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6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6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6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6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86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6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6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6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6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6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6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6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65"/>
      <c r="P637" s="67"/>
      <c r="Q637" s="86"/>
      <c r="R637" s="86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86"/>
      <c r="AD637" s="86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6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6"/>
      <c r="P638" s="68"/>
      <c r="Q638" s="86"/>
      <c r="R638" s="86"/>
      <c r="S638" s="60"/>
      <c r="T638" s="62"/>
      <c r="U638" s="62"/>
      <c r="V638" s="62"/>
      <c r="W638" s="61"/>
      <c r="X638" s="62"/>
      <c r="Y638" s="62"/>
      <c r="Z638" s="66"/>
      <c r="AA638" s="86"/>
      <c r="AB638" s="68"/>
      <c r="AC638" s="86"/>
      <c r="AD638" s="86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6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6"/>
      <c r="P639" s="69"/>
      <c r="Q639" s="86"/>
      <c r="R639" s="62"/>
      <c r="S639" s="60"/>
      <c r="T639" s="62"/>
      <c r="U639" s="62"/>
      <c r="V639" s="62"/>
      <c r="W639" s="61"/>
      <c r="X639" s="62"/>
      <c r="Y639" s="62"/>
      <c r="Z639" s="66"/>
      <c r="AA639" s="86"/>
      <c r="AB639" s="69"/>
      <c r="AC639" s="86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6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86"/>
      <c r="P640" s="69"/>
      <c r="Q640" s="86"/>
      <c r="R640" s="86"/>
      <c r="S640" s="60"/>
      <c r="T640" s="62"/>
      <c r="U640" s="62"/>
      <c r="V640" s="62"/>
      <c r="W640" s="61"/>
      <c r="X640" s="62"/>
      <c r="Y640" s="62"/>
      <c r="Z640" s="66"/>
      <c r="AA640" s="86"/>
      <c r="AB640" s="69"/>
      <c r="AC640" s="86"/>
      <c r="AD640" s="86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6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6"/>
      <c r="P641" s="69"/>
      <c r="Q641" s="86"/>
      <c r="R641" s="86"/>
      <c r="S641" s="60"/>
      <c r="T641" s="62"/>
      <c r="U641" s="62"/>
      <c r="V641" s="62"/>
      <c r="W641" s="61"/>
      <c r="X641" s="62"/>
      <c r="Y641" s="62"/>
      <c r="Z641" s="66"/>
      <c r="AA641" s="86"/>
      <c r="AB641" s="69"/>
      <c r="AC641" s="86"/>
      <c r="AD641" s="86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6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86"/>
      <c r="P642" s="69"/>
      <c r="Q642" s="86"/>
      <c r="R642" s="86"/>
      <c r="S642" s="60"/>
      <c r="T642" s="62"/>
      <c r="U642" s="62"/>
      <c r="V642" s="62"/>
      <c r="W642" s="61"/>
      <c r="X642" s="62"/>
      <c r="Y642" s="62"/>
      <c r="Z642" s="66"/>
      <c r="AA642" s="86"/>
      <c r="AB642" s="69"/>
      <c r="AC642" s="86"/>
      <c r="AD642" s="86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6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6"/>
      <c r="P643" s="69"/>
      <c r="Q643" s="86"/>
      <c r="R643" s="86"/>
      <c r="S643" s="60"/>
      <c r="T643" s="62"/>
      <c r="U643" s="62"/>
      <c r="V643" s="62"/>
      <c r="W643" s="61"/>
      <c r="X643" s="62"/>
      <c r="Y643" s="62"/>
      <c r="Z643" s="66"/>
      <c r="AA643" s="86"/>
      <c r="AB643" s="69"/>
      <c r="AC643" s="86"/>
      <c r="AD643" s="86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6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6"/>
      <c r="P644" s="69"/>
      <c r="Q644" s="86"/>
      <c r="R644" s="86"/>
      <c r="S644" s="60"/>
      <c r="T644" s="62"/>
      <c r="U644" s="62"/>
      <c r="V644" s="62"/>
      <c r="W644" s="61"/>
      <c r="X644" s="62"/>
      <c r="Y644" s="62"/>
      <c r="Z644" s="66"/>
      <c r="AA644" s="86"/>
      <c r="AB644" s="69"/>
      <c r="AC644" s="86"/>
      <c r="AD644" s="86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62"/>
      <c r="P645" s="69"/>
      <c r="Q645" s="86"/>
      <c r="R645" s="86"/>
      <c r="S645" s="60"/>
      <c r="T645" s="62"/>
      <c r="U645" s="62"/>
      <c r="V645" s="62"/>
      <c r="W645" s="61"/>
      <c r="X645" s="62"/>
      <c r="Y645" s="62"/>
      <c r="Z645" s="66"/>
      <c r="AA645" s="86"/>
      <c r="AB645" s="69"/>
      <c r="AC645" s="86"/>
      <c r="AD645" s="86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86"/>
      <c r="P646" s="69"/>
      <c r="Q646" s="86"/>
      <c r="R646" s="86"/>
      <c r="S646" s="60"/>
      <c r="T646" s="62"/>
      <c r="U646" s="62"/>
      <c r="V646" s="62"/>
      <c r="W646" s="61"/>
      <c r="X646" s="62"/>
      <c r="Y646" s="62"/>
      <c r="Z646" s="66"/>
      <c r="AA646" s="86"/>
      <c r="AB646" s="69"/>
      <c r="AC646" s="86"/>
      <c r="AD646" s="86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6"/>
      <c r="P647" s="69"/>
      <c r="Q647" s="86"/>
      <c r="R647" s="86"/>
      <c r="S647" s="60"/>
      <c r="T647" s="62"/>
      <c r="U647" s="62"/>
      <c r="V647" s="62"/>
      <c r="W647" s="61"/>
      <c r="X647" s="62"/>
      <c r="Y647" s="62"/>
      <c r="Z647" s="66"/>
      <c r="AA647" s="86"/>
      <c r="AB647" s="69"/>
      <c r="AC647" s="86"/>
      <c r="AD647" s="86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6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86"/>
      <c r="P648" s="69"/>
      <c r="Q648" s="86"/>
      <c r="R648" s="86"/>
      <c r="S648" s="60"/>
      <c r="T648" s="62"/>
      <c r="U648" s="62"/>
      <c r="V648" s="62"/>
      <c r="W648" s="61"/>
      <c r="X648" s="62"/>
      <c r="Y648" s="62"/>
      <c r="Z648" s="66"/>
      <c r="AA648" s="86"/>
      <c r="AB648" s="69"/>
      <c r="AC648" s="86"/>
      <c r="AD648" s="86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6"/>
      <c r="P649" s="69"/>
      <c r="Q649" s="86"/>
      <c r="R649" s="86"/>
      <c r="S649" s="60"/>
      <c r="T649" s="62"/>
      <c r="U649" s="62"/>
      <c r="V649" s="62"/>
      <c r="W649" s="61"/>
      <c r="X649" s="62"/>
      <c r="Y649" s="62"/>
      <c r="Z649" s="66"/>
      <c r="AA649" s="86"/>
      <c r="AB649" s="69"/>
      <c r="AC649" s="86"/>
      <c r="AD649" s="86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6"/>
      <c r="P650" s="69"/>
      <c r="Q650" s="86"/>
      <c r="R650" s="86"/>
      <c r="S650" s="60"/>
      <c r="T650" s="62"/>
      <c r="U650" s="62"/>
      <c r="V650" s="62"/>
      <c r="W650" s="61"/>
      <c r="X650" s="62"/>
      <c r="Y650" s="62"/>
      <c r="Z650" s="66"/>
      <c r="AA650" s="86"/>
      <c r="AB650" s="69"/>
      <c r="AC650" s="86"/>
      <c r="AD650" s="86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6"/>
      <c r="P651" s="69"/>
      <c r="Q651" s="86"/>
      <c r="R651" s="86"/>
      <c r="S651" s="60"/>
      <c r="T651" s="62"/>
      <c r="U651" s="62"/>
      <c r="V651" s="62"/>
      <c r="W651" s="61"/>
      <c r="X651" s="62"/>
      <c r="Y651" s="62"/>
      <c r="Z651" s="66"/>
      <c r="AA651" s="86"/>
      <c r="AB651" s="69"/>
      <c r="AC651" s="86"/>
      <c r="AD651" s="86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6"/>
      <c r="P652" s="69"/>
      <c r="Q652" s="86"/>
      <c r="R652" s="86"/>
      <c r="S652" s="60"/>
      <c r="T652" s="62"/>
      <c r="U652" s="62"/>
      <c r="V652" s="62"/>
      <c r="W652" s="61"/>
      <c r="X652" s="62"/>
      <c r="Y652" s="62"/>
      <c r="Z652" s="66"/>
      <c r="AA652" s="86"/>
      <c r="AB652" s="69"/>
      <c r="AC652" s="86"/>
      <c r="AD652" s="86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86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6"/>
      <c r="R653" s="86"/>
      <c r="S653" s="60"/>
      <c r="T653" s="62"/>
      <c r="U653" s="62"/>
      <c r="V653" s="62"/>
      <c r="W653" s="61"/>
      <c r="X653" s="62"/>
      <c r="Y653" s="62"/>
      <c r="Z653" s="66"/>
      <c r="AA653" s="86"/>
      <c r="AB653" s="69"/>
      <c r="AC653" s="86"/>
      <c r="AD653" s="86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6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6"/>
      <c r="P654" s="69"/>
      <c r="Q654" s="86"/>
      <c r="R654" s="86"/>
      <c r="S654" s="60"/>
      <c r="T654" s="62"/>
      <c r="U654" s="62"/>
      <c r="V654" s="62"/>
      <c r="W654" s="61"/>
      <c r="X654" s="62"/>
      <c r="Y654" s="62"/>
      <c r="Z654" s="66"/>
      <c r="AA654" s="86"/>
      <c r="AB654" s="69"/>
      <c r="AC654" s="86"/>
      <c r="AD654" s="86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6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6"/>
      <c r="P655" s="69"/>
      <c r="Q655" s="86"/>
      <c r="R655" s="86"/>
      <c r="S655" s="60"/>
      <c r="T655" s="62"/>
      <c r="U655" s="62"/>
      <c r="V655" s="62"/>
      <c r="W655" s="61"/>
      <c r="X655" s="62"/>
      <c r="Y655" s="62"/>
      <c r="Z655" s="66"/>
      <c r="AA655" s="86"/>
      <c r="AB655" s="69"/>
      <c r="AC655" s="86"/>
      <c r="AD655" s="86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6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6"/>
      <c r="R656" s="86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6"/>
      <c r="AD656" s="86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6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6"/>
      <c r="P657" s="69"/>
      <c r="Q657" s="86"/>
      <c r="R657" s="86"/>
      <c r="S657" s="60"/>
      <c r="T657" s="62"/>
      <c r="U657" s="62"/>
      <c r="V657" s="62"/>
      <c r="W657" s="61"/>
      <c r="X657" s="62"/>
      <c r="Y657" s="62"/>
      <c r="Z657" s="66"/>
      <c r="AA657" s="86"/>
      <c r="AB657" s="69"/>
      <c r="AC657" s="86"/>
      <c r="AD657" s="86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6"/>
      <c r="O658" s="86"/>
      <c r="P658" s="86"/>
      <c r="Q658" s="86"/>
      <c r="R658" s="86"/>
      <c r="S658" s="86"/>
      <c r="T658" s="62"/>
      <c r="U658" s="62"/>
      <c r="V658" s="62"/>
      <c r="W658" s="61"/>
      <c r="X658" s="62"/>
      <c r="Y658" s="62"/>
      <c r="Z658" s="86"/>
      <c r="AA658" s="86"/>
      <c r="AB658" s="86"/>
      <c r="AC658" s="86"/>
      <c r="AD658" s="86"/>
      <c r="AE658" s="86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6"/>
      <c r="C659" s="86"/>
      <c r="D659" s="86"/>
      <c r="E659" s="86"/>
      <c r="F659" s="86"/>
      <c r="G659" s="86"/>
      <c r="H659" s="62"/>
      <c r="I659" s="62"/>
      <c r="J659" s="62"/>
      <c r="K659" s="62"/>
      <c r="L659" s="62"/>
      <c r="M659" s="62"/>
      <c r="N659" s="86"/>
      <c r="O659" s="86"/>
      <c r="P659" s="86"/>
      <c r="Q659" s="86"/>
      <c r="R659" s="86"/>
      <c r="S659" s="86"/>
      <c r="T659" s="62"/>
      <c r="U659" s="62"/>
      <c r="V659" s="62"/>
      <c r="W659" s="62"/>
      <c r="X659" s="62"/>
      <c r="Y659" s="62"/>
      <c r="Z659" s="86"/>
      <c r="AA659" s="86"/>
      <c r="AB659" s="86"/>
      <c r="AC659" s="86"/>
      <c r="AD659" s="86"/>
      <c r="AE659" s="86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6"/>
      <c r="C660" s="86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6"/>
      <c r="O660" s="86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6"/>
      <c r="AA660" s="86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6"/>
      <c r="C662" s="86"/>
      <c r="D662" s="86"/>
      <c r="E662" s="86"/>
      <c r="F662" s="86"/>
      <c r="G662" s="86"/>
      <c r="H662" s="62"/>
      <c r="I662" s="62"/>
      <c r="J662" s="62"/>
      <c r="K662" s="62"/>
      <c r="L662" s="62"/>
      <c r="M662" s="62"/>
      <c r="N662" s="86"/>
      <c r="O662" s="86"/>
      <c r="P662" s="86"/>
      <c r="Q662" s="86"/>
      <c r="R662" s="86"/>
      <c r="S662" s="86"/>
      <c r="T662" s="62"/>
      <c r="U662" s="62"/>
      <c r="V662" s="62"/>
      <c r="W662" s="62"/>
      <c r="X662" s="62"/>
      <c r="Y662" s="62"/>
      <c r="Z662" s="86"/>
      <c r="AA662" s="86"/>
      <c r="AB662" s="86"/>
      <c r="AC662" s="86"/>
      <c r="AD662" s="86"/>
      <c r="AE662" s="86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6"/>
      <c r="C663" s="86"/>
      <c r="D663" s="86"/>
      <c r="E663" s="86"/>
      <c r="F663" s="86"/>
      <c r="G663" s="86"/>
      <c r="H663" s="62"/>
      <c r="I663" s="62"/>
      <c r="J663" s="62"/>
      <c r="K663" s="62"/>
      <c r="L663" s="62"/>
      <c r="M663" s="62"/>
      <c r="N663" s="86"/>
      <c r="O663" s="86"/>
      <c r="P663" s="86"/>
      <c r="Q663" s="86"/>
      <c r="R663" s="86"/>
      <c r="S663" s="86"/>
      <c r="T663" s="62"/>
      <c r="U663" s="62"/>
      <c r="V663" s="62"/>
      <c r="W663" s="62"/>
      <c r="X663" s="62"/>
      <c r="Y663" s="62"/>
      <c r="Z663" s="86"/>
      <c r="AA663" s="86"/>
      <c r="AB663" s="86"/>
      <c r="AC663" s="86"/>
      <c r="AD663" s="86"/>
      <c r="AE663" s="86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6"/>
      <c r="C664" s="86"/>
      <c r="D664" s="86"/>
      <c r="E664" s="86"/>
      <c r="F664" s="86"/>
      <c r="G664" s="86"/>
      <c r="H664" s="62"/>
      <c r="I664" s="62"/>
      <c r="J664" s="62"/>
      <c r="K664" s="62"/>
      <c r="L664" s="62"/>
      <c r="M664" s="62"/>
      <c r="N664" s="86"/>
      <c r="O664" s="86"/>
      <c r="P664" s="86"/>
      <c r="Q664" s="86"/>
      <c r="R664" s="86"/>
      <c r="S664" s="86"/>
      <c r="T664" s="62"/>
      <c r="U664" s="62"/>
      <c r="V664" s="62"/>
      <c r="W664" s="62"/>
      <c r="X664" s="62"/>
      <c r="Y664" s="62"/>
      <c r="Z664" s="86"/>
      <c r="AA664" s="86"/>
      <c r="AB664" s="86"/>
      <c r="AC664" s="86"/>
      <c r="AD664" s="86"/>
      <c r="AE664" s="86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6"/>
      <c r="C665" s="86"/>
      <c r="D665" s="86"/>
      <c r="E665" s="86"/>
      <c r="F665" s="86"/>
      <c r="G665" s="86"/>
      <c r="H665" s="62"/>
      <c r="I665" s="62"/>
      <c r="J665" s="62"/>
      <c r="K665" s="62"/>
      <c r="L665" s="62"/>
      <c r="M665" s="63"/>
      <c r="N665" s="86"/>
      <c r="O665" s="86"/>
      <c r="P665" s="86"/>
      <c r="Q665" s="86"/>
      <c r="R665" s="86"/>
      <c r="S665" s="86"/>
      <c r="T665" s="62"/>
      <c r="U665" s="62"/>
      <c r="V665" s="62"/>
      <c r="W665" s="62"/>
      <c r="X665" s="62"/>
      <c r="Y665" s="63"/>
      <c r="Z665" s="86"/>
      <c r="AA665" s="86"/>
      <c r="AB665" s="86"/>
      <c r="AC665" s="86"/>
      <c r="AD665" s="86"/>
      <c r="AE665" s="86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6"/>
      <c r="C666" s="86"/>
      <c r="D666" s="86"/>
      <c r="E666" s="86"/>
      <c r="F666" s="86"/>
      <c r="G666" s="86"/>
      <c r="H666" s="62"/>
      <c r="I666" s="62"/>
      <c r="J666" s="62"/>
      <c r="K666" s="62"/>
      <c r="L666" s="62"/>
      <c r="M666" s="62"/>
      <c r="N666" s="86"/>
      <c r="O666" s="86"/>
      <c r="P666" s="86"/>
      <c r="Q666" s="86"/>
      <c r="R666" s="86"/>
      <c r="S666" s="86"/>
      <c r="T666" s="62"/>
      <c r="U666" s="62"/>
      <c r="V666" s="62"/>
      <c r="W666" s="62"/>
      <c r="X666" s="62"/>
      <c r="Y666" s="62"/>
      <c r="Z666" s="86"/>
      <c r="AA666" s="86"/>
      <c r="AB666" s="86"/>
      <c r="AC666" s="86"/>
      <c r="AD666" s="86"/>
      <c r="AE666" s="86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6"/>
      <c r="C667" s="86"/>
      <c r="D667" s="86"/>
      <c r="E667" s="86"/>
      <c r="F667" s="86"/>
      <c r="G667" s="86"/>
      <c r="H667" s="62"/>
      <c r="I667" s="86"/>
      <c r="J667" s="73"/>
      <c r="K667" s="62"/>
      <c r="L667" s="62"/>
      <c r="M667" s="62"/>
      <c r="N667" s="86"/>
      <c r="O667" s="86"/>
      <c r="P667" s="86"/>
      <c r="Q667" s="86"/>
      <c r="R667" s="86"/>
      <c r="S667" s="86"/>
      <c r="T667" s="62"/>
      <c r="U667" s="86"/>
      <c r="V667" s="73"/>
      <c r="W667" s="62"/>
      <c r="X667" s="62"/>
      <c r="Y667" s="62"/>
      <c r="Z667" s="86"/>
      <c r="AA667" s="86"/>
      <c r="AB667" s="86"/>
      <c r="AC667" s="86"/>
      <c r="AD667" s="86"/>
      <c r="AE667" s="86"/>
      <c r="AF667" s="62"/>
      <c r="AG667" s="86"/>
      <c r="AH667" s="86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6"/>
      <c r="C668" s="86"/>
      <c r="D668" s="86"/>
      <c r="E668" s="86"/>
      <c r="F668" s="86"/>
      <c r="G668" s="86"/>
      <c r="H668" s="62"/>
      <c r="I668" s="65"/>
      <c r="J668" s="65"/>
      <c r="K668" s="62"/>
      <c r="L668" s="62"/>
      <c r="M668" s="64"/>
      <c r="N668" s="86"/>
      <c r="O668" s="86"/>
      <c r="P668" s="86"/>
      <c r="Q668" s="86"/>
      <c r="R668" s="86"/>
      <c r="S668" s="86"/>
      <c r="T668" s="62"/>
      <c r="U668" s="65"/>
      <c r="V668" s="65"/>
      <c r="W668" s="62"/>
      <c r="X668" s="62"/>
      <c r="Y668" s="64"/>
      <c r="Z668" s="86"/>
      <c r="AA668" s="86"/>
      <c r="AB668" s="86"/>
      <c r="AC668" s="86"/>
      <c r="AD668" s="86"/>
      <c r="AE668" s="86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6"/>
      <c r="C669" s="86"/>
      <c r="D669" s="86"/>
      <c r="E669" s="86"/>
      <c r="F669" s="86"/>
      <c r="G669" s="86"/>
      <c r="H669" s="62"/>
      <c r="I669" s="62"/>
      <c r="J669" s="62"/>
      <c r="K669" s="62"/>
      <c r="L669" s="62"/>
      <c r="M669" s="62"/>
      <c r="N669" s="86"/>
      <c r="O669" s="86"/>
      <c r="P669" s="86"/>
      <c r="Q669" s="86"/>
      <c r="R669" s="86"/>
      <c r="S669" s="86"/>
      <c r="T669" s="62"/>
      <c r="U669" s="62"/>
      <c r="V669" s="62"/>
      <c r="W669" s="62"/>
      <c r="X669" s="62"/>
      <c r="Y669" s="62"/>
      <c r="Z669" s="86"/>
      <c r="AA669" s="86"/>
      <c r="AB669" s="86"/>
      <c r="AC669" s="86"/>
      <c r="AD669" s="86"/>
      <c r="AE669" s="86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6"/>
      <c r="D670" s="101"/>
      <c r="E670" s="101"/>
      <c r="F670" s="86"/>
      <c r="G670" s="86"/>
      <c r="H670" s="62"/>
      <c r="I670" s="101"/>
      <c r="J670" s="101"/>
      <c r="K670" s="100"/>
      <c r="L670" s="62"/>
      <c r="M670" s="62"/>
      <c r="N670" s="65"/>
      <c r="O670" s="86"/>
      <c r="P670" s="101"/>
      <c r="Q670" s="101"/>
      <c r="R670" s="86"/>
      <c r="S670" s="86"/>
      <c r="T670" s="62"/>
      <c r="U670" s="101"/>
      <c r="V670" s="101"/>
      <c r="W670" s="100"/>
      <c r="X670" s="62"/>
      <c r="Y670" s="62"/>
      <c r="Z670" s="65"/>
      <c r="AA670" s="86"/>
      <c r="AB670" s="101"/>
      <c r="AC670" s="101"/>
      <c r="AD670" s="86"/>
      <c r="AE670" s="86"/>
      <c r="AF670" s="62"/>
      <c r="AG670" s="101"/>
      <c r="AH670" s="101"/>
      <c r="AI670" s="100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6"/>
      <c r="C671" s="86"/>
      <c r="D671" s="79"/>
      <c r="E671" s="80"/>
      <c r="F671" s="81"/>
      <c r="G671" s="81"/>
      <c r="H671" s="62"/>
      <c r="I671" s="85"/>
      <c r="J671" s="85"/>
      <c r="K671" s="100"/>
      <c r="L671" s="62"/>
      <c r="M671" s="62"/>
      <c r="N671" s="86"/>
      <c r="O671" s="86"/>
      <c r="P671" s="79"/>
      <c r="Q671" s="81"/>
      <c r="R671" s="81"/>
      <c r="S671" s="81"/>
      <c r="T671" s="62"/>
      <c r="U671" s="85"/>
      <c r="V671" s="85"/>
      <c r="W671" s="100"/>
      <c r="X671" s="62"/>
      <c r="Y671" s="62"/>
      <c r="Z671" s="86"/>
      <c r="AA671" s="86"/>
      <c r="AB671" s="79"/>
      <c r="AC671" s="81"/>
      <c r="AD671" s="81"/>
      <c r="AE671" s="81"/>
      <c r="AF671" s="62"/>
      <c r="AG671" s="85"/>
      <c r="AH671" s="85"/>
      <c r="AI671" s="100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6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6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6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6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6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6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6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6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6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6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6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6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6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6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6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6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65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6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6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62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6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6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6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6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6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86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6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6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6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6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86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86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6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6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6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6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6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6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6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6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6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6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6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6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6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6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86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6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6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6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65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6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6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6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6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6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6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65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6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62"/>
      <c r="P692" s="67"/>
      <c r="Q692" s="86"/>
      <c r="R692" s="86"/>
      <c r="S692" s="60"/>
      <c r="T692" s="62"/>
      <c r="U692" s="62"/>
      <c r="V692" s="62"/>
      <c r="W692" s="61"/>
      <c r="X692" s="62"/>
      <c r="Y692" s="62"/>
      <c r="Z692" s="66"/>
      <c r="AA692" s="62"/>
      <c r="AB692" s="67"/>
      <c r="AC692" s="86"/>
      <c r="AD692" s="86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6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6"/>
      <c r="P693" s="68"/>
      <c r="Q693" s="86"/>
      <c r="R693" s="86"/>
      <c r="S693" s="60"/>
      <c r="T693" s="62"/>
      <c r="U693" s="62"/>
      <c r="V693" s="62"/>
      <c r="W693" s="61"/>
      <c r="X693" s="62"/>
      <c r="Y693" s="62"/>
      <c r="Z693" s="66"/>
      <c r="AA693" s="86"/>
      <c r="AB693" s="68"/>
      <c r="AC693" s="86"/>
      <c r="AD693" s="86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6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6"/>
      <c r="P694" s="69"/>
      <c r="Q694" s="86"/>
      <c r="R694" s="62"/>
      <c r="S694" s="60"/>
      <c r="T694" s="62"/>
      <c r="U694" s="62"/>
      <c r="V694" s="62"/>
      <c r="W694" s="61"/>
      <c r="X694" s="62"/>
      <c r="Y694" s="62"/>
      <c r="Z694" s="66"/>
      <c r="AA694" s="86"/>
      <c r="AB694" s="69"/>
      <c r="AC694" s="86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6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6"/>
      <c r="P695" s="69"/>
      <c r="Q695" s="86"/>
      <c r="R695" s="86"/>
      <c r="S695" s="60"/>
      <c r="T695" s="62"/>
      <c r="U695" s="62"/>
      <c r="V695" s="62"/>
      <c r="W695" s="61"/>
      <c r="X695" s="62"/>
      <c r="Y695" s="62"/>
      <c r="Z695" s="66"/>
      <c r="AA695" s="86"/>
      <c r="AB695" s="69"/>
      <c r="AC695" s="86"/>
      <c r="AD695" s="86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6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6"/>
      <c r="P696" s="69"/>
      <c r="Q696" s="86"/>
      <c r="R696" s="86"/>
      <c r="S696" s="60"/>
      <c r="T696" s="62"/>
      <c r="U696" s="62"/>
      <c r="V696" s="62"/>
      <c r="W696" s="61"/>
      <c r="X696" s="62"/>
      <c r="Y696" s="62"/>
      <c r="Z696" s="66"/>
      <c r="AA696" s="86"/>
      <c r="AB696" s="69"/>
      <c r="AC696" s="86"/>
      <c r="AD696" s="86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6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86"/>
      <c r="P697" s="69"/>
      <c r="Q697" s="86"/>
      <c r="R697" s="86"/>
      <c r="S697" s="60"/>
      <c r="T697" s="62"/>
      <c r="U697" s="62"/>
      <c r="V697" s="62"/>
      <c r="W697" s="61"/>
      <c r="X697" s="62"/>
      <c r="Y697" s="62"/>
      <c r="Z697" s="66"/>
      <c r="AA697" s="86"/>
      <c r="AB697" s="69"/>
      <c r="AC697" s="86"/>
      <c r="AD697" s="86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6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6"/>
      <c r="P698" s="69"/>
      <c r="Q698" s="86"/>
      <c r="R698" s="86"/>
      <c r="S698" s="60"/>
      <c r="T698" s="62"/>
      <c r="U698" s="62"/>
      <c r="V698" s="62"/>
      <c r="W698" s="61"/>
      <c r="X698" s="62"/>
      <c r="Y698" s="62"/>
      <c r="Z698" s="66"/>
      <c r="AA698" s="86"/>
      <c r="AB698" s="69"/>
      <c r="AC698" s="86"/>
      <c r="AD698" s="86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6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6"/>
      <c r="P699" s="69"/>
      <c r="Q699" s="86"/>
      <c r="R699" s="86"/>
      <c r="S699" s="60"/>
      <c r="T699" s="62"/>
      <c r="U699" s="62"/>
      <c r="V699" s="62"/>
      <c r="W699" s="61"/>
      <c r="X699" s="62"/>
      <c r="Y699" s="62"/>
      <c r="Z699" s="66"/>
      <c r="AA699" s="86"/>
      <c r="AB699" s="69"/>
      <c r="AC699" s="86"/>
      <c r="AD699" s="86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62"/>
      <c r="P700" s="69"/>
      <c r="Q700" s="86"/>
      <c r="R700" s="86"/>
      <c r="S700" s="60"/>
      <c r="T700" s="62"/>
      <c r="U700" s="62"/>
      <c r="V700" s="62"/>
      <c r="W700" s="61"/>
      <c r="X700" s="62"/>
      <c r="Y700" s="62"/>
      <c r="Z700" s="66"/>
      <c r="AA700" s="86"/>
      <c r="AB700" s="69"/>
      <c r="AC700" s="86"/>
      <c r="AD700" s="86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86"/>
      <c r="P701" s="69"/>
      <c r="Q701" s="86"/>
      <c r="R701" s="86"/>
      <c r="S701" s="60"/>
      <c r="T701" s="62"/>
      <c r="U701" s="62"/>
      <c r="V701" s="62"/>
      <c r="W701" s="61"/>
      <c r="X701" s="62"/>
      <c r="Y701" s="62"/>
      <c r="Z701" s="66"/>
      <c r="AA701" s="86"/>
      <c r="AB701" s="69"/>
      <c r="AC701" s="86"/>
      <c r="AD701" s="86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6"/>
      <c r="P702" s="69"/>
      <c r="Q702" s="86"/>
      <c r="R702" s="86"/>
      <c r="S702" s="60"/>
      <c r="T702" s="62"/>
      <c r="U702" s="62"/>
      <c r="V702" s="62"/>
      <c r="W702" s="61"/>
      <c r="X702" s="62"/>
      <c r="Y702" s="62"/>
      <c r="Z702" s="66"/>
      <c r="AA702" s="86"/>
      <c r="AB702" s="69"/>
      <c r="AC702" s="86"/>
      <c r="AD702" s="86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6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6"/>
      <c r="P703" s="69"/>
      <c r="Q703" s="86"/>
      <c r="R703" s="86"/>
      <c r="S703" s="60"/>
      <c r="T703" s="62"/>
      <c r="U703" s="62"/>
      <c r="V703" s="62"/>
      <c r="W703" s="61"/>
      <c r="X703" s="62"/>
      <c r="Y703" s="62"/>
      <c r="Z703" s="66"/>
      <c r="AA703" s="86"/>
      <c r="AB703" s="69"/>
      <c r="AC703" s="86"/>
      <c r="AD703" s="86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6"/>
      <c r="P704" s="69"/>
      <c r="Q704" s="86"/>
      <c r="R704" s="86"/>
      <c r="S704" s="60"/>
      <c r="T704" s="62"/>
      <c r="U704" s="62"/>
      <c r="V704" s="62"/>
      <c r="W704" s="61"/>
      <c r="X704" s="62"/>
      <c r="Y704" s="62"/>
      <c r="Z704" s="66"/>
      <c r="AA704" s="86"/>
      <c r="AB704" s="69"/>
      <c r="AC704" s="86"/>
      <c r="AD704" s="86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6"/>
      <c r="P705" s="69"/>
      <c r="Q705" s="86"/>
      <c r="R705" s="86"/>
      <c r="S705" s="60"/>
      <c r="T705" s="62"/>
      <c r="U705" s="62"/>
      <c r="V705" s="62"/>
      <c r="W705" s="61"/>
      <c r="X705" s="62"/>
      <c r="Y705" s="62"/>
      <c r="Z705" s="66"/>
      <c r="AA705" s="86"/>
      <c r="AB705" s="69"/>
      <c r="AC705" s="86"/>
      <c r="AD705" s="86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6"/>
      <c r="P706" s="69"/>
      <c r="Q706" s="86"/>
      <c r="R706" s="86"/>
      <c r="S706" s="60"/>
      <c r="T706" s="62"/>
      <c r="U706" s="62"/>
      <c r="V706" s="62"/>
      <c r="W706" s="61"/>
      <c r="X706" s="62"/>
      <c r="Y706" s="62"/>
      <c r="Z706" s="66"/>
      <c r="AA706" s="86"/>
      <c r="AB706" s="69"/>
      <c r="AC706" s="86"/>
      <c r="AD706" s="86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6"/>
      <c r="P707" s="69"/>
      <c r="Q707" s="86"/>
      <c r="R707" s="86"/>
      <c r="S707" s="60"/>
      <c r="T707" s="62"/>
      <c r="U707" s="62"/>
      <c r="V707" s="62"/>
      <c r="W707" s="61"/>
      <c r="X707" s="62"/>
      <c r="Y707" s="62"/>
      <c r="Z707" s="66"/>
      <c r="AA707" s="86"/>
      <c r="AB707" s="69"/>
      <c r="AC707" s="86"/>
      <c r="AD707" s="86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6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6"/>
      <c r="R708" s="86"/>
      <c r="S708" s="60"/>
      <c r="T708" s="62"/>
      <c r="U708" s="62"/>
      <c r="V708" s="62"/>
      <c r="W708" s="61"/>
      <c r="X708" s="62"/>
      <c r="Y708" s="62"/>
      <c r="Z708" s="66"/>
      <c r="AA708" s="86"/>
      <c r="AB708" s="69"/>
      <c r="AC708" s="86"/>
      <c r="AD708" s="86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6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6"/>
      <c r="P709" s="69"/>
      <c r="Q709" s="86"/>
      <c r="R709" s="86"/>
      <c r="S709" s="60"/>
      <c r="T709" s="62"/>
      <c r="U709" s="62"/>
      <c r="V709" s="62"/>
      <c r="W709" s="61"/>
      <c r="X709" s="62"/>
      <c r="Y709" s="62"/>
      <c r="Z709" s="66"/>
      <c r="AA709" s="86"/>
      <c r="AB709" s="69"/>
      <c r="AC709" s="86"/>
      <c r="AD709" s="86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6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6"/>
      <c r="P710" s="69"/>
      <c r="Q710" s="86"/>
      <c r="R710" s="86"/>
      <c r="S710" s="60"/>
      <c r="T710" s="62"/>
      <c r="U710" s="62"/>
      <c r="V710" s="62"/>
      <c r="W710" s="61"/>
      <c r="X710" s="62"/>
      <c r="Y710" s="62"/>
      <c r="Z710" s="66"/>
      <c r="AA710" s="86"/>
      <c r="AB710" s="69"/>
      <c r="AC710" s="86"/>
      <c r="AD710" s="86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6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6"/>
      <c r="R711" s="86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6"/>
      <c r="AD711" s="86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6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6"/>
      <c r="P712" s="69"/>
      <c r="Q712" s="86"/>
      <c r="R712" s="86"/>
      <c r="S712" s="60"/>
      <c r="T712" s="62"/>
      <c r="U712" s="62"/>
      <c r="V712" s="62"/>
      <c r="W712" s="61"/>
      <c r="X712" s="62"/>
      <c r="Y712" s="62"/>
      <c r="Z712" s="66"/>
      <c r="AA712" s="86"/>
      <c r="AB712" s="69"/>
      <c r="AC712" s="86"/>
      <c r="AD712" s="86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6"/>
      <c r="O713" s="86"/>
      <c r="P713" s="86"/>
      <c r="Q713" s="86"/>
      <c r="R713" s="86"/>
      <c r="S713" s="86"/>
      <c r="T713" s="62"/>
      <c r="U713" s="62"/>
      <c r="V713" s="62"/>
      <c r="W713" s="61"/>
      <c r="X713" s="62"/>
      <c r="Y713" s="62"/>
      <c r="Z713" s="86"/>
      <c r="AA713" s="86"/>
      <c r="AB713" s="86"/>
      <c r="AC713" s="86"/>
      <c r="AD713" s="86"/>
      <c r="AE713" s="86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6"/>
      <c r="C714" s="86"/>
      <c r="D714" s="86"/>
      <c r="E714" s="86"/>
      <c r="F714" s="86"/>
      <c r="G714" s="86"/>
      <c r="H714" s="62"/>
      <c r="I714" s="62"/>
      <c r="J714" s="62"/>
      <c r="K714" s="62"/>
      <c r="L714" s="62"/>
      <c r="M714" s="62"/>
      <c r="N714" s="86"/>
      <c r="O714" s="86"/>
      <c r="P714" s="86"/>
      <c r="Q714" s="86"/>
      <c r="R714" s="86"/>
      <c r="S714" s="86"/>
      <c r="T714" s="62"/>
      <c r="U714" s="62"/>
      <c r="V714" s="62"/>
      <c r="W714" s="62"/>
      <c r="X714" s="62"/>
      <c r="Y714" s="62"/>
      <c r="Z714" s="86"/>
      <c r="AA714" s="86"/>
      <c r="AB714" s="86"/>
      <c r="AC714" s="86"/>
      <c r="AD714" s="86"/>
      <c r="AE714" s="86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6"/>
      <c r="C715" s="86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6"/>
      <c r="O715" s="86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6"/>
      <c r="AA715" s="86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6"/>
      <c r="C717" s="86"/>
      <c r="D717" s="86"/>
      <c r="E717" s="86"/>
      <c r="F717" s="86"/>
      <c r="G717" s="86"/>
      <c r="H717" s="62"/>
      <c r="I717" s="62"/>
      <c r="J717" s="62"/>
      <c r="K717" s="62"/>
      <c r="L717" s="62"/>
      <c r="M717" s="62"/>
      <c r="N717" s="86"/>
      <c r="O717" s="86"/>
      <c r="P717" s="86"/>
      <c r="Q717" s="86"/>
      <c r="R717" s="86"/>
      <c r="S717" s="86"/>
      <c r="T717" s="62"/>
      <c r="U717" s="62"/>
      <c r="V717" s="62"/>
      <c r="W717" s="62"/>
      <c r="X717" s="62"/>
      <c r="Y717" s="62"/>
      <c r="Z717" s="86"/>
      <c r="AA717" s="86"/>
      <c r="AB717" s="86"/>
      <c r="AC717" s="86"/>
      <c r="AD717" s="86"/>
      <c r="AE717" s="86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6"/>
      <c r="C718" s="86"/>
      <c r="D718" s="86"/>
      <c r="E718" s="86"/>
      <c r="F718" s="86"/>
      <c r="G718" s="86"/>
      <c r="H718" s="62"/>
      <c r="I718" s="62"/>
      <c r="J718" s="62"/>
      <c r="K718" s="62"/>
      <c r="L718" s="62"/>
      <c r="M718" s="62"/>
      <c r="N718" s="86"/>
      <c r="O718" s="86"/>
      <c r="P718" s="86"/>
      <c r="Q718" s="86"/>
      <c r="R718" s="86"/>
      <c r="S718" s="86"/>
      <c r="T718" s="62"/>
      <c r="U718" s="62"/>
      <c r="V718" s="62"/>
      <c r="W718" s="62"/>
      <c r="X718" s="62"/>
      <c r="Y718" s="62"/>
      <c r="Z718" s="86"/>
      <c r="AA718" s="86"/>
      <c r="AB718" s="86"/>
      <c r="AC718" s="86"/>
      <c r="AD718" s="86"/>
      <c r="AE718" s="86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6"/>
      <c r="C719" s="86"/>
      <c r="D719" s="86"/>
      <c r="E719" s="86"/>
      <c r="F719" s="86"/>
      <c r="G719" s="86"/>
      <c r="H719" s="62"/>
      <c r="I719" s="62"/>
      <c r="J719" s="62"/>
      <c r="K719" s="62"/>
      <c r="L719" s="62"/>
      <c r="M719" s="62"/>
      <c r="N719" s="86"/>
      <c r="O719" s="86"/>
      <c r="P719" s="86"/>
      <c r="Q719" s="86"/>
      <c r="R719" s="86"/>
      <c r="S719" s="86"/>
      <c r="T719" s="62"/>
      <c r="U719" s="62"/>
      <c r="V719" s="62"/>
      <c r="W719" s="62"/>
      <c r="X719" s="62"/>
      <c r="Y719" s="62"/>
      <c r="Z719" s="86"/>
      <c r="AA719" s="86"/>
      <c r="AB719" s="86"/>
      <c r="AC719" s="86"/>
      <c r="AD719" s="86"/>
      <c r="AE719" s="86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6"/>
      <c r="C720" s="86"/>
      <c r="D720" s="86"/>
      <c r="E720" s="86"/>
      <c r="F720" s="86"/>
      <c r="G720" s="86"/>
      <c r="H720" s="62"/>
      <c r="I720" s="62"/>
      <c r="J720" s="62"/>
      <c r="K720" s="62"/>
      <c r="L720" s="62"/>
      <c r="M720" s="63"/>
      <c r="N720" s="86"/>
      <c r="O720" s="86"/>
      <c r="P720" s="86"/>
      <c r="Q720" s="86"/>
      <c r="R720" s="86"/>
      <c r="S720" s="86"/>
      <c r="T720" s="62"/>
      <c r="U720" s="62"/>
      <c r="V720" s="62"/>
      <c r="W720" s="62"/>
      <c r="X720" s="62"/>
      <c r="Y720" s="63"/>
      <c r="Z720" s="86"/>
      <c r="AA720" s="86"/>
      <c r="AB720" s="86"/>
      <c r="AC720" s="86"/>
      <c r="AD720" s="86"/>
      <c r="AE720" s="86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6"/>
      <c r="C721" s="86"/>
      <c r="D721" s="86"/>
      <c r="E721" s="86"/>
      <c r="F721" s="86"/>
      <c r="G721" s="86"/>
      <c r="H721" s="62"/>
      <c r="I721" s="62"/>
      <c r="J721" s="62"/>
      <c r="K721" s="62"/>
      <c r="L721" s="62"/>
      <c r="M721" s="62"/>
      <c r="N721" s="86"/>
      <c r="O721" s="86"/>
      <c r="P721" s="86"/>
      <c r="Q721" s="86"/>
      <c r="R721" s="86"/>
      <c r="S721" s="86"/>
      <c r="T721" s="62"/>
      <c r="U721" s="62"/>
      <c r="V721" s="62"/>
      <c r="W721" s="62"/>
      <c r="X721" s="62"/>
      <c r="Y721" s="62"/>
      <c r="Z721" s="86"/>
      <c r="AA721" s="86"/>
      <c r="AB721" s="86"/>
      <c r="AC721" s="86"/>
      <c r="AD721" s="86"/>
      <c r="AE721" s="86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6"/>
      <c r="C722" s="86"/>
      <c r="D722" s="86"/>
      <c r="E722" s="86"/>
      <c r="F722" s="86"/>
      <c r="G722" s="86"/>
      <c r="H722" s="62"/>
      <c r="I722" s="86"/>
      <c r="J722" s="73"/>
      <c r="K722" s="62"/>
      <c r="L722" s="62"/>
      <c r="M722" s="62"/>
      <c r="N722" s="86"/>
      <c r="O722" s="86"/>
      <c r="P722" s="86"/>
      <c r="Q722" s="86"/>
      <c r="R722" s="86"/>
      <c r="S722" s="86"/>
      <c r="T722" s="62"/>
      <c r="U722" s="86"/>
      <c r="V722" s="73"/>
      <c r="W722" s="62"/>
      <c r="X722" s="62"/>
      <c r="Y722" s="62"/>
      <c r="Z722" s="86"/>
      <c r="AA722" s="86"/>
      <c r="AB722" s="86"/>
      <c r="AC722" s="86"/>
      <c r="AD722" s="86"/>
      <c r="AE722" s="86"/>
      <c r="AF722" s="62"/>
      <c r="AG722" s="86"/>
      <c r="AH722" s="86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6"/>
      <c r="C723" s="86"/>
      <c r="D723" s="86"/>
      <c r="E723" s="86"/>
      <c r="F723" s="86"/>
      <c r="G723" s="86"/>
      <c r="H723" s="62"/>
      <c r="I723" s="65"/>
      <c r="J723" s="65"/>
      <c r="K723" s="62"/>
      <c r="L723" s="62"/>
      <c r="M723" s="64"/>
      <c r="N723" s="86"/>
      <c r="O723" s="86"/>
      <c r="P723" s="86"/>
      <c r="Q723" s="86"/>
      <c r="R723" s="86"/>
      <c r="S723" s="86"/>
      <c r="T723" s="62"/>
      <c r="U723" s="65"/>
      <c r="V723" s="65"/>
      <c r="W723" s="62"/>
      <c r="X723" s="62"/>
      <c r="Y723" s="64"/>
      <c r="Z723" s="86"/>
      <c r="AA723" s="86"/>
      <c r="AB723" s="86"/>
      <c r="AC723" s="86"/>
      <c r="AD723" s="86"/>
      <c r="AE723" s="86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6"/>
      <c r="C724" s="86"/>
      <c r="D724" s="86"/>
      <c r="E724" s="86"/>
      <c r="F724" s="86"/>
      <c r="G724" s="86"/>
      <c r="H724" s="62"/>
      <c r="I724" s="62"/>
      <c r="J724" s="62"/>
      <c r="K724" s="62"/>
      <c r="L724" s="62"/>
      <c r="M724" s="62"/>
      <c r="N724" s="86"/>
      <c r="O724" s="86"/>
      <c r="P724" s="86"/>
      <c r="Q724" s="86"/>
      <c r="R724" s="86"/>
      <c r="S724" s="86"/>
      <c r="T724" s="62"/>
      <c r="U724" s="62"/>
      <c r="V724" s="62"/>
      <c r="W724" s="62"/>
      <c r="X724" s="62"/>
      <c r="Y724" s="62"/>
      <c r="Z724" s="86"/>
      <c r="AA724" s="86"/>
      <c r="AB724" s="86"/>
      <c r="AC724" s="86"/>
      <c r="AD724" s="86"/>
      <c r="AE724" s="86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6"/>
      <c r="D725" s="101"/>
      <c r="E725" s="101"/>
      <c r="F725" s="86"/>
      <c r="G725" s="86"/>
      <c r="H725" s="62"/>
      <c r="I725" s="101"/>
      <c r="J725" s="101"/>
      <c r="K725" s="100"/>
      <c r="L725" s="62"/>
      <c r="M725" s="62"/>
      <c r="N725" s="65"/>
      <c r="O725" s="86"/>
      <c r="P725" s="101"/>
      <c r="Q725" s="101"/>
      <c r="R725" s="86"/>
      <c r="S725" s="86"/>
      <c r="T725" s="62"/>
      <c r="U725" s="101"/>
      <c r="V725" s="101"/>
      <c r="W725" s="100"/>
      <c r="X725" s="62"/>
      <c r="Y725" s="62"/>
      <c r="Z725" s="65"/>
      <c r="AA725" s="86"/>
      <c r="AB725" s="101"/>
      <c r="AC725" s="101"/>
      <c r="AD725" s="86"/>
      <c r="AE725" s="86"/>
      <c r="AF725" s="62"/>
      <c r="AG725" s="101"/>
      <c r="AH725" s="101"/>
      <c r="AI725" s="100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6"/>
      <c r="C726" s="86"/>
      <c r="D726" s="79"/>
      <c r="E726" s="80"/>
      <c r="F726" s="81"/>
      <c r="G726" s="81"/>
      <c r="H726" s="62"/>
      <c r="I726" s="85"/>
      <c r="J726" s="85"/>
      <c r="K726" s="100"/>
      <c r="L726" s="62"/>
      <c r="M726" s="62"/>
      <c r="N726" s="86"/>
      <c r="O726" s="86"/>
      <c r="P726" s="79"/>
      <c r="Q726" s="81"/>
      <c r="R726" s="81"/>
      <c r="S726" s="81"/>
      <c r="T726" s="62"/>
      <c r="U726" s="85"/>
      <c r="V726" s="85"/>
      <c r="W726" s="100"/>
      <c r="X726" s="62"/>
      <c r="Y726" s="62"/>
      <c r="Z726" s="86"/>
      <c r="AA726" s="86"/>
      <c r="AB726" s="79"/>
      <c r="AC726" s="81"/>
      <c r="AD726" s="81"/>
      <c r="AE726" s="81"/>
      <c r="AF726" s="62"/>
      <c r="AG726" s="85"/>
      <c r="AH726" s="85"/>
      <c r="AI726" s="100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6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6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6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6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6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6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6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6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6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6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86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6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86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6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6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6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65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6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6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6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6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6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6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6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6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86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6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6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6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6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86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6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6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6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6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6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65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6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6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6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6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6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6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6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86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86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86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6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6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6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6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6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6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6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6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6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6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6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86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6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86"/>
      <c r="P747" s="67"/>
      <c r="Q747" s="86"/>
      <c r="R747" s="86"/>
      <c r="S747" s="60"/>
      <c r="T747" s="62"/>
      <c r="U747" s="62"/>
      <c r="V747" s="62"/>
      <c r="W747" s="61"/>
      <c r="X747" s="62"/>
      <c r="Y747" s="62"/>
      <c r="Z747" s="66"/>
      <c r="AA747" s="65"/>
      <c r="AB747" s="67"/>
      <c r="AC747" s="86"/>
      <c r="AD747" s="86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6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6"/>
      <c r="P748" s="68"/>
      <c r="Q748" s="86"/>
      <c r="R748" s="86"/>
      <c r="S748" s="60"/>
      <c r="T748" s="62"/>
      <c r="U748" s="62"/>
      <c r="V748" s="62"/>
      <c r="W748" s="61"/>
      <c r="X748" s="62"/>
      <c r="Y748" s="62"/>
      <c r="Z748" s="66"/>
      <c r="AA748" s="86"/>
      <c r="AB748" s="68"/>
      <c r="AC748" s="86"/>
      <c r="AD748" s="86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65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6"/>
      <c r="P749" s="69"/>
      <c r="Q749" s="86"/>
      <c r="R749" s="62"/>
      <c r="S749" s="60"/>
      <c r="T749" s="62"/>
      <c r="U749" s="62"/>
      <c r="V749" s="62"/>
      <c r="W749" s="61"/>
      <c r="X749" s="62"/>
      <c r="Y749" s="62"/>
      <c r="Z749" s="66"/>
      <c r="AA749" s="86"/>
      <c r="AB749" s="69"/>
      <c r="AC749" s="86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6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6"/>
      <c r="P750" s="69"/>
      <c r="Q750" s="86"/>
      <c r="R750" s="86"/>
      <c r="S750" s="60"/>
      <c r="T750" s="62"/>
      <c r="U750" s="62"/>
      <c r="V750" s="62"/>
      <c r="W750" s="61"/>
      <c r="X750" s="62"/>
      <c r="Y750" s="62"/>
      <c r="Z750" s="66"/>
      <c r="AA750" s="86"/>
      <c r="AB750" s="69"/>
      <c r="AC750" s="86"/>
      <c r="AD750" s="86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6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6"/>
      <c r="P751" s="69"/>
      <c r="Q751" s="86"/>
      <c r="R751" s="86"/>
      <c r="S751" s="60"/>
      <c r="T751" s="62"/>
      <c r="U751" s="62"/>
      <c r="V751" s="62"/>
      <c r="W751" s="61"/>
      <c r="X751" s="62"/>
      <c r="Y751" s="62"/>
      <c r="Z751" s="66"/>
      <c r="AA751" s="86"/>
      <c r="AB751" s="69"/>
      <c r="AC751" s="86"/>
      <c r="AD751" s="86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6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86"/>
      <c r="P752" s="69"/>
      <c r="Q752" s="86"/>
      <c r="R752" s="86"/>
      <c r="S752" s="60"/>
      <c r="T752" s="62"/>
      <c r="U752" s="62"/>
      <c r="V752" s="62"/>
      <c r="W752" s="61"/>
      <c r="X752" s="62"/>
      <c r="Y752" s="62"/>
      <c r="Z752" s="66"/>
      <c r="AA752" s="86"/>
      <c r="AB752" s="69"/>
      <c r="AC752" s="86"/>
      <c r="AD752" s="86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6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6"/>
      <c r="P753" s="69"/>
      <c r="Q753" s="86"/>
      <c r="R753" s="86"/>
      <c r="S753" s="60"/>
      <c r="T753" s="62"/>
      <c r="U753" s="62"/>
      <c r="V753" s="62"/>
      <c r="W753" s="61"/>
      <c r="X753" s="62"/>
      <c r="Y753" s="62"/>
      <c r="Z753" s="66"/>
      <c r="AA753" s="86"/>
      <c r="AB753" s="69"/>
      <c r="AC753" s="86"/>
      <c r="AD753" s="86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6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6"/>
      <c r="P754" s="69"/>
      <c r="Q754" s="86"/>
      <c r="R754" s="86"/>
      <c r="S754" s="60"/>
      <c r="T754" s="62"/>
      <c r="U754" s="62"/>
      <c r="V754" s="62"/>
      <c r="W754" s="61"/>
      <c r="X754" s="62"/>
      <c r="Y754" s="62"/>
      <c r="Z754" s="66"/>
      <c r="AA754" s="86"/>
      <c r="AB754" s="69"/>
      <c r="AC754" s="86"/>
      <c r="AD754" s="86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6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62"/>
      <c r="P755" s="69"/>
      <c r="Q755" s="86"/>
      <c r="R755" s="86"/>
      <c r="S755" s="60"/>
      <c r="T755" s="62"/>
      <c r="U755" s="62"/>
      <c r="V755" s="62"/>
      <c r="W755" s="61"/>
      <c r="X755" s="62"/>
      <c r="Y755" s="62"/>
      <c r="Z755" s="66"/>
      <c r="AA755" s="86"/>
      <c r="AB755" s="69"/>
      <c r="AC755" s="86"/>
      <c r="AD755" s="86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6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86"/>
      <c r="P756" s="69"/>
      <c r="Q756" s="86"/>
      <c r="R756" s="86"/>
      <c r="S756" s="60"/>
      <c r="T756" s="62"/>
      <c r="U756" s="62"/>
      <c r="V756" s="62"/>
      <c r="W756" s="61"/>
      <c r="X756" s="62"/>
      <c r="Y756" s="62"/>
      <c r="Z756" s="66"/>
      <c r="AA756" s="86"/>
      <c r="AB756" s="69"/>
      <c r="AC756" s="86"/>
      <c r="AD756" s="86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6"/>
      <c r="P757" s="69"/>
      <c r="Q757" s="86"/>
      <c r="R757" s="86"/>
      <c r="S757" s="60"/>
      <c r="T757" s="62"/>
      <c r="U757" s="62"/>
      <c r="V757" s="62"/>
      <c r="W757" s="61"/>
      <c r="X757" s="62"/>
      <c r="Y757" s="62"/>
      <c r="Z757" s="66"/>
      <c r="AA757" s="86"/>
      <c r="AB757" s="69"/>
      <c r="AC757" s="86"/>
      <c r="AD757" s="86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6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6"/>
      <c r="P758" s="69"/>
      <c r="Q758" s="86"/>
      <c r="R758" s="86"/>
      <c r="S758" s="60"/>
      <c r="T758" s="62"/>
      <c r="U758" s="62"/>
      <c r="V758" s="62"/>
      <c r="W758" s="61"/>
      <c r="X758" s="62"/>
      <c r="Y758" s="62"/>
      <c r="Z758" s="66"/>
      <c r="AA758" s="86"/>
      <c r="AB758" s="69"/>
      <c r="AC758" s="86"/>
      <c r="AD758" s="86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6"/>
      <c r="P759" s="69"/>
      <c r="Q759" s="86"/>
      <c r="R759" s="86"/>
      <c r="S759" s="60"/>
      <c r="T759" s="62"/>
      <c r="U759" s="62"/>
      <c r="V759" s="62"/>
      <c r="W759" s="61"/>
      <c r="X759" s="62"/>
      <c r="Y759" s="62"/>
      <c r="Z759" s="66"/>
      <c r="AA759" s="86"/>
      <c r="AB759" s="69"/>
      <c r="AC759" s="86"/>
      <c r="AD759" s="86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6"/>
      <c r="P760" s="69"/>
      <c r="Q760" s="86"/>
      <c r="R760" s="86"/>
      <c r="S760" s="60"/>
      <c r="T760" s="62"/>
      <c r="U760" s="62"/>
      <c r="V760" s="62"/>
      <c r="W760" s="61"/>
      <c r="X760" s="62"/>
      <c r="Y760" s="62"/>
      <c r="Z760" s="66"/>
      <c r="AA760" s="86"/>
      <c r="AB760" s="69"/>
      <c r="AC760" s="86"/>
      <c r="AD760" s="86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6"/>
      <c r="P761" s="69"/>
      <c r="Q761" s="86"/>
      <c r="R761" s="86"/>
      <c r="S761" s="60"/>
      <c r="T761" s="62"/>
      <c r="U761" s="62"/>
      <c r="V761" s="62"/>
      <c r="W761" s="61"/>
      <c r="X761" s="62"/>
      <c r="Y761" s="62"/>
      <c r="Z761" s="66"/>
      <c r="AA761" s="86"/>
      <c r="AB761" s="69"/>
      <c r="AC761" s="86"/>
      <c r="AD761" s="86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6"/>
      <c r="P762" s="69"/>
      <c r="Q762" s="86"/>
      <c r="R762" s="86"/>
      <c r="S762" s="60"/>
      <c r="T762" s="62"/>
      <c r="U762" s="62"/>
      <c r="V762" s="62"/>
      <c r="W762" s="61"/>
      <c r="X762" s="62"/>
      <c r="Y762" s="62"/>
      <c r="Z762" s="66"/>
      <c r="AA762" s="86"/>
      <c r="AB762" s="69"/>
      <c r="AC762" s="86"/>
      <c r="AD762" s="86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6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6"/>
      <c r="R763" s="86"/>
      <c r="S763" s="60"/>
      <c r="T763" s="62"/>
      <c r="U763" s="62"/>
      <c r="V763" s="62"/>
      <c r="W763" s="61"/>
      <c r="X763" s="62"/>
      <c r="Y763" s="62"/>
      <c r="Z763" s="66"/>
      <c r="AA763" s="86"/>
      <c r="AB763" s="69"/>
      <c r="AC763" s="86"/>
      <c r="AD763" s="86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6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6"/>
      <c r="P764" s="69"/>
      <c r="Q764" s="86"/>
      <c r="R764" s="86"/>
      <c r="S764" s="60"/>
      <c r="T764" s="62"/>
      <c r="U764" s="62"/>
      <c r="V764" s="62"/>
      <c r="W764" s="61"/>
      <c r="X764" s="62"/>
      <c r="Y764" s="62"/>
      <c r="Z764" s="66"/>
      <c r="AA764" s="86"/>
      <c r="AB764" s="69"/>
      <c r="AC764" s="86"/>
      <c r="AD764" s="86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6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6"/>
      <c r="P765" s="69"/>
      <c r="Q765" s="86"/>
      <c r="R765" s="86"/>
      <c r="S765" s="60"/>
      <c r="T765" s="62"/>
      <c r="U765" s="62"/>
      <c r="V765" s="62"/>
      <c r="W765" s="61"/>
      <c r="X765" s="62"/>
      <c r="Y765" s="62"/>
      <c r="Z765" s="66"/>
      <c r="AA765" s="86"/>
      <c r="AB765" s="69"/>
      <c r="AC765" s="86"/>
      <c r="AD765" s="86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6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6"/>
      <c r="R766" s="86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6"/>
      <c r="AD766" s="86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6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6"/>
      <c r="P767" s="69"/>
      <c r="Q767" s="86"/>
      <c r="R767" s="86"/>
      <c r="S767" s="60"/>
      <c r="T767" s="62"/>
      <c r="U767" s="62"/>
      <c r="V767" s="62"/>
      <c r="W767" s="61"/>
      <c r="X767" s="62"/>
      <c r="Y767" s="62"/>
      <c r="Z767" s="66"/>
      <c r="AA767" s="86"/>
      <c r="AB767" s="69"/>
      <c r="AC767" s="86"/>
      <c r="AD767" s="86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6"/>
      <c r="O768" s="86"/>
      <c r="P768" s="86"/>
      <c r="Q768" s="86"/>
      <c r="R768" s="86"/>
      <c r="S768" s="86"/>
      <c r="T768" s="62"/>
      <c r="U768" s="62"/>
      <c r="V768" s="62"/>
      <c r="W768" s="61"/>
      <c r="X768" s="62"/>
      <c r="Y768" s="62"/>
      <c r="Z768" s="86"/>
      <c r="AA768" s="86"/>
      <c r="AB768" s="86"/>
      <c r="AC768" s="86"/>
      <c r="AD768" s="86"/>
      <c r="AE768" s="86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6"/>
      <c r="C769" s="86"/>
      <c r="D769" s="86"/>
      <c r="E769" s="86"/>
      <c r="F769" s="86"/>
      <c r="G769" s="86"/>
      <c r="H769" s="62"/>
      <c r="I769" s="62"/>
      <c r="J769" s="62"/>
      <c r="K769" s="62"/>
      <c r="L769" s="62"/>
      <c r="M769" s="62"/>
      <c r="N769" s="86"/>
      <c r="O769" s="86"/>
      <c r="P769" s="86"/>
      <c r="Q769" s="86"/>
      <c r="R769" s="86"/>
      <c r="S769" s="86"/>
      <c r="T769" s="62"/>
      <c r="U769" s="62"/>
      <c r="V769" s="62"/>
      <c r="W769" s="62"/>
      <c r="X769" s="62"/>
      <c r="Y769" s="62"/>
      <c r="Z769" s="86"/>
      <c r="AA769" s="86"/>
      <c r="AB769" s="86"/>
      <c r="AC769" s="86"/>
      <c r="AD769" s="86"/>
      <c r="AE769" s="86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6"/>
      <c r="C770" s="86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6"/>
      <c r="O770" s="86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6"/>
      <c r="AA770" s="86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6"/>
      <c r="C772" s="86"/>
      <c r="D772" s="86"/>
      <c r="E772" s="86"/>
      <c r="F772" s="86"/>
      <c r="G772" s="86"/>
      <c r="H772" s="62"/>
      <c r="I772" s="62"/>
      <c r="J772" s="62"/>
      <c r="K772" s="62"/>
      <c r="L772" s="62"/>
      <c r="M772" s="62"/>
      <c r="N772" s="86"/>
      <c r="O772" s="86"/>
      <c r="P772" s="86"/>
      <c r="Q772" s="86"/>
      <c r="R772" s="86"/>
      <c r="S772" s="86"/>
      <c r="T772" s="62"/>
      <c r="U772" s="62"/>
      <c r="V772" s="62"/>
      <c r="W772" s="62"/>
      <c r="X772" s="62"/>
      <c r="Y772" s="62"/>
      <c r="Z772" s="86"/>
      <c r="AA772" s="86"/>
      <c r="AB772" s="86"/>
      <c r="AC772" s="86"/>
      <c r="AD772" s="86"/>
      <c r="AE772" s="86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6"/>
      <c r="C773" s="86"/>
      <c r="D773" s="86"/>
      <c r="E773" s="86"/>
      <c r="F773" s="86"/>
      <c r="G773" s="86"/>
      <c r="H773" s="62"/>
      <c r="I773" s="62"/>
      <c r="J773" s="62"/>
      <c r="K773" s="62"/>
      <c r="L773" s="62"/>
      <c r="M773" s="62"/>
      <c r="N773" s="86"/>
      <c r="O773" s="86"/>
      <c r="P773" s="86"/>
      <c r="Q773" s="86"/>
      <c r="R773" s="86"/>
      <c r="S773" s="86"/>
      <c r="T773" s="62"/>
      <c r="U773" s="62"/>
      <c r="V773" s="62"/>
      <c r="W773" s="62"/>
      <c r="X773" s="62"/>
      <c r="Y773" s="62"/>
      <c r="Z773" s="86"/>
      <c r="AA773" s="86"/>
      <c r="AB773" s="86"/>
      <c r="AC773" s="86"/>
      <c r="AD773" s="86"/>
      <c r="AE773" s="86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6"/>
      <c r="C774" s="86"/>
      <c r="D774" s="86"/>
      <c r="E774" s="86"/>
      <c r="F774" s="86"/>
      <c r="G774" s="86"/>
      <c r="H774" s="62"/>
      <c r="I774" s="62"/>
      <c r="J774" s="62"/>
      <c r="K774" s="62"/>
      <c r="L774" s="62"/>
      <c r="M774" s="62"/>
      <c r="N774" s="86"/>
      <c r="O774" s="86"/>
      <c r="P774" s="86"/>
      <c r="Q774" s="86"/>
      <c r="R774" s="86"/>
      <c r="S774" s="86"/>
      <c r="T774" s="62"/>
      <c r="U774" s="62"/>
      <c r="V774" s="62"/>
      <c r="W774" s="62"/>
      <c r="X774" s="62"/>
      <c r="Y774" s="62"/>
      <c r="Z774" s="86"/>
      <c r="AA774" s="86"/>
      <c r="AB774" s="86"/>
      <c r="AC774" s="86"/>
      <c r="AD774" s="86"/>
      <c r="AE774" s="86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6"/>
      <c r="C775" s="86"/>
      <c r="D775" s="86"/>
      <c r="E775" s="86"/>
      <c r="F775" s="86"/>
      <c r="G775" s="86"/>
      <c r="H775" s="62"/>
      <c r="I775" s="62"/>
      <c r="J775" s="62"/>
      <c r="K775" s="62"/>
      <c r="L775" s="62"/>
      <c r="M775" s="63"/>
      <c r="N775" s="86"/>
      <c r="O775" s="86"/>
      <c r="P775" s="86"/>
      <c r="Q775" s="86"/>
      <c r="R775" s="86"/>
      <c r="S775" s="86"/>
      <c r="T775" s="62"/>
      <c r="U775" s="62"/>
      <c r="V775" s="62"/>
      <c r="W775" s="62"/>
      <c r="X775" s="62"/>
      <c r="Y775" s="63"/>
      <c r="Z775" s="86"/>
      <c r="AA775" s="86"/>
      <c r="AB775" s="86"/>
      <c r="AC775" s="86"/>
      <c r="AD775" s="86"/>
      <c r="AE775" s="86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6"/>
      <c r="C776" s="86"/>
      <c r="D776" s="86"/>
      <c r="E776" s="86"/>
      <c r="F776" s="86"/>
      <c r="G776" s="86"/>
      <c r="H776" s="62"/>
      <c r="I776" s="62"/>
      <c r="J776" s="62"/>
      <c r="K776" s="62"/>
      <c r="L776" s="62"/>
      <c r="M776" s="62"/>
      <c r="N776" s="86"/>
      <c r="O776" s="86"/>
      <c r="P776" s="86"/>
      <c r="Q776" s="86"/>
      <c r="R776" s="86"/>
      <c r="S776" s="86"/>
      <c r="T776" s="62"/>
      <c r="U776" s="62"/>
      <c r="V776" s="62"/>
      <c r="W776" s="62"/>
      <c r="X776" s="62"/>
      <c r="Y776" s="62"/>
      <c r="Z776" s="86"/>
      <c r="AA776" s="86"/>
      <c r="AB776" s="86"/>
      <c r="AC776" s="86"/>
      <c r="AD776" s="86"/>
      <c r="AE776" s="86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6"/>
      <c r="C777" s="86"/>
      <c r="D777" s="86"/>
      <c r="E777" s="86"/>
      <c r="F777" s="86"/>
      <c r="G777" s="86"/>
      <c r="H777" s="62"/>
      <c r="I777" s="86"/>
      <c r="J777" s="73"/>
      <c r="K777" s="62"/>
      <c r="L777" s="62"/>
      <c r="M777" s="62"/>
      <c r="N777" s="86"/>
      <c r="O777" s="86"/>
      <c r="P777" s="86"/>
      <c r="Q777" s="86"/>
      <c r="R777" s="86"/>
      <c r="S777" s="86"/>
      <c r="T777" s="62"/>
      <c r="U777" s="86"/>
      <c r="V777" s="73"/>
      <c r="W777" s="62"/>
      <c r="X777" s="62"/>
      <c r="Y777" s="62"/>
      <c r="Z777" s="86"/>
      <c r="AA777" s="86"/>
      <c r="AB777" s="86"/>
      <c r="AC777" s="86"/>
      <c r="AD777" s="86"/>
      <c r="AE777" s="86"/>
      <c r="AF777" s="62"/>
      <c r="AG777" s="86"/>
      <c r="AH777" s="86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6"/>
      <c r="C778" s="86"/>
      <c r="D778" s="86"/>
      <c r="E778" s="86"/>
      <c r="F778" s="86"/>
      <c r="G778" s="86"/>
      <c r="H778" s="62"/>
      <c r="I778" s="65"/>
      <c r="J778" s="65"/>
      <c r="K778" s="62"/>
      <c r="L778" s="62"/>
      <c r="M778" s="64"/>
      <c r="N778" s="86"/>
      <c r="O778" s="86"/>
      <c r="P778" s="86"/>
      <c r="Q778" s="86"/>
      <c r="R778" s="86"/>
      <c r="S778" s="86"/>
      <c r="T778" s="62"/>
      <c r="U778" s="65"/>
      <c r="V778" s="65"/>
      <c r="W778" s="62"/>
      <c r="X778" s="62"/>
      <c r="Y778" s="64"/>
      <c r="Z778" s="86"/>
      <c r="AA778" s="86"/>
      <c r="AB778" s="86"/>
      <c r="AC778" s="86"/>
      <c r="AD778" s="86"/>
      <c r="AE778" s="86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6"/>
      <c r="C779" s="86"/>
      <c r="D779" s="86"/>
      <c r="E779" s="86"/>
      <c r="F779" s="86"/>
      <c r="G779" s="86"/>
      <c r="H779" s="62"/>
      <c r="I779" s="62"/>
      <c r="J779" s="62"/>
      <c r="K779" s="62"/>
      <c r="L779" s="62"/>
      <c r="M779" s="62"/>
      <c r="N779" s="86"/>
      <c r="O779" s="86"/>
      <c r="P779" s="86"/>
      <c r="Q779" s="86"/>
      <c r="R779" s="86"/>
      <c r="S779" s="86"/>
      <c r="T779" s="62"/>
      <c r="U779" s="62"/>
      <c r="V779" s="62"/>
      <c r="W779" s="62"/>
      <c r="X779" s="62"/>
      <c r="Y779" s="62"/>
      <c r="Z779" s="86"/>
      <c r="AA779" s="86"/>
      <c r="AB779" s="86"/>
      <c r="AC779" s="86"/>
      <c r="AD779" s="86"/>
      <c r="AE779" s="86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6"/>
      <c r="D780" s="101"/>
      <c r="E780" s="101"/>
      <c r="F780" s="86"/>
      <c r="G780" s="86"/>
      <c r="H780" s="62"/>
      <c r="I780" s="101"/>
      <c r="J780" s="101"/>
      <c r="K780" s="100"/>
      <c r="L780" s="62"/>
      <c r="M780" s="62"/>
      <c r="N780" s="65"/>
      <c r="O780" s="86"/>
      <c r="P780" s="101"/>
      <c r="Q780" s="101"/>
      <c r="R780" s="86"/>
      <c r="S780" s="86"/>
      <c r="T780" s="62"/>
      <c r="U780" s="101"/>
      <c r="V780" s="101"/>
      <c r="W780" s="100"/>
      <c r="X780" s="62"/>
      <c r="Y780" s="62"/>
      <c r="Z780" s="65"/>
      <c r="AA780" s="86"/>
      <c r="AB780" s="101"/>
      <c r="AC780" s="101"/>
      <c r="AD780" s="86"/>
      <c r="AE780" s="86"/>
      <c r="AF780" s="62"/>
      <c r="AG780" s="101"/>
      <c r="AH780" s="101"/>
      <c r="AI780" s="100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6"/>
      <c r="C781" s="86"/>
      <c r="D781" s="79"/>
      <c r="E781" s="80"/>
      <c r="F781" s="81"/>
      <c r="G781" s="81"/>
      <c r="H781" s="62"/>
      <c r="I781" s="85"/>
      <c r="J781" s="85"/>
      <c r="K781" s="100"/>
      <c r="L781" s="62"/>
      <c r="M781" s="62"/>
      <c r="N781" s="86"/>
      <c r="O781" s="86"/>
      <c r="P781" s="79"/>
      <c r="Q781" s="81"/>
      <c r="R781" s="81"/>
      <c r="S781" s="81"/>
      <c r="T781" s="62"/>
      <c r="U781" s="85"/>
      <c r="V781" s="85"/>
      <c r="W781" s="100"/>
      <c r="X781" s="62"/>
      <c r="Y781" s="62"/>
      <c r="Z781" s="86"/>
      <c r="AA781" s="86"/>
      <c r="AB781" s="79"/>
      <c r="AC781" s="81"/>
      <c r="AD781" s="81"/>
      <c r="AE781" s="81"/>
      <c r="AF781" s="62"/>
      <c r="AG781" s="85"/>
      <c r="AH781" s="85"/>
      <c r="AI781" s="100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6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6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6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6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6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6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6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6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6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6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6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6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6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6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6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6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65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6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65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6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6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6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6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6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6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6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6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6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6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6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6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6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6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6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6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62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6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6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6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6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6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6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6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6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6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6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6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6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6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6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86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6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6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6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62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6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6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86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6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86"/>
      <c r="P802" s="67"/>
      <c r="Q802" s="86"/>
      <c r="R802" s="86"/>
      <c r="S802" s="60"/>
      <c r="T802" s="62"/>
      <c r="U802" s="62"/>
      <c r="V802" s="62"/>
      <c r="W802" s="61"/>
      <c r="X802" s="62"/>
      <c r="Y802" s="62"/>
      <c r="Z802" s="66"/>
      <c r="AA802" s="65"/>
      <c r="AB802" s="67"/>
      <c r="AC802" s="86"/>
      <c r="AD802" s="86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6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6"/>
      <c r="P803" s="68"/>
      <c r="Q803" s="86"/>
      <c r="R803" s="86"/>
      <c r="S803" s="60"/>
      <c r="T803" s="62"/>
      <c r="U803" s="62"/>
      <c r="V803" s="62"/>
      <c r="W803" s="61"/>
      <c r="X803" s="62"/>
      <c r="Y803" s="62"/>
      <c r="Z803" s="66"/>
      <c r="AA803" s="86"/>
      <c r="AB803" s="68"/>
      <c r="AC803" s="86"/>
      <c r="AD803" s="86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6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6"/>
      <c r="P804" s="69"/>
      <c r="Q804" s="86"/>
      <c r="R804" s="62"/>
      <c r="S804" s="60"/>
      <c r="T804" s="62"/>
      <c r="U804" s="62"/>
      <c r="V804" s="62"/>
      <c r="W804" s="61"/>
      <c r="X804" s="62"/>
      <c r="Y804" s="62"/>
      <c r="Z804" s="66"/>
      <c r="AA804" s="86"/>
      <c r="AB804" s="69"/>
      <c r="AC804" s="86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6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6"/>
      <c r="P805" s="69"/>
      <c r="Q805" s="86"/>
      <c r="R805" s="86"/>
      <c r="S805" s="60"/>
      <c r="T805" s="62"/>
      <c r="U805" s="62"/>
      <c r="V805" s="62"/>
      <c r="W805" s="61"/>
      <c r="X805" s="62"/>
      <c r="Y805" s="62"/>
      <c r="Z805" s="66"/>
      <c r="AA805" s="86"/>
      <c r="AB805" s="69"/>
      <c r="AC805" s="86"/>
      <c r="AD805" s="86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6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6"/>
      <c r="P806" s="69"/>
      <c r="Q806" s="86"/>
      <c r="R806" s="86"/>
      <c r="S806" s="60"/>
      <c r="T806" s="62"/>
      <c r="U806" s="62"/>
      <c r="V806" s="62"/>
      <c r="W806" s="61"/>
      <c r="X806" s="62"/>
      <c r="Y806" s="62"/>
      <c r="Z806" s="66"/>
      <c r="AA806" s="86"/>
      <c r="AB806" s="69"/>
      <c r="AC806" s="86"/>
      <c r="AD806" s="86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6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86"/>
      <c r="P807" s="69"/>
      <c r="Q807" s="86"/>
      <c r="R807" s="86"/>
      <c r="S807" s="60"/>
      <c r="T807" s="62"/>
      <c r="U807" s="62"/>
      <c r="V807" s="62"/>
      <c r="W807" s="61"/>
      <c r="X807" s="62"/>
      <c r="Y807" s="62"/>
      <c r="Z807" s="66"/>
      <c r="AA807" s="86"/>
      <c r="AB807" s="69"/>
      <c r="AC807" s="86"/>
      <c r="AD807" s="86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6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6"/>
      <c r="P808" s="69"/>
      <c r="Q808" s="86"/>
      <c r="R808" s="86"/>
      <c r="S808" s="60"/>
      <c r="T808" s="62"/>
      <c r="U808" s="62"/>
      <c r="V808" s="62"/>
      <c r="W808" s="61"/>
      <c r="X808" s="62"/>
      <c r="Y808" s="62"/>
      <c r="Z808" s="66"/>
      <c r="AA808" s="86"/>
      <c r="AB808" s="69"/>
      <c r="AC808" s="86"/>
      <c r="AD808" s="86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6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6"/>
      <c r="P809" s="69"/>
      <c r="Q809" s="86"/>
      <c r="R809" s="86"/>
      <c r="S809" s="60"/>
      <c r="T809" s="62"/>
      <c r="U809" s="62"/>
      <c r="V809" s="62"/>
      <c r="W809" s="61"/>
      <c r="X809" s="62"/>
      <c r="Y809" s="62"/>
      <c r="Z809" s="66"/>
      <c r="AA809" s="86"/>
      <c r="AB809" s="69"/>
      <c r="AC809" s="86"/>
      <c r="AD809" s="86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6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62"/>
      <c r="P810" s="69"/>
      <c r="Q810" s="86"/>
      <c r="R810" s="86"/>
      <c r="S810" s="60"/>
      <c r="T810" s="62"/>
      <c r="U810" s="62"/>
      <c r="V810" s="62"/>
      <c r="W810" s="61"/>
      <c r="X810" s="62"/>
      <c r="Y810" s="62"/>
      <c r="Z810" s="66"/>
      <c r="AA810" s="86"/>
      <c r="AB810" s="69"/>
      <c r="AC810" s="86"/>
      <c r="AD810" s="86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6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86"/>
      <c r="P811" s="69"/>
      <c r="Q811" s="86"/>
      <c r="R811" s="86"/>
      <c r="S811" s="60"/>
      <c r="T811" s="62"/>
      <c r="U811" s="62"/>
      <c r="V811" s="62"/>
      <c r="W811" s="61"/>
      <c r="X811" s="62"/>
      <c r="Y811" s="62"/>
      <c r="Z811" s="66"/>
      <c r="AA811" s="86"/>
      <c r="AB811" s="69"/>
      <c r="AC811" s="86"/>
      <c r="AD811" s="86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6"/>
      <c r="P812" s="69"/>
      <c r="Q812" s="86"/>
      <c r="R812" s="86"/>
      <c r="S812" s="60"/>
      <c r="T812" s="62"/>
      <c r="U812" s="62"/>
      <c r="V812" s="62"/>
      <c r="W812" s="61"/>
      <c r="X812" s="62"/>
      <c r="Y812" s="62"/>
      <c r="Z812" s="66"/>
      <c r="AA812" s="86"/>
      <c r="AB812" s="69"/>
      <c r="AC812" s="86"/>
      <c r="AD812" s="86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6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6"/>
      <c r="P813" s="69"/>
      <c r="Q813" s="86"/>
      <c r="R813" s="86"/>
      <c r="S813" s="60"/>
      <c r="T813" s="62"/>
      <c r="U813" s="62"/>
      <c r="V813" s="62"/>
      <c r="W813" s="61"/>
      <c r="X813" s="62"/>
      <c r="Y813" s="62"/>
      <c r="Z813" s="66"/>
      <c r="AA813" s="86"/>
      <c r="AB813" s="69"/>
      <c r="AC813" s="86"/>
      <c r="AD813" s="86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6"/>
      <c r="P814" s="69"/>
      <c r="Q814" s="86"/>
      <c r="R814" s="86"/>
      <c r="S814" s="60"/>
      <c r="T814" s="62"/>
      <c r="U814" s="62"/>
      <c r="V814" s="62"/>
      <c r="W814" s="61"/>
      <c r="X814" s="62"/>
      <c r="Y814" s="62"/>
      <c r="Z814" s="66"/>
      <c r="AA814" s="86"/>
      <c r="AB814" s="69"/>
      <c r="AC814" s="86"/>
      <c r="AD814" s="86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6"/>
      <c r="P815" s="69"/>
      <c r="Q815" s="86"/>
      <c r="R815" s="86"/>
      <c r="S815" s="60"/>
      <c r="T815" s="62"/>
      <c r="U815" s="62"/>
      <c r="V815" s="62"/>
      <c r="W815" s="61"/>
      <c r="X815" s="62"/>
      <c r="Y815" s="62"/>
      <c r="Z815" s="66"/>
      <c r="AA815" s="86"/>
      <c r="AB815" s="69"/>
      <c r="AC815" s="86"/>
      <c r="AD815" s="86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6"/>
      <c r="P816" s="69"/>
      <c r="Q816" s="86"/>
      <c r="R816" s="86"/>
      <c r="S816" s="60"/>
      <c r="T816" s="62"/>
      <c r="U816" s="62"/>
      <c r="V816" s="62"/>
      <c r="W816" s="61"/>
      <c r="X816" s="62"/>
      <c r="Y816" s="62"/>
      <c r="Z816" s="66"/>
      <c r="AA816" s="86"/>
      <c r="AB816" s="69"/>
      <c r="AC816" s="86"/>
      <c r="AD816" s="86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6"/>
      <c r="P817" s="69"/>
      <c r="Q817" s="86"/>
      <c r="R817" s="86"/>
      <c r="S817" s="60"/>
      <c r="T817" s="62"/>
      <c r="U817" s="62"/>
      <c r="V817" s="62"/>
      <c r="W817" s="61"/>
      <c r="X817" s="62"/>
      <c r="Y817" s="62"/>
      <c r="Z817" s="66"/>
      <c r="AA817" s="86"/>
      <c r="AB817" s="69"/>
      <c r="AC817" s="86"/>
      <c r="AD817" s="86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6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6"/>
      <c r="R818" s="86"/>
      <c r="S818" s="60"/>
      <c r="T818" s="62"/>
      <c r="U818" s="62"/>
      <c r="V818" s="62"/>
      <c r="W818" s="61"/>
      <c r="X818" s="62"/>
      <c r="Y818" s="62"/>
      <c r="Z818" s="66"/>
      <c r="AA818" s="86"/>
      <c r="AB818" s="69"/>
      <c r="AC818" s="86"/>
      <c r="AD818" s="86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6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6"/>
      <c r="P819" s="69"/>
      <c r="Q819" s="86"/>
      <c r="R819" s="86"/>
      <c r="S819" s="60"/>
      <c r="T819" s="62"/>
      <c r="U819" s="62"/>
      <c r="V819" s="62"/>
      <c r="W819" s="61"/>
      <c r="X819" s="62"/>
      <c r="Y819" s="62"/>
      <c r="Z819" s="66"/>
      <c r="AA819" s="86"/>
      <c r="AB819" s="69"/>
      <c r="AC819" s="86"/>
      <c r="AD819" s="86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6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6"/>
      <c r="P820" s="69"/>
      <c r="Q820" s="86"/>
      <c r="R820" s="86"/>
      <c r="S820" s="60"/>
      <c r="T820" s="62"/>
      <c r="U820" s="62"/>
      <c r="V820" s="62"/>
      <c r="W820" s="61"/>
      <c r="X820" s="62"/>
      <c r="Y820" s="62"/>
      <c r="Z820" s="66"/>
      <c r="AA820" s="86"/>
      <c r="AB820" s="69"/>
      <c r="AC820" s="86"/>
      <c r="AD820" s="86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6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6"/>
      <c r="R821" s="86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6"/>
      <c r="AD821" s="86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6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6"/>
      <c r="P822" s="69"/>
      <c r="Q822" s="86"/>
      <c r="R822" s="86"/>
      <c r="S822" s="60"/>
      <c r="T822" s="62"/>
      <c r="U822" s="62"/>
      <c r="V822" s="62"/>
      <c r="W822" s="61"/>
      <c r="X822" s="62"/>
      <c r="Y822" s="62"/>
      <c r="Z822" s="66"/>
      <c r="AA822" s="86"/>
      <c r="AB822" s="69"/>
      <c r="AC822" s="86"/>
      <c r="AD822" s="86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6"/>
      <c r="O823" s="86"/>
      <c r="P823" s="86"/>
      <c r="Q823" s="86"/>
      <c r="R823" s="86"/>
      <c r="S823" s="86"/>
      <c r="T823" s="62"/>
      <c r="U823" s="62"/>
      <c r="V823" s="62"/>
      <c r="W823" s="61"/>
      <c r="X823" s="62"/>
      <c r="Y823" s="62"/>
      <c r="Z823" s="86"/>
      <c r="AA823" s="86"/>
      <c r="AB823" s="86"/>
      <c r="AC823" s="86"/>
      <c r="AD823" s="86"/>
      <c r="AE823" s="86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6"/>
      <c r="C824" s="86"/>
      <c r="D824" s="86"/>
      <c r="E824" s="86"/>
      <c r="F824" s="86"/>
      <c r="G824" s="86"/>
      <c r="H824" s="62"/>
      <c r="I824" s="62"/>
      <c r="J824" s="62"/>
      <c r="K824" s="62"/>
      <c r="L824" s="62"/>
      <c r="M824" s="62"/>
      <c r="N824" s="86"/>
      <c r="O824" s="86"/>
      <c r="P824" s="86"/>
      <c r="Q824" s="86"/>
      <c r="R824" s="86"/>
      <c r="S824" s="86"/>
      <c r="T824" s="62"/>
      <c r="U824" s="62"/>
      <c r="V824" s="62"/>
      <c r="W824" s="62"/>
      <c r="X824" s="62"/>
      <c r="Y824" s="62"/>
      <c r="Z824" s="86"/>
      <c r="AA824" s="86"/>
      <c r="AB824" s="86"/>
      <c r="AC824" s="86"/>
      <c r="AD824" s="86"/>
      <c r="AE824" s="86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6"/>
      <c r="C825" s="86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6"/>
      <c r="O825" s="86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6"/>
      <c r="AA825" s="86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6"/>
      <c r="C827" s="86"/>
      <c r="D827" s="86"/>
      <c r="E827" s="86"/>
      <c r="F827" s="86"/>
      <c r="G827" s="86"/>
      <c r="H827" s="62"/>
      <c r="I827" s="62"/>
      <c r="J827" s="62"/>
      <c r="K827" s="62"/>
      <c r="L827" s="62"/>
      <c r="M827" s="62"/>
      <c r="N827" s="86"/>
      <c r="O827" s="86"/>
      <c r="P827" s="86"/>
      <c r="Q827" s="86"/>
      <c r="R827" s="86"/>
      <c r="S827" s="86"/>
      <c r="T827" s="62"/>
      <c r="U827" s="62"/>
      <c r="V827" s="62"/>
      <c r="W827" s="62"/>
      <c r="X827" s="62"/>
      <c r="Y827" s="62"/>
      <c r="Z827" s="86"/>
      <c r="AA827" s="86"/>
      <c r="AB827" s="86"/>
      <c r="AC827" s="86"/>
      <c r="AD827" s="86"/>
      <c r="AE827" s="86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6"/>
      <c r="C828" s="86"/>
      <c r="D828" s="86"/>
      <c r="E828" s="86"/>
      <c r="F828" s="86"/>
      <c r="G828" s="86"/>
      <c r="H828" s="62"/>
      <c r="I828" s="62"/>
      <c r="J828" s="62"/>
      <c r="K828" s="62"/>
      <c r="L828" s="62"/>
      <c r="M828" s="62"/>
      <c r="N828" s="86"/>
      <c r="O828" s="86"/>
      <c r="P828" s="86"/>
      <c r="Q828" s="86"/>
      <c r="R828" s="86"/>
      <c r="S828" s="86"/>
      <c r="T828" s="62"/>
      <c r="U828" s="62"/>
      <c r="V828" s="62"/>
      <c r="W828" s="62"/>
      <c r="X828" s="62"/>
      <c r="Y828" s="62"/>
      <c r="Z828" s="86"/>
      <c r="AA828" s="86"/>
      <c r="AB828" s="86"/>
      <c r="AC828" s="86"/>
      <c r="AD828" s="86"/>
      <c r="AE828" s="86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6"/>
      <c r="C829" s="86"/>
      <c r="D829" s="86"/>
      <c r="E829" s="86"/>
      <c r="F829" s="86"/>
      <c r="G829" s="86"/>
      <c r="H829" s="62"/>
      <c r="I829" s="62"/>
      <c r="J829" s="62"/>
      <c r="K829" s="62"/>
      <c r="L829" s="62"/>
      <c r="M829" s="62"/>
      <c r="N829" s="86"/>
      <c r="O829" s="86"/>
      <c r="P829" s="86"/>
      <c r="Q829" s="86"/>
      <c r="R829" s="86"/>
      <c r="S829" s="86"/>
      <c r="T829" s="62"/>
      <c r="U829" s="62"/>
      <c r="V829" s="62"/>
      <c r="W829" s="62"/>
      <c r="X829" s="62"/>
      <c r="Y829" s="62"/>
      <c r="Z829" s="86"/>
      <c r="AA829" s="86"/>
      <c r="AB829" s="86"/>
      <c r="AC829" s="86"/>
      <c r="AD829" s="86"/>
      <c r="AE829" s="86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6"/>
      <c r="C830" s="86"/>
      <c r="D830" s="86"/>
      <c r="E830" s="86"/>
      <c r="F830" s="86"/>
      <c r="G830" s="86"/>
      <c r="H830" s="62"/>
      <c r="I830" s="62"/>
      <c r="J830" s="62"/>
      <c r="K830" s="62"/>
      <c r="L830" s="62"/>
      <c r="M830" s="63"/>
      <c r="N830" s="86"/>
      <c r="O830" s="86"/>
      <c r="P830" s="86"/>
      <c r="Q830" s="86"/>
      <c r="R830" s="86"/>
      <c r="S830" s="86"/>
      <c r="T830" s="62"/>
      <c r="U830" s="62"/>
      <c r="V830" s="62"/>
      <c r="W830" s="62"/>
      <c r="X830" s="62"/>
      <c r="Y830" s="63"/>
      <c r="Z830" s="86"/>
      <c r="AA830" s="86"/>
      <c r="AB830" s="86"/>
      <c r="AC830" s="86"/>
      <c r="AD830" s="86"/>
      <c r="AE830" s="86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6"/>
      <c r="C831" s="86"/>
      <c r="D831" s="86"/>
      <c r="E831" s="86"/>
      <c r="F831" s="86"/>
      <c r="G831" s="86"/>
      <c r="H831" s="62"/>
      <c r="I831" s="62"/>
      <c r="J831" s="62"/>
      <c r="K831" s="62"/>
      <c r="L831" s="62"/>
      <c r="M831" s="62"/>
      <c r="N831" s="86"/>
      <c r="O831" s="86"/>
      <c r="P831" s="86"/>
      <c r="Q831" s="86"/>
      <c r="R831" s="86"/>
      <c r="S831" s="86"/>
      <c r="T831" s="62"/>
      <c r="U831" s="62"/>
      <c r="V831" s="62"/>
      <c r="W831" s="62"/>
      <c r="X831" s="62"/>
      <c r="Y831" s="62"/>
      <c r="Z831" s="86"/>
      <c r="AA831" s="86"/>
      <c r="AB831" s="86"/>
      <c r="AC831" s="86"/>
      <c r="AD831" s="86"/>
      <c r="AE831" s="86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6"/>
      <c r="C832" s="86"/>
      <c r="D832" s="86"/>
      <c r="E832" s="86"/>
      <c r="F832" s="86"/>
      <c r="G832" s="86"/>
      <c r="H832" s="62"/>
      <c r="I832" s="86"/>
      <c r="J832" s="73"/>
      <c r="K832" s="62"/>
      <c r="L832" s="62"/>
      <c r="M832" s="62"/>
      <c r="N832" s="86"/>
      <c r="O832" s="86"/>
      <c r="P832" s="86"/>
      <c r="Q832" s="86"/>
      <c r="R832" s="86"/>
      <c r="S832" s="86"/>
      <c r="T832" s="62"/>
      <c r="U832" s="86"/>
      <c r="V832" s="73"/>
      <c r="W832" s="62"/>
      <c r="X832" s="62"/>
      <c r="Y832" s="62"/>
      <c r="Z832" s="86"/>
      <c r="AA832" s="86"/>
      <c r="AB832" s="86"/>
      <c r="AC832" s="86"/>
      <c r="AD832" s="86"/>
      <c r="AE832" s="86"/>
      <c r="AF832" s="62"/>
      <c r="AG832" s="86"/>
      <c r="AH832" s="86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6"/>
      <c r="C833" s="86"/>
      <c r="D833" s="86"/>
      <c r="E833" s="86"/>
      <c r="F833" s="86"/>
      <c r="G833" s="86"/>
      <c r="H833" s="62"/>
      <c r="I833" s="65"/>
      <c r="J833" s="65"/>
      <c r="K833" s="62"/>
      <c r="L833" s="62"/>
      <c r="M833" s="64"/>
      <c r="N833" s="86"/>
      <c r="O833" s="86"/>
      <c r="P833" s="86"/>
      <c r="Q833" s="86"/>
      <c r="R833" s="86"/>
      <c r="S833" s="86"/>
      <c r="T833" s="62"/>
      <c r="U833" s="65"/>
      <c r="V833" s="65"/>
      <c r="W833" s="62"/>
      <c r="X833" s="62"/>
      <c r="Y833" s="64"/>
      <c r="Z833" s="86"/>
      <c r="AA833" s="86"/>
      <c r="AB833" s="86"/>
      <c r="AC833" s="86"/>
      <c r="AD833" s="86"/>
      <c r="AE833" s="86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6"/>
      <c r="C834" s="86"/>
      <c r="D834" s="86"/>
      <c r="E834" s="86"/>
      <c r="F834" s="86"/>
      <c r="G834" s="86"/>
      <c r="H834" s="62"/>
      <c r="I834" s="62"/>
      <c r="J834" s="62"/>
      <c r="K834" s="62"/>
      <c r="L834" s="62"/>
      <c r="M834" s="62"/>
      <c r="N834" s="86"/>
      <c r="O834" s="86"/>
      <c r="P834" s="86"/>
      <c r="Q834" s="86"/>
      <c r="R834" s="86"/>
      <c r="S834" s="86"/>
      <c r="T834" s="62"/>
      <c r="U834" s="62"/>
      <c r="V834" s="62"/>
      <c r="W834" s="62"/>
      <c r="X834" s="62"/>
      <c r="Y834" s="62"/>
      <c r="Z834" s="86"/>
      <c r="AA834" s="86"/>
      <c r="AB834" s="86"/>
      <c r="AC834" s="86"/>
      <c r="AD834" s="86"/>
      <c r="AE834" s="86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6"/>
      <c r="D835" s="101"/>
      <c r="E835" s="101"/>
      <c r="F835" s="86"/>
      <c r="G835" s="86"/>
      <c r="H835" s="62"/>
      <c r="I835" s="101"/>
      <c r="J835" s="101"/>
      <c r="K835" s="100"/>
      <c r="L835" s="62"/>
      <c r="M835" s="62"/>
      <c r="N835" s="65"/>
      <c r="O835" s="86"/>
      <c r="P835" s="101"/>
      <c r="Q835" s="101"/>
      <c r="R835" s="86"/>
      <c r="S835" s="86"/>
      <c r="T835" s="62"/>
      <c r="U835" s="101"/>
      <c r="V835" s="101"/>
      <c r="W835" s="100"/>
      <c r="X835" s="62"/>
      <c r="Y835" s="62"/>
      <c r="Z835" s="65"/>
      <c r="AA835" s="86"/>
      <c r="AB835" s="101"/>
      <c r="AC835" s="101"/>
      <c r="AD835" s="86"/>
      <c r="AE835" s="86"/>
      <c r="AF835" s="62"/>
      <c r="AG835" s="101"/>
      <c r="AH835" s="101"/>
      <c r="AI835" s="100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6"/>
      <c r="C836" s="86"/>
      <c r="D836" s="79"/>
      <c r="E836" s="80"/>
      <c r="F836" s="81"/>
      <c r="G836" s="81"/>
      <c r="H836" s="62"/>
      <c r="I836" s="85"/>
      <c r="J836" s="85"/>
      <c r="K836" s="100"/>
      <c r="L836" s="62"/>
      <c r="M836" s="62"/>
      <c r="N836" s="86"/>
      <c r="O836" s="86"/>
      <c r="P836" s="79"/>
      <c r="Q836" s="81"/>
      <c r="R836" s="81"/>
      <c r="S836" s="81"/>
      <c r="T836" s="62"/>
      <c r="U836" s="85"/>
      <c r="V836" s="85"/>
      <c r="W836" s="100"/>
      <c r="X836" s="62"/>
      <c r="Y836" s="62"/>
      <c r="Z836" s="86"/>
      <c r="AA836" s="86"/>
      <c r="AB836" s="79"/>
      <c r="AC836" s="81"/>
      <c r="AD836" s="81"/>
      <c r="AE836" s="81"/>
      <c r="AF836" s="62"/>
      <c r="AG836" s="85"/>
      <c r="AH836" s="85"/>
      <c r="AI836" s="100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6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6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6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6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6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6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6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6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65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6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6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6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6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6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6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65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65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6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62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6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6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6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6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6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6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6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6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6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6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6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6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2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65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6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6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6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62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6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6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6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6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6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6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6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6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86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6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6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6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6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6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6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6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6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6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62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6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6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86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6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6"/>
      <c r="P857" s="67"/>
      <c r="Q857" s="86"/>
      <c r="R857" s="86"/>
      <c r="S857" s="60"/>
      <c r="T857" s="62"/>
      <c r="U857" s="62"/>
      <c r="V857" s="62"/>
      <c r="W857" s="61"/>
      <c r="X857" s="62"/>
      <c r="Y857" s="62"/>
      <c r="Z857" s="66"/>
      <c r="AA857" s="65"/>
      <c r="AB857" s="67"/>
      <c r="AC857" s="86"/>
      <c r="AD857" s="86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6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6"/>
      <c r="P858" s="68"/>
      <c r="Q858" s="86"/>
      <c r="R858" s="86"/>
      <c r="S858" s="60"/>
      <c r="T858" s="62"/>
      <c r="U858" s="62"/>
      <c r="V858" s="62"/>
      <c r="W858" s="61"/>
      <c r="X858" s="62"/>
      <c r="Y858" s="62"/>
      <c r="Z858" s="66"/>
      <c r="AA858" s="86"/>
      <c r="AB858" s="68"/>
      <c r="AC858" s="86"/>
      <c r="AD858" s="86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6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6"/>
      <c r="P859" s="69"/>
      <c r="Q859" s="86"/>
      <c r="R859" s="62"/>
      <c r="S859" s="60"/>
      <c r="T859" s="62"/>
      <c r="U859" s="62"/>
      <c r="V859" s="62"/>
      <c r="W859" s="61"/>
      <c r="X859" s="62"/>
      <c r="Y859" s="62"/>
      <c r="Z859" s="66"/>
      <c r="AA859" s="86"/>
      <c r="AB859" s="69"/>
      <c r="AC859" s="86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6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6"/>
      <c r="P860" s="69"/>
      <c r="Q860" s="86"/>
      <c r="R860" s="86"/>
      <c r="S860" s="60"/>
      <c r="T860" s="62"/>
      <c r="U860" s="62"/>
      <c r="V860" s="62"/>
      <c r="W860" s="61"/>
      <c r="X860" s="62"/>
      <c r="Y860" s="62"/>
      <c r="Z860" s="66"/>
      <c r="AA860" s="86"/>
      <c r="AB860" s="69"/>
      <c r="AC860" s="86"/>
      <c r="AD860" s="86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6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6"/>
      <c r="P861" s="69"/>
      <c r="Q861" s="86"/>
      <c r="R861" s="86"/>
      <c r="S861" s="60"/>
      <c r="T861" s="62"/>
      <c r="U861" s="62"/>
      <c r="V861" s="62"/>
      <c r="W861" s="61"/>
      <c r="X861" s="62"/>
      <c r="Y861" s="62"/>
      <c r="Z861" s="66"/>
      <c r="AA861" s="86"/>
      <c r="AB861" s="69"/>
      <c r="AC861" s="86"/>
      <c r="AD861" s="86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6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6"/>
      <c r="P862" s="69"/>
      <c r="Q862" s="86"/>
      <c r="R862" s="86"/>
      <c r="S862" s="60"/>
      <c r="T862" s="62"/>
      <c r="U862" s="62"/>
      <c r="V862" s="62"/>
      <c r="W862" s="61"/>
      <c r="X862" s="62"/>
      <c r="Y862" s="62"/>
      <c r="Z862" s="66"/>
      <c r="AA862" s="86"/>
      <c r="AB862" s="69"/>
      <c r="AC862" s="86"/>
      <c r="AD862" s="86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6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6"/>
      <c r="P863" s="69"/>
      <c r="Q863" s="86"/>
      <c r="R863" s="86"/>
      <c r="S863" s="60"/>
      <c r="T863" s="62"/>
      <c r="U863" s="62"/>
      <c r="V863" s="62"/>
      <c r="W863" s="61"/>
      <c r="X863" s="62"/>
      <c r="Y863" s="62"/>
      <c r="Z863" s="66"/>
      <c r="AA863" s="86"/>
      <c r="AB863" s="69"/>
      <c r="AC863" s="86"/>
      <c r="AD863" s="86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6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6"/>
      <c r="P864" s="69"/>
      <c r="Q864" s="86"/>
      <c r="R864" s="86"/>
      <c r="S864" s="60"/>
      <c r="T864" s="62"/>
      <c r="U864" s="62"/>
      <c r="V864" s="62"/>
      <c r="W864" s="61"/>
      <c r="X864" s="62"/>
      <c r="Y864" s="62"/>
      <c r="Z864" s="66"/>
      <c r="AA864" s="86"/>
      <c r="AB864" s="69"/>
      <c r="AC864" s="86"/>
      <c r="AD864" s="86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6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62"/>
      <c r="P865" s="69"/>
      <c r="Q865" s="86"/>
      <c r="R865" s="86"/>
      <c r="S865" s="60"/>
      <c r="T865" s="62"/>
      <c r="U865" s="62"/>
      <c r="V865" s="62"/>
      <c r="W865" s="61"/>
      <c r="X865" s="62"/>
      <c r="Y865" s="62"/>
      <c r="Z865" s="66"/>
      <c r="AA865" s="86"/>
      <c r="AB865" s="69"/>
      <c r="AC865" s="86"/>
      <c r="AD865" s="86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6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6"/>
      <c r="P866" s="69"/>
      <c r="Q866" s="86"/>
      <c r="R866" s="86"/>
      <c r="S866" s="60"/>
      <c r="T866" s="62"/>
      <c r="U866" s="62"/>
      <c r="V866" s="62"/>
      <c r="W866" s="61"/>
      <c r="X866" s="62"/>
      <c r="Y866" s="62"/>
      <c r="Z866" s="66"/>
      <c r="AA866" s="86"/>
      <c r="AB866" s="69"/>
      <c r="AC866" s="86"/>
      <c r="AD866" s="86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6"/>
      <c r="P867" s="69"/>
      <c r="Q867" s="86"/>
      <c r="R867" s="86"/>
      <c r="S867" s="60"/>
      <c r="T867" s="62"/>
      <c r="U867" s="62"/>
      <c r="V867" s="62"/>
      <c r="W867" s="61"/>
      <c r="X867" s="62"/>
      <c r="Y867" s="62"/>
      <c r="Z867" s="66"/>
      <c r="AA867" s="86"/>
      <c r="AB867" s="69"/>
      <c r="AC867" s="86"/>
      <c r="AD867" s="86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6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6"/>
      <c r="P868" s="69"/>
      <c r="Q868" s="86"/>
      <c r="R868" s="86"/>
      <c r="S868" s="60"/>
      <c r="T868" s="62"/>
      <c r="U868" s="62"/>
      <c r="V868" s="62"/>
      <c r="W868" s="61"/>
      <c r="X868" s="62"/>
      <c r="Y868" s="62"/>
      <c r="Z868" s="66"/>
      <c r="AA868" s="86"/>
      <c r="AB868" s="69"/>
      <c r="AC868" s="86"/>
      <c r="AD868" s="86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6"/>
      <c r="P869" s="69"/>
      <c r="Q869" s="86"/>
      <c r="R869" s="86"/>
      <c r="S869" s="60"/>
      <c r="T869" s="62"/>
      <c r="U869" s="62"/>
      <c r="V869" s="62"/>
      <c r="W869" s="61"/>
      <c r="X869" s="62"/>
      <c r="Y869" s="62"/>
      <c r="Z869" s="66"/>
      <c r="AA869" s="86"/>
      <c r="AB869" s="69"/>
      <c r="AC869" s="86"/>
      <c r="AD869" s="86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6"/>
      <c r="P870" s="69"/>
      <c r="Q870" s="86"/>
      <c r="R870" s="86"/>
      <c r="S870" s="60"/>
      <c r="T870" s="62"/>
      <c r="U870" s="62"/>
      <c r="V870" s="62"/>
      <c r="W870" s="61"/>
      <c r="X870" s="62"/>
      <c r="Y870" s="62"/>
      <c r="Z870" s="66"/>
      <c r="AA870" s="86"/>
      <c r="AB870" s="69"/>
      <c r="AC870" s="86"/>
      <c r="AD870" s="86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6"/>
      <c r="P871" s="69"/>
      <c r="Q871" s="86"/>
      <c r="R871" s="86"/>
      <c r="S871" s="60"/>
      <c r="T871" s="62"/>
      <c r="U871" s="62"/>
      <c r="V871" s="62"/>
      <c r="W871" s="61"/>
      <c r="X871" s="62"/>
      <c r="Y871" s="62"/>
      <c r="Z871" s="66"/>
      <c r="AA871" s="86"/>
      <c r="AB871" s="69"/>
      <c r="AC871" s="86"/>
      <c r="AD871" s="86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6"/>
      <c r="P872" s="69"/>
      <c r="Q872" s="86"/>
      <c r="R872" s="86"/>
      <c r="S872" s="60"/>
      <c r="T872" s="62"/>
      <c r="U872" s="62"/>
      <c r="V872" s="62"/>
      <c r="W872" s="61"/>
      <c r="X872" s="62"/>
      <c r="Y872" s="62"/>
      <c r="Z872" s="66"/>
      <c r="AA872" s="86"/>
      <c r="AB872" s="69"/>
      <c r="AC872" s="86"/>
      <c r="AD872" s="86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6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6"/>
      <c r="R873" s="86"/>
      <c r="S873" s="60"/>
      <c r="T873" s="62"/>
      <c r="U873" s="62"/>
      <c r="V873" s="62"/>
      <c r="W873" s="61"/>
      <c r="X873" s="62"/>
      <c r="Y873" s="62"/>
      <c r="Z873" s="66"/>
      <c r="AA873" s="86"/>
      <c r="AB873" s="69"/>
      <c r="AC873" s="86"/>
      <c r="AD873" s="86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6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6"/>
      <c r="P874" s="69"/>
      <c r="Q874" s="86"/>
      <c r="R874" s="86"/>
      <c r="S874" s="60"/>
      <c r="T874" s="62"/>
      <c r="U874" s="62"/>
      <c r="V874" s="62"/>
      <c r="W874" s="61"/>
      <c r="X874" s="62"/>
      <c r="Y874" s="62"/>
      <c r="Z874" s="66"/>
      <c r="AA874" s="86"/>
      <c r="AB874" s="69"/>
      <c r="AC874" s="86"/>
      <c r="AD874" s="86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6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6"/>
      <c r="P875" s="69"/>
      <c r="Q875" s="86"/>
      <c r="R875" s="86"/>
      <c r="S875" s="60"/>
      <c r="T875" s="62"/>
      <c r="U875" s="62"/>
      <c r="V875" s="62"/>
      <c r="W875" s="61"/>
      <c r="X875" s="62"/>
      <c r="Y875" s="62"/>
      <c r="Z875" s="66"/>
      <c r="AA875" s="86"/>
      <c r="AB875" s="69"/>
      <c r="AC875" s="86"/>
      <c r="AD875" s="86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6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6"/>
      <c r="R876" s="86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6"/>
      <c r="AD876" s="86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6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6"/>
      <c r="P877" s="69"/>
      <c r="Q877" s="86"/>
      <c r="R877" s="86"/>
      <c r="S877" s="60"/>
      <c r="T877" s="62"/>
      <c r="U877" s="62"/>
      <c r="V877" s="62"/>
      <c r="W877" s="61"/>
      <c r="X877" s="62"/>
      <c r="Y877" s="62"/>
      <c r="Z877" s="66"/>
      <c r="AA877" s="86"/>
      <c r="AB877" s="69"/>
      <c r="AC877" s="86"/>
      <c r="AD877" s="86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6"/>
      <c r="O878" s="86"/>
      <c r="P878" s="86"/>
      <c r="Q878" s="86"/>
      <c r="R878" s="86"/>
      <c r="S878" s="86"/>
      <c r="T878" s="62"/>
      <c r="U878" s="62"/>
      <c r="V878" s="62"/>
      <c r="W878" s="61"/>
      <c r="X878" s="62"/>
      <c r="Y878" s="62"/>
      <c r="Z878" s="86"/>
      <c r="AA878" s="86"/>
      <c r="AB878" s="86"/>
      <c r="AC878" s="86"/>
      <c r="AD878" s="86"/>
      <c r="AE878" s="86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6"/>
      <c r="C879" s="86"/>
      <c r="D879" s="86"/>
      <c r="E879" s="86"/>
      <c r="F879" s="86"/>
      <c r="G879" s="86"/>
      <c r="H879" s="62"/>
      <c r="I879" s="62"/>
      <c r="J879" s="62"/>
      <c r="K879" s="62"/>
      <c r="L879" s="62"/>
      <c r="M879" s="62"/>
      <c r="N879" s="86"/>
      <c r="O879" s="86"/>
      <c r="P879" s="86"/>
      <c r="Q879" s="86"/>
      <c r="R879" s="86"/>
      <c r="S879" s="86"/>
      <c r="T879" s="62"/>
      <c r="U879" s="62"/>
      <c r="V879" s="62"/>
      <c r="W879" s="62"/>
      <c r="X879" s="62"/>
      <c r="Y879" s="62"/>
      <c r="Z879" s="86"/>
      <c r="AA879" s="86"/>
      <c r="AB879" s="86"/>
      <c r="AC879" s="86"/>
      <c r="AD879" s="86"/>
      <c r="AE879" s="86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6"/>
      <c r="C880" s="86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6"/>
      <c r="O880" s="86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6"/>
      <c r="AA880" s="86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6"/>
      <c r="C882" s="86"/>
      <c r="D882" s="86"/>
      <c r="E882" s="86"/>
      <c r="F882" s="86"/>
      <c r="G882" s="86"/>
      <c r="H882" s="62"/>
      <c r="I882" s="62"/>
      <c r="J882" s="62"/>
      <c r="K882" s="62"/>
      <c r="L882" s="62"/>
      <c r="M882" s="62"/>
      <c r="N882" s="86"/>
      <c r="O882" s="86"/>
      <c r="P882" s="86"/>
      <c r="Q882" s="86"/>
      <c r="R882" s="86"/>
      <c r="S882" s="86"/>
      <c r="T882" s="62"/>
      <c r="U882" s="62"/>
      <c r="V882" s="62"/>
      <c r="W882" s="62"/>
      <c r="X882" s="62"/>
      <c r="Y882" s="62"/>
      <c r="Z882" s="86"/>
      <c r="AA882" s="86"/>
      <c r="AB882" s="86"/>
      <c r="AC882" s="86"/>
      <c r="AD882" s="86"/>
      <c r="AE882" s="86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6"/>
      <c r="C883" s="86"/>
      <c r="D883" s="86"/>
      <c r="E883" s="86"/>
      <c r="F883" s="86"/>
      <c r="G883" s="86"/>
      <c r="H883" s="62"/>
      <c r="I883" s="62"/>
      <c r="J883" s="62"/>
      <c r="K883" s="62"/>
      <c r="L883" s="62"/>
      <c r="M883" s="62"/>
      <c r="N883" s="86"/>
      <c r="O883" s="86"/>
      <c r="P883" s="86"/>
      <c r="Q883" s="86"/>
      <c r="R883" s="86"/>
      <c r="S883" s="86"/>
      <c r="T883" s="62"/>
      <c r="U883" s="62"/>
      <c r="V883" s="62"/>
      <c r="W883" s="62"/>
      <c r="X883" s="62"/>
      <c r="Y883" s="62"/>
      <c r="Z883" s="86"/>
      <c r="AA883" s="86"/>
      <c r="AB883" s="86"/>
      <c r="AC883" s="86"/>
      <c r="AD883" s="86"/>
      <c r="AE883" s="86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6"/>
      <c r="C884" s="86"/>
      <c r="D884" s="86"/>
      <c r="E884" s="86"/>
      <c r="F884" s="86"/>
      <c r="G884" s="86"/>
      <c r="H884" s="62"/>
      <c r="I884" s="62"/>
      <c r="J884" s="62"/>
      <c r="K884" s="62"/>
      <c r="L884" s="62"/>
      <c r="M884" s="62"/>
      <c r="N884" s="86"/>
      <c r="O884" s="86"/>
      <c r="P884" s="86"/>
      <c r="Q884" s="86"/>
      <c r="R884" s="86"/>
      <c r="S884" s="86"/>
      <c r="T884" s="62"/>
      <c r="U884" s="62"/>
      <c r="V884" s="62"/>
      <c r="W884" s="62"/>
      <c r="X884" s="62"/>
      <c r="Y884" s="62"/>
      <c r="Z884" s="86"/>
      <c r="AA884" s="86"/>
      <c r="AB884" s="86"/>
      <c r="AC884" s="86"/>
      <c r="AD884" s="86"/>
      <c r="AE884" s="86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6"/>
      <c r="C885" s="86"/>
      <c r="D885" s="86"/>
      <c r="E885" s="86"/>
      <c r="F885" s="86"/>
      <c r="G885" s="86"/>
      <c r="H885" s="62"/>
      <c r="I885" s="62"/>
      <c r="J885" s="62"/>
      <c r="K885" s="62"/>
      <c r="L885" s="62"/>
      <c r="M885" s="63"/>
      <c r="N885" s="86"/>
      <c r="O885" s="86"/>
      <c r="P885" s="86"/>
      <c r="Q885" s="86"/>
      <c r="R885" s="86"/>
      <c r="S885" s="86"/>
      <c r="T885" s="62"/>
      <c r="U885" s="62"/>
      <c r="V885" s="62"/>
      <c r="W885" s="62"/>
      <c r="X885" s="62"/>
      <c r="Y885" s="63"/>
      <c r="Z885" s="86"/>
      <c r="AA885" s="86"/>
      <c r="AB885" s="86"/>
      <c r="AC885" s="86"/>
      <c r="AD885" s="86"/>
      <c r="AE885" s="86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6"/>
      <c r="C886" s="86"/>
      <c r="D886" s="86"/>
      <c r="E886" s="86"/>
      <c r="F886" s="86"/>
      <c r="G886" s="86"/>
      <c r="H886" s="62"/>
      <c r="I886" s="62"/>
      <c r="J886" s="62"/>
      <c r="K886" s="62"/>
      <c r="L886" s="62"/>
      <c r="M886" s="62"/>
      <c r="N886" s="86"/>
      <c r="O886" s="86"/>
      <c r="P886" s="86"/>
      <c r="Q886" s="86"/>
      <c r="R886" s="86"/>
      <c r="S886" s="86"/>
      <c r="T886" s="62"/>
      <c r="U886" s="62"/>
      <c r="V886" s="62"/>
      <c r="W886" s="62"/>
      <c r="X886" s="62"/>
      <c r="Y886" s="62"/>
      <c r="Z886" s="86"/>
      <c r="AA886" s="86"/>
      <c r="AB886" s="86"/>
      <c r="AC886" s="86"/>
      <c r="AD886" s="86"/>
      <c r="AE886" s="86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6"/>
      <c r="C887" s="86"/>
      <c r="D887" s="86"/>
      <c r="E887" s="86"/>
      <c r="F887" s="86"/>
      <c r="G887" s="86"/>
      <c r="H887" s="62"/>
      <c r="I887" s="86"/>
      <c r="J887" s="73"/>
      <c r="K887" s="62"/>
      <c r="L887" s="62"/>
      <c r="M887" s="62"/>
      <c r="N887" s="86"/>
      <c r="O887" s="86"/>
      <c r="P887" s="86"/>
      <c r="Q887" s="86"/>
      <c r="R887" s="86"/>
      <c r="S887" s="86"/>
      <c r="T887" s="62"/>
      <c r="U887" s="86"/>
      <c r="V887" s="73"/>
      <c r="W887" s="62"/>
      <c r="X887" s="62"/>
      <c r="Y887" s="62"/>
      <c r="Z887" s="86"/>
      <c r="AA887" s="86"/>
      <c r="AB887" s="86"/>
      <c r="AC887" s="86"/>
      <c r="AD887" s="86"/>
      <c r="AE887" s="86"/>
      <c r="AF887" s="62"/>
      <c r="AG887" s="86"/>
      <c r="AH887" s="86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6"/>
      <c r="C888" s="86"/>
      <c r="D888" s="86"/>
      <c r="E888" s="86"/>
      <c r="F888" s="86"/>
      <c r="G888" s="86"/>
      <c r="H888" s="62"/>
      <c r="I888" s="65"/>
      <c r="J888" s="65"/>
      <c r="K888" s="62"/>
      <c r="L888" s="62"/>
      <c r="M888" s="64"/>
      <c r="N888" s="86"/>
      <c r="O888" s="86"/>
      <c r="P888" s="86"/>
      <c r="Q888" s="86"/>
      <c r="R888" s="86"/>
      <c r="S888" s="86"/>
      <c r="T888" s="62"/>
      <c r="U888" s="65"/>
      <c r="V888" s="65"/>
      <c r="W888" s="62"/>
      <c r="X888" s="62"/>
      <c r="Y888" s="64"/>
      <c r="Z888" s="86"/>
      <c r="AA888" s="86"/>
      <c r="AB888" s="86"/>
      <c r="AC888" s="86"/>
      <c r="AD888" s="86"/>
      <c r="AE888" s="86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6"/>
      <c r="C889" s="86"/>
      <c r="D889" s="86"/>
      <c r="E889" s="86"/>
      <c r="F889" s="86"/>
      <c r="G889" s="86"/>
      <c r="H889" s="62"/>
      <c r="I889" s="62"/>
      <c r="J889" s="62"/>
      <c r="K889" s="62"/>
      <c r="L889" s="62"/>
      <c r="M889" s="62"/>
      <c r="N889" s="86"/>
      <c r="O889" s="86"/>
      <c r="P889" s="86"/>
      <c r="Q889" s="86"/>
      <c r="R889" s="86"/>
      <c r="S889" s="86"/>
      <c r="T889" s="62"/>
      <c r="U889" s="62"/>
      <c r="V889" s="62"/>
      <c r="W889" s="62"/>
      <c r="X889" s="62"/>
      <c r="Y889" s="62"/>
      <c r="Z889" s="86"/>
      <c r="AA889" s="86"/>
      <c r="AB889" s="86"/>
      <c r="AC889" s="86"/>
      <c r="AD889" s="86"/>
      <c r="AE889" s="86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6"/>
      <c r="D890" s="101"/>
      <c r="E890" s="101"/>
      <c r="F890" s="86"/>
      <c r="G890" s="86"/>
      <c r="H890" s="62"/>
      <c r="I890" s="101"/>
      <c r="J890" s="101"/>
      <c r="K890" s="100"/>
      <c r="L890" s="62"/>
      <c r="M890" s="62"/>
      <c r="N890" s="65"/>
      <c r="O890" s="86"/>
      <c r="P890" s="101"/>
      <c r="Q890" s="101"/>
      <c r="R890" s="86"/>
      <c r="S890" s="86"/>
      <c r="T890" s="62"/>
      <c r="U890" s="101"/>
      <c r="V890" s="101"/>
      <c r="W890" s="100"/>
      <c r="X890" s="62"/>
      <c r="Y890" s="62"/>
      <c r="Z890" s="65"/>
      <c r="AA890" s="86"/>
      <c r="AB890" s="101"/>
      <c r="AC890" s="101"/>
      <c r="AD890" s="86"/>
      <c r="AE890" s="86"/>
      <c r="AF890" s="62"/>
      <c r="AG890" s="101"/>
      <c r="AH890" s="101"/>
      <c r="AI890" s="100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6"/>
      <c r="C891" s="86"/>
      <c r="D891" s="79"/>
      <c r="E891" s="80"/>
      <c r="F891" s="81"/>
      <c r="G891" s="81"/>
      <c r="H891" s="62"/>
      <c r="I891" s="85"/>
      <c r="J891" s="85"/>
      <c r="K891" s="100"/>
      <c r="L891" s="62"/>
      <c r="M891" s="62"/>
      <c r="N891" s="86"/>
      <c r="O891" s="86"/>
      <c r="P891" s="79"/>
      <c r="Q891" s="81"/>
      <c r="R891" s="81"/>
      <c r="S891" s="81"/>
      <c r="T891" s="62"/>
      <c r="U891" s="85"/>
      <c r="V891" s="85"/>
      <c r="W891" s="100"/>
      <c r="X891" s="62"/>
      <c r="Y891" s="62"/>
      <c r="Z891" s="86"/>
      <c r="AA891" s="86"/>
      <c r="AB891" s="79"/>
      <c r="AC891" s="81"/>
      <c r="AD891" s="81"/>
      <c r="AE891" s="81"/>
      <c r="AF891" s="62"/>
      <c r="AG891" s="85"/>
      <c r="AH891" s="85"/>
      <c r="AI891" s="100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6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6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6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6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6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6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6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6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65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6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6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6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6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6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6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6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6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6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6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6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6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6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6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6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6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6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6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65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6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6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6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5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6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6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6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6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6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6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6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6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6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6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6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6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86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86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86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6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6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6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6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6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6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6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6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6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6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6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86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6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2"/>
      <c r="P912" s="67"/>
      <c r="Q912" s="86"/>
      <c r="R912" s="86"/>
      <c r="S912" s="60"/>
      <c r="T912" s="62"/>
      <c r="U912" s="62"/>
      <c r="V912" s="62"/>
      <c r="W912" s="61"/>
      <c r="X912" s="62"/>
      <c r="Y912" s="62"/>
      <c r="Z912" s="66"/>
      <c r="AA912" s="86"/>
      <c r="AB912" s="67"/>
      <c r="AC912" s="86"/>
      <c r="AD912" s="86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6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6"/>
      <c r="P913" s="68"/>
      <c r="Q913" s="86"/>
      <c r="R913" s="86"/>
      <c r="S913" s="60"/>
      <c r="T913" s="62"/>
      <c r="U913" s="62"/>
      <c r="V913" s="62"/>
      <c r="W913" s="61"/>
      <c r="X913" s="62"/>
      <c r="Y913" s="62"/>
      <c r="Z913" s="66"/>
      <c r="AA913" s="86"/>
      <c r="AB913" s="68"/>
      <c r="AC913" s="86"/>
      <c r="AD913" s="86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6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6"/>
      <c r="P914" s="69"/>
      <c r="Q914" s="86"/>
      <c r="R914" s="62"/>
      <c r="S914" s="60"/>
      <c r="T914" s="62"/>
      <c r="U914" s="62"/>
      <c r="V914" s="62"/>
      <c r="W914" s="61"/>
      <c r="X914" s="62"/>
      <c r="Y914" s="62"/>
      <c r="Z914" s="66"/>
      <c r="AA914" s="62"/>
      <c r="AB914" s="69"/>
      <c r="AC914" s="86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6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6"/>
      <c r="P915" s="69"/>
      <c r="Q915" s="86"/>
      <c r="R915" s="86"/>
      <c r="S915" s="60"/>
      <c r="T915" s="62"/>
      <c r="U915" s="62"/>
      <c r="V915" s="62"/>
      <c r="W915" s="61"/>
      <c r="X915" s="62"/>
      <c r="Y915" s="62"/>
      <c r="Z915" s="66"/>
      <c r="AA915" s="86"/>
      <c r="AB915" s="69"/>
      <c r="AC915" s="86"/>
      <c r="AD915" s="86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6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6"/>
      <c r="P916" s="69"/>
      <c r="Q916" s="86"/>
      <c r="R916" s="86"/>
      <c r="S916" s="60"/>
      <c r="T916" s="62"/>
      <c r="U916" s="62"/>
      <c r="V916" s="62"/>
      <c r="W916" s="61"/>
      <c r="X916" s="62"/>
      <c r="Y916" s="62"/>
      <c r="Z916" s="66"/>
      <c r="AA916" s="86"/>
      <c r="AB916" s="69"/>
      <c r="AC916" s="86"/>
      <c r="AD916" s="86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6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6"/>
      <c r="P917" s="69"/>
      <c r="Q917" s="86"/>
      <c r="R917" s="86"/>
      <c r="S917" s="60"/>
      <c r="T917" s="62"/>
      <c r="U917" s="62"/>
      <c r="V917" s="62"/>
      <c r="W917" s="61"/>
      <c r="X917" s="62"/>
      <c r="Y917" s="62"/>
      <c r="Z917" s="66"/>
      <c r="AA917" s="86"/>
      <c r="AB917" s="69"/>
      <c r="AC917" s="86"/>
      <c r="AD917" s="86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6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6"/>
      <c r="P918" s="69"/>
      <c r="Q918" s="86"/>
      <c r="R918" s="86"/>
      <c r="S918" s="60"/>
      <c r="T918" s="62"/>
      <c r="U918" s="62"/>
      <c r="V918" s="62"/>
      <c r="W918" s="61"/>
      <c r="X918" s="62"/>
      <c r="Y918" s="62"/>
      <c r="Z918" s="66"/>
      <c r="AA918" s="86"/>
      <c r="AB918" s="69"/>
      <c r="AC918" s="86"/>
      <c r="AD918" s="86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6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6"/>
      <c r="P919" s="69"/>
      <c r="Q919" s="86"/>
      <c r="R919" s="86"/>
      <c r="S919" s="60"/>
      <c r="T919" s="62"/>
      <c r="U919" s="62"/>
      <c r="V919" s="62"/>
      <c r="W919" s="61"/>
      <c r="X919" s="62"/>
      <c r="Y919" s="62"/>
      <c r="Z919" s="66"/>
      <c r="AA919" s="86"/>
      <c r="AB919" s="69"/>
      <c r="AC919" s="86"/>
      <c r="AD919" s="86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6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62"/>
      <c r="P920" s="69"/>
      <c r="Q920" s="86"/>
      <c r="R920" s="86"/>
      <c r="S920" s="60"/>
      <c r="T920" s="62"/>
      <c r="U920" s="62"/>
      <c r="V920" s="62"/>
      <c r="W920" s="61"/>
      <c r="X920" s="62"/>
      <c r="Y920" s="62"/>
      <c r="Z920" s="66"/>
      <c r="AA920" s="86"/>
      <c r="AB920" s="69"/>
      <c r="AC920" s="86"/>
      <c r="AD920" s="86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6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6"/>
      <c r="P921" s="69"/>
      <c r="Q921" s="86"/>
      <c r="R921" s="86"/>
      <c r="S921" s="60"/>
      <c r="T921" s="62"/>
      <c r="U921" s="62"/>
      <c r="V921" s="62"/>
      <c r="W921" s="61"/>
      <c r="X921" s="62"/>
      <c r="Y921" s="62"/>
      <c r="Z921" s="66"/>
      <c r="AA921" s="86"/>
      <c r="AB921" s="69"/>
      <c r="AC921" s="86"/>
      <c r="AD921" s="86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6"/>
      <c r="P922" s="69"/>
      <c r="Q922" s="86"/>
      <c r="R922" s="86"/>
      <c r="S922" s="60"/>
      <c r="T922" s="62"/>
      <c r="U922" s="62"/>
      <c r="V922" s="62"/>
      <c r="W922" s="61"/>
      <c r="X922" s="62"/>
      <c r="Y922" s="62"/>
      <c r="Z922" s="66"/>
      <c r="AA922" s="86"/>
      <c r="AB922" s="69"/>
      <c r="AC922" s="86"/>
      <c r="AD922" s="86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6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6"/>
      <c r="P923" s="69"/>
      <c r="Q923" s="86"/>
      <c r="R923" s="86"/>
      <c r="S923" s="60"/>
      <c r="T923" s="62"/>
      <c r="U923" s="62"/>
      <c r="V923" s="62"/>
      <c r="W923" s="61"/>
      <c r="X923" s="62"/>
      <c r="Y923" s="62"/>
      <c r="Z923" s="66"/>
      <c r="AA923" s="86"/>
      <c r="AB923" s="69"/>
      <c r="AC923" s="86"/>
      <c r="AD923" s="86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6"/>
      <c r="P924" s="69"/>
      <c r="Q924" s="86"/>
      <c r="R924" s="86"/>
      <c r="S924" s="60"/>
      <c r="T924" s="62"/>
      <c r="U924" s="62"/>
      <c r="V924" s="62"/>
      <c r="W924" s="61"/>
      <c r="X924" s="62"/>
      <c r="Y924" s="62"/>
      <c r="Z924" s="66"/>
      <c r="AA924" s="86"/>
      <c r="AB924" s="69"/>
      <c r="AC924" s="86"/>
      <c r="AD924" s="86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6"/>
      <c r="P925" s="69"/>
      <c r="Q925" s="86"/>
      <c r="R925" s="86"/>
      <c r="S925" s="60"/>
      <c r="T925" s="62"/>
      <c r="U925" s="62"/>
      <c r="V925" s="62"/>
      <c r="W925" s="61"/>
      <c r="X925" s="62"/>
      <c r="Y925" s="62"/>
      <c r="Z925" s="66"/>
      <c r="AA925" s="86"/>
      <c r="AB925" s="69"/>
      <c r="AC925" s="86"/>
      <c r="AD925" s="86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6"/>
      <c r="P926" s="69"/>
      <c r="Q926" s="86"/>
      <c r="R926" s="86"/>
      <c r="S926" s="60"/>
      <c r="T926" s="62"/>
      <c r="U926" s="62"/>
      <c r="V926" s="62"/>
      <c r="W926" s="61"/>
      <c r="X926" s="62"/>
      <c r="Y926" s="62"/>
      <c r="Z926" s="66"/>
      <c r="AA926" s="86"/>
      <c r="AB926" s="69"/>
      <c r="AC926" s="86"/>
      <c r="AD926" s="86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6"/>
      <c r="P927" s="69"/>
      <c r="Q927" s="86"/>
      <c r="R927" s="86"/>
      <c r="S927" s="60"/>
      <c r="T927" s="62"/>
      <c r="U927" s="62"/>
      <c r="V927" s="62"/>
      <c r="W927" s="61"/>
      <c r="X927" s="62"/>
      <c r="Y927" s="62"/>
      <c r="Z927" s="66"/>
      <c r="AA927" s="86"/>
      <c r="AB927" s="69"/>
      <c r="AC927" s="86"/>
      <c r="AD927" s="86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6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6"/>
      <c r="R928" s="86"/>
      <c r="S928" s="60"/>
      <c r="T928" s="62"/>
      <c r="U928" s="62"/>
      <c r="V928" s="62"/>
      <c r="W928" s="61"/>
      <c r="X928" s="62"/>
      <c r="Y928" s="62"/>
      <c r="Z928" s="66"/>
      <c r="AA928" s="86"/>
      <c r="AB928" s="69"/>
      <c r="AC928" s="86"/>
      <c r="AD928" s="86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6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6"/>
      <c r="P929" s="69"/>
      <c r="Q929" s="86"/>
      <c r="R929" s="86"/>
      <c r="S929" s="60"/>
      <c r="T929" s="62"/>
      <c r="U929" s="62"/>
      <c r="V929" s="62"/>
      <c r="W929" s="61"/>
      <c r="X929" s="62"/>
      <c r="Y929" s="62"/>
      <c r="Z929" s="66"/>
      <c r="AA929" s="86"/>
      <c r="AB929" s="69"/>
      <c r="AC929" s="86"/>
      <c r="AD929" s="86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6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6"/>
      <c r="P930" s="69"/>
      <c r="Q930" s="86"/>
      <c r="R930" s="86"/>
      <c r="S930" s="60"/>
      <c r="T930" s="62"/>
      <c r="U930" s="62"/>
      <c r="V930" s="62"/>
      <c r="W930" s="61"/>
      <c r="X930" s="62"/>
      <c r="Y930" s="62"/>
      <c r="Z930" s="66"/>
      <c r="AA930" s="86"/>
      <c r="AB930" s="69"/>
      <c r="AC930" s="86"/>
      <c r="AD930" s="86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6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6"/>
      <c r="R931" s="86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6"/>
      <c r="AD931" s="86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6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6"/>
      <c r="P932" s="69"/>
      <c r="Q932" s="86"/>
      <c r="R932" s="86"/>
      <c r="S932" s="60"/>
      <c r="T932" s="62"/>
      <c r="U932" s="62"/>
      <c r="V932" s="62"/>
      <c r="W932" s="61"/>
      <c r="X932" s="62"/>
      <c r="Y932" s="62"/>
      <c r="Z932" s="66"/>
      <c r="AA932" s="86"/>
      <c r="AB932" s="69"/>
      <c r="AC932" s="86"/>
      <c r="AD932" s="86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6"/>
      <c r="O933" s="86"/>
      <c r="P933" s="86"/>
      <c r="Q933" s="86"/>
      <c r="R933" s="86"/>
      <c r="S933" s="86"/>
      <c r="T933" s="62"/>
      <c r="U933" s="62"/>
      <c r="V933" s="62"/>
      <c r="W933" s="61"/>
      <c r="X933" s="62"/>
      <c r="Y933" s="62"/>
      <c r="Z933" s="86"/>
      <c r="AA933" s="86"/>
      <c r="AB933" s="86"/>
      <c r="AC933" s="86"/>
      <c r="AD933" s="86"/>
      <c r="AE933" s="86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6"/>
      <c r="C934" s="86"/>
      <c r="D934" s="86"/>
      <c r="E934" s="86"/>
      <c r="F934" s="86"/>
      <c r="G934" s="86"/>
      <c r="H934" s="62"/>
      <c r="I934" s="62"/>
      <c r="J934" s="62"/>
      <c r="K934" s="62"/>
      <c r="L934" s="62"/>
      <c r="M934" s="62"/>
      <c r="N934" s="86"/>
      <c r="O934" s="86"/>
      <c r="P934" s="86"/>
      <c r="Q934" s="86"/>
      <c r="R934" s="86"/>
      <c r="S934" s="86"/>
      <c r="T934" s="62"/>
      <c r="U934" s="62"/>
      <c r="V934" s="62"/>
      <c r="W934" s="62"/>
      <c r="X934" s="62"/>
      <c r="Y934" s="62"/>
      <c r="Z934" s="86"/>
      <c r="AA934" s="86"/>
      <c r="AB934" s="86"/>
      <c r="AC934" s="86"/>
      <c r="AD934" s="86"/>
      <c r="AE934" s="86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6"/>
      <c r="C935" s="86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6"/>
      <c r="O935" s="86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6"/>
      <c r="AA935" s="86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6"/>
      <c r="C937" s="86"/>
      <c r="D937" s="86"/>
      <c r="E937" s="86"/>
      <c r="F937" s="86"/>
      <c r="G937" s="86"/>
      <c r="H937" s="62"/>
      <c r="I937" s="62"/>
      <c r="J937" s="62"/>
      <c r="K937" s="62"/>
      <c r="L937" s="62"/>
      <c r="M937" s="62"/>
      <c r="N937" s="86"/>
      <c r="O937" s="86"/>
      <c r="P937" s="86"/>
      <c r="Q937" s="86"/>
      <c r="R937" s="86"/>
      <c r="S937" s="86"/>
      <c r="T937" s="62"/>
      <c r="U937" s="62"/>
      <c r="V937" s="62"/>
      <c r="W937" s="62"/>
      <c r="X937" s="62"/>
      <c r="Y937" s="62"/>
      <c r="Z937" s="86"/>
      <c r="AA937" s="86"/>
      <c r="AB937" s="86"/>
      <c r="AC937" s="86"/>
      <c r="AD937" s="86"/>
      <c r="AE937" s="86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6"/>
      <c r="C938" s="86"/>
      <c r="D938" s="86"/>
      <c r="E938" s="86"/>
      <c r="F938" s="86"/>
      <c r="G938" s="86"/>
      <c r="H938" s="62"/>
      <c r="I938" s="62"/>
      <c r="J938" s="62"/>
      <c r="K938" s="62"/>
      <c r="L938" s="62"/>
      <c r="M938" s="62"/>
      <c r="N938" s="86"/>
      <c r="O938" s="86"/>
      <c r="P938" s="86"/>
      <c r="Q938" s="86"/>
      <c r="R938" s="86"/>
      <c r="S938" s="86"/>
      <c r="T938" s="62"/>
      <c r="U938" s="62"/>
      <c r="V938" s="62"/>
      <c r="W938" s="62"/>
      <c r="X938" s="62"/>
      <c r="Y938" s="62"/>
      <c r="Z938" s="86"/>
      <c r="AA938" s="86"/>
      <c r="AB938" s="86"/>
      <c r="AC938" s="86"/>
      <c r="AD938" s="86"/>
      <c r="AE938" s="86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6"/>
      <c r="C939" s="86"/>
      <c r="D939" s="86"/>
      <c r="E939" s="86"/>
      <c r="F939" s="86"/>
      <c r="G939" s="86"/>
      <c r="H939" s="62"/>
      <c r="I939" s="62"/>
      <c r="J939" s="62"/>
      <c r="K939" s="62"/>
      <c r="L939" s="62"/>
      <c r="M939" s="62"/>
      <c r="N939" s="86"/>
      <c r="O939" s="86"/>
      <c r="P939" s="86"/>
      <c r="Q939" s="86"/>
      <c r="R939" s="86"/>
      <c r="S939" s="86"/>
      <c r="T939" s="62"/>
      <c r="U939" s="62"/>
      <c r="V939" s="62"/>
      <c r="W939" s="62"/>
      <c r="X939" s="62"/>
      <c r="Y939" s="62"/>
      <c r="Z939" s="86"/>
      <c r="AA939" s="86"/>
      <c r="AB939" s="86"/>
      <c r="AC939" s="86"/>
      <c r="AD939" s="86"/>
      <c r="AE939" s="86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6"/>
      <c r="C940" s="86"/>
      <c r="D940" s="86"/>
      <c r="E940" s="86"/>
      <c r="F940" s="86"/>
      <c r="G940" s="86"/>
      <c r="H940" s="62"/>
      <c r="I940" s="62"/>
      <c r="J940" s="62"/>
      <c r="K940" s="62"/>
      <c r="L940" s="62"/>
      <c r="M940" s="63"/>
      <c r="N940" s="86"/>
      <c r="O940" s="86"/>
      <c r="P940" s="86"/>
      <c r="Q940" s="86"/>
      <c r="R940" s="86"/>
      <c r="S940" s="86"/>
      <c r="T940" s="62"/>
      <c r="U940" s="62"/>
      <c r="V940" s="62"/>
      <c r="W940" s="62"/>
      <c r="X940" s="62"/>
      <c r="Y940" s="63"/>
      <c r="Z940" s="86"/>
      <c r="AA940" s="86"/>
      <c r="AB940" s="86"/>
      <c r="AC940" s="86"/>
      <c r="AD940" s="86"/>
      <c r="AE940" s="86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6"/>
      <c r="C941" s="86"/>
      <c r="D941" s="86"/>
      <c r="E941" s="86"/>
      <c r="F941" s="86"/>
      <c r="G941" s="86"/>
      <c r="H941" s="62"/>
      <c r="I941" s="62"/>
      <c r="J941" s="62"/>
      <c r="K941" s="62"/>
      <c r="L941" s="62"/>
      <c r="M941" s="62"/>
      <c r="N941" s="86"/>
      <c r="O941" s="86"/>
      <c r="P941" s="86"/>
      <c r="Q941" s="86"/>
      <c r="R941" s="86"/>
      <c r="S941" s="86"/>
      <c r="T941" s="62"/>
      <c r="U941" s="62"/>
      <c r="V941" s="62"/>
      <c r="W941" s="62"/>
      <c r="X941" s="62"/>
      <c r="Y941" s="62"/>
      <c r="Z941" s="86"/>
      <c r="AA941" s="86"/>
      <c r="AB941" s="86"/>
      <c r="AC941" s="86"/>
      <c r="AD941" s="86"/>
      <c r="AE941" s="86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6"/>
      <c r="C942" s="86"/>
      <c r="D942" s="86"/>
      <c r="E942" s="86"/>
      <c r="F942" s="86"/>
      <c r="G942" s="86"/>
      <c r="H942" s="62"/>
      <c r="I942" s="86"/>
      <c r="J942" s="73"/>
      <c r="K942" s="62"/>
      <c r="L942" s="62"/>
      <c r="M942" s="62"/>
      <c r="N942" s="86"/>
      <c r="O942" s="86"/>
      <c r="P942" s="86"/>
      <c r="Q942" s="86"/>
      <c r="R942" s="86"/>
      <c r="S942" s="86"/>
      <c r="T942" s="62"/>
      <c r="U942" s="86"/>
      <c r="V942" s="73"/>
      <c r="W942" s="62"/>
      <c r="X942" s="62"/>
      <c r="Y942" s="62"/>
      <c r="Z942" s="86"/>
      <c r="AA942" s="86"/>
      <c r="AB942" s="86"/>
      <c r="AC942" s="86"/>
      <c r="AD942" s="86"/>
      <c r="AE942" s="86"/>
      <c r="AF942" s="62"/>
      <c r="AG942" s="86"/>
      <c r="AH942" s="86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6"/>
      <c r="C943" s="86"/>
      <c r="D943" s="86"/>
      <c r="E943" s="86"/>
      <c r="F943" s="86"/>
      <c r="G943" s="86"/>
      <c r="H943" s="62"/>
      <c r="I943" s="65"/>
      <c r="J943" s="65"/>
      <c r="K943" s="62"/>
      <c r="L943" s="62"/>
      <c r="M943" s="64"/>
      <c r="N943" s="86"/>
      <c r="O943" s="86"/>
      <c r="P943" s="86"/>
      <c r="Q943" s="86"/>
      <c r="R943" s="86"/>
      <c r="S943" s="86"/>
      <c r="T943" s="62"/>
      <c r="U943" s="65"/>
      <c r="V943" s="65"/>
      <c r="W943" s="62"/>
      <c r="X943" s="62"/>
      <c r="Y943" s="64"/>
      <c r="Z943" s="86"/>
      <c r="AA943" s="86"/>
      <c r="AB943" s="86"/>
      <c r="AC943" s="86"/>
      <c r="AD943" s="86"/>
      <c r="AE943" s="86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6"/>
      <c r="C944" s="86"/>
      <c r="D944" s="86"/>
      <c r="E944" s="86"/>
      <c r="F944" s="86"/>
      <c r="G944" s="86"/>
      <c r="H944" s="62"/>
      <c r="I944" s="62"/>
      <c r="J944" s="62"/>
      <c r="K944" s="62"/>
      <c r="L944" s="62"/>
      <c r="M944" s="62"/>
      <c r="N944" s="86"/>
      <c r="O944" s="86"/>
      <c r="P944" s="86"/>
      <c r="Q944" s="86"/>
      <c r="R944" s="86"/>
      <c r="S944" s="86"/>
      <c r="T944" s="62"/>
      <c r="U944" s="62"/>
      <c r="V944" s="62"/>
      <c r="W944" s="62"/>
      <c r="X944" s="62"/>
      <c r="Y944" s="62"/>
      <c r="Z944" s="86"/>
      <c r="AA944" s="86"/>
      <c r="AB944" s="86"/>
      <c r="AC944" s="86"/>
      <c r="AD944" s="86"/>
      <c r="AE944" s="86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6"/>
      <c r="D945" s="101"/>
      <c r="E945" s="101"/>
      <c r="F945" s="86"/>
      <c r="G945" s="86"/>
      <c r="H945" s="62"/>
      <c r="I945" s="101"/>
      <c r="J945" s="101"/>
      <c r="K945" s="100"/>
      <c r="L945" s="62"/>
      <c r="M945" s="62"/>
      <c r="N945" s="65"/>
      <c r="O945" s="86"/>
      <c r="P945" s="101"/>
      <c r="Q945" s="101"/>
      <c r="R945" s="86"/>
      <c r="S945" s="86"/>
      <c r="T945" s="62"/>
      <c r="U945" s="101"/>
      <c r="V945" s="101"/>
      <c r="W945" s="100"/>
      <c r="X945" s="62"/>
      <c r="Y945" s="62"/>
      <c r="Z945" s="65"/>
      <c r="AA945" s="86"/>
      <c r="AB945" s="101"/>
      <c r="AC945" s="101"/>
      <c r="AD945" s="86"/>
      <c r="AE945" s="86"/>
      <c r="AF945" s="62"/>
      <c r="AG945" s="101"/>
      <c r="AH945" s="101"/>
      <c r="AI945" s="100"/>
      <c r="AJ945" s="62"/>
      <c r="AK945" s="62"/>
      <c r="AL945" s="65"/>
      <c r="AM945" s="86"/>
      <c r="AN945" s="101"/>
      <c r="AO945" s="101"/>
      <c r="AP945" s="86"/>
      <c r="AQ945" s="86"/>
      <c r="AR945" s="62"/>
      <c r="AS945" s="101"/>
      <c r="AT945" s="101"/>
      <c r="AU945" s="100"/>
      <c r="AV945" s="62"/>
      <c r="AW945" s="62"/>
      <c r="AX945" s="62"/>
      <c r="AY945" s="62"/>
      <c r="AZ945" s="62"/>
    </row>
    <row r="946" spans="1:52" x14ac:dyDescent="0.25">
      <c r="A946" s="62"/>
      <c r="B946" s="86"/>
      <c r="C946" s="86"/>
      <c r="D946" s="79"/>
      <c r="E946" s="80"/>
      <c r="F946" s="81"/>
      <c r="G946" s="81"/>
      <c r="H946" s="62"/>
      <c r="I946" s="85"/>
      <c r="J946" s="85"/>
      <c r="K946" s="100"/>
      <c r="L946" s="62"/>
      <c r="M946" s="62"/>
      <c r="N946" s="86"/>
      <c r="O946" s="86"/>
      <c r="P946" s="79"/>
      <c r="Q946" s="81"/>
      <c r="R946" s="81"/>
      <c r="S946" s="81"/>
      <c r="T946" s="62"/>
      <c r="U946" s="85"/>
      <c r="V946" s="85"/>
      <c r="W946" s="100"/>
      <c r="X946" s="62"/>
      <c r="Y946" s="62"/>
      <c r="Z946" s="86"/>
      <c r="AA946" s="86"/>
      <c r="AB946" s="79"/>
      <c r="AC946" s="81"/>
      <c r="AD946" s="81"/>
      <c r="AE946" s="81"/>
      <c r="AF946" s="62"/>
      <c r="AG946" s="85"/>
      <c r="AH946" s="85"/>
      <c r="AI946" s="100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00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6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6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6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6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6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6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6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6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65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6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65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6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6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6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6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6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6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6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6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6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6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6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6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6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6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6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62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6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6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6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62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6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6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6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6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6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6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6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6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6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6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6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6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6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6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6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6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6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6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6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6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6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6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6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6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6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6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6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6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62"/>
      <c r="P967" s="67"/>
      <c r="Q967" s="86"/>
      <c r="R967" s="86"/>
      <c r="S967" s="60"/>
      <c r="T967" s="62"/>
      <c r="U967" s="62"/>
      <c r="V967" s="62"/>
      <c r="W967" s="61"/>
      <c r="X967" s="62"/>
      <c r="Y967" s="62"/>
      <c r="Z967" s="66"/>
      <c r="AA967" s="86"/>
      <c r="AB967" s="67"/>
      <c r="AC967" s="86"/>
      <c r="AD967" s="86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6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6"/>
      <c r="P968" s="68"/>
      <c r="Q968" s="86"/>
      <c r="R968" s="86"/>
      <c r="S968" s="60"/>
      <c r="T968" s="62"/>
      <c r="U968" s="62"/>
      <c r="V968" s="62"/>
      <c r="W968" s="61"/>
      <c r="X968" s="62"/>
      <c r="Y968" s="62"/>
      <c r="Z968" s="66"/>
      <c r="AA968" s="86"/>
      <c r="AB968" s="68"/>
      <c r="AC968" s="86"/>
      <c r="AD968" s="86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6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6"/>
      <c r="P969" s="69"/>
      <c r="Q969" s="86"/>
      <c r="R969" s="62"/>
      <c r="S969" s="60"/>
      <c r="T969" s="62"/>
      <c r="U969" s="62"/>
      <c r="V969" s="62"/>
      <c r="W969" s="61"/>
      <c r="X969" s="62"/>
      <c r="Y969" s="62"/>
      <c r="Z969" s="66"/>
      <c r="AA969" s="62"/>
      <c r="AB969" s="69"/>
      <c r="AC969" s="86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6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6"/>
      <c r="P970" s="69"/>
      <c r="Q970" s="86"/>
      <c r="R970" s="86"/>
      <c r="S970" s="60"/>
      <c r="T970" s="62"/>
      <c r="U970" s="62"/>
      <c r="V970" s="62"/>
      <c r="W970" s="61"/>
      <c r="X970" s="62"/>
      <c r="Y970" s="62"/>
      <c r="Z970" s="66"/>
      <c r="AA970" s="86"/>
      <c r="AB970" s="69"/>
      <c r="AC970" s="86"/>
      <c r="AD970" s="86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6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6"/>
      <c r="P971" s="69"/>
      <c r="Q971" s="86"/>
      <c r="R971" s="86"/>
      <c r="S971" s="60"/>
      <c r="T971" s="62"/>
      <c r="U971" s="62"/>
      <c r="V971" s="62"/>
      <c r="W971" s="61"/>
      <c r="X971" s="62"/>
      <c r="Y971" s="62"/>
      <c r="Z971" s="66"/>
      <c r="AA971" s="86"/>
      <c r="AB971" s="69"/>
      <c r="AC971" s="86"/>
      <c r="AD971" s="86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6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6"/>
      <c r="P972" s="69"/>
      <c r="Q972" s="86"/>
      <c r="R972" s="86"/>
      <c r="S972" s="60"/>
      <c r="T972" s="62"/>
      <c r="U972" s="62"/>
      <c r="V972" s="62"/>
      <c r="W972" s="61"/>
      <c r="X972" s="62"/>
      <c r="Y972" s="62"/>
      <c r="Z972" s="66"/>
      <c r="AA972" s="86"/>
      <c r="AB972" s="69"/>
      <c r="AC972" s="86"/>
      <c r="AD972" s="86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6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6"/>
      <c r="P973" s="69"/>
      <c r="Q973" s="86"/>
      <c r="R973" s="86"/>
      <c r="S973" s="60"/>
      <c r="T973" s="62"/>
      <c r="U973" s="62"/>
      <c r="V973" s="62"/>
      <c r="W973" s="61"/>
      <c r="X973" s="62"/>
      <c r="Y973" s="62"/>
      <c r="Z973" s="66"/>
      <c r="AA973" s="86"/>
      <c r="AB973" s="69"/>
      <c r="AC973" s="86"/>
      <c r="AD973" s="86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6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6"/>
      <c r="P974" s="69"/>
      <c r="Q974" s="86"/>
      <c r="R974" s="86"/>
      <c r="S974" s="60"/>
      <c r="T974" s="62"/>
      <c r="U974" s="62"/>
      <c r="V974" s="62"/>
      <c r="W974" s="61"/>
      <c r="X974" s="62"/>
      <c r="Y974" s="62"/>
      <c r="Z974" s="66"/>
      <c r="AA974" s="86"/>
      <c r="AB974" s="69"/>
      <c r="AC974" s="86"/>
      <c r="AD974" s="86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6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62"/>
      <c r="P975" s="69"/>
      <c r="Q975" s="86"/>
      <c r="R975" s="86"/>
      <c r="S975" s="60"/>
      <c r="T975" s="62"/>
      <c r="U975" s="62"/>
      <c r="V975" s="62"/>
      <c r="W975" s="61"/>
      <c r="X975" s="62"/>
      <c r="Y975" s="62"/>
      <c r="Z975" s="66"/>
      <c r="AA975" s="86"/>
      <c r="AB975" s="69"/>
      <c r="AC975" s="86"/>
      <c r="AD975" s="86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6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6"/>
      <c r="P976" s="69"/>
      <c r="Q976" s="86"/>
      <c r="R976" s="86"/>
      <c r="S976" s="60"/>
      <c r="T976" s="62"/>
      <c r="U976" s="62"/>
      <c r="V976" s="62"/>
      <c r="W976" s="61"/>
      <c r="X976" s="62"/>
      <c r="Y976" s="62"/>
      <c r="Z976" s="66"/>
      <c r="AA976" s="86"/>
      <c r="AB976" s="69"/>
      <c r="AC976" s="86"/>
      <c r="AD976" s="86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6"/>
      <c r="P977" s="69"/>
      <c r="Q977" s="86"/>
      <c r="R977" s="86"/>
      <c r="S977" s="60"/>
      <c r="T977" s="62"/>
      <c r="U977" s="62"/>
      <c r="V977" s="62"/>
      <c r="W977" s="61"/>
      <c r="X977" s="62"/>
      <c r="Y977" s="62"/>
      <c r="Z977" s="66"/>
      <c r="AA977" s="86"/>
      <c r="AB977" s="69"/>
      <c r="AC977" s="86"/>
      <c r="AD977" s="86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6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6"/>
      <c r="P978" s="69"/>
      <c r="Q978" s="86"/>
      <c r="R978" s="86"/>
      <c r="S978" s="60"/>
      <c r="T978" s="62"/>
      <c r="U978" s="62"/>
      <c r="V978" s="62"/>
      <c r="W978" s="61"/>
      <c r="X978" s="62"/>
      <c r="Y978" s="62"/>
      <c r="Z978" s="66"/>
      <c r="AA978" s="86"/>
      <c r="AB978" s="69"/>
      <c r="AC978" s="86"/>
      <c r="AD978" s="86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6"/>
      <c r="P979" s="69"/>
      <c r="Q979" s="86"/>
      <c r="R979" s="86"/>
      <c r="S979" s="60"/>
      <c r="T979" s="62"/>
      <c r="U979" s="62"/>
      <c r="V979" s="62"/>
      <c r="W979" s="61"/>
      <c r="X979" s="62"/>
      <c r="Y979" s="62"/>
      <c r="Z979" s="66"/>
      <c r="AA979" s="86"/>
      <c r="AB979" s="69"/>
      <c r="AC979" s="86"/>
      <c r="AD979" s="86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6"/>
      <c r="P980" s="69"/>
      <c r="Q980" s="86"/>
      <c r="R980" s="86"/>
      <c r="S980" s="60"/>
      <c r="T980" s="62"/>
      <c r="U980" s="62"/>
      <c r="V980" s="62"/>
      <c r="W980" s="61"/>
      <c r="X980" s="62"/>
      <c r="Y980" s="62"/>
      <c r="Z980" s="66"/>
      <c r="AA980" s="86"/>
      <c r="AB980" s="69"/>
      <c r="AC980" s="86"/>
      <c r="AD980" s="86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6"/>
      <c r="P981" s="69"/>
      <c r="Q981" s="86"/>
      <c r="R981" s="86"/>
      <c r="S981" s="60"/>
      <c r="T981" s="62"/>
      <c r="U981" s="62"/>
      <c r="V981" s="62"/>
      <c r="W981" s="61"/>
      <c r="X981" s="62"/>
      <c r="Y981" s="62"/>
      <c r="Z981" s="66"/>
      <c r="AA981" s="86"/>
      <c r="AB981" s="69"/>
      <c r="AC981" s="86"/>
      <c r="AD981" s="86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6"/>
      <c r="P982" s="69"/>
      <c r="Q982" s="86"/>
      <c r="R982" s="86"/>
      <c r="S982" s="60"/>
      <c r="T982" s="62"/>
      <c r="U982" s="62"/>
      <c r="V982" s="62"/>
      <c r="W982" s="61"/>
      <c r="X982" s="62"/>
      <c r="Y982" s="62"/>
      <c r="Z982" s="66"/>
      <c r="AA982" s="86"/>
      <c r="AB982" s="69"/>
      <c r="AC982" s="86"/>
      <c r="AD982" s="86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6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6"/>
      <c r="R983" s="86"/>
      <c r="S983" s="60"/>
      <c r="T983" s="62"/>
      <c r="U983" s="62"/>
      <c r="V983" s="62"/>
      <c r="W983" s="61"/>
      <c r="X983" s="62"/>
      <c r="Y983" s="62"/>
      <c r="Z983" s="66"/>
      <c r="AA983" s="86"/>
      <c r="AB983" s="69"/>
      <c r="AC983" s="86"/>
      <c r="AD983" s="86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6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6"/>
      <c r="P984" s="69"/>
      <c r="Q984" s="86"/>
      <c r="R984" s="86"/>
      <c r="S984" s="60"/>
      <c r="T984" s="62"/>
      <c r="U984" s="62"/>
      <c r="V984" s="62"/>
      <c r="W984" s="61"/>
      <c r="X984" s="62"/>
      <c r="Y984" s="62"/>
      <c r="Z984" s="66"/>
      <c r="AA984" s="86"/>
      <c r="AB984" s="69"/>
      <c r="AC984" s="86"/>
      <c r="AD984" s="86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6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6"/>
      <c r="P985" s="69"/>
      <c r="Q985" s="86"/>
      <c r="R985" s="86"/>
      <c r="S985" s="60"/>
      <c r="T985" s="62"/>
      <c r="U985" s="62"/>
      <c r="V985" s="62"/>
      <c r="W985" s="61"/>
      <c r="X985" s="62"/>
      <c r="Y985" s="62"/>
      <c r="Z985" s="66"/>
      <c r="AA985" s="86"/>
      <c r="AB985" s="69"/>
      <c r="AC985" s="86"/>
      <c r="AD985" s="86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6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6"/>
      <c r="R986" s="86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6"/>
      <c r="AD986" s="86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6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6"/>
      <c r="P987" s="69"/>
      <c r="Q987" s="86"/>
      <c r="R987" s="86"/>
      <c r="S987" s="60"/>
      <c r="T987" s="62"/>
      <c r="U987" s="62"/>
      <c r="V987" s="62"/>
      <c r="W987" s="61"/>
      <c r="X987" s="62"/>
      <c r="Y987" s="62"/>
      <c r="Z987" s="66"/>
      <c r="AA987" s="86"/>
      <c r="AB987" s="69"/>
      <c r="AC987" s="86"/>
      <c r="AD987" s="86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6"/>
      <c r="O988" s="86"/>
      <c r="P988" s="86"/>
      <c r="Q988" s="86"/>
      <c r="R988" s="86"/>
      <c r="S988" s="86"/>
      <c r="T988" s="62"/>
      <c r="U988" s="62"/>
      <c r="V988" s="62"/>
      <c r="W988" s="61"/>
      <c r="X988" s="62"/>
      <c r="Y988" s="62"/>
      <c r="Z988" s="86"/>
      <c r="AA988" s="86"/>
      <c r="AB988" s="86"/>
      <c r="AC988" s="86"/>
      <c r="AD988" s="86"/>
      <c r="AE988" s="86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6"/>
      <c r="C989" s="86"/>
      <c r="D989" s="86"/>
      <c r="E989" s="86"/>
      <c r="F989" s="86"/>
      <c r="G989" s="86"/>
      <c r="H989" s="62"/>
      <c r="I989" s="62"/>
      <c r="J989" s="62"/>
      <c r="K989" s="62"/>
      <c r="L989" s="62"/>
      <c r="M989" s="62"/>
      <c r="N989" s="86"/>
      <c r="O989" s="86"/>
      <c r="P989" s="86"/>
      <c r="Q989" s="86"/>
      <c r="R989" s="86"/>
      <c r="S989" s="86"/>
      <c r="T989" s="62"/>
      <c r="U989" s="62"/>
      <c r="V989" s="62"/>
      <c r="W989" s="62"/>
      <c r="X989" s="62"/>
      <c r="Y989" s="62"/>
      <c r="Z989" s="86"/>
      <c r="AA989" s="86"/>
      <c r="AB989" s="86"/>
      <c r="AC989" s="86"/>
      <c r="AD989" s="86"/>
      <c r="AE989" s="86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6"/>
      <c r="C990" s="86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6"/>
      <c r="O990" s="86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6"/>
      <c r="AA990" s="86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01"/>
      <c r="E1000" s="101"/>
      <c r="F1000" s="86"/>
      <c r="G1000" s="86"/>
      <c r="H1000" s="62"/>
      <c r="I1000" s="101"/>
      <c r="J1000" s="101"/>
      <c r="K1000" s="100"/>
      <c r="L1000" s="62"/>
      <c r="M1000" s="62"/>
      <c r="N1000" s="65"/>
      <c r="O1000" s="86"/>
      <c r="P1000" s="101"/>
      <c r="Q1000" s="101"/>
      <c r="R1000" s="86"/>
      <c r="S1000" s="86"/>
      <c r="T1000" s="62"/>
      <c r="U1000" s="101"/>
      <c r="V1000" s="101"/>
      <c r="W1000" s="100"/>
      <c r="X1000" s="62"/>
      <c r="Y1000" s="62"/>
      <c r="Z1000" s="65"/>
      <c r="AA1000" s="86"/>
      <c r="AB1000" s="101"/>
      <c r="AC1000" s="101"/>
      <c r="AD1000" s="86"/>
      <c r="AE1000" s="86"/>
      <c r="AF1000" s="62"/>
      <c r="AG1000" s="101"/>
      <c r="AH1000" s="101"/>
      <c r="AI1000" s="100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00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00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00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01"/>
      <c r="E1055" s="101"/>
      <c r="F1055" s="86"/>
      <c r="G1055" s="86"/>
      <c r="H1055" s="62"/>
      <c r="I1055" s="101"/>
      <c r="J1055" s="101"/>
      <c r="K1055" s="100"/>
      <c r="L1055" s="62"/>
      <c r="M1055" s="62"/>
      <c r="N1055" s="65"/>
      <c r="O1055" s="86"/>
      <c r="P1055" s="101"/>
      <c r="Q1055" s="101"/>
      <c r="R1055" s="86"/>
      <c r="S1055" s="86"/>
      <c r="T1055" s="62"/>
      <c r="U1055" s="101"/>
      <c r="V1055" s="101"/>
      <c r="W1055" s="100"/>
      <c r="X1055" s="62"/>
      <c r="Y1055" s="62"/>
      <c r="Z1055" s="65"/>
      <c r="AA1055" s="86"/>
      <c r="AB1055" s="101"/>
      <c r="AC1055" s="101"/>
      <c r="AD1055" s="86"/>
      <c r="AE1055" s="86"/>
      <c r="AF1055" s="62"/>
      <c r="AG1055" s="101"/>
      <c r="AH1055" s="101"/>
      <c r="AI1055" s="100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00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00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00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01"/>
      <c r="E1110" s="101"/>
      <c r="F1110" s="86"/>
      <c r="G1110" s="86"/>
      <c r="H1110" s="62"/>
      <c r="I1110" s="101"/>
      <c r="J1110" s="101"/>
      <c r="K1110" s="100"/>
      <c r="L1110" s="62"/>
      <c r="M1110" s="62"/>
      <c r="N1110" s="65"/>
      <c r="O1110" s="86"/>
      <c r="P1110" s="101"/>
      <c r="Q1110" s="101"/>
      <c r="R1110" s="86"/>
      <c r="S1110" s="86"/>
      <c r="T1110" s="62"/>
      <c r="U1110" s="101"/>
      <c r="V1110" s="101"/>
      <c r="W1110" s="100"/>
      <c r="X1110" s="62"/>
      <c r="Y1110" s="62"/>
      <c r="Z1110" s="65"/>
      <c r="AA1110" s="86"/>
      <c r="AB1110" s="101"/>
      <c r="AC1110" s="101"/>
      <c r="AD1110" s="86"/>
      <c r="AE1110" s="86"/>
      <c r="AF1110" s="62"/>
      <c r="AG1110" s="101"/>
      <c r="AH1110" s="101"/>
      <c r="AI1110" s="100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00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00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00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01"/>
      <c r="E1165" s="101"/>
      <c r="F1165" s="86"/>
      <c r="G1165" s="86"/>
      <c r="H1165" s="62"/>
      <c r="I1165" s="101"/>
      <c r="J1165" s="101"/>
      <c r="K1165" s="100"/>
      <c r="L1165" s="62"/>
      <c r="M1165" s="62"/>
      <c r="N1165" s="65"/>
      <c r="O1165" s="86"/>
      <c r="P1165" s="101"/>
      <c r="Q1165" s="101"/>
      <c r="R1165" s="86"/>
      <c r="S1165" s="86"/>
      <c r="T1165" s="62"/>
      <c r="U1165" s="101"/>
      <c r="V1165" s="101"/>
      <c r="W1165" s="100"/>
      <c r="X1165" s="62"/>
      <c r="Y1165" s="62"/>
      <c r="Z1165" s="65"/>
      <c r="AA1165" s="86"/>
      <c r="AB1165" s="101"/>
      <c r="AC1165" s="101"/>
      <c r="AD1165" s="86"/>
      <c r="AE1165" s="86"/>
      <c r="AF1165" s="62"/>
      <c r="AG1165" s="101"/>
      <c r="AH1165" s="101"/>
      <c r="AI1165" s="100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00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00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00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01"/>
      <c r="E1221" s="101"/>
      <c r="F1221" s="86"/>
      <c r="G1221" s="86"/>
      <c r="H1221" s="62"/>
      <c r="I1221" s="101"/>
      <c r="J1221" s="101"/>
      <c r="K1221" s="100"/>
      <c r="L1221" s="62"/>
      <c r="M1221" s="62"/>
      <c r="N1221" s="65"/>
      <c r="O1221" s="86"/>
      <c r="P1221" s="101"/>
      <c r="Q1221" s="101"/>
      <c r="R1221" s="86"/>
      <c r="S1221" s="86"/>
      <c r="T1221" s="62"/>
      <c r="U1221" s="101"/>
      <c r="V1221" s="101"/>
      <c r="W1221" s="100"/>
      <c r="X1221" s="62"/>
      <c r="Y1221" s="62"/>
      <c r="Z1221" s="65"/>
      <c r="AA1221" s="86"/>
      <c r="AB1221" s="101"/>
      <c r="AC1221" s="101"/>
      <c r="AD1221" s="86"/>
      <c r="AE1221" s="86"/>
      <c r="AF1221" s="62"/>
      <c r="AG1221" s="101"/>
      <c r="AH1221" s="101"/>
      <c r="AI1221" s="100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00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00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00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01"/>
      <c r="E1283" s="101"/>
      <c r="F1283" s="86"/>
      <c r="G1283" s="86"/>
      <c r="H1283" s="62"/>
      <c r="I1283" s="101"/>
      <c r="J1283" s="101"/>
      <c r="K1283" s="100"/>
      <c r="L1283" s="62"/>
      <c r="M1283" s="62"/>
      <c r="N1283" s="65"/>
      <c r="O1283" s="86"/>
      <c r="P1283" s="101"/>
      <c r="Q1283" s="101"/>
      <c r="R1283" s="86"/>
      <c r="S1283" s="86"/>
      <c r="T1283" s="62"/>
      <c r="U1283" s="101"/>
      <c r="V1283" s="101"/>
      <c r="W1283" s="100"/>
      <c r="X1283" s="62"/>
      <c r="Y1283" s="62"/>
      <c r="Z1283" s="65"/>
      <c r="AA1283" s="86"/>
      <c r="AB1283" s="101"/>
      <c r="AC1283" s="101"/>
      <c r="AD1283" s="86"/>
      <c r="AE1283" s="86"/>
      <c r="AF1283" s="62"/>
      <c r="AG1283" s="101"/>
      <c r="AH1283" s="101"/>
      <c r="AI1283" s="100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00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00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00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FEBRUARY</vt:lpstr>
      <vt:lpstr>DSIS | FEBRUARY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2026-02-12T00:40:01Z</dcterms:modified>
</cp:coreProperties>
</file>