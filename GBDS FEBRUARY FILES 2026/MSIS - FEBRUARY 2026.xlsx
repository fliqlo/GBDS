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2026\2 GBDS FEBRUARY FILES 2026\"/>
    </mc:Choice>
  </mc:AlternateContent>
  <xr:revisionPtr revIDLastSave="0" documentId="13_ncr:1_{CAEDC35E-5E39-40A9-801C-F49D2B3BF07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82" i="2" l="1"/>
  <c r="AE1282" i="2" s="1"/>
  <c r="AI1282" i="2" s="1"/>
  <c r="AC1281" i="2"/>
  <c r="AB1281" i="2"/>
  <c r="AB1280" i="2"/>
  <c r="AE1280" i="2" s="1"/>
  <c r="AI1280" i="2" s="1"/>
  <c r="AC1279" i="2"/>
  <c r="AB1279" i="2"/>
  <c r="AB1278" i="2"/>
  <c r="AB1277" i="2"/>
  <c r="AE1277" i="2" s="1"/>
  <c r="AI1277" i="2" s="1"/>
  <c r="AA1278" i="2"/>
  <c r="AA1279" i="2" s="1"/>
  <c r="AA1280" i="2" s="1"/>
  <c r="AA1281" i="2" s="1"/>
  <c r="AA1282" i="2" s="1"/>
  <c r="AE1278" i="2"/>
  <c r="AI1278" i="2" s="1"/>
  <c r="AC1320" i="2"/>
  <c r="AE1279" i="2"/>
  <c r="AE1283" i="2"/>
  <c r="AI1283" i="2" s="1"/>
  <c r="AE1284" i="2"/>
  <c r="AI1284" i="2" s="1"/>
  <c r="AE1285" i="2"/>
  <c r="AI1285" i="2" s="1"/>
  <c r="AE1286" i="2"/>
  <c r="AI1286" i="2"/>
  <c r="AE1287" i="2"/>
  <c r="AI1287" i="2"/>
  <c r="AE1288" i="2"/>
  <c r="AI1288" i="2"/>
  <c r="AE1289" i="2"/>
  <c r="AI1289" i="2"/>
  <c r="AE1290" i="2"/>
  <c r="AI1290" i="2" s="1"/>
  <c r="AE1291" i="2"/>
  <c r="AI1291" i="2" s="1"/>
  <c r="AE1292" i="2"/>
  <c r="AI1292" i="2"/>
  <c r="AE1293" i="2"/>
  <c r="AI1293" i="2"/>
  <c r="AE1294" i="2"/>
  <c r="AI1294" i="2"/>
  <c r="AE1295" i="2"/>
  <c r="AI1295" i="2"/>
  <c r="AE1296" i="2"/>
  <c r="AI1296" i="2"/>
  <c r="AE1297" i="2"/>
  <c r="AI1297" i="2"/>
  <c r="AE1298" i="2"/>
  <c r="AI1298" i="2"/>
  <c r="AE1299" i="2"/>
  <c r="AI1299" i="2" s="1"/>
  <c r="AE1300" i="2"/>
  <c r="AI1300" i="2"/>
  <c r="AE1301" i="2"/>
  <c r="AI1301" i="2"/>
  <c r="AE1302" i="2"/>
  <c r="AI1302" i="2"/>
  <c r="AE1303" i="2"/>
  <c r="AI1303" i="2"/>
  <c r="AE1304" i="2"/>
  <c r="AI1304" i="2"/>
  <c r="AE1305" i="2"/>
  <c r="AI1305" i="2"/>
  <c r="AE1306" i="2"/>
  <c r="AI1306" i="2"/>
  <c r="AE1307" i="2"/>
  <c r="AI1307" i="2" s="1"/>
  <c r="AE1308" i="2"/>
  <c r="AI1308" i="2"/>
  <c r="AE1309" i="2"/>
  <c r="AI1309" i="2"/>
  <c r="AE1310" i="2"/>
  <c r="AI1310" i="2"/>
  <c r="AE1311" i="2"/>
  <c r="AI1311" i="2"/>
  <c r="AE1312" i="2"/>
  <c r="AI1312" i="2"/>
  <c r="AE1313" i="2"/>
  <c r="AI1313" i="2"/>
  <c r="AE1314" i="2"/>
  <c r="AI1314" i="2"/>
  <c r="AE1315" i="2"/>
  <c r="AI1315" i="2"/>
  <c r="AI1316" i="2"/>
  <c r="AE1317" i="2"/>
  <c r="AI1317" i="2"/>
  <c r="AI1318" i="2"/>
  <c r="AD1320" i="2"/>
  <c r="AG1320" i="2"/>
  <c r="AH1320" i="2"/>
  <c r="D1288" i="2"/>
  <c r="D1287" i="2"/>
  <c r="D1286" i="2"/>
  <c r="D1285" i="2"/>
  <c r="D1284" i="2"/>
  <c r="D1283" i="2"/>
  <c r="D1282" i="2"/>
  <c r="D1281" i="2"/>
  <c r="D1280" i="2"/>
  <c r="G1280" i="2" s="1"/>
  <c r="K1280" i="2" s="1"/>
  <c r="D1279" i="2"/>
  <c r="D1278" i="2"/>
  <c r="G1278" i="2" s="1"/>
  <c r="J1277" i="2"/>
  <c r="J1320" i="2" s="1"/>
  <c r="E1277" i="2"/>
  <c r="E1320" i="2" s="1"/>
  <c r="D1277" i="2"/>
  <c r="G1277" i="2" s="1"/>
  <c r="C1278" i="2"/>
  <c r="C1279" i="2" s="1"/>
  <c r="C1280" i="2" s="1"/>
  <c r="C1281" i="2" s="1"/>
  <c r="C1282" i="2" s="1"/>
  <c r="C1283" i="2" s="1"/>
  <c r="C1284" i="2" s="1"/>
  <c r="C1285" i="2" s="1"/>
  <c r="C1286" i="2" s="1"/>
  <c r="C1287" i="2" s="1"/>
  <c r="C1288" i="2" s="1"/>
  <c r="G1279" i="2"/>
  <c r="K1279" i="2"/>
  <c r="G1281" i="2"/>
  <c r="K1281" i="2" s="1"/>
  <c r="G1282" i="2"/>
  <c r="K1282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/>
  <c r="G1290" i="2"/>
  <c r="K1290" i="2"/>
  <c r="G1291" i="2"/>
  <c r="K1291" i="2"/>
  <c r="G1292" i="2"/>
  <c r="K1292" i="2" s="1"/>
  <c r="G1293" i="2"/>
  <c r="K1293" i="2"/>
  <c r="G1294" i="2"/>
  <c r="K1294" i="2"/>
  <c r="G1295" i="2"/>
  <c r="K1295" i="2"/>
  <c r="G1296" i="2"/>
  <c r="K1296" i="2"/>
  <c r="G1297" i="2"/>
  <c r="K1297" i="2"/>
  <c r="G1298" i="2"/>
  <c r="K1298" i="2"/>
  <c r="G1299" i="2"/>
  <c r="K1299" i="2"/>
  <c r="G1300" i="2"/>
  <c r="K1300" i="2" s="1"/>
  <c r="G1301" i="2"/>
  <c r="K1301" i="2"/>
  <c r="G1302" i="2"/>
  <c r="K1302" i="2"/>
  <c r="G1303" i="2"/>
  <c r="K1303" i="2"/>
  <c r="G1304" i="2"/>
  <c r="K1304" i="2"/>
  <c r="G1305" i="2"/>
  <c r="K1305" i="2"/>
  <c r="G1306" i="2"/>
  <c r="K1306" i="2"/>
  <c r="G1307" i="2"/>
  <c r="K1307" i="2"/>
  <c r="G1308" i="2"/>
  <c r="K1308" i="2" s="1"/>
  <c r="G1309" i="2"/>
  <c r="K1309" i="2"/>
  <c r="G1310" i="2"/>
  <c r="K1310" i="2"/>
  <c r="G1317" i="2"/>
  <c r="K1317" i="2"/>
  <c r="F1320" i="2"/>
  <c r="I1320" i="2"/>
  <c r="AE1281" i="2" l="1"/>
  <c r="AI1281" i="2" s="1"/>
  <c r="AB1320" i="2"/>
  <c r="AE1320" i="2"/>
  <c r="AI1279" i="2"/>
  <c r="AI1320" i="2" s="1"/>
  <c r="K1277" i="2"/>
  <c r="D1320" i="2"/>
  <c r="G1320" i="2"/>
  <c r="K1278" i="2"/>
  <c r="K1320" i="2" s="1"/>
  <c r="AB1230" i="2"/>
  <c r="AB1229" i="2"/>
  <c r="AB1228" i="2"/>
  <c r="AB1227" i="2"/>
  <c r="AB1226" i="2"/>
  <c r="AB1225" i="2"/>
  <c r="AE1225" i="2" s="1"/>
  <c r="AI1225" i="2" s="1"/>
  <c r="AC1224" i="2"/>
  <c r="AB1224" i="2"/>
  <c r="AB1223" i="2"/>
  <c r="AG1222" i="2"/>
  <c r="AC1222" i="2"/>
  <c r="AB1222" i="2"/>
  <c r="AE1222" i="2" s="1"/>
  <c r="AI1222" i="2" s="1"/>
  <c r="AC1265" i="2"/>
  <c r="AA1223" i="2"/>
  <c r="AA1224" i="2" s="1"/>
  <c r="AA1225" i="2" s="1"/>
  <c r="AA1226" i="2" s="1"/>
  <c r="AA1227" i="2" s="1"/>
  <c r="AA1228" i="2" s="1"/>
  <c r="AA1229" i="2" s="1"/>
  <c r="AA1230" i="2" s="1"/>
  <c r="AE1224" i="2"/>
  <c r="AI1224" i="2" s="1"/>
  <c r="AH1265" i="2"/>
  <c r="AE1226" i="2"/>
  <c r="AI1226" i="2" s="1"/>
  <c r="AE1227" i="2"/>
  <c r="AI1227" i="2" s="1"/>
  <c r="AE1228" i="2"/>
  <c r="AI1228" i="2" s="1"/>
  <c r="AE1229" i="2"/>
  <c r="AI1229" i="2" s="1"/>
  <c r="AE1230" i="2"/>
  <c r="AI1230" i="2"/>
  <c r="AE1231" i="2"/>
  <c r="AI1231" i="2" s="1"/>
  <c r="AE1232" i="2"/>
  <c r="AI1232" i="2" s="1"/>
  <c r="AE1233" i="2"/>
  <c r="AI1233" i="2" s="1"/>
  <c r="AE1234" i="2"/>
  <c r="AI1234" i="2"/>
  <c r="AE1235" i="2"/>
  <c r="AI1235" i="2"/>
  <c r="AE1236" i="2"/>
  <c r="AI1236" i="2"/>
  <c r="AE1237" i="2"/>
  <c r="AI1237" i="2" s="1"/>
  <c r="AE1238" i="2"/>
  <c r="AI1238" i="2"/>
  <c r="AE1239" i="2"/>
  <c r="AI1239" i="2"/>
  <c r="AE1240" i="2"/>
  <c r="AI1240" i="2" s="1"/>
  <c r="AE1241" i="2"/>
  <c r="AI1241" i="2" s="1"/>
  <c r="AE1242" i="2"/>
  <c r="AI1242" i="2"/>
  <c r="AE1243" i="2"/>
  <c r="AI1243" i="2"/>
  <c r="AE1244" i="2"/>
  <c r="AI1244" i="2"/>
  <c r="AE1245" i="2"/>
  <c r="AI1245" i="2" s="1"/>
  <c r="AE1246" i="2"/>
  <c r="AI1246" i="2"/>
  <c r="AE1247" i="2"/>
  <c r="AI1247" i="2"/>
  <c r="AE1248" i="2"/>
  <c r="AI1248" i="2" s="1"/>
  <c r="AE1249" i="2"/>
  <c r="AI1249" i="2" s="1"/>
  <c r="AE1250" i="2"/>
  <c r="AI1250" i="2"/>
  <c r="AE1251" i="2"/>
  <c r="AI1251" i="2"/>
  <c r="AE1252" i="2"/>
  <c r="AI1252" i="2"/>
  <c r="AE1253" i="2"/>
  <c r="AI1253" i="2" s="1"/>
  <c r="AE1254" i="2"/>
  <c r="AI1254" i="2"/>
  <c r="AE1255" i="2"/>
  <c r="AI1255" i="2"/>
  <c r="AE1256" i="2"/>
  <c r="AI1256" i="2" s="1"/>
  <c r="AE1257" i="2"/>
  <c r="AI1257" i="2"/>
  <c r="AE1258" i="2"/>
  <c r="AI1258" i="2"/>
  <c r="AE1259" i="2"/>
  <c r="AI1259" i="2"/>
  <c r="AE1260" i="2"/>
  <c r="AI1260" i="2"/>
  <c r="AI1261" i="2"/>
  <c r="AE1262" i="2"/>
  <c r="AI1262" i="2"/>
  <c r="AI1263" i="2"/>
  <c r="AD1265" i="2"/>
  <c r="AG1265" i="2"/>
  <c r="V1239" i="2"/>
  <c r="V1265" i="2" s="1"/>
  <c r="Q1239" i="2"/>
  <c r="P1239" i="2"/>
  <c r="P1238" i="2"/>
  <c r="S1238" i="2" s="1"/>
  <c r="W1238" i="2" s="1"/>
  <c r="P1237" i="2"/>
  <c r="S1237" i="2" s="1"/>
  <c r="W1237" i="2" s="1"/>
  <c r="P1236" i="2"/>
  <c r="S1236" i="2" s="1"/>
  <c r="W1236" i="2" s="1"/>
  <c r="P1235" i="2"/>
  <c r="S1235" i="2" s="1"/>
  <c r="W1235" i="2" s="1"/>
  <c r="P1234" i="2"/>
  <c r="S1234" i="2" s="1"/>
  <c r="W1234" i="2" s="1"/>
  <c r="P1233" i="2"/>
  <c r="S1233" i="2" s="1"/>
  <c r="W1233" i="2" s="1"/>
  <c r="P1232" i="2"/>
  <c r="P1231" i="2"/>
  <c r="S1231" i="2" s="1"/>
  <c r="W1231" i="2" s="1"/>
  <c r="U1230" i="2"/>
  <c r="P1230" i="2"/>
  <c r="S1230" i="2" s="1"/>
  <c r="W1230" i="2" s="1"/>
  <c r="P1229" i="2"/>
  <c r="P1228" i="2"/>
  <c r="S1228" i="2" s="1"/>
  <c r="W1228" i="2" s="1"/>
  <c r="P1227" i="2"/>
  <c r="S1227" i="2" s="1"/>
  <c r="W1227" i="2" s="1"/>
  <c r="P1226" i="2"/>
  <c r="P1225" i="2"/>
  <c r="S1225" i="2" s="1"/>
  <c r="W1225" i="2" s="1"/>
  <c r="P1224" i="2"/>
  <c r="S1224" i="2" s="1"/>
  <c r="W1224" i="2" s="1"/>
  <c r="P1223" i="2"/>
  <c r="P1222" i="2"/>
  <c r="S1222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S1223" i="2"/>
  <c r="W1223" i="2" s="1"/>
  <c r="S1226" i="2"/>
  <c r="W1226" i="2" s="1"/>
  <c r="S1229" i="2"/>
  <c r="W1229" i="2" s="1"/>
  <c r="S1232" i="2"/>
  <c r="W1232" i="2" s="1"/>
  <c r="S1240" i="2"/>
  <c r="W1240" i="2"/>
  <c r="S1241" i="2"/>
  <c r="W1241" i="2" s="1"/>
  <c r="S1242" i="2"/>
  <c r="W1242" i="2"/>
  <c r="S1243" i="2"/>
  <c r="W1243" i="2" s="1"/>
  <c r="S1244" i="2"/>
  <c r="W1244" i="2"/>
  <c r="S1245" i="2"/>
  <c r="W1245" i="2"/>
  <c r="S1246" i="2"/>
  <c r="W1246" i="2"/>
  <c r="S1247" i="2"/>
  <c r="W1247" i="2"/>
  <c r="S1248" i="2"/>
  <c r="W1248" i="2"/>
  <c r="S1249" i="2"/>
  <c r="W1249" i="2" s="1"/>
  <c r="S1250" i="2"/>
  <c r="W1250" i="2"/>
  <c r="S1251" i="2"/>
  <c r="W1251" i="2" s="1"/>
  <c r="S1252" i="2"/>
  <c r="W1252" i="2"/>
  <c r="S1253" i="2"/>
  <c r="W1253" i="2"/>
  <c r="S1254" i="2"/>
  <c r="W1254" i="2"/>
  <c r="S1255" i="2"/>
  <c r="W1255" i="2"/>
  <c r="S1256" i="2"/>
  <c r="W1256" i="2"/>
  <c r="S1257" i="2"/>
  <c r="W1257" i="2" s="1"/>
  <c r="S1258" i="2"/>
  <c r="W1258" i="2"/>
  <c r="S1259" i="2"/>
  <c r="W1259" i="2" s="1"/>
  <c r="S1260" i="2"/>
  <c r="W1260" i="2"/>
  <c r="W1261" i="2"/>
  <c r="S1262" i="2"/>
  <c r="W1262" i="2"/>
  <c r="W1263" i="2"/>
  <c r="Q1265" i="2"/>
  <c r="R1265" i="2"/>
  <c r="U1265" i="2"/>
  <c r="D1224" i="2"/>
  <c r="J1223" i="2"/>
  <c r="J1265" i="2" s="1"/>
  <c r="I1223" i="2"/>
  <c r="I1265" i="2" s="1"/>
  <c r="E1223" i="2"/>
  <c r="E1265" i="2" s="1"/>
  <c r="D1223" i="2"/>
  <c r="D1222" i="2"/>
  <c r="G1222" i="2"/>
  <c r="C1223" i="2"/>
  <c r="C1224" i="2"/>
  <c r="G1224" i="2"/>
  <c r="K1224" i="2" s="1"/>
  <c r="G1225" i="2"/>
  <c r="K1225" i="2" s="1"/>
  <c r="G1226" i="2"/>
  <c r="K1226" i="2" s="1"/>
  <c r="G1227" i="2"/>
  <c r="K1227" i="2" s="1"/>
  <c r="G1228" i="2"/>
  <c r="K1228" i="2"/>
  <c r="G1229" i="2"/>
  <c r="K1229" i="2" s="1"/>
  <c r="G1230" i="2"/>
  <c r="K1230" i="2" s="1"/>
  <c r="G1231" i="2"/>
  <c r="K1231" i="2" s="1"/>
  <c r="G1232" i="2"/>
  <c r="K1232" i="2"/>
  <c r="G1233" i="2"/>
  <c r="K1233" i="2"/>
  <c r="G1234" i="2"/>
  <c r="K1234" i="2"/>
  <c r="G1235" i="2"/>
  <c r="K1235" i="2" s="1"/>
  <c r="G1236" i="2"/>
  <c r="K1236" i="2" s="1"/>
  <c r="G1237" i="2"/>
  <c r="K1237" i="2"/>
  <c r="G1238" i="2"/>
  <c r="K1238" i="2"/>
  <c r="G1239" i="2"/>
  <c r="K1239" i="2" s="1"/>
  <c r="G1240" i="2"/>
  <c r="K1240" i="2"/>
  <c r="G1241" i="2"/>
  <c r="K1241" i="2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F1265" i="2"/>
  <c r="AB1265" i="2" l="1"/>
  <c r="AE1223" i="2"/>
  <c r="AI1223" i="2" s="1"/>
  <c r="AI1265" i="2" s="1"/>
  <c r="S1239" i="2"/>
  <c r="W1239" i="2" s="1"/>
  <c r="P1265" i="2"/>
  <c r="W1222" i="2"/>
  <c r="S1265" i="2"/>
  <c r="G1223" i="2"/>
  <c r="K1223" i="2" s="1"/>
  <c r="D1265" i="2"/>
  <c r="K1222" i="2"/>
  <c r="AG1172" i="2"/>
  <c r="AG1210" i="2" s="1"/>
  <c r="AB1172" i="2"/>
  <c r="AE1172" i="2" s="1"/>
  <c r="AI1172" i="2" s="1"/>
  <c r="AB1171" i="2"/>
  <c r="AC1171" i="2"/>
  <c r="AH1170" i="2"/>
  <c r="AC1170" i="2"/>
  <c r="AB1170" i="2"/>
  <c r="AE1170" i="2" s="1"/>
  <c r="AI1170" i="2" s="1"/>
  <c r="AH1169" i="2"/>
  <c r="AB1169" i="2"/>
  <c r="AE1169" i="2" s="1"/>
  <c r="AI1169" i="2" s="1"/>
  <c r="AB1168" i="2"/>
  <c r="AE1168" i="2" s="1"/>
  <c r="AC1167" i="2"/>
  <c r="AB1167" i="2"/>
  <c r="AE1167" i="2" s="1"/>
  <c r="AI1167" i="2" s="1"/>
  <c r="AA1168" i="2"/>
  <c r="AA1169" i="2" s="1"/>
  <c r="AA1170" i="2" s="1"/>
  <c r="AA1171" i="2" s="1"/>
  <c r="AA1172" i="2" s="1"/>
  <c r="AE1173" i="2"/>
  <c r="AI1173" i="2"/>
  <c r="AE1174" i="2"/>
  <c r="AI1174" i="2" s="1"/>
  <c r="AE1175" i="2"/>
  <c r="AI1175" i="2"/>
  <c r="AE1176" i="2"/>
  <c r="AI1176" i="2" s="1"/>
  <c r="AE1177" i="2"/>
  <c r="AI1177" i="2"/>
  <c r="AE1178" i="2"/>
  <c r="AI1178" i="2" s="1"/>
  <c r="AE1179" i="2"/>
  <c r="AI1179" i="2"/>
  <c r="AE1180" i="2"/>
  <c r="AI1180" i="2" s="1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/>
  <c r="AE1187" i="2"/>
  <c r="AI1187" i="2"/>
  <c r="AE1188" i="2"/>
  <c r="AI1188" i="2" s="1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/>
  <c r="AE1195" i="2"/>
  <c r="AI1195" i="2"/>
  <c r="AE1196" i="2"/>
  <c r="AI1196" i="2" s="1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/>
  <c r="AE1203" i="2"/>
  <c r="AI1203" i="2"/>
  <c r="AE1204" i="2"/>
  <c r="AI1204" i="2" s="1"/>
  <c r="AE1205" i="2"/>
  <c r="AI1205" i="2"/>
  <c r="AI1206" i="2"/>
  <c r="AE1207" i="2"/>
  <c r="AI1207" i="2"/>
  <c r="AI1208" i="2"/>
  <c r="AD1210" i="2"/>
  <c r="P1178" i="2"/>
  <c r="V1177" i="2"/>
  <c r="V1210" i="2" s="1"/>
  <c r="P1177" i="2"/>
  <c r="Q1177" i="2"/>
  <c r="Q1210" i="2" s="1"/>
  <c r="P1176" i="2"/>
  <c r="S1176" i="2" s="1"/>
  <c r="W1176" i="2" s="1"/>
  <c r="P1175" i="2"/>
  <c r="S1175" i="2" s="1"/>
  <c r="W1175" i="2" s="1"/>
  <c r="P1174" i="2"/>
  <c r="P1173" i="2"/>
  <c r="S1173" i="2" s="1"/>
  <c r="W1173" i="2" s="1"/>
  <c r="P1172" i="2"/>
  <c r="S1172" i="2" s="1"/>
  <c r="W1172" i="2" s="1"/>
  <c r="P1171" i="2"/>
  <c r="S1171" i="2" s="1"/>
  <c r="W1171" i="2" s="1"/>
  <c r="P1170" i="2"/>
  <c r="S1170" i="2" s="1"/>
  <c r="W1170" i="2" s="1"/>
  <c r="P1169" i="2"/>
  <c r="S1169" i="2" s="1"/>
  <c r="W1169" i="2" s="1"/>
  <c r="U1168" i="2"/>
  <c r="P1168" i="2"/>
  <c r="S1168" i="2" s="1"/>
  <c r="W1168" i="2" s="1"/>
  <c r="P1167" i="2"/>
  <c r="S1167" i="2"/>
  <c r="O1168" i="2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S1174" i="2"/>
  <c r="W1174" i="2" s="1"/>
  <c r="S1178" i="2"/>
  <c r="W1178" i="2" s="1"/>
  <c r="S1179" i="2"/>
  <c r="W1179" i="2" s="1"/>
  <c r="S1180" i="2"/>
  <c r="W1180" i="2"/>
  <c r="S1181" i="2"/>
  <c r="W1181" i="2" s="1"/>
  <c r="S1182" i="2"/>
  <c r="W1182" i="2" s="1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 s="1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 s="1"/>
  <c r="S1204" i="2"/>
  <c r="W1204" i="2"/>
  <c r="S1205" i="2"/>
  <c r="W1205" i="2"/>
  <c r="W1206" i="2"/>
  <c r="S1207" i="2"/>
  <c r="W1207" i="2"/>
  <c r="W1208" i="2"/>
  <c r="R1210" i="2"/>
  <c r="U1210" i="2"/>
  <c r="D1175" i="2"/>
  <c r="D1174" i="2"/>
  <c r="D1173" i="2"/>
  <c r="G1173" i="2" s="1"/>
  <c r="K1173" i="2" s="1"/>
  <c r="D1172" i="2"/>
  <c r="G1172" i="2" s="1"/>
  <c r="K1172" i="2" s="1"/>
  <c r="D1171" i="2"/>
  <c r="G1171" i="2"/>
  <c r="K1171" i="2" s="1"/>
  <c r="D1170" i="2"/>
  <c r="D1169" i="2"/>
  <c r="G1169" i="2" s="1"/>
  <c r="K1169" i="2" s="1"/>
  <c r="J1168" i="2"/>
  <c r="D1168" i="2"/>
  <c r="G1168" i="2" s="1"/>
  <c r="J1167" i="2"/>
  <c r="E1167" i="2"/>
  <c r="D1167" i="2"/>
  <c r="G1167" i="2" s="1"/>
  <c r="K1167" i="2" s="1"/>
  <c r="E1210" i="2"/>
  <c r="C1168" i="2"/>
  <c r="I1210" i="2"/>
  <c r="C1169" i="2"/>
  <c r="C1170" i="2" s="1"/>
  <c r="C1171" i="2" s="1"/>
  <c r="C1172" i="2" s="1"/>
  <c r="C1173" i="2" s="1"/>
  <c r="C1174" i="2" s="1"/>
  <c r="C1175" i="2" s="1"/>
  <c r="G1170" i="2"/>
  <c r="K1170" i="2"/>
  <c r="G1174" i="2"/>
  <c r="K1174" i="2"/>
  <c r="G1175" i="2"/>
  <c r="K1175" i="2" s="1"/>
  <c r="G1176" i="2"/>
  <c r="K1176" i="2" s="1"/>
  <c r="G1177" i="2"/>
  <c r="K1177" i="2" s="1"/>
  <c r="G1178" i="2"/>
  <c r="K1178" i="2" s="1"/>
  <c r="G1179" i="2"/>
  <c r="K1179" i="2"/>
  <c r="G1180" i="2"/>
  <c r="K1180" i="2"/>
  <c r="G1181" i="2"/>
  <c r="K1181" i="2"/>
  <c r="G1182" i="2"/>
  <c r="K1182" i="2" s="1"/>
  <c r="G1183" i="2"/>
  <c r="K1183" i="2"/>
  <c r="G1184" i="2"/>
  <c r="K1184" i="2"/>
  <c r="G1185" i="2"/>
  <c r="K1185" i="2" s="1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 s="1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 s="1"/>
  <c r="F1210" i="2"/>
  <c r="AE1265" i="2" l="1"/>
  <c r="W1265" i="2"/>
  <c r="G1265" i="2"/>
  <c r="K1265" i="2"/>
  <c r="AE1171" i="2"/>
  <c r="AI1171" i="2" s="1"/>
  <c r="AC1210" i="2"/>
  <c r="AH1210" i="2"/>
  <c r="AE1210" i="2"/>
  <c r="AI1168" i="2"/>
  <c r="AI1210" i="2" s="1"/>
  <c r="AB1210" i="2"/>
  <c r="S1177" i="2"/>
  <c r="W1177" i="2" s="1"/>
  <c r="P1210" i="2"/>
  <c r="W1167" i="2"/>
  <c r="J1210" i="2"/>
  <c r="K1168" i="2"/>
  <c r="D1210" i="2"/>
  <c r="K1210" i="2"/>
  <c r="G1210" i="2"/>
  <c r="AH1115" i="2"/>
  <c r="AC1115" i="2"/>
  <c r="AB1115" i="2"/>
  <c r="AE1115" i="2" s="1"/>
  <c r="AH1114" i="2"/>
  <c r="AC1114" i="2"/>
  <c r="AB1114" i="2"/>
  <c r="AE1114" i="2" s="1"/>
  <c r="AI1114" i="2" s="1"/>
  <c r="AC1113" i="2"/>
  <c r="AE1113" i="2" s="1"/>
  <c r="AI1113" i="2" s="1"/>
  <c r="AB1113" i="2"/>
  <c r="AB1112" i="2"/>
  <c r="AG1155" i="2"/>
  <c r="AD1155" i="2"/>
  <c r="AI1153" i="2"/>
  <c r="AE1152" i="2"/>
  <c r="AI1152" i="2" s="1"/>
  <c r="AI1151" i="2"/>
  <c r="AE1150" i="2"/>
  <c r="AI1150" i="2" s="1"/>
  <c r="AE1149" i="2"/>
  <c r="AI1149" i="2" s="1"/>
  <c r="AI1148" i="2"/>
  <c r="AE1148" i="2"/>
  <c r="AE1147" i="2"/>
  <c r="AI1147" i="2" s="1"/>
  <c r="AI1146" i="2"/>
  <c r="AE1146" i="2"/>
  <c r="AE1145" i="2"/>
  <c r="AI1145" i="2" s="1"/>
  <c r="AI1144" i="2"/>
  <c r="AE1144" i="2"/>
  <c r="AI1143" i="2"/>
  <c r="AE1143" i="2"/>
  <c r="AE1142" i="2"/>
  <c r="AI1142" i="2" s="1"/>
  <c r="AE1141" i="2"/>
  <c r="AI1141" i="2" s="1"/>
  <c r="AI1140" i="2"/>
  <c r="AE1140" i="2"/>
  <c r="AE1139" i="2"/>
  <c r="AI1139" i="2" s="1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I1132" i="2"/>
  <c r="AE1132" i="2"/>
  <c r="AI1131" i="2"/>
  <c r="AE1131" i="2"/>
  <c r="AI1130" i="2"/>
  <c r="AE1130" i="2"/>
  <c r="AE1129" i="2"/>
  <c r="AI1129" i="2" s="1"/>
  <c r="AI1128" i="2"/>
  <c r="AE1128" i="2"/>
  <c r="AI1127" i="2"/>
  <c r="AE1127" i="2"/>
  <c r="AE1126" i="2"/>
  <c r="AI1126" i="2" s="1"/>
  <c r="AE1125" i="2"/>
  <c r="AI1125" i="2" s="1"/>
  <c r="AI1124" i="2"/>
  <c r="AE1124" i="2"/>
  <c r="AE1123" i="2"/>
  <c r="AI1123" i="2" s="1"/>
  <c r="AI1122" i="2"/>
  <c r="AE1122" i="2"/>
  <c r="AE1121" i="2"/>
  <c r="AI1121" i="2" s="1"/>
  <c r="AI1120" i="2"/>
  <c r="AE1120" i="2"/>
  <c r="AI1119" i="2"/>
  <c r="AE1119" i="2"/>
  <c r="AE1118" i="2"/>
  <c r="AI1118" i="2" s="1"/>
  <c r="AE1117" i="2"/>
  <c r="AI1117" i="2" s="1"/>
  <c r="AE1116" i="2"/>
  <c r="AI1116" i="2" s="1"/>
  <c r="AA1113" i="2"/>
  <c r="AA1114" i="2" s="1"/>
  <c r="AA1115" i="2" s="1"/>
  <c r="AC1155" i="2"/>
  <c r="AE1112" i="2"/>
  <c r="P1123" i="2"/>
  <c r="S1123" i="2" s="1"/>
  <c r="W1123" i="2" s="1"/>
  <c r="P1122" i="2"/>
  <c r="S1122" i="2" s="1"/>
  <c r="W1122" i="2" s="1"/>
  <c r="P1121" i="2"/>
  <c r="S1121" i="2" s="1"/>
  <c r="W1121" i="2" s="1"/>
  <c r="P1120" i="2"/>
  <c r="P1119" i="2"/>
  <c r="U1118" i="2"/>
  <c r="U1155" i="2"/>
  <c r="P1118" i="2"/>
  <c r="P1117" i="2"/>
  <c r="S1117" i="2" s="1"/>
  <c r="W1117" i="2" s="1"/>
  <c r="P1116" i="2"/>
  <c r="P1115" i="2"/>
  <c r="P1114" i="2"/>
  <c r="S1114" i="2" s="1"/>
  <c r="W1114" i="2" s="1"/>
  <c r="Q1113" i="2"/>
  <c r="P1113" i="2"/>
  <c r="S1113" i="2" s="1"/>
  <c r="W1113" i="2" s="1"/>
  <c r="P1112" i="2"/>
  <c r="O1115" i="2"/>
  <c r="O1116" i="2" s="1"/>
  <c r="O1117" i="2" s="1"/>
  <c r="O1118" i="2" s="1"/>
  <c r="O1119" i="2" s="1"/>
  <c r="O1120" i="2" s="1"/>
  <c r="O1121" i="2" s="1"/>
  <c r="O1122" i="2" s="1"/>
  <c r="O1123" i="2" s="1"/>
  <c r="O1113" i="2"/>
  <c r="O1114" i="2" s="1"/>
  <c r="S1115" i="2"/>
  <c r="W1115" i="2" s="1"/>
  <c r="S1116" i="2"/>
  <c r="W1116" i="2" s="1"/>
  <c r="S1118" i="2"/>
  <c r="W1118" i="2"/>
  <c r="S1119" i="2"/>
  <c r="W1119" i="2" s="1"/>
  <c r="S1120" i="2"/>
  <c r="W1120" i="2" s="1"/>
  <c r="S1124" i="2"/>
  <c r="W1124" i="2" s="1"/>
  <c r="S1125" i="2"/>
  <c r="W1125" i="2"/>
  <c r="S1126" i="2"/>
  <c r="W1126" i="2" s="1"/>
  <c r="S1127" i="2"/>
  <c r="W1127" i="2" s="1"/>
  <c r="S1128" i="2"/>
  <c r="W1128" i="2"/>
  <c r="S1129" i="2"/>
  <c r="W1129" i="2"/>
  <c r="S1130" i="2"/>
  <c r="W1130" i="2"/>
  <c r="S1131" i="2"/>
  <c r="W1131" i="2"/>
  <c r="S1132" i="2"/>
  <c r="W1132" i="2" s="1"/>
  <c r="S1133" i="2"/>
  <c r="W1133" i="2"/>
  <c r="S1134" i="2"/>
  <c r="W1134" i="2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 s="1"/>
  <c r="S1141" i="2"/>
  <c r="W1141" i="2"/>
  <c r="S1142" i="2"/>
  <c r="W1142" i="2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 s="1"/>
  <c r="S1149" i="2"/>
  <c r="W1149" i="2" s="1"/>
  <c r="S1150" i="2"/>
  <c r="W1150" i="2"/>
  <c r="W1151" i="2"/>
  <c r="S1152" i="2"/>
  <c r="W1152" i="2"/>
  <c r="W1153" i="2"/>
  <c r="Q1155" i="2"/>
  <c r="R1155" i="2"/>
  <c r="V1155" i="2"/>
  <c r="I1116" i="2"/>
  <c r="D1116" i="2"/>
  <c r="G1116" i="2" s="1"/>
  <c r="D1115" i="2"/>
  <c r="D1114" i="2"/>
  <c r="E1113" i="2"/>
  <c r="E1155" i="2" s="1"/>
  <c r="D1113" i="2"/>
  <c r="I1113" i="2"/>
  <c r="J1113" i="2"/>
  <c r="J1155" i="2"/>
  <c r="G1113" i="2"/>
  <c r="D1112" i="2"/>
  <c r="E1112" i="2"/>
  <c r="G1112" i="2" s="1"/>
  <c r="K1112" i="2" s="1"/>
  <c r="C1113" i="2"/>
  <c r="C1114" i="2" s="1"/>
  <c r="C1115" i="2" s="1"/>
  <c r="C1116" i="2" s="1"/>
  <c r="G1114" i="2"/>
  <c r="K1114" i="2" s="1"/>
  <c r="G1115" i="2"/>
  <c r="K1115" i="2"/>
  <c r="G1117" i="2"/>
  <c r="K1117" i="2"/>
  <c r="G1118" i="2"/>
  <c r="K1118" i="2" s="1"/>
  <c r="G1119" i="2"/>
  <c r="K1119" i="2" s="1"/>
  <c r="G1120" i="2"/>
  <c r="K1120" i="2" s="1"/>
  <c r="G1121" i="2"/>
  <c r="K1121" i="2" s="1"/>
  <c r="G1122" i="2"/>
  <c r="K1122" i="2" s="1"/>
  <c r="G1123" i="2"/>
  <c r="K1123" i="2"/>
  <c r="G1124" i="2"/>
  <c r="K1124" i="2" s="1"/>
  <c r="G1125" i="2"/>
  <c r="K1125" i="2" s="1"/>
  <c r="G1126" i="2"/>
  <c r="K1126" i="2" s="1"/>
  <c r="G1127" i="2"/>
  <c r="K1127" i="2"/>
  <c r="G1128" i="2"/>
  <c r="K1128" i="2" s="1"/>
  <c r="G1129" i="2"/>
  <c r="K1129" i="2" s="1"/>
  <c r="G1130" i="2"/>
  <c r="K1130" i="2" s="1"/>
  <c r="G1131" i="2"/>
  <c r="K1131" i="2"/>
  <c r="G1132" i="2"/>
  <c r="K1132" i="2" s="1"/>
  <c r="G1133" i="2"/>
  <c r="K1133" i="2" s="1"/>
  <c r="G1134" i="2"/>
  <c r="K1134" i="2"/>
  <c r="G1135" i="2"/>
  <c r="K1135" i="2"/>
  <c r="G1136" i="2"/>
  <c r="K1136" i="2"/>
  <c r="G1137" i="2"/>
  <c r="K1137" i="2" s="1"/>
  <c r="G1138" i="2"/>
  <c r="K1138" i="2"/>
  <c r="G1139" i="2"/>
  <c r="K1139" i="2"/>
  <c r="G1140" i="2"/>
  <c r="K1140" i="2" s="1"/>
  <c r="G1141" i="2"/>
  <c r="K1141" i="2" s="1"/>
  <c r="G1142" i="2"/>
  <c r="K1142" i="2"/>
  <c r="G1143" i="2"/>
  <c r="K1143" i="2"/>
  <c r="G1144" i="2"/>
  <c r="K1144" i="2"/>
  <c r="G1145" i="2"/>
  <c r="K1145" i="2" s="1"/>
  <c r="G1152" i="2"/>
  <c r="K1152" i="2"/>
  <c r="F1155" i="2"/>
  <c r="W1210" i="2" l="1"/>
  <c r="S1210" i="2"/>
  <c r="AH1155" i="2"/>
  <c r="AI1115" i="2"/>
  <c r="AI1112" i="2"/>
  <c r="AE1155" i="2"/>
  <c r="AB1155" i="2"/>
  <c r="P1155" i="2"/>
  <c r="S1112" i="2"/>
  <c r="W1112" i="2" s="1"/>
  <c r="W1155" i="2"/>
  <c r="I1155" i="2"/>
  <c r="K1116" i="2"/>
  <c r="K1113" i="2"/>
  <c r="K1155" i="2" s="1"/>
  <c r="D1155" i="2"/>
  <c r="G1155" i="2"/>
  <c r="P1059" i="2"/>
  <c r="P1058" i="2"/>
  <c r="S1058" i="2" s="1"/>
  <c r="W1058" i="2" s="1"/>
  <c r="V1057" i="2"/>
  <c r="V1100" i="2" s="1"/>
  <c r="Q1057" i="2"/>
  <c r="Q1100" i="2"/>
  <c r="P1057" i="2"/>
  <c r="R1100" i="2"/>
  <c r="W1098" i="2"/>
  <c r="S1097" i="2"/>
  <c r="W1097" i="2" s="1"/>
  <c r="W1096" i="2"/>
  <c r="S1095" i="2"/>
  <c r="W1095" i="2" s="1"/>
  <c r="W1094" i="2"/>
  <c r="S1094" i="2"/>
  <c r="S1093" i="2"/>
  <c r="W1093" i="2" s="1"/>
  <c r="W1092" i="2"/>
  <c r="S1092" i="2"/>
  <c r="S1091" i="2"/>
  <c r="W1091" i="2" s="1"/>
  <c r="S1090" i="2"/>
  <c r="W1090" i="2" s="1"/>
  <c r="S1089" i="2"/>
  <c r="W1089" i="2" s="1"/>
  <c r="S1088" i="2"/>
  <c r="W1088" i="2" s="1"/>
  <c r="S1087" i="2"/>
  <c r="W1087" i="2" s="1"/>
  <c r="W1086" i="2"/>
  <c r="S1086" i="2"/>
  <c r="S1085" i="2"/>
  <c r="W1085" i="2" s="1"/>
  <c r="W1084" i="2"/>
  <c r="S1084" i="2"/>
  <c r="S1083" i="2"/>
  <c r="W1083" i="2" s="1"/>
  <c r="S1082" i="2"/>
  <c r="W1082" i="2" s="1"/>
  <c r="S1081" i="2"/>
  <c r="W1081" i="2" s="1"/>
  <c r="S1080" i="2"/>
  <c r="W1080" i="2" s="1"/>
  <c r="S1079" i="2"/>
  <c r="W1079" i="2" s="1"/>
  <c r="W1078" i="2"/>
  <c r="S1078" i="2"/>
  <c r="S1077" i="2"/>
  <c r="W1077" i="2" s="1"/>
  <c r="W1076" i="2"/>
  <c r="S1076" i="2"/>
  <c r="S1075" i="2"/>
  <c r="W1075" i="2" s="1"/>
  <c r="S1074" i="2"/>
  <c r="W1074" i="2" s="1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3" i="2"/>
  <c r="W1063" i="2" s="1"/>
  <c r="W1062" i="2"/>
  <c r="S1062" i="2"/>
  <c r="S1061" i="2"/>
  <c r="W1061" i="2" s="1"/>
  <c r="S1060" i="2"/>
  <c r="W1060" i="2" s="1"/>
  <c r="U1100" i="2"/>
  <c r="S1059" i="2"/>
  <c r="W1059" i="2" s="1"/>
  <c r="O1058" i="2"/>
  <c r="O1059" i="2" s="1"/>
  <c r="D1076" i="2"/>
  <c r="G1076" i="2" s="1"/>
  <c r="K1076" i="2" s="1"/>
  <c r="D1075" i="2"/>
  <c r="G1075" i="2" s="1"/>
  <c r="K1075" i="2" s="1"/>
  <c r="D1074" i="2"/>
  <c r="D1073" i="2"/>
  <c r="D1072" i="2"/>
  <c r="D1071" i="2"/>
  <c r="D1070" i="2"/>
  <c r="D1069" i="2"/>
  <c r="D1068" i="2"/>
  <c r="D1067" i="2"/>
  <c r="D1066" i="2"/>
  <c r="I1065" i="2"/>
  <c r="D1065" i="2"/>
  <c r="D1064" i="2"/>
  <c r="D1063" i="2"/>
  <c r="D1062" i="2"/>
  <c r="G1062" i="2" s="1"/>
  <c r="K1062" i="2" s="1"/>
  <c r="D1061" i="2"/>
  <c r="G1061" i="2" s="1"/>
  <c r="K1061" i="2" s="1"/>
  <c r="D1060" i="2"/>
  <c r="G1060" i="2"/>
  <c r="K1060" i="2" s="1"/>
  <c r="D1059" i="2"/>
  <c r="G1059" i="2" s="1"/>
  <c r="K1059" i="2" s="1"/>
  <c r="D1058" i="2"/>
  <c r="G1058" i="2" s="1"/>
  <c r="K1058" i="2" s="1"/>
  <c r="D1057" i="2"/>
  <c r="G1057" i="2" s="1"/>
  <c r="C1068" i="2"/>
  <c r="C1069" i="2" s="1"/>
  <c r="C1070" i="2" s="1"/>
  <c r="C1071" i="2" s="1"/>
  <c r="C1072" i="2" s="1"/>
  <c r="C1073" i="2" s="1"/>
  <c r="C1074" i="2" s="1"/>
  <c r="C1075" i="2" s="1"/>
  <c r="C1076" i="2" s="1"/>
  <c r="J1100" i="2"/>
  <c r="F1100" i="2"/>
  <c r="G1097" i="2"/>
  <c r="K1097" i="2" s="1"/>
  <c r="K1090" i="2"/>
  <c r="G1090" i="2"/>
  <c r="G1089" i="2"/>
  <c r="K1089" i="2" s="1"/>
  <c r="G1088" i="2"/>
  <c r="K1088" i="2" s="1"/>
  <c r="K1087" i="2"/>
  <c r="G1087" i="2"/>
  <c r="K1086" i="2"/>
  <c r="G1086" i="2"/>
  <c r="G1085" i="2"/>
  <c r="K1085" i="2" s="1"/>
  <c r="G1084" i="2"/>
  <c r="K1084" i="2" s="1"/>
  <c r="G1083" i="2"/>
  <c r="K1083" i="2" s="1"/>
  <c r="K1082" i="2"/>
  <c r="G1082" i="2"/>
  <c r="G1081" i="2"/>
  <c r="K1081" i="2" s="1"/>
  <c r="G1080" i="2"/>
  <c r="K1080" i="2" s="1"/>
  <c r="G1079" i="2"/>
  <c r="K1079" i="2" s="1"/>
  <c r="G1078" i="2"/>
  <c r="K1078" i="2" s="1"/>
  <c r="G1077" i="2"/>
  <c r="K1077" i="2" s="1"/>
  <c r="K1074" i="2"/>
  <c r="G1074" i="2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E1100" i="2"/>
  <c r="I1100" i="2"/>
  <c r="G1064" i="2"/>
  <c r="K1064" i="2" s="1"/>
  <c r="G1063" i="2"/>
  <c r="K1063" i="2" s="1"/>
  <c r="C1058" i="2"/>
  <c r="C1059" i="2" s="1"/>
  <c r="C1060" i="2" s="1"/>
  <c r="C1061" i="2" s="1"/>
  <c r="C1062" i="2" s="1"/>
  <c r="C1063" i="2" s="1"/>
  <c r="C1064" i="2" s="1"/>
  <c r="C1065" i="2" s="1"/>
  <c r="C1066" i="2" s="1"/>
  <c r="AI1155" i="2" l="1"/>
  <c r="S1155" i="2"/>
  <c r="S1057" i="2"/>
  <c r="S1100" i="2" s="1"/>
  <c r="P1100" i="2"/>
  <c r="K1057" i="2"/>
  <c r="K1100" i="2" s="1"/>
  <c r="G1100" i="2"/>
  <c r="D1100" i="2"/>
  <c r="AB1006" i="2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W1057" i="2" l="1"/>
  <c r="W1100" i="2" s="1"/>
  <c r="AB1045" i="2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H33" authorId="0" shapeId="0" xr:uid="{2B87AB91-A0F7-451F-98AC-42D385AEB1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G37" authorId="0" shapeId="0" xr:uid="{12069AA2-BE6C-493F-BDD4-1B5658629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7" authorId="0" shapeId="0" xr:uid="{5B2C009A-7D50-4F2C-984F-A3322E1866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057" authorId="0" shapeId="0" xr:uid="{3F7A768C-1E8E-4978-8FC1-2A34A1DBD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1058" authorId="0" shapeId="0" xr:uid="{B51C1412-1001-4E9B-A56C-153A565A5C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058" authorId="0" shapeId="0" xr:uid="{D58334EF-C62A-4E3E-9CC5-ABCCE6995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059" authorId="0" shapeId="0" xr:uid="{E51888A6-23E5-48AF-A431-F20261C4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1059" authorId="0" shapeId="0" xr:uid="{6B72C24F-6A52-4839-ABD6-B6C855D757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060" authorId="0" shapeId="0" xr:uid="{90F977CD-7415-45C0-B249-457EF0C08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LAGAG, SINDANGAN</t>
        </r>
      </text>
    </comment>
    <comment ref="C1061" authorId="0" shapeId="0" xr:uid="{90E64147-5CF0-45D4-A0F5-C902697FA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ESPERANZA SUMAMPONG
UPPER DENOYAN, SIAYAN</t>
        </r>
      </text>
    </comment>
    <comment ref="C1062" authorId="0" shapeId="0" xr:uid="{B7D4CE69-3C06-4F5E-9C22-E2057DB626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UPPER DENOYAN, SIAYAN</t>
        </r>
      </text>
    </comment>
    <comment ref="C1063" authorId="0" shapeId="0" xr:uid="{B2A453DC-123D-4716-913C-F1A8DDD975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064" authorId="0" shapeId="0" xr:uid="{7AF79291-76E6-4E59-83C7-10AECB5DD2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1065" authorId="0" shapeId="0" xr:uid="{92AD99CF-120B-4ED3-A943-78615DD87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SALUG</t>
        </r>
      </text>
    </comment>
    <comment ref="C1066" authorId="0" shapeId="0" xr:uid="{BF752E45-1D96-420E-BA03-F2B57DAD1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SABANATES STORE
DAGAO POB, SIAYAN</t>
        </r>
      </text>
    </comment>
    <comment ref="C1067" authorId="0" shapeId="0" xr:uid="{2A0DBD06-E7E0-4D4D-8176-8610E2AC2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INOCENCIA
POLAYO, SIAYAN</t>
        </r>
      </text>
    </comment>
    <comment ref="C1068" authorId="0" shapeId="0" xr:uid="{1627A37C-7816-468A-BCDF-F7118E175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1069" authorId="0" shapeId="0" xr:uid="{17708736-DBED-4C32-80AC-27A8339EF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VILLARUBIA STORE
DENOYAN, SIAYAN</t>
        </r>
      </text>
    </comment>
    <comment ref="C1070" authorId="0" shapeId="0" xr:uid="{8E7B7E88-8469-4E2F-B942-C9CA37E2A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C1071" authorId="0" shapeId="0" xr:uid="{E0C7A827-59A7-42B5-8CD4-15FC05DF1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072" authorId="0" shapeId="0" xr:uid="{33126848-EB0E-4951-B437-F90463E07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C1073" authorId="0" shapeId="0" xr:uid="{09A6A1B8-AA49-4A2D-8093-077B4E381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074" authorId="0" shapeId="0" xr:uid="{580BC299-3B91-4C23-86E3-3956DB9B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SNB
POB, SINDANGAN</t>
        </r>
      </text>
    </comment>
    <comment ref="C1075" authorId="0" shapeId="0" xr:uid="{ED24C74B-F6EE-4456-A190-1CD2E9E58C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
POB, SINDANGAN</t>
        </r>
      </text>
    </comment>
    <comment ref="C1076" authorId="0" shapeId="0" xr:uid="{123632D2-0FA2-4ED0-A15A-918DAC7409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RITCHIE ZOZOBRADO
POB, SINDANGAN</t>
        </r>
      </text>
    </comment>
    <comment ref="C1112" authorId="0" shapeId="0" xr:uid="{A8C97C97-0ABE-4AF4-AF95-DBA2A00B4B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</t>
        </r>
      </text>
    </comment>
    <comment ref="O1112" authorId="0" shapeId="0" xr:uid="{91DB4595-96BE-4579-B099-74BEA934D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GEHARO FERLITA
INUMAN, SINDANGAN</t>
        </r>
      </text>
    </comment>
    <comment ref="AA1112" authorId="0" shapeId="0" xr:uid="{0B941AB9-F764-46E0-BD33-F1AE60931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113" authorId="0" shapeId="0" xr:uid="{23773D63-CE14-4C27-A760-B89322D37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113" authorId="0" shapeId="0" xr:uid="{94EC5C98-B6AB-45B6-ABA2-0F630ED1A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113" authorId="0" shapeId="0" xr:uid="{0D8260BF-668A-4153-A524-14B1088D1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14" authorId="0" shapeId="0" xr:uid="{7834E0CC-59D8-4040-B030-04DF3B6E2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LABAKID, SINDANGAN</t>
        </r>
      </text>
    </comment>
    <comment ref="O1114" authorId="0" shapeId="0" xr:uid="{8FF892DC-0633-42C0-BAEC-93C7C62E3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14" authorId="0" shapeId="0" xr:uid="{7A200FA1-8145-426D-A6B1-0F390EB203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15" authorId="0" shapeId="0" xr:uid="{03C12D00-219C-41F6-BB8B-BB7C7B637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115" authorId="0" shapeId="0" xr:uid="{1E1128F1-C10B-46ED-AEBF-A0488E736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115" authorId="0" shapeId="0" xr:uid="{8E1A50B3-32C2-44C3-B5F0-9E2BE346F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116" authorId="0" shapeId="0" xr:uid="{A5CDC2A0-9631-4E63-A849-72E1A0D02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116" authorId="0" shapeId="0" xr:uid="{A8ED09D2-E917-454D-A0F3-923CC162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O1117" authorId="0" shapeId="0" xr:uid="{0EE96546-EF05-4918-AE1D-20D6BE76A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O1118" authorId="0" shapeId="0" xr:uid="{961FDF3D-497B-4770-B6CB-E5B4E5D31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1119" authorId="0" shapeId="0" xr:uid="{A5814FE4-DBC3-4602-8327-CD97E83AD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O1120" authorId="0" shapeId="0" xr:uid="{490DDF16-978E-4E4B-A364-47BC2985C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REJINA
UPPER INUMAN, SINDANGAN</t>
        </r>
      </text>
    </comment>
    <comment ref="O1121" authorId="0" shapeId="0" xr:uid="{33478A19-05A3-4ACE-9457-C24BDCC84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1122" authorId="0" shapeId="0" xr:uid="{7B59A60D-6A8F-4330-BE8D-7469811F3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1123" authorId="0" shapeId="0" xr:uid="{AE2E17A7-52A4-4894-9C22-331EDEDF41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167" authorId="0" shapeId="0" xr:uid="{02F4A40E-31D4-4597-BB91-3C6D85D45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167" authorId="0" shapeId="0" xr:uid="{EE0A6E08-81FD-4D2C-B65A-D7B60D406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BELIA
TALINGA, SINDANGAN</t>
        </r>
      </text>
    </comment>
    <comment ref="AA1167" authorId="0" shapeId="0" xr:uid="{1A982579-F04E-4A9F-9B75-B706D71DB8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68" authorId="0" shapeId="0" xr:uid="{CD572D3D-48DA-42FD-B6E6-962444D095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68" authorId="0" shapeId="0" xr:uid="{A276A157-FB5F-40D0-A569-2A42495625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TINAPLAN, SINDANGAN</t>
        </r>
      </text>
    </comment>
    <comment ref="AA1168" authorId="0" shapeId="0" xr:uid="{0395C9F6-8EB2-4947-90EC-CEA2AB547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0BF3C658-0B2B-4061-BAA5-D996CF2F3F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LIMA CAMILLION
POLAYO, SIAYAN</t>
        </r>
      </text>
    </comment>
    <comment ref="O1169" authorId="0" shapeId="0" xr:uid="{C1FC3CE6-07F8-4EFF-BD93-303966FE8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1169" authorId="0" shapeId="0" xr:uid="{E6133D5E-CACC-4E2B-9AEC-B8D369F1B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170" authorId="0" shapeId="0" xr:uid="{B02FDCBA-4060-4262-8755-82A17D0300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FAUNILLAN, CRIS
DENOYAN, SIAYAN</t>
        </r>
      </text>
    </comment>
    <comment ref="O1170" authorId="0" shapeId="0" xr:uid="{5DE84658-E582-4D02-8CEB-C427253FA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170" authorId="0" shapeId="0" xr:uid="{248584F1-336D-4F66-AECF-C657FAFD2D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71" authorId="0" shapeId="0" xr:uid="{283B3297-225A-4E23-A891-F41C6D9118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KATE ALAT
POB, SIAYAN</t>
        </r>
      </text>
    </comment>
    <comment ref="O1171" authorId="0" shapeId="0" xr:uid="{DCAF33A5-68A1-49F9-9FD0-514036DC3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1171" authorId="0" shapeId="0" xr:uid="{D7252C7B-2084-4082-8F97-92B1AC809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72" authorId="0" shapeId="0" xr:uid="{E9503510-6894-4953-8E60-EAFACF69D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JUNREY ANDUS
DENOYAN, SIAYAN</t>
        </r>
      </text>
    </comment>
    <comment ref="O1172" authorId="0" shapeId="0" xr:uid="{FA61DE8C-2A8F-4160-BF6B-D7529403ED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VANJIE TALIP
TINAPLAN, SINDANGAN</t>
        </r>
      </text>
    </comment>
    <comment ref="AA1172" authorId="0" shapeId="0" xr:uid="{270A0122-40B6-4160-960F-66FEBB55D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TIDJI LIRA
GOLEO, SINDANGAN</t>
        </r>
      </text>
    </comment>
    <comment ref="C1173" authorId="0" shapeId="0" xr:uid="{87CC9DA6-3731-433E-B09F-03097E40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ANDREA S. ANSAGON
DENOYAN, SIAYAN</t>
        </r>
      </text>
    </comment>
    <comment ref="O1173" authorId="0" shapeId="0" xr:uid="{55A40766-13FC-43EA-85D3-792D4269CF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JERSON
TALINGA, SINDANGAN</t>
        </r>
      </text>
    </comment>
    <comment ref="C1174" authorId="0" shapeId="0" xr:uid="{6999FA31-150C-4D93-B958-71596C1A4D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JUAN BERNADERO
DENOYAN, SIAYAN</t>
        </r>
      </text>
    </comment>
    <comment ref="O1174" authorId="0" shapeId="0" xr:uid="{7187B4FB-08FD-4110-A682-0FA636EF2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LESTER CAMPOY
BARILIL, TALINGA, SINDANGAN</t>
        </r>
      </text>
    </comment>
    <comment ref="C1175" authorId="0" shapeId="0" xr:uid="{47108700-B0EA-4A78-B3BB-5EFA4C4E1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ROSELYN PACATANG
DENOYAN, SIAYAN</t>
        </r>
      </text>
    </comment>
    <comment ref="O1175" authorId="0" shapeId="0" xr:uid="{A3B9DE80-1A74-41D3-8F1A-68BA6E408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1176" authorId="0" shapeId="0" xr:uid="{5D7E8F4F-0CCB-4324-9708-F71B21CDF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TORRES
DATU TANGKILAN, SINDANGAN</t>
        </r>
      </text>
    </comment>
    <comment ref="O1177" authorId="0" shapeId="0" xr:uid="{9E8118B7-2929-4CF1-80F6-EA2098F736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178" authorId="0" shapeId="0" xr:uid="{B6EACF46-94C2-4D43-A7B8-8DC892FB4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1222" authorId="0" shapeId="0" xr:uid="{C9EBD91C-F552-42AC-880B-A8EB062EDA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2" authorId="0" shapeId="0" xr:uid="{7307238D-0D94-41BD-9F4C-E200333C82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222" authorId="0" shapeId="0" xr:uid="{0761DB4E-0EEE-4E6D-A6E6-47F777B6C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23" authorId="0" shapeId="0" xr:uid="{FD13DA52-48CD-4383-A480-CF77EC7D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POB, SINDANGAN</t>
        </r>
      </text>
    </comment>
    <comment ref="O1223" authorId="0" shapeId="0" xr:uid="{6437AFD5-C30F-4BFE-B3A1-6B9786AA8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MOUNTAIN RESORT
CALUAN, SINDANGAN</t>
        </r>
      </text>
    </comment>
    <comment ref="AA1223" authorId="0" shapeId="0" xr:uid="{8DB4D57A-D609-4C56-9922-62F6E18E0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1224" authorId="0" shapeId="0" xr:uid="{27B68C98-2F8C-4CE2-9C37-27EC18C49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24" authorId="0" shapeId="0" xr:uid="{C56C9C74-F305-42DA-A2E8-3F5C954D9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BAJA STORE
CALUAN, SINDANGAN</t>
        </r>
      </text>
    </comment>
    <comment ref="AA1224" authorId="0" shapeId="0" xr:uid="{8E680F07-4572-40FF-99F8-01E551C494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1225" authorId="0" shapeId="0" xr:uid="{6C2DFCAB-0581-42C5-9254-DCDE57CB7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 ROFFO
A &amp; R STORE
UPPER INUMAN, SINDANGAN</t>
        </r>
      </text>
    </comment>
    <comment ref="AA1225" authorId="0" shapeId="0" xr:uid="{0652B7AA-4BED-4C8A-9BBC-1E8505FEF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226" authorId="0" shapeId="0" xr:uid="{2E062BAA-4602-4A3C-8963-124F13A4CD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AGOT
MANIL, BACUNGAN</t>
        </r>
      </text>
    </comment>
    <comment ref="AA1226" authorId="0" shapeId="0" xr:uid="{43ECBABE-4363-47ED-8BF8-F01027562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1227" authorId="0" shapeId="0" xr:uid="{4DB44411-F048-449F-A770-FFA6D186D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227" authorId="0" shapeId="0" xr:uid="{79F65196-AA8E-4E57-BF25-0C4188751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 STORE
BACONG, SALUG</t>
        </r>
      </text>
    </comment>
    <comment ref="O1228" authorId="0" shapeId="0" xr:uid="{18C0B188-83FC-4F9A-835B-B28499447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AA1228" authorId="0" shapeId="0" xr:uid="{88BF1686-B9D7-412F-B8D4-059249D97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1229" authorId="0" shapeId="0" xr:uid="{E3F02754-A114-4242-99F6-6287ED3AC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1229" authorId="0" shapeId="0" xr:uid="{A34B77BB-6DAB-473C-8251-259309B72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RETUYA
BACONG, SALUG</t>
        </r>
      </text>
    </comment>
    <comment ref="O1230" authorId="0" shapeId="0" xr:uid="{62E1AA99-E8FD-4294-A1B9-4C92DC213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MALAN GUANSING
BOGABONGAN, BACUNGAN</t>
        </r>
      </text>
    </comment>
    <comment ref="AA1230" authorId="0" shapeId="0" xr:uid="{164B67C2-0DD6-42BE-B5D4-491876D95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BACONG, SALUG</t>
        </r>
      </text>
    </comment>
    <comment ref="O1231" authorId="0" shapeId="0" xr:uid="{0AABAEAB-AB71-4E88-8D58-8D012A387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1232" authorId="0" shapeId="0" xr:uid="{243AB065-77B6-4502-9A89-20BC1274A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O1233" authorId="0" shapeId="0" xr:uid="{47FB2277-9F94-409A-8F3B-AC0EC2B8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234" authorId="0" shapeId="0" xr:uid="{8669D23C-2481-4386-A2EE-BE03E7A25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LUSMINDA MAINIT
MANIL, BACUNGAN</t>
        </r>
      </text>
    </comment>
    <comment ref="O1235" authorId="0" shapeId="0" xr:uid="{091D425E-A283-4E62-B3AE-5F1D24F69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1236" authorId="0" shapeId="0" xr:uid="{643685B6-81A7-4331-99AC-12E93DCE1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1237" authorId="0" shapeId="0" xr:uid="{4AEC62FA-EF6A-4DAC-978B-2818ADFF8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O1238" authorId="0" shapeId="0" xr:uid="{D44CCB1E-4907-41B9-AA62-D19C2B42D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239" authorId="0" shapeId="0" xr:uid="{32D4A6A8-2314-4124-A1EC-53181F829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1277" authorId="0" shapeId="0" xr:uid="{CAD6CA65-58A1-4980-9B18-605FA515D2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1277" authorId="0" shapeId="0" xr:uid="{01B6699B-C06A-4EB3-9DF6-68D0EC6328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DOMON
GOLEO, SINDANGAN</t>
        </r>
      </text>
    </comment>
    <comment ref="C1278" authorId="0" shapeId="0" xr:uid="{0C498377-99C2-4568-AC9C-D8046DA41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GUILE ROGER
PIAO, SINDANGAN</t>
        </r>
      </text>
    </comment>
    <comment ref="AA1278" authorId="0" shapeId="0" xr:uid="{A4296F48-2F06-4914-88B5-C21CF279FC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
</t>
        </r>
      </text>
    </comment>
    <comment ref="C1279" authorId="0" shapeId="0" xr:uid="{A87E9606-843D-4A0E-9D7C-A064C077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AA1279" authorId="0" shapeId="0" xr:uid="{76D7FE80-AC97-4CDA-90EB-460A33F9E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80" authorId="0" shapeId="0" xr:uid="{BF84A73F-64A4-4B3D-8FA3-17273C382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1280" authorId="0" shapeId="0" xr:uid="{1399599C-99E0-4049-B518-44CED8EA86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GENITAS SARI-SARI STORE
BAYBAY, LILOY</t>
        </r>
      </text>
    </comment>
    <comment ref="C1281" authorId="0" shapeId="0" xr:uid="{91F0401D-647F-4B94-96DE-F3F0E4967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JENNIFER GALIT
DAGAO, SIAYAN</t>
        </r>
      </text>
    </comment>
    <comment ref="AA1281" authorId="0" shapeId="0" xr:uid="{3341162E-5763-48F5-82D3-62D90623D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2" authorId="0" shapeId="0" xr:uid="{BD63203E-15CA-4E80-9D48-4B1F1C3FD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AA1282" authorId="0" shapeId="0" xr:uid="{A689D9BC-8AEC-4B3D-BFCD-48EE97ED2A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C1283" authorId="0" shapeId="0" xr:uid="{260F43FC-FF9C-45B3-9F39-2E7121315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1284" authorId="0" shapeId="0" xr:uid="{0B1D11D3-AE6D-4437-9ECA-524E080CB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1285" authorId="0" shapeId="0" xr:uid="{AA825708-BFE1-40AE-BAC9-894491F55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ALAN BOLGADO
BALOK, SINDANGAN</t>
        </r>
      </text>
    </comment>
    <comment ref="C1286" authorId="0" shapeId="0" xr:uid="{DA12BB2C-A20B-460A-B605-763097B7E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1287" authorId="0" shapeId="0" xr:uid="{C3C27551-D452-4FBE-91BE-C8A447E186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8" authorId="0" shapeId="0" xr:uid="{BD808BBF-5F6E-4367-9C60-E28F3635B8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</commentList>
</comments>
</file>

<file path=xl/sharedStrings.xml><?xml version="1.0" encoding="utf-8"?>
<sst xmlns="http://schemas.openxmlformats.org/spreadsheetml/2006/main" count="1691" uniqueCount="107">
  <si>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</si>
  <si>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</si>
  <si>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</si>
  <si>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</si>
  <si>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</si>
  <si>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</si>
  <si>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</si>
  <si>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</si>
  <si>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</si>
  <si>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</si>
  <si>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</si>
  <si>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</si>
  <si>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</si>
  <si>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</si>
  <si>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</si>
  <si>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</si>
  <si>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</si>
  <si>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</si>
  <si>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</si>
  <si>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</si>
  <si>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</si>
  <si>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</si>
  <si>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</si>
  <si>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</si>
  <si>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</si>
  <si>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</si>
  <si>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</si>
  <si>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</si>
  <si>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</si>
  <si>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</si>
  <si>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</si>
  <si>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</si>
  <si>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</si>
  <si>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</si>
  <si>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</si>
  <si>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</si>
  <si>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</si>
  <si>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</si>
  <si>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</si>
  <si>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</si>
  <si>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</si>
  <si>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</si>
  <si>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</si>
  <si>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</si>
  <si>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</si>
  <si>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</si>
  <si>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</si>
  <si>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</si>
  <si>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</si>
  <si>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</si>
  <si>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</si>
  <si>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</si>
  <si>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</si>
  <si>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</si>
  <si>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</si>
  <si>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</si>
  <si>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</si>
  <si>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</si>
  <si>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</si>
  <si>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</si>
  <si>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</si>
  <si>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</si>
  <si>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</si>
  <si>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</si>
  <si>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</si>
  <si>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</si>
  <si>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</si>
  <si>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</si>
  <si>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</si>
  <si>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</si>
  <si>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</si>
  <si>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</si>
  <si>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</si>
  <si>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</si>
  <si>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</si>
  <si>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</si>
  <si>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</si>
  <si>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</si>
  <si>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</si>
  <si>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</si>
  <si>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</si>
  <si>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</si>
  <si>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</si>
  <si>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</si>
  <si>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</si>
  <si>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</si>
  <si>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</si>
  <si>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</si>
  <si>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</si>
  <si>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</si>
  <si>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</si>
  <si>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FEBRUARY 24, 2026</t>
  </si>
  <si>
    <t>02/24/2026</t>
  </si>
  <si>
    <t>//9192-9196</t>
  </si>
  <si>
    <t>9240-9249,9111-9120/9295-9297/</t>
  </si>
  <si>
    <t>FEBRUARY 25, 2026</t>
  </si>
  <si>
    <t>02/25/2026</t>
  </si>
  <si>
    <t>9121-9125/9298-9309/9197-9200</t>
  </si>
  <si>
    <t>FEBRUARY 26, 2026</t>
  </si>
  <si>
    <t>02/26/2026</t>
  </si>
  <si>
    <t>9126-9134/9310-9321/9356-9361</t>
  </si>
  <si>
    <t>FEBRUARY 27, 2026</t>
  </si>
  <si>
    <t>02/27/2026</t>
  </si>
  <si>
    <t>9135-9137/9322-9339/9362-9370</t>
  </si>
  <si>
    <t>FEBRUARY 28, 2026</t>
  </si>
  <si>
    <t>02/28/2026</t>
  </si>
  <si>
    <t>9138-9149//9371-9376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</si>
</sst>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0" applyNumberFormat="1"/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5" zoomScaleNormal="100" workbookViewId="0">
      <selection activeCell="A6" sqref="A6:B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36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93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 t="s">
        <v>94</v>
      </c>
      <c r="D33" s="16">
        <f t="shared" si="4"/>
        <v>614209.5</v>
      </c>
      <c r="E33" s="15"/>
      <c r="F33" s="15">
        <v>241665.5</v>
      </c>
      <c r="G33" s="14">
        <v>372544</v>
      </c>
      <c r="H33" s="14"/>
      <c r="I33" s="14"/>
      <c r="J33" s="17">
        <f t="shared" si="1"/>
        <v>614209.5</v>
      </c>
    </row>
    <row r="34" spans="1:10" x14ac:dyDescent="0.25">
      <c r="A34" s="10">
        <f>A33+1</f>
        <v>25</v>
      </c>
      <c r="B34" s="56" t="s">
        <v>9</v>
      </c>
      <c r="C34" s="12" t="s">
        <v>97</v>
      </c>
      <c r="D34" s="16">
        <f t="shared" si="4"/>
        <v>792797</v>
      </c>
      <c r="E34" s="14"/>
      <c r="F34" s="15">
        <v>340515</v>
      </c>
      <c r="G34" s="14">
        <v>179788</v>
      </c>
      <c r="H34" s="14">
        <v>272494</v>
      </c>
      <c r="I34" s="14"/>
      <c r="J34" s="17">
        <f t="shared" si="1"/>
        <v>792797</v>
      </c>
    </row>
    <row r="35" spans="1:10" x14ac:dyDescent="0.25">
      <c r="A35" s="10">
        <f t="shared" si="2"/>
        <v>26</v>
      </c>
      <c r="B35" s="11" t="s">
        <v>30</v>
      </c>
      <c r="C35" s="12" t="s">
        <v>100</v>
      </c>
      <c r="D35" s="16">
        <f t="shared" si="4"/>
        <v>619948.5</v>
      </c>
      <c r="E35" s="14"/>
      <c r="F35" s="14">
        <v>212967</v>
      </c>
      <c r="G35" s="14">
        <v>204026.5</v>
      </c>
      <c r="H35" s="14">
        <v>202955</v>
      </c>
      <c r="I35" s="14"/>
      <c r="J35" s="17">
        <f t="shared" si="1"/>
        <v>619948.5</v>
      </c>
    </row>
    <row r="36" spans="1:10" x14ac:dyDescent="0.25">
      <c r="A36" s="10">
        <f t="shared" si="2"/>
        <v>27</v>
      </c>
      <c r="B36" s="43" t="s">
        <v>4</v>
      </c>
      <c r="C36" s="12" t="s">
        <v>103</v>
      </c>
      <c r="D36" s="16">
        <f t="shared" si="4"/>
        <v>655225</v>
      </c>
      <c r="E36" s="14"/>
      <c r="F36" s="14">
        <v>271337</v>
      </c>
      <c r="G36" s="14">
        <v>184220</v>
      </c>
      <c r="H36" s="14">
        <v>199668</v>
      </c>
      <c r="I36" s="14"/>
      <c r="J36" s="17">
        <f t="shared" si="1"/>
        <v>655225</v>
      </c>
    </row>
    <row r="37" spans="1:10" x14ac:dyDescent="0.25">
      <c r="A37" s="10">
        <f t="shared" si="2"/>
        <v>28</v>
      </c>
      <c r="B37" s="56" t="s">
        <v>5</v>
      </c>
      <c r="C37" s="12" t="s">
        <v>106</v>
      </c>
      <c r="D37" s="16">
        <f t="shared" si="4"/>
        <v>735218</v>
      </c>
      <c r="E37" s="14"/>
      <c r="F37" s="14">
        <v>452435</v>
      </c>
      <c r="G37" s="14"/>
      <c r="H37" s="14">
        <v>282783</v>
      </c>
      <c r="I37" s="14"/>
      <c r="J37" s="17">
        <f t="shared" si="1"/>
        <v>735218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15792450.666666666</v>
      </c>
      <c r="J42" s="49">
        <f>SUM(J10:J41)</f>
        <v>15792450.666666666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K165" zoomScaleNormal="100" workbookViewId="0">
      <selection activeCell="V177" sqref="V17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8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8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8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8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8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8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8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8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8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8" x14ac:dyDescent="0.25">
      <c r="B10" s="25"/>
      <c r="C10" s="26"/>
      <c r="D10" s="123" t="s">
        <v>17</v>
      </c>
      <c r="E10" s="123"/>
      <c r="F10" s="75"/>
      <c r="G10" s="27"/>
      <c r="I10" s="121" t="s">
        <v>18</v>
      </c>
      <c r="J10" s="122"/>
      <c r="K10" s="119" t="s">
        <v>19</v>
      </c>
      <c r="N10" s="25"/>
      <c r="O10" s="26"/>
      <c r="P10" s="123" t="s">
        <v>17</v>
      </c>
      <c r="Q10" s="123"/>
      <c r="R10" s="75"/>
      <c r="S10" s="27"/>
      <c r="U10" s="121" t="s">
        <v>18</v>
      </c>
      <c r="V10" s="122"/>
      <c r="W10" s="119" t="s">
        <v>19</v>
      </c>
      <c r="Z10" s="25"/>
      <c r="AA10" s="26"/>
      <c r="AB10" s="123" t="s">
        <v>17</v>
      </c>
      <c r="AC10" s="123"/>
      <c r="AD10" s="75"/>
      <c r="AE10" s="27"/>
      <c r="AG10" s="121" t="s">
        <v>18</v>
      </c>
      <c r="AH10" s="122"/>
      <c r="AI10" s="119" t="s">
        <v>19</v>
      </c>
    </row>
    <row r="11" spans="1:38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0"/>
      <c r="AL11" s="114"/>
    </row>
    <row r="12" spans="1:38" x14ac:dyDescent="0.25">
      <c r="A12" s="10">
        <v>1</v>
      </c>
      <c r="B12" s="30">
        <v>46055</v>
      </c>
      <c r="C12" s="82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8" x14ac:dyDescent="0.25">
      <c r="A13" s="10">
        <v>2</v>
      </c>
      <c r="B13" s="30">
        <v>46055</v>
      </c>
      <c r="C13" s="82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8" x14ac:dyDescent="0.25">
      <c r="A14" s="10">
        <v>3</v>
      </c>
      <c r="B14" s="30">
        <v>46055</v>
      </c>
      <c r="C14" s="82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8" x14ac:dyDescent="0.25">
      <c r="A15" s="10">
        <v>4</v>
      </c>
      <c r="B15" s="30">
        <v>46055</v>
      </c>
      <c r="C15" s="82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8" x14ac:dyDescent="0.25">
      <c r="A16" s="10">
        <v>5</v>
      </c>
      <c r="B16" s="30">
        <v>46055</v>
      </c>
      <c r="C16" s="82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2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2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2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2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2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2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3" t="s">
        <v>17</v>
      </c>
      <c r="E65" s="123"/>
      <c r="F65" s="86"/>
      <c r="G65" s="27"/>
      <c r="I65" s="121" t="s">
        <v>18</v>
      </c>
      <c r="J65" s="122"/>
      <c r="K65" s="119" t="s">
        <v>19</v>
      </c>
      <c r="N65" s="25"/>
      <c r="O65" s="26"/>
      <c r="P65" s="123" t="s">
        <v>17</v>
      </c>
      <c r="Q65" s="123"/>
      <c r="R65" s="86"/>
      <c r="S65" s="27"/>
      <c r="U65" s="121" t="s">
        <v>18</v>
      </c>
      <c r="V65" s="122"/>
      <c r="W65" s="119" t="s">
        <v>19</v>
      </c>
      <c r="Z65" s="25"/>
      <c r="AA65" s="26"/>
      <c r="AB65" s="123" t="s">
        <v>17</v>
      </c>
      <c r="AC65" s="123"/>
      <c r="AD65" s="86"/>
      <c r="AE65" s="27"/>
      <c r="AG65" s="121" t="s">
        <v>18</v>
      </c>
      <c r="AH65" s="122"/>
      <c r="AI65" s="119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2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2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0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2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5"/>
      <c r="AN67" s="125"/>
      <c r="AO67" s="125"/>
      <c r="AP67" s="85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2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2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2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2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2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2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2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2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2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2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2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2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2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3" t="s">
        <v>17</v>
      </c>
      <c r="E120" s="123"/>
      <c r="F120" s="87"/>
      <c r="G120" s="27"/>
      <c r="I120" s="121" t="s">
        <v>18</v>
      </c>
      <c r="J120" s="122"/>
      <c r="K120" s="119" t="s">
        <v>19</v>
      </c>
      <c r="N120" s="25"/>
      <c r="O120" s="26"/>
      <c r="P120" s="123" t="s">
        <v>17</v>
      </c>
      <c r="Q120" s="123"/>
      <c r="R120" s="87"/>
      <c r="S120" s="27"/>
      <c r="U120" s="121" t="s">
        <v>18</v>
      </c>
      <c r="V120" s="122"/>
      <c r="W120" s="119" t="s">
        <v>19</v>
      </c>
      <c r="Z120" s="25"/>
      <c r="AA120" s="26"/>
      <c r="AB120" s="123" t="s">
        <v>17</v>
      </c>
      <c r="AC120" s="123"/>
      <c r="AD120" s="87"/>
      <c r="AE120" s="27"/>
      <c r="AG120" s="121" t="s">
        <v>18</v>
      </c>
      <c r="AH120" s="122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2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2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2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2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3" t="s">
        <v>17</v>
      </c>
      <c r="E175" s="123"/>
      <c r="F175" s="88"/>
      <c r="G175" s="27"/>
      <c r="I175" s="121" t="s">
        <v>18</v>
      </c>
      <c r="J175" s="122"/>
      <c r="K175" s="119" t="s">
        <v>19</v>
      </c>
      <c r="N175" s="25"/>
      <c r="O175" s="26"/>
      <c r="P175" s="123" t="s">
        <v>17</v>
      </c>
      <c r="Q175" s="123"/>
      <c r="R175" s="88"/>
      <c r="S175" s="27"/>
      <c r="U175" s="121" t="s">
        <v>18</v>
      </c>
      <c r="V175" s="122"/>
      <c r="W175" s="119" t="s">
        <v>19</v>
      </c>
      <c r="Z175" s="25"/>
      <c r="AA175" s="26"/>
      <c r="AB175" s="123" t="s">
        <v>17</v>
      </c>
      <c r="AC175" s="123"/>
      <c r="AD175" s="88"/>
      <c r="AE175" s="27"/>
      <c r="AG175" s="121" t="s">
        <v>18</v>
      </c>
      <c r="AH175" s="122"/>
      <c r="AI175" s="119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0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2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/>
      <c r="R177" s="32"/>
      <c r="S177" s="32">
        <f>SUM(P177:Q177)</f>
        <v>6539</v>
      </c>
      <c r="T177" s="12"/>
      <c r="U177" s="12"/>
      <c r="V177" s="12">
        <v>-777</v>
      </c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2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2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2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2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5"/>
      <c r="AN181" s="125"/>
      <c r="AO181" s="125"/>
      <c r="AP181" s="85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2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2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2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2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2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2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-1152</v>
      </c>
      <c r="R220" s="38">
        <f>SUM(R177:R201)</f>
        <v>0</v>
      </c>
      <c r="S220" s="38">
        <f>SUM(S177:S219)</f>
        <v>159476.5</v>
      </c>
      <c r="T220" s="4"/>
      <c r="U220" s="41">
        <f>SUM(U177:U219)</f>
        <v>6606</v>
      </c>
      <c r="V220" s="41">
        <f>SUM(V177:V201)</f>
        <v>-3147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5"/>
      <c r="AA222" s="85"/>
      <c r="AB222" s="85"/>
      <c r="AC222" s="85"/>
      <c r="AD222" s="85"/>
      <c r="AE222" s="85"/>
      <c r="AF222" s="62"/>
      <c r="AG222" s="62"/>
      <c r="AH222" s="62"/>
      <c r="AI222" s="62"/>
      <c r="AJ222" s="62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5"/>
      <c r="AA223" s="85"/>
      <c r="AB223" s="85"/>
      <c r="AC223" s="85"/>
      <c r="AD223" s="85"/>
      <c r="AE223" s="85"/>
      <c r="AF223" s="62"/>
      <c r="AG223" s="62"/>
      <c r="AH223" s="62"/>
      <c r="AI223" s="62"/>
      <c r="AJ223" s="62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5"/>
      <c r="AA224" s="85"/>
      <c r="AB224" s="85"/>
      <c r="AC224" s="85"/>
      <c r="AD224" s="85"/>
      <c r="AE224" s="85"/>
      <c r="AF224" s="62"/>
      <c r="AG224" s="62"/>
      <c r="AH224" s="62"/>
      <c r="AI224" s="62"/>
      <c r="AJ224" s="62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5"/>
      <c r="AA225" s="85"/>
      <c r="AB225" s="85"/>
      <c r="AC225" s="85"/>
      <c r="AD225" s="85"/>
      <c r="AE225" s="85"/>
      <c r="AF225" s="62"/>
      <c r="AG225" s="62"/>
      <c r="AH225" s="62"/>
      <c r="AI225" s="62"/>
      <c r="AJ225" s="62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5"/>
      <c r="AA226" s="85"/>
      <c r="AB226" s="85"/>
      <c r="AC226" s="85"/>
      <c r="AD226" s="85"/>
      <c r="AE226" s="85"/>
      <c r="AF226" s="62"/>
      <c r="AG226" s="62"/>
      <c r="AH226" s="62"/>
      <c r="AI226" s="62"/>
      <c r="AJ226" s="62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5"/>
      <c r="AA227" s="85"/>
      <c r="AB227" s="85"/>
      <c r="AC227" s="85"/>
      <c r="AD227" s="85"/>
      <c r="AE227" s="85"/>
      <c r="AF227" s="62"/>
      <c r="AG227" s="85"/>
      <c r="AH227" s="85"/>
      <c r="AI227" s="62"/>
      <c r="AJ227" s="62"/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5"/>
      <c r="AA228" s="85"/>
      <c r="AB228" s="85"/>
      <c r="AC228" s="85"/>
      <c r="AD228" s="85"/>
      <c r="AE228" s="85"/>
      <c r="AF228" s="62"/>
      <c r="AG228" s="65"/>
      <c r="AH228" s="65"/>
      <c r="AI228" s="62"/>
      <c r="AJ228" s="62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5"/>
      <c r="AA229" s="85"/>
      <c r="AB229" s="85"/>
      <c r="AC229" s="85"/>
      <c r="AD229" s="85"/>
      <c r="AE229" s="85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3" t="s">
        <v>17</v>
      </c>
      <c r="E230" s="123"/>
      <c r="F230" s="89"/>
      <c r="G230" s="27"/>
      <c r="I230" s="121" t="s">
        <v>18</v>
      </c>
      <c r="J230" s="122"/>
      <c r="K230" s="119" t="s">
        <v>19</v>
      </c>
      <c r="N230" s="25"/>
      <c r="O230" s="26"/>
      <c r="P230" s="123" t="s">
        <v>17</v>
      </c>
      <c r="Q230" s="123"/>
      <c r="R230" s="89"/>
      <c r="S230" s="27"/>
      <c r="U230" s="121" t="s">
        <v>18</v>
      </c>
      <c r="V230" s="122"/>
      <c r="W230" s="119" t="s">
        <v>19</v>
      </c>
      <c r="Y230" s="62"/>
      <c r="Z230" s="65"/>
      <c r="AA230" s="85"/>
      <c r="AB230" s="125"/>
      <c r="AC230" s="125"/>
      <c r="AD230" s="85"/>
      <c r="AE230" s="85"/>
      <c r="AF230" s="62"/>
      <c r="AG230" s="125"/>
      <c r="AH230" s="125"/>
      <c r="AI230" s="124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0"/>
      <c r="Y231" s="62"/>
      <c r="Z231" s="85"/>
      <c r="AA231" s="85"/>
      <c r="AB231" s="79"/>
      <c r="AC231" s="81"/>
      <c r="AD231" s="81"/>
      <c r="AE231" s="81"/>
      <c r="AF231" s="62"/>
      <c r="AG231" s="84"/>
      <c r="AH231" s="84"/>
      <c r="AI231" s="124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2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5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2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5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2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5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2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2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5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2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2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2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2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5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2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5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5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5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5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2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5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5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5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1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5"/>
      <c r="AD252" s="85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1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5"/>
      <c r="AB253" s="68"/>
      <c r="AC253" s="85"/>
      <c r="AD253" s="85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5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5"/>
      <c r="AB255" s="69"/>
      <c r="AC255" s="85"/>
      <c r="AD255" s="85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5"/>
      <c r="AB256" s="69"/>
      <c r="AC256" s="85"/>
      <c r="AD256" s="85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5"/>
      <c r="AB257" s="69"/>
      <c r="AC257" s="85"/>
      <c r="AD257" s="85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5"/>
      <c r="AB258" s="69"/>
      <c r="AC258" s="85"/>
      <c r="AD258" s="85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5"/>
      <c r="AB259" s="69"/>
      <c r="AC259" s="85"/>
      <c r="AD259" s="85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5"/>
      <c r="AB260" s="69"/>
      <c r="AC260" s="85"/>
      <c r="AD260" s="85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5"/>
      <c r="AB261" s="69"/>
      <c r="AC261" s="85"/>
      <c r="AD261" s="85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5"/>
      <c r="AB262" s="69"/>
      <c r="AC262" s="85"/>
      <c r="AD262" s="85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5"/>
      <c r="AB263" s="69"/>
      <c r="AC263" s="85"/>
      <c r="AD263" s="85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5"/>
      <c r="AB264" s="69"/>
      <c r="AC264" s="85"/>
      <c r="AD264" s="85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5"/>
      <c r="AB265" s="69"/>
      <c r="AC265" s="85"/>
      <c r="AD265" s="85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5"/>
      <c r="AB266" s="69"/>
      <c r="AC266" s="85"/>
      <c r="AD266" s="85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5"/>
      <c r="AB267" s="69"/>
      <c r="AC267" s="85"/>
      <c r="AD267" s="85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5"/>
      <c r="AB268" s="69"/>
      <c r="AC268" s="85"/>
      <c r="AD268" s="85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5"/>
      <c r="AB269" s="69"/>
      <c r="AC269" s="85"/>
      <c r="AD269" s="85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5"/>
      <c r="AB270" s="69"/>
      <c r="AC270" s="85"/>
      <c r="AD270" s="85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5"/>
      <c r="AD271" s="85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5"/>
      <c r="AB272" s="69"/>
      <c r="AC272" s="85"/>
      <c r="AD272" s="85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5"/>
      <c r="AA273" s="85"/>
      <c r="AB273" s="85"/>
      <c r="AC273" s="85"/>
      <c r="AD273" s="85"/>
      <c r="AE273" s="85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5"/>
      <c r="AA274" s="85"/>
      <c r="AB274" s="85"/>
      <c r="AC274" s="85"/>
      <c r="AD274" s="85"/>
      <c r="AE274" s="85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5"/>
      <c r="AA275" s="85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3" t="s">
        <v>17</v>
      </c>
      <c r="E285" s="123"/>
      <c r="F285" s="90"/>
      <c r="G285" s="27"/>
      <c r="I285" s="121" t="s">
        <v>18</v>
      </c>
      <c r="J285" s="122"/>
      <c r="K285" s="119" t="s">
        <v>19</v>
      </c>
      <c r="N285" s="25"/>
      <c r="O285" s="26"/>
      <c r="P285" s="123" t="s">
        <v>17</v>
      </c>
      <c r="Q285" s="123"/>
      <c r="R285" s="90"/>
      <c r="S285" s="27"/>
      <c r="U285" s="121" t="s">
        <v>18</v>
      </c>
      <c r="V285" s="122"/>
      <c r="W285" s="119" t="s">
        <v>19</v>
      </c>
      <c r="Z285" s="25"/>
      <c r="AA285" s="26"/>
      <c r="AB285" s="123" t="s">
        <v>17</v>
      </c>
      <c r="AC285" s="123"/>
      <c r="AD285" s="90"/>
      <c r="AE285" s="27"/>
      <c r="AG285" s="121" t="s">
        <v>18</v>
      </c>
      <c r="AH285" s="122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2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2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2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2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2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2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2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2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2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2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1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1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3" t="s">
        <v>17</v>
      </c>
      <c r="E340" s="123"/>
      <c r="F340" s="92"/>
      <c r="G340" s="27"/>
      <c r="I340" s="121" t="s">
        <v>18</v>
      </c>
      <c r="J340" s="122"/>
      <c r="K340" s="119" t="s">
        <v>19</v>
      </c>
      <c r="N340" s="25"/>
      <c r="O340" s="26"/>
      <c r="P340" s="123" t="s">
        <v>17</v>
      </c>
      <c r="Q340" s="123"/>
      <c r="R340" s="92"/>
      <c r="S340" s="27"/>
      <c r="U340" s="121" t="s">
        <v>18</v>
      </c>
      <c r="V340" s="122"/>
      <c r="W340" s="119" t="s">
        <v>19</v>
      </c>
      <c r="Z340" s="25"/>
      <c r="AA340" s="26"/>
      <c r="AB340" s="123" t="s">
        <v>17</v>
      </c>
      <c r="AC340" s="123"/>
      <c r="AD340" s="92"/>
      <c r="AE340" s="27"/>
      <c r="AG340" s="121" t="s">
        <v>18</v>
      </c>
      <c r="AH340" s="122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2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2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2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2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2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2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2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2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2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1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1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3" t="s">
        <v>17</v>
      </c>
      <c r="E395" s="123"/>
      <c r="F395" s="93"/>
      <c r="G395" s="27"/>
      <c r="I395" s="121" t="s">
        <v>18</v>
      </c>
      <c r="J395" s="122"/>
      <c r="K395" s="119" t="s">
        <v>19</v>
      </c>
      <c r="N395" s="25"/>
      <c r="O395" s="26"/>
      <c r="P395" s="123" t="s">
        <v>17</v>
      </c>
      <c r="Q395" s="123"/>
      <c r="R395" s="93"/>
      <c r="S395" s="27"/>
      <c r="U395" s="121" t="s">
        <v>18</v>
      </c>
      <c r="V395" s="122"/>
      <c r="W395" s="119" t="s">
        <v>19</v>
      </c>
      <c r="Z395" s="25"/>
      <c r="AA395" s="26"/>
      <c r="AB395" s="123" t="s">
        <v>17</v>
      </c>
      <c r="AC395" s="123"/>
      <c r="AD395" s="93"/>
      <c r="AE395" s="27"/>
      <c r="AG395" s="121" t="s">
        <v>18</v>
      </c>
      <c r="AH395" s="122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2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2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2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2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2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2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2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2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2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1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1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3" t="s">
        <v>17</v>
      </c>
      <c r="E450" s="123"/>
      <c r="F450" s="94"/>
      <c r="G450" s="27"/>
      <c r="I450" s="121" t="s">
        <v>18</v>
      </c>
      <c r="J450" s="122"/>
      <c r="K450" s="119" t="s">
        <v>19</v>
      </c>
      <c r="N450" s="25"/>
      <c r="O450" s="26"/>
      <c r="P450" s="123" t="s">
        <v>17</v>
      </c>
      <c r="Q450" s="123"/>
      <c r="R450" s="94"/>
      <c r="S450" s="27"/>
      <c r="U450" s="121" t="s">
        <v>18</v>
      </c>
      <c r="V450" s="122"/>
      <c r="W450" s="119" t="s">
        <v>19</v>
      </c>
      <c r="Z450" s="25"/>
      <c r="AA450" s="26"/>
      <c r="AB450" s="123" t="s">
        <v>17</v>
      </c>
      <c r="AC450" s="123"/>
      <c r="AD450" s="94"/>
      <c r="AE450" s="27"/>
      <c r="AG450" s="121" t="s">
        <v>18</v>
      </c>
      <c r="AH450" s="122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2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2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2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2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2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2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2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1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1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3" t="s">
        <v>17</v>
      </c>
      <c r="E505" s="123"/>
      <c r="F505" s="95"/>
      <c r="G505" s="27"/>
      <c r="I505" s="121" t="s">
        <v>18</v>
      </c>
      <c r="J505" s="122"/>
      <c r="K505" s="119" t="s">
        <v>19</v>
      </c>
      <c r="N505" s="25"/>
      <c r="O505" s="26"/>
      <c r="P505" s="123" t="s">
        <v>17</v>
      </c>
      <c r="Q505" s="123"/>
      <c r="R505" s="95"/>
      <c r="S505" s="27"/>
      <c r="U505" s="121" t="s">
        <v>18</v>
      </c>
      <c r="V505" s="122"/>
      <c r="W505" s="119" t="s">
        <v>19</v>
      </c>
      <c r="Z505" s="25"/>
      <c r="AA505" s="26"/>
      <c r="AB505" s="123" t="s">
        <v>17</v>
      </c>
      <c r="AC505" s="123"/>
      <c r="AD505" s="95"/>
      <c r="AE505" s="27"/>
      <c r="AG505" s="121" t="s">
        <v>18</v>
      </c>
      <c r="AH505" s="122"/>
      <c r="AI505" s="11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0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2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2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2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2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2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2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2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2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2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2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1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1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5"/>
      <c r="C552" s="85"/>
      <c r="D552" s="85"/>
      <c r="E552" s="85"/>
      <c r="F552" s="85"/>
      <c r="G552" s="85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5"/>
      <c r="C553" s="85"/>
      <c r="D553" s="85"/>
      <c r="E553" s="85"/>
      <c r="F553" s="85"/>
      <c r="G553" s="85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5"/>
      <c r="C554" s="85"/>
      <c r="D554" s="85"/>
      <c r="E554" s="85"/>
      <c r="F554" s="85"/>
      <c r="G554" s="85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5"/>
      <c r="C555" s="85"/>
      <c r="D555" s="85"/>
      <c r="E555" s="85"/>
      <c r="F555" s="85"/>
      <c r="G555" s="85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5"/>
      <c r="C556" s="85"/>
      <c r="D556" s="85"/>
      <c r="E556" s="85"/>
      <c r="F556" s="85"/>
      <c r="G556" s="85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5"/>
      <c r="C557" s="85"/>
      <c r="D557" s="85"/>
      <c r="E557" s="85"/>
      <c r="F557" s="85"/>
      <c r="G557" s="85"/>
      <c r="H557" s="62"/>
      <c r="I557" s="85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5"/>
      <c r="C558" s="85"/>
      <c r="D558" s="85"/>
      <c r="E558" s="85"/>
      <c r="F558" s="85"/>
      <c r="G558" s="85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5"/>
      <c r="C559" s="85"/>
      <c r="D559" s="85"/>
      <c r="E559" s="85"/>
      <c r="F559" s="85"/>
      <c r="G559" s="85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5"/>
      <c r="D560" s="125"/>
      <c r="E560" s="125"/>
      <c r="F560" s="85"/>
      <c r="G560" s="85"/>
      <c r="H560" s="62"/>
      <c r="I560" s="125"/>
      <c r="J560" s="125"/>
      <c r="K560" s="124"/>
      <c r="N560" s="25"/>
      <c r="O560" s="26"/>
      <c r="P560" s="123" t="s">
        <v>17</v>
      </c>
      <c r="Q560" s="123"/>
      <c r="R560" s="96"/>
      <c r="S560" s="27"/>
      <c r="U560" s="121" t="s">
        <v>18</v>
      </c>
      <c r="V560" s="122"/>
      <c r="W560" s="119" t="s">
        <v>19</v>
      </c>
      <c r="Z560" s="25"/>
      <c r="AA560" s="26"/>
      <c r="AB560" s="123" t="s">
        <v>17</v>
      </c>
      <c r="AC560" s="123"/>
      <c r="AD560" s="96"/>
      <c r="AE560" s="27"/>
      <c r="AG560" s="121" t="s">
        <v>18</v>
      </c>
      <c r="AH560" s="122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5"/>
      <c r="C561" s="85"/>
      <c r="D561" s="79"/>
      <c r="E561" s="80"/>
      <c r="F561" s="81"/>
      <c r="G561" s="81"/>
      <c r="H561" s="62"/>
      <c r="I561" s="84"/>
      <c r="J561" s="84"/>
      <c r="K561" s="124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3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3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3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5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3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3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3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3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3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5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3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3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3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3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5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3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5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5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3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3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1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3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1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5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5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5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5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5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5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5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5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5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5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5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5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5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5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5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5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5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5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5"/>
      <c r="C604" s="85"/>
      <c r="D604" s="85"/>
      <c r="E604" s="85"/>
      <c r="F604" s="85"/>
      <c r="G604" s="85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5"/>
      <c r="C605" s="85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3" t="s">
        <v>17</v>
      </c>
      <c r="E615" s="123"/>
      <c r="F615" s="97"/>
      <c r="G615" s="27"/>
      <c r="I615" s="121" t="s">
        <v>18</v>
      </c>
      <c r="J615" s="122"/>
      <c r="K615" s="119" t="s">
        <v>19</v>
      </c>
      <c r="N615" s="25"/>
      <c r="O615" s="26"/>
      <c r="P615" s="123" t="s">
        <v>17</v>
      </c>
      <c r="Q615" s="123"/>
      <c r="R615" s="97"/>
      <c r="S615" s="27"/>
      <c r="U615" s="121" t="s">
        <v>18</v>
      </c>
      <c r="V615" s="122"/>
      <c r="W615" s="119" t="s">
        <v>19</v>
      </c>
      <c r="Z615" s="25"/>
      <c r="AA615" s="26"/>
      <c r="AB615" s="123" t="s">
        <v>17</v>
      </c>
      <c r="AC615" s="123"/>
      <c r="AD615" s="97"/>
      <c r="AE615" s="27"/>
      <c r="AG615" s="121" t="s">
        <v>18</v>
      </c>
      <c r="AH615" s="122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2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2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2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2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2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2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2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2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2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2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2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2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2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2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2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2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1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1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2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3" t="s">
        <v>17</v>
      </c>
      <c r="E670" s="123"/>
      <c r="F670" s="98"/>
      <c r="G670" s="27"/>
      <c r="I670" s="121" t="s">
        <v>18</v>
      </c>
      <c r="J670" s="122"/>
      <c r="K670" s="119" t="s">
        <v>19</v>
      </c>
      <c r="N670" s="25"/>
      <c r="O670" s="26"/>
      <c r="P670" s="123" t="s">
        <v>17</v>
      </c>
      <c r="Q670" s="123"/>
      <c r="R670" s="98"/>
      <c r="S670" s="27"/>
      <c r="U670" s="121" t="s">
        <v>18</v>
      </c>
      <c r="V670" s="122"/>
      <c r="W670" s="119" t="s">
        <v>19</v>
      </c>
      <c r="Z670" s="25"/>
      <c r="AA670" s="26"/>
      <c r="AB670" s="123" t="s">
        <v>17</v>
      </c>
      <c r="AC670" s="123"/>
      <c r="AD670" s="98"/>
      <c r="AE670" s="27"/>
      <c r="AG670" s="121" t="s">
        <v>18</v>
      </c>
      <c r="AH670" s="122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2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2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2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2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2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2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2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2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2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2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1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2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1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3" t="s">
        <v>17</v>
      </c>
      <c r="E725" s="123"/>
      <c r="F725" s="99"/>
      <c r="G725" s="27"/>
      <c r="I725" s="121" t="s">
        <v>18</v>
      </c>
      <c r="J725" s="122"/>
      <c r="K725" s="119" t="s">
        <v>19</v>
      </c>
      <c r="N725" s="25"/>
      <c r="O725" s="26"/>
      <c r="P725" s="123" t="s">
        <v>17</v>
      </c>
      <c r="Q725" s="123"/>
      <c r="R725" s="99"/>
      <c r="S725" s="27"/>
      <c r="U725" s="121" t="s">
        <v>18</v>
      </c>
      <c r="V725" s="122"/>
      <c r="W725" s="119" t="s">
        <v>19</v>
      </c>
      <c r="Z725" s="25"/>
      <c r="AA725" s="26"/>
      <c r="AB725" s="123" t="s">
        <v>17</v>
      </c>
      <c r="AC725" s="123"/>
      <c r="AD725" s="99"/>
      <c r="AE725" s="27"/>
      <c r="AG725" s="121" t="s">
        <v>18</v>
      </c>
      <c r="AH725" s="122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2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2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2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2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2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2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2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2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2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2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2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2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1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2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1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1"/>
      <c r="C772" s="101"/>
      <c r="D772" s="101"/>
      <c r="E772" s="101"/>
      <c r="F772" s="101"/>
      <c r="G772" s="10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1"/>
      <c r="C773" s="101"/>
      <c r="D773" s="101"/>
      <c r="E773" s="101"/>
      <c r="F773" s="101"/>
      <c r="G773" s="10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1"/>
      <c r="C774" s="101"/>
      <c r="D774" s="101"/>
      <c r="E774" s="101"/>
      <c r="F774" s="101"/>
      <c r="G774" s="10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1"/>
      <c r="C775" s="101"/>
      <c r="D775" s="101"/>
      <c r="E775" s="101"/>
      <c r="F775" s="101"/>
      <c r="G775" s="10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1"/>
      <c r="C776" s="101"/>
      <c r="D776" s="101"/>
      <c r="E776" s="101"/>
      <c r="F776" s="101"/>
      <c r="G776" s="10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1"/>
      <c r="C777" s="101"/>
      <c r="D777" s="101"/>
      <c r="E777" s="101"/>
      <c r="F777" s="101"/>
      <c r="G777" s="101"/>
      <c r="H777" s="62"/>
      <c r="I777" s="101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1"/>
      <c r="C778" s="101"/>
      <c r="D778" s="101"/>
      <c r="E778" s="101"/>
      <c r="F778" s="101"/>
      <c r="G778" s="101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1"/>
      <c r="C779" s="101"/>
      <c r="D779" s="101"/>
      <c r="E779" s="101"/>
      <c r="F779" s="101"/>
      <c r="G779" s="10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1"/>
      <c r="D780" s="125"/>
      <c r="E780" s="125"/>
      <c r="F780" s="101"/>
      <c r="G780" s="101"/>
      <c r="H780" s="62"/>
      <c r="I780" s="125"/>
      <c r="J780" s="125"/>
      <c r="K780" s="124"/>
      <c r="N780" s="25"/>
      <c r="O780" s="26"/>
      <c r="P780" s="123" t="s">
        <v>17</v>
      </c>
      <c r="Q780" s="123"/>
      <c r="R780" s="102"/>
      <c r="S780" s="27"/>
      <c r="U780" s="121" t="s">
        <v>18</v>
      </c>
      <c r="V780" s="122"/>
      <c r="W780" s="119" t="s">
        <v>19</v>
      </c>
      <c r="Z780" s="25"/>
      <c r="AA780" s="26"/>
      <c r="AB780" s="123" t="s">
        <v>17</v>
      </c>
      <c r="AC780" s="123"/>
      <c r="AD780" s="102"/>
      <c r="AE780" s="27"/>
      <c r="AG780" s="121" t="s">
        <v>18</v>
      </c>
      <c r="AH780" s="122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1"/>
      <c r="C781" s="101"/>
      <c r="D781" s="79"/>
      <c r="E781" s="80"/>
      <c r="F781" s="81"/>
      <c r="G781" s="81"/>
      <c r="H781" s="62"/>
      <c r="I781" s="100"/>
      <c r="J781" s="100"/>
      <c r="K781" s="12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3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1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1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1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1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1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1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1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1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1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1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1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1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1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1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1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1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1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1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1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1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1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1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1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1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3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1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3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3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3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3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1"/>
      <c r="C824" s="101"/>
      <c r="D824" s="101"/>
      <c r="E824" s="101"/>
      <c r="F824" s="101"/>
      <c r="G824" s="101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1"/>
      <c r="C825" s="101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3" t="s">
        <v>17</v>
      </c>
      <c r="E835" s="123"/>
      <c r="F835" s="103"/>
      <c r="G835" s="27"/>
      <c r="I835" s="121" t="s">
        <v>18</v>
      </c>
      <c r="J835" s="122"/>
      <c r="K835" s="119" t="s">
        <v>19</v>
      </c>
      <c r="N835" s="25"/>
      <c r="O835" s="26"/>
      <c r="P835" s="123" t="s">
        <v>17</v>
      </c>
      <c r="Q835" s="123"/>
      <c r="R835" s="103"/>
      <c r="S835" s="27"/>
      <c r="U835" s="121" t="s">
        <v>18</v>
      </c>
      <c r="V835" s="122"/>
      <c r="W835" s="119" t="s">
        <v>19</v>
      </c>
      <c r="Z835" s="25"/>
      <c r="AA835" s="26"/>
      <c r="AB835" s="123" t="s">
        <v>17</v>
      </c>
      <c r="AC835" s="123"/>
      <c r="AD835" s="103"/>
      <c r="AE835" s="27"/>
      <c r="AG835" s="121" t="s">
        <v>18</v>
      </c>
      <c r="AH835" s="122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20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20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2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2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2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2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2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2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2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2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2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2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2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2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1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2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1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3" t="s">
        <v>17</v>
      </c>
      <c r="E890" s="123"/>
      <c r="F890" s="104"/>
      <c r="G890" s="27"/>
      <c r="I890" s="121" t="s">
        <v>18</v>
      </c>
      <c r="J890" s="122"/>
      <c r="K890" s="119" t="s">
        <v>19</v>
      </c>
      <c r="N890" s="25"/>
      <c r="O890" s="26"/>
      <c r="P890" s="123" t="s">
        <v>17</v>
      </c>
      <c r="Q890" s="123"/>
      <c r="R890" s="104"/>
      <c r="S890" s="27"/>
      <c r="U890" s="121" t="s">
        <v>18</v>
      </c>
      <c r="V890" s="122"/>
      <c r="W890" s="119" t="s">
        <v>19</v>
      </c>
      <c r="Z890" s="25"/>
      <c r="AA890" s="26"/>
      <c r="AB890" s="123" t="s">
        <v>17</v>
      </c>
      <c r="AC890" s="123"/>
      <c r="AD890" s="104"/>
      <c r="AE890" s="27"/>
      <c r="AG890" s="121" t="s">
        <v>18</v>
      </c>
      <c r="AH890" s="122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2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2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2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2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2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2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2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2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2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2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2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2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2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1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2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1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5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5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85"/>
      <c r="AT942" s="85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5"/>
      <c r="AM943" s="85"/>
      <c r="AN943" s="85"/>
      <c r="AO943" s="85"/>
      <c r="AP943" s="85"/>
      <c r="AQ943" s="85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5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3" t="s">
        <v>17</v>
      </c>
      <c r="E945" s="123"/>
      <c r="F945" s="107"/>
      <c r="G945" s="27"/>
      <c r="I945" s="121" t="s">
        <v>18</v>
      </c>
      <c r="J945" s="122"/>
      <c r="K945" s="119" t="s">
        <v>19</v>
      </c>
      <c r="N945" s="25"/>
      <c r="O945" s="26"/>
      <c r="P945" s="123" t="s">
        <v>17</v>
      </c>
      <c r="Q945" s="123"/>
      <c r="R945" s="106"/>
      <c r="S945" s="27"/>
      <c r="U945" s="121" t="s">
        <v>18</v>
      </c>
      <c r="V945" s="122"/>
      <c r="W945" s="119" t="s">
        <v>19</v>
      </c>
      <c r="Z945" s="25"/>
      <c r="AA945" s="26"/>
      <c r="AB945" s="123" t="s">
        <v>17</v>
      </c>
      <c r="AC945" s="123"/>
      <c r="AD945" s="105"/>
      <c r="AE945" s="27"/>
      <c r="AG945" s="121" t="s">
        <v>18</v>
      </c>
      <c r="AH945" s="122"/>
      <c r="AI945" s="119" t="s">
        <v>19</v>
      </c>
      <c r="AK945" s="62"/>
      <c r="AL945" s="65"/>
      <c r="AM945" s="85"/>
      <c r="AN945" s="125"/>
      <c r="AO945" s="125"/>
      <c r="AP945" s="85"/>
      <c r="AQ945" s="85"/>
      <c r="AR945" s="62"/>
      <c r="AS945" s="125"/>
      <c r="AT945" s="125"/>
      <c r="AU945" s="124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20"/>
      <c r="AK946" s="62"/>
      <c r="AL946" s="85"/>
      <c r="AM946" s="85"/>
      <c r="AN946" s="79"/>
      <c r="AO946" s="81"/>
      <c r="AP946" s="81"/>
      <c r="AQ946" s="81"/>
      <c r="AR946" s="62"/>
      <c r="AS946" s="84"/>
      <c r="AT946" s="84"/>
      <c r="AU946" s="124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2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2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2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2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2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2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2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2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2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2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2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2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2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1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2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1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5"/>
      <c r="AM988" s="85"/>
      <c r="AN988" s="85"/>
      <c r="AO988" s="85"/>
      <c r="AP988" s="85"/>
      <c r="AQ988" s="85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5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L992" s="62"/>
      <c r="M992" s="62"/>
      <c r="N992" s="85"/>
      <c r="O992" s="85"/>
      <c r="P992" s="85"/>
      <c r="Q992" s="85"/>
      <c r="R992" s="85"/>
      <c r="S992" s="85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L993" s="62"/>
      <c r="M993" s="62"/>
      <c r="N993" s="85"/>
      <c r="O993" s="85"/>
      <c r="P993" s="85"/>
      <c r="Q993" s="85"/>
      <c r="R993" s="85"/>
      <c r="S993" s="85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L994" s="62"/>
      <c r="M994" s="62"/>
      <c r="N994" s="85"/>
      <c r="O994" s="85"/>
      <c r="P994" s="85"/>
      <c r="Q994" s="85"/>
      <c r="R994" s="85"/>
      <c r="S994" s="85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5"/>
      <c r="C995" s="85"/>
      <c r="D995" s="85"/>
      <c r="E995" s="85"/>
      <c r="F995" s="85"/>
      <c r="G995" s="85"/>
      <c r="H995" s="62"/>
      <c r="I995" s="62"/>
      <c r="J995" s="62"/>
      <c r="K995" s="62"/>
      <c r="L995" s="62"/>
      <c r="M995" s="63"/>
      <c r="N995" s="85"/>
      <c r="O995" s="85"/>
      <c r="P995" s="85"/>
      <c r="Q995" s="85"/>
      <c r="R995" s="85"/>
      <c r="S995" s="85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5"/>
      <c r="C996" s="85"/>
      <c r="D996" s="85"/>
      <c r="E996" s="85"/>
      <c r="F996" s="85"/>
      <c r="G996" s="85"/>
      <c r="H996" s="62"/>
      <c r="I996" s="62"/>
      <c r="J996" s="62"/>
      <c r="K996" s="62"/>
      <c r="L996" s="62"/>
      <c r="M996" s="62"/>
      <c r="N996" s="85"/>
      <c r="O996" s="85"/>
      <c r="P996" s="85"/>
      <c r="Q996" s="85"/>
      <c r="R996" s="85"/>
      <c r="S996" s="85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5"/>
      <c r="C997" s="85"/>
      <c r="D997" s="85"/>
      <c r="E997" s="85"/>
      <c r="F997" s="85"/>
      <c r="G997" s="85"/>
      <c r="H997" s="62"/>
      <c r="I997" s="85"/>
      <c r="J997" s="73"/>
      <c r="K997" s="62"/>
      <c r="L997" s="62"/>
      <c r="M997" s="62"/>
      <c r="N997" s="85"/>
      <c r="O997" s="85"/>
      <c r="P997" s="85"/>
      <c r="Q997" s="85"/>
      <c r="R997" s="85"/>
      <c r="S997" s="85"/>
      <c r="T997" s="62"/>
      <c r="U997" s="85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5"/>
      <c r="C998" s="85"/>
      <c r="D998" s="85"/>
      <c r="E998" s="85"/>
      <c r="F998" s="85"/>
      <c r="G998" s="85"/>
      <c r="H998" s="62"/>
      <c r="I998" s="65"/>
      <c r="J998" s="65"/>
      <c r="K998" s="62"/>
      <c r="L998" s="62"/>
      <c r="M998" s="64"/>
      <c r="N998" s="85"/>
      <c r="O998" s="85"/>
      <c r="P998" s="85"/>
      <c r="Q998" s="85"/>
      <c r="R998" s="85"/>
      <c r="S998" s="85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85"/>
      <c r="E999" s="85"/>
      <c r="F999" s="85"/>
      <c r="G999" s="85"/>
      <c r="H999" s="62"/>
      <c r="I999" s="62"/>
      <c r="J999" s="62"/>
      <c r="K999" s="62"/>
      <c r="L999" s="62"/>
      <c r="M999" s="62"/>
      <c r="N999" s="85"/>
      <c r="O999" s="85"/>
      <c r="P999" s="85"/>
      <c r="Q999" s="85"/>
      <c r="R999" s="85"/>
      <c r="S999" s="85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5"/>
      <c r="D1000" s="125"/>
      <c r="E1000" s="125"/>
      <c r="F1000" s="85"/>
      <c r="G1000" s="85"/>
      <c r="H1000" s="62"/>
      <c r="I1000" s="125"/>
      <c r="J1000" s="125"/>
      <c r="K1000" s="124"/>
      <c r="L1000" s="62"/>
      <c r="M1000" s="62"/>
      <c r="N1000" s="65"/>
      <c r="O1000" s="85"/>
      <c r="P1000" s="125"/>
      <c r="Q1000" s="125"/>
      <c r="R1000" s="85"/>
      <c r="S1000" s="85"/>
      <c r="T1000" s="62"/>
      <c r="U1000" s="125"/>
      <c r="V1000" s="125"/>
      <c r="W1000" s="124"/>
      <c r="Z1000" s="25"/>
      <c r="AA1000" s="26"/>
      <c r="AB1000" s="123" t="s">
        <v>17</v>
      </c>
      <c r="AC1000" s="123"/>
      <c r="AD1000" s="108"/>
      <c r="AE1000" s="27"/>
      <c r="AG1000" s="121" t="s">
        <v>18</v>
      </c>
      <c r="AH1000" s="122"/>
      <c r="AI1000" s="119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5"/>
      <c r="C1001" s="85"/>
      <c r="D1001" s="79"/>
      <c r="E1001" s="80"/>
      <c r="F1001" s="81"/>
      <c r="G1001" s="81"/>
      <c r="H1001" s="62"/>
      <c r="I1001" s="84"/>
      <c r="J1001" s="84"/>
      <c r="K1001" s="124"/>
      <c r="L1001" s="62"/>
      <c r="M1001" s="62"/>
      <c r="N1001" s="85"/>
      <c r="O1001" s="85"/>
      <c r="P1001" s="79"/>
      <c r="Q1001" s="81"/>
      <c r="R1001" s="81"/>
      <c r="S1001" s="81"/>
      <c r="T1001" s="62"/>
      <c r="U1001" s="84"/>
      <c r="V1001" s="84"/>
      <c r="W1001" s="124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20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3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5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5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4" si="290">SUM(AB1003:AC1003)</f>
        <v>46094</v>
      </c>
      <c r="AF1003" s="12"/>
      <c r="AG1003" s="12"/>
      <c r="AH1003">
        <f>-120+-30*111</f>
        <v>-3450</v>
      </c>
      <c r="AI1003" s="12">
        <f t="shared" ref="AI1003:AI1004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5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5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5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3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5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0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5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5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5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5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5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5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5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5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5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5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5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5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5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5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5"/>
      <c r="P1022" s="67"/>
      <c r="Q1022" s="85"/>
      <c r="R1022" s="85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5"/>
      <c r="P1023" s="68"/>
      <c r="Q1023" s="85"/>
      <c r="R1023" s="85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5"/>
      <c r="P1024" s="69"/>
      <c r="Q1024" s="85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5"/>
      <c r="P1025" s="69"/>
      <c r="Q1025" s="85"/>
      <c r="R1025" s="85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5"/>
      <c r="P1026" s="69"/>
      <c r="Q1026" s="85"/>
      <c r="R1026" s="85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5"/>
      <c r="P1027" s="69"/>
      <c r="Q1027" s="85"/>
      <c r="R1027" s="85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5"/>
      <c r="R1028" s="85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5"/>
      <c r="P1029" s="69"/>
      <c r="Q1029" s="85"/>
      <c r="R1029" s="85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5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5"/>
      <c r="P1030" s="69"/>
      <c r="Q1030" s="85"/>
      <c r="R1030" s="85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5"/>
      <c r="P1031" s="69"/>
      <c r="Q1031" s="85"/>
      <c r="R1031" s="85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5"/>
      <c r="R1032" s="85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5"/>
      <c r="P1033" s="69"/>
      <c r="Q1033" s="85"/>
      <c r="R1033" s="85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5"/>
      <c r="P1034" s="69"/>
      <c r="Q1034" s="85"/>
      <c r="R1034" s="85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5"/>
      <c r="P1035" s="69"/>
      <c r="Q1035" s="85"/>
      <c r="R1035" s="85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5"/>
      <c r="P1036" s="69"/>
      <c r="Q1036" s="85"/>
      <c r="R1036" s="85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5"/>
      <c r="P1037" s="69"/>
      <c r="Q1037" s="85"/>
      <c r="R1037" s="85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5"/>
      <c r="R1038" s="85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5"/>
      <c r="P1039" s="69"/>
      <c r="Q1039" s="85"/>
      <c r="R1039" s="85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5"/>
      <c r="P1040" s="69"/>
      <c r="Q1040" s="85"/>
      <c r="R1040" s="85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5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5"/>
      <c r="R1041" s="85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5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5"/>
      <c r="P1042" s="69"/>
      <c r="Q1042" s="85"/>
      <c r="R1042" s="85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5"/>
      <c r="O1043" s="85"/>
      <c r="P1043" s="85"/>
      <c r="Q1043" s="85"/>
      <c r="R1043" s="85"/>
      <c r="S1043" s="85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5"/>
      <c r="C1044" s="85"/>
      <c r="D1044" s="85"/>
      <c r="E1044" s="85"/>
      <c r="F1044" s="85"/>
      <c r="G1044" s="85"/>
      <c r="H1044" s="62"/>
      <c r="I1044" s="62"/>
      <c r="J1044" s="62"/>
      <c r="K1044" s="62"/>
      <c r="L1044" s="62"/>
      <c r="M1044" s="62"/>
      <c r="N1044" s="85"/>
      <c r="O1044" s="85"/>
      <c r="P1044" s="85"/>
      <c r="Q1044" s="85"/>
      <c r="R1044" s="85"/>
      <c r="S1044" s="85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5"/>
      <c r="O1045" s="85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5"/>
      <c r="AA1047" s="85"/>
      <c r="AB1047" s="85"/>
      <c r="AC1047" s="85"/>
      <c r="AD1047" s="85"/>
      <c r="AE1047" s="85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5"/>
      <c r="AA1048" s="85"/>
      <c r="AB1048" s="85"/>
      <c r="AC1048" s="85"/>
      <c r="AD1048" s="85"/>
      <c r="AE1048" s="85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5"/>
      <c r="AA1049" s="85"/>
      <c r="AB1049" s="85"/>
      <c r="AC1049" s="85"/>
      <c r="AD1049" s="85"/>
      <c r="AE1049" s="85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5"/>
      <c r="AA1050" s="85"/>
      <c r="AB1050" s="85"/>
      <c r="AC1050" s="85"/>
      <c r="AD1050" s="85"/>
      <c r="AE1050" s="85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5"/>
      <c r="AA1051" s="85"/>
      <c r="AB1051" s="85"/>
      <c r="AC1051" s="85"/>
      <c r="AD1051" s="85"/>
      <c r="AE1051" s="85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5"/>
      <c r="AA1052" s="85"/>
      <c r="AB1052" s="85"/>
      <c r="AC1052" s="85"/>
      <c r="AD1052" s="85"/>
      <c r="AE1052" s="85"/>
      <c r="AF1052" s="62"/>
      <c r="AG1052" s="85"/>
      <c r="AH1052" s="8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91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91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5"/>
      <c r="AA1053" s="85"/>
      <c r="AB1053" s="85"/>
      <c r="AC1053" s="85"/>
      <c r="AD1053" s="85"/>
      <c r="AE1053" s="85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5"/>
      <c r="AA1054" s="85"/>
      <c r="AB1054" s="85"/>
      <c r="AC1054" s="85"/>
      <c r="AD1054" s="85"/>
      <c r="AE1054" s="85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3" t="s">
        <v>17</v>
      </c>
      <c r="E1055" s="123"/>
      <c r="F1055" s="109"/>
      <c r="G1055" s="27"/>
      <c r="I1055" s="121" t="s">
        <v>18</v>
      </c>
      <c r="J1055" s="122"/>
      <c r="K1055" s="119" t="s">
        <v>19</v>
      </c>
      <c r="N1055" s="25"/>
      <c r="O1055" s="26"/>
      <c r="P1055" s="123" t="s">
        <v>17</v>
      </c>
      <c r="Q1055" s="123"/>
      <c r="R1055" s="109"/>
      <c r="S1055" s="27"/>
      <c r="U1055" s="121" t="s">
        <v>18</v>
      </c>
      <c r="V1055" s="122"/>
      <c r="W1055" s="119" t="s">
        <v>19</v>
      </c>
      <c r="Y1055" s="62"/>
      <c r="Z1055" s="65"/>
      <c r="AA1055" s="85"/>
      <c r="AB1055" s="125"/>
      <c r="AC1055" s="125"/>
      <c r="AD1055" s="85"/>
      <c r="AE1055" s="85"/>
      <c r="AF1055" s="62"/>
      <c r="AG1055" s="125"/>
      <c r="AH1055" s="125"/>
      <c r="AI1055" s="12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20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20"/>
      <c r="Y1056" s="62"/>
      <c r="Z1056" s="85"/>
      <c r="AA1056" s="85"/>
      <c r="AB1056" s="79"/>
      <c r="AC1056" s="81"/>
      <c r="AD1056" s="81"/>
      <c r="AE1056" s="81"/>
      <c r="AF1056" s="62"/>
      <c r="AG1056" s="84"/>
      <c r="AH1056" s="84"/>
      <c r="AI1056" s="12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92</v>
      </c>
      <c r="C1057" s="82">
        <v>9240</v>
      </c>
      <c r="D1057" s="32">
        <f>650*10+670+622*6+912+9.5*6</f>
        <v>11871</v>
      </c>
      <c r="E1057" s="32"/>
      <c r="F1057" s="32"/>
      <c r="G1057" s="32">
        <f t="shared" ref="G1057:G1090" si="296">SUM(D1057:E1057)</f>
        <v>11871</v>
      </c>
      <c r="H1057" s="12"/>
      <c r="I1057" s="12"/>
      <c r="J1057" s="12"/>
      <c r="K1057" s="12">
        <f t="shared" ref="K1057:K1090" si="297">SUM(G1057:J1057)</f>
        <v>11871</v>
      </c>
      <c r="M1057" s="10">
        <v>1</v>
      </c>
      <c r="N1057" s="30" t="s">
        <v>92</v>
      </c>
      <c r="O1057" s="31">
        <v>9295</v>
      </c>
      <c r="P1057" s="32">
        <f>650*432+622*108+229*22</f>
        <v>353014</v>
      </c>
      <c r="Q1057" s="32">
        <f>-540*6</f>
        <v>-3240</v>
      </c>
      <c r="R1057" s="32"/>
      <c r="S1057" s="32">
        <f>SUM(P1057:Q1057)</f>
        <v>349774</v>
      </c>
      <c r="T1057" s="12"/>
      <c r="U1057" s="12">
        <v>1326</v>
      </c>
      <c r="V1057" s="12">
        <f>-1680+-840</f>
        <v>-2520</v>
      </c>
      <c r="W1057" s="12">
        <f>SUM(S1057:V1057)</f>
        <v>348580</v>
      </c>
      <c r="Y1057" s="62"/>
      <c r="Z1057" s="66"/>
      <c r="AA1057" s="85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92</v>
      </c>
      <c r="C1058" s="82">
        <f>C1057+1</f>
        <v>9241</v>
      </c>
      <c r="D1058" s="32">
        <f>650*17+670+622</f>
        <v>12342</v>
      </c>
      <c r="E1058" s="32"/>
      <c r="F1058" s="32"/>
      <c r="G1058" s="32">
        <f t="shared" si="296"/>
        <v>12342</v>
      </c>
      <c r="H1058" s="12"/>
      <c r="I1058" s="12"/>
      <c r="J1058" s="12"/>
      <c r="K1058" s="12">
        <f t="shared" si="297"/>
        <v>12342</v>
      </c>
      <c r="M1058" s="10">
        <v>2</v>
      </c>
      <c r="N1058" s="30" t="s">
        <v>92</v>
      </c>
      <c r="O1058" s="31">
        <f>O1057+1</f>
        <v>9296</v>
      </c>
      <c r="P1058" s="32">
        <f>650*4+670</f>
        <v>3270</v>
      </c>
      <c r="Q1058" s="32"/>
      <c r="R1058" s="32"/>
      <c r="S1058" s="32">
        <f t="shared" ref="S1058:S1095" si="298">SUM(P1058:Q1058)</f>
        <v>3270</v>
      </c>
      <c r="T1058" s="12"/>
      <c r="U1058" s="12"/>
      <c r="V1058" s="12">
        <v>-666</v>
      </c>
      <c r="W1058" s="12">
        <f t="shared" ref="W1058:W1098" si="299">SUM(S1058:V1058)</f>
        <v>2604</v>
      </c>
      <c r="Y1058" s="62"/>
      <c r="Z1058" s="66"/>
      <c r="AA1058" s="85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92</v>
      </c>
      <c r="C1059" s="82">
        <f t="shared" ref="C1059:C1076" si="300">C1058+1</f>
        <v>9242</v>
      </c>
      <c r="D1059" s="33">
        <f>650*3+9.5*3</f>
        <v>1978.5</v>
      </c>
      <c r="E1059" s="33"/>
      <c r="F1059" s="33"/>
      <c r="G1059" s="33">
        <f t="shared" si="296"/>
        <v>1978.5</v>
      </c>
      <c r="H1059" s="34"/>
      <c r="I1059" s="34"/>
      <c r="J1059" s="34">
        <v>-111</v>
      </c>
      <c r="K1059" s="34">
        <f t="shared" si="297"/>
        <v>1867.5</v>
      </c>
      <c r="M1059" s="10">
        <v>3</v>
      </c>
      <c r="N1059" s="30" t="s">
        <v>92</v>
      </c>
      <c r="O1059" s="31">
        <f t="shared" ref="O1059" si="301">O1058+1</f>
        <v>9297</v>
      </c>
      <c r="P1059" s="32">
        <f>650*30</f>
        <v>19500</v>
      </c>
      <c r="Q1059" s="32"/>
      <c r="R1059" s="32"/>
      <c r="S1059" s="32">
        <f t="shared" si="298"/>
        <v>19500</v>
      </c>
      <c r="T1059" s="12"/>
      <c r="U1059" s="12">
        <v>27</v>
      </c>
      <c r="V1059" s="12"/>
      <c r="W1059" s="12">
        <f t="shared" si="299"/>
        <v>19527</v>
      </c>
      <c r="Y1059" s="62"/>
      <c r="Z1059" s="66"/>
      <c r="AA1059" s="85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92</v>
      </c>
      <c r="C1060" s="82">
        <f t="shared" si="300"/>
        <v>9243</v>
      </c>
      <c r="D1060" s="32">
        <f>650*8+622+9.5*9</f>
        <v>5907.5</v>
      </c>
      <c r="E1060" s="32"/>
      <c r="F1060" s="32"/>
      <c r="G1060" s="32">
        <f t="shared" si="296"/>
        <v>5907.5</v>
      </c>
      <c r="H1060" s="12"/>
      <c r="I1060" s="12"/>
      <c r="J1060" s="12"/>
      <c r="K1060" s="12">
        <f t="shared" si="297"/>
        <v>5907.5</v>
      </c>
      <c r="M1060" s="10">
        <v>4</v>
      </c>
      <c r="N1060" s="30"/>
      <c r="O1060" s="11" t="s">
        <v>27</v>
      </c>
      <c r="P1060" s="32"/>
      <c r="Q1060" s="32"/>
      <c r="R1060" s="32"/>
      <c r="S1060" s="32">
        <f t="shared" si="298"/>
        <v>0</v>
      </c>
      <c r="T1060" s="12"/>
      <c r="U1060" s="12"/>
      <c r="V1060" s="12"/>
      <c r="W1060" s="12">
        <f t="shared" si="299"/>
        <v>0</v>
      </c>
      <c r="Y1060" s="62"/>
      <c r="Z1060" s="66"/>
      <c r="AA1060" s="8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92</v>
      </c>
      <c r="C1061" s="82">
        <f t="shared" si="300"/>
        <v>9244</v>
      </c>
      <c r="D1061" s="32">
        <f>650*2+9.5*2</f>
        <v>1319</v>
      </c>
      <c r="E1061" s="32"/>
      <c r="F1061" s="32"/>
      <c r="G1061" s="32">
        <f t="shared" si="296"/>
        <v>1319</v>
      </c>
      <c r="H1061" s="12"/>
      <c r="I1061" s="12"/>
      <c r="J1061" s="12"/>
      <c r="K1061" s="12">
        <f t="shared" si="297"/>
        <v>1319</v>
      </c>
      <c r="M1061" s="10">
        <v>5</v>
      </c>
      <c r="N1061" s="30"/>
      <c r="O1061" s="31"/>
      <c r="P1061" s="32"/>
      <c r="Q1061" s="32"/>
      <c r="R1061" s="32"/>
      <c r="S1061" s="32">
        <f t="shared" si="298"/>
        <v>0</v>
      </c>
      <c r="T1061" s="12"/>
      <c r="U1061" s="12"/>
      <c r="V1061" s="12"/>
      <c r="W1061" s="12">
        <f t="shared" si="299"/>
        <v>0</v>
      </c>
      <c r="Y1061" s="62"/>
      <c r="Z1061" s="66"/>
      <c r="AA1061" s="8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92</v>
      </c>
      <c r="C1062" s="82">
        <f t="shared" si="300"/>
        <v>9245</v>
      </c>
      <c r="D1062" s="32">
        <f>650*16</f>
        <v>10400</v>
      </c>
      <c r="E1062" s="32"/>
      <c r="F1062" s="32"/>
      <c r="G1062" s="32">
        <f t="shared" si="296"/>
        <v>10400</v>
      </c>
      <c r="H1062" s="12"/>
      <c r="I1062" s="12"/>
      <c r="J1062" s="12"/>
      <c r="K1062" s="12">
        <f t="shared" si="297"/>
        <v>10400</v>
      </c>
      <c r="M1062" s="10">
        <v>6</v>
      </c>
      <c r="N1062" s="30"/>
      <c r="P1062" s="32"/>
      <c r="Q1062" s="32"/>
      <c r="R1062" s="32"/>
      <c r="S1062" s="32">
        <f t="shared" si="298"/>
        <v>0</v>
      </c>
      <c r="T1062" s="12"/>
      <c r="U1062" s="12"/>
      <c r="V1062" s="10"/>
      <c r="W1062" s="12">
        <f t="shared" si="299"/>
        <v>0</v>
      </c>
      <c r="Y1062" s="62"/>
      <c r="Z1062" s="66"/>
      <c r="AA1062" s="8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92</v>
      </c>
      <c r="C1063" s="82">
        <f t="shared" si="300"/>
        <v>9246</v>
      </c>
      <c r="D1063" s="32">
        <f>650*45+229</f>
        <v>29479</v>
      </c>
      <c r="E1063" s="32"/>
      <c r="F1063" s="32"/>
      <c r="G1063" s="32">
        <f t="shared" si="296"/>
        <v>29479</v>
      </c>
      <c r="H1063" s="12"/>
      <c r="I1063" s="12"/>
      <c r="J1063" s="12"/>
      <c r="K1063" s="12">
        <f t="shared" si="297"/>
        <v>29479</v>
      </c>
      <c r="M1063" s="10">
        <v>7</v>
      </c>
      <c r="N1063" s="30"/>
      <c r="O1063" s="31"/>
      <c r="P1063" s="32"/>
      <c r="Q1063" s="32"/>
      <c r="R1063" s="32"/>
      <c r="S1063" s="32">
        <f t="shared" si="298"/>
        <v>0</v>
      </c>
      <c r="T1063" s="12"/>
      <c r="U1063" s="12"/>
      <c r="V1063" s="12"/>
      <c r="W1063" s="12">
        <f t="shared" si="299"/>
        <v>0</v>
      </c>
      <c r="Y1063" s="62"/>
      <c r="Z1063" s="66"/>
      <c r="AA1063" s="85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92</v>
      </c>
      <c r="C1064" s="82">
        <f t="shared" si="300"/>
        <v>9247</v>
      </c>
      <c r="D1064" s="32">
        <f>650*11</f>
        <v>7150</v>
      </c>
      <c r="E1064" s="32"/>
      <c r="F1064" s="32"/>
      <c r="G1064" s="32">
        <f t="shared" si="296"/>
        <v>7150</v>
      </c>
      <c r="H1064" s="12"/>
      <c r="I1064" s="12"/>
      <c r="J1064" s="12"/>
      <c r="K1064" s="12">
        <f t="shared" si="297"/>
        <v>7150</v>
      </c>
      <c r="M1064" s="10">
        <v>8</v>
      </c>
      <c r="N1064" s="30"/>
      <c r="O1064" s="31"/>
      <c r="P1064" s="32"/>
      <c r="Q1064" s="32"/>
      <c r="R1064" s="32"/>
      <c r="S1064" s="32">
        <f t="shared" si="298"/>
        <v>0</v>
      </c>
      <c r="T1064" s="12"/>
      <c r="U1064" s="12"/>
      <c r="V1064" s="12"/>
      <c r="W1064" s="12">
        <f t="shared" si="299"/>
        <v>0</v>
      </c>
      <c r="Y1064" s="62"/>
      <c r="Z1064" s="66"/>
      <c r="AA1064" s="85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92</v>
      </c>
      <c r="C1065" s="82">
        <f t="shared" si="300"/>
        <v>9248</v>
      </c>
      <c r="D1065" s="32">
        <f>650*100+622*10</f>
        <v>71220</v>
      </c>
      <c r="E1065" s="32"/>
      <c r="F1065" s="32"/>
      <c r="G1065" s="32">
        <f t="shared" si="296"/>
        <v>71220</v>
      </c>
      <c r="H1065" s="12"/>
      <c r="I1065" s="12">
        <f>10*111+4.5*4</f>
        <v>1128</v>
      </c>
      <c r="J1065" s="12"/>
      <c r="K1065" s="12">
        <f t="shared" si="297"/>
        <v>72348</v>
      </c>
      <c r="M1065" s="10">
        <v>9</v>
      </c>
      <c r="N1065" s="30"/>
      <c r="O1065" s="31"/>
      <c r="P1065" s="32"/>
      <c r="Q1065" s="32"/>
      <c r="R1065" s="32"/>
      <c r="S1065" s="32">
        <f t="shared" si="298"/>
        <v>0</v>
      </c>
      <c r="T1065" s="12"/>
      <c r="U1065" s="12"/>
      <c r="V1065" s="12"/>
      <c r="W1065" s="12">
        <f t="shared" si="299"/>
        <v>0</v>
      </c>
      <c r="Y1065" s="62"/>
      <c r="Z1065" s="66"/>
      <c r="AA1065" s="85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92</v>
      </c>
      <c r="C1066" s="82">
        <f t="shared" si="300"/>
        <v>9249</v>
      </c>
      <c r="D1066" s="32">
        <f>650*4+9.5*4</f>
        <v>2638</v>
      </c>
      <c r="E1066" s="32"/>
      <c r="F1066" s="32"/>
      <c r="G1066" s="32">
        <f t="shared" si="296"/>
        <v>2638</v>
      </c>
      <c r="H1066" s="12"/>
      <c r="I1066" s="12"/>
      <c r="J1066" s="12"/>
      <c r="K1066" s="12">
        <f t="shared" si="297"/>
        <v>2638</v>
      </c>
      <c r="M1066" s="10">
        <v>10</v>
      </c>
      <c r="N1066" s="30"/>
      <c r="O1066" s="31"/>
      <c r="P1066" s="32"/>
      <c r="Q1066" s="32"/>
      <c r="R1066" s="32"/>
      <c r="S1066" s="32">
        <f t="shared" si="298"/>
        <v>0</v>
      </c>
      <c r="T1066" s="12"/>
      <c r="U1066" s="12"/>
      <c r="V1066" s="12"/>
      <c r="W1066" s="12">
        <f t="shared" si="299"/>
        <v>0</v>
      </c>
      <c r="Y1066" s="62"/>
      <c r="Z1066" s="66"/>
      <c r="AA1066" s="8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92</v>
      </c>
      <c r="C1067" s="82">
        <v>9111</v>
      </c>
      <c r="D1067" s="32">
        <f>650*6+9.5*6</f>
        <v>3957</v>
      </c>
      <c r="E1067" s="32"/>
      <c r="F1067" s="32"/>
      <c r="G1067" s="32">
        <f t="shared" si="296"/>
        <v>3957</v>
      </c>
      <c r="H1067" s="12"/>
      <c r="I1067" s="12"/>
      <c r="J1067" s="12"/>
      <c r="K1067" s="12">
        <f t="shared" si="297"/>
        <v>3957</v>
      </c>
      <c r="M1067" s="10">
        <v>11</v>
      </c>
      <c r="N1067" s="30"/>
      <c r="O1067" s="31"/>
      <c r="P1067" s="32"/>
      <c r="Q1067" s="32"/>
      <c r="R1067" s="32"/>
      <c r="S1067" s="32">
        <f t="shared" si="298"/>
        <v>0</v>
      </c>
      <c r="T1067" s="12"/>
      <c r="U1067" s="12"/>
      <c r="V1067" s="12"/>
      <c r="W1067" s="12">
        <f t="shared" si="299"/>
        <v>0</v>
      </c>
      <c r="Y1067" s="62"/>
      <c r="Z1067" s="66"/>
      <c r="AA1067" s="8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92</v>
      </c>
      <c r="C1068" s="82">
        <f t="shared" si="300"/>
        <v>9112</v>
      </c>
      <c r="D1068" s="32">
        <f>650*4+9.5*4</f>
        <v>2638</v>
      </c>
      <c r="E1068" s="32"/>
      <c r="F1068" s="32"/>
      <c r="G1068" s="32">
        <f t="shared" si="296"/>
        <v>2638</v>
      </c>
      <c r="H1068" s="12"/>
      <c r="I1068" s="12"/>
      <c r="J1068" s="10"/>
      <c r="K1068" s="12">
        <f t="shared" si="297"/>
        <v>2638</v>
      </c>
      <c r="M1068" s="10">
        <v>12</v>
      </c>
      <c r="N1068" s="30"/>
      <c r="O1068" s="31"/>
      <c r="P1068" s="32"/>
      <c r="Q1068" s="32"/>
      <c r="R1068" s="32"/>
      <c r="S1068" s="32">
        <f t="shared" si="298"/>
        <v>0</v>
      </c>
      <c r="T1068" s="12"/>
      <c r="U1068" s="12"/>
      <c r="V1068" s="12"/>
      <c r="W1068" s="12">
        <f t="shared" si="299"/>
        <v>0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92</v>
      </c>
      <c r="C1069" s="82">
        <f t="shared" si="300"/>
        <v>9113</v>
      </c>
      <c r="D1069" s="32">
        <f>650*3+622</f>
        <v>2572</v>
      </c>
      <c r="E1069" s="32"/>
      <c r="F1069" s="32"/>
      <c r="G1069" s="32">
        <f t="shared" si="296"/>
        <v>2572</v>
      </c>
      <c r="H1069" s="12"/>
      <c r="I1069" s="12"/>
      <c r="J1069" s="12"/>
      <c r="K1069" s="12">
        <f t="shared" si="297"/>
        <v>2572</v>
      </c>
      <c r="M1069" s="10">
        <v>13</v>
      </c>
      <c r="N1069" s="30"/>
      <c r="O1069" s="31"/>
      <c r="P1069" s="32"/>
      <c r="Q1069" s="32"/>
      <c r="R1069" s="32"/>
      <c r="S1069" s="32">
        <f t="shared" si="298"/>
        <v>0</v>
      </c>
      <c r="T1069" s="12"/>
      <c r="U1069" s="12"/>
      <c r="V1069" s="12"/>
      <c r="W1069" s="12">
        <f t="shared" si="299"/>
        <v>0</v>
      </c>
      <c r="Y1069" s="62"/>
      <c r="Z1069" s="66"/>
      <c r="AA1069" s="85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92</v>
      </c>
      <c r="C1070" s="82">
        <f t="shared" si="300"/>
        <v>9114</v>
      </c>
      <c r="D1070" s="32">
        <f>650*10+9.5*10</f>
        <v>6595</v>
      </c>
      <c r="E1070" s="32"/>
      <c r="F1070" s="32"/>
      <c r="G1070" s="32">
        <f t="shared" si="296"/>
        <v>6595</v>
      </c>
      <c r="H1070" s="12"/>
      <c r="I1070" s="12"/>
      <c r="J1070" s="12"/>
      <c r="K1070" s="12">
        <f t="shared" si="297"/>
        <v>6595</v>
      </c>
      <c r="M1070" s="10">
        <v>14</v>
      </c>
      <c r="N1070" s="30"/>
      <c r="O1070" s="31"/>
      <c r="P1070" s="32"/>
      <c r="Q1070" s="32"/>
      <c r="R1070" s="32"/>
      <c r="S1070" s="32">
        <f t="shared" si="298"/>
        <v>0</v>
      </c>
      <c r="T1070" s="12"/>
      <c r="U1070" s="12"/>
      <c r="V1070" s="12"/>
      <c r="W1070" s="12">
        <f t="shared" si="299"/>
        <v>0</v>
      </c>
      <c r="Y1070" s="62"/>
      <c r="Z1070" s="66"/>
      <c r="AA1070" s="85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92</v>
      </c>
      <c r="C1071" s="82">
        <f t="shared" si="300"/>
        <v>9115</v>
      </c>
      <c r="D1071" s="32">
        <f>650*41+670*2+229</f>
        <v>28219</v>
      </c>
      <c r="E1071" s="32"/>
      <c r="F1071" s="32"/>
      <c r="G1071" s="32">
        <f t="shared" si="296"/>
        <v>28219</v>
      </c>
      <c r="H1071" s="12"/>
      <c r="I1071" s="12"/>
      <c r="J1071" s="12"/>
      <c r="K1071" s="12">
        <f t="shared" si="297"/>
        <v>28219</v>
      </c>
      <c r="M1071" s="10">
        <v>15</v>
      </c>
      <c r="N1071" s="30"/>
      <c r="O1071" s="31"/>
      <c r="P1071" s="32"/>
      <c r="Q1071" s="32"/>
      <c r="R1071" s="32"/>
      <c r="S1071" s="32">
        <f t="shared" si="298"/>
        <v>0</v>
      </c>
      <c r="T1071" s="12"/>
      <c r="U1071" s="12"/>
      <c r="V1071" s="12"/>
      <c r="W1071" s="12">
        <f t="shared" si="299"/>
        <v>0</v>
      </c>
      <c r="Y1071" s="62"/>
      <c r="Z1071" s="66"/>
      <c r="AA1071" s="85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 t="s">
        <v>92</v>
      </c>
      <c r="C1072" s="82">
        <f t="shared" si="300"/>
        <v>9116</v>
      </c>
      <c r="D1072" s="32">
        <f>650*16+9.5*16</f>
        <v>10552</v>
      </c>
      <c r="E1072" s="32"/>
      <c r="F1072" s="32"/>
      <c r="G1072" s="32">
        <f t="shared" si="296"/>
        <v>10552</v>
      </c>
      <c r="H1072" s="12"/>
      <c r="I1072" s="12"/>
      <c r="J1072" s="12"/>
      <c r="K1072" s="12">
        <f t="shared" si="297"/>
        <v>10552</v>
      </c>
      <c r="M1072" s="10">
        <v>16</v>
      </c>
      <c r="N1072" s="30"/>
      <c r="O1072" s="31"/>
      <c r="P1072" s="32"/>
      <c r="Q1072" s="32"/>
      <c r="R1072" s="32"/>
      <c r="S1072" s="32">
        <f t="shared" si="298"/>
        <v>0</v>
      </c>
      <c r="T1072" s="12"/>
      <c r="U1072" s="12"/>
      <c r="V1072" s="12"/>
      <c r="W1072" s="12">
        <f t="shared" si="299"/>
        <v>0</v>
      </c>
      <c r="Y1072" s="62"/>
      <c r="Z1072" s="66"/>
      <c r="AA1072" s="85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 t="s">
        <v>92</v>
      </c>
      <c r="C1073" s="82">
        <f t="shared" si="300"/>
        <v>9117</v>
      </c>
      <c r="D1073" s="32">
        <f>650*17+622+872+9.5*18</f>
        <v>12715</v>
      </c>
      <c r="E1073" s="32"/>
      <c r="F1073" s="32"/>
      <c r="G1073" s="32">
        <f t="shared" si="296"/>
        <v>12715</v>
      </c>
      <c r="H1073" s="12"/>
      <c r="I1073" s="12">
        <v>112.5</v>
      </c>
      <c r="J1073" s="12"/>
      <c r="K1073" s="12">
        <f t="shared" si="297"/>
        <v>12827.5</v>
      </c>
      <c r="M1073" s="10">
        <v>17</v>
      </c>
      <c r="N1073" s="30"/>
      <c r="O1073" s="31"/>
      <c r="P1073" s="35"/>
      <c r="Q1073" s="32"/>
      <c r="R1073" s="32"/>
      <c r="S1073" s="32">
        <f t="shared" si="298"/>
        <v>0</v>
      </c>
      <c r="T1073" s="12"/>
      <c r="U1073" s="12"/>
      <c r="V1073" s="12"/>
      <c r="W1073" s="12">
        <f t="shared" si="299"/>
        <v>0</v>
      </c>
      <c r="Y1073" s="62"/>
      <c r="Z1073" s="66"/>
      <c r="AA1073" s="85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 t="s">
        <v>92</v>
      </c>
      <c r="C1074" s="82">
        <f t="shared" si="300"/>
        <v>9118</v>
      </c>
      <c r="D1074" s="32">
        <f>650</f>
        <v>650</v>
      </c>
      <c r="E1074" s="32"/>
      <c r="F1074" s="32"/>
      <c r="G1074" s="32">
        <f t="shared" si="296"/>
        <v>650</v>
      </c>
      <c r="H1074" s="12"/>
      <c r="I1074" s="12"/>
      <c r="J1074" s="12">
        <v>-333</v>
      </c>
      <c r="K1074" s="12">
        <f t="shared" si="297"/>
        <v>317</v>
      </c>
      <c r="M1074" s="10">
        <v>18</v>
      </c>
      <c r="N1074" s="30"/>
      <c r="O1074" s="31"/>
      <c r="P1074" s="32"/>
      <c r="Q1074" s="32"/>
      <c r="R1074" s="32"/>
      <c r="S1074" s="32">
        <f t="shared" si="298"/>
        <v>0</v>
      </c>
      <c r="T1074" s="12"/>
      <c r="U1074" s="12"/>
      <c r="V1074" s="12"/>
      <c r="W1074" s="12">
        <f t="shared" si="299"/>
        <v>0</v>
      </c>
      <c r="Y1074" s="62"/>
      <c r="Z1074" s="66"/>
      <c r="AA1074" s="85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 t="s">
        <v>92</v>
      </c>
      <c r="C1075" s="82">
        <f t="shared" si="300"/>
        <v>9119</v>
      </c>
      <c r="D1075" s="32">
        <f>650*18+670*3+912+872+171+500</f>
        <v>16165</v>
      </c>
      <c r="E1075" s="32"/>
      <c r="F1075" s="32"/>
      <c r="G1075" s="32">
        <f t="shared" si="296"/>
        <v>16165</v>
      </c>
      <c r="H1075" s="12"/>
      <c r="I1075" s="12">
        <v>45</v>
      </c>
      <c r="J1075" s="12"/>
      <c r="K1075" s="12">
        <f t="shared" si="297"/>
        <v>16210</v>
      </c>
      <c r="M1075" s="10">
        <v>19</v>
      </c>
      <c r="N1075" s="30"/>
      <c r="O1075" s="31"/>
      <c r="P1075" s="32"/>
      <c r="Q1075" s="32"/>
      <c r="R1075" s="32"/>
      <c r="S1075" s="32">
        <f t="shared" si="298"/>
        <v>0</v>
      </c>
      <c r="T1075" s="12"/>
      <c r="U1075" s="12"/>
      <c r="V1075" s="12"/>
      <c r="W1075" s="12">
        <f t="shared" si="299"/>
        <v>0</v>
      </c>
      <c r="Y1075" s="62"/>
      <c r="Z1075" s="66"/>
      <c r="AA1075" s="85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 t="s">
        <v>92</v>
      </c>
      <c r="C1076" s="82">
        <f t="shared" si="300"/>
        <v>9120</v>
      </c>
      <c r="D1076" s="32">
        <f>650*5+9.5*5</f>
        <v>3297.5</v>
      </c>
      <c r="E1076" s="32"/>
      <c r="F1076" s="32"/>
      <c r="G1076" s="32">
        <f t="shared" si="296"/>
        <v>3297.5</v>
      </c>
      <c r="H1076" s="12"/>
      <c r="I1076" s="12"/>
      <c r="J1076" s="12">
        <v>-444</v>
      </c>
      <c r="K1076" s="12">
        <f t="shared" si="297"/>
        <v>2853.5</v>
      </c>
      <c r="M1076" s="10">
        <v>20</v>
      </c>
      <c r="N1076" s="30"/>
      <c r="O1076" s="31"/>
      <c r="P1076" s="32"/>
      <c r="Q1076" s="32"/>
      <c r="R1076" s="32"/>
      <c r="S1076" s="32">
        <f t="shared" si="298"/>
        <v>0</v>
      </c>
      <c r="T1076" s="12"/>
      <c r="U1076" s="12"/>
      <c r="V1076" s="12"/>
      <c r="W1076" s="12">
        <f t="shared" si="299"/>
        <v>0</v>
      </c>
      <c r="Y1076" s="62"/>
      <c r="Z1076" s="66"/>
      <c r="AA1076" s="85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 t="s">
        <v>27</v>
      </c>
      <c r="D1077" s="32"/>
      <c r="E1077" s="32"/>
      <c r="F1077" s="32"/>
      <c r="G1077" s="32">
        <f t="shared" si="296"/>
        <v>0</v>
      </c>
      <c r="H1077" s="10"/>
      <c r="I1077" s="10"/>
      <c r="J1077" s="10"/>
      <c r="K1077" s="12">
        <f t="shared" si="297"/>
        <v>0</v>
      </c>
      <c r="M1077" s="10">
        <v>21</v>
      </c>
      <c r="N1077" s="30"/>
      <c r="O1077" s="31"/>
      <c r="P1077" s="91"/>
      <c r="Q1077" s="31"/>
      <c r="R1077" s="31"/>
      <c r="S1077" s="32">
        <f t="shared" si="298"/>
        <v>0</v>
      </c>
      <c r="T1077" s="10"/>
      <c r="U1077" s="10"/>
      <c r="V1077" s="10"/>
      <c r="W1077" s="12">
        <f t="shared" si="299"/>
        <v>0</v>
      </c>
      <c r="Y1077" s="62"/>
      <c r="Z1077" s="66"/>
      <c r="AA1077" s="62"/>
      <c r="AB1077" s="67"/>
      <c r="AC1077" s="85"/>
      <c r="AD1077" s="85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2"/>
      <c r="D1078" s="32"/>
      <c r="E1078" s="32"/>
      <c r="F1078" s="32"/>
      <c r="G1078" s="32">
        <f t="shared" si="296"/>
        <v>0</v>
      </c>
      <c r="H1078" s="10"/>
      <c r="I1078" s="10"/>
      <c r="J1078" s="10"/>
      <c r="K1078" s="12">
        <f t="shared" si="297"/>
        <v>0</v>
      </c>
      <c r="M1078" s="10">
        <v>22</v>
      </c>
      <c r="N1078" s="30"/>
      <c r="P1078" s="91"/>
      <c r="Q1078" s="31"/>
      <c r="R1078" s="31"/>
      <c r="S1078" s="32">
        <f t="shared" si="298"/>
        <v>0</v>
      </c>
      <c r="T1078" s="10"/>
      <c r="U1078" s="10"/>
      <c r="V1078" s="10"/>
      <c r="W1078" s="12">
        <f t="shared" si="299"/>
        <v>0</v>
      </c>
      <c r="Y1078" s="62"/>
      <c r="Z1078" s="66"/>
      <c r="AA1078" s="85"/>
      <c r="AB1078" s="68"/>
      <c r="AC1078" s="85"/>
      <c r="AD1078" s="85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2"/>
      <c r="D1079" s="32"/>
      <c r="E1079" s="32"/>
      <c r="F1079" s="32"/>
      <c r="G1079" s="32">
        <f t="shared" si="296"/>
        <v>0</v>
      </c>
      <c r="H1079" s="10"/>
      <c r="I1079" s="10"/>
      <c r="J1079" s="12"/>
      <c r="K1079" s="12">
        <f t="shared" si="297"/>
        <v>0</v>
      </c>
      <c r="M1079" s="10">
        <v>23</v>
      </c>
      <c r="N1079" s="30"/>
      <c r="O1079" s="31"/>
      <c r="P1079" s="47"/>
      <c r="Q1079" s="31"/>
      <c r="S1079" s="32">
        <f t="shared" si="298"/>
        <v>0</v>
      </c>
      <c r="T1079" s="10"/>
      <c r="U1079" s="10"/>
      <c r="V1079" s="10"/>
      <c r="W1079" s="12">
        <f t="shared" si="299"/>
        <v>0</v>
      </c>
      <c r="Y1079" s="62"/>
      <c r="Z1079" s="66"/>
      <c r="AA1079" s="62"/>
      <c r="AB1079" s="69"/>
      <c r="AC1079" s="85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2"/>
      <c r="D1080" s="32"/>
      <c r="E1080" s="32"/>
      <c r="F1080" s="32"/>
      <c r="G1080" s="32">
        <f t="shared" si="296"/>
        <v>0</v>
      </c>
      <c r="H1080" s="10"/>
      <c r="I1080" s="10"/>
      <c r="J1080" s="10"/>
      <c r="K1080" s="12">
        <f t="shared" si="297"/>
        <v>0</v>
      </c>
      <c r="M1080" s="10">
        <v>24</v>
      </c>
      <c r="N1080" s="30"/>
      <c r="P1080" s="47"/>
      <c r="Q1080" s="31"/>
      <c r="R1080" s="31"/>
      <c r="S1080" s="32">
        <f t="shared" si="298"/>
        <v>0</v>
      </c>
      <c r="T1080" s="10"/>
      <c r="U1080" s="10"/>
      <c r="V1080" s="10"/>
      <c r="W1080" s="12">
        <f t="shared" si="299"/>
        <v>0</v>
      </c>
      <c r="Y1080" s="62"/>
      <c r="Z1080" s="66"/>
      <c r="AA1080" s="85"/>
      <c r="AB1080" s="69"/>
      <c r="AC1080" s="85"/>
      <c r="AD1080" s="85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2"/>
      <c r="D1081" s="32"/>
      <c r="E1081" s="32"/>
      <c r="F1081" s="32"/>
      <c r="G1081" s="32">
        <f t="shared" si="296"/>
        <v>0</v>
      </c>
      <c r="H1081" s="10"/>
      <c r="I1081" s="10"/>
      <c r="J1081" s="10"/>
      <c r="K1081" s="12">
        <f t="shared" si="297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98"/>
        <v>0</v>
      </c>
      <c r="T1081" s="10"/>
      <c r="U1081" s="10"/>
      <c r="V1081" s="10"/>
      <c r="W1081" s="12">
        <f t="shared" si="299"/>
        <v>0</v>
      </c>
      <c r="Y1081" s="62"/>
      <c r="Z1081" s="66"/>
      <c r="AA1081" s="85"/>
      <c r="AB1081" s="69"/>
      <c r="AC1081" s="85"/>
      <c r="AD1081" s="85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D1082" s="32"/>
      <c r="E1082" s="32"/>
      <c r="F1082" s="32"/>
      <c r="G1082" s="32">
        <f t="shared" si="296"/>
        <v>0</v>
      </c>
      <c r="H1082" s="10"/>
      <c r="I1082" s="10"/>
      <c r="J1082" s="10"/>
      <c r="K1082" s="12">
        <f t="shared" si="297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98"/>
        <v>0</v>
      </c>
      <c r="T1082" s="10"/>
      <c r="U1082" s="10"/>
      <c r="V1082" s="10"/>
      <c r="W1082" s="12">
        <f t="shared" si="299"/>
        <v>0</v>
      </c>
      <c r="Y1082" s="62"/>
      <c r="Z1082" s="66"/>
      <c r="AA1082" s="85"/>
      <c r="AB1082" s="69"/>
      <c r="AC1082" s="85"/>
      <c r="AD1082" s="85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2"/>
      <c r="D1083" s="32"/>
      <c r="E1083" s="32"/>
      <c r="F1083" s="32"/>
      <c r="G1083" s="32">
        <f t="shared" si="296"/>
        <v>0</v>
      </c>
      <c r="H1083" s="10"/>
      <c r="I1083" s="10"/>
      <c r="J1083" s="10"/>
      <c r="K1083" s="12">
        <f t="shared" si="297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98"/>
        <v>0</v>
      </c>
      <c r="T1083" s="10"/>
      <c r="U1083" s="10"/>
      <c r="V1083" s="10"/>
      <c r="W1083" s="12">
        <f t="shared" si="299"/>
        <v>0</v>
      </c>
      <c r="Y1083" s="62"/>
      <c r="Z1083" s="66"/>
      <c r="AA1083" s="85"/>
      <c r="AB1083" s="69"/>
      <c r="AC1083" s="85"/>
      <c r="AD1083" s="85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2"/>
      <c r="D1084" s="32"/>
      <c r="E1084" s="32"/>
      <c r="F1084" s="32"/>
      <c r="G1084" s="32">
        <f t="shared" si="296"/>
        <v>0</v>
      </c>
      <c r="H1084" s="10"/>
      <c r="I1084" s="10"/>
      <c r="J1084" s="10"/>
      <c r="K1084" s="12">
        <f t="shared" si="297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98"/>
        <v>0</v>
      </c>
      <c r="T1084" s="10"/>
      <c r="U1084" s="10"/>
      <c r="V1084" s="10"/>
      <c r="W1084" s="12">
        <f t="shared" si="299"/>
        <v>0</v>
      </c>
      <c r="Y1084" s="62"/>
      <c r="Z1084" s="66"/>
      <c r="AA1084" s="85"/>
      <c r="AB1084" s="69"/>
      <c r="AC1084" s="85"/>
      <c r="AD1084" s="85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2"/>
      <c r="D1085" s="32"/>
      <c r="E1085" s="32"/>
      <c r="F1085" s="32"/>
      <c r="G1085" s="32">
        <f t="shared" si="296"/>
        <v>0</v>
      </c>
      <c r="H1085" s="10"/>
      <c r="I1085" s="10"/>
      <c r="J1085" s="10"/>
      <c r="K1085" s="12">
        <f t="shared" si="297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98"/>
        <v>0</v>
      </c>
      <c r="T1085" s="10"/>
      <c r="U1085" s="10"/>
      <c r="V1085" s="10"/>
      <c r="W1085" s="12">
        <f t="shared" si="299"/>
        <v>0</v>
      </c>
      <c r="Y1085" s="62"/>
      <c r="Z1085" s="66"/>
      <c r="AA1085" s="85"/>
      <c r="AB1085" s="69"/>
      <c r="AC1085" s="85"/>
      <c r="AD1085" s="85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96"/>
        <v>0</v>
      </c>
      <c r="H1086" s="10"/>
      <c r="I1086" s="10"/>
      <c r="J1086" s="10"/>
      <c r="K1086" s="12">
        <f t="shared" si="297"/>
        <v>0</v>
      </c>
      <c r="M1086" s="10">
        <v>30</v>
      </c>
      <c r="N1086" s="30"/>
      <c r="P1086" s="47"/>
      <c r="Q1086" s="31"/>
      <c r="R1086" s="31"/>
      <c r="S1086" s="32">
        <f t="shared" si="298"/>
        <v>0</v>
      </c>
      <c r="T1086" s="10"/>
      <c r="U1086" s="10"/>
      <c r="V1086" s="10"/>
      <c r="W1086" s="12">
        <f t="shared" si="299"/>
        <v>0</v>
      </c>
      <c r="Y1086" s="62"/>
      <c r="Z1086" s="66"/>
      <c r="AA1086" s="85"/>
      <c r="AB1086" s="69"/>
      <c r="AC1086" s="85"/>
      <c r="AD1086" s="85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96"/>
        <v>0</v>
      </c>
      <c r="H1087" s="10"/>
      <c r="I1087" s="10"/>
      <c r="J1087" s="10"/>
      <c r="K1087" s="12">
        <f t="shared" si="297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98"/>
        <v>0</v>
      </c>
      <c r="T1087" s="10"/>
      <c r="U1087" s="10"/>
      <c r="V1087" s="10"/>
      <c r="W1087" s="12">
        <f t="shared" si="299"/>
        <v>0</v>
      </c>
      <c r="Y1087" s="62"/>
      <c r="Z1087" s="66"/>
      <c r="AA1087" s="85"/>
      <c r="AB1087" s="69"/>
      <c r="AC1087" s="85"/>
      <c r="AD1087" s="85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96"/>
        <v>0</v>
      </c>
      <c r="H1088" s="10"/>
      <c r="I1088" s="10"/>
      <c r="J1088" s="10"/>
      <c r="K1088" s="12">
        <f t="shared" si="297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8"/>
        <v>0</v>
      </c>
      <c r="T1088" s="10"/>
      <c r="U1088" s="10"/>
      <c r="V1088" s="10"/>
      <c r="W1088" s="12">
        <f t="shared" si="299"/>
        <v>0</v>
      </c>
      <c r="Y1088" s="62"/>
      <c r="Z1088" s="66"/>
      <c r="AA1088" s="85"/>
      <c r="AB1088" s="69"/>
      <c r="AC1088" s="85"/>
      <c r="AD1088" s="85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96"/>
        <v>0</v>
      </c>
      <c r="H1089" s="10"/>
      <c r="I1089" s="10"/>
      <c r="J1089" s="10"/>
      <c r="K1089" s="12">
        <f t="shared" si="297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8"/>
        <v>0</v>
      </c>
      <c r="T1089" s="10"/>
      <c r="U1089" s="10"/>
      <c r="V1089" s="10"/>
      <c r="W1089" s="12">
        <f t="shared" si="299"/>
        <v>0</v>
      </c>
      <c r="Y1089" s="62"/>
      <c r="Z1089" s="66"/>
      <c r="AA1089" s="85"/>
      <c r="AB1089" s="69"/>
      <c r="AC1089" s="85"/>
      <c r="AD1089" s="85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96"/>
        <v>0</v>
      </c>
      <c r="H1090" s="10"/>
      <c r="I1090" s="10"/>
      <c r="J1090" s="10"/>
      <c r="K1090" s="12">
        <f t="shared" si="297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8"/>
        <v>0</v>
      </c>
      <c r="T1090" s="10"/>
      <c r="U1090" s="10"/>
      <c r="V1090" s="10"/>
      <c r="W1090" s="12">
        <f t="shared" si="299"/>
        <v>0</v>
      </c>
      <c r="Y1090" s="62"/>
      <c r="Z1090" s="66"/>
      <c r="AA1090" s="85"/>
      <c r="AB1090" s="69"/>
      <c r="AC1090" s="85"/>
      <c r="AD1090" s="85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8"/>
        <v>0</v>
      </c>
      <c r="T1091" s="10"/>
      <c r="U1091" s="10"/>
      <c r="V1091" s="10"/>
      <c r="W1091" s="12">
        <f t="shared" si="299"/>
        <v>0</v>
      </c>
      <c r="Y1091" s="62"/>
      <c r="Z1091" s="66"/>
      <c r="AA1091" s="85"/>
      <c r="AB1091" s="69"/>
      <c r="AC1091" s="85"/>
      <c r="AD1091" s="85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8"/>
        <v>0</v>
      </c>
      <c r="T1092" s="10"/>
      <c r="U1092" s="10"/>
      <c r="V1092" s="10"/>
      <c r="W1092" s="12">
        <f t="shared" si="299"/>
        <v>0</v>
      </c>
      <c r="Y1092" s="62"/>
      <c r="Z1092" s="66"/>
      <c r="AA1092" s="85"/>
      <c r="AB1092" s="69"/>
      <c r="AC1092" s="85"/>
      <c r="AD1092" s="85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8"/>
        <v>0</v>
      </c>
      <c r="T1093" s="10"/>
      <c r="U1093" s="10"/>
      <c r="V1093" s="10"/>
      <c r="W1093" s="12">
        <f t="shared" si="299"/>
        <v>0</v>
      </c>
      <c r="Y1093" s="62"/>
      <c r="Z1093" s="66"/>
      <c r="AA1093" s="85"/>
      <c r="AB1093" s="69"/>
      <c r="AC1093" s="85"/>
      <c r="AD1093" s="85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8"/>
        <v>0</v>
      </c>
      <c r="T1094" s="10"/>
      <c r="U1094" s="10"/>
      <c r="V1094" s="10"/>
      <c r="W1094" s="12">
        <f t="shared" si="299"/>
        <v>0</v>
      </c>
      <c r="Y1094" s="62"/>
      <c r="Z1094" s="66"/>
      <c r="AA1094" s="85"/>
      <c r="AB1094" s="69"/>
      <c r="AC1094" s="85"/>
      <c r="AD1094" s="85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8"/>
        <v>0</v>
      </c>
      <c r="T1095" s="10"/>
      <c r="U1095" s="10"/>
      <c r="V1095" s="10"/>
      <c r="W1095" s="12">
        <f t="shared" si="299"/>
        <v>0</v>
      </c>
      <c r="Y1095" s="62"/>
      <c r="Z1095" s="66"/>
      <c r="AA1095" s="85"/>
      <c r="AB1095" s="69"/>
      <c r="AC1095" s="85"/>
      <c r="AD1095" s="85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99"/>
        <v>0</v>
      </c>
      <c r="Y1096" s="62"/>
      <c r="Z1096" s="66"/>
      <c r="AA1096" s="62"/>
      <c r="AB1096" s="69"/>
      <c r="AC1096" s="85"/>
      <c r="AD1096" s="85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02">SUM(D1097:E1097)</f>
        <v>0</v>
      </c>
      <c r="H1097" s="10"/>
      <c r="I1097" s="10"/>
      <c r="J1097" s="10"/>
      <c r="K1097" s="12">
        <f t="shared" ref="K1097" si="303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04">SUM(P1097:Q1097)</f>
        <v>0</v>
      </c>
      <c r="T1097" s="10"/>
      <c r="U1097" s="10"/>
      <c r="V1097" s="10"/>
      <c r="W1097" s="12">
        <f t="shared" si="299"/>
        <v>0</v>
      </c>
      <c r="Y1097" s="62"/>
      <c r="Z1097" s="66"/>
      <c r="AA1097" s="85"/>
      <c r="AB1097" s="69"/>
      <c r="AC1097" s="85"/>
      <c r="AD1097" s="85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99"/>
        <v>0</v>
      </c>
      <c r="Y1098" s="62"/>
      <c r="Z1098" s="85"/>
      <c r="AA1098" s="85"/>
      <c r="AB1098" s="85"/>
      <c r="AC1098" s="85"/>
      <c r="AD1098" s="85"/>
      <c r="AE1098" s="85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5"/>
      <c r="AA1099" s="85"/>
      <c r="AB1099" s="85"/>
      <c r="AC1099" s="85"/>
      <c r="AD1099" s="85"/>
      <c r="AE1099" s="85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241665.5</v>
      </c>
      <c r="E1100" s="38">
        <f t="shared" ref="E1100:F1100" si="305">SUM(E1057:E1097)</f>
        <v>0</v>
      </c>
      <c r="F1100" s="38">
        <f t="shared" si="305"/>
        <v>0</v>
      </c>
      <c r="G1100" s="38">
        <f>SUM(G1057:G1099)</f>
        <v>241665.5</v>
      </c>
      <c r="H1100" s="4"/>
      <c r="I1100" s="39">
        <f>SUM(I1057:I1099)</f>
        <v>1285.5</v>
      </c>
      <c r="J1100" s="39">
        <f>SUM(J1057:J1099)</f>
        <v>-888</v>
      </c>
      <c r="K1100" s="40">
        <f>SUM(K1057:K1099)</f>
        <v>242063</v>
      </c>
      <c r="N1100" s="57"/>
      <c r="O1100" s="57"/>
      <c r="P1100" s="38">
        <f>SUM(P1057:P1099)</f>
        <v>375784</v>
      </c>
      <c r="Q1100" s="38">
        <f>SUM(Q1057:Q1081)</f>
        <v>-3240</v>
      </c>
      <c r="R1100" s="38">
        <f>SUM(R1057:R1081)</f>
        <v>0</v>
      </c>
      <c r="S1100" s="38">
        <f>SUM(S1057:S1099)</f>
        <v>372544</v>
      </c>
      <c r="T1100" s="4"/>
      <c r="U1100" s="41">
        <f>SUM(U1057:U1099)</f>
        <v>1353</v>
      </c>
      <c r="V1100" s="41">
        <f>SUM(V1057:V1081)</f>
        <v>-3186</v>
      </c>
      <c r="W1100" s="42">
        <f>SUM(W1057:W1099)</f>
        <v>370711</v>
      </c>
      <c r="Y1100" s="62"/>
      <c r="Z1100" s="85"/>
      <c r="AA1100" s="85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95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95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95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3" t="s">
        <v>17</v>
      </c>
      <c r="E1110" s="123"/>
      <c r="F1110" s="110"/>
      <c r="G1110" s="27"/>
      <c r="I1110" s="121" t="s">
        <v>18</v>
      </c>
      <c r="J1110" s="122"/>
      <c r="K1110" s="119" t="s">
        <v>19</v>
      </c>
      <c r="N1110" s="25"/>
      <c r="O1110" s="26"/>
      <c r="P1110" s="123" t="s">
        <v>17</v>
      </c>
      <c r="Q1110" s="123"/>
      <c r="R1110" s="110"/>
      <c r="S1110" s="27"/>
      <c r="U1110" s="121" t="s">
        <v>18</v>
      </c>
      <c r="V1110" s="122"/>
      <c r="W1110" s="119" t="s">
        <v>19</v>
      </c>
      <c r="Z1110" s="25"/>
      <c r="AA1110" s="26"/>
      <c r="AB1110" s="123" t="s">
        <v>17</v>
      </c>
      <c r="AC1110" s="123"/>
      <c r="AD1110" s="110"/>
      <c r="AE1110" s="27"/>
      <c r="AG1110" s="121" t="s">
        <v>18</v>
      </c>
      <c r="AH1110" s="122"/>
      <c r="AI1110" s="119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20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20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20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96</v>
      </c>
      <c r="C1112" s="82">
        <v>9121</v>
      </c>
      <c r="D1112" s="32">
        <f>650*7</f>
        <v>4550</v>
      </c>
      <c r="E1112" s="32">
        <f>-7*6</f>
        <v>-42</v>
      </c>
      <c r="F1112" s="32"/>
      <c r="G1112" s="32">
        <f t="shared" ref="G1112:G1145" si="306">SUM(D1112:E1112)</f>
        <v>4508</v>
      </c>
      <c r="H1112" s="12"/>
      <c r="I1112" s="12"/>
      <c r="J1112" s="12"/>
      <c r="K1112" s="12">
        <f t="shared" ref="K1112:K1145" si="307">SUM(G1112:J1112)</f>
        <v>4508</v>
      </c>
      <c r="M1112" s="10">
        <v>1</v>
      </c>
      <c r="N1112" s="30" t="s">
        <v>96</v>
      </c>
      <c r="O1112" s="31">
        <v>9298</v>
      </c>
      <c r="P1112" s="32">
        <f>650*4+9.5*4</f>
        <v>2638</v>
      </c>
      <c r="Q1112" s="32"/>
      <c r="R1112" s="32"/>
      <c r="S1112" s="32">
        <f>SUM(P1112:Q1112)</f>
        <v>2638</v>
      </c>
      <c r="T1112" s="12"/>
      <c r="U1112" s="12"/>
      <c r="V1112" s="12"/>
      <c r="W1112" s="12">
        <f>SUM(S1112:V1112)</f>
        <v>2638</v>
      </c>
      <c r="Y1112" s="10">
        <v>1</v>
      </c>
      <c r="Z1112" s="30" t="s">
        <v>96</v>
      </c>
      <c r="AA1112" s="31">
        <v>9197</v>
      </c>
      <c r="AB1112" s="32">
        <f>650*150+670*5+622*50+912*3+229*8+650</f>
        <v>137168</v>
      </c>
      <c r="AC1112" s="32"/>
      <c r="AD1112" s="32"/>
      <c r="AE1112" s="32">
        <f>SUM(AB1112:AC1112)</f>
        <v>137168</v>
      </c>
      <c r="AF1112" s="12"/>
      <c r="AG1112" s="12"/>
      <c r="AH1112" s="12"/>
      <c r="AI1112" s="12">
        <f>SUM(AE1112:AH1112)</f>
        <v>137168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96</v>
      </c>
      <c r="C1113" s="82">
        <f>C1112+1</f>
        <v>9122</v>
      </c>
      <c r="D1113" s="32">
        <f>650*324+229*13</f>
        <v>213577</v>
      </c>
      <c r="E1113" s="32">
        <f>-324*6</f>
        <v>-1944</v>
      </c>
      <c r="F1113" s="32"/>
      <c r="G1113" s="32">
        <f t="shared" si="306"/>
        <v>211633</v>
      </c>
      <c r="H1113" s="12"/>
      <c r="I1113" s="12">
        <f>1.5*312</f>
        <v>468</v>
      </c>
      <c r="J1113" s="12">
        <f>-111*108</f>
        <v>-11988</v>
      </c>
      <c r="K1113" s="12">
        <f t="shared" si="307"/>
        <v>200113</v>
      </c>
      <c r="M1113" s="10">
        <v>2</v>
      </c>
      <c r="N1113" s="30" t="s">
        <v>96</v>
      </c>
      <c r="O1113" s="31">
        <f>O1112+1</f>
        <v>9299</v>
      </c>
      <c r="P1113" s="32">
        <f>650*100+622*20+229*3</f>
        <v>78127</v>
      </c>
      <c r="Q1113" s="32">
        <f>-120*6</f>
        <v>-720</v>
      </c>
      <c r="R1113" s="32"/>
      <c r="S1113" s="32">
        <f t="shared" ref="S1113:S1150" si="308">SUM(P1113:Q1113)</f>
        <v>77407</v>
      </c>
      <c r="T1113" s="12"/>
      <c r="U1113" s="12"/>
      <c r="V1113" s="12"/>
      <c r="W1113" s="12">
        <f t="shared" ref="W1113:W1153" si="309">SUM(S1113:V1113)</f>
        <v>77407</v>
      </c>
      <c r="Y1113" s="10">
        <v>2</v>
      </c>
      <c r="Z1113" s="30" t="s">
        <v>96</v>
      </c>
      <c r="AA1113" s="31">
        <f>AA1112+1</f>
        <v>9198</v>
      </c>
      <c r="AB1113" s="32">
        <f>650*50+229*2</f>
        <v>32958</v>
      </c>
      <c r="AC1113">
        <f>-50*6</f>
        <v>-300</v>
      </c>
      <c r="AD1113" s="32"/>
      <c r="AE1113" s="32">
        <f t="shared" ref="AE1113:AE1114" si="310">SUM(AB1113:AC1113)</f>
        <v>32658</v>
      </c>
      <c r="AF1113" s="12"/>
      <c r="AG1113" s="12">
        <v>72</v>
      </c>
      <c r="AI1113" s="12">
        <f t="shared" ref="AI1113:AI1114" si="311">SUM(AE1113:AH1113)</f>
        <v>32730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96</v>
      </c>
      <c r="C1114" s="82">
        <f t="shared" ref="C1114:C1116" si="312">C1113+1</f>
        <v>9123</v>
      </c>
      <c r="D1114" s="33">
        <f>1102*3+650*6</f>
        <v>7206</v>
      </c>
      <c r="E1114" s="33"/>
      <c r="F1114" s="33"/>
      <c r="G1114" s="33">
        <f t="shared" si="306"/>
        <v>7206</v>
      </c>
      <c r="H1114" s="34"/>
      <c r="I1114" s="34"/>
      <c r="J1114" s="34"/>
      <c r="K1114" s="34">
        <f t="shared" si="307"/>
        <v>7206</v>
      </c>
      <c r="M1114" s="10">
        <v>3</v>
      </c>
      <c r="N1114" s="30" t="s">
        <v>96</v>
      </c>
      <c r="O1114" s="31">
        <f t="shared" ref="O1114:O1123" si="313">O1113+1</f>
        <v>9300</v>
      </c>
      <c r="P1114" s="32">
        <f>650*60+622*10</f>
        <v>45220</v>
      </c>
      <c r="Q1114" s="32"/>
      <c r="R1114" s="32"/>
      <c r="S1114" s="32">
        <f t="shared" si="308"/>
        <v>45220</v>
      </c>
      <c r="T1114" s="12"/>
      <c r="U1114" s="12"/>
      <c r="V1114" s="12"/>
      <c r="W1114" s="12">
        <f t="shared" si="309"/>
        <v>45220</v>
      </c>
      <c r="Y1114" s="10">
        <v>3</v>
      </c>
      <c r="Z1114" s="30" t="s">
        <v>96</v>
      </c>
      <c r="AA1114" s="31">
        <f t="shared" ref="AA1114:AA1115" si="314">AA1113+1</f>
        <v>9199</v>
      </c>
      <c r="AB1114" s="32">
        <f>650*108+229*4</f>
        <v>71116</v>
      </c>
      <c r="AC1114" s="33">
        <f>-108*6</f>
        <v>-648</v>
      </c>
      <c r="AD1114" s="32"/>
      <c r="AE1114" s="32">
        <f t="shared" si="310"/>
        <v>70468</v>
      </c>
      <c r="AF1114" s="12"/>
      <c r="AG1114" s="12"/>
      <c r="AH1114" s="12">
        <f>-111*108</f>
        <v>-11988</v>
      </c>
      <c r="AI1114" s="12">
        <f t="shared" si="311"/>
        <v>58480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96</v>
      </c>
      <c r="C1115" s="82">
        <f t="shared" si="312"/>
        <v>9124</v>
      </c>
      <c r="D1115" s="32">
        <f>650*27+622*3</f>
        <v>19416</v>
      </c>
      <c r="E1115" s="32"/>
      <c r="F1115" s="32"/>
      <c r="G1115" s="32">
        <f t="shared" si="306"/>
        <v>19416</v>
      </c>
      <c r="H1115" s="12"/>
      <c r="I1115" s="12"/>
      <c r="J1115" s="12"/>
      <c r="K1115" s="12">
        <f t="shared" si="307"/>
        <v>19416</v>
      </c>
      <c r="M1115" s="10">
        <v>4</v>
      </c>
      <c r="N1115" s="30" t="s">
        <v>96</v>
      </c>
      <c r="O1115" s="31">
        <f t="shared" si="313"/>
        <v>9301</v>
      </c>
      <c r="P1115" s="32">
        <f>650*17+650</f>
        <v>11700</v>
      </c>
      <c r="Q1115" s="32"/>
      <c r="R1115" s="32"/>
      <c r="S1115" s="32">
        <f t="shared" si="308"/>
        <v>11700</v>
      </c>
      <c r="T1115" s="12"/>
      <c r="U1115" s="12">
        <v>76.5</v>
      </c>
      <c r="V1115" s="12"/>
      <c r="W1115" s="12">
        <f t="shared" si="309"/>
        <v>11776.5</v>
      </c>
      <c r="Y1115" s="10">
        <v>4</v>
      </c>
      <c r="Z1115" s="30" t="s">
        <v>96</v>
      </c>
      <c r="AA1115" s="31">
        <f t="shared" si="314"/>
        <v>9200</v>
      </c>
      <c r="AB1115" s="32">
        <f>650*50</f>
        <v>32500</v>
      </c>
      <c r="AC1115" s="32">
        <f>-50*6</f>
        <v>-300</v>
      </c>
      <c r="AD1115" s="32"/>
      <c r="AE1115" s="32">
        <f>SUM(AB1115:AC1115)</f>
        <v>32200</v>
      </c>
      <c r="AF1115" s="12"/>
      <c r="AH1115" s="12">
        <f>-111*5</f>
        <v>-555</v>
      </c>
      <c r="AI1115" s="12">
        <f>SUM(AE1115:AH1115)</f>
        <v>31645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96</v>
      </c>
      <c r="C1116" s="82">
        <f t="shared" si="312"/>
        <v>9125</v>
      </c>
      <c r="D1116" s="32">
        <f>650*131+670*4+700*3+622*5+1050+872+229*10+500</f>
        <v>97752</v>
      </c>
      <c r="E1116" s="32"/>
      <c r="F1116" s="32"/>
      <c r="G1116" s="32">
        <f t="shared" si="306"/>
        <v>97752</v>
      </c>
      <c r="H1116" s="12"/>
      <c r="I1116" s="12">
        <f>78*10</f>
        <v>780</v>
      </c>
      <c r="J1116" s="12"/>
      <c r="K1116" s="12">
        <f t="shared" si="307"/>
        <v>98532</v>
      </c>
      <c r="M1116" s="10">
        <v>5</v>
      </c>
      <c r="N1116" s="30" t="s">
        <v>96</v>
      </c>
      <c r="O1116" s="31">
        <f t="shared" si="313"/>
        <v>9302</v>
      </c>
      <c r="P1116" s="32">
        <f>650*18+670</f>
        <v>12370</v>
      </c>
      <c r="Q1116" s="32"/>
      <c r="R1116" s="32"/>
      <c r="S1116" s="32">
        <f t="shared" si="308"/>
        <v>12370</v>
      </c>
      <c r="T1116" s="12"/>
      <c r="U1116" s="12"/>
      <c r="V1116" s="12"/>
      <c r="W1116" s="12">
        <f t="shared" si="309"/>
        <v>12370</v>
      </c>
      <c r="Y1116" s="10">
        <v>5</v>
      </c>
      <c r="Z1116" s="30"/>
      <c r="AA1116" s="11" t="s">
        <v>27</v>
      </c>
      <c r="AB1116" s="33"/>
      <c r="AC1116" s="32"/>
      <c r="AD1116" s="32"/>
      <c r="AE1116" s="32">
        <f>SUM(AB1116:AC1116)</f>
        <v>0</v>
      </c>
      <c r="AF1116" s="12"/>
      <c r="AG1116" s="12"/>
      <c r="AH1116" s="12"/>
      <c r="AI1116" s="12">
        <f t="shared" ref="AI1116:AI1153" si="315">SUM(AE1116:AH1116)</f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11" t="s">
        <v>27</v>
      </c>
      <c r="D1117" s="32"/>
      <c r="E1117" s="32"/>
      <c r="F1117" s="32"/>
      <c r="G1117" s="32">
        <f t="shared" si="306"/>
        <v>0</v>
      </c>
      <c r="H1117" s="12"/>
      <c r="I1117" s="12"/>
      <c r="J1117" s="12"/>
      <c r="K1117" s="12">
        <f t="shared" si="307"/>
        <v>0</v>
      </c>
      <c r="M1117" s="10">
        <v>6</v>
      </c>
      <c r="N1117" s="30" t="s">
        <v>96</v>
      </c>
      <c r="O1117" s="31">
        <f t="shared" si="313"/>
        <v>9303</v>
      </c>
      <c r="P1117" s="32">
        <f>650*6+9.5*6</f>
        <v>3957</v>
      </c>
      <c r="Q1117" s="32"/>
      <c r="R1117" s="32"/>
      <c r="S1117" s="32">
        <f t="shared" si="308"/>
        <v>3957</v>
      </c>
      <c r="T1117" s="12"/>
      <c r="U1117" s="12"/>
      <c r="V1117" s="10">
        <v>-444</v>
      </c>
      <c r="W1117" s="12">
        <f t="shared" si="309"/>
        <v>3513</v>
      </c>
      <c r="Y1117" s="10">
        <v>6</v>
      </c>
      <c r="Z1117" s="30"/>
      <c r="AB1117" s="32"/>
      <c r="AC1117" s="32"/>
      <c r="AD1117" s="32"/>
      <c r="AE1117" s="32">
        <f t="shared" ref="AE1117:AE1150" si="316">SUM(AB1117:AC1117)</f>
        <v>0</v>
      </c>
      <c r="AF1117" s="12"/>
      <c r="AG1117" s="12"/>
      <c r="AH1117" s="10"/>
      <c r="AI1117" s="12">
        <f t="shared" si="315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2"/>
      <c r="D1118" s="32"/>
      <c r="E1118" s="32"/>
      <c r="F1118" s="32"/>
      <c r="G1118" s="32">
        <f t="shared" si="306"/>
        <v>0</v>
      </c>
      <c r="H1118" s="12"/>
      <c r="I1118" s="12"/>
      <c r="J1118" s="12"/>
      <c r="K1118" s="12">
        <f t="shared" si="307"/>
        <v>0</v>
      </c>
      <c r="M1118" s="10">
        <v>7</v>
      </c>
      <c r="N1118" s="30" t="s">
        <v>96</v>
      </c>
      <c r="O1118" s="31">
        <f t="shared" si="313"/>
        <v>9304</v>
      </c>
      <c r="P1118" s="32">
        <f>650*13+670+9.5*13</f>
        <v>9243.5</v>
      </c>
      <c r="Q1118" s="32"/>
      <c r="R1118" s="32"/>
      <c r="S1118" s="32">
        <f t="shared" si="308"/>
        <v>9243.5</v>
      </c>
      <c r="T1118" s="12"/>
      <c r="U1118" s="12">
        <f>1.5*9+4.5*8</f>
        <v>49.5</v>
      </c>
      <c r="V1118" s="12"/>
      <c r="W1118" s="12">
        <f t="shared" si="309"/>
        <v>9293</v>
      </c>
      <c r="Y1118" s="10">
        <v>7</v>
      </c>
      <c r="Z1118" s="30"/>
      <c r="AA1118" s="31"/>
      <c r="AB1118" s="32"/>
      <c r="AC1118" s="32"/>
      <c r="AD1118" s="32"/>
      <c r="AE1118" s="32">
        <f t="shared" si="316"/>
        <v>0</v>
      </c>
      <c r="AF1118" s="12"/>
      <c r="AG1118" s="58"/>
      <c r="AH1118" s="12"/>
      <c r="AI1118" s="12">
        <f t="shared" si="31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2"/>
      <c r="D1119" s="32"/>
      <c r="E1119" s="32"/>
      <c r="F1119" s="32"/>
      <c r="G1119" s="32">
        <f t="shared" si="306"/>
        <v>0</v>
      </c>
      <c r="H1119" s="12"/>
      <c r="I1119" s="12"/>
      <c r="J1119" s="12"/>
      <c r="K1119" s="12">
        <f t="shared" si="307"/>
        <v>0</v>
      </c>
      <c r="M1119" s="10">
        <v>8</v>
      </c>
      <c r="N1119" s="30" t="s">
        <v>96</v>
      </c>
      <c r="O1119" s="31">
        <f t="shared" si="313"/>
        <v>9305</v>
      </c>
      <c r="P1119" s="32">
        <f>650*6+9.5*6</f>
        <v>3957</v>
      </c>
      <c r="Q1119" s="32"/>
      <c r="R1119" s="32"/>
      <c r="S1119" s="32">
        <f t="shared" si="308"/>
        <v>3957</v>
      </c>
      <c r="T1119" s="12"/>
      <c r="U1119" s="12"/>
      <c r="V1119" s="12"/>
      <c r="W1119" s="12">
        <f t="shared" si="309"/>
        <v>3957</v>
      </c>
      <c r="Y1119" s="10">
        <v>8</v>
      </c>
      <c r="Z1119" s="30"/>
      <c r="AA1119" s="31"/>
      <c r="AB1119" s="32"/>
      <c r="AC1119" s="32"/>
      <c r="AE1119" s="32">
        <f t="shared" si="316"/>
        <v>0</v>
      </c>
      <c r="AF1119" s="12"/>
      <c r="AG1119" s="12"/>
      <c r="AH1119" s="12"/>
      <c r="AI1119" s="12">
        <f t="shared" si="31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82"/>
      <c r="D1120" s="32"/>
      <c r="E1120" s="32"/>
      <c r="F1120" s="32"/>
      <c r="G1120" s="32">
        <f t="shared" si="306"/>
        <v>0</v>
      </c>
      <c r="H1120" s="12"/>
      <c r="I1120" s="12"/>
      <c r="J1120" s="12"/>
      <c r="K1120" s="12">
        <f t="shared" si="307"/>
        <v>0</v>
      </c>
      <c r="M1120" s="10">
        <v>9</v>
      </c>
      <c r="N1120" s="30" t="s">
        <v>96</v>
      </c>
      <c r="O1120" s="31">
        <f t="shared" si="313"/>
        <v>9306</v>
      </c>
      <c r="P1120" s="32">
        <f>650*4+9.5*4</f>
        <v>2638</v>
      </c>
      <c r="Q1120" s="32"/>
      <c r="R1120" s="32"/>
      <c r="S1120" s="32">
        <f t="shared" si="308"/>
        <v>2638</v>
      </c>
      <c r="T1120" s="12"/>
      <c r="U1120" s="12"/>
      <c r="V1120" s="12"/>
      <c r="W1120" s="12">
        <f t="shared" si="309"/>
        <v>2638</v>
      </c>
      <c r="Y1120" s="10">
        <v>9</v>
      </c>
      <c r="Z1120" s="30"/>
      <c r="AA1120" s="31"/>
      <c r="AC1120" s="32"/>
      <c r="AD1120" s="32"/>
      <c r="AE1120" s="32">
        <f t="shared" si="316"/>
        <v>0</v>
      </c>
      <c r="AF1120" s="12"/>
      <c r="AH1120" s="12"/>
      <c r="AI1120" s="12">
        <f t="shared" si="31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2"/>
      <c r="D1121" s="32"/>
      <c r="E1121" s="32"/>
      <c r="F1121" s="32"/>
      <c r="G1121" s="32">
        <f t="shared" si="306"/>
        <v>0</v>
      </c>
      <c r="H1121" s="12"/>
      <c r="I1121" s="12"/>
      <c r="J1121" s="12"/>
      <c r="K1121" s="12">
        <f t="shared" si="307"/>
        <v>0</v>
      </c>
      <c r="M1121" s="10">
        <v>10</v>
      </c>
      <c r="N1121" s="30" t="s">
        <v>96</v>
      </c>
      <c r="O1121" s="31">
        <f t="shared" si="313"/>
        <v>9307</v>
      </c>
      <c r="P1121" s="32">
        <f>650*10+229</f>
        <v>6729</v>
      </c>
      <c r="Q1121" s="32"/>
      <c r="R1121" s="32"/>
      <c r="S1121" s="32">
        <f t="shared" si="308"/>
        <v>6729</v>
      </c>
      <c r="T1121" s="12"/>
      <c r="U1121" s="12"/>
      <c r="V1121" s="12"/>
      <c r="W1121" s="12">
        <f t="shared" si="309"/>
        <v>6729</v>
      </c>
      <c r="Y1121" s="10">
        <v>10</v>
      </c>
      <c r="Z1121" s="30"/>
      <c r="AA1121" s="31"/>
      <c r="AB1121" s="32"/>
      <c r="AC1121" s="32"/>
      <c r="AD1121" s="32"/>
      <c r="AE1121" s="32">
        <f t="shared" si="316"/>
        <v>0</v>
      </c>
      <c r="AF1121" s="12"/>
      <c r="AG1121" s="12"/>
      <c r="AH1121" s="12"/>
      <c r="AI1121" s="12">
        <f t="shared" si="31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82"/>
      <c r="D1122" s="32"/>
      <c r="E1122" s="32"/>
      <c r="F1122" s="32"/>
      <c r="G1122" s="32">
        <f t="shared" si="306"/>
        <v>0</v>
      </c>
      <c r="H1122" s="12"/>
      <c r="I1122" s="12"/>
      <c r="J1122" s="12"/>
      <c r="K1122" s="12">
        <f t="shared" si="307"/>
        <v>0</v>
      </c>
      <c r="M1122" s="10">
        <v>11</v>
      </c>
      <c r="N1122" s="30" t="s">
        <v>96</v>
      </c>
      <c r="O1122" s="31">
        <f t="shared" si="313"/>
        <v>9308</v>
      </c>
      <c r="P1122" s="32">
        <f>650*3+9.5*3</f>
        <v>1978.5</v>
      </c>
      <c r="Q1122" s="32"/>
      <c r="R1122" s="32"/>
      <c r="S1122" s="32">
        <f t="shared" si="308"/>
        <v>1978.5</v>
      </c>
      <c r="T1122" s="12"/>
      <c r="U1122" s="12"/>
      <c r="V1122" s="12"/>
      <c r="W1122" s="12">
        <f t="shared" si="309"/>
        <v>1978.5</v>
      </c>
      <c r="Y1122" s="10">
        <v>11</v>
      </c>
      <c r="Z1122" s="30"/>
      <c r="AB1122" s="32"/>
      <c r="AC1122" s="32"/>
      <c r="AD1122" s="32"/>
      <c r="AE1122" s="32">
        <f t="shared" si="316"/>
        <v>0</v>
      </c>
      <c r="AF1122" s="12"/>
      <c r="AG1122" s="12"/>
      <c r="AH1122" s="12"/>
      <c r="AI1122" s="12">
        <f t="shared" si="31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2"/>
      <c r="D1123" s="32"/>
      <c r="E1123" s="32"/>
      <c r="F1123" s="32"/>
      <c r="G1123" s="32">
        <f t="shared" si="306"/>
        <v>0</v>
      </c>
      <c r="H1123" s="12"/>
      <c r="I1123" s="12"/>
      <c r="J1123" s="10"/>
      <c r="K1123" s="12">
        <f t="shared" si="307"/>
        <v>0</v>
      </c>
      <c r="M1123" s="10">
        <v>12</v>
      </c>
      <c r="N1123" s="30" t="s">
        <v>96</v>
      </c>
      <c r="O1123" s="31">
        <f t="shared" si="313"/>
        <v>9309</v>
      </c>
      <c r="P1123" s="32">
        <f>650*3</f>
        <v>1950</v>
      </c>
      <c r="Q1123" s="32"/>
      <c r="R1123" s="32"/>
      <c r="S1123" s="32">
        <f t="shared" si="308"/>
        <v>1950</v>
      </c>
      <c r="T1123" s="12"/>
      <c r="U1123" s="12"/>
      <c r="V1123" s="12"/>
      <c r="W1123" s="12">
        <f t="shared" si="309"/>
        <v>1950</v>
      </c>
      <c r="Y1123" s="10">
        <v>12</v>
      </c>
      <c r="Z1123" s="30"/>
      <c r="AA1123" s="31"/>
      <c r="AB1123" s="32"/>
      <c r="AC1123" s="32"/>
      <c r="AD1123" s="32"/>
      <c r="AE1123" s="32">
        <f t="shared" si="316"/>
        <v>0</v>
      </c>
      <c r="AF1123" s="12"/>
      <c r="AG1123" s="12"/>
      <c r="AH1123" s="12"/>
      <c r="AI1123" s="12">
        <f t="shared" si="31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2"/>
      <c r="D1124" s="32"/>
      <c r="E1124" s="32"/>
      <c r="F1124" s="32"/>
      <c r="G1124" s="32">
        <f t="shared" si="306"/>
        <v>0</v>
      </c>
      <c r="H1124" s="12"/>
      <c r="I1124" s="12"/>
      <c r="J1124" s="12"/>
      <c r="K1124" s="12">
        <f t="shared" si="307"/>
        <v>0</v>
      </c>
      <c r="M1124" s="10">
        <v>13</v>
      </c>
      <c r="N1124" s="30"/>
      <c r="O1124" s="11" t="s">
        <v>27</v>
      </c>
      <c r="P1124" s="32"/>
      <c r="Q1124" s="32"/>
      <c r="R1124" s="32"/>
      <c r="S1124" s="32">
        <f t="shared" si="308"/>
        <v>0</v>
      </c>
      <c r="T1124" s="12"/>
      <c r="U1124" s="12"/>
      <c r="V1124" s="12"/>
      <c r="W1124" s="12">
        <f t="shared" si="309"/>
        <v>0</v>
      </c>
      <c r="Y1124" s="10">
        <v>13</v>
      </c>
      <c r="Z1124" s="30"/>
      <c r="AB1124" s="32"/>
      <c r="AC1124" s="32"/>
      <c r="AD1124" s="32"/>
      <c r="AE1124" s="32">
        <f t="shared" si="316"/>
        <v>0</v>
      </c>
      <c r="AF1124" s="12"/>
      <c r="AG1124" s="12"/>
      <c r="AH1124" s="12"/>
      <c r="AI1124" s="12">
        <f t="shared" si="31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306"/>
        <v>0</v>
      </c>
      <c r="H1125" s="12"/>
      <c r="I1125" s="12"/>
      <c r="J1125" s="12"/>
      <c r="K1125" s="12">
        <f t="shared" si="30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8"/>
        <v>0</v>
      </c>
      <c r="T1125" s="12"/>
      <c r="U1125" s="12"/>
      <c r="V1125" s="12"/>
      <c r="W1125" s="12">
        <f t="shared" si="30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16"/>
        <v>0</v>
      </c>
      <c r="AF1125" s="12"/>
      <c r="AG1125" s="12"/>
      <c r="AH1125" s="12"/>
      <c r="AI1125" s="12">
        <f t="shared" si="31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306"/>
        <v>0</v>
      </c>
      <c r="H1126" s="12"/>
      <c r="I1126" s="12"/>
      <c r="J1126" s="12"/>
      <c r="K1126" s="12">
        <f t="shared" si="30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8"/>
        <v>0</v>
      </c>
      <c r="T1126" s="12"/>
      <c r="U1126" s="12"/>
      <c r="V1126" s="12"/>
      <c r="W1126" s="12">
        <f t="shared" si="309"/>
        <v>0</v>
      </c>
      <c r="Y1126" s="10">
        <v>15</v>
      </c>
      <c r="Z1126" s="30"/>
      <c r="AB1126" s="32"/>
      <c r="AC1126" s="32"/>
      <c r="AD1126" s="32"/>
      <c r="AE1126" s="32">
        <f t="shared" si="316"/>
        <v>0</v>
      </c>
      <c r="AF1126" s="12"/>
      <c r="AG1126" s="12"/>
      <c r="AH1126" s="12"/>
      <c r="AI1126" s="12">
        <f t="shared" si="31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2"/>
      <c r="D1127" s="32"/>
      <c r="E1127" s="32"/>
      <c r="F1127" s="32"/>
      <c r="G1127" s="32">
        <f t="shared" si="306"/>
        <v>0</v>
      </c>
      <c r="H1127" s="12"/>
      <c r="I1127" s="12"/>
      <c r="J1127" s="12"/>
      <c r="K1127" s="12">
        <f t="shared" si="307"/>
        <v>0</v>
      </c>
      <c r="M1127" s="10">
        <v>16</v>
      </c>
      <c r="N1127" s="30"/>
      <c r="P1127" s="32"/>
      <c r="Q1127" s="32"/>
      <c r="R1127" s="32"/>
      <c r="S1127" s="32">
        <f t="shared" si="308"/>
        <v>0</v>
      </c>
      <c r="T1127" s="12"/>
      <c r="U1127" s="12"/>
      <c r="V1127" s="12"/>
      <c r="W1127" s="12">
        <f t="shared" si="30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16"/>
        <v>0</v>
      </c>
      <c r="AF1127" s="12"/>
      <c r="AG1127" s="12"/>
      <c r="AH1127" s="12"/>
      <c r="AI1127" s="12">
        <f t="shared" si="31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306"/>
        <v>0</v>
      </c>
      <c r="H1128" s="12"/>
      <c r="I1128" s="12"/>
      <c r="J1128" s="12"/>
      <c r="K1128" s="12">
        <f t="shared" si="30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8"/>
        <v>0</v>
      </c>
      <c r="T1128" s="12"/>
      <c r="U1128" s="12"/>
      <c r="V1128" s="12"/>
      <c r="W1128" s="12">
        <f t="shared" si="30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16"/>
        <v>0</v>
      </c>
      <c r="AF1128" s="12"/>
      <c r="AG1128" s="12"/>
      <c r="AH1128" s="12"/>
      <c r="AI1128" s="12">
        <f t="shared" si="31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306"/>
        <v>0</v>
      </c>
      <c r="H1129" s="12"/>
      <c r="I1129" s="12"/>
      <c r="J1129" s="12"/>
      <c r="K1129" s="12">
        <f t="shared" si="30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8"/>
        <v>0</v>
      </c>
      <c r="T1129" s="12"/>
      <c r="U1129" s="12"/>
      <c r="V1129" s="12"/>
      <c r="W1129" s="12">
        <f t="shared" si="30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16"/>
        <v>0</v>
      </c>
      <c r="AF1129" s="12"/>
      <c r="AG1129" s="12"/>
      <c r="AH1129" s="12"/>
      <c r="AI1129" s="12">
        <f t="shared" si="31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306"/>
        <v>0</v>
      </c>
      <c r="H1130" s="12"/>
      <c r="I1130" s="12"/>
      <c r="J1130" s="12"/>
      <c r="K1130" s="12">
        <f t="shared" si="30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8"/>
        <v>0</v>
      </c>
      <c r="T1130" s="12"/>
      <c r="U1130" s="12"/>
      <c r="V1130" s="12"/>
      <c r="W1130" s="12">
        <f t="shared" si="30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16"/>
        <v>0</v>
      </c>
      <c r="AF1130" s="12"/>
      <c r="AG1130" s="12"/>
      <c r="AH1130" s="12"/>
      <c r="AI1130" s="12">
        <f t="shared" si="31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306"/>
        <v>0</v>
      </c>
      <c r="H1131" s="12"/>
      <c r="I1131" s="12"/>
      <c r="J1131" s="12"/>
      <c r="K1131" s="12">
        <f t="shared" si="30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8"/>
        <v>0</v>
      </c>
      <c r="T1131" s="12"/>
      <c r="U1131" s="12"/>
      <c r="V1131" s="12"/>
      <c r="W1131" s="12">
        <f t="shared" si="30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16"/>
        <v>0</v>
      </c>
      <c r="AF1131" s="12"/>
      <c r="AG1131" s="12"/>
      <c r="AH1131" s="12"/>
      <c r="AI1131" s="12">
        <f t="shared" si="31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D1132" s="32"/>
      <c r="E1132" s="32"/>
      <c r="F1132" s="32"/>
      <c r="G1132" s="32">
        <f t="shared" si="306"/>
        <v>0</v>
      </c>
      <c r="H1132" s="10"/>
      <c r="I1132" s="10"/>
      <c r="J1132" s="10"/>
      <c r="K1132" s="12">
        <f t="shared" si="307"/>
        <v>0</v>
      </c>
      <c r="M1132" s="10">
        <v>21</v>
      </c>
      <c r="N1132" s="30"/>
      <c r="O1132" s="31"/>
      <c r="P1132" s="91"/>
      <c r="Q1132" s="31"/>
      <c r="R1132" s="31"/>
      <c r="S1132" s="32">
        <f t="shared" si="308"/>
        <v>0</v>
      </c>
      <c r="T1132" s="10"/>
      <c r="U1132" s="10"/>
      <c r="V1132" s="10"/>
      <c r="W1132" s="12">
        <f t="shared" si="309"/>
        <v>0</v>
      </c>
      <c r="Y1132" s="10">
        <v>21</v>
      </c>
      <c r="Z1132" s="30"/>
      <c r="AB1132" s="46"/>
      <c r="AC1132" s="31"/>
      <c r="AD1132" s="31"/>
      <c r="AE1132" s="32">
        <f t="shared" si="316"/>
        <v>0</v>
      </c>
      <c r="AF1132" s="10"/>
      <c r="AG1132" s="10"/>
      <c r="AH1132" s="10"/>
      <c r="AI1132" s="12">
        <f t="shared" si="31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2"/>
      <c r="D1133" s="32"/>
      <c r="E1133" s="32"/>
      <c r="F1133" s="32"/>
      <c r="G1133" s="32">
        <f t="shared" si="306"/>
        <v>0</v>
      </c>
      <c r="H1133" s="10"/>
      <c r="I1133" s="10"/>
      <c r="J1133" s="10"/>
      <c r="K1133" s="12">
        <f t="shared" si="307"/>
        <v>0</v>
      </c>
      <c r="M1133" s="10">
        <v>22</v>
      </c>
      <c r="N1133" s="30"/>
      <c r="P1133" s="91"/>
      <c r="Q1133" s="31"/>
      <c r="R1133" s="31"/>
      <c r="S1133" s="32">
        <f t="shared" si="308"/>
        <v>0</v>
      </c>
      <c r="T1133" s="10"/>
      <c r="U1133" s="10"/>
      <c r="V1133" s="10"/>
      <c r="W1133" s="12">
        <f t="shared" si="30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16"/>
        <v>0</v>
      </c>
      <c r="AF1133" s="10"/>
      <c r="AG1133" s="10"/>
      <c r="AH1133" s="10"/>
      <c r="AI1133" s="12">
        <f t="shared" si="31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306"/>
        <v>0</v>
      </c>
      <c r="H1134" s="10"/>
      <c r="I1134" s="10"/>
      <c r="J1134" s="12"/>
      <c r="K1134" s="12">
        <f t="shared" si="307"/>
        <v>0</v>
      </c>
      <c r="M1134" s="10">
        <v>23</v>
      </c>
      <c r="N1134" s="30"/>
      <c r="O1134" s="31"/>
      <c r="P1134" s="47"/>
      <c r="Q1134" s="31"/>
      <c r="S1134" s="32">
        <f t="shared" si="308"/>
        <v>0</v>
      </c>
      <c r="T1134" s="10"/>
      <c r="U1134" s="10"/>
      <c r="V1134" s="10"/>
      <c r="W1134" s="12">
        <f t="shared" si="309"/>
        <v>0</v>
      </c>
      <c r="Y1134" s="10">
        <v>23</v>
      </c>
      <c r="Z1134" s="30"/>
      <c r="AA1134" s="31"/>
      <c r="AB1134" s="47"/>
      <c r="AC1134" s="31"/>
      <c r="AE1134" s="32">
        <f t="shared" si="316"/>
        <v>0</v>
      </c>
      <c r="AF1134" s="10"/>
      <c r="AG1134" s="10"/>
      <c r="AH1134" s="10"/>
      <c r="AI1134" s="12">
        <f t="shared" si="31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306"/>
        <v>0</v>
      </c>
      <c r="H1135" s="10"/>
      <c r="I1135" s="10"/>
      <c r="J1135" s="10"/>
      <c r="K1135" s="12">
        <f t="shared" si="307"/>
        <v>0</v>
      </c>
      <c r="M1135" s="10">
        <v>24</v>
      </c>
      <c r="N1135" s="30"/>
      <c r="P1135" s="47"/>
      <c r="Q1135" s="31"/>
      <c r="R1135" s="31"/>
      <c r="S1135" s="32">
        <f t="shared" si="308"/>
        <v>0</v>
      </c>
      <c r="T1135" s="10"/>
      <c r="U1135" s="10"/>
      <c r="V1135" s="10"/>
      <c r="W1135" s="12">
        <f t="shared" si="30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16"/>
        <v>0</v>
      </c>
      <c r="AF1135" s="10"/>
      <c r="AG1135" s="10"/>
      <c r="AH1135" s="10"/>
      <c r="AI1135" s="12">
        <f t="shared" si="31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306"/>
        <v>0</v>
      </c>
      <c r="H1136" s="10"/>
      <c r="I1136" s="10"/>
      <c r="J1136" s="10"/>
      <c r="K1136" s="12">
        <f t="shared" si="30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8"/>
        <v>0</v>
      </c>
      <c r="T1136" s="10"/>
      <c r="U1136" s="10"/>
      <c r="V1136" s="10"/>
      <c r="W1136" s="12">
        <f t="shared" si="30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16"/>
        <v>0</v>
      </c>
      <c r="AF1136" s="10"/>
      <c r="AG1136" s="10"/>
      <c r="AH1136" s="10"/>
      <c r="AI1136" s="12">
        <f t="shared" si="31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57"/>
      <c r="D1137" s="32"/>
      <c r="E1137" s="32"/>
      <c r="F1137" s="32"/>
      <c r="G1137" s="32">
        <f t="shared" si="306"/>
        <v>0</v>
      </c>
      <c r="H1137" s="10"/>
      <c r="I1137" s="10"/>
      <c r="J1137" s="10"/>
      <c r="K1137" s="12">
        <f t="shared" si="30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8"/>
        <v>0</v>
      </c>
      <c r="T1137" s="10"/>
      <c r="U1137" s="10"/>
      <c r="V1137" s="10"/>
      <c r="W1137" s="12">
        <f t="shared" si="30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16"/>
        <v>0</v>
      </c>
      <c r="AF1137" s="10"/>
      <c r="AG1137" s="10"/>
      <c r="AH1137" s="10"/>
      <c r="AI1137" s="12">
        <f t="shared" si="31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306"/>
        <v>0</v>
      </c>
      <c r="H1138" s="10"/>
      <c r="I1138" s="10"/>
      <c r="J1138" s="10"/>
      <c r="K1138" s="12">
        <f t="shared" si="307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8"/>
        <v>0</v>
      </c>
      <c r="T1138" s="10"/>
      <c r="U1138" s="10"/>
      <c r="V1138" s="10"/>
      <c r="W1138" s="12">
        <f t="shared" si="30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16"/>
        <v>0</v>
      </c>
      <c r="AF1138" s="10"/>
      <c r="AG1138" s="10"/>
      <c r="AH1138" s="10"/>
      <c r="AI1138" s="12">
        <f t="shared" si="31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306"/>
        <v>0</v>
      </c>
      <c r="H1139" s="10"/>
      <c r="I1139" s="10"/>
      <c r="J1139" s="10"/>
      <c r="K1139" s="12">
        <f t="shared" si="30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8"/>
        <v>0</v>
      </c>
      <c r="T1139" s="10"/>
      <c r="U1139" s="10"/>
      <c r="V1139" s="10"/>
      <c r="W1139" s="12">
        <f t="shared" si="30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16"/>
        <v>0</v>
      </c>
      <c r="AF1139" s="10"/>
      <c r="AG1139" s="10"/>
      <c r="AH1139" s="10"/>
      <c r="AI1139" s="12">
        <f t="shared" si="31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306"/>
        <v>0</v>
      </c>
      <c r="H1140" s="10"/>
      <c r="I1140" s="10"/>
      <c r="J1140" s="10"/>
      <c r="K1140" s="12">
        <f t="shared" si="30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8"/>
        <v>0</v>
      </c>
      <c r="T1140" s="10"/>
      <c r="U1140" s="10"/>
      <c r="V1140" s="10"/>
      <c r="W1140" s="12">
        <f t="shared" si="30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16"/>
        <v>0</v>
      </c>
      <c r="AF1140" s="10"/>
      <c r="AG1140" s="10"/>
      <c r="AH1140" s="10"/>
      <c r="AI1140" s="12">
        <f t="shared" si="31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6"/>
        <v>0</v>
      </c>
      <c r="H1141" s="10"/>
      <c r="I1141" s="10"/>
      <c r="J1141" s="10"/>
      <c r="K1141" s="12">
        <f t="shared" si="307"/>
        <v>0</v>
      </c>
      <c r="M1141" s="10">
        <v>30</v>
      </c>
      <c r="N1141" s="30"/>
      <c r="P1141" s="47"/>
      <c r="Q1141" s="31"/>
      <c r="R1141" s="31"/>
      <c r="S1141" s="32">
        <f t="shared" si="308"/>
        <v>0</v>
      </c>
      <c r="T1141" s="10"/>
      <c r="U1141" s="10"/>
      <c r="V1141" s="10"/>
      <c r="W1141" s="12">
        <f t="shared" si="30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16"/>
        <v>0</v>
      </c>
      <c r="AF1141" s="10"/>
      <c r="AG1141" s="10"/>
      <c r="AH1141" s="10"/>
      <c r="AI1141" s="12">
        <f t="shared" si="31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06"/>
        <v>0</v>
      </c>
      <c r="H1142" s="10"/>
      <c r="I1142" s="10"/>
      <c r="J1142" s="10"/>
      <c r="K1142" s="12">
        <f t="shared" si="307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08"/>
        <v>0</v>
      </c>
      <c r="T1142" s="10"/>
      <c r="U1142" s="10"/>
      <c r="V1142" s="10"/>
      <c r="W1142" s="12">
        <f t="shared" si="30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16"/>
        <v>0</v>
      </c>
      <c r="AF1142" s="10"/>
      <c r="AG1142" s="10"/>
      <c r="AH1142" s="10"/>
      <c r="AI1142" s="12">
        <f t="shared" si="31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306"/>
        <v>0</v>
      </c>
      <c r="H1143" s="10"/>
      <c r="I1143" s="10"/>
      <c r="J1143" s="10"/>
      <c r="K1143" s="12">
        <f t="shared" si="30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8"/>
        <v>0</v>
      </c>
      <c r="T1143" s="10"/>
      <c r="U1143" s="10"/>
      <c r="V1143" s="10"/>
      <c r="W1143" s="12">
        <f t="shared" si="30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16"/>
        <v>0</v>
      </c>
      <c r="AF1143" s="10"/>
      <c r="AG1143" s="10"/>
      <c r="AH1143" s="10"/>
      <c r="AI1143" s="12">
        <f t="shared" si="31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306"/>
        <v>0</v>
      </c>
      <c r="H1144" s="10"/>
      <c r="I1144" s="10"/>
      <c r="J1144" s="10"/>
      <c r="K1144" s="12">
        <f t="shared" si="30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8"/>
        <v>0</v>
      </c>
      <c r="T1144" s="10"/>
      <c r="U1144" s="10"/>
      <c r="V1144" s="10"/>
      <c r="W1144" s="12">
        <f t="shared" si="30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16"/>
        <v>0</v>
      </c>
      <c r="AF1144" s="10"/>
      <c r="AG1144" s="10"/>
      <c r="AH1144" s="10"/>
      <c r="AI1144" s="12">
        <f t="shared" si="31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306"/>
        <v>0</v>
      </c>
      <c r="H1145" s="10"/>
      <c r="I1145" s="10"/>
      <c r="J1145" s="10"/>
      <c r="K1145" s="12">
        <f t="shared" si="30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08"/>
        <v>0</v>
      </c>
      <c r="T1145" s="10"/>
      <c r="U1145" s="10"/>
      <c r="V1145" s="10"/>
      <c r="W1145" s="12">
        <f t="shared" si="30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16"/>
        <v>0</v>
      </c>
      <c r="AF1145" s="10"/>
      <c r="AG1145" s="10"/>
      <c r="AH1145" s="10"/>
      <c r="AI1145" s="12">
        <f t="shared" si="31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8"/>
        <v>0</v>
      </c>
      <c r="T1146" s="10"/>
      <c r="U1146" s="10"/>
      <c r="V1146" s="10"/>
      <c r="W1146" s="12">
        <f t="shared" si="30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16"/>
        <v>0</v>
      </c>
      <c r="AF1146" s="10"/>
      <c r="AG1146" s="10"/>
      <c r="AH1146" s="10"/>
      <c r="AI1146" s="12">
        <f t="shared" si="31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8"/>
        <v>0</v>
      </c>
      <c r="T1147" s="10"/>
      <c r="U1147" s="10"/>
      <c r="V1147" s="10"/>
      <c r="W1147" s="12">
        <f t="shared" si="30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16"/>
        <v>0</v>
      </c>
      <c r="AF1147" s="10"/>
      <c r="AG1147" s="10"/>
      <c r="AH1147" s="10"/>
      <c r="AI1147" s="12">
        <f t="shared" si="31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8"/>
        <v>0</v>
      </c>
      <c r="T1148" s="10"/>
      <c r="U1148" s="10"/>
      <c r="V1148" s="10"/>
      <c r="W1148" s="12">
        <f t="shared" si="30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16"/>
        <v>0</v>
      </c>
      <c r="AF1148" s="10"/>
      <c r="AG1148" s="10"/>
      <c r="AH1148" s="10"/>
      <c r="AI1148" s="12">
        <f t="shared" si="31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8"/>
        <v>0</v>
      </c>
      <c r="T1149" s="10"/>
      <c r="U1149" s="10"/>
      <c r="V1149" s="10"/>
      <c r="W1149" s="12">
        <f t="shared" si="30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16"/>
        <v>0</v>
      </c>
      <c r="AF1149" s="10"/>
      <c r="AG1149" s="10"/>
      <c r="AH1149" s="10"/>
      <c r="AI1149" s="12">
        <f t="shared" si="31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8"/>
        <v>0</v>
      </c>
      <c r="T1150" s="10"/>
      <c r="U1150" s="10"/>
      <c r="V1150" s="10"/>
      <c r="W1150" s="12">
        <f t="shared" si="30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16"/>
        <v>0</v>
      </c>
      <c r="AF1150" s="10"/>
      <c r="AG1150" s="10"/>
      <c r="AH1150" s="10"/>
      <c r="AI1150" s="12">
        <f t="shared" si="31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1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17">SUM(D1152:E1152)</f>
        <v>0</v>
      </c>
      <c r="H1152" s="10"/>
      <c r="I1152" s="10"/>
      <c r="J1152" s="10"/>
      <c r="K1152" s="12">
        <f t="shared" ref="K1152" si="318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9">SUM(P1152:Q1152)</f>
        <v>0</v>
      </c>
      <c r="T1152" s="10"/>
      <c r="U1152" s="10"/>
      <c r="V1152" s="10"/>
      <c r="W1152" s="12">
        <f t="shared" si="309"/>
        <v>0</v>
      </c>
      <c r="Y1152" s="10"/>
      <c r="Z1152" s="30"/>
      <c r="AA1152" s="31"/>
      <c r="AB1152" s="47"/>
      <c r="AC1152" s="31"/>
      <c r="AD1152" s="31"/>
      <c r="AE1152" s="32">
        <f t="shared" ref="AE1152" si="320">SUM(AB1152:AC1152)</f>
        <v>0</v>
      </c>
      <c r="AF1152" s="10"/>
      <c r="AG1152" s="10"/>
      <c r="AH1152" s="10"/>
      <c r="AI1152" s="12">
        <f t="shared" si="31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1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342501</v>
      </c>
      <c r="E1155" s="38">
        <f t="shared" ref="E1155:F1155" si="321">SUM(E1112:E1152)</f>
        <v>-1986</v>
      </c>
      <c r="F1155" s="38">
        <f t="shared" si="321"/>
        <v>0</v>
      </c>
      <c r="G1155" s="38">
        <f>SUM(G1112:G1154)</f>
        <v>340515</v>
      </c>
      <c r="H1155" s="4"/>
      <c r="I1155" s="39">
        <f>SUM(I1112:I1154)</f>
        <v>1248</v>
      </c>
      <c r="J1155" s="39">
        <f>SUM(J1112:J1154)</f>
        <v>-11988</v>
      </c>
      <c r="K1155" s="40">
        <f>SUM(K1112:K1154)</f>
        <v>329775</v>
      </c>
      <c r="N1155" s="57"/>
      <c r="O1155" s="57"/>
      <c r="P1155" s="38">
        <f>SUM(P1112:P1154)</f>
        <v>180508</v>
      </c>
      <c r="Q1155" s="38">
        <f>SUM(Q1112:Q1136)</f>
        <v>-720</v>
      </c>
      <c r="R1155" s="38">
        <f>SUM(R1112:R1136)</f>
        <v>0</v>
      </c>
      <c r="S1155" s="38">
        <f>SUM(S1112:S1154)</f>
        <v>179788</v>
      </c>
      <c r="T1155" s="4"/>
      <c r="U1155" s="41">
        <f>SUM(U1112:U1154)</f>
        <v>126</v>
      </c>
      <c r="V1155" s="41">
        <f>SUM(V1112:V1136)</f>
        <v>-444</v>
      </c>
      <c r="W1155" s="42">
        <f>SUM(W1112:W1154)</f>
        <v>179470</v>
      </c>
      <c r="Z1155" s="57"/>
      <c r="AA1155" s="57"/>
      <c r="AB1155" s="38">
        <f>SUM(AB1112:AB1154)</f>
        <v>273742</v>
      </c>
      <c r="AC1155" s="38">
        <f>SUM(AC1112:AC1136)</f>
        <v>-1248</v>
      </c>
      <c r="AD1155" s="38">
        <f>SUM(AD1112:AD1136)</f>
        <v>0</v>
      </c>
      <c r="AE1155" s="38">
        <f>SUM(AE1112:AE1154)</f>
        <v>272494</v>
      </c>
      <c r="AF1155" s="4"/>
      <c r="AG1155" s="41">
        <f>SUM(AG1112:AG1154)</f>
        <v>72</v>
      </c>
      <c r="AH1155" s="41">
        <f>SUM(AH1112:AH1136)</f>
        <v>-12543</v>
      </c>
      <c r="AI1155" s="42">
        <f>SUM(AI1112:AI1154)</f>
        <v>260023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98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98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33</v>
      </c>
      <c r="W1163" s="24"/>
      <c r="Y1163" s="21" t="s">
        <v>98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35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3" t="s">
        <v>17</v>
      </c>
      <c r="E1165" s="123"/>
      <c r="F1165" s="111"/>
      <c r="G1165" s="27"/>
      <c r="I1165" s="121" t="s">
        <v>18</v>
      </c>
      <c r="J1165" s="122"/>
      <c r="K1165" s="119" t="s">
        <v>19</v>
      </c>
      <c r="N1165" s="25"/>
      <c r="O1165" s="26"/>
      <c r="P1165" s="123" t="s">
        <v>17</v>
      </c>
      <c r="Q1165" s="123"/>
      <c r="R1165" s="111"/>
      <c r="S1165" s="27"/>
      <c r="U1165" s="121" t="s">
        <v>18</v>
      </c>
      <c r="V1165" s="122"/>
      <c r="W1165" s="119" t="s">
        <v>19</v>
      </c>
      <c r="Z1165" s="25"/>
      <c r="AA1165" s="26"/>
      <c r="AB1165" s="123" t="s">
        <v>17</v>
      </c>
      <c r="AC1165" s="123"/>
      <c r="AD1165" s="111"/>
      <c r="AE1165" s="27"/>
      <c r="AG1165" s="121" t="s">
        <v>18</v>
      </c>
      <c r="AH1165" s="122"/>
      <c r="AI1165" s="119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20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32</v>
      </c>
      <c r="S1166" s="78" t="s">
        <v>24</v>
      </c>
      <c r="U1166" s="29" t="s">
        <v>25</v>
      </c>
      <c r="V1166" s="29" t="s">
        <v>26</v>
      </c>
      <c r="W1166" s="120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20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99</v>
      </c>
      <c r="C1167" s="82">
        <v>9126</v>
      </c>
      <c r="D1167" s="32">
        <f>300*650+872*2+229*11</f>
        <v>199263</v>
      </c>
      <c r="E1167" s="32">
        <f>-302*6</f>
        <v>-1812</v>
      </c>
      <c r="F1167" s="32"/>
      <c r="G1167" s="32">
        <f t="shared" ref="G1167:G1200" si="322">SUM(D1167:E1167)</f>
        <v>197451</v>
      </c>
      <c r="H1167" s="12"/>
      <c r="I1167" s="12">
        <v>252</v>
      </c>
      <c r="J1167" s="12">
        <f>-108*111</f>
        <v>-11988</v>
      </c>
      <c r="K1167" s="12">
        <f t="shared" ref="K1167:K1200" si="323">SUM(G1167:J1167)</f>
        <v>185715</v>
      </c>
      <c r="M1167" s="10">
        <v>1</v>
      </c>
      <c r="N1167" s="30" t="s">
        <v>99</v>
      </c>
      <c r="O1167" s="31">
        <v>9310</v>
      </c>
      <c r="P1167" s="32">
        <f>650*3+229</f>
        <v>2179</v>
      </c>
      <c r="Q1167" s="32"/>
      <c r="R1167" s="32"/>
      <c r="S1167" s="32">
        <f>SUM(P1167:Q1167)</f>
        <v>2179</v>
      </c>
      <c r="T1167" s="12"/>
      <c r="U1167" s="12"/>
      <c r="V1167" s="12"/>
      <c r="W1167" s="12">
        <f>SUM(S1167:V1167)</f>
        <v>2179</v>
      </c>
      <c r="Y1167" s="10">
        <v>1</v>
      </c>
      <c r="Z1167" s="30" t="s">
        <v>99</v>
      </c>
      <c r="AA1167" s="31">
        <v>9356</v>
      </c>
      <c r="AB1167" s="32">
        <f>650*50+670*5+622*5+229*2</f>
        <v>39418</v>
      </c>
      <c r="AC1167" s="32">
        <f>-60*6</f>
        <v>-360</v>
      </c>
      <c r="AD1167" s="32"/>
      <c r="AE1167" s="32">
        <f>SUM(AB1167:AC1167)</f>
        <v>39058</v>
      </c>
      <c r="AF1167" s="12"/>
      <c r="AG1167" s="12"/>
      <c r="AH1167" s="12"/>
      <c r="AI1167" s="12">
        <f>SUM(AE1167:AH1167)</f>
        <v>39058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99</v>
      </c>
      <c r="C1168" s="82">
        <f>C1167+1</f>
        <v>9127</v>
      </c>
      <c r="D1168" s="32">
        <f>650*6</f>
        <v>3900</v>
      </c>
      <c r="E1168" s="32"/>
      <c r="F1168" s="32"/>
      <c r="G1168" s="32">
        <f t="shared" si="322"/>
        <v>3900</v>
      </c>
      <c r="H1168" s="12"/>
      <c r="I1168" s="12"/>
      <c r="J1168" s="12">
        <f>-111*24</f>
        <v>-2664</v>
      </c>
      <c r="K1168" s="12">
        <f t="shared" si="323"/>
        <v>1236</v>
      </c>
      <c r="M1168" s="10">
        <v>2</v>
      </c>
      <c r="N1168" s="30" t="s">
        <v>99</v>
      </c>
      <c r="O1168" s="31">
        <f>O1167+1</f>
        <v>9311</v>
      </c>
      <c r="P1168" s="32">
        <f>650*70+229*2+1582</f>
        <v>47540</v>
      </c>
      <c r="Q1168" s="32"/>
      <c r="R1168" s="32"/>
      <c r="S1168" s="32">
        <f t="shared" ref="S1168:S1205" si="324">SUM(P1168:Q1168)</f>
        <v>47540</v>
      </c>
      <c r="T1168" s="12"/>
      <c r="U1168" s="12">
        <f>5772+156+90</f>
        <v>6018</v>
      </c>
      <c r="V1168" s="12"/>
      <c r="W1168" s="12">
        <f t="shared" ref="W1168:W1208" si="325">SUM(S1168:V1168)</f>
        <v>53558</v>
      </c>
      <c r="Y1168" s="10">
        <v>2</v>
      </c>
      <c r="Z1168" s="30" t="s">
        <v>99</v>
      </c>
      <c r="AA1168" s="31">
        <f>AA1167+1</f>
        <v>9357</v>
      </c>
      <c r="AB1168" s="32">
        <f>650*30+670*2+622*3+229</f>
        <v>22935</v>
      </c>
      <c r="AD1168" s="32"/>
      <c r="AE1168" s="32">
        <f t="shared" ref="AE1168:AE1169" si="326">SUM(AB1168:AC1168)</f>
        <v>22935</v>
      </c>
      <c r="AF1168" s="12"/>
      <c r="AG1168" s="12"/>
      <c r="AH1168">
        <v>-1554</v>
      </c>
      <c r="AI1168" s="12">
        <f t="shared" ref="AI1168:AI1169" si="327">SUM(AE1168:AH1168)</f>
        <v>21381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99</v>
      </c>
      <c r="C1169" s="82">
        <f t="shared" ref="C1169:C1175" si="328">C1168+1</f>
        <v>9128</v>
      </c>
      <c r="D1169" s="33">
        <f>622*2</f>
        <v>1244</v>
      </c>
      <c r="E1169" s="33"/>
      <c r="F1169" s="33"/>
      <c r="G1169" s="33">
        <f t="shared" si="322"/>
        <v>1244</v>
      </c>
      <c r="H1169" s="34"/>
      <c r="I1169" s="34"/>
      <c r="J1169" s="34"/>
      <c r="K1169" s="34">
        <f t="shared" si="323"/>
        <v>1244</v>
      </c>
      <c r="M1169" s="10">
        <v>3</v>
      </c>
      <c r="N1169" s="30" t="s">
        <v>99</v>
      </c>
      <c r="O1169" s="31">
        <f t="shared" ref="O1169:O1178" si="329">O1168+1</f>
        <v>9312</v>
      </c>
      <c r="P1169" s="32">
        <f>650*2+622*5+9.5*7</f>
        <v>4476.5</v>
      </c>
      <c r="Q1169" s="32"/>
      <c r="R1169" s="32"/>
      <c r="S1169" s="32">
        <f t="shared" si="324"/>
        <v>4476.5</v>
      </c>
      <c r="T1169" s="12"/>
      <c r="U1169" s="12"/>
      <c r="V1169" s="12">
        <v>-333</v>
      </c>
      <c r="W1169" s="12">
        <f t="shared" si="325"/>
        <v>4143.5</v>
      </c>
      <c r="Y1169" s="10">
        <v>3</v>
      </c>
      <c r="Z1169" s="30" t="s">
        <v>99</v>
      </c>
      <c r="AA1169" s="31">
        <f t="shared" ref="AA1169:AA1172" si="330">AA1168+1</f>
        <v>9358</v>
      </c>
      <c r="AB1169" s="32">
        <f>650*50+1102+872*2+229*2</f>
        <v>35804</v>
      </c>
      <c r="AC1169" s="33">
        <v>-318</v>
      </c>
      <c r="AD1169" s="32"/>
      <c r="AE1169" s="32">
        <f t="shared" si="326"/>
        <v>35486</v>
      </c>
      <c r="AF1169" s="12"/>
      <c r="AG1169" s="12"/>
      <c r="AH1169" s="12">
        <f>-111*45+-4.5*30</f>
        <v>-5130</v>
      </c>
      <c r="AI1169" s="12">
        <f t="shared" si="327"/>
        <v>30356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99</v>
      </c>
      <c r="C1170" s="82">
        <f t="shared" si="328"/>
        <v>9129</v>
      </c>
      <c r="D1170" s="32">
        <f>650*5</f>
        <v>3250</v>
      </c>
      <c r="E1170" s="32"/>
      <c r="F1170" s="32"/>
      <c r="G1170" s="32">
        <f t="shared" si="322"/>
        <v>3250</v>
      </c>
      <c r="H1170" s="12"/>
      <c r="I1170" s="12"/>
      <c r="J1170" s="12"/>
      <c r="K1170" s="12">
        <f t="shared" si="323"/>
        <v>3250</v>
      </c>
      <c r="M1170" s="10">
        <v>4</v>
      </c>
      <c r="N1170" s="30" t="s">
        <v>99</v>
      </c>
      <c r="O1170" s="31">
        <f t="shared" si="329"/>
        <v>9313</v>
      </c>
      <c r="P1170" s="32">
        <f>650*2+622*2+9.5*4</f>
        <v>2582</v>
      </c>
      <c r="Q1170" s="32"/>
      <c r="R1170" s="32"/>
      <c r="S1170" s="32">
        <f t="shared" si="324"/>
        <v>2582</v>
      </c>
      <c r="T1170" s="12"/>
      <c r="U1170" s="12"/>
      <c r="V1170" s="12">
        <v>-333</v>
      </c>
      <c r="W1170" s="12">
        <f t="shared" si="325"/>
        <v>2249</v>
      </c>
      <c r="Y1170" s="10">
        <v>4</v>
      </c>
      <c r="Z1170" s="30" t="s">
        <v>99</v>
      </c>
      <c r="AA1170" s="31">
        <f t="shared" si="330"/>
        <v>9359</v>
      </c>
      <c r="AB1170" s="32">
        <f>650*108+229*4</f>
        <v>71116</v>
      </c>
      <c r="AC1170" s="32">
        <f>-108*6</f>
        <v>-648</v>
      </c>
      <c r="AD1170" s="32"/>
      <c r="AE1170" s="32">
        <f>SUM(AB1170:AC1170)</f>
        <v>70468</v>
      </c>
      <c r="AF1170" s="12"/>
      <c r="AG1170">
        <v>312</v>
      </c>
      <c r="AH1170" s="12">
        <f>-360+-5883</f>
        <v>-6243</v>
      </c>
      <c r="AI1170" s="12">
        <f>SUM(AE1170:AH1170)</f>
        <v>64537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99</v>
      </c>
      <c r="C1171" s="82">
        <f t="shared" si="328"/>
        <v>9130</v>
      </c>
      <c r="D1171" s="32">
        <f>650*2+622</f>
        <v>1922</v>
      </c>
      <c r="E1171" s="32"/>
      <c r="F1171" s="32"/>
      <c r="G1171" s="32">
        <f t="shared" si="322"/>
        <v>1922</v>
      </c>
      <c r="H1171" s="12"/>
      <c r="I1171" s="12"/>
      <c r="J1171" s="12"/>
      <c r="K1171" s="12">
        <f t="shared" si="323"/>
        <v>1922</v>
      </c>
      <c r="M1171" s="10">
        <v>5</v>
      </c>
      <c r="N1171" s="30" t="s">
        <v>99</v>
      </c>
      <c r="O1171" s="31">
        <f t="shared" si="329"/>
        <v>9314</v>
      </c>
      <c r="P1171" s="32">
        <f>650+622*3</f>
        <v>2516</v>
      </c>
      <c r="Q1171" s="32"/>
      <c r="R1171" s="32"/>
      <c r="S1171" s="32">
        <f t="shared" si="324"/>
        <v>2516</v>
      </c>
      <c r="T1171" s="12"/>
      <c r="U1171" s="12"/>
      <c r="V1171" s="12"/>
      <c r="W1171" s="12">
        <f t="shared" si="325"/>
        <v>2516</v>
      </c>
      <c r="Y1171" s="10">
        <v>5</v>
      </c>
      <c r="Z1171" s="30" t="s">
        <v>99</v>
      </c>
      <c r="AA1171" s="31">
        <f t="shared" si="330"/>
        <v>9360</v>
      </c>
      <c r="AB1171" s="33">
        <f>650*50+229*2</f>
        <v>32958</v>
      </c>
      <c r="AC1171" s="32">
        <f>-50*6</f>
        <v>-300</v>
      </c>
      <c r="AD1171" s="32"/>
      <c r="AE1171" s="32">
        <f>SUM(AB1171:AC1171)</f>
        <v>32658</v>
      </c>
      <c r="AF1171" s="12"/>
      <c r="AG1171" s="12"/>
      <c r="AH1171" s="12"/>
      <c r="AI1171" s="12">
        <f t="shared" ref="AI1171:AI1208" si="331">SUM(AE1171:AH1171)</f>
        <v>32658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99</v>
      </c>
      <c r="C1172" s="82">
        <f t="shared" si="328"/>
        <v>9131</v>
      </c>
      <c r="D1172" s="32">
        <f>650*2</f>
        <v>1300</v>
      </c>
      <c r="E1172" s="32"/>
      <c r="F1172" s="32"/>
      <c r="G1172" s="32">
        <f t="shared" si="322"/>
        <v>1300</v>
      </c>
      <c r="H1172" s="12"/>
      <c r="I1172" s="12"/>
      <c r="J1172" s="12"/>
      <c r="K1172" s="12">
        <f t="shared" si="323"/>
        <v>1300</v>
      </c>
      <c r="M1172" s="10">
        <v>6</v>
      </c>
      <c r="N1172" s="30" t="s">
        <v>99</v>
      </c>
      <c r="O1172" s="31">
        <f t="shared" si="329"/>
        <v>9315</v>
      </c>
      <c r="P1172" s="32">
        <f>650*2+622*2+9.5*4</f>
        <v>2582</v>
      </c>
      <c r="Q1172" s="32"/>
      <c r="R1172" s="32"/>
      <c r="S1172" s="32">
        <f t="shared" si="324"/>
        <v>2582</v>
      </c>
      <c r="T1172" s="12"/>
      <c r="U1172" s="12"/>
      <c r="V1172" s="10"/>
      <c r="W1172" s="12">
        <f t="shared" si="325"/>
        <v>2582</v>
      </c>
      <c r="Y1172" s="10">
        <v>6</v>
      </c>
      <c r="Z1172" s="30" t="s">
        <v>99</v>
      </c>
      <c r="AA1172" s="31">
        <f t="shared" si="330"/>
        <v>9361</v>
      </c>
      <c r="AB1172" s="32">
        <f>650*2+1050</f>
        <v>2350</v>
      </c>
      <c r="AC1172" s="32"/>
      <c r="AD1172" s="32"/>
      <c r="AE1172" s="32">
        <f t="shared" ref="AE1172:AE1205" si="332">SUM(AB1172:AC1172)</f>
        <v>2350</v>
      </c>
      <c r="AF1172" s="12"/>
      <c r="AG1172" s="12">
        <f>120+111*2</f>
        <v>342</v>
      </c>
      <c r="AH1172" s="10"/>
      <c r="AI1172" s="12">
        <f t="shared" si="331"/>
        <v>2692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99</v>
      </c>
      <c r="C1173" s="82">
        <f t="shared" si="328"/>
        <v>9132</v>
      </c>
      <c r="D1173" s="32">
        <f>650*3</f>
        <v>1950</v>
      </c>
      <c r="E1173" s="32"/>
      <c r="F1173" s="32"/>
      <c r="G1173" s="32">
        <f t="shared" si="322"/>
        <v>1950</v>
      </c>
      <c r="H1173" s="12"/>
      <c r="I1173" s="12"/>
      <c r="J1173" s="12"/>
      <c r="K1173" s="12">
        <f t="shared" si="323"/>
        <v>1950</v>
      </c>
      <c r="M1173" s="10">
        <v>7</v>
      </c>
      <c r="N1173" s="30" t="s">
        <v>99</v>
      </c>
      <c r="O1173" s="31">
        <f t="shared" si="329"/>
        <v>9316</v>
      </c>
      <c r="P1173" s="32">
        <f>650*5+622</f>
        <v>3872</v>
      </c>
      <c r="Q1173" s="32"/>
      <c r="R1173" s="32"/>
      <c r="S1173" s="32">
        <f t="shared" si="324"/>
        <v>3872</v>
      </c>
      <c r="T1173" s="12"/>
      <c r="U1173" s="12"/>
      <c r="V1173" s="12">
        <v>-333</v>
      </c>
      <c r="W1173" s="12">
        <f t="shared" si="325"/>
        <v>3539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32"/>
        <v>0</v>
      </c>
      <c r="AF1173" s="12"/>
      <c r="AG1173" s="58"/>
      <c r="AH1173" s="12"/>
      <c r="AI1173" s="12">
        <f t="shared" si="331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99</v>
      </c>
      <c r="C1174" s="82">
        <f t="shared" si="328"/>
        <v>9133</v>
      </c>
      <c r="D1174" s="32">
        <f>650</f>
        <v>650</v>
      </c>
      <c r="E1174" s="32"/>
      <c r="F1174" s="32"/>
      <c r="G1174" s="32">
        <f t="shared" si="322"/>
        <v>650</v>
      </c>
      <c r="H1174" s="12"/>
      <c r="I1174" s="12"/>
      <c r="J1174" s="12"/>
      <c r="K1174" s="12">
        <f t="shared" si="323"/>
        <v>650</v>
      </c>
      <c r="M1174" s="10">
        <v>8</v>
      </c>
      <c r="N1174" s="30" t="s">
        <v>99</v>
      </c>
      <c r="O1174" s="31">
        <f t="shared" si="329"/>
        <v>9317</v>
      </c>
      <c r="P1174" s="32">
        <f>650*2+9.5*2</f>
        <v>1319</v>
      </c>
      <c r="Q1174" s="32"/>
      <c r="R1174" s="32"/>
      <c r="S1174" s="32">
        <f t="shared" si="324"/>
        <v>1319</v>
      </c>
      <c r="T1174" s="12"/>
      <c r="U1174" s="12"/>
      <c r="V1174" s="12"/>
      <c r="W1174" s="12">
        <f t="shared" si="325"/>
        <v>1319</v>
      </c>
      <c r="Y1174" s="10">
        <v>8</v>
      </c>
      <c r="Z1174" s="30"/>
      <c r="AA1174" s="31"/>
      <c r="AB1174" s="32"/>
      <c r="AC1174" s="32"/>
      <c r="AE1174" s="32">
        <f t="shared" si="332"/>
        <v>0</v>
      </c>
      <c r="AF1174" s="12"/>
      <c r="AG1174" s="12"/>
      <c r="AH1174" s="12"/>
      <c r="AI1174" s="12">
        <f t="shared" si="331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99</v>
      </c>
      <c r="C1175" s="82">
        <f t="shared" si="328"/>
        <v>9134</v>
      </c>
      <c r="D1175" s="32">
        <f>650*2</f>
        <v>1300</v>
      </c>
      <c r="E1175" s="32"/>
      <c r="F1175" s="32"/>
      <c r="G1175" s="32">
        <f t="shared" si="322"/>
        <v>1300</v>
      </c>
      <c r="H1175" s="12"/>
      <c r="I1175" s="12"/>
      <c r="J1175" s="12"/>
      <c r="K1175" s="12">
        <f t="shared" si="323"/>
        <v>1300</v>
      </c>
      <c r="M1175" s="10">
        <v>9</v>
      </c>
      <c r="N1175" s="30" t="s">
        <v>99</v>
      </c>
      <c r="O1175" s="31">
        <f t="shared" si="329"/>
        <v>9318</v>
      </c>
      <c r="P1175" s="32">
        <f>650*3</f>
        <v>1950</v>
      </c>
      <c r="Q1175" s="32"/>
      <c r="R1175" s="32"/>
      <c r="S1175" s="32">
        <f t="shared" si="324"/>
        <v>1950</v>
      </c>
      <c r="T1175" s="12"/>
      <c r="U1175" s="12"/>
      <c r="V1175" s="12"/>
      <c r="W1175" s="12">
        <f t="shared" si="325"/>
        <v>1950</v>
      </c>
      <c r="Y1175" s="10">
        <v>9</v>
      </c>
      <c r="Z1175" s="30"/>
      <c r="AA1175" s="31"/>
      <c r="AC1175" s="32"/>
      <c r="AD1175" s="32"/>
      <c r="AE1175" s="32">
        <f t="shared" si="332"/>
        <v>0</v>
      </c>
      <c r="AF1175" s="12"/>
      <c r="AH1175" s="12"/>
      <c r="AI1175" s="12">
        <f t="shared" si="331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11" t="s">
        <v>27</v>
      </c>
      <c r="D1176" s="32"/>
      <c r="E1176" s="32"/>
      <c r="F1176" s="32"/>
      <c r="G1176" s="32">
        <f t="shared" si="322"/>
        <v>0</v>
      </c>
      <c r="H1176" s="12"/>
      <c r="I1176" s="12"/>
      <c r="J1176" s="12"/>
      <c r="K1176" s="12">
        <f t="shared" si="323"/>
        <v>0</v>
      </c>
      <c r="M1176" s="10">
        <v>10</v>
      </c>
      <c r="N1176" s="30" t="s">
        <v>99</v>
      </c>
      <c r="O1176" s="31">
        <f t="shared" si="329"/>
        <v>9319</v>
      </c>
      <c r="P1176" s="32">
        <f>650+622+9.5*2</f>
        <v>1291</v>
      </c>
      <c r="Q1176" s="32"/>
      <c r="R1176" s="32"/>
      <c r="S1176" s="32">
        <f t="shared" si="324"/>
        <v>1291</v>
      </c>
      <c r="T1176" s="12"/>
      <c r="U1176" s="12"/>
      <c r="V1176" s="12"/>
      <c r="W1176" s="12">
        <f t="shared" si="325"/>
        <v>1291</v>
      </c>
      <c r="Y1176" s="10">
        <v>10</v>
      </c>
      <c r="Z1176" s="30"/>
      <c r="AA1176" s="31"/>
      <c r="AB1176" s="32"/>
      <c r="AC1176" s="32"/>
      <c r="AD1176" s="32"/>
      <c r="AE1176" s="32">
        <f t="shared" si="332"/>
        <v>0</v>
      </c>
      <c r="AF1176" s="12"/>
      <c r="AG1176" s="12"/>
      <c r="AH1176" s="12"/>
      <c r="AI1176" s="12">
        <f t="shared" si="331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2"/>
      <c r="D1177" s="32"/>
      <c r="E1177" s="32"/>
      <c r="F1177" s="32"/>
      <c r="G1177" s="32">
        <f t="shared" si="322"/>
        <v>0</v>
      </c>
      <c r="H1177" s="12"/>
      <c r="I1177" s="12"/>
      <c r="J1177" s="12"/>
      <c r="K1177" s="12">
        <f t="shared" si="323"/>
        <v>0</v>
      </c>
      <c r="M1177" s="10">
        <v>11</v>
      </c>
      <c r="N1177" s="30" t="s">
        <v>99</v>
      </c>
      <c r="O1177" s="31">
        <f t="shared" si="329"/>
        <v>9320</v>
      </c>
      <c r="P1177" s="32">
        <f>650*175+622*15+1102+872*2+229*5+650*10</f>
        <v>133571</v>
      </c>
      <c r="Q1177" s="32">
        <f>-192*6</f>
        <v>-1152</v>
      </c>
      <c r="R1177" s="32"/>
      <c r="S1177" s="32">
        <f t="shared" si="324"/>
        <v>132419</v>
      </c>
      <c r="T1177" s="12"/>
      <c r="U1177" s="12">
        <v>156</v>
      </c>
      <c r="V1177" s="12">
        <f>-111*20</f>
        <v>-2220</v>
      </c>
      <c r="W1177" s="12">
        <f t="shared" si="325"/>
        <v>130355</v>
      </c>
      <c r="Y1177" s="10">
        <v>11</v>
      </c>
      <c r="Z1177" s="30"/>
      <c r="AA1177" s="31"/>
      <c r="AB1177" s="32"/>
      <c r="AC1177" s="32"/>
      <c r="AD1177" s="32"/>
      <c r="AE1177" s="32">
        <f t="shared" si="332"/>
        <v>0</v>
      </c>
      <c r="AF1177" s="12"/>
      <c r="AG1177" s="12"/>
      <c r="AH1177" s="12"/>
      <c r="AI1177" s="12">
        <f t="shared" si="331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82"/>
      <c r="D1178" s="32"/>
      <c r="E1178" s="32"/>
      <c r="F1178" s="32"/>
      <c r="G1178" s="32">
        <f t="shared" si="322"/>
        <v>0</v>
      </c>
      <c r="H1178" s="12"/>
      <c r="I1178" s="12"/>
      <c r="J1178" s="10"/>
      <c r="K1178" s="12">
        <f t="shared" si="323"/>
        <v>0</v>
      </c>
      <c r="M1178" s="10">
        <v>12</v>
      </c>
      <c r="N1178" s="30" t="s">
        <v>99</v>
      </c>
      <c r="O1178" s="31">
        <f t="shared" si="329"/>
        <v>9321</v>
      </c>
      <c r="P1178" s="32">
        <f>650*2</f>
        <v>1300</v>
      </c>
      <c r="Q1178" s="32"/>
      <c r="R1178" s="32"/>
      <c r="S1178" s="32">
        <f t="shared" si="324"/>
        <v>1300</v>
      </c>
      <c r="T1178" s="12"/>
      <c r="U1178" s="12"/>
      <c r="V1178" s="12">
        <v>-222</v>
      </c>
      <c r="W1178" s="12">
        <f t="shared" si="325"/>
        <v>1078</v>
      </c>
      <c r="Y1178" s="10">
        <v>12</v>
      </c>
      <c r="Z1178" s="30"/>
      <c r="AA1178" s="31"/>
      <c r="AB1178" s="32"/>
      <c r="AC1178" s="32"/>
      <c r="AD1178" s="32"/>
      <c r="AE1178" s="32">
        <f t="shared" si="332"/>
        <v>0</v>
      </c>
      <c r="AF1178" s="12"/>
      <c r="AG1178" s="12"/>
      <c r="AH1178" s="12"/>
      <c r="AI1178" s="12">
        <f t="shared" si="331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22"/>
        <v>0</v>
      </c>
      <c r="H1179" s="12"/>
      <c r="I1179" s="12"/>
      <c r="J1179" s="12"/>
      <c r="K1179" s="12">
        <f t="shared" si="323"/>
        <v>0</v>
      </c>
      <c r="M1179" s="10">
        <v>13</v>
      </c>
      <c r="N1179" s="30"/>
      <c r="O1179" s="11" t="s">
        <v>27</v>
      </c>
      <c r="P1179" s="32"/>
      <c r="Q1179" s="32"/>
      <c r="R1179" s="32"/>
      <c r="S1179" s="32">
        <f t="shared" si="324"/>
        <v>0</v>
      </c>
      <c r="T1179" s="12"/>
      <c r="U1179" s="12"/>
      <c r="V1179" s="12"/>
      <c r="W1179" s="12">
        <f t="shared" si="325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32"/>
        <v>0</v>
      </c>
      <c r="AF1179" s="12"/>
      <c r="AG1179" s="12"/>
      <c r="AH1179" s="12"/>
      <c r="AI1179" s="12">
        <f t="shared" si="331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22"/>
        <v>0</v>
      </c>
      <c r="H1180" s="12"/>
      <c r="I1180" s="12"/>
      <c r="J1180" s="12"/>
      <c r="K1180" s="12">
        <f t="shared" si="323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24"/>
        <v>0</v>
      </c>
      <c r="T1180" s="12"/>
      <c r="U1180" s="12"/>
      <c r="V1180" s="12"/>
      <c r="W1180" s="12">
        <f t="shared" si="325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32"/>
        <v>0</v>
      </c>
      <c r="AF1180" s="12"/>
      <c r="AG1180" s="12"/>
      <c r="AH1180" s="12"/>
      <c r="AI1180" s="12">
        <f t="shared" si="331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22"/>
        <v>0</v>
      </c>
      <c r="H1181" s="12"/>
      <c r="I1181" s="12"/>
      <c r="J1181" s="12"/>
      <c r="K1181" s="12">
        <f t="shared" si="323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324"/>
        <v>0</v>
      </c>
      <c r="T1181" s="12"/>
      <c r="U1181" s="12"/>
      <c r="V1181" s="12"/>
      <c r="W1181" s="12">
        <f t="shared" si="325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32"/>
        <v>0</v>
      </c>
      <c r="AF1181" s="12"/>
      <c r="AG1181" s="12"/>
      <c r="AH1181" s="12"/>
      <c r="AI1181" s="12">
        <f t="shared" si="331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82"/>
      <c r="D1182" s="32"/>
      <c r="E1182" s="32"/>
      <c r="F1182" s="32"/>
      <c r="G1182" s="32">
        <f t="shared" si="322"/>
        <v>0</v>
      </c>
      <c r="H1182" s="12"/>
      <c r="I1182" s="12"/>
      <c r="J1182" s="12"/>
      <c r="K1182" s="12">
        <f t="shared" si="323"/>
        <v>0</v>
      </c>
      <c r="M1182" s="10">
        <v>16</v>
      </c>
      <c r="N1182" s="30"/>
      <c r="O1182" s="31"/>
      <c r="P1182" s="32"/>
      <c r="Q1182" s="32"/>
      <c r="R1182" s="32"/>
      <c r="S1182" s="32">
        <f t="shared" si="324"/>
        <v>0</v>
      </c>
      <c r="T1182" s="12"/>
      <c r="U1182" s="12"/>
      <c r="V1182" s="12"/>
      <c r="W1182" s="12">
        <f t="shared" si="325"/>
        <v>0</v>
      </c>
      <c r="Y1182" s="10">
        <v>16</v>
      </c>
      <c r="Z1182" s="30"/>
      <c r="AB1182" s="32"/>
      <c r="AC1182" s="32"/>
      <c r="AD1182" s="32"/>
      <c r="AE1182" s="32">
        <f t="shared" si="332"/>
        <v>0</v>
      </c>
      <c r="AF1182" s="12"/>
      <c r="AG1182" s="12"/>
      <c r="AH1182" s="12"/>
      <c r="AI1182" s="12">
        <f t="shared" si="331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22"/>
        <v>0</v>
      </c>
      <c r="H1183" s="12"/>
      <c r="I1183" s="12"/>
      <c r="J1183" s="12"/>
      <c r="K1183" s="12">
        <f t="shared" si="323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24"/>
        <v>0</v>
      </c>
      <c r="T1183" s="12"/>
      <c r="U1183" s="12"/>
      <c r="V1183" s="12"/>
      <c r="W1183" s="12">
        <f t="shared" si="325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2"/>
        <v>0</v>
      </c>
      <c r="AF1183" s="12"/>
      <c r="AG1183" s="12"/>
      <c r="AH1183" s="12"/>
      <c r="AI1183" s="12">
        <f t="shared" si="331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22"/>
        <v>0</v>
      </c>
      <c r="H1184" s="12"/>
      <c r="I1184" s="12"/>
      <c r="J1184" s="12"/>
      <c r="K1184" s="12">
        <f t="shared" si="323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24"/>
        <v>0</v>
      </c>
      <c r="T1184" s="12"/>
      <c r="U1184" s="12"/>
      <c r="V1184" s="12"/>
      <c r="W1184" s="12">
        <f t="shared" si="325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2"/>
        <v>0</v>
      </c>
      <c r="AF1184" s="12"/>
      <c r="AG1184" s="12"/>
      <c r="AH1184" s="12"/>
      <c r="AI1184" s="12">
        <f t="shared" si="331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22"/>
        <v>0</v>
      </c>
      <c r="H1185" s="12"/>
      <c r="I1185" s="12"/>
      <c r="J1185" s="12"/>
      <c r="K1185" s="12">
        <f t="shared" si="323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24"/>
        <v>0</v>
      </c>
      <c r="T1185" s="12"/>
      <c r="U1185" s="12"/>
      <c r="V1185" s="12"/>
      <c r="W1185" s="12">
        <f t="shared" si="325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2"/>
        <v>0</v>
      </c>
      <c r="AF1185" s="12"/>
      <c r="AG1185" s="12"/>
      <c r="AH1185" s="12"/>
      <c r="AI1185" s="12">
        <f t="shared" si="331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22"/>
        <v>0</v>
      </c>
      <c r="H1186" s="12"/>
      <c r="I1186" s="12"/>
      <c r="J1186" s="12"/>
      <c r="K1186" s="12">
        <f t="shared" si="323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24"/>
        <v>0</v>
      </c>
      <c r="T1186" s="12"/>
      <c r="U1186" s="12"/>
      <c r="V1186" s="12"/>
      <c r="W1186" s="12">
        <f t="shared" si="325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2"/>
        <v>0</v>
      </c>
      <c r="AF1186" s="12"/>
      <c r="AG1186" s="12"/>
      <c r="AH1186" s="12"/>
      <c r="AI1186" s="12">
        <f t="shared" si="331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22"/>
        <v>0</v>
      </c>
      <c r="H1187" s="10"/>
      <c r="I1187" s="10"/>
      <c r="J1187" s="10"/>
      <c r="K1187" s="12">
        <f t="shared" si="323"/>
        <v>0</v>
      </c>
      <c r="M1187" s="10">
        <v>21</v>
      </c>
      <c r="N1187" s="30"/>
      <c r="O1187" s="31"/>
      <c r="P1187" s="91"/>
      <c r="Q1187" s="31"/>
      <c r="R1187" s="31"/>
      <c r="S1187" s="32">
        <f t="shared" si="324"/>
        <v>0</v>
      </c>
      <c r="T1187" s="10"/>
      <c r="U1187" s="10"/>
      <c r="V1187" s="10"/>
      <c r="W1187" s="12">
        <f t="shared" si="325"/>
        <v>0</v>
      </c>
      <c r="Y1187" s="10">
        <v>21</v>
      </c>
      <c r="Z1187" s="30"/>
      <c r="AB1187" s="46"/>
      <c r="AC1187" s="31"/>
      <c r="AD1187" s="31"/>
      <c r="AE1187" s="32">
        <f t="shared" si="332"/>
        <v>0</v>
      </c>
      <c r="AF1187" s="10"/>
      <c r="AG1187" s="10"/>
      <c r="AH1187" s="10"/>
      <c r="AI1187" s="12">
        <f t="shared" si="331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2"/>
      <c r="D1188" s="32"/>
      <c r="E1188" s="32"/>
      <c r="F1188" s="32"/>
      <c r="G1188" s="32">
        <f t="shared" si="322"/>
        <v>0</v>
      </c>
      <c r="H1188" s="10"/>
      <c r="I1188" s="10"/>
      <c r="J1188" s="10"/>
      <c r="K1188" s="12">
        <f t="shared" si="323"/>
        <v>0</v>
      </c>
      <c r="M1188" s="10">
        <v>22</v>
      </c>
      <c r="N1188" s="30"/>
      <c r="P1188" s="91"/>
      <c r="Q1188" s="31"/>
      <c r="R1188" s="31"/>
      <c r="S1188" s="32">
        <f t="shared" si="324"/>
        <v>0</v>
      </c>
      <c r="T1188" s="10"/>
      <c r="U1188" s="10"/>
      <c r="V1188" s="10"/>
      <c r="W1188" s="12">
        <f t="shared" si="325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2"/>
        <v>0</v>
      </c>
      <c r="AF1188" s="10"/>
      <c r="AG1188" s="10"/>
      <c r="AH1188" s="10"/>
      <c r="AI1188" s="12">
        <f t="shared" si="331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22"/>
        <v>0</v>
      </c>
      <c r="H1189" s="10"/>
      <c r="I1189" s="10"/>
      <c r="J1189" s="12"/>
      <c r="K1189" s="12">
        <f t="shared" si="323"/>
        <v>0</v>
      </c>
      <c r="M1189" s="10">
        <v>23</v>
      </c>
      <c r="N1189" s="30"/>
      <c r="O1189" s="31"/>
      <c r="P1189" s="47"/>
      <c r="Q1189" s="31"/>
      <c r="S1189" s="32">
        <f t="shared" si="324"/>
        <v>0</v>
      </c>
      <c r="T1189" s="10"/>
      <c r="U1189" s="10"/>
      <c r="V1189" s="10"/>
      <c r="W1189" s="12">
        <f t="shared" si="325"/>
        <v>0</v>
      </c>
      <c r="Y1189" s="10">
        <v>23</v>
      </c>
      <c r="Z1189" s="30"/>
      <c r="AA1189" s="31"/>
      <c r="AB1189" s="47"/>
      <c r="AC1189" s="31"/>
      <c r="AE1189" s="32">
        <f t="shared" si="332"/>
        <v>0</v>
      </c>
      <c r="AF1189" s="10"/>
      <c r="AG1189" s="10"/>
      <c r="AH1189" s="10"/>
      <c r="AI1189" s="12">
        <f t="shared" si="331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22"/>
        <v>0</v>
      </c>
      <c r="H1190" s="10"/>
      <c r="I1190" s="10"/>
      <c r="J1190" s="10"/>
      <c r="K1190" s="12">
        <f t="shared" si="323"/>
        <v>0</v>
      </c>
      <c r="M1190" s="10">
        <v>24</v>
      </c>
      <c r="N1190" s="30"/>
      <c r="P1190" s="47"/>
      <c r="Q1190" s="31"/>
      <c r="R1190" s="31"/>
      <c r="S1190" s="32">
        <f t="shared" si="324"/>
        <v>0</v>
      </c>
      <c r="T1190" s="10"/>
      <c r="U1190" s="10"/>
      <c r="V1190" s="10"/>
      <c r="W1190" s="12">
        <f t="shared" si="325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2"/>
        <v>0</v>
      </c>
      <c r="AF1190" s="10"/>
      <c r="AG1190" s="10"/>
      <c r="AH1190" s="10"/>
      <c r="AI1190" s="12">
        <f t="shared" si="331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22"/>
        <v>0</v>
      </c>
      <c r="H1191" s="10"/>
      <c r="I1191" s="10"/>
      <c r="J1191" s="10"/>
      <c r="K1191" s="12">
        <f t="shared" si="323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24"/>
        <v>0</v>
      </c>
      <c r="T1191" s="10"/>
      <c r="U1191" s="10"/>
      <c r="V1191" s="10"/>
      <c r="W1191" s="12">
        <f t="shared" si="325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2"/>
        <v>0</v>
      </c>
      <c r="AF1191" s="10"/>
      <c r="AG1191" s="10"/>
      <c r="AH1191" s="10"/>
      <c r="AI1191" s="12">
        <f t="shared" si="331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57"/>
      <c r="D1192" s="32"/>
      <c r="E1192" s="32"/>
      <c r="F1192" s="32"/>
      <c r="G1192" s="32">
        <f t="shared" si="322"/>
        <v>0</v>
      </c>
      <c r="H1192" s="10"/>
      <c r="I1192" s="10"/>
      <c r="J1192" s="10"/>
      <c r="K1192" s="12">
        <f t="shared" si="323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24"/>
        <v>0</v>
      </c>
      <c r="T1192" s="10"/>
      <c r="U1192" s="10"/>
      <c r="V1192" s="10"/>
      <c r="W1192" s="12">
        <f t="shared" si="325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2"/>
        <v>0</v>
      </c>
      <c r="AF1192" s="10"/>
      <c r="AG1192" s="10"/>
      <c r="AH1192" s="10"/>
      <c r="AI1192" s="12">
        <f t="shared" si="331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22"/>
        <v>0</v>
      </c>
      <c r="H1193" s="10"/>
      <c r="I1193" s="10"/>
      <c r="J1193" s="10"/>
      <c r="K1193" s="12">
        <f t="shared" si="323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24"/>
        <v>0</v>
      </c>
      <c r="T1193" s="10"/>
      <c r="U1193" s="10"/>
      <c r="V1193" s="10"/>
      <c r="W1193" s="12">
        <f t="shared" si="325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2"/>
        <v>0</v>
      </c>
      <c r="AF1193" s="10"/>
      <c r="AG1193" s="10"/>
      <c r="AH1193" s="10"/>
      <c r="AI1193" s="12">
        <f t="shared" si="331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22"/>
        <v>0</v>
      </c>
      <c r="H1194" s="10"/>
      <c r="I1194" s="10"/>
      <c r="J1194" s="10"/>
      <c r="K1194" s="12">
        <f t="shared" si="323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24"/>
        <v>0</v>
      </c>
      <c r="T1194" s="10"/>
      <c r="U1194" s="10"/>
      <c r="V1194" s="10"/>
      <c r="W1194" s="12">
        <f t="shared" si="325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2"/>
        <v>0</v>
      </c>
      <c r="AF1194" s="10"/>
      <c r="AG1194" s="10"/>
      <c r="AH1194" s="10"/>
      <c r="AI1194" s="12">
        <f t="shared" si="331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22"/>
        <v>0</v>
      </c>
      <c r="H1195" s="10"/>
      <c r="I1195" s="10"/>
      <c r="J1195" s="10"/>
      <c r="K1195" s="12">
        <f t="shared" si="323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24"/>
        <v>0</v>
      </c>
      <c r="T1195" s="10"/>
      <c r="U1195" s="10"/>
      <c r="V1195" s="10"/>
      <c r="W1195" s="12">
        <f t="shared" si="325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2"/>
        <v>0</v>
      </c>
      <c r="AF1195" s="10"/>
      <c r="AG1195" s="10"/>
      <c r="AH1195" s="10"/>
      <c r="AI1195" s="12">
        <f t="shared" si="331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22"/>
        <v>0</v>
      </c>
      <c r="H1196" s="10"/>
      <c r="I1196" s="10"/>
      <c r="J1196" s="10"/>
      <c r="K1196" s="12">
        <f t="shared" si="323"/>
        <v>0</v>
      </c>
      <c r="M1196" s="10">
        <v>30</v>
      </c>
      <c r="N1196" s="30"/>
      <c r="P1196" s="47"/>
      <c r="Q1196" s="31"/>
      <c r="R1196" s="31"/>
      <c r="S1196" s="32">
        <f t="shared" si="324"/>
        <v>0</v>
      </c>
      <c r="T1196" s="10"/>
      <c r="U1196" s="10"/>
      <c r="V1196" s="10"/>
      <c r="W1196" s="12">
        <f t="shared" si="325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2"/>
        <v>0</v>
      </c>
      <c r="AF1196" s="10"/>
      <c r="AG1196" s="10"/>
      <c r="AH1196" s="10"/>
      <c r="AI1196" s="12">
        <f t="shared" si="331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322"/>
        <v>0</v>
      </c>
      <c r="H1197" s="10"/>
      <c r="I1197" s="10"/>
      <c r="J1197" s="10"/>
      <c r="K1197" s="12">
        <f t="shared" si="323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24"/>
        <v>0</v>
      </c>
      <c r="T1197" s="10"/>
      <c r="U1197" s="10"/>
      <c r="V1197" s="10"/>
      <c r="W1197" s="12">
        <f t="shared" si="325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2"/>
        <v>0</v>
      </c>
      <c r="AF1197" s="10"/>
      <c r="AG1197" s="10"/>
      <c r="AH1197" s="10"/>
      <c r="AI1197" s="12">
        <f t="shared" si="331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22"/>
        <v>0</v>
      </c>
      <c r="H1198" s="10"/>
      <c r="I1198" s="10"/>
      <c r="J1198" s="10"/>
      <c r="K1198" s="12">
        <f t="shared" si="323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24"/>
        <v>0</v>
      </c>
      <c r="T1198" s="10"/>
      <c r="U1198" s="10"/>
      <c r="V1198" s="10"/>
      <c r="W1198" s="12">
        <f t="shared" si="325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2"/>
        <v>0</v>
      </c>
      <c r="AF1198" s="10"/>
      <c r="AG1198" s="10"/>
      <c r="AH1198" s="10"/>
      <c r="AI1198" s="12">
        <f t="shared" si="331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22"/>
        <v>0</v>
      </c>
      <c r="H1199" s="10"/>
      <c r="I1199" s="10"/>
      <c r="J1199" s="10"/>
      <c r="K1199" s="12">
        <f t="shared" si="323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24"/>
        <v>0</v>
      </c>
      <c r="T1199" s="10"/>
      <c r="U1199" s="10"/>
      <c r="V1199" s="10"/>
      <c r="W1199" s="12">
        <f t="shared" si="325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2"/>
        <v>0</v>
      </c>
      <c r="AF1199" s="10"/>
      <c r="AG1199" s="10"/>
      <c r="AH1199" s="10"/>
      <c r="AI1199" s="12">
        <f t="shared" si="331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22"/>
        <v>0</v>
      </c>
      <c r="H1200" s="10"/>
      <c r="I1200" s="10"/>
      <c r="J1200" s="10"/>
      <c r="K1200" s="12">
        <f t="shared" si="323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24"/>
        <v>0</v>
      </c>
      <c r="T1200" s="10"/>
      <c r="U1200" s="10"/>
      <c r="V1200" s="10"/>
      <c r="W1200" s="12">
        <f t="shared" si="325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32"/>
        <v>0</v>
      </c>
      <c r="AF1200" s="10"/>
      <c r="AG1200" s="10"/>
      <c r="AH1200" s="10"/>
      <c r="AI1200" s="12">
        <f t="shared" si="331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24"/>
        <v>0</v>
      </c>
      <c r="T1201" s="10"/>
      <c r="U1201" s="10"/>
      <c r="V1201" s="10"/>
      <c r="W1201" s="12">
        <f t="shared" si="325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32"/>
        <v>0</v>
      </c>
      <c r="AF1201" s="10"/>
      <c r="AG1201" s="10"/>
      <c r="AH1201" s="10"/>
      <c r="AI1201" s="12">
        <f t="shared" si="33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24"/>
        <v>0</v>
      </c>
      <c r="T1202" s="10"/>
      <c r="U1202" s="10"/>
      <c r="V1202" s="10"/>
      <c r="W1202" s="12">
        <f t="shared" si="325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32"/>
        <v>0</v>
      </c>
      <c r="AF1202" s="10"/>
      <c r="AG1202" s="10"/>
      <c r="AH1202" s="10"/>
      <c r="AI1202" s="12">
        <f t="shared" si="33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24"/>
        <v>0</v>
      </c>
      <c r="T1203" s="10"/>
      <c r="U1203" s="10"/>
      <c r="V1203" s="10"/>
      <c r="W1203" s="12">
        <f t="shared" si="325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32"/>
        <v>0</v>
      </c>
      <c r="AF1203" s="10"/>
      <c r="AG1203" s="10"/>
      <c r="AH1203" s="10"/>
      <c r="AI1203" s="12">
        <f t="shared" si="33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24"/>
        <v>0</v>
      </c>
      <c r="T1204" s="10"/>
      <c r="U1204" s="10"/>
      <c r="V1204" s="10"/>
      <c r="W1204" s="12">
        <f t="shared" si="325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32"/>
        <v>0</v>
      </c>
      <c r="AF1204" s="10"/>
      <c r="AG1204" s="10"/>
      <c r="AH1204" s="10"/>
      <c r="AI1204" s="12">
        <f t="shared" si="33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24"/>
        <v>0</v>
      </c>
      <c r="T1205" s="10"/>
      <c r="U1205" s="10"/>
      <c r="V1205" s="10"/>
      <c r="W1205" s="12">
        <f t="shared" si="325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32"/>
        <v>0</v>
      </c>
      <c r="AF1205" s="10"/>
      <c r="AG1205" s="10"/>
      <c r="AH1205" s="10"/>
      <c r="AI1205" s="12">
        <f t="shared" si="33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25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33">SUM(D1207:E1207)</f>
        <v>0</v>
      </c>
      <c r="H1207" s="10"/>
      <c r="I1207" s="10"/>
      <c r="J1207" s="10"/>
      <c r="K1207" s="12">
        <f t="shared" ref="K1207" si="334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35">SUM(P1207:Q1207)</f>
        <v>0</v>
      </c>
      <c r="T1207" s="10"/>
      <c r="U1207" s="10"/>
      <c r="V1207" s="10"/>
      <c r="W1207" s="12">
        <f t="shared" si="325"/>
        <v>0</v>
      </c>
      <c r="Y1207" s="10"/>
      <c r="Z1207" s="30"/>
      <c r="AA1207" s="31"/>
      <c r="AB1207" s="47"/>
      <c r="AC1207" s="31"/>
      <c r="AD1207" s="31"/>
      <c r="AE1207" s="32">
        <f t="shared" ref="AE1207" si="336">SUM(AB1207:AC1207)</f>
        <v>0</v>
      </c>
      <c r="AF1207" s="10"/>
      <c r="AG1207" s="10"/>
      <c r="AH1207" s="10"/>
      <c r="AI1207" s="12">
        <f t="shared" si="33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25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214779</v>
      </c>
      <c r="E1210" s="38">
        <f t="shared" ref="E1210:F1210" si="337">SUM(E1167:E1207)</f>
        <v>-1812</v>
      </c>
      <c r="F1210" s="38">
        <f t="shared" si="337"/>
        <v>0</v>
      </c>
      <c r="G1210" s="38">
        <f>SUM(G1167:G1209)</f>
        <v>212967</v>
      </c>
      <c r="H1210" s="4"/>
      <c r="I1210" s="39">
        <f>SUM(I1167:I1209)</f>
        <v>252</v>
      </c>
      <c r="J1210" s="39">
        <f>SUM(J1167:J1209)</f>
        <v>-14652</v>
      </c>
      <c r="K1210" s="40">
        <f>SUM(K1167:K1209)</f>
        <v>198567</v>
      </c>
      <c r="N1210" s="57"/>
      <c r="O1210" s="57"/>
      <c r="P1210" s="38">
        <f>SUM(P1167:P1209)</f>
        <v>205178.5</v>
      </c>
      <c r="Q1210" s="38">
        <f>SUM(Q1167:Q1191)</f>
        <v>-1152</v>
      </c>
      <c r="R1210" s="38">
        <f>SUM(R1167:R1191)</f>
        <v>0</v>
      </c>
      <c r="S1210" s="38">
        <f>SUM(S1167:S1209)</f>
        <v>204026.5</v>
      </c>
      <c r="T1210" s="4"/>
      <c r="U1210" s="41">
        <f>SUM(U1167:U1209)</f>
        <v>6174</v>
      </c>
      <c r="V1210" s="41">
        <f>SUM(V1167:V1191)</f>
        <v>-3441</v>
      </c>
      <c r="W1210" s="42">
        <f>SUM(W1167:W1209)</f>
        <v>206759.5</v>
      </c>
      <c r="Z1210" s="57"/>
      <c r="AA1210" s="57"/>
      <c r="AB1210" s="38">
        <f>SUM(AB1167:AB1209)</f>
        <v>204581</v>
      </c>
      <c r="AC1210" s="38">
        <f>SUM(AC1167:AC1191)</f>
        <v>-1626</v>
      </c>
      <c r="AD1210" s="38">
        <f>SUM(AD1167:AD1191)</f>
        <v>0</v>
      </c>
      <c r="AE1210" s="38">
        <f>SUM(AE1167:AE1209)</f>
        <v>202955</v>
      </c>
      <c r="AF1210" s="4"/>
      <c r="AG1210" s="41">
        <f>SUM(AG1167:AG1209)</f>
        <v>654</v>
      </c>
      <c r="AH1210" s="41">
        <f>SUM(AH1167:AH1191)</f>
        <v>-12927</v>
      </c>
      <c r="AI1210" s="42">
        <f>SUM(AI1167:AI1209)</f>
        <v>190682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50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50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50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101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101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33</v>
      </c>
      <c r="W1218" s="24"/>
      <c r="Y1218" s="21" t="s">
        <v>101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35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3" t="s">
        <v>17</v>
      </c>
      <c r="E1220" s="123"/>
      <c r="F1220" s="112"/>
      <c r="G1220" s="27"/>
      <c r="I1220" s="121" t="s">
        <v>18</v>
      </c>
      <c r="J1220" s="122"/>
      <c r="K1220" s="119" t="s">
        <v>19</v>
      </c>
      <c r="N1220" s="25"/>
      <c r="O1220" s="26"/>
      <c r="P1220" s="123" t="s">
        <v>17</v>
      </c>
      <c r="Q1220" s="123"/>
      <c r="R1220" s="112"/>
      <c r="S1220" s="27"/>
      <c r="U1220" s="121" t="s">
        <v>18</v>
      </c>
      <c r="V1220" s="122"/>
      <c r="W1220" s="119" t="s">
        <v>19</v>
      </c>
      <c r="Z1220" s="25"/>
      <c r="AA1220" s="26"/>
      <c r="AB1220" s="123" t="s">
        <v>17</v>
      </c>
      <c r="AC1220" s="123"/>
      <c r="AD1220" s="112"/>
      <c r="AE1220" s="27"/>
      <c r="AG1220" s="121" t="s">
        <v>18</v>
      </c>
      <c r="AH1220" s="122"/>
      <c r="AI1220" s="119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32</v>
      </c>
      <c r="G1221" s="78" t="s">
        <v>24</v>
      </c>
      <c r="I1221" s="29" t="s">
        <v>25</v>
      </c>
      <c r="J1221" s="29" t="s">
        <v>26</v>
      </c>
      <c r="K1221" s="120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32</v>
      </c>
      <c r="S1221" s="78" t="s">
        <v>24</v>
      </c>
      <c r="U1221" s="29" t="s">
        <v>25</v>
      </c>
      <c r="V1221" s="29" t="s">
        <v>26</v>
      </c>
      <c r="W1221" s="120"/>
      <c r="Z1221" s="28" t="s">
        <v>20</v>
      </c>
      <c r="AA1221" s="28" t="s">
        <v>21</v>
      </c>
      <c r="AB1221" s="77" t="s">
        <v>22</v>
      </c>
      <c r="AC1221" s="78" t="s">
        <v>23</v>
      </c>
      <c r="AD1221" s="78" t="s">
        <v>32</v>
      </c>
      <c r="AE1221" s="78" t="s">
        <v>24</v>
      </c>
      <c r="AG1221" s="29" t="s">
        <v>25</v>
      </c>
      <c r="AH1221" s="29" t="s">
        <v>26</v>
      </c>
      <c r="AI1221" s="120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102</v>
      </c>
      <c r="C1222" s="82">
        <v>9135</v>
      </c>
      <c r="D1222" s="32">
        <f>650*60+670*3+622*7</f>
        <v>45364</v>
      </c>
      <c r="E1222" s="32"/>
      <c r="F1222" s="32"/>
      <c r="G1222" s="32">
        <f t="shared" ref="G1222:G1255" si="338">SUM(D1222:E1222)</f>
        <v>45364</v>
      </c>
      <c r="H1222" s="12"/>
      <c r="I1222" s="12">
        <v>270</v>
      </c>
      <c r="J1222" s="12"/>
      <c r="K1222" s="12">
        <f t="shared" ref="K1222:K1255" si="339">SUM(G1222:J1222)</f>
        <v>45634</v>
      </c>
      <c r="M1222" s="10">
        <v>1</v>
      </c>
      <c r="N1222" s="30" t="s">
        <v>102</v>
      </c>
      <c r="O1222" s="31">
        <v>9322</v>
      </c>
      <c r="P1222" s="32">
        <f>650*3+670+9.5*3</f>
        <v>2648.5</v>
      </c>
      <c r="Q1222" s="32"/>
      <c r="R1222" s="32"/>
      <c r="S1222" s="32">
        <f>SUM(P1222:Q1222)</f>
        <v>2648.5</v>
      </c>
      <c r="T1222" s="12"/>
      <c r="U1222" s="12"/>
      <c r="V1222" s="12"/>
      <c r="W1222" s="12">
        <f>SUM(S1222:V1222)</f>
        <v>2648.5</v>
      </c>
      <c r="Y1222" s="10">
        <v>1</v>
      </c>
      <c r="Z1222" s="30" t="s">
        <v>102</v>
      </c>
      <c r="AA1222" s="31">
        <v>9362</v>
      </c>
      <c r="AB1222" s="32">
        <f>650*171+622*30+229*5</f>
        <v>130955</v>
      </c>
      <c r="AC1222" s="32">
        <f>-201*6</f>
        <v>-1206</v>
      </c>
      <c r="AD1222" s="32"/>
      <c r="AE1222" s="32">
        <f>SUM(AB1222:AC1222)</f>
        <v>129749</v>
      </c>
      <c r="AF1222" s="12"/>
      <c r="AG1222" s="12">
        <f>78+126</f>
        <v>204</v>
      </c>
      <c r="AH1222" s="12"/>
      <c r="AI1222" s="12">
        <f>SUM(AE1222:AH1222)</f>
        <v>129953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102</v>
      </c>
      <c r="C1223" s="82">
        <f>C1222+1</f>
        <v>9136</v>
      </c>
      <c r="D1223" s="32">
        <f>650*324+229*13</f>
        <v>213577</v>
      </c>
      <c r="E1223" s="32">
        <f>-324*6</f>
        <v>-1944</v>
      </c>
      <c r="F1223" s="32"/>
      <c r="G1223" s="32">
        <f t="shared" si="338"/>
        <v>211633</v>
      </c>
      <c r="H1223" s="12"/>
      <c r="I1223" s="12">
        <f>111*95+78*11</f>
        <v>11403</v>
      </c>
      <c r="J1223" s="12">
        <f>-600+-168+-294+-34.5</f>
        <v>-1096.5</v>
      </c>
      <c r="K1223" s="12">
        <f t="shared" si="339"/>
        <v>221939.5</v>
      </c>
      <c r="M1223" s="10">
        <v>2</v>
      </c>
      <c r="N1223" s="30" t="s">
        <v>102</v>
      </c>
      <c r="O1223" s="31">
        <f>O1222+1</f>
        <v>9323</v>
      </c>
      <c r="P1223" s="32">
        <f>650*15+622*2</f>
        <v>10994</v>
      </c>
      <c r="Q1223" s="32"/>
      <c r="R1223" s="32"/>
      <c r="S1223" s="32">
        <f t="shared" ref="S1223:S1260" si="340">SUM(P1223:Q1223)</f>
        <v>10994</v>
      </c>
      <c r="T1223" s="12"/>
      <c r="U1223" s="12"/>
      <c r="V1223" s="12"/>
      <c r="W1223" s="12">
        <f t="shared" ref="W1223:W1263" si="341">SUM(S1223:V1223)</f>
        <v>10994</v>
      </c>
      <c r="Y1223" s="10">
        <v>2</v>
      </c>
      <c r="Z1223" s="30" t="s">
        <v>102</v>
      </c>
      <c r="AA1223" s="31">
        <f>AA1222+1</f>
        <v>9363</v>
      </c>
      <c r="AB1223" s="32">
        <f>1050*2+872*3+650*5</f>
        <v>7966</v>
      </c>
      <c r="AD1223" s="32"/>
      <c r="AE1223" s="32">
        <f t="shared" ref="AE1223:AE1224" si="342">SUM(AB1223:AC1223)</f>
        <v>7966</v>
      </c>
      <c r="AF1223" s="12"/>
      <c r="AG1223" s="12">
        <v>72</v>
      </c>
      <c r="AH1223">
        <v>-1776</v>
      </c>
      <c r="AI1223" s="12">
        <f t="shared" ref="AI1223:AI1224" si="343">SUM(AE1223:AH1223)</f>
        <v>6262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102</v>
      </c>
      <c r="C1224" s="82">
        <f t="shared" ref="C1224" si="344">C1223+1</f>
        <v>9137</v>
      </c>
      <c r="D1224" s="33">
        <f>650*20+670*2</f>
        <v>14340</v>
      </c>
      <c r="E1224" s="33"/>
      <c r="F1224" s="33"/>
      <c r="G1224" s="33">
        <f t="shared" si="338"/>
        <v>14340</v>
      </c>
      <c r="H1224" s="34"/>
      <c r="I1224" s="34"/>
      <c r="J1224" s="34"/>
      <c r="K1224" s="34">
        <f t="shared" si="339"/>
        <v>14340</v>
      </c>
      <c r="M1224" s="10">
        <v>3</v>
      </c>
      <c r="N1224" s="30" t="s">
        <v>102</v>
      </c>
      <c r="O1224" s="31">
        <f t="shared" ref="O1224:O1239" si="345">O1223+1</f>
        <v>9324</v>
      </c>
      <c r="P1224" s="32">
        <f>650*2+9.5*2</f>
        <v>1319</v>
      </c>
      <c r="Q1224" s="32"/>
      <c r="R1224" s="32"/>
      <c r="S1224" s="32">
        <f t="shared" si="340"/>
        <v>1319</v>
      </c>
      <c r="T1224" s="12"/>
      <c r="U1224" s="12"/>
      <c r="V1224" s="12"/>
      <c r="W1224" s="12">
        <f t="shared" si="341"/>
        <v>1319</v>
      </c>
      <c r="Y1224" s="10">
        <v>3</v>
      </c>
      <c r="Z1224" s="30" t="s">
        <v>102</v>
      </c>
      <c r="AA1224" s="31">
        <f t="shared" ref="AA1224:AA1230" si="346">AA1223+1</f>
        <v>9364</v>
      </c>
      <c r="AB1224" s="32">
        <f>650*50+229*2</f>
        <v>32958</v>
      </c>
      <c r="AC1224" s="33">
        <f>-50*6</f>
        <v>-300</v>
      </c>
      <c r="AD1224" s="32"/>
      <c r="AE1224" s="32">
        <f t="shared" si="342"/>
        <v>32658</v>
      </c>
      <c r="AF1224" s="12"/>
      <c r="AG1224" s="12"/>
      <c r="AH1224" s="12"/>
      <c r="AI1224" s="12">
        <f t="shared" si="343"/>
        <v>32658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/>
      <c r="C1225" s="11" t="s">
        <v>27</v>
      </c>
      <c r="D1225" s="32"/>
      <c r="E1225" s="32"/>
      <c r="F1225" s="32"/>
      <c r="G1225" s="32">
        <f t="shared" si="338"/>
        <v>0</v>
      </c>
      <c r="H1225" s="12"/>
      <c r="I1225" s="12"/>
      <c r="J1225" s="12"/>
      <c r="K1225" s="12">
        <f t="shared" si="339"/>
        <v>0</v>
      </c>
      <c r="M1225" s="10">
        <v>4</v>
      </c>
      <c r="N1225" s="30" t="s">
        <v>102</v>
      </c>
      <c r="O1225" s="31">
        <f t="shared" si="345"/>
        <v>9325</v>
      </c>
      <c r="P1225" s="32">
        <f>650*4+9.5*4</f>
        <v>2638</v>
      </c>
      <c r="Q1225" s="32"/>
      <c r="R1225" s="32"/>
      <c r="S1225" s="32">
        <f t="shared" si="340"/>
        <v>2638</v>
      </c>
      <c r="T1225" s="12"/>
      <c r="U1225" s="12"/>
      <c r="V1225" s="12"/>
      <c r="W1225" s="12">
        <f t="shared" si="341"/>
        <v>2638</v>
      </c>
      <c r="Y1225" s="10">
        <v>4</v>
      </c>
      <c r="Z1225" s="30" t="s">
        <v>102</v>
      </c>
      <c r="AA1225" s="31">
        <f t="shared" si="346"/>
        <v>9365</v>
      </c>
      <c r="AB1225" s="32">
        <f>650*20</f>
        <v>13000</v>
      </c>
      <c r="AC1225" s="32"/>
      <c r="AD1225" s="32"/>
      <c r="AE1225" s="32">
        <f>SUM(AB1225:AC1225)</f>
        <v>13000</v>
      </c>
      <c r="AF1225" s="12"/>
      <c r="AH1225" s="12"/>
      <c r="AI1225" s="12">
        <f>SUM(AE1225:AH1225)</f>
        <v>13000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/>
      <c r="C1226" s="82"/>
      <c r="D1226" s="32"/>
      <c r="E1226" s="32"/>
      <c r="F1226" s="32"/>
      <c r="G1226" s="32">
        <f t="shared" si="338"/>
        <v>0</v>
      </c>
      <c r="H1226" s="12"/>
      <c r="I1226" s="12"/>
      <c r="J1226" s="12"/>
      <c r="K1226" s="12">
        <f t="shared" si="339"/>
        <v>0</v>
      </c>
      <c r="M1226" s="10">
        <v>5</v>
      </c>
      <c r="N1226" s="30" t="s">
        <v>102</v>
      </c>
      <c r="O1226" s="31">
        <f t="shared" si="345"/>
        <v>9326</v>
      </c>
      <c r="P1226" s="32">
        <f>650*5+9.5*5</f>
        <v>3297.5</v>
      </c>
      <c r="Q1226" s="32"/>
      <c r="R1226" s="32"/>
      <c r="S1226" s="32">
        <f t="shared" si="340"/>
        <v>3297.5</v>
      </c>
      <c r="T1226" s="12"/>
      <c r="U1226" s="12"/>
      <c r="V1226" s="12">
        <v>-333</v>
      </c>
      <c r="W1226" s="12">
        <f t="shared" si="341"/>
        <v>2964.5</v>
      </c>
      <c r="Y1226" s="10">
        <v>5</v>
      </c>
      <c r="Z1226" s="30" t="s">
        <v>102</v>
      </c>
      <c r="AA1226" s="31">
        <f t="shared" si="346"/>
        <v>9366</v>
      </c>
      <c r="AB1226" s="33">
        <f>622*4</f>
        <v>2488</v>
      </c>
      <c r="AC1226" s="32"/>
      <c r="AD1226" s="32"/>
      <c r="AE1226" s="32">
        <f>SUM(AB1226:AC1226)</f>
        <v>2488</v>
      </c>
      <c r="AF1226" s="12"/>
      <c r="AG1226" s="12"/>
      <c r="AH1226" s="12"/>
      <c r="AI1226" s="12">
        <f t="shared" ref="AI1226:AI1263" si="347">SUM(AE1226:AH1226)</f>
        <v>2488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82"/>
      <c r="D1227" s="32"/>
      <c r="E1227" s="32"/>
      <c r="F1227" s="32"/>
      <c r="G1227" s="32">
        <f t="shared" si="338"/>
        <v>0</v>
      </c>
      <c r="H1227" s="12"/>
      <c r="I1227" s="12"/>
      <c r="J1227" s="12"/>
      <c r="K1227" s="12">
        <f t="shared" si="339"/>
        <v>0</v>
      </c>
      <c r="M1227" s="10">
        <v>6</v>
      </c>
      <c r="N1227" s="30" t="s">
        <v>102</v>
      </c>
      <c r="O1227" s="31">
        <f t="shared" si="345"/>
        <v>9327</v>
      </c>
      <c r="P1227" s="32">
        <f>650*25+622*5+229</f>
        <v>19589</v>
      </c>
      <c r="Q1227" s="32"/>
      <c r="R1227" s="32"/>
      <c r="S1227" s="32">
        <f t="shared" si="340"/>
        <v>19589</v>
      </c>
      <c r="T1227" s="12"/>
      <c r="U1227" s="12"/>
      <c r="V1227" s="10"/>
      <c r="W1227" s="12">
        <f t="shared" si="341"/>
        <v>19589</v>
      </c>
      <c r="Y1227" s="10">
        <v>6</v>
      </c>
      <c r="Z1227" s="30" t="s">
        <v>102</v>
      </c>
      <c r="AA1227" s="31">
        <f t="shared" si="346"/>
        <v>9367</v>
      </c>
      <c r="AB1227" s="32">
        <f>622*4</f>
        <v>2488</v>
      </c>
      <c r="AC1227" s="32"/>
      <c r="AD1227" s="32"/>
      <c r="AE1227" s="32">
        <f t="shared" ref="AE1227:AE1260" si="348">SUM(AB1227:AC1227)</f>
        <v>2488</v>
      </c>
      <c r="AF1227" s="12"/>
      <c r="AG1227" s="12"/>
      <c r="AH1227" s="10"/>
      <c r="AI1227" s="12">
        <f t="shared" si="347"/>
        <v>2488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2"/>
      <c r="D1228" s="32"/>
      <c r="E1228" s="32"/>
      <c r="F1228" s="32"/>
      <c r="G1228" s="32">
        <f t="shared" si="338"/>
        <v>0</v>
      </c>
      <c r="H1228" s="12"/>
      <c r="I1228" s="12"/>
      <c r="J1228" s="12"/>
      <c r="K1228" s="12">
        <f t="shared" si="339"/>
        <v>0</v>
      </c>
      <c r="M1228" s="10">
        <v>7</v>
      </c>
      <c r="N1228" s="30" t="s">
        <v>102</v>
      </c>
      <c r="O1228" s="31">
        <f t="shared" si="345"/>
        <v>9328</v>
      </c>
      <c r="P1228" s="32">
        <f>650*5+622*3</f>
        <v>5116</v>
      </c>
      <c r="Q1228" s="32"/>
      <c r="R1228" s="32"/>
      <c r="S1228" s="32">
        <f t="shared" si="340"/>
        <v>5116</v>
      </c>
      <c r="T1228" s="12"/>
      <c r="U1228" s="12"/>
      <c r="V1228" s="12"/>
      <c r="W1228" s="12">
        <f t="shared" si="341"/>
        <v>5116</v>
      </c>
      <c r="Y1228" s="10">
        <v>7</v>
      </c>
      <c r="Z1228" s="30" t="s">
        <v>102</v>
      </c>
      <c r="AA1228" s="31">
        <f t="shared" si="346"/>
        <v>9368</v>
      </c>
      <c r="AB1228" s="32">
        <f>650*7+670</f>
        <v>5220</v>
      </c>
      <c r="AC1228" s="32"/>
      <c r="AD1228" s="32"/>
      <c r="AE1228" s="32">
        <f t="shared" si="348"/>
        <v>5220</v>
      </c>
      <c r="AF1228" s="12"/>
      <c r="AG1228" s="58"/>
      <c r="AH1228" s="12"/>
      <c r="AI1228" s="12">
        <f t="shared" si="347"/>
        <v>5220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C1229" s="82"/>
      <c r="D1229" s="32"/>
      <c r="E1229" s="32"/>
      <c r="F1229" s="32"/>
      <c r="G1229" s="32">
        <f t="shared" si="338"/>
        <v>0</v>
      </c>
      <c r="H1229" s="12"/>
      <c r="I1229" s="12"/>
      <c r="J1229" s="12"/>
      <c r="K1229" s="12">
        <f t="shared" si="339"/>
        <v>0</v>
      </c>
      <c r="M1229" s="10">
        <v>8</v>
      </c>
      <c r="N1229" s="30" t="s">
        <v>102</v>
      </c>
      <c r="O1229" s="31">
        <f t="shared" si="345"/>
        <v>9329</v>
      </c>
      <c r="P1229" s="32">
        <f>650*4+9.5*4</f>
        <v>2638</v>
      </c>
      <c r="Q1229" s="32"/>
      <c r="R1229" s="32"/>
      <c r="S1229" s="32">
        <f t="shared" si="340"/>
        <v>2638</v>
      </c>
      <c r="T1229" s="12"/>
      <c r="U1229" s="12"/>
      <c r="V1229" s="12"/>
      <c r="W1229" s="12">
        <f t="shared" si="341"/>
        <v>2638</v>
      </c>
      <c r="Y1229" s="10">
        <v>8</v>
      </c>
      <c r="Z1229" s="30" t="s">
        <v>102</v>
      </c>
      <c r="AA1229" s="31">
        <f t="shared" si="346"/>
        <v>9369</v>
      </c>
      <c r="AB1229" s="32">
        <f>650*8+229</f>
        <v>5429</v>
      </c>
      <c r="AC1229" s="32"/>
      <c r="AE1229" s="32">
        <f t="shared" si="348"/>
        <v>5429</v>
      </c>
      <c r="AF1229" s="12"/>
      <c r="AG1229" s="12"/>
      <c r="AH1229" s="12">
        <v>-444</v>
      </c>
      <c r="AI1229" s="12">
        <f t="shared" si="347"/>
        <v>4985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2"/>
      <c r="D1230" s="32"/>
      <c r="E1230" s="32"/>
      <c r="F1230" s="32"/>
      <c r="G1230" s="32">
        <f t="shared" si="338"/>
        <v>0</v>
      </c>
      <c r="H1230" s="12"/>
      <c r="I1230" s="12"/>
      <c r="J1230" s="12"/>
      <c r="K1230" s="12">
        <f t="shared" si="339"/>
        <v>0</v>
      </c>
      <c r="M1230" s="10">
        <v>9</v>
      </c>
      <c r="N1230" s="30" t="s">
        <v>102</v>
      </c>
      <c r="O1230" s="31">
        <f t="shared" si="345"/>
        <v>9330</v>
      </c>
      <c r="P1230" s="32">
        <f>650*7+9.5*7</f>
        <v>4616.5</v>
      </c>
      <c r="Q1230" s="32"/>
      <c r="R1230" s="32"/>
      <c r="S1230" s="32">
        <f t="shared" si="340"/>
        <v>4616.5</v>
      </c>
      <c r="T1230" s="12"/>
      <c r="U1230" s="12">
        <f>4.5*3</f>
        <v>13.5</v>
      </c>
      <c r="V1230" s="12"/>
      <c r="W1230" s="12">
        <f t="shared" si="341"/>
        <v>4630</v>
      </c>
      <c r="Y1230" s="10">
        <v>9</v>
      </c>
      <c r="Z1230" s="30" t="s">
        <v>102</v>
      </c>
      <c r="AA1230" s="31">
        <f t="shared" si="346"/>
        <v>9370</v>
      </c>
      <c r="AB1230">
        <f>670</f>
        <v>670</v>
      </c>
      <c r="AC1230" s="32"/>
      <c r="AD1230" s="32"/>
      <c r="AE1230" s="32">
        <f t="shared" si="348"/>
        <v>670</v>
      </c>
      <c r="AF1230" s="12"/>
      <c r="AH1230" s="12"/>
      <c r="AI1230" s="12">
        <f t="shared" si="347"/>
        <v>670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2"/>
      <c r="D1231" s="32"/>
      <c r="E1231" s="32"/>
      <c r="F1231" s="32"/>
      <c r="G1231" s="32">
        <f t="shared" si="338"/>
        <v>0</v>
      </c>
      <c r="H1231" s="12"/>
      <c r="I1231" s="12"/>
      <c r="J1231" s="12"/>
      <c r="K1231" s="12">
        <f t="shared" si="339"/>
        <v>0</v>
      </c>
      <c r="M1231" s="10">
        <v>10</v>
      </c>
      <c r="N1231" s="30" t="s">
        <v>102</v>
      </c>
      <c r="O1231" s="31">
        <f t="shared" si="345"/>
        <v>9331</v>
      </c>
      <c r="P1231" s="32">
        <f>650*6+622</f>
        <v>4522</v>
      </c>
      <c r="Q1231" s="32"/>
      <c r="R1231" s="32"/>
      <c r="S1231" s="32">
        <f t="shared" si="340"/>
        <v>4522</v>
      </c>
      <c r="T1231" s="12"/>
      <c r="U1231" s="12"/>
      <c r="V1231" s="12"/>
      <c r="W1231" s="12">
        <f t="shared" si="341"/>
        <v>4522</v>
      </c>
      <c r="Y1231" s="10">
        <v>10</v>
      </c>
      <c r="Z1231" s="30"/>
      <c r="AA1231" s="11" t="s">
        <v>27</v>
      </c>
      <c r="AB1231" s="32"/>
      <c r="AC1231" s="32"/>
      <c r="AD1231" s="32"/>
      <c r="AE1231" s="32">
        <f t="shared" si="348"/>
        <v>0</v>
      </c>
      <c r="AF1231" s="12"/>
      <c r="AG1231" s="12"/>
      <c r="AH1231" s="12"/>
      <c r="AI1231" s="12">
        <f t="shared" si="347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82"/>
      <c r="D1232" s="32"/>
      <c r="E1232" s="32"/>
      <c r="F1232" s="32"/>
      <c r="G1232" s="32">
        <f t="shared" si="338"/>
        <v>0</v>
      </c>
      <c r="H1232" s="12"/>
      <c r="I1232" s="12"/>
      <c r="J1232" s="12"/>
      <c r="K1232" s="12">
        <f t="shared" si="339"/>
        <v>0</v>
      </c>
      <c r="M1232" s="10">
        <v>11</v>
      </c>
      <c r="N1232" s="30" t="s">
        <v>102</v>
      </c>
      <c r="O1232" s="31">
        <f t="shared" si="345"/>
        <v>9332</v>
      </c>
      <c r="P1232" s="32">
        <f>650*6+622+9.5*7</f>
        <v>4588.5</v>
      </c>
      <c r="Q1232" s="32"/>
      <c r="R1232" s="32"/>
      <c r="S1232" s="32">
        <f t="shared" si="340"/>
        <v>4588.5</v>
      </c>
      <c r="T1232" s="12"/>
      <c r="U1232" s="12"/>
      <c r="V1232" s="12"/>
      <c r="W1232" s="12">
        <f t="shared" si="341"/>
        <v>4588.5</v>
      </c>
      <c r="Y1232" s="10">
        <v>11</v>
      </c>
      <c r="Z1232" s="30"/>
      <c r="AB1232" s="32"/>
      <c r="AC1232" s="32"/>
      <c r="AD1232" s="32"/>
      <c r="AE1232" s="32">
        <f t="shared" si="348"/>
        <v>0</v>
      </c>
      <c r="AF1232" s="12"/>
      <c r="AG1232" s="12"/>
      <c r="AH1232" s="12"/>
      <c r="AI1232" s="12">
        <f t="shared" si="347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82"/>
      <c r="D1233" s="32"/>
      <c r="E1233" s="32"/>
      <c r="F1233" s="32"/>
      <c r="G1233" s="32">
        <f t="shared" si="338"/>
        <v>0</v>
      </c>
      <c r="H1233" s="12"/>
      <c r="I1233" s="12"/>
      <c r="J1233" s="10"/>
      <c r="K1233" s="12">
        <f t="shared" si="339"/>
        <v>0</v>
      </c>
      <c r="M1233" s="10">
        <v>12</v>
      </c>
      <c r="N1233" s="30" t="s">
        <v>102</v>
      </c>
      <c r="O1233" s="31">
        <f t="shared" si="345"/>
        <v>9333</v>
      </c>
      <c r="P1233" s="32">
        <f>650*4+9.5*4</f>
        <v>2638</v>
      </c>
      <c r="Q1233" s="32"/>
      <c r="R1233" s="32"/>
      <c r="S1233" s="32">
        <f t="shared" si="340"/>
        <v>2638</v>
      </c>
      <c r="T1233" s="12"/>
      <c r="U1233" s="12"/>
      <c r="V1233" s="12"/>
      <c r="W1233" s="12">
        <f t="shared" si="341"/>
        <v>2638</v>
      </c>
      <c r="Y1233" s="10">
        <v>12</v>
      </c>
      <c r="Z1233" s="30"/>
      <c r="AA1233" s="31"/>
      <c r="AB1233" s="32"/>
      <c r="AC1233" s="32"/>
      <c r="AD1233" s="32"/>
      <c r="AE1233" s="32">
        <f t="shared" si="348"/>
        <v>0</v>
      </c>
      <c r="AF1233" s="12"/>
      <c r="AG1233" s="12"/>
      <c r="AH1233" s="12"/>
      <c r="AI1233" s="12">
        <f t="shared" si="347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2"/>
      <c r="D1234" s="32"/>
      <c r="E1234" s="32"/>
      <c r="F1234" s="32"/>
      <c r="G1234" s="32">
        <f t="shared" si="338"/>
        <v>0</v>
      </c>
      <c r="H1234" s="12"/>
      <c r="I1234" s="12"/>
      <c r="J1234" s="12"/>
      <c r="K1234" s="12">
        <f t="shared" si="339"/>
        <v>0</v>
      </c>
      <c r="M1234" s="10">
        <v>13</v>
      </c>
      <c r="N1234" s="30" t="s">
        <v>102</v>
      </c>
      <c r="O1234" s="31">
        <f t="shared" si="345"/>
        <v>9334</v>
      </c>
      <c r="P1234" s="32">
        <f>650*5+9.5*5</f>
        <v>3297.5</v>
      </c>
      <c r="Q1234" s="32"/>
      <c r="R1234" s="32"/>
      <c r="S1234" s="32">
        <f t="shared" si="340"/>
        <v>3297.5</v>
      </c>
      <c r="T1234" s="12"/>
      <c r="U1234" s="12"/>
      <c r="V1234" s="12"/>
      <c r="W1234" s="12">
        <f t="shared" si="341"/>
        <v>3297.5</v>
      </c>
      <c r="Y1234" s="10">
        <v>13</v>
      </c>
      <c r="Z1234" s="30"/>
      <c r="AA1234" s="31"/>
      <c r="AB1234" s="32"/>
      <c r="AC1234" s="32"/>
      <c r="AD1234" s="32"/>
      <c r="AE1234" s="32">
        <f t="shared" si="348"/>
        <v>0</v>
      </c>
      <c r="AF1234" s="12"/>
      <c r="AG1234" s="12"/>
      <c r="AH1234" s="12"/>
      <c r="AI1234" s="12">
        <f t="shared" si="347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2"/>
      <c r="D1235" s="32"/>
      <c r="E1235" s="32"/>
      <c r="F1235" s="32"/>
      <c r="G1235" s="32">
        <f t="shared" si="338"/>
        <v>0</v>
      </c>
      <c r="H1235" s="12"/>
      <c r="I1235" s="12"/>
      <c r="J1235" s="12"/>
      <c r="K1235" s="12">
        <f t="shared" si="339"/>
        <v>0</v>
      </c>
      <c r="M1235" s="10">
        <v>14</v>
      </c>
      <c r="N1235" s="30" t="s">
        <v>102</v>
      </c>
      <c r="O1235" s="31">
        <f t="shared" si="345"/>
        <v>9335</v>
      </c>
      <c r="P1235" s="32">
        <f>650*4+622+9.5*5</f>
        <v>3269.5</v>
      </c>
      <c r="Q1235" s="32"/>
      <c r="R1235" s="32"/>
      <c r="S1235" s="32">
        <f t="shared" si="340"/>
        <v>3269.5</v>
      </c>
      <c r="T1235" s="12"/>
      <c r="U1235" s="12"/>
      <c r="V1235" s="12">
        <v>-222</v>
      </c>
      <c r="W1235" s="12">
        <f t="shared" si="341"/>
        <v>3047.5</v>
      </c>
      <c r="Y1235" s="10">
        <v>14</v>
      </c>
      <c r="Z1235" s="30"/>
      <c r="AA1235" s="31"/>
      <c r="AB1235" s="32"/>
      <c r="AC1235" s="32"/>
      <c r="AD1235" s="32"/>
      <c r="AE1235" s="32">
        <f t="shared" si="348"/>
        <v>0</v>
      </c>
      <c r="AF1235" s="12"/>
      <c r="AG1235" s="12"/>
      <c r="AH1235" s="12"/>
      <c r="AI1235" s="12">
        <f t="shared" si="347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2"/>
      <c r="D1236" s="32"/>
      <c r="E1236" s="32"/>
      <c r="F1236" s="32"/>
      <c r="G1236" s="32">
        <f t="shared" si="338"/>
        <v>0</v>
      </c>
      <c r="H1236" s="12"/>
      <c r="I1236" s="12"/>
      <c r="J1236" s="12"/>
      <c r="K1236" s="12">
        <f t="shared" si="339"/>
        <v>0</v>
      </c>
      <c r="M1236" s="10">
        <v>15</v>
      </c>
      <c r="N1236" s="30" t="s">
        <v>102</v>
      </c>
      <c r="O1236" s="31">
        <f t="shared" si="345"/>
        <v>9336</v>
      </c>
      <c r="P1236" s="32">
        <f>650*5+47.5</f>
        <v>3297.5</v>
      </c>
      <c r="Q1236" s="32"/>
      <c r="R1236" s="32"/>
      <c r="S1236" s="32">
        <f t="shared" si="340"/>
        <v>3297.5</v>
      </c>
      <c r="T1236" s="12"/>
      <c r="U1236" s="12"/>
      <c r="V1236" s="12"/>
      <c r="W1236" s="12">
        <f t="shared" si="341"/>
        <v>3297.5</v>
      </c>
      <c r="Y1236" s="10">
        <v>15</v>
      </c>
      <c r="Z1236" s="30"/>
      <c r="AA1236" s="31"/>
      <c r="AB1236" s="32"/>
      <c r="AC1236" s="32"/>
      <c r="AD1236" s="32"/>
      <c r="AE1236" s="32">
        <f t="shared" si="348"/>
        <v>0</v>
      </c>
      <c r="AF1236" s="12"/>
      <c r="AG1236" s="12"/>
      <c r="AH1236" s="12"/>
      <c r="AI1236" s="12">
        <f t="shared" si="347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C1237" s="82"/>
      <c r="D1237" s="32"/>
      <c r="E1237" s="32"/>
      <c r="F1237" s="32"/>
      <c r="G1237" s="32">
        <f t="shared" si="338"/>
        <v>0</v>
      </c>
      <c r="H1237" s="12"/>
      <c r="I1237" s="12"/>
      <c r="J1237" s="12"/>
      <c r="K1237" s="12">
        <f t="shared" si="339"/>
        <v>0</v>
      </c>
      <c r="M1237" s="10">
        <v>16</v>
      </c>
      <c r="N1237" s="30" t="s">
        <v>102</v>
      </c>
      <c r="O1237" s="31">
        <f t="shared" si="345"/>
        <v>9337</v>
      </c>
      <c r="P1237" s="32">
        <f>650*5+9.5*5</f>
        <v>3297.5</v>
      </c>
      <c r="Q1237" s="32"/>
      <c r="R1237" s="32"/>
      <c r="S1237" s="32">
        <f t="shared" si="340"/>
        <v>3297.5</v>
      </c>
      <c r="T1237" s="12"/>
      <c r="U1237" s="12"/>
      <c r="V1237" s="12"/>
      <c r="W1237" s="12">
        <f t="shared" si="341"/>
        <v>3297.5</v>
      </c>
      <c r="Y1237" s="10">
        <v>16</v>
      </c>
      <c r="Z1237" s="30"/>
      <c r="AB1237" s="32"/>
      <c r="AC1237" s="32"/>
      <c r="AD1237" s="32"/>
      <c r="AE1237" s="32">
        <f t="shared" si="348"/>
        <v>0</v>
      </c>
      <c r="AF1237" s="12"/>
      <c r="AG1237" s="12"/>
      <c r="AH1237" s="12"/>
      <c r="AI1237" s="12">
        <f t="shared" si="347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2"/>
      <c r="D1238" s="32"/>
      <c r="E1238" s="32"/>
      <c r="F1238" s="32"/>
      <c r="G1238" s="32">
        <f t="shared" si="338"/>
        <v>0</v>
      </c>
      <c r="H1238" s="12"/>
      <c r="I1238" s="12"/>
      <c r="J1238" s="12"/>
      <c r="K1238" s="12">
        <f t="shared" si="339"/>
        <v>0</v>
      </c>
      <c r="M1238" s="10">
        <v>17</v>
      </c>
      <c r="N1238" s="30" t="s">
        <v>102</v>
      </c>
      <c r="O1238" s="31">
        <f t="shared" si="345"/>
        <v>9338</v>
      </c>
      <c r="P1238" s="35">
        <f>650+622+9.5*2</f>
        <v>1291</v>
      </c>
      <c r="Q1238" s="32"/>
      <c r="R1238" s="32"/>
      <c r="S1238" s="32">
        <f t="shared" si="340"/>
        <v>1291</v>
      </c>
      <c r="T1238" s="12"/>
      <c r="U1238" s="12"/>
      <c r="V1238" s="12"/>
      <c r="W1238" s="12">
        <f t="shared" si="341"/>
        <v>1291</v>
      </c>
      <c r="Y1238" s="10">
        <v>17</v>
      </c>
      <c r="Z1238" s="30"/>
      <c r="AA1238" s="31"/>
      <c r="AB1238" s="35"/>
      <c r="AC1238" s="32"/>
      <c r="AD1238" s="32"/>
      <c r="AE1238" s="32">
        <f t="shared" si="348"/>
        <v>0</v>
      </c>
      <c r="AF1238" s="12"/>
      <c r="AG1238" s="12"/>
      <c r="AH1238" s="12"/>
      <c r="AI1238" s="12">
        <f t="shared" si="347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2"/>
      <c r="D1239" s="32"/>
      <c r="E1239" s="32"/>
      <c r="F1239" s="32"/>
      <c r="G1239" s="32">
        <f t="shared" si="338"/>
        <v>0</v>
      </c>
      <c r="H1239" s="12"/>
      <c r="I1239" s="12"/>
      <c r="J1239" s="12"/>
      <c r="K1239" s="12">
        <f t="shared" si="339"/>
        <v>0</v>
      </c>
      <c r="M1239" s="10">
        <v>18</v>
      </c>
      <c r="N1239" s="30" t="s">
        <v>102</v>
      </c>
      <c r="O1239" s="31">
        <f t="shared" si="345"/>
        <v>9339</v>
      </c>
      <c r="P1239" s="32">
        <f>650*50+670*9+622*108+229*2</f>
        <v>106164</v>
      </c>
      <c r="Q1239" s="32">
        <f>-167*6</f>
        <v>-1002</v>
      </c>
      <c r="R1239" s="32"/>
      <c r="S1239" s="32">
        <f t="shared" si="340"/>
        <v>105162</v>
      </c>
      <c r="T1239" s="12"/>
      <c r="U1239" s="12">
        <v>555</v>
      </c>
      <c r="V1239" s="12">
        <f>-546+-84</f>
        <v>-630</v>
      </c>
      <c r="W1239" s="12">
        <f t="shared" si="341"/>
        <v>105087</v>
      </c>
      <c r="Y1239" s="10">
        <v>18</v>
      </c>
      <c r="Z1239" s="30"/>
      <c r="AA1239" s="31"/>
      <c r="AB1239" s="32"/>
      <c r="AC1239" s="32"/>
      <c r="AD1239" s="32"/>
      <c r="AE1239" s="32">
        <f t="shared" si="348"/>
        <v>0</v>
      </c>
      <c r="AF1239" s="12"/>
      <c r="AG1239" s="12"/>
      <c r="AH1239" s="12"/>
      <c r="AI1239" s="12">
        <f t="shared" si="347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2"/>
      <c r="D1240" s="32"/>
      <c r="E1240" s="32"/>
      <c r="F1240" s="32"/>
      <c r="G1240" s="32">
        <f t="shared" si="338"/>
        <v>0</v>
      </c>
      <c r="H1240" s="12"/>
      <c r="I1240" s="12"/>
      <c r="J1240" s="12"/>
      <c r="K1240" s="12">
        <f t="shared" si="339"/>
        <v>0</v>
      </c>
      <c r="M1240" s="10">
        <v>19</v>
      </c>
      <c r="N1240" s="30"/>
      <c r="O1240" s="11" t="s">
        <v>27</v>
      </c>
      <c r="P1240" s="32"/>
      <c r="Q1240" s="32"/>
      <c r="R1240" s="32"/>
      <c r="S1240" s="32">
        <f t="shared" si="340"/>
        <v>0</v>
      </c>
      <c r="T1240" s="12"/>
      <c r="U1240" s="12"/>
      <c r="V1240" s="12"/>
      <c r="W1240" s="12">
        <f t="shared" si="341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48"/>
        <v>0</v>
      </c>
      <c r="AF1240" s="12"/>
      <c r="AG1240" s="12"/>
      <c r="AH1240" s="12"/>
      <c r="AI1240" s="12">
        <f t="shared" si="347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2"/>
      <c r="D1241" s="32"/>
      <c r="E1241" s="32"/>
      <c r="F1241" s="32"/>
      <c r="G1241" s="32">
        <f t="shared" si="338"/>
        <v>0</v>
      </c>
      <c r="H1241" s="12"/>
      <c r="I1241" s="12"/>
      <c r="J1241" s="12"/>
      <c r="K1241" s="12">
        <f t="shared" si="339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340"/>
        <v>0</v>
      </c>
      <c r="T1241" s="12"/>
      <c r="U1241" s="12"/>
      <c r="V1241" s="12"/>
      <c r="W1241" s="12">
        <f t="shared" si="341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48"/>
        <v>0</v>
      </c>
      <c r="AF1241" s="12"/>
      <c r="AG1241" s="12"/>
      <c r="AH1241" s="12"/>
      <c r="AI1241" s="12">
        <f t="shared" si="347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D1242" s="32"/>
      <c r="E1242" s="32"/>
      <c r="F1242" s="32"/>
      <c r="G1242" s="32">
        <f t="shared" si="338"/>
        <v>0</v>
      </c>
      <c r="H1242" s="10"/>
      <c r="I1242" s="10"/>
      <c r="J1242" s="10"/>
      <c r="K1242" s="12">
        <f t="shared" si="339"/>
        <v>0</v>
      </c>
      <c r="M1242" s="10">
        <v>21</v>
      </c>
      <c r="N1242" s="30"/>
      <c r="O1242" s="31"/>
      <c r="P1242" s="91"/>
      <c r="Q1242" s="31"/>
      <c r="R1242" s="31"/>
      <c r="S1242" s="32">
        <f t="shared" si="340"/>
        <v>0</v>
      </c>
      <c r="T1242" s="10"/>
      <c r="U1242" s="10"/>
      <c r="V1242" s="10"/>
      <c r="W1242" s="12">
        <f t="shared" si="341"/>
        <v>0</v>
      </c>
      <c r="Y1242" s="10">
        <v>21</v>
      </c>
      <c r="Z1242" s="30"/>
      <c r="AB1242" s="46"/>
      <c r="AC1242" s="31"/>
      <c r="AD1242" s="31"/>
      <c r="AE1242" s="32">
        <f t="shared" si="348"/>
        <v>0</v>
      </c>
      <c r="AF1242" s="10"/>
      <c r="AG1242" s="10"/>
      <c r="AH1242" s="10"/>
      <c r="AI1242" s="12">
        <f t="shared" si="347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82"/>
      <c r="D1243" s="32"/>
      <c r="E1243" s="32"/>
      <c r="F1243" s="32"/>
      <c r="G1243" s="32">
        <f t="shared" si="338"/>
        <v>0</v>
      </c>
      <c r="H1243" s="10"/>
      <c r="I1243" s="10"/>
      <c r="J1243" s="10"/>
      <c r="K1243" s="12">
        <f t="shared" si="339"/>
        <v>0</v>
      </c>
      <c r="M1243" s="10">
        <v>22</v>
      </c>
      <c r="N1243" s="30"/>
      <c r="O1243" s="31"/>
      <c r="P1243" s="91"/>
      <c r="Q1243" s="31"/>
      <c r="R1243" s="31"/>
      <c r="S1243" s="32">
        <f t="shared" si="340"/>
        <v>0</v>
      </c>
      <c r="T1243" s="10"/>
      <c r="U1243" s="10"/>
      <c r="V1243" s="10"/>
      <c r="W1243" s="12">
        <f t="shared" si="341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48"/>
        <v>0</v>
      </c>
      <c r="AF1243" s="10"/>
      <c r="AG1243" s="10"/>
      <c r="AH1243" s="10"/>
      <c r="AI1243" s="12">
        <f t="shared" si="347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2"/>
      <c r="D1244" s="32"/>
      <c r="E1244" s="32"/>
      <c r="F1244" s="32"/>
      <c r="G1244" s="32">
        <f t="shared" si="338"/>
        <v>0</v>
      </c>
      <c r="H1244" s="10"/>
      <c r="I1244" s="10"/>
      <c r="J1244" s="12"/>
      <c r="K1244" s="12">
        <f t="shared" si="339"/>
        <v>0</v>
      </c>
      <c r="M1244" s="10">
        <v>23</v>
      </c>
      <c r="N1244" s="30"/>
      <c r="O1244" s="31"/>
      <c r="P1244" s="47"/>
      <c r="Q1244" s="31"/>
      <c r="S1244" s="32">
        <f t="shared" si="340"/>
        <v>0</v>
      </c>
      <c r="T1244" s="10"/>
      <c r="U1244" s="10"/>
      <c r="V1244" s="10"/>
      <c r="W1244" s="12">
        <f t="shared" si="341"/>
        <v>0</v>
      </c>
      <c r="Y1244" s="10">
        <v>23</v>
      </c>
      <c r="Z1244" s="30"/>
      <c r="AA1244" s="31"/>
      <c r="AB1244" s="47"/>
      <c r="AC1244" s="31"/>
      <c r="AE1244" s="32">
        <f t="shared" si="348"/>
        <v>0</v>
      </c>
      <c r="AF1244" s="10"/>
      <c r="AG1244" s="10"/>
      <c r="AH1244" s="10"/>
      <c r="AI1244" s="12">
        <f t="shared" si="347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82"/>
      <c r="D1245" s="32"/>
      <c r="E1245" s="32"/>
      <c r="F1245" s="32"/>
      <c r="G1245" s="32">
        <f t="shared" si="338"/>
        <v>0</v>
      </c>
      <c r="H1245" s="10"/>
      <c r="I1245" s="10"/>
      <c r="J1245" s="10"/>
      <c r="K1245" s="12">
        <f t="shared" si="339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0"/>
        <v>0</v>
      </c>
      <c r="T1245" s="10"/>
      <c r="U1245" s="10"/>
      <c r="V1245" s="10"/>
      <c r="W1245" s="12">
        <f t="shared" si="341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48"/>
        <v>0</v>
      </c>
      <c r="AF1245" s="10"/>
      <c r="AG1245" s="10"/>
      <c r="AH1245" s="10"/>
      <c r="AI1245" s="12">
        <f t="shared" si="347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82"/>
      <c r="D1246" s="32"/>
      <c r="E1246" s="32"/>
      <c r="F1246" s="32"/>
      <c r="G1246" s="32">
        <f t="shared" si="338"/>
        <v>0</v>
      </c>
      <c r="H1246" s="10"/>
      <c r="I1246" s="10"/>
      <c r="J1246" s="10"/>
      <c r="K1246" s="12">
        <f t="shared" si="339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0"/>
        <v>0</v>
      </c>
      <c r="T1246" s="10"/>
      <c r="U1246" s="10"/>
      <c r="V1246" s="10"/>
      <c r="W1246" s="12">
        <f t="shared" si="341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48"/>
        <v>0</v>
      </c>
      <c r="AF1246" s="10"/>
      <c r="AG1246" s="10"/>
      <c r="AH1246" s="10"/>
      <c r="AI1246" s="12">
        <f t="shared" si="347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57"/>
      <c r="D1247" s="32"/>
      <c r="E1247" s="32"/>
      <c r="F1247" s="32"/>
      <c r="G1247" s="32">
        <f t="shared" si="338"/>
        <v>0</v>
      </c>
      <c r="H1247" s="10"/>
      <c r="I1247" s="10"/>
      <c r="J1247" s="10"/>
      <c r="K1247" s="12">
        <f t="shared" si="339"/>
        <v>0</v>
      </c>
      <c r="M1247" s="10">
        <v>26</v>
      </c>
      <c r="N1247" s="30"/>
      <c r="P1247" s="47"/>
      <c r="Q1247" s="31"/>
      <c r="R1247" s="31"/>
      <c r="S1247" s="32">
        <f t="shared" si="340"/>
        <v>0</v>
      </c>
      <c r="T1247" s="10"/>
      <c r="U1247" s="10"/>
      <c r="V1247" s="10"/>
      <c r="W1247" s="12">
        <f t="shared" si="341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48"/>
        <v>0</v>
      </c>
      <c r="AF1247" s="10"/>
      <c r="AG1247" s="10"/>
      <c r="AH1247" s="10"/>
      <c r="AI1247" s="12">
        <f t="shared" si="347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82"/>
      <c r="D1248" s="32"/>
      <c r="E1248" s="32"/>
      <c r="F1248" s="32"/>
      <c r="G1248" s="32">
        <f t="shared" si="338"/>
        <v>0</v>
      </c>
      <c r="H1248" s="10"/>
      <c r="I1248" s="10"/>
      <c r="J1248" s="10"/>
      <c r="K1248" s="12">
        <f t="shared" si="339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0"/>
        <v>0</v>
      </c>
      <c r="T1248" s="10"/>
      <c r="U1248" s="10"/>
      <c r="V1248" s="10"/>
      <c r="W1248" s="12">
        <f t="shared" si="341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48"/>
        <v>0</v>
      </c>
      <c r="AF1248" s="10"/>
      <c r="AG1248" s="10"/>
      <c r="AH1248" s="10"/>
      <c r="AI1248" s="12">
        <f t="shared" si="347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82"/>
      <c r="D1249" s="32"/>
      <c r="E1249" s="32"/>
      <c r="F1249" s="32"/>
      <c r="G1249" s="32">
        <f t="shared" si="338"/>
        <v>0</v>
      </c>
      <c r="H1249" s="10"/>
      <c r="I1249" s="10"/>
      <c r="J1249" s="10"/>
      <c r="K1249" s="12">
        <f t="shared" si="339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0"/>
        <v>0</v>
      </c>
      <c r="T1249" s="10"/>
      <c r="U1249" s="10"/>
      <c r="V1249" s="10"/>
      <c r="W1249" s="12">
        <f t="shared" si="341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48"/>
        <v>0</v>
      </c>
      <c r="AF1249" s="10"/>
      <c r="AG1249" s="10"/>
      <c r="AH1249" s="10"/>
      <c r="AI1249" s="12">
        <f t="shared" si="347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82"/>
      <c r="D1250" s="32"/>
      <c r="E1250" s="32"/>
      <c r="F1250" s="32"/>
      <c r="G1250" s="32">
        <f t="shared" si="338"/>
        <v>0</v>
      </c>
      <c r="H1250" s="10"/>
      <c r="I1250" s="10"/>
      <c r="J1250" s="10"/>
      <c r="K1250" s="12">
        <f t="shared" si="339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340"/>
        <v>0</v>
      </c>
      <c r="T1250" s="10"/>
      <c r="U1250" s="10"/>
      <c r="V1250" s="10"/>
      <c r="W1250" s="12">
        <f t="shared" si="341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48"/>
        <v>0</v>
      </c>
      <c r="AF1250" s="10"/>
      <c r="AG1250" s="10"/>
      <c r="AH1250" s="10"/>
      <c r="AI1250" s="12">
        <f t="shared" si="347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38"/>
        <v>0</v>
      </c>
      <c r="H1251" s="10"/>
      <c r="I1251" s="10"/>
      <c r="J1251" s="10"/>
      <c r="K1251" s="12">
        <f t="shared" si="339"/>
        <v>0</v>
      </c>
      <c r="M1251" s="10">
        <v>30</v>
      </c>
      <c r="N1251" s="30"/>
      <c r="P1251" s="47"/>
      <c r="Q1251" s="31"/>
      <c r="R1251" s="31"/>
      <c r="S1251" s="32">
        <f t="shared" si="340"/>
        <v>0</v>
      </c>
      <c r="T1251" s="10"/>
      <c r="U1251" s="10"/>
      <c r="V1251" s="10"/>
      <c r="W1251" s="12">
        <f t="shared" si="341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48"/>
        <v>0</v>
      </c>
      <c r="AF1251" s="10"/>
      <c r="AG1251" s="10"/>
      <c r="AH1251" s="10"/>
      <c r="AI1251" s="12">
        <f t="shared" si="347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11"/>
      <c r="D1252" s="32"/>
      <c r="E1252" s="32"/>
      <c r="F1252" s="32"/>
      <c r="G1252" s="32">
        <f t="shared" si="338"/>
        <v>0</v>
      </c>
      <c r="H1252" s="10"/>
      <c r="I1252" s="10"/>
      <c r="J1252" s="10"/>
      <c r="K1252" s="12">
        <f t="shared" si="339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340"/>
        <v>0</v>
      </c>
      <c r="T1252" s="10"/>
      <c r="U1252" s="10"/>
      <c r="V1252" s="10"/>
      <c r="W1252" s="12">
        <f t="shared" si="341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48"/>
        <v>0</v>
      </c>
      <c r="AF1252" s="10"/>
      <c r="AG1252" s="10"/>
      <c r="AH1252" s="10"/>
      <c r="AI1252" s="12">
        <f t="shared" si="347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82"/>
      <c r="D1253" s="32"/>
      <c r="E1253" s="32"/>
      <c r="F1253" s="32"/>
      <c r="G1253" s="32">
        <f t="shared" si="338"/>
        <v>0</v>
      </c>
      <c r="H1253" s="10"/>
      <c r="I1253" s="10"/>
      <c r="J1253" s="10"/>
      <c r="K1253" s="12">
        <f t="shared" si="339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0"/>
        <v>0</v>
      </c>
      <c r="T1253" s="10"/>
      <c r="U1253" s="10"/>
      <c r="V1253" s="10"/>
      <c r="W1253" s="12">
        <f t="shared" si="341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48"/>
        <v>0</v>
      </c>
      <c r="AF1253" s="10"/>
      <c r="AG1253" s="10"/>
      <c r="AH1253" s="10"/>
      <c r="AI1253" s="12">
        <f t="shared" si="347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2"/>
      <c r="D1254" s="32"/>
      <c r="E1254" s="32"/>
      <c r="F1254" s="32"/>
      <c r="G1254" s="32">
        <f t="shared" si="338"/>
        <v>0</v>
      </c>
      <c r="H1254" s="10"/>
      <c r="I1254" s="10"/>
      <c r="J1254" s="10"/>
      <c r="K1254" s="12">
        <f t="shared" si="339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0"/>
        <v>0</v>
      </c>
      <c r="T1254" s="10"/>
      <c r="U1254" s="10"/>
      <c r="V1254" s="10"/>
      <c r="W1254" s="12">
        <f t="shared" si="341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48"/>
        <v>0</v>
      </c>
      <c r="AF1254" s="10"/>
      <c r="AG1254" s="10"/>
      <c r="AH1254" s="10"/>
      <c r="AI1254" s="12">
        <f t="shared" si="347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2"/>
      <c r="D1255" s="32"/>
      <c r="E1255" s="32"/>
      <c r="F1255" s="32"/>
      <c r="G1255" s="32">
        <f t="shared" si="338"/>
        <v>0</v>
      </c>
      <c r="H1255" s="10"/>
      <c r="I1255" s="10"/>
      <c r="J1255" s="10"/>
      <c r="K1255" s="12">
        <f t="shared" si="339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0"/>
        <v>0</v>
      </c>
      <c r="T1255" s="10"/>
      <c r="U1255" s="10"/>
      <c r="V1255" s="10"/>
      <c r="W1255" s="12">
        <f t="shared" si="341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348"/>
        <v>0</v>
      </c>
      <c r="AF1255" s="10"/>
      <c r="AG1255" s="10"/>
      <c r="AH1255" s="10"/>
      <c r="AI1255" s="12">
        <f t="shared" si="347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0"/>
        <v>0</v>
      </c>
      <c r="T1256" s="10"/>
      <c r="U1256" s="10"/>
      <c r="V1256" s="10"/>
      <c r="W1256" s="12">
        <f t="shared" si="341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48"/>
        <v>0</v>
      </c>
      <c r="AF1256" s="10"/>
      <c r="AG1256" s="10"/>
      <c r="AH1256" s="10"/>
      <c r="AI1256" s="12">
        <f t="shared" si="347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0"/>
        <v>0</v>
      </c>
      <c r="T1257" s="10"/>
      <c r="U1257" s="10"/>
      <c r="V1257" s="10"/>
      <c r="W1257" s="12">
        <f t="shared" si="341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48"/>
        <v>0</v>
      </c>
      <c r="AF1257" s="10"/>
      <c r="AG1257" s="10"/>
      <c r="AH1257" s="10"/>
      <c r="AI1257" s="12">
        <f t="shared" si="347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0"/>
        <v>0</v>
      </c>
      <c r="T1258" s="10"/>
      <c r="U1258" s="10"/>
      <c r="V1258" s="10"/>
      <c r="W1258" s="12">
        <f t="shared" si="341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48"/>
        <v>0</v>
      </c>
      <c r="AF1258" s="10"/>
      <c r="AG1258" s="10"/>
      <c r="AH1258" s="10"/>
      <c r="AI1258" s="12">
        <f t="shared" si="347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0"/>
        <v>0</v>
      </c>
      <c r="T1259" s="10"/>
      <c r="U1259" s="10"/>
      <c r="V1259" s="10"/>
      <c r="W1259" s="12">
        <f t="shared" si="341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48"/>
        <v>0</v>
      </c>
      <c r="AF1259" s="10"/>
      <c r="AG1259" s="10"/>
      <c r="AH1259" s="10"/>
      <c r="AI1259" s="12">
        <f t="shared" si="347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0"/>
        <v>0</v>
      </c>
      <c r="T1260" s="10"/>
      <c r="U1260" s="10"/>
      <c r="V1260" s="10"/>
      <c r="W1260" s="12">
        <f t="shared" si="341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48"/>
        <v>0</v>
      </c>
      <c r="AF1260" s="10"/>
      <c r="AG1260" s="10"/>
      <c r="AH1260" s="10"/>
      <c r="AI1260" s="12">
        <f t="shared" si="347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1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47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49">SUM(D1262:E1262)</f>
        <v>0</v>
      </c>
      <c r="H1262" s="10"/>
      <c r="I1262" s="10"/>
      <c r="J1262" s="10"/>
      <c r="K1262" s="12">
        <f t="shared" ref="K1262" si="350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1">SUM(P1262:Q1262)</f>
        <v>0</v>
      </c>
      <c r="T1262" s="10"/>
      <c r="U1262" s="10"/>
      <c r="V1262" s="10"/>
      <c r="W1262" s="12">
        <f t="shared" si="341"/>
        <v>0</v>
      </c>
      <c r="Y1262" s="10"/>
      <c r="Z1262" s="30"/>
      <c r="AA1262" s="31"/>
      <c r="AB1262" s="47"/>
      <c r="AC1262" s="31"/>
      <c r="AD1262" s="31"/>
      <c r="AE1262" s="32">
        <f t="shared" ref="AE1262" si="352">SUM(AB1262:AC1262)</f>
        <v>0</v>
      </c>
      <c r="AF1262" s="10"/>
      <c r="AG1262" s="10"/>
      <c r="AH1262" s="10"/>
      <c r="AI1262" s="12">
        <f t="shared" si="347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1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47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273281</v>
      </c>
      <c r="E1265" s="38">
        <f t="shared" ref="E1265:F1265" si="353">SUM(E1222:E1262)</f>
        <v>-1944</v>
      </c>
      <c r="F1265" s="38">
        <f t="shared" si="353"/>
        <v>0</v>
      </c>
      <c r="G1265" s="38">
        <f>SUM(G1222:G1264)</f>
        <v>271337</v>
      </c>
      <c r="H1265" s="4"/>
      <c r="I1265" s="39">
        <f>SUM(I1222:I1264)</f>
        <v>11673</v>
      </c>
      <c r="J1265" s="39">
        <f>SUM(J1222:J1264)</f>
        <v>-1096.5</v>
      </c>
      <c r="K1265" s="40">
        <f>SUM(K1222:K1264)</f>
        <v>281913.5</v>
      </c>
      <c r="N1265" s="57"/>
      <c r="O1265" s="57"/>
      <c r="P1265" s="38">
        <f>SUM(P1222:P1264)</f>
        <v>185222</v>
      </c>
      <c r="Q1265" s="38">
        <f>SUM(Q1222:Q1246)</f>
        <v>-1002</v>
      </c>
      <c r="R1265" s="38">
        <f>SUM(R1222:R1246)</f>
        <v>0</v>
      </c>
      <c r="S1265" s="38">
        <f>SUM(S1222:S1264)</f>
        <v>184220</v>
      </c>
      <c r="T1265" s="4"/>
      <c r="U1265" s="41">
        <f>SUM(U1222:U1264)</f>
        <v>568.5</v>
      </c>
      <c r="V1265" s="41">
        <f>SUM(V1222:V1246)</f>
        <v>-1185</v>
      </c>
      <c r="W1265" s="42">
        <f>SUM(W1222:W1264)</f>
        <v>183603.5</v>
      </c>
      <c r="Z1265" s="57"/>
      <c r="AA1265" s="57"/>
      <c r="AB1265" s="38">
        <f>SUM(AB1222:AB1264)</f>
        <v>201174</v>
      </c>
      <c r="AC1265" s="38">
        <f>SUM(AC1222:AC1246)</f>
        <v>-1506</v>
      </c>
      <c r="AD1265" s="38">
        <f>SUM(AD1222:AD1246)</f>
        <v>0</v>
      </c>
      <c r="AE1265" s="38">
        <f>SUM(AE1222:AE1264)</f>
        <v>199668</v>
      </c>
      <c r="AF1265" s="4"/>
      <c r="AG1265" s="41">
        <f>SUM(AG1222:AG1264)</f>
        <v>276</v>
      </c>
      <c r="AH1265" s="41">
        <f>SUM(AH1222:AH1246)</f>
        <v>-2220</v>
      </c>
      <c r="AI1265" s="42">
        <f>SUM(AI1222:AI1264)</f>
        <v>197724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62"/>
      <c r="N1270" s="66"/>
      <c r="O1270" s="62"/>
      <c r="P1270" s="69"/>
      <c r="Q1270" s="85"/>
      <c r="R1270" s="85"/>
      <c r="S1270" s="60"/>
      <c r="T1270" s="62"/>
      <c r="U1270" s="62"/>
      <c r="V1270" s="62"/>
      <c r="W1270" s="61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M1271" s="62"/>
      <c r="N1271" s="66"/>
      <c r="O1271" s="85"/>
      <c r="P1271" s="69"/>
      <c r="Q1271" s="85"/>
      <c r="R1271" s="85"/>
      <c r="S1271" s="60"/>
      <c r="T1271" s="62"/>
      <c r="U1271" s="62"/>
      <c r="V1271" s="62"/>
      <c r="W1271" s="61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53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s="62"/>
      <c r="N1272" s="85"/>
      <c r="O1272" s="85"/>
      <c r="P1272" s="85"/>
      <c r="Q1272" s="85"/>
      <c r="R1272" s="85"/>
      <c r="S1272" s="85"/>
      <c r="T1272" s="62"/>
      <c r="U1272" s="62"/>
      <c r="V1272" s="62"/>
      <c r="W1272" s="61"/>
      <c r="Y1272" t="s">
        <v>53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104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Y1273" s="21" t="s">
        <v>104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35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M1274" s="62"/>
      <c r="N1274" s="85"/>
      <c r="O1274" s="85"/>
      <c r="P1274" s="70"/>
      <c r="Q1274" s="70"/>
      <c r="R1274" s="70"/>
      <c r="S1274" s="70"/>
      <c r="T1274" s="63"/>
      <c r="U1274" s="71"/>
      <c r="V1274" s="71"/>
      <c r="W1274" s="71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3" t="s">
        <v>17</v>
      </c>
      <c r="E1275" s="123"/>
      <c r="F1275" s="113"/>
      <c r="G1275" s="27"/>
      <c r="I1275" s="121" t="s">
        <v>18</v>
      </c>
      <c r="J1275" s="122"/>
      <c r="K1275" s="119" t="s">
        <v>19</v>
      </c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Z1275" s="25"/>
      <c r="AA1275" s="26"/>
      <c r="AB1275" s="123" t="s">
        <v>17</v>
      </c>
      <c r="AC1275" s="123"/>
      <c r="AD1275" s="113"/>
      <c r="AE1275" s="27"/>
      <c r="AG1275" s="121" t="s">
        <v>18</v>
      </c>
      <c r="AH1275" s="122"/>
      <c r="AI1275" s="119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7" t="s">
        <v>22</v>
      </c>
      <c r="E1276" s="76" t="s">
        <v>23</v>
      </c>
      <c r="F1276" s="78" t="s">
        <v>32</v>
      </c>
      <c r="G1276" s="78" t="s">
        <v>24</v>
      </c>
      <c r="I1276" s="29" t="s">
        <v>25</v>
      </c>
      <c r="J1276" s="29" t="s">
        <v>26</v>
      </c>
      <c r="K1276" s="120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Z1276" s="28" t="s">
        <v>20</v>
      </c>
      <c r="AA1276" s="28" t="s">
        <v>21</v>
      </c>
      <c r="AB1276" s="77" t="s">
        <v>22</v>
      </c>
      <c r="AC1276" s="78" t="s">
        <v>23</v>
      </c>
      <c r="AD1276" s="78" t="s">
        <v>32</v>
      </c>
      <c r="AE1276" s="78" t="s">
        <v>24</v>
      </c>
      <c r="AG1276" s="29" t="s">
        <v>25</v>
      </c>
      <c r="AH1276" s="29" t="s">
        <v>26</v>
      </c>
      <c r="AI1276" s="120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105</v>
      </c>
      <c r="C1277" s="82">
        <v>9138</v>
      </c>
      <c r="D1277" s="32">
        <f>650*216+108*622+229*13</f>
        <v>210553</v>
      </c>
      <c r="E1277" s="32">
        <f>-324*6</f>
        <v>-1944</v>
      </c>
      <c r="F1277" s="32"/>
      <c r="G1277" s="32">
        <f t="shared" ref="G1277:G1310" si="354">SUM(D1277:E1277)</f>
        <v>208609</v>
      </c>
      <c r="H1277" s="12"/>
      <c r="I1277" s="12">
        <v>936</v>
      </c>
      <c r="J1277" s="12">
        <f>-360+-4773</f>
        <v>-5133</v>
      </c>
      <c r="K1277" s="12">
        <f t="shared" ref="K1277:K1310" si="355">SUM(G1277:J1277)</f>
        <v>204412</v>
      </c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Y1277" s="10">
        <v>1</v>
      </c>
      <c r="Z1277" s="30" t="s">
        <v>105</v>
      </c>
      <c r="AA1277" s="31">
        <v>9371</v>
      </c>
      <c r="AB1277" s="32">
        <f>650*6</f>
        <v>3900</v>
      </c>
      <c r="AC1277" s="32"/>
      <c r="AD1277" s="32"/>
      <c r="AE1277" s="32">
        <f>SUM(AB1277:AC1277)</f>
        <v>3900</v>
      </c>
      <c r="AF1277" s="12"/>
      <c r="AG1277" s="12">
        <v>84</v>
      </c>
      <c r="AH1277" s="12"/>
      <c r="AI1277" s="12">
        <f>SUM(AE1277:AH1277)</f>
        <v>3984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105</v>
      </c>
      <c r="C1278" s="82">
        <f>C1277+1</f>
        <v>9139</v>
      </c>
      <c r="D1278" s="32">
        <f>650*3+9.5*3</f>
        <v>1978.5</v>
      </c>
      <c r="E1278" s="32"/>
      <c r="F1278" s="32"/>
      <c r="G1278" s="32">
        <f t="shared" si="354"/>
        <v>1978.5</v>
      </c>
      <c r="H1278" s="12"/>
      <c r="I1278" s="12"/>
      <c r="J1278" s="12"/>
      <c r="K1278" s="12">
        <f t="shared" si="355"/>
        <v>1978.5</v>
      </c>
      <c r="M1278" s="63"/>
      <c r="N1278" s="85"/>
      <c r="O1278" s="85"/>
      <c r="P1278" s="85"/>
      <c r="Q1278" s="85"/>
      <c r="R1278" s="85"/>
      <c r="S1278" s="85"/>
      <c r="T1278" s="62"/>
      <c r="U1278" s="62"/>
      <c r="V1278" s="62"/>
      <c r="W1278" s="62"/>
      <c r="Y1278" s="10">
        <v>2</v>
      </c>
      <c r="Z1278" s="30" t="s">
        <v>105</v>
      </c>
      <c r="AA1278" s="31">
        <f>AA1277+1</f>
        <v>9372</v>
      </c>
      <c r="AB1278" s="32">
        <f>650*40+622*10</f>
        <v>32220</v>
      </c>
      <c r="AD1278" s="32"/>
      <c r="AE1278" s="32">
        <f t="shared" ref="AE1278:AE1279" si="356">SUM(AB1278:AC1278)</f>
        <v>32220</v>
      </c>
      <c r="AF1278" s="12"/>
      <c r="AG1278" s="12"/>
      <c r="AI1278" s="12">
        <f t="shared" ref="AI1278:AI1279" si="357">SUM(AE1278:AH1278)</f>
        <v>32220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105</v>
      </c>
      <c r="C1279" s="82">
        <f t="shared" ref="C1279:C1288" si="358">C1278+1</f>
        <v>9140</v>
      </c>
      <c r="D1279" s="33">
        <f>650*30+622*7+229</f>
        <v>24083</v>
      </c>
      <c r="E1279" s="33"/>
      <c r="F1279" s="33"/>
      <c r="G1279" s="33">
        <f t="shared" si="354"/>
        <v>24083</v>
      </c>
      <c r="H1279" s="34"/>
      <c r="I1279" s="34"/>
      <c r="J1279" s="34"/>
      <c r="K1279" s="34">
        <f t="shared" si="355"/>
        <v>24083</v>
      </c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Y1279" s="10">
        <v>3</v>
      </c>
      <c r="Z1279" s="30" t="s">
        <v>105</v>
      </c>
      <c r="AA1279" s="31">
        <f t="shared" ref="AA1279:AA1282" si="359">AA1278+1</f>
        <v>9373</v>
      </c>
      <c r="AB1279" s="32">
        <f>650*186+670*10+622*30+1050*10+872*20+229*5</f>
        <v>175345</v>
      </c>
      <c r="AC1279" s="33">
        <f>-256*6</f>
        <v>-1536</v>
      </c>
      <c r="AD1279" s="32"/>
      <c r="AE1279" s="32">
        <f t="shared" si="356"/>
        <v>173809</v>
      </c>
      <c r="AF1279" s="12"/>
      <c r="AG1279" s="12"/>
      <c r="AH1279" s="12"/>
      <c r="AI1279" s="12">
        <f t="shared" si="357"/>
        <v>173809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10">
        <v>4</v>
      </c>
      <c r="B1280" s="30" t="s">
        <v>105</v>
      </c>
      <c r="C1280" s="82">
        <f t="shared" si="358"/>
        <v>9141</v>
      </c>
      <c r="D1280" s="32">
        <f>650*9+9.5*9+650</f>
        <v>6585.5</v>
      </c>
      <c r="E1280" s="32"/>
      <c r="F1280" s="32"/>
      <c r="G1280" s="32">
        <f t="shared" si="354"/>
        <v>6585.5</v>
      </c>
      <c r="H1280" s="12"/>
      <c r="I1280" s="12"/>
      <c r="J1280" s="12"/>
      <c r="K1280" s="12">
        <f t="shared" si="355"/>
        <v>6585.5</v>
      </c>
      <c r="M1280" s="62"/>
      <c r="N1280" s="85"/>
      <c r="O1280" s="85"/>
      <c r="P1280" s="85"/>
      <c r="Q1280" s="85"/>
      <c r="R1280" s="85"/>
      <c r="S1280" s="85"/>
      <c r="T1280" s="62"/>
      <c r="U1280" s="85"/>
      <c r="V1280" s="73"/>
      <c r="W1280" s="62"/>
      <c r="Y1280" s="10">
        <v>4</v>
      </c>
      <c r="Z1280" s="30" t="s">
        <v>105</v>
      </c>
      <c r="AA1280" s="31">
        <f t="shared" si="359"/>
        <v>9374</v>
      </c>
      <c r="AB1280" s="32">
        <f>650*50+670*6+229*2</f>
        <v>36978</v>
      </c>
      <c r="AC1280" s="32"/>
      <c r="AD1280" s="32"/>
      <c r="AE1280" s="32">
        <f>SUM(AB1280:AC1280)</f>
        <v>36978</v>
      </c>
      <c r="AF1280" s="12"/>
      <c r="AH1280" s="12"/>
      <c r="AI1280" s="12">
        <f>SUM(AE1280:AH1280)</f>
        <v>36978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105</v>
      </c>
      <c r="C1281" s="82">
        <f t="shared" si="358"/>
        <v>9142</v>
      </c>
      <c r="D1281" s="32">
        <f>650*50</f>
        <v>32500</v>
      </c>
      <c r="E1281" s="32"/>
      <c r="F1281" s="32"/>
      <c r="G1281" s="32">
        <f t="shared" si="354"/>
        <v>32500</v>
      </c>
      <c r="H1281" s="12"/>
      <c r="I1281" s="12"/>
      <c r="J1281" s="12"/>
      <c r="K1281" s="12">
        <f t="shared" si="355"/>
        <v>32500</v>
      </c>
      <c r="M1281" s="64"/>
      <c r="N1281" s="85"/>
      <c r="O1281" s="85"/>
      <c r="P1281" s="85"/>
      <c r="Q1281" s="85"/>
      <c r="R1281" s="85"/>
      <c r="S1281" s="85"/>
      <c r="T1281" s="62"/>
      <c r="U1281" s="65"/>
      <c r="V1281" s="65"/>
      <c r="W1281" s="62"/>
      <c r="Y1281" s="10">
        <v>5</v>
      </c>
      <c r="Z1281" s="30" t="s">
        <v>105</v>
      </c>
      <c r="AA1281" s="31">
        <f t="shared" si="359"/>
        <v>9375</v>
      </c>
      <c r="AB1281" s="33">
        <f>650*42+622*8</f>
        <v>32276</v>
      </c>
      <c r="AC1281" s="32">
        <f>-50*6</f>
        <v>-300</v>
      </c>
      <c r="AD1281" s="32"/>
      <c r="AE1281" s="32">
        <f>SUM(AB1281:AC1281)</f>
        <v>31976</v>
      </c>
      <c r="AF1281" s="12"/>
      <c r="AG1281" s="12"/>
      <c r="AH1281" s="12">
        <v>-1110</v>
      </c>
      <c r="AI1281" s="12">
        <f t="shared" ref="AI1281:AI1318" si="360">SUM(AE1281:AH1281)</f>
        <v>30866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105</v>
      </c>
      <c r="C1282" s="82">
        <f t="shared" si="358"/>
        <v>9143</v>
      </c>
      <c r="D1282" s="32">
        <f>650*8</f>
        <v>5200</v>
      </c>
      <c r="E1282" s="32"/>
      <c r="F1282" s="32"/>
      <c r="G1282" s="32">
        <f t="shared" si="354"/>
        <v>5200</v>
      </c>
      <c r="H1282" s="12"/>
      <c r="I1282" s="12"/>
      <c r="J1282" s="12"/>
      <c r="K1282" s="12">
        <f t="shared" si="355"/>
        <v>5200</v>
      </c>
      <c r="M1282" s="62"/>
      <c r="N1282" s="85"/>
      <c r="O1282" s="85"/>
      <c r="P1282" s="85"/>
      <c r="Q1282" s="85"/>
      <c r="R1282" s="85"/>
      <c r="S1282" s="85"/>
      <c r="T1282" s="62"/>
      <c r="U1282" s="62"/>
      <c r="V1282" s="62"/>
      <c r="W1282" s="62"/>
      <c r="Y1282" s="10">
        <v>6</v>
      </c>
      <c r="Z1282" s="30" t="s">
        <v>105</v>
      </c>
      <c r="AA1282" s="31">
        <f t="shared" si="359"/>
        <v>9376</v>
      </c>
      <c r="AB1282" s="32">
        <f>650*6</f>
        <v>3900</v>
      </c>
      <c r="AC1282" s="32"/>
      <c r="AD1282" s="32"/>
      <c r="AE1282" s="32">
        <f t="shared" ref="AE1282:AE1315" si="361">SUM(AB1282:AC1282)</f>
        <v>3900</v>
      </c>
      <c r="AF1282" s="12"/>
      <c r="AG1282" s="12"/>
      <c r="AH1282" s="10"/>
      <c r="AI1282" s="12">
        <f t="shared" si="360"/>
        <v>3900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 t="s">
        <v>105</v>
      </c>
      <c r="C1283" s="82">
        <f t="shared" si="358"/>
        <v>9144</v>
      </c>
      <c r="D1283" s="32">
        <f>650*14+670</f>
        <v>9770</v>
      </c>
      <c r="E1283" s="32"/>
      <c r="F1283" s="32"/>
      <c r="G1283" s="32">
        <f t="shared" si="354"/>
        <v>9770</v>
      </c>
      <c r="H1283" s="12"/>
      <c r="I1283" s="12"/>
      <c r="J1283" s="12"/>
      <c r="K1283" s="12">
        <f t="shared" si="355"/>
        <v>9770</v>
      </c>
      <c r="M1283" s="62"/>
      <c r="N1283" s="65"/>
      <c r="O1283" s="85"/>
      <c r="P1283" s="125"/>
      <c r="Q1283" s="125"/>
      <c r="R1283" s="85"/>
      <c r="S1283" s="85"/>
      <c r="T1283" s="62"/>
      <c r="U1283" s="125"/>
      <c r="V1283" s="125"/>
      <c r="W1283" s="124"/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1"/>
        <v>0</v>
      </c>
      <c r="AF1283" s="12"/>
      <c r="AG1283" s="58"/>
      <c r="AH1283" s="12"/>
      <c r="AI1283" s="12">
        <f t="shared" si="360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 t="s">
        <v>105</v>
      </c>
      <c r="C1284" s="82">
        <f t="shared" si="358"/>
        <v>9145</v>
      </c>
      <c r="D1284" s="32">
        <f>650*46</f>
        <v>29900</v>
      </c>
      <c r="E1284" s="32"/>
      <c r="F1284" s="32"/>
      <c r="G1284" s="32">
        <f t="shared" si="354"/>
        <v>29900</v>
      </c>
      <c r="H1284" s="12"/>
      <c r="I1284" s="12"/>
      <c r="J1284" s="12"/>
      <c r="K1284" s="12">
        <f t="shared" si="355"/>
        <v>29900</v>
      </c>
      <c r="M1284" s="62"/>
      <c r="N1284" s="85"/>
      <c r="O1284" s="85"/>
      <c r="P1284" s="85"/>
      <c r="Q1284" s="84"/>
      <c r="R1284" s="84"/>
      <c r="S1284" s="84"/>
      <c r="T1284" s="62"/>
      <c r="U1284" s="84"/>
      <c r="V1284" s="84"/>
      <c r="W1284" s="124"/>
      <c r="Y1284" s="10">
        <v>8</v>
      </c>
      <c r="Z1284" s="30"/>
      <c r="AA1284" s="31"/>
      <c r="AB1284" s="32"/>
      <c r="AC1284" s="32"/>
      <c r="AE1284" s="32">
        <f t="shared" si="361"/>
        <v>0</v>
      </c>
      <c r="AF1284" s="12"/>
      <c r="AG1284" s="12"/>
      <c r="AH1284" s="12"/>
      <c r="AI1284" s="12">
        <f t="shared" si="360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 t="s">
        <v>105</v>
      </c>
      <c r="C1285" s="82">
        <f t="shared" si="358"/>
        <v>9146</v>
      </c>
      <c r="D1285" s="32">
        <f>622</f>
        <v>622</v>
      </c>
      <c r="E1285" s="32"/>
      <c r="F1285" s="32"/>
      <c r="G1285" s="32">
        <f t="shared" si="354"/>
        <v>622</v>
      </c>
      <c r="H1285" s="12"/>
      <c r="I1285" s="12"/>
      <c r="J1285" s="12"/>
      <c r="K1285" s="12">
        <f t="shared" si="355"/>
        <v>622</v>
      </c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Y1285" s="10">
        <v>9</v>
      </c>
      <c r="Z1285" s="30"/>
      <c r="AA1285" s="31"/>
      <c r="AC1285" s="32"/>
      <c r="AD1285" s="32"/>
      <c r="AE1285" s="32">
        <f t="shared" si="361"/>
        <v>0</v>
      </c>
      <c r="AF1285" s="12"/>
      <c r="AH1285" s="12"/>
      <c r="AI1285" s="12">
        <f t="shared" si="360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 t="s">
        <v>105</v>
      </c>
      <c r="C1286" s="82">
        <f t="shared" si="358"/>
        <v>9147</v>
      </c>
      <c r="D1286" s="32">
        <f>650*79+670*3+622*14+229*2+500</f>
        <v>63026</v>
      </c>
      <c r="E1286" s="32"/>
      <c r="F1286" s="32"/>
      <c r="G1286" s="32">
        <f t="shared" si="354"/>
        <v>63026</v>
      </c>
      <c r="H1286" s="12"/>
      <c r="I1286" s="12"/>
      <c r="J1286" s="12"/>
      <c r="K1286" s="12">
        <f t="shared" si="355"/>
        <v>63026</v>
      </c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Y1286" s="10">
        <v>10</v>
      </c>
      <c r="Z1286" s="30"/>
      <c r="AB1286" s="32"/>
      <c r="AC1286" s="32"/>
      <c r="AD1286" s="32"/>
      <c r="AE1286" s="32">
        <f t="shared" si="361"/>
        <v>0</v>
      </c>
      <c r="AF1286" s="12"/>
      <c r="AG1286" s="12"/>
      <c r="AH1286" s="12"/>
      <c r="AI1286" s="12">
        <f t="shared" si="360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 t="s">
        <v>105</v>
      </c>
      <c r="C1287" s="82">
        <f t="shared" si="358"/>
        <v>9148</v>
      </c>
      <c r="D1287" s="32">
        <f>973*65+1050*3+872*3+500</f>
        <v>69511</v>
      </c>
      <c r="E1287" s="32"/>
      <c r="F1287" s="32"/>
      <c r="G1287" s="32">
        <f t="shared" si="354"/>
        <v>69511</v>
      </c>
      <c r="H1287" s="12"/>
      <c r="I1287" s="12">
        <v>108</v>
      </c>
      <c r="J1287" s="12"/>
      <c r="K1287" s="12">
        <f t="shared" si="355"/>
        <v>69619</v>
      </c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Y1287" s="10">
        <v>11</v>
      </c>
      <c r="Z1287" s="30"/>
      <c r="AB1287" s="32"/>
      <c r="AC1287" s="32"/>
      <c r="AD1287" s="32"/>
      <c r="AE1287" s="32">
        <f t="shared" si="361"/>
        <v>0</v>
      </c>
      <c r="AF1287" s="12"/>
      <c r="AG1287" s="12"/>
      <c r="AH1287" s="12"/>
      <c r="AI1287" s="12">
        <f t="shared" si="360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 t="s">
        <v>105</v>
      </c>
      <c r="C1288" s="82">
        <f t="shared" si="358"/>
        <v>9149</v>
      </c>
      <c r="D1288" s="32">
        <f>650</f>
        <v>650</v>
      </c>
      <c r="E1288" s="32"/>
      <c r="F1288" s="32"/>
      <c r="G1288" s="32">
        <f t="shared" si="354"/>
        <v>650</v>
      </c>
      <c r="H1288" s="12"/>
      <c r="I1288" s="12"/>
      <c r="J1288" s="10"/>
      <c r="K1288" s="12">
        <f t="shared" si="355"/>
        <v>650</v>
      </c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Y1288" s="10">
        <v>12</v>
      </c>
      <c r="Z1288" s="30"/>
      <c r="AA1288" s="31"/>
      <c r="AB1288" s="32"/>
      <c r="AC1288" s="32"/>
      <c r="AD1288" s="32"/>
      <c r="AE1288" s="32">
        <f t="shared" si="361"/>
        <v>0</v>
      </c>
      <c r="AF1288" s="12"/>
      <c r="AG1288" s="12"/>
      <c r="AH1288" s="12"/>
      <c r="AI1288" s="12">
        <f t="shared" si="360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11" t="s">
        <v>27</v>
      </c>
      <c r="D1289" s="32"/>
      <c r="E1289" s="32"/>
      <c r="F1289" s="32"/>
      <c r="G1289" s="32">
        <f t="shared" si="354"/>
        <v>0</v>
      </c>
      <c r="H1289" s="12"/>
      <c r="I1289" s="12"/>
      <c r="J1289" s="12"/>
      <c r="K1289" s="12">
        <f t="shared" si="355"/>
        <v>0</v>
      </c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Y1289" s="10">
        <v>13</v>
      </c>
      <c r="Z1289" s="30"/>
      <c r="AA1289" s="31"/>
      <c r="AB1289" s="32"/>
      <c r="AC1289" s="32"/>
      <c r="AD1289" s="32"/>
      <c r="AE1289" s="32">
        <f t="shared" si="361"/>
        <v>0</v>
      </c>
      <c r="AF1289" s="12"/>
      <c r="AG1289" s="12"/>
      <c r="AH1289" s="12"/>
      <c r="AI1289" s="12">
        <f t="shared" si="360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82"/>
      <c r="D1290" s="32"/>
      <c r="E1290" s="32"/>
      <c r="F1290" s="32"/>
      <c r="G1290" s="32">
        <f t="shared" si="354"/>
        <v>0</v>
      </c>
      <c r="H1290" s="12"/>
      <c r="I1290" s="12"/>
      <c r="J1290" s="12"/>
      <c r="K1290" s="12">
        <f t="shared" si="355"/>
        <v>0</v>
      </c>
      <c r="M1290" s="62"/>
      <c r="N1290" s="66"/>
      <c r="O1290" s="85"/>
      <c r="P1290" s="62"/>
      <c r="Q1290" s="60"/>
      <c r="R1290" s="60"/>
      <c r="S1290" s="60"/>
      <c r="T1290" s="61"/>
      <c r="U1290" s="61"/>
      <c r="V1290" s="62"/>
      <c r="W1290" s="61"/>
      <c r="Y1290" s="10">
        <v>14</v>
      </c>
      <c r="Z1290" s="30"/>
      <c r="AA1290" s="31"/>
      <c r="AB1290" s="32"/>
      <c r="AC1290" s="32"/>
      <c r="AD1290" s="32"/>
      <c r="AE1290" s="32">
        <f t="shared" si="361"/>
        <v>0</v>
      </c>
      <c r="AF1290" s="12"/>
      <c r="AG1290" s="12"/>
      <c r="AH1290" s="12"/>
      <c r="AI1290" s="12">
        <f t="shared" si="360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82"/>
      <c r="D1291" s="32"/>
      <c r="E1291" s="32"/>
      <c r="F1291" s="32"/>
      <c r="G1291" s="32">
        <f t="shared" si="354"/>
        <v>0</v>
      </c>
      <c r="H1291" s="12"/>
      <c r="I1291" s="12"/>
      <c r="J1291" s="12"/>
      <c r="K1291" s="12">
        <f t="shared" si="355"/>
        <v>0</v>
      </c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Y1291" s="10">
        <v>15</v>
      </c>
      <c r="Z1291" s="30"/>
      <c r="AA1291" s="31"/>
      <c r="AB1291" s="32"/>
      <c r="AC1291" s="32"/>
      <c r="AD1291" s="32"/>
      <c r="AE1291" s="32">
        <f t="shared" si="361"/>
        <v>0</v>
      </c>
      <c r="AF1291" s="12"/>
      <c r="AG1291" s="12"/>
      <c r="AH1291" s="12"/>
      <c r="AI1291" s="12">
        <f t="shared" si="360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82"/>
      <c r="D1292" s="32"/>
      <c r="E1292" s="32"/>
      <c r="F1292" s="32"/>
      <c r="G1292" s="32">
        <f t="shared" si="354"/>
        <v>0</v>
      </c>
      <c r="H1292" s="12"/>
      <c r="I1292" s="12"/>
      <c r="J1292" s="12"/>
      <c r="K1292" s="12">
        <f t="shared" si="355"/>
        <v>0</v>
      </c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Y1292" s="10">
        <v>16</v>
      </c>
      <c r="Z1292" s="30"/>
      <c r="AB1292" s="32"/>
      <c r="AC1292" s="32"/>
      <c r="AD1292" s="32"/>
      <c r="AE1292" s="32">
        <f t="shared" si="361"/>
        <v>0</v>
      </c>
      <c r="AF1292" s="12"/>
      <c r="AG1292" s="12"/>
      <c r="AH1292" s="12"/>
      <c r="AI1292" s="12">
        <f t="shared" si="360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82"/>
      <c r="D1293" s="32"/>
      <c r="E1293" s="32"/>
      <c r="F1293" s="32"/>
      <c r="G1293" s="32">
        <f t="shared" si="354"/>
        <v>0</v>
      </c>
      <c r="H1293" s="12"/>
      <c r="I1293" s="12"/>
      <c r="J1293" s="12"/>
      <c r="K1293" s="12">
        <f t="shared" si="355"/>
        <v>0</v>
      </c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Y1293" s="10">
        <v>17</v>
      </c>
      <c r="Z1293" s="30"/>
      <c r="AA1293" s="31"/>
      <c r="AB1293" s="35"/>
      <c r="AC1293" s="32"/>
      <c r="AD1293" s="32"/>
      <c r="AE1293" s="32">
        <f t="shared" si="361"/>
        <v>0</v>
      </c>
      <c r="AF1293" s="12"/>
      <c r="AG1293" s="12"/>
      <c r="AH1293" s="12"/>
      <c r="AI1293" s="12">
        <f t="shared" si="360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82"/>
      <c r="D1294" s="32"/>
      <c r="E1294" s="32"/>
      <c r="F1294" s="32"/>
      <c r="G1294" s="32">
        <f t="shared" si="354"/>
        <v>0</v>
      </c>
      <c r="H1294" s="12"/>
      <c r="I1294" s="12"/>
      <c r="J1294" s="12"/>
      <c r="K1294" s="12">
        <f t="shared" si="355"/>
        <v>0</v>
      </c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Y1294" s="10">
        <v>18</v>
      </c>
      <c r="Z1294" s="30"/>
      <c r="AA1294" s="31"/>
      <c r="AB1294" s="32"/>
      <c r="AC1294" s="32"/>
      <c r="AD1294" s="32"/>
      <c r="AE1294" s="32">
        <f t="shared" si="361"/>
        <v>0</v>
      </c>
      <c r="AF1294" s="12"/>
      <c r="AG1294" s="12"/>
      <c r="AH1294" s="12"/>
      <c r="AI1294" s="12">
        <f t="shared" si="360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82"/>
      <c r="D1295" s="32"/>
      <c r="E1295" s="32"/>
      <c r="F1295" s="32"/>
      <c r="G1295" s="32">
        <f t="shared" si="354"/>
        <v>0</v>
      </c>
      <c r="H1295" s="12"/>
      <c r="I1295" s="12"/>
      <c r="J1295" s="12"/>
      <c r="K1295" s="12">
        <f t="shared" si="355"/>
        <v>0</v>
      </c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Y1295" s="10">
        <v>19</v>
      </c>
      <c r="Z1295" s="30"/>
      <c r="AA1295" s="31"/>
      <c r="AB1295" s="32"/>
      <c r="AC1295" s="32"/>
      <c r="AD1295" s="32"/>
      <c r="AE1295" s="32">
        <f t="shared" si="361"/>
        <v>0</v>
      </c>
      <c r="AF1295" s="12"/>
      <c r="AG1295" s="12"/>
      <c r="AH1295" s="12"/>
      <c r="AI1295" s="12">
        <f t="shared" si="360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D1296" s="32"/>
      <c r="E1296" s="32"/>
      <c r="F1296" s="32"/>
      <c r="G1296" s="32">
        <f t="shared" si="354"/>
        <v>0</v>
      </c>
      <c r="H1296" s="12"/>
      <c r="I1296" s="12"/>
      <c r="J1296" s="12"/>
      <c r="K1296" s="12">
        <f t="shared" si="355"/>
        <v>0</v>
      </c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Y1296" s="10">
        <v>20</v>
      </c>
      <c r="Z1296" s="30"/>
      <c r="AA1296" s="31"/>
      <c r="AB1296" s="32"/>
      <c r="AC1296" s="32"/>
      <c r="AD1296" s="32"/>
      <c r="AE1296" s="32">
        <f t="shared" si="361"/>
        <v>0</v>
      </c>
      <c r="AF1296" s="12"/>
      <c r="AG1296" s="12"/>
      <c r="AH1296" s="12"/>
      <c r="AI1296" s="12">
        <f t="shared" si="360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C1297" s="57"/>
      <c r="D1297" s="32"/>
      <c r="E1297" s="32"/>
      <c r="F1297" s="32"/>
      <c r="G1297" s="32">
        <f t="shared" si="354"/>
        <v>0</v>
      </c>
      <c r="H1297" s="10"/>
      <c r="I1297" s="10"/>
      <c r="J1297" s="10"/>
      <c r="K1297" s="12">
        <f t="shared" si="355"/>
        <v>0</v>
      </c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Y1297" s="10">
        <v>21</v>
      </c>
      <c r="Z1297" s="30"/>
      <c r="AB1297" s="46"/>
      <c r="AC1297" s="31"/>
      <c r="AD1297" s="31"/>
      <c r="AE1297" s="32">
        <f t="shared" si="361"/>
        <v>0</v>
      </c>
      <c r="AF1297" s="10"/>
      <c r="AG1297" s="10"/>
      <c r="AH1297" s="10"/>
      <c r="AI1297" s="12">
        <f t="shared" si="360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82"/>
      <c r="D1298" s="32"/>
      <c r="E1298" s="32"/>
      <c r="F1298" s="32"/>
      <c r="G1298" s="32">
        <f t="shared" si="354"/>
        <v>0</v>
      </c>
      <c r="H1298" s="10"/>
      <c r="I1298" s="10"/>
      <c r="J1298" s="10"/>
      <c r="K1298" s="12">
        <f t="shared" si="355"/>
        <v>0</v>
      </c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Y1298" s="10">
        <v>22</v>
      </c>
      <c r="Z1298" s="30"/>
      <c r="AA1298" s="31"/>
      <c r="AB1298" s="45"/>
      <c r="AC1298" s="31"/>
      <c r="AD1298" s="31"/>
      <c r="AE1298" s="32">
        <f t="shared" si="361"/>
        <v>0</v>
      </c>
      <c r="AF1298" s="10"/>
      <c r="AG1298" s="10"/>
      <c r="AH1298" s="10"/>
      <c r="AI1298" s="12">
        <f t="shared" si="360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82"/>
      <c r="D1299" s="32"/>
      <c r="E1299" s="32"/>
      <c r="F1299" s="32"/>
      <c r="G1299" s="32">
        <f t="shared" si="354"/>
        <v>0</v>
      </c>
      <c r="H1299" s="10"/>
      <c r="I1299" s="10"/>
      <c r="J1299" s="12"/>
      <c r="K1299" s="12">
        <f t="shared" si="355"/>
        <v>0</v>
      </c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Y1299" s="10">
        <v>23</v>
      </c>
      <c r="Z1299" s="30"/>
      <c r="AA1299" s="31"/>
      <c r="AB1299" s="47"/>
      <c r="AC1299" s="31"/>
      <c r="AE1299" s="32">
        <f t="shared" si="361"/>
        <v>0</v>
      </c>
      <c r="AF1299" s="10"/>
      <c r="AG1299" s="10"/>
      <c r="AH1299" s="10"/>
      <c r="AI1299" s="12">
        <f t="shared" si="360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82"/>
      <c r="D1300" s="32"/>
      <c r="E1300" s="32"/>
      <c r="F1300" s="32"/>
      <c r="G1300" s="32">
        <f t="shared" si="354"/>
        <v>0</v>
      </c>
      <c r="H1300" s="10"/>
      <c r="I1300" s="10"/>
      <c r="J1300" s="10"/>
      <c r="K1300" s="12">
        <f t="shared" si="355"/>
        <v>0</v>
      </c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Y1300" s="10">
        <v>24</v>
      </c>
      <c r="Z1300" s="30"/>
      <c r="AA1300" s="31"/>
      <c r="AB1300" s="47"/>
      <c r="AC1300" s="31"/>
      <c r="AD1300" s="31"/>
      <c r="AE1300" s="32">
        <f t="shared" si="361"/>
        <v>0</v>
      </c>
      <c r="AF1300" s="10"/>
      <c r="AG1300" s="10"/>
      <c r="AH1300" s="10"/>
      <c r="AI1300" s="12">
        <f t="shared" si="360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82"/>
      <c r="D1301" s="32"/>
      <c r="E1301" s="32"/>
      <c r="F1301" s="32"/>
      <c r="G1301" s="32">
        <f t="shared" si="354"/>
        <v>0</v>
      </c>
      <c r="H1301" s="10"/>
      <c r="I1301" s="10"/>
      <c r="J1301" s="10"/>
      <c r="K1301" s="12">
        <f t="shared" si="355"/>
        <v>0</v>
      </c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Y1301" s="10">
        <v>25</v>
      </c>
      <c r="Z1301" s="30"/>
      <c r="AA1301" s="31"/>
      <c r="AB1301" s="47"/>
      <c r="AC1301" s="31"/>
      <c r="AD1301" s="31"/>
      <c r="AE1301" s="32">
        <f t="shared" si="361"/>
        <v>0</v>
      </c>
      <c r="AF1301" s="10"/>
      <c r="AG1301" s="10"/>
      <c r="AH1301" s="10"/>
      <c r="AI1301" s="12">
        <f t="shared" si="360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54"/>
        <v>0</v>
      </c>
      <c r="H1302" s="10"/>
      <c r="I1302" s="10"/>
      <c r="J1302" s="10"/>
      <c r="K1302" s="12">
        <f t="shared" si="355"/>
        <v>0</v>
      </c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Y1302" s="10">
        <v>26</v>
      </c>
      <c r="Z1302" s="30"/>
      <c r="AA1302" s="31"/>
      <c r="AB1302" s="47"/>
      <c r="AC1302" s="31"/>
      <c r="AD1302" s="31"/>
      <c r="AE1302" s="32">
        <f t="shared" si="361"/>
        <v>0</v>
      </c>
      <c r="AF1302" s="10"/>
      <c r="AG1302" s="10"/>
      <c r="AH1302" s="10"/>
      <c r="AI1302" s="12">
        <f t="shared" si="360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82"/>
      <c r="D1303" s="32"/>
      <c r="E1303" s="32"/>
      <c r="F1303" s="32"/>
      <c r="G1303" s="32">
        <f t="shared" si="354"/>
        <v>0</v>
      </c>
      <c r="H1303" s="10"/>
      <c r="I1303" s="10"/>
      <c r="J1303" s="10"/>
      <c r="K1303" s="12">
        <f t="shared" si="355"/>
        <v>0</v>
      </c>
      <c r="M1303" s="62"/>
      <c r="N1303" s="66"/>
      <c r="O1303" s="85"/>
      <c r="P1303" s="60"/>
      <c r="Q1303" s="60"/>
      <c r="R1303" s="60"/>
      <c r="S1303" s="60"/>
      <c r="T1303" s="61"/>
      <c r="U1303" s="61"/>
      <c r="V1303" s="61"/>
      <c r="W1303" s="61"/>
      <c r="Y1303" s="10">
        <v>27</v>
      </c>
      <c r="Z1303" s="30"/>
      <c r="AA1303" s="31"/>
      <c r="AB1303" s="47"/>
      <c r="AC1303" s="31"/>
      <c r="AD1303" s="31"/>
      <c r="AE1303" s="32">
        <f t="shared" si="361"/>
        <v>0</v>
      </c>
      <c r="AF1303" s="10"/>
      <c r="AG1303" s="10"/>
      <c r="AH1303" s="10"/>
      <c r="AI1303" s="12">
        <f t="shared" si="360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82"/>
      <c r="D1304" s="32"/>
      <c r="E1304" s="32"/>
      <c r="F1304" s="32"/>
      <c r="G1304" s="32">
        <f t="shared" si="354"/>
        <v>0</v>
      </c>
      <c r="H1304" s="10"/>
      <c r="I1304" s="10"/>
      <c r="J1304" s="10"/>
      <c r="K1304" s="12">
        <f t="shared" si="355"/>
        <v>0</v>
      </c>
      <c r="M1304" s="62"/>
      <c r="N1304" s="66"/>
      <c r="O1304" s="85"/>
      <c r="P1304" s="60"/>
      <c r="Q1304" s="60"/>
      <c r="R1304" s="60"/>
      <c r="S1304" s="60"/>
      <c r="T1304" s="61"/>
      <c r="U1304" s="61"/>
      <c r="V1304" s="61"/>
      <c r="W1304" s="61"/>
      <c r="Y1304" s="10">
        <v>28</v>
      </c>
      <c r="Z1304" s="30"/>
      <c r="AA1304" s="31"/>
      <c r="AB1304" s="47"/>
      <c r="AC1304" s="31"/>
      <c r="AD1304" s="31"/>
      <c r="AE1304" s="32">
        <f t="shared" si="361"/>
        <v>0</v>
      </c>
      <c r="AF1304" s="10"/>
      <c r="AG1304" s="10"/>
      <c r="AH1304" s="10"/>
      <c r="AI1304" s="12">
        <f t="shared" si="360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82"/>
      <c r="D1305" s="32"/>
      <c r="E1305" s="32"/>
      <c r="F1305" s="32"/>
      <c r="G1305" s="32">
        <f t="shared" si="354"/>
        <v>0</v>
      </c>
      <c r="H1305" s="10"/>
      <c r="I1305" s="10"/>
      <c r="J1305" s="10"/>
      <c r="K1305" s="12">
        <f t="shared" si="355"/>
        <v>0</v>
      </c>
      <c r="M1305" s="62"/>
      <c r="N1305" s="66"/>
      <c r="O1305" s="85"/>
      <c r="P1305" s="67"/>
      <c r="Q1305" s="85"/>
      <c r="R1305" s="85"/>
      <c r="S1305" s="60"/>
      <c r="T1305" s="62"/>
      <c r="U1305" s="62"/>
      <c r="V1305" s="62"/>
      <c r="W1305" s="61"/>
      <c r="Y1305" s="10">
        <v>29</v>
      </c>
      <c r="Z1305" s="30"/>
      <c r="AA1305" s="31"/>
      <c r="AB1305" s="47"/>
      <c r="AC1305" s="31"/>
      <c r="AD1305" s="31"/>
      <c r="AE1305" s="32">
        <f t="shared" si="361"/>
        <v>0</v>
      </c>
      <c r="AF1305" s="10"/>
      <c r="AG1305" s="10"/>
      <c r="AH1305" s="10"/>
      <c r="AI1305" s="12">
        <f t="shared" si="360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54"/>
        <v>0</v>
      </c>
      <c r="H1306" s="10"/>
      <c r="I1306" s="10"/>
      <c r="J1306" s="10"/>
      <c r="K1306" s="12">
        <f t="shared" si="355"/>
        <v>0</v>
      </c>
      <c r="M1306" s="62"/>
      <c r="N1306" s="66"/>
      <c r="O1306" s="85"/>
      <c r="P1306" s="68"/>
      <c r="Q1306" s="85"/>
      <c r="R1306" s="85"/>
      <c r="S1306" s="60"/>
      <c r="T1306" s="62"/>
      <c r="U1306" s="62"/>
      <c r="V1306" s="62"/>
      <c r="W1306" s="61"/>
      <c r="Y1306" s="10">
        <v>30</v>
      </c>
      <c r="Z1306" s="30"/>
      <c r="AA1306" s="31"/>
      <c r="AB1306" s="47"/>
      <c r="AC1306" s="31"/>
      <c r="AD1306" s="31"/>
      <c r="AE1306" s="32">
        <f t="shared" si="361"/>
        <v>0</v>
      </c>
      <c r="AF1306" s="10"/>
      <c r="AG1306" s="10"/>
      <c r="AH1306" s="10"/>
      <c r="AI1306" s="12">
        <f t="shared" si="360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11"/>
      <c r="D1307" s="32"/>
      <c r="E1307" s="32"/>
      <c r="F1307" s="32"/>
      <c r="G1307" s="32">
        <f t="shared" si="354"/>
        <v>0</v>
      </c>
      <c r="H1307" s="10"/>
      <c r="I1307" s="10"/>
      <c r="J1307" s="10"/>
      <c r="K1307" s="12">
        <f t="shared" si="355"/>
        <v>0</v>
      </c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Y1307" s="10">
        <v>31</v>
      </c>
      <c r="Z1307" s="30"/>
      <c r="AA1307" s="31"/>
      <c r="AB1307" s="47"/>
      <c r="AC1307" s="31"/>
      <c r="AD1307" s="31"/>
      <c r="AE1307" s="32">
        <f t="shared" si="361"/>
        <v>0</v>
      </c>
      <c r="AF1307" s="10"/>
      <c r="AG1307" s="10"/>
      <c r="AH1307" s="10"/>
      <c r="AI1307" s="12">
        <f t="shared" si="360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82"/>
      <c r="D1308" s="32"/>
      <c r="E1308" s="32"/>
      <c r="F1308" s="32"/>
      <c r="G1308" s="32">
        <f t="shared" si="354"/>
        <v>0</v>
      </c>
      <c r="H1308" s="10"/>
      <c r="I1308" s="10"/>
      <c r="J1308" s="10"/>
      <c r="K1308" s="12">
        <f t="shared" si="355"/>
        <v>0</v>
      </c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Y1308" s="10">
        <v>32</v>
      </c>
      <c r="Z1308" s="30"/>
      <c r="AA1308" s="31"/>
      <c r="AB1308" s="47"/>
      <c r="AC1308" s="31"/>
      <c r="AD1308" s="31"/>
      <c r="AE1308" s="32">
        <f t="shared" si="361"/>
        <v>0</v>
      </c>
      <c r="AF1308" s="10"/>
      <c r="AG1308" s="10"/>
      <c r="AH1308" s="10"/>
      <c r="AI1308" s="12">
        <f t="shared" si="360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2"/>
      <c r="D1309" s="32"/>
      <c r="E1309" s="32"/>
      <c r="F1309" s="32"/>
      <c r="G1309" s="32">
        <f t="shared" si="354"/>
        <v>0</v>
      </c>
      <c r="H1309" s="10"/>
      <c r="I1309" s="10"/>
      <c r="J1309" s="10"/>
      <c r="K1309" s="12">
        <f t="shared" si="355"/>
        <v>0</v>
      </c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Y1309" s="10">
        <v>33</v>
      </c>
      <c r="Z1309" s="30"/>
      <c r="AA1309" s="31"/>
      <c r="AB1309" s="47"/>
      <c r="AC1309" s="31"/>
      <c r="AD1309" s="31"/>
      <c r="AE1309" s="32">
        <f t="shared" si="361"/>
        <v>0</v>
      </c>
      <c r="AF1309" s="10"/>
      <c r="AG1309" s="10"/>
      <c r="AH1309" s="10"/>
      <c r="AI1309" s="12">
        <f t="shared" si="360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2"/>
      <c r="D1310" s="32"/>
      <c r="E1310" s="32"/>
      <c r="F1310" s="32"/>
      <c r="G1310" s="32">
        <f t="shared" si="354"/>
        <v>0</v>
      </c>
      <c r="H1310" s="10"/>
      <c r="I1310" s="10"/>
      <c r="J1310" s="10"/>
      <c r="K1310" s="12">
        <f t="shared" si="355"/>
        <v>0</v>
      </c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Y1310" s="10">
        <v>34</v>
      </c>
      <c r="Z1310" s="30"/>
      <c r="AA1310" s="31"/>
      <c r="AB1310" s="47"/>
      <c r="AC1310" s="31"/>
      <c r="AD1310" s="31"/>
      <c r="AE1310" s="32">
        <f t="shared" si="361"/>
        <v>0</v>
      </c>
      <c r="AF1310" s="10"/>
      <c r="AG1310" s="10"/>
      <c r="AH1310" s="10"/>
      <c r="AI1310" s="12">
        <f t="shared" si="360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2"/>
      <c r="D1311" s="32"/>
      <c r="E1311" s="32"/>
      <c r="F1311" s="32"/>
      <c r="G1311" s="32"/>
      <c r="H1311" s="10"/>
      <c r="I1311" s="10"/>
      <c r="J1311" s="10"/>
      <c r="K1311" s="1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Y1311" s="10">
        <v>35</v>
      </c>
      <c r="Z1311" s="30"/>
      <c r="AA1311" s="31"/>
      <c r="AB1311" s="47"/>
      <c r="AC1311" s="31"/>
      <c r="AD1311" s="31"/>
      <c r="AE1311" s="32">
        <f t="shared" si="361"/>
        <v>0</v>
      </c>
      <c r="AF1311" s="10"/>
      <c r="AG1311" s="10"/>
      <c r="AH1311" s="10"/>
      <c r="AI1311" s="12">
        <f t="shared" si="360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2"/>
      <c r="D1312" s="32"/>
      <c r="E1312" s="32"/>
      <c r="F1312" s="32"/>
      <c r="G1312" s="32"/>
      <c r="H1312" s="10"/>
      <c r="I1312" s="10"/>
      <c r="J1312" s="10"/>
      <c r="K1312" s="1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Y1312" s="10">
        <v>36</v>
      </c>
      <c r="Z1312" s="30"/>
      <c r="AA1312" s="31"/>
      <c r="AB1312" s="47"/>
      <c r="AC1312" s="31"/>
      <c r="AD1312" s="31"/>
      <c r="AE1312" s="32">
        <f t="shared" si="361"/>
        <v>0</v>
      </c>
      <c r="AF1312" s="10"/>
      <c r="AG1312" s="10"/>
      <c r="AH1312" s="10"/>
      <c r="AI1312" s="12">
        <f t="shared" si="360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Y1313" s="10">
        <v>37</v>
      </c>
      <c r="Z1313" s="30"/>
      <c r="AA1313" s="31"/>
      <c r="AB1313" s="47"/>
      <c r="AC1313" s="31"/>
      <c r="AD1313" s="31"/>
      <c r="AE1313" s="32">
        <f t="shared" si="361"/>
        <v>0</v>
      </c>
      <c r="AF1313" s="10"/>
      <c r="AG1313" s="10"/>
      <c r="AH1313" s="10"/>
      <c r="AI1313" s="12">
        <f t="shared" si="360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Y1314" s="10">
        <v>38</v>
      </c>
      <c r="Z1314" s="30"/>
      <c r="AA1314" s="31"/>
      <c r="AB1314" s="47"/>
      <c r="AC1314" s="31"/>
      <c r="AD1314" s="31"/>
      <c r="AE1314" s="32">
        <f t="shared" si="361"/>
        <v>0</v>
      </c>
      <c r="AF1314" s="10"/>
      <c r="AG1314" s="10"/>
      <c r="AH1314" s="10"/>
      <c r="AI1314" s="12">
        <f t="shared" si="360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Y1315" s="10">
        <v>39</v>
      </c>
      <c r="Z1315" s="30"/>
      <c r="AA1315" s="31"/>
      <c r="AB1315" s="47"/>
      <c r="AC1315" s="31"/>
      <c r="AD1315" s="31"/>
      <c r="AE1315" s="32">
        <f t="shared" si="361"/>
        <v>0</v>
      </c>
      <c r="AF1315" s="10"/>
      <c r="AG1315" s="10"/>
      <c r="AH1315" s="10"/>
      <c r="AI1315" s="12">
        <f t="shared" si="360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0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62">SUM(D1317:E1317)</f>
        <v>0</v>
      </c>
      <c r="H1317" s="10"/>
      <c r="I1317" s="10"/>
      <c r="J1317" s="10"/>
      <c r="K1317" s="12">
        <f t="shared" ref="K1317" si="363">SUM(G1317:J1317)</f>
        <v>0</v>
      </c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Y1317" s="10"/>
      <c r="Z1317" s="30"/>
      <c r="AA1317" s="31"/>
      <c r="AB1317" s="47"/>
      <c r="AC1317" s="31"/>
      <c r="AD1317" s="31"/>
      <c r="AE1317" s="32">
        <f t="shared" ref="AE1317" si="364">SUM(AB1317:AC1317)</f>
        <v>0</v>
      </c>
      <c r="AF1317" s="10"/>
      <c r="AG1317" s="10"/>
      <c r="AH1317" s="10"/>
      <c r="AI1317" s="12">
        <f t="shared" si="360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0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454379</v>
      </c>
      <c r="E1320" s="38">
        <f t="shared" ref="E1320:F1320" si="365">SUM(E1277:E1317)</f>
        <v>-1944</v>
      </c>
      <c r="F1320" s="38">
        <f t="shared" si="365"/>
        <v>0</v>
      </c>
      <c r="G1320" s="38">
        <f>SUM(G1277:G1319)</f>
        <v>452435</v>
      </c>
      <c r="H1320" s="4"/>
      <c r="I1320" s="39">
        <f>SUM(I1277:I1319)</f>
        <v>1044</v>
      </c>
      <c r="J1320" s="39">
        <f>SUM(J1277:J1319)</f>
        <v>-5133</v>
      </c>
      <c r="K1320" s="40">
        <f>SUM(K1277:K1319)</f>
        <v>448346</v>
      </c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Z1320" s="57"/>
      <c r="AA1320" s="57"/>
      <c r="AB1320" s="38">
        <f>SUM(AB1277:AB1319)</f>
        <v>284619</v>
      </c>
      <c r="AC1320" s="38">
        <f>SUM(AC1277:AC1301)</f>
        <v>-1836</v>
      </c>
      <c r="AD1320" s="38">
        <f>SUM(AD1277:AD1301)</f>
        <v>0</v>
      </c>
      <c r="AE1320" s="38">
        <f>SUM(AE1277:AE1319)</f>
        <v>282783</v>
      </c>
      <c r="AF1320" s="4"/>
      <c r="AG1320" s="41">
        <f>SUM(AG1277:AG1319)</f>
        <v>84</v>
      </c>
      <c r="AH1320" s="41">
        <f>SUM(AH1277:AH1301)</f>
        <v>-1110</v>
      </c>
      <c r="AI1320" s="42">
        <f>SUM(AI1277:AI1319)</f>
        <v>281757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5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5"/>
      <c r="R1324" s="85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5"/>
      <c r="AD1324" s="85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5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5"/>
      <c r="P1325" s="69"/>
      <c r="Q1325" s="85"/>
      <c r="R1325" s="85"/>
      <c r="S1325" s="60"/>
      <c r="T1325" s="62"/>
      <c r="U1325" s="62"/>
      <c r="V1325" s="62"/>
      <c r="W1325" s="61"/>
      <c r="X1325" s="62"/>
      <c r="Y1325" s="62"/>
      <c r="Z1325" s="66"/>
      <c r="AA1325" s="85"/>
      <c r="AB1325" s="69"/>
      <c r="AC1325" s="85"/>
      <c r="AD1325" s="85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5"/>
      <c r="O1326" s="85"/>
      <c r="P1326" s="85"/>
      <c r="Q1326" s="85"/>
      <c r="R1326" s="85"/>
      <c r="S1326" s="85"/>
      <c r="T1326" s="62"/>
      <c r="U1326" s="62"/>
      <c r="V1326" s="62"/>
      <c r="W1326" s="61"/>
      <c r="X1326" s="62"/>
      <c r="Y1326" s="62"/>
      <c r="Z1326" s="85"/>
      <c r="AA1326" s="85"/>
      <c r="AB1326" s="85"/>
      <c r="AC1326" s="85"/>
      <c r="AD1326" s="85"/>
      <c r="AE1326" s="85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85"/>
      <c r="O1327" s="85"/>
      <c r="P1327" s="85"/>
      <c r="Q1327" s="85"/>
      <c r="R1327" s="85"/>
      <c r="S1327" s="85"/>
      <c r="T1327" s="62"/>
      <c r="U1327" s="62"/>
      <c r="V1327" s="62"/>
      <c r="W1327" s="62"/>
      <c r="X1327" s="62"/>
      <c r="Y1327" s="62"/>
      <c r="Z1327" s="85"/>
      <c r="AA1327" s="85"/>
      <c r="AB1327" s="85"/>
      <c r="AC1327" s="85"/>
      <c r="AD1327" s="85"/>
      <c r="AE1327" s="85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5"/>
      <c r="O1328" s="85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5"/>
      <c r="AA1328" s="85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5"/>
      <c r="C1557" s="85"/>
      <c r="D1557" s="85"/>
      <c r="E1557" s="85"/>
      <c r="F1557" s="85"/>
      <c r="G1557" s="85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5"/>
      <c r="C1558" s="85"/>
      <c r="D1558" s="85"/>
      <c r="E1558" s="85"/>
      <c r="F1558" s="85"/>
      <c r="G1558" s="85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110:AI1111"/>
    <mergeCell ref="AG1110:AH1110"/>
    <mergeCell ref="AB1110:AC1110"/>
    <mergeCell ref="AI1220:AI1221"/>
    <mergeCell ref="AG1220:AH1220"/>
    <mergeCell ref="AB1220:AC1220"/>
    <mergeCell ref="AI1000:AI1001"/>
    <mergeCell ref="AG1000:AH1000"/>
    <mergeCell ref="AB1000:AC1000"/>
    <mergeCell ref="D1220:E1220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W1220:W1221"/>
    <mergeCell ref="U1220:V1220"/>
    <mergeCell ref="P1220:Q1220"/>
    <mergeCell ref="D1275:E1275"/>
    <mergeCell ref="AI1275:AI1276"/>
    <mergeCell ref="AG1275:AH1275"/>
    <mergeCell ref="AB1275:AC1275"/>
    <mergeCell ref="W65:W66"/>
    <mergeCell ref="U65:V65"/>
    <mergeCell ref="I65:J65"/>
    <mergeCell ref="W1283:W1284"/>
    <mergeCell ref="U1283:V1283"/>
    <mergeCell ref="P1283:Q1283"/>
    <mergeCell ref="U120:V120"/>
    <mergeCell ref="U340:V340"/>
    <mergeCell ref="U945:V945"/>
    <mergeCell ref="W1110:W1111"/>
    <mergeCell ref="U1110:V1110"/>
    <mergeCell ref="P1110:Q1110"/>
    <mergeCell ref="K1220:K1221"/>
    <mergeCell ref="I1220:J122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D1110:E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2026-03-04T02:42:58Z</dcterms:modified>
</cp:coreProperties>
</file>