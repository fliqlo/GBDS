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9043BA97-7BE1-4B55-9C90-646E0EF41E95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1172" i="2" l="1"/>
  <c r="AG1210" i="2" s="1"/>
  <c r="AB1172" i="2"/>
  <c r="AE1172" i="2" s="1"/>
  <c r="AI1172" i="2" s="1"/>
  <c r="AB1171" i="2"/>
  <c r="AC1171" i="2"/>
  <c r="AH1170" i="2"/>
  <c r="AC1170" i="2"/>
  <c r="AB1170" i="2"/>
  <c r="AE1170" i="2" s="1"/>
  <c r="AI1170" i="2" s="1"/>
  <c r="AH1169" i="2"/>
  <c r="AB1169" i="2"/>
  <c r="AE1169" i="2" s="1"/>
  <c r="AI1169" i="2" s="1"/>
  <c r="AB1168" i="2"/>
  <c r="AE1168" i="2" s="1"/>
  <c r="AC1167" i="2"/>
  <c r="AB1167" i="2"/>
  <c r="AE1167" i="2" s="1"/>
  <c r="AI1167" i="2" s="1"/>
  <c r="AA1168" i="2"/>
  <c r="AA1169" i="2" s="1"/>
  <c r="AA1170" i="2" s="1"/>
  <c r="AA1171" i="2" s="1"/>
  <c r="AA1172" i="2" s="1"/>
  <c r="AE1173" i="2"/>
  <c r="AI1173" i="2"/>
  <c r="AE1174" i="2"/>
  <c r="AI1174" i="2" s="1"/>
  <c r="AE1175" i="2"/>
  <c r="AI1175" i="2"/>
  <c r="AE1176" i="2"/>
  <c r="AI1176" i="2" s="1"/>
  <c r="AE1177" i="2"/>
  <c r="AI1177" i="2"/>
  <c r="AE1178" i="2"/>
  <c r="AI1178" i="2" s="1"/>
  <c r="AE1179" i="2"/>
  <c r="AI1179" i="2"/>
  <c r="AE1180" i="2"/>
  <c r="AI1180" i="2" s="1"/>
  <c r="AE1181" i="2"/>
  <c r="AI1181" i="2"/>
  <c r="AE1182" i="2"/>
  <c r="AI1182" i="2"/>
  <c r="AE1183" i="2"/>
  <c r="AI1183" i="2"/>
  <c r="AE1184" i="2"/>
  <c r="AI1184" i="2"/>
  <c r="AE1185" i="2"/>
  <c r="AI1185" i="2"/>
  <c r="AE1186" i="2"/>
  <c r="AI1186" i="2"/>
  <c r="AE1187" i="2"/>
  <c r="AI1187" i="2"/>
  <c r="AE1188" i="2"/>
  <c r="AI1188" i="2" s="1"/>
  <c r="AE1189" i="2"/>
  <c r="AI1189" i="2"/>
  <c r="AE1190" i="2"/>
  <c r="AI1190" i="2"/>
  <c r="AE1191" i="2"/>
  <c r="AI1191" i="2"/>
  <c r="AE1192" i="2"/>
  <c r="AI1192" i="2"/>
  <c r="AE1193" i="2"/>
  <c r="AI1193" i="2"/>
  <c r="AE1194" i="2"/>
  <c r="AI1194" i="2"/>
  <c r="AE1195" i="2"/>
  <c r="AI1195" i="2"/>
  <c r="AE1196" i="2"/>
  <c r="AI1196" i="2" s="1"/>
  <c r="AE1197" i="2"/>
  <c r="AI1197" i="2"/>
  <c r="AE1198" i="2"/>
  <c r="AI1198" i="2"/>
  <c r="AE1199" i="2"/>
  <c r="AI1199" i="2"/>
  <c r="AE1200" i="2"/>
  <c r="AI1200" i="2"/>
  <c r="AE1201" i="2"/>
  <c r="AI1201" i="2"/>
  <c r="AE1202" i="2"/>
  <c r="AI1202" i="2"/>
  <c r="AE1203" i="2"/>
  <c r="AI1203" i="2"/>
  <c r="AE1204" i="2"/>
  <c r="AI1204" i="2" s="1"/>
  <c r="AE1205" i="2"/>
  <c r="AI1205" i="2"/>
  <c r="AI1206" i="2"/>
  <c r="AE1207" i="2"/>
  <c r="AI1207" i="2"/>
  <c r="AI1208" i="2"/>
  <c r="AD1210" i="2"/>
  <c r="P1178" i="2"/>
  <c r="V1177" i="2"/>
  <c r="V1210" i="2" s="1"/>
  <c r="P1177" i="2"/>
  <c r="Q1177" i="2"/>
  <c r="Q1210" i="2" s="1"/>
  <c r="P1176" i="2"/>
  <c r="S1176" i="2" s="1"/>
  <c r="W1176" i="2" s="1"/>
  <c r="P1175" i="2"/>
  <c r="S1175" i="2" s="1"/>
  <c r="W1175" i="2" s="1"/>
  <c r="P1174" i="2"/>
  <c r="P1173" i="2"/>
  <c r="S1173" i="2" s="1"/>
  <c r="W1173" i="2" s="1"/>
  <c r="P1172" i="2"/>
  <c r="S1172" i="2" s="1"/>
  <c r="W1172" i="2" s="1"/>
  <c r="P1171" i="2"/>
  <c r="S1171" i="2" s="1"/>
  <c r="W1171" i="2" s="1"/>
  <c r="P1170" i="2"/>
  <c r="S1170" i="2" s="1"/>
  <c r="W1170" i="2" s="1"/>
  <c r="P1169" i="2"/>
  <c r="S1169" i="2" s="1"/>
  <c r="W1169" i="2" s="1"/>
  <c r="U1168" i="2"/>
  <c r="P1168" i="2"/>
  <c r="S1168" i="2" s="1"/>
  <c r="W1168" i="2" s="1"/>
  <c r="P1167" i="2"/>
  <c r="S1167" i="2"/>
  <c r="O1168" i="2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S1174" i="2"/>
  <c r="W1174" i="2" s="1"/>
  <c r="S1178" i="2"/>
  <c r="W1178" i="2" s="1"/>
  <c r="S1179" i="2"/>
  <c r="W1179" i="2" s="1"/>
  <c r="S1180" i="2"/>
  <c r="W1180" i="2"/>
  <c r="S1181" i="2"/>
  <c r="W1181" i="2" s="1"/>
  <c r="S1182" i="2"/>
  <c r="W1182" i="2" s="1"/>
  <c r="S1183" i="2"/>
  <c r="W1183" i="2"/>
  <c r="S1184" i="2"/>
  <c r="W1184" i="2"/>
  <c r="S1185" i="2"/>
  <c r="W1185" i="2"/>
  <c r="S1186" i="2"/>
  <c r="W1186" i="2" s="1"/>
  <c r="S1187" i="2"/>
  <c r="W1187" i="2" s="1"/>
  <c r="S1188" i="2"/>
  <c r="W1188" i="2"/>
  <c r="S1189" i="2"/>
  <c r="W1189" i="2" s="1"/>
  <c r="S1190" i="2"/>
  <c r="W1190" i="2"/>
  <c r="S1191" i="2"/>
  <c r="W1191" i="2"/>
  <c r="S1192" i="2"/>
  <c r="W1192" i="2"/>
  <c r="S1193" i="2"/>
  <c r="W1193" i="2"/>
  <c r="S1194" i="2"/>
  <c r="W1194" i="2" s="1"/>
  <c r="S1195" i="2"/>
  <c r="W1195" i="2" s="1"/>
  <c r="S1196" i="2"/>
  <c r="W1196" i="2"/>
  <c r="S1197" i="2"/>
  <c r="W1197" i="2"/>
  <c r="S1198" i="2"/>
  <c r="W1198" i="2"/>
  <c r="S1199" i="2"/>
  <c r="W1199" i="2"/>
  <c r="S1200" i="2"/>
  <c r="W1200" i="2"/>
  <c r="S1201" i="2"/>
  <c r="W1201" i="2"/>
  <c r="S1202" i="2"/>
  <c r="W1202" i="2" s="1"/>
  <c r="S1203" i="2"/>
  <c r="W1203" i="2" s="1"/>
  <c r="S1204" i="2"/>
  <c r="W1204" i="2"/>
  <c r="S1205" i="2"/>
  <c r="W1205" i="2"/>
  <c r="W1206" i="2"/>
  <c r="S1207" i="2"/>
  <c r="W1207" i="2"/>
  <c r="W1208" i="2"/>
  <c r="R1210" i="2"/>
  <c r="U1210" i="2"/>
  <c r="D1175" i="2"/>
  <c r="D1174" i="2"/>
  <c r="D1173" i="2"/>
  <c r="G1173" i="2" s="1"/>
  <c r="K1173" i="2" s="1"/>
  <c r="D1172" i="2"/>
  <c r="G1172" i="2" s="1"/>
  <c r="K1172" i="2" s="1"/>
  <c r="D1171" i="2"/>
  <c r="G1171" i="2"/>
  <c r="K1171" i="2" s="1"/>
  <c r="D1170" i="2"/>
  <c r="D1169" i="2"/>
  <c r="G1169" i="2" s="1"/>
  <c r="K1169" i="2" s="1"/>
  <c r="J1168" i="2"/>
  <c r="D1168" i="2"/>
  <c r="G1168" i="2" s="1"/>
  <c r="J1167" i="2"/>
  <c r="E1167" i="2"/>
  <c r="D1167" i="2"/>
  <c r="G1167" i="2" s="1"/>
  <c r="K1167" i="2" s="1"/>
  <c r="E1210" i="2"/>
  <c r="C1168" i="2"/>
  <c r="I1210" i="2"/>
  <c r="C1169" i="2"/>
  <c r="C1170" i="2" s="1"/>
  <c r="C1171" i="2" s="1"/>
  <c r="C1172" i="2" s="1"/>
  <c r="C1173" i="2" s="1"/>
  <c r="C1174" i="2" s="1"/>
  <c r="C1175" i="2" s="1"/>
  <c r="G1170" i="2"/>
  <c r="K1170" i="2"/>
  <c r="G1174" i="2"/>
  <c r="K1174" i="2"/>
  <c r="G1175" i="2"/>
  <c r="K1175" i="2" s="1"/>
  <c r="G1176" i="2"/>
  <c r="K1176" i="2" s="1"/>
  <c r="G1177" i="2"/>
  <c r="K1177" i="2" s="1"/>
  <c r="G1178" i="2"/>
  <c r="K1178" i="2" s="1"/>
  <c r="G1179" i="2"/>
  <c r="K1179" i="2"/>
  <c r="G1180" i="2"/>
  <c r="K1180" i="2"/>
  <c r="G1181" i="2"/>
  <c r="K1181" i="2"/>
  <c r="G1182" i="2"/>
  <c r="K1182" i="2" s="1"/>
  <c r="G1183" i="2"/>
  <c r="K1183" i="2"/>
  <c r="G1184" i="2"/>
  <c r="K1184" i="2"/>
  <c r="G1185" i="2"/>
  <c r="K1185" i="2" s="1"/>
  <c r="G1186" i="2"/>
  <c r="K1186" i="2" s="1"/>
  <c r="G1187" i="2"/>
  <c r="K1187" i="2"/>
  <c r="G1188" i="2"/>
  <c r="K1188" i="2"/>
  <c r="G1189" i="2"/>
  <c r="K1189" i="2"/>
  <c r="G1190" i="2"/>
  <c r="K1190" i="2"/>
  <c r="G1191" i="2"/>
  <c r="K1191" i="2"/>
  <c r="G1192" i="2"/>
  <c r="K1192" i="2"/>
  <c r="G1193" i="2"/>
  <c r="K1193" i="2" s="1"/>
  <c r="G1194" i="2"/>
  <c r="K1194" i="2" s="1"/>
  <c r="G1195" i="2"/>
  <c r="K1195" i="2"/>
  <c r="G1196" i="2"/>
  <c r="K1196" i="2"/>
  <c r="G1197" i="2"/>
  <c r="K1197" i="2"/>
  <c r="G1198" i="2"/>
  <c r="K1198" i="2"/>
  <c r="G1199" i="2"/>
  <c r="K1199" i="2"/>
  <c r="G1200" i="2"/>
  <c r="K1200" i="2"/>
  <c r="G1207" i="2"/>
  <c r="K1207" i="2" s="1"/>
  <c r="F1210" i="2"/>
  <c r="AE1171" i="2" l="1"/>
  <c r="AI1171" i="2" s="1"/>
  <c r="AC1210" i="2"/>
  <c r="AH1210" i="2"/>
  <c r="AE1210" i="2"/>
  <c r="AI1168" i="2"/>
  <c r="AI1210" i="2" s="1"/>
  <c r="AB1210" i="2"/>
  <c r="S1177" i="2"/>
  <c r="W1177" i="2" s="1"/>
  <c r="P1210" i="2"/>
  <c r="W1167" i="2"/>
  <c r="J1210" i="2"/>
  <c r="K1168" i="2"/>
  <c r="D1210" i="2"/>
  <c r="K1210" i="2"/>
  <c r="G1210" i="2"/>
  <c r="AH1115" i="2"/>
  <c r="AC1115" i="2"/>
  <c r="AB1115" i="2"/>
  <c r="AE1115" i="2" s="1"/>
  <c r="AH1114" i="2"/>
  <c r="AC1114" i="2"/>
  <c r="AB1114" i="2"/>
  <c r="AE1114" i="2" s="1"/>
  <c r="AI1114" i="2" s="1"/>
  <c r="AC1113" i="2"/>
  <c r="AE1113" i="2" s="1"/>
  <c r="AI1113" i="2" s="1"/>
  <c r="AB1113" i="2"/>
  <c r="AB1112" i="2"/>
  <c r="AG1155" i="2"/>
  <c r="AD1155" i="2"/>
  <c r="AI1153" i="2"/>
  <c r="AE1152" i="2"/>
  <c r="AI1152" i="2" s="1"/>
  <c r="AI1151" i="2"/>
  <c r="AE1150" i="2"/>
  <c r="AI1150" i="2" s="1"/>
  <c r="AE1149" i="2"/>
  <c r="AI1149" i="2" s="1"/>
  <c r="AI1148" i="2"/>
  <c r="AE1148" i="2"/>
  <c r="AE1147" i="2"/>
  <c r="AI1147" i="2" s="1"/>
  <c r="AI1146" i="2"/>
  <c r="AE1146" i="2"/>
  <c r="AE1145" i="2"/>
  <c r="AI1145" i="2" s="1"/>
  <c r="AI1144" i="2"/>
  <c r="AE1144" i="2"/>
  <c r="AI1143" i="2"/>
  <c r="AE1143" i="2"/>
  <c r="AE1142" i="2"/>
  <c r="AI1142" i="2" s="1"/>
  <c r="AE1141" i="2"/>
  <c r="AI1141" i="2" s="1"/>
  <c r="AI1140" i="2"/>
  <c r="AE1140" i="2"/>
  <c r="AE1139" i="2"/>
  <c r="AI1139" i="2" s="1"/>
  <c r="AI1138" i="2"/>
  <c r="AE1138" i="2"/>
  <c r="AE1137" i="2"/>
  <c r="AI1137" i="2" s="1"/>
  <c r="AI1136" i="2"/>
  <c r="AE1136" i="2"/>
  <c r="AI1135" i="2"/>
  <c r="AE1135" i="2"/>
  <c r="AE1134" i="2"/>
  <c r="AI1134" i="2" s="1"/>
  <c r="AE1133" i="2"/>
  <c r="AI1133" i="2" s="1"/>
  <c r="AI1132" i="2"/>
  <c r="AE1132" i="2"/>
  <c r="AI1131" i="2"/>
  <c r="AE1131" i="2"/>
  <c r="AI1130" i="2"/>
  <c r="AE1130" i="2"/>
  <c r="AE1129" i="2"/>
  <c r="AI1129" i="2" s="1"/>
  <c r="AI1128" i="2"/>
  <c r="AE1128" i="2"/>
  <c r="AI1127" i="2"/>
  <c r="AE1127" i="2"/>
  <c r="AE1126" i="2"/>
  <c r="AI1126" i="2" s="1"/>
  <c r="AE1125" i="2"/>
  <c r="AI1125" i="2" s="1"/>
  <c r="AI1124" i="2"/>
  <c r="AE1124" i="2"/>
  <c r="AE1123" i="2"/>
  <c r="AI1123" i="2" s="1"/>
  <c r="AI1122" i="2"/>
  <c r="AE1122" i="2"/>
  <c r="AE1121" i="2"/>
  <c r="AI1121" i="2" s="1"/>
  <c r="AI1120" i="2"/>
  <c r="AE1120" i="2"/>
  <c r="AI1119" i="2"/>
  <c r="AE1119" i="2"/>
  <c r="AE1118" i="2"/>
  <c r="AI1118" i="2" s="1"/>
  <c r="AE1117" i="2"/>
  <c r="AI1117" i="2" s="1"/>
  <c r="AE1116" i="2"/>
  <c r="AI1116" i="2" s="1"/>
  <c r="AA1113" i="2"/>
  <c r="AA1114" i="2" s="1"/>
  <c r="AA1115" i="2" s="1"/>
  <c r="AC1155" i="2"/>
  <c r="AE1112" i="2"/>
  <c r="P1123" i="2"/>
  <c r="S1123" i="2" s="1"/>
  <c r="W1123" i="2" s="1"/>
  <c r="P1122" i="2"/>
  <c r="S1122" i="2" s="1"/>
  <c r="W1122" i="2" s="1"/>
  <c r="P1121" i="2"/>
  <c r="S1121" i="2" s="1"/>
  <c r="W1121" i="2" s="1"/>
  <c r="P1120" i="2"/>
  <c r="P1119" i="2"/>
  <c r="U1118" i="2"/>
  <c r="U1155" i="2"/>
  <c r="P1118" i="2"/>
  <c r="P1117" i="2"/>
  <c r="S1117" i="2" s="1"/>
  <c r="W1117" i="2" s="1"/>
  <c r="P1116" i="2"/>
  <c r="P1115" i="2"/>
  <c r="P1114" i="2"/>
  <c r="S1114" i="2" s="1"/>
  <c r="W1114" i="2" s="1"/>
  <c r="Q1113" i="2"/>
  <c r="P1113" i="2"/>
  <c r="S1113" i="2" s="1"/>
  <c r="W1113" i="2" s="1"/>
  <c r="P1112" i="2"/>
  <c r="O1115" i="2"/>
  <c r="O1116" i="2" s="1"/>
  <c r="O1117" i="2" s="1"/>
  <c r="O1118" i="2" s="1"/>
  <c r="O1119" i="2" s="1"/>
  <c r="O1120" i="2" s="1"/>
  <c r="O1121" i="2" s="1"/>
  <c r="O1122" i="2" s="1"/>
  <c r="O1123" i="2" s="1"/>
  <c r="O1113" i="2"/>
  <c r="O1114" i="2" s="1"/>
  <c r="S1115" i="2"/>
  <c r="W1115" i="2" s="1"/>
  <c r="S1116" i="2"/>
  <c r="W1116" i="2" s="1"/>
  <c r="S1118" i="2"/>
  <c r="W1118" i="2"/>
  <c r="S1119" i="2"/>
  <c r="W1119" i="2" s="1"/>
  <c r="S1120" i="2"/>
  <c r="W1120" i="2" s="1"/>
  <c r="S1124" i="2"/>
  <c r="W1124" i="2" s="1"/>
  <c r="S1125" i="2"/>
  <c r="W1125" i="2"/>
  <c r="S1126" i="2"/>
  <c r="W1126" i="2" s="1"/>
  <c r="S1127" i="2"/>
  <c r="W1127" i="2" s="1"/>
  <c r="S1128" i="2"/>
  <c r="W1128" i="2"/>
  <c r="S1129" i="2"/>
  <c r="W1129" i="2"/>
  <c r="S1130" i="2"/>
  <c r="W1130" i="2"/>
  <c r="S1131" i="2"/>
  <c r="W1131" i="2"/>
  <c r="S1132" i="2"/>
  <c r="W1132" i="2" s="1"/>
  <c r="S1133" i="2"/>
  <c r="W1133" i="2"/>
  <c r="S1134" i="2"/>
  <c r="W1134" i="2"/>
  <c r="S1135" i="2"/>
  <c r="W1135" i="2" s="1"/>
  <c r="S1136" i="2"/>
  <c r="W1136" i="2"/>
  <c r="S1137" i="2"/>
  <c r="W1137" i="2"/>
  <c r="S1138" i="2"/>
  <c r="W1138" i="2"/>
  <c r="S1139" i="2"/>
  <c r="W1139" i="2"/>
  <c r="S1140" i="2"/>
  <c r="W1140" i="2" s="1"/>
  <c r="S1141" i="2"/>
  <c r="W1141" i="2"/>
  <c r="S1142" i="2"/>
  <c r="W1142" i="2"/>
  <c r="S1143" i="2"/>
  <c r="W1143" i="2" s="1"/>
  <c r="S1144" i="2"/>
  <c r="W1144" i="2"/>
  <c r="S1145" i="2"/>
  <c r="W1145" i="2"/>
  <c r="S1146" i="2"/>
  <c r="W1146" i="2"/>
  <c r="S1147" i="2"/>
  <c r="W1147" i="2"/>
  <c r="S1148" i="2"/>
  <c r="W1148" i="2" s="1"/>
  <c r="S1149" i="2"/>
  <c r="W1149" i="2" s="1"/>
  <c r="S1150" i="2"/>
  <c r="W1150" i="2"/>
  <c r="W1151" i="2"/>
  <c r="S1152" i="2"/>
  <c r="W1152" i="2"/>
  <c r="W1153" i="2"/>
  <c r="Q1155" i="2"/>
  <c r="R1155" i="2"/>
  <c r="V1155" i="2"/>
  <c r="I1116" i="2"/>
  <c r="D1116" i="2"/>
  <c r="G1116" i="2" s="1"/>
  <c r="D1115" i="2"/>
  <c r="D1114" i="2"/>
  <c r="E1113" i="2"/>
  <c r="E1155" i="2" s="1"/>
  <c r="D1113" i="2"/>
  <c r="I1113" i="2"/>
  <c r="J1113" i="2"/>
  <c r="J1155" i="2"/>
  <c r="G1113" i="2"/>
  <c r="D1112" i="2"/>
  <c r="E1112" i="2"/>
  <c r="G1112" i="2" s="1"/>
  <c r="K1112" i="2" s="1"/>
  <c r="C1113" i="2"/>
  <c r="C1114" i="2" s="1"/>
  <c r="C1115" i="2" s="1"/>
  <c r="C1116" i="2" s="1"/>
  <c r="G1114" i="2"/>
  <c r="K1114" i="2" s="1"/>
  <c r="G1115" i="2"/>
  <c r="K1115" i="2"/>
  <c r="G1117" i="2"/>
  <c r="K1117" i="2"/>
  <c r="G1118" i="2"/>
  <c r="K1118" i="2" s="1"/>
  <c r="G1119" i="2"/>
  <c r="K1119" i="2" s="1"/>
  <c r="G1120" i="2"/>
  <c r="K1120" i="2" s="1"/>
  <c r="G1121" i="2"/>
  <c r="K1121" i="2" s="1"/>
  <c r="G1122" i="2"/>
  <c r="K1122" i="2" s="1"/>
  <c r="G1123" i="2"/>
  <c r="K1123" i="2"/>
  <c r="G1124" i="2"/>
  <c r="K1124" i="2" s="1"/>
  <c r="G1125" i="2"/>
  <c r="K1125" i="2" s="1"/>
  <c r="G1126" i="2"/>
  <c r="K1126" i="2" s="1"/>
  <c r="G1127" i="2"/>
  <c r="K1127" i="2"/>
  <c r="G1128" i="2"/>
  <c r="K1128" i="2" s="1"/>
  <c r="G1129" i="2"/>
  <c r="K1129" i="2" s="1"/>
  <c r="G1130" i="2"/>
  <c r="K1130" i="2" s="1"/>
  <c r="G1131" i="2"/>
  <c r="K1131" i="2"/>
  <c r="G1132" i="2"/>
  <c r="K1132" i="2" s="1"/>
  <c r="G1133" i="2"/>
  <c r="K1133" i="2" s="1"/>
  <c r="G1134" i="2"/>
  <c r="K1134" i="2"/>
  <c r="G1135" i="2"/>
  <c r="K1135" i="2"/>
  <c r="G1136" i="2"/>
  <c r="K1136" i="2"/>
  <c r="G1137" i="2"/>
  <c r="K1137" i="2" s="1"/>
  <c r="G1138" i="2"/>
  <c r="K1138" i="2"/>
  <c r="G1139" i="2"/>
  <c r="K1139" i="2"/>
  <c r="G1140" i="2"/>
  <c r="K1140" i="2" s="1"/>
  <c r="G1141" i="2"/>
  <c r="K1141" i="2" s="1"/>
  <c r="G1142" i="2"/>
  <c r="K1142" i="2"/>
  <c r="G1143" i="2"/>
  <c r="K1143" i="2"/>
  <c r="G1144" i="2"/>
  <c r="K1144" i="2"/>
  <c r="G1145" i="2"/>
  <c r="K1145" i="2" s="1"/>
  <c r="G1152" i="2"/>
  <c r="K1152" i="2"/>
  <c r="F1155" i="2"/>
  <c r="W1210" i="2" l="1"/>
  <c r="S1210" i="2"/>
  <c r="AH1155" i="2"/>
  <c r="AI1115" i="2"/>
  <c r="AI1112" i="2"/>
  <c r="AE1155" i="2"/>
  <c r="AB1155" i="2"/>
  <c r="P1155" i="2"/>
  <c r="S1112" i="2"/>
  <c r="W1112" i="2" s="1"/>
  <c r="W1155" i="2"/>
  <c r="I1155" i="2"/>
  <c r="K1116" i="2"/>
  <c r="K1113" i="2"/>
  <c r="K1155" i="2" s="1"/>
  <c r="D1155" i="2"/>
  <c r="G1155" i="2"/>
  <c r="P1059" i="2"/>
  <c r="P1058" i="2"/>
  <c r="S1058" i="2" s="1"/>
  <c r="W1058" i="2" s="1"/>
  <c r="V1057" i="2"/>
  <c r="V1100" i="2" s="1"/>
  <c r="Q1057" i="2"/>
  <c r="Q1100" i="2"/>
  <c r="P1057" i="2"/>
  <c r="R1100" i="2"/>
  <c r="W1098" i="2"/>
  <c r="S1097" i="2"/>
  <c r="W1097" i="2" s="1"/>
  <c r="W1096" i="2"/>
  <c r="S1095" i="2"/>
  <c r="W1095" i="2" s="1"/>
  <c r="W1094" i="2"/>
  <c r="S1094" i="2"/>
  <c r="S1093" i="2"/>
  <c r="W1093" i="2" s="1"/>
  <c r="W1092" i="2"/>
  <c r="S1092" i="2"/>
  <c r="S1091" i="2"/>
  <c r="W1091" i="2" s="1"/>
  <c r="S1090" i="2"/>
  <c r="W1090" i="2" s="1"/>
  <c r="S1089" i="2"/>
  <c r="W1089" i="2" s="1"/>
  <c r="S1088" i="2"/>
  <c r="W1088" i="2" s="1"/>
  <c r="S1087" i="2"/>
  <c r="W1087" i="2" s="1"/>
  <c r="W1086" i="2"/>
  <c r="S1086" i="2"/>
  <c r="S1085" i="2"/>
  <c r="W1085" i="2" s="1"/>
  <c r="W1084" i="2"/>
  <c r="S1084" i="2"/>
  <c r="S1083" i="2"/>
  <c r="W1083" i="2" s="1"/>
  <c r="S1082" i="2"/>
  <c r="W1082" i="2" s="1"/>
  <c r="S1081" i="2"/>
  <c r="W1081" i="2" s="1"/>
  <c r="S1080" i="2"/>
  <c r="W1080" i="2" s="1"/>
  <c r="S1079" i="2"/>
  <c r="W1079" i="2" s="1"/>
  <c r="W1078" i="2"/>
  <c r="S1078" i="2"/>
  <c r="S1077" i="2"/>
  <c r="W1077" i="2" s="1"/>
  <c r="W1076" i="2"/>
  <c r="S1076" i="2"/>
  <c r="S1075" i="2"/>
  <c r="W1075" i="2" s="1"/>
  <c r="S1074" i="2"/>
  <c r="W1074" i="2" s="1"/>
  <c r="S1073" i="2"/>
  <c r="W1073" i="2" s="1"/>
  <c r="S1072" i="2"/>
  <c r="W1072" i="2" s="1"/>
  <c r="S1071" i="2"/>
  <c r="W1071" i="2" s="1"/>
  <c r="W1070" i="2"/>
  <c r="S1070" i="2"/>
  <c r="S1069" i="2"/>
  <c r="W1069" i="2" s="1"/>
  <c r="W1068" i="2"/>
  <c r="S1068" i="2"/>
  <c r="S1067" i="2"/>
  <c r="W1067" i="2" s="1"/>
  <c r="S1066" i="2"/>
  <c r="W1066" i="2" s="1"/>
  <c r="S1065" i="2"/>
  <c r="W1065" i="2" s="1"/>
  <c r="S1064" i="2"/>
  <c r="W1064" i="2" s="1"/>
  <c r="S1063" i="2"/>
  <c r="W1063" i="2" s="1"/>
  <c r="W1062" i="2"/>
  <c r="S1062" i="2"/>
  <c r="S1061" i="2"/>
  <c r="W1061" i="2" s="1"/>
  <c r="S1060" i="2"/>
  <c r="W1060" i="2" s="1"/>
  <c r="U1100" i="2"/>
  <c r="S1059" i="2"/>
  <c r="W1059" i="2" s="1"/>
  <c r="O1058" i="2"/>
  <c r="O1059" i="2" s="1"/>
  <c r="D1076" i="2"/>
  <c r="G1076" i="2" s="1"/>
  <c r="K1076" i="2" s="1"/>
  <c r="D1075" i="2"/>
  <c r="G1075" i="2" s="1"/>
  <c r="K1075" i="2" s="1"/>
  <c r="D1074" i="2"/>
  <c r="D1073" i="2"/>
  <c r="D1072" i="2"/>
  <c r="D1071" i="2"/>
  <c r="D1070" i="2"/>
  <c r="D1069" i="2"/>
  <c r="D1068" i="2"/>
  <c r="D1067" i="2"/>
  <c r="D1066" i="2"/>
  <c r="I1065" i="2"/>
  <c r="D1065" i="2"/>
  <c r="D1064" i="2"/>
  <c r="D1063" i="2"/>
  <c r="D1062" i="2"/>
  <c r="G1062" i="2" s="1"/>
  <c r="K1062" i="2" s="1"/>
  <c r="D1061" i="2"/>
  <c r="G1061" i="2" s="1"/>
  <c r="K1061" i="2" s="1"/>
  <c r="D1060" i="2"/>
  <c r="G1060" i="2"/>
  <c r="K1060" i="2" s="1"/>
  <c r="D1059" i="2"/>
  <c r="G1059" i="2" s="1"/>
  <c r="K1059" i="2" s="1"/>
  <c r="D1058" i="2"/>
  <c r="G1058" i="2" s="1"/>
  <c r="K1058" i="2" s="1"/>
  <c r="D1057" i="2"/>
  <c r="G1057" i="2" s="1"/>
  <c r="C1068" i="2"/>
  <c r="C1069" i="2" s="1"/>
  <c r="C1070" i="2" s="1"/>
  <c r="C1071" i="2" s="1"/>
  <c r="C1072" i="2" s="1"/>
  <c r="C1073" i="2" s="1"/>
  <c r="C1074" i="2" s="1"/>
  <c r="C1075" i="2" s="1"/>
  <c r="C1076" i="2" s="1"/>
  <c r="J1100" i="2"/>
  <c r="F1100" i="2"/>
  <c r="G1097" i="2"/>
  <c r="K1097" i="2" s="1"/>
  <c r="K1090" i="2"/>
  <c r="G1090" i="2"/>
  <c r="G1089" i="2"/>
  <c r="K1089" i="2" s="1"/>
  <c r="G1088" i="2"/>
  <c r="K1088" i="2" s="1"/>
  <c r="K1087" i="2"/>
  <c r="G1087" i="2"/>
  <c r="K1086" i="2"/>
  <c r="G1086" i="2"/>
  <c r="G1085" i="2"/>
  <c r="K1085" i="2" s="1"/>
  <c r="G1084" i="2"/>
  <c r="K1084" i="2" s="1"/>
  <c r="G1083" i="2"/>
  <c r="K1083" i="2" s="1"/>
  <c r="K1082" i="2"/>
  <c r="G1082" i="2"/>
  <c r="G1081" i="2"/>
  <c r="K1081" i="2" s="1"/>
  <c r="G1080" i="2"/>
  <c r="K1080" i="2" s="1"/>
  <c r="G1079" i="2"/>
  <c r="K1079" i="2" s="1"/>
  <c r="G1078" i="2"/>
  <c r="K1078" i="2" s="1"/>
  <c r="G1077" i="2"/>
  <c r="K1077" i="2" s="1"/>
  <c r="K1074" i="2"/>
  <c r="G1074" i="2"/>
  <c r="G1073" i="2"/>
  <c r="K1073" i="2" s="1"/>
  <c r="G1072" i="2"/>
  <c r="K1072" i="2" s="1"/>
  <c r="G1071" i="2"/>
  <c r="K1071" i="2" s="1"/>
  <c r="G1070" i="2"/>
  <c r="K1070" i="2" s="1"/>
  <c r="G1069" i="2"/>
  <c r="K1069" i="2" s="1"/>
  <c r="G1068" i="2"/>
  <c r="K1068" i="2" s="1"/>
  <c r="G1067" i="2"/>
  <c r="K1067" i="2" s="1"/>
  <c r="G1066" i="2"/>
  <c r="K1066" i="2" s="1"/>
  <c r="G1065" i="2"/>
  <c r="K1065" i="2" s="1"/>
  <c r="E1100" i="2"/>
  <c r="I1100" i="2"/>
  <c r="G1064" i="2"/>
  <c r="K1064" i="2" s="1"/>
  <c r="G1063" i="2"/>
  <c r="K1063" i="2" s="1"/>
  <c r="C1058" i="2"/>
  <c r="C1059" i="2" s="1"/>
  <c r="C1060" i="2" s="1"/>
  <c r="C1061" i="2" s="1"/>
  <c r="C1062" i="2" s="1"/>
  <c r="C1063" i="2" s="1"/>
  <c r="C1064" i="2" s="1"/>
  <c r="C1065" i="2" s="1"/>
  <c r="C1066" i="2" s="1"/>
  <c r="AI1155" i="2" l="1"/>
  <c r="S1155" i="2"/>
  <c r="S1057" i="2"/>
  <c r="S1100" i="2" s="1"/>
  <c r="P1100" i="2"/>
  <c r="K1057" i="2"/>
  <c r="K1100" i="2" s="1"/>
  <c r="G1100" i="2"/>
  <c r="D1100" i="2"/>
  <c r="AB1006" i="2"/>
  <c r="AE1006" i="2" s="1"/>
  <c r="AI1006" i="2" s="1"/>
  <c r="AB1005" i="2"/>
  <c r="AE1005" i="2"/>
  <c r="AI1005" i="2" s="1"/>
  <c r="AB1004" i="2"/>
  <c r="AH1003" i="2"/>
  <c r="AB1003" i="2"/>
  <c r="AC1002" i="2"/>
  <c r="AB1002" i="2"/>
  <c r="AE1002" i="2"/>
  <c r="AA1003" i="2"/>
  <c r="AA1004" i="2" s="1"/>
  <c r="AA1005" i="2" s="1"/>
  <c r="AA1006" i="2" s="1"/>
  <c r="AE1003" i="2"/>
  <c r="AE1004" i="2"/>
  <c r="AI1004" i="2" s="1"/>
  <c r="AE1007" i="2"/>
  <c r="AI1007" i="2"/>
  <c r="AE1008" i="2"/>
  <c r="AI1008" i="2" s="1"/>
  <c r="AE1009" i="2"/>
  <c r="AI1009" i="2"/>
  <c r="AE1010" i="2"/>
  <c r="AI1010" i="2"/>
  <c r="AE1011" i="2"/>
  <c r="AI1011" i="2"/>
  <c r="AE1012" i="2"/>
  <c r="AI1012" i="2"/>
  <c r="AE1013" i="2"/>
  <c r="AI1013" i="2"/>
  <c r="AE1014" i="2"/>
  <c r="AI1014" i="2" s="1"/>
  <c r="AE1015" i="2"/>
  <c r="AI1015" i="2"/>
  <c r="AE1016" i="2"/>
  <c r="AI1016" i="2"/>
  <c r="AE1017" i="2"/>
  <c r="AI1017" i="2"/>
  <c r="AE1018" i="2"/>
  <c r="AI1018" i="2"/>
  <c r="AE1019" i="2"/>
  <c r="AI1019" i="2"/>
  <c r="AE1020" i="2"/>
  <c r="AI1020" i="2"/>
  <c r="AE1021" i="2"/>
  <c r="AI1021" i="2"/>
  <c r="AE1022" i="2"/>
  <c r="AI1022" i="2" s="1"/>
  <c r="AE1023" i="2"/>
  <c r="AI1023" i="2"/>
  <c r="AE1024" i="2"/>
  <c r="AI1024" i="2"/>
  <c r="AE1025" i="2"/>
  <c r="AI1025" i="2"/>
  <c r="AE1026" i="2"/>
  <c r="AI1026" i="2"/>
  <c r="AE1027" i="2"/>
  <c r="AI1027" i="2"/>
  <c r="AE1028" i="2"/>
  <c r="AI1028" i="2"/>
  <c r="AE1029" i="2"/>
  <c r="AI1029" i="2"/>
  <c r="AE1030" i="2"/>
  <c r="AI1030" i="2" s="1"/>
  <c r="AE1031" i="2"/>
  <c r="AI1031" i="2"/>
  <c r="AE1032" i="2"/>
  <c r="AI1032" i="2"/>
  <c r="AE1033" i="2"/>
  <c r="AI1033" i="2"/>
  <c r="AE1034" i="2"/>
  <c r="AI1034" i="2"/>
  <c r="AE1035" i="2"/>
  <c r="AI1035" i="2"/>
  <c r="AE1036" i="2"/>
  <c r="AI1036" i="2"/>
  <c r="AE1037" i="2"/>
  <c r="AI1037" i="2"/>
  <c r="AE1038" i="2"/>
  <c r="AI1038" i="2" s="1"/>
  <c r="AE1039" i="2"/>
  <c r="AI1039" i="2"/>
  <c r="AE1040" i="2"/>
  <c r="AI1040" i="2"/>
  <c r="AI1041" i="2"/>
  <c r="AE1042" i="2"/>
  <c r="AI1042" i="2"/>
  <c r="AI1043" i="2"/>
  <c r="AD1045" i="2"/>
  <c r="AG1045" i="2"/>
  <c r="AH1045" i="2"/>
  <c r="W1057" i="2" l="1"/>
  <c r="W1100" i="2" s="1"/>
  <c r="AB1045" i="2"/>
  <c r="AI1003" i="2"/>
  <c r="AI1002" i="2"/>
  <c r="AE1045" i="2"/>
  <c r="AC1045" i="2"/>
  <c r="D957" i="2"/>
  <c r="D956" i="2"/>
  <c r="G956" i="2" s="1"/>
  <c r="K956" i="2" s="1"/>
  <c r="J955" i="2"/>
  <c r="J990" i="2" s="1"/>
  <c r="E955" i="2"/>
  <c r="E990" i="2" s="1"/>
  <c r="D955" i="2"/>
  <c r="I954" i="2"/>
  <c r="I990" i="2" s="1"/>
  <c r="D954" i="2"/>
  <c r="G954" i="2" s="1"/>
  <c r="K954" i="2" s="1"/>
  <c r="D952" i="2"/>
  <c r="G952" i="2" s="1"/>
  <c r="K952" i="2" s="1"/>
  <c r="D951" i="2"/>
  <c r="D950" i="2"/>
  <c r="G950" i="2"/>
  <c r="K950" i="2" s="1"/>
  <c r="D949" i="2"/>
  <c r="D948" i="2"/>
  <c r="G948" i="2" s="1"/>
  <c r="K948" i="2" s="1"/>
  <c r="D947" i="2"/>
  <c r="G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G951" i="2"/>
  <c r="K951" i="2" s="1"/>
  <c r="G953" i="2"/>
  <c r="K953" i="2"/>
  <c r="G957" i="2"/>
  <c r="K957" i="2" s="1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 s="1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F990" i="2"/>
  <c r="AI1045" i="2" l="1"/>
  <c r="G955" i="2"/>
  <c r="K955" i="2" s="1"/>
  <c r="D990" i="2"/>
  <c r="K947" i="2"/>
  <c r="G949" i="2"/>
  <c r="K949" i="2" s="1"/>
  <c r="P951" i="2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G990" i="2" l="1"/>
  <c r="K990" i="2"/>
  <c r="W949" i="2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F32" authorId="0" shapeId="0" xr:uid="{A41607D1-A6F0-4DF2-971F-C79BFBA3E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G32" authorId="0" shapeId="0" xr:uid="{B781DA53-31A9-4F35-B04D-D36CAC938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  <comment ref="H33" authorId="0" shapeId="0" xr:uid="{2B87AB91-A0F7-451F-98AC-42D385AEB1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C947" authorId="0" shapeId="0" xr:uid="{A0A3D101-29D9-47DD-9383-73B89348D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PARDILLLO CECELIOA
DUMPILAS, SIAYAN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264791DE-B73E-4754-80A5-FA8E6B37F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PARANG LUMBA, SIAYAN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49" authorId="0" shapeId="0" xr:uid="{B666D128-6583-428E-BDEF-89043D993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SIAAPAFEDO
POB, SIAYAN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C950" authorId="0" shapeId="0" xr:uid="{25B6AA3C-C23E-4DA8-B2B9-8CDBD995D4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JENALYN LANGAN
POB, SIAYAN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C951" authorId="0" shapeId="0" xr:uid="{2F1F8D00-08AE-4B30-A170-D2D7EA28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 / REY ADAZA
POB, SIAYAN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  <comment ref="C952" authorId="0" shapeId="0" xr:uid="{06915920-A689-425C-94B2-E956AF014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4" authorId="0" shapeId="0" xr:uid="{6B0AD22B-DC1C-42B4-A0BE-510328A1B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WALTER ALBOS
GOLEO, SINDANGAN</t>
        </r>
      </text>
    </comment>
    <comment ref="C955" authorId="0" shapeId="0" xr:uid="{3DC9A881-10C9-427C-9AE9-B3B91942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56" authorId="0" shapeId="0" xr:uid="{D3E6F98F-146F-4A77-9E16-9A535868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57" authorId="0" shapeId="0" xr:uid="{146EADE5-D74F-49AA-B965-06951A8DA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VICTORIA CANTON
GOLEO, SINDANGAN</t>
        </r>
      </text>
    </comment>
    <comment ref="AA1002" authorId="0" shapeId="0" xr:uid="{D7682E8D-117D-43BF-BFA7-5A7A4D8F30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1003" authorId="0" shapeId="0" xr:uid="{D600B892-D729-4930-99C4-B4C4A64B8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AA1004" authorId="0" shapeId="0" xr:uid="{E896AC21-419A-4256-B731-17859FD46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PAUBAYA
POB, SALUG</t>
        </r>
      </text>
    </comment>
    <comment ref="AA1005" authorId="0" shapeId="0" xr:uid="{133CD3CD-764C-4E01-8DC7-657638EFC9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AA1006" authorId="0" shapeId="0" xr:uid="{2EF64C33-A22A-488E-AEC8-158D512767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057" authorId="0" shapeId="0" xr:uid="{5B2C009A-7D50-4F2C-984F-A3322E1866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057" authorId="0" shapeId="0" xr:uid="{3F7A768C-1E8E-4978-8FC1-2A34A1DBD0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1058" authorId="0" shapeId="0" xr:uid="{B51C1412-1001-4E9B-A56C-153A565A5C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058" authorId="0" shapeId="0" xr:uid="{D58334EF-C62A-4E3E-9CC5-ABCCE69956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1059" authorId="0" shapeId="0" xr:uid="{E51888A6-23E5-48AF-A431-F20261C4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1059" authorId="0" shapeId="0" xr:uid="{6B72C24F-6A52-4839-ABD6-B6C855D757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1060" authorId="0" shapeId="0" xr:uid="{90F977CD-7415-45C0-B249-457EF0C08F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LAGAG, SINDANGAN</t>
        </r>
      </text>
    </comment>
    <comment ref="C1061" authorId="0" shapeId="0" xr:uid="{90E64147-5CF0-45D4-A0F5-C902697FAF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ESPERANZA SUMAMPONG
UPPER DENOYAN, SIAYAN</t>
        </r>
      </text>
    </comment>
    <comment ref="C1062" authorId="0" shapeId="0" xr:uid="{B7D4CE69-3C06-4F5E-9C22-E2057DB626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UPPER DENOYAN, SIAYAN</t>
        </r>
      </text>
    </comment>
    <comment ref="C1063" authorId="0" shapeId="0" xr:uid="{B2A453DC-123D-4716-913C-F1A8DDD975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064" authorId="0" shapeId="0" xr:uid="{7AF79291-76E6-4E59-83C7-10AECB5DD2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1065" authorId="0" shapeId="0" xr:uid="{92AD99CF-120B-4ED3-A943-78615DD87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SALUG</t>
        </r>
      </text>
    </comment>
    <comment ref="C1066" authorId="0" shapeId="0" xr:uid="{BF752E45-1D96-420E-BA03-F2B57DAD1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SABANATES STORE
DAGAO POB, SIAYAN</t>
        </r>
      </text>
    </comment>
    <comment ref="C1067" authorId="0" shapeId="0" xr:uid="{2A0DBD06-E7E0-4D4D-8176-8610E2AC2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INOCENCIA
POLAYO, SIAYAN</t>
        </r>
      </text>
    </comment>
    <comment ref="C1068" authorId="0" shapeId="0" xr:uid="{1627A37C-7816-468A-BCDF-F7118E175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1069" authorId="0" shapeId="0" xr:uid="{17708736-DBED-4C32-80AC-27A8339EF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VILLARUBIA STORE
DENOYAN, SIAYAN</t>
        </r>
      </text>
    </comment>
    <comment ref="C1070" authorId="0" shapeId="0" xr:uid="{8E7B7E88-8469-4E2F-B942-C9CA37E2A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C1071" authorId="0" shapeId="0" xr:uid="{E0C7A827-59A7-42B5-8CD4-15FC05DF1D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1072" authorId="0" shapeId="0" xr:uid="{33126848-EB0E-4951-B437-F90463E07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C1073" authorId="0" shapeId="0" xr:uid="{09A6A1B8-AA49-4A2D-8093-077B4E3812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1074" authorId="0" shapeId="0" xr:uid="{580BC299-3B91-4C23-86E3-3956DB9BE1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SNB
POB, SINDANGAN</t>
        </r>
      </text>
    </comment>
    <comment ref="C1075" authorId="0" shapeId="0" xr:uid="{ED24C74B-F6EE-4456-A190-1CD2E9E58C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
POB, SINDANGAN</t>
        </r>
      </text>
    </comment>
    <comment ref="C1076" authorId="0" shapeId="0" xr:uid="{123632D2-0FA2-4ED0-A15A-918DAC7409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RITCHIE ZOZOBRADO
POB, SINDANGAN</t>
        </r>
      </text>
    </comment>
    <comment ref="C1112" authorId="0" shapeId="0" xr:uid="{A8C97C97-0ABE-4AF4-AF95-DBA2A00B4B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</t>
        </r>
      </text>
    </comment>
    <comment ref="O1112" authorId="0" shapeId="0" xr:uid="{91DB4595-96BE-4579-B099-74BEA934D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GEHARO FERLITA
INUMAN, SINDANGAN</t>
        </r>
      </text>
    </comment>
    <comment ref="AA1112" authorId="0" shapeId="0" xr:uid="{0B941AB9-F764-46E0-BD33-F1AE60931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113" authorId="0" shapeId="0" xr:uid="{23773D63-CE14-4C27-A760-B89322D37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113" authorId="0" shapeId="0" xr:uid="{94EC5C98-B6AB-45B6-ABA2-0F630ED1A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1113" authorId="0" shapeId="0" xr:uid="{0D8260BF-668A-4153-A524-14B1088D11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14" authorId="0" shapeId="0" xr:uid="{7834E0CC-59D8-4040-B030-04DF3B6E2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LABAKID, SINDANGAN</t>
        </r>
      </text>
    </comment>
    <comment ref="O1114" authorId="0" shapeId="0" xr:uid="{8FF892DC-0633-42C0-BAEC-93C7C62E3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114" authorId="0" shapeId="0" xr:uid="{7A200FA1-8145-426D-A6B1-0F390EB203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15" authorId="0" shapeId="0" xr:uid="{03C12D00-219C-41F6-BB8B-BB7C7B637D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1115" authorId="0" shapeId="0" xr:uid="{1E1128F1-C10B-46ED-AEBF-A0488E736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115" authorId="0" shapeId="0" xr:uid="{8E1A50B3-32C2-44C3-B5F0-9E2BE346F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116" authorId="0" shapeId="0" xr:uid="{A5CDC2A0-9631-4E63-A849-72E1A0D02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116" authorId="0" shapeId="0" xr:uid="{A8ED09D2-E917-454D-A0F3-923CC162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O1117" authorId="0" shapeId="0" xr:uid="{0EE96546-EF05-4918-AE1D-20D6BE76A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O1118" authorId="0" shapeId="0" xr:uid="{961FDF3D-497B-4770-B6CB-E5B4E5D31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1119" authorId="0" shapeId="0" xr:uid="{A5814FE4-DBC3-4602-8327-CD97E83ADC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O1120" authorId="0" shapeId="0" xr:uid="{490DDF16-978E-4E4B-A364-47BC2985C7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REJINA
UPPER INUMAN, SINDANGAN</t>
        </r>
      </text>
    </comment>
    <comment ref="O1121" authorId="0" shapeId="0" xr:uid="{33478A19-05A3-4ACE-9457-C24BDCC84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1122" authorId="0" shapeId="0" xr:uid="{7B59A60D-6A8F-4330-BE8D-7469811F3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1123" authorId="0" shapeId="0" xr:uid="{AE2E17A7-52A4-4894-9C22-331EDEDF41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1167" authorId="0" shapeId="0" xr:uid="{02F4A40E-31D4-4597-BB91-3C6D85D45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167" authorId="0" shapeId="0" xr:uid="{EE0A6E08-81FD-4D2C-B65A-D7B60D406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BELIA
TALINGA, SINDANGAN</t>
        </r>
      </text>
    </comment>
    <comment ref="AA1167" authorId="0" shapeId="0" xr:uid="{1A982579-F04E-4A9F-9B75-B706D71DB8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168" authorId="0" shapeId="0" xr:uid="{CD572D3D-48DA-42FD-B6E6-962444D095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168" authorId="0" shapeId="0" xr:uid="{A276A157-FB5F-40D0-A569-2A42495625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TINAPLAN, SINDANGAN</t>
        </r>
      </text>
    </comment>
    <comment ref="AA1168" authorId="0" shapeId="0" xr:uid="{0395C9F6-8EB2-4947-90EC-CEA2AB5471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169" authorId="0" shapeId="0" xr:uid="{0BF3C658-0B2B-4061-BAA5-D996CF2F3F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LIMA CAMILLION
POLAYO, SIAYAN</t>
        </r>
      </text>
    </comment>
    <comment ref="O1169" authorId="0" shapeId="0" xr:uid="{C1FC3CE6-07F8-4EFF-BD93-303966FE8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1169" authorId="0" shapeId="0" xr:uid="{E6133D5E-CACC-4E2B-9AEC-B8D369F1B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170" authorId="0" shapeId="0" xr:uid="{B02FDCBA-4060-4262-8755-82A17D0300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FAUNILLAN, CRIS
DENOYAN, SIAYAN</t>
        </r>
      </text>
    </comment>
    <comment ref="O1170" authorId="0" shapeId="0" xr:uid="{5DE84658-E582-4D02-8CEB-C427253FA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170" authorId="0" shapeId="0" xr:uid="{248584F1-336D-4F66-AECF-C657FAFD2D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1171" authorId="0" shapeId="0" xr:uid="{283B3297-225A-4E23-A891-F41C6D9118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KATE ALAT
POB, SIAYAN</t>
        </r>
      </text>
    </comment>
    <comment ref="O1171" authorId="0" shapeId="0" xr:uid="{DCAF33A5-68A1-49F9-9FD0-514036DC3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1171" authorId="0" shapeId="0" xr:uid="{D7252C7B-2084-4082-8F97-92B1AC809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172" authorId="0" shapeId="0" xr:uid="{E9503510-6894-4953-8E60-EAFACF69D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JUNREY ANDUS
DENOYAN, SIAYAN</t>
        </r>
      </text>
    </comment>
    <comment ref="O1172" authorId="0" shapeId="0" xr:uid="{FA61DE8C-2A8F-4160-BF6B-D7529403ED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VANJIE TALIP
TINAPLAN, SINDANGAN</t>
        </r>
      </text>
    </comment>
    <comment ref="AA1172" authorId="0" shapeId="0" xr:uid="{270A0122-40B6-4160-960F-66FEBB55D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TIDJI LIRA
GOLEO, SINDANGAN</t>
        </r>
      </text>
    </comment>
    <comment ref="C1173" authorId="0" shapeId="0" xr:uid="{87CC9DA6-3731-433E-B09F-03097E40A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ANDREA S. ANSAGON
DENOYAN, SIAYAN</t>
        </r>
      </text>
    </comment>
    <comment ref="O1173" authorId="0" shapeId="0" xr:uid="{55A40766-13FC-43EA-85D3-792D4269CF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JERSON
TALINGA, SINDANGAN</t>
        </r>
      </text>
    </comment>
    <comment ref="C1174" authorId="0" shapeId="0" xr:uid="{6999FA31-150C-4D93-B958-71596C1A4D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JUAN BERNADERO
DENOYAN, SIAYAN</t>
        </r>
      </text>
    </comment>
    <comment ref="O1174" authorId="0" shapeId="0" xr:uid="{7187B4FB-08FD-4110-A682-0FA636EF2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LESTER CAMPOY
BARILIL, TALINGA, SINDANGAN</t>
        </r>
      </text>
    </comment>
    <comment ref="C1175" authorId="0" shapeId="0" xr:uid="{47108700-B0EA-4A78-B3BB-5EFA4C4E1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ROSELYN PACATANG
DENOYAN, SIAYAN</t>
        </r>
      </text>
    </comment>
    <comment ref="O1175" authorId="0" shapeId="0" xr:uid="{A3B9DE80-1A74-41D3-8F1A-68BA6E408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1176" authorId="0" shapeId="0" xr:uid="{5D7E8F4F-0CCB-4324-9708-F71B21CDF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TORRES
DATU TANGKILAN, SINDANGAN</t>
        </r>
      </text>
    </comment>
    <comment ref="O1177" authorId="0" shapeId="0" xr:uid="{9E8118B7-2929-4CF1-80F6-EA2098F736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178" authorId="0" shapeId="0" xr:uid="{B6EACF46-94C2-4D43-A7B8-8DC892FB4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</commentList>
</comments>
</file>

<file path=xl/sharedStrings.xml><?xml version="1.0" encoding="utf-8"?>
<sst xmlns="http://schemas.openxmlformats.org/spreadsheetml/2006/main" count="1541" uniqueCount="101">
  <si>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</si>
  <si>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</si>
  <si>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</si>
  <si>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</si>
  <si>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</si>
  <si>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</si>
  <si>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</si>
  <si>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</si>
  <si>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</si>
  <si>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</si>
  <si>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</si>
  <si>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</si>
  <si>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</si>
  <si>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</si>
  <si>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</si>
  <si>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</si>
  <si>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</si>
  <si>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</si>
  <si>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</si>
  <si>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</si>
  <si>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</si>
  <si>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</si>
  <si>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</si>
  <si>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</si>
  <si>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</si>
  <si>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</si>
  <si>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</si>
  <si>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</si>
  <si>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</si>
  <si>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</si>
  <si>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</si>
  <si>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</si>
  <si>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</si>
  <si>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</si>
  <si>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</si>
  <si>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</si>
  <si>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</si>
  <si>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</si>
  <si>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</si>
  <si>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</si>
  <si>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</si>
  <si>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</si>
  <si>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</si>
  <si>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</si>
  <si>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</si>
  <si>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</si>
  <si>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</si>
  <si>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</si>
  <si>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</si>
  <si>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</si>
  <si>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</si>
  <si>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</si>
  <si>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</si>
  <si>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</si>
  <si>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</si>
  <si>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</si>
  <si>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</si>
  <si>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</si>
  <si>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</si>
  <si>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</si>
  <si>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</si>
  <si>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</si>
  <si>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</si>
  <si>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</si>
  <si>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</si>
  <si>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</si>
  <si>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</si>
  <si>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</si>
  <si>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</si>
  <si>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</si>
  <si>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</si>
  <si>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</si>
  <si>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</si>
  <si>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</si>
  <si>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</si>
  <si>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</si>
  <si>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</si>
  <si>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</si>
  <si>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</si>
  <si>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</si>
  <si>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</si>
  <si>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</si>
  <si>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</si>
  <si>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</si>
  <si>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</si>
  <si>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</si>
  <si>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</si>
  <si>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</si>
  <si>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9229-9239/9290-9294/9351-9355</t>
  </si>
  <si>
    <t>FEBRUARY 23, 2026</t>
  </si>
  <si>
    <t>02/23/2026</t>
  </si>
  <si>
    <t>FEBRUARY 24, 2026</t>
  </si>
  <si>
    <t>02/24/2026</t>
  </si>
  <si>
    <t>//9192-9196</t>
  </si>
  <si>
    <t>9240-9249,9111-9120/9295-9297/</t>
  </si>
  <si>
    <t>FEBRUARY 25, 2026</t>
  </si>
  <si>
    <t>02/25/2026</t>
  </si>
  <si>
    <t>9121-9125/9298-9309/9197-9200</t>
  </si>
  <si>
    <t>FEBRUARY 26, 2026</t>
  </si>
  <si>
    <t>02/26/2026</t>
  </si>
  <si>
    <t>9126-9134/9310-9321/9356-9361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</si>
</sst>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H35" sqref="H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2" t="s">
        <v>36</v>
      </c>
      <c r="B6" s="11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787562.5</v>
      </c>
      <c r="F30" s="14">
        <v>283306.5</v>
      </c>
      <c r="G30" s="14">
        <v>233082.5</v>
      </c>
      <c r="H30" s="14">
        <v>271173.5</v>
      </c>
      <c r="I30" s="14"/>
      <c r="J30" s="17">
        <f t="shared" si="1"/>
        <v>787562.5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93</v>
      </c>
      <c r="D32" s="16">
        <f t="shared" ref="D32:D39" si="4">J32</f>
        <v>333300</v>
      </c>
      <c r="E32" s="15"/>
      <c r="F32" s="15"/>
      <c r="G32" s="14"/>
      <c r="H32" s="14">
        <v>333300</v>
      </c>
      <c r="I32" s="54"/>
      <c r="J32" s="17">
        <f t="shared" si="1"/>
        <v>333300</v>
      </c>
    </row>
    <row r="33" spans="1:10" x14ac:dyDescent="0.25">
      <c r="A33" s="10">
        <f t="shared" si="2"/>
        <v>24</v>
      </c>
      <c r="B33" s="43" t="s">
        <v>8</v>
      </c>
      <c r="C33" s="12" t="s">
        <v>94</v>
      </c>
      <c r="D33" s="16">
        <f t="shared" si="4"/>
        <v>614209.5</v>
      </c>
      <c r="E33" s="15"/>
      <c r="F33" s="15">
        <v>241665.5</v>
      </c>
      <c r="G33" s="14">
        <v>372544</v>
      </c>
      <c r="H33" s="14"/>
      <c r="I33" s="14"/>
      <c r="J33" s="17">
        <f t="shared" si="1"/>
        <v>614209.5</v>
      </c>
    </row>
    <row r="34" spans="1:10" x14ac:dyDescent="0.25">
      <c r="A34" s="10">
        <f>A33+1</f>
        <v>25</v>
      </c>
      <c r="B34" s="56" t="s">
        <v>9</v>
      </c>
      <c r="C34" s="12" t="s">
        <v>97</v>
      </c>
      <c r="D34" s="16">
        <f t="shared" si="4"/>
        <v>792797</v>
      </c>
      <c r="E34" s="14"/>
      <c r="F34" s="15">
        <v>340515</v>
      </c>
      <c r="G34" s="14">
        <v>179788</v>
      </c>
      <c r="H34" s="14">
        <v>272494</v>
      </c>
      <c r="I34" s="14"/>
      <c r="J34" s="17">
        <f t="shared" si="1"/>
        <v>792797</v>
      </c>
    </row>
    <row r="35" spans="1:10" x14ac:dyDescent="0.25">
      <c r="A35" s="10">
        <f t="shared" si="2"/>
        <v>26</v>
      </c>
      <c r="B35" s="11" t="s">
        <v>30</v>
      </c>
      <c r="C35" s="12" t="s">
        <v>100</v>
      </c>
      <c r="D35" s="16">
        <f t="shared" si="4"/>
        <v>619948.5</v>
      </c>
      <c r="E35" s="14"/>
      <c r="F35" s="14">
        <v>212967</v>
      </c>
      <c r="G35" s="14">
        <v>204026.5</v>
      </c>
      <c r="H35" s="14">
        <v>202955</v>
      </c>
      <c r="I35" s="14"/>
      <c r="J35" s="17">
        <f t="shared" si="1"/>
        <v>619948.5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3" t="s">
        <v>10</v>
      </c>
      <c r="B42" s="114"/>
      <c r="C42" s="115"/>
      <c r="D42" s="48">
        <f>SUM(D2:D41)</f>
        <v>14402007.666666666</v>
      </c>
      <c r="J42" s="49">
        <f>SUM(J10:J41)</f>
        <v>14402007.666666666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188" zoomScale="115" zoomScaleNormal="115" workbookViewId="0">
      <selection activeCell="AE1210" sqref="AE121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2" t="s">
        <v>17</v>
      </c>
      <c r="E10" s="122"/>
      <c r="F10" s="75"/>
      <c r="G10" s="27"/>
      <c r="I10" s="120" t="s">
        <v>18</v>
      </c>
      <c r="J10" s="121"/>
      <c r="K10" s="118" t="s">
        <v>19</v>
      </c>
      <c r="N10" s="25"/>
      <c r="O10" s="26"/>
      <c r="P10" s="122" t="s">
        <v>17</v>
      </c>
      <c r="Q10" s="122"/>
      <c r="R10" s="75"/>
      <c r="S10" s="27"/>
      <c r="U10" s="120" t="s">
        <v>18</v>
      </c>
      <c r="V10" s="121"/>
      <c r="W10" s="118" t="s">
        <v>19</v>
      </c>
      <c r="Z10" s="25"/>
      <c r="AA10" s="26"/>
      <c r="AB10" s="122" t="s">
        <v>17</v>
      </c>
      <c r="AC10" s="122"/>
      <c r="AD10" s="75"/>
      <c r="AE10" s="27"/>
      <c r="AG10" s="120" t="s">
        <v>18</v>
      </c>
      <c r="AH10" s="121"/>
      <c r="AI10" s="11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9"/>
    </row>
    <row r="12" spans="1:35" x14ac:dyDescent="0.25">
      <c r="A12" s="10">
        <v>1</v>
      </c>
      <c r="B12" s="30">
        <v>46055</v>
      </c>
      <c r="C12" s="82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2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2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2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2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2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2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2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2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2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2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2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2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2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2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2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2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2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2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2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2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2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2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2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2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2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2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2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2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2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2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2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2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2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5"/>
      <c r="AS64" s="85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2" t="s">
        <v>17</v>
      </c>
      <c r="E65" s="122"/>
      <c r="F65" s="86"/>
      <c r="G65" s="27"/>
      <c r="I65" s="120" t="s">
        <v>18</v>
      </c>
      <c r="J65" s="121"/>
      <c r="K65" s="118" t="s">
        <v>19</v>
      </c>
      <c r="N65" s="25"/>
      <c r="O65" s="26"/>
      <c r="P65" s="122" t="s">
        <v>17</v>
      </c>
      <c r="Q65" s="122"/>
      <c r="R65" s="86"/>
      <c r="S65" s="27"/>
      <c r="U65" s="120" t="s">
        <v>18</v>
      </c>
      <c r="V65" s="121"/>
      <c r="W65" s="118" t="s">
        <v>19</v>
      </c>
      <c r="Z65" s="25"/>
      <c r="AA65" s="26"/>
      <c r="AB65" s="122" t="s">
        <v>17</v>
      </c>
      <c r="AC65" s="122"/>
      <c r="AD65" s="86"/>
      <c r="AE65" s="27"/>
      <c r="AG65" s="120" t="s">
        <v>18</v>
      </c>
      <c r="AH65" s="121"/>
      <c r="AI65" s="118" t="s">
        <v>19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9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2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5"/>
      <c r="AN67" s="117"/>
      <c r="AO67" s="117"/>
      <c r="AP67" s="85"/>
      <c r="AQ67" s="62"/>
      <c r="AR67" s="117"/>
      <c r="AS67" s="117"/>
      <c r="AT67" s="11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2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5"/>
      <c r="AM68" s="85"/>
      <c r="AN68" s="85"/>
      <c r="AO68" s="84"/>
      <c r="AP68" s="84"/>
      <c r="AQ68" s="62"/>
      <c r="AR68" s="84"/>
      <c r="AS68" s="84"/>
      <c r="AT68" s="11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2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2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2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2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2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2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2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2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2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2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2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2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2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2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2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2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2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2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2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2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2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2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2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2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2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2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2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2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2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2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2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2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2" t="s">
        <v>17</v>
      </c>
      <c r="E120" s="122"/>
      <c r="F120" s="87"/>
      <c r="G120" s="27"/>
      <c r="I120" s="120" t="s">
        <v>18</v>
      </c>
      <c r="J120" s="121"/>
      <c r="K120" s="118" t="s">
        <v>19</v>
      </c>
      <c r="N120" s="25"/>
      <c r="O120" s="26"/>
      <c r="P120" s="122" t="s">
        <v>17</v>
      </c>
      <c r="Q120" s="122"/>
      <c r="R120" s="87"/>
      <c r="S120" s="27"/>
      <c r="U120" s="120" t="s">
        <v>18</v>
      </c>
      <c r="V120" s="121"/>
      <c r="W120" s="118" t="s">
        <v>19</v>
      </c>
      <c r="Z120" s="25"/>
      <c r="AA120" s="26"/>
      <c r="AB120" s="122" t="s">
        <v>17</v>
      </c>
      <c r="AC120" s="122"/>
      <c r="AD120" s="87"/>
      <c r="AE120" s="27"/>
      <c r="AG120" s="120" t="s">
        <v>18</v>
      </c>
      <c r="AH120" s="121"/>
      <c r="AI120" s="118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9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9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9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2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2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2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2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2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2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2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2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2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2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2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2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2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2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2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2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2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2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2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2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2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2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2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2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2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2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2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2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2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2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2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2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2" t="s">
        <v>17</v>
      </c>
      <c r="E175" s="122"/>
      <c r="F175" s="88"/>
      <c r="G175" s="27"/>
      <c r="I175" s="120" t="s">
        <v>18</v>
      </c>
      <c r="J175" s="121"/>
      <c r="K175" s="118" t="s">
        <v>19</v>
      </c>
      <c r="N175" s="25"/>
      <c r="O175" s="26"/>
      <c r="P175" s="122" t="s">
        <v>17</v>
      </c>
      <c r="Q175" s="122"/>
      <c r="R175" s="88"/>
      <c r="S175" s="27"/>
      <c r="U175" s="120" t="s">
        <v>18</v>
      </c>
      <c r="V175" s="121"/>
      <c r="W175" s="118" t="s">
        <v>19</v>
      </c>
      <c r="Z175" s="25"/>
      <c r="AA175" s="26"/>
      <c r="AB175" s="122" t="s">
        <v>17</v>
      </c>
      <c r="AC175" s="122"/>
      <c r="AD175" s="88"/>
      <c r="AE175" s="27"/>
      <c r="AG175" s="120" t="s">
        <v>18</v>
      </c>
      <c r="AH175" s="121"/>
      <c r="AI175" s="118" t="s">
        <v>19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9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2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2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5"/>
      <c r="AM178" s="85"/>
      <c r="AN178" s="85"/>
      <c r="AO178" s="85"/>
      <c r="AP178" s="85"/>
      <c r="AQ178" s="62"/>
      <c r="AR178" s="85"/>
      <c r="AS178" s="85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2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2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2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5"/>
      <c r="AN181" s="117"/>
      <c r="AO181" s="117"/>
      <c r="AP181" s="85"/>
      <c r="AQ181" s="62"/>
      <c r="AR181" s="117"/>
      <c r="AS181" s="117"/>
      <c r="AT181" s="11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2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5"/>
      <c r="AM182" s="85"/>
      <c r="AN182" s="85"/>
      <c r="AO182" s="84"/>
      <c r="AP182" s="84"/>
      <c r="AQ182" s="62"/>
      <c r="AR182" s="84"/>
      <c r="AS182" s="84"/>
      <c r="AT182" s="11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2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2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2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2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2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2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2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2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2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2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2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2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2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2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2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2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2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2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2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2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2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2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2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2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2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2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5"/>
      <c r="AA222" s="85"/>
      <c r="AB222" s="85"/>
      <c r="AC222" s="85"/>
      <c r="AD222" s="85"/>
      <c r="AE222" s="85"/>
      <c r="AF222" s="62"/>
      <c r="AG222" s="62"/>
      <c r="AH222" s="62"/>
      <c r="AI222" s="62"/>
      <c r="AJ222" s="62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5"/>
      <c r="AA223" s="85"/>
      <c r="AB223" s="85"/>
      <c r="AC223" s="85"/>
      <c r="AD223" s="85"/>
      <c r="AE223" s="85"/>
      <c r="AF223" s="62"/>
      <c r="AG223" s="62"/>
      <c r="AH223" s="62"/>
      <c r="AI223" s="62"/>
      <c r="AJ223" s="62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5"/>
      <c r="AA224" s="85"/>
      <c r="AB224" s="85"/>
      <c r="AC224" s="85"/>
      <c r="AD224" s="85"/>
      <c r="AE224" s="85"/>
      <c r="AF224" s="62"/>
      <c r="AG224" s="62"/>
      <c r="AH224" s="62"/>
      <c r="AI224" s="62"/>
      <c r="AJ224" s="62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5"/>
      <c r="AA225" s="85"/>
      <c r="AB225" s="85"/>
      <c r="AC225" s="85"/>
      <c r="AD225" s="85"/>
      <c r="AE225" s="85"/>
      <c r="AF225" s="62"/>
      <c r="AG225" s="62"/>
      <c r="AH225" s="62"/>
      <c r="AI225" s="62"/>
      <c r="AJ225" s="62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5"/>
      <c r="AA226" s="85"/>
      <c r="AB226" s="85"/>
      <c r="AC226" s="85"/>
      <c r="AD226" s="85"/>
      <c r="AE226" s="85"/>
      <c r="AF226" s="62"/>
      <c r="AG226" s="62"/>
      <c r="AH226" s="62"/>
      <c r="AI226" s="62"/>
      <c r="AJ226" s="62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5"/>
      <c r="AA227" s="85"/>
      <c r="AB227" s="85"/>
      <c r="AC227" s="85"/>
      <c r="AD227" s="85"/>
      <c r="AE227" s="85"/>
      <c r="AF227" s="62"/>
      <c r="AG227" s="85"/>
      <c r="AH227" s="85"/>
      <c r="AI227" s="62"/>
      <c r="AJ227" s="62"/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5"/>
      <c r="AA228" s="85"/>
      <c r="AB228" s="85"/>
      <c r="AC228" s="85"/>
      <c r="AD228" s="85"/>
      <c r="AE228" s="85"/>
      <c r="AF228" s="62"/>
      <c r="AG228" s="65"/>
      <c r="AH228" s="65"/>
      <c r="AI228" s="62"/>
      <c r="AJ228" s="62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5"/>
      <c r="AA229" s="85"/>
      <c r="AB229" s="85"/>
      <c r="AC229" s="85"/>
      <c r="AD229" s="85"/>
      <c r="AE229" s="85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2" t="s">
        <v>17</v>
      </c>
      <c r="E230" s="122"/>
      <c r="F230" s="89"/>
      <c r="G230" s="27"/>
      <c r="I230" s="120" t="s">
        <v>18</v>
      </c>
      <c r="J230" s="121"/>
      <c r="K230" s="118" t="s">
        <v>19</v>
      </c>
      <c r="N230" s="25"/>
      <c r="O230" s="26"/>
      <c r="P230" s="122" t="s">
        <v>17</v>
      </c>
      <c r="Q230" s="122"/>
      <c r="R230" s="89"/>
      <c r="S230" s="27"/>
      <c r="U230" s="120" t="s">
        <v>18</v>
      </c>
      <c r="V230" s="121"/>
      <c r="W230" s="118" t="s">
        <v>19</v>
      </c>
      <c r="Y230" s="62"/>
      <c r="Z230" s="65"/>
      <c r="AA230" s="85"/>
      <c r="AB230" s="117"/>
      <c r="AC230" s="117"/>
      <c r="AD230" s="85"/>
      <c r="AE230" s="85"/>
      <c r="AF230" s="62"/>
      <c r="AG230" s="117"/>
      <c r="AH230" s="117"/>
      <c r="AI230" s="116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9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9"/>
      <c r="Y231" s="62"/>
      <c r="Z231" s="85"/>
      <c r="AA231" s="85"/>
      <c r="AB231" s="79"/>
      <c r="AC231" s="81"/>
      <c r="AD231" s="81"/>
      <c r="AE231" s="81"/>
      <c r="AF231" s="62"/>
      <c r="AG231" s="84"/>
      <c r="AH231" s="84"/>
      <c r="AI231" s="116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2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5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2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5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2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5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2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5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2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5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2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5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2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2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5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2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5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2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5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5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2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5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2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5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2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5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2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5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2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5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2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5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2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5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1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5"/>
      <c r="AD252" s="85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2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1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5"/>
      <c r="AB253" s="68"/>
      <c r="AC253" s="85"/>
      <c r="AD253" s="85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2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5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2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5"/>
      <c r="AB255" s="69"/>
      <c r="AC255" s="85"/>
      <c r="AD255" s="85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2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5"/>
      <c r="AB256" s="69"/>
      <c r="AC256" s="85"/>
      <c r="AD256" s="85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2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5"/>
      <c r="AB257" s="69"/>
      <c r="AC257" s="85"/>
      <c r="AD257" s="85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2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5"/>
      <c r="AB258" s="69"/>
      <c r="AC258" s="85"/>
      <c r="AD258" s="85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2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5"/>
      <c r="AB259" s="69"/>
      <c r="AC259" s="85"/>
      <c r="AD259" s="85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5"/>
      <c r="AB260" s="69"/>
      <c r="AC260" s="85"/>
      <c r="AD260" s="85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2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5"/>
      <c r="AB261" s="69"/>
      <c r="AC261" s="85"/>
      <c r="AD261" s="85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2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5"/>
      <c r="AB262" s="69"/>
      <c r="AC262" s="85"/>
      <c r="AD262" s="85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2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5"/>
      <c r="AB263" s="69"/>
      <c r="AC263" s="85"/>
      <c r="AD263" s="85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2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5"/>
      <c r="AB264" s="69"/>
      <c r="AC264" s="85"/>
      <c r="AD264" s="85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2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5"/>
      <c r="AB265" s="69"/>
      <c r="AC265" s="85"/>
      <c r="AD265" s="85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2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5"/>
      <c r="AB266" s="69"/>
      <c r="AC266" s="85"/>
      <c r="AD266" s="85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2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5"/>
      <c r="AB267" s="69"/>
      <c r="AC267" s="85"/>
      <c r="AD267" s="85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5"/>
      <c r="AB268" s="69"/>
      <c r="AC268" s="85"/>
      <c r="AD268" s="85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5"/>
      <c r="AB269" s="69"/>
      <c r="AC269" s="85"/>
      <c r="AD269" s="85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5"/>
      <c r="AB270" s="69"/>
      <c r="AC270" s="85"/>
      <c r="AD270" s="85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5"/>
      <c r="AD271" s="85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5"/>
      <c r="AB272" s="69"/>
      <c r="AC272" s="85"/>
      <c r="AD272" s="85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5"/>
      <c r="AA273" s="85"/>
      <c r="AB273" s="85"/>
      <c r="AC273" s="85"/>
      <c r="AD273" s="85"/>
      <c r="AE273" s="85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5"/>
      <c r="AA274" s="85"/>
      <c r="AB274" s="85"/>
      <c r="AC274" s="85"/>
      <c r="AD274" s="85"/>
      <c r="AE274" s="85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5"/>
      <c r="AA275" s="85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2" t="s">
        <v>17</v>
      </c>
      <c r="E285" s="122"/>
      <c r="F285" s="90"/>
      <c r="G285" s="27"/>
      <c r="I285" s="120" t="s">
        <v>18</v>
      </c>
      <c r="J285" s="121"/>
      <c r="K285" s="118" t="s">
        <v>19</v>
      </c>
      <c r="N285" s="25"/>
      <c r="O285" s="26"/>
      <c r="P285" s="122" t="s">
        <v>17</v>
      </c>
      <c r="Q285" s="122"/>
      <c r="R285" s="90"/>
      <c r="S285" s="27"/>
      <c r="U285" s="120" t="s">
        <v>18</v>
      </c>
      <c r="V285" s="121"/>
      <c r="W285" s="118" t="s">
        <v>19</v>
      </c>
      <c r="Z285" s="25"/>
      <c r="AA285" s="26"/>
      <c r="AB285" s="122" t="s">
        <v>17</v>
      </c>
      <c r="AC285" s="122"/>
      <c r="AD285" s="90"/>
      <c r="AE285" s="27"/>
      <c r="AG285" s="120" t="s">
        <v>18</v>
      </c>
      <c r="AH285" s="121"/>
      <c r="AI285" s="11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9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2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2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2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2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2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2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2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2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2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2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2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2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2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2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2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2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2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1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2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1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2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2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2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2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2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2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2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2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2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2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2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2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2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2" t="s">
        <v>17</v>
      </c>
      <c r="E340" s="122"/>
      <c r="F340" s="92"/>
      <c r="G340" s="27"/>
      <c r="I340" s="120" t="s">
        <v>18</v>
      </c>
      <c r="J340" s="121"/>
      <c r="K340" s="118" t="s">
        <v>19</v>
      </c>
      <c r="N340" s="25"/>
      <c r="O340" s="26"/>
      <c r="P340" s="122" t="s">
        <v>17</v>
      </c>
      <c r="Q340" s="122"/>
      <c r="R340" s="92"/>
      <c r="S340" s="27"/>
      <c r="U340" s="120" t="s">
        <v>18</v>
      </c>
      <c r="V340" s="121"/>
      <c r="W340" s="118" t="s">
        <v>19</v>
      </c>
      <c r="Z340" s="25"/>
      <c r="AA340" s="26"/>
      <c r="AB340" s="122" t="s">
        <v>17</v>
      </c>
      <c r="AC340" s="122"/>
      <c r="AD340" s="92"/>
      <c r="AE340" s="27"/>
      <c r="AG340" s="120" t="s">
        <v>18</v>
      </c>
      <c r="AH340" s="121"/>
      <c r="AI340" s="11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2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2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2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2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2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2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2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2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2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2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2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2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2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2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2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2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2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2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1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2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1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2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2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2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2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2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2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2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2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2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2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2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2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2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2" t="s">
        <v>17</v>
      </c>
      <c r="E395" s="122"/>
      <c r="F395" s="93"/>
      <c r="G395" s="27"/>
      <c r="I395" s="120" t="s">
        <v>18</v>
      </c>
      <c r="J395" s="121"/>
      <c r="K395" s="118" t="s">
        <v>19</v>
      </c>
      <c r="N395" s="25"/>
      <c r="O395" s="26"/>
      <c r="P395" s="122" t="s">
        <v>17</v>
      </c>
      <c r="Q395" s="122"/>
      <c r="R395" s="93"/>
      <c r="S395" s="27"/>
      <c r="U395" s="120" t="s">
        <v>18</v>
      </c>
      <c r="V395" s="121"/>
      <c r="W395" s="118" t="s">
        <v>19</v>
      </c>
      <c r="Z395" s="25"/>
      <c r="AA395" s="26"/>
      <c r="AB395" s="122" t="s">
        <v>17</v>
      </c>
      <c r="AC395" s="122"/>
      <c r="AD395" s="93"/>
      <c r="AE395" s="27"/>
      <c r="AG395" s="120" t="s">
        <v>18</v>
      </c>
      <c r="AH395" s="121"/>
      <c r="AI395" s="11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9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2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2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2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2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2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2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2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2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2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2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2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2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2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2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2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2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2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1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2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1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2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2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2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2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2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2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2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2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2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2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2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2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2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2" t="s">
        <v>17</v>
      </c>
      <c r="E450" s="122"/>
      <c r="F450" s="94"/>
      <c r="G450" s="27"/>
      <c r="I450" s="120" t="s">
        <v>18</v>
      </c>
      <c r="J450" s="121"/>
      <c r="K450" s="118" t="s">
        <v>19</v>
      </c>
      <c r="N450" s="25"/>
      <c r="O450" s="26"/>
      <c r="P450" s="122" t="s">
        <v>17</v>
      </c>
      <c r="Q450" s="122"/>
      <c r="R450" s="94"/>
      <c r="S450" s="27"/>
      <c r="U450" s="120" t="s">
        <v>18</v>
      </c>
      <c r="V450" s="121"/>
      <c r="W450" s="118" t="s">
        <v>19</v>
      </c>
      <c r="Z450" s="25"/>
      <c r="AA450" s="26"/>
      <c r="AB450" s="122" t="s">
        <v>17</v>
      </c>
      <c r="AC450" s="122"/>
      <c r="AD450" s="94"/>
      <c r="AE450" s="27"/>
      <c r="AG450" s="120" t="s">
        <v>18</v>
      </c>
      <c r="AH450" s="121"/>
      <c r="AI450" s="11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9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2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2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2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2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2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2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2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2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2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2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2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2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2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2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2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2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2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1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2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1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2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2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2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2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2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2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2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2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2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2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2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2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2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2" t="s">
        <v>17</v>
      </c>
      <c r="E505" s="122"/>
      <c r="F505" s="95"/>
      <c r="G505" s="27"/>
      <c r="I505" s="120" t="s">
        <v>18</v>
      </c>
      <c r="J505" s="121"/>
      <c r="K505" s="118" t="s">
        <v>19</v>
      </c>
      <c r="N505" s="25"/>
      <c r="O505" s="26"/>
      <c r="P505" s="122" t="s">
        <v>17</v>
      </c>
      <c r="Q505" s="122"/>
      <c r="R505" s="95"/>
      <c r="S505" s="27"/>
      <c r="U505" s="120" t="s">
        <v>18</v>
      </c>
      <c r="V505" s="121"/>
      <c r="W505" s="118" t="s">
        <v>19</v>
      </c>
      <c r="Z505" s="25"/>
      <c r="AA505" s="26"/>
      <c r="AB505" s="122" t="s">
        <v>17</v>
      </c>
      <c r="AC505" s="122"/>
      <c r="AD505" s="95"/>
      <c r="AE505" s="27"/>
      <c r="AG505" s="120" t="s">
        <v>18</v>
      </c>
      <c r="AH505" s="121"/>
      <c r="AI505" s="118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9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9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9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2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2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2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2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2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2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2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2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2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2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2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2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2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2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2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2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1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2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1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2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2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2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2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2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2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2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2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2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2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2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2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2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5"/>
      <c r="C552" s="85"/>
      <c r="D552" s="85"/>
      <c r="E552" s="85"/>
      <c r="F552" s="85"/>
      <c r="G552" s="85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5"/>
      <c r="C553" s="85"/>
      <c r="D553" s="85"/>
      <c r="E553" s="85"/>
      <c r="F553" s="85"/>
      <c r="G553" s="85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5"/>
      <c r="C554" s="85"/>
      <c r="D554" s="85"/>
      <c r="E554" s="85"/>
      <c r="F554" s="85"/>
      <c r="G554" s="85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5"/>
      <c r="C555" s="85"/>
      <c r="D555" s="85"/>
      <c r="E555" s="85"/>
      <c r="F555" s="85"/>
      <c r="G555" s="85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5"/>
      <c r="C556" s="85"/>
      <c r="D556" s="85"/>
      <c r="E556" s="85"/>
      <c r="F556" s="85"/>
      <c r="G556" s="85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5"/>
      <c r="C557" s="85"/>
      <c r="D557" s="85"/>
      <c r="E557" s="85"/>
      <c r="F557" s="85"/>
      <c r="G557" s="85"/>
      <c r="H557" s="62"/>
      <c r="I557" s="85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5"/>
      <c r="C558" s="85"/>
      <c r="D558" s="85"/>
      <c r="E558" s="85"/>
      <c r="F558" s="85"/>
      <c r="G558" s="85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5"/>
      <c r="C559" s="85"/>
      <c r="D559" s="85"/>
      <c r="E559" s="85"/>
      <c r="F559" s="85"/>
      <c r="G559" s="85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5"/>
      <c r="D560" s="117"/>
      <c r="E560" s="117"/>
      <c r="F560" s="85"/>
      <c r="G560" s="85"/>
      <c r="H560" s="62"/>
      <c r="I560" s="117"/>
      <c r="J560" s="117"/>
      <c r="K560" s="116"/>
      <c r="N560" s="25"/>
      <c r="O560" s="26"/>
      <c r="P560" s="122" t="s">
        <v>17</v>
      </c>
      <c r="Q560" s="122"/>
      <c r="R560" s="96"/>
      <c r="S560" s="27"/>
      <c r="U560" s="120" t="s">
        <v>18</v>
      </c>
      <c r="V560" s="121"/>
      <c r="W560" s="118" t="s">
        <v>19</v>
      </c>
      <c r="Z560" s="25"/>
      <c r="AA560" s="26"/>
      <c r="AB560" s="122" t="s">
        <v>17</v>
      </c>
      <c r="AC560" s="122"/>
      <c r="AD560" s="96"/>
      <c r="AE560" s="27"/>
      <c r="AG560" s="120" t="s">
        <v>18</v>
      </c>
      <c r="AH560" s="121"/>
      <c r="AI560" s="118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5"/>
      <c r="C561" s="85"/>
      <c r="D561" s="79"/>
      <c r="E561" s="80"/>
      <c r="F561" s="81"/>
      <c r="G561" s="81"/>
      <c r="H561" s="62"/>
      <c r="I561" s="84"/>
      <c r="J561" s="84"/>
      <c r="K561" s="116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9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9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3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3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3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5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3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3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3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3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3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5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3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3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3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3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5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3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5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5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3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3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1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3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1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5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5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5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5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5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5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5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5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5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5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5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5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5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5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5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5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5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5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5"/>
      <c r="C604" s="85"/>
      <c r="D604" s="85"/>
      <c r="E604" s="85"/>
      <c r="F604" s="85"/>
      <c r="G604" s="85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5"/>
      <c r="C605" s="85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2" t="s">
        <v>17</v>
      </c>
      <c r="E615" s="122"/>
      <c r="F615" s="97"/>
      <c r="G615" s="27"/>
      <c r="I615" s="120" t="s">
        <v>18</v>
      </c>
      <c r="J615" s="121"/>
      <c r="K615" s="118" t="s">
        <v>19</v>
      </c>
      <c r="N615" s="25"/>
      <c r="O615" s="26"/>
      <c r="P615" s="122" t="s">
        <v>17</v>
      </c>
      <c r="Q615" s="122"/>
      <c r="R615" s="97"/>
      <c r="S615" s="27"/>
      <c r="U615" s="120" t="s">
        <v>18</v>
      </c>
      <c r="V615" s="121"/>
      <c r="W615" s="118" t="s">
        <v>19</v>
      </c>
      <c r="Z615" s="25"/>
      <c r="AA615" s="26"/>
      <c r="AB615" s="122" t="s">
        <v>17</v>
      </c>
      <c r="AC615" s="122"/>
      <c r="AD615" s="97"/>
      <c r="AE615" s="27"/>
      <c r="AG615" s="120" t="s">
        <v>18</v>
      </c>
      <c r="AH615" s="121"/>
      <c r="AI615" s="118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9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9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9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2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2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2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2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2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2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2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2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2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2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2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2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2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2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2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2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2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2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2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2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1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2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1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2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2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2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2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2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2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2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2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2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2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2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2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2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2" t="s">
        <v>17</v>
      </c>
      <c r="E670" s="122"/>
      <c r="F670" s="98"/>
      <c r="G670" s="27"/>
      <c r="I670" s="120" t="s">
        <v>18</v>
      </c>
      <c r="J670" s="121"/>
      <c r="K670" s="118" t="s">
        <v>19</v>
      </c>
      <c r="N670" s="25"/>
      <c r="O670" s="26"/>
      <c r="P670" s="122" t="s">
        <v>17</v>
      </c>
      <c r="Q670" s="122"/>
      <c r="R670" s="98"/>
      <c r="S670" s="27"/>
      <c r="U670" s="120" t="s">
        <v>18</v>
      </c>
      <c r="V670" s="121"/>
      <c r="W670" s="118" t="s">
        <v>19</v>
      </c>
      <c r="Z670" s="25"/>
      <c r="AA670" s="26"/>
      <c r="AB670" s="122" t="s">
        <v>17</v>
      </c>
      <c r="AC670" s="122"/>
      <c r="AD670" s="98"/>
      <c r="AE670" s="27"/>
      <c r="AG670" s="120" t="s">
        <v>18</v>
      </c>
      <c r="AH670" s="121"/>
      <c r="AI670" s="118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9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9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9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2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2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2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2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2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2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2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2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2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2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2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2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2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2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2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2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2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2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2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1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2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1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2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2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2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2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2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2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2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2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2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2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2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2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2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2" t="s">
        <v>17</v>
      </c>
      <c r="E725" s="122"/>
      <c r="F725" s="99"/>
      <c r="G725" s="27"/>
      <c r="I725" s="120" t="s">
        <v>18</v>
      </c>
      <c r="J725" s="121"/>
      <c r="K725" s="118" t="s">
        <v>19</v>
      </c>
      <c r="N725" s="25"/>
      <c r="O725" s="26"/>
      <c r="P725" s="122" t="s">
        <v>17</v>
      </c>
      <c r="Q725" s="122"/>
      <c r="R725" s="99"/>
      <c r="S725" s="27"/>
      <c r="U725" s="120" t="s">
        <v>18</v>
      </c>
      <c r="V725" s="121"/>
      <c r="W725" s="118" t="s">
        <v>19</v>
      </c>
      <c r="Z725" s="25"/>
      <c r="AA725" s="26"/>
      <c r="AB725" s="122" t="s">
        <v>17</v>
      </c>
      <c r="AC725" s="122"/>
      <c r="AD725" s="99"/>
      <c r="AE725" s="27"/>
      <c r="AG725" s="120" t="s">
        <v>18</v>
      </c>
      <c r="AH725" s="121"/>
      <c r="AI725" s="118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9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9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9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2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2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2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2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2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2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2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2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2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2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2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2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2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2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2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2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2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2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2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1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2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1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2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2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2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2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2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2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2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2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2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2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2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2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2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1"/>
      <c r="C772" s="101"/>
      <c r="D772" s="101"/>
      <c r="E772" s="101"/>
      <c r="F772" s="101"/>
      <c r="G772" s="101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1"/>
      <c r="C773" s="101"/>
      <c r="D773" s="101"/>
      <c r="E773" s="101"/>
      <c r="F773" s="101"/>
      <c r="G773" s="101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1"/>
      <c r="C774" s="101"/>
      <c r="D774" s="101"/>
      <c r="E774" s="101"/>
      <c r="F774" s="101"/>
      <c r="G774" s="101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1"/>
      <c r="C775" s="101"/>
      <c r="D775" s="101"/>
      <c r="E775" s="101"/>
      <c r="F775" s="101"/>
      <c r="G775" s="101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1"/>
      <c r="C776" s="101"/>
      <c r="D776" s="101"/>
      <c r="E776" s="101"/>
      <c r="F776" s="101"/>
      <c r="G776" s="101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1"/>
      <c r="C777" s="101"/>
      <c r="D777" s="101"/>
      <c r="E777" s="101"/>
      <c r="F777" s="101"/>
      <c r="G777" s="101"/>
      <c r="H777" s="62"/>
      <c r="I777" s="101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1"/>
      <c r="C778" s="101"/>
      <c r="D778" s="101"/>
      <c r="E778" s="101"/>
      <c r="F778" s="101"/>
      <c r="G778" s="101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1"/>
      <c r="C779" s="101"/>
      <c r="D779" s="101"/>
      <c r="E779" s="101"/>
      <c r="F779" s="101"/>
      <c r="G779" s="101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1"/>
      <c r="D780" s="117"/>
      <c r="E780" s="117"/>
      <c r="F780" s="101"/>
      <c r="G780" s="101"/>
      <c r="H780" s="62"/>
      <c r="I780" s="117"/>
      <c r="J780" s="117"/>
      <c r="K780" s="116"/>
      <c r="N780" s="25"/>
      <c r="O780" s="26"/>
      <c r="P780" s="122" t="s">
        <v>17</v>
      </c>
      <c r="Q780" s="122"/>
      <c r="R780" s="102"/>
      <c r="S780" s="27"/>
      <c r="U780" s="120" t="s">
        <v>18</v>
      </c>
      <c r="V780" s="121"/>
      <c r="W780" s="118" t="s">
        <v>19</v>
      </c>
      <c r="Z780" s="25"/>
      <c r="AA780" s="26"/>
      <c r="AB780" s="122" t="s">
        <v>17</v>
      </c>
      <c r="AC780" s="122"/>
      <c r="AD780" s="102"/>
      <c r="AE780" s="27"/>
      <c r="AG780" s="120" t="s">
        <v>18</v>
      </c>
      <c r="AH780" s="121"/>
      <c r="AI780" s="118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1"/>
      <c r="C781" s="101"/>
      <c r="D781" s="79"/>
      <c r="E781" s="80"/>
      <c r="F781" s="81"/>
      <c r="G781" s="81"/>
      <c r="H781" s="62"/>
      <c r="I781" s="100"/>
      <c r="J781" s="100"/>
      <c r="K781" s="116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9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9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3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1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1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1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1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1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1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1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1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1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1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1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1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1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1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1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1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1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1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1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1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1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1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1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1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1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1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1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1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1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1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3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1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3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3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3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3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1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1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1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1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1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1"/>
      <c r="C824" s="101"/>
      <c r="D824" s="101"/>
      <c r="E824" s="101"/>
      <c r="F824" s="101"/>
      <c r="G824" s="101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1"/>
      <c r="C825" s="101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2" t="s">
        <v>17</v>
      </c>
      <c r="E835" s="122"/>
      <c r="F835" s="103"/>
      <c r="G835" s="27"/>
      <c r="I835" s="120" t="s">
        <v>18</v>
      </c>
      <c r="J835" s="121"/>
      <c r="K835" s="118" t="s">
        <v>19</v>
      </c>
      <c r="N835" s="25"/>
      <c r="O835" s="26"/>
      <c r="P835" s="122" t="s">
        <v>17</v>
      </c>
      <c r="Q835" s="122"/>
      <c r="R835" s="103"/>
      <c r="S835" s="27"/>
      <c r="U835" s="120" t="s">
        <v>18</v>
      </c>
      <c r="V835" s="121"/>
      <c r="W835" s="118" t="s">
        <v>19</v>
      </c>
      <c r="Z835" s="25"/>
      <c r="AA835" s="26"/>
      <c r="AB835" s="122" t="s">
        <v>17</v>
      </c>
      <c r="AC835" s="122"/>
      <c r="AD835" s="103"/>
      <c r="AE835" s="27"/>
      <c r="AG835" s="120" t="s">
        <v>18</v>
      </c>
      <c r="AH835" s="121"/>
      <c r="AI835" s="118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9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9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9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2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2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2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2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2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2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2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2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2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2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2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2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2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2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2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2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2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2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2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2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1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2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1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2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2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2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2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2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2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2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2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2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2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2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2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2" t="s">
        <v>17</v>
      </c>
      <c r="E890" s="122"/>
      <c r="F890" s="104"/>
      <c r="G890" s="27"/>
      <c r="I890" s="120" t="s">
        <v>18</v>
      </c>
      <c r="J890" s="121"/>
      <c r="K890" s="118" t="s">
        <v>19</v>
      </c>
      <c r="N890" s="25"/>
      <c r="O890" s="26"/>
      <c r="P890" s="122" t="s">
        <v>17</v>
      </c>
      <c r="Q890" s="122"/>
      <c r="R890" s="104"/>
      <c r="S890" s="27"/>
      <c r="U890" s="120" t="s">
        <v>18</v>
      </c>
      <c r="V890" s="121"/>
      <c r="W890" s="118" t="s">
        <v>19</v>
      </c>
      <c r="Z890" s="25"/>
      <c r="AA890" s="26"/>
      <c r="AB890" s="122" t="s">
        <v>17</v>
      </c>
      <c r="AC890" s="122"/>
      <c r="AD890" s="104"/>
      <c r="AE890" s="27"/>
      <c r="AG890" s="120" t="s">
        <v>18</v>
      </c>
      <c r="AH890" s="121"/>
      <c r="AI890" s="118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9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9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9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2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2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2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2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2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2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2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2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2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2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2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2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2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2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2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2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2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2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2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1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2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1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2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2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2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2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2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2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2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2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2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2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2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2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5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5"/>
      <c r="AM938" s="85"/>
      <c r="AN938" s="85"/>
      <c r="AO938" s="85"/>
      <c r="AP938" s="85"/>
      <c r="AQ938" s="85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5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5"/>
      <c r="AM940" s="85"/>
      <c r="AN940" s="85"/>
      <c r="AO940" s="85"/>
      <c r="AP940" s="85"/>
      <c r="AQ940" s="85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5"/>
      <c r="AM941" s="85"/>
      <c r="AN941" s="85"/>
      <c r="AO941" s="85"/>
      <c r="AP941" s="85"/>
      <c r="AQ941" s="85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5"/>
      <c r="AM942" s="85"/>
      <c r="AN942" s="85"/>
      <c r="AO942" s="85"/>
      <c r="AP942" s="85"/>
      <c r="AQ942" s="85"/>
      <c r="AR942" s="62"/>
      <c r="AS942" s="85"/>
      <c r="AT942" s="85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5"/>
      <c r="AM943" s="85"/>
      <c r="AN943" s="85"/>
      <c r="AO943" s="85"/>
      <c r="AP943" s="85"/>
      <c r="AQ943" s="85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5"/>
      <c r="AM944" s="85"/>
      <c r="AN944" s="85"/>
      <c r="AO944" s="85"/>
      <c r="AP944" s="85"/>
      <c r="AQ944" s="85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22" t="s">
        <v>17</v>
      </c>
      <c r="E945" s="122"/>
      <c r="F945" s="107"/>
      <c r="G945" s="27"/>
      <c r="I945" s="120" t="s">
        <v>18</v>
      </c>
      <c r="J945" s="121"/>
      <c r="K945" s="118" t="s">
        <v>19</v>
      </c>
      <c r="N945" s="25"/>
      <c r="O945" s="26"/>
      <c r="P945" s="122" t="s">
        <v>17</v>
      </c>
      <c r="Q945" s="122"/>
      <c r="R945" s="106"/>
      <c r="S945" s="27"/>
      <c r="U945" s="120" t="s">
        <v>18</v>
      </c>
      <c r="V945" s="121"/>
      <c r="W945" s="118" t="s">
        <v>19</v>
      </c>
      <c r="Z945" s="25"/>
      <c r="AA945" s="26"/>
      <c r="AB945" s="122" t="s">
        <v>17</v>
      </c>
      <c r="AC945" s="122"/>
      <c r="AD945" s="105"/>
      <c r="AE945" s="27"/>
      <c r="AG945" s="120" t="s">
        <v>18</v>
      </c>
      <c r="AH945" s="121"/>
      <c r="AI945" s="118" t="s">
        <v>19</v>
      </c>
      <c r="AK945" s="62"/>
      <c r="AL945" s="65"/>
      <c r="AM945" s="85"/>
      <c r="AN945" s="117"/>
      <c r="AO945" s="117"/>
      <c r="AP945" s="85"/>
      <c r="AQ945" s="85"/>
      <c r="AR945" s="62"/>
      <c r="AS945" s="117"/>
      <c r="AT945" s="117"/>
      <c r="AU945" s="116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9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9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9"/>
      <c r="AK946" s="62"/>
      <c r="AL946" s="85"/>
      <c r="AM946" s="85"/>
      <c r="AN946" s="79"/>
      <c r="AO946" s="81"/>
      <c r="AP946" s="81"/>
      <c r="AQ946" s="81"/>
      <c r="AR946" s="62"/>
      <c r="AS946" s="84"/>
      <c r="AT946" s="84"/>
      <c r="AU946" s="116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2">
        <v>9229</v>
      </c>
      <c r="D947" s="32">
        <f>650*5+9.5*5</f>
        <v>3297.5</v>
      </c>
      <c r="E947" s="32"/>
      <c r="F947" s="32"/>
      <c r="G947" s="32">
        <f t="shared" ref="G947:G980" si="274">SUM(D947:E947)</f>
        <v>3297.5</v>
      </c>
      <c r="H947" s="12"/>
      <c r="I947" s="12"/>
      <c r="J947" s="12"/>
      <c r="K947" s="12">
        <f t="shared" ref="K947:K980" si="275">SUM(G947:J947)</f>
        <v>3297.5</v>
      </c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2">
        <f>C947+1</f>
        <v>9230</v>
      </c>
      <c r="D948" s="32">
        <f>650*12+9.5*12</f>
        <v>7914</v>
      </c>
      <c r="E948" s="32"/>
      <c r="F948" s="32"/>
      <c r="G948" s="32">
        <f t="shared" si="274"/>
        <v>7914</v>
      </c>
      <c r="H948" s="12"/>
      <c r="I948" s="12"/>
      <c r="J948" s="12"/>
      <c r="K948" s="12">
        <f t="shared" si="275"/>
        <v>7914</v>
      </c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85" si="276">SUM(P948:Q948)</f>
        <v>3250</v>
      </c>
      <c r="T948" s="12"/>
      <c r="U948" s="12"/>
      <c r="V948" s="12">
        <f>-111+-84</f>
        <v>-195</v>
      </c>
      <c r="W948" s="12">
        <f t="shared" ref="W948:W988" si="277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8">SUM(AB948:AC948)</f>
        <v>22750</v>
      </c>
      <c r="AF948" s="12"/>
      <c r="AG948" s="12"/>
      <c r="AH948">
        <v>-3330</v>
      </c>
      <c r="AI948" s="12">
        <f t="shared" ref="AI948:AI949" si="279">SUM(AE948:AH948)</f>
        <v>19420</v>
      </c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2">
        <f t="shared" ref="C949:C957" si="280">C948+1</f>
        <v>9231</v>
      </c>
      <c r="D949" s="33">
        <f>650*20+9.5*20</f>
        <v>13190</v>
      </c>
      <c r="E949" s="33"/>
      <c r="F949" s="33"/>
      <c r="G949" s="33">
        <f t="shared" si="274"/>
        <v>13190</v>
      </c>
      <c r="H949" s="34"/>
      <c r="I949" s="34"/>
      <c r="J949" s="34"/>
      <c r="K949" s="34">
        <f t="shared" si="275"/>
        <v>13190</v>
      </c>
      <c r="M949" s="10">
        <v>3</v>
      </c>
      <c r="N949" s="30" t="s">
        <v>87</v>
      </c>
      <c r="O949" s="31">
        <f t="shared" ref="O949:O951" si="281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6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7"/>
        <v>151828</v>
      </c>
      <c r="Y949" s="10">
        <v>3</v>
      </c>
      <c r="Z949" s="30" t="s">
        <v>87</v>
      </c>
      <c r="AA949" s="31">
        <f t="shared" ref="AA949:AA951" si="282">AA948+1</f>
        <v>9353</v>
      </c>
      <c r="AB949" s="32">
        <f>650*7+9.5*7</f>
        <v>4616.5</v>
      </c>
      <c r="AC949" s="33"/>
      <c r="AD949" s="32"/>
      <c r="AE949" s="32">
        <f t="shared" si="278"/>
        <v>4616.5</v>
      </c>
      <c r="AF949" s="12"/>
      <c r="AG949" s="12"/>
      <c r="AH949" s="12"/>
      <c r="AI949" s="12">
        <f t="shared" si="279"/>
        <v>4616.5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2">
        <f t="shared" si="280"/>
        <v>9232</v>
      </c>
      <c r="D950" s="32">
        <f>650*14</f>
        <v>9100</v>
      </c>
      <c r="E950" s="32"/>
      <c r="F950" s="32"/>
      <c r="G950" s="32">
        <f t="shared" si="274"/>
        <v>9100</v>
      </c>
      <c r="H950" s="12"/>
      <c r="I950" s="12"/>
      <c r="J950" s="12"/>
      <c r="K950" s="12">
        <f t="shared" si="275"/>
        <v>9100</v>
      </c>
      <c r="M950" s="10">
        <v>4</v>
      </c>
      <c r="N950" s="30" t="s">
        <v>87</v>
      </c>
      <c r="O950" s="31">
        <f t="shared" si="281"/>
        <v>9293</v>
      </c>
      <c r="P950" s="32">
        <f>650*17+9.5*17</f>
        <v>11211.5</v>
      </c>
      <c r="Q950" s="32"/>
      <c r="R950" s="32"/>
      <c r="S950" s="32">
        <f t="shared" si="276"/>
        <v>11211.5</v>
      </c>
      <c r="T950" s="12"/>
      <c r="U950" s="12">
        <v>9</v>
      </c>
      <c r="V950" s="12">
        <v>-504</v>
      </c>
      <c r="W950" s="12">
        <f t="shared" si="277"/>
        <v>10716.5</v>
      </c>
      <c r="Y950" s="10">
        <v>4</v>
      </c>
      <c r="Z950" s="30" t="s">
        <v>87</v>
      </c>
      <c r="AA950" s="31">
        <f t="shared" si="282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87</v>
      </c>
      <c r="C951" s="82">
        <f t="shared" si="280"/>
        <v>9233</v>
      </c>
      <c r="D951" s="32">
        <f>650*16+622*5+525+250</f>
        <v>14285</v>
      </c>
      <c r="E951" s="32"/>
      <c r="F951" s="32"/>
      <c r="G951" s="32">
        <f t="shared" si="274"/>
        <v>14285</v>
      </c>
      <c r="H951" s="12"/>
      <c r="I951" s="12"/>
      <c r="J951" s="12"/>
      <c r="K951" s="12">
        <f t="shared" si="275"/>
        <v>14285</v>
      </c>
      <c r="M951" s="10">
        <v>5</v>
      </c>
      <c r="N951" s="30" t="s">
        <v>87</v>
      </c>
      <c r="O951" s="31">
        <f t="shared" si="281"/>
        <v>9294</v>
      </c>
      <c r="P951" s="32">
        <f>650*4+670+9.5*4</f>
        <v>3308</v>
      </c>
      <c r="Q951" s="32"/>
      <c r="R951" s="32"/>
      <c r="S951" s="32">
        <f t="shared" si="276"/>
        <v>3308</v>
      </c>
      <c r="T951" s="12"/>
      <c r="U951" s="12"/>
      <c r="V951" s="12"/>
      <c r="W951" s="12">
        <f t="shared" si="277"/>
        <v>3308</v>
      </c>
      <c r="Y951" s="10">
        <v>5</v>
      </c>
      <c r="Z951" s="30" t="s">
        <v>87</v>
      </c>
      <c r="AA951" s="31">
        <f t="shared" si="282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3">SUM(AE951:AH951)</f>
        <v>3269.5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87</v>
      </c>
      <c r="C952" s="82">
        <f t="shared" si="280"/>
        <v>9234</v>
      </c>
      <c r="D952" s="32">
        <f>650*15+700+622</f>
        <v>11072</v>
      </c>
      <c r="E952" s="32"/>
      <c r="F952" s="32"/>
      <c r="G952" s="32">
        <f t="shared" si="274"/>
        <v>11072</v>
      </c>
      <c r="H952" s="12"/>
      <c r="I952" s="12"/>
      <c r="J952" s="12"/>
      <c r="K952" s="12">
        <f t="shared" si="275"/>
        <v>11072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6"/>
        <v>0</v>
      </c>
      <c r="T952" s="12"/>
      <c r="U952" s="12"/>
      <c r="V952" s="10"/>
      <c r="W952" s="12">
        <f t="shared" si="277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4">SUM(AB952:AC952)</f>
        <v>0</v>
      </c>
      <c r="AF952" s="12"/>
      <c r="AG952" s="12"/>
      <c r="AH952" s="10"/>
      <c r="AI952" s="12">
        <f t="shared" si="283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87</v>
      </c>
      <c r="C953" s="82">
        <f t="shared" si="280"/>
        <v>9235</v>
      </c>
      <c r="D953" s="32"/>
      <c r="E953" s="32"/>
      <c r="F953" s="32"/>
      <c r="G953" s="32">
        <f t="shared" si="274"/>
        <v>0</v>
      </c>
      <c r="H953" s="12"/>
      <c r="I953" s="12"/>
      <c r="J953" s="12"/>
      <c r="K953" s="12">
        <f t="shared" si="275"/>
        <v>0</v>
      </c>
      <c r="M953" s="10">
        <v>7</v>
      </c>
      <c r="N953" s="30"/>
      <c r="O953" s="31"/>
      <c r="P953" s="32"/>
      <c r="Q953" s="32"/>
      <c r="R953" s="32"/>
      <c r="S953" s="32">
        <f t="shared" si="276"/>
        <v>0</v>
      </c>
      <c r="T953" s="12"/>
      <c r="U953" s="12"/>
      <c r="V953" s="12"/>
      <c r="W953" s="12">
        <f t="shared" si="277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4"/>
        <v>0</v>
      </c>
      <c r="AF953" s="12"/>
      <c r="AG953" s="58"/>
      <c r="AH953" s="12"/>
      <c r="AI953" s="12">
        <f t="shared" si="283"/>
        <v>0</v>
      </c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87</v>
      </c>
      <c r="C954" s="82">
        <f t="shared" si="280"/>
        <v>9236</v>
      </c>
      <c r="D954" s="32">
        <f>650*3</f>
        <v>1950</v>
      </c>
      <c r="E954" s="32"/>
      <c r="F954" s="32"/>
      <c r="G954" s="32">
        <f t="shared" si="274"/>
        <v>1950</v>
      </c>
      <c r="H954" s="12"/>
      <c r="I954" s="12">
        <f>111*3</f>
        <v>333</v>
      </c>
      <c r="J954" s="12"/>
      <c r="K954" s="12">
        <f t="shared" si="275"/>
        <v>2283</v>
      </c>
      <c r="M954" s="10">
        <v>8</v>
      </c>
      <c r="N954" s="30"/>
      <c r="O954" s="31"/>
      <c r="P954" s="32"/>
      <c r="Q954" s="32"/>
      <c r="R954" s="32"/>
      <c r="S954" s="32">
        <f t="shared" si="276"/>
        <v>0</v>
      </c>
      <c r="T954" s="12"/>
      <c r="U954" s="12"/>
      <c r="V954" s="12"/>
      <c r="W954" s="12">
        <f t="shared" si="277"/>
        <v>0</v>
      </c>
      <c r="Y954" s="10">
        <v>8</v>
      </c>
      <c r="Z954" s="30"/>
      <c r="AA954" s="31"/>
      <c r="AB954" s="32"/>
      <c r="AC954" s="32"/>
      <c r="AE954" s="32">
        <f t="shared" si="284"/>
        <v>0</v>
      </c>
      <c r="AF954" s="12"/>
      <c r="AG954" s="12"/>
      <c r="AH954" s="12"/>
      <c r="AI954" s="12">
        <f t="shared" si="283"/>
        <v>0</v>
      </c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87</v>
      </c>
      <c r="C955" s="82">
        <f t="shared" si="280"/>
        <v>9237</v>
      </c>
      <c r="D955" s="32">
        <f>650*216+229*8</f>
        <v>142232</v>
      </c>
      <c r="E955" s="32">
        <f>-216*6</f>
        <v>-1296</v>
      </c>
      <c r="F955" s="32"/>
      <c r="G955" s="32">
        <f t="shared" si="274"/>
        <v>140936</v>
      </c>
      <c r="H955" s="12"/>
      <c r="I955" s="12">
        <v>312</v>
      </c>
      <c r="J955" s="12">
        <f>-120*10+-111*62++-84*3+-42*5+-2.25*9+-4.5+-1.5*18</f>
        <v>-8595.75</v>
      </c>
      <c r="K955" s="12">
        <f t="shared" si="275"/>
        <v>132652.25</v>
      </c>
      <c r="M955" s="10">
        <v>9</v>
      </c>
      <c r="N955" s="30"/>
      <c r="O955" s="31"/>
      <c r="P955" s="32"/>
      <c r="Q955" s="32"/>
      <c r="R955" s="32"/>
      <c r="S955" s="32">
        <f t="shared" si="276"/>
        <v>0</v>
      </c>
      <c r="T955" s="12"/>
      <c r="U955" s="12"/>
      <c r="V955" s="12"/>
      <c r="W955" s="12">
        <f t="shared" si="277"/>
        <v>0</v>
      </c>
      <c r="Y955" s="10">
        <v>9</v>
      </c>
      <c r="Z955" s="30"/>
      <c r="AA955" s="31"/>
      <c r="AC955" s="32"/>
      <c r="AD955" s="32"/>
      <c r="AE955" s="32">
        <f t="shared" si="284"/>
        <v>0</v>
      </c>
      <c r="AF955" s="12"/>
      <c r="AH955" s="12"/>
      <c r="AI955" s="12">
        <f t="shared" si="283"/>
        <v>0</v>
      </c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87</v>
      </c>
      <c r="C956" s="82">
        <f t="shared" si="280"/>
        <v>9238</v>
      </c>
      <c r="D956" s="32">
        <f>973*70+912*3+1050*4+872*3</f>
        <v>77662</v>
      </c>
      <c r="E956" s="32"/>
      <c r="F956" s="32"/>
      <c r="G956" s="32">
        <f t="shared" si="274"/>
        <v>77662</v>
      </c>
      <c r="H956" s="12"/>
      <c r="I956" s="12"/>
      <c r="J956" s="12"/>
      <c r="K956" s="12">
        <f t="shared" si="275"/>
        <v>77662</v>
      </c>
      <c r="M956" s="10">
        <v>10</v>
      </c>
      <c r="N956" s="30"/>
      <c r="O956" s="31"/>
      <c r="P956" s="32"/>
      <c r="Q956" s="32"/>
      <c r="R956" s="32"/>
      <c r="S956" s="32">
        <f t="shared" si="276"/>
        <v>0</v>
      </c>
      <c r="T956" s="12"/>
      <c r="U956" s="12"/>
      <c r="V956" s="12"/>
      <c r="W956" s="12">
        <f t="shared" si="277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4"/>
        <v>0</v>
      </c>
      <c r="AF956" s="12"/>
      <c r="AG956" s="12"/>
      <c r="AH956" s="12"/>
      <c r="AI956" s="12">
        <f t="shared" si="283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87</v>
      </c>
      <c r="C957" s="82">
        <f t="shared" si="280"/>
        <v>9239</v>
      </c>
      <c r="D957" s="32">
        <f>650*6</f>
        <v>3900</v>
      </c>
      <c r="E957" s="32"/>
      <c r="F957" s="32"/>
      <c r="G957" s="32">
        <f t="shared" si="274"/>
        <v>3900</v>
      </c>
      <c r="H957" s="12"/>
      <c r="I957" s="12"/>
      <c r="J957" s="12"/>
      <c r="K957" s="12">
        <f t="shared" si="275"/>
        <v>3900</v>
      </c>
      <c r="M957" s="10">
        <v>11</v>
      </c>
      <c r="N957" s="30"/>
      <c r="O957" s="31"/>
      <c r="P957" s="32"/>
      <c r="Q957" s="32"/>
      <c r="R957" s="32"/>
      <c r="S957" s="32">
        <f t="shared" si="276"/>
        <v>0</v>
      </c>
      <c r="T957" s="12"/>
      <c r="U957" s="12"/>
      <c r="V957" s="12"/>
      <c r="W957" s="12">
        <f t="shared" si="277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4"/>
        <v>0</v>
      </c>
      <c r="AF957" s="12"/>
      <c r="AG957" s="12"/>
      <c r="AH957" s="12"/>
      <c r="AI957" s="12">
        <f t="shared" si="283"/>
        <v>0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4"/>
        <v>0</v>
      </c>
      <c r="H958" s="12"/>
      <c r="I958" s="12"/>
      <c r="J958" s="10"/>
      <c r="K958" s="12">
        <f t="shared" si="275"/>
        <v>0</v>
      </c>
      <c r="M958" s="10">
        <v>12</v>
      </c>
      <c r="N958" s="30"/>
      <c r="O958" s="31"/>
      <c r="P958" s="32"/>
      <c r="Q958" s="32"/>
      <c r="R958" s="32"/>
      <c r="S958" s="32">
        <f t="shared" si="276"/>
        <v>0</v>
      </c>
      <c r="T958" s="12"/>
      <c r="U958" s="12"/>
      <c r="V958" s="12"/>
      <c r="W958" s="12">
        <f t="shared" si="277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4"/>
        <v>0</v>
      </c>
      <c r="AF958" s="12"/>
      <c r="AG958" s="12"/>
      <c r="AH958" s="12"/>
      <c r="AI958" s="12">
        <f t="shared" si="283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2"/>
      <c r="D959" s="32"/>
      <c r="E959" s="32"/>
      <c r="F959" s="32"/>
      <c r="G959" s="32">
        <f t="shared" si="274"/>
        <v>0</v>
      </c>
      <c r="H959" s="12"/>
      <c r="I959" s="12"/>
      <c r="J959" s="12"/>
      <c r="K959" s="12">
        <f t="shared" si="275"/>
        <v>0</v>
      </c>
      <c r="M959" s="10">
        <v>13</v>
      </c>
      <c r="N959" s="30"/>
      <c r="O959" s="31"/>
      <c r="P959" s="32"/>
      <c r="Q959" s="32"/>
      <c r="R959" s="32"/>
      <c r="S959" s="32">
        <f t="shared" si="276"/>
        <v>0</v>
      </c>
      <c r="T959" s="12"/>
      <c r="U959" s="12"/>
      <c r="V959" s="12"/>
      <c r="W959" s="12">
        <f t="shared" si="277"/>
        <v>0</v>
      </c>
      <c r="Y959" s="10">
        <v>13</v>
      </c>
      <c r="Z959" s="30"/>
      <c r="AB959" s="32"/>
      <c r="AC959" s="32"/>
      <c r="AD959" s="32"/>
      <c r="AE959" s="32">
        <f t="shared" si="284"/>
        <v>0</v>
      </c>
      <c r="AF959" s="12"/>
      <c r="AG959" s="12"/>
      <c r="AH959" s="12"/>
      <c r="AI959" s="12">
        <f t="shared" si="283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2"/>
      <c r="D960" s="32"/>
      <c r="E960" s="32"/>
      <c r="F960" s="32"/>
      <c r="G960" s="32">
        <f t="shared" si="274"/>
        <v>0</v>
      </c>
      <c r="H960" s="12"/>
      <c r="I960" s="12"/>
      <c r="J960" s="12"/>
      <c r="K960" s="12">
        <f t="shared" si="275"/>
        <v>0</v>
      </c>
      <c r="M960" s="10">
        <v>14</v>
      </c>
      <c r="N960" s="30"/>
      <c r="O960" s="31"/>
      <c r="P960" s="32"/>
      <c r="Q960" s="32"/>
      <c r="R960" s="32"/>
      <c r="S960" s="32">
        <f t="shared" si="276"/>
        <v>0</v>
      </c>
      <c r="T960" s="12"/>
      <c r="U960" s="12"/>
      <c r="V960" s="12"/>
      <c r="W960" s="12">
        <f t="shared" si="277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4"/>
        <v>0</v>
      </c>
      <c r="AF960" s="12"/>
      <c r="AG960" s="12"/>
      <c r="AH960" s="12"/>
      <c r="AI960" s="12">
        <f t="shared" si="283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74"/>
        <v>0</v>
      </c>
      <c r="H961" s="12"/>
      <c r="I961" s="12"/>
      <c r="J961" s="12"/>
      <c r="K961" s="12">
        <f t="shared" si="275"/>
        <v>0</v>
      </c>
      <c r="M961" s="10">
        <v>15</v>
      </c>
      <c r="N961" s="30"/>
      <c r="O961" s="31"/>
      <c r="P961" s="32"/>
      <c r="Q961" s="32"/>
      <c r="R961" s="32"/>
      <c r="S961" s="32">
        <f t="shared" si="276"/>
        <v>0</v>
      </c>
      <c r="T961" s="12"/>
      <c r="U961" s="12"/>
      <c r="V961" s="12"/>
      <c r="W961" s="12">
        <f t="shared" si="277"/>
        <v>0</v>
      </c>
      <c r="Y961" s="10">
        <v>15</v>
      </c>
      <c r="Z961" s="30"/>
      <c r="AB961" s="32"/>
      <c r="AC961" s="32"/>
      <c r="AD961" s="32"/>
      <c r="AE961" s="32">
        <f t="shared" si="284"/>
        <v>0</v>
      </c>
      <c r="AF961" s="12"/>
      <c r="AG961" s="12"/>
      <c r="AH961" s="12"/>
      <c r="AI961" s="12">
        <f t="shared" si="283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57"/>
      <c r="D962" s="32"/>
      <c r="E962" s="32"/>
      <c r="F962" s="32"/>
      <c r="G962" s="32">
        <f t="shared" si="274"/>
        <v>0</v>
      </c>
      <c r="H962" s="12"/>
      <c r="I962" s="12"/>
      <c r="J962" s="12"/>
      <c r="K962" s="12">
        <f t="shared" si="275"/>
        <v>0</v>
      </c>
      <c r="M962" s="10">
        <v>16</v>
      </c>
      <c r="N962" s="30"/>
      <c r="O962" s="31"/>
      <c r="P962" s="32"/>
      <c r="Q962" s="32"/>
      <c r="R962" s="32"/>
      <c r="S962" s="32">
        <f t="shared" si="276"/>
        <v>0</v>
      </c>
      <c r="T962" s="12"/>
      <c r="U962" s="12"/>
      <c r="V962" s="12"/>
      <c r="W962" s="12">
        <f t="shared" si="277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4"/>
        <v>0</v>
      </c>
      <c r="AF962" s="12"/>
      <c r="AG962" s="12"/>
      <c r="AH962" s="12"/>
      <c r="AI962" s="12">
        <f t="shared" si="283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2"/>
      <c r="D963" s="32"/>
      <c r="E963" s="32"/>
      <c r="F963" s="32"/>
      <c r="G963" s="32">
        <f t="shared" si="274"/>
        <v>0</v>
      </c>
      <c r="H963" s="12"/>
      <c r="I963" s="12"/>
      <c r="J963" s="12"/>
      <c r="K963" s="12">
        <f t="shared" si="275"/>
        <v>0</v>
      </c>
      <c r="M963" s="10">
        <v>17</v>
      </c>
      <c r="N963" s="30"/>
      <c r="O963" s="31"/>
      <c r="P963" s="35"/>
      <c r="Q963" s="32"/>
      <c r="R963" s="32"/>
      <c r="S963" s="32">
        <f t="shared" si="276"/>
        <v>0</v>
      </c>
      <c r="T963" s="12"/>
      <c r="U963" s="12"/>
      <c r="V963" s="12"/>
      <c r="W963" s="12">
        <f t="shared" si="277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4"/>
        <v>0</v>
      </c>
      <c r="AF963" s="12"/>
      <c r="AG963" s="12"/>
      <c r="AH963" s="12"/>
      <c r="AI963" s="12">
        <f t="shared" si="283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2"/>
      <c r="D964" s="32"/>
      <c r="E964" s="32"/>
      <c r="F964" s="32"/>
      <c r="G964" s="32">
        <f t="shared" si="274"/>
        <v>0</v>
      </c>
      <c r="H964" s="12"/>
      <c r="I964" s="12"/>
      <c r="J964" s="12"/>
      <c r="K964" s="12">
        <f t="shared" si="275"/>
        <v>0</v>
      </c>
      <c r="M964" s="10">
        <v>18</v>
      </c>
      <c r="N964" s="30"/>
      <c r="O964" s="31"/>
      <c r="P964" s="32"/>
      <c r="Q964" s="32"/>
      <c r="R964" s="32"/>
      <c r="S964" s="32">
        <f t="shared" si="276"/>
        <v>0</v>
      </c>
      <c r="T964" s="12"/>
      <c r="U964" s="12"/>
      <c r="V964" s="12"/>
      <c r="W964" s="12">
        <f t="shared" si="277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4"/>
        <v>0</v>
      </c>
      <c r="AF964" s="12"/>
      <c r="AG964" s="12"/>
      <c r="AH964" s="12"/>
      <c r="AI964" s="12">
        <f t="shared" si="283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2"/>
      <c r="D965" s="32"/>
      <c r="E965" s="32"/>
      <c r="F965" s="32"/>
      <c r="G965" s="32">
        <f t="shared" si="274"/>
        <v>0</v>
      </c>
      <c r="H965" s="12"/>
      <c r="I965" s="12"/>
      <c r="J965" s="12"/>
      <c r="K965" s="12">
        <f t="shared" si="275"/>
        <v>0</v>
      </c>
      <c r="M965" s="10">
        <v>19</v>
      </c>
      <c r="N965" s="30"/>
      <c r="O965" s="31"/>
      <c r="P965" s="32"/>
      <c r="Q965" s="32"/>
      <c r="R965" s="32"/>
      <c r="S965" s="32">
        <f t="shared" si="276"/>
        <v>0</v>
      </c>
      <c r="T965" s="12"/>
      <c r="U965" s="12"/>
      <c r="V965" s="12"/>
      <c r="W965" s="12">
        <f t="shared" si="277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4"/>
        <v>0</v>
      </c>
      <c r="AF965" s="12"/>
      <c r="AG965" s="12"/>
      <c r="AH965" s="12"/>
      <c r="AI965" s="12">
        <f t="shared" si="283"/>
        <v>0</v>
      </c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2"/>
      <c r="D966" s="32"/>
      <c r="E966" s="32"/>
      <c r="F966" s="32"/>
      <c r="G966" s="32">
        <f t="shared" si="274"/>
        <v>0</v>
      </c>
      <c r="H966" s="12"/>
      <c r="I966" s="12"/>
      <c r="J966" s="12"/>
      <c r="K966" s="12">
        <f t="shared" si="275"/>
        <v>0</v>
      </c>
      <c r="M966" s="10">
        <v>20</v>
      </c>
      <c r="N966" s="30"/>
      <c r="O966" s="31"/>
      <c r="P966" s="32"/>
      <c r="Q966" s="32"/>
      <c r="R966" s="32"/>
      <c r="S966" s="32">
        <f t="shared" si="276"/>
        <v>0</v>
      </c>
      <c r="T966" s="12"/>
      <c r="U966" s="12"/>
      <c r="V966" s="12"/>
      <c r="W966" s="12">
        <f t="shared" si="277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4"/>
        <v>0</v>
      </c>
      <c r="AF966" s="12"/>
      <c r="AG966" s="12"/>
      <c r="AH966" s="12"/>
      <c r="AI966" s="12">
        <f t="shared" si="283"/>
        <v>0</v>
      </c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2"/>
      <c r="D967" s="32"/>
      <c r="E967" s="32"/>
      <c r="F967" s="32"/>
      <c r="G967" s="32">
        <f t="shared" si="274"/>
        <v>0</v>
      </c>
      <c r="H967" s="10"/>
      <c r="I967" s="10"/>
      <c r="J967" s="10"/>
      <c r="K967" s="12">
        <f t="shared" si="275"/>
        <v>0</v>
      </c>
      <c r="M967" s="10">
        <v>21</v>
      </c>
      <c r="N967" s="30"/>
      <c r="O967" s="31"/>
      <c r="P967" s="91"/>
      <c r="Q967" s="31"/>
      <c r="R967" s="31"/>
      <c r="S967" s="32">
        <f t="shared" si="276"/>
        <v>0</v>
      </c>
      <c r="T967" s="10"/>
      <c r="U967" s="10"/>
      <c r="V967" s="10"/>
      <c r="W967" s="12">
        <f t="shared" si="277"/>
        <v>0</v>
      </c>
      <c r="Y967" s="10">
        <v>21</v>
      </c>
      <c r="Z967" s="30"/>
      <c r="AB967" s="46"/>
      <c r="AC967" s="31"/>
      <c r="AD967" s="31"/>
      <c r="AE967" s="32">
        <f t="shared" si="284"/>
        <v>0</v>
      </c>
      <c r="AF967" s="10"/>
      <c r="AG967" s="10"/>
      <c r="AH967" s="10"/>
      <c r="AI967" s="12">
        <f t="shared" si="283"/>
        <v>0</v>
      </c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2"/>
      <c r="D968" s="32"/>
      <c r="E968" s="32"/>
      <c r="F968" s="32"/>
      <c r="G968" s="32">
        <f t="shared" si="274"/>
        <v>0</v>
      </c>
      <c r="H968" s="10"/>
      <c r="I968" s="10"/>
      <c r="J968" s="10"/>
      <c r="K968" s="12">
        <f t="shared" si="275"/>
        <v>0</v>
      </c>
      <c r="M968" s="10">
        <v>22</v>
      </c>
      <c r="N968" s="30"/>
      <c r="P968" s="91"/>
      <c r="Q968" s="31"/>
      <c r="R968" s="31"/>
      <c r="S968" s="32">
        <f t="shared" si="276"/>
        <v>0</v>
      </c>
      <c r="T968" s="10"/>
      <c r="U968" s="10"/>
      <c r="V968" s="10"/>
      <c r="W968" s="12">
        <f t="shared" si="277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4"/>
        <v>0</v>
      </c>
      <c r="AF968" s="10"/>
      <c r="AG968" s="10"/>
      <c r="AH968" s="10"/>
      <c r="AI968" s="12">
        <f t="shared" si="283"/>
        <v>0</v>
      </c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2"/>
      <c r="D969" s="32"/>
      <c r="E969" s="32"/>
      <c r="F969" s="32"/>
      <c r="G969" s="32">
        <f t="shared" si="274"/>
        <v>0</v>
      </c>
      <c r="H969" s="10"/>
      <c r="I969" s="10"/>
      <c r="J969" s="12"/>
      <c r="K969" s="12">
        <f t="shared" si="275"/>
        <v>0</v>
      </c>
      <c r="M969" s="10">
        <v>23</v>
      </c>
      <c r="N969" s="30"/>
      <c r="O969" s="31"/>
      <c r="P969" s="47"/>
      <c r="Q969" s="31"/>
      <c r="S969" s="32">
        <f t="shared" si="276"/>
        <v>0</v>
      </c>
      <c r="T969" s="10"/>
      <c r="U969" s="10"/>
      <c r="V969" s="10"/>
      <c r="W969" s="12">
        <f t="shared" si="277"/>
        <v>0</v>
      </c>
      <c r="Y969" s="10">
        <v>23</v>
      </c>
      <c r="Z969" s="30"/>
      <c r="AA969" s="31"/>
      <c r="AB969" s="47"/>
      <c r="AC969" s="31"/>
      <c r="AE969" s="32">
        <f t="shared" si="284"/>
        <v>0</v>
      </c>
      <c r="AF969" s="10"/>
      <c r="AG969" s="10"/>
      <c r="AH969" s="10"/>
      <c r="AI969" s="12">
        <f t="shared" si="283"/>
        <v>0</v>
      </c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2"/>
      <c r="D970" s="32"/>
      <c r="E970" s="32"/>
      <c r="F970" s="32"/>
      <c r="G970" s="32">
        <f t="shared" si="274"/>
        <v>0</v>
      </c>
      <c r="H970" s="10"/>
      <c r="I970" s="10"/>
      <c r="J970" s="10"/>
      <c r="K970" s="12">
        <f t="shared" si="275"/>
        <v>0</v>
      </c>
      <c r="M970" s="10">
        <v>24</v>
      </c>
      <c r="N970" s="30"/>
      <c r="P970" s="47"/>
      <c r="Q970" s="31"/>
      <c r="R970" s="31"/>
      <c r="S970" s="32">
        <f t="shared" si="276"/>
        <v>0</v>
      </c>
      <c r="T970" s="10"/>
      <c r="U970" s="10"/>
      <c r="V970" s="10"/>
      <c r="W970" s="12">
        <f t="shared" si="277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4"/>
        <v>0</v>
      </c>
      <c r="AF970" s="10"/>
      <c r="AG970" s="10"/>
      <c r="AH970" s="10"/>
      <c r="AI970" s="12">
        <f t="shared" si="283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2"/>
      <c r="D971" s="32"/>
      <c r="E971" s="32"/>
      <c r="F971" s="32"/>
      <c r="G971" s="32">
        <f t="shared" si="274"/>
        <v>0</v>
      </c>
      <c r="H971" s="10"/>
      <c r="I971" s="10"/>
      <c r="J971" s="10"/>
      <c r="K971" s="12">
        <f t="shared" si="275"/>
        <v>0</v>
      </c>
      <c r="M971" s="10">
        <v>25</v>
      </c>
      <c r="N971" s="30"/>
      <c r="O971" s="31"/>
      <c r="P971" s="47"/>
      <c r="Q971" s="31"/>
      <c r="R971" s="31"/>
      <c r="S971" s="32">
        <f t="shared" si="276"/>
        <v>0</v>
      </c>
      <c r="T971" s="10"/>
      <c r="U971" s="10"/>
      <c r="V971" s="10"/>
      <c r="W971" s="12">
        <f t="shared" si="277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4"/>
        <v>0</v>
      </c>
      <c r="AF971" s="10"/>
      <c r="AG971" s="10"/>
      <c r="AH971" s="10"/>
      <c r="AI971" s="12">
        <f t="shared" si="283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2"/>
      <c r="D972" s="32"/>
      <c r="E972" s="32"/>
      <c r="F972" s="32"/>
      <c r="G972" s="32">
        <f t="shared" si="274"/>
        <v>0</v>
      </c>
      <c r="H972" s="10"/>
      <c r="I972" s="10"/>
      <c r="J972" s="10"/>
      <c r="K972" s="12">
        <f t="shared" si="275"/>
        <v>0</v>
      </c>
      <c r="M972" s="10">
        <v>26</v>
      </c>
      <c r="N972" s="30"/>
      <c r="O972" s="31"/>
      <c r="P972" s="47"/>
      <c r="Q972" s="31"/>
      <c r="R972" s="31"/>
      <c r="S972" s="32">
        <f t="shared" si="276"/>
        <v>0</v>
      </c>
      <c r="T972" s="10"/>
      <c r="U972" s="10"/>
      <c r="V972" s="10"/>
      <c r="W972" s="12">
        <f t="shared" si="277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4"/>
        <v>0</v>
      </c>
      <c r="AF972" s="10"/>
      <c r="AG972" s="10"/>
      <c r="AH972" s="10"/>
      <c r="AI972" s="12">
        <f t="shared" si="283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2"/>
      <c r="D973" s="32"/>
      <c r="E973" s="32"/>
      <c r="F973" s="32"/>
      <c r="G973" s="32">
        <f t="shared" si="274"/>
        <v>0</v>
      </c>
      <c r="H973" s="10"/>
      <c r="I973" s="10"/>
      <c r="J973" s="10"/>
      <c r="K973" s="12">
        <f t="shared" si="275"/>
        <v>0</v>
      </c>
      <c r="M973" s="10">
        <v>27</v>
      </c>
      <c r="N973" s="30"/>
      <c r="O973" s="31"/>
      <c r="P973" s="47"/>
      <c r="Q973" s="31"/>
      <c r="R973" s="31"/>
      <c r="S973" s="32">
        <f t="shared" si="276"/>
        <v>0</v>
      </c>
      <c r="T973" s="10"/>
      <c r="U973" s="10"/>
      <c r="V973" s="10"/>
      <c r="W973" s="12">
        <f t="shared" si="277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4"/>
        <v>0</v>
      </c>
      <c r="AF973" s="10"/>
      <c r="AG973" s="10"/>
      <c r="AH973" s="10"/>
      <c r="AI973" s="12">
        <f t="shared" si="283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2"/>
      <c r="D974" s="32"/>
      <c r="E974" s="32"/>
      <c r="F974" s="32"/>
      <c r="G974" s="32">
        <f t="shared" si="274"/>
        <v>0</v>
      </c>
      <c r="H974" s="10"/>
      <c r="I974" s="10"/>
      <c r="J974" s="10"/>
      <c r="K974" s="12">
        <f t="shared" si="275"/>
        <v>0</v>
      </c>
      <c r="M974" s="10">
        <v>28</v>
      </c>
      <c r="N974" s="30"/>
      <c r="O974" s="31"/>
      <c r="P974" s="47"/>
      <c r="Q974" s="31"/>
      <c r="R974" s="31"/>
      <c r="S974" s="32">
        <f t="shared" si="276"/>
        <v>0</v>
      </c>
      <c r="T974" s="10"/>
      <c r="U974" s="10"/>
      <c r="V974" s="10"/>
      <c r="W974" s="12">
        <f t="shared" si="277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4"/>
        <v>0</v>
      </c>
      <c r="AF974" s="10"/>
      <c r="AG974" s="10"/>
      <c r="AH974" s="10"/>
      <c r="AI974" s="12">
        <f t="shared" si="283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2"/>
      <c r="D975" s="32"/>
      <c r="E975" s="32"/>
      <c r="F975" s="32"/>
      <c r="G975" s="32">
        <f t="shared" si="274"/>
        <v>0</v>
      </c>
      <c r="H975" s="10"/>
      <c r="I975" s="10"/>
      <c r="J975" s="10"/>
      <c r="K975" s="12">
        <f t="shared" si="275"/>
        <v>0</v>
      </c>
      <c r="M975" s="10">
        <v>29</v>
      </c>
      <c r="N975" s="30"/>
      <c r="O975" s="31"/>
      <c r="P975" s="47"/>
      <c r="Q975" s="31"/>
      <c r="R975" s="31"/>
      <c r="S975" s="32">
        <f t="shared" si="276"/>
        <v>0</v>
      </c>
      <c r="T975" s="10"/>
      <c r="U975" s="10"/>
      <c r="V975" s="10"/>
      <c r="W975" s="12">
        <f t="shared" si="277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4"/>
        <v>0</v>
      </c>
      <c r="AF975" s="10"/>
      <c r="AG975" s="10"/>
      <c r="AH975" s="10"/>
      <c r="AI975" s="12">
        <f t="shared" si="283"/>
        <v>0</v>
      </c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4"/>
        <v>0</v>
      </c>
      <c r="H976" s="10"/>
      <c r="I976" s="10"/>
      <c r="J976" s="10"/>
      <c r="K976" s="12">
        <f t="shared" si="275"/>
        <v>0</v>
      </c>
      <c r="M976" s="10">
        <v>30</v>
      </c>
      <c r="N976" s="30"/>
      <c r="P976" s="47"/>
      <c r="Q976" s="31"/>
      <c r="R976" s="31"/>
      <c r="S976" s="32">
        <f t="shared" si="276"/>
        <v>0</v>
      </c>
      <c r="T976" s="10"/>
      <c r="U976" s="10"/>
      <c r="V976" s="10"/>
      <c r="W976" s="12">
        <f t="shared" si="277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4"/>
        <v>0</v>
      </c>
      <c r="AF976" s="10"/>
      <c r="AG976" s="10"/>
      <c r="AH976" s="10"/>
      <c r="AI976" s="12">
        <f t="shared" si="283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4"/>
        <v>0</v>
      </c>
      <c r="H977" s="10"/>
      <c r="I977" s="10"/>
      <c r="J977" s="10"/>
      <c r="K977" s="12">
        <f t="shared" si="275"/>
        <v>0</v>
      </c>
      <c r="M977" s="10">
        <v>31</v>
      </c>
      <c r="N977" s="30"/>
      <c r="O977" s="31"/>
      <c r="P977" s="47"/>
      <c r="Q977" s="31"/>
      <c r="R977" s="31"/>
      <c r="S977" s="32">
        <f t="shared" si="276"/>
        <v>0</v>
      </c>
      <c r="T977" s="10"/>
      <c r="U977" s="10"/>
      <c r="V977" s="10"/>
      <c r="W977" s="12">
        <f t="shared" si="277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4"/>
        <v>0</v>
      </c>
      <c r="AF977" s="10"/>
      <c r="AG977" s="10"/>
      <c r="AH977" s="10"/>
      <c r="AI977" s="12">
        <f t="shared" si="283"/>
        <v>0</v>
      </c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2"/>
      <c r="D978" s="32"/>
      <c r="E978" s="32"/>
      <c r="F978" s="32"/>
      <c r="G978" s="32">
        <f t="shared" si="274"/>
        <v>0</v>
      </c>
      <c r="H978" s="10"/>
      <c r="I978" s="10"/>
      <c r="J978" s="10"/>
      <c r="K978" s="12">
        <f t="shared" si="275"/>
        <v>0</v>
      </c>
      <c r="M978" s="10">
        <v>32</v>
      </c>
      <c r="N978" s="30"/>
      <c r="O978" s="31"/>
      <c r="P978" s="47"/>
      <c r="Q978" s="31"/>
      <c r="R978" s="31"/>
      <c r="S978" s="32">
        <f t="shared" si="276"/>
        <v>0</v>
      </c>
      <c r="T978" s="10"/>
      <c r="U978" s="10"/>
      <c r="V978" s="10"/>
      <c r="W978" s="12">
        <f t="shared" si="277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4"/>
        <v>0</v>
      </c>
      <c r="AF978" s="10"/>
      <c r="AG978" s="10"/>
      <c r="AH978" s="10"/>
      <c r="AI978" s="12">
        <f t="shared" si="283"/>
        <v>0</v>
      </c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2"/>
      <c r="D979" s="32"/>
      <c r="E979" s="32"/>
      <c r="F979" s="32"/>
      <c r="G979" s="32">
        <f t="shared" si="274"/>
        <v>0</v>
      </c>
      <c r="H979" s="10"/>
      <c r="I979" s="10"/>
      <c r="J979" s="10"/>
      <c r="K979" s="12">
        <f t="shared" si="275"/>
        <v>0</v>
      </c>
      <c r="M979" s="10">
        <v>33</v>
      </c>
      <c r="N979" s="30"/>
      <c r="O979" s="31"/>
      <c r="P979" s="47"/>
      <c r="Q979" s="31"/>
      <c r="R979" s="31"/>
      <c r="S979" s="32">
        <f t="shared" si="276"/>
        <v>0</v>
      </c>
      <c r="T979" s="10"/>
      <c r="U979" s="10"/>
      <c r="V979" s="10"/>
      <c r="W979" s="12">
        <f t="shared" si="277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4"/>
        <v>0</v>
      </c>
      <c r="AF979" s="10"/>
      <c r="AG979" s="10"/>
      <c r="AH979" s="10"/>
      <c r="AI979" s="12">
        <f t="shared" si="283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2"/>
      <c r="D980" s="32"/>
      <c r="E980" s="32"/>
      <c r="F980" s="32"/>
      <c r="G980" s="32">
        <f t="shared" si="274"/>
        <v>0</v>
      </c>
      <c r="H980" s="10"/>
      <c r="I980" s="10"/>
      <c r="J980" s="10"/>
      <c r="K980" s="12">
        <f t="shared" si="275"/>
        <v>0</v>
      </c>
      <c r="M980" s="10">
        <v>34</v>
      </c>
      <c r="N980" s="30"/>
      <c r="O980" s="31"/>
      <c r="P980" s="47"/>
      <c r="Q980" s="31"/>
      <c r="R980" s="31"/>
      <c r="S980" s="32">
        <f t="shared" si="276"/>
        <v>0</v>
      </c>
      <c r="T980" s="10"/>
      <c r="U980" s="10"/>
      <c r="V980" s="10"/>
      <c r="W980" s="12">
        <f t="shared" si="277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4"/>
        <v>0</v>
      </c>
      <c r="AF980" s="10"/>
      <c r="AG980" s="10"/>
      <c r="AH980" s="10"/>
      <c r="AI980" s="12">
        <f t="shared" si="283"/>
        <v>0</v>
      </c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2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6"/>
        <v>0</v>
      </c>
      <c r="T981" s="10"/>
      <c r="U981" s="10"/>
      <c r="V981" s="10"/>
      <c r="W981" s="12">
        <f t="shared" si="277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4"/>
        <v>0</v>
      </c>
      <c r="AF981" s="10"/>
      <c r="AG981" s="10"/>
      <c r="AH981" s="10"/>
      <c r="AI981" s="12">
        <f t="shared" si="283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2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6"/>
        <v>0</v>
      </c>
      <c r="T982" s="10"/>
      <c r="U982" s="10"/>
      <c r="V982" s="10"/>
      <c r="W982" s="12">
        <f t="shared" si="277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4"/>
        <v>0</v>
      </c>
      <c r="AF982" s="10"/>
      <c r="AG982" s="10"/>
      <c r="AH982" s="10"/>
      <c r="AI982" s="12">
        <f t="shared" si="283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6"/>
        <v>0</v>
      </c>
      <c r="T983" s="10"/>
      <c r="U983" s="10"/>
      <c r="V983" s="10"/>
      <c r="W983" s="12">
        <f t="shared" si="277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4"/>
        <v>0</v>
      </c>
      <c r="AF983" s="10"/>
      <c r="AG983" s="10"/>
      <c r="AH983" s="10"/>
      <c r="AI983" s="12">
        <f t="shared" si="283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6"/>
        <v>0</v>
      </c>
      <c r="T984" s="10"/>
      <c r="U984" s="10"/>
      <c r="V984" s="10"/>
      <c r="W984" s="12">
        <f t="shared" si="277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4"/>
        <v>0</v>
      </c>
      <c r="AF984" s="10"/>
      <c r="AG984" s="10"/>
      <c r="AH984" s="10"/>
      <c r="AI984" s="12">
        <f t="shared" si="283"/>
        <v>0</v>
      </c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6"/>
        <v>0</v>
      </c>
      <c r="T985" s="10"/>
      <c r="U985" s="10"/>
      <c r="V985" s="10"/>
      <c r="W985" s="12">
        <f t="shared" si="277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4"/>
        <v>0</v>
      </c>
      <c r="AF985" s="10"/>
      <c r="AG985" s="10"/>
      <c r="AH985" s="10"/>
      <c r="AI985" s="12">
        <f t="shared" si="283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7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3"/>
        <v>0</v>
      </c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5">SUM(D987:E987)</f>
        <v>0</v>
      </c>
      <c r="H987" s="10"/>
      <c r="I987" s="10"/>
      <c r="J987" s="10"/>
      <c r="K987" s="12">
        <f t="shared" ref="K987" si="286">SUM(G987:J987)</f>
        <v>0</v>
      </c>
      <c r="M987" s="10"/>
      <c r="N987" s="30"/>
      <c r="O987" s="31"/>
      <c r="P987" s="47"/>
      <c r="Q987" s="31"/>
      <c r="R987" s="31"/>
      <c r="S987" s="32">
        <f t="shared" ref="S987" si="287">SUM(P987:Q987)</f>
        <v>0</v>
      </c>
      <c r="T987" s="10"/>
      <c r="U987" s="10"/>
      <c r="V987" s="10"/>
      <c r="W987" s="12">
        <f t="shared" si="277"/>
        <v>0</v>
      </c>
      <c r="Y987" s="10"/>
      <c r="Z987" s="30"/>
      <c r="AA987" s="31"/>
      <c r="AB987" s="47"/>
      <c r="AC987" s="31"/>
      <c r="AD987" s="31"/>
      <c r="AE987" s="32">
        <f t="shared" ref="AE987" si="288">SUM(AB987:AC987)</f>
        <v>0</v>
      </c>
      <c r="AF987" s="10"/>
      <c r="AG987" s="10"/>
      <c r="AH987" s="10"/>
      <c r="AI987" s="12">
        <f t="shared" si="283"/>
        <v>0</v>
      </c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7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3"/>
        <v>0</v>
      </c>
      <c r="AK988" s="62"/>
      <c r="AL988" s="85"/>
      <c r="AM988" s="85"/>
      <c r="AN988" s="85"/>
      <c r="AO988" s="85"/>
      <c r="AP988" s="85"/>
      <c r="AQ988" s="85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5"/>
      <c r="AM989" s="85"/>
      <c r="AN989" s="85"/>
      <c r="AO989" s="85"/>
      <c r="AP989" s="85"/>
      <c r="AQ989" s="85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284602.5</v>
      </c>
      <c r="E990" s="38">
        <f t="shared" ref="E990:F990" si="289">SUM(E947:E987)</f>
        <v>-1296</v>
      </c>
      <c r="F990" s="38">
        <f t="shared" si="289"/>
        <v>0</v>
      </c>
      <c r="G990" s="38">
        <f>SUM(G947:G989)</f>
        <v>283306.5</v>
      </c>
      <c r="H990" s="4"/>
      <c r="I990" s="39">
        <f>SUM(I947:I989)</f>
        <v>645</v>
      </c>
      <c r="J990" s="39">
        <f>SUM(J947:J989)</f>
        <v>-8595.75</v>
      </c>
      <c r="K990" s="40">
        <f>SUM(K947:K989)</f>
        <v>275355.75</v>
      </c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5"/>
      <c r="C992" s="85"/>
      <c r="D992" s="85"/>
      <c r="E992" s="85"/>
      <c r="F992" s="85"/>
      <c r="G992" s="85"/>
      <c r="H992" s="62"/>
      <c r="I992" s="62"/>
      <c r="J992" s="62"/>
      <c r="K992" s="62"/>
      <c r="L992" s="62"/>
      <c r="M992" s="62"/>
      <c r="N992" s="85"/>
      <c r="O992" s="85"/>
      <c r="P992" s="85"/>
      <c r="Q992" s="85"/>
      <c r="R992" s="85"/>
      <c r="S992" s="85"/>
      <c r="T992" s="62"/>
      <c r="U992" s="62"/>
      <c r="V992" s="62"/>
      <c r="W992" s="62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5"/>
      <c r="C993" s="85"/>
      <c r="D993" s="85"/>
      <c r="E993" s="85"/>
      <c r="F993" s="85"/>
      <c r="G993" s="85"/>
      <c r="H993" s="62"/>
      <c r="I993" s="62"/>
      <c r="J993" s="62"/>
      <c r="K993" s="62"/>
      <c r="L993" s="62"/>
      <c r="M993" s="62"/>
      <c r="N993" s="85"/>
      <c r="O993" s="85"/>
      <c r="P993" s="85"/>
      <c r="Q993" s="85"/>
      <c r="R993" s="85"/>
      <c r="S993" s="85"/>
      <c r="T993" s="62"/>
      <c r="U993" s="62"/>
      <c r="V993" s="62"/>
      <c r="W993" s="62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5"/>
      <c r="C994" s="85"/>
      <c r="D994" s="85"/>
      <c r="E994" s="85"/>
      <c r="F994" s="85"/>
      <c r="G994" s="85"/>
      <c r="H994" s="62"/>
      <c r="I994" s="62"/>
      <c r="J994" s="62"/>
      <c r="K994" s="62"/>
      <c r="L994" s="62"/>
      <c r="M994" s="62"/>
      <c r="N994" s="85"/>
      <c r="O994" s="85"/>
      <c r="P994" s="85"/>
      <c r="Q994" s="85"/>
      <c r="R994" s="85"/>
      <c r="S994" s="85"/>
      <c r="T994" s="62"/>
      <c r="U994" s="62"/>
      <c r="V994" s="62"/>
      <c r="W994" s="62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5"/>
      <c r="C995" s="85"/>
      <c r="D995" s="85"/>
      <c r="E995" s="85"/>
      <c r="F995" s="85"/>
      <c r="G995" s="85"/>
      <c r="H995" s="62"/>
      <c r="I995" s="62"/>
      <c r="J995" s="62"/>
      <c r="K995" s="62"/>
      <c r="L995" s="62"/>
      <c r="M995" s="63"/>
      <c r="N995" s="85"/>
      <c r="O995" s="85"/>
      <c r="P995" s="85"/>
      <c r="Q995" s="85"/>
      <c r="R995" s="85"/>
      <c r="S995" s="85"/>
      <c r="T995" s="62"/>
      <c r="U995" s="62"/>
      <c r="V995" s="62"/>
      <c r="W995" s="62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5"/>
      <c r="C996" s="85"/>
      <c r="D996" s="85"/>
      <c r="E996" s="85"/>
      <c r="F996" s="85"/>
      <c r="G996" s="85"/>
      <c r="H996" s="62"/>
      <c r="I996" s="62"/>
      <c r="J996" s="62"/>
      <c r="K996" s="62"/>
      <c r="L996" s="62"/>
      <c r="M996" s="62"/>
      <c r="N996" s="85"/>
      <c r="O996" s="85"/>
      <c r="P996" s="85"/>
      <c r="Q996" s="85"/>
      <c r="R996" s="85"/>
      <c r="S996" s="85"/>
      <c r="T996" s="62"/>
      <c r="U996" s="62"/>
      <c r="V996" s="62"/>
      <c r="W996" s="62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5"/>
      <c r="C997" s="85"/>
      <c r="D997" s="85"/>
      <c r="E997" s="85"/>
      <c r="F997" s="85"/>
      <c r="G997" s="85"/>
      <c r="H997" s="62"/>
      <c r="I997" s="85"/>
      <c r="J997" s="73"/>
      <c r="K997" s="62"/>
      <c r="L997" s="62"/>
      <c r="M997" s="62"/>
      <c r="N997" s="85"/>
      <c r="O997" s="85"/>
      <c r="P997" s="85"/>
      <c r="Q997" s="85"/>
      <c r="R997" s="85"/>
      <c r="S997" s="85"/>
      <c r="T997" s="62"/>
      <c r="U997" s="85"/>
      <c r="V997" s="73"/>
      <c r="W997" s="62"/>
      <c r="Y997" t="s">
        <v>34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5"/>
      <c r="C998" s="85"/>
      <c r="D998" s="85"/>
      <c r="E998" s="85"/>
      <c r="F998" s="85"/>
      <c r="G998" s="85"/>
      <c r="H998" s="62"/>
      <c r="I998" s="65"/>
      <c r="J998" s="65"/>
      <c r="K998" s="62"/>
      <c r="L998" s="62"/>
      <c r="M998" s="64"/>
      <c r="N998" s="85"/>
      <c r="O998" s="85"/>
      <c r="P998" s="85"/>
      <c r="Q998" s="85"/>
      <c r="R998" s="85"/>
      <c r="S998" s="85"/>
      <c r="T998" s="62"/>
      <c r="U998" s="65"/>
      <c r="V998" s="65"/>
      <c r="W998" s="62"/>
      <c r="Y998" s="21" t="s">
        <v>89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35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5"/>
      <c r="C999" s="85"/>
      <c r="D999" s="85"/>
      <c r="E999" s="85"/>
      <c r="F999" s="85"/>
      <c r="G999" s="85"/>
      <c r="H999" s="62"/>
      <c r="I999" s="62"/>
      <c r="J999" s="62"/>
      <c r="K999" s="62"/>
      <c r="L999" s="62"/>
      <c r="M999" s="62"/>
      <c r="N999" s="85"/>
      <c r="O999" s="85"/>
      <c r="P999" s="85"/>
      <c r="Q999" s="85"/>
      <c r="R999" s="85"/>
      <c r="S999" s="85"/>
      <c r="T999" s="62"/>
      <c r="U999" s="62"/>
      <c r="V999" s="62"/>
      <c r="W999" s="62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5"/>
      <c r="D1000" s="117"/>
      <c r="E1000" s="117"/>
      <c r="F1000" s="85"/>
      <c r="G1000" s="85"/>
      <c r="H1000" s="62"/>
      <c r="I1000" s="117"/>
      <c r="J1000" s="117"/>
      <c r="K1000" s="116"/>
      <c r="L1000" s="62"/>
      <c r="M1000" s="62"/>
      <c r="N1000" s="65"/>
      <c r="O1000" s="85"/>
      <c r="P1000" s="117"/>
      <c r="Q1000" s="117"/>
      <c r="R1000" s="85"/>
      <c r="S1000" s="85"/>
      <c r="T1000" s="62"/>
      <c r="U1000" s="117"/>
      <c r="V1000" s="117"/>
      <c r="W1000" s="116"/>
      <c r="Z1000" s="25"/>
      <c r="AA1000" s="26"/>
      <c r="AB1000" s="122" t="s">
        <v>17</v>
      </c>
      <c r="AC1000" s="122"/>
      <c r="AD1000" s="108"/>
      <c r="AE1000" s="27"/>
      <c r="AG1000" s="120" t="s">
        <v>18</v>
      </c>
      <c r="AH1000" s="121"/>
      <c r="AI1000" s="118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A1001" s="62"/>
      <c r="B1001" s="85"/>
      <c r="C1001" s="85"/>
      <c r="D1001" s="79"/>
      <c r="E1001" s="80"/>
      <c r="F1001" s="81"/>
      <c r="G1001" s="81"/>
      <c r="H1001" s="62"/>
      <c r="I1001" s="84"/>
      <c r="J1001" s="84"/>
      <c r="K1001" s="116"/>
      <c r="L1001" s="62"/>
      <c r="M1001" s="62"/>
      <c r="N1001" s="85"/>
      <c r="O1001" s="85"/>
      <c r="P1001" s="79"/>
      <c r="Q1001" s="81"/>
      <c r="R1001" s="81"/>
      <c r="S1001" s="81"/>
      <c r="T1001" s="62"/>
      <c r="U1001" s="84"/>
      <c r="V1001" s="84"/>
      <c r="W1001" s="116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32</v>
      </c>
      <c r="AE1001" s="78" t="s">
        <v>24</v>
      </c>
      <c r="AG1001" s="29" t="s">
        <v>25</v>
      </c>
      <c r="AH1001" s="29" t="s">
        <v>26</v>
      </c>
      <c r="AI1001" s="119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3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5"/>
      <c r="P1002" s="60"/>
      <c r="Q1002" s="60"/>
      <c r="R1002" s="60"/>
      <c r="S1002" s="60"/>
      <c r="T1002" s="61"/>
      <c r="U1002" s="61"/>
      <c r="V1002" s="61"/>
      <c r="W1002" s="61"/>
      <c r="Y1002" s="10">
        <v>1</v>
      </c>
      <c r="Z1002" s="30" t="s">
        <v>90</v>
      </c>
      <c r="AA1002" s="31">
        <v>9192</v>
      </c>
      <c r="AB1002" s="32">
        <f>223*650+670*10+622*50+229*5</f>
        <v>183895</v>
      </c>
      <c r="AC1002" s="32">
        <f>-283*6</f>
        <v>-1698</v>
      </c>
      <c r="AD1002" s="32"/>
      <c r="AE1002" s="32">
        <f>SUM(AB1002:AC1002)</f>
        <v>182197</v>
      </c>
      <c r="AF1002" s="12"/>
      <c r="AG1002" s="12"/>
      <c r="AH1002" s="12"/>
      <c r="AI1002" s="12">
        <f>SUM(AE1002:AH1002)</f>
        <v>182197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5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5"/>
      <c r="P1003" s="60"/>
      <c r="Q1003" s="60"/>
      <c r="R1003" s="60"/>
      <c r="S1003" s="60"/>
      <c r="T1003" s="61"/>
      <c r="U1003" s="61"/>
      <c r="V1003" s="61"/>
      <c r="W1003" s="61"/>
      <c r="Y1003" s="10">
        <v>2</v>
      </c>
      <c r="Z1003" s="30" t="s">
        <v>90</v>
      </c>
      <c r="AA1003" s="31">
        <f>AA1002+1</f>
        <v>9193</v>
      </c>
      <c r="AB1003" s="32">
        <f>650*69+622*2</f>
        <v>46094</v>
      </c>
      <c r="AD1003" s="32"/>
      <c r="AE1003" s="32">
        <f t="shared" ref="AE1003:AE1004" si="290">SUM(AB1003:AC1003)</f>
        <v>46094</v>
      </c>
      <c r="AF1003" s="12"/>
      <c r="AG1003" s="12"/>
      <c r="AH1003">
        <f>-120+-30*111</f>
        <v>-3450</v>
      </c>
      <c r="AI1003" s="12">
        <f t="shared" ref="AI1003:AI1004" si="291">SUM(AE1003:AH1003)</f>
        <v>42644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5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5"/>
      <c r="P1004" s="60"/>
      <c r="Q1004" s="60"/>
      <c r="R1004" s="60"/>
      <c r="S1004" s="60"/>
      <c r="T1004" s="61"/>
      <c r="U1004" s="61"/>
      <c r="V1004" s="61"/>
      <c r="W1004" s="61"/>
      <c r="Y1004" s="10">
        <v>3</v>
      </c>
      <c r="Z1004" s="30" t="s">
        <v>90</v>
      </c>
      <c r="AA1004" s="31">
        <f t="shared" ref="AA1004:AA1006" si="292">AA1003+1</f>
        <v>9194</v>
      </c>
      <c r="AB1004" s="32">
        <f>650*4+872+229</f>
        <v>3701</v>
      </c>
      <c r="AC1004" s="33"/>
      <c r="AD1004" s="32"/>
      <c r="AE1004" s="32">
        <f t="shared" si="290"/>
        <v>3701</v>
      </c>
      <c r="AF1004" s="12"/>
      <c r="AG1004" s="12">
        <v>30</v>
      </c>
      <c r="AH1004" s="12"/>
      <c r="AI1004" s="12">
        <f t="shared" si="291"/>
        <v>3731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5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5"/>
      <c r="P1005" s="60"/>
      <c r="Q1005" s="60"/>
      <c r="R1005" s="60"/>
      <c r="S1005" s="60"/>
      <c r="T1005" s="61"/>
      <c r="U1005" s="61"/>
      <c r="V1005" s="61"/>
      <c r="W1005" s="61"/>
      <c r="Y1005" s="10">
        <v>4</v>
      </c>
      <c r="Z1005" s="30" t="s">
        <v>90</v>
      </c>
      <c r="AA1005" s="31">
        <f t="shared" si="292"/>
        <v>9195</v>
      </c>
      <c r="AB1005" s="32">
        <f>1744</f>
        <v>1744</v>
      </c>
      <c r="AC1005" s="32"/>
      <c r="AD1005" s="32"/>
      <c r="AE1005" s="32">
        <f>SUM(AB1005:AC1005)</f>
        <v>1744</v>
      </c>
      <c r="AF1005" s="12"/>
      <c r="AH1005" s="12">
        <v>-333</v>
      </c>
      <c r="AI1005" s="12">
        <f>SUM(AE1005:AH1005)</f>
        <v>1411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5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5"/>
      <c r="P1006" s="60"/>
      <c r="Q1006" s="60"/>
      <c r="R1006" s="60"/>
      <c r="S1006" s="60"/>
      <c r="T1006" s="61"/>
      <c r="U1006" s="61"/>
      <c r="V1006" s="61"/>
      <c r="W1006" s="61"/>
      <c r="Y1006" s="10">
        <v>5</v>
      </c>
      <c r="Z1006" s="30" t="s">
        <v>90</v>
      </c>
      <c r="AA1006" s="31">
        <f t="shared" si="292"/>
        <v>9196</v>
      </c>
      <c r="AB1006" s="33">
        <f>650*108+622*45+229*6</f>
        <v>99564</v>
      </c>
      <c r="AC1006" s="32"/>
      <c r="AD1006" s="32"/>
      <c r="AE1006" s="32">
        <f>SUM(AB1006:AC1006)</f>
        <v>99564</v>
      </c>
      <c r="AF1006" s="12"/>
      <c r="AG1006" s="12"/>
      <c r="AH1006" s="12"/>
      <c r="AI1006" s="12">
        <f t="shared" ref="AI1006:AI1043" si="293">SUM(AE1006:AH1006)</f>
        <v>99564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5"/>
      <c r="P1007" s="60"/>
      <c r="Q1007" s="60"/>
      <c r="R1007" s="60"/>
      <c r="S1007" s="60"/>
      <c r="T1007" s="61"/>
      <c r="U1007" s="61"/>
      <c r="V1007" s="62"/>
      <c r="W1007" s="61"/>
      <c r="Y1007" s="10">
        <v>6</v>
      </c>
      <c r="Z1007" s="30"/>
      <c r="AA1007" s="11" t="s">
        <v>27</v>
      </c>
      <c r="AB1007" s="32"/>
      <c r="AC1007" s="32"/>
      <c r="AD1007" s="32"/>
      <c r="AE1007" s="32">
        <f t="shared" ref="AE1007:AE1040" si="294">SUM(AB1007:AC1007)</f>
        <v>0</v>
      </c>
      <c r="AF1007" s="12"/>
      <c r="AG1007" s="12"/>
      <c r="AH1007" s="10"/>
      <c r="AI1007" s="12">
        <f t="shared" si="293"/>
        <v>0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5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5"/>
      <c r="P1008" s="60"/>
      <c r="Q1008" s="60"/>
      <c r="R1008" s="60"/>
      <c r="S1008" s="60"/>
      <c r="T1008" s="61"/>
      <c r="U1008" s="61"/>
      <c r="V1008" s="61"/>
      <c r="W1008" s="61"/>
      <c r="Y1008" s="10">
        <v>7</v>
      </c>
      <c r="Z1008" s="30"/>
      <c r="AA1008" s="31"/>
      <c r="AB1008" s="32"/>
      <c r="AC1008" s="32"/>
      <c r="AD1008" s="32"/>
      <c r="AE1008" s="32">
        <f t="shared" si="294"/>
        <v>0</v>
      </c>
      <c r="AF1008" s="12"/>
      <c r="AG1008" s="58"/>
      <c r="AH1008" s="12"/>
      <c r="AI1008" s="12">
        <f t="shared" si="293"/>
        <v>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5"/>
      <c r="P1009" s="60"/>
      <c r="Q1009" s="60"/>
      <c r="R1009" s="60"/>
      <c r="S1009" s="60"/>
      <c r="T1009" s="61"/>
      <c r="U1009" s="61"/>
      <c r="V1009" s="61"/>
      <c r="W1009" s="61"/>
      <c r="Y1009" s="10">
        <v>8</v>
      </c>
      <c r="Z1009" s="30"/>
      <c r="AA1009" s="31"/>
      <c r="AB1009" s="32"/>
      <c r="AC1009" s="32"/>
      <c r="AE1009" s="32">
        <f t="shared" si="294"/>
        <v>0</v>
      </c>
      <c r="AF1009" s="12"/>
      <c r="AG1009" s="12"/>
      <c r="AH1009" s="12"/>
      <c r="AI1009" s="12">
        <f t="shared" si="293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5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5"/>
      <c r="P1010" s="60"/>
      <c r="Q1010" s="60"/>
      <c r="R1010" s="60"/>
      <c r="S1010" s="60"/>
      <c r="T1010" s="61"/>
      <c r="U1010" s="61"/>
      <c r="V1010" s="61"/>
      <c r="W1010" s="61"/>
      <c r="Y1010" s="10">
        <v>9</v>
      </c>
      <c r="Z1010" s="30"/>
      <c r="AA1010" s="31"/>
      <c r="AC1010" s="32"/>
      <c r="AD1010" s="32"/>
      <c r="AE1010" s="32">
        <f t="shared" si="294"/>
        <v>0</v>
      </c>
      <c r="AF1010" s="12"/>
      <c r="AH1010" s="12"/>
      <c r="AI1010" s="12">
        <f t="shared" si="293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5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5"/>
      <c r="P1011" s="60"/>
      <c r="Q1011" s="60"/>
      <c r="R1011" s="60"/>
      <c r="S1011" s="60"/>
      <c r="T1011" s="61"/>
      <c r="U1011" s="61"/>
      <c r="V1011" s="61"/>
      <c r="W1011" s="61"/>
      <c r="Y1011" s="10">
        <v>10</v>
      </c>
      <c r="Z1011" s="30"/>
      <c r="AA1011" s="31"/>
      <c r="AB1011" s="32"/>
      <c r="AC1011" s="32"/>
      <c r="AD1011" s="32"/>
      <c r="AE1011" s="32">
        <f t="shared" si="294"/>
        <v>0</v>
      </c>
      <c r="AF1011" s="12"/>
      <c r="AG1011" s="12"/>
      <c r="AH1011" s="12"/>
      <c r="AI1011" s="12">
        <f t="shared" si="293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5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5"/>
      <c r="P1012" s="60"/>
      <c r="Q1012" s="60"/>
      <c r="R1012" s="60"/>
      <c r="S1012" s="60"/>
      <c r="T1012" s="61"/>
      <c r="U1012" s="61"/>
      <c r="V1012" s="61"/>
      <c r="W1012" s="61"/>
      <c r="Y1012" s="10">
        <v>11</v>
      </c>
      <c r="Z1012" s="30"/>
      <c r="AB1012" s="32"/>
      <c r="AC1012" s="32"/>
      <c r="AD1012" s="32"/>
      <c r="AE1012" s="32">
        <f t="shared" si="294"/>
        <v>0</v>
      </c>
      <c r="AF1012" s="12"/>
      <c r="AG1012" s="12"/>
      <c r="AH1012" s="12"/>
      <c r="AI1012" s="12">
        <f t="shared" si="293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5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5"/>
      <c r="P1013" s="60"/>
      <c r="Q1013" s="60"/>
      <c r="R1013" s="60"/>
      <c r="S1013" s="60"/>
      <c r="T1013" s="61"/>
      <c r="U1013" s="61"/>
      <c r="V1013" s="61"/>
      <c r="W1013" s="61"/>
      <c r="Y1013" s="10">
        <v>12</v>
      </c>
      <c r="Z1013" s="30"/>
      <c r="AA1013" s="31"/>
      <c r="AB1013" s="32"/>
      <c r="AC1013" s="32"/>
      <c r="AD1013" s="32"/>
      <c r="AE1013" s="32">
        <f t="shared" si="294"/>
        <v>0</v>
      </c>
      <c r="AF1013" s="12"/>
      <c r="AG1013" s="12"/>
      <c r="AH1013" s="12"/>
      <c r="AI1013" s="12">
        <f t="shared" si="293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5"/>
      <c r="P1014" s="60"/>
      <c r="Q1014" s="60"/>
      <c r="R1014" s="60"/>
      <c r="S1014" s="60"/>
      <c r="T1014" s="61"/>
      <c r="U1014" s="61"/>
      <c r="V1014" s="61"/>
      <c r="W1014" s="61"/>
      <c r="Y1014" s="10">
        <v>13</v>
      </c>
      <c r="Z1014" s="30"/>
      <c r="AB1014" s="32"/>
      <c r="AC1014" s="32"/>
      <c r="AD1014" s="32"/>
      <c r="AE1014" s="32">
        <f t="shared" si="294"/>
        <v>0</v>
      </c>
      <c r="AF1014" s="12"/>
      <c r="AG1014" s="12"/>
      <c r="AH1014" s="12"/>
      <c r="AI1014" s="12">
        <f t="shared" si="293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5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5"/>
      <c r="P1015" s="60"/>
      <c r="Q1015" s="60"/>
      <c r="R1015" s="60"/>
      <c r="S1015" s="60"/>
      <c r="T1015" s="61"/>
      <c r="U1015" s="61"/>
      <c r="V1015" s="61"/>
      <c r="W1015" s="61"/>
      <c r="Y1015" s="10">
        <v>14</v>
      </c>
      <c r="Z1015" s="30"/>
      <c r="AA1015" s="31"/>
      <c r="AB1015" s="32"/>
      <c r="AC1015" s="32"/>
      <c r="AD1015" s="32"/>
      <c r="AE1015" s="32">
        <f t="shared" si="294"/>
        <v>0</v>
      </c>
      <c r="AF1015" s="12"/>
      <c r="AG1015" s="12"/>
      <c r="AH1015" s="12"/>
      <c r="AI1015" s="12">
        <f t="shared" si="293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5"/>
      <c r="P1016" s="60"/>
      <c r="Q1016" s="60"/>
      <c r="R1016" s="60"/>
      <c r="S1016" s="60"/>
      <c r="T1016" s="61"/>
      <c r="U1016" s="61"/>
      <c r="V1016" s="61"/>
      <c r="W1016" s="61"/>
      <c r="Y1016" s="10">
        <v>15</v>
      </c>
      <c r="Z1016" s="30"/>
      <c r="AB1016" s="32"/>
      <c r="AC1016" s="32"/>
      <c r="AD1016" s="32"/>
      <c r="AE1016" s="32">
        <f t="shared" si="294"/>
        <v>0</v>
      </c>
      <c r="AF1016" s="12"/>
      <c r="AG1016" s="12"/>
      <c r="AH1016" s="12"/>
      <c r="AI1016" s="12">
        <f t="shared" si="293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5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5"/>
      <c r="P1017" s="60"/>
      <c r="Q1017" s="60"/>
      <c r="R1017" s="60"/>
      <c r="S1017" s="60"/>
      <c r="T1017" s="61"/>
      <c r="U1017" s="61"/>
      <c r="V1017" s="61"/>
      <c r="W1017" s="61"/>
      <c r="Y1017" s="10">
        <v>16</v>
      </c>
      <c r="Z1017" s="30"/>
      <c r="AA1017" s="31"/>
      <c r="AB1017" s="32"/>
      <c r="AC1017" s="32"/>
      <c r="AD1017" s="32"/>
      <c r="AE1017" s="32">
        <f t="shared" si="294"/>
        <v>0</v>
      </c>
      <c r="AF1017" s="12"/>
      <c r="AG1017" s="12"/>
      <c r="AH1017" s="12"/>
      <c r="AI1017" s="12">
        <f t="shared" si="293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5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5"/>
      <c r="P1018" s="60"/>
      <c r="Q1018" s="60"/>
      <c r="R1018" s="60"/>
      <c r="S1018" s="60"/>
      <c r="T1018" s="61"/>
      <c r="U1018" s="61"/>
      <c r="V1018" s="61"/>
      <c r="W1018" s="61"/>
      <c r="Y1018" s="10">
        <v>17</v>
      </c>
      <c r="Z1018" s="30"/>
      <c r="AA1018" s="31"/>
      <c r="AB1018" s="35"/>
      <c r="AC1018" s="32"/>
      <c r="AD1018" s="32"/>
      <c r="AE1018" s="32">
        <f t="shared" si="294"/>
        <v>0</v>
      </c>
      <c r="AF1018" s="12"/>
      <c r="AG1018" s="12"/>
      <c r="AH1018" s="12"/>
      <c r="AI1018" s="12">
        <f t="shared" si="293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5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5"/>
      <c r="P1019" s="60"/>
      <c r="Q1019" s="60"/>
      <c r="R1019" s="60"/>
      <c r="S1019" s="60"/>
      <c r="T1019" s="61"/>
      <c r="U1019" s="61"/>
      <c r="V1019" s="61"/>
      <c r="W1019" s="61"/>
      <c r="Y1019" s="10">
        <v>18</v>
      </c>
      <c r="Z1019" s="30"/>
      <c r="AA1019" s="31"/>
      <c r="AB1019" s="32"/>
      <c r="AC1019" s="32"/>
      <c r="AD1019" s="32"/>
      <c r="AE1019" s="32">
        <f t="shared" si="294"/>
        <v>0</v>
      </c>
      <c r="AF1019" s="12"/>
      <c r="AG1019" s="12"/>
      <c r="AH1019" s="12"/>
      <c r="AI1019" s="12">
        <f t="shared" si="293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5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5"/>
      <c r="P1020" s="60"/>
      <c r="Q1020" s="60"/>
      <c r="R1020" s="60"/>
      <c r="S1020" s="60"/>
      <c r="T1020" s="61"/>
      <c r="U1020" s="61"/>
      <c r="V1020" s="61"/>
      <c r="W1020" s="61"/>
      <c r="Y1020" s="10">
        <v>19</v>
      </c>
      <c r="Z1020" s="30"/>
      <c r="AA1020" s="31"/>
      <c r="AB1020" s="32"/>
      <c r="AC1020" s="32"/>
      <c r="AD1020" s="32"/>
      <c r="AE1020" s="32">
        <f t="shared" si="294"/>
        <v>0</v>
      </c>
      <c r="AF1020" s="12"/>
      <c r="AG1020" s="12"/>
      <c r="AH1020" s="12"/>
      <c r="AI1020" s="12">
        <f t="shared" si="293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5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5"/>
      <c r="P1021" s="60"/>
      <c r="Q1021" s="60"/>
      <c r="R1021" s="60"/>
      <c r="S1021" s="60"/>
      <c r="T1021" s="61"/>
      <c r="U1021" s="61"/>
      <c r="V1021" s="61"/>
      <c r="W1021" s="61"/>
      <c r="Y1021" s="10">
        <v>20</v>
      </c>
      <c r="Z1021" s="30"/>
      <c r="AA1021" s="31"/>
      <c r="AB1021" s="32"/>
      <c r="AC1021" s="32"/>
      <c r="AD1021" s="32"/>
      <c r="AE1021" s="32">
        <f t="shared" si="294"/>
        <v>0</v>
      </c>
      <c r="AF1021" s="12"/>
      <c r="AG1021" s="12"/>
      <c r="AH1021" s="12"/>
      <c r="AI1021" s="12">
        <f t="shared" si="293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5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5"/>
      <c r="P1022" s="67"/>
      <c r="Q1022" s="85"/>
      <c r="R1022" s="85"/>
      <c r="S1022" s="60"/>
      <c r="T1022" s="62"/>
      <c r="U1022" s="62"/>
      <c r="V1022" s="62"/>
      <c r="W1022" s="61"/>
      <c r="Y1022" s="10">
        <v>21</v>
      </c>
      <c r="Z1022" s="30"/>
      <c r="AB1022" s="46"/>
      <c r="AC1022" s="31"/>
      <c r="AD1022" s="31"/>
      <c r="AE1022" s="32">
        <f t="shared" si="294"/>
        <v>0</v>
      </c>
      <c r="AF1022" s="10"/>
      <c r="AG1022" s="10"/>
      <c r="AH1022" s="10"/>
      <c r="AI1022" s="12">
        <f t="shared" si="293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5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5"/>
      <c r="P1023" s="68"/>
      <c r="Q1023" s="85"/>
      <c r="R1023" s="85"/>
      <c r="S1023" s="60"/>
      <c r="T1023" s="62"/>
      <c r="U1023" s="62"/>
      <c r="V1023" s="62"/>
      <c r="W1023" s="61"/>
      <c r="Y1023" s="10">
        <v>22</v>
      </c>
      <c r="Z1023" s="30"/>
      <c r="AA1023" s="31"/>
      <c r="AB1023" s="45"/>
      <c r="AC1023" s="31"/>
      <c r="AD1023" s="31"/>
      <c r="AE1023" s="32">
        <f t="shared" si="294"/>
        <v>0</v>
      </c>
      <c r="AF1023" s="10"/>
      <c r="AG1023" s="10"/>
      <c r="AH1023" s="10"/>
      <c r="AI1023" s="12">
        <f t="shared" si="293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5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5"/>
      <c r="P1024" s="69"/>
      <c r="Q1024" s="85"/>
      <c r="R1024" s="62"/>
      <c r="S1024" s="60"/>
      <c r="T1024" s="62"/>
      <c r="U1024" s="62"/>
      <c r="V1024" s="62"/>
      <c r="W1024" s="61"/>
      <c r="Y1024" s="10">
        <v>23</v>
      </c>
      <c r="Z1024" s="30"/>
      <c r="AA1024" s="31"/>
      <c r="AB1024" s="47"/>
      <c r="AC1024" s="31"/>
      <c r="AE1024" s="32">
        <f t="shared" si="294"/>
        <v>0</v>
      </c>
      <c r="AF1024" s="10"/>
      <c r="AG1024" s="10"/>
      <c r="AH1024" s="10"/>
      <c r="AI1024" s="12">
        <f t="shared" si="293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5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5"/>
      <c r="P1025" s="69"/>
      <c r="Q1025" s="85"/>
      <c r="R1025" s="85"/>
      <c r="S1025" s="60"/>
      <c r="T1025" s="62"/>
      <c r="U1025" s="62"/>
      <c r="V1025" s="62"/>
      <c r="W1025" s="61"/>
      <c r="Y1025" s="10">
        <v>24</v>
      </c>
      <c r="Z1025" s="30"/>
      <c r="AA1025" s="31"/>
      <c r="AB1025" s="47"/>
      <c r="AC1025" s="31"/>
      <c r="AD1025" s="31"/>
      <c r="AE1025" s="32">
        <f t="shared" si="294"/>
        <v>0</v>
      </c>
      <c r="AF1025" s="10"/>
      <c r="AG1025" s="10"/>
      <c r="AH1025" s="10"/>
      <c r="AI1025" s="12">
        <f t="shared" si="293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5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5"/>
      <c r="P1026" s="69"/>
      <c r="Q1026" s="85"/>
      <c r="R1026" s="85"/>
      <c r="S1026" s="60"/>
      <c r="T1026" s="62"/>
      <c r="U1026" s="62"/>
      <c r="V1026" s="62"/>
      <c r="W1026" s="61"/>
      <c r="Y1026" s="10">
        <v>25</v>
      </c>
      <c r="Z1026" s="30"/>
      <c r="AA1026" s="31"/>
      <c r="AB1026" s="47"/>
      <c r="AC1026" s="31"/>
      <c r="AD1026" s="31"/>
      <c r="AE1026" s="32">
        <f t="shared" si="294"/>
        <v>0</v>
      </c>
      <c r="AF1026" s="10"/>
      <c r="AG1026" s="10"/>
      <c r="AH1026" s="10"/>
      <c r="AI1026" s="12">
        <f t="shared" si="293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5"/>
      <c r="P1027" s="69"/>
      <c r="Q1027" s="85"/>
      <c r="R1027" s="85"/>
      <c r="S1027" s="60"/>
      <c r="T1027" s="62"/>
      <c r="U1027" s="62"/>
      <c r="V1027" s="62"/>
      <c r="W1027" s="61"/>
      <c r="Y1027" s="10">
        <v>26</v>
      </c>
      <c r="Z1027" s="30"/>
      <c r="AA1027" s="31"/>
      <c r="AB1027" s="47"/>
      <c r="AC1027" s="31"/>
      <c r="AD1027" s="31"/>
      <c r="AE1027" s="32">
        <f t="shared" si="294"/>
        <v>0</v>
      </c>
      <c r="AF1027" s="10"/>
      <c r="AG1027" s="10"/>
      <c r="AH1027" s="10"/>
      <c r="AI1027" s="12">
        <f t="shared" si="293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5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5"/>
      <c r="R1028" s="85"/>
      <c r="S1028" s="60"/>
      <c r="T1028" s="62"/>
      <c r="U1028" s="62"/>
      <c r="V1028" s="62"/>
      <c r="W1028" s="61"/>
      <c r="Y1028" s="10">
        <v>27</v>
      </c>
      <c r="Z1028" s="30"/>
      <c r="AA1028" s="31"/>
      <c r="AB1028" s="47"/>
      <c r="AC1028" s="31"/>
      <c r="AD1028" s="31"/>
      <c r="AE1028" s="32">
        <f t="shared" si="294"/>
        <v>0</v>
      </c>
      <c r="AF1028" s="10"/>
      <c r="AG1028" s="10"/>
      <c r="AH1028" s="10"/>
      <c r="AI1028" s="12">
        <f t="shared" si="293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5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5"/>
      <c r="P1029" s="69"/>
      <c r="Q1029" s="85"/>
      <c r="R1029" s="85"/>
      <c r="S1029" s="60"/>
      <c r="T1029" s="62"/>
      <c r="U1029" s="62"/>
      <c r="V1029" s="62"/>
      <c r="W1029" s="61"/>
      <c r="Y1029" s="10">
        <v>28</v>
      </c>
      <c r="Z1029" s="30"/>
      <c r="AA1029" s="31"/>
      <c r="AB1029" s="47"/>
      <c r="AC1029" s="31"/>
      <c r="AD1029" s="31"/>
      <c r="AE1029" s="32">
        <f t="shared" si="294"/>
        <v>0</v>
      </c>
      <c r="AF1029" s="10"/>
      <c r="AG1029" s="10"/>
      <c r="AH1029" s="10"/>
      <c r="AI1029" s="12">
        <f t="shared" si="293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5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5"/>
      <c r="P1030" s="69"/>
      <c r="Q1030" s="85"/>
      <c r="R1030" s="85"/>
      <c r="S1030" s="60"/>
      <c r="T1030" s="62"/>
      <c r="U1030" s="62"/>
      <c r="V1030" s="62"/>
      <c r="W1030" s="61"/>
      <c r="Y1030" s="10">
        <v>29</v>
      </c>
      <c r="Z1030" s="30"/>
      <c r="AA1030" s="31"/>
      <c r="AB1030" s="47"/>
      <c r="AC1030" s="31"/>
      <c r="AD1030" s="31"/>
      <c r="AE1030" s="32">
        <f t="shared" si="294"/>
        <v>0</v>
      </c>
      <c r="AF1030" s="10"/>
      <c r="AG1030" s="10"/>
      <c r="AH1030" s="10"/>
      <c r="AI1030" s="12">
        <f t="shared" si="293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5"/>
      <c r="P1031" s="69"/>
      <c r="Q1031" s="85"/>
      <c r="R1031" s="85"/>
      <c r="S1031" s="60"/>
      <c r="T1031" s="62"/>
      <c r="U1031" s="62"/>
      <c r="V1031" s="62"/>
      <c r="W1031" s="61"/>
      <c r="Y1031" s="10">
        <v>30</v>
      </c>
      <c r="Z1031" s="30"/>
      <c r="AA1031" s="31"/>
      <c r="AB1031" s="47"/>
      <c r="AC1031" s="31"/>
      <c r="AD1031" s="31"/>
      <c r="AE1031" s="32">
        <f t="shared" si="294"/>
        <v>0</v>
      </c>
      <c r="AF1031" s="10"/>
      <c r="AG1031" s="10"/>
      <c r="AH1031" s="10"/>
      <c r="AI1031" s="12">
        <f t="shared" si="293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3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5"/>
      <c r="R1032" s="85"/>
      <c r="S1032" s="60"/>
      <c r="T1032" s="62"/>
      <c r="U1032" s="62"/>
      <c r="V1032" s="62"/>
      <c r="W1032" s="61"/>
      <c r="Y1032" s="10">
        <v>31</v>
      </c>
      <c r="Z1032" s="30"/>
      <c r="AA1032" s="31"/>
      <c r="AB1032" s="47"/>
      <c r="AC1032" s="31"/>
      <c r="AD1032" s="31"/>
      <c r="AE1032" s="32">
        <f t="shared" si="294"/>
        <v>0</v>
      </c>
      <c r="AF1032" s="10"/>
      <c r="AG1032" s="10"/>
      <c r="AH1032" s="10"/>
      <c r="AI1032" s="12">
        <f t="shared" si="293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5"/>
      <c r="P1033" s="69"/>
      <c r="Q1033" s="85"/>
      <c r="R1033" s="85"/>
      <c r="S1033" s="60"/>
      <c r="T1033" s="62"/>
      <c r="U1033" s="62"/>
      <c r="V1033" s="62"/>
      <c r="W1033" s="61"/>
      <c r="Y1033" s="10">
        <v>32</v>
      </c>
      <c r="Z1033" s="30"/>
      <c r="AA1033" s="31"/>
      <c r="AB1033" s="47"/>
      <c r="AC1033" s="31"/>
      <c r="AD1033" s="31"/>
      <c r="AE1033" s="32">
        <f t="shared" si="294"/>
        <v>0</v>
      </c>
      <c r="AF1033" s="10"/>
      <c r="AG1033" s="10"/>
      <c r="AH1033" s="10"/>
      <c r="AI1033" s="12">
        <f t="shared" si="293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3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5"/>
      <c r="P1034" s="69"/>
      <c r="Q1034" s="85"/>
      <c r="R1034" s="85"/>
      <c r="S1034" s="60"/>
      <c r="T1034" s="62"/>
      <c r="U1034" s="62"/>
      <c r="V1034" s="62"/>
      <c r="W1034" s="61"/>
      <c r="Y1034" s="10">
        <v>33</v>
      </c>
      <c r="Z1034" s="30"/>
      <c r="AA1034" s="31"/>
      <c r="AB1034" s="47"/>
      <c r="AC1034" s="31"/>
      <c r="AD1034" s="31"/>
      <c r="AE1034" s="32">
        <f t="shared" si="294"/>
        <v>0</v>
      </c>
      <c r="AF1034" s="10"/>
      <c r="AG1034" s="10"/>
      <c r="AH1034" s="10"/>
      <c r="AI1034" s="12">
        <f t="shared" si="293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3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5"/>
      <c r="P1035" s="69"/>
      <c r="Q1035" s="85"/>
      <c r="R1035" s="85"/>
      <c r="S1035" s="60"/>
      <c r="T1035" s="62"/>
      <c r="U1035" s="62"/>
      <c r="V1035" s="62"/>
      <c r="W1035" s="61"/>
      <c r="Y1035" s="10">
        <v>34</v>
      </c>
      <c r="Z1035" s="30"/>
      <c r="AA1035" s="31"/>
      <c r="AB1035" s="47"/>
      <c r="AC1035" s="31"/>
      <c r="AD1035" s="31"/>
      <c r="AE1035" s="32">
        <f t="shared" si="294"/>
        <v>0</v>
      </c>
      <c r="AF1035" s="10"/>
      <c r="AG1035" s="10"/>
      <c r="AH1035" s="10"/>
      <c r="AI1035" s="12">
        <f t="shared" si="293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5"/>
      <c r="P1036" s="69"/>
      <c r="Q1036" s="85"/>
      <c r="R1036" s="85"/>
      <c r="S1036" s="60"/>
      <c r="T1036" s="62"/>
      <c r="U1036" s="62"/>
      <c r="V1036" s="62"/>
      <c r="W1036" s="61"/>
      <c r="Y1036" s="10">
        <v>35</v>
      </c>
      <c r="Z1036" s="30"/>
      <c r="AA1036" s="31"/>
      <c r="AB1036" s="47"/>
      <c r="AC1036" s="31"/>
      <c r="AD1036" s="31"/>
      <c r="AE1036" s="32">
        <f t="shared" si="294"/>
        <v>0</v>
      </c>
      <c r="AF1036" s="10"/>
      <c r="AG1036" s="10"/>
      <c r="AH1036" s="10"/>
      <c r="AI1036" s="12">
        <f t="shared" si="293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5"/>
      <c r="P1037" s="69"/>
      <c r="Q1037" s="85"/>
      <c r="R1037" s="85"/>
      <c r="S1037" s="60"/>
      <c r="T1037" s="62"/>
      <c r="U1037" s="62"/>
      <c r="V1037" s="62"/>
      <c r="W1037" s="61"/>
      <c r="Y1037" s="10">
        <v>36</v>
      </c>
      <c r="Z1037" s="30"/>
      <c r="AA1037" s="31"/>
      <c r="AB1037" s="47"/>
      <c r="AC1037" s="31"/>
      <c r="AD1037" s="31"/>
      <c r="AE1037" s="32">
        <f t="shared" si="294"/>
        <v>0</v>
      </c>
      <c r="AF1037" s="10"/>
      <c r="AG1037" s="10"/>
      <c r="AH1037" s="10"/>
      <c r="AI1037" s="12">
        <f t="shared" si="293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5"/>
      <c r="R1038" s="85"/>
      <c r="S1038" s="60"/>
      <c r="T1038" s="62"/>
      <c r="U1038" s="62"/>
      <c r="V1038" s="62"/>
      <c r="W1038" s="61"/>
      <c r="Y1038" s="10">
        <v>37</v>
      </c>
      <c r="Z1038" s="30"/>
      <c r="AA1038" s="31"/>
      <c r="AB1038" s="47"/>
      <c r="AC1038" s="31"/>
      <c r="AD1038" s="31"/>
      <c r="AE1038" s="32">
        <f t="shared" si="294"/>
        <v>0</v>
      </c>
      <c r="AF1038" s="10"/>
      <c r="AG1038" s="10"/>
      <c r="AH1038" s="10"/>
      <c r="AI1038" s="12">
        <f t="shared" si="293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5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5"/>
      <c r="P1039" s="69"/>
      <c r="Q1039" s="85"/>
      <c r="R1039" s="85"/>
      <c r="S1039" s="60"/>
      <c r="T1039" s="62"/>
      <c r="U1039" s="62"/>
      <c r="V1039" s="62"/>
      <c r="W1039" s="61"/>
      <c r="Y1039" s="10">
        <v>38</v>
      </c>
      <c r="Z1039" s="30"/>
      <c r="AA1039" s="31"/>
      <c r="AB1039" s="47"/>
      <c r="AC1039" s="31"/>
      <c r="AD1039" s="31"/>
      <c r="AE1039" s="32">
        <f t="shared" si="294"/>
        <v>0</v>
      </c>
      <c r="AF1039" s="10"/>
      <c r="AG1039" s="10"/>
      <c r="AH1039" s="10"/>
      <c r="AI1039" s="12">
        <f t="shared" si="293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5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5"/>
      <c r="P1040" s="69"/>
      <c r="Q1040" s="85"/>
      <c r="R1040" s="85"/>
      <c r="S1040" s="60"/>
      <c r="T1040" s="62"/>
      <c r="U1040" s="62"/>
      <c r="V1040" s="62"/>
      <c r="W1040" s="61"/>
      <c r="Y1040" s="10">
        <v>39</v>
      </c>
      <c r="Z1040" s="30"/>
      <c r="AA1040" s="31"/>
      <c r="AB1040" s="47"/>
      <c r="AC1040" s="31"/>
      <c r="AD1040" s="31"/>
      <c r="AE1040" s="32">
        <f t="shared" si="294"/>
        <v>0</v>
      </c>
      <c r="AF1040" s="10"/>
      <c r="AG1040" s="10"/>
      <c r="AH1040" s="10"/>
      <c r="AI1040" s="12">
        <f t="shared" si="293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5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5"/>
      <c r="R1041" s="85"/>
      <c r="S1041" s="60"/>
      <c r="T1041" s="62"/>
      <c r="U1041" s="62"/>
      <c r="V1041" s="62"/>
      <c r="W1041" s="61"/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3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5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5"/>
      <c r="P1042" s="69"/>
      <c r="Q1042" s="85"/>
      <c r="R1042" s="85"/>
      <c r="S1042" s="60"/>
      <c r="T1042" s="62"/>
      <c r="U1042" s="62"/>
      <c r="V1042" s="62"/>
      <c r="W1042" s="61"/>
      <c r="Y1042" s="10"/>
      <c r="Z1042" s="30"/>
      <c r="AA1042" s="31"/>
      <c r="AB1042" s="47"/>
      <c r="AC1042" s="31"/>
      <c r="AD1042" s="31"/>
      <c r="AE1042" s="32">
        <f t="shared" ref="AE1042" si="295">SUM(AB1042:AC1042)</f>
        <v>0</v>
      </c>
      <c r="AF1042" s="10"/>
      <c r="AG1042" s="10"/>
      <c r="AH1042" s="10"/>
      <c r="AI1042" s="12">
        <f t="shared" si="293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5"/>
      <c r="O1043" s="85"/>
      <c r="P1043" s="85"/>
      <c r="Q1043" s="85"/>
      <c r="R1043" s="85"/>
      <c r="S1043" s="85"/>
      <c r="T1043" s="62"/>
      <c r="U1043" s="62"/>
      <c r="V1043" s="62"/>
      <c r="W1043" s="61"/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3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5"/>
      <c r="C1044" s="85"/>
      <c r="D1044" s="85"/>
      <c r="E1044" s="85"/>
      <c r="F1044" s="85"/>
      <c r="G1044" s="85"/>
      <c r="H1044" s="62"/>
      <c r="I1044" s="62"/>
      <c r="J1044" s="62"/>
      <c r="K1044" s="62"/>
      <c r="L1044" s="62"/>
      <c r="M1044" s="62"/>
      <c r="N1044" s="85"/>
      <c r="O1044" s="85"/>
      <c r="P1044" s="85"/>
      <c r="Q1044" s="85"/>
      <c r="R1044" s="85"/>
      <c r="S1044" s="85"/>
      <c r="T1044" s="62"/>
      <c r="U1044" s="62"/>
      <c r="V1044" s="62"/>
      <c r="W1044" s="62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5"/>
      <c r="C1045" s="85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5"/>
      <c r="O1045" s="85"/>
      <c r="P1045" s="70"/>
      <c r="Q1045" s="70"/>
      <c r="R1045" s="70"/>
      <c r="S1045" s="70"/>
      <c r="T1045" s="63"/>
      <c r="U1045" s="71"/>
      <c r="V1045" s="71"/>
      <c r="W1045" s="71"/>
      <c r="Z1045" s="57"/>
      <c r="AA1045" s="57"/>
      <c r="AB1045" s="38">
        <f>SUM(AB1002:AB1044)</f>
        <v>334998</v>
      </c>
      <c r="AC1045" s="38">
        <f>SUM(AC1002:AC1026)</f>
        <v>-1698</v>
      </c>
      <c r="AD1045" s="38">
        <f>SUM(AD1002:AD1026)</f>
        <v>0</v>
      </c>
      <c r="AE1045" s="38">
        <f>SUM(AE1002:AE1044)</f>
        <v>333300</v>
      </c>
      <c r="AF1045" s="4"/>
      <c r="AG1045" s="41">
        <f>SUM(AG1002:AG1044)</f>
        <v>30</v>
      </c>
      <c r="AH1045" s="41">
        <f>SUM(AH1002:AH1026)</f>
        <v>-3783</v>
      </c>
      <c r="AI1045" s="42">
        <f>SUM(AI1002:AI1044)</f>
        <v>329547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s="62"/>
      <c r="Z1047" s="85"/>
      <c r="AA1047" s="85"/>
      <c r="AB1047" s="85"/>
      <c r="AC1047" s="85"/>
      <c r="AD1047" s="85"/>
      <c r="AE1047" s="85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28</v>
      </c>
      <c r="B1048" s="57"/>
      <c r="C1048" s="57"/>
      <c r="D1048" s="57"/>
      <c r="E1048" s="57"/>
      <c r="G1048" s="57"/>
      <c r="M1048" t="s">
        <v>28</v>
      </c>
      <c r="N1048" s="57"/>
      <c r="O1048" s="57"/>
      <c r="P1048" s="57"/>
      <c r="Q1048" s="57"/>
      <c r="R1048" s="57"/>
      <c r="S1048" s="57"/>
      <c r="Y1048" s="62"/>
      <c r="Z1048" s="85"/>
      <c r="AA1048" s="85"/>
      <c r="AB1048" s="85"/>
      <c r="AC1048" s="85"/>
      <c r="AD1048" s="85"/>
      <c r="AE1048" s="85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Y1049" s="62"/>
      <c r="Z1049" s="85"/>
      <c r="AA1049" s="85"/>
      <c r="AB1049" s="85"/>
      <c r="AC1049" s="85"/>
      <c r="AD1049" s="85"/>
      <c r="AE1049" s="85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14</v>
      </c>
      <c r="B1050" s="57"/>
      <c r="C1050" s="57"/>
      <c r="D1050" s="57"/>
      <c r="E1050" s="57"/>
      <c r="G1050" s="57"/>
      <c r="M1050" s="4" t="s">
        <v>14</v>
      </c>
      <c r="N1050" s="57"/>
      <c r="O1050" s="57"/>
      <c r="P1050" s="57"/>
      <c r="Q1050" s="57"/>
      <c r="R1050" s="57"/>
      <c r="S1050" s="57"/>
      <c r="Y1050" s="63"/>
      <c r="Z1050" s="85"/>
      <c r="AA1050" s="85"/>
      <c r="AB1050" s="85"/>
      <c r="AC1050" s="85"/>
      <c r="AD1050" s="85"/>
      <c r="AE1050" s="85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Y1051" s="62"/>
      <c r="Z1051" s="85"/>
      <c r="AA1051" s="85"/>
      <c r="AB1051" s="85"/>
      <c r="AC1051" s="85"/>
      <c r="AD1051" s="85"/>
      <c r="AE1051" s="85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15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s="62"/>
      <c r="Z1052" s="85"/>
      <c r="AA1052" s="85"/>
      <c r="AB1052" s="85"/>
      <c r="AC1052" s="85"/>
      <c r="AD1052" s="85"/>
      <c r="AE1052" s="85"/>
      <c r="AF1052" s="62"/>
      <c r="AG1052" s="85"/>
      <c r="AH1052" s="85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91</v>
      </c>
      <c r="B1053" s="20"/>
      <c r="C1053" s="57"/>
      <c r="D1053" s="57"/>
      <c r="E1053" s="57"/>
      <c r="G1053" s="57"/>
      <c r="I1053" s="22" t="s">
        <v>16</v>
      </c>
      <c r="J1053" s="23" t="s">
        <v>31</v>
      </c>
      <c r="K1053" s="24"/>
      <c r="M1053" s="21" t="s">
        <v>91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33</v>
      </c>
      <c r="W1053" s="24"/>
      <c r="Y1053" s="64"/>
      <c r="Z1053" s="85"/>
      <c r="AA1053" s="85"/>
      <c r="AB1053" s="85"/>
      <c r="AC1053" s="85"/>
      <c r="AD1053" s="85"/>
      <c r="AE1053" s="85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Y1054" s="62"/>
      <c r="Z1054" s="85"/>
      <c r="AA1054" s="85"/>
      <c r="AB1054" s="85"/>
      <c r="AC1054" s="85"/>
      <c r="AD1054" s="85"/>
      <c r="AE1054" s="85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2" t="s">
        <v>17</v>
      </c>
      <c r="E1055" s="122"/>
      <c r="F1055" s="109"/>
      <c r="G1055" s="27"/>
      <c r="I1055" s="120" t="s">
        <v>18</v>
      </c>
      <c r="J1055" s="121"/>
      <c r="K1055" s="118" t="s">
        <v>19</v>
      </c>
      <c r="N1055" s="25"/>
      <c r="O1055" s="26"/>
      <c r="P1055" s="122" t="s">
        <v>17</v>
      </c>
      <c r="Q1055" s="122"/>
      <c r="R1055" s="109"/>
      <c r="S1055" s="27"/>
      <c r="U1055" s="120" t="s">
        <v>18</v>
      </c>
      <c r="V1055" s="121"/>
      <c r="W1055" s="118" t="s">
        <v>19</v>
      </c>
      <c r="Y1055" s="62"/>
      <c r="Z1055" s="65"/>
      <c r="AA1055" s="85"/>
      <c r="AB1055" s="117"/>
      <c r="AC1055" s="117"/>
      <c r="AD1055" s="85"/>
      <c r="AE1055" s="85"/>
      <c r="AF1055" s="62"/>
      <c r="AG1055" s="117"/>
      <c r="AH1055" s="117"/>
      <c r="AI1055" s="11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20</v>
      </c>
      <c r="C1056" s="28" t="s">
        <v>21</v>
      </c>
      <c r="D1056" s="77" t="s">
        <v>22</v>
      </c>
      <c r="E1056" s="76" t="s">
        <v>23</v>
      </c>
      <c r="F1056" s="78" t="s">
        <v>32</v>
      </c>
      <c r="G1056" s="78" t="s">
        <v>24</v>
      </c>
      <c r="I1056" s="29" t="s">
        <v>25</v>
      </c>
      <c r="J1056" s="29" t="s">
        <v>26</v>
      </c>
      <c r="K1056" s="119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32</v>
      </c>
      <c r="S1056" s="78" t="s">
        <v>24</v>
      </c>
      <c r="U1056" s="29" t="s">
        <v>25</v>
      </c>
      <c r="V1056" s="29" t="s">
        <v>26</v>
      </c>
      <c r="W1056" s="119"/>
      <c r="Y1056" s="62"/>
      <c r="Z1056" s="85"/>
      <c r="AA1056" s="85"/>
      <c r="AB1056" s="79"/>
      <c r="AC1056" s="81"/>
      <c r="AD1056" s="81"/>
      <c r="AE1056" s="81"/>
      <c r="AF1056" s="62"/>
      <c r="AG1056" s="84"/>
      <c r="AH1056" s="84"/>
      <c r="AI1056" s="11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92</v>
      </c>
      <c r="C1057" s="82">
        <v>9240</v>
      </c>
      <c r="D1057" s="32">
        <f>650*10+670+622*6+912+9.5*6</f>
        <v>11871</v>
      </c>
      <c r="E1057" s="32"/>
      <c r="F1057" s="32"/>
      <c r="G1057" s="32">
        <f t="shared" ref="G1057:G1090" si="296">SUM(D1057:E1057)</f>
        <v>11871</v>
      </c>
      <c r="H1057" s="12"/>
      <c r="I1057" s="12"/>
      <c r="J1057" s="12"/>
      <c r="K1057" s="12">
        <f t="shared" ref="K1057:K1090" si="297">SUM(G1057:J1057)</f>
        <v>11871</v>
      </c>
      <c r="M1057" s="10">
        <v>1</v>
      </c>
      <c r="N1057" s="30" t="s">
        <v>92</v>
      </c>
      <c r="O1057" s="31">
        <v>9295</v>
      </c>
      <c r="P1057" s="32">
        <f>650*432+622*108+229*22</f>
        <v>353014</v>
      </c>
      <c r="Q1057" s="32">
        <f>-540*6</f>
        <v>-3240</v>
      </c>
      <c r="R1057" s="32"/>
      <c r="S1057" s="32">
        <f>SUM(P1057:Q1057)</f>
        <v>349774</v>
      </c>
      <c r="T1057" s="12"/>
      <c r="U1057" s="12">
        <v>1326</v>
      </c>
      <c r="V1057" s="12">
        <f>-1680+-840</f>
        <v>-2520</v>
      </c>
      <c r="W1057" s="12">
        <f>SUM(S1057:V1057)</f>
        <v>348580</v>
      </c>
      <c r="Y1057" s="62"/>
      <c r="Z1057" s="66"/>
      <c r="AA1057" s="85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92</v>
      </c>
      <c r="C1058" s="82">
        <f>C1057+1</f>
        <v>9241</v>
      </c>
      <c r="D1058" s="32">
        <f>650*17+670+622</f>
        <v>12342</v>
      </c>
      <c r="E1058" s="32"/>
      <c r="F1058" s="32"/>
      <c r="G1058" s="32">
        <f t="shared" si="296"/>
        <v>12342</v>
      </c>
      <c r="H1058" s="12"/>
      <c r="I1058" s="12"/>
      <c r="J1058" s="12"/>
      <c r="K1058" s="12">
        <f t="shared" si="297"/>
        <v>12342</v>
      </c>
      <c r="M1058" s="10">
        <v>2</v>
      </c>
      <c r="N1058" s="30" t="s">
        <v>92</v>
      </c>
      <c r="O1058" s="31">
        <f>O1057+1</f>
        <v>9296</v>
      </c>
      <c r="P1058" s="32">
        <f>650*4+670</f>
        <v>3270</v>
      </c>
      <c r="Q1058" s="32"/>
      <c r="R1058" s="32"/>
      <c r="S1058" s="32">
        <f t="shared" ref="S1058:S1095" si="298">SUM(P1058:Q1058)</f>
        <v>3270</v>
      </c>
      <c r="T1058" s="12"/>
      <c r="U1058" s="12"/>
      <c r="V1058" s="12">
        <v>-666</v>
      </c>
      <c r="W1058" s="12">
        <f t="shared" ref="W1058:W1098" si="299">SUM(S1058:V1058)</f>
        <v>2604</v>
      </c>
      <c r="Y1058" s="62"/>
      <c r="Z1058" s="66"/>
      <c r="AA1058" s="85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92</v>
      </c>
      <c r="C1059" s="82">
        <f t="shared" ref="C1059:C1076" si="300">C1058+1</f>
        <v>9242</v>
      </c>
      <c r="D1059" s="33">
        <f>650*3+9.5*3</f>
        <v>1978.5</v>
      </c>
      <c r="E1059" s="33"/>
      <c r="F1059" s="33"/>
      <c r="G1059" s="33">
        <f t="shared" si="296"/>
        <v>1978.5</v>
      </c>
      <c r="H1059" s="34"/>
      <c r="I1059" s="34"/>
      <c r="J1059" s="34">
        <v>-111</v>
      </c>
      <c r="K1059" s="34">
        <f t="shared" si="297"/>
        <v>1867.5</v>
      </c>
      <c r="M1059" s="10">
        <v>3</v>
      </c>
      <c r="N1059" s="30" t="s">
        <v>92</v>
      </c>
      <c r="O1059" s="31">
        <f t="shared" ref="O1059" si="301">O1058+1</f>
        <v>9297</v>
      </c>
      <c r="P1059" s="32">
        <f>650*30</f>
        <v>19500</v>
      </c>
      <c r="Q1059" s="32"/>
      <c r="R1059" s="32"/>
      <c r="S1059" s="32">
        <f t="shared" si="298"/>
        <v>19500</v>
      </c>
      <c r="T1059" s="12"/>
      <c r="U1059" s="12">
        <v>27</v>
      </c>
      <c r="V1059" s="12"/>
      <c r="W1059" s="12">
        <f t="shared" si="299"/>
        <v>19527</v>
      </c>
      <c r="Y1059" s="62"/>
      <c r="Z1059" s="66"/>
      <c r="AA1059" s="85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92</v>
      </c>
      <c r="C1060" s="82">
        <f t="shared" si="300"/>
        <v>9243</v>
      </c>
      <c r="D1060" s="32">
        <f>650*8+622+9.5*9</f>
        <v>5907.5</v>
      </c>
      <c r="E1060" s="32"/>
      <c r="F1060" s="32"/>
      <c r="G1060" s="32">
        <f t="shared" si="296"/>
        <v>5907.5</v>
      </c>
      <c r="H1060" s="12"/>
      <c r="I1060" s="12"/>
      <c r="J1060" s="12"/>
      <c r="K1060" s="12">
        <f t="shared" si="297"/>
        <v>5907.5</v>
      </c>
      <c r="M1060" s="10">
        <v>4</v>
      </c>
      <c r="N1060" s="30"/>
      <c r="O1060" s="11" t="s">
        <v>27</v>
      </c>
      <c r="P1060" s="32"/>
      <c r="Q1060" s="32"/>
      <c r="R1060" s="32"/>
      <c r="S1060" s="32">
        <f t="shared" si="298"/>
        <v>0</v>
      </c>
      <c r="T1060" s="12"/>
      <c r="U1060" s="12"/>
      <c r="V1060" s="12"/>
      <c r="W1060" s="12">
        <f t="shared" si="299"/>
        <v>0</v>
      </c>
      <c r="Y1060" s="62"/>
      <c r="Z1060" s="66"/>
      <c r="AA1060" s="8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92</v>
      </c>
      <c r="C1061" s="82">
        <f t="shared" si="300"/>
        <v>9244</v>
      </c>
      <c r="D1061" s="32">
        <f>650*2+9.5*2</f>
        <v>1319</v>
      </c>
      <c r="E1061" s="32"/>
      <c r="F1061" s="32"/>
      <c r="G1061" s="32">
        <f t="shared" si="296"/>
        <v>1319</v>
      </c>
      <c r="H1061" s="12"/>
      <c r="I1061" s="12"/>
      <c r="J1061" s="12"/>
      <c r="K1061" s="12">
        <f t="shared" si="297"/>
        <v>1319</v>
      </c>
      <c r="M1061" s="10">
        <v>5</v>
      </c>
      <c r="N1061" s="30"/>
      <c r="O1061" s="31"/>
      <c r="P1061" s="32"/>
      <c r="Q1061" s="32"/>
      <c r="R1061" s="32"/>
      <c r="S1061" s="32">
        <f t="shared" si="298"/>
        <v>0</v>
      </c>
      <c r="T1061" s="12"/>
      <c r="U1061" s="12"/>
      <c r="V1061" s="12"/>
      <c r="W1061" s="12">
        <f t="shared" si="299"/>
        <v>0</v>
      </c>
      <c r="Y1061" s="62"/>
      <c r="Z1061" s="66"/>
      <c r="AA1061" s="8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92</v>
      </c>
      <c r="C1062" s="82">
        <f t="shared" si="300"/>
        <v>9245</v>
      </c>
      <c r="D1062" s="32">
        <f>650*16</f>
        <v>10400</v>
      </c>
      <c r="E1062" s="32"/>
      <c r="F1062" s="32"/>
      <c r="G1062" s="32">
        <f t="shared" si="296"/>
        <v>10400</v>
      </c>
      <c r="H1062" s="12"/>
      <c r="I1062" s="12"/>
      <c r="J1062" s="12"/>
      <c r="K1062" s="12">
        <f t="shared" si="297"/>
        <v>10400</v>
      </c>
      <c r="M1062" s="10">
        <v>6</v>
      </c>
      <c r="N1062" s="30"/>
      <c r="P1062" s="32"/>
      <c r="Q1062" s="32"/>
      <c r="R1062" s="32"/>
      <c r="S1062" s="32">
        <f t="shared" si="298"/>
        <v>0</v>
      </c>
      <c r="T1062" s="12"/>
      <c r="U1062" s="12"/>
      <c r="V1062" s="10"/>
      <c r="W1062" s="12">
        <f t="shared" si="299"/>
        <v>0</v>
      </c>
      <c r="Y1062" s="62"/>
      <c r="Z1062" s="66"/>
      <c r="AA1062" s="8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92</v>
      </c>
      <c r="C1063" s="82">
        <f t="shared" si="300"/>
        <v>9246</v>
      </c>
      <c r="D1063" s="32">
        <f>650*45+229</f>
        <v>29479</v>
      </c>
      <c r="E1063" s="32"/>
      <c r="F1063" s="32"/>
      <c r="G1063" s="32">
        <f t="shared" si="296"/>
        <v>29479</v>
      </c>
      <c r="H1063" s="12"/>
      <c r="I1063" s="12"/>
      <c r="J1063" s="12"/>
      <c r="K1063" s="12">
        <f t="shared" si="297"/>
        <v>29479</v>
      </c>
      <c r="M1063" s="10">
        <v>7</v>
      </c>
      <c r="N1063" s="30"/>
      <c r="O1063" s="31"/>
      <c r="P1063" s="32"/>
      <c r="Q1063" s="32"/>
      <c r="R1063" s="32"/>
      <c r="S1063" s="32">
        <f t="shared" si="298"/>
        <v>0</v>
      </c>
      <c r="T1063" s="12"/>
      <c r="U1063" s="12"/>
      <c r="V1063" s="12"/>
      <c r="W1063" s="12">
        <f t="shared" si="299"/>
        <v>0</v>
      </c>
      <c r="Y1063" s="62"/>
      <c r="Z1063" s="66"/>
      <c r="AA1063" s="85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92</v>
      </c>
      <c r="C1064" s="82">
        <f t="shared" si="300"/>
        <v>9247</v>
      </c>
      <c r="D1064" s="32">
        <f>650*11</f>
        <v>7150</v>
      </c>
      <c r="E1064" s="32"/>
      <c r="F1064" s="32"/>
      <c r="G1064" s="32">
        <f t="shared" si="296"/>
        <v>7150</v>
      </c>
      <c r="H1064" s="12"/>
      <c r="I1064" s="12"/>
      <c r="J1064" s="12"/>
      <c r="K1064" s="12">
        <f t="shared" si="297"/>
        <v>7150</v>
      </c>
      <c r="M1064" s="10">
        <v>8</v>
      </c>
      <c r="N1064" s="30"/>
      <c r="O1064" s="31"/>
      <c r="P1064" s="32"/>
      <c r="Q1064" s="32"/>
      <c r="R1064" s="32"/>
      <c r="S1064" s="32">
        <f t="shared" si="298"/>
        <v>0</v>
      </c>
      <c r="T1064" s="12"/>
      <c r="U1064" s="12"/>
      <c r="V1064" s="12"/>
      <c r="W1064" s="12">
        <f t="shared" si="299"/>
        <v>0</v>
      </c>
      <c r="Y1064" s="62"/>
      <c r="Z1064" s="66"/>
      <c r="AA1064" s="85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92</v>
      </c>
      <c r="C1065" s="82">
        <f t="shared" si="300"/>
        <v>9248</v>
      </c>
      <c r="D1065" s="32">
        <f>650*100+622*10</f>
        <v>71220</v>
      </c>
      <c r="E1065" s="32"/>
      <c r="F1065" s="32"/>
      <c r="G1065" s="32">
        <f t="shared" si="296"/>
        <v>71220</v>
      </c>
      <c r="H1065" s="12"/>
      <c r="I1065" s="12">
        <f>10*111+4.5*4</f>
        <v>1128</v>
      </c>
      <c r="J1065" s="12"/>
      <c r="K1065" s="12">
        <f t="shared" si="297"/>
        <v>72348</v>
      </c>
      <c r="M1065" s="10">
        <v>9</v>
      </c>
      <c r="N1065" s="30"/>
      <c r="O1065" s="31"/>
      <c r="P1065" s="32"/>
      <c r="Q1065" s="32"/>
      <c r="R1065" s="32"/>
      <c r="S1065" s="32">
        <f t="shared" si="298"/>
        <v>0</v>
      </c>
      <c r="T1065" s="12"/>
      <c r="U1065" s="12"/>
      <c r="V1065" s="12"/>
      <c r="W1065" s="12">
        <f t="shared" si="299"/>
        <v>0</v>
      </c>
      <c r="Y1065" s="62"/>
      <c r="Z1065" s="66"/>
      <c r="AA1065" s="85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92</v>
      </c>
      <c r="C1066" s="82">
        <f t="shared" si="300"/>
        <v>9249</v>
      </c>
      <c r="D1066" s="32">
        <f>650*4+9.5*4</f>
        <v>2638</v>
      </c>
      <c r="E1066" s="32"/>
      <c r="F1066" s="32"/>
      <c r="G1066" s="32">
        <f t="shared" si="296"/>
        <v>2638</v>
      </c>
      <c r="H1066" s="12"/>
      <c r="I1066" s="12"/>
      <c r="J1066" s="12"/>
      <c r="K1066" s="12">
        <f t="shared" si="297"/>
        <v>2638</v>
      </c>
      <c r="M1066" s="10">
        <v>10</v>
      </c>
      <c r="N1066" s="30"/>
      <c r="O1066" s="31"/>
      <c r="P1066" s="32"/>
      <c r="Q1066" s="32"/>
      <c r="R1066" s="32"/>
      <c r="S1066" s="32">
        <f t="shared" si="298"/>
        <v>0</v>
      </c>
      <c r="T1066" s="12"/>
      <c r="U1066" s="12"/>
      <c r="V1066" s="12"/>
      <c r="W1066" s="12">
        <f t="shared" si="299"/>
        <v>0</v>
      </c>
      <c r="Y1066" s="62"/>
      <c r="Z1066" s="66"/>
      <c r="AA1066" s="8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92</v>
      </c>
      <c r="C1067" s="82">
        <v>9111</v>
      </c>
      <c r="D1067" s="32">
        <f>650*6+9.5*6</f>
        <v>3957</v>
      </c>
      <c r="E1067" s="32"/>
      <c r="F1067" s="32"/>
      <c r="G1067" s="32">
        <f t="shared" si="296"/>
        <v>3957</v>
      </c>
      <c r="H1067" s="12"/>
      <c r="I1067" s="12"/>
      <c r="J1067" s="12"/>
      <c r="K1067" s="12">
        <f t="shared" si="297"/>
        <v>3957</v>
      </c>
      <c r="M1067" s="10">
        <v>11</v>
      </c>
      <c r="N1067" s="30"/>
      <c r="O1067" s="31"/>
      <c r="P1067" s="32"/>
      <c r="Q1067" s="32"/>
      <c r="R1067" s="32"/>
      <c r="S1067" s="32">
        <f t="shared" si="298"/>
        <v>0</v>
      </c>
      <c r="T1067" s="12"/>
      <c r="U1067" s="12"/>
      <c r="V1067" s="12"/>
      <c r="W1067" s="12">
        <f t="shared" si="299"/>
        <v>0</v>
      </c>
      <c r="Y1067" s="62"/>
      <c r="Z1067" s="66"/>
      <c r="AA1067" s="85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92</v>
      </c>
      <c r="C1068" s="82">
        <f t="shared" si="300"/>
        <v>9112</v>
      </c>
      <c r="D1068" s="32">
        <f>650*4+9.5*4</f>
        <v>2638</v>
      </c>
      <c r="E1068" s="32"/>
      <c r="F1068" s="32"/>
      <c r="G1068" s="32">
        <f t="shared" si="296"/>
        <v>2638</v>
      </c>
      <c r="H1068" s="12"/>
      <c r="I1068" s="12"/>
      <c r="J1068" s="10"/>
      <c r="K1068" s="12">
        <f t="shared" si="297"/>
        <v>2638</v>
      </c>
      <c r="M1068" s="10">
        <v>12</v>
      </c>
      <c r="N1068" s="30"/>
      <c r="O1068" s="31"/>
      <c r="P1068" s="32"/>
      <c r="Q1068" s="32"/>
      <c r="R1068" s="32"/>
      <c r="S1068" s="32">
        <f t="shared" si="298"/>
        <v>0</v>
      </c>
      <c r="T1068" s="12"/>
      <c r="U1068" s="12"/>
      <c r="V1068" s="12"/>
      <c r="W1068" s="12">
        <f t="shared" si="299"/>
        <v>0</v>
      </c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 t="s">
        <v>92</v>
      </c>
      <c r="C1069" s="82">
        <f t="shared" si="300"/>
        <v>9113</v>
      </c>
      <c r="D1069" s="32">
        <f>650*3+622</f>
        <v>2572</v>
      </c>
      <c r="E1069" s="32"/>
      <c r="F1069" s="32"/>
      <c r="G1069" s="32">
        <f t="shared" si="296"/>
        <v>2572</v>
      </c>
      <c r="H1069" s="12"/>
      <c r="I1069" s="12"/>
      <c r="J1069" s="12"/>
      <c r="K1069" s="12">
        <f t="shared" si="297"/>
        <v>2572</v>
      </c>
      <c r="M1069" s="10">
        <v>13</v>
      </c>
      <c r="N1069" s="30"/>
      <c r="O1069" s="31"/>
      <c r="P1069" s="32"/>
      <c r="Q1069" s="32"/>
      <c r="R1069" s="32"/>
      <c r="S1069" s="32">
        <f t="shared" si="298"/>
        <v>0</v>
      </c>
      <c r="T1069" s="12"/>
      <c r="U1069" s="12"/>
      <c r="V1069" s="12"/>
      <c r="W1069" s="12">
        <f t="shared" si="299"/>
        <v>0</v>
      </c>
      <c r="Y1069" s="62"/>
      <c r="Z1069" s="66"/>
      <c r="AA1069" s="85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 t="s">
        <v>92</v>
      </c>
      <c r="C1070" s="82">
        <f t="shared" si="300"/>
        <v>9114</v>
      </c>
      <c r="D1070" s="32">
        <f>650*10+9.5*10</f>
        <v>6595</v>
      </c>
      <c r="E1070" s="32"/>
      <c r="F1070" s="32"/>
      <c r="G1070" s="32">
        <f t="shared" si="296"/>
        <v>6595</v>
      </c>
      <c r="H1070" s="12"/>
      <c r="I1070" s="12"/>
      <c r="J1070" s="12"/>
      <c r="K1070" s="12">
        <f t="shared" si="297"/>
        <v>6595</v>
      </c>
      <c r="M1070" s="10">
        <v>14</v>
      </c>
      <c r="N1070" s="30"/>
      <c r="O1070" s="31"/>
      <c r="P1070" s="32"/>
      <c r="Q1070" s="32"/>
      <c r="R1070" s="32"/>
      <c r="S1070" s="32">
        <f t="shared" si="298"/>
        <v>0</v>
      </c>
      <c r="T1070" s="12"/>
      <c r="U1070" s="12"/>
      <c r="V1070" s="12"/>
      <c r="W1070" s="12">
        <f t="shared" si="299"/>
        <v>0</v>
      </c>
      <c r="Y1070" s="62"/>
      <c r="Z1070" s="66"/>
      <c r="AA1070" s="85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 t="s">
        <v>92</v>
      </c>
      <c r="C1071" s="82">
        <f t="shared" si="300"/>
        <v>9115</v>
      </c>
      <c r="D1071" s="32">
        <f>650*41+670*2+229</f>
        <v>28219</v>
      </c>
      <c r="E1071" s="32"/>
      <c r="F1071" s="32"/>
      <c r="G1071" s="32">
        <f t="shared" si="296"/>
        <v>28219</v>
      </c>
      <c r="H1071" s="12"/>
      <c r="I1071" s="12"/>
      <c r="J1071" s="12"/>
      <c r="K1071" s="12">
        <f t="shared" si="297"/>
        <v>28219</v>
      </c>
      <c r="M1071" s="10">
        <v>15</v>
      </c>
      <c r="N1071" s="30"/>
      <c r="O1071" s="31"/>
      <c r="P1071" s="32"/>
      <c r="Q1071" s="32"/>
      <c r="R1071" s="32"/>
      <c r="S1071" s="32">
        <f t="shared" si="298"/>
        <v>0</v>
      </c>
      <c r="T1071" s="12"/>
      <c r="U1071" s="12"/>
      <c r="V1071" s="12"/>
      <c r="W1071" s="12">
        <f t="shared" si="299"/>
        <v>0</v>
      </c>
      <c r="Y1071" s="62"/>
      <c r="Z1071" s="66"/>
      <c r="AA1071" s="85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 t="s">
        <v>92</v>
      </c>
      <c r="C1072" s="82">
        <f t="shared" si="300"/>
        <v>9116</v>
      </c>
      <c r="D1072" s="32">
        <f>650*16+9.5*16</f>
        <v>10552</v>
      </c>
      <c r="E1072" s="32"/>
      <c r="F1072" s="32"/>
      <c r="G1072" s="32">
        <f t="shared" si="296"/>
        <v>10552</v>
      </c>
      <c r="H1072" s="12"/>
      <c r="I1072" s="12"/>
      <c r="J1072" s="12"/>
      <c r="K1072" s="12">
        <f t="shared" si="297"/>
        <v>10552</v>
      </c>
      <c r="M1072" s="10">
        <v>16</v>
      </c>
      <c r="N1072" s="30"/>
      <c r="O1072" s="31"/>
      <c r="P1072" s="32"/>
      <c r="Q1072" s="32"/>
      <c r="R1072" s="32"/>
      <c r="S1072" s="32">
        <f t="shared" si="298"/>
        <v>0</v>
      </c>
      <c r="T1072" s="12"/>
      <c r="U1072" s="12"/>
      <c r="V1072" s="12"/>
      <c r="W1072" s="12">
        <f t="shared" si="299"/>
        <v>0</v>
      </c>
      <c r="Y1072" s="62"/>
      <c r="Z1072" s="66"/>
      <c r="AA1072" s="85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 t="s">
        <v>92</v>
      </c>
      <c r="C1073" s="82">
        <f t="shared" si="300"/>
        <v>9117</v>
      </c>
      <c r="D1073" s="32">
        <f>650*17+622+872+9.5*18</f>
        <v>12715</v>
      </c>
      <c r="E1073" s="32"/>
      <c r="F1073" s="32"/>
      <c r="G1073" s="32">
        <f t="shared" si="296"/>
        <v>12715</v>
      </c>
      <c r="H1073" s="12"/>
      <c r="I1073" s="12">
        <v>112.5</v>
      </c>
      <c r="J1073" s="12"/>
      <c r="K1073" s="12">
        <f t="shared" si="297"/>
        <v>12827.5</v>
      </c>
      <c r="M1073" s="10">
        <v>17</v>
      </c>
      <c r="N1073" s="30"/>
      <c r="O1073" s="31"/>
      <c r="P1073" s="35"/>
      <c r="Q1073" s="32"/>
      <c r="R1073" s="32"/>
      <c r="S1073" s="32">
        <f t="shared" si="298"/>
        <v>0</v>
      </c>
      <c r="T1073" s="12"/>
      <c r="U1073" s="12"/>
      <c r="V1073" s="12"/>
      <c r="W1073" s="12">
        <f t="shared" si="299"/>
        <v>0</v>
      </c>
      <c r="Y1073" s="62"/>
      <c r="Z1073" s="66"/>
      <c r="AA1073" s="85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 t="s">
        <v>92</v>
      </c>
      <c r="C1074" s="82">
        <f t="shared" si="300"/>
        <v>9118</v>
      </c>
      <c r="D1074" s="32">
        <f>650</f>
        <v>650</v>
      </c>
      <c r="E1074" s="32"/>
      <c r="F1074" s="32"/>
      <c r="G1074" s="32">
        <f t="shared" si="296"/>
        <v>650</v>
      </c>
      <c r="H1074" s="12"/>
      <c r="I1074" s="12"/>
      <c r="J1074" s="12">
        <v>-333</v>
      </c>
      <c r="K1074" s="12">
        <f t="shared" si="297"/>
        <v>317</v>
      </c>
      <c r="M1074" s="10">
        <v>18</v>
      </c>
      <c r="N1074" s="30"/>
      <c r="O1074" s="31"/>
      <c r="P1074" s="32"/>
      <c r="Q1074" s="32"/>
      <c r="R1074" s="32"/>
      <c r="S1074" s="32">
        <f t="shared" si="298"/>
        <v>0</v>
      </c>
      <c r="T1074" s="12"/>
      <c r="U1074" s="12"/>
      <c r="V1074" s="12"/>
      <c r="W1074" s="12">
        <f t="shared" si="299"/>
        <v>0</v>
      </c>
      <c r="Y1074" s="62"/>
      <c r="Z1074" s="66"/>
      <c r="AA1074" s="85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 t="s">
        <v>92</v>
      </c>
      <c r="C1075" s="82">
        <f t="shared" si="300"/>
        <v>9119</v>
      </c>
      <c r="D1075" s="32">
        <f>650*18+670*3+912+872+171+500</f>
        <v>16165</v>
      </c>
      <c r="E1075" s="32"/>
      <c r="F1075" s="32"/>
      <c r="G1075" s="32">
        <f t="shared" si="296"/>
        <v>16165</v>
      </c>
      <c r="H1075" s="12"/>
      <c r="I1075" s="12">
        <v>45</v>
      </c>
      <c r="J1075" s="12"/>
      <c r="K1075" s="12">
        <f t="shared" si="297"/>
        <v>16210</v>
      </c>
      <c r="M1075" s="10">
        <v>19</v>
      </c>
      <c r="N1075" s="30"/>
      <c r="O1075" s="31"/>
      <c r="P1075" s="32"/>
      <c r="Q1075" s="32"/>
      <c r="R1075" s="32"/>
      <c r="S1075" s="32">
        <f t="shared" si="298"/>
        <v>0</v>
      </c>
      <c r="T1075" s="12"/>
      <c r="U1075" s="12"/>
      <c r="V1075" s="12"/>
      <c r="W1075" s="12">
        <f t="shared" si="299"/>
        <v>0</v>
      </c>
      <c r="Y1075" s="62"/>
      <c r="Z1075" s="66"/>
      <c r="AA1075" s="85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 t="s">
        <v>92</v>
      </c>
      <c r="C1076" s="82">
        <f t="shared" si="300"/>
        <v>9120</v>
      </c>
      <c r="D1076" s="32">
        <f>650*5+9.5*5</f>
        <v>3297.5</v>
      </c>
      <c r="E1076" s="32"/>
      <c r="F1076" s="32"/>
      <c r="G1076" s="32">
        <f t="shared" si="296"/>
        <v>3297.5</v>
      </c>
      <c r="H1076" s="12"/>
      <c r="I1076" s="12"/>
      <c r="J1076" s="12">
        <v>-444</v>
      </c>
      <c r="K1076" s="12">
        <f t="shared" si="297"/>
        <v>2853.5</v>
      </c>
      <c r="M1076" s="10">
        <v>20</v>
      </c>
      <c r="N1076" s="30"/>
      <c r="O1076" s="31"/>
      <c r="P1076" s="32"/>
      <c r="Q1076" s="32"/>
      <c r="R1076" s="32"/>
      <c r="S1076" s="32">
        <f t="shared" si="298"/>
        <v>0</v>
      </c>
      <c r="T1076" s="12"/>
      <c r="U1076" s="12"/>
      <c r="V1076" s="12"/>
      <c r="W1076" s="12">
        <f t="shared" si="299"/>
        <v>0</v>
      </c>
      <c r="Y1076" s="62"/>
      <c r="Z1076" s="66"/>
      <c r="AA1076" s="85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11" t="s">
        <v>27</v>
      </c>
      <c r="D1077" s="32"/>
      <c r="E1077" s="32"/>
      <c r="F1077" s="32"/>
      <c r="G1077" s="32">
        <f t="shared" si="296"/>
        <v>0</v>
      </c>
      <c r="H1077" s="10"/>
      <c r="I1077" s="10"/>
      <c r="J1077" s="10"/>
      <c r="K1077" s="12">
        <f t="shared" si="297"/>
        <v>0</v>
      </c>
      <c r="M1077" s="10">
        <v>21</v>
      </c>
      <c r="N1077" s="30"/>
      <c r="O1077" s="31"/>
      <c r="P1077" s="91"/>
      <c r="Q1077" s="31"/>
      <c r="R1077" s="31"/>
      <c r="S1077" s="32">
        <f t="shared" si="298"/>
        <v>0</v>
      </c>
      <c r="T1077" s="10"/>
      <c r="U1077" s="10"/>
      <c r="V1077" s="10"/>
      <c r="W1077" s="12">
        <f t="shared" si="299"/>
        <v>0</v>
      </c>
      <c r="Y1077" s="62"/>
      <c r="Z1077" s="66"/>
      <c r="AA1077" s="62"/>
      <c r="AB1077" s="67"/>
      <c r="AC1077" s="85"/>
      <c r="AD1077" s="85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82"/>
      <c r="D1078" s="32"/>
      <c r="E1078" s="32"/>
      <c r="F1078" s="32"/>
      <c r="G1078" s="32">
        <f t="shared" si="296"/>
        <v>0</v>
      </c>
      <c r="H1078" s="10"/>
      <c r="I1078" s="10"/>
      <c r="J1078" s="10"/>
      <c r="K1078" s="12">
        <f t="shared" si="297"/>
        <v>0</v>
      </c>
      <c r="M1078" s="10">
        <v>22</v>
      </c>
      <c r="N1078" s="30"/>
      <c r="P1078" s="91"/>
      <c r="Q1078" s="31"/>
      <c r="R1078" s="31"/>
      <c r="S1078" s="32">
        <f t="shared" si="298"/>
        <v>0</v>
      </c>
      <c r="T1078" s="10"/>
      <c r="U1078" s="10"/>
      <c r="V1078" s="10"/>
      <c r="W1078" s="12">
        <f t="shared" si="299"/>
        <v>0</v>
      </c>
      <c r="Y1078" s="62"/>
      <c r="Z1078" s="66"/>
      <c r="AA1078" s="85"/>
      <c r="AB1078" s="68"/>
      <c r="AC1078" s="85"/>
      <c r="AD1078" s="85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82"/>
      <c r="D1079" s="32"/>
      <c r="E1079" s="32"/>
      <c r="F1079" s="32"/>
      <c r="G1079" s="32">
        <f t="shared" si="296"/>
        <v>0</v>
      </c>
      <c r="H1079" s="10"/>
      <c r="I1079" s="10"/>
      <c r="J1079" s="12"/>
      <c r="K1079" s="12">
        <f t="shared" si="297"/>
        <v>0</v>
      </c>
      <c r="M1079" s="10">
        <v>23</v>
      </c>
      <c r="N1079" s="30"/>
      <c r="O1079" s="31"/>
      <c r="P1079" s="47"/>
      <c r="Q1079" s="31"/>
      <c r="S1079" s="32">
        <f t="shared" si="298"/>
        <v>0</v>
      </c>
      <c r="T1079" s="10"/>
      <c r="U1079" s="10"/>
      <c r="V1079" s="10"/>
      <c r="W1079" s="12">
        <f t="shared" si="299"/>
        <v>0</v>
      </c>
      <c r="Y1079" s="62"/>
      <c r="Z1079" s="66"/>
      <c r="AA1079" s="62"/>
      <c r="AB1079" s="69"/>
      <c r="AC1079" s="85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82"/>
      <c r="D1080" s="32"/>
      <c r="E1080" s="32"/>
      <c r="F1080" s="32"/>
      <c r="G1080" s="32">
        <f t="shared" si="296"/>
        <v>0</v>
      </c>
      <c r="H1080" s="10"/>
      <c r="I1080" s="10"/>
      <c r="J1080" s="10"/>
      <c r="K1080" s="12">
        <f t="shared" si="297"/>
        <v>0</v>
      </c>
      <c r="M1080" s="10">
        <v>24</v>
      </c>
      <c r="N1080" s="30"/>
      <c r="P1080" s="47"/>
      <c r="Q1080" s="31"/>
      <c r="R1080" s="31"/>
      <c r="S1080" s="32">
        <f t="shared" si="298"/>
        <v>0</v>
      </c>
      <c r="T1080" s="10"/>
      <c r="U1080" s="10"/>
      <c r="V1080" s="10"/>
      <c r="W1080" s="12">
        <f t="shared" si="299"/>
        <v>0</v>
      </c>
      <c r="Y1080" s="62"/>
      <c r="Z1080" s="66"/>
      <c r="AA1080" s="85"/>
      <c r="AB1080" s="69"/>
      <c r="AC1080" s="85"/>
      <c r="AD1080" s="85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82"/>
      <c r="D1081" s="32"/>
      <c r="E1081" s="32"/>
      <c r="F1081" s="32"/>
      <c r="G1081" s="32">
        <f t="shared" si="296"/>
        <v>0</v>
      </c>
      <c r="H1081" s="10"/>
      <c r="I1081" s="10"/>
      <c r="J1081" s="10"/>
      <c r="K1081" s="12">
        <f t="shared" si="297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98"/>
        <v>0</v>
      </c>
      <c r="T1081" s="10"/>
      <c r="U1081" s="10"/>
      <c r="V1081" s="10"/>
      <c r="W1081" s="12">
        <f t="shared" si="299"/>
        <v>0</v>
      </c>
      <c r="Y1081" s="62"/>
      <c r="Z1081" s="66"/>
      <c r="AA1081" s="85"/>
      <c r="AB1081" s="69"/>
      <c r="AC1081" s="85"/>
      <c r="AD1081" s="85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D1082" s="32"/>
      <c r="E1082" s="32"/>
      <c r="F1082" s="32"/>
      <c r="G1082" s="32">
        <f t="shared" si="296"/>
        <v>0</v>
      </c>
      <c r="H1082" s="10"/>
      <c r="I1082" s="10"/>
      <c r="J1082" s="10"/>
      <c r="K1082" s="12">
        <f t="shared" si="297"/>
        <v>0</v>
      </c>
      <c r="M1082" s="10">
        <v>26</v>
      </c>
      <c r="N1082" s="30"/>
      <c r="O1082" s="31"/>
      <c r="P1082" s="47"/>
      <c r="Q1082" s="31"/>
      <c r="R1082" s="31"/>
      <c r="S1082" s="32">
        <f t="shared" si="298"/>
        <v>0</v>
      </c>
      <c r="T1082" s="10"/>
      <c r="U1082" s="10"/>
      <c r="V1082" s="10"/>
      <c r="W1082" s="12">
        <f t="shared" si="299"/>
        <v>0</v>
      </c>
      <c r="Y1082" s="62"/>
      <c r="Z1082" s="66"/>
      <c r="AA1082" s="85"/>
      <c r="AB1082" s="69"/>
      <c r="AC1082" s="85"/>
      <c r="AD1082" s="85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82"/>
      <c r="D1083" s="32"/>
      <c r="E1083" s="32"/>
      <c r="F1083" s="32"/>
      <c r="G1083" s="32">
        <f t="shared" si="296"/>
        <v>0</v>
      </c>
      <c r="H1083" s="10"/>
      <c r="I1083" s="10"/>
      <c r="J1083" s="10"/>
      <c r="K1083" s="12">
        <f t="shared" si="297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98"/>
        <v>0</v>
      </c>
      <c r="T1083" s="10"/>
      <c r="U1083" s="10"/>
      <c r="V1083" s="10"/>
      <c r="W1083" s="12">
        <f t="shared" si="299"/>
        <v>0</v>
      </c>
      <c r="Y1083" s="62"/>
      <c r="Z1083" s="66"/>
      <c r="AA1083" s="85"/>
      <c r="AB1083" s="69"/>
      <c r="AC1083" s="85"/>
      <c r="AD1083" s="85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82"/>
      <c r="D1084" s="32"/>
      <c r="E1084" s="32"/>
      <c r="F1084" s="32"/>
      <c r="G1084" s="32">
        <f t="shared" si="296"/>
        <v>0</v>
      </c>
      <c r="H1084" s="10"/>
      <c r="I1084" s="10"/>
      <c r="J1084" s="10"/>
      <c r="K1084" s="12">
        <f t="shared" si="297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98"/>
        <v>0</v>
      </c>
      <c r="T1084" s="10"/>
      <c r="U1084" s="10"/>
      <c r="V1084" s="10"/>
      <c r="W1084" s="12">
        <f t="shared" si="299"/>
        <v>0</v>
      </c>
      <c r="Y1084" s="62"/>
      <c r="Z1084" s="66"/>
      <c r="AA1084" s="85"/>
      <c r="AB1084" s="69"/>
      <c r="AC1084" s="85"/>
      <c r="AD1084" s="85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82"/>
      <c r="D1085" s="32"/>
      <c r="E1085" s="32"/>
      <c r="F1085" s="32"/>
      <c r="G1085" s="32">
        <f t="shared" si="296"/>
        <v>0</v>
      </c>
      <c r="H1085" s="10"/>
      <c r="I1085" s="10"/>
      <c r="J1085" s="10"/>
      <c r="K1085" s="12">
        <f t="shared" si="297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98"/>
        <v>0</v>
      </c>
      <c r="T1085" s="10"/>
      <c r="U1085" s="10"/>
      <c r="V1085" s="10"/>
      <c r="W1085" s="12">
        <f t="shared" si="299"/>
        <v>0</v>
      </c>
      <c r="Y1085" s="62"/>
      <c r="Z1085" s="66"/>
      <c r="AA1085" s="85"/>
      <c r="AB1085" s="69"/>
      <c r="AC1085" s="85"/>
      <c r="AD1085" s="85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57"/>
      <c r="D1086" s="32"/>
      <c r="E1086" s="32"/>
      <c r="F1086" s="32"/>
      <c r="G1086" s="32">
        <f t="shared" si="296"/>
        <v>0</v>
      </c>
      <c r="H1086" s="10"/>
      <c r="I1086" s="10"/>
      <c r="J1086" s="10"/>
      <c r="K1086" s="12">
        <f t="shared" si="297"/>
        <v>0</v>
      </c>
      <c r="M1086" s="10">
        <v>30</v>
      </c>
      <c r="N1086" s="30"/>
      <c r="P1086" s="47"/>
      <c r="Q1086" s="31"/>
      <c r="R1086" s="31"/>
      <c r="S1086" s="32">
        <f t="shared" si="298"/>
        <v>0</v>
      </c>
      <c r="T1086" s="10"/>
      <c r="U1086" s="10"/>
      <c r="V1086" s="10"/>
      <c r="W1086" s="12">
        <f t="shared" si="299"/>
        <v>0</v>
      </c>
      <c r="Y1086" s="62"/>
      <c r="Z1086" s="66"/>
      <c r="AA1086" s="85"/>
      <c r="AB1086" s="69"/>
      <c r="AC1086" s="85"/>
      <c r="AD1086" s="85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96"/>
        <v>0</v>
      </c>
      <c r="H1087" s="10"/>
      <c r="I1087" s="10"/>
      <c r="J1087" s="10"/>
      <c r="K1087" s="12">
        <f t="shared" si="297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98"/>
        <v>0</v>
      </c>
      <c r="T1087" s="10"/>
      <c r="U1087" s="10"/>
      <c r="V1087" s="10"/>
      <c r="W1087" s="12">
        <f t="shared" si="299"/>
        <v>0</v>
      </c>
      <c r="Y1087" s="62"/>
      <c r="Z1087" s="66"/>
      <c r="AA1087" s="85"/>
      <c r="AB1087" s="69"/>
      <c r="AC1087" s="85"/>
      <c r="AD1087" s="85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82"/>
      <c r="D1088" s="32"/>
      <c r="E1088" s="32"/>
      <c r="F1088" s="32"/>
      <c r="G1088" s="32">
        <f t="shared" si="296"/>
        <v>0</v>
      </c>
      <c r="H1088" s="10"/>
      <c r="I1088" s="10"/>
      <c r="J1088" s="10"/>
      <c r="K1088" s="12">
        <f t="shared" si="297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98"/>
        <v>0</v>
      </c>
      <c r="T1088" s="10"/>
      <c r="U1088" s="10"/>
      <c r="V1088" s="10"/>
      <c r="W1088" s="12">
        <f t="shared" si="299"/>
        <v>0</v>
      </c>
      <c r="Y1088" s="62"/>
      <c r="Z1088" s="66"/>
      <c r="AA1088" s="85"/>
      <c r="AB1088" s="69"/>
      <c r="AC1088" s="85"/>
      <c r="AD1088" s="85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82"/>
      <c r="D1089" s="32"/>
      <c r="E1089" s="32"/>
      <c r="F1089" s="32"/>
      <c r="G1089" s="32">
        <f t="shared" si="296"/>
        <v>0</v>
      </c>
      <c r="H1089" s="10"/>
      <c r="I1089" s="10"/>
      <c r="J1089" s="10"/>
      <c r="K1089" s="12">
        <f t="shared" si="297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98"/>
        <v>0</v>
      </c>
      <c r="T1089" s="10"/>
      <c r="U1089" s="10"/>
      <c r="V1089" s="10"/>
      <c r="W1089" s="12">
        <f t="shared" si="299"/>
        <v>0</v>
      </c>
      <c r="Y1089" s="62"/>
      <c r="Z1089" s="66"/>
      <c r="AA1089" s="85"/>
      <c r="AB1089" s="69"/>
      <c r="AC1089" s="85"/>
      <c r="AD1089" s="85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82"/>
      <c r="D1090" s="32"/>
      <c r="E1090" s="32"/>
      <c r="F1090" s="32"/>
      <c r="G1090" s="32">
        <f t="shared" si="296"/>
        <v>0</v>
      </c>
      <c r="H1090" s="10"/>
      <c r="I1090" s="10"/>
      <c r="J1090" s="10"/>
      <c r="K1090" s="12">
        <f t="shared" si="297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98"/>
        <v>0</v>
      </c>
      <c r="T1090" s="10"/>
      <c r="U1090" s="10"/>
      <c r="V1090" s="10"/>
      <c r="W1090" s="12">
        <f t="shared" si="299"/>
        <v>0</v>
      </c>
      <c r="Y1090" s="62"/>
      <c r="Z1090" s="66"/>
      <c r="AA1090" s="85"/>
      <c r="AB1090" s="69"/>
      <c r="AC1090" s="85"/>
      <c r="AD1090" s="85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82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98"/>
        <v>0</v>
      </c>
      <c r="T1091" s="10"/>
      <c r="U1091" s="10"/>
      <c r="V1091" s="10"/>
      <c r="W1091" s="12">
        <f t="shared" si="299"/>
        <v>0</v>
      </c>
      <c r="Y1091" s="62"/>
      <c r="Z1091" s="66"/>
      <c r="AA1091" s="85"/>
      <c r="AB1091" s="69"/>
      <c r="AC1091" s="85"/>
      <c r="AD1091" s="85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82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98"/>
        <v>0</v>
      </c>
      <c r="T1092" s="10"/>
      <c r="U1092" s="10"/>
      <c r="V1092" s="10"/>
      <c r="W1092" s="12">
        <f t="shared" si="299"/>
        <v>0</v>
      </c>
      <c r="Y1092" s="62"/>
      <c r="Z1092" s="66"/>
      <c r="AA1092" s="85"/>
      <c r="AB1092" s="69"/>
      <c r="AC1092" s="85"/>
      <c r="AD1092" s="85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3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98"/>
        <v>0</v>
      </c>
      <c r="T1093" s="10"/>
      <c r="U1093" s="10"/>
      <c r="V1093" s="10"/>
      <c r="W1093" s="12">
        <f t="shared" si="299"/>
        <v>0</v>
      </c>
      <c r="Y1093" s="62"/>
      <c r="Z1093" s="66"/>
      <c r="AA1093" s="85"/>
      <c r="AB1093" s="69"/>
      <c r="AC1093" s="85"/>
      <c r="AD1093" s="85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98"/>
        <v>0</v>
      </c>
      <c r="T1094" s="10"/>
      <c r="U1094" s="10"/>
      <c r="V1094" s="10"/>
      <c r="W1094" s="12">
        <f t="shared" si="299"/>
        <v>0</v>
      </c>
      <c r="Y1094" s="62"/>
      <c r="Z1094" s="66"/>
      <c r="AA1094" s="85"/>
      <c r="AB1094" s="69"/>
      <c r="AC1094" s="85"/>
      <c r="AD1094" s="85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98"/>
        <v>0</v>
      </c>
      <c r="T1095" s="10"/>
      <c r="U1095" s="10"/>
      <c r="V1095" s="10"/>
      <c r="W1095" s="12">
        <f t="shared" si="299"/>
        <v>0</v>
      </c>
      <c r="Y1095" s="62"/>
      <c r="Z1095" s="66"/>
      <c r="AA1095" s="85"/>
      <c r="AB1095" s="69"/>
      <c r="AC1095" s="85"/>
      <c r="AD1095" s="85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99"/>
        <v>0</v>
      </c>
      <c r="Y1096" s="62"/>
      <c r="Z1096" s="66"/>
      <c r="AA1096" s="62"/>
      <c r="AB1096" s="69"/>
      <c r="AC1096" s="85"/>
      <c r="AD1096" s="85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302">SUM(D1097:E1097)</f>
        <v>0</v>
      </c>
      <c r="H1097" s="10"/>
      <c r="I1097" s="10"/>
      <c r="J1097" s="10"/>
      <c r="K1097" s="12">
        <f t="shared" ref="K1097" si="303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304">SUM(P1097:Q1097)</f>
        <v>0</v>
      </c>
      <c r="T1097" s="10"/>
      <c r="U1097" s="10"/>
      <c r="V1097" s="10"/>
      <c r="W1097" s="12">
        <f t="shared" si="299"/>
        <v>0</v>
      </c>
      <c r="Y1097" s="62"/>
      <c r="Z1097" s="66"/>
      <c r="AA1097" s="85"/>
      <c r="AB1097" s="69"/>
      <c r="AC1097" s="85"/>
      <c r="AD1097" s="85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99"/>
        <v>0</v>
      </c>
      <c r="Y1098" s="62"/>
      <c r="Z1098" s="85"/>
      <c r="AA1098" s="85"/>
      <c r="AB1098" s="85"/>
      <c r="AC1098" s="85"/>
      <c r="AD1098" s="85"/>
      <c r="AE1098" s="85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Y1099" s="62"/>
      <c r="Z1099" s="85"/>
      <c r="AA1099" s="85"/>
      <c r="AB1099" s="85"/>
      <c r="AC1099" s="85"/>
      <c r="AD1099" s="85"/>
      <c r="AE1099" s="85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241665.5</v>
      </c>
      <c r="E1100" s="38">
        <f t="shared" ref="E1100:F1100" si="305">SUM(E1057:E1097)</f>
        <v>0</v>
      </c>
      <c r="F1100" s="38">
        <f t="shared" si="305"/>
        <v>0</v>
      </c>
      <c r="G1100" s="38">
        <f>SUM(G1057:G1099)</f>
        <v>241665.5</v>
      </c>
      <c r="H1100" s="4"/>
      <c r="I1100" s="39">
        <f>SUM(I1057:I1099)</f>
        <v>1285.5</v>
      </c>
      <c r="J1100" s="39">
        <f>SUM(J1057:J1099)</f>
        <v>-888</v>
      </c>
      <c r="K1100" s="40">
        <f>SUM(K1057:K1099)</f>
        <v>242063</v>
      </c>
      <c r="N1100" s="57"/>
      <c r="O1100" s="57"/>
      <c r="P1100" s="38">
        <f>SUM(P1057:P1099)</f>
        <v>375784</v>
      </c>
      <c r="Q1100" s="38">
        <f>SUM(Q1057:Q1081)</f>
        <v>-3240</v>
      </c>
      <c r="R1100" s="38">
        <f>SUM(R1057:R1081)</f>
        <v>0</v>
      </c>
      <c r="S1100" s="38">
        <f>SUM(S1057:S1099)</f>
        <v>372544</v>
      </c>
      <c r="T1100" s="4"/>
      <c r="U1100" s="41">
        <f>SUM(U1057:U1099)</f>
        <v>1353</v>
      </c>
      <c r="V1100" s="41">
        <f>SUM(V1057:V1081)</f>
        <v>-3186</v>
      </c>
      <c r="W1100" s="42">
        <f>SUM(W1057:W1099)</f>
        <v>370711</v>
      </c>
      <c r="Y1100" s="62"/>
      <c r="Z1100" s="85"/>
      <c r="AA1100" s="85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28</v>
      </c>
      <c r="B1103" s="57"/>
      <c r="C1103" s="57"/>
      <c r="D1103" s="57"/>
      <c r="E1103" s="57"/>
      <c r="G1103" s="57"/>
      <c r="M1103" t="s">
        <v>28</v>
      </c>
      <c r="N1103" s="57"/>
      <c r="O1103" s="57"/>
      <c r="P1103" s="57"/>
      <c r="Q1103" s="57"/>
      <c r="R1103" s="57"/>
      <c r="S1103" s="57"/>
      <c r="Y1103" t="s">
        <v>28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14</v>
      </c>
      <c r="B1105" s="57"/>
      <c r="C1105" s="57"/>
      <c r="D1105" s="57"/>
      <c r="E1105" s="57"/>
      <c r="G1105" s="57"/>
      <c r="M1105" s="4" t="s">
        <v>14</v>
      </c>
      <c r="N1105" s="57"/>
      <c r="O1105" s="57"/>
      <c r="P1105" s="57"/>
      <c r="Q1105" s="57"/>
      <c r="R1105" s="57"/>
      <c r="S1105" s="57"/>
      <c r="Y1105" s="4" t="s">
        <v>14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44</v>
      </c>
      <c r="B1107" s="57"/>
      <c r="C1107" s="57"/>
      <c r="D1107" s="57"/>
      <c r="E1107" s="57"/>
      <c r="G1107" s="57"/>
      <c r="I1107" s="57" t="s">
        <v>15</v>
      </c>
      <c r="J1107" s="19">
        <v>1</v>
      </c>
      <c r="M1107" t="s">
        <v>44</v>
      </c>
      <c r="N1107" s="57"/>
      <c r="O1107" s="57"/>
      <c r="P1107" s="57"/>
      <c r="Q1107" s="57"/>
      <c r="R1107" s="57"/>
      <c r="S1107" s="57"/>
      <c r="U1107" s="57" t="s">
        <v>15</v>
      </c>
      <c r="V1107" s="19">
        <v>2</v>
      </c>
      <c r="Y1107" t="s">
        <v>44</v>
      </c>
      <c r="Z1107" s="57"/>
      <c r="AA1107" s="57"/>
      <c r="AB1107" s="57"/>
      <c r="AC1107" s="57"/>
      <c r="AD1107" s="57"/>
      <c r="AE1107" s="57"/>
      <c r="AG1107" s="57" t="s">
        <v>15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95</v>
      </c>
      <c r="B1108" s="20"/>
      <c r="C1108" s="57"/>
      <c r="D1108" s="57"/>
      <c r="E1108" s="57"/>
      <c r="G1108" s="57"/>
      <c r="I1108" s="22" t="s">
        <v>16</v>
      </c>
      <c r="J1108" s="23" t="s">
        <v>31</v>
      </c>
      <c r="K1108" s="24"/>
      <c r="M1108" s="21" t="s">
        <v>95</v>
      </c>
      <c r="N1108" s="20"/>
      <c r="O1108" s="57"/>
      <c r="P1108" s="57"/>
      <c r="Q1108" s="57"/>
      <c r="R1108" s="57"/>
      <c r="S1108" s="57"/>
      <c r="U1108" s="22" t="s">
        <v>16</v>
      </c>
      <c r="V1108" s="23" t="s">
        <v>33</v>
      </c>
      <c r="W1108" s="24"/>
      <c r="Y1108" s="21" t="s">
        <v>95</v>
      </c>
      <c r="Z1108" s="20"/>
      <c r="AA1108" s="57"/>
      <c r="AB1108" s="57"/>
      <c r="AC1108" s="57"/>
      <c r="AD1108" s="57"/>
      <c r="AE1108" s="57"/>
      <c r="AG1108" s="22" t="s">
        <v>16</v>
      </c>
      <c r="AH1108" s="23" t="s">
        <v>35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2" t="s">
        <v>17</v>
      </c>
      <c r="E1110" s="122"/>
      <c r="F1110" s="110"/>
      <c r="G1110" s="27"/>
      <c r="I1110" s="120" t="s">
        <v>18</v>
      </c>
      <c r="J1110" s="121"/>
      <c r="K1110" s="118" t="s">
        <v>19</v>
      </c>
      <c r="N1110" s="25"/>
      <c r="O1110" s="26"/>
      <c r="P1110" s="122" t="s">
        <v>17</v>
      </c>
      <c r="Q1110" s="122"/>
      <c r="R1110" s="110"/>
      <c r="S1110" s="27"/>
      <c r="U1110" s="120" t="s">
        <v>18</v>
      </c>
      <c r="V1110" s="121"/>
      <c r="W1110" s="118" t="s">
        <v>19</v>
      </c>
      <c r="Z1110" s="25"/>
      <c r="AA1110" s="26"/>
      <c r="AB1110" s="122" t="s">
        <v>17</v>
      </c>
      <c r="AC1110" s="122"/>
      <c r="AD1110" s="110"/>
      <c r="AE1110" s="27"/>
      <c r="AG1110" s="120" t="s">
        <v>18</v>
      </c>
      <c r="AH1110" s="121"/>
      <c r="AI1110" s="118" t="s">
        <v>19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20</v>
      </c>
      <c r="C1111" s="28" t="s">
        <v>21</v>
      </c>
      <c r="D1111" s="77" t="s">
        <v>22</v>
      </c>
      <c r="E1111" s="76" t="s">
        <v>23</v>
      </c>
      <c r="F1111" s="78" t="s">
        <v>32</v>
      </c>
      <c r="G1111" s="78" t="s">
        <v>24</v>
      </c>
      <c r="I1111" s="29" t="s">
        <v>25</v>
      </c>
      <c r="J1111" s="29" t="s">
        <v>26</v>
      </c>
      <c r="K1111" s="119"/>
      <c r="N1111" s="28" t="s">
        <v>20</v>
      </c>
      <c r="O1111" s="28" t="s">
        <v>21</v>
      </c>
      <c r="P1111" s="77" t="s">
        <v>22</v>
      </c>
      <c r="Q1111" s="78" t="s">
        <v>23</v>
      </c>
      <c r="R1111" s="78" t="s">
        <v>32</v>
      </c>
      <c r="S1111" s="78" t="s">
        <v>24</v>
      </c>
      <c r="U1111" s="29" t="s">
        <v>25</v>
      </c>
      <c r="V1111" s="29" t="s">
        <v>26</v>
      </c>
      <c r="W1111" s="119"/>
      <c r="Z1111" s="28" t="s">
        <v>20</v>
      </c>
      <c r="AA1111" s="28" t="s">
        <v>21</v>
      </c>
      <c r="AB1111" s="77" t="s">
        <v>22</v>
      </c>
      <c r="AC1111" s="78" t="s">
        <v>23</v>
      </c>
      <c r="AD1111" s="78" t="s">
        <v>32</v>
      </c>
      <c r="AE1111" s="78" t="s">
        <v>24</v>
      </c>
      <c r="AG1111" s="29" t="s">
        <v>25</v>
      </c>
      <c r="AH1111" s="29" t="s">
        <v>26</v>
      </c>
      <c r="AI1111" s="119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96</v>
      </c>
      <c r="C1112" s="82">
        <v>9121</v>
      </c>
      <c r="D1112" s="32">
        <f>650*7</f>
        <v>4550</v>
      </c>
      <c r="E1112" s="32">
        <f>-7*6</f>
        <v>-42</v>
      </c>
      <c r="F1112" s="32"/>
      <c r="G1112" s="32">
        <f t="shared" ref="G1112:G1145" si="306">SUM(D1112:E1112)</f>
        <v>4508</v>
      </c>
      <c r="H1112" s="12"/>
      <c r="I1112" s="12"/>
      <c r="J1112" s="12"/>
      <c r="K1112" s="12">
        <f t="shared" ref="K1112:K1145" si="307">SUM(G1112:J1112)</f>
        <v>4508</v>
      </c>
      <c r="M1112" s="10">
        <v>1</v>
      </c>
      <c r="N1112" s="30" t="s">
        <v>96</v>
      </c>
      <c r="O1112" s="31">
        <v>9298</v>
      </c>
      <c r="P1112" s="32">
        <f>650*4+9.5*4</f>
        <v>2638</v>
      </c>
      <c r="Q1112" s="32"/>
      <c r="R1112" s="32"/>
      <c r="S1112" s="32">
        <f>SUM(P1112:Q1112)</f>
        <v>2638</v>
      </c>
      <c r="T1112" s="12"/>
      <c r="U1112" s="12"/>
      <c r="V1112" s="12"/>
      <c r="W1112" s="12">
        <f>SUM(S1112:V1112)</f>
        <v>2638</v>
      </c>
      <c r="Y1112" s="10">
        <v>1</v>
      </c>
      <c r="Z1112" s="30" t="s">
        <v>96</v>
      </c>
      <c r="AA1112" s="31">
        <v>9197</v>
      </c>
      <c r="AB1112" s="32">
        <f>650*150+670*5+622*50+912*3+229*8+650</f>
        <v>137168</v>
      </c>
      <c r="AC1112" s="32"/>
      <c r="AD1112" s="32"/>
      <c r="AE1112" s="32">
        <f>SUM(AB1112:AC1112)</f>
        <v>137168</v>
      </c>
      <c r="AF1112" s="12"/>
      <c r="AG1112" s="12"/>
      <c r="AH1112" s="12"/>
      <c r="AI1112" s="12">
        <f>SUM(AE1112:AH1112)</f>
        <v>137168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96</v>
      </c>
      <c r="C1113" s="82">
        <f>C1112+1</f>
        <v>9122</v>
      </c>
      <c r="D1113" s="32">
        <f>650*324+229*13</f>
        <v>213577</v>
      </c>
      <c r="E1113" s="32">
        <f>-324*6</f>
        <v>-1944</v>
      </c>
      <c r="F1113" s="32"/>
      <c r="G1113" s="32">
        <f t="shared" si="306"/>
        <v>211633</v>
      </c>
      <c r="H1113" s="12"/>
      <c r="I1113" s="12">
        <f>1.5*312</f>
        <v>468</v>
      </c>
      <c r="J1113" s="12">
        <f>-111*108</f>
        <v>-11988</v>
      </c>
      <c r="K1113" s="12">
        <f t="shared" si="307"/>
        <v>200113</v>
      </c>
      <c r="M1113" s="10">
        <v>2</v>
      </c>
      <c r="N1113" s="30" t="s">
        <v>96</v>
      </c>
      <c r="O1113" s="31">
        <f>O1112+1</f>
        <v>9299</v>
      </c>
      <c r="P1113" s="32">
        <f>650*100+622*20+229*3</f>
        <v>78127</v>
      </c>
      <c r="Q1113" s="32">
        <f>-120*6</f>
        <v>-720</v>
      </c>
      <c r="R1113" s="32"/>
      <c r="S1113" s="32">
        <f t="shared" ref="S1113:S1150" si="308">SUM(P1113:Q1113)</f>
        <v>77407</v>
      </c>
      <c r="T1113" s="12"/>
      <c r="U1113" s="12"/>
      <c r="V1113" s="12"/>
      <c r="W1113" s="12">
        <f t="shared" ref="W1113:W1153" si="309">SUM(S1113:V1113)</f>
        <v>77407</v>
      </c>
      <c r="Y1113" s="10">
        <v>2</v>
      </c>
      <c r="Z1113" s="30" t="s">
        <v>96</v>
      </c>
      <c r="AA1113" s="31">
        <f>AA1112+1</f>
        <v>9198</v>
      </c>
      <c r="AB1113" s="32">
        <f>650*50+229*2</f>
        <v>32958</v>
      </c>
      <c r="AC1113">
        <f>-50*6</f>
        <v>-300</v>
      </c>
      <c r="AD1113" s="32"/>
      <c r="AE1113" s="32">
        <f t="shared" ref="AE1113:AE1114" si="310">SUM(AB1113:AC1113)</f>
        <v>32658</v>
      </c>
      <c r="AF1113" s="12"/>
      <c r="AG1113" s="12">
        <v>72</v>
      </c>
      <c r="AI1113" s="12">
        <f t="shared" ref="AI1113:AI1114" si="311">SUM(AE1113:AH1113)</f>
        <v>32730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96</v>
      </c>
      <c r="C1114" s="82">
        <f t="shared" ref="C1114:C1116" si="312">C1113+1</f>
        <v>9123</v>
      </c>
      <c r="D1114" s="33">
        <f>1102*3+650*6</f>
        <v>7206</v>
      </c>
      <c r="E1114" s="33"/>
      <c r="F1114" s="33"/>
      <c r="G1114" s="33">
        <f t="shared" si="306"/>
        <v>7206</v>
      </c>
      <c r="H1114" s="34"/>
      <c r="I1114" s="34"/>
      <c r="J1114" s="34"/>
      <c r="K1114" s="34">
        <f t="shared" si="307"/>
        <v>7206</v>
      </c>
      <c r="M1114" s="10">
        <v>3</v>
      </c>
      <c r="N1114" s="30" t="s">
        <v>96</v>
      </c>
      <c r="O1114" s="31">
        <f t="shared" ref="O1114:O1123" si="313">O1113+1</f>
        <v>9300</v>
      </c>
      <c r="P1114" s="32">
        <f>650*60+622*10</f>
        <v>45220</v>
      </c>
      <c r="Q1114" s="32"/>
      <c r="R1114" s="32"/>
      <c r="S1114" s="32">
        <f t="shared" si="308"/>
        <v>45220</v>
      </c>
      <c r="T1114" s="12"/>
      <c r="U1114" s="12"/>
      <c r="V1114" s="12"/>
      <c r="W1114" s="12">
        <f t="shared" si="309"/>
        <v>45220</v>
      </c>
      <c r="Y1114" s="10">
        <v>3</v>
      </c>
      <c r="Z1114" s="30" t="s">
        <v>96</v>
      </c>
      <c r="AA1114" s="31">
        <f t="shared" ref="AA1114:AA1115" si="314">AA1113+1</f>
        <v>9199</v>
      </c>
      <c r="AB1114" s="32">
        <f>650*108+229*4</f>
        <v>71116</v>
      </c>
      <c r="AC1114" s="33">
        <f>-108*6</f>
        <v>-648</v>
      </c>
      <c r="AD1114" s="32"/>
      <c r="AE1114" s="32">
        <f t="shared" si="310"/>
        <v>70468</v>
      </c>
      <c r="AF1114" s="12"/>
      <c r="AG1114" s="12"/>
      <c r="AH1114" s="12">
        <f>-111*108</f>
        <v>-11988</v>
      </c>
      <c r="AI1114" s="12">
        <f t="shared" si="311"/>
        <v>58480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96</v>
      </c>
      <c r="C1115" s="82">
        <f t="shared" si="312"/>
        <v>9124</v>
      </c>
      <c r="D1115" s="32">
        <f>650*27+622*3</f>
        <v>19416</v>
      </c>
      <c r="E1115" s="32"/>
      <c r="F1115" s="32"/>
      <c r="G1115" s="32">
        <f t="shared" si="306"/>
        <v>19416</v>
      </c>
      <c r="H1115" s="12"/>
      <c r="I1115" s="12"/>
      <c r="J1115" s="12"/>
      <c r="K1115" s="12">
        <f t="shared" si="307"/>
        <v>19416</v>
      </c>
      <c r="M1115" s="10">
        <v>4</v>
      </c>
      <c r="N1115" s="30" t="s">
        <v>96</v>
      </c>
      <c r="O1115" s="31">
        <f t="shared" si="313"/>
        <v>9301</v>
      </c>
      <c r="P1115" s="32">
        <f>650*17+650</f>
        <v>11700</v>
      </c>
      <c r="Q1115" s="32"/>
      <c r="R1115" s="32"/>
      <c r="S1115" s="32">
        <f t="shared" si="308"/>
        <v>11700</v>
      </c>
      <c r="T1115" s="12"/>
      <c r="U1115" s="12">
        <v>76.5</v>
      </c>
      <c r="V1115" s="12"/>
      <c r="W1115" s="12">
        <f t="shared" si="309"/>
        <v>11776.5</v>
      </c>
      <c r="Y1115" s="10">
        <v>4</v>
      </c>
      <c r="Z1115" s="30" t="s">
        <v>96</v>
      </c>
      <c r="AA1115" s="31">
        <f t="shared" si="314"/>
        <v>9200</v>
      </c>
      <c r="AB1115" s="32">
        <f>650*50</f>
        <v>32500</v>
      </c>
      <c r="AC1115" s="32">
        <f>-50*6</f>
        <v>-300</v>
      </c>
      <c r="AD1115" s="32"/>
      <c r="AE1115" s="32">
        <f>SUM(AB1115:AC1115)</f>
        <v>32200</v>
      </c>
      <c r="AF1115" s="12"/>
      <c r="AH1115" s="12">
        <f>-111*5</f>
        <v>-555</v>
      </c>
      <c r="AI1115" s="12">
        <f>SUM(AE1115:AH1115)</f>
        <v>31645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96</v>
      </c>
      <c r="C1116" s="82">
        <f t="shared" si="312"/>
        <v>9125</v>
      </c>
      <c r="D1116" s="32">
        <f>650*131+670*4+700*3+622*5+1050+872+229*10+500</f>
        <v>97752</v>
      </c>
      <c r="E1116" s="32"/>
      <c r="F1116" s="32"/>
      <c r="G1116" s="32">
        <f t="shared" si="306"/>
        <v>97752</v>
      </c>
      <c r="H1116" s="12"/>
      <c r="I1116" s="12">
        <f>78*10</f>
        <v>780</v>
      </c>
      <c r="J1116" s="12"/>
      <c r="K1116" s="12">
        <f t="shared" si="307"/>
        <v>98532</v>
      </c>
      <c r="M1116" s="10">
        <v>5</v>
      </c>
      <c r="N1116" s="30" t="s">
        <v>96</v>
      </c>
      <c r="O1116" s="31">
        <f t="shared" si="313"/>
        <v>9302</v>
      </c>
      <c r="P1116" s="32">
        <f>650*18+670</f>
        <v>12370</v>
      </c>
      <c r="Q1116" s="32"/>
      <c r="R1116" s="32"/>
      <c r="S1116" s="32">
        <f t="shared" si="308"/>
        <v>12370</v>
      </c>
      <c r="T1116" s="12"/>
      <c r="U1116" s="12"/>
      <c r="V1116" s="12"/>
      <c r="W1116" s="12">
        <f t="shared" si="309"/>
        <v>12370</v>
      </c>
      <c r="Y1116" s="10">
        <v>5</v>
      </c>
      <c r="Z1116" s="30"/>
      <c r="AA1116" s="11" t="s">
        <v>27</v>
      </c>
      <c r="AB1116" s="33"/>
      <c r="AC1116" s="32"/>
      <c r="AD1116" s="32"/>
      <c r="AE1116" s="32">
        <f>SUM(AB1116:AC1116)</f>
        <v>0</v>
      </c>
      <c r="AF1116" s="12"/>
      <c r="AG1116" s="12"/>
      <c r="AH1116" s="12"/>
      <c r="AI1116" s="12">
        <f t="shared" ref="AI1116:AI1153" si="315">SUM(AE1116:AH1116)</f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/>
      <c r="C1117" s="11" t="s">
        <v>27</v>
      </c>
      <c r="D1117" s="32"/>
      <c r="E1117" s="32"/>
      <c r="F1117" s="32"/>
      <c r="G1117" s="32">
        <f t="shared" si="306"/>
        <v>0</v>
      </c>
      <c r="H1117" s="12"/>
      <c r="I1117" s="12"/>
      <c r="J1117" s="12"/>
      <c r="K1117" s="12">
        <f t="shared" si="307"/>
        <v>0</v>
      </c>
      <c r="M1117" s="10">
        <v>6</v>
      </c>
      <c r="N1117" s="30" t="s">
        <v>96</v>
      </c>
      <c r="O1117" s="31">
        <f t="shared" si="313"/>
        <v>9303</v>
      </c>
      <c r="P1117" s="32">
        <f>650*6+9.5*6</f>
        <v>3957</v>
      </c>
      <c r="Q1117" s="32"/>
      <c r="R1117" s="32"/>
      <c r="S1117" s="32">
        <f t="shared" si="308"/>
        <v>3957</v>
      </c>
      <c r="T1117" s="12"/>
      <c r="U1117" s="12"/>
      <c r="V1117" s="10">
        <v>-444</v>
      </c>
      <c r="W1117" s="12">
        <f t="shared" si="309"/>
        <v>3513</v>
      </c>
      <c r="Y1117" s="10">
        <v>6</v>
      </c>
      <c r="Z1117" s="30"/>
      <c r="AB1117" s="32"/>
      <c r="AC1117" s="32"/>
      <c r="AD1117" s="32"/>
      <c r="AE1117" s="32">
        <f t="shared" ref="AE1117:AE1150" si="316">SUM(AB1117:AC1117)</f>
        <v>0</v>
      </c>
      <c r="AF1117" s="12"/>
      <c r="AG1117" s="12"/>
      <c r="AH1117" s="10"/>
      <c r="AI1117" s="12">
        <f t="shared" si="315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/>
      <c r="C1118" s="82"/>
      <c r="D1118" s="32"/>
      <c r="E1118" s="32"/>
      <c r="F1118" s="32"/>
      <c r="G1118" s="32">
        <f t="shared" si="306"/>
        <v>0</v>
      </c>
      <c r="H1118" s="12"/>
      <c r="I1118" s="12"/>
      <c r="J1118" s="12"/>
      <c r="K1118" s="12">
        <f t="shared" si="307"/>
        <v>0</v>
      </c>
      <c r="M1118" s="10">
        <v>7</v>
      </c>
      <c r="N1118" s="30" t="s">
        <v>96</v>
      </c>
      <c r="O1118" s="31">
        <f t="shared" si="313"/>
        <v>9304</v>
      </c>
      <c r="P1118" s="32">
        <f>650*13+670+9.5*13</f>
        <v>9243.5</v>
      </c>
      <c r="Q1118" s="32"/>
      <c r="R1118" s="32"/>
      <c r="S1118" s="32">
        <f t="shared" si="308"/>
        <v>9243.5</v>
      </c>
      <c r="T1118" s="12"/>
      <c r="U1118" s="12">
        <f>1.5*9+4.5*8</f>
        <v>49.5</v>
      </c>
      <c r="V1118" s="12"/>
      <c r="W1118" s="12">
        <f t="shared" si="309"/>
        <v>9293</v>
      </c>
      <c r="Y1118" s="10">
        <v>7</v>
      </c>
      <c r="Z1118" s="30"/>
      <c r="AA1118" s="31"/>
      <c r="AB1118" s="32"/>
      <c r="AC1118" s="32"/>
      <c r="AD1118" s="32"/>
      <c r="AE1118" s="32">
        <f t="shared" si="316"/>
        <v>0</v>
      </c>
      <c r="AF1118" s="12"/>
      <c r="AG1118" s="58"/>
      <c r="AH1118" s="12"/>
      <c r="AI1118" s="12">
        <f t="shared" si="315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/>
      <c r="C1119" s="82"/>
      <c r="D1119" s="32"/>
      <c r="E1119" s="32"/>
      <c r="F1119" s="32"/>
      <c r="G1119" s="32">
        <f t="shared" si="306"/>
        <v>0</v>
      </c>
      <c r="H1119" s="12"/>
      <c r="I1119" s="12"/>
      <c r="J1119" s="12"/>
      <c r="K1119" s="12">
        <f t="shared" si="307"/>
        <v>0</v>
      </c>
      <c r="M1119" s="10">
        <v>8</v>
      </c>
      <c r="N1119" s="30" t="s">
        <v>96</v>
      </c>
      <c r="O1119" s="31">
        <f t="shared" si="313"/>
        <v>9305</v>
      </c>
      <c r="P1119" s="32">
        <f>650*6+9.5*6</f>
        <v>3957</v>
      </c>
      <c r="Q1119" s="32"/>
      <c r="R1119" s="32"/>
      <c r="S1119" s="32">
        <f t="shared" si="308"/>
        <v>3957</v>
      </c>
      <c r="T1119" s="12"/>
      <c r="U1119" s="12"/>
      <c r="V1119" s="12"/>
      <c r="W1119" s="12">
        <f t="shared" si="309"/>
        <v>3957</v>
      </c>
      <c r="Y1119" s="10">
        <v>8</v>
      </c>
      <c r="Z1119" s="30"/>
      <c r="AA1119" s="31"/>
      <c r="AB1119" s="32"/>
      <c r="AC1119" s="32"/>
      <c r="AE1119" s="32">
        <f t="shared" si="316"/>
        <v>0</v>
      </c>
      <c r="AF1119" s="12"/>
      <c r="AG1119" s="12"/>
      <c r="AH1119" s="12"/>
      <c r="AI1119" s="12">
        <f t="shared" si="315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/>
      <c r="C1120" s="82"/>
      <c r="D1120" s="32"/>
      <c r="E1120" s="32"/>
      <c r="F1120" s="32"/>
      <c r="G1120" s="32">
        <f t="shared" si="306"/>
        <v>0</v>
      </c>
      <c r="H1120" s="12"/>
      <c r="I1120" s="12"/>
      <c r="J1120" s="12"/>
      <c r="K1120" s="12">
        <f t="shared" si="307"/>
        <v>0</v>
      </c>
      <c r="M1120" s="10">
        <v>9</v>
      </c>
      <c r="N1120" s="30" t="s">
        <v>96</v>
      </c>
      <c r="O1120" s="31">
        <f t="shared" si="313"/>
        <v>9306</v>
      </c>
      <c r="P1120" s="32">
        <f>650*4+9.5*4</f>
        <v>2638</v>
      </c>
      <c r="Q1120" s="32"/>
      <c r="R1120" s="32"/>
      <c r="S1120" s="32">
        <f t="shared" si="308"/>
        <v>2638</v>
      </c>
      <c r="T1120" s="12"/>
      <c r="U1120" s="12"/>
      <c r="V1120" s="12"/>
      <c r="W1120" s="12">
        <f t="shared" si="309"/>
        <v>2638</v>
      </c>
      <c r="Y1120" s="10">
        <v>9</v>
      </c>
      <c r="Z1120" s="30"/>
      <c r="AA1120" s="31"/>
      <c r="AC1120" s="32"/>
      <c r="AD1120" s="32"/>
      <c r="AE1120" s="32">
        <f t="shared" si="316"/>
        <v>0</v>
      </c>
      <c r="AF1120" s="12"/>
      <c r="AH1120" s="12"/>
      <c r="AI1120" s="12">
        <f t="shared" si="315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/>
      <c r="C1121" s="82"/>
      <c r="D1121" s="32"/>
      <c r="E1121" s="32"/>
      <c r="F1121" s="32"/>
      <c r="G1121" s="32">
        <f t="shared" si="306"/>
        <v>0</v>
      </c>
      <c r="H1121" s="12"/>
      <c r="I1121" s="12"/>
      <c r="J1121" s="12"/>
      <c r="K1121" s="12">
        <f t="shared" si="307"/>
        <v>0</v>
      </c>
      <c r="M1121" s="10">
        <v>10</v>
      </c>
      <c r="N1121" s="30" t="s">
        <v>96</v>
      </c>
      <c r="O1121" s="31">
        <f t="shared" si="313"/>
        <v>9307</v>
      </c>
      <c r="P1121" s="32">
        <f>650*10+229</f>
        <v>6729</v>
      </c>
      <c r="Q1121" s="32"/>
      <c r="R1121" s="32"/>
      <c r="S1121" s="32">
        <f t="shared" si="308"/>
        <v>6729</v>
      </c>
      <c r="T1121" s="12"/>
      <c r="U1121" s="12"/>
      <c r="V1121" s="12"/>
      <c r="W1121" s="12">
        <f t="shared" si="309"/>
        <v>6729</v>
      </c>
      <c r="Y1121" s="10">
        <v>10</v>
      </c>
      <c r="Z1121" s="30"/>
      <c r="AA1121" s="31"/>
      <c r="AB1121" s="32"/>
      <c r="AC1121" s="32"/>
      <c r="AD1121" s="32"/>
      <c r="AE1121" s="32">
        <f t="shared" si="316"/>
        <v>0</v>
      </c>
      <c r="AF1121" s="12"/>
      <c r="AG1121" s="12"/>
      <c r="AH1121" s="12"/>
      <c r="AI1121" s="12">
        <f t="shared" si="315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/>
      <c r="C1122" s="82"/>
      <c r="D1122" s="32"/>
      <c r="E1122" s="32"/>
      <c r="F1122" s="32"/>
      <c r="G1122" s="32">
        <f t="shared" si="306"/>
        <v>0</v>
      </c>
      <c r="H1122" s="12"/>
      <c r="I1122" s="12"/>
      <c r="J1122" s="12"/>
      <c r="K1122" s="12">
        <f t="shared" si="307"/>
        <v>0</v>
      </c>
      <c r="M1122" s="10">
        <v>11</v>
      </c>
      <c r="N1122" s="30" t="s">
        <v>96</v>
      </c>
      <c r="O1122" s="31">
        <f t="shared" si="313"/>
        <v>9308</v>
      </c>
      <c r="P1122" s="32">
        <f>650*3+9.5*3</f>
        <v>1978.5</v>
      </c>
      <c r="Q1122" s="32"/>
      <c r="R1122" s="32"/>
      <c r="S1122" s="32">
        <f t="shared" si="308"/>
        <v>1978.5</v>
      </c>
      <c r="T1122" s="12"/>
      <c r="U1122" s="12"/>
      <c r="V1122" s="12"/>
      <c r="W1122" s="12">
        <f t="shared" si="309"/>
        <v>1978.5</v>
      </c>
      <c r="Y1122" s="10">
        <v>11</v>
      </c>
      <c r="Z1122" s="30"/>
      <c r="AB1122" s="32"/>
      <c r="AC1122" s="32"/>
      <c r="AD1122" s="32"/>
      <c r="AE1122" s="32">
        <f t="shared" si="316"/>
        <v>0</v>
      </c>
      <c r="AF1122" s="12"/>
      <c r="AG1122" s="12"/>
      <c r="AH1122" s="12"/>
      <c r="AI1122" s="12">
        <f t="shared" si="315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/>
      <c r="C1123" s="82"/>
      <c r="D1123" s="32"/>
      <c r="E1123" s="32"/>
      <c r="F1123" s="32"/>
      <c r="G1123" s="32">
        <f t="shared" si="306"/>
        <v>0</v>
      </c>
      <c r="H1123" s="12"/>
      <c r="I1123" s="12"/>
      <c r="J1123" s="10"/>
      <c r="K1123" s="12">
        <f t="shared" si="307"/>
        <v>0</v>
      </c>
      <c r="M1123" s="10">
        <v>12</v>
      </c>
      <c r="N1123" s="30" t="s">
        <v>96</v>
      </c>
      <c r="O1123" s="31">
        <f t="shared" si="313"/>
        <v>9309</v>
      </c>
      <c r="P1123" s="32">
        <f>650*3</f>
        <v>1950</v>
      </c>
      <c r="Q1123" s="32"/>
      <c r="R1123" s="32"/>
      <c r="S1123" s="32">
        <f t="shared" si="308"/>
        <v>1950</v>
      </c>
      <c r="T1123" s="12"/>
      <c r="U1123" s="12"/>
      <c r="V1123" s="12"/>
      <c r="W1123" s="12">
        <f t="shared" si="309"/>
        <v>1950</v>
      </c>
      <c r="Y1123" s="10">
        <v>12</v>
      </c>
      <c r="Z1123" s="30"/>
      <c r="AA1123" s="31"/>
      <c r="AB1123" s="32"/>
      <c r="AC1123" s="32"/>
      <c r="AD1123" s="32"/>
      <c r="AE1123" s="32">
        <f t="shared" si="316"/>
        <v>0</v>
      </c>
      <c r="AF1123" s="12"/>
      <c r="AG1123" s="12"/>
      <c r="AH1123" s="12"/>
      <c r="AI1123" s="12">
        <f t="shared" si="315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82"/>
      <c r="D1124" s="32"/>
      <c r="E1124" s="32"/>
      <c r="F1124" s="32"/>
      <c r="G1124" s="32">
        <f t="shared" si="306"/>
        <v>0</v>
      </c>
      <c r="H1124" s="12"/>
      <c r="I1124" s="12"/>
      <c r="J1124" s="12"/>
      <c r="K1124" s="12">
        <f t="shared" si="307"/>
        <v>0</v>
      </c>
      <c r="M1124" s="10">
        <v>13</v>
      </c>
      <c r="N1124" s="30"/>
      <c r="O1124" s="11" t="s">
        <v>27</v>
      </c>
      <c r="P1124" s="32"/>
      <c r="Q1124" s="32"/>
      <c r="R1124" s="32"/>
      <c r="S1124" s="32">
        <f t="shared" si="308"/>
        <v>0</v>
      </c>
      <c r="T1124" s="12"/>
      <c r="U1124" s="12"/>
      <c r="V1124" s="12"/>
      <c r="W1124" s="12">
        <f t="shared" si="309"/>
        <v>0</v>
      </c>
      <c r="Y1124" s="10">
        <v>13</v>
      </c>
      <c r="Z1124" s="30"/>
      <c r="AB1124" s="32"/>
      <c r="AC1124" s="32"/>
      <c r="AD1124" s="32"/>
      <c r="AE1124" s="32">
        <f t="shared" si="316"/>
        <v>0</v>
      </c>
      <c r="AF1124" s="12"/>
      <c r="AG1124" s="12"/>
      <c r="AH1124" s="12"/>
      <c r="AI1124" s="12">
        <f t="shared" si="315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82"/>
      <c r="D1125" s="32"/>
      <c r="E1125" s="32"/>
      <c r="F1125" s="32"/>
      <c r="G1125" s="32">
        <f t="shared" si="306"/>
        <v>0</v>
      </c>
      <c r="H1125" s="12"/>
      <c r="I1125" s="12"/>
      <c r="J1125" s="12"/>
      <c r="K1125" s="12">
        <f t="shared" si="307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308"/>
        <v>0</v>
      </c>
      <c r="T1125" s="12"/>
      <c r="U1125" s="12"/>
      <c r="V1125" s="12"/>
      <c r="W1125" s="12">
        <f t="shared" si="309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316"/>
        <v>0</v>
      </c>
      <c r="AF1125" s="12"/>
      <c r="AG1125" s="12"/>
      <c r="AH1125" s="12"/>
      <c r="AI1125" s="12">
        <f t="shared" si="315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82"/>
      <c r="D1126" s="32"/>
      <c r="E1126" s="32"/>
      <c r="F1126" s="32"/>
      <c r="G1126" s="32">
        <f t="shared" si="306"/>
        <v>0</v>
      </c>
      <c r="H1126" s="12"/>
      <c r="I1126" s="12"/>
      <c r="J1126" s="12"/>
      <c r="K1126" s="12">
        <f t="shared" si="307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308"/>
        <v>0</v>
      </c>
      <c r="T1126" s="12"/>
      <c r="U1126" s="12"/>
      <c r="V1126" s="12"/>
      <c r="W1126" s="12">
        <f t="shared" si="309"/>
        <v>0</v>
      </c>
      <c r="Y1126" s="10">
        <v>15</v>
      </c>
      <c r="Z1126" s="30"/>
      <c r="AB1126" s="32"/>
      <c r="AC1126" s="32"/>
      <c r="AD1126" s="32"/>
      <c r="AE1126" s="32">
        <f t="shared" si="316"/>
        <v>0</v>
      </c>
      <c r="AF1126" s="12"/>
      <c r="AG1126" s="12"/>
      <c r="AH1126" s="12"/>
      <c r="AI1126" s="12">
        <f t="shared" si="315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82"/>
      <c r="D1127" s="32"/>
      <c r="E1127" s="32"/>
      <c r="F1127" s="32"/>
      <c r="G1127" s="32">
        <f t="shared" si="306"/>
        <v>0</v>
      </c>
      <c r="H1127" s="12"/>
      <c r="I1127" s="12"/>
      <c r="J1127" s="12"/>
      <c r="K1127" s="12">
        <f t="shared" si="307"/>
        <v>0</v>
      </c>
      <c r="M1127" s="10">
        <v>16</v>
      </c>
      <c r="N1127" s="30"/>
      <c r="P1127" s="32"/>
      <c r="Q1127" s="32"/>
      <c r="R1127" s="32"/>
      <c r="S1127" s="32">
        <f t="shared" si="308"/>
        <v>0</v>
      </c>
      <c r="T1127" s="12"/>
      <c r="U1127" s="12"/>
      <c r="V1127" s="12"/>
      <c r="W1127" s="12">
        <f t="shared" si="309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316"/>
        <v>0</v>
      </c>
      <c r="AF1127" s="12"/>
      <c r="AG1127" s="12"/>
      <c r="AH1127" s="12"/>
      <c r="AI1127" s="12">
        <f t="shared" si="315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82"/>
      <c r="D1128" s="32"/>
      <c r="E1128" s="32"/>
      <c r="F1128" s="32"/>
      <c r="G1128" s="32">
        <f t="shared" si="306"/>
        <v>0</v>
      </c>
      <c r="H1128" s="12"/>
      <c r="I1128" s="12"/>
      <c r="J1128" s="12"/>
      <c r="K1128" s="12">
        <f t="shared" si="307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308"/>
        <v>0</v>
      </c>
      <c r="T1128" s="12"/>
      <c r="U1128" s="12"/>
      <c r="V1128" s="12"/>
      <c r="W1128" s="12">
        <f t="shared" si="309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316"/>
        <v>0</v>
      </c>
      <c r="AF1128" s="12"/>
      <c r="AG1128" s="12"/>
      <c r="AH1128" s="12"/>
      <c r="AI1128" s="12">
        <f t="shared" si="315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82"/>
      <c r="D1129" s="32"/>
      <c r="E1129" s="32"/>
      <c r="F1129" s="32"/>
      <c r="G1129" s="32">
        <f t="shared" si="306"/>
        <v>0</v>
      </c>
      <c r="H1129" s="12"/>
      <c r="I1129" s="12"/>
      <c r="J1129" s="12"/>
      <c r="K1129" s="12">
        <f t="shared" si="307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308"/>
        <v>0</v>
      </c>
      <c r="T1129" s="12"/>
      <c r="U1129" s="12"/>
      <c r="V1129" s="12"/>
      <c r="W1129" s="12">
        <f t="shared" si="309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316"/>
        <v>0</v>
      </c>
      <c r="AF1129" s="12"/>
      <c r="AG1129" s="12"/>
      <c r="AH1129" s="12"/>
      <c r="AI1129" s="12">
        <f t="shared" si="315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82"/>
      <c r="D1130" s="32"/>
      <c r="E1130" s="32"/>
      <c r="F1130" s="32"/>
      <c r="G1130" s="32">
        <f t="shared" si="306"/>
        <v>0</v>
      </c>
      <c r="H1130" s="12"/>
      <c r="I1130" s="12"/>
      <c r="J1130" s="12"/>
      <c r="K1130" s="12">
        <f t="shared" si="307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308"/>
        <v>0</v>
      </c>
      <c r="T1130" s="12"/>
      <c r="U1130" s="12"/>
      <c r="V1130" s="12"/>
      <c r="W1130" s="12">
        <f t="shared" si="309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316"/>
        <v>0</v>
      </c>
      <c r="AF1130" s="12"/>
      <c r="AG1130" s="12"/>
      <c r="AH1130" s="12"/>
      <c r="AI1130" s="12">
        <f t="shared" si="315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82"/>
      <c r="D1131" s="32"/>
      <c r="E1131" s="32"/>
      <c r="F1131" s="32"/>
      <c r="G1131" s="32">
        <f t="shared" si="306"/>
        <v>0</v>
      </c>
      <c r="H1131" s="12"/>
      <c r="I1131" s="12"/>
      <c r="J1131" s="12"/>
      <c r="K1131" s="12">
        <f t="shared" si="307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308"/>
        <v>0</v>
      </c>
      <c r="T1131" s="12"/>
      <c r="U1131" s="12"/>
      <c r="V1131" s="12"/>
      <c r="W1131" s="12">
        <f t="shared" si="309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316"/>
        <v>0</v>
      </c>
      <c r="AF1131" s="12"/>
      <c r="AG1131" s="12"/>
      <c r="AH1131" s="12"/>
      <c r="AI1131" s="12">
        <f t="shared" si="315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D1132" s="32"/>
      <c r="E1132" s="32"/>
      <c r="F1132" s="32"/>
      <c r="G1132" s="32">
        <f t="shared" si="306"/>
        <v>0</v>
      </c>
      <c r="H1132" s="10"/>
      <c r="I1132" s="10"/>
      <c r="J1132" s="10"/>
      <c r="K1132" s="12">
        <f t="shared" si="307"/>
        <v>0</v>
      </c>
      <c r="M1132" s="10">
        <v>21</v>
      </c>
      <c r="N1132" s="30"/>
      <c r="O1132" s="31"/>
      <c r="P1132" s="91"/>
      <c r="Q1132" s="31"/>
      <c r="R1132" s="31"/>
      <c r="S1132" s="32">
        <f t="shared" si="308"/>
        <v>0</v>
      </c>
      <c r="T1132" s="10"/>
      <c r="U1132" s="10"/>
      <c r="V1132" s="10"/>
      <c r="W1132" s="12">
        <f t="shared" si="309"/>
        <v>0</v>
      </c>
      <c r="Y1132" s="10">
        <v>21</v>
      </c>
      <c r="Z1132" s="30"/>
      <c r="AB1132" s="46"/>
      <c r="AC1132" s="31"/>
      <c r="AD1132" s="31"/>
      <c r="AE1132" s="32">
        <f t="shared" si="316"/>
        <v>0</v>
      </c>
      <c r="AF1132" s="10"/>
      <c r="AG1132" s="10"/>
      <c r="AH1132" s="10"/>
      <c r="AI1132" s="12">
        <f t="shared" si="315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82"/>
      <c r="D1133" s="32"/>
      <c r="E1133" s="32"/>
      <c r="F1133" s="32"/>
      <c r="G1133" s="32">
        <f t="shared" si="306"/>
        <v>0</v>
      </c>
      <c r="H1133" s="10"/>
      <c r="I1133" s="10"/>
      <c r="J1133" s="10"/>
      <c r="K1133" s="12">
        <f t="shared" si="307"/>
        <v>0</v>
      </c>
      <c r="M1133" s="10">
        <v>22</v>
      </c>
      <c r="N1133" s="30"/>
      <c r="P1133" s="91"/>
      <c r="Q1133" s="31"/>
      <c r="R1133" s="31"/>
      <c r="S1133" s="32">
        <f t="shared" si="308"/>
        <v>0</v>
      </c>
      <c r="T1133" s="10"/>
      <c r="U1133" s="10"/>
      <c r="V1133" s="10"/>
      <c r="W1133" s="12">
        <f t="shared" si="309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316"/>
        <v>0</v>
      </c>
      <c r="AF1133" s="10"/>
      <c r="AG1133" s="10"/>
      <c r="AH1133" s="10"/>
      <c r="AI1133" s="12">
        <f t="shared" si="315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82"/>
      <c r="D1134" s="32"/>
      <c r="E1134" s="32"/>
      <c r="F1134" s="32"/>
      <c r="G1134" s="32">
        <f t="shared" si="306"/>
        <v>0</v>
      </c>
      <c r="H1134" s="10"/>
      <c r="I1134" s="10"/>
      <c r="J1134" s="12"/>
      <c r="K1134" s="12">
        <f t="shared" si="307"/>
        <v>0</v>
      </c>
      <c r="M1134" s="10">
        <v>23</v>
      </c>
      <c r="N1134" s="30"/>
      <c r="O1134" s="31"/>
      <c r="P1134" s="47"/>
      <c r="Q1134" s="31"/>
      <c r="S1134" s="32">
        <f t="shared" si="308"/>
        <v>0</v>
      </c>
      <c r="T1134" s="10"/>
      <c r="U1134" s="10"/>
      <c r="V1134" s="10"/>
      <c r="W1134" s="12">
        <f t="shared" si="309"/>
        <v>0</v>
      </c>
      <c r="Y1134" s="10">
        <v>23</v>
      </c>
      <c r="Z1134" s="30"/>
      <c r="AA1134" s="31"/>
      <c r="AB1134" s="47"/>
      <c r="AC1134" s="31"/>
      <c r="AE1134" s="32">
        <f t="shared" si="316"/>
        <v>0</v>
      </c>
      <c r="AF1134" s="10"/>
      <c r="AG1134" s="10"/>
      <c r="AH1134" s="10"/>
      <c r="AI1134" s="12">
        <f t="shared" si="315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82"/>
      <c r="D1135" s="32"/>
      <c r="E1135" s="32"/>
      <c r="F1135" s="32"/>
      <c r="G1135" s="32">
        <f t="shared" si="306"/>
        <v>0</v>
      </c>
      <c r="H1135" s="10"/>
      <c r="I1135" s="10"/>
      <c r="J1135" s="10"/>
      <c r="K1135" s="12">
        <f t="shared" si="307"/>
        <v>0</v>
      </c>
      <c r="M1135" s="10">
        <v>24</v>
      </c>
      <c r="N1135" s="30"/>
      <c r="P1135" s="47"/>
      <c r="Q1135" s="31"/>
      <c r="R1135" s="31"/>
      <c r="S1135" s="32">
        <f t="shared" si="308"/>
        <v>0</v>
      </c>
      <c r="T1135" s="10"/>
      <c r="U1135" s="10"/>
      <c r="V1135" s="10"/>
      <c r="W1135" s="12">
        <f t="shared" si="309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316"/>
        <v>0</v>
      </c>
      <c r="AF1135" s="10"/>
      <c r="AG1135" s="10"/>
      <c r="AH1135" s="10"/>
      <c r="AI1135" s="12">
        <f t="shared" si="315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82"/>
      <c r="D1136" s="32"/>
      <c r="E1136" s="32"/>
      <c r="F1136" s="32"/>
      <c r="G1136" s="32">
        <f t="shared" si="306"/>
        <v>0</v>
      </c>
      <c r="H1136" s="10"/>
      <c r="I1136" s="10"/>
      <c r="J1136" s="10"/>
      <c r="K1136" s="12">
        <f t="shared" si="307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308"/>
        <v>0</v>
      </c>
      <c r="T1136" s="10"/>
      <c r="U1136" s="10"/>
      <c r="V1136" s="10"/>
      <c r="W1136" s="12">
        <f t="shared" si="309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316"/>
        <v>0</v>
      </c>
      <c r="AF1136" s="10"/>
      <c r="AG1136" s="10"/>
      <c r="AH1136" s="10"/>
      <c r="AI1136" s="12">
        <f t="shared" si="315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57"/>
      <c r="D1137" s="32"/>
      <c r="E1137" s="32"/>
      <c r="F1137" s="32"/>
      <c r="G1137" s="32">
        <f t="shared" si="306"/>
        <v>0</v>
      </c>
      <c r="H1137" s="10"/>
      <c r="I1137" s="10"/>
      <c r="J1137" s="10"/>
      <c r="K1137" s="12">
        <f t="shared" si="307"/>
        <v>0</v>
      </c>
      <c r="M1137" s="10">
        <v>26</v>
      </c>
      <c r="N1137" s="30"/>
      <c r="O1137" s="31"/>
      <c r="P1137" s="47"/>
      <c r="Q1137" s="31"/>
      <c r="R1137" s="31"/>
      <c r="S1137" s="32">
        <f t="shared" si="308"/>
        <v>0</v>
      </c>
      <c r="T1137" s="10"/>
      <c r="U1137" s="10"/>
      <c r="V1137" s="10"/>
      <c r="W1137" s="12">
        <f t="shared" si="309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316"/>
        <v>0</v>
      </c>
      <c r="AF1137" s="10"/>
      <c r="AG1137" s="10"/>
      <c r="AH1137" s="10"/>
      <c r="AI1137" s="12">
        <f t="shared" si="315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82"/>
      <c r="D1138" s="32"/>
      <c r="E1138" s="32"/>
      <c r="F1138" s="32"/>
      <c r="G1138" s="32">
        <f t="shared" si="306"/>
        <v>0</v>
      </c>
      <c r="H1138" s="10"/>
      <c r="I1138" s="10"/>
      <c r="J1138" s="10"/>
      <c r="K1138" s="12">
        <f t="shared" si="307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308"/>
        <v>0</v>
      </c>
      <c r="T1138" s="10"/>
      <c r="U1138" s="10"/>
      <c r="V1138" s="10"/>
      <c r="W1138" s="12">
        <f t="shared" si="309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316"/>
        <v>0</v>
      </c>
      <c r="AF1138" s="10"/>
      <c r="AG1138" s="10"/>
      <c r="AH1138" s="10"/>
      <c r="AI1138" s="12">
        <f t="shared" si="315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82"/>
      <c r="D1139" s="32"/>
      <c r="E1139" s="32"/>
      <c r="F1139" s="32"/>
      <c r="G1139" s="32">
        <f t="shared" si="306"/>
        <v>0</v>
      </c>
      <c r="H1139" s="10"/>
      <c r="I1139" s="10"/>
      <c r="J1139" s="10"/>
      <c r="K1139" s="12">
        <f t="shared" si="307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308"/>
        <v>0</v>
      </c>
      <c r="T1139" s="10"/>
      <c r="U1139" s="10"/>
      <c r="V1139" s="10"/>
      <c r="W1139" s="12">
        <f t="shared" si="309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316"/>
        <v>0</v>
      </c>
      <c r="AF1139" s="10"/>
      <c r="AG1139" s="10"/>
      <c r="AH1139" s="10"/>
      <c r="AI1139" s="12">
        <f t="shared" si="315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82"/>
      <c r="D1140" s="32"/>
      <c r="E1140" s="32"/>
      <c r="F1140" s="32"/>
      <c r="G1140" s="32">
        <f t="shared" si="306"/>
        <v>0</v>
      </c>
      <c r="H1140" s="10"/>
      <c r="I1140" s="10"/>
      <c r="J1140" s="10"/>
      <c r="K1140" s="12">
        <f t="shared" si="307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308"/>
        <v>0</v>
      </c>
      <c r="T1140" s="10"/>
      <c r="U1140" s="10"/>
      <c r="V1140" s="10"/>
      <c r="W1140" s="12">
        <f t="shared" si="309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316"/>
        <v>0</v>
      </c>
      <c r="AF1140" s="10"/>
      <c r="AG1140" s="10"/>
      <c r="AH1140" s="10"/>
      <c r="AI1140" s="12">
        <f t="shared" si="315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57"/>
      <c r="D1141" s="32"/>
      <c r="E1141" s="32"/>
      <c r="F1141" s="32"/>
      <c r="G1141" s="32">
        <f t="shared" si="306"/>
        <v>0</v>
      </c>
      <c r="H1141" s="10"/>
      <c r="I1141" s="10"/>
      <c r="J1141" s="10"/>
      <c r="K1141" s="12">
        <f t="shared" si="307"/>
        <v>0</v>
      </c>
      <c r="M1141" s="10">
        <v>30</v>
      </c>
      <c r="N1141" s="30"/>
      <c r="P1141" s="47"/>
      <c r="Q1141" s="31"/>
      <c r="R1141" s="31"/>
      <c r="S1141" s="32">
        <f t="shared" si="308"/>
        <v>0</v>
      </c>
      <c r="T1141" s="10"/>
      <c r="U1141" s="10"/>
      <c r="V1141" s="10"/>
      <c r="W1141" s="12">
        <f t="shared" si="309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316"/>
        <v>0</v>
      </c>
      <c r="AF1141" s="10"/>
      <c r="AG1141" s="10"/>
      <c r="AH1141" s="10"/>
      <c r="AI1141" s="12">
        <f t="shared" si="315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306"/>
        <v>0</v>
      </c>
      <c r="H1142" s="10"/>
      <c r="I1142" s="10"/>
      <c r="J1142" s="10"/>
      <c r="K1142" s="12">
        <f t="shared" si="307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308"/>
        <v>0</v>
      </c>
      <c r="T1142" s="10"/>
      <c r="U1142" s="10"/>
      <c r="V1142" s="10"/>
      <c r="W1142" s="12">
        <f t="shared" si="309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316"/>
        <v>0</v>
      </c>
      <c r="AF1142" s="10"/>
      <c r="AG1142" s="10"/>
      <c r="AH1142" s="10"/>
      <c r="AI1142" s="12">
        <f t="shared" si="315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82"/>
      <c r="D1143" s="32"/>
      <c r="E1143" s="32"/>
      <c r="F1143" s="32"/>
      <c r="G1143" s="32">
        <f t="shared" si="306"/>
        <v>0</v>
      </c>
      <c r="H1143" s="10"/>
      <c r="I1143" s="10"/>
      <c r="J1143" s="10"/>
      <c r="K1143" s="12">
        <f t="shared" si="307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308"/>
        <v>0</v>
      </c>
      <c r="T1143" s="10"/>
      <c r="U1143" s="10"/>
      <c r="V1143" s="10"/>
      <c r="W1143" s="12">
        <f t="shared" si="309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316"/>
        <v>0</v>
      </c>
      <c r="AF1143" s="10"/>
      <c r="AG1143" s="10"/>
      <c r="AH1143" s="10"/>
      <c r="AI1143" s="12">
        <f t="shared" si="315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82"/>
      <c r="D1144" s="32"/>
      <c r="E1144" s="32"/>
      <c r="F1144" s="32"/>
      <c r="G1144" s="32">
        <f t="shared" si="306"/>
        <v>0</v>
      </c>
      <c r="H1144" s="10"/>
      <c r="I1144" s="10"/>
      <c r="J1144" s="10"/>
      <c r="K1144" s="12">
        <f t="shared" si="307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308"/>
        <v>0</v>
      </c>
      <c r="T1144" s="10"/>
      <c r="U1144" s="10"/>
      <c r="V1144" s="10"/>
      <c r="W1144" s="12">
        <f t="shared" si="309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316"/>
        <v>0</v>
      </c>
      <c r="AF1144" s="10"/>
      <c r="AG1144" s="10"/>
      <c r="AH1144" s="10"/>
      <c r="AI1144" s="12">
        <f t="shared" si="315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82"/>
      <c r="D1145" s="32"/>
      <c r="E1145" s="32"/>
      <c r="F1145" s="32"/>
      <c r="G1145" s="32">
        <f t="shared" si="306"/>
        <v>0</v>
      </c>
      <c r="H1145" s="10"/>
      <c r="I1145" s="10"/>
      <c r="J1145" s="10"/>
      <c r="K1145" s="12">
        <f t="shared" si="307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308"/>
        <v>0</v>
      </c>
      <c r="T1145" s="10"/>
      <c r="U1145" s="10"/>
      <c r="V1145" s="10"/>
      <c r="W1145" s="12">
        <f t="shared" si="309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316"/>
        <v>0</v>
      </c>
      <c r="AF1145" s="10"/>
      <c r="AG1145" s="10"/>
      <c r="AH1145" s="10"/>
      <c r="AI1145" s="12">
        <f t="shared" si="315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82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308"/>
        <v>0</v>
      </c>
      <c r="T1146" s="10"/>
      <c r="U1146" s="10"/>
      <c r="V1146" s="10"/>
      <c r="W1146" s="12">
        <f t="shared" si="309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316"/>
        <v>0</v>
      </c>
      <c r="AF1146" s="10"/>
      <c r="AG1146" s="10"/>
      <c r="AH1146" s="10"/>
      <c r="AI1146" s="12">
        <f t="shared" si="315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82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308"/>
        <v>0</v>
      </c>
      <c r="T1147" s="10"/>
      <c r="U1147" s="10"/>
      <c r="V1147" s="10"/>
      <c r="W1147" s="12">
        <f t="shared" si="309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316"/>
        <v>0</v>
      </c>
      <c r="AF1147" s="10"/>
      <c r="AG1147" s="10"/>
      <c r="AH1147" s="10"/>
      <c r="AI1147" s="12">
        <f t="shared" si="315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3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308"/>
        <v>0</v>
      </c>
      <c r="T1148" s="10"/>
      <c r="U1148" s="10"/>
      <c r="V1148" s="10"/>
      <c r="W1148" s="12">
        <f t="shared" si="309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316"/>
        <v>0</v>
      </c>
      <c r="AF1148" s="10"/>
      <c r="AG1148" s="10"/>
      <c r="AH1148" s="10"/>
      <c r="AI1148" s="12">
        <f t="shared" si="315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308"/>
        <v>0</v>
      </c>
      <c r="T1149" s="10"/>
      <c r="U1149" s="10"/>
      <c r="V1149" s="10"/>
      <c r="W1149" s="12">
        <f t="shared" si="309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316"/>
        <v>0</v>
      </c>
      <c r="AF1149" s="10"/>
      <c r="AG1149" s="10"/>
      <c r="AH1149" s="10"/>
      <c r="AI1149" s="12">
        <f t="shared" si="315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308"/>
        <v>0</v>
      </c>
      <c r="T1150" s="10"/>
      <c r="U1150" s="10"/>
      <c r="V1150" s="10"/>
      <c r="W1150" s="12">
        <f t="shared" si="309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316"/>
        <v>0</v>
      </c>
      <c r="AF1150" s="10"/>
      <c r="AG1150" s="10"/>
      <c r="AH1150" s="10"/>
      <c r="AI1150" s="12">
        <f t="shared" si="315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309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315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317">SUM(D1152:E1152)</f>
        <v>0</v>
      </c>
      <c r="H1152" s="10"/>
      <c r="I1152" s="10"/>
      <c r="J1152" s="10"/>
      <c r="K1152" s="12">
        <f t="shared" ref="K1152" si="318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319">SUM(P1152:Q1152)</f>
        <v>0</v>
      </c>
      <c r="T1152" s="10"/>
      <c r="U1152" s="10"/>
      <c r="V1152" s="10"/>
      <c r="W1152" s="12">
        <f t="shared" si="309"/>
        <v>0</v>
      </c>
      <c r="Y1152" s="10"/>
      <c r="Z1152" s="30"/>
      <c r="AA1152" s="31"/>
      <c r="AB1152" s="47"/>
      <c r="AC1152" s="31"/>
      <c r="AD1152" s="31"/>
      <c r="AE1152" s="32">
        <f t="shared" ref="AE1152" si="320">SUM(AB1152:AC1152)</f>
        <v>0</v>
      </c>
      <c r="AF1152" s="10"/>
      <c r="AG1152" s="10"/>
      <c r="AH1152" s="10"/>
      <c r="AI1152" s="12">
        <f t="shared" si="315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309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315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342501</v>
      </c>
      <c r="E1155" s="38">
        <f t="shared" ref="E1155:F1155" si="321">SUM(E1112:E1152)</f>
        <v>-1986</v>
      </c>
      <c r="F1155" s="38">
        <f t="shared" si="321"/>
        <v>0</v>
      </c>
      <c r="G1155" s="38">
        <f>SUM(G1112:G1154)</f>
        <v>340515</v>
      </c>
      <c r="H1155" s="4"/>
      <c r="I1155" s="39">
        <f>SUM(I1112:I1154)</f>
        <v>1248</v>
      </c>
      <c r="J1155" s="39">
        <f>SUM(J1112:J1154)</f>
        <v>-11988</v>
      </c>
      <c r="K1155" s="40">
        <f>SUM(K1112:K1154)</f>
        <v>329775</v>
      </c>
      <c r="N1155" s="57"/>
      <c r="O1155" s="57"/>
      <c r="P1155" s="38">
        <f>SUM(P1112:P1154)</f>
        <v>180508</v>
      </c>
      <c r="Q1155" s="38">
        <f>SUM(Q1112:Q1136)</f>
        <v>-720</v>
      </c>
      <c r="R1155" s="38">
        <f>SUM(R1112:R1136)</f>
        <v>0</v>
      </c>
      <c r="S1155" s="38">
        <f>SUM(S1112:S1154)</f>
        <v>179788</v>
      </c>
      <c r="T1155" s="4"/>
      <c r="U1155" s="41">
        <f>SUM(U1112:U1154)</f>
        <v>126</v>
      </c>
      <c r="V1155" s="41">
        <f>SUM(V1112:V1136)</f>
        <v>-444</v>
      </c>
      <c r="W1155" s="42">
        <f>SUM(W1112:W1154)</f>
        <v>179470</v>
      </c>
      <c r="Z1155" s="57"/>
      <c r="AA1155" s="57"/>
      <c r="AB1155" s="38">
        <f>SUM(AB1112:AB1154)</f>
        <v>273742</v>
      </c>
      <c r="AC1155" s="38">
        <f>SUM(AC1112:AC1136)</f>
        <v>-1248</v>
      </c>
      <c r="AD1155" s="38">
        <f>SUM(AD1112:AD1136)</f>
        <v>0</v>
      </c>
      <c r="AE1155" s="38">
        <f>SUM(AE1112:AE1154)</f>
        <v>272494</v>
      </c>
      <c r="AF1155" s="4"/>
      <c r="AG1155" s="41">
        <f>SUM(AG1112:AG1154)</f>
        <v>72</v>
      </c>
      <c r="AH1155" s="41">
        <f>SUM(AH1112:AH1136)</f>
        <v>-12543</v>
      </c>
      <c r="AI1155" s="42">
        <f>SUM(AI1112:AI1154)</f>
        <v>260023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28</v>
      </c>
      <c r="B1158" s="57"/>
      <c r="C1158" s="57"/>
      <c r="D1158" s="57"/>
      <c r="E1158" s="57"/>
      <c r="G1158" s="57"/>
      <c r="M1158" t="s">
        <v>28</v>
      </c>
      <c r="N1158" s="57"/>
      <c r="O1158" s="57"/>
      <c r="P1158" s="57"/>
      <c r="Q1158" s="57"/>
      <c r="R1158" s="57"/>
      <c r="S1158" s="57"/>
      <c r="Y1158" t="s">
        <v>28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14</v>
      </c>
      <c r="B1160" s="57"/>
      <c r="C1160" s="57"/>
      <c r="D1160" s="57"/>
      <c r="E1160" s="57"/>
      <c r="G1160" s="57"/>
      <c r="M1160" s="4" t="s">
        <v>14</v>
      </c>
      <c r="N1160" s="57"/>
      <c r="O1160" s="57"/>
      <c r="P1160" s="57"/>
      <c r="Q1160" s="57"/>
      <c r="R1160" s="57"/>
      <c r="S1160" s="57"/>
      <c r="Y1160" s="4" t="s">
        <v>14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47</v>
      </c>
      <c r="B1162" s="57"/>
      <c r="C1162" s="57"/>
      <c r="D1162" s="57"/>
      <c r="E1162" s="57"/>
      <c r="G1162" s="57"/>
      <c r="I1162" s="57" t="s">
        <v>15</v>
      </c>
      <c r="J1162" s="19">
        <v>1</v>
      </c>
      <c r="M1162" t="s">
        <v>47</v>
      </c>
      <c r="N1162" s="57"/>
      <c r="O1162" s="57"/>
      <c r="P1162" s="57"/>
      <c r="Q1162" s="57"/>
      <c r="R1162" s="57"/>
      <c r="S1162" s="57"/>
      <c r="U1162" s="57" t="s">
        <v>15</v>
      </c>
      <c r="V1162" s="19">
        <v>2</v>
      </c>
      <c r="Y1162" t="s">
        <v>47</v>
      </c>
      <c r="Z1162" s="57"/>
      <c r="AA1162" s="57"/>
      <c r="AB1162" s="57"/>
      <c r="AC1162" s="57"/>
      <c r="AD1162" s="57"/>
      <c r="AE1162" s="57"/>
      <c r="AG1162" s="57" t="s">
        <v>15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98</v>
      </c>
      <c r="B1163" s="20"/>
      <c r="C1163" s="57"/>
      <c r="D1163" s="57"/>
      <c r="E1163" s="57"/>
      <c r="G1163" s="57"/>
      <c r="I1163" s="22" t="s">
        <v>16</v>
      </c>
      <c r="J1163" s="23" t="s">
        <v>31</v>
      </c>
      <c r="K1163" s="24"/>
      <c r="M1163" s="21" t="s">
        <v>98</v>
      </c>
      <c r="N1163" s="20"/>
      <c r="O1163" s="57"/>
      <c r="P1163" s="57"/>
      <c r="Q1163" s="57"/>
      <c r="R1163" s="57"/>
      <c r="S1163" s="57"/>
      <c r="U1163" s="22" t="s">
        <v>16</v>
      </c>
      <c r="V1163" s="23" t="s">
        <v>33</v>
      </c>
      <c r="W1163" s="24"/>
      <c r="Y1163" s="21" t="s">
        <v>98</v>
      </c>
      <c r="Z1163" s="20"/>
      <c r="AA1163" s="57"/>
      <c r="AB1163" s="57"/>
      <c r="AC1163" s="57"/>
      <c r="AD1163" s="57"/>
      <c r="AE1163" s="57"/>
      <c r="AG1163" s="22" t="s">
        <v>16</v>
      </c>
      <c r="AH1163" s="23" t="s">
        <v>35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2" t="s">
        <v>17</v>
      </c>
      <c r="E1165" s="122"/>
      <c r="F1165" s="111"/>
      <c r="G1165" s="27"/>
      <c r="I1165" s="120" t="s">
        <v>18</v>
      </c>
      <c r="J1165" s="121"/>
      <c r="K1165" s="118" t="s">
        <v>19</v>
      </c>
      <c r="N1165" s="25"/>
      <c r="O1165" s="26"/>
      <c r="P1165" s="122" t="s">
        <v>17</v>
      </c>
      <c r="Q1165" s="122"/>
      <c r="R1165" s="111"/>
      <c r="S1165" s="27"/>
      <c r="U1165" s="120" t="s">
        <v>18</v>
      </c>
      <c r="V1165" s="121"/>
      <c r="W1165" s="118" t="s">
        <v>19</v>
      </c>
      <c r="Z1165" s="25"/>
      <c r="AA1165" s="26"/>
      <c r="AB1165" s="122" t="s">
        <v>17</v>
      </c>
      <c r="AC1165" s="122"/>
      <c r="AD1165" s="111"/>
      <c r="AE1165" s="27"/>
      <c r="AG1165" s="120" t="s">
        <v>18</v>
      </c>
      <c r="AH1165" s="121"/>
      <c r="AI1165" s="118" t="s">
        <v>19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20</v>
      </c>
      <c r="C1166" s="28" t="s">
        <v>21</v>
      </c>
      <c r="D1166" s="77" t="s">
        <v>22</v>
      </c>
      <c r="E1166" s="76" t="s">
        <v>23</v>
      </c>
      <c r="F1166" s="78" t="s">
        <v>32</v>
      </c>
      <c r="G1166" s="78" t="s">
        <v>24</v>
      </c>
      <c r="I1166" s="29" t="s">
        <v>25</v>
      </c>
      <c r="J1166" s="29" t="s">
        <v>26</v>
      </c>
      <c r="K1166" s="119"/>
      <c r="N1166" s="28" t="s">
        <v>20</v>
      </c>
      <c r="O1166" s="28" t="s">
        <v>21</v>
      </c>
      <c r="P1166" s="77" t="s">
        <v>22</v>
      </c>
      <c r="Q1166" s="78" t="s">
        <v>23</v>
      </c>
      <c r="R1166" s="78" t="s">
        <v>32</v>
      </c>
      <c r="S1166" s="78" t="s">
        <v>24</v>
      </c>
      <c r="U1166" s="29" t="s">
        <v>25</v>
      </c>
      <c r="V1166" s="29" t="s">
        <v>26</v>
      </c>
      <c r="W1166" s="119"/>
      <c r="Z1166" s="28" t="s">
        <v>20</v>
      </c>
      <c r="AA1166" s="28" t="s">
        <v>21</v>
      </c>
      <c r="AB1166" s="77" t="s">
        <v>22</v>
      </c>
      <c r="AC1166" s="78" t="s">
        <v>23</v>
      </c>
      <c r="AD1166" s="78" t="s">
        <v>32</v>
      </c>
      <c r="AE1166" s="78" t="s">
        <v>24</v>
      </c>
      <c r="AG1166" s="29" t="s">
        <v>25</v>
      </c>
      <c r="AH1166" s="29" t="s">
        <v>26</v>
      </c>
      <c r="AI1166" s="119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99</v>
      </c>
      <c r="C1167" s="82">
        <v>9126</v>
      </c>
      <c r="D1167" s="32">
        <f>300*650+872*2+229*11</f>
        <v>199263</v>
      </c>
      <c r="E1167" s="32">
        <f>-302*6</f>
        <v>-1812</v>
      </c>
      <c r="F1167" s="32"/>
      <c r="G1167" s="32">
        <f t="shared" ref="G1167:G1211" si="322">SUM(D1167:E1167)</f>
        <v>197451</v>
      </c>
      <c r="H1167" s="12"/>
      <c r="I1167" s="12">
        <v>252</v>
      </c>
      <c r="J1167" s="12">
        <f>-108*111</f>
        <v>-11988</v>
      </c>
      <c r="K1167" s="12">
        <f t="shared" ref="K1167:K1211" si="323">SUM(G1167:J1167)</f>
        <v>185715</v>
      </c>
      <c r="M1167" s="10">
        <v>1</v>
      </c>
      <c r="N1167" s="30" t="s">
        <v>99</v>
      </c>
      <c r="O1167" s="31">
        <v>9310</v>
      </c>
      <c r="P1167" s="32">
        <f>650*3+229</f>
        <v>2179</v>
      </c>
      <c r="Q1167" s="32"/>
      <c r="R1167" s="32"/>
      <c r="S1167" s="32">
        <f>SUM(P1167:Q1167)</f>
        <v>2179</v>
      </c>
      <c r="T1167" s="12"/>
      <c r="U1167" s="12"/>
      <c r="V1167" s="12"/>
      <c r="W1167" s="12">
        <f>SUM(S1167:V1167)</f>
        <v>2179</v>
      </c>
      <c r="Y1167" s="10">
        <v>1</v>
      </c>
      <c r="Z1167" s="30" t="s">
        <v>99</v>
      </c>
      <c r="AA1167" s="31">
        <v>9356</v>
      </c>
      <c r="AB1167" s="32">
        <f>650*50+670*5+622*5+229*2</f>
        <v>39418</v>
      </c>
      <c r="AC1167" s="32">
        <f>-60*6</f>
        <v>-360</v>
      </c>
      <c r="AD1167" s="32"/>
      <c r="AE1167" s="32">
        <f>SUM(AB1167:AC1167)</f>
        <v>39058</v>
      </c>
      <c r="AF1167" s="12"/>
      <c r="AG1167" s="12"/>
      <c r="AH1167" s="12"/>
      <c r="AI1167" s="12">
        <f>SUM(AE1167:AH1167)</f>
        <v>39058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99</v>
      </c>
      <c r="C1168" s="82">
        <f>C1167+1</f>
        <v>9127</v>
      </c>
      <c r="D1168" s="32">
        <f>650*6</f>
        <v>3900</v>
      </c>
      <c r="E1168" s="32"/>
      <c r="F1168" s="32"/>
      <c r="G1168" s="32">
        <f t="shared" si="322"/>
        <v>3900</v>
      </c>
      <c r="H1168" s="12"/>
      <c r="I1168" s="12"/>
      <c r="J1168" s="12">
        <f>-111*24</f>
        <v>-2664</v>
      </c>
      <c r="K1168" s="12">
        <f t="shared" si="323"/>
        <v>1236</v>
      </c>
      <c r="M1168" s="10">
        <v>2</v>
      </c>
      <c r="N1168" s="30" t="s">
        <v>99</v>
      </c>
      <c r="O1168" s="31">
        <f>O1167+1</f>
        <v>9311</v>
      </c>
      <c r="P1168" s="32">
        <f>650*70+229*2+1582</f>
        <v>47540</v>
      </c>
      <c r="Q1168" s="32"/>
      <c r="R1168" s="32"/>
      <c r="S1168" s="32">
        <f t="shared" ref="S1168:S1211" si="324">SUM(P1168:Q1168)</f>
        <v>47540</v>
      </c>
      <c r="T1168" s="12"/>
      <c r="U1168" s="12">
        <f>5772+156+90</f>
        <v>6018</v>
      </c>
      <c r="V1168" s="12"/>
      <c r="W1168" s="12">
        <f t="shared" ref="W1168:W1211" si="325">SUM(S1168:V1168)</f>
        <v>53558</v>
      </c>
      <c r="Y1168" s="10">
        <v>2</v>
      </c>
      <c r="Z1168" s="30" t="s">
        <v>99</v>
      </c>
      <c r="AA1168" s="31">
        <f>AA1167+1</f>
        <v>9357</v>
      </c>
      <c r="AB1168" s="32">
        <f>650*30+670*2+622*3+229</f>
        <v>22935</v>
      </c>
      <c r="AD1168" s="32"/>
      <c r="AE1168" s="32">
        <f t="shared" ref="AE1168:AE1170" si="326">SUM(AB1168:AC1168)</f>
        <v>22935</v>
      </c>
      <c r="AF1168" s="12"/>
      <c r="AG1168" s="12"/>
      <c r="AH1168">
        <v>-1554</v>
      </c>
      <c r="AI1168" s="12">
        <f t="shared" ref="AI1168:AI1170" si="327">SUM(AE1168:AH1168)</f>
        <v>21381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99</v>
      </c>
      <c r="C1169" s="82">
        <f t="shared" ref="C1169:C1183" si="328">C1168+1</f>
        <v>9128</v>
      </c>
      <c r="D1169" s="33">
        <f>622*2</f>
        <v>1244</v>
      </c>
      <c r="E1169" s="33"/>
      <c r="F1169" s="33"/>
      <c r="G1169" s="33">
        <f t="shared" si="322"/>
        <v>1244</v>
      </c>
      <c r="H1169" s="34"/>
      <c r="I1169" s="34"/>
      <c r="J1169" s="34"/>
      <c r="K1169" s="34">
        <f t="shared" si="323"/>
        <v>1244</v>
      </c>
      <c r="M1169" s="10">
        <v>3</v>
      </c>
      <c r="N1169" s="30" t="s">
        <v>99</v>
      </c>
      <c r="O1169" s="31">
        <f t="shared" ref="O1169:O1187" si="329">O1168+1</f>
        <v>9312</v>
      </c>
      <c r="P1169" s="32">
        <f>650*2+622*5+9.5*7</f>
        <v>4476.5</v>
      </c>
      <c r="Q1169" s="32"/>
      <c r="R1169" s="32"/>
      <c r="S1169" s="32">
        <f t="shared" si="324"/>
        <v>4476.5</v>
      </c>
      <c r="T1169" s="12"/>
      <c r="U1169" s="12"/>
      <c r="V1169" s="12">
        <v>-333</v>
      </c>
      <c r="W1169" s="12">
        <f t="shared" si="325"/>
        <v>4143.5</v>
      </c>
      <c r="Y1169" s="10">
        <v>3</v>
      </c>
      <c r="Z1169" s="30" t="s">
        <v>99</v>
      </c>
      <c r="AA1169" s="31">
        <f t="shared" ref="AA1169:AA1181" si="330">AA1168+1</f>
        <v>9358</v>
      </c>
      <c r="AB1169" s="32">
        <f>650*50+1102+872*2+229*2</f>
        <v>35804</v>
      </c>
      <c r="AC1169" s="33">
        <v>-318</v>
      </c>
      <c r="AD1169" s="32"/>
      <c r="AE1169" s="32">
        <f t="shared" si="326"/>
        <v>35486</v>
      </c>
      <c r="AF1169" s="12"/>
      <c r="AG1169" s="12"/>
      <c r="AH1169" s="12">
        <f>-111*45+-4.5*30</f>
        <v>-5130</v>
      </c>
      <c r="AI1169" s="12">
        <f t="shared" si="327"/>
        <v>30356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99</v>
      </c>
      <c r="C1170" s="82">
        <f t="shared" si="328"/>
        <v>9129</v>
      </c>
      <c r="D1170" s="32">
        <f>650*5</f>
        <v>3250</v>
      </c>
      <c r="E1170" s="32"/>
      <c r="F1170" s="32"/>
      <c r="G1170" s="32">
        <f t="shared" si="322"/>
        <v>3250</v>
      </c>
      <c r="H1170" s="12"/>
      <c r="I1170" s="12"/>
      <c r="J1170" s="12"/>
      <c r="K1170" s="12">
        <f t="shared" si="323"/>
        <v>3250</v>
      </c>
      <c r="M1170" s="10">
        <v>4</v>
      </c>
      <c r="N1170" s="30" t="s">
        <v>99</v>
      </c>
      <c r="O1170" s="31">
        <f t="shared" si="329"/>
        <v>9313</v>
      </c>
      <c r="P1170" s="32">
        <f>650*2+622*2+9.5*4</f>
        <v>2582</v>
      </c>
      <c r="Q1170" s="32"/>
      <c r="R1170" s="32"/>
      <c r="S1170" s="32">
        <f t="shared" si="324"/>
        <v>2582</v>
      </c>
      <c r="T1170" s="12"/>
      <c r="U1170" s="12"/>
      <c r="V1170" s="12">
        <v>-333</v>
      </c>
      <c r="W1170" s="12">
        <f t="shared" si="325"/>
        <v>2249</v>
      </c>
      <c r="Y1170" s="10">
        <v>4</v>
      </c>
      <c r="Z1170" s="30" t="s">
        <v>99</v>
      </c>
      <c r="AA1170" s="31">
        <f t="shared" si="330"/>
        <v>9359</v>
      </c>
      <c r="AB1170" s="32">
        <f>650*108+229*4</f>
        <v>71116</v>
      </c>
      <c r="AC1170" s="32">
        <f>-108*6</f>
        <v>-648</v>
      </c>
      <c r="AD1170" s="32"/>
      <c r="AE1170" s="32">
        <f>SUM(AB1170:AC1170)</f>
        <v>70468</v>
      </c>
      <c r="AF1170" s="12"/>
      <c r="AG1170">
        <v>312</v>
      </c>
      <c r="AH1170" s="12">
        <f>-360+-5883</f>
        <v>-6243</v>
      </c>
      <c r="AI1170" s="12">
        <f>SUM(AE1170:AH1170)</f>
        <v>64537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99</v>
      </c>
      <c r="C1171" s="82">
        <f t="shared" si="328"/>
        <v>9130</v>
      </c>
      <c r="D1171" s="32">
        <f>650*2+622</f>
        <v>1922</v>
      </c>
      <c r="E1171" s="32"/>
      <c r="F1171" s="32"/>
      <c r="G1171" s="32">
        <f t="shared" si="322"/>
        <v>1922</v>
      </c>
      <c r="H1171" s="12"/>
      <c r="I1171" s="12"/>
      <c r="J1171" s="12"/>
      <c r="K1171" s="12">
        <f t="shared" si="323"/>
        <v>1922</v>
      </c>
      <c r="M1171" s="10">
        <v>5</v>
      </c>
      <c r="N1171" s="30" t="s">
        <v>99</v>
      </c>
      <c r="O1171" s="31">
        <f t="shared" si="329"/>
        <v>9314</v>
      </c>
      <c r="P1171" s="32">
        <f>650+622*3</f>
        <v>2516</v>
      </c>
      <c r="Q1171" s="32"/>
      <c r="R1171" s="32"/>
      <c r="S1171" s="32">
        <f t="shared" si="324"/>
        <v>2516</v>
      </c>
      <c r="T1171" s="12"/>
      <c r="U1171" s="12"/>
      <c r="V1171" s="12"/>
      <c r="W1171" s="12">
        <f t="shared" si="325"/>
        <v>2516</v>
      </c>
      <c r="Y1171" s="10">
        <v>5</v>
      </c>
      <c r="Z1171" s="30" t="s">
        <v>99</v>
      </c>
      <c r="AA1171" s="31">
        <f t="shared" si="330"/>
        <v>9360</v>
      </c>
      <c r="AB1171" s="33">
        <f>650*50+229*2</f>
        <v>32958</v>
      </c>
      <c r="AC1171" s="32">
        <f>-50*6</f>
        <v>-300</v>
      </c>
      <c r="AD1171" s="32"/>
      <c r="AE1171" s="32">
        <f>SUM(AB1171:AC1171)</f>
        <v>32658</v>
      </c>
      <c r="AF1171" s="12"/>
      <c r="AG1171" s="12"/>
      <c r="AH1171" s="12"/>
      <c r="AI1171" s="12">
        <f t="shared" ref="AI1171:AI1211" si="331">SUM(AE1171:AH1171)</f>
        <v>32658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99</v>
      </c>
      <c r="C1172" s="82">
        <f t="shared" si="328"/>
        <v>9131</v>
      </c>
      <c r="D1172" s="32">
        <f>650*2</f>
        <v>1300</v>
      </c>
      <c r="E1172" s="32"/>
      <c r="F1172" s="32"/>
      <c r="G1172" s="32">
        <f t="shared" si="322"/>
        <v>1300</v>
      </c>
      <c r="H1172" s="12"/>
      <c r="I1172" s="12"/>
      <c r="J1172" s="12"/>
      <c r="K1172" s="12">
        <f t="shared" si="323"/>
        <v>1300</v>
      </c>
      <c r="M1172" s="10">
        <v>6</v>
      </c>
      <c r="N1172" s="30" t="s">
        <v>99</v>
      </c>
      <c r="O1172" s="31">
        <f t="shared" si="329"/>
        <v>9315</v>
      </c>
      <c r="P1172" s="32">
        <f>650*2+622*2+9.5*4</f>
        <v>2582</v>
      </c>
      <c r="Q1172" s="32"/>
      <c r="R1172" s="32"/>
      <c r="S1172" s="32">
        <f t="shared" si="324"/>
        <v>2582</v>
      </c>
      <c r="T1172" s="12"/>
      <c r="U1172" s="12"/>
      <c r="V1172" s="10"/>
      <c r="W1172" s="12">
        <f t="shared" si="325"/>
        <v>2582</v>
      </c>
      <c r="Y1172" s="10">
        <v>6</v>
      </c>
      <c r="Z1172" s="30" t="s">
        <v>99</v>
      </c>
      <c r="AA1172" s="31">
        <f t="shared" si="330"/>
        <v>9361</v>
      </c>
      <c r="AB1172" s="32">
        <f>650*2+1050</f>
        <v>2350</v>
      </c>
      <c r="AC1172" s="32"/>
      <c r="AD1172" s="32"/>
      <c r="AE1172" s="32">
        <f t="shared" ref="AE1172:AE1211" si="332">SUM(AB1172:AC1172)</f>
        <v>2350</v>
      </c>
      <c r="AF1172" s="12"/>
      <c r="AG1172" s="12">
        <f>120+111*2</f>
        <v>342</v>
      </c>
      <c r="AH1172" s="10"/>
      <c r="AI1172" s="12">
        <f t="shared" si="331"/>
        <v>2692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 t="s">
        <v>99</v>
      </c>
      <c r="C1173" s="82">
        <f t="shared" si="328"/>
        <v>9132</v>
      </c>
      <c r="D1173" s="32">
        <f>650*3</f>
        <v>1950</v>
      </c>
      <c r="E1173" s="32"/>
      <c r="F1173" s="32"/>
      <c r="G1173" s="32">
        <f t="shared" si="322"/>
        <v>1950</v>
      </c>
      <c r="H1173" s="12"/>
      <c r="I1173" s="12"/>
      <c r="J1173" s="12"/>
      <c r="K1173" s="12">
        <f t="shared" si="323"/>
        <v>1950</v>
      </c>
      <c r="M1173" s="10">
        <v>7</v>
      </c>
      <c r="N1173" s="30" t="s">
        <v>99</v>
      </c>
      <c r="O1173" s="31">
        <f t="shared" si="329"/>
        <v>9316</v>
      </c>
      <c r="P1173" s="32">
        <f>650*5+622</f>
        <v>3872</v>
      </c>
      <c r="Q1173" s="32"/>
      <c r="R1173" s="32"/>
      <c r="S1173" s="32">
        <f t="shared" si="324"/>
        <v>3872</v>
      </c>
      <c r="T1173" s="12"/>
      <c r="U1173" s="12"/>
      <c r="V1173" s="12">
        <v>-333</v>
      </c>
      <c r="W1173" s="12">
        <f t="shared" si="325"/>
        <v>3539</v>
      </c>
      <c r="Y1173" s="10">
        <v>7</v>
      </c>
      <c r="Z1173" s="30"/>
      <c r="AA1173" s="11" t="s">
        <v>27</v>
      </c>
      <c r="AB1173" s="32"/>
      <c r="AC1173" s="32"/>
      <c r="AD1173" s="32"/>
      <c r="AE1173" s="32">
        <f t="shared" si="332"/>
        <v>0</v>
      </c>
      <c r="AF1173" s="12"/>
      <c r="AG1173" s="58"/>
      <c r="AH1173" s="12"/>
      <c r="AI1173" s="12">
        <f t="shared" si="331"/>
        <v>0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 t="s">
        <v>99</v>
      </c>
      <c r="C1174" s="82">
        <f t="shared" si="328"/>
        <v>9133</v>
      </c>
      <c r="D1174" s="32">
        <f>650</f>
        <v>650</v>
      </c>
      <c r="E1174" s="32"/>
      <c r="F1174" s="32"/>
      <c r="G1174" s="32">
        <f t="shared" si="322"/>
        <v>650</v>
      </c>
      <c r="H1174" s="12"/>
      <c r="I1174" s="12"/>
      <c r="J1174" s="12"/>
      <c r="K1174" s="12">
        <f t="shared" si="323"/>
        <v>650</v>
      </c>
      <c r="M1174" s="10">
        <v>8</v>
      </c>
      <c r="N1174" s="30" t="s">
        <v>99</v>
      </c>
      <c r="O1174" s="31">
        <f t="shared" si="329"/>
        <v>9317</v>
      </c>
      <c r="P1174" s="32">
        <f>650*2+9.5*2</f>
        <v>1319</v>
      </c>
      <c r="Q1174" s="32"/>
      <c r="R1174" s="32"/>
      <c r="S1174" s="32">
        <f t="shared" si="324"/>
        <v>1319</v>
      </c>
      <c r="T1174" s="12"/>
      <c r="U1174" s="12"/>
      <c r="V1174" s="12"/>
      <c r="W1174" s="12">
        <f t="shared" si="325"/>
        <v>1319</v>
      </c>
      <c r="Y1174" s="10">
        <v>8</v>
      </c>
      <c r="Z1174" s="30"/>
      <c r="AA1174" s="31"/>
      <c r="AB1174" s="32"/>
      <c r="AC1174" s="32"/>
      <c r="AE1174" s="32">
        <f t="shared" si="332"/>
        <v>0</v>
      </c>
      <c r="AF1174" s="12"/>
      <c r="AG1174" s="12"/>
      <c r="AH1174" s="12"/>
      <c r="AI1174" s="12">
        <f t="shared" si="331"/>
        <v>0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 t="s">
        <v>99</v>
      </c>
      <c r="C1175" s="82">
        <f t="shared" si="328"/>
        <v>9134</v>
      </c>
      <c r="D1175" s="32">
        <f>650*2</f>
        <v>1300</v>
      </c>
      <c r="E1175" s="32"/>
      <c r="F1175" s="32"/>
      <c r="G1175" s="32">
        <f t="shared" si="322"/>
        <v>1300</v>
      </c>
      <c r="H1175" s="12"/>
      <c r="I1175" s="12"/>
      <c r="J1175" s="12"/>
      <c r="K1175" s="12">
        <f t="shared" si="323"/>
        <v>1300</v>
      </c>
      <c r="M1175" s="10">
        <v>9</v>
      </c>
      <c r="N1175" s="30" t="s">
        <v>99</v>
      </c>
      <c r="O1175" s="31">
        <f t="shared" si="329"/>
        <v>9318</v>
      </c>
      <c r="P1175" s="32">
        <f>650*3</f>
        <v>1950</v>
      </c>
      <c r="Q1175" s="32"/>
      <c r="R1175" s="32"/>
      <c r="S1175" s="32">
        <f t="shared" si="324"/>
        <v>1950</v>
      </c>
      <c r="T1175" s="12"/>
      <c r="U1175" s="12"/>
      <c r="V1175" s="12"/>
      <c r="W1175" s="12">
        <f t="shared" si="325"/>
        <v>1950</v>
      </c>
      <c r="Y1175" s="10">
        <v>9</v>
      </c>
      <c r="Z1175" s="30"/>
      <c r="AA1175" s="31"/>
      <c r="AC1175" s="32"/>
      <c r="AD1175" s="32"/>
      <c r="AE1175" s="32">
        <f t="shared" si="332"/>
        <v>0</v>
      </c>
      <c r="AF1175" s="12"/>
      <c r="AH1175" s="12"/>
      <c r="AI1175" s="12">
        <f t="shared" si="331"/>
        <v>0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11" t="s">
        <v>27</v>
      </c>
      <c r="D1176" s="32"/>
      <c r="E1176" s="32"/>
      <c r="F1176" s="32"/>
      <c r="G1176" s="32">
        <f t="shared" si="322"/>
        <v>0</v>
      </c>
      <c r="H1176" s="12"/>
      <c r="I1176" s="12"/>
      <c r="J1176" s="12"/>
      <c r="K1176" s="12">
        <f t="shared" si="323"/>
        <v>0</v>
      </c>
      <c r="M1176" s="10">
        <v>10</v>
      </c>
      <c r="N1176" s="30" t="s">
        <v>99</v>
      </c>
      <c r="O1176" s="31">
        <f t="shared" si="329"/>
        <v>9319</v>
      </c>
      <c r="P1176" s="32">
        <f>650+622+9.5*2</f>
        <v>1291</v>
      </c>
      <c r="Q1176" s="32"/>
      <c r="R1176" s="32"/>
      <c r="S1176" s="32">
        <f t="shared" si="324"/>
        <v>1291</v>
      </c>
      <c r="T1176" s="12"/>
      <c r="U1176" s="12"/>
      <c r="V1176" s="12"/>
      <c r="W1176" s="12">
        <f t="shared" si="325"/>
        <v>1291</v>
      </c>
      <c r="Y1176" s="10">
        <v>10</v>
      </c>
      <c r="Z1176" s="30"/>
      <c r="AA1176" s="31"/>
      <c r="AB1176" s="32"/>
      <c r="AC1176" s="32"/>
      <c r="AD1176" s="32"/>
      <c r="AE1176" s="32">
        <f t="shared" si="332"/>
        <v>0</v>
      </c>
      <c r="AF1176" s="12"/>
      <c r="AG1176" s="12"/>
      <c r="AH1176" s="12"/>
      <c r="AI1176" s="12">
        <f t="shared" si="331"/>
        <v>0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82"/>
      <c r="D1177" s="32"/>
      <c r="E1177" s="32"/>
      <c r="F1177" s="32"/>
      <c r="G1177" s="32">
        <f t="shared" si="322"/>
        <v>0</v>
      </c>
      <c r="H1177" s="12"/>
      <c r="I1177" s="12"/>
      <c r="J1177" s="12"/>
      <c r="K1177" s="12">
        <f t="shared" si="323"/>
        <v>0</v>
      </c>
      <c r="M1177" s="10">
        <v>11</v>
      </c>
      <c r="N1177" s="30" t="s">
        <v>99</v>
      </c>
      <c r="O1177" s="31">
        <f t="shared" si="329"/>
        <v>9320</v>
      </c>
      <c r="P1177" s="32">
        <f>650*175+622*15+1102+872*2+229*5+650*10</f>
        <v>133571</v>
      </c>
      <c r="Q1177" s="32">
        <f>-192*6</f>
        <v>-1152</v>
      </c>
      <c r="R1177" s="32"/>
      <c r="S1177" s="32">
        <f t="shared" si="324"/>
        <v>132419</v>
      </c>
      <c r="T1177" s="12"/>
      <c r="U1177" s="12">
        <v>156</v>
      </c>
      <c r="V1177" s="12">
        <f>-111*20</f>
        <v>-2220</v>
      </c>
      <c r="W1177" s="12">
        <f t="shared" si="325"/>
        <v>130355</v>
      </c>
      <c r="Y1177" s="10">
        <v>11</v>
      </c>
      <c r="Z1177" s="30"/>
      <c r="AA1177" s="31"/>
      <c r="AB1177" s="32"/>
      <c r="AC1177" s="32"/>
      <c r="AD1177" s="32"/>
      <c r="AE1177" s="32">
        <f t="shared" si="332"/>
        <v>0</v>
      </c>
      <c r="AF1177" s="12"/>
      <c r="AG1177" s="12"/>
      <c r="AH1177" s="12"/>
      <c r="AI1177" s="12">
        <f t="shared" si="331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82"/>
      <c r="D1178" s="32"/>
      <c r="E1178" s="32"/>
      <c r="F1178" s="32"/>
      <c r="G1178" s="32">
        <f t="shared" si="322"/>
        <v>0</v>
      </c>
      <c r="H1178" s="12"/>
      <c r="I1178" s="12"/>
      <c r="J1178" s="10"/>
      <c r="K1178" s="12">
        <f t="shared" si="323"/>
        <v>0</v>
      </c>
      <c r="M1178" s="10">
        <v>12</v>
      </c>
      <c r="N1178" s="30" t="s">
        <v>99</v>
      </c>
      <c r="O1178" s="31">
        <f t="shared" si="329"/>
        <v>9321</v>
      </c>
      <c r="P1178" s="32">
        <f>650*2</f>
        <v>1300</v>
      </c>
      <c r="Q1178" s="32"/>
      <c r="R1178" s="32"/>
      <c r="S1178" s="32">
        <f t="shared" si="324"/>
        <v>1300</v>
      </c>
      <c r="T1178" s="12"/>
      <c r="U1178" s="12"/>
      <c r="V1178" s="12">
        <v>-222</v>
      </c>
      <c r="W1178" s="12">
        <f t="shared" si="325"/>
        <v>1078</v>
      </c>
      <c r="Y1178" s="10">
        <v>12</v>
      </c>
      <c r="Z1178" s="30"/>
      <c r="AA1178" s="31"/>
      <c r="AB1178" s="32"/>
      <c r="AC1178" s="32"/>
      <c r="AD1178" s="32"/>
      <c r="AE1178" s="32">
        <f t="shared" si="332"/>
        <v>0</v>
      </c>
      <c r="AF1178" s="12"/>
      <c r="AG1178" s="12"/>
      <c r="AH1178" s="12"/>
      <c r="AI1178" s="12">
        <f t="shared" si="331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C1179" s="82"/>
      <c r="D1179" s="32"/>
      <c r="E1179" s="32"/>
      <c r="F1179" s="32"/>
      <c r="G1179" s="32">
        <f t="shared" si="322"/>
        <v>0</v>
      </c>
      <c r="H1179" s="12"/>
      <c r="I1179" s="12"/>
      <c r="J1179" s="12"/>
      <c r="K1179" s="12">
        <f t="shared" si="323"/>
        <v>0</v>
      </c>
      <c r="M1179" s="10">
        <v>13</v>
      </c>
      <c r="N1179" s="30"/>
      <c r="O1179" s="11" t="s">
        <v>27</v>
      </c>
      <c r="P1179" s="32"/>
      <c r="Q1179" s="32"/>
      <c r="R1179" s="32"/>
      <c r="S1179" s="32">
        <f t="shared" si="324"/>
        <v>0</v>
      </c>
      <c r="T1179" s="12"/>
      <c r="U1179" s="12"/>
      <c r="V1179" s="12"/>
      <c r="W1179" s="12">
        <f t="shared" si="325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332"/>
        <v>0</v>
      </c>
      <c r="AF1179" s="12"/>
      <c r="AG1179" s="12"/>
      <c r="AH1179" s="12"/>
      <c r="AI1179" s="12">
        <f t="shared" si="331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82"/>
      <c r="D1180" s="32"/>
      <c r="E1180" s="32"/>
      <c r="F1180" s="32"/>
      <c r="G1180" s="32">
        <f t="shared" si="322"/>
        <v>0</v>
      </c>
      <c r="H1180" s="12"/>
      <c r="I1180" s="12"/>
      <c r="J1180" s="12"/>
      <c r="K1180" s="12">
        <f t="shared" si="323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324"/>
        <v>0</v>
      </c>
      <c r="T1180" s="12"/>
      <c r="U1180" s="12"/>
      <c r="V1180" s="12"/>
      <c r="W1180" s="12">
        <f t="shared" si="325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332"/>
        <v>0</v>
      </c>
      <c r="AF1180" s="12"/>
      <c r="AG1180" s="12"/>
      <c r="AH1180" s="12"/>
      <c r="AI1180" s="12">
        <f t="shared" si="331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82"/>
      <c r="D1181" s="32"/>
      <c r="E1181" s="32"/>
      <c r="F1181" s="32"/>
      <c r="G1181" s="32">
        <f t="shared" si="322"/>
        <v>0</v>
      </c>
      <c r="H1181" s="12"/>
      <c r="I1181" s="12"/>
      <c r="J1181" s="12"/>
      <c r="K1181" s="12">
        <f t="shared" si="323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324"/>
        <v>0</v>
      </c>
      <c r="T1181" s="12"/>
      <c r="U1181" s="12"/>
      <c r="V1181" s="12"/>
      <c r="W1181" s="12">
        <f t="shared" si="325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332"/>
        <v>0</v>
      </c>
      <c r="AF1181" s="12"/>
      <c r="AG1181" s="12"/>
      <c r="AH1181" s="12"/>
      <c r="AI1181" s="12">
        <f t="shared" si="331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82"/>
      <c r="D1182" s="32"/>
      <c r="E1182" s="32"/>
      <c r="F1182" s="32"/>
      <c r="G1182" s="32">
        <f t="shared" si="322"/>
        <v>0</v>
      </c>
      <c r="H1182" s="12"/>
      <c r="I1182" s="12"/>
      <c r="J1182" s="12"/>
      <c r="K1182" s="12">
        <f t="shared" si="323"/>
        <v>0</v>
      </c>
      <c r="M1182" s="10">
        <v>16</v>
      </c>
      <c r="N1182" s="30"/>
      <c r="O1182" s="31"/>
      <c r="P1182" s="32"/>
      <c r="Q1182" s="32"/>
      <c r="R1182" s="32"/>
      <c r="S1182" s="32">
        <f t="shared" si="324"/>
        <v>0</v>
      </c>
      <c r="T1182" s="12"/>
      <c r="U1182" s="12"/>
      <c r="V1182" s="12"/>
      <c r="W1182" s="12">
        <f t="shared" si="325"/>
        <v>0</v>
      </c>
      <c r="Y1182" s="10">
        <v>16</v>
      </c>
      <c r="Z1182" s="30"/>
      <c r="AB1182" s="32"/>
      <c r="AC1182" s="32"/>
      <c r="AD1182" s="32"/>
      <c r="AE1182" s="32">
        <f t="shared" si="332"/>
        <v>0</v>
      </c>
      <c r="AF1182" s="12"/>
      <c r="AG1182" s="12"/>
      <c r="AH1182" s="12"/>
      <c r="AI1182" s="12">
        <f t="shared" si="331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82"/>
      <c r="D1183" s="32"/>
      <c r="E1183" s="32"/>
      <c r="F1183" s="32"/>
      <c r="G1183" s="32">
        <f t="shared" si="322"/>
        <v>0</v>
      </c>
      <c r="H1183" s="12"/>
      <c r="I1183" s="12"/>
      <c r="J1183" s="12"/>
      <c r="K1183" s="12">
        <f t="shared" si="323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324"/>
        <v>0</v>
      </c>
      <c r="T1183" s="12"/>
      <c r="U1183" s="12"/>
      <c r="V1183" s="12"/>
      <c r="W1183" s="12">
        <f t="shared" si="325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332"/>
        <v>0</v>
      </c>
      <c r="AF1183" s="12"/>
      <c r="AG1183" s="12"/>
      <c r="AH1183" s="12"/>
      <c r="AI1183" s="12">
        <f t="shared" si="331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D1184" s="32"/>
      <c r="E1184" s="32"/>
      <c r="F1184" s="32"/>
      <c r="G1184" s="32">
        <f t="shared" si="322"/>
        <v>0</v>
      </c>
      <c r="H1184" s="12"/>
      <c r="I1184" s="12"/>
      <c r="J1184" s="12"/>
      <c r="K1184" s="12">
        <f t="shared" si="323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324"/>
        <v>0</v>
      </c>
      <c r="T1184" s="12"/>
      <c r="U1184" s="12"/>
      <c r="V1184" s="12"/>
      <c r="W1184" s="12">
        <f t="shared" si="325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332"/>
        <v>0</v>
      </c>
      <c r="AF1184" s="12"/>
      <c r="AG1184" s="12"/>
      <c r="AH1184" s="12"/>
      <c r="AI1184" s="12">
        <f t="shared" si="331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82"/>
      <c r="D1185" s="32"/>
      <c r="E1185" s="32"/>
      <c r="F1185" s="32"/>
      <c r="G1185" s="32">
        <f t="shared" si="322"/>
        <v>0</v>
      </c>
      <c r="H1185" s="12"/>
      <c r="I1185" s="12"/>
      <c r="J1185" s="12"/>
      <c r="K1185" s="12">
        <f t="shared" si="323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324"/>
        <v>0</v>
      </c>
      <c r="T1185" s="12"/>
      <c r="U1185" s="12"/>
      <c r="V1185" s="12"/>
      <c r="W1185" s="12">
        <f t="shared" si="325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332"/>
        <v>0</v>
      </c>
      <c r="AF1185" s="12"/>
      <c r="AG1185" s="12"/>
      <c r="AH1185" s="12"/>
      <c r="AI1185" s="12">
        <f t="shared" si="331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82"/>
      <c r="D1186" s="32"/>
      <c r="E1186" s="32"/>
      <c r="F1186" s="32"/>
      <c r="G1186" s="32">
        <f t="shared" si="322"/>
        <v>0</v>
      </c>
      <c r="H1186" s="12"/>
      <c r="I1186" s="12"/>
      <c r="J1186" s="12"/>
      <c r="K1186" s="12">
        <f t="shared" si="323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324"/>
        <v>0</v>
      </c>
      <c r="T1186" s="12"/>
      <c r="U1186" s="12"/>
      <c r="V1186" s="12"/>
      <c r="W1186" s="12">
        <f t="shared" si="325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332"/>
        <v>0</v>
      </c>
      <c r="AF1186" s="12"/>
      <c r="AG1186" s="12"/>
      <c r="AH1186" s="12"/>
      <c r="AI1186" s="12">
        <f t="shared" si="331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57"/>
      <c r="D1187" s="32"/>
      <c r="E1187" s="32"/>
      <c r="F1187" s="32"/>
      <c r="G1187" s="32">
        <f t="shared" si="322"/>
        <v>0</v>
      </c>
      <c r="H1187" s="10"/>
      <c r="I1187" s="10"/>
      <c r="J1187" s="10"/>
      <c r="K1187" s="12">
        <f t="shared" si="323"/>
        <v>0</v>
      </c>
      <c r="M1187" s="10">
        <v>21</v>
      </c>
      <c r="N1187" s="30"/>
      <c r="O1187" s="31"/>
      <c r="P1187" s="91"/>
      <c r="Q1187" s="31"/>
      <c r="R1187" s="31"/>
      <c r="S1187" s="32">
        <f t="shared" si="324"/>
        <v>0</v>
      </c>
      <c r="T1187" s="10"/>
      <c r="U1187" s="10"/>
      <c r="V1187" s="10"/>
      <c r="W1187" s="12">
        <f t="shared" si="325"/>
        <v>0</v>
      </c>
      <c r="Y1187" s="10">
        <v>21</v>
      </c>
      <c r="Z1187" s="30"/>
      <c r="AB1187" s="46"/>
      <c r="AC1187" s="31"/>
      <c r="AD1187" s="31"/>
      <c r="AE1187" s="32">
        <f t="shared" si="332"/>
        <v>0</v>
      </c>
      <c r="AF1187" s="10"/>
      <c r="AG1187" s="10"/>
      <c r="AH1187" s="10"/>
      <c r="AI1187" s="12">
        <f t="shared" si="331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82"/>
      <c r="D1188" s="32"/>
      <c r="E1188" s="32"/>
      <c r="F1188" s="32"/>
      <c r="G1188" s="32">
        <f t="shared" si="322"/>
        <v>0</v>
      </c>
      <c r="H1188" s="10"/>
      <c r="I1188" s="10"/>
      <c r="J1188" s="10"/>
      <c r="K1188" s="12">
        <f t="shared" si="323"/>
        <v>0</v>
      </c>
      <c r="M1188" s="10">
        <v>22</v>
      </c>
      <c r="N1188" s="30"/>
      <c r="P1188" s="91"/>
      <c r="Q1188" s="31"/>
      <c r="R1188" s="31"/>
      <c r="S1188" s="32">
        <f t="shared" si="324"/>
        <v>0</v>
      </c>
      <c r="T1188" s="10"/>
      <c r="U1188" s="10"/>
      <c r="V1188" s="10"/>
      <c r="W1188" s="12">
        <f t="shared" si="325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332"/>
        <v>0</v>
      </c>
      <c r="AF1188" s="10"/>
      <c r="AG1188" s="10"/>
      <c r="AH1188" s="10"/>
      <c r="AI1188" s="12">
        <f t="shared" si="331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82"/>
      <c r="D1189" s="32"/>
      <c r="E1189" s="32"/>
      <c r="F1189" s="32"/>
      <c r="G1189" s="32">
        <f t="shared" si="322"/>
        <v>0</v>
      </c>
      <c r="H1189" s="10"/>
      <c r="I1189" s="10"/>
      <c r="J1189" s="12"/>
      <c r="K1189" s="12">
        <f t="shared" si="323"/>
        <v>0</v>
      </c>
      <c r="M1189" s="10">
        <v>23</v>
      </c>
      <c r="N1189" s="30"/>
      <c r="O1189" s="31"/>
      <c r="P1189" s="47"/>
      <c r="Q1189" s="31"/>
      <c r="S1189" s="32">
        <f t="shared" si="324"/>
        <v>0</v>
      </c>
      <c r="T1189" s="10"/>
      <c r="U1189" s="10"/>
      <c r="V1189" s="10"/>
      <c r="W1189" s="12">
        <f t="shared" si="325"/>
        <v>0</v>
      </c>
      <c r="Y1189" s="10">
        <v>23</v>
      </c>
      <c r="Z1189" s="30"/>
      <c r="AA1189" s="31"/>
      <c r="AB1189" s="47"/>
      <c r="AC1189" s="31"/>
      <c r="AE1189" s="32">
        <f t="shared" si="332"/>
        <v>0</v>
      </c>
      <c r="AF1189" s="10"/>
      <c r="AG1189" s="10"/>
      <c r="AH1189" s="10"/>
      <c r="AI1189" s="12">
        <f t="shared" si="331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82"/>
      <c r="D1190" s="32"/>
      <c r="E1190" s="32"/>
      <c r="F1190" s="32"/>
      <c r="G1190" s="32">
        <f t="shared" si="322"/>
        <v>0</v>
      </c>
      <c r="H1190" s="10"/>
      <c r="I1190" s="10"/>
      <c r="J1190" s="10"/>
      <c r="K1190" s="12">
        <f t="shared" si="323"/>
        <v>0</v>
      </c>
      <c r="M1190" s="10">
        <v>24</v>
      </c>
      <c r="N1190" s="30"/>
      <c r="P1190" s="47"/>
      <c r="Q1190" s="31"/>
      <c r="R1190" s="31"/>
      <c r="S1190" s="32">
        <f t="shared" si="324"/>
        <v>0</v>
      </c>
      <c r="T1190" s="10"/>
      <c r="U1190" s="10"/>
      <c r="V1190" s="10"/>
      <c r="W1190" s="12">
        <f t="shared" si="325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332"/>
        <v>0</v>
      </c>
      <c r="AF1190" s="10"/>
      <c r="AG1190" s="10"/>
      <c r="AH1190" s="10"/>
      <c r="AI1190" s="12">
        <f t="shared" si="331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82"/>
      <c r="D1191" s="32"/>
      <c r="E1191" s="32"/>
      <c r="F1191" s="32"/>
      <c r="G1191" s="32">
        <f t="shared" si="322"/>
        <v>0</v>
      </c>
      <c r="H1191" s="10"/>
      <c r="I1191" s="10"/>
      <c r="J1191" s="10"/>
      <c r="K1191" s="12">
        <f t="shared" si="323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324"/>
        <v>0</v>
      </c>
      <c r="T1191" s="10"/>
      <c r="U1191" s="10"/>
      <c r="V1191" s="10"/>
      <c r="W1191" s="12">
        <f t="shared" si="325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332"/>
        <v>0</v>
      </c>
      <c r="AF1191" s="10"/>
      <c r="AG1191" s="10"/>
      <c r="AH1191" s="10"/>
      <c r="AI1191" s="12">
        <f t="shared" si="331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57"/>
      <c r="D1192" s="32"/>
      <c r="E1192" s="32"/>
      <c r="F1192" s="32"/>
      <c r="G1192" s="32">
        <f t="shared" si="322"/>
        <v>0</v>
      </c>
      <c r="H1192" s="10"/>
      <c r="I1192" s="10"/>
      <c r="J1192" s="10"/>
      <c r="K1192" s="12">
        <f t="shared" si="323"/>
        <v>0</v>
      </c>
      <c r="M1192" s="10">
        <v>26</v>
      </c>
      <c r="N1192" s="30"/>
      <c r="O1192" s="31"/>
      <c r="P1192" s="47"/>
      <c r="Q1192" s="31"/>
      <c r="R1192" s="31"/>
      <c r="S1192" s="32">
        <f t="shared" si="324"/>
        <v>0</v>
      </c>
      <c r="T1192" s="10"/>
      <c r="U1192" s="10"/>
      <c r="V1192" s="10"/>
      <c r="W1192" s="12">
        <f t="shared" si="325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332"/>
        <v>0</v>
      </c>
      <c r="AF1192" s="10"/>
      <c r="AG1192" s="10"/>
      <c r="AH1192" s="10"/>
      <c r="AI1192" s="12">
        <f t="shared" si="331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82"/>
      <c r="D1193" s="32"/>
      <c r="E1193" s="32"/>
      <c r="F1193" s="32"/>
      <c r="G1193" s="32">
        <f t="shared" si="322"/>
        <v>0</v>
      </c>
      <c r="H1193" s="10"/>
      <c r="I1193" s="10"/>
      <c r="J1193" s="10"/>
      <c r="K1193" s="12">
        <f t="shared" si="323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324"/>
        <v>0</v>
      </c>
      <c r="T1193" s="10"/>
      <c r="U1193" s="10"/>
      <c r="V1193" s="10"/>
      <c r="W1193" s="12">
        <f t="shared" si="325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332"/>
        <v>0</v>
      </c>
      <c r="AF1193" s="10"/>
      <c r="AG1193" s="10"/>
      <c r="AH1193" s="10"/>
      <c r="AI1193" s="12">
        <f t="shared" si="331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82"/>
      <c r="D1194" s="32"/>
      <c r="E1194" s="32"/>
      <c r="F1194" s="32"/>
      <c r="G1194" s="32">
        <f t="shared" si="322"/>
        <v>0</v>
      </c>
      <c r="H1194" s="10"/>
      <c r="I1194" s="10"/>
      <c r="J1194" s="10"/>
      <c r="K1194" s="12">
        <f t="shared" si="323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324"/>
        <v>0</v>
      </c>
      <c r="T1194" s="10"/>
      <c r="U1194" s="10"/>
      <c r="V1194" s="10"/>
      <c r="W1194" s="12">
        <f t="shared" si="325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332"/>
        <v>0</v>
      </c>
      <c r="AF1194" s="10"/>
      <c r="AG1194" s="10"/>
      <c r="AH1194" s="10"/>
      <c r="AI1194" s="12">
        <f t="shared" si="331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82"/>
      <c r="D1195" s="32"/>
      <c r="E1195" s="32"/>
      <c r="F1195" s="32"/>
      <c r="G1195" s="32">
        <f t="shared" si="322"/>
        <v>0</v>
      </c>
      <c r="H1195" s="10"/>
      <c r="I1195" s="10"/>
      <c r="J1195" s="10"/>
      <c r="K1195" s="12">
        <f t="shared" si="323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324"/>
        <v>0</v>
      </c>
      <c r="T1195" s="10"/>
      <c r="U1195" s="10"/>
      <c r="V1195" s="10"/>
      <c r="W1195" s="12">
        <f t="shared" si="325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332"/>
        <v>0</v>
      </c>
      <c r="AF1195" s="10"/>
      <c r="AG1195" s="10"/>
      <c r="AH1195" s="10"/>
      <c r="AI1195" s="12">
        <f t="shared" si="331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57"/>
      <c r="D1196" s="32"/>
      <c r="E1196" s="32"/>
      <c r="F1196" s="32"/>
      <c r="G1196" s="32">
        <f t="shared" si="322"/>
        <v>0</v>
      </c>
      <c r="H1196" s="10"/>
      <c r="I1196" s="10"/>
      <c r="J1196" s="10"/>
      <c r="K1196" s="12">
        <f t="shared" si="323"/>
        <v>0</v>
      </c>
      <c r="M1196" s="10">
        <v>30</v>
      </c>
      <c r="N1196" s="30"/>
      <c r="P1196" s="47"/>
      <c r="Q1196" s="31"/>
      <c r="R1196" s="31"/>
      <c r="S1196" s="32">
        <f t="shared" si="324"/>
        <v>0</v>
      </c>
      <c r="T1196" s="10"/>
      <c r="U1196" s="10"/>
      <c r="V1196" s="10"/>
      <c r="W1196" s="12">
        <f t="shared" si="325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332"/>
        <v>0</v>
      </c>
      <c r="AF1196" s="10"/>
      <c r="AG1196" s="10"/>
      <c r="AH1196" s="10"/>
      <c r="AI1196" s="12">
        <f t="shared" si="331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11"/>
      <c r="D1197" s="32"/>
      <c r="E1197" s="32"/>
      <c r="F1197" s="32"/>
      <c r="G1197" s="32">
        <f t="shared" si="322"/>
        <v>0</v>
      </c>
      <c r="H1197" s="10"/>
      <c r="I1197" s="10"/>
      <c r="J1197" s="10"/>
      <c r="K1197" s="12">
        <f t="shared" si="323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324"/>
        <v>0</v>
      </c>
      <c r="T1197" s="10"/>
      <c r="U1197" s="10"/>
      <c r="V1197" s="10"/>
      <c r="W1197" s="12">
        <f t="shared" si="325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332"/>
        <v>0</v>
      </c>
      <c r="AF1197" s="10"/>
      <c r="AG1197" s="10"/>
      <c r="AH1197" s="10"/>
      <c r="AI1197" s="12">
        <f t="shared" si="331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82"/>
      <c r="D1198" s="32"/>
      <c r="E1198" s="32"/>
      <c r="F1198" s="32"/>
      <c r="G1198" s="32">
        <f t="shared" si="322"/>
        <v>0</v>
      </c>
      <c r="H1198" s="10"/>
      <c r="I1198" s="10"/>
      <c r="J1198" s="10"/>
      <c r="K1198" s="12">
        <f t="shared" si="323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324"/>
        <v>0</v>
      </c>
      <c r="T1198" s="10"/>
      <c r="U1198" s="10"/>
      <c r="V1198" s="10"/>
      <c r="W1198" s="12">
        <f t="shared" si="325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332"/>
        <v>0</v>
      </c>
      <c r="AF1198" s="10"/>
      <c r="AG1198" s="10"/>
      <c r="AH1198" s="10"/>
      <c r="AI1198" s="12">
        <f t="shared" si="331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82"/>
      <c r="D1199" s="32"/>
      <c r="E1199" s="32"/>
      <c r="F1199" s="32"/>
      <c r="G1199" s="32">
        <f t="shared" si="322"/>
        <v>0</v>
      </c>
      <c r="H1199" s="10"/>
      <c r="I1199" s="10"/>
      <c r="J1199" s="10"/>
      <c r="K1199" s="12">
        <f t="shared" si="323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324"/>
        <v>0</v>
      </c>
      <c r="T1199" s="10"/>
      <c r="U1199" s="10"/>
      <c r="V1199" s="10"/>
      <c r="W1199" s="12">
        <f t="shared" si="325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332"/>
        <v>0</v>
      </c>
      <c r="AF1199" s="10"/>
      <c r="AG1199" s="10"/>
      <c r="AH1199" s="10"/>
      <c r="AI1199" s="12">
        <f t="shared" si="331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82"/>
      <c r="D1200" s="32"/>
      <c r="E1200" s="32"/>
      <c r="F1200" s="32"/>
      <c r="G1200" s="32">
        <f t="shared" si="322"/>
        <v>0</v>
      </c>
      <c r="H1200" s="10"/>
      <c r="I1200" s="10"/>
      <c r="J1200" s="10"/>
      <c r="K1200" s="12">
        <f t="shared" si="323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324"/>
        <v>0</v>
      </c>
      <c r="T1200" s="10"/>
      <c r="U1200" s="10"/>
      <c r="V1200" s="10"/>
      <c r="W1200" s="12">
        <f t="shared" si="325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332"/>
        <v>0</v>
      </c>
      <c r="AF1200" s="10"/>
      <c r="AG1200" s="10"/>
      <c r="AH1200" s="10"/>
      <c r="AI1200" s="12">
        <f t="shared" si="331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82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324"/>
        <v>0</v>
      </c>
      <c r="T1201" s="10"/>
      <c r="U1201" s="10"/>
      <c r="V1201" s="10"/>
      <c r="W1201" s="12">
        <f t="shared" si="325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332"/>
        <v>0</v>
      </c>
      <c r="AF1201" s="10"/>
      <c r="AG1201" s="10"/>
      <c r="AH1201" s="10"/>
      <c r="AI1201" s="12">
        <f t="shared" si="331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82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324"/>
        <v>0</v>
      </c>
      <c r="T1202" s="10"/>
      <c r="U1202" s="10"/>
      <c r="V1202" s="10"/>
      <c r="W1202" s="12">
        <f t="shared" si="325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332"/>
        <v>0</v>
      </c>
      <c r="AF1202" s="10"/>
      <c r="AG1202" s="10"/>
      <c r="AH1202" s="10"/>
      <c r="AI1202" s="12">
        <f t="shared" si="331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3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324"/>
        <v>0</v>
      </c>
      <c r="T1203" s="10"/>
      <c r="U1203" s="10"/>
      <c r="V1203" s="10"/>
      <c r="W1203" s="12">
        <f t="shared" si="325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332"/>
        <v>0</v>
      </c>
      <c r="AF1203" s="10"/>
      <c r="AG1203" s="10"/>
      <c r="AH1203" s="10"/>
      <c r="AI1203" s="12">
        <f t="shared" si="331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324"/>
        <v>0</v>
      </c>
      <c r="T1204" s="10"/>
      <c r="U1204" s="10"/>
      <c r="V1204" s="10"/>
      <c r="W1204" s="12">
        <f t="shared" si="325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332"/>
        <v>0</v>
      </c>
      <c r="AF1204" s="10"/>
      <c r="AG1204" s="10"/>
      <c r="AH1204" s="10"/>
      <c r="AI1204" s="12">
        <f t="shared" si="331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324"/>
        <v>0</v>
      </c>
      <c r="T1205" s="10"/>
      <c r="U1205" s="10"/>
      <c r="V1205" s="10"/>
      <c r="W1205" s="12">
        <f t="shared" si="325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332"/>
        <v>0</v>
      </c>
      <c r="AF1205" s="10"/>
      <c r="AG1205" s="10"/>
      <c r="AH1205" s="10"/>
      <c r="AI1205" s="12">
        <f t="shared" si="331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325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331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333">SUM(D1207:E1207)</f>
        <v>0</v>
      </c>
      <c r="H1207" s="10"/>
      <c r="I1207" s="10"/>
      <c r="J1207" s="10"/>
      <c r="K1207" s="12">
        <f t="shared" ref="K1207" si="334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335">SUM(P1207:Q1207)</f>
        <v>0</v>
      </c>
      <c r="T1207" s="10"/>
      <c r="U1207" s="10"/>
      <c r="V1207" s="10"/>
      <c r="W1207" s="12">
        <f t="shared" si="325"/>
        <v>0</v>
      </c>
      <c r="Y1207" s="10"/>
      <c r="Z1207" s="30"/>
      <c r="AA1207" s="31"/>
      <c r="AB1207" s="47"/>
      <c r="AC1207" s="31"/>
      <c r="AD1207" s="31"/>
      <c r="AE1207" s="32">
        <f t="shared" ref="AE1207" si="336">SUM(AB1207:AC1207)</f>
        <v>0</v>
      </c>
      <c r="AF1207" s="10"/>
      <c r="AG1207" s="10"/>
      <c r="AH1207" s="10"/>
      <c r="AI1207" s="12">
        <f t="shared" si="331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325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331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214779</v>
      </c>
      <c r="E1210" s="38">
        <f t="shared" ref="E1210:G1210" si="337">SUM(E1167:E1207)</f>
        <v>-1812</v>
      </c>
      <c r="F1210" s="38">
        <f t="shared" si="337"/>
        <v>0</v>
      </c>
      <c r="G1210" s="38">
        <f>SUM(G1167:G1209)</f>
        <v>212967</v>
      </c>
      <c r="H1210" s="4"/>
      <c r="I1210" s="39">
        <f>SUM(I1167:I1209)</f>
        <v>252</v>
      </c>
      <c r="J1210" s="39">
        <f>SUM(J1167:J1209)</f>
        <v>-14652</v>
      </c>
      <c r="K1210" s="40">
        <f>SUM(K1167:K1209)</f>
        <v>198567</v>
      </c>
      <c r="N1210" s="57"/>
      <c r="O1210" s="57"/>
      <c r="P1210" s="38">
        <f>SUM(P1167:P1209)</f>
        <v>205178.5</v>
      </c>
      <c r="Q1210" s="38">
        <f>SUM(Q1167:Q1191)</f>
        <v>-1152</v>
      </c>
      <c r="R1210" s="38">
        <f>SUM(R1167:R1191)</f>
        <v>0</v>
      </c>
      <c r="S1210" s="38">
        <f>SUM(S1167:S1209)</f>
        <v>204026.5</v>
      </c>
      <c r="T1210" s="4"/>
      <c r="U1210" s="41">
        <f>SUM(U1167:U1209)</f>
        <v>6174</v>
      </c>
      <c r="V1210" s="41">
        <f>SUM(V1167:V1191)</f>
        <v>-3441</v>
      </c>
      <c r="W1210" s="42">
        <f>SUM(W1167:W1209)</f>
        <v>206759.5</v>
      </c>
      <c r="Z1210" s="57"/>
      <c r="AA1210" s="57"/>
      <c r="AB1210" s="38">
        <f>SUM(AB1167:AB1209)</f>
        <v>204581</v>
      </c>
      <c r="AC1210" s="38">
        <f>SUM(AC1167:AC1191)</f>
        <v>-1626</v>
      </c>
      <c r="AD1210" s="38">
        <f>SUM(AD1167:AD1191)</f>
        <v>0</v>
      </c>
      <c r="AE1210" s="38">
        <f>SUM(AE1167:AE1209)</f>
        <v>202955</v>
      </c>
      <c r="AF1210" s="4"/>
      <c r="AG1210" s="41">
        <f>SUM(AG1167:AG1209)</f>
        <v>654</v>
      </c>
      <c r="AH1210" s="41">
        <f>SUM(AH1167:AH1191)</f>
        <v>-12927</v>
      </c>
      <c r="AI1210" s="42">
        <f>SUM(AI1167:AI1209)</f>
        <v>190682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5"/>
      <c r="C1213" s="85"/>
      <c r="D1213" s="85"/>
      <c r="E1213" s="85"/>
      <c r="F1213" s="85"/>
      <c r="G1213" s="85"/>
      <c r="H1213" s="62"/>
      <c r="I1213" s="62"/>
      <c r="J1213" s="62"/>
      <c r="K1213" s="62"/>
      <c r="L1213" s="62"/>
      <c r="M1213" s="62"/>
      <c r="N1213" s="85"/>
      <c r="O1213" s="85"/>
      <c r="P1213" s="85"/>
      <c r="Q1213" s="85"/>
      <c r="R1213" s="85"/>
      <c r="S1213" s="85"/>
      <c r="T1213" s="62"/>
      <c r="U1213" s="62"/>
      <c r="V1213" s="62"/>
      <c r="W1213" s="62"/>
      <c r="X1213" s="62"/>
      <c r="Y1213" s="62"/>
      <c r="Z1213" s="85"/>
      <c r="AA1213" s="85"/>
      <c r="AB1213" s="85"/>
      <c r="AC1213" s="85"/>
      <c r="AD1213" s="85"/>
      <c r="AE1213" s="85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5"/>
      <c r="C1214" s="85"/>
      <c r="D1214" s="85"/>
      <c r="E1214" s="85"/>
      <c r="F1214" s="85"/>
      <c r="G1214" s="85"/>
      <c r="H1214" s="62"/>
      <c r="I1214" s="62"/>
      <c r="J1214" s="62"/>
      <c r="K1214" s="62"/>
      <c r="L1214" s="62"/>
      <c r="M1214" s="62"/>
      <c r="N1214" s="85"/>
      <c r="O1214" s="85"/>
      <c r="P1214" s="85"/>
      <c r="Q1214" s="85"/>
      <c r="R1214" s="85"/>
      <c r="S1214" s="85"/>
      <c r="T1214" s="62"/>
      <c r="U1214" s="62"/>
      <c r="V1214" s="62"/>
      <c r="W1214" s="62"/>
      <c r="X1214" s="62"/>
      <c r="Y1214" s="62"/>
      <c r="Z1214" s="85"/>
      <c r="AA1214" s="85"/>
      <c r="AB1214" s="85"/>
      <c r="AC1214" s="85"/>
      <c r="AD1214" s="85"/>
      <c r="AE1214" s="85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5"/>
      <c r="C1215" s="85"/>
      <c r="D1215" s="85"/>
      <c r="E1215" s="85"/>
      <c r="F1215" s="85"/>
      <c r="G1215" s="85"/>
      <c r="H1215" s="62"/>
      <c r="I1215" s="62"/>
      <c r="J1215" s="62"/>
      <c r="K1215" s="62"/>
      <c r="L1215" s="62"/>
      <c r="M1215" s="62"/>
      <c r="N1215" s="85"/>
      <c r="O1215" s="85"/>
      <c r="P1215" s="85"/>
      <c r="Q1215" s="85"/>
      <c r="R1215" s="85"/>
      <c r="S1215" s="85"/>
      <c r="T1215" s="62"/>
      <c r="U1215" s="62"/>
      <c r="V1215" s="62"/>
      <c r="W1215" s="62"/>
      <c r="X1215" s="62"/>
      <c r="Y1215" s="62"/>
      <c r="Z1215" s="85"/>
      <c r="AA1215" s="85"/>
      <c r="AB1215" s="85"/>
      <c r="AC1215" s="85"/>
      <c r="AD1215" s="85"/>
      <c r="AE1215" s="85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5"/>
      <c r="C1216" s="85"/>
      <c r="D1216" s="85"/>
      <c r="E1216" s="85"/>
      <c r="F1216" s="85"/>
      <c r="G1216" s="85"/>
      <c r="H1216" s="62"/>
      <c r="I1216" s="62"/>
      <c r="J1216" s="62"/>
      <c r="K1216" s="62"/>
      <c r="L1216" s="62"/>
      <c r="M1216" s="63"/>
      <c r="N1216" s="85"/>
      <c r="O1216" s="85"/>
      <c r="P1216" s="85"/>
      <c r="Q1216" s="85"/>
      <c r="R1216" s="85"/>
      <c r="S1216" s="85"/>
      <c r="T1216" s="62"/>
      <c r="U1216" s="62"/>
      <c r="V1216" s="62"/>
      <c r="W1216" s="62"/>
      <c r="X1216" s="62"/>
      <c r="Y1216" s="63"/>
      <c r="Z1216" s="85"/>
      <c r="AA1216" s="85"/>
      <c r="AB1216" s="85"/>
      <c r="AC1216" s="85"/>
      <c r="AD1216" s="85"/>
      <c r="AE1216" s="85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5"/>
      <c r="C1217" s="85"/>
      <c r="D1217" s="85"/>
      <c r="E1217" s="85"/>
      <c r="F1217" s="85"/>
      <c r="G1217" s="85"/>
      <c r="H1217" s="62"/>
      <c r="I1217" s="62"/>
      <c r="J1217" s="62"/>
      <c r="K1217" s="62"/>
      <c r="L1217" s="62"/>
      <c r="M1217" s="62"/>
      <c r="N1217" s="85"/>
      <c r="O1217" s="85"/>
      <c r="P1217" s="85"/>
      <c r="Q1217" s="85"/>
      <c r="R1217" s="85"/>
      <c r="S1217" s="85"/>
      <c r="T1217" s="62"/>
      <c r="U1217" s="62"/>
      <c r="V1217" s="62"/>
      <c r="W1217" s="62"/>
      <c r="X1217" s="62"/>
      <c r="Y1217" s="62"/>
      <c r="Z1217" s="85"/>
      <c r="AA1217" s="85"/>
      <c r="AB1217" s="85"/>
      <c r="AC1217" s="85"/>
      <c r="AD1217" s="85"/>
      <c r="AE1217" s="85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5"/>
      <c r="C1218" s="85"/>
      <c r="D1218" s="85"/>
      <c r="E1218" s="85"/>
      <c r="F1218" s="85"/>
      <c r="G1218" s="85"/>
      <c r="H1218" s="62"/>
      <c r="I1218" s="85"/>
      <c r="J1218" s="73"/>
      <c r="K1218" s="62"/>
      <c r="L1218" s="62"/>
      <c r="M1218" s="62"/>
      <c r="N1218" s="85"/>
      <c r="O1218" s="85"/>
      <c r="P1218" s="85"/>
      <c r="Q1218" s="85"/>
      <c r="R1218" s="85"/>
      <c r="S1218" s="85"/>
      <c r="T1218" s="62"/>
      <c r="U1218" s="85"/>
      <c r="V1218" s="73"/>
      <c r="W1218" s="62"/>
      <c r="X1218" s="62"/>
      <c r="Y1218" s="62"/>
      <c r="Z1218" s="85"/>
      <c r="AA1218" s="85"/>
      <c r="AB1218" s="85"/>
      <c r="AC1218" s="85"/>
      <c r="AD1218" s="85"/>
      <c r="AE1218" s="85"/>
      <c r="AF1218" s="62"/>
      <c r="AG1218" s="85"/>
      <c r="AH1218" s="85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5"/>
      <c r="C1219" s="85"/>
      <c r="D1219" s="85"/>
      <c r="E1219" s="85"/>
      <c r="F1219" s="85"/>
      <c r="G1219" s="85"/>
      <c r="H1219" s="62"/>
      <c r="I1219" s="65"/>
      <c r="J1219" s="65"/>
      <c r="K1219" s="62"/>
      <c r="L1219" s="62"/>
      <c r="M1219" s="64"/>
      <c r="N1219" s="85"/>
      <c r="O1219" s="85"/>
      <c r="P1219" s="85"/>
      <c r="Q1219" s="85"/>
      <c r="R1219" s="85"/>
      <c r="S1219" s="85"/>
      <c r="T1219" s="62"/>
      <c r="U1219" s="65"/>
      <c r="V1219" s="65"/>
      <c r="W1219" s="62"/>
      <c r="X1219" s="62"/>
      <c r="Y1219" s="64"/>
      <c r="Z1219" s="85"/>
      <c r="AA1219" s="85"/>
      <c r="AB1219" s="85"/>
      <c r="AC1219" s="85"/>
      <c r="AD1219" s="85"/>
      <c r="AE1219" s="85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5"/>
      <c r="C1220" s="85"/>
      <c r="D1220" s="85"/>
      <c r="E1220" s="85"/>
      <c r="F1220" s="85"/>
      <c r="G1220" s="85"/>
      <c r="H1220" s="62"/>
      <c r="I1220" s="62"/>
      <c r="J1220" s="62"/>
      <c r="K1220" s="62"/>
      <c r="L1220" s="62"/>
      <c r="M1220" s="62"/>
      <c r="N1220" s="85"/>
      <c r="O1220" s="85"/>
      <c r="P1220" s="85"/>
      <c r="Q1220" s="85"/>
      <c r="R1220" s="85"/>
      <c r="S1220" s="85"/>
      <c r="T1220" s="62"/>
      <c r="U1220" s="62"/>
      <c r="V1220" s="62"/>
      <c r="W1220" s="62"/>
      <c r="X1220" s="62"/>
      <c r="Y1220" s="62"/>
      <c r="Z1220" s="85"/>
      <c r="AA1220" s="85"/>
      <c r="AB1220" s="85"/>
      <c r="AC1220" s="85"/>
      <c r="AD1220" s="85"/>
      <c r="AE1220" s="85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5"/>
      <c r="D1221" s="117"/>
      <c r="E1221" s="117"/>
      <c r="F1221" s="85"/>
      <c r="G1221" s="85"/>
      <c r="H1221" s="62"/>
      <c r="I1221" s="117"/>
      <c r="J1221" s="117"/>
      <c r="K1221" s="116"/>
      <c r="L1221" s="62"/>
      <c r="M1221" s="62"/>
      <c r="N1221" s="65"/>
      <c r="O1221" s="85"/>
      <c r="P1221" s="117"/>
      <c r="Q1221" s="117"/>
      <c r="R1221" s="85"/>
      <c r="S1221" s="85"/>
      <c r="T1221" s="62"/>
      <c r="U1221" s="117"/>
      <c r="V1221" s="117"/>
      <c r="W1221" s="116"/>
      <c r="X1221" s="62"/>
      <c r="Y1221" s="62"/>
      <c r="Z1221" s="65"/>
      <c r="AA1221" s="85"/>
      <c r="AB1221" s="117"/>
      <c r="AC1221" s="117"/>
      <c r="AD1221" s="85"/>
      <c r="AE1221" s="85"/>
      <c r="AF1221" s="62"/>
      <c r="AG1221" s="117"/>
      <c r="AH1221" s="117"/>
      <c r="AI1221" s="11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5"/>
      <c r="C1222" s="85"/>
      <c r="D1222" s="79"/>
      <c r="E1222" s="80"/>
      <c r="F1222" s="81"/>
      <c r="G1222" s="81"/>
      <c r="H1222" s="62"/>
      <c r="I1222" s="84"/>
      <c r="J1222" s="84"/>
      <c r="K1222" s="116"/>
      <c r="L1222" s="62"/>
      <c r="M1222" s="62"/>
      <c r="N1222" s="85"/>
      <c r="O1222" s="85"/>
      <c r="P1222" s="79"/>
      <c r="Q1222" s="81"/>
      <c r="R1222" s="81"/>
      <c r="S1222" s="81"/>
      <c r="T1222" s="62"/>
      <c r="U1222" s="84"/>
      <c r="V1222" s="84"/>
      <c r="W1222" s="116"/>
      <c r="X1222" s="62"/>
      <c r="Y1222" s="62"/>
      <c r="Z1222" s="85"/>
      <c r="AA1222" s="85"/>
      <c r="AB1222" s="79"/>
      <c r="AC1222" s="80"/>
      <c r="AD1222" s="81"/>
      <c r="AE1222" s="81"/>
      <c r="AF1222" s="62"/>
      <c r="AG1222" s="84"/>
      <c r="AH1222" s="84"/>
      <c r="AI1222" s="11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5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5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5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5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5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5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5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5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5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5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5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5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5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5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5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5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5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5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5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5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5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5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5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5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5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5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5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5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5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5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5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5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5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5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5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5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5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5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5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5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5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5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5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5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5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5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5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5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5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5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5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5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5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5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5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5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5"/>
      <c r="P1243" s="67"/>
      <c r="Q1243" s="85"/>
      <c r="R1243" s="85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5"/>
      <c r="P1244" s="68"/>
      <c r="Q1244" s="85"/>
      <c r="R1244" s="85"/>
      <c r="S1244" s="60"/>
      <c r="T1244" s="62"/>
      <c r="U1244" s="62"/>
      <c r="V1244" s="62"/>
      <c r="W1244" s="61"/>
      <c r="X1244" s="62"/>
      <c r="Y1244" s="62"/>
      <c r="Z1244" s="66"/>
      <c r="AA1244" s="85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5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5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5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5"/>
      <c r="P1246" s="69"/>
      <c r="Q1246" s="85"/>
      <c r="R1246" s="85"/>
      <c r="S1246" s="60"/>
      <c r="T1246" s="62"/>
      <c r="U1246" s="62"/>
      <c r="V1246" s="62"/>
      <c r="W1246" s="61"/>
      <c r="X1246" s="62"/>
      <c r="Y1246" s="62"/>
      <c r="Z1246" s="66"/>
      <c r="AA1246" s="85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5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5"/>
      <c r="P1247" s="69"/>
      <c r="Q1247" s="85"/>
      <c r="R1247" s="85"/>
      <c r="S1247" s="60"/>
      <c r="T1247" s="62"/>
      <c r="U1247" s="62"/>
      <c r="V1247" s="62"/>
      <c r="W1247" s="61"/>
      <c r="X1247" s="62"/>
      <c r="Y1247" s="62"/>
      <c r="Z1247" s="66"/>
      <c r="AA1247" s="85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5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5"/>
      <c r="P1248" s="69"/>
      <c r="Q1248" s="85"/>
      <c r="R1248" s="85"/>
      <c r="S1248" s="60"/>
      <c r="T1248" s="62"/>
      <c r="U1248" s="62"/>
      <c r="V1248" s="62"/>
      <c r="W1248" s="61"/>
      <c r="X1248" s="62"/>
      <c r="Y1248" s="62"/>
      <c r="Z1248" s="66"/>
      <c r="AA1248" s="85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5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5"/>
      <c r="P1249" s="69"/>
      <c r="Q1249" s="85"/>
      <c r="R1249" s="85"/>
      <c r="S1249" s="60"/>
      <c r="T1249" s="62"/>
      <c r="U1249" s="62"/>
      <c r="V1249" s="62"/>
      <c r="W1249" s="61"/>
      <c r="X1249" s="62"/>
      <c r="Y1249" s="62"/>
      <c r="Z1249" s="66"/>
      <c r="AA1249" s="85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5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5"/>
      <c r="P1250" s="69"/>
      <c r="Q1250" s="85"/>
      <c r="R1250" s="85"/>
      <c r="S1250" s="60"/>
      <c r="T1250" s="62"/>
      <c r="U1250" s="62"/>
      <c r="V1250" s="62"/>
      <c r="W1250" s="61"/>
      <c r="X1250" s="62"/>
      <c r="Y1250" s="62"/>
      <c r="Z1250" s="66"/>
      <c r="AA1250" s="85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5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5"/>
      <c r="P1251" s="69"/>
      <c r="Q1251" s="85"/>
      <c r="R1251" s="85"/>
      <c r="S1251" s="60"/>
      <c r="T1251" s="62"/>
      <c r="U1251" s="62"/>
      <c r="V1251" s="62"/>
      <c r="W1251" s="61"/>
      <c r="X1251" s="62"/>
      <c r="Y1251" s="62"/>
      <c r="Z1251" s="66"/>
      <c r="AA1251" s="85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5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5"/>
      <c r="P1252" s="69"/>
      <c r="Q1252" s="85"/>
      <c r="R1252" s="85"/>
      <c r="S1252" s="60"/>
      <c r="T1252" s="62"/>
      <c r="U1252" s="62"/>
      <c r="V1252" s="62"/>
      <c r="W1252" s="61"/>
      <c r="X1252" s="62"/>
      <c r="Y1252" s="62"/>
      <c r="Z1252" s="66"/>
      <c r="AA1252" s="85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5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5"/>
      <c r="R1253" s="85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5"/>
      <c r="P1254" s="69"/>
      <c r="Q1254" s="85"/>
      <c r="R1254" s="85"/>
      <c r="S1254" s="60"/>
      <c r="T1254" s="62"/>
      <c r="U1254" s="62"/>
      <c r="V1254" s="62"/>
      <c r="W1254" s="61"/>
      <c r="X1254" s="62"/>
      <c r="Y1254" s="62"/>
      <c r="Z1254" s="66"/>
      <c r="AA1254" s="85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5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5"/>
      <c r="P1255" s="69"/>
      <c r="Q1255" s="85"/>
      <c r="R1255" s="85"/>
      <c r="S1255" s="60"/>
      <c r="T1255" s="62"/>
      <c r="U1255" s="62"/>
      <c r="V1255" s="62"/>
      <c r="W1255" s="61"/>
      <c r="X1255" s="62"/>
      <c r="Y1255" s="62"/>
      <c r="Z1255" s="66"/>
      <c r="AA1255" s="85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5"/>
      <c r="P1256" s="69"/>
      <c r="Q1256" s="85"/>
      <c r="R1256" s="85"/>
      <c r="S1256" s="60"/>
      <c r="T1256" s="62"/>
      <c r="U1256" s="62"/>
      <c r="V1256" s="62"/>
      <c r="W1256" s="61"/>
      <c r="X1256" s="62"/>
      <c r="Y1256" s="62"/>
      <c r="Z1256" s="66"/>
      <c r="AA1256" s="85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5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5"/>
      <c r="P1257" s="69"/>
      <c r="Q1257" s="85"/>
      <c r="R1257" s="85"/>
      <c r="S1257" s="60"/>
      <c r="T1257" s="62"/>
      <c r="U1257" s="62"/>
      <c r="V1257" s="62"/>
      <c r="W1257" s="61"/>
      <c r="X1257" s="62"/>
      <c r="Y1257" s="62"/>
      <c r="Z1257" s="66"/>
      <c r="AA1257" s="85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5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5"/>
      <c r="P1258" s="69"/>
      <c r="Q1258" s="85"/>
      <c r="R1258" s="85"/>
      <c r="S1258" s="60"/>
      <c r="T1258" s="62"/>
      <c r="U1258" s="62"/>
      <c r="V1258" s="62"/>
      <c r="W1258" s="61"/>
      <c r="X1258" s="62"/>
      <c r="Y1258" s="62"/>
      <c r="Z1258" s="66"/>
      <c r="AA1258" s="85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5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5"/>
      <c r="P1259" s="69"/>
      <c r="Q1259" s="85"/>
      <c r="R1259" s="85"/>
      <c r="S1259" s="60"/>
      <c r="T1259" s="62"/>
      <c r="U1259" s="62"/>
      <c r="V1259" s="62"/>
      <c r="W1259" s="61"/>
      <c r="X1259" s="62"/>
      <c r="Y1259" s="62"/>
      <c r="Z1259" s="66"/>
      <c r="AA1259" s="85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5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5"/>
      <c r="P1260" s="69"/>
      <c r="Q1260" s="85"/>
      <c r="R1260" s="85"/>
      <c r="S1260" s="60"/>
      <c r="T1260" s="62"/>
      <c r="U1260" s="62"/>
      <c r="V1260" s="62"/>
      <c r="W1260" s="61"/>
      <c r="X1260" s="62"/>
      <c r="Y1260" s="62"/>
      <c r="Z1260" s="66"/>
      <c r="AA1260" s="85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5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5"/>
      <c r="P1261" s="69"/>
      <c r="Q1261" s="85"/>
      <c r="R1261" s="85"/>
      <c r="S1261" s="60"/>
      <c r="T1261" s="62"/>
      <c r="U1261" s="62"/>
      <c r="V1261" s="62"/>
      <c r="W1261" s="61"/>
      <c r="X1261" s="62"/>
      <c r="Y1261" s="62"/>
      <c r="Z1261" s="66"/>
      <c r="AA1261" s="85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5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5"/>
      <c r="P1262" s="69"/>
      <c r="Q1262" s="85"/>
      <c r="R1262" s="85"/>
      <c r="S1262" s="60"/>
      <c r="T1262" s="62"/>
      <c r="U1262" s="62"/>
      <c r="V1262" s="62"/>
      <c r="W1262" s="61"/>
      <c r="X1262" s="62"/>
      <c r="Y1262" s="62"/>
      <c r="Z1262" s="66"/>
      <c r="AA1262" s="85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5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5"/>
      <c r="P1263" s="69"/>
      <c r="Q1263" s="85"/>
      <c r="R1263" s="85"/>
      <c r="S1263" s="60"/>
      <c r="T1263" s="62"/>
      <c r="U1263" s="62"/>
      <c r="V1263" s="62"/>
      <c r="W1263" s="61"/>
      <c r="X1263" s="62"/>
      <c r="Y1263" s="62"/>
      <c r="Z1263" s="66"/>
      <c r="AA1263" s="85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5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5"/>
      <c r="P1264" s="69"/>
      <c r="Q1264" s="85"/>
      <c r="R1264" s="85"/>
      <c r="S1264" s="60"/>
      <c r="T1264" s="62"/>
      <c r="U1264" s="62"/>
      <c r="V1264" s="62"/>
      <c r="W1264" s="61"/>
      <c r="X1264" s="62"/>
      <c r="Y1264" s="62"/>
      <c r="Z1264" s="66"/>
      <c r="AA1264" s="85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5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5"/>
      <c r="P1265" s="69"/>
      <c r="Q1265" s="85"/>
      <c r="R1265" s="85"/>
      <c r="S1265" s="60"/>
      <c r="T1265" s="62"/>
      <c r="U1265" s="62"/>
      <c r="V1265" s="62"/>
      <c r="W1265" s="61"/>
      <c r="X1265" s="62"/>
      <c r="Y1265" s="62"/>
      <c r="Z1265" s="66"/>
      <c r="AA1265" s="85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5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5"/>
      <c r="P1266" s="69"/>
      <c r="Q1266" s="85"/>
      <c r="R1266" s="85"/>
      <c r="S1266" s="60"/>
      <c r="T1266" s="62"/>
      <c r="U1266" s="62"/>
      <c r="V1266" s="62"/>
      <c r="W1266" s="61"/>
      <c r="X1266" s="62"/>
      <c r="Y1266" s="62"/>
      <c r="Z1266" s="66"/>
      <c r="AA1266" s="85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5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5"/>
      <c r="P1267" s="69"/>
      <c r="Q1267" s="85"/>
      <c r="R1267" s="85"/>
      <c r="S1267" s="60"/>
      <c r="T1267" s="62"/>
      <c r="U1267" s="62"/>
      <c r="V1267" s="62"/>
      <c r="W1267" s="61"/>
      <c r="X1267" s="62"/>
      <c r="Y1267" s="62"/>
      <c r="Z1267" s="66"/>
      <c r="AA1267" s="85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5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5"/>
      <c r="P1268" s="69"/>
      <c r="Q1268" s="85"/>
      <c r="R1268" s="85"/>
      <c r="S1268" s="60"/>
      <c r="T1268" s="62"/>
      <c r="U1268" s="62"/>
      <c r="V1268" s="62"/>
      <c r="W1268" s="61"/>
      <c r="X1268" s="62"/>
      <c r="Y1268" s="62"/>
      <c r="Z1268" s="66"/>
      <c r="AA1268" s="85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5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5"/>
      <c r="P1269" s="69"/>
      <c r="Q1269" s="85"/>
      <c r="R1269" s="85"/>
      <c r="S1269" s="60"/>
      <c r="T1269" s="62"/>
      <c r="U1269" s="62"/>
      <c r="V1269" s="62"/>
      <c r="W1269" s="61"/>
      <c r="X1269" s="62"/>
      <c r="Y1269" s="62"/>
      <c r="Z1269" s="66"/>
      <c r="AA1269" s="85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5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5"/>
      <c r="R1270" s="85"/>
      <c r="S1270" s="60"/>
      <c r="T1270" s="62"/>
      <c r="U1270" s="62"/>
      <c r="V1270" s="62"/>
      <c r="W1270" s="61"/>
      <c r="X1270" s="62"/>
      <c r="Y1270" s="62"/>
      <c r="Z1270" s="66"/>
      <c r="AA1270" s="85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5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5"/>
      <c r="P1271" s="69"/>
      <c r="Q1271" s="85"/>
      <c r="R1271" s="85"/>
      <c r="S1271" s="60"/>
      <c r="T1271" s="62"/>
      <c r="U1271" s="62"/>
      <c r="V1271" s="62"/>
      <c r="W1271" s="61"/>
      <c r="X1271" s="62"/>
      <c r="Y1271" s="62"/>
      <c r="Z1271" s="66"/>
      <c r="AA1271" s="85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5"/>
      <c r="O1272" s="85"/>
      <c r="P1272" s="85"/>
      <c r="Q1272" s="85"/>
      <c r="R1272" s="85"/>
      <c r="S1272" s="85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5"/>
      <c r="C1273" s="85"/>
      <c r="D1273" s="85"/>
      <c r="E1273" s="85"/>
      <c r="F1273" s="85"/>
      <c r="G1273" s="85"/>
      <c r="H1273" s="62"/>
      <c r="I1273" s="62"/>
      <c r="J1273" s="62"/>
      <c r="K1273" s="62"/>
      <c r="L1273" s="62"/>
      <c r="M1273" s="62"/>
      <c r="N1273" s="85"/>
      <c r="O1273" s="85"/>
      <c r="P1273" s="85"/>
      <c r="Q1273" s="85"/>
      <c r="R1273" s="85"/>
      <c r="S1273" s="85"/>
      <c r="T1273" s="62"/>
      <c r="U1273" s="62"/>
      <c r="V1273" s="62"/>
      <c r="W1273" s="62"/>
      <c r="X1273" s="62"/>
      <c r="Y1273" s="62"/>
      <c r="Z1273" s="85"/>
      <c r="AA1273" s="85"/>
      <c r="AB1273" s="85"/>
      <c r="AC1273" s="85"/>
      <c r="AD1273" s="85"/>
      <c r="AE1273" s="85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5"/>
      <c r="C1274" s="85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5"/>
      <c r="O1274" s="85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5"/>
      <c r="AA1274" s="85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5"/>
      <c r="C1276" s="85"/>
      <c r="D1276" s="85"/>
      <c r="E1276" s="85"/>
      <c r="F1276" s="85"/>
      <c r="G1276" s="85"/>
      <c r="H1276" s="62"/>
      <c r="I1276" s="62"/>
      <c r="J1276" s="62"/>
      <c r="K1276" s="62"/>
      <c r="L1276" s="62"/>
      <c r="M1276" s="62"/>
      <c r="N1276" s="85"/>
      <c r="O1276" s="85"/>
      <c r="P1276" s="85"/>
      <c r="Q1276" s="85"/>
      <c r="R1276" s="85"/>
      <c r="S1276" s="85"/>
      <c r="T1276" s="62"/>
      <c r="U1276" s="62"/>
      <c r="V1276" s="62"/>
      <c r="W1276" s="62"/>
      <c r="X1276" s="62"/>
      <c r="Y1276" s="62"/>
      <c r="Z1276" s="85"/>
      <c r="AA1276" s="85"/>
      <c r="AB1276" s="85"/>
      <c r="AC1276" s="85"/>
      <c r="AD1276" s="85"/>
      <c r="AE1276" s="85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5"/>
      <c r="C1277" s="85"/>
      <c r="D1277" s="85"/>
      <c r="E1277" s="85"/>
      <c r="F1277" s="85"/>
      <c r="G1277" s="85"/>
      <c r="H1277" s="62"/>
      <c r="I1277" s="62"/>
      <c r="J1277" s="62"/>
      <c r="K1277" s="62"/>
      <c r="L1277" s="62"/>
      <c r="M1277" s="62"/>
      <c r="N1277" s="85"/>
      <c r="O1277" s="85"/>
      <c r="P1277" s="85"/>
      <c r="Q1277" s="85"/>
      <c r="R1277" s="85"/>
      <c r="S1277" s="85"/>
      <c r="T1277" s="62"/>
      <c r="U1277" s="62"/>
      <c r="V1277" s="62"/>
      <c r="W1277" s="62"/>
      <c r="X1277" s="62"/>
      <c r="Y1277" s="62"/>
      <c r="Z1277" s="85"/>
      <c r="AA1277" s="85"/>
      <c r="AB1277" s="85"/>
      <c r="AC1277" s="85"/>
      <c r="AD1277" s="85"/>
      <c r="AE1277" s="85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5"/>
      <c r="C1278" s="85"/>
      <c r="D1278" s="85"/>
      <c r="E1278" s="85"/>
      <c r="F1278" s="85"/>
      <c r="G1278" s="85"/>
      <c r="H1278" s="62"/>
      <c r="I1278" s="62"/>
      <c r="J1278" s="62"/>
      <c r="K1278" s="62"/>
      <c r="L1278" s="62"/>
      <c r="M1278" s="63"/>
      <c r="N1278" s="85"/>
      <c r="O1278" s="85"/>
      <c r="P1278" s="85"/>
      <c r="Q1278" s="85"/>
      <c r="R1278" s="85"/>
      <c r="S1278" s="85"/>
      <c r="T1278" s="62"/>
      <c r="U1278" s="62"/>
      <c r="V1278" s="62"/>
      <c r="W1278" s="62"/>
      <c r="X1278" s="62"/>
      <c r="Y1278" s="63"/>
      <c r="Z1278" s="85"/>
      <c r="AA1278" s="85"/>
      <c r="AB1278" s="85"/>
      <c r="AC1278" s="85"/>
      <c r="AD1278" s="85"/>
      <c r="AE1278" s="85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5"/>
      <c r="C1279" s="85"/>
      <c r="D1279" s="85"/>
      <c r="E1279" s="85"/>
      <c r="F1279" s="85"/>
      <c r="G1279" s="85"/>
      <c r="H1279" s="62"/>
      <c r="I1279" s="62"/>
      <c r="J1279" s="62"/>
      <c r="K1279" s="62"/>
      <c r="L1279" s="62"/>
      <c r="M1279" s="62"/>
      <c r="N1279" s="85"/>
      <c r="O1279" s="85"/>
      <c r="P1279" s="85"/>
      <c r="Q1279" s="85"/>
      <c r="R1279" s="85"/>
      <c r="S1279" s="85"/>
      <c r="T1279" s="62"/>
      <c r="U1279" s="62"/>
      <c r="V1279" s="62"/>
      <c r="W1279" s="62"/>
      <c r="X1279" s="62"/>
      <c r="Y1279" s="62"/>
      <c r="Z1279" s="85"/>
      <c r="AA1279" s="85"/>
      <c r="AB1279" s="85"/>
      <c r="AC1279" s="85"/>
      <c r="AD1279" s="85"/>
      <c r="AE1279" s="85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5"/>
      <c r="C1280" s="85"/>
      <c r="D1280" s="85"/>
      <c r="E1280" s="85"/>
      <c r="F1280" s="85"/>
      <c r="G1280" s="85"/>
      <c r="H1280" s="62"/>
      <c r="I1280" s="85"/>
      <c r="J1280" s="73"/>
      <c r="K1280" s="62"/>
      <c r="L1280" s="62"/>
      <c r="M1280" s="62"/>
      <c r="N1280" s="85"/>
      <c r="O1280" s="85"/>
      <c r="P1280" s="85"/>
      <c r="Q1280" s="85"/>
      <c r="R1280" s="85"/>
      <c r="S1280" s="85"/>
      <c r="T1280" s="62"/>
      <c r="U1280" s="85"/>
      <c r="V1280" s="73"/>
      <c r="W1280" s="62"/>
      <c r="X1280" s="62"/>
      <c r="Y1280" s="62"/>
      <c r="Z1280" s="85"/>
      <c r="AA1280" s="85"/>
      <c r="AB1280" s="85"/>
      <c r="AC1280" s="85"/>
      <c r="AD1280" s="85"/>
      <c r="AE1280" s="85"/>
      <c r="AF1280" s="62"/>
      <c r="AG1280" s="85"/>
      <c r="AH1280" s="85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5"/>
      <c r="C1281" s="85"/>
      <c r="D1281" s="85"/>
      <c r="E1281" s="85"/>
      <c r="F1281" s="85"/>
      <c r="G1281" s="85"/>
      <c r="H1281" s="62"/>
      <c r="I1281" s="65"/>
      <c r="J1281" s="65"/>
      <c r="K1281" s="62"/>
      <c r="L1281" s="62"/>
      <c r="M1281" s="64"/>
      <c r="N1281" s="85"/>
      <c r="O1281" s="85"/>
      <c r="P1281" s="85"/>
      <c r="Q1281" s="85"/>
      <c r="R1281" s="85"/>
      <c r="S1281" s="85"/>
      <c r="T1281" s="62"/>
      <c r="U1281" s="65"/>
      <c r="V1281" s="65"/>
      <c r="W1281" s="62"/>
      <c r="X1281" s="62"/>
      <c r="Y1281" s="64"/>
      <c r="Z1281" s="85"/>
      <c r="AA1281" s="85"/>
      <c r="AB1281" s="85"/>
      <c r="AC1281" s="85"/>
      <c r="AD1281" s="85"/>
      <c r="AE1281" s="85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5"/>
      <c r="C1282" s="85"/>
      <c r="D1282" s="85"/>
      <c r="E1282" s="85"/>
      <c r="F1282" s="85"/>
      <c r="G1282" s="85"/>
      <c r="H1282" s="62"/>
      <c r="I1282" s="62"/>
      <c r="J1282" s="62"/>
      <c r="K1282" s="62"/>
      <c r="L1282" s="62"/>
      <c r="M1282" s="62"/>
      <c r="N1282" s="85"/>
      <c r="O1282" s="85"/>
      <c r="P1282" s="85"/>
      <c r="Q1282" s="85"/>
      <c r="R1282" s="85"/>
      <c r="S1282" s="85"/>
      <c r="T1282" s="62"/>
      <c r="U1282" s="62"/>
      <c r="V1282" s="62"/>
      <c r="W1282" s="62"/>
      <c r="X1282" s="62"/>
      <c r="Y1282" s="62"/>
      <c r="Z1282" s="85"/>
      <c r="AA1282" s="85"/>
      <c r="AB1282" s="85"/>
      <c r="AC1282" s="85"/>
      <c r="AD1282" s="85"/>
      <c r="AE1282" s="85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5"/>
      <c r="D1283" s="117"/>
      <c r="E1283" s="117"/>
      <c r="F1283" s="85"/>
      <c r="G1283" s="85"/>
      <c r="H1283" s="62"/>
      <c r="I1283" s="117"/>
      <c r="J1283" s="117"/>
      <c r="K1283" s="116"/>
      <c r="L1283" s="62"/>
      <c r="M1283" s="62"/>
      <c r="N1283" s="65"/>
      <c r="O1283" s="85"/>
      <c r="P1283" s="117"/>
      <c r="Q1283" s="117"/>
      <c r="R1283" s="85"/>
      <c r="S1283" s="85"/>
      <c r="T1283" s="62"/>
      <c r="U1283" s="117"/>
      <c r="V1283" s="117"/>
      <c r="W1283" s="116"/>
      <c r="X1283" s="62"/>
      <c r="Y1283" s="62"/>
      <c r="Z1283" s="65"/>
      <c r="AA1283" s="85"/>
      <c r="AB1283" s="117"/>
      <c r="AC1283" s="117"/>
      <c r="AD1283" s="85"/>
      <c r="AE1283" s="85"/>
      <c r="AF1283" s="62"/>
      <c r="AG1283" s="117"/>
      <c r="AH1283" s="117"/>
      <c r="AI1283" s="11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5"/>
      <c r="C1284" s="85"/>
      <c r="D1284" s="85"/>
      <c r="E1284" s="84"/>
      <c r="F1284" s="84"/>
      <c r="G1284" s="84"/>
      <c r="H1284" s="62"/>
      <c r="I1284" s="84"/>
      <c r="J1284" s="84"/>
      <c r="K1284" s="116"/>
      <c r="L1284" s="62"/>
      <c r="M1284" s="62"/>
      <c r="N1284" s="85"/>
      <c r="O1284" s="85"/>
      <c r="P1284" s="85"/>
      <c r="Q1284" s="84"/>
      <c r="R1284" s="84"/>
      <c r="S1284" s="84"/>
      <c r="T1284" s="62"/>
      <c r="U1284" s="84"/>
      <c r="V1284" s="84"/>
      <c r="W1284" s="116"/>
      <c r="X1284" s="62"/>
      <c r="Y1284" s="62"/>
      <c r="Z1284" s="85"/>
      <c r="AA1284" s="85"/>
      <c r="AB1284" s="85"/>
      <c r="AC1284" s="84"/>
      <c r="AD1284" s="84"/>
      <c r="AE1284" s="84"/>
      <c r="AF1284" s="62"/>
      <c r="AG1284" s="84"/>
      <c r="AH1284" s="84"/>
      <c r="AI1284" s="11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5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5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5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5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5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5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5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5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5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5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5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5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5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5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5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5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5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5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5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5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5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5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5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5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5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5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5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5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5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5"/>
      <c r="D1295" s="85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5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5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5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5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5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5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5"/>
      <c r="D1298" s="60"/>
      <c r="E1298" s="85"/>
      <c r="F1298" s="85"/>
      <c r="G1298" s="60"/>
      <c r="H1298" s="61"/>
      <c r="I1298" s="61"/>
      <c r="J1298" s="62"/>
      <c r="K1298" s="61"/>
      <c r="L1298" s="62"/>
      <c r="M1298" s="62"/>
      <c r="N1298" s="66"/>
      <c r="O1298" s="85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5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5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5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5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5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5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5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5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5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5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5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5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5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5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5"/>
      <c r="D1304" s="85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5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5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5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5"/>
      <c r="P1305" s="67"/>
      <c r="Q1305" s="85"/>
      <c r="R1305" s="85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5"/>
      <c r="AD1305" s="85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5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5"/>
      <c r="P1306" s="68"/>
      <c r="Q1306" s="85"/>
      <c r="R1306" s="85"/>
      <c r="S1306" s="60"/>
      <c r="T1306" s="62"/>
      <c r="U1306" s="62"/>
      <c r="V1306" s="62"/>
      <c r="W1306" s="61"/>
      <c r="X1306" s="62"/>
      <c r="Y1306" s="62"/>
      <c r="Z1306" s="66"/>
      <c r="AA1306" s="85"/>
      <c r="AB1306" s="68"/>
      <c r="AC1306" s="85"/>
      <c r="AD1306" s="85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5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5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5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5"/>
      <c r="P1308" s="69"/>
      <c r="Q1308" s="85"/>
      <c r="R1308" s="85"/>
      <c r="S1308" s="60"/>
      <c r="T1308" s="62"/>
      <c r="U1308" s="62"/>
      <c r="V1308" s="62"/>
      <c r="W1308" s="61"/>
      <c r="X1308" s="62"/>
      <c r="Y1308" s="62"/>
      <c r="Z1308" s="66"/>
      <c r="AA1308" s="85"/>
      <c r="AB1308" s="69"/>
      <c r="AC1308" s="85"/>
      <c r="AD1308" s="85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5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5"/>
      <c r="P1309" s="69"/>
      <c r="Q1309" s="85"/>
      <c r="R1309" s="85"/>
      <c r="S1309" s="60"/>
      <c r="T1309" s="62"/>
      <c r="U1309" s="62"/>
      <c r="V1309" s="62"/>
      <c r="W1309" s="61"/>
      <c r="X1309" s="62"/>
      <c r="Y1309" s="62"/>
      <c r="Z1309" s="66"/>
      <c r="AA1309" s="85"/>
      <c r="AB1309" s="69"/>
      <c r="AC1309" s="85"/>
      <c r="AD1309" s="85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5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5"/>
      <c r="P1310" s="69"/>
      <c r="Q1310" s="85"/>
      <c r="R1310" s="85"/>
      <c r="S1310" s="60"/>
      <c r="T1310" s="62"/>
      <c r="U1310" s="62"/>
      <c r="V1310" s="62"/>
      <c r="W1310" s="61"/>
      <c r="X1310" s="62"/>
      <c r="Y1310" s="62"/>
      <c r="Z1310" s="66"/>
      <c r="AA1310" s="85"/>
      <c r="AB1310" s="69"/>
      <c r="AC1310" s="85"/>
      <c r="AD1310" s="85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5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5"/>
      <c r="P1311" s="69"/>
      <c r="Q1311" s="85"/>
      <c r="R1311" s="85"/>
      <c r="S1311" s="60"/>
      <c r="T1311" s="62"/>
      <c r="U1311" s="62"/>
      <c r="V1311" s="62"/>
      <c r="W1311" s="61"/>
      <c r="X1311" s="62"/>
      <c r="Y1311" s="62"/>
      <c r="Z1311" s="66"/>
      <c r="AA1311" s="85"/>
      <c r="AB1311" s="69"/>
      <c r="AC1311" s="85"/>
      <c r="AD1311" s="85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5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5"/>
      <c r="P1312" s="69"/>
      <c r="Q1312" s="85"/>
      <c r="R1312" s="85"/>
      <c r="S1312" s="60"/>
      <c r="T1312" s="62"/>
      <c r="U1312" s="62"/>
      <c r="V1312" s="62"/>
      <c r="W1312" s="61"/>
      <c r="X1312" s="62"/>
      <c r="Y1312" s="62"/>
      <c r="Z1312" s="66"/>
      <c r="AA1312" s="85"/>
      <c r="AB1312" s="69"/>
      <c r="AC1312" s="85"/>
      <c r="AD1312" s="85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5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5"/>
      <c r="P1313" s="69"/>
      <c r="Q1313" s="85"/>
      <c r="R1313" s="85"/>
      <c r="S1313" s="60"/>
      <c r="T1313" s="62"/>
      <c r="U1313" s="62"/>
      <c r="V1313" s="62"/>
      <c r="W1313" s="61"/>
      <c r="X1313" s="62"/>
      <c r="Y1313" s="62"/>
      <c r="Z1313" s="66"/>
      <c r="AA1313" s="85"/>
      <c r="AB1313" s="69"/>
      <c r="AC1313" s="85"/>
      <c r="AD1313" s="85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5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5"/>
      <c r="P1314" s="69"/>
      <c r="Q1314" s="85"/>
      <c r="R1314" s="85"/>
      <c r="S1314" s="60"/>
      <c r="T1314" s="62"/>
      <c r="U1314" s="62"/>
      <c r="V1314" s="62"/>
      <c r="W1314" s="61"/>
      <c r="X1314" s="62"/>
      <c r="Y1314" s="62"/>
      <c r="Z1314" s="66"/>
      <c r="AA1314" s="85"/>
      <c r="AB1314" s="69"/>
      <c r="AC1314" s="85"/>
      <c r="AD1314" s="85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5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5"/>
      <c r="P1315" s="69"/>
      <c r="Q1315" s="85"/>
      <c r="R1315" s="85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5"/>
      <c r="AD1315" s="85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5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5"/>
      <c r="P1316" s="69"/>
      <c r="Q1316" s="85"/>
      <c r="R1316" s="85"/>
      <c r="S1316" s="60"/>
      <c r="T1316" s="62"/>
      <c r="U1316" s="62"/>
      <c r="V1316" s="62"/>
      <c r="W1316" s="61"/>
      <c r="X1316" s="62"/>
      <c r="Y1316" s="62"/>
      <c r="Z1316" s="66"/>
      <c r="AA1316" s="85"/>
      <c r="AB1316" s="69"/>
      <c r="AC1316" s="85"/>
      <c r="AD1316" s="85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5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5"/>
      <c r="P1317" s="69"/>
      <c r="Q1317" s="85"/>
      <c r="R1317" s="85"/>
      <c r="S1317" s="60"/>
      <c r="T1317" s="62"/>
      <c r="U1317" s="62"/>
      <c r="V1317" s="62"/>
      <c r="W1317" s="61"/>
      <c r="X1317" s="62"/>
      <c r="Y1317" s="62"/>
      <c r="Z1317" s="66"/>
      <c r="AA1317" s="85"/>
      <c r="AB1317" s="69"/>
      <c r="AC1317" s="85"/>
      <c r="AD1317" s="85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5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5"/>
      <c r="P1318" s="69"/>
      <c r="Q1318" s="85"/>
      <c r="R1318" s="85"/>
      <c r="S1318" s="60"/>
      <c r="T1318" s="62"/>
      <c r="U1318" s="62"/>
      <c r="V1318" s="62"/>
      <c r="W1318" s="61"/>
      <c r="X1318" s="62"/>
      <c r="Y1318" s="62"/>
      <c r="Z1318" s="66"/>
      <c r="AA1318" s="85"/>
      <c r="AB1318" s="69"/>
      <c r="AC1318" s="85"/>
      <c r="AD1318" s="85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5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5"/>
      <c r="P1319" s="69"/>
      <c r="Q1319" s="85"/>
      <c r="R1319" s="85"/>
      <c r="S1319" s="60"/>
      <c r="T1319" s="62"/>
      <c r="U1319" s="62"/>
      <c r="V1319" s="62"/>
      <c r="W1319" s="61"/>
      <c r="X1319" s="62"/>
      <c r="Y1319" s="62"/>
      <c r="Z1319" s="66"/>
      <c r="AA1319" s="85"/>
      <c r="AB1319" s="69"/>
      <c r="AC1319" s="85"/>
      <c r="AD1319" s="85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5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5"/>
      <c r="P1320" s="69"/>
      <c r="Q1320" s="85"/>
      <c r="R1320" s="85"/>
      <c r="S1320" s="60"/>
      <c r="T1320" s="62"/>
      <c r="U1320" s="62"/>
      <c r="V1320" s="62"/>
      <c r="W1320" s="61"/>
      <c r="X1320" s="62"/>
      <c r="Y1320" s="62"/>
      <c r="Z1320" s="66"/>
      <c r="AA1320" s="85"/>
      <c r="AB1320" s="69"/>
      <c r="AC1320" s="85"/>
      <c r="AD1320" s="85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5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5"/>
      <c r="R1321" s="85"/>
      <c r="S1321" s="60"/>
      <c r="T1321" s="62"/>
      <c r="U1321" s="62"/>
      <c r="V1321" s="62"/>
      <c r="W1321" s="61"/>
      <c r="X1321" s="62"/>
      <c r="Y1321" s="62"/>
      <c r="Z1321" s="66"/>
      <c r="AA1321" s="85"/>
      <c r="AB1321" s="69"/>
      <c r="AC1321" s="85"/>
      <c r="AD1321" s="85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5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5"/>
      <c r="P1322" s="69"/>
      <c r="Q1322" s="85"/>
      <c r="R1322" s="85"/>
      <c r="S1322" s="60"/>
      <c r="T1322" s="62"/>
      <c r="U1322" s="62"/>
      <c r="V1322" s="62"/>
      <c r="W1322" s="61"/>
      <c r="X1322" s="62"/>
      <c r="Y1322" s="62"/>
      <c r="Z1322" s="66"/>
      <c r="AA1322" s="85"/>
      <c r="AB1322" s="69"/>
      <c r="AC1322" s="85"/>
      <c r="AD1322" s="85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5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5"/>
      <c r="P1323" s="69"/>
      <c r="Q1323" s="85"/>
      <c r="R1323" s="85"/>
      <c r="S1323" s="60"/>
      <c r="T1323" s="62"/>
      <c r="U1323" s="62"/>
      <c r="V1323" s="62"/>
      <c r="W1323" s="61"/>
      <c r="X1323" s="62"/>
      <c r="Y1323" s="62"/>
      <c r="Z1323" s="66"/>
      <c r="AA1323" s="85"/>
      <c r="AB1323" s="69"/>
      <c r="AC1323" s="85"/>
      <c r="AD1323" s="85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5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5"/>
      <c r="R1324" s="85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5"/>
      <c r="AD1324" s="85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5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5"/>
      <c r="P1325" s="69"/>
      <c r="Q1325" s="85"/>
      <c r="R1325" s="85"/>
      <c r="S1325" s="60"/>
      <c r="T1325" s="62"/>
      <c r="U1325" s="62"/>
      <c r="V1325" s="62"/>
      <c r="W1325" s="61"/>
      <c r="X1325" s="62"/>
      <c r="Y1325" s="62"/>
      <c r="Z1325" s="66"/>
      <c r="AA1325" s="85"/>
      <c r="AB1325" s="69"/>
      <c r="AC1325" s="85"/>
      <c r="AD1325" s="85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5"/>
      <c r="O1326" s="85"/>
      <c r="P1326" s="85"/>
      <c r="Q1326" s="85"/>
      <c r="R1326" s="85"/>
      <c r="S1326" s="85"/>
      <c r="T1326" s="62"/>
      <c r="U1326" s="62"/>
      <c r="V1326" s="62"/>
      <c r="W1326" s="61"/>
      <c r="X1326" s="62"/>
      <c r="Y1326" s="62"/>
      <c r="Z1326" s="85"/>
      <c r="AA1326" s="85"/>
      <c r="AB1326" s="85"/>
      <c r="AC1326" s="85"/>
      <c r="AD1326" s="85"/>
      <c r="AE1326" s="85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5"/>
      <c r="C1327" s="85"/>
      <c r="D1327" s="85"/>
      <c r="E1327" s="85"/>
      <c r="F1327" s="85"/>
      <c r="G1327" s="85"/>
      <c r="H1327" s="62"/>
      <c r="I1327" s="62"/>
      <c r="J1327" s="62"/>
      <c r="K1327" s="62"/>
      <c r="L1327" s="62"/>
      <c r="M1327" s="62"/>
      <c r="N1327" s="85"/>
      <c r="O1327" s="85"/>
      <c r="P1327" s="85"/>
      <c r="Q1327" s="85"/>
      <c r="R1327" s="85"/>
      <c r="S1327" s="85"/>
      <c r="T1327" s="62"/>
      <c r="U1327" s="62"/>
      <c r="V1327" s="62"/>
      <c r="W1327" s="62"/>
      <c r="X1327" s="62"/>
      <c r="Y1327" s="62"/>
      <c r="Z1327" s="85"/>
      <c r="AA1327" s="85"/>
      <c r="AB1327" s="85"/>
      <c r="AC1327" s="85"/>
      <c r="AD1327" s="85"/>
      <c r="AE1327" s="85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5"/>
      <c r="C1328" s="85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5"/>
      <c r="O1328" s="85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5"/>
      <c r="AA1328" s="85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5"/>
      <c r="C1330" s="85"/>
      <c r="D1330" s="85"/>
      <c r="E1330" s="85"/>
      <c r="F1330" s="85"/>
      <c r="G1330" s="85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5"/>
      <c r="C1331" s="85"/>
      <c r="D1331" s="85"/>
      <c r="E1331" s="85"/>
      <c r="F1331" s="85"/>
      <c r="G1331" s="85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5"/>
      <c r="C1332" s="85"/>
      <c r="D1332" s="85"/>
      <c r="E1332" s="85"/>
      <c r="F1332" s="85"/>
      <c r="G1332" s="85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5"/>
      <c r="C1333" s="85"/>
      <c r="D1333" s="85"/>
      <c r="E1333" s="85"/>
      <c r="F1333" s="85"/>
      <c r="G1333" s="85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5"/>
      <c r="C1334" s="85"/>
      <c r="D1334" s="85"/>
      <c r="E1334" s="85"/>
      <c r="F1334" s="85"/>
      <c r="G1334" s="85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5"/>
      <c r="C1335" s="85"/>
      <c r="D1335" s="85"/>
      <c r="E1335" s="85"/>
      <c r="F1335" s="85"/>
      <c r="G1335" s="85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5"/>
      <c r="C1336" s="85"/>
      <c r="D1336" s="85"/>
      <c r="E1336" s="85"/>
      <c r="F1336" s="85"/>
      <c r="G1336" s="85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5"/>
      <c r="C1337" s="85"/>
      <c r="D1337" s="85"/>
      <c r="E1337" s="85"/>
      <c r="F1337" s="85"/>
      <c r="G1337" s="85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5"/>
      <c r="C1338" s="85"/>
      <c r="D1338" s="85"/>
      <c r="E1338" s="85"/>
      <c r="F1338" s="85"/>
      <c r="G1338" s="85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5"/>
      <c r="C1339" s="85"/>
      <c r="D1339" s="85"/>
      <c r="E1339" s="85"/>
      <c r="F1339" s="85"/>
      <c r="G1339" s="85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5"/>
      <c r="C1340" s="85"/>
      <c r="D1340" s="85"/>
      <c r="E1340" s="85"/>
      <c r="F1340" s="85"/>
      <c r="G1340" s="85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5"/>
      <c r="C1341" s="85"/>
      <c r="D1341" s="85"/>
      <c r="E1341" s="85"/>
      <c r="F1341" s="85"/>
      <c r="G1341" s="85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5"/>
      <c r="C1342" s="85"/>
      <c r="D1342" s="85"/>
      <c r="E1342" s="85"/>
      <c r="F1342" s="85"/>
      <c r="G1342" s="85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5"/>
      <c r="C1343" s="85"/>
      <c r="D1343" s="85"/>
      <c r="E1343" s="85"/>
      <c r="F1343" s="85"/>
      <c r="G1343" s="85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5"/>
      <c r="C1344" s="85"/>
      <c r="D1344" s="85"/>
      <c r="E1344" s="85"/>
      <c r="F1344" s="85"/>
      <c r="G1344" s="85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5"/>
      <c r="C1345" s="85"/>
      <c r="D1345" s="85"/>
      <c r="E1345" s="85"/>
      <c r="F1345" s="85"/>
      <c r="G1345" s="85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5"/>
      <c r="C1346" s="85"/>
      <c r="D1346" s="85"/>
      <c r="E1346" s="85"/>
      <c r="F1346" s="85"/>
      <c r="G1346" s="85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5"/>
      <c r="C1347" s="85"/>
      <c r="D1347" s="85"/>
      <c r="E1347" s="85"/>
      <c r="F1347" s="85"/>
      <c r="G1347" s="85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5"/>
      <c r="C1348" s="85"/>
      <c r="D1348" s="85"/>
      <c r="E1348" s="85"/>
      <c r="F1348" s="85"/>
      <c r="G1348" s="85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5"/>
      <c r="C1349" s="85"/>
      <c r="D1349" s="85"/>
      <c r="E1349" s="85"/>
      <c r="F1349" s="85"/>
      <c r="G1349" s="85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5"/>
      <c r="C1350" s="85"/>
      <c r="D1350" s="85"/>
      <c r="E1350" s="85"/>
      <c r="F1350" s="85"/>
      <c r="G1350" s="85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5"/>
      <c r="C1351" s="85"/>
      <c r="D1351" s="85"/>
      <c r="E1351" s="85"/>
      <c r="F1351" s="85"/>
      <c r="G1351" s="85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5"/>
      <c r="C1352" s="85"/>
      <c r="D1352" s="85"/>
      <c r="E1352" s="85"/>
      <c r="F1352" s="85"/>
      <c r="G1352" s="85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5"/>
      <c r="C1353" s="85"/>
      <c r="D1353" s="85"/>
      <c r="E1353" s="85"/>
      <c r="F1353" s="85"/>
      <c r="G1353" s="85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5"/>
      <c r="C1354" s="85"/>
      <c r="D1354" s="85"/>
      <c r="E1354" s="85"/>
      <c r="F1354" s="85"/>
      <c r="G1354" s="85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5"/>
      <c r="C1355" s="85"/>
      <c r="D1355" s="85"/>
      <c r="E1355" s="85"/>
      <c r="F1355" s="85"/>
      <c r="G1355" s="85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5"/>
      <c r="C1356" s="85"/>
      <c r="D1356" s="85"/>
      <c r="E1356" s="85"/>
      <c r="F1356" s="85"/>
      <c r="G1356" s="85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5"/>
      <c r="C1357" s="85"/>
      <c r="D1357" s="85"/>
      <c r="E1357" s="85"/>
      <c r="F1357" s="85"/>
      <c r="G1357" s="85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5"/>
      <c r="C1358" s="85"/>
      <c r="D1358" s="85"/>
      <c r="E1358" s="85"/>
      <c r="F1358" s="85"/>
      <c r="G1358" s="85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5"/>
      <c r="C1359" s="85"/>
      <c r="D1359" s="85"/>
      <c r="E1359" s="85"/>
      <c r="F1359" s="85"/>
      <c r="G1359" s="85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5"/>
      <c r="C1360" s="85"/>
      <c r="D1360" s="85"/>
      <c r="E1360" s="85"/>
      <c r="F1360" s="85"/>
      <c r="G1360" s="85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5"/>
      <c r="C1361" s="85"/>
      <c r="D1361" s="85"/>
      <c r="E1361" s="85"/>
      <c r="F1361" s="85"/>
      <c r="G1361" s="85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5"/>
      <c r="C1362" s="85"/>
      <c r="D1362" s="85"/>
      <c r="E1362" s="85"/>
      <c r="F1362" s="85"/>
      <c r="G1362" s="85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5"/>
      <c r="C1363" s="85"/>
      <c r="D1363" s="85"/>
      <c r="E1363" s="85"/>
      <c r="F1363" s="85"/>
      <c r="G1363" s="85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5"/>
      <c r="C1364" s="85"/>
      <c r="D1364" s="85"/>
      <c r="E1364" s="85"/>
      <c r="F1364" s="85"/>
      <c r="G1364" s="85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5"/>
      <c r="C1365" s="85"/>
      <c r="D1365" s="85"/>
      <c r="E1365" s="85"/>
      <c r="F1365" s="85"/>
      <c r="G1365" s="85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5"/>
      <c r="C1366" s="85"/>
      <c r="D1366" s="85"/>
      <c r="E1366" s="85"/>
      <c r="F1366" s="85"/>
      <c r="G1366" s="85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5"/>
      <c r="C1367" s="85"/>
      <c r="D1367" s="85"/>
      <c r="E1367" s="85"/>
      <c r="F1367" s="85"/>
      <c r="G1367" s="85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5"/>
      <c r="C1368" s="85"/>
      <c r="D1368" s="85"/>
      <c r="E1368" s="85"/>
      <c r="F1368" s="85"/>
      <c r="G1368" s="85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5"/>
      <c r="C1369" s="85"/>
      <c r="D1369" s="85"/>
      <c r="E1369" s="85"/>
      <c r="F1369" s="85"/>
      <c r="G1369" s="85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5"/>
      <c r="C1370" s="85"/>
      <c r="D1370" s="85"/>
      <c r="E1370" s="85"/>
      <c r="F1370" s="85"/>
      <c r="G1370" s="85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5"/>
      <c r="C1371" s="85"/>
      <c r="D1371" s="85"/>
      <c r="E1371" s="85"/>
      <c r="F1371" s="85"/>
      <c r="G1371" s="85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5"/>
      <c r="C1372" s="85"/>
      <c r="D1372" s="85"/>
      <c r="E1372" s="85"/>
      <c r="F1372" s="85"/>
      <c r="G1372" s="85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5"/>
      <c r="C1373" s="85"/>
      <c r="D1373" s="85"/>
      <c r="E1373" s="85"/>
      <c r="F1373" s="85"/>
      <c r="G1373" s="85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5"/>
      <c r="C1374" s="85"/>
      <c r="D1374" s="85"/>
      <c r="E1374" s="85"/>
      <c r="F1374" s="85"/>
      <c r="G1374" s="85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5"/>
      <c r="C1375" s="85"/>
      <c r="D1375" s="85"/>
      <c r="E1375" s="85"/>
      <c r="F1375" s="85"/>
      <c r="G1375" s="85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5"/>
      <c r="C1376" s="85"/>
      <c r="D1376" s="85"/>
      <c r="E1376" s="85"/>
      <c r="F1376" s="85"/>
      <c r="G1376" s="85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5"/>
      <c r="C1377" s="85"/>
      <c r="D1377" s="85"/>
      <c r="E1377" s="85"/>
      <c r="F1377" s="85"/>
      <c r="G1377" s="85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5"/>
      <c r="C1378" s="85"/>
      <c r="D1378" s="85"/>
      <c r="E1378" s="85"/>
      <c r="F1378" s="85"/>
      <c r="G1378" s="85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5"/>
      <c r="C1379" s="85"/>
      <c r="D1379" s="85"/>
      <c r="E1379" s="85"/>
      <c r="F1379" s="85"/>
      <c r="G1379" s="85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5"/>
      <c r="C1380" s="85"/>
      <c r="D1380" s="85"/>
      <c r="E1380" s="85"/>
      <c r="F1380" s="85"/>
      <c r="G1380" s="85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5"/>
      <c r="C1381" s="85"/>
      <c r="D1381" s="85"/>
      <c r="E1381" s="85"/>
      <c r="F1381" s="85"/>
      <c r="G1381" s="85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5"/>
      <c r="C1382" s="85"/>
      <c r="D1382" s="85"/>
      <c r="E1382" s="85"/>
      <c r="F1382" s="85"/>
      <c r="G1382" s="85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5"/>
      <c r="C1383" s="85"/>
      <c r="D1383" s="85"/>
      <c r="E1383" s="85"/>
      <c r="F1383" s="85"/>
      <c r="G1383" s="85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5"/>
      <c r="C1384" s="85"/>
      <c r="D1384" s="85"/>
      <c r="E1384" s="85"/>
      <c r="F1384" s="85"/>
      <c r="G1384" s="85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5"/>
      <c r="C1385" s="85"/>
      <c r="D1385" s="85"/>
      <c r="E1385" s="85"/>
      <c r="F1385" s="85"/>
      <c r="G1385" s="85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5"/>
      <c r="C1386" s="85"/>
      <c r="D1386" s="85"/>
      <c r="E1386" s="85"/>
      <c r="F1386" s="85"/>
      <c r="G1386" s="85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5"/>
      <c r="C1387" s="85"/>
      <c r="D1387" s="85"/>
      <c r="E1387" s="85"/>
      <c r="F1387" s="85"/>
      <c r="G1387" s="85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5"/>
      <c r="C1388" s="85"/>
      <c r="D1388" s="85"/>
      <c r="E1388" s="85"/>
      <c r="F1388" s="85"/>
      <c r="G1388" s="85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5"/>
      <c r="C1389" s="85"/>
      <c r="D1389" s="85"/>
      <c r="E1389" s="85"/>
      <c r="F1389" s="85"/>
      <c r="G1389" s="85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5"/>
      <c r="C1390" s="85"/>
      <c r="D1390" s="85"/>
      <c r="E1390" s="85"/>
      <c r="F1390" s="85"/>
      <c r="G1390" s="85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5"/>
      <c r="C1391" s="85"/>
      <c r="D1391" s="85"/>
      <c r="E1391" s="85"/>
      <c r="F1391" s="85"/>
      <c r="G1391" s="85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5"/>
      <c r="C1392" s="85"/>
      <c r="D1392" s="85"/>
      <c r="E1392" s="85"/>
      <c r="F1392" s="85"/>
      <c r="G1392" s="85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5"/>
      <c r="C1393" s="85"/>
      <c r="D1393" s="85"/>
      <c r="E1393" s="85"/>
      <c r="F1393" s="85"/>
      <c r="G1393" s="85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5"/>
      <c r="C1394" s="85"/>
      <c r="D1394" s="85"/>
      <c r="E1394" s="85"/>
      <c r="F1394" s="85"/>
      <c r="G1394" s="85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5"/>
      <c r="C1395" s="85"/>
      <c r="D1395" s="85"/>
      <c r="E1395" s="85"/>
      <c r="F1395" s="85"/>
      <c r="G1395" s="85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5"/>
      <c r="C1396" s="85"/>
      <c r="D1396" s="85"/>
      <c r="E1396" s="85"/>
      <c r="F1396" s="85"/>
      <c r="G1396" s="85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5"/>
      <c r="C1397" s="85"/>
      <c r="D1397" s="85"/>
      <c r="E1397" s="85"/>
      <c r="F1397" s="85"/>
      <c r="G1397" s="85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5"/>
      <c r="C1398" s="85"/>
      <c r="D1398" s="85"/>
      <c r="E1398" s="85"/>
      <c r="F1398" s="85"/>
      <c r="G1398" s="85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5"/>
      <c r="C1399" s="85"/>
      <c r="D1399" s="85"/>
      <c r="E1399" s="85"/>
      <c r="F1399" s="85"/>
      <c r="G1399" s="85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5"/>
      <c r="C1400" s="85"/>
      <c r="D1400" s="85"/>
      <c r="E1400" s="85"/>
      <c r="F1400" s="85"/>
      <c r="G1400" s="85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5"/>
      <c r="C1401" s="85"/>
      <c r="D1401" s="85"/>
      <c r="E1401" s="85"/>
      <c r="F1401" s="85"/>
      <c r="G1401" s="85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5"/>
      <c r="C1402" s="85"/>
      <c r="D1402" s="85"/>
      <c r="E1402" s="85"/>
      <c r="F1402" s="85"/>
      <c r="G1402" s="85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5"/>
      <c r="C1403" s="85"/>
      <c r="D1403" s="85"/>
      <c r="E1403" s="85"/>
      <c r="F1403" s="85"/>
      <c r="G1403" s="85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5"/>
      <c r="C1404" s="85"/>
      <c r="D1404" s="85"/>
      <c r="E1404" s="85"/>
      <c r="F1404" s="85"/>
      <c r="G1404" s="85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5"/>
      <c r="C1405" s="85"/>
      <c r="D1405" s="85"/>
      <c r="E1405" s="85"/>
      <c r="F1405" s="85"/>
      <c r="G1405" s="85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5"/>
      <c r="C1406" s="85"/>
      <c r="D1406" s="85"/>
      <c r="E1406" s="85"/>
      <c r="F1406" s="85"/>
      <c r="G1406" s="85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5"/>
      <c r="C1407" s="85"/>
      <c r="D1407" s="85"/>
      <c r="E1407" s="85"/>
      <c r="F1407" s="85"/>
      <c r="G1407" s="85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5"/>
      <c r="C1408" s="85"/>
      <c r="D1408" s="85"/>
      <c r="E1408" s="85"/>
      <c r="F1408" s="85"/>
      <c r="G1408" s="85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5"/>
      <c r="C1409" s="85"/>
      <c r="D1409" s="85"/>
      <c r="E1409" s="85"/>
      <c r="F1409" s="85"/>
      <c r="G1409" s="85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5"/>
      <c r="C1410" s="85"/>
      <c r="D1410" s="85"/>
      <c r="E1410" s="85"/>
      <c r="F1410" s="85"/>
      <c r="G1410" s="85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5"/>
      <c r="C1411" s="85"/>
      <c r="D1411" s="85"/>
      <c r="E1411" s="85"/>
      <c r="F1411" s="85"/>
      <c r="G1411" s="85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5"/>
      <c r="C1412" s="85"/>
      <c r="D1412" s="85"/>
      <c r="E1412" s="85"/>
      <c r="F1412" s="85"/>
      <c r="G1412" s="85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5"/>
      <c r="C1413" s="85"/>
      <c r="D1413" s="85"/>
      <c r="E1413" s="85"/>
      <c r="F1413" s="85"/>
      <c r="G1413" s="85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5"/>
      <c r="C1414" s="85"/>
      <c r="D1414" s="85"/>
      <c r="E1414" s="85"/>
      <c r="F1414" s="85"/>
      <c r="G1414" s="85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5"/>
      <c r="C1415" s="85"/>
      <c r="D1415" s="85"/>
      <c r="E1415" s="85"/>
      <c r="F1415" s="85"/>
      <c r="G1415" s="85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5"/>
      <c r="C1416" s="85"/>
      <c r="D1416" s="85"/>
      <c r="E1416" s="85"/>
      <c r="F1416" s="85"/>
      <c r="G1416" s="85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5"/>
      <c r="C1417" s="85"/>
      <c r="D1417" s="85"/>
      <c r="E1417" s="85"/>
      <c r="F1417" s="85"/>
      <c r="G1417" s="85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5"/>
      <c r="C1418" s="85"/>
      <c r="D1418" s="85"/>
      <c r="E1418" s="85"/>
      <c r="F1418" s="85"/>
      <c r="G1418" s="85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5"/>
      <c r="C1419" s="85"/>
      <c r="D1419" s="85"/>
      <c r="E1419" s="85"/>
      <c r="F1419" s="85"/>
      <c r="G1419" s="85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5"/>
      <c r="C1420" s="85"/>
      <c r="D1420" s="85"/>
      <c r="E1420" s="85"/>
      <c r="F1420" s="85"/>
      <c r="G1420" s="85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5"/>
      <c r="C1421" s="85"/>
      <c r="D1421" s="85"/>
      <c r="E1421" s="85"/>
      <c r="F1421" s="85"/>
      <c r="G1421" s="85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5"/>
      <c r="C1422" s="85"/>
      <c r="D1422" s="85"/>
      <c r="E1422" s="85"/>
      <c r="F1422" s="85"/>
      <c r="G1422" s="85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5"/>
      <c r="C1423" s="85"/>
      <c r="D1423" s="85"/>
      <c r="E1423" s="85"/>
      <c r="F1423" s="85"/>
      <c r="G1423" s="85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5"/>
      <c r="C1424" s="85"/>
      <c r="D1424" s="85"/>
      <c r="E1424" s="85"/>
      <c r="F1424" s="85"/>
      <c r="G1424" s="85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5"/>
      <c r="C1425" s="85"/>
      <c r="D1425" s="85"/>
      <c r="E1425" s="85"/>
      <c r="F1425" s="85"/>
      <c r="G1425" s="85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5"/>
      <c r="C1426" s="85"/>
      <c r="D1426" s="85"/>
      <c r="E1426" s="85"/>
      <c r="F1426" s="85"/>
      <c r="G1426" s="85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5"/>
      <c r="C1427" s="85"/>
      <c r="D1427" s="85"/>
      <c r="E1427" s="85"/>
      <c r="F1427" s="85"/>
      <c r="G1427" s="85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5"/>
      <c r="C1428" s="85"/>
      <c r="D1428" s="85"/>
      <c r="E1428" s="85"/>
      <c r="F1428" s="85"/>
      <c r="G1428" s="85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5"/>
      <c r="C1429" s="85"/>
      <c r="D1429" s="85"/>
      <c r="E1429" s="85"/>
      <c r="F1429" s="85"/>
      <c r="G1429" s="85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5"/>
      <c r="C1430" s="85"/>
      <c r="D1430" s="85"/>
      <c r="E1430" s="85"/>
      <c r="F1430" s="85"/>
      <c r="G1430" s="85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5"/>
      <c r="C1431" s="85"/>
      <c r="D1431" s="85"/>
      <c r="E1431" s="85"/>
      <c r="F1431" s="85"/>
      <c r="G1431" s="85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5"/>
      <c r="C1432" s="85"/>
      <c r="D1432" s="85"/>
      <c r="E1432" s="85"/>
      <c r="F1432" s="85"/>
      <c r="G1432" s="85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5"/>
      <c r="C1433" s="85"/>
      <c r="D1433" s="85"/>
      <c r="E1433" s="85"/>
      <c r="F1433" s="85"/>
      <c r="G1433" s="85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5"/>
      <c r="C1434" s="85"/>
      <c r="D1434" s="85"/>
      <c r="E1434" s="85"/>
      <c r="F1434" s="85"/>
      <c r="G1434" s="85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5"/>
      <c r="C1435" s="85"/>
      <c r="D1435" s="85"/>
      <c r="E1435" s="85"/>
      <c r="F1435" s="85"/>
      <c r="G1435" s="85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5"/>
      <c r="C1436" s="85"/>
      <c r="D1436" s="85"/>
      <c r="E1436" s="85"/>
      <c r="F1436" s="85"/>
      <c r="G1436" s="85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5"/>
      <c r="C1437" s="85"/>
      <c r="D1437" s="85"/>
      <c r="E1437" s="85"/>
      <c r="F1437" s="85"/>
      <c r="G1437" s="85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5"/>
      <c r="C1438" s="85"/>
      <c r="D1438" s="85"/>
      <c r="E1438" s="85"/>
      <c r="F1438" s="85"/>
      <c r="G1438" s="85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5"/>
      <c r="C1439" s="85"/>
      <c r="D1439" s="85"/>
      <c r="E1439" s="85"/>
      <c r="F1439" s="85"/>
      <c r="G1439" s="85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5"/>
      <c r="C1440" s="85"/>
      <c r="D1440" s="85"/>
      <c r="E1440" s="85"/>
      <c r="F1440" s="85"/>
      <c r="G1440" s="85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5"/>
      <c r="C1441" s="85"/>
      <c r="D1441" s="85"/>
      <c r="E1441" s="85"/>
      <c r="F1441" s="85"/>
      <c r="G1441" s="85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5"/>
      <c r="C1442" s="85"/>
      <c r="D1442" s="85"/>
      <c r="E1442" s="85"/>
      <c r="F1442" s="85"/>
      <c r="G1442" s="85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5"/>
      <c r="C1443" s="85"/>
      <c r="D1443" s="85"/>
      <c r="E1443" s="85"/>
      <c r="F1443" s="85"/>
      <c r="G1443" s="85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5"/>
      <c r="C1444" s="85"/>
      <c r="D1444" s="85"/>
      <c r="E1444" s="85"/>
      <c r="F1444" s="85"/>
      <c r="G1444" s="85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5"/>
      <c r="C1445" s="85"/>
      <c r="D1445" s="85"/>
      <c r="E1445" s="85"/>
      <c r="F1445" s="85"/>
      <c r="G1445" s="85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5"/>
      <c r="C1446" s="85"/>
      <c r="D1446" s="85"/>
      <c r="E1446" s="85"/>
      <c r="F1446" s="85"/>
      <c r="G1446" s="85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5"/>
      <c r="C1447" s="85"/>
      <c r="D1447" s="85"/>
      <c r="E1447" s="85"/>
      <c r="F1447" s="85"/>
      <c r="G1447" s="85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5"/>
      <c r="C1448" s="85"/>
      <c r="D1448" s="85"/>
      <c r="E1448" s="85"/>
      <c r="F1448" s="85"/>
      <c r="G1448" s="85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5"/>
      <c r="C1449" s="85"/>
      <c r="D1449" s="85"/>
      <c r="E1449" s="85"/>
      <c r="F1449" s="85"/>
      <c r="G1449" s="85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5"/>
      <c r="C1450" s="85"/>
      <c r="D1450" s="85"/>
      <c r="E1450" s="85"/>
      <c r="F1450" s="85"/>
      <c r="G1450" s="85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5"/>
      <c r="C1451" s="85"/>
      <c r="D1451" s="85"/>
      <c r="E1451" s="85"/>
      <c r="F1451" s="85"/>
      <c r="G1451" s="85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5"/>
      <c r="C1452" s="85"/>
      <c r="D1452" s="85"/>
      <c r="E1452" s="85"/>
      <c r="F1452" s="85"/>
      <c r="G1452" s="85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5"/>
      <c r="C1453" s="85"/>
      <c r="D1453" s="85"/>
      <c r="E1453" s="85"/>
      <c r="F1453" s="85"/>
      <c r="G1453" s="85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5"/>
      <c r="C1454" s="85"/>
      <c r="D1454" s="85"/>
      <c r="E1454" s="85"/>
      <c r="F1454" s="85"/>
      <c r="G1454" s="85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5"/>
      <c r="C1455" s="85"/>
      <c r="D1455" s="85"/>
      <c r="E1455" s="85"/>
      <c r="F1455" s="85"/>
      <c r="G1455" s="85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5"/>
      <c r="C1456" s="85"/>
      <c r="D1456" s="85"/>
      <c r="E1456" s="85"/>
      <c r="F1456" s="85"/>
      <c r="G1456" s="85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5"/>
      <c r="C1457" s="85"/>
      <c r="D1457" s="85"/>
      <c r="E1457" s="85"/>
      <c r="F1457" s="85"/>
      <c r="G1457" s="85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5"/>
      <c r="C1458" s="85"/>
      <c r="D1458" s="85"/>
      <c r="E1458" s="85"/>
      <c r="F1458" s="85"/>
      <c r="G1458" s="85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5"/>
      <c r="C1459" s="85"/>
      <c r="D1459" s="85"/>
      <c r="E1459" s="85"/>
      <c r="F1459" s="85"/>
      <c r="G1459" s="85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5"/>
      <c r="C1460" s="85"/>
      <c r="D1460" s="85"/>
      <c r="E1460" s="85"/>
      <c r="F1460" s="85"/>
      <c r="G1460" s="85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5"/>
      <c r="C1461" s="85"/>
      <c r="D1461" s="85"/>
      <c r="E1461" s="85"/>
      <c r="F1461" s="85"/>
      <c r="G1461" s="85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5"/>
      <c r="C1462" s="85"/>
      <c r="D1462" s="85"/>
      <c r="E1462" s="85"/>
      <c r="F1462" s="85"/>
      <c r="G1462" s="85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5"/>
      <c r="C1463" s="85"/>
      <c r="D1463" s="85"/>
      <c r="E1463" s="85"/>
      <c r="F1463" s="85"/>
      <c r="G1463" s="85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5"/>
      <c r="C1464" s="85"/>
      <c r="D1464" s="85"/>
      <c r="E1464" s="85"/>
      <c r="F1464" s="85"/>
      <c r="G1464" s="85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5"/>
      <c r="C1465" s="85"/>
      <c r="D1465" s="85"/>
      <c r="E1465" s="85"/>
      <c r="F1465" s="85"/>
      <c r="G1465" s="85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5"/>
      <c r="C1466" s="85"/>
      <c r="D1466" s="85"/>
      <c r="E1466" s="85"/>
      <c r="F1466" s="85"/>
      <c r="G1466" s="85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5"/>
      <c r="C1467" s="85"/>
      <c r="D1467" s="85"/>
      <c r="E1467" s="85"/>
      <c r="F1467" s="85"/>
      <c r="G1467" s="85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5"/>
      <c r="C1468" s="85"/>
      <c r="D1468" s="85"/>
      <c r="E1468" s="85"/>
      <c r="F1468" s="85"/>
      <c r="G1468" s="85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5"/>
      <c r="C1469" s="85"/>
      <c r="D1469" s="85"/>
      <c r="E1469" s="85"/>
      <c r="F1469" s="85"/>
      <c r="G1469" s="85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5"/>
      <c r="C1470" s="85"/>
      <c r="D1470" s="85"/>
      <c r="E1470" s="85"/>
      <c r="F1470" s="85"/>
      <c r="G1470" s="85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5"/>
      <c r="C1471" s="85"/>
      <c r="D1471" s="85"/>
      <c r="E1471" s="85"/>
      <c r="F1471" s="85"/>
      <c r="G1471" s="85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5"/>
      <c r="C1472" s="85"/>
      <c r="D1472" s="85"/>
      <c r="E1472" s="85"/>
      <c r="F1472" s="85"/>
      <c r="G1472" s="85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5"/>
      <c r="C1473" s="85"/>
      <c r="D1473" s="85"/>
      <c r="E1473" s="85"/>
      <c r="F1473" s="85"/>
      <c r="G1473" s="85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5"/>
      <c r="C1474" s="85"/>
      <c r="D1474" s="85"/>
      <c r="E1474" s="85"/>
      <c r="F1474" s="85"/>
      <c r="G1474" s="85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5"/>
      <c r="C1475" s="85"/>
      <c r="D1475" s="85"/>
      <c r="E1475" s="85"/>
      <c r="F1475" s="85"/>
      <c r="G1475" s="85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5"/>
      <c r="C1476" s="85"/>
      <c r="D1476" s="85"/>
      <c r="E1476" s="85"/>
      <c r="F1476" s="85"/>
      <c r="G1476" s="85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5"/>
      <c r="C1477" s="85"/>
      <c r="D1477" s="85"/>
      <c r="E1477" s="85"/>
      <c r="F1477" s="85"/>
      <c r="G1477" s="85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5"/>
      <c r="C1478" s="85"/>
      <c r="D1478" s="85"/>
      <c r="E1478" s="85"/>
      <c r="F1478" s="85"/>
      <c r="G1478" s="85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5"/>
      <c r="C1479" s="85"/>
      <c r="D1479" s="85"/>
      <c r="E1479" s="85"/>
      <c r="F1479" s="85"/>
      <c r="G1479" s="85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5"/>
      <c r="C1480" s="85"/>
      <c r="D1480" s="85"/>
      <c r="E1480" s="85"/>
      <c r="F1480" s="85"/>
      <c r="G1480" s="85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5"/>
      <c r="C1481" s="85"/>
      <c r="D1481" s="85"/>
      <c r="E1481" s="85"/>
      <c r="F1481" s="85"/>
      <c r="G1481" s="85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5"/>
      <c r="C1482" s="85"/>
      <c r="D1482" s="85"/>
      <c r="E1482" s="85"/>
      <c r="F1482" s="85"/>
      <c r="G1482" s="85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5"/>
      <c r="C1483" s="85"/>
      <c r="D1483" s="85"/>
      <c r="E1483" s="85"/>
      <c r="F1483" s="85"/>
      <c r="G1483" s="85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5"/>
      <c r="C1484" s="85"/>
      <c r="D1484" s="85"/>
      <c r="E1484" s="85"/>
      <c r="F1484" s="85"/>
      <c r="G1484" s="85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5"/>
      <c r="C1485" s="85"/>
      <c r="D1485" s="85"/>
      <c r="E1485" s="85"/>
      <c r="F1485" s="85"/>
      <c r="G1485" s="85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5"/>
      <c r="C1486" s="85"/>
      <c r="D1486" s="85"/>
      <c r="E1486" s="85"/>
      <c r="F1486" s="85"/>
      <c r="G1486" s="85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5"/>
      <c r="C1487" s="85"/>
      <c r="D1487" s="85"/>
      <c r="E1487" s="85"/>
      <c r="F1487" s="85"/>
      <c r="G1487" s="85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5"/>
      <c r="C1488" s="85"/>
      <c r="D1488" s="85"/>
      <c r="E1488" s="85"/>
      <c r="F1488" s="85"/>
      <c r="G1488" s="85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5"/>
      <c r="C1489" s="85"/>
      <c r="D1489" s="85"/>
      <c r="E1489" s="85"/>
      <c r="F1489" s="85"/>
      <c r="G1489" s="85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5"/>
      <c r="C1490" s="85"/>
      <c r="D1490" s="85"/>
      <c r="E1490" s="85"/>
      <c r="F1490" s="85"/>
      <c r="G1490" s="85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5"/>
      <c r="C1491" s="85"/>
      <c r="D1491" s="85"/>
      <c r="E1491" s="85"/>
      <c r="F1491" s="85"/>
      <c r="G1491" s="85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5"/>
      <c r="C1492" s="85"/>
      <c r="D1492" s="85"/>
      <c r="E1492" s="85"/>
      <c r="F1492" s="85"/>
      <c r="G1492" s="85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5"/>
      <c r="C1493" s="85"/>
      <c r="D1493" s="85"/>
      <c r="E1493" s="85"/>
      <c r="F1493" s="85"/>
      <c r="G1493" s="85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5"/>
      <c r="C1494" s="85"/>
      <c r="D1494" s="85"/>
      <c r="E1494" s="85"/>
      <c r="F1494" s="85"/>
      <c r="G1494" s="85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5"/>
      <c r="C1495" s="85"/>
      <c r="D1495" s="85"/>
      <c r="E1495" s="85"/>
      <c r="F1495" s="85"/>
      <c r="G1495" s="85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5"/>
      <c r="C1496" s="85"/>
      <c r="D1496" s="85"/>
      <c r="E1496" s="85"/>
      <c r="F1496" s="85"/>
      <c r="G1496" s="85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5"/>
      <c r="C1497" s="85"/>
      <c r="D1497" s="85"/>
      <c r="E1497" s="85"/>
      <c r="F1497" s="85"/>
      <c r="G1497" s="85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5"/>
      <c r="C1498" s="85"/>
      <c r="D1498" s="85"/>
      <c r="E1498" s="85"/>
      <c r="F1498" s="85"/>
      <c r="G1498" s="85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5"/>
      <c r="C1499" s="85"/>
      <c r="D1499" s="85"/>
      <c r="E1499" s="85"/>
      <c r="F1499" s="85"/>
      <c r="G1499" s="85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5"/>
      <c r="C1500" s="85"/>
      <c r="D1500" s="85"/>
      <c r="E1500" s="85"/>
      <c r="F1500" s="85"/>
      <c r="G1500" s="85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5"/>
      <c r="C1501" s="85"/>
      <c r="D1501" s="85"/>
      <c r="E1501" s="85"/>
      <c r="F1501" s="85"/>
      <c r="G1501" s="85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5"/>
      <c r="C1502" s="85"/>
      <c r="D1502" s="85"/>
      <c r="E1502" s="85"/>
      <c r="F1502" s="85"/>
      <c r="G1502" s="85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5"/>
      <c r="C1503" s="85"/>
      <c r="D1503" s="85"/>
      <c r="E1503" s="85"/>
      <c r="F1503" s="85"/>
      <c r="G1503" s="85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5"/>
      <c r="C1504" s="85"/>
      <c r="D1504" s="85"/>
      <c r="E1504" s="85"/>
      <c r="F1504" s="85"/>
      <c r="G1504" s="85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5"/>
      <c r="C1505" s="85"/>
      <c r="D1505" s="85"/>
      <c r="E1505" s="85"/>
      <c r="F1505" s="85"/>
      <c r="G1505" s="85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5"/>
      <c r="C1506" s="85"/>
      <c r="D1506" s="85"/>
      <c r="E1506" s="85"/>
      <c r="F1506" s="85"/>
      <c r="G1506" s="85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5"/>
      <c r="C1507" s="85"/>
      <c r="D1507" s="85"/>
      <c r="E1507" s="85"/>
      <c r="F1507" s="85"/>
      <c r="G1507" s="85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5"/>
      <c r="C1508" s="85"/>
      <c r="D1508" s="85"/>
      <c r="E1508" s="85"/>
      <c r="F1508" s="85"/>
      <c r="G1508" s="85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5"/>
      <c r="C1509" s="85"/>
      <c r="D1509" s="85"/>
      <c r="E1509" s="85"/>
      <c r="F1509" s="85"/>
      <c r="G1509" s="85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5"/>
      <c r="C1510" s="85"/>
      <c r="D1510" s="85"/>
      <c r="E1510" s="85"/>
      <c r="F1510" s="85"/>
      <c r="G1510" s="85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5"/>
      <c r="C1511" s="85"/>
      <c r="D1511" s="85"/>
      <c r="E1511" s="85"/>
      <c r="F1511" s="85"/>
      <c r="G1511" s="85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5"/>
      <c r="C1512" s="85"/>
      <c r="D1512" s="85"/>
      <c r="E1512" s="85"/>
      <c r="F1512" s="85"/>
      <c r="G1512" s="85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5"/>
      <c r="C1513" s="85"/>
      <c r="D1513" s="85"/>
      <c r="E1513" s="85"/>
      <c r="F1513" s="85"/>
      <c r="G1513" s="85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5"/>
      <c r="C1514" s="85"/>
      <c r="D1514" s="85"/>
      <c r="E1514" s="85"/>
      <c r="F1514" s="85"/>
      <c r="G1514" s="85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5"/>
      <c r="C1515" s="85"/>
      <c r="D1515" s="85"/>
      <c r="E1515" s="85"/>
      <c r="F1515" s="85"/>
      <c r="G1515" s="85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5"/>
      <c r="C1516" s="85"/>
      <c r="D1516" s="85"/>
      <c r="E1516" s="85"/>
      <c r="F1516" s="85"/>
      <c r="G1516" s="85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5"/>
      <c r="C1517" s="85"/>
      <c r="D1517" s="85"/>
      <c r="E1517" s="85"/>
      <c r="F1517" s="85"/>
      <c r="G1517" s="85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5"/>
      <c r="C1518" s="85"/>
      <c r="D1518" s="85"/>
      <c r="E1518" s="85"/>
      <c r="F1518" s="85"/>
      <c r="G1518" s="85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5"/>
      <c r="C1519" s="85"/>
      <c r="D1519" s="85"/>
      <c r="E1519" s="85"/>
      <c r="F1519" s="85"/>
      <c r="G1519" s="85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5"/>
      <c r="C1520" s="85"/>
      <c r="D1520" s="85"/>
      <c r="E1520" s="85"/>
      <c r="F1520" s="85"/>
      <c r="G1520" s="85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5"/>
      <c r="C1521" s="85"/>
      <c r="D1521" s="85"/>
      <c r="E1521" s="85"/>
      <c r="F1521" s="85"/>
      <c r="G1521" s="85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5"/>
      <c r="C1522" s="85"/>
      <c r="D1522" s="85"/>
      <c r="E1522" s="85"/>
      <c r="F1522" s="85"/>
      <c r="G1522" s="85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5"/>
      <c r="C1523" s="85"/>
      <c r="D1523" s="85"/>
      <c r="E1523" s="85"/>
      <c r="F1523" s="85"/>
      <c r="G1523" s="85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5"/>
      <c r="C1524" s="85"/>
      <c r="D1524" s="85"/>
      <c r="E1524" s="85"/>
      <c r="F1524" s="85"/>
      <c r="G1524" s="85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5"/>
      <c r="C1525" s="85"/>
      <c r="D1525" s="85"/>
      <c r="E1525" s="85"/>
      <c r="F1525" s="85"/>
      <c r="G1525" s="85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5"/>
      <c r="C1526" s="85"/>
      <c r="D1526" s="85"/>
      <c r="E1526" s="85"/>
      <c r="F1526" s="85"/>
      <c r="G1526" s="85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5"/>
      <c r="C1527" s="85"/>
      <c r="D1527" s="85"/>
      <c r="E1527" s="85"/>
      <c r="F1527" s="85"/>
      <c r="G1527" s="85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5"/>
      <c r="C1528" s="85"/>
      <c r="D1528" s="85"/>
      <c r="E1528" s="85"/>
      <c r="F1528" s="85"/>
      <c r="G1528" s="85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5"/>
      <c r="C1529" s="85"/>
      <c r="D1529" s="85"/>
      <c r="E1529" s="85"/>
      <c r="F1529" s="85"/>
      <c r="G1529" s="85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5"/>
      <c r="C1530" s="85"/>
      <c r="D1530" s="85"/>
      <c r="E1530" s="85"/>
      <c r="F1530" s="85"/>
      <c r="G1530" s="85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5"/>
      <c r="C1531" s="85"/>
      <c r="D1531" s="85"/>
      <c r="E1531" s="85"/>
      <c r="F1531" s="85"/>
      <c r="G1531" s="85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5"/>
      <c r="C1532" s="85"/>
      <c r="D1532" s="85"/>
      <c r="E1532" s="85"/>
      <c r="F1532" s="85"/>
      <c r="G1532" s="85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5"/>
      <c r="C1533" s="85"/>
      <c r="D1533" s="85"/>
      <c r="E1533" s="85"/>
      <c r="F1533" s="85"/>
      <c r="G1533" s="85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5"/>
      <c r="C1534" s="85"/>
      <c r="D1534" s="85"/>
      <c r="E1534" s="85"/>
      <c r="F1534" s="85"/>
      <c r="G1534" s="85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5"/>
      <c r="C1535" s="85"/>
      <c r="D1535" s="85"/>
      <c r="E1535" s="85"/>
      <c r="F1535" s="85"/>
      <c r="G1535" s="85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5"/>
      <c r="C1536" s="85"/>
      <c r="D1536" s="85"/>
      <c r="E1536" s="85"/>
      <c r="F1536" s="85"/>
      <c r="G1536" s="85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5"/>
      <c r="C1537" s="85"/>
      <c r="D1537" s="85"/>
      <c r="E1537" s="85"/>
      <c r="F1537" s="85"/>
      <c r="G1537" s="85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5"/>
      <c r="C1538" s="85"/>
      <c r="D1538" s="85"/>
      <c r="E1538" s="85"/>
      <c r="F1538" s="85"/>
      <c r="G1538" s="85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5"/>
      <c r="C1539" s="85"/>
      <c r="D1539" s="85"/>
      <c r="E1539" s="85"/>
      <c r="F1539" s="85"/>
      <c r="G1539" s="85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5"/>
      <c r="C1540" s="85"/>
      <c r="D1540" s="85"/>
      <c r="E1540" s="85"/>
      <c r="F1540" s="85"/>
      <c r="G1540" s="85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5"/>
      <c r="C1541" s="85"/>
      <c r="D1541" s="85"/>
      <c r="E1541" s="85"/>
      <c r="F1541" s="85"/>
      <c r="G1541" s="85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5"/>
      <c r="C1542" s="85"/>
      <c r="D1542" s="85"/>
      <c r="E1542" s="85"/>
      <c r="F1542" s="85"/>
      <c r="G1542" s="85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5"/>
      <c r="C1543" s="85"/>
      <c r="D1543" s="85"/>
      <c r="E1543" s="85"/>
      <c r="F1543" s="85"/>
      <c r="G1543" s="85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5"/>
      <c r="C1544" s="85"/>
      <c r="D1544" s="85"/>
      <c r="E1544" s="85"/>
      <c r="F1544" s="85"/>
      <c r="G1544" s="85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5"/>
      <c r="C1545" s="85"/>
      <c r="D1545" s="85"/>
      <c r="E1545" s="85"/>
      <c r="F1545" s="85"/>
      <c r="G1545" s="85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5"/>
      <c r="C1546" s="85"/>
      <c r="D1546" s="85"/>
      <c r="E1546" s="85"/>
      <c r="F1546" s="85"/>
      <c r="G1546" s="85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5"/>
      <c r="C1547" s="85"/>
      <c r="D1547" s="85"/>
      <c r="E1547" s="85"/>
      <c r="F1547" s="85"/>
      <c r="G1547" s="85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5"/>
      <c r="C1548" s="85"/>
      <c r="D1548" s="85"/>
      <c r="E1548" s="85"/>
      <c r="F1548" s="85"/>
      <c r="G1548" s="85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5"/>
      <c r="C1549" s="85"/>
      <c r="D1549" s="85"/>
      <c r="E1549" s="85"/>
      <c r="F1549" s="85"/>
      <c r="G1549" s="85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5"/>
      <c r="C1550" s="85"/>
      <c r="D1550" s="85"/>
      <c r="E1550" s="85"/>
      <c r="F1550" s="85"/>
      <c r="G1550" s="85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5"/>
      <c r="C1551" s="85"/>
      <c r="D1551" s="85"/>
      <c r="E1551" s="85"/>
      <c r="F1551" s="85"/>
      <c r="G1551" s="85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5"/>
      <c r="C1552" s="85"/>
      <c r="D1552" s="85"/>
      <c r="E1552" s="85"/>
      <c r="F1552" s="85"/>
      <c r="G1552" s="85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5"/>
      <c r="C1553" s="85"/>
      <c r="D1553" s="85"/>
      <c r="E1553" s="85"/>
      <c r="F1553" s="85"/>
      <c r="G1553" s="85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5"/>
      <c r="C1554" s="85"/>
      <c r="D1554" s="85"/>
      <c r="E1554" s="85"/>
      <c r="F1554" s="85"/>
      <c r="G1554" s="85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5"/>
      <c r="C1555" s="85"/>
      <c r="D1555" s="85"/>
      <c r="E1555" s="85"/>
      <c r="F1555" s="85"/>
      <c r="G1555" s="85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5"/>
      <c r="C1556" s="85"/>
      <c r="D1556" s="85"/>
      <c r="E1556" s="85"/>
      <c r="F1556" s="85"/>
      <c r="G1556" s="85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5"/>
      <c r="C1557" s="85"/>
      <c r="D1557" s="85"/>
      <c r="E1557" s="85"/>
      <c r="F1557" s="85"/>
      <c r="G1557" s="85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5"/>
      <c r="C1558" s="85"/>
      <c r="D1558" s="85"/>
      <c r="E1558" s="85"/>
      <c r="F1558" s="85"/>
      <c r="G1558" s="85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2026-02-27T00:47:35Z</dcterms:modified>
</cp:coreProperties>
</file>