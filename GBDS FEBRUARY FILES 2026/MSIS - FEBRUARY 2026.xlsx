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1EE35B1B-0F95-4879-8220-4C7DCDAB2978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729" i="2" l="1"/>
  <c r="AC729" i="2"/>
  <c r="AE729" i="2" s="1"/>
  <c r="AI729" i="2" s="1"/>
  <c r="AB729" i="2"/>
  <c r="AH728" i="2"/>
  <c r="AC728" i="2"/>
  <c r="AC770" i="2" s="1"/>
  <c r="AB728" i="2"/>
  <c r="AB770" i="2" s="1"/>
  <c r="AC727" i="2"/>
  <c r="AB727" i="2"/>
  <c r="AE727" i="2"/>
  <c r="AI727" i="2" s="1"/>
  <c r="AA728" i="2"/>
  <c r="AA729" i="2"/>
  <c r="AE730" i="2"/>
  <c r="AI730" i="2"/>
  <c r="AE731" i="2"/>
  <c r="AI731" i="2" s="1"/>
  <c r="AE732" i="2"/>
  <c r="AI732" i="2"/>
  <c r="AE733" i="2"/>
  <c r="AI733" i="2" s="1"/>
  <c r="AE734" i="2"/>
  <c r="AI734" i="2" s="1"/>
  <c r="AE735" i="2"/>
  <c r="AI735" i="2"/>
  <c r="AE736" i="2"/>
  <c r="AI736" i="2" s="1"/>
  <c r="AE737" i="2"/>
  <c r="AI737" i="2"/>
  <c r="AE738" i="2"/>
  <c r="AI738" i="2"/>
  <c r="AE739" i="2"/>
  <c r="AI739" i="2"/>
  <c r="AE740" i="2"/>
  <c r="AI740" i="2"/>
  <c r="AE741" i="2"/>
  <c r="AI741" i="2"/>
  <c r="AE742" i="2"/>
  <c r="AI742" i="2"/>
  <c r="AE743" i="2"/>
  <c r="AI743" i="2"/>
  <c r="AE744" i="2"/>
  <c r="AI744" i="2"/>
  <c r="AE745" i="2"/>
  <c r="AI745" i="2"/>
  <c r="AE746" i="2"/>
  <c r="AI746" i="2"/>
  <c r="AE747" i="2"/>
  <c r="AI747" i="2"/>
  <c r="AE748" i="2"/>
  <c r="AI748" i="2"/>
  <c r="AE749" i="2"/>
  <c r="AI749" i="2"/>
  <c r="AE750" i="2"/>
  <c r="AI750" i="2"/>
  <c r="AE751" i="2"/>
  <c r="AI751" i="2"/>
  <c r="AE752" i="2"/>
  <c r="AI752" i="2"/>
  <c r="AE753" i="2"/>
  <c r="AI753" i="2"/>
  <c r="AE754" i="2"/>
  <c r="AI754" i="2"/>
  <c r="AE755" i="2"/>
  <c r="AI755" i="2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/>
  <c r="AE764" i="2"/>
  <c r="AI764" i="2"/>
  <c r="AE765" i="2"/>
  <c r="AI765" i="2"/>
  <c r="AI766" i="2"/>
  <c r="AE767" i="2"/>
  <c r="AI767" i="2" s="1"/>
  <c r="AI768" i="2"/>
  <c r="AD770" i="2"/>
  <c r="AG770" i="2"/>
  <c r="AH770" i="2"/>
  <c r="P737" i="2"/>
  <c r="S737" i="2" s="1"/>
  <c r="W737" i="2" s="1"/>
  <c r="P736" i="2"/>
  <c r="P735" i="2"/>
  <c r="P734" i="2"/>
  <c r="S734" i="2" s="1"/>
  <c r="W734" i="2" s="1"/>
  <c r="P733" i="2"/>
  <c r="S733" i="2" s="1"/>
  <c r="W733" i="2" s="1"/>
  <c r="U732" i="2"/>
  <c r="U770" i="2" s="1"/>
  <c r="P732" i="2"/>
  <c r="S732" i="2" s="1"/>
  <c r="W732" i="2" s="1"/>
  <c r="Q731" i="2"/>
  <c r="Q770" i="2" s="1"/>
  <c r="P731" i="2"/>
  <c r="P730" i="2"/>
  <c r="S730" i="2" s="1"/>
  <c r="W730" i="2" s="1"/>
  <c r="P729" i="2"/>
  <c r="P728" i="2"/>
  <c r="P727" i="2"/>
  <c r="O730" i="2"/>
  <c r="O731" i="2" s="1"/>
  <c r="O732" i="2" s="1"/>
  <c r="O733" i="2" s="1"/>
  <c r="O734" i="2" s="1"/>
  <c r="O735" i="2" s="1"/>
  <c r="O736" i="2" s="1"/>
  <c r="O737" i="2" s="1"/>
  <c r="S727" i="2"/>
  <c r="W727" i="2"/>
  <c r="O728" i="2"/>
  <c r="O729" i="2" s="1"/>
  <c r="S728" i="2"/>
  <c r="W728" i="2" s="1"/>
  <c r="S729" i="2"/>
  <c r="W729" i="2"/>
  <c r="S735" i="2"/>
  <c r="W735" i="2"/>
  <c r="S736" i="2"/>
  <c r="W736" i="2"/>
  <c r="S738" i="2"/>
  <c r="W738" i="2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/>
  <c r="S751" i="2"/>
  <c r="W751" i="2"/>
  <c r="S752" i="2"/>
  <c r="W752" i="2"/>
  <c r="S753" i="2"/>
  <c r="W753" i="2"/>
  <c r="S754" i="2"/>
  <c r="W754" i="2"/>
  <c r="S755" i="2"/>
  <c r="W755" i="2" s="1"/>
  <c r="S756" i="2"/>
  <c r="W756" i="2"/>
  <c r="S757" i="2"/>
  <c r="W757" i="2" s="1"/>
  <c r="S758" i="2"/>
  <c r="W758" i="2"/>
  <c r="S759" i="2"/>
  <c r="W759" i="2"/>
  <c r="S760" i="2"/>
  <c r="W760" i="2"/>
  <c r="S761" i="2"/>
  <c r="W761" i="2"/>
  <c r="S762" i="2"/>
  <c r="W762" i="2"/>
  <c r="S763" i="2"/>
  <c r="W763" i="2" s="1"/>
  <c r="S764" i="2"/>
  <c r="W764" i="2"/>
  <c r="S765" i="2"/>
  <c r="W765" i="2" s="1"/>
  <c r="W766" i="2"/>
  <c r="S767" i="2"/>
  <c r="W767" i="2"/>
  <c r="W768" i="2"/>
  <c r="R770" i="2"/>
  <c r="V770" i="2"/>
  <c r="AE728" i="2" l="1"/>
  <c r="AI728" i="2" s="1"/>
  <c r="AE770" i="2"/>
  <c r="AI770" i="2"/>
  <c r="P770" i="2"/>
  <c r="S731" i="2"/>
  <c r="W731" i="2" s="1"/>
  <c r="W770" i="2" s="1"/>
  <c r="S770" i="2" l="1"/>
  <c r="D737" i="2" l="1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/>
  <c r="K732" i="2" s="1"/>
  <c r="D731" i="2"/>
  <c r="G731" i="2" s="1"/>
  <c r="K731" i="2" s="1"/>
  <c r="D730" i="2"/>
  <c r="G730" i="2" s="1"/>
  <c r="K730" i="2" s="1"/>
  <c r="D729" i="2"/>
  <c r="G729" i="2" s="1"/>
  <c r="K729" i="2" s="1"/>
  <c r="D728" i="2"/>
  <c r="D727" i="2"/>
  <c r="C731" i="2"/>
  <c r="C732" i="2" s="1"/>
  <c r="C733" i="2" s="1"/>
  <c r="C734" i="2" s="1"/>
  <c r="C735" i="2" s="1"/>
  <c r="C736" i="2" s="1"/>
  <c r="C737" i="2" s="1"/>
  <c r="G727" i="2"/>
  <c r="C728" i="2"/>
  <c r="C729" i="2" s="1"/>
  <c r="G728" i="2"/>
  <c r="K728" i="2" s="1"/>
  <c r="E770" i="2"/>
  <c r="I770" i="2"/>
  <c r="J770" i="2"/>
  <c r="G736" i="2"/>
  <c r="K736" i="2" s="1"/>
  <c r="G738" i="2"/>
  <c r="K738" i="2" s="1"/>
  <c r="G739" i="2"/>
  <c r="K739" i="2" s="1"/>
  <c r="G740" i="2"/>
  <c r="K740" i="2" s="1"/>
  <c r="G741" i="2"/>
  <c r="K741" i="2"/>
  <c r="G742" i="2"/>
  <c r="K742" i="2"/>
  <c r="G743" i="2"/>
  <c r="K743" i="2"/>
  <c r="G744" i="2"/>
  <c r="K744" i="2"/>
  <c r="G745" i="2"/>
  <c r="K745" i="2" s="1"/>
  <c r="G746" i="2"/>
  <c r="K746" i="2"/>
  <c r="G747" i="2"/>
  <c r="K747" i="2" s="1"/>
  <c r="G748" i="2"/>
  <c r="K748" i="2"/>
  <c r="G749" i="2"/>
  <c r="K749" i="2"/>
  <c r="G750" i="2"/>
  <c r="K750" i="2"/>
  <c r="G751" i="2"/>
  <c r="K751" i="2"/>
  <c r="G752" i="2"/>
  <c r="K752" i="2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 s="1"/>
  <c r="F770" i="2"/>
  <c r="D770" i="2" l="1"/>
  <c r="K727" i="2"/>
  <c r="K770" i="2" s="1"/>
  <c r="G770" i="2"/>
  <c r="AB675" i="2"/>
  <c r="AE675" i="2" s="1"/>
  <c r="AI675" i="2" s="1"/>
  <c r="AC674" i="2"/>
  <c r="AB674" i="2"/>
  <c r="AB673" i="2"/>
  <c r="AB672" i="2"/>
  <c r="AA673" i="2"/>
  <c r="AE673" i="2"/>
  <c r="AI673" i="2" s="1"/>
  <c r="AG715" i="2"/>
  <c r="AA674" i="2"/>
  <c r="AE674" i="2"/>
  <c r="AI674" i="2" s="1"/>
  <c r="AH715" i="2"/>
  <c r="AA675" i="2"/>
  <c r="AE676" i="2"/>
  <c r="AI676" i="2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 s="1"/>
  <c r="AE684" i="2"/>
  <c r="AI684" i="2"/>
  <c r="AE685" i="2"/>
  <c r="AI685" i="2"/>
  <c r="AE686" i="2"/>
  <c r="AI686" i="2"/>
  <c r="AE687" i="2"/>
  <c r="AI687" i="2"/>
  <c r="AE688" i="2"/>
  <c r="AI688" i="2" s="1"/>
  <c r="AE689" i="2"/>
  <c r="AI689" i="2"/>
  <c r="AE690" i="2"/>
  <c r="AI690" i="2" s="1"/>
  <c r="AE691" i="2"/>
  <c r="AI691" i="2" s="1"/>
  <c r="AE692" i="2"/>
  <c r="AI692" i="2"/>
  <c r="AE693" i="2"/>
  <c r="AI693" i="2"/>
  <c r="AE694" i="2"/>
  <c r="AI694" i="2"/>
  <c r="AE695" i="2"/>
  <c r="AI695" i="2"/>
  <c r="AE696" i="2"/>
  <c r="AI696" i="2"/>
  <c r="AE697" i="2"/>
  <c r="AI697" i="2"/>
  <c r="AE698" i="2"/>
  <c r="AI698" i="2" s="1"/>
  <c r="AE699" i="2"/>
  <c r="AI699" i="2" s="1"/>
  <c r="AE700" i="2"/>
  <c r="AI700" i="2"/>
  <c r="AE701" i="2"/>
  <c r="AI701" i="2"/>
  <c r="AE702" i="2"/>
  <c r="AI702" i="2"/>
  <c r="AE703" i="2"/>
  <c r="AI703" i="2"/>
  <c r="AE704" i="2"/>
  <c r="AI704" i="2"/>
  <c r="AE705" i="2"/>
  <c r="AI705" i="2"/>
  <c r="AE706" i="2"/>
  <c r="AI706" i="2" s="1"/>
  <c r="AE707" i="2"/>
  <c r="AI707" i="2" s="1"/>
  <c r="AE708" i="2"/>
  <c r="AI708" i="2"/>
  <c r="AE709" i="2"/>
  <c r="AI709" i="2"/>
  <c r="AE710" i="2"/>
  <c r="AI710" i="2"/>
  <c r="AI711" i="2"/>
  <c r="AE712" i="2"/>
  <c r="AI712" i="2"/>
  <c r="AI713" i="2"/>
  <c r="AC715" i="2"/>
  <c r="AD715" i="2"/>
  <c r="P674" i="2"/>
  <c r="U673" i="2"/>
  <c r="Q673" i="2"/>
  <c r="P673" i="2"/>
  <c r="S673" i="2" s="1"/>
  <c r="P672" i="2"/>
  <c r="S672" i="2" s="1"/>
  <c r="W672" i="2" s="1"/>
  <c r="O673" i="2"/>
  <c r="O674" i="2" s="1"/>
  <c r="S674" i="2"/>
  <c r="W674" i="2" s="1"/>
  <c r="S675" i="2"/>
  <c r="W675" i="2" s="1"/>
  <c r="S676" i="2"/>
  <c r="W676" i="2" s="1"/>
  <c r="S677" i="2"/>
  <c r="U715" i="2"/>
  <c r="W677" i="2"/>
  <c r="S678" i="2"/>
  <c r="W678" i="2"/>
  <c r="S679" i="2"/>
  <c r="W679" i="2"/>
  <c r="S680" i="2"/>
  <c r="W680" i="2"/>
  <c r="S681" i="2"/>
  <c r="W681" i="2"/>
  <c r="S682" i="2"/>
  <c r="W682" i="2" s="1"/>
  <c r="S683" i="2"/>
  <c r="W683" i="2"/>
  <c r="S684" i="2"/>
  <c r="W684" i="2"/>
  <c r="S685" i="2"/>
  <c r="W685" i="2"/>
  <c r="S686" i="2"/>
  <c r="W686" i="2"/>
  <c r="S687" i="2"/>
  <c r="W687" i="2"/>
  <c r="S688" i="2"/>
  <c r="W688" i="2"/>
  <c r="S689" i="2"/>
  <c r="W689" i="2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/>
  <c r="S697" i="2"/>
  <c r="W697" i="2"/>
  <c r="S698" i="2"/>
  <c r="W698" i="2" s="1"/>
  <c r="S699" i="2"/>
  <c r="W699" i="2"/>
  <c r="S700" i="2"/>
  <c r="W700" i="2"/>
  <c r="S701" i="2"/>
  <c r="W701" i="2"/>
  <c r="S702" i="2"/>
  <c r="W702" i="2"/>
  <c r="S703" i="2"/>
  <c r="W703" i="2"/>
  <c r="S704" i="2"/>
  <c r="W704" i="2"/>
  <c r="S705" i="2"/>
  <c r="W705" i="2"/>
  <c r="S706" i="2"/>
  <c r="W706" i="2" s="1"/>
  <c r="S707" i="2"/>
  <c r="W707" i="2"/>
  <c r="S708" i="2"/>
  <c r="W708" i="2"/>
  <c r="S709" i="2"/>
  <c r="W709" i="2"/>
  <c r="S710" i="2"/>
  <c r="W710" i="2"/>
  <c r="W711" i="2"/>
  <c r="S712" i="2"/>
  <c r="W712" i="2" s="1"/>
  <c r="W713" i="2"/>
  <c r="Q715" i="2"/>
  <c r="R715" i="2"/>
  <c r="V715" i="2"/>
  <c r="D675" i="2"/>
  <c r="G675" i="2" s="1"/>
  <c r="K675" i="2" s="1"/>
  <c r="J674" i="2"/>
  <c r="I674" i="2"/>
  <c r="E674" i="2"/>
  <c r="E715" i="2" s="1"/>
  <c r="D674" i="2"/>
  <c r="G674" i="2" s="1"/>
  <c r="K674" i="2" s="1"/>
  <c r="E673" i="2"/>
  <c r="D673" i="2"/>
  <c r="D672" i="2"/>
  <c r="G672" i="2" s="1"/>
  <c r="K672" i="2" s="1"/>
  <c r="C673" i="2"/>
  <c r="G673" i="2"/>
  <c r="K673" i="2" s="1"/>
  <c r="C674" i="2"/>
  <c r="C675" i="2" s="1"/>
  <c r="G676" i="2"/>
  <c r="K676" i="2"/>
  <c r="G677" i="2"/>
  <c r="K677" i="2"/>
  <c r="G678" i="2"/>
  <c r="K678" i="2"/>
  <c r="G679" i="2"/>
  <c r="K679" i="2" s="1"/>
  <c r="G680" i="2"/>
  <c r="K680" i="2" s="1"/>
  <c r="G681" i="2"/>
  <c r="K681" i="2" s="1"/>
  <c r="G682" i="2"/>
  <c r="K682" i="2"/>
  <c r="G683" i="2"/>
  <c r="K683" i="2" s="1"/>
  <c r="G684" i="2"/>
  <c r="K684" i="2" s="1"/>
  <c r="G685" i="2"/>
  <c r="K685" i="2"/>
  <c r="G686" i="2"/>
  <c r="K686" i="2"/>
  <c r="G687" i="2"/>
  <c r="K687" i="2"/>
  <c r="G688" i="2"/>
  <c r="K688" i="2"/>
  <c r="G689" i="2"/>
  <c r="K689" i="2"/>
  <c r="G690" i="2"/>
  <c r="K690" i="2" s="1"/>
  <c r="G691" i="2"/>
  <c r="K691" i="2" s="1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 s="1"/>
  <c r="G699" i="2"/>
  <c r="K699" i="2" s="1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 s="1"/>
  <c r="F715" i="2"/>
  <c r="I715" i="2"/>
  <c r="J715" i="2"/>
  <c r="AB715" i="2" l="1"/>
  <c r="AE672" i="2"/>
  <c r="S715" i="2"/>
  <c r="W673" i="2"/>
  <c r="W715" i="2" s="1"/>
  <c r="P715" i="2"/>
  <c r="D715" i="2"/>
  <c r="K715" i="2"/>
  <c r="G715" i="2"/>
  <c r="AC620" i="2"/>
  <c r="AC660" i="2" s="1"/>
  <c r="AB620" i="2"/>
  <c r="AH619" i="2"/>
  <c r="AH660" i="2" s="1"/>
  <c r="AC619" i="2"/>
  <c r="AB619" i="2"/>
  <c r="AE619" i="2" s="1"/>
  <c r="AI619" i="2" s="1"/>
  <c r="AB618" i="2"/>
  <c r="AG618" i="2"/>
  <c r="AG660" i="2"/>
  <c r="AC617" i="2"/>
  <c r="AB617" i="2"/>
  <c r="AE617" i="2" s="1"/>
  <c r="AA618" i="2"/>
  <c r="AE618" i="2"/>
  <c r="AI618" i="2" s="1"/>
  <c r="AA619" i="2"/>
  <c r="AA620" i="2" s="1"/>
  <c r="AE620" i="2"/>
  <c r="AI620" i="2" s="1"/>
  <c r="AE621" i="2"/>
  <c r="AI621" i="2" s="1"/>
  <c r="AE622" i="2"/>
  <c r="AI622" i="2"/>
  <c r="AE623" i="2"/>
  <c r="AI623" i="2"/>
  <c r="AE624" i="2"/>
  <c r="AI624" i="2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 s="1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 s="1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 s="1"/>
  <c r="AE653" i="2"/>
  <c r="AI653" i="2"/>
  <c r="AE654" i="2"/>
  <c r="AI654" i="2"/>
  <c r="AE655" i="2"/>
  <c r="AI655" i="2"/>
  <c r="AI656" i="2"/>
  <c r="AE657" i="2"/>
  <c r="AI657" i="2"/>
  <c r="AI658" i="2"/>
  <c r="AD660" i="2"/>
  <c r="U622" i="2"/>
  <c r="U660" i="2" s="1"/>
  <c r="Q622" i="2"/>
  <c r="P622" i="2"/>
  <c r="S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31" i="2"/>
  <c r="W631" i="2" s="1"/>
  <c r="S628" i="2"/>
  <c r="W628" i="2" s="1"/>
  <c r="S626" i="2"/>
  <c r="W626" i="2" s="1"/>
  <c r="S625" i="2"/>
  <c r="W625" i="2" s="1"/>
  <c r="S621" i="2"/>
  <c r="W621" i="2" s="1"/>
  <c r="S617" i="2"/>
  <c r="O619" i="2"/>
  <c r="O620" i="2" s="1"/>
  <c r="O621" i="2" s="1"/>
  <c r="O622" i="2" s="1"/>
  <c r="S623" i="2"/>
  <c r="W623" i="2" s="1"/>
  <c r="S624" i="2"/>
  <c r="W624" i="2" s="1"/>
  <c r="S627" i="2"/>
  <c r="W627" i="2" s="1"/>
  <c r="S629" i="2"/>
  <c r="W629" i="2" s="1"/>
  <c r="S630" i="2"/>
  <c r="W630" i="2" s="1"/>
  <c r="S632" i="2"/>
  <c r="W632" i="2"/>
  <c r="S633" i="2"/>
  <c r="W633" i="2" s="1"/>
  <c r="S634" i="2"/>
  <c r="W634" i="2" s="1"/>
  <c r="S635" i="2"/>
  <c r="W635" i="2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/>
  <c r="S652" i="2"/>
  <c r="W652" i="2"/>
  <c r="S653" i="2"/>
  <c r="W653" i="2"/>
  <c r="S654" i="2"/>
  <c r="W654" i="2"/>
  <c r="S655" i="2"/>
  <c r="W655" i="2" s="1"/>
  <c r="W656" i="2"/>
  <c r="S657" i="2"/>
  <c r="W657" i="2"/>
  <c r="W658" i="2"/>
  <c r="Q660" i="2"/>
  <c r="R660" i="2"/>
  <c r="V660" i="2"/>
  <c r="C620" i="2"/>
  <c r="D631" i="2"/>
  <c r="D630" i="2"/>
  <c r="D629" i="2"/>
  <c r="D628" i="2"/>
  <c r="D627" i="2"/>
  <c r="G627" i="2" s="1"/>
  <c r="K627" i="2" s="1"/>
  <c r="D626" i="2"/>
  <c r="D625" i="2"/>
  <c r="D624" i="2"/>
  <c r="D623" i="2"/>
  <c r="J622" i="2"/>
  <c r="J660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C621" i="2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I660" i="2"/>
  <c r="F660" i="2"/>
  <c r="G657" i="2"/>
  <c r="K657" i="2" s="1"/>
  <c r="G650" i="2"/>
  <c r="K650" i="2" s="1"/>
  <c r="G649" i="2"/>
  <c r="K649" i="2" s="1"/>
  <c r="G648" i="2"/>
  <c r="K648" i="2" s="1"/>
  <c r="G647" i="2"/>
  <c r="K647" i="2" s="1"/>
  <c r="K646" i="2"/>
  <c r="G646" i="2"/>
  <c r="G645" i="2"/>
  <c r="K645" i="2" s="1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G637" i="2"/>
  <c r="K637" i="2" s="1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G630" i="2"/>
  <c r="K630" i="2" s="1"/>
  <c r="G629" i="2"/>
  <c r="K629" i="2" s="1"/>
  <c r="G628" i="2"/>
  <c r="K628" i="2" s="1"/>
  <c r="G626" i="2"/>
  <c r="K626" i="2" s="1"/>
  <c r="G625" i="2"/>
  <c r="K625" i="2" s="1"/>
  <c r="G624" i="2"/>
  <c r="K624" i="2" s="1"/>
  <c r="G623" i="2"/>
  <c r="K623" i="2" s="1"/>
  <c r="C618" i="2"/>
  <c r="C619" i="2" s="1"/>
  <c r="E660" i="2"/>
  <c r="G617" i="2"/>
  <c r="AE715" i="2" l="1"/>
  <c r="AI672" i="2"/>
  <c r="AI715" i="2" s="1"/>
  <c r="AI617" i="2"/>
  <c r="AI660" i="2" s="1"/>
  <c r="AE660" i="2"/>
  <c r="AB660" i="2"/>
  <c r="W622" i="2"/>
  <c r="W617" i="2"/>
  <c r="W660" i="2" s="1"/>
  <c r="S660" i="2"/>
  <c r="P660" i="2"/>
  <c r="K617" i="2"/>
  <c r="K660" i="2" s="1"/>
  <c r="G660" i="2"/>
  <c r="D660" i="2"/>
  <c r="AH566" i="2"/>
  <c r="AB566" i="2"/>
  <c r="AH565" i="2"/>
  <c r="AH605" i="2" s="1"/>
  <c r="AG565" i="2"/>
  <c r="AG605" i="2" s="1"/>
  <c r="AC565" i="2"/>
  <c r="AB565" i="2"/>
  <c r="AB564" i="2"/>
  <c r="AG563" i="2"/>
  <c r="AC563" i="2"/>
  <c r="AE563" i="2" s="1"/>
  <c r="AB563" i="2"/>
  <c r="AB562" i="2"/>
  <c r="AE562" i="2" s="1"/>
  <c r="AI562" i="2" s="1"/>
  <c r="AA563" i="2"/>
  <c r="AA564" i="2" s="1"/>
  <c r="AA565" i="2" s="1"/>
  <c r="AA566" i="2" s="1"/>
  <c r="AE564" i="2"/>
  <c r="AI564" i="2" s="1"/>
  <c r="AE565" i="2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 s="1"/>
  <c r="AE572" i="2"/>
  <c r="AI572" i="2"/>
  <c r="AE573" i="2"/>
  <c r="AI573" i="2"/>
  <c r="AE574" i="2"/>
  <c r="AI574" i="2"/>
  <c r="AE575" i="2"/>
  <c r="AI575" i="2"/>
  <c r="AE576" i="2"/>
  <c r="AI576" i="2"/>
  <c r="AE577" i="2"/>
  <c r="AI577" i="2"/>
  <c r="AE578" i="2"/>
  <c r="AI578" i="2" s="1"/>
  <c r="AE579" i="2"/>
  <c r="AI579" i="2" s="1"/>
  <c r="AE580" i="2"/>
  <c r="AI580" i="2"/>
  <c r="AE581" i="2"/>
  <c r="AI581" i="2"/>
  <c r="AE582" i="2"/>
  <c r="AI582" i="2"/>
  <c r="AE583" i="2"/>
  <c r="AI583" i="2"/>
  <c r="AE584" i="2"/>
  <c r="AI584" i="2"/>
  <c r="AE585" i="2"/>
  <c r="AI585" i="2"/>
  <c r="AE586" i="2"/>
  <c r="AI586" i="2" s="1"/>
  <c r="AE587" i="2"/>
  <c r="AI587" i="2" s="1"/>
  <c r="AE588" i="2"/>
  <c r="AI588" i="2"/>
  <c r="AE589" i="2"/>
  <c r="AI589" i="2"/>
  <c r="AE590" i="2"/>
  <c r="AI590" i="2"/>
  <c r="AE591" i="2"/>
  <c r="AI591" i="2"/>
  <c r="AE592" i="2"/>
  <c r="AI592" i="2"/>
  <c r="AE593" i="2"/>
  <c r="AI593" i="2"/>
  <c r="AE594" i="2"/>
  <c r="AI594" i="2" s="1"/>
  <c r="AE595" i="2"/>
  <c r="AI595" i="2" s="1"/>
  <c r="AE596" i="2"/>
  <c r="AI596" i="2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V562" i="2"/>
  <c r="U562" i="2"/>
  <c r="U605" i="2" s="1"/>
  <c r="Q562" i="2"/>
  <c r="Q605" i="2" s="1"/>
  <c r="P562" i="2"/>
  <c r="P605" i="2"/>
  <c r="S563" i="2"/>
  <c r="W563" i="2" s="1"/>
  <c r="S564" i="2"/>
  <c r="W564" i="2"/>
  <c r="S565" i="2"/>
  <c r="W565" i="2" s="1"/>
  <c r="S566" i="2"/>
  <c r="W566" i="2"/>
  <c r="S567" i="2"/>
  <c r="W567" i="2" s="1"/>
  <c r="S568" i="2"/>
  <c r="W568" i="2"/>
  <c r="S569" i="2"/>
  <c r="W569" i="2" s="1"/>
  <c r="S570" i="2"/>
  <c r="W570" i="2" s="1"/>
  <c r="S571" i="2"/>
  <c r="W571" i="2" s="1"/>
  <c r="S572" i="2"/>
  <c r="W572" i="2"/>
  <c r="S573" i="2"/>
  <c r="W573" i="2"/>
  <c r="S574" i="2"/>
  <c r="W574" i="2" s="1"/>
  <c r="S575" i="2"/>
  <c r="W575" i="2"/>
  <c r="S576" i="2"/>
  <c r="W576" i="2"/>
  <c r="S577" i="2"/>
  <c r="W577" i="2"/>
  <c r="S578" i="2"/>
  <c r="W578" i="2" s="1"/>
  <c r="S579" i="2"/>
  <c r="W579" i="2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R605" i="2"/>
  <c r="V605" i="2"/>
  <c r="AI565" i="2" l="1"/>
  <c r="AI605" i="2" s="1"/>
  <c r="AI563" i="2"/>
  <c r="AC605" i="2"/>
  <c r="AB605" i="2"/>
  <c r="AE605" i="2"/>
  <c r="S562" i="2"/>
  <c r="W562" i="2" s="1"/>
  <c r="W605" i="2"/>
  <c r="S605" i="2"/>
  <c r="AC513" i="2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/>
  <c r="AA510" i="2" s="1"/>
  <c r="AA511" i="2" s="1"/>
  <c r="AA512" i="2" s="1"/>
  <c r="AA513" i="2" s="1"/>
  <c r="AE514" i="2"/>
  <c r="AI514" i="2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 s="1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P509" i="2"/>
  <c r="U508" i="2"/>
  <c r="U550" i="2" s="1"/>
  <c r="Q508" i="2"/>
  <c r="P508" i="2"/>
  <c r="Q507" i="2"/>
  <c r="Q550" i="2" s="1"/>
  <c r="P507" i="2"/>
  <c r="O509" i="2"/>
  <c r="O510" i="2" s="1"/>
  <c r="O511" i="2" s="1"/>
  <c r="O512" i="2" s="1"/>
  <c r="O513" i="2" s="1"/>
  <c r="O514" i="2" s="1"/>
  <c r="O515" i="2" s="1"/>
  <c r="O516" i="2" s="1"/>
  <c r="S507" i="2"/>
  <c r="W507" i="2" s="1"/>
  <c r="S508" i="2"/>
  <c r="S509" i="2"/>
  <c r="S510" i="2"/>
  <c r="W510" i="2" s="1"/>
  <c r="S515" i="2"/>
  <c r="W515" i="2" s="1"/>
  <c r="S517" i="2"/>
  <c r="W517" i="2" s="1"/>
  <c r="S518" i="2"/>
  <c r="W518" i="2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/>
  <c r="S541" i="2"/>
  <c r="W541" i="2"/>
  <c r="S542" i="2"/>
  <c r="W542" i="2"/>
  <c r="S543" i="2"/>
  <c r="W543" i="2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G507" i="2" s="1"/>
  <c r="K507" i="2" s="1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/>
  <c r="G528" i="2"/>
  <c r="K528" i="2"/>
  <c r="G529" i="2"/>
  <c r="K529" i="2"/>
  <c r="G530" i="2"/>
  <c r="K530" i="2"/>
  <c r="G531" i="2"/>
  <c r="K531" i="2" s="1"/>
  <c r="G532" i="2"/>
  <c r="K532" i="2" s="1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 s="1"/>
  <c r="G540" i="2"/>
  <c r="K540" i="2" s="1"/>
  <c r="G547" i="2"/>
  <c r="K547" i="2"/>
  <c r="F550" i="2"/>
  <c r="I550" i="2"/>
  <c r="J550" i="2"/>
  <c r="AE513" i="2" l="1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 s="1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P457" i="2"/>
  <c r="P456" i="2"/>
  <c r="P455" i="2"/>
  <c r="S455" i="2" s="1"/>
  <c r="W455" i="2" s="1"/>
  <c r="P454" i="2"/>
  <c r="Q453" i="2"/>
  <c r="P453" i="2"/>
  <c r="S453" i="2" s="1"/>
  <c r="W453" i="2" s="1"/>
  <c r="P452" i="2"/>
  <c r="S452" i="2"/>
  <c r="O453" i="2"/>
  <c r="O454" i="2" s="1"/>
  <c r="O455" i="2" s="1"/>
  <c r="O456" i="2" s="1"/>
  <c r="O457" i="2" s="1"/>
  <c r="O458" i="2" s="1"/>
  <c r="O459" i="2" s="1"/>
  <c r="O460" i="2" s="1"/>
  <c r="O461" i="2" s="1"/>
  <c r="S454" i="2"/>
  <c r="W454" i="2" s="1"/>
  <c r="U495" i="2"/>
  <c r="S456" i="2"/>
  <c r="W456" i="2" s="1"/>
  <c r="S457" i="2"/>
  <c r="W457" i="2" s="1"/>
  <c r="S458" i="2"/>
  <c r="W458" i="2" s="1"/>
  <c r="S462" i="2"/>
  <c r="W462" i="2" s="1"/>
  <c r="Q495" i="2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/>
  <c r="S472" i="2"/>
  <c r="W472" i="2"/>
  <c r="S473" i="2"/>
  <c r="W473" i="2" s="1"/>
  <c r="S474" i="2"/>
  <c r="W474" i="2"/>
  <c r="S475" i="2"/>
  <c r="W475" i="2"/>
  <c r="S476" i="2"/>
  <c r="W476" i="2"/>
  <c r="S477" i="2"/>
  <c r="W477" i="2" s="1"/>
  <c r="S478" i="2"/>
  <c r="W478" i="2"/>
  <c r="S479" i="2"/>
  <c r="W479" i="2"/>
  <c r="S480" i="2"/>
  <c r="W480" i="2"/>
  <c r="S481" i="2"/>
  <c r="W481" i="2" s="1"/>
  <c r="S482" i="2"/>
  <c r="W482" i="2"/>
  <c r="S483" i="2"/>
  <c r="W483" i="2"/>
  <c r="S484" i="2"/>
  <c r="W484" i="2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D457" i="2"/>
  <c r="D456" i="2"/>
  <c r="I455" i="2"/>
  <c r="I495" i="2" s="1"/>
  <c r="D455" i="2"/>
  <c r="D495" i="2" s="1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6" i="2"/>
  <c r="K456" i="2" s="1"/>
  <c r="G457" i="2"/>
  <c r="K457" i="2" s="1"/>
  <c r="G458" i="2"/>
  <c r="K458" i="2" s="1"/>
  <c r="G459" i="2"/>
  <c r="K459" i="2"/>
  <c r="G460" i="2"/>
  <c r="K460" i="2" s="1"/>
  <c r="G461" i="2"/>
  <c r="K461" i="2"/>
  <c r="G462" i="2"/>
  <c r="K462" i="2"/>
  <c r="G463" i="2"/>
  <c r="K463" i="2"/>
  <c r="G464" i="2"/>
  <c r="K464" i="2" s="1"/>
  <c r="G465" i="2"/>
  <c r="K465" i="2"/>
  <c r="G466" i="2"/>
  <c r="K466" i="2"/>
  <c r="G467" i="2"/>
  <c r="K467" i="2"/>
  <c r="G468" i="2"/>
  <c r="K468" i="2" s="1"/>
  <c r="G469" i="2"/>
  <c r="K469" i="2"/>
  <c r="G470" i="2"/>
  <c r="K470" i="2"/>
  <c r="G471" i="2"/>
  <c r="K471" i="2"/>
  <c r="G472" i="2"/>
  <c r="K472" i="2" s="1"/>
  <c r="G473" i="2"/>
  <c r="K473" i="2"/>
  <c r="G474" i="2"/>
  <c r="K474" i="2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/>
  <c r="G483" i="2"/>
  <c r="K483" i="2"/>
  <c r="G484" i="2"/>
  <c r="K484" i="2" s="1"/>
  <c r="G485" i="2"/>
  <c r="K485" i="2"/>
  <c r="G492" i="2"/>
  <c r="K492" i="2"/>
  <c r="F495" i="2"/>
  <c r="J495" i="2"/>
  <c r="AE550" i="2" l="1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B398" i="2"/>
  <c r="AE398" i="2" s="1"/>
  <c r="AI398" i="2" s="1"/>
  <c r="AH397" i="2"/>
  <c r="AH440" i="2" s="1"/>
  <c r="AG397" i="2"/>
  <c r="AB397" i="2"/>
  <c r="AE397" i="2"/>
  <c r="AA398" i="2"/>
  <c r="AA399" i="2" s="1"/>
  <c r="AE399" i="2"/>
  <c r="AI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/>
  <c r="AE406" i="2"/>
  <c r="AI406" i="2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P406" i="2"/>
  <c r="P405" i="2"/>
  <c r="P404" i="2"/>
  <c r="S404" i="2" s="1"/>
  <c r="W404" i="2" s="1"/>
  <c r="U403" i="2"/>
  <c r="U440" i="2" s="1"/>
  <c r="P403" i="2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3" i="2"/>
  <c r="S405" i="2"/>
  <c r="W405" i="2" s="1"/>
  <c r="S406" i="2"/>
  <c r="W406" i="2" s="1"/>
  <c r="S407" i="2"/>
  <c r="W407" i="2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D402" i="2"/>
  <c r="D401" i="2"/>
  <c r="G401" i="2" s="1"/>
  <c r="K401" i="2" s="1"/>
  <c r="D400" i="2"/>
  <c r="D399" i="2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G399" i="2"/>
  <c r="K399" i="2" s="1"/>
  <c r="E440" i="2"/>
  <c r="G400" i="2"/>
  <c r="K400" i="2" s="1"/>
  <c r="I440" i="2"/>
  <c r="J440" i="2"/>
  <c r="G402" i="2"/>
  <c r="K402" i="2" s="1"/>
  <c r="G403" i="2"/>
  <c r="K403" i="2" s="1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/>
  <c r="G419" i="2"/>
  <c r="K419" i="2"/>
  <c r="G420" i="2"/>
  <c r="K420" i="2" s="1"/>
  <c r="G421" i="2"/>
  <c r="K421" i="2"/>
  <c r="G422" i="2"/>
  <c r="K422" i="2"/>
  <c r="G423" i="2"/>
  <c r="K423" i="2" s="1"/>
  <c r="G424" i="2"/>
  <c r="K424" i="2" s="1"/>
  <c r="G425" i="2"/>
  <c r="K425" i="2"/>
  <c r="G426" i="2"/>
  <c r="K426" i="2"/>
  <c r="G427" i="2"/>
  <c r="K427" i="2"/>
  <c r="G428" i="2"/>
  <c r="K428" i="2" s="1"/>
  <c r="G429" i="2"/>
  <c r="K429" i="2"/>
  <c r="G430" i="2"/>
  <c r="K430" i="2"/>
  <c r="G437" i="2"/>
  <c r="K437" i="2" s="1"/>
  <c r="F440" i="2"/>
  <c r="G495" i="2" l="1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G385" i="2" s="1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/>
  <c r="AE373" i="2"/>
  <c r="AI373" i="2"/>
  <c r="AE374" i="2"/>
  <c r="AI374" i="2" s="1"/>
  <c r="AE375" i="2"/>
  <c r="AI375" i="2" s="1"/>
  <c r="AE376" i="2"/>
  <c r="AI376" i="2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R385" i="2"/>
  <c r="D349" i="2"/>
  <c r="D348" i="2"/>
  <c r="D347" i="2"/>
  <c r="G347" i="2" s="1"/>
  <c r="K347" i="2" s="1"/>
  <c r="D346" i="2"/>
  <c r="D345" i="2"/>
  <c r="J345" i="2"/>
  <c r="J385" i="2" s="1"/>
  <c r="I345" i="2"/>
  <c r="I385" i="2"/>
  <c r="E345" i="2"/>
  <c r="E385" i="2"/>
  <c r="D344" i="2"/>
  <c r="G344" i="2" s="1"/>
  <c r="K344" i="2" s="1"/>
  <c r="D343" i="2"/>
  <c r="G343" i="2" s="1"/>
  <c r="D342" i="2"/>
  <c r="G342" i="2" s="1"/>
  <c r="K342" i="2" s="1"/>
  <c r="C344" i="2"/>
  <c r="C345" i="2" s="1"/>
  <c r="C346" i="2" s="1"/>
  <c r="C347" i="2" s="1"/>
  <c r="C348" i="2" s="1"/>
  <c r="C349" i="2" s="1"/>
  <c r="C343" i="2"/>
  <c r="G346" i="2"/>
  <c r="K346" i="2" s="1"/>
  <c r="G348" i="2"/>
  <c r="K348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B385" i="2" l="1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B291" i="2"/>
  <c r="AH290" i="2"/>
  <c r="AH330" i="2" s="1"/>
  <c r="AG290" i="2"/>
  <c r="AB290" i="2"/>
  <c r="AG289" i="2"/>
  <c r="AC289" i="2"/>
  <c r="AB289" i="2"/>
  <c r="AE289" i="2" s="1"/>
  <c r="AI289" i="2" s="1"/>
  <c r="AB287" i="2"/>
  <c r="AG330" i="2"/>
  <c r="AD330" i="2"/>
  <c r="AC330" i="2"/>
  <c r="AI328" i="2"/>
  <c r="AE327" i="2"/>
  <c r="AI327" i="2" s="1"/>
  <c r="AI326" i="2"/>
  <c r="AE325" i="2"/>
  <c r="AI325" i="2" s="1"/>
  <c r="AI324" i="2"/>
  <c r="AE324" i="2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90" i="2"/>
  <c r="AE288" i="2"/>
  <c r="AI288" i="2" s="1"/>
  <c r="AA288" i="2"/>
  <c r="AA289" i="2" s="1"/>
  <c r="AA290" i="2" s="1"/>
  <c r="AA291" i="2" s="1"/>
  <c r="AA292" i="2" s="1"/>
  <c r="AE287" i="2"/>
  <c r="P293" i="2"/>
  <c r="P292" i="2"/>
  <c r="S292" i="2" s="1"/>
  <c r="W292" i="2" s="1"/>
  <c r="V291" i="2"/>
  <c r="V330" i="2" s="1"/>
  <c r="P291" i="2"/>
  <c r="S291" i="2" s="1"/>
  <c r="W291" i="2" s="1"/>
  <c r="Q291" i="2"/>
  <c r="Q330" i="2" s="1"/>
  <c r="P289" i="2"/>
  <c r="P288" i="2"/>
  <c r="S288" i="2" s="1"/>
  <c r="W288" i="2" s="1"/>
  <c r="U287" i="2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/>
  <c r="S307" i="2"/>
  <c r="W307" i="2" s="1"/>
  <c r="S308" i="2"/>
  <c r="W308" i="2" s="1"/>
  <c r="U330" i="2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D295" i="2"/>
  <c r="D294" i="2"/>
  <c r="G294" i="2" s="1"/>
  <c r="K294" i="2" s="1"/>
  <c r="D293" i="2"/>
  <c r="G293" i="2" s="1"/>
  <c r="K293" i="2" s="1"/>
  <c r="D292" i="2"/>
  <c r="D291" i="2"/>
  <c r="G291" i="2" s="1"/>
  <c r="K291" i="2" s="1"/>
  <c r="D290" i="2"/>
  <c r="D289" i="2"/>
  <c r="G289" i="2" s="1"/>
  <c r="K289" i="2" s="1"/>
  <c r="D288" i="2"/>
  <c r="D287" i="2"/>
  <c r="G287" i="2" s="1"/>
  <c r="C288" i="2"/>
  <c r="C289" i="2" s="1"/>
  <c r="C291" i="2" s="1"/>
  <c r="C292" i="2" s="1"/>
  <c r="C293" i="2" s="1"/>
  <c r="C294" i="2" s="1"/>
  <c r="C295" i="2" s="1"/>
  <c r="G288" i="2"/>
  <c r="K288" i="2"/>
  <c r="G290" i="2"/>
  <c r="K290" i="2" s="1"/>
  <c r="G292" i="2"/>
  <c r="K292" i="2" s="1"/>
  <c r="G295" i="2"/>
  <c r="K295" i="2" s="1"/>
  <c r="G297" i="2"/>
  <c r="K297" i="2"/>
  <c r="G298" i="2"/>
  <c r="K298" i="2"/>
  <c r="G299" i="2"/>
  <c r="K299" i="2"/>
  <c r="G300" i="2"/>
  <c r="K300" i="2"/>
  <c r="G301" i="2"/>
  <c r="K301" i="2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 s="1"/>
  <c r="G320" i="2"/>
  <c r="K320" i="2"/>
  <c r="G327" i="2"/>
  <c r="K327" i="2"/>
  <c r="E330" i="2"/>
  <c r="F330" i="2"/>
  <c r="I330" i="2"/>
  <c r="J330" i="2"/>
  <c r="W385" i="2" l="1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P248" i="2"/>
  <c r="S248" i="2" s="1"/>
  <c r="W248" i="2" s="1"/>
  <c r="P247" i="2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7" i="2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33" i="2"/>
  <c r="O234" i="2" s="1"/>
  <c r="O235" i="2" s="1"/>
  <c r="O236" i="2" s="1"/>
  <c r="S233" i="2"/>
  <c r="W233" i="2" s="1"/>
  <c r="S234" i="2"/>
  <c r="S236" i="2"/>
  <c r="W236" i="2" s="1"/>
  <c r="S237" i="2"/>
  <c r="W237" i="2" s="1"/>
  <c r="U275" i="2"/>
  <c r="S240" i="2"/>
  <c r="W240" i="2"/>
  <c r="S241" i="2"/>
  <c r="W241" i="2"/>
  <c r="S247" i="2"/>
  <c r="W247" i="2"/>
  <c r="S249" i="2"/>
  <c r="W249" i="2" s="1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H180" i="2"/>
  <c r="AB180" i="2"/>
  <c r="AH177" i="2"/>
  <c r="AH220" i="2" s="1"/>
  <c r="AB177" i="2"/>
  <c r="AE177" i="2"/>
  <c r="AA178" i="2"/>
  <c r="AC220" i="2"/>
  <c r="AA179" i="2"/>
  <c r="AA180" i="2" s="1"/>
  <c r="AA181" i="2" s="1"/>
  <c r="AE180" i="2"/>
  <c r="AI180" i="2" s="1"/>
  <c r="AE181" i="2"/>
  <c r="AI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4" i="2"/>
  <c r="W184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D180" i="2"/>
  <c r="D179" i="2"/>
  <c r="J178" i="2"/>
  <c r="D178" i="2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/>
  <c r="C178" i="2"/>
  <c r="G178" i="2"/>
  <c r="K178" i="2" s="1"/>
  <c r="G179" i="2"/>
  <c r="K179" i="2"/>
  <c r="G180" i="2"/>
  <c r="K180" i="2"/>
  <c r="G181" i="2"/>
  <c r="K181" i="2" s="1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/>
  <c r="G201" i="2"/>
  <c r="K201" i="2"/>
  <c r="G202" i="2"/>
  <c r="K202" i="2"/>
  <c r="G203" i="2"/>
  <c r="K203" i="2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/>
  <c r="E220" i="2"/>
  <c r="I220" i="2"/>
  <c r="J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B125" i="2"/>
  <c r="AE125" i="2" s="1"/>
  <c r="AI125" i="2" s="1"/>
  <c r="AC124" i="2"/>
  <c r="AE124" i="2" s="1"/>
  <c r="AI124" i="2" s="1"/>
  <c r="AB124" i="2"/>
  <c r="AH123" i="2"/>
  <c r="AH165" i="2" s="1"/>
  <c r="AC123" i="2"/>
  <c r="AE123" i="2" s="1"/>
  <c r="AI123" i="2" s="1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6" i="2"/>
  <c r="AI126" i="2" s="1"/>
  <c r="AE127" i="2"/>
  <c r="AI127" i="2" s="1"/>
  <c r="AE129" i="2"/>
  <c r="AI129" i="2"/>
  <c r="AE130" i="2"/>
  <c r="AI130" i="2" s="1"/>
  <c r="AE131" i="2"/>
  <c r="AI131" i="2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/>
  <c r="AI161" i="2"/>
  <c r="AE162" i="2"/>
  <c r="AI162" i="2"/>
  <c r="AI163" i="2"/>
  <c r="AD165" i="2"/>
  <c r="P142" i="2"/>
  <c r="U141" i="2"/>
  <c r="U165" i="2" s="1"/>
  <c r="P141" i="2"/>
  <c r="P140" i="2"/>
  <c r="P139" i="2"/>
  <c r="P138" i="2"/>
  <c r="P137" i="2"/>
  <c r="P136" i="2"/>
  <c r="P135" i="2"/>
  <c r="P134" i="2"/>
  <c r="P133" i="2"/>
  <c r="U132" i="2"/>
  <c r="P132" i="2"/>
  <c r="P131" i="2"/>
  <c r="S131" i="2" s="1"/>
  <c r="W131" i="2" s="1"/>
  <c r="P130" i="2"/>
  <c r="P129" i="2"/>
  <c r="P128" i="2"/>
  <c r="S128" i="2" s="1"/>
  <c r="W128" i="2" s="1"/>
  <c r="P127" i="2"/>
  <c r="S127" i="2" s="1"/>
  <c r="W127" i="2" s="1"/>
  <c r="P126" i="2"/>
  <c r="P125" i="2"/>
  <c r="P124" i="2"/>
  <c r="S124" i="2" s="1"/>
  <c r="W124" i="2" s="1"/>
  <c r="P123" i="2"/>
  <c r="S123" i="2" s="1"/>
  <c r="W123" i="2" s="1"/>
  <c r="P122" i="2"/>
  <c r="S122" i="2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S125" i="2"/>
  <c r="W125" i="2" s="1"/>
  <c r="S126" i="2"/>
  <c r="W126" i="2" s="1"/>
  <c r="V165" i="2"/>
  <c r="S129" i="2"/>
  <c r="W129" i="2" s="1"/>
  <c r="S130" i="2"/>
  <c r="W130" i="2" s="1"/>
  <c r="S132" i="2"/>
  <c r="W132" i="2" s="1"/>
  <c r="S133" i="2"/>
  <c r="W133" i="2" s="1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S142" i="2"/>
  <c r="W142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/>
  <c r="G154" i="2"/>
  <c r="K154" i="2" s="1"/>
  <c r="G155" i="2"/>
  <c r="K155" i="2"/>
  <c r="G162" i="2"/>
  <c r="K162" i="2"/>
  <c r="E165" i="2"/>
  <c r="F165" i="2"/>
  <c r="I165" i="2"/>
  <c r="J165" i="2"/>
  <c r="AE220" i="2" l="1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1" i="2"/>
  <c r="AI71" i="2"/>
  <c r="AE72" i="2"/>
  <c r="AI72" i="2" s="1"/>
  <c r="AE73" i="2"/>
  <c r="AI73" i="2"/>
  <c r="AE74" i="2"/>
  <c r="AI74" i="2"/>
  <c r="AE75" i="2"/>
  <c r="AI75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D76" i="2"/>
  <c r="G76" i="2" s="1"/>
  <c r="K76" i="2" s="1"/>
  <c r="D75" i="2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5" i="2"/>
  <c r="K75" i="2"/>
  <c r="G77" i="2"/>
  <c r="K77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5" authorId="0" shapeId="0" xr:uid="{D8338695-98AF-4283-A391-9C3F951A24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2" authorId="0" shapeId="0" xr:uid="{87871041-47B1-44F1-83DA-81ECB5229C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GA ULAG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562" authorId="0" shapeId="0" xr:uid="{DF8D878C-EDB2-4383-B24B-24E2269FB4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562" authorId="0" shapeId="0" xr:uid="{A67974E6-305D-4F8F-ACC5-9A6FDE9AE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AA563" authorId="0" shapeId="0" xr:uid="{585A9CA7-9145-477F-A3DE-53401ED77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AA564" authorId="0" shapeId="0" xr:uid="{4A0A2279-03CE-4375-9874-43D69CBD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POB, SALUG</t>
        </r>
      </text>
    </comment>
    <comment ref="AA565" authorId="0" shapeId="0" xr:uid="{16FABDD5-F303-4323-95FC-BD4E131215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AA566" authorId="0" shapeId="0" xr:uid="{B4415088-66B0-446C-A66A-E9748AFFC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RJC STORE</t>
        </r>
      </text>
    </comment>
    <comment ref="C617" authorId="0" shapeId="0" xr:uid="{35D104A8-F5B1-413A-B5FF-3CAF2273A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ALMA GEROMO
MANDIH, SINDANGAN</t>
        </r>
      </text>
    </comment>
    <comment ref="O617" authorId="0" shapeId="0" xr:uid="{FF33EBAD-E528-4D38-9AD8-D589795946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617" authorId="0" shapeId="0" xr:uid="{530E5382-BBCA-442F-9A0A-B3ECBA218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</t>
        </r>
      </text>
    </comment>
    <comment ref="C618" authorId="0" shapeId="0" xr:uid="{09996EAA-C31E-443D-AD25-A27A6FCF71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618" authorId="0" shapeId="0" xr:uid="{1026AEE4-CE8F-4444-AD0B-1EF0C1DAC0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ALIB
GOLEO, SINDANGAN</t>
        </r>
      </text>
    </comment>
    <comment ref="AA618" authorId="0" shapeId="0" xr:uid="{EACE39F4-4A82-4B04-87AA-6F1EA95F9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619" authorId="0" shapeId="0" xr:uid="{27BF819E-2968-4894-8426-ACF7BCBD81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IRENE
DENOYAN, SIAYAN</t>
        </r>
      </text>
    </comment>
    <comment ref="O619" authorId="0" shapeId="0" xr:uid="{07FF09C6-C3E0-4C7A-B528-4440427F4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619" authorId="0" shapeId="0" xr:uid="{6985D348-365E-4550-971F-A6518E7366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20" authorId="0" shapeId="0" xr:uid="{F3D13F62-3908-4ECE-BD5A-8DC525A6A6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620" authorId="0" shapeId="0" xr:uid="{9FF64441-47AC-47E1-86D6-398E63C355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620" authorId="0" shapeId="0" xr:uid="{D1104782-BFCD-416C-AD94-80A86500B2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621" authorId="0" shapeId="0" xr:uid="{BDF69008-CC78-4D31-A852-F9EE3696B4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VILLAROBIA WILSON
DENOYA, SIAYAN</t>
        </r>
      </text>
    </comment>
    <comment ref="O621" authorId="0" shapeId="0" xr:uid="{1C671C44-AE5F-40FB-BF80-CCBA35D5E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622" authorId="0" shapeId="0" xr:uid="{45FC81F4-34A2-491D-A88C-09E981A4F5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622" authorId="0" shapeId="0" xr:uid="{AF19A53F-EF37-415E-82CE-493DFE0167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C623" authorId="0" shapeId="0" xr:uid="{BFA53B07-2D6B-484F-BD82-9E1497276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DADO STORE
DENOYAN, SIAYAN</t>
        </r>
      </text>
    </comment>
    <comment ref="C624" authorId="0" shapeId="0" xr:uid="{EF9C36E5-C0FF-4CF7-A2A1-44E0FED566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LEE, BAGTONG
POB, SIAYAN</t>
        </r>
      </text>
    </comment>
    <comment ref="C625" authorId="0" shapeId="0" xr:uid="{38669A35-9F31-4D75-8C23-C58DF3B8F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C626" authorId="0" shapeId="0" xr:uid="{EC1765FD-0988-464C-B04B-16E1293AF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627" authorId="0" shapeId="0" xr:uid="{591C9165-ACD3-4CE8-A8D5-56EBC5A2E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JENALYN
POB, SIAYAN</t>
        </r>
      </text>
    </comment>
    <comment ref="C628" authorId="0" shapeId="0" xr:uid="{F72BF39B-FD6E-4F91-A801-9C3020D4C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C629" authorId="0" shapeId="0" xr:uid="{8858A515-9E3E-4898-BB6E-24060459E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 LIEZEL
BALOK, SINDANGAN</t>
        </r>
      </text>
    </comment>
    <comment ref="C630" authorId="0" shapeId="0" xr:uid="{6254FFF9-B4D3-448F-865D-C18FAA7AA8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631" authorId="0" shapeId="0" xr:uid="{3C8DA7EB-5244-4DE2-9E51-31EEEB5A9F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672" authorId="0" shapeId="0" xr:uid="{0D2E7FAE-67C1-447F-B129-DFE58FF65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72" authorId="0" shapeId="0" xr:uid="{01BB92B7-F15D-421D-B8D1-09796B50A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72" authorId="0" shapeId="0" xr:uid="{A1C032E8-72AC-4DAC-A139-AE0BE90CB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3" authorId="0" shapeId="0" xr:uid="{811DB81B-03AC-4ADC-AE05-DA4DE33D5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673" authorId="0" shapeId="0" xr:uid="{1827BC08-3EA1-4DBE-936B-8F8E73E645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3" authorId="0" shapeId="0" xr:uid="{45B5B070-4816-4452-AF08-06C2057615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674" authorId="0" shapeId="0" xr:uid="{E4AF8C1C-0219-4CDF-AEC0-5071B0E37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SALUG</t>
        </r>
      </text>
    </comment>
    <comment ref="O674" authorId="0" shapeId="0" xr:uid="{875F5BCA-3F0E-426F-99C3-619E3F08B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4" authorId="0" shapeId="0" xr:uid="{F02BAE80-D344-4F99-9EF3-ED20A3977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675" authorId="0" shapeId="0" xr:uid="{A710B994-9445-47FC-B429-4A48D681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675" authorId="0" shapeId="0" xr:uid="{B7EC42BC-15E8-472E-A08C-16972A804C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27" authorId="0" shapeId="0" xr:uid="{1542280B-09E6-4E20-ADDB-1FDC47E736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727" authorId="0" shapeId="0" xr:uid="{901100E9-560C-421E-BF4F-B9F6F0771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STORE
INUMAN, SINDANGAN</t>
        </r>
      </text>
    </comment>
    <comment ref="AA727" authorId="0" shapeId="0" xr:uid="{DAC7E21C-2CD0-43D0-A969-62EF057F6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728" authorId="0" shapeId="0" xr:uid="{86A5FD56-E864-4886-A2F6-9CE3C3F78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
PIAO, SINDANGAN</t>
        </r>
      </text>
    </comment>
    <comment ref="O728" authorId="0" shapeId="0" xr:uid="{8664DCC7-3389-41C8-BEEC-119FD3A56C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VILLARMINO STORE
DATU TANGKILAN, SINDANGAN</t>
        </r>
      </text>
    </comment>
    <comment ref="AA728" authorId="0" shapeId="0" xr:uid="{77B3354E-B543-4581-92B8-AFF162972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729" authorId="0" shapeId="0" xr:uid="{816E60DD-F23A-463D-9783-BCEBE43207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29" authorId="0" shapeId="0" xr:uid="{6EF551F8-EF52-4670-9792-DA3D7B552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ONSING STORE
DATU TANGKILAN, SINDANGAN</t>
        </r>
      </text>
    </comment>
    <comment ref="AA729" authorId="0" shapeId="0" xr:uid="{C4908162-3698-4ADA-B0B0-3C957E3E0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24C372A0-0851-4163-B15B-DB57D6B3D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GAVIOLA
DAGAO, SIAYAN</t>
        </r>
      </text>
    </comment>
    <comment ref="O730" authorId="0" shapeId="0" xr:uid="{4C95D498-D077-474C-9D6C-A1092DE454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31" authorId="0" shapeId="0" xr:uid="{5F6E22A6-2E68-43A1-BB65-C0569A28A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1" authorId="0" shapeId="0" xr:uid="{014B0F4D-D573-4926-8188-12504E89D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2" authorId="0" shapeId="0" xr:uid="{DF9839D7-C594-4F92-ACC2-799C47E656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BAGTONG LEE
POB, SIAYAN</t>
        </r>
      </text>
    </comment>
    <comment ref="O732" authorId="0" shapeId="0" xr:uid="{A2F7CA4D-B917-4612-9BD3-0AA6C46BE1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733" authorId="0" shapeId="0" xr:uid="{82D93B7B-A9A7-4EA4-B8C8-0AD570E24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733" authorId="0" shapeId="0" xr:uid="{761DEEF9-7A10-4203-B2BD-40F4D01938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4" authorId="0" shapeId="0" xr:uid="{917DAB05-324E-40C7-A1E4-AD07708260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FERNANDA
DAGAO, SIAYAN</t>
        </r>
      </text>
    </comment>
    <comment ref="O734" authorId="0" shapeId="0" xr:uid="{4F889372-D629-4077-868C-78EACCAC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TALINGA, BACUNGAN</t>
        </r>
      </text>
    </comment>
    <comment ref="C735" authorId="0" shapeId="0" xr:uid="{4A3F73DF-0F43-497E-BADB-8B099A48E9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35" authorId="0" shapeId="0" xr:uid="{DBD435FD-CE61-4EA3-AFA8-2B1FDF215B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6" authorId="0" shapeId="0" xr:uid="{464C6930-ACEC-4C11-AF50-34F9ECA63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6" authorId="0" shapeId="0" xr:uid="{FB772A00-3E20-4D8D-8FC4-7D870C2B12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737" authorId="0" shapeId="0" xr:uid="{A5B1DE71-CA7C-4003-88C5-C574D727FE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GOMORA STORE
LAGAG, SINDANGAN</t>
        </r>
      </text>
    </comment>
    <comment ref="O737" authorId="0" shapeId="0" xr:uid="{85E328AC-022F-4F45-8488-F177186595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LANDA
UPPER INUMAN, SINDANGAN</t>
        </r>
      </text>
    </comment>
  </commentList>
</comments>
</file>

<file path=xl/sharedStrings.xml><?xml version="1.0" encoding="utf-8"?>
<sst xmlns="http://schemas.openxmlformats.org/spreadsheetml/2006/main" count="929" uniqueCount="77">
  <si>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</si>
  <si>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</si>
  <si>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</si>
  <si>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</si>
  <si>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</si>
  <si>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</si>
  <si>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</si>
  <si>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</si>
  <si>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</si>
  <si>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</si>
  <si>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</si>
  <si>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</si>
  <si>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</si>
  <si>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</si>
  <si>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</si>
  <si>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</si>
  <si>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</si>
  <si>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</si>
  <si>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</si>
  <si>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</si>
  <si>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</si>
  <si>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</si>
  <si>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</si>
  <si>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</si>
  <si>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</si>
  <si>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</si>
  <si>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</si>
  <si>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</si>
  <si>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</si>
  <si>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</si>
  <si>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</si>
  <si>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</si>
  <si>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</si>
  <si>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</si>
  <si>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</si>
  <si>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</si>
  <si>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</si>
  <si>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</si>
  <si>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</si>
  <si>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</si>
  <si>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</si>
  <si>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</si>
  <si>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</si>
  <si>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</si>
  <si>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</si>
  <si>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</si>
  <si>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</si>
  <si>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</si>
  <si>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</si>
  <si>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</si>
  <si>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</si>
  <si>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</si>
  <si>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</si>
  <si>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</si>
  <si>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</si>
  <si>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</si>
  <si>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</si>
  <si>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</si>
  <si>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</si>
  <si>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</si>
  <si>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</si>
  <si>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</si>
  <si>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</si>
  <si>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</si>
  <si>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</si>
  <si>
    <t>FEBRUARY 13, 2026</t>
  </si>
  <si>
    <t>02/13/2026</t>
  </si>
  <si>
    <t>8999/8946-8950</t>
  </si>
  <si>
    <t>FEBRUARY 14, 2026</t>
  </si>
  <si>
    <t>02/14/2026</t>
  </si>
  <si>
    <t>9079-9093/9000-9018/9151-9154</t>
  </si>
  <si>
    <t>FEBRUARY 16, 2026</t>
  </si>
  <si>
    <t>02/16/2026</t>
  </si>
  <si>
    <t>9094-9097/9019-9021/9155-9158</t>
  </si>
  <si>
    <t>FEBRUARY 17, 2026</t>
  </si>
  <si>
    <t>02/17/2026</t>
  </si>
  <si>
    <t>9098-9100,9201-9208/9022-9032/9159-9161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</si>
</sst>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F27" sqref="F2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1" t="s">
        <v>36</v>
      </c>
      <c r="B6" s="10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 t="s">
        <v>67</v>
      </c>
      <c r="D22" s="16">
        <f t="shared" si="0"/>
        <v>302867</v>
      </c>
      <c r="F22" s="14"/>
      <c r="G22" s="14">
        <v>138597</v>
      </c>
      <c r="H22" s="14">
        <v>164270</v>
      </c>
      <c r="I22" s="14"/>
      <c r="J22" s="17">
        <f t="shared" si="1"/>
        <v>302867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750283.5</v>
      </c>
      <c r="F23" s="14">
        <v>304269</v>
      </c>
      <c r="G23" s="14">
        <v>205893.5</v>
      </c>
      <c r="H23" s="14">
        <v>240121</v>
      </c>
      <c r="I23" s="14"/>
      <c r="J23" s="17">
        <f t="shared" si="1"/>
        <v>750283.5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73</v>
      </c>
      <c r="D25" s="16">
        <f t="shared" si="0"/>
        <v>793426.5</v>
      </c>
      <c r="F25" s="14">
        <v>275477</v>
      </c>
      <c r="G25" s="14">
        <v>288857.5</v>
      </c>
      <c r="H25" s="14">
        <v>229092</v>
      </c>
      <c r="I25" s="14"/>
      <c r="J25" s="17">
        <f t="shared" si="1"/>
        <v>793426.5</v>
      </c>
    </row>
    <row r="26" spans="1:10" x14ac:dyDescent="0.25">
      <c r="A26" s="10">
        <f t="shared" si="2"/>
        <v>17</v>
      </c>
      <c r="B26" s="43" t="s">
        <v>8</v>
      </c>
      <c r="C26" s="12" t="s">
        <v>76</v>
      </c>
      <c r="D26" s="16">
        <f t="shared" ref="D26:D30" si="3">J26</f>
        <v>712395</v>
      </c>
      <c r="F26" s="14">
        <v>218900</v>
      </c>
      <c r="G26" s="14">
        <v>206325</v>
      </c>
      <c r="H26" s="14">
        <v>287170</v>
      </c>
      <c r="I26" s="14"/>
      <c r="J26" s="17">
        <f t="shared" si="1"/>
        <v>712395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2" t="s">
        <v>10</v>
      </c>
      <c r="B42" s="103"/>
      <c r="C42" s="104"/>
      <c r="D42" s="48">
        <f>SUM(D2:D41)</f>
        <v>9393596.5</v>
      </c>
      <c r="J42" s="49">
        <f>SUM(J10:J41)</f>
        <v>9393596.5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714" zoomScaleNormal="100" workbookViewId="0">
      <selection activeCell="B771" sqref="B77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1" t="s">
        <v>17</v>
      </c>
      <c r="E10" s="111"/>
      <c r="F10" s="75"/>
      <c r="G10" s="27"/>
      <c r="I10" s="109" t="s">
        <v>18</v>
      </c>
      <c r="J10" s="110"/>
      <c r="K10" s="107" t="s">
        <v>19</v>
      </c>
      <c r="N10" s="25"/>
      <c r="O10" s="26"/>
      <c r="P10" s="111" t="s">
        <v>17</v>
      </c>
      <c r="Q10" s="111"/>
      <c r="R10" s="75"/>
      <c r="S10" s="27"/>
      <c r="U10" s="109" t="s">
        <v>18</v>
      </c>
      <c r="V10" s="110"/>
      <c r="W10" s="107" t="s">
        <v>19</v>
      </c>
      <c r="Z10" s="25"/>
      <c r="AA10" s="26"/>
      <c r="AB10" s="111" t="s">
        <v>17</v>
      </c>
      <c r="AC10" s="111"/>
      <c r="AD10" s="75"/>
      <c r="AE10" s="27"/>
      <c r="AG10" s="109" t="s">
        <v>18</v>
      </c>
      <c r="AH10" s="110"/>
      <c r="AI10" s="10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8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1" t="s">
        <v>17</v>
      </c>
      <c r="E65" s="111"/>
      <c r="F65" s="87"/>
      <c r="G65" s="27"/>
      <c r="I65" s="109" t="s">
        <v>18</v>
      </c>
      <c r="J65" s="110"/>
      <c r="K65" s="107" t="s">
        <v>19</v>
      </c>
      <c r="N65" s="25"/>
      <c r="O65" s="26"/>
      <c r="P65" s="111" t="s">
        <v>17</v>
      </c>
      <c r="Q65" s="111"/>
      <c r="R65" s="87"/>
      <c r="S65" s="27"/>
      <c r="U65" s="109" t="s">
        <v>18</v>
      </c>
      <c r="V65" s="110"/>
      <c r="W65" s="107" t="s">
        <v>19</v>
      </c>
      <c r="Z65" s="25"/>
      <c r="AA65" s="26"/>
      <c r="AB65" s="111" t="s">
        <v>17</v>
      </c>
      <c r="AC65" s="111"/>
      <c r="AD65" s="87"/>
      <c r="AE65" s="27"/>
      <c r="AG65" s="109" t="s">
        <v>18</v>
      </c>
      <c r="AH65" s="110"/>
      <c r="AI65" s="10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8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106"/>
      <c r="AO67" s="106"/>
      <c r="AP67" s="86"/>
      <c r="AQ67" s="62"/>
      <c r="AR67" s="106"/>
      <c r="AS67" s="106"/>
      <c r="AT67" s="10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1" t="s">
        <v>17</v>
      </c>
      <c r="E120" s="111"/>
      <c r="F120" s="88"/>
      <c r="G120" s="27"/>
      <c r="I120" s="109" t="s">
        <v>18</v>
      </c>
      <c r="J120" s="110"/>
      <c r="K120" s="107" t="s">
        <v>19</v>
      </c>
      <c r="N120" s="25"/>
      <c r="O120" s="26"/>
      <c r="P120" s="111" t="s">
        <v>17</v>
      </c>
      <c r="Q120" s="111"/>
      <c r="R120" s="88"/>
      <c r="S120" s="27"/>
      <c r="U120" s="109" t="s">
        <v>18</v>
      </c>
      <c r="V120" s="110"/>
      <c r="W120" s="107" t="s">
        <v>19</v>
      </c>
      <c r="Z120" s="25"/>
      <c r="AA120" s="26"/>
      <c r="AB120" s="111" t="s">
        <v>17</v>
      </c>
      <c r="AC120" s="111"/>
      <c r="AD120" s="88"/>
      <c r="AE120" s="27"/>
      <c r="AG120" s="109" t="s">
        <v>18</v>
      </c>
      <c r="AH120" s="110"/>
      <c r="AI120" s="10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1" t="s">
        <v>17</v>
      </c>
      <c r="E175" s="111"/>
      <c r="F175" s="89"/>
      <c r="G175" s="27"/>
      <c r="I175" s="109" t="s">
        <v>18</v>
      </c>
      <c r="J175" s="110"/>
      <c r="K175" s="107" t="s">
        <v>19</v>
      </c>
      <c r="N175" s="25"/>
      <c r="O175" s="26"/>
      <c r="P175" s="111" t="s">
        <v>17</v>
      </c>
      <c r="Q175" s="111"/>
      <c r="R175" s="89"/>
      <c r="S175" s="27"/>
      <c r="U175" s="109" t="s">
        <v>18</v>
      </c>
      <c r="V175" s="110"/>
      <c r="W175" s="107" t="s">
        <v>19</v>
      </c>
      <c r="Z175" s="25"/>
      <c r="AA175" s="26"/>
      <c r="AB175" s="111" t="s">
        <v>17</v>
      </c>
      <c r="AC175" s="111"/>
      <c r="AD175" s="89"/>
      <c r="AE175" s="27"/>
      <c r="AG175" s="109" t="s">
        <v>18</v>
      </c>
      <c r="AH175" s="110"/>
      <c r="AI175" s="107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8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106"/>
      <c r="AO181" s="106"/>
      <c r="AP181" s="86"/>
      <c r="AQ181" s="62"/>
      <c r="AR181" s="106"/>
      <c r="AS181" s="106"/>
      <c r="AT181" s="10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1" t="s">
        <v>17</v>
      </c>
      <c r="E230" s="111"/>
      <c r="F230" s="90"/>
      <c r="G230" s="27"/>
      <c r="I230" s="109" t="s">
        <v>18</v>
      </c>
      <c r="J230" s="110"/>
      <c r="K230" s="107" t="s">
        <v>19</v>
      </c>
      <c r="N230" s="25"/>
      <c r="O230" s="26"/>
      <c r="P230" s="111" t="s">
        <v>17</v>
      </c>
      <c r="Q230" s="111"/>
      <c r="R230" s="90"/>
      <c r="S230" s="27"/>
      <c r="U230" s="109" t="s">
        <v>18</v>
      </c>
      <c r="V230" s="110"/>
      <c r="W230" s="107" t="s">
        <v>19</v>
      </c>
      <c r="Y230" s="62"/>
      <c r="Z230" s="65"/>
      <c r="AA230" s="86"/>
      <c r="AB230" s="106"/>
      <c r="AC230" s="106"/>
      <c r="AD230" s="86"/>
      <c r="AE230" s="86"/>
      <c r="AF230" s="62"/>
      <c r="AG230" s="106"/>
      <c r="AH230" s="106"/>
      <c r="AI230" s="105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8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105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1" t="s">
        <v>17</v>
      </c>
      <c r="E285" s="111"/>
      <c r="F285" s="91"/>
      <c r="G285" s="27"/>
      <c r="I285" s="109" t="s">
        <v>18</v>
      </c>
      <c r="J285" s="110"/>
      <c r="K285" s="107" t="s">
        <v>19</v>
      </c>
      <c r="N285" s="25"/>
      <c r="O285" s="26"/>
      <c r="P285" s="111" t="s">
        <v>17</v>
      </c>
      <c r="Q285" s="111"/>
      <c r="R285" s="91"/>
      <c r="S285" s="27"/>
      <c r="U285" s="109" t="s">
        <v>18</v>
      </c>
      <c r="V285" s="110"/>
      <c r="W285" s="107" t="s">
        <v>19</v>
      </c>
      <c r="Z285" s="25"/>
      <c r="AA285" s="26"/>
      <c r="AB285" s="111" t="s">
        <v>17</v>
      </c>
      <c r="AC285" s="111"/>
      <c r="AD285" s="91"/>
      <c r="AE285" s="27"/>
      <c r="AG285" s="109" t="s">
        <v>18</v>
      </c>
      <c r="AH285" s="110"/>
      <c r="AI285" s="10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1" t="s">
        <v>17</v>
      </c>
      <c r="E340" s="111"/>
      <c r="F340" s="93"/>
      <c r="G340" s="27"/>
      <c r="I340" s="109" t="s">
        <v>18</v>
      </c>
      <c r="J340" s="110"/>
      <c r="K340" s="107" t="s">
        <v>19</v>
      </c>
      <c r="N340" s="25"/>
      <c r="O340" s="26"/>
      <c r="P340" s="111" t="s">
        <v>17</v>
      </c>
      <c r="Q340" s="111"/>
      <c r="R340" s="93"/>
      <c r="S340" s="27"/>
      <c r="U340" s="109" t="s">
        <v>18</v>
      </c>
      <c r="V340" s="110"/>
      <c r="W340" s="107" t="s">
        <v>19</v>
      </c>
      <c r="Z340" s="25"/>
      <c r="AA340" s="26"/>
      <c r="AB340" s="111" t="s">
        <v>17</v>
      </c>
      <c r="AC340" s="111"/>
      <c r="AD340" s="93"/>
      <c r="AE340" s="27"/>
      <c r="AG340" s="109" t="s">
        <v>18</v>
      </c>
      <c r="AH340" s="110"/>
      <c r="AI340" s="10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8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8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1" t="s">
        <v>17</v>
      </c>
      <c r="E395" s="111"/>
      <c r="F395" s="94"/>
      <c r="G395" s="27"/>
      <c r="I395" s="109" t="s">
        <v>18</v>
      </c>
      <c r="J395" s="110"/>
      <c r="K395" s="107" t="s">
        <v>19</v>
      </c>
      <c r="N395" s="25"/>
      <c r="O395" s="26"/>
      <c r="P395" s="111" t="s">
        <v>17</v>
      </c>
      <c r="Q395" s="111"/>
      <c r="R395" s="94"/>
      <c r="S395" s="27"/>
      <c r="U395" s="109" t="s">
        <v>18</v>
      </c>
      <c r="V395" s="110"/>
      <c r="W395" s="107" t="s">
        <v>19</v>
      </c>
      <c r="Z395" s="25"/>
      <c r="AA395" s="26"/>
      <c r="AB395" s="111" t="s">
        <v>17</v>
      </c>
      <c r="AC395" s="111"/>
      <c r="AD395" s="94"/>
      <c r="AE395" s="27"/>
      <c r="AG395" s="109" t="s">
        <v>18</v>
      </c>
      <c r="AH395" s="110"/>
      <c r="AI395" s="10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8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8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3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3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3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3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3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3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3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3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2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2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1" t="s">
        <v>17</v>
      </c>
      <c r="E450" s="111"/>
      <c r="F450" s="95"/>
      <c r="G450" s="27"/>
      <c r="I450" s="109" t="s">
        <v>18</v>
      </c>
      <c r="J450" s="110"/>
      <c r="K450" s="107" t="s">
        <v>19</v>
      </c>
      <c r="N450" s="25"/>
      <c r="O450" s="26"/>
      <c r="P450" s="111" t="s">
        <v>17</v>
      </c>
      <c r="Q450" s="111"/>
      <c r="R450" s="95"/>
      <c r="S450" s="27"/>
      <c r="U450" s="109" t="s">
        <v>18</v>
      </c>
      <c r="V450" s="110"/>
      <c r="W450" s="107" t="s">
        <v>19</v>
      </c>
      <c r="Z450" s="25"/>
      <c r="AA450" s="26"/>
      <c r="AB450" s="111" t="s">
        <v>17</v>
      </c>
      <c r="AC450" s="111"/>
      <c r="AD450" s="95"/>
      <c r="AE450" s="27"/>
      <c r="AG450" s="109" t="s">
        <v>18</v>
      </c>
      <c r="AH450" s="110"/>
      <c r="AI450" s="10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3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3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3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3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3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3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3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2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2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1" t="s">
        <v>17</v>
      </c>
      <c r="E505" s="111"/>
      <c r="F505" s="96"/>
      <c r="G505" s="27"/>
      <c r="I505" s="109" t="s">
        <v>18</v>
      </c>
      <c r="J505" s="110"/>
      <c r="K505" s="107" t="s">
        <v>19</v>
      </c>
      <c r="N505" s="25"/>
      <c r="O505" s="26"/>
      <c r="P505" s="111" t="s">
        <v>17</v>
      </c>
      <c r="Q505" s="111"/>
      <c r="R505" s="96"/>
      <c r="S505" s="27"/>
      <c r="U505" s="109" t="s">
        <v>18</v>
      </c>
      <c r="V505" s="110"/>
      <c r="W505" s="107" t="s">
        <v>19</v>
      </c>
      <c r="Z505" s="25"/>
      <c r="AA505" s="26"/>
      <c r="AB505" s="111" t="s">
        <v>17</v>
      </c>
      <c r="AC505" s="111"/>
      <c r="AD505" s="96"/>
      <c r="AE505" s="27"/>
      <c r="AG505" s="109" t="s">
        <v>18</v>
      </c>
      <c r="AH505" s="110"/>
      <c r="AI505" s="10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8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0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3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40" si="158">SUM(D507:E507)</f>
        <v>210946</v>
      </c>
      <c r="H507" s="12"/>
      <c r="I507" s="12">
        <v>216</v>
      </c>
      <c r="J507" s="12"/>
      <c r="K507" s="12">
        <f t="shared" ref="K507:K540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3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45" si="160">SUM(P508:Q508)</f>
        <v>140893</v>
      </c>
      <c r="T508" s="12"/>
      <c r="U508" s="12">
        <f>120*20+146*111+78*7</f>
        <v>19152</v>
      </c>
      <c r="V508" s="12"/>
      <c r="W508" s="12">
        <f t="shared" ref="W508:W548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09" si="162">SUM(AB508:AC508)</f>
        <v>1970</v>
      </c>
      <c r="AF508" s="12"/>
      <c r="AG508" s="12"/>
      <c r="AI508" s="12">
        <f t="shared" ref="AI508:AI509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3">
        <f t="shared" ref="C509:C510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3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3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48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45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2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2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F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106"/>
      <c r="E560" s="106"/>
      <c r="F560" s="86"/>
      <c r="G560" s="86"/>
      <c r="H560" s="62"/>
      <c r="I560" s="106"/>
      <c r="J560" s="106"/>
      <c r="K560" s="105"/>
      <c r="N560" s="25"/>
      <c r="O560" s="26"/>
      <c r="P560" s="111" t="s">
        <v>17</v>
      </c>
      <c r="Q560" s="111"/>
      <c r="R560" s="97"/>
      <c r="S560" s="27"/>
      <c r="U560" s="109" t="s">
        <v>18</v>
      </c>
      <c r="V560" s="110"/>
      <c r="W560" s="107" t="s">
        <v>19</v>
      </c>
      <c r="Z560" s="25"/>
      <c r="AA560" s="26"/>
      <c r="AB560" s="111" t="s">
        <v>17</v>
      </c>
      <c r="AC560" s="111"/>
      <c r="AD560" s="97"/>
      <c r="AE560" s="27"/>
      <c r="AG560" s="109" t="s">
        <v>18</v>
      </c>
      <c r="AH560" s="110"/>
      <c r="AI560" s="10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105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08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0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66</v>
      </c>
      <c r="O562" s="31">
        <v>8999</v>
      </c>
      <c r="P562" s="32">
        <f>650*150+973*5+622*50+912*5+229*8</f>
        <v>139857</v>
      </c>
      <c r="Q562" s="32">
        <f>-210*6</f>
        <v>-1260</v>
      </c>
      <c r="R562" s="32"/>
      <c r="S562" s="32">
        <f>SUM(P562:Q562)</f>
        <v>138597</v>
      </c>
      <c r="T562" s="12"/>
      <c r="U562" s="12">
        <f>78</f>
        <v>78</v>
      </c>
      <c r="V562" s="12">
        <f>-5883+-1680</f>
        <v>-7563</v>
      </c>
      <c r="W562" s="12">
        <f>SUM(S562:V562)</f>
        <v>131112</v>
      </c>
      <c r="Y562" s="10">
        <v>1</v>
      </c>
      <c r="Z562" s="30" t="s">
        <v>66</v>
      </c>
      <c r="AA562" s="31">
        <v>8946</v>
      </c>
      <c r="AB562" s="32">
        <f>650*17+670*2</f>
        <v>12390</v>
      </c>
      <c r="AC562" s="32"/>
      <c r="AD562" s="32"/>
      <c r="AE562" s="32">
        <f>SUM(AB562:AC562)</f>
        <v>12390</v>
      </c>
      <c r="AF562" s="12"/>
      <c r="AG562" s="12"/>
      <c r="AH562" s="12"/>
      <c r="AI562" s="12">
        <f>SUM(AE562:AH562)</f>
        <v>12390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/>
      <c r="O563" s="11" t="s">
        <v>27</v>
      </c>
      <c r="P563" s="32"/>
      <c r="Q563" s="32"/>
      <c r="R563" s="32"/>
      <c r="S563" s="32">
        <f t="shared" ref="S563:S600" si="174">SUM(P563:Q563)</f>
        <v>0</v>
      </c>
      <c r="T563" s="12"/>
      <c r="U563" s="12"/>
      <c r="V563" s="12"/>
      <c r="W563" s="12">
        <f t="shared" ref="W563:W603" si="175">SUM(S563:V563)</f>
        <v>0</v>
      </c>
      <c r="Y563" s="10">
        <v>2</v>
      </c>
      <c r="Z563" s="30" t="s">
        <v>66</v>
      </c>
      <c r="AA563" s="31">
        <f>AA562+1</f>
        <v>8947</v>
      </c>
      <c r="AB563" s="32">
        <f>650*108+670*3+872*5</f>
        <v>76570</v>
      </c>
      <c r="AC563">
        <f>-116*6</f>
        <v>-696</v>
      </c>
      <c r="AD563" s="32"/>
      <c r="AE563" s="32">
        <f t="shared" ref="AE563:AE564" si="176">SUM(AB563:AC563)</f>
        <v>75874</v>
      </c>
      <c r="AF563" s="12"/>
      <c r="AG563" s="12">
        <f>600+220.5</f>
        <v>820.5</v>
      </c>
      <c r="AI563" s="12">
        <f t="shared" ref="AI563:AI564" si="177">SUM(AE563:AH563)</f>
        <v>76694.5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/>
      <c r="O564" s="31"/>
      <c r="P564" s="32"/>
      <c r="Q564" s="32"/>
      <c r="R564" s="32"/>
      <c r="S564" s="32">
        <f t="shared" si="174"/>
        <v>0</v>
      </c>
      <c r="T564" s="12"/>
      <c r="U564" s="12"/>
      <c r="V564" s="12"/>
      <c r="W564" s="12">
        <f t="shared" si="175"/>
        <v>0</v>
      </c>
      <c r="Y564" s="10">
        <v>3</v>
      </c>
      <c r="Z564" s="30" t="s">
        <v>66</v>
      </c>
      <c r="AA564" s="31">
        <f t="shared" ref="AA564:AA566" si="178">AA563+1</f>
        <v>8948</v>
      </c>
      <c r="AB564" s="32">
        <f>650*7+622*4+229*2</f>
        <v>7496</v>
      </c>
      <c r="AC564" s="33"/>
      <c r="AD564" s="32"/>
      <c r="AE564" s="32">
        <f t="shared" si="176"/>
        <v>7496</v>
      </c>
      <c r="AF564" s="12"/>
      <c r="AG564" s="12"/>
      <c r="AH564" s="12">
        <v>-2109</v>
      </c>
      <c r="AI564" s="12">
        <f t="shared" si="177"/>
        <v>5387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/>
      <c r="O565" s="31"/>
      <c r="P565" s="32"/>
      <c r="Q565" s="32"/>
      <c r="R565" s="32"/>
      <c r="S565" s="32">
        <f t="shared" si="174"/>
        <v>0</v>
      </c>
      <c r="T565" s="12"/>
      <c r="U565" s="12"/>
      <c r="V565" s="12"/>
      <c r="W565" s="12">
        <f t="shared" si="175"/>
        <v>0</v>
      </c>
      <c r="Y565" s="10">
        <v>4</v>
      </c>
      <c r="Z565" s="30" t="s">
        <v>66</v>
      </c>
      <c r="AA565" s="31">
        <f t="shared" si="178"/>
        <v>8949</v>
      </c>
      <c r="AB565" s="32">
        <f>650*100+229*4</f>
        <v>65916</v>
      </c>
      <c r="AC565" s="32">
        <f>-100*6</f>
        <v>-600</v>
      </c>
      <c r="AD565" s="32"/>
      <c r="AE565" s="32">
        <f>SUM(AB565:AC565)</f>
        <v>65316</v>
      </c>
      <c r="AF565" s="12"/>
      <c r="AG565">
        <f>5772+156</f>
        <v>5928</v>
      </c>
      <c r="AH565" s="12">
        <f>-120*2+-42*9</f>
        <v>-618</v>
      </c>
      <c r="AI565" s="12">
        <f>SUM(AE565:AH565)</f>
        <v>70626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31"/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 t="s">
        <v>66</v>
      </c>
      <c r="AA566" s="31">
        <f t="shared" si="178"/>
        <v>8950</v>
      </c>
      <c r="AB566" s="33">
        <f>650*3+622*2</f>
        <v>3194</v>
      </c>
      <c r="AC566" s="32"/>
      <c r="AD566" s="32"/>
      <c r="AE566" s="32">
        <f>SUM(AB566:AC566)</f>
        <v>3194</v>
      </c>
      <c r="AF566" s="12"/>
      <c r="AG566" s="12"/>
      <c r="AH566" s="12">
        <f>-78*2</f>
        <v>-156</v>
      </c>
      <c r="AI566" s="12">
        <f t="shared" ref="AI566:AI603" si="179">SUM(AE566:AH566)</f>
        <v>3038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11" t="s">
        <v>27</v>
      </c>
      <c r="AB567" s="32"/>
      <c r="AC567" s="32"/>
      <c r="AD567" s="32"/>
      <c r="AE567" s="32">
        <f t="shared" ref="AE567:AE600" si="180">SUM(AB567:AC567)</f>
        <v>0</v>
      </c>
      <c r="AF567" s="12"/>
      <c r="AG567" s="12"/>
      <c r="AH567" s="10"/>
      <c r="AI567" s="12">
        <f t="shared" si="179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80"/>
        <v>0</v>
      </c>
      <c r="AF568" s="12"/>
      <c r="AG568" s="58"/>
      <c r="AH568" s="12"/>
      <c r="AI568" s="12">
        <f t="shared" si="179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80"/>
        <v>0</v>
      </c>
      <c r="AF569" s="12"/>
      <c r="AG569" s="12"/>
      <c r="AH569" s="12"/>
      <c r="AI569" s="12">
        <f t="shared" si="179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C570" s="32"/>
      <c r="AD570" s="32"/>
      <c r="AE570" s="32">
        <f t="shared" si="180"/>
        <v>0</v>
      </c>
      <c r="AF570" s="12"/>
      <c r="AH570" s="12"/>
      <c r="AI570" s="12">
        <f t="shared" si="179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B571" s="32"/>
      <c r="AC571" s="32"/>
      <c r="AD571" s="32"/>
      <c r="AE571" s="32">
        <f t="shared" si="180"/>
        <v>0</v>
      </c>
      <c r="AF571" s="12"/>
      <c r="AG571" s="12"/>
      <c r="AH571" s="12"/>
      <c r="AI571" s="12">
        <f t="shared" si="179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0"/>
        <v>0</v>
      </c>
      <c r="AF572" s="12"/>
      <c r="AG572" s="12"/>
      <c r="AH572" s="12"/>
      <c r="AI572" s="12">
        <f t="shared" si="179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0"/>
        <v>0</v>
      </c>
      <c r="AF573" s="12"/>
      <c r="AG573" s="12"/>
      <c r="AH573" s="12"/>
      <c r="AI573" s="12">
        <f t="shared" si="179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0"/>
        <v>0</v>
      </c>
      <c r="AF574" s="12"/>
      <c r="AG574" s="12"/>
      <c r="AH574" s="12"/>
      <c r="AI574" s="12">
        <f t="shared" si="179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0"/>
        <v>0</v>
      </c>
      <c r="AF575" s="12"/>
      <c r="AG575" s="12"/>
      <c r="AH575" s="12"/>
      <c r="AI575" s="12">
        <f t="shared" si="179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80"/>
        <v>0</v>
      </c>
      <c r="AF576" s="12"/>
      <c r="AG576" s="12"/>
      <c r="AH576" s="12"/>
      <c r="AI576" s="12">
        <f t="shared" si="179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B577" s="32"/>
      <c r="AC577" s="32"/>
      <c r="AD577" s="32"/>
      <c r="AE577" s="32">
        <f t="shared" si="180"/>
        <v>0</v>
      </c>
      <c r="AF577" s="12"/>
      <c r="AG577" s="12"/>
      <c r="AH577" s="12"/>
      <c r="AI577" s="12">
        <f t="shared" si="179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0"/>
        <v>0</v>
      </c>
      <c r="AF578" s="12"/>
      <c r="AG578" s="12"/>
      <c r="AH578" s="12"/>
      <c r="AI578" s="12">
        <f t="shared" si="179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0"/>
        <v>0</v>
      </c>
      <c r="AF579" s="12"/>
      <c r="AG579" s="12"/>
      <c r="AH579" s="12"/>
      <c r="AI579" s="12">
        <f t="shared" si="179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0"/>
        <v>0</v>
      </c>
      <c r="AF580" s="12"/>
      <c r="AG580" s="12"/>
      <c r="AH580" s="12"/>
      <c r="AI580" s="12">
        <f t="shared" si="179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0"/>
        <v>0</v>
      </c>
      <c r="AF581" s="12"/>
      <c r="AG581" s="12"/>
      <c r="AH581" s="12"/>
      <c r="AI581" s="12">
        <f t="shared" si="179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92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0"/>
        <v>0</v>
      </c>
      <c r="AF582" s="10"/>
      <c r="AG582" s="10"/>
      <c r="AH582" s="10"/>
      <c r="AI582" s="12">
        <f t="shared" si="179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92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0"/>
        <v>0</v>
      </c>
      <c r="AF583" s="10"/>
      <c r="AG583" s="10"/>
      <c r="AH583" s="10"/>
      <c r="AI583" s="12">
        <f t="shared" si="179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0"/>
        <v>0</v>
      </c>
      <c r="AF584" s="10"/>
      <c r="AG584" s="10"/>
      <c r="AH584" s="10"/>
      <c r="AI584" s="12">
        <f t="shared" si="179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0"/>
        <v>0</v>
      </c>
      <c r="AF585" s="10"/>
      <c r="AG585" s="10"/>
      <c r="AH585" s="10"/>
      <c r="AI585" s="12">
        <f t="shared" si="179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0"/>
        <v>0</v>
      </c>
      <c r="AF586" s="10"/>
      <c r="AG586" s="10"/>
      <c r="AH586" s="10"/>
      <c r="AI586" s="12">
        <f t="shared" si="179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0"/>
        <v>0</v>
      </c>
      <c r="AF587" s="10"/>
      <c r="AG587" s="10"/>
      <c r="AH587" s="10"/>
      <c r="AI587" s="12">
        <f t="shared" si="179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0"/>
        <v>0</v>
      </c>
      <c r="AF588" s="10"/>
      <c r="AG588" s="10"/>
      <c r="AH588" s="10"/>
      <c r="AI588" s="12">
        <f t="shared" si="179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0"/>
        <v>0</v>
      </c>
      <c r="AF589" s="10"/>
      <c r="AG589" s="10"/>
      <c r="AH589" s="10"/>
      <c r="AI589" s="12">
        <f t="shared" si="179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0"/>
        <v>0</v>
      </c>
      <c r="AF590" s="10"/>
      <c r="AG590" s="10"/>
      <c r="AH590" s="10"/>
      <c r="AI590" s="12">
        <f t="shared" si="179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0"/>
        <v>0</v>
      </c>
      <c r="AF591" s="10"/>
      <c r="AG591" s="10"/>
      <c r="AH591" s="10"/>
      <c r="AI591" s="12">
        <f t="shared" si="179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0"/>
        <v>0</v>
      </c>
      <c r="AF592" s="10"/>
      <c r="AG592" s="10"/>
      <c r="AH592" s="10"/>
      <c r="AI592" s="12">
        <f t="shared" si="179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0"/>
        <v>0</v>
      </c>
      <c r="AF593" s="10"/>
      <c r="AG593" s="10"/>
      <c r="AH593" s="10"/>
      <c r="AI593" s="12">
        <f t="shared" si="179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0"/>
        <v>0</v>
      </c>
      <c r="AF594" s="10"/>
      <c r="AG594" s="10"/>
      <c r="AH594" s="10"/>
      <c r="AI594" s="12">
        <f t="shared" si="179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0"/>
        <v>0</v>
      </c>
      <c r="AF595" s="10"/>
      <c r="AG595" s="10"/>
      <c r="AH595" s="10"/>
      <c r="AI595" s="12">
        <f t="shared" si="179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79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79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79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79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79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9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1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2">SUM(AB602:AC602)</f>
        <v>0</v>
      </c>
      <c r="AF602" s="10"/>
      <c r="AG602" s="10"/>
      <c r="AH602" s="10"/>
      <c r="AI602" s="12">
        <f t="shared" si="179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9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139857</v>
      </c>
      <c r="Q605" s="38">
        <f>SUM(Q562:Q586)</f>
        <v>-1260</v>
      </c>
      <c r="R605" s="38">
        <f>SUM(R562:R586)</f>
        <v>0</v>
      </c>
      <c r="S605" s="38">
        <f>SUM(S562:S604)</f>
        <v>138597</v>
      </c>
      <c r="T605" s="4"/>
      <c r="U605" s="41">
        <f>SUM(U562:U604)</f>
        <v>78</v>
      </c>
      <c r="V605" s="41">
        <f>SUM(V562:V586)</f>
        <v>-7563</v>
      </c>
      <c r="W605" s="42">
        <f>SUM(W562:W604)</f>
        <v>131112</v>
      </c>
      <c r="Z605" s="57"/>
      <c r="AA605" s="57"/>
      <c r="AB605" s="38">
        <f>SUM(AB562:AB604)</f>
        <v>165566</v>
      </c>
      <c r="AC605" s="38">
        <f>SUM(AC562:AC586)</f>
        <v>-1296</v>
      </c>
      <c r="AD605" s="38">
        <f>SUM(AD562:AD586)</f>
        <v>0</v>
      </c>
      <c r="AE605" s="38">
        <f>SUM(AE562:AE604)</f>
        <v>164270</v>
      </c>
      <c r="AF605" s="4"/>
      <c r="AG605" s="41">
        <f>SUM(AG562:AG604)</f>
        <v>6748.5</v>
      </c>
      <c r="AH605" s="41">
        <f>SUM(AH562:AH586)</f>
        <v>-2883</v>
      </c>
      <c r="AI605" s="42">
        <f>SUM(AI562:AI604)</f>
        <v>168135.5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68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68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1" t="s">
        <v>17</v>
      </c>
      <c r="E615" s="111"/>
      <c r="F615" s="98"/>
      <c r="G615" s="27"/>
      <c r="I615" s="109" t="s">
        <v>18</v>
      </c>
      <c r="J615" s="110"/>
      <c r="K615" s="107" t="s">
        <v>19</v>
      </c>
      <c r="N615" s="25"/>
      <c r="O615" s="26"/>
      <c r="P615" s="111" t="s">
        <v>17</v>
      </c>
      <c r="Q615" s="111"/>
      <c r="R615" s="98"/>
      <c r="S615" s="27"/>
      <c r="U615" s="109" t="s">
        <v>18</v>
      </c>
      <c r="V615" s="110"/>
      <c r="W615" s="107" t="s">
        <v>19</v>
      </c>
      <c r="Z615" s="25"/>
      <c r="AA615" s="26"/>
      <c r="AB615" s="111" t="s">
        <v>17</v>
      </c>
      <c r="AC615" s="111"/>
      <c r="AD615" s="98"/>
      <c r="AE615" s="27"/>
      <c r="AG615" s="109" t="s">
        <v>18</v>
      </c>
      <c r="AH615" s="110"/>
      <c r="AI615" s="10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08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08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0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83">
        <v>9079</v>
      </c>
      <c r="D617" s="32">
        <f>622*10</f>
        <v>6220</v>
      </c>
      <c r="E617" s="32"/>
      <c r="F617" s="32"/>
      <c r="G617" s="32">
        <f t="shared" ref="G617:G650" si="183">SUM(D617:E617)</f>
        <v>6220</v>
      </c>
      <c r="H617" s="12"/>
      <c r="I617" s="12"/>
      <c r="J617" s="12"/>
      <c r="K617" s="12">
        <f t="shared" ref="K617:K650" si="184">SUM(G617:J617)</f>
        <v>6220</v>
      </c>
      <c r="M617" s="10">
        <v>1</v>
      </c>
      <c r="N617" s="30" t="s">
        <v>69</v>
      </c>
      <c r="O617" s="31">
        <v>9000</v>
      </c>
      <c r="P617" s="32">
        <f>650*4+670+9.5*4</f>
        <v>3308</v>
      </c>
      <c r="Q617" s="32"/>
      <c r="R617" s="32"/>
      <c r="S617" s="32">
        <f>SUM(P617:Q617)</f>
        <v>3308</v>
      </c>
      <c r="T617" s="12"/>
      <c r="U617" s="12"/>
      <c r="V617" s="12"/>
      <c r="W617" s="12">
        <f>SUM(S617:V617)</f>
        <v>3308</v>
      </c>
      <c r="Y617" s="10">
        <v>1</v>
      </c>
      <c r="Z617" s="30" t="s">
        <v>69</v>
      </c>
      <c r="AA617" s="31">
        <v>9151</v>
      </c>
      <c r="AB617" s="32">
        <f>650*100+670*8+622*30+229*4</f>
        <v>89936</v>
      </c>
      <c r="AC617" s="32">
        <f>-138*6</f>
        <v>-828</v>
      </c>
      <c r="AD617" s="32"/>
      <c r="AE617" s="32">
        <f>SUM(AB617:AC617)</f>
        <v>89108</v>
      </c>
      <c r="AF617" s="12"/>
      <c r="AG617" s="12">
        <v>85.5</v>
      </c>
      <c r="AH617" s="12"/>
      <c r="AI617" s="12">
        <f>SUM(AE617:AH617)</f>
        <v>89193.5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83">
        <f>C617+1</f>
        <v>9080</v>
      </c>
      <c r="D618" s="32">
        <f>650*19</f>
        <v>12350</v>
      </c>
      <c r="E618" s="32"/>
      <c r="F618" s="32"/>
      <c r="G618" s="32">
        <f t="shared" si="183"/>
        <v>12350</v>
      </c>
      <c r="H618" s="12"/>
      <c r="I618" s="12"/>
      <c r="J618" s="12"/>
      <c r="K618" s="12">
        <f t="shared" si="184"/>
        <v>12350</v>
      </c>
      <c r="M618" s="10">
        <v>2</v>
      </c>
      <c r="N618" s="30" t="s">
        <v>69</v>
      </c>
      <c r="O618" s="31">
        <v>9014</v>
      </c>
      <c r="P618" s="32">
        <f>650*4+670+38</f>
        <v>3308</v>
      </c>
      <c r="Q618" s="32"/>
      <c r="R618" s="32"/>
      <c r="S618" s="32">
        <f t="shared" ref="S618:S655" si="185">SUM(P618:Q618)</f>
        <v>3308</v>
      </c>
      <c r="T618" s="12"/>
      <c r="U618" s="12"/>
      <c r="V618" s="12">
        <v>-111</v>
      </c>
      <c r="W618" s="12">
        <f t="shared" ref="W618:W658" si="186">SUM(S618:V618)</f>
        <v>3197</v>
      </c>
      <c r="Y618" s="10">
        <v>2</v>
      </c>
      <c r="Z618" s="30" t="s">
        <v>69</v>
      </c>
      <c r="AA618" s="31">
        <f>AA617+1</f>
        <v>9152</v>
      </c>
      <c r="AB618" s="32">
        <f>650*70+872*3</f>
        <v>48116</v>
      </c>
      <c r="AD618" s="32"/>
      <c r="AE618" s="32">
        <f t="shared" ref="AE618:AE619" si="187">SUM(AB618:AC618)</f>
        <v>48116</v>
      </c>
      <c r="AF618" s="12"/>
      <c r="AG618" s="12">
        <f>4.5*58+17*1.5</f>
        <v>286.5</v>
      </c>
      <c r="AH618">
        <v>-1998</v>
      </c>
      <c r="AI618" s="12">
        <f t="shared" ref="AI618:AI619" si="188">SUM(AE618:AH618)</f>
        <v>46404.5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69</v>
      </c>
      <c r="C619" s="83">
        <f t="shared" ref="C619:C631" si="189">C618+1</f>
        <v>9081</v>
      </c>
      <c r="D619" s="33">
        <f>650*40+622*10+229*2</f>
        <v>32678</v>
      </c>
      <c r="E619" s="33"/>
      <c r="F619" s="33"/>
      <c r="G619" s="33">
        <f t="shared" si="183"/>
        <v>32678</v>
      </c>
      <c r="H619" s="34"/>
      <c r="I619" s="34"/>
      <c r="J619" s="34"/>
      <c r="K619" s="34">
        <f t="shared" si="184"/>
        <v>32678</v>
      </c>
      <c r="M619" s="10">
        <v>3</v>
      </c>
      <c r="N619" s="30" t="s">
        <v>69</v>
      </c>
      <c r="O619" s="31">
        <f t="shared" ref="O619:O622" si="190">O618+1</f>
        <v>9015</v>
      </c>
      <c r="P619" s="32">
        <f>650*75+973+229*2+500</f>
        <v>50681</v>
      </c>
      <c r="Q619" s="32"/>
      <c r="R619" s="32"/>
      <c r="S619" s="32">
        <f t="shared" si="185"/>
        <v>50681</v>
      </c>
      <c r="T619" s="12"/>
      <c r="U619" s="12"/>
      <c r="V619" s="12"/>
      <c r="W619" s="12">
        <f t="shared" si="186"/>
        <v>50681</v>
      </c>
      <c r="Y619" s="10">
        <v>3</v>
      </c>
      <c r="Z619" s="30" t="s">
        <v>69</v>
      </c>
      <c r="AA619" s="31">
        <f t="shared" ref="AA619:AA620" si="191">AA618+1</f>
        <v>9153</v>
      </c>
      <c r="AB619" s="32">
        <f>650*50+229</f>
        <v>32729</v>
      </c>
      <c r="AC619" s="33">
        <f>-50*6</f>
        <v>-300</v>
      </c>
      <c r="AD619" s="32"/>
      <c r="AE619" s="32">
        <f t="shared" si="187"/>
        <v>32429</v>
      </c>
      <c r="AF619" s="12"/>
      <c r="AG619" s="12"/>
      <c r="AH619" s="12">
        <f>-30*111</f>
        <v>-3330</v>
      </c>
      <c r="AI619" s="12">
        <f t="shared" si="188"/>
        <v>29099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69</v>
      </c>
      <c r="C620" s="83">
        <f>C619+1</f>
        <v>9082</v>
      </c>
      <c r="D620" s="32">
        <f>650*6+9.5*6</f>
        <v>3957</v>
      </c>
      <c r="E620" s="32"/>
      <c r="F620" s="32"/>
      <c r="G620" s="32">
        <f t="shared" si="183"/>
        <v>3957</v>
      </c>
      <c r="H620" s="12"/>
      <c r="I620" s="12"/>
      <c r="J620" s="12"/>
      <c r="K620" s="12">
        <f t="shared" si="184"/>
        <v>3957</v>
      </c>
      <c r="M620" s="10">
        <v>4</v>
      </c>
      <c r="N620" s="30" t="s">
        <v>69</v>
      </c>
      <c r="O620" s="31">
        <f t="shared" si="190"/>
        <v>9016</v>
      </c>
      <c r="P620" s="32">
        <f>650*7+9.5*4</f>
        <v>4588</v>
      </c>
      <c r="Q620" s="32"/>
      <c r="R620" s="32"/>
      <c r="S620" s="32">
        <f t="shared" si="185"/>
        <v>4588</v>
      </c>
      <c r="T620" s="12"/>
      <c r="U620" s="12"/>
      <c r="V620" s="12">
        <v>-111</v>
      </c>
      <c r="W620" s="12">
        <f t="shared" si="186"/>
        <v>4477</v>
      </c>
      <c r="Y620" s="10">
        <v>4</v>
      </c>
      <c r="Z620" s="30" t="s">
        <v>69</v>
      </c>
      <c r="AA620" s="31">
        <f t="shared" si="191"/>
        <v>9154</v>
      </c>
      <c r="AB620" s="32">
        <f>108*650+229*4</f>
        <v>71116</v>
      </c>
      <c r="AC620" s="32">
        <f>-108*6</f>
        <v>-648</v>
      </c>
      <c r="AD620" s="32"/>
      <c r="AE620" s="32">
        <f>SUM(AB620:AC620)</f>
        <v>70468</v>
      </c>
      <c r="AF620" s="12"/>
      <c r="AH620" s="12"/>
      <c r="AI620" s="12">
        <f>SUM(AE620:AH620)</f>
        <v>70468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69</v>
      </c>
      <c r="C621" s="83">
        <f t="shared" si="189"/>
        <v>9083</v>
      </c>
      <c r="D621" s="32">
        <f>650*3+622*2+9.5*5</f>
        <v>3241.5</v>
      </c>
      <c r="E621" s="32"/>
      <c r="F621" s="32"/>
      <c r="G621" s="32">
        <f t="shared" si="183"/>
        <v>3241.5</v>
      </c>
      <c r="H621" s="12"/>
      <c r="I621" s="12"/>
      <c r="J621" s="12"/>
      <c r="K621" s="12">
        <f t="shared" si="184"/>
        <v>3241.5</v>
      </c>
      <c r="M621" s="10">
        <v>5</v>
      </c>
      <c r="N621" s="30" t="s">
        <v>69</v>
      </c>
      <c r="O621" s="31">
        <f t="shared" si="190"/>
        <v>9017</v>
      </c>
      <c r="P621" s="32">
        <f>650*3+670*3+9.5*3</f>
        <v>3988.5</v>
      </c>
      <c r="Q621" s="32"/>
      <c r="R621" s="32"/>
      <c r="S621" s="32">
        <f t="shared" si="185"/>
        <v>3988.5</v>
      </c>
      <c r="T621" s="12"/>
      <c r="U621" s="12"/>
      <c r="V621" s="12"/>
      <c r="W621" s="12">
        <f t="shared" si="186"/>
        <v>3988.5</v>
      </c>
      <c r="Y621" s="10">
        <v>5</v>
      </c>
      <c r="Z621" s="30"/>
      <c r="AA621" s="11" t="s">
        <v>27</v>
      </c>
      <c r="AB621" s="33"/>
      <c r="AC621" s="32"/>
      <c r="AD621" s="32"/>
      <c r="AE621" s="32">
        <f>SUM(AB621:AC621)</f>
        <v>0</v>
      </c>
      <c r="AF621" s="12"/>
      <c r="AG621" s="12"/>
      <c r="AH621" s="12"/>
      <c r="AI621" s="12">
        <f t="shared" ref="AI621:AI658" si="192">SUM(AE621:AH621)</f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69</v>
      </c>
      <c r="C622" s="83">
        <f t="shared" si="189"/>
        <v>9084</v>
      </c>
      <c r="D622" s="32">
        <f>650*6+622*3+9.5*9</f>
        <v>5851.5</v>
      </c>
      <c r="E622" s="32"/>
      <c r="F622" s="32"/>
      <c r="G622" s="32">
        <f t="shared" si="183"/>
        <v>5851.5</v>
      </c>
      <c r="H622" s="12"/>
      <c r="I622" s="12">
        <v>18</v>
      </c>
      <c r="J622" s="12">
        <f>-111*8</f>
        <v>-888</v>
      </c>
      <c r="K622" s="12">
        <f t="shared" si="184"/>
        <v>4981.5</v>
      </c>
      <c r="M622" s="10">
        <v>6</v>
      </c>
      <c r="N622" s="30" t="s">
        <v>69</v>
      </c>
      <c r="O622" s="31">
        <f t="shared" si="190"/>
        <v>9018</v>
      </c>
      <c r="P622" s="32">
        <f>650*216+229*4</f>
        <v>141316</v>
      </c>
      <c r="Q622" s="32">
        <f>-216*6</f>
        <v>-1296</v>
      </c>
      <c r="R622" s="32"/>
      <c r="S622" s="32">
        <f t="shared" si="185"/>
        <v>140020</v>
      </c>
      <c r="T622" s="12"/>
      <c r="U622" s="12">
        <f>23*111+78*3</f>
        <v>2787</v>
      </c>
      <c r="V622" s="10"/>
      <c r="W622" s="12">
        <f t="shared" si="186"/>
        <v>142807</v>
      </c>
      <c r="Y622" s="10">
        <v>6</v>
      </c>
      <c r="Z622" s="30"/>
      <c r="AA622" s="31"/>
      <c r="AB622" s="32"/>
      <c r="AC622" s="32"/>
      <c r="AD622" s="32"/>
      <c r="AE622" s="32">
        <f t="shared" ref="AE622:AE655" si="193">SUM(AB622:AC622)</f>
        <v>0</v>
      </c>
      <c r="AF622" s="12"/>
      <c r="AG622" s="12"/>
      <c r="AH622" s="10"/>
      <c r="AI622" s="12">
        <f t="shared" si="192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69</v>
      </c>
      <c r="C623" s="83">
        <f t="shared" si="189"/>
        <v>9085</v>
      </c>
      <c r="D623" s="32">
        <f>650</f>
        <v>650</v>
      </c>
      <c r="E623" s="32"/>
      <c r="F623" s="32"/>
      <c r="G623" s="32">
        <f t="shared" si="183"/>
        <v>650</v>
      </c>
      <c r="H623" s="12"/>
      <c r="I623" s="12"/>
      <c r="J623" s="12"/>
      <c r="K623" s="12">
        <f t="shared" si="184"/>
        <v>650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31"/>
      <c r="AB623" s="32"/>
      <c r="AC623" s="32"/>
      <c r="AD623" s="32"/>
      <c r="AE623" s="32">
        <f t="shared" si="193"/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69</v>
      </c>
      <c r="C624" s="83">
        <f t="shared" si="189"/>
        <v>9086</v>
      </c>
      <c r="D624" s="32">
        <f>650*102+622*15+872</f>
        <v>76502</v>
      </c>
      <c r="E624" s="32"/>
      <c r="F624" s="32"/>
      <c r="G624" s="32">
        <f t="shared" si="183"/>
        <v>76502</v>
      </c>
      <c r="H624" s="12"/>
      <c r="I624" s="12"/>
      <c r="J624" s="12"/>
      <c r="K624" s="12">
        <f t="shared" si="184"/>
        <v>76502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93"/>
        <v>0</v>
      </c>
      <c r="AF624" s="12"/>
      <c r="AG624" s="12"/>
      <c r="AH624" s="12"/>
      <c r="AI624" s="12">
        <f t="shared" si="192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69</v>
      </c>
      <c r="C625" s="83">
        <f t="shared" si="189"/>
        <v>9087</v>
      </c>
      <c r="D625" s="32">
        <f>650*108+1050+500</f>
        <v>71750</v>
      </c>
      <c r="E625" s="32"/>
      <c r="F625" s="32"/>
      <c r="G625" s="32">
        <f t="shared" si="183"/>
        <v>71750</v>
      </c>
      <c r="H625" s="12"/>
      <c r="I625" s="12"/>
      <c r="J625" s="12"/>
      <c r="K625" s="12">
        <f t="shared" si="184"/>
        <v>71750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93"/>
        <v>0</v>
      </c>
      <c r="AF625" s="12"/>
      <c r="AH625" s="12"/>
      <c r="AI625" s="12">
        <f t="shared" si="192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69</v>
      </c>
      <c r="C626" s="83">
        <f t="shared" si="189"/>
        <v>9088</v>
      </c>
      <c r="D626" s="32">
        <f>650*6+650+500*2</f>
        <v>5550</v>
      </c>
      <c r="E626" s="32"/>
      <c r="F626" s="32"/>
      <c r="G626" s="32">
        <f t="shared" si="183"/>
        <v>5550</v>
      </c>
      <c r="H626" s="12"/>
      <c r="I626" s="12">
        <v>54</v>
      </c>
      <c r="J626" s="12"/>
      <c r="K626" s="12">
        <f t="shared" si="184"/>
        <v>5604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93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69</v>
      </c>
      <c r="C627" s="83">
        <f t="shared" si="189"/>
        <v>9089</v>
      </c>
      <c r="D627" s="32">
        <f>650*11</f>
        <v>7150</v>
      </c>
      <c r="E627" s="32"/>
      <c r="F627" s="32"/>
      <c r="G627" s="32">
        <f t="shared" si="183"/>
        <v>7150</v>
      </c>
      <c r="H627" s="12"/>
      <c r="I627" s="12"/>
      <c r="J627" s="12">
        <v>-960</v>
      </c>
      <c r="K627" s="12">
        <f t="shared" si="184"/>
        <v>6190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93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69</v>
      </c>
      <c r="C628" s="83">
        <f t="shared" si="189"/>
        <v>9090</v>
      </c>
      <c r="D628" s="32">
        <f>650*21</f>
        <v>13650</v>
      </c>
      <c r="E628" s="32"/>
      <c r="F628" s="32"/>
      <c r="G628" s="32">
        <f t="shared" si="183"/>
        <v>13650</v>
      </c>
      <c r="H628" s="12"/>
      <c r="I628" s="12"/>
      <c r="J628" s="10"/>
      <c r="K628" s="12">
        <f t="shared" si="184"/>
        <v>13650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93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69</v>
      </c>
      <c r="C629" s="83">
        <f t="shared" si="189"/>
        <v>9091</v>
      </c>
      <c r="D629" s="32">
        <f>872+650</f>
        <v>1522</v>
      </c>
      <c r="E629" s="32"/>
      <c r="F629" s="32"/>
      <c r="G629" s="32">
        <f t="shared" si="183"/>
        <v>1522</v>
      </c>
      <c r="H629" s="12"/>
      <c r="I629" s="12"/>
      <c r="J629" s="12"/>
      <c r="K629" s="12">
        <f t="shared" si="184"/>
        <v>1522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93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69</v>
      </c>
      <c r="C630" s="83">
        <f t="shared" si="189"/>
        <v>9092</v>
      </c>
      <c r="D630" s="32">
        <f>973</f>
        <v>973</v>
      </c>
      <c r="E630" s="32"/>
      <c r="F630" s="32"/>
      <c r="G630" s="32">
        <f t="shared" si="183"/>
        <v>973</v>
      </c>
      <c r="H630" s="12"/>
      <c r="I630" s="12"/>
      <c r="J630" s="12"/>
      <c r="K630" s="12">
        <f t="shared" si="184"/>
        <v>973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93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69</v>
      </c>
      <c r="C631" s="83">
        <f t="shared" si="189"/>
        <v>9093</v>
      </c>
      <c r="D631" s="32">
        <f>973*60+1050*2+872*2</f>
        <v>62224</v>
      </c>
      <c r="E631" s="32"/>
      <c r="F631" s="32"/>
      <c r="G631" s="32">
        <f t="shared" si="183"/>
        <v>62224</v>
      </c>
      <c r="H631" s="12"/>
      <c r="I631" s="12">
        <v>360</v>
      </c>
      <c r="J631" s="12"/>
      <c r="K631" s="12">
        <f t="shared" si="184"/>
        <v>62584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B631" s="32"/>
      <c r="AC631" s="32"/>
      <c r="AD631" s="32"/>
      <c r="AE631" s="32">
        <f t="shared" si="193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 t="s">
        <v>27</v>
      </c>
      <c r="D632" s="32"/>
      <c r="E632" s="32"/>
      <c r="F632" s="32"/>
      <c r="G632" s="32">
        <f t="shared" si="183"/>
        <v>0</v>
      </c>
      <c r="H632" s="12"/>
      <c r="I632" s="12"/>
      <c r="J632" s="12"/>
      <c r="K632" s="12">
        <f t="shared" si="184"/>
        <v>0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B632" s="32"/>
      <c r="AC632" s="32"/>
      <c r="AD632" s="32"/>
      <c r="AE632" s="32">
        <f t="shared" si="193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83"/>
        <v>0</v>
      </c>
      <c r="H633" s="12"/>
      <c r="I633" s="12"/>
      <c r="J633" s="12"/>
      <c r="K633" s="12">
        <f t="shared" si="184"/>
        <v>0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93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83"/>
        <v>0</v>
      </c>
      <c r="H634" s="12"/>
      <c r="I634" s="12"/>
      <c r="J634" s="12"/>
      <c r="K634" s="12">
        <f t="shared" si="184"/>
        <v>0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3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O635" s="31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3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93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P637" s="92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3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92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3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Q639" s="31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C639" s="31"/>
      <c r="AE639" s="32">
        <f t="shared" si="193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3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O641" s="31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3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3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3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3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O645" s="31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3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3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3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O648" s="31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3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3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si="185"/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3"/>
        <v>0</v>
      </c>
      <c r="AF650" s="10"/>
      <c r="AG650" s="10"/>
      <c r="AH650" s="10"/>
      <c r="AI650" s="12">
        <f t="shared" si="192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5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2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5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2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5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2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5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2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5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2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2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2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2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304269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304269</v>
      </c>
      <c r="H660" s="4"/>
      <c r="I660" s="39">
        <f>SUM(I617:I659)</f>
        <v>432</v>
      </c>
      <c r="J660" s="39">
        <f>SUM(J617:J659)</f>
        <v>-1848</v>
      </c>
      <c r="K660" s="40">
        <f>SUM(K617:K659)</f>
        <v>302853</v>
      </c>
      <c r="N660" s="57"/>
      <c r="O660" s="57"/>
      <c r="P660" s="38">
        <f>SUM(P617:P659)</f>
        <v>207189.5</v>
      </c>
      <c r="Q660" s="38">
        <f>SUM(Q617:Q641)</f>
        <v>-1296</v>
      </c>
      <c r="R660" s="38">
        <f>SUM(R617:R641)</f>
        <v>0</v>
      </c>
      <c r="S660" s="38">
        <f>SUM(S617:S659)</f>
        <v>205893.5</v>
      </c>
      <c r="T660" s="4"/>
      <c r="U660" s="41">
        <f>SUM(U617:U659)</f>
        <v>2787</v>
      </c>
      <c r="V660" s="41">
        <f>SUM(V617:V641)</f>
        <v>-222</v>
      </c>
      <c r="W660" s="42">
        <f>SUM(W617:W659)</f>
        <v>208458.5</v>
      </c>
      <c r="Z660" s="57"/>
      <c r="AA660" s="57"/>
      <c r="AB660" s="38">
        <f>SUM(AB617:AB659)</f>
        <v>241897</v>
      </c>
      <c r="AC660" s="38">
        <f>SUM(AC617:AC641)</f>
        <v>-1776</v>
      </c>
      <c r="AD660" s="38">
        <f>SUM(AD617:AD641)</f>
        <v>0</v>
      </c>
      <c r="AE660" s="38">
        <f>SUM(AE617:AE659)</f>
        <v>240121</v>
      </c>
      <c r="AF660" s="4"/>
      <c r="AG660" s="41">
        <f>SUM(AG617:AG659)</f>
        <v>372</v>
      </c>
      <c r="AH660" s="41">
        <f>SUM(AH617:AH641)</f>
        <v>-5328</v>
      </c>
      <c r="AI660" s="42">
        <f>SUM(AI617:AI659)</f>
        <v>235165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1" t="s">
        <v>17</v>
      </c>
      <c r="E670" s="111"/>
      <c r="F670" s="99"/>
      <c r="G670" s="27"/>
      <c r="I670" s="109" t="s">
        <v>18</v>
      </c>
      <c r="J670" s="110"/>
      <c r="K670" s="107" t="s">
        <v>19</v>
      </c>
      <c r="N670" s="25"/>
      <c r="O670" s="26"/>
      <c r="P670" s="111" t="s">
        <v>17</v>
      </c>
      <c r="Q670" s="111"/>
      <c r="R670" s="99"/>
      <c r="S670" s="27"/>
      <c r="U670" s="109" t="s">
        <v>18</v>
      </c>
      <c r="V670" s="110"/>
      <c r="W670" s="107" t="s">
        <v>19</v>
      </c>
      <c r="Z670" s="25"/>
      <c r="AA670" s="26"/>
      <c r="AB670" s="111" t="s">
        <v>17</v>
      </c>
      <c r="AC670" s="111"/>
      <c r="AD670" s="99"/>
      <c r="AE670" s="27"/>
      <c r="AG670" s="109" t="s">
        <v>18</v>
      </c>
      <c r="AH670" s="110"/>
      <c r="AI670" s="107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08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08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08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9094</v>
      </c>
      <c r="D672" s="32">
        <f>650*4</f>
        <v>2600</v>
      </c>
      <c r="E672" s="32"/>
      <c r="F672" s="32"/>
      <c r="G672" s="32">
        <f t="shared" ref="G672:G705" si="199">SUM(D672:E672)</f>
        <v>2600</v>
      </c>
      <c r="H672" s="12"/>
      <c r="I672" s="12"/>
      <c r="J672" s="12"/>
      <c r="K672" s="12">
        <f t="shared" ref="K672:K705" si="200">SUM(G672:J672)</f>
        <v>2600</v>
      </c>
      <c r="M672" s="10">
        <v>1</v>
      </c>
      <c r="N672" s="30" t="s">
        <v>72</v>
      </c>
      <c r="O672" s="31">
        <v>9019</v>
      </c>
      <c r="P672" s="32">
        <f>650*6+9.5*6</f>
        <v>3957</v>
      </c>
      <c r="Q672" s="32"/>
      <c r="R672" s="32"/>
      <c r="S672" s="32">
        <f>SUM(P672:Q672)</f>
        <v>3957</v>
      </c>
      <c r="T672" s="12"/>
      <c r="U672" s="12"/>
      <c r="V672" s="12"/>
      <c r="W672" s="12">
        <f>SUM(S672:V672)</f>
        <v>3957</v>
      </c>
      <c r="Y672" s="10">
        <v>1</v>
      </c>
      <c r="Z672" s="30" t="s">
        <v>72</v>
      </c>
      <c r="AA672" s="31">
        <v>9155</v>
      </c>
      <c r="AB672" s="32">
        <f>650*108+229*4+650*2</f>
        <v>72416</v>
      </c>
      <c r="AC672" s="32"/>
      <c r="AD672" s="32"/>
      <c r="AE672" s="32">
        <f>SUM(AB672:AC672)</f>
        <v>72416</v>
      </c>
      <c r="AF672" s="12"/>
      <c r="AG672" s="12">
        <v>144</v>
      </c>
      <c r="AH672" s="12">
        <v>-240</v>
      </c>
      <c r="AI672" s="12">
        <f>SUM(AE672:AH672)</f>
        <v>72320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9095</v>
      </c>
      <c r="D673" s="32">
        <f>650*7</f>
        <v>4550</v>
      </c>
      <c r="E673" s="32">
        <f>-7*6</f>
        <v>-42</v>
      </c>
      <c r="F673" s="32"/>
      <c r="G673" s="32">
        <f t="shared" si="199"/>
        <v>4508</v>
      </c>
      <c r="H673" s="12"/>
      <c r="I673" s="12"/>
      <c r="J673" s="12"/>
      <c r="K673" s="12">
        <f t="shared" si="200"/>
        <v>4508</v>
      </c>
      <c r="M673" s="10">
        <v>2</v>
      </c>
      <c r="N673" s="30" t="s">
        <v>72</v>
      </c>
      <c r="O673" s="31">
        <f>O672+1</f>
        <v>9020</v>
      </c>
      <c r="P673" s="32">
        <f>650*432+872*3+229*15</f>
        <v>286851</v>
      </c>
      <c r="Q673" s="32">
        <f>-435*6</f>
        <v>-2610</v>
      </c>
      <c r="R673" s="32"/>
      <c r="S673" s="32">
        <f t="shared" ref="S673:S710" si="201">SUM(P673:Q673)</f>
        <v>284241</v>
      </c>
      <c r="T673" s="12"/>
      <c r="U673" s="12">
        <f>120+1014</f>
        <v>1134</v>
      </c>
      <c r="V673" s="12">
        <v>-504</v>
      </c>
      <c r="W673" s="12">
        <f t="shared" ref="W673:W713" si="202">SUM(S673:V673)</f>
        <v>284871</v>
      </c>
      <c r="Y673" s="10">
        <v>2</v>
      </c>
      <c r="Z673" s="30" t="s">
        <v>72</v>
      </c>
      <c r="AA673" s="31">
        <f>AA672+1</f>
        <v>9156</v>
      </c>
      <c r="AB673" s="32">
        <f>650*55+622*10</f>
        <v>41970</v>
      </c>
      <c r="AD673" s="32"/>
      <c r="AE673" s="32">
        <f t="shared" ref="AE673:AE674" si="203">SUM(AB673:AC673)</f>
        <v>41970</v>
      </c>
      <c r="AF673" s="12"/>
      <c r="AG673" s="12"/>
      <c r="AI673" s="12">
        <f t="shared" ref="AI673:AI674" si="204">SUM(AE673:AH673)</f>
        <v>41970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" si="205">C673+1</f>
        <v>9096</v>
      </c>
      <c r="D674" s="33">
        <f>650*216+622*108+912*5+873*10+229*13</f>
        <v>223843</v>
      </c>
      <c r="E674" s="33">
        <f>-339*6</f>
        <v>-2034</v>
      </c>
      <c r="F674" s="33"/>
      <c r="G674" s="33">
        <f t="shared" si="199"/>
        <v>221809</v>
      </c>
      <c r="H674" s="34"/>
      <c r="I674" s="34">
        <f>1200+78*10</f>
        <v>1980</v>
      </c>
      <c r="J674" s="34">
        <f>-444+-84+-336+-336+-16.5+-13.5+-22.5</f>
        <v>-1252.5</v>
      </c>
      <c r="K674" s="34">
        <f t="shared" si="200"/>
        <v>222536.5</v>
      </c>
      <c r="M674" s="10">
        <v>3</v>
      </c>
      <c r="N674" s="30" t="s">
        <v>72</v>
      </c>
      <c r="O674" s="31">
        <f t="shared" ref="O674" si="206">O673+1</f>
        <v>9021</v>
      </c>
      <c r="P674" s="32">
        <f>650+9.5</f>
        <v>659.5</v>
      </c>
      <c r="Q674" s="32"/>
      <c r="R674" s="32"/>
      <c r="S674" s="32">
        <f t="shared" si="201"/>
        <v>659.5</v>
      </c>
      <c r="T674" s="12"/>
      <c r="U674" s="12"/>
      <c r="V674" s="12"/>
      <c r="W674" s="12">
        <f t="shared" si="202"/>
        <v>659.5</v>
      </c>
      <c r="Y674" s="10">
        <v>3</v>
      </c>
      <c r="Z674" s="30" t="s">
        <v>72</v>
      </c>
      <c r="AA674" s="31">
        <f t="shared" ref="AA674:AA675" si="207">AA673+1</f>
        <v>9157</v>
      </c>
      <c r="AB674" s="32">
        <f>650*130+622*30+872+229*6+650</f>
        <v>106056</v>
      </c>
      <c r="AC674" s="33">
        <f>-160*6</f>
        <v>-960</v>
      </c>
      <c r="AD674" s="32"/>
      <c r="AE674" s="32">
        <f t="shared" si="203"/>
        <v>105096</v>
      </c>
      <c r="AF674" s="12"/>
      <c r="AG674" s="12"/>
      <c r="AH674" s="12"/>
      <c r="AI674" s="12">
        <f t="shared" si="204"/>
        <v>105096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>C674+1</f>
        <v>9097</v>
      </c>
      <c r="D675" s="32">
        <f>650*60+670*2+622*10</f>
        <v>46560</v>
      </c>
      <c r="E675" s="32"/>
      <c r="F675" s="32"/>
      <c r="G675" s="32">
        <f t="shared" si="199"/>
        <v>46560</v>
      </c>
      <c r="H675" s="12"/>
      <c r="I675" s="12">
        <v>243</v>
      </c>
      <c r="J675" s="12"/>
      <c r="K675" s="12">
        <f t="shared" si="200"/>
        <v>46803</v>
      </c>
      <c r="M675" s="10">
        <v>4</v>
      </c>
      <c r="N675" s="30"/>
      <c r="O675" s="11" t="s">
        <v>27</v>
      </c>
      <c r="P675" s="32"/>
      <c r="Q675" s="32"/>
      <c r="R675" s="32"/>
      <c r="S675" s="32">
        <f t="shared" si="201"/>
        <v>0</v>
      </c>
      <c r="T675" s="12"/>
      <c r="U675" s="12"/>
      <c r="V675" s="12"/>
      <c r="W675" s="12">
        <f t="shared" si="202"/>
        <v>0</v>
      </c>
      <c r="Y675" s="10">
        <v>4</v>
      </c>
      <c r="Z675" s="30" t="s">
        <v>72</v>
      </c>
      <c r="AA675" s="31">
        <f t="shared" si="207"/>
        <v>9158</v>
      </c>
      <c r="AB675" s="32">
        <f>650*10+622*5</f>
        <v>9610</v>
      </c>
      <c r="AC675" s="32"/>
      <c r="AD675" s="32"/>
      <c r="AE675" s="32">
        <f>SUM(AB675:AC675)</f>
        <v>9610</v>
      </c>
      <c r="AF675" s="12"/>
      <c r="AH675" s="12"/>
      <c r="AI675" s="12">
        <f>SUM(AE675:AH675)</f>
        <v>9610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/>
      <c r="O676" s="31"/>
      <c r="P676" s="32"/>
      <c r="Q676" s="32"/>
      <c r="R676" s="32"/>
      <c r="S676" s="32">
        <f t="shared" si="201"/>
        <v>0</v>
      </c>
      <c r="T676" s="12"/>
      <c r="U676" s="12"/>
      <c r="V676" s="12"/>
      <c r="W676" s="12">
        <f t="shared" si="202"/>
        <v>0</v>
      </c>
      <c r="Y676" s="10">
        <v>5</v>
      </c>
      <c r="Z676" s="30"/>
      <c r="AA676" s="11" t="s">
        <v>27</v>
      </c>
      <c r="AB676" s="33"/>
      <c r="AC676" s="32"/>
      <c r="AD676" s="32"/>
      <c r="AE676" s="32">
        <f>SUM(AB676:AC676)</f>
        <v>0</v>
      </c>
      <c r="AF676" s="12"/>
      <c r="AG676" s="12"/>
      <c r="AH676" s="12"/>
      <c r="AI676" s="12">
        <f t="shared" ref="AI676:AI713" si="208">SUM(AE676:AH676)</f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31"/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ref="AE677:AE710" si="209">SUM(AB677:AC677)</f>
        <v>0</v>
      </c>
      <c r="AF677" s="12"/>
      <c r="AG677" s="12"/>
      <c r="AH677" s="10"/>
      <c r="AI677" s="12">
        <f t="shared" si="208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A678" s="31"/>
      <c r="AB678" s="32"/>
      <c r="AC678" s="32"/>
      <c r="AD678" s="32"/>
      <c r="AE678" s="32">
        <f t="shared" si="209"/>
        <v>0</v>
      </c>
      <c r="AF678" s="12"/>
      <c r="AG678" s="58"/>
      <c r="AH678" s="12"/>
      <c r="AI678" s="12">
        <f t="shared" si="208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3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9"/>
        <v>0</v>
      </c>
      <c r="AF679" s="12"/>
      <c r="AG679" s="12"/>
      <c r="AH679" s="12"/>
      <c r="AI679" s="12">
        <f t="shared" si="208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9"/>
        <v>0</v>
      </c>
      <c r="AF680" s="12"/>
      <c r="AH680" s="12"/>
      <c r="AI680" s="12">
        <f t="shared" si="208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9"/>
        <v>0</v>
      </c>
      <c r="AF681" s="12"/>
      <c r="AG681" s="12"/>
      <c r="AH681" s="12"/>
      <c r="AI681" s="12">
        <f t="shared" si="208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B682" s="32"/>
      <c r="AC682" s="32"/>
      <c r="AD682" s="32"/>
      <c r="AE682" s="32">
        <f t="shared" si="209"/>
        <v>0</v>
      </c>
      <c r="AF682" s="12"/>
      <c r="AG682" s="12"/>
      <c r="AH682" s="12"/>
      <c r="AI682" s="12">
        <f t="shared" si="208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9"/>
        <v>0</v>
      </c>
      <c r="AF683" s="12"/>
      <c r="AG683" s="12"/>
      <c r="AH683" s="12"/>
      <c r="AI683" s="12">
        <f t="shared" si="208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9"/>
        <v>0</v>
      </c>
      <c r="AF684" s="12"/>
      <c r="AG684" s="12"/>
      <c r="AH684" s="12"/>
      <c r="AI684" s="12">
        <f t="shared" si="208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9"/>
        <v>0</v>
      </c>
      <c r="AF685" s="12"/>
      <c r="AG685" s="12"/>
      <c r="AH685" s="12"/>
      <c r="AI685" s="12">
        <f t="shared" si="208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B686" s="32"/>
      <c r="AC686" s="32"/>
      <c r="AD686" s="32"/>
      <c r="AE686" s="32">
        <f t="shared" si="209"/>
        <v>0</v>
      </c>
      <c r="AF686" s="12"/>
      <c r="AG686" s="12"/>
      <c r="AH686" s="12"/>
      <c r="AI686" s="12">
        <f t="shared" si="208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B687" s="32"/>
      <c r="AC687" s="32"/>
      <c r="AD687" s="32"/>
      <c r="AE687" s="32">
        <f t="shared" si="209"/>
        <v>0</v>
      </c>
      <c r="AF687" s="12"/>
      <c r="AG687" s="12"/>
      <c r="AH687" s="12"/>
      <c r="AI687" s="12">
        <f t="shared" si="208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9"/>
        <v>0</v>
      </c>
      <c r="AF688" s="12"/>
      <c r="AG688" s="12"/>
      <c r="AH688" s="12"/>
      <c r="AI688" s="12">
        <f t="shared" si="208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9"/>
        <v>0</v>
      </c>
      <c r="AF689" s="12"/>
      <c r="AG689" s="12"/>
      <c r="AH689" s="12"/>
      <c r="AI689" s="12">
        <f t="shared" si="208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O690" s="31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9"/>
        <v>0</v>
      </c>
      <c r="AF690" s="12"/>
      <c r="AG690" s="12"/>
      <c r="AH690" s="12"/>
      <c r="AI690" s="12">
        <f t="shared" si="208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B691" s="32"/>
      <c r="AC691" s="32"/>
      <c r="AD691" s="32"/>
      <c r="AE691" s="32">
        <f t="shared" si="209"/>
        <v>0</v>
      </c>
      <c r="AF691" s="12"/>
      <c r="AG691" s="12"/>
      <c r="AH691" s="12"/>
      <c r="AI691" s="12">
        <f t="shared" si="208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P692" s="92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9"/>
        <v>0</v>
      </c>
      <c r="AF692" s="10"/>
      <c r="AG692" s="10"/>
      <c r="AH692" s="10"/>
      <c r="AI692" s="12">
        <f t="shared" si="208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92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9"/>
        <v>0</v>
      </c>
      <c r="AF693" s="10"/>
      <c r="AG693" s="10"/>
      <c r="AH693" s="10"/>
      <c r="AI693" s="12">
        <f t="shared" si="208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Q694" s="31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C694" s="31"/>
      <c r="AE694" s="32">
        <f t="shared" si="209"/>
        <v>0</v>
      </c>
      <c r="AF694" s="10"/>
      <c r="AG694" s="10"/>
      <c r="AH694" s="10"/>
      <c r="AI694" s="12">
        <f t="shared" si="208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9"/>
        <v>0</v>
      </c>
      <c r="AF695" s="10"/>
      <c r="AG695" s="10"/>
      <c r="AH695" s="10"/>
      <c r="AI695" s="12">
        <f t="shared" si="208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O696" s="31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9"/>
        <v>0</v>
      </c>
      <c r="AF696" s="10"/>
      <c r="AG696" s="10"/>
      <c r="AH696" s="10"/>
      <c r="AI696" s="12">
        <f t="shared" si="208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9"/>
        <v>0</v>
      </c>
      <c r="AF697" s="10"/>
      <c r="AG697" s="10"/>
      <c r="AH697" s="10"/>
      <c r="AI697" s="12">
        <f t="shared" si="208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9"/>
        <v>0</v>
      </c>
      <c r="AF698" s="10"/>
      <c r="AG698" s="10"/>
      <c r="AH698" s="10"/>
      <c r="AI698" s="12">
        <f t="shared" si="208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9"/>
        <v>0</v>
      </c>
      <c r="AF699" s="10"/>
      <c r="AG699" s="10"/>
      <c r="AH699" s="10"/>
      <c r="AI699" s="12">
        <f t="shared" si="208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O700" s="31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9"/>
        <v>0</v>
      </c>
      <c r="AF700" s="10"/>
      <c r="AG700" s="10"/>
      <c r="AH700" s="10"/>
      <c r="AI700" s="12">
        <f t="shared" si="208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9"/>
        <v>0</v>
      </c>
      <c r="AF701" s="10"/>
      <c r="AG701" s="10"/>
      <c r="AH701" s="10"/>
      <c r="AI701" s="12">
        <f t="shared" si="208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9"/>
        <v>0</v>
      </c>
      <c r="AF702" s="10"/>
      <c r="AG702" s="10"/>
      <c r="AH702" s="10"/>
      <c r="AI702" s="12">
        <f t="shared" si="208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O703" s="31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9"/>
        <v>0</v>
      </c>
      <c r="AF703" s="10"/>
      <c r="AG703" s="10"/>
      <c r="AH703" s="10"/>
      <c r="AI703" s="12">
        <f t="shared" si="208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9"/>
        <v>0</v>
      </c>
      <c r="AF704" s="10"/>
      <c r="AG704" s="10"/>
      <c r="AH704" s="10"/>
      <c r="AI704" s="12">
        <f t="shared" si="208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si="201"/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09"/>
        <v>0</v>
      </c>
      <c r="AF705" s="10"/>
      <c r="AG705" s="10"/>
      <c r="AH705" s="10"/>
      <c r="AI705" s="12">
        <f t="shared" si="208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1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08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1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08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1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08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1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08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1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08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8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8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8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277553</v>
      </c>
      <c r="E715" s="38">
        <f t="shared" ref="E715:F715" si="214">SUM(E672:E712)</f>
        <v>-2076</v>
      </c>
      <c r="F715" s="38">
        <f t="shared" si="214"/>
        <v>0</v>
      </c>
      <c r="G715" s="38">
        <f>SUM(G672:G714)</f>
        <v>275477</v>
      </c>
      <c r="H715" s="4"/>
      <c r="I715" s="39">
        <f>SUM(I672:I714)</f>
        <v>2223</v>
      </c>
      <c r="J715" s="39">
        <f>SUM(J672:J714)</f>
        <v>-1252.5</v>
      </c>
      <c r="K715" s="40">
        <f>SUM(K672:K714)</f>
        <v>276447.5</v>
      </c>
      <c r="N715" s="57"/>
      <c r="O715" s="57"/>
      <c r="P715" s="38">
        <f>SUM(P672:P714)</f>
        <v>291467.5</v>
      </c>
      <c r="Q715" s="38">
        <f>SUM(Q672:Q696)</f>
        <v>-2610</v>
      </c>
      <c r="R715" s="38">
        <f>SUM(R672:R696)</f>
        <v>0</v>
      </c>
      <c r="S715" s="38">
        <f>SUM(S672:S714)</f>
        <v>288857.5</v>
      </c>
      <c r="T715" s="4"/>
      <c r="U715" s="41">
        <f>SUM(U672:U714)</f>
        <v>1134</v>
      </c>
      <c r="V715" s="41">
        <f>SUM(V672:V696)</f>
        <v>-504</v>
      </c>
      <c r="W715" s="42">
        <f>SUM(W672:W714)</f>
        <v>289487.5</v>
      </c>
      <c r="Z715" s="57"/>
      <c r="AA715" s="57"/>
      <c r="AB715" s="38">
        <f>SUM(AB672:AB714)</f>
        <v>230052</v>
      </c>
      <c r="AC715" s="38">
        <f>SUM(AC672:AC696)</f>
        <v>-960</v>
      </c>
      <c r="AD715" s="38">
        <f>SUM(AD672:AD696)</f>
        <v>0</v>
      </c>
      <c r="AE715" s="38">
        <f>SUM(AE672:AE714)</f>
        <v>229092</v>
      </c>
      <c r="AF715" s="4"/>
      <c r="AG715" s="41">
        <f>SUM(AG672:AG714)</f>
        <v>144</v>
      </c>
      <c r="AH715" s="41">
        <f>SUM(AH672:AH696)</f>
        <v>-240</v>
      </c>
      <c r="AI715" s="42">
        <f>SUM(AI672:AI714)</f>
        <v>228996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1" t="s">
        <v>17</v>
      </c>
      <c r="E725" s="111"/>
      <c r="F725" s="100"/>
      <c r="G725" s="27"/>
      <c r="I725" s="109" t="s">
        <v>18</v>
      </c>
      <c r="J725" s="110"/>
      <c r="K725" s="107" t="s">
        <v>19</v>
      </c>
      <c r="N725" s="25"/>
      <c r="O725" s="26"/>
      <c r="P725" s="111" t="s">
        <v>17</v>
      </c>
      <c r="Q725" s="111"/>
      <c r="R725" s="100"/>
      <c r="S725" s="27"/>
      <c r="U725" s="109" t="s">
        <v>18</v>
      </c>
      <c r="V725" s="110"/>
      <c r="W725" s="107" t="s">
        <v>19</v>
      </c>
      <c r="Z725" s="25"/>
      <c r="AA725" s="26"/>
      <c r="AB725" s="111" t="s">
        <v>17</v>
      </c>
      <c r="AC725" s="111"/>
      <c r="AD725" s="100"/>
      <c r="AE725" s="27"/>
      <c r="AG725" s="109" t="s">
        <v>18</v>
      </c>
      <c r="AH725" s="110"/>
      <c r="AI725" s="107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08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08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0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3">
        <v>9098</v>
      </c>
      <c r="D727" s="32">
        <f>650*21</f>
        <v>13650</v>
      </c>
      <c r="E727" s="32"/>
      <c r="F727" s="32"/>
      <c r="G727" s="32">
        <f t="shared" ref="G727:G771" si="215">SUM(D727:E727)</f>
        <v>13650</v>
      </c>
      <c r="H727" s="12"/>
      <c r="I727" s="12"/>
      <c r="J727" s="12"/>
      <c r="K727" s="12">
        <f t="shared" ref="K727:K771" si="216">SUM(G727:J727)</f>
        <v>13650</v>
      </c>
      <c r="M727" s="10">
        <v>1</v>
      </c>
      <c r="N727" s="30" t="s">
        <v>75</v>
      </c>
      <c r="O727" s="31">
        <v>9022</v>
      </c>
      <c r="P727" s="32">
        <f>650*6+622+9.5*7</f>
        <v>4588.5</v>
      </c>
      <c r="Q727" s="32"/>
      <c r="R727" s="32"/>
      <c r="S727" s="32">
        <f>SUM(P727:Q727)</f>
        <v>4588.5</v>
      </c>
      <c r="T727" s="12"/>
      <c r="U727" s="12"/>
      <c r="V727" s="12"/>
      <c r="W727" s="12">
        <f>SUM(S727:V727)</f>
        <v>4588.5</v>
      </c>
      <c r="Y727" s="10">
        <v>1</v>
      </c>
      <c r="Z727" s="30" t="s">
        <v>75</v>
      </c>
      <c r="AA727" s="31">
        <v>9159</v>
      </c>
      <c r="AB727" s="32">
        <f>650*216+670*20+622*50+229*6</f>
        <v>186274</v>
      </c>
      <c r="AC727" s="32">
        <f>-286*6</f>
        <v>-1716</v>
      </c>
      <c r="AD727" s="32"/>
      <c r="AE727" s="32">
        <f>SUM(AB727:AC727)</f>
        <v>184558</v>
      </c>
      <c r="AF727" s="12"/>
      <c r="AG727" s="12"/>
      <c r="AH727" s="12"/>
      <c r="AI727" s="12">
        <f>SUM(AE727:AH727)</f>
        <v>184558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3">
        <f>C727+1</f>
        <v>9099</v>
      </c>
      <c r="D728" s="32">
        <f>650*10+622*2+9.5*10</f>
        <v>7839</v>
      </c>
      <c r="E728" s="32"/>
      <c r="F728" s="32"/>
      <c r="G728" s="32">
        <f t="shared" si="215"/>
        <v>7839</v>
      </c>
      <c r="H728" s="12"/>
      <c r="I728" s="12"/>
      <c r="J728" s="12"/>
      <c r="K728" s="12">
        <f t="shared" si="216"/>
        <v>7839</v>
      </c>
      <c r="M728" s="10">
        <v>2</v>
      </c>
      <c r="N728" s="30" t="s">
        <v>75</v>
      </c>
      <c r="O728" s="31">
        <f>O727+1</f>
        <v>9023</v>
      </c>
      <c r="P728" s="32">
        <f>650+622+9.5*2</f>
        <v>1291</v>
      </c>
      <c r="Q728" s="32"/>
      <c r="R728" s="32"/>
      <c r="S728" s="32">
        <f t="shared" ref="S728:S771" si="217">SUM(P728:Q728)</f>
        <v>1291</v>
      </c>
      <c r="T728" s="12"/>
      <c r="U728" s="12"/>
      <c r="V728" s="12"/>
      <c r="W728" s="12">
        <f t="shared" ref="W728:W771" si="218">SUM(S728:V728)</f>
        <v>1291</v>
      </c>
      <c r="Y728" s="10">
        <v>2</v>
      </c>
      <c r="Z728" s="30" t="s">
        <v>75</v>
      </c>
      <c r="AA728" s="31">
        <f>AA727+1</f>
        <v>9160</v>
      </c>
      <c r="AB728" s="32">
        <f>650*108+229*4</f>
        <v>71116</v>
      </c>
      <c r="AC728">
        <f>-108*6</f>
        <v>-648</v>
      </c>
      <c r="AD728" s="32"/>
      <c r="AE728" s="32">
        <f t="shared" ref="AE728:AE730" si="219">SUM(AB728:AC728)</f>
        <v>70468</v>
      </c>
      <c r="AF728" s="12"/>
      <c r="AG728" s="12"/>
      <c r="AH728">
        <f>-111*108</f>
        <v>-11988</v>
      </c>
      <c r="AI728" s="12">
        <f t="shared" ref="AI728:AI730" si="220">SUM(AE728:AH728)</f>
        <v>58480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3">
        <f t="shared" ref="C729" si="221">C728+1</f>
        <v>9100</v>
      </c>
      <c r="D729" s="33">
        <f>650*14+670</f>
        <v>9770</v>
      </c>
      <c r="E729" s="33"/>
      <c r="F729" s="33"/>
      <c r="G729" s="33">
        <f t="shared" si="215"/>
        <v>9770</v>
      </c>
      <c r="H729" s="34"/>
      <c r="I729" s="34"/>
      <c r="J729" s="34"/>
      <c r="K729" s="34">
        <f t="shared" si="216"/>
        <v>9770</v>
      </c>
      <c r="M729" s="10">
        <v>3</v>
      </c>
      <c r="N729" s="30" t="s">
        <v>75</v>
      </c>
      <c r="O729" s="31">
        <f t="shared" ref="O729:O746" si="222">O728+1</f>
        <v>9024</v>
      </c>
      <c r="P729" s="32">
        <f>650+622+9.5*2</f>
        <v>1291</v>
      </c>
      <c r="Q729" s="32"/>
      <c r="R729" s="32"/>
      <c r="S729" s="32">
        <f t="shared" si="217"/>
        <v>1291</v>
      </c>
      <c r="T729" s="12"/>
      <c r="U729" s="12"/>
      <c r="V729" s="12"/>
      <c r="W729" s="12">
        <f t="shared" si="218"/>
        <v>1291</v>
      </c>
      <c r="Y729" s="10">
        <v>3</v>
      </c>
      <c r="Z729" s="30" t="s">
        <v>75</v>
      </c>
      <c r="AA729" s="31">
        <f t="shared" ref="AA729:AA736" si="223">AA728+1</f>
        <v>9161</v>
      </c>
      <c r="AB729" s="32">
        <f>650*48+622*2</f>
        <v>32444</v>
      </c>
      <c r="AC729" s="33">
        <f>-50*6</f>
        <v>-300</v>
      </c>
      <c r="AD729" s="32"/>
      <c r="AE729" s="32">
        <f t="shared" si="219"/>
        <v>32144</v>
      </c>
      <c r="AF729" s="12"/>
      <c r="AG729" s="12"/>
      <c r="AH729" s="12">
        <f>-111*9</f>
        <v>-999</v>
      </c>
      <c r="AI729" s="12">
        <f t="shared" si="220"/>
        <v>31145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75</v>
      </c>
      <c r="C730" s="83">
        <v>9201</v>
      </c>
      <c r="D730" s="32">
        <f>650*18+622*2+9.5*20</f>
        <v>13134</v>
      </c>
      <c r="E730" s="32"/>
      <c r="F730" s="32"/>
      <c r="G730" s="32">
        <f t="shared" si="215"/>
        <v>13134</v>
      </c>
      <c r="H730" s="12"/>
      <c r="I730" s="12"/>
      <c r="J730" s="12"/>
      <c r="K730" s="12">
        <f t="shared" si="216"/>
        <v>13134</v>
      </c>
      <c r="M730" s="10">
        <v>4</v>
      </c>
      <c r="N730" s="30" t="s">
        <v>75</v>
      </c>
      <c r="O730" s="31">
        <f t="shared" si="222"/>
        <v>9025</v>
      </c>
      <c r="P730" s="32">
        <f>650*55+229</f>
        <v>35979</v>
      </c>
      <c r="Q730" s="32"/>
      <c r="R730" s="32"/>
      <c r="S730" s="32">
        <f t="shared" si="217"/>
        <v>35979</v>
      </c>
      <c r="T730" s="12"/>
      <c r="U730" s="12">
        <v>36</v>
      </c>
      <c r="V730" s="12"/>
      <c r="W730" s="12">
        <f t="shared" si="218"/>
        <v>36015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>SUM(AB730:AC730)</f>
        <v>0</v>
      </c>
      <c r="AF730" s="12"/>
      <c r="AH730" s="12"/>
      <c r="AI730" s="12">
        <f>SUM(AE730:AH730)</f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75</v>
      </c>
      <c r="C731" s="83">
        <f t="shared" ref="C731:C745" si="224">C730+1</f>
        <v>9202</v>
      </c>
      <c r="D731" s="32">
        <f>650*11</f>
        <v>7150</v>
      </c>
      <c r="E731" s="32"/>
      <c r="F731" s="32"/>
      <c r="G731" s="32">
        <f t="shared" si="215"/>
        <v>7150</v>
      </c>
      <c r="H731" s="12"/>
      <c r="I731" s="12"/>
      <c r="J731" s="12"/>
      <c r="K731" s="12">
        <f t="shared" si="216"/>
        <v>7150</v>
      </c>
      <c r="M731" s="10">
        <v>5</v>
      </c>
      <c r="N731" s="30" t="s">
        <v>75</v>
      </c>
      <c r="O731" s="31">
        <f t="shared" si="222"/>
        <v>9026</v>
      </c>
      <c r="P731" s="32">
        <f>650*100+229</f>
        <v>65229</v>
      </c>
      <c r="Q731" s="32">
        <f>-100*6</f>
        <v>-600</v>
      </c>
      <c r="R731" s="32"/>
      <c r="S731" s="32">
        <f t="shared" si="217"/>
        <v>64629</v>
      </c>
      <c r="T731" s="12"/>
      <c r="U731" s="12"/>
      <c r="V731" s="12"/>
      <c r="W731" s="12">
        <f t="shared" si="218"/>
        <v>64629</v>
      </c>
      <c r="Y731" s="10">
        <v>5</v>
      </c>
      <c r="Z731" s="30"/>
      <c r="AA731" s="31"/>
      <c r="AB731" s="33"/>
      <c r="AC731" s="32"/>
      <c r="AD731" s="32"/>
      <c r="AE731" s="32">
        <f>SUM(AB731:AC731)</f>
        <v>0</v>
      </c>
      <c r="AF731" s="12"/>
      <c r="AG731" s="12"/>
      <c r="AH731" s="12"/>
      <c r="AI731" s="12">
        <f t="shared" ref="AI731:AI771" si="225">SUM(AE731:AH731)</f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75</v>
      </c>
      <c r="C732" s="83">
        <f t="shared" si="224"/>
        <v>9203</v>
      </c>
      <c r="D732" s="32">
        <f>650*84</f>
        <v>54600</v>
      </c>
      <c r="E732" s="32"/>
      <c r="F732" s="32"/>
      <c r="G732" s="32">
        <f t="shared" si="215"/>
        <v>54600</v>
      </c>
      <c r="H732" s="12"/>
      <c r="I732" s="12"/>
      <c r="J732" s="12"/>
      <c r="K732" s="12">
        <f t="shared" si="216"/>
        <v>54600</v>
      </c>
      <c r="M732" s="10">
        <v>6</v>
      </c>
      <c r="N732" s="30" t="s">
        <v>75</v>
      </c>
      <c r="O732" s="31">
        <f t="shared" si="222"/>
        <v>9027</v>
      </c>
      <c r="P732" s="32">
        <f>650*47+622*5+229</f>
        <v>33889</v>
      </c>
      <c r="Q732" s="32"/>
      <c r="R732" s="32"/>
      <c r="S732" s="32">
        <f t="shared" si="217"/>
        <v>33889</v>
      </c>
      <c r="T732" s="12"/>
      <c r="U732" s="12">
        <f>13.5+36</f>
        <v>49.5</v>
      </c>
      <c r="V732" s="10"/>
      <c r="W732" s="12">
        <f t="shared" si="218"/>
        <v>33938.5</v>
      </c>
      <c r="Y732" s="10">
        <v>6</v>
      </c>
      <c r="Z732" s="30"/>
      <c r="AA732" s="31"/>
      <c r="AB732" s="32"/>
      <c r="AC732" s="32"/>
      <c r="AD732" s="32"/>
      <c r="AE732" s="32">
        <f t="shared" ref="AE732:AE771" si="226">SUM(AB732:AC732)</f>
        <v>0</v>
      </c>
      <c r="AF732" s="12"/>
      <c r="AG732" s="12"/>
      <c r="AH732" s="10"/>
      <c r="AI732" s="12">
        <f t="shared" si="22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75</v>
      </c>
      <c r="C733" s="83">
        <f t="shared" si="224"/>
        <v>9204</v>
      </c>
      <c r="D733" s="32">
        <f>650*80+622*20</f>
        <v>64440</v>
      </c>
      <c r="E733" s="32"/>
      <c r="F733" s="32"/>
      <c r="G733" s="32">
        <f t="shared" si="215"/>
        <v>64440</v>
      </c>
      <c r="H733" s="12"/>
      <c r="I733" s="12"/>
      <c r="J733" s="12"/>
      <c r="K733" s="12">
        <f t="shared" si="216"/>
        <v>64440</v>
      </c>
      <c r="M733" s="10">
        <v>7</v>
      </c>
      <c r="N733" s="30" t="s">
        <v>75</v>
      </c>
      <c r="O733" s="31">
        <f t="shared" si="222"/>
        <v>9028</v>
      </c>
      <c r="P733" s="32">
        <f>650*27+622*2+872+9.5*15</f>
        <v>19808.5</v>
      </c>
      <c r="Q733" s="32"/>
      <c r="R733" s="32"/>
      <c r="S733" s="32">
        <f t="shared" si="217"/>
        <v>19808.5</v>
      </c>
      <c r="T733" s="12"/>
      <c r="U733" s="12"/>
      <c r="V733" s="12"/>
      <c r="W733" s="12">
        <f t="shared" si="218"/>
        <v>19808.5</v>
      </c>
      <c r="Y733" s="10">
        <v>7</v>
      </c>
      <c r="Z733" s="30"/>
      <c r="AA733" s="31"/>
      <c r="AB733" s="32"/>
      <c r="AC733" s="32"/>
      <c r="AD733" s="32"/>
      <c r="AE733" s="32">
        <f t="shared" si="226"/>
        <v>0</v>
      </c>
      <c r="AF733" s="12"/>
      <c r="AG733" s="58"/>
      <c r="AH733" s="12"/>
      <c r="AI733" s="12">
        <f t="shared" si="22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75</v>
      </c>
      <c r="C734" s="83">
        <f t="shared" si="224"/>
        <v>9205</v>
      </c>
      <c r="D734" s="32">
        <f>650*20+622*2</f>
        <v>14244</v>
      </c>
      <c r="E734" s="32"/>
      <c r="F734" s="32"/>
      <c r="G734" s="32">
        <f t="shared" si="215"/>
        <v>14244</v>
      </c>
      <c r="H734" s="12"/>
      <c r="I734" s="12"/>
      <c r="J734" s="12"/>
      <c r="K734" s="12">
        <f t="shared" si="216"/>
        <v>14244</v>
      </c>
      <c r="M734" s="10">
        <v>8</v>
      </c>
      <c r="N734" s="30" t="s">
        <v>75</v>
      </c>
      <c r="O734" s="31">
        <f t="shared" si="222"/>
        <v>9029</v>
      </c>
      <c r="P734" s="32">
        <f>650*27+670+229</f>
        <v>18449</v>
      </c>
      <c r="Q734" s="32"/>
      <c r="R734" s="32"/>
      <c r="S734" s="32">
        <f t="shared" si="217"/>
        <v>18449</v>
      </c>
      <c r="T734" s="12"/>
      <c r="U734" s="12">
        <v>63</v>
      </c>
      <c r="V734" s="12"/>
      <c r="W734" s="12">
        <f t="shared" si="218"/>
        <v>18512</v>
      </c>
      <c r="Y734" s="10">
        <v>8</v>
      </c>
      <c r="Z734" s="30"/>
      <c r="AA734" s="31"/>
      <c r="AB734" s="32"/>
      <c r="AC734" s="32"/>
      <c r="AE734" s="32">
        <f t="shared" si="226"/>
        <v>0</v>
      </c>
      <c r="AF734" s="12"/>
      <c r="AG734" s="12"/>
      <c r="AH734" s="12"/>
      <c r="AI734" s="12">
        <f t="shared" si="22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75</v>
      </c>
      <c r="C735" s="83">
        <f t="shared" si="224"/>
        <v>9206</v>
      </c>
      <c r="D735" s="32">
        <f>650*35+622*2+229</f>
        <v>24223</v>
      </c>
      <c r="E735" s="32"/>
      <c r="F735" s="32"/>
      <c r="G735" s="32">
        <f t="shared" si="215"/>
        <v>24223</v>
      </c>
      <c r="H735" s="12"/>
      <c r="I735" s="12"/>
      <c r="J735" s="12"/>
      <c r="K735" s="12">
        <f t="shared" si="216"/>
        <v>24223</v>
      </c>
      <c r="M735" s="10">
        <v>9</v>
      </c>
      <c r="N735" s="30" t="s">
        <v>75</v>
      </c>
      <c r="O735" s="31">
        <f t="shared" si="222"/>
        <v>9030</v>
      </c>
      <c r="P735" s="32">
        <f>650*17+622*11+650</f>
        <v>18542</v>
      </c>
      <c r="Q735" s="32"/>
      <c r="R735" s="32"/>
      <c r="S735" s="32">
        <f t="shared" si="217"/>
        <v>18542</v>
      </c>
      <c r="T735" s="12"/>
      <c r="U735" s="12"/>
      <c r="V735" s="12">
        <v>-333</v>
      </c>
      <c r="W735" s="12">
        <f t="shared" si="218"/>
        <v>18209</v>
      </c>
      <c r="Y735" s="10">
        <v>9</v>
      </c>
      <c r="Z735" s="30"/>
      <c r="AA735" s="31"/>
      <c r="AC735" s="32"/>
      <c r="AD735" s="32"/>
      <c r="AE735" s="32">
        <f t="shared" si="226"/>
        <v>0</v>
      </c>
      <c r="AF735" s="12"/>
      <c r="AH735" s="12"/>
      <c r="AI735" s="12">
        <f t="shared" si="22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75</v>
      </c>
      <c r="C736" s="83">
        <f t="shared" si="224"/>
        <v>9207</v>
      </c>
      <c r="D736" s="32">
        <f>670*5</f>
        <v>3350</v>
      </c>
      <c r="E736" s="32"/>
      <c r="F736" s="32"/>
      <c r="G736" s="32">
        <f t="shared" si="215"/>
        <v>3350</v>
      </c>
      <c r="H736" s="12"/>
      <c r="I736" s="12"/>
      <c r="J736" s="12"/>
      <c r="K736" s="12">
        <f t="shared" si="216"/>
        <v>3350</v>
      </c>
      <c r="M736" s="10">
        <v>10</v>
      </c>
      <c r="N736" s="30" t="s">
        <v>75</v>
      </c>
      <c r="O736" s="31">
        <f t="shared" si="222"/>
        <v>9031</v>
      </c>
      <c r="P736" s="32">
        <f>650*2+9.5*2</f>
        <v>1319</v>
      </c>
      <c r="Q736" s="32"/>
      <c r="R736" s="32"/>
      <c r="S736" s="32">
        <f t="shared" si="217"/>
        <v>1319</v>
      </c>
      <c r="T736" s="12"/>
      <c r="U736" s="12"/>
      <c r="V736" s="12"/>
      <c r="W736" s="12">
        <f t="shared" si="218"/>
        <v>1319</v>
      </c>
      <c r="Y736" s="10">
        <v>10</v>
      </c>
      <c r="Z736" s="30"/>
      <c r="AA736" s="31"/>
      <c r="AB736" s="32"/>
      <c r="AC736" s="32"/>
      <c r="AD736" s="32"/>
      <c r="AE736" s="32">
        <f t="shared" si="226"/>
        <v>0</v>
      </c>
      <c r="AF736" s="12"/>
      <c r="AG736" s="12"/>
      <c r="AH736" s="12"/>
      <c r="AI736" s="12">
        <f t="shared" si="22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75</v>
      </c>
      <c r="C737" s="83">
        <f t="shared" si="224"/>
        <v>9208</v>
      </c>
      <c r="D737" s="32">
        <f>650*10</f>
        <v>6500</v>
      </c>
      <c r="E737" s="32"/>
      <c r="F737" s="32"/>
      <c r="G737" s="32">
        <f t="shared" si="215"/>
        <v>6500</v>
      </c>
      <c r="H737" s="12"/>
      <c r="I737" s="12"/>
      <c r="J737" s="12"/>
      <c r="K737" s="12">
        <f t="shared" si="216"/>
        <v>6500</v>
      </c>
      <c r="M737" s="10">
        <v>11</v>
      </c>
      <c r="N737" s="30" t="s">
        <v>75</v>
      </c>
      <c r="O737" s="31">
        <f t="shared" si="222"/>
        <v>9032</v>
      </c>
      <c r="P737" s="32">
        <f>650*8+622*2+9.5*10</f>
        <v>6539</v>
      </c>
      <c r="Q737" s="32"/>
      <c r="R737" s="32"/>
      <c r="S737" s="32">
        <f t="shared" si="217"/>
        <v>6539</v>
      </c>
      <c r="T737" s="12"/>
      <c r="U737" s="12"/>
      <c r="V737" s="12"/>
      <c r="W737" s="12">
        <f t="shared" si="218"/>
        <v>6539</v>
      </c>
      <c r="Y737" s="10">
        <v>11</v>
      </c>
      <c r="Z737" s="30"/>
      <c r="AB737" s="32"/>
      <c r="AC737" s="32"/>
      <c r="AD737" s="32"/>
      <c r="AE737" s="32">
        <f t="shared" si="226"/>
        <v>0</v>
      </c>
      <c r="AF737" s="12"/>
      <c r="AG737" s="12"/>
      <c r="AH737" s="12"/>
      <c r="AI737" s="12">
        <f t="shared" si="22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11" t="s">
        <v>27</v>
      </c>
      <c r="D738" s="32"/>
      <c r="E738" s="32"/>
      <c r="F738" s="32"/>
      <c r="G738" s="32">
        <f t="shared" si="215"/>
        <v>0</v>
      </c>
      <c r="H738" s="12"/>
      <c r="I738" s="12"/>
      <c r="J738" s="10"/>
      <c r="K738" s="12">
        <f t="shared" si="216"/>
        <v>0</v>
      </c>
      <c r="M738" s="10">
        <v>12</v>
      </c>
      <c r="N738" s="30"/>
      <c r="O738" s="11" t="s">
        <v>27</v>
      </c>
      <c r="P738" s="32"/>
      <c r="Q738" s="32"/>
      <c r="R738" s="32"/>
      <c r="S738" s="32">
        <f t="shared" si="217"/>
        <v>0</v>
      </c>
      <c r="T738" s="12"/>
      <c r="U738" s="12"/>
      <c r="V738" s="12"/>
      <c r="W738" s="12">
        <f t="shared" si="218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26"/>
        <v>0</v>
      </c>
      <c r="AF738" s="12"/>
      <c r="AG738" s="12"/>
      <c r="AH738" s="12"/>
      <c r="AI738" s="12">
        <f t="shared" si="22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5"/>
        <v>0</v>
      </c>
      <c r="H739" s="12"/>
      <c r="I739" s="12"/>
      <c r="J739" s="12"/>
      <c r="K739" s="12">
        <f t="shared" si="216"/>
        <v>0</v>
      </c>
      <c r="M739" s="10">
        <v>13</v>
      </c>
      <c r="N739" s="30"/>
      <c r="O739" s="31"/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6"/>
        <v>0</v>
      </c>
      <c r="AF739" s="12"/>
      <c r="AG739" s="12"/>
      <c r="AH739" s="12"/>
      <c r="AI739" s="12">
        <f t="shared" si="22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5"/>
        <v>0</v>
      </c>
      <c r="H740" s="12"/>
      <c r="I740" s="12"/>
      <c r="J740" s="12"/>
      <c r="K740" s="12">
        <f t="shared" si="216"/>
        <v>0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6"/>
        <v>0</v>
      </c>
      <c r="AF740" s="12"/>
      <c r="AG740" s="12"/>
      <c r="AH740" s="12"/>
      <c r="AI740" s="12">
        <f t="shared" si="22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5"/>
        <v>0</v>
      </c>
      <c r="H741" s="12"/>
      <c r="I741" s="12"/>
      <c r="J741" s="12"/>
      <c r="K741" s="12">
        <f t="shared" si="216"/>
        <v>0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6"/>
        <v>0</v>
      </c>
      <c r="AF741" s="12"/>
      <c r="AG741" s="12"/>
      <c r="AH741" s="12"/>
      <c r="AI741" s="12">
        <f t="shared" si="22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83"/>
      <c r="D742" s="32"/>
      <c r="E742" s="32"/>
      <c r="F742" s="32"/>
      <c r="G742" s="32">
        <f t="shared" si="215"/>
        <v>0</v>
      </c>
      <c r="H742" s="12"/>
      <c r="I742" s="12"/>
      <c r="J742" s="12"/>
      <c r="K742" s="12">
        <f t="shared" si="216"/>
        <v>0</v>
      </c>
      <c r="M742" s="10">
        <v>16</v>
      </c>
      <c r="N742" s="30"/>
      <c r="O742" s="31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6"/>
        <v>0</v>
      </c>
      <c r="AF742" s="12"/>
      <c r="AG742" s="12"/>
      <c r="AH742" s="12"/>
      <c r="AI742" s="12">
        <f t="shared" si="22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5"/>
        <v>0</v>
      </c>
      <c r="H743" s="12"/>
      <c r="I743" s="12"/>
      <c r="J743" s="12"/>
      <c r="K743" s="12">
        <f t="shared" si="216"/>
        <v>0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6"/>
        <v>0</v>
      </c>
      <c r="AF743" s="12"/>
      <c r="AG743" s="12"/>
      <c r="AH743" s="12"/>
      <c r="AI743" s="12">
        <f t="shared" si="22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6"/>
        <v>0</v>
      </c>
      <c r="AF744" s="12"/>
      <c r="AG744" s="12"/>
      <c r="AH744" s="12"/>
      <c r="AI744" s="12">
        <f t="shared" si="22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O745" s="31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6"/>
        <v>0</v>
      </c>
      <c r="AF745" s="12"/>
      <c r="AG745" s="12"/>
      <c r="AH745" s="12"/>
      <c r="AI745" s="12">
        <f t="shared" si="22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B746" s="32"/>
      <c r="AC746" s="32"/>
      <c r="AD746" s="32"/>
      <c r="AE746" s="32">
        <f t="shared" si="226"/>
        <v>0</v>
      </c>
      <c r="AF746" s="12"/>
      <c r="AG746" s="12"/>
      <c r="AH746" s="12"/>
      <c r="AI746" s="12">
        <f t="shared" si="22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P747" s="92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6"/>
        <v>0</v>
      </c>
      <c r="AF747" s="10"/>
      <c r="AG747" s="10"/>
      <c r="AH747" s="10"/>
      <c r="AI747" s="12">
        <f t="shared" si="22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92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6"/>
        <v>0</v>
      </c>
      <c r="AF748" s="10"/>
      <c r="AG748" s="10"/>
      <c r="AH748" s="10"/>
      <c r="AI748" s="12">
        <f t="shared" si="22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Q749" s="31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C749" s="31"/>
      <c r="AE749" s="32">
        <f t="shared" si="226"/>
        <v>0</v>
      </c>
      <c r="AF749" s="10"/>
      <c r="AG749" s="10"/>
      <c r="AH749" s="10"/>
      <c r="AI749" s="12">
        <f t="shared" si="22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6"/>
        <v>0</v>
      </c>
      <c r="AF750" s="10"/>
      <c r="AG750" s="10"/>
      <c r="AH750" s="10"/>
      <c r="AI750" s="12">
        <f t="shared" si="22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O751" s="31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6"/>
        <v>0</v>
      </c>
      <c r="AF751" s="10"/>
      <c r="AG751" s="10"/>
      <c r="AH751" s="10"/>
      <c r="AI751" s="12">
        <f t="shared" si="22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6"/>
        <v>0</v>
      </c>
      <c r="AF752" s="10"/>
      <c r="AG752" s="10"/>
      <c r="AH752" s="10"/>
      <c r="AI752" s="12">
        <f t="shared" si="22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6"/>
        <v>0</v>
      </c>
      <c r="AF753" s="10"/>
      <c r="AG753" s="10"/>
      <c r="AH753" s="10"/>
      <c r="AI753" s="12">
        <f t="shared" si="22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6"/>
        <v>0</v>
      </c>
      <c r="AF754" s="10"/>
      <c r="AG754" s="10"/>
      <c r="AH754" s="10"/>
      <c r="AI754" s="12">
        <f t="shared" si="22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O755" s="31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6"/>
        <v>0</v>
      </c>
      <c r="AF755" s="10"/>
      <c r="AG755" s="10"/>
      <c r="AH755" s="10"/>
      <c r="AI755" s="12">
        <f t="shared" si="22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6"/>
        <v>0</v>
      </c>
      <c r="AF756" s="10"/>
      <c r="AG756" s="10"/>
      <c r="AH756" s="10"/>
      <c r="AI756" s="12">
        <f t="shared" si="22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6"/>
        <v>0</v>
      </c>
      <c r="AF757" s="10"/>
      <c r="AG757" s="10"/>
      <c r="AH757" s="10"/>
      <c r="AI757" s="12">
        <f t="shared" si="22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O758" s="31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6"/>
        <v>0</v>
      </c>
      <c r="AF758" s="10"/>
      <c r="AG758" s="10"/>
      <c r="AH758" s="10"/>
      <c r="AI758" s="12">
        <f t="shared" si="22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6"/>
        <v>0</v>
      </c>
      <c r="AF759" s="10"/>
      <c r="AG759" s="10"/>
      <c r="AH759" s="10"/>
      <c r="AI759" s="12">
        <f t="shared" si="22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si="217"/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6"/>
        <v>0</v>
      </c>
      <c r="AF760" s="10"/>
      <c r="AG760" s="10"/>
      <c r="AH760" s="10"/>
      <c r="AI760" s="12">
        <f t="shared" si="22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7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6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7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6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7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6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7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6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7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6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7">SUM(D767:E767)</f>
        <v>0</v>
      </c>
      <c r="H767" s="10"/>
      <c r="I767" s="10"/>
      <c r="J767" s="10"/>
      <c r="K767" s="12">
        <f t="shared" ref="K767" si="228">SUM(G767:J767)</f>
        <v>0</v>
      </c>
      <c r="M767" s="10"/>
      <c r="N767" s="30"/>
      <c r="O767" s="31"/>
      <c r="P767" s="47"/>
      <c r="Q767" s="31"/>
      <c r="R767" s="31"/>
      <c r="S767" s="32">
        <f t="shared" ref="S767" si="229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30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218900</v>
      </c>
      <c r="E770" s="38">
        <f t="shared" ref="E770:G770" si="231">SUM(E727:E767)</f>
        <v>0</v>
      </c>
      <c r="F770" s="38">
        <f t="shared" si="231"/>
        <v>0</v>
      </c>
      <c r="G770" s="38">
        <f>SUM(G727:G769)</f>
        <v>218900</v>
      </c>
      <c r="H770" s="4"/>
      <c r="I770" s="39">
        <f>SUM(I727:I769)</f>
        <v>0</v>
      </c>
      <c r="J770" s="39">
        <f>SUM(J727:J769)</f>
        <v>0</v>
      </c>
      <c r="K770" s="40">
        <f>SUM(K727:K769)</f>
        <v>218900</v>
      </c>
      <c r="N770" s="57"/>
      <c r="O770" s="57"/>
      <c r="P770" s="38">
        <f>SUM(P727:P769)</f>
        <v>206925</v>
      </c>
      <c r="Q770" s="38">
        <f>SUM(Q727:Q751)</f>
        <v>-600</v>
      </c>
      <c r="R770" s="38">
        <f>SUM(R727:R751)</f>
        <v>0</v>
      </c>
      <c r="S770" s="38">
        <f>SUM(S727:S769)</f>
        <v>206325</v>
      </c>
      <c r="T770" s="4"/>
      <c r="U770" s="41">
        <f>SUM(U727:U769)</f>
        <v>148.5</v>
      </c>
      <c r="V770" s="41">
        <f>SUM(V727:V751)</f>
        <v>-333</v>
      </c>
      <c r="W770" s="42">
        <f>SUM(W727:W769)</f>
        <v>206140.5</v>
      </c>
      <c r="Z770" s="57"/>
      <c r="AA770" s="57"/>
      <c r="AB770" s="38">
        <f>SUM(AB727:AB769)</f>
        <v>289834</v>
      </c>
      <c r="AC770" s="38">
        <f>SUM(AC727:AC751)</f>
        <v>-2664</v>
      </c>
      <c r="AD770" s="38">
        <f>SUM(AD727:AD751)</f>
        <v>0</v>
      </c>
      <c r="AE770" s="38">
        <f>SUM(AE727:AE769)</f>
        <v>287170</v>
      </c>
      <c r="AF770" s="4"/>
      <c r="AG770" s="41">
        <f>SUM(AG727:AG769)</f>
        <v>0</v>
      </c>
      <c r="AH770" s="41">
        <f>SUM(AH727:AH751)</f>
        <v>-12987</v>
      </c>
      <c r="AI770" s="42">
        <f>SUM(AI727:AI769)</f>
        <v>274183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6"/>
      <c r="C772" s="86"/>
      <c r="D772" s="86"/>
      <c r="E772" s="86"/>
      <c r="F772" s="86"/>
      <c r="G772" s="86"/>
      <c r="H772" s="62"/>
      <c r="I772" s="62"/>
      <c r="J772" s="62"/>
      <c r="K772" s="62"/>
      <c r="L772" s="62"/>
      <c r="M772" s="62"/>
      <c r="N772" s="86"/>
      <c r="O772" s="86"/>
      <c r="P772" s="86"/>
      <c r="Q772" s="86"/>
      <c r="R772" s="86"/>
      <c r="S772" s="86"/>
      <c r="T772" s="62"/>
      <c r="U772" s="62"/>
      <c r="V772" s="62"/>
      <c r="W772" s="62"/>
      <c r="X772" s="62"/>
      <c r="Y772" s="62"/>
      <c r="Z772" s="86"/>
      <c r="AA772" s="86"/>
      <c r="AB772" s="86"/>
      <c r="AC772" s="86"/>
      <c r="AD772" s="86"/>
      <c r="AE772" s="86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6"/>
      <c r="C773" s="86"/>
      <c r="D773" s="86"/>
      <c r="E773" s="86"/>
      <c r="F773" s="86"/>
      <c r="G773" s="86"/>
      <c r="H773" s="62"/>
      <c r="I773" s="62"/>
      <c r="J773" s="62"/>
      <c r="K773" s="62"/>
      <c r="L773" s="62"/>
      <c r="M773" s="62"/>
      <c r="N773" s="86"/>
      <c r="O773" s="86"/>
      <c r="P773" s="86"/>
      <c r="Q773" s="86"/>
      <c r="R773" s="86"/>
      <c r="S773" s="86"/>
      <c r="T773" s="62"/>
      <c r="U773" s="62"/>
      <c r="V773" s="62"/>
      <c r="W773" s="62"/>
      <c r="X773" s="62"/>
      <c r="Y773" s="62"/>
      <c r="Z773" s="86"/>
      <c r="AA773" s="86"/>
      <c r="AB773" s="86"/>
      <c r="AC773" s="86"/>
      <c r="AD773" s="86"/>
      <c r="AE773" s="86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6"/>
      <c r="C774" s="86"/>
      <c r="D774" s="86"/>
      <c r="E774" s="86"/>
      <c r="F774" s="86"/>
      <c r="G774" s="86"/>
      <c r="H774" s="62"/>
      <c r="I774" s="62"/>
      <c r="J774" s="62"/>
      <c r="K774" s="62"/>
      <c r="L774" s="62"/>
      <c r="M774" s="62"/>
      <c r="N774" s="86"/>
      <c r="O774" s="86"/>
      <c r="P774" s="86"/>
      <c r="Q774" s="86"/>
      <c r="R774" s="86"/>
      <c r="S774" s="86"/>
      <c r="T774" s="62"/>
      <c r="U774" s="62"/>
      <c r="V774" s="62"/>
      <c r="W774" s="62"/>
      <c r="X774" s="62"/>
      <c r="Y774" s="62"/>
      <c r="Z774" s="86"/>
      <c r="AA774" s="86"/>
      <c r="AB774" s="86"/>
      <c r="AC774" s="86"/>
      <c r="AD774" s="86"/>
      <c r="AE774" s="86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6"/>
      <c r="C775" s="86"/>
      <c r="D775" s="86"/>
      <c r="E775" s="86"/>
      <c r="F775" s="86"/>
      <c r="G775" s="86"/>
      <c r="H775" s="62"/>
      <c r="I775" s="62"/>
      <c r="J775" s="62"/>
      <c r="K775" s="62"/>
      <c r="L775" s="62"/>
      <c r="M775" s="63"/>
      <c r="N775" s="86"/>
      <c r="O775" s="86"/>
      <c r="P775" s="86"/>
      <c r="Q775" s="86"/>
      <c r="R775" s="86"/>
      <c r="S775" s="86"/>
      <c r="T775" s="62"/>
      <c r="U775" s="62"/>
      <c r="V775" s="62"/>
      <c r="W775" s="62"/>
      <c r="X775" s="62"/>
      <c r="Y775" s="63"/>
      <c r="Z775" s="86"/>
      <c r="AA775" s="86"/>
      <c r="AB775" s="86"/>
      <c r="AC775" s="86"/>
      <c r="AD775" s="86"/>
      <c r="AE775" s="86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6"/>
      <c r="C776" s="86"/>
      <c r="D776" s="86"/>
      <c r="E776" s="86"/>
      <c r="F776" s="86"/>
      <c r="G776" s="86"/>
      <c r="H776" s="62"/>
      <c r="I776" s="62"/>
      <c r="J776" s="62"/>
      <c r="K776" s="62"/>
      <c r="L776" s="62"/>
      <c r="M776" s="62"/>
      <c r="N776" s="86"/>
      <c r="O776" s="86"/>
      <c r="P776" s="86"/>
      <c r="Q776" s="86"/>
      <c r="R776" s="86"/>
      <c r="S776" s="86"/>
      <c r="T776" s="62"/>
      <c r="U776" s="62"/>
      <c r="V776" s="62"/>
      <c r="W776" s="62"/>
      <c r="X776" s="62"/>
      <c r="Y776" s="62"/>
      <c r="Z776" s="86"/>
      <c r="AA776" s="86"/>
      <c r="AB776" s="86"/>
      <c r="AC776" s="86"/>
      <c r="AD776" s="86"/>
      <c r="AE776" s="86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6"/>
      <c r="C777" s="86"/>
      <c r="D777" s="86"/>
      <c r="E777" s="86"/>
      <c r="F777" s="86"/>
      <c r="G777" s="86"/>
      <c r="H777" s="62"/>
      <c r="I777" s="86"/>
      <c r="J777" s="73"/>
      <c r="K777" s="62"/>
      <c r="L777" s="62"/>
      <c r="M777" s="62"/>
      <c r="N777" s="86"/>
      <c r="O777" s="86"/>
      <c r="P777" s="86"/>
      <c r="Q777" s="86"/>
      <c r="R777" s="86"/>
      <c r="S777" s="86"/>
      <c r="T777" s="62"/>
      <c r="U777" s="86"/>
      <c r="V777" s="73"/>
      <c r="W777" s="62"/>
      <c r="X777" s="62"/>
      <c r="Y777" s="62"/>
      <c r="Z777" s="86"/>
      <c r="AA777" s="86"/>
      <c r="AB777" s="86"/>
      <c r="AC777" s="86"/>
      <c r="AD777" s="86"/>
      <c r="AE777" s="86"/>
      <c r="AF777" s="62"/>
      <c r="AG777" s="86"/>
      <c r="AH777" s="86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6"/>
      <c r="C778" s="86"/>
      <c r="D778" s="86"/>
      <c r="E778" s="86"/>
      <c r="F778" s="86"/>
      <c r="G778" s="86"/>
      <c r="H778" s="62"/>
      <c r="I778" s="65"/>
      <c r="J778" s="65"/>
      <c r="K778" s="62"/>
      <c r="L778" s="62"/>
      <c r="M778" s="64"/>
      <c r="N778" s="86"/>
      <c r="O778" s="86"/>
      <c r="P778" s="86"/>
      <c r="Q778" s="86"/>
      <c r="R778" s="86"/>
      <c r="S778" s="86"/>
      <c r="T778" s="62"/>
      <c r="U778" s="65"/>
      <c r="V778" s="65"/>
      <c r="W778" s="62"/>
      <c r="X778" s="62"/>
      <c r="Y778" s="64"/>
      <c r="Z778" s="86"/>
      <c r="AA778" s="86"/>
      <c r="AB778" s="86"/>
      <c r="AC778" s="86"/>
      <c r="AD778" s="86"/>
      <c r="AE778" s="86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6"/>
      <c r="C779" s="86"/>
      <c r="D779" s="86"/>
      <c r="E779" s="86"/>
      <c r="F779" s="86"/>
      <c r="G779" s="86"/>
      <c r="H779" s="62"/>
      <c r="I779" s="62"/>
      <c r="J779" s="62"/>
      <c r="K779" s="62"/>
      <c r="L779" s="62"/>
      <c r="M779" s="62"/>
      <c r="N779" s="86"/>
      <c r="O779" s="86"/>
      <c r="P779" s="86"/>
      <c r="Q779" s="86"/>
      <c r="R779" s="86"/>
      <c r="S779" s="86"/>
      <c r="T779" s="62"/>
      <c r="U779" s="62"/>
      <c r="V779" s="62"/>
      <c r="W779" s="62"/>
      <c r="X779" s="62"/>
      <c r="Y779" s="62"/>
      <c r="Z779" s="86"/>
      <c r="AA779" s="86"/>
      <c r="AB779" s="86"/>
      <c r="AC779" s="86"/>
      <c r="AD779" s="86"/>
      <c r="AE779" s="86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6"/>
      <c r="D780" s="106"/>
      <c r="E780" s="106"/>
      <c r="F780" s="86"/>
      <c r="G780" s="86"/>
      <c r="H780" s="62"/>
      <c r="I780" s="106"/>
      <c r="J780" s="106"/>
      <c r="K780" s="105"/>
      <c r="L780" s="62"/>
      <c r="M780" s="62"/>
      <c r="N780" s="65"/>
      <c r="O780" s="86"/>
      <c r="P780" s="106"/>
      <c r="Q780" s="106"/>
      <c r="R780" s="86"/>
      <c r="S780" s="86"/>
      <c r="T780" s="62"/>
      <c r="U780" s="106"/>
      <c r="V780" s="106"/>
      <c r="W780" s="105"/>
      <c r="X780" s="62"/>
      <c r="Y780" s="62"/>
      <c r="Z780" s="65"/>
      <c r="AA780" s="86"/>
      <c r="AB780" s="106"/>
      <c r="AC780" s="106"/>
      <c r="AD780" s="86"/>
      <c r="AE780" s="86"/>
      <c r="AF780" s="62"/>
      <c r="AG780" s="106"/>
      <c r="AH780" s="106"/>
      <c r="AI780" s="105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6"/>
      <c r="C781" s="86"/>
      <c r="D781" s="79"/>
      <c r="E781" s="80"/>
      <c r="F781" s="81"/>
      <c r="G781" s="81"/>
      <c r="H781" s="62"/>
      <c r="I781" s="85"/>
      <c r="J781" s="85"/>
      <c r="K781" s="105"/>
      <c r="L781" s="62"/>
      <c r="M781" s="62"/>
      <c r="N781" s="86"/>
      <c r="O781" s="86"/>
      <c r="P781" s="79"/>
      <c r="Q781" s="81"/>
      <c r="R781" s="81"/>
      <c r="S781" s="81"/>
      <c r="T781" s="62"/>
      <c r="U781" s="85"/>
      <c r="V781" s="85"/>
      <c r="W781" s="105"/>
      <c r="X781" s="62"/>
      <c r="Y781" s="62"/>
      <c r="Z781" s="86"/>
      <c r="AA781" s="86"/>
      <c r="AB781" s="79"/>
      <c r="AC781" s="81"/>
      <c r="AD781" s="81"/>
      <c r="AE781" s="81"/>
      <c r="AF781" s="62"/>
      <c r="AG781" s="85"/>
      <c r="AH781" s="85"/>
      <c r="AI781" s="105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6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6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6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6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6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6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6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6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6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6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6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6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6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6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6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6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6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65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6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6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6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6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6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6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6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6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6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6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6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6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6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6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6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6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6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6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6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6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6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6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6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6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6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6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6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6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6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6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6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6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6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6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62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6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6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6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6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6"/>
      <c r="P802" s="67"/>
      <c r="Q802" s="86"/>
      <c r="R802" s="86"/>
      <c r="S802" s="60"/>
      <c r="T802" s="62"/>
      <c r="U802" s="62"/>
      <c r="V802" s="62"/>
      <c r="W802" s="61"/>
      <c r="X802" s="62"/>
      <c r="Y802" s="62"/>
      <c r="Z802" s="66"/>
      <c r="AA802" s="65"/>
      <c r="AB802" s="67"/>
      <c r="AC802" s="86"/>
      <c r="AD802" s="86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6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6"/>
      <c r="P803" s="68"/>
      <c r="Q803" s="86"/>
      <c r="R803" s="86"/>
      <c r="S803" s="60"/>
      <c r="T803" s="62"/>
      <c r="U803" s="62"/>
      <c r="V803" s="62"/>
      <c r="W803" s="61"/>
      <c r="X803" s="62"/>
      <c r="Y803" s="62"/>
      <c r="Z803" s="66"/>
      <c r="AA803" s="86"/>
      <c r="AB803" s="68"/>
      <c r="AC803" s="86"/>
      <c r="AD803" s="86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6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6"/>
      <c r="P804" s="69"/>
      <c r="Q804" s="86"/>
      <c r="R804" s="62"/>
      <c r="S804" s="60"/>
      <c r="T804" s="62"/>
      <c r="U804" s="62"/>
      <c r="V804" s="62"/>
      <c r="W804" s="61"/>
      <c r="X804" s="62"/>
      <c r="Y804" s="62"/>
      <c r="Z804" s="66"/>
      <c r="AA804" s="86"/>
      <c r="AB804" s="69"/>
      <c r="AC804" s="86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6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6"/>
      <c r="P805" s="69"/>
      <c r="Q805" s="86"/>
      <c r="R805" s="86"/>
      <c r="S805" s="60"/>
      <c r="T805" s="62"/>
      <c r="U805" s="62"/>
      <c r="V805" s="62"/>
      <c r="W805" s="61"/>
      <c r="X805" s="62"/>
      <c r="Y805" s="62"/>
      <c r="Z805" s="66"/>
      <c r="AA805" s="86"/>
      <c r="AB805" s="69"/>
      <c r="AC805" s="86"/>
      <c r="AD805" s="86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6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6"/>
      <c r="P806" s="69"/>
      <c r="Q806" s="86"/>
      <c r="R806" s="86"/>
      <c r="S806" s="60"/>
      <c r="T806" s="62"/>
      <c r="U806" s="62"/>
      <c r="V806" s="62"/>
      <c r="W806" s="61"/>
      <c r="X806" s="62"/>
      <c r="Y806" s="62"/>
      <c r="Z806" s="66"/>
      <c r="AA806" s="86"/>
      <c r="AB806" s="69"/>
      <c r="AC806" s="86"/>
      <c r="AD806" s="86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6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6"/>
      <c r="P807" s="69"/>
      <c r="Q807" s="86"/>
      <c r="R807" s="86"/>
      <c r="S807" s="60"/>
      <c r="T807" s="62"/>
      <c r="U807" s="62"/>
      <c r="V807" s="62"/>
      <c r="W807" s="61"/>
      <c r="X807" s="62"/>
      <c r="Y807" s="62"/>
      <c r="Z807" s="66"/>
      <c r="AA807" s="86"/>
      <c r="AB807" s="69"/>
      <c r="AC807" s="86"/>
      <c r="AD807" s="86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6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6"/>
      <c r="P808" s="69"/>
      <c r="Q808" s="86"/>
      <c r="R808" s="86"/>
      <c r="S808" s="60"/>
      <c r="T808" s="62"/>
      <c r="U808" s="62"/>
      <c r="V808" s="62"/>
      <c r="W808" s="61"/>
      <c r="X808" s="62"/>
      <c r="Y808" s="62"/>
      <c r="Z808" s="66"/>
      <c r="AA808" s="86"/>
      <c r="AB808" s="69"/>
      <c r="AC808" s="86"/>
      <c r="AD808" s="86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6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6"/>
      <c r="P809" s="69"/>
      <c r="Q809" s="86"/>
      <c r="R809" s="86"/>
      <c r="S809" s="60"/>
      <c r="T809" s="62"/>
      <c r="U809" s="62"/>
      <c r="V809" s="62"/>
      <c r="W809" s="61"/>
      <c r="X809" s="62"/>
      <c r="Y809" s="62"/>
      <c r="Z809" s="66"/>
      <c r="AA809" s="86"/>
      <c r="AB809" s="69"/>
      <c r="AC809" s="86"/>
      <c r="AD809" s="86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6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86"/>
      <c r="R810" s="86"/>
      <c r="S810" s="60"/>
      <c r="T810" s="62"/>
      <c r="U810" s="62"/>
      <c r="V810" s="62"/>
      <c r="W810" s="61"/>
      <c r="X810" s="62"/>
      <c r="Y810" s="62"/>
      <c r="Z810" s="66"/>
      <c r="AA810" s="86"/>
      <c r="AB810" s="69"/>
      <c r="AC810" s="86"/>
      <c r="AD810" s="86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6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6"/>
      <c r="P811" s="69"/>
      <c r="Q811" s="86"/>
      <c r="R811" s="86"/>
      <c r="S811" s="60"/>
      <c r="T811" s="62"/>
      <c r="U811" s="62"/>
      <c r="V811" s="62"/>
      <c r="W811" s="61"/>
      <c r="X811" s="62"/>
      <c r="Y811" s="62"/>
      <c r="Z811" s="66"/>
      <c r="AA811" s="86"/>
      <c r="AB811" s="69"/>
      <c r="AC811" s="86"/>
      <c r="AD811" s="86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6"/>
      <c r="P812" s="69"/>
      <c r="Q812" s="86"/>
      <c r="R812" s="86"/>
      <c r="S812" s="60"/>
      <c r="T812" s="62"/>
      <c r="U812" s="62"/>
      <c r="V812" s="62"/>
      <c r="W812" s="61"/>
      <c r="X812" s="62"/>
      <c r="Y812" s="62"/>
      <c r="Z812" s="66"/>
      <c r="AA812" s="86"/>
      <c r="AB812" s="69"/>
      <c r="AC812" s="86"/>
      <c r="AD812" s="86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6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6"/>
      <c r="P813" s="69"/>
      <c r="Q813" s="86"/>
      <c r="R813" s="86"/>
      <c r="S813" s="60"/>
      <c r="T813" s="62"/>
      <c r="U813" s="62"/>
      <c r="V813" s="62"/>
      <c r="W813" s="61"/>
      <c r="X813" s="62"/>
      <c r="Y813" s="62"/>
      <c r="Z813" s="66"/>
      <c r="AA813" s="86"/>
      <c r="AB813" s="69"/>
      <c r="AC813" s="86"/>
      <c r="AD813" s="86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6"/>
      <c r="P814" s="69"/>
      <c r="Q814" s="86"/>
      <c r="R814" s="86"/>
      <c r="S814" s="60"/>
      <c r="T814" s="62"/>
      <c r="U814" s="62"/>
      <c r="V814" s="62"/>
      <c r="W814" s="61"/>
      <c r="X814" s="62"/>
      <c r="Y814" s="62"/>
      <c r="Z814" s="66"/>
      <c r="AA814" s="86"/>
      <c r="AB814" s="69"/>
      <c r="AC814" s="86"/>
      <c r="AD814" s="86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6"/>
      <c r="P815" s="69"/>
      <c r="Q815" s="86"/>
      <c r="R815" s="86"/>
      <c r="S815" s="60"/>
      <c r="T815" s="62"/>
      <c r="U815" s="62"/>
      <c r="V815" s="62"/>
      <c r="W815" s="61"/>
      <c r="X815" s="62"/>
      <c r="Y815" s="62"/>
      <c r="Z815" s="66"/>
      <c r="AA815" s="86"/>
      <c r="AB815" s="69"/>
      <c r="AC815" s="86"/>
      <c r="AD815" s="86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6"/>
      <c r="P816" s="69"/>
      <c r="Q816" s="86"/>
      <c r="R816" s="86"/>
      <c r="S816" s="60"/>
      <c r="T816" s="62"/>
      <c r="U816" s="62"/>
      <c r="V816" s="62"/>
      <c r="W816" s="61"/>
      <c r="X816" s="62"/>
      <c r="Y816" s="62"/>
      <c r="Z816" s="66"/>
      <c r="AA816" s="86"/>
      <c r="AB816" s="69"/>
      <c r="AC816" s="86"/>
      <c r="AD816" s="86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6"/>
      <c r="P817" s="69"/>
      <c r="Q817" s="86"/>
      <c r="R817" s="86"/>
      <c r="S817" s="60"/>
      <c r="T817" s="62"/>
      <c r="U817" s="62"/>
      <c r="V817" s="62"/>
      <c r="W817" s="61"/>
      <c r="X817" s="62"/>
      <c r="Y817" s="62"/>
      <c r="Z817" s="66"/>
      <c r="AA817" s="86"/>
      <c r="AB817" s="69"/>
      <c r="AC817" s="86"/>
      <c r="AD817" s="86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6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6"/>
      <c r="R818" s="86"/>
      <c r="S818" s="60"/>
      <c r="T818" s="62"/>
      <c r="U818" s="62"/>
      <c r="V818" s="62"/>
      <c r="W818" s="61"/>
      <c r="X818" s="62"/>
      <c r="Y818" s="62"/>
      <c r="Z818" s="66"/>
      <c r="AA818" s="86"/>
      <c r="AB818" s="69"/>
      <c r="AC818" s="86"/>
      <c r="AD818" s="86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6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6"/>
      <c r="P819" s="69"/>
      <c r="Q819" s="86"/>
      <c r="R819" s="86"/>
      <c r="S819" s="60"/>
      <c r="T819" s="62"/>
      <c r="U819" s="62"/>
      <c r="V819" s="62"/>
      <c r="W819" s="61"/>
      <c r="X819" s="62"/>
      <c r="Y819" s="62"/>
      <c r="Z819" s="66"/>
      <c r="AA819" s="86"/>
      <c r="AB819" s="69"/>
      <c r="AC819" s="86"/>
      <c r="AD819" s="86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6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6"/>
      <c r="P820" s="69"/>
      <c r="Q820" s="86"/>
      <c r="R820" s="86"/>
      <c r="S820" s="60"/>
      <c r="T820" s="62"/>
      <c r="U820" s="62"/>
      <c r="V820" s="62"/>
      <c r="W820" s="61"/>
      <c r="X820" s="62"/>
      <c r="Y820" s="62"/>
      <c r="Z820" s="66"/>
      <c r="AA820" s="86"/>
      <c r="AB820" s="69"/>
      <c r="AC820" s="86"/>
      <c r="AD820" s="86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6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6"/>
      <c r="R821" s="86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6"/>
      <c r="AD821" s="86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6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6"/>
      <c r="P822" s="69"/>
      <c r="Q822" s="86"/>
      <c r="R822" s="86"/>
      <c r="S822" s="60"/>
      <c r="T822" s="62"/>
      <c r="U822" s="62"/>
      <c r="V822" s="62"/>
      <c r="W822" s="61"/>
      <c r="X822" s="62"/>
      <c r="Y822" s="62"/>
      <c r="Z822" s="66"/>
      <c r="AA822" s="86"/>
      <c r="AB822" s="69"/>
      <c r="AC822" s="86"/>
      <c r="AD822" s="86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6"/>
      <c r="O823" s="86"/>
      <c r="P823" s="86"/>
      <c r="Q823" s="86"/>
      <c r="R823" s="86"/>
      <c r="S823" s="86"/>
      <c r="T823" s="62"/>
      <c r="U823" s="62"/>
      <c r="V823" s="62"/>
      <c r="W823" s="61"/>
      <c r="X823" s="62"/>
      <c r="Y823" s="62"/>
      <c r="Z823" s="86"/>
      <c r="AA823" s="86"/>
      <c r="AB823" s="86"/>
      <c r="AC823" s="86"/>
      <c r="AD823" s="86"/>
      <c r="AE823" s="86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6"/>
      <c r="C824" s="86"/>
      <c r="D824" s="86"/>
      <c r="E824" s="86"/>
      <c r="F824" s="86"/>
      <c r="G824" s="86"/>
      <c r="H824" s="62"/>
      <c r="I824" s="62"/>
      <c r="J824" s="62"/>
      <c r="K824" s="62"/>
      <c r="L824" s="62"/>
      <c r="M824" s="62"/>
      <c r="N824" s="86"/>
      <c r="O824" s="86"/>
      <c r="P824" s="86"/>
      <c r="Q824" s="86"/>
      <c r="R824" s="86"/>
      <c r="S824" s="86"/>
      <c r="T824" s="62"/>
      <c r="U824" s="62"/>
      <c r="V824" s="62"/>
      <c r="W824" s="62"/>
      <c r="X824" s="62"/>
      <c r="Y824" s="62"/>
      <c r="Z824" s="86"/>
      <c r="AA824" s="86"/>
      <c r="AB824" s="86"/>
      <c r="AC824" s="86"/>
      <c r="AD824" s="86"/>
      <c r="AE824" s="86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6"/>
      <c r="C825" s="86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6"/>
      <c r="O825" s="86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6"/>
      <c r="AA825" s="86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106"/>
      <c r="E835" s="106"/>
      <c r="F835" s="86"/>
      <c r="G835" s="86"/>
      <c r="H835" s="62"/>
      <c r="I835" s="106"/>
      <c r="J835" s="106"/>
      <c r="K835" s="105"/>
      <c r="L835" s="62"/>
      <c r="M835" s="62"/>
      <c r="N835" s="65"/>
      <c r="O835" s="86"/>
      <c r="P835" s="106"/>
      <c r="Q835" s="106"/>
      <c r="R835" s="86"/>
      <c r="S835" s="86"/>
      <c r="T835" s="62"/>
      <c r="U835" s="106"/>
      <c r="V835" s="106"/>
      <c r="W835" s="105"/>
      <c r="X835" s="62"/>
      <c r="Y835" s="62"/>
      <c r="Z835" s="65"/>
      <c r="AA835" s="86"/>
      <c r="AB835" s="106"/>
      <c r="AC835" s="106"/>
      <c r="AD835" s="86"/>
      <c r="AE835" s="86"/>
      <c r="AF835" s="62"/>
      <c r="AG835" s="106"/>
      <c r="AH835" s="106"/>
      <c r="AI835" s="105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105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105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105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106"/>
      <c r="E890" s="106"/>
      <c r="F890" s="86"/>
      <c r="G890" s="86"/>
      <c r="H890" s="62"/>
      <c r="I890" s="106"/>
      <c r="J890" s="106"/>
      <c r="K890" s="105"/>
      <c r="L890" s="62"/>
      <c r="M890" s="62"/>
      <c r="N890" s="65"/>
      <c r="O890" s="86"/>
      <c r="P890" s="106"/>
      <c r="Q890" s="106"/>
      <c r="R890" s="86"/>
      <c r="S890" s="86"/>
      <c r="T890" s="62"/>
      <c r="U890" s="106"/>
      <c r="V890" s="106"/>
      <c r="W890" s="105"/>
      <c r="X890" s="62"/>
      <c r="Y890" s="62"/>
      <c r="Z890" s="65"/>
      <c r="AA890" s="86"/>
      <c r="AB890" s="106"/>
      <c r="AC890" s="106"/>
      <c r="AD890" s="86"/>
      <c r="AE890" s="86"/>
      <c r="AF890" s="62"/>
      <c r="AG890" s="106"/>
      <c r="AH890" s="106"/>
      <c r="AI890" s="10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105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105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10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106"/>
      <c r="E945" s="106"/>
      <c r="F945" s="86"/>
      <c r="G945" s="86"/>
      <c r="H945" s="62"/>
      <c r="I945" s="106"/>
      <c r="J945" s="106"/>
      <c r="K945" s="105"/>
      <c r="L945" s="62"/>
      <c r="M945" s="62"/>
      <c r="N945" s="65"/>
      <c r="O945" s="86"/>
      <c r="P945" s="106"/>
      <c r="Q945" s="106"/>
      <c r="R945" s="86"/>
      <c r="S945" s="86"/>
      <c r="T945" s="62"/>
      <c r="U945" s="106"/>
      <c r="V945" s="106"/>
      <c r="W945" s="105"/>
      <c r="X945" s="62"/>
      <c r="Y945" s="62"/>
      <c r="Z945" s="65"/>
      <c r="AA945" s="86"/>
      <c r="AB945" s="106"/>
      <c r="AC945" s="106"/>
      <c r="AD945" s="86"/>
      <c r="AE945" s="86"/>
      <c r="AF945" s="62"/>
      <c r="AG945" s="106"/>
      <c r="AH945" s="106"/>
      <c r="AI945" s="105"/>
      <c r="AJ945" s="62"/>
      <c r="AK945" s="62"/>
      <c r="AL945" s="65"/>
      <c r="AM945" s="86"/>
      <c r="AN945" s="106"/>
      <c r="AO945" s="106"/>
      <c r="AP945" s="86"/>
      <c r="AQ945" s="86"/>
      <c r="AR945" s="62"/>
      <c r="AS945" s="106"/>
      <c r="AT945" s="106"/>
      <c r="AU945" s="105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105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105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105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6"/>
      <c r="E1000" s="106"/>
      <c r="F1000" s="86"/>
      <c r="G1000" s="86"/>
      <c r="H1000" s="62"/>
      <c r="I1000" s="106"/>
      <c r="J1000" s="106"/>
      <c r="K1000" s="105"/>
      <c r="L1000" s="62"/>
      <c r="M1000" s="62"/>
      <c r="N1000" s="65"/>
      <c r="O1000" s="86"/>
      <c r="P1000" s="106"/>
      <c r="Q1000" s="106"/>
      <c r="R1000" s="86"/>
      <c r="S1000" s="86"/>
      <c r="T1000" s="62"/>
      <c r="U1000" s="106"/>
      <c r="V1000" s="106"/>
      <c r="W1000" s="105"/>
      <c r="X1000" s="62"/>
      <c r="Y1000" s="62"/>
      <c r="Z1000" s="65"/>
      <c r="AA1000" s="86"/>
      <c r="AB1000" s="106"/>
      <c r="AC1000" s="106"/>
      <c r="AD1000" s="86"/>
      <c r="AE1000" s="86"/>
      <c r="AF1000" s="62"/>
      <c r="AG1000" s="106"/>
      <c r="AH1000" s="106"/>
      <c r="AI1000" s="10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5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5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6"/>
      <c r="E1055" s="106"/>
      <c r="F1055" s="86"/>
      <c r="G1055" s="86"/>
      <c r="H1055" s="62"/>
      <c r="I1055" s="106"/>
      <c r="J1055" s="106"/>
      <c r="K1055" s="105"/>
      <c r="L1055" s="62"/>
      <c r="M1055" s="62"/>
      <c r="N1055" s="65"/>
      <c r="O1055" s="86"/>
      <c r="P1055" s="106"/>
      <c r="Q1055" s="106"/>
      <c r="R1055" s="86"/>
      <c r="S1055" s="86"/>
      <c r="T1055" s="62"/>
      <c r="U1055" s="106"/>
      <c r="V1055" s="106"/>
      <c r="W1055" s="105"/>
      <c r="X1055" s="62"/>
      <c r="Y1055" s="62"/>
      <c r="Z1055" s="65"/>
      <c r="AA1055" s="86"/>
      <c r="AB1055" s="106"/>
      <c r="AC1055" s="106"/>
      <c r="AD1055" s="86"/>
      <c r="AE1055" s="86"/>
      <c r="AF1055" s="62"/>
      <c r="AG1055" s="106"/>
      <c r="AH1055" s="106"/>
      <c r="AI1055" s="10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5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5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6"/>
      <c r="E1110" s="106"/>
      <c r="F1110" s="86"/>
      <c r="G1110" s="86"/>
      <c r="H1110" s="62"/>
      <c r="I1110" s="106"/>
      <c r="J1110" s="106"/>
      <c r="K1110" s="105"/>
      <c r="L1110" s="62"/>
      <c r="M1110" s="62"/>
      <c r="N1110" s="65"/>
      <c r="O1110" s="86"/>
      <c r="P1110" s="106"/>
      <c r="Q1110" s="106"/>
      <c r="R1110" s="86"/>
      <c r="S1110" s="86"/>
      <c r="T1110" s="62"/>
      <c r="U1110" s="106"/>
      <c r="V1110" s="106"/>
      <c r="W1110" s="105"/>
      <c r="X1110" s="62"/>
      <c r="Y1110" s="62"/>
      <c r="Z1110" s="65"/>
      <c r="AA1110" s="86"/>
      <c r="AB1110" s="106"/>
      <c r="AC1110" s="106"/>
      <c r="AD1110" s="86"/>
      <c r="AE1110" s="86"/>
      <c r="AF1110" s="62"/>
      <c r="AG1110" s="106"/>
      <c r="AH1110" s="106"/>
      <c r="AI1110" s="10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5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5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6"/>
      <c r="E1165" s="106"/>
      <c r="F1165" s="86"/>
      <c r="G1165" s="86"/>
      <c r="H1165" s="62"/>
      <c r="I1165" s="106"/>
      <c r="J1165" s="106"/>
      <c r="K1165" s="105"/>
      <c r="L1165" s="62"/>
      <c r="M1165" s="62"/>
      <c r="N1165" s="65"/>
      <c r="O1165" s="86"/>
      <c r="P1165" s="106"/>
      <c r="Q1165" s="106"/>
      <c r="R1165" s="86"/>
      <c r="S1165" s="86"/>
      <c r="T1165" s="62"/>
      <c r="U1165" s="106"/>
      <c r="V1165" s="106"/>
      <c r="W1165" s="105"/>
      <c r="X1165" s="62"/>
      <c r="Y1165" s="62"/>
      <c r="Z1165" s="65"/>
      <c r="AA1165" s="86"/>
      <c r="AB1165" s="106"/>
      <c r="AC1165" s="106"/>
      <c r="AD1165" s="86"/>
      <c r="AE1165" s="86"/>
      <c r="AF1165" s="62"/>
      <c r="AG1165" s="106"/>
      <c r="AH1165" s="106"/>
      <c r="AI1165" s="10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5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5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6"/>
      <c r="E1221" s="106"/>
      <c r="F1221" s="86"/>
      <c r="G1221" s="86"/>
      <c r="H1221" s="62"/>
      <c r="I1221" s="106"/>
      <c r="J1221" s="106"/>
      <c r="K1221" s="105"/>
      <c r="L1221" s="62"/>
      <c r="M1221" s="62"/>
      <c r="N1221" s="65"/>
      <c r="O1221" s="86"/>
      <c r="P1221" s="106"/>
      <c r="Q1221" s="106"/>
      <c r="R1221" s="86"/>
      <c r="S1221" s="86"/>
      <c r="T1221" s="62"/>
      <c r="U1221" s="106"/>
      <c r="V1221" s="106"/>
      <c r="W1221" s="105"/>
      <c r="X1221" s="62"/>
      <c r="Y1221" s="62"/>
      <c r="Z1221" s="65"/>
      <c r="AA1221" s="86"/>
      <c r="AB1221" s="106"/>
      <c r="AC1221" s="106"/>
      <c r="AD1221" s="86"/>
      <c r="AE1221" s="86"/>
      <c r="AF1221" s="62"/>
      <c r="AG1221" s="106"/>
      <c r="AH1221" s="106"/>
      <c r="AI1221" s="10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5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5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6"/>
      <c r="E1283" s="106"/>
      <c r="F1283" s="86"/>
      <c r="G1283" s="86"/>
      <c r="H1283" s="62"/>
      <c r="I1283" s="106"/>
      <c r="J1283" s="106"/>
      <c r="K1283" s="105"/>
      <c r="L1283" s="62"/>
      <c r="M1283" s="62"/>
      <c r="N1283" s="65"/>
      <c r="O1283" s="86"/>
      <c r="P1283" s="106"/>
      <c r="Q1283" s="106"/>
      <c r="R1283" s="86"/>
      <c r="S1283" s="86"/>
      <c r="T1283" s="62"/>
      <c r="U1283" s="106"/>
      <c r="V1283" s="106"/>
      <c r="W1283" s="105"/>
      <c r="X1283" s="62"/>
      <c r="Y1283" s="62"/>
      <c r="Z1283" s="65"/>
      <c r="AA1283" s="86"/>
      <c r="AB1283" s="106"/>
      <c r="AC1283" s="106"/>
      <c r="AD1283" s="86"/>
      <c r="AE1283" s="86"/>
      <c r="AF1283" s="62"/>
      <c r="AG1283" s="106"/>
      <c r="AH1283" s="106"/>
      <c r="AI1283" s="10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5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5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2026-02-18T00:09:02Z</dcterms:modified>
</cp:coreProperties>
</file>