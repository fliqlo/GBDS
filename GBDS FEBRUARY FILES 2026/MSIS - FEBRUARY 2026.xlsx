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0AF65500-B9D8-4A81-A1D5-E007FCCA6D39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850" i="2" l="1"/>
  <c r="AE850" i="2"/>
  <c r="AI850" i="2" s="1"/>
  <c r="AB849" i="2"/>
  <c r="AB848" i="2"/>
  <c r="AB847" i="2"/>
  <c r="AE847" i="2" s="1"/>
  <c r="AI847" i="2" s="1"/>
  <c r="AC846" i="2"/>
  <c r="AB846" i="2"/>
  <c r="AH845" i="2"/>
  <c r="AC845" i="2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E840" i="2" s="1"/>
  <c r="AH839" i="2"/>
  <c r="AB839" i="2"/>
  <c r="AE839" i="2" s="1"/>
  <c r="AI839" i="2" s="1"/>
  <c r="AB838" i="2"/>
  <c r="AB837" i="2"/>
  <c r="AE837" i="2" s="1"/>
  <c r="AI837" i="2" s="1"/>
  <c r="AG880" i="2"/>
  <c r="AA838" i="2"/>
  <c r="AA839" i="2" s="1"/>
  <c r="AA840" i="2" s="1"/>
  <c r="AA841" i="2" s="1"/>
  <c r="AA842" i="2" s="1"/>
  <c r="AA843" i="2" s="1"/>
  <c r="AA844" i="2" s="1"/>
  <c r="AA845" i="2" s="1"/>
  <c r="AA846" i="2" s="1"/>
  <c r="AA847" i="2" s="1"/>
  <c r="AA848" i="2" s="1"/>
  <c r="AA849" i="2" s="1"/>
  <c r="AA850" i="2" s="1"/>
  <c r="AE838" i="2"/>
  <c r="AI838" i="2" s="1"/>
  <c r="AE843" i="2"/>
  <c r="AI843" i="2" s="1"/>
  <c r="AE848" i="2"/>
  <c r="AI848" i="2" s="1"/>
  <c r="AE849" i="2"/>
  <c r="AI849" i="2" s="1"/>
  <c r="AE851" i="2"/>
  <c r="AI851" i="2" s="1"/>
  <c r="AE852" i="2"/>
  <c r="AI852" i="2"/>
  <c r="AE853" i="2"/>
  <c r="AI853" i="2"/>
  <c r="AE854" i="2"/>
  <c r="AI854" i="2"/>
  <c r="AE855" i="2"/>
  <c r="AI855" i="2"/>
  <c r="AE856" i="2"/>
  <c r="AI856" i="2"/>
  <c r="AE857" i="2"/>
  <c r="AI857" i="2" s="1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D880" i="2"/>
  <c r="P854" i="2"/>
  <c r="S854" i="2" s="1"/>
  <c r="W854" i="2" s="1"/>
  <c r="P853" i="2"/>
  <c r="S853" i="2" s="1"/>
  <c r="W853" i="2" s="1"/>
  <c r="P852" i="2"/>
  <c r="V851" i="2"/>
  <c r="V880" i="2" s="1"/>
  <c r="P851" i="2"/>
  <c r="S851" i="2" s="1"/>
  <c r="P850" i="2"/>
  <c r="P849" i="2"/>
  <c r="P848" i="2"/>
  <c r="S848" i="2" s="1"/>
  <c r="W848" i="2" s="1"/>
  <c r="P847" i="2"/>
  <c r="P846" i="2"/>
  <c r="S846" i="2" s="1"/>
  <c r="W846" i="2" s="1"/>
  <c r="P845" i="2"/>
  <c r="P844" i="2"/>
  <c r="S844" i="2" s="1"/>
  <c r="W844" i="2" s="1"/>
  <c r="P843" i="2"/>
  <c r="P842" i="2"/>
  <c r="S842" i="2" s="1"/>
  <c r="W842" i="2" s="1"/>
  <c r="P841" i="2"/>
  <c r="U840" i="2"/>
  <c r="U880" i="2" s="1"/>
  <c r="P840" i="2"/>
  <c r="P839" i="2"/>
  <c r="P838" i="2"/>
  <c r="S838" i="2" s="1"/>
  <c r="W838" i="2" s="1"/>
  <c r="P837" i="2"/>
  <c r="S837" i="2"/>
  <c r="O838" i="2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S839" i="2"/>
  <c r="W839" i="2" s="1"/>
  <c r="S841" i="2"/>
  <c r="W841" i="2" s="1"/>
  <c r="S843" i="2"/>
  <c r="W843" i="2" s="1"/>
  <c r="S845" i="2"/>
  <c r="W845" i="2" s="1"/>
  <c r="S847" i="2"/>
  <c r="W847" i="2" s="1"/>
  <c r="S849" i="2"/>
  <c r="W849" i="2"/>
  <c r="S850" i="2"/>
  <c r="W850" i="2" s="1"/>
  <c r="S852" i="2"/>
  <c r="W852" i="2" s="1"/>
  <c r="S855" i="2"/>
  <c r="W855" i="2" s="1"/>
  <c r="S856" i="2"/>
  <c r="W856" i="2" s="1"/>
  <c r="S857" i="2"/>
  <c r="W857" i="2"/>
  <c r="S858" i="2"/>
  <c r="W858" i="2"/>
  <c r="S859" i="2"/>
  <c r="W859" i="2" s="1"/>
  <c r="S860" i="2"/>
  <c r="W860" i="2"/>
  <c r="S861" i="2"/>
  <c r="W861" i="2" s="1"/>
  <c r="S862" i="2"/>
  <c r="W862" i="2" s="1"/>
  <c r="S863" i="2"/>
  <c r="W863" i="2" s="1"/>
  <c r="S864" i="2"/>
  <c r="W864" i="2" s="1"/>
  <c r="S865" i="2"/>
  <c r="W865" i="2"/>
  <c r="S866" i="2"/>
  <c r="W866" i="2"/>
  <c r="S867" i="2"/>
  <c r="W867" i="2" s="1"/>
  <c r="S868" i="2"/>
  <c r="W868" i="2"/>
  <c r="S869" i="2"/>
  <c r="W869" i="2" s="1"/>
  <c r="S870" i="2"/>
  <c r="W870" i="2" s="1"/>
  <c r="S871" i="2"/>
  <c r="W871" i="2"/>
  <c r="S872" i="2"/>
  <c r="W872" i="2"/>
  <c r="S873" i="2"/>
  <c r="W873" i="2"/>
  <c r="S874" i="2"/>
  <c r="W874" i="2"/>
  <c r="S875" i="2"/>
  <c r="W875" i="2" s="1"/>
  <c r="W876" i="2"/>
  <c r="S877" i="2"/>
  <c r="W877" i="2"/>
  <c r="W878" i="2"/>
  <c r="Q880" i="2"/>
  <c r="R880" i="2"/>
  <c r="I845" i="2"/>
  <c r="I880" i="2" s="1"/>
  <c r="D845" i="2"/>
  <c r="D844" i="2"/>
  <c r="G844" i="2" s="1"/>
  <c r="K844" i="2" s="1"/>
  <c r="D843" i="2"/>
  <c r="G843" i="2" s="1"/>
  <c r="K843" i="2" s="1"/>
  <c r="D842" i="2"/>
  <c r="D841" i="2"/>
  <c r="J840" i="2"/>
  <c r="J880" i="2" s="1"/>
  <c r="E840" i="2"/>
  <c r="G840" i="2" s="1"/>
  <c r="K840" i="2" s="1"/>
  <c r="D840" i="2"/>
  <c r="D839" i="2"/>
  <c r="G839" i="2" s="1"/>
  <c r="K839" i="2" s="1"/>
  <c r="D838" i="2"/>
  <c r="I837" i="2"/>
  <c r="D837" i="2"/>
  <c r="F880" i="2"/>
  <c r="G877" i="2"/>
  <c r="K877" i="2" s="1"/>
  <c r="K870" i="2"/>
  <c r="G870" i="2"/>
  <c r="G869" i="2"/>
  <c r="K869" i="2" s="1"/>
  <c r="G868" i="2"/>
  <c r="K868" i="2" s="1"/>
  <c r="K867" i="2"/>
  <c r="G867" i="2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2" i="2"/>
  <c r="K842" i="2" s="1"/>
  <c r="G841" i="2"/>
  <c r="K841" i="2" s="1"/>
  <c r="G838" i="2"/>
  <c r="K838" i="2" s="1"/>
  <c r="C838" i="2"/>
  <c r="C839" i="2" s="1"/>
  <c r="C840" i="2" s="1"/>
  <c r="C841" i="2" s="1"/>
  <c r="C842" i="2" s="1"/>
  <c r="C843" i="2" s="1"/>
  <c r="C844" i="2" s="1"/>
  <c r="C845" i="2" s="1"/>
  <c r="G837" i="2"/>
  <c r="AC880" i="2" l="1"/>
  <c r="AE846" i="2"/>
  <c r="AI846" i="2" s="1"/>
  <c r="AH880" i="2"/>
  <c r="AI840" i="2"/>
  <c r="AB880" i="2"/>
  <c r="W851" i="2"/>
  <c r="P880" i="2"/>
  <c r="W837" i="2"/>
  <c r="S840" i="2"/>
  <c r="W840" i="2" s="1"/>
  <c r="E880" i="2"/>
  <c r="D880" i="2"/>
  <c r="G880" i="2"/>
  <c r="K837" i="2"/>
  <c r="K880" i="2" s="1"/>
  <c r="AC785" i="2"/>
  <c r="AC825" i="2" s="1"/>
  <c r="AB785" i="2"/>
  <c r="AB784" i="2"/>
  <c r="AB783" i="2"/>
  <c r="AG782" i="2"/>
  <c r="AC782" i="2"/>
  <c r="AB782" i="2"/>
  <c r="AA783" i="2"/>
  <c r="AE783" i="2"/>
  <c r="AI783" i="2" s="1"/>
  <c r="AA784" i="2"/>
  <c r="AA785" i="2" s="1"/>
  <c r="AE784" i="2"/>
  <c r="AI784" i="2" s="1"/>
  <c r="AH825" i="2"/>
  <c r="AE786" i="2"/>
  <c r="AI786" i="2"/>
  <c r="AE787" i="2"/>
  <c r="AI787" i="2"/>
  <c r="AE788" i="2"/>
  <c r="AI788" i="2"/>
  <c r="AE789" i="2"/>
  <c r="AI789" i="2"/>
  <c r="AE790" i="2"/>
  <c r="AI790" i="2"/>
  <c r="AE791" i="2"/>
  <c r="AI791" i="2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8" i="2"/>
  <c r="V797" i="2"/>
  <c r="P797" i="2"/>
  <c r="P796" i="2"/>
  <c r="P795" i="2"/>
  <c r="P794" i="2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P788" i="2"/>
  <c r="U787" i="2"/>
  <c r="U825" i="2" s="1"/>
  <c r="P787" i="2"/>
  <c r="S787" i="2" s="1"/>
  <c r="W787" i="2" s="1"/>
  <c r="P786" i="2"/>
  <c r="S786" i="2" s="1"/>
  <c r="W786" i="2" s="1"/>
  <c r="P785" i="2"/>
  <c r="S785" i="2" s="1"/>
  <c r="W785" i="2" s="1"/>
  <c r="P784" i="2"/>
  <c r="S784" i="2" s="1"/>
  <c r="P783" i="2"/>
  <c r="S783" i="2" s="1"/>
  <c r="W783" i="2" s="1"/>
  <c r="P782" i="2"/>
  <c r="S782" i="2" s="1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8" i="2"/>
  <c r="W788" i="2" s="1"/>
  <c r="S789" i="2"/>
  <c r="W789" i="2" s="1"/>
  <c r="S794" i="2"/>
  <c r="W794" i="2" s="1"/>
  <c r="S795" i="2"/>
  <c r="W795" i="2" s="1"/>
  <c r="S796" i="2"/>
  <c r="W796" i="2" s="1"/>
  <c r="S797" i="2"/>
  <c r="W797" i="2" s="1"/>
  <c r="S798" i="2"/>
  <c r="W798" i="2" s="1"/>
  <c r="S799" i="2"/>
  <c r="W799" i="2" s="1"/>
  <c r="S800" i="2"/>
  <c r="W800" i="2" s="1"/>
  <c r="S801" i="2"/>
  <c r="W801" i="2" s="1"/>
  <c r="S802" i="2"/>
  <c r="W802" i="2"/>
  <c r="S803" i="2"/>
  <c r="W803" i="2" s="1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 s="1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 s="1"/>
  <c r="S819" i="2"/>
  <c r="W819" i="2" s="1"/>
  <c r="S820" i="2"/>
  <c r="W820" i="2"/>
  <c r="W821" i="2"/>
  <c r="S822" i="2"/>
  <c r="W822" i="2"/>
  <c r="W823" i="2"/>
  <c r="Q825" i="2"/>
  <c r="R825" i="2"/>
  <c r="V825" i="2"/>
  <c r="AE880" i="2" l="1"/>
  <c r="AI880" i="2"/>
  <c r="W880" i="2"/>
  <c r="S880" i="2"/>
  <c r="AE785" i="2"/>
  <c r="AI785" i="2" s="1"/>
  <c r="AB825" i="2"/>
  <c r="AE782" i="2"/>
  <c r="S825" i="2"/>
  <c r="W784" i="2"/>
  <c r="W825" i="2" s="1"/>
  <c r="P825" i="2"/>
  <c r="P738" i="2"/>
  <c r="AI782" i="2" l="1"/>
  <c r="AI825" i="2" s="1"/>
  <c r="AE825" i="2"/>
  <c r="AH729" i="2"/>
  <c r="AC729" i="2"/>
  <c r="AB729" i="2"/>
  <c r="AH728" i="2"/>
  <c r="AC728" i="2"/>
  <c r="AB728" i="2"/>
  <c r="AB770" i="2" s="1"/>
  <c r="AC727" i="2"/>
  <c r="AB727" i="2"/>
  <c r="AE727" i="2" s="1"/>
  <c r="AI727" i="2" s="1"/>
  <c r="AA728" i="2"/>
  <c r="AA729" i="2"/>
  <c r="AE730" i="2"/>
  <c r="AI730" i="2"/>
  <c r="AE731" i="2"/>
  <c r="AI731" i="2" s="1"/>
  <c r="AE732" i="2"/>
  <c r="AI732" i="2"/>
  <c r="AE733" i="2"/>
  <c r="AI733" i="2" s="1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 s="1"/>
  <c r="AE742" i="2"/>
  <c r="AI742" i="2" s="1"/>
  <c r="AE743" i="2"/>
  <c r="AI743" i="2"/>
  <c r="AE744" i="2"/>
  <c r="AI744" i="2"/>
  <c r="AE745" i="2"/>
  <c r="AI745" i="2"/>
  <c r="AE746" i="2"/>
  <c r="AI746" i="2" s="1"/>
  <c r="AE747" i="2"/>
  <c r="AI747" i="2"/>
  <c r="AE748" i="2"/>
  <c r="AI748" i="2"/>
  <c r="AE749" i="2"/>
  <c r="AI749" i="2" s="1"/>
  <c r="AE750" i="2"/>
  <c r="AI750" i="2" s="1"/>
  <c r="AE751" i="2"/>
  <c r="AI751" i="2"/>
  <c r="AE752" i="2"/>
  <c r="AI752" i="2"/>
  <c r="AE753" i="2"/>
  <c r="AI753" i="2"/>
  <c r="AE754" i="2"/>
  <c r="AI754" i="2" s="1"/>
  <c r="AE755" i="2"/>
  <c r="AI755" i="2"/>
  <c r="AE756" i="2"/>
  <c r="AI756" i="2"/>
  <c r="AE757" i="2"/>
  <c r="AI757" i="2" s="1"/>
  <c r="AE758" i="2"/>
  <c r="AI758" i="2" s="1"/>
  <c r="AE759" i="2"/>
  <c r="AI759" i="2"/>
  <c r="AE760" i="2"/>
  <c r="AI760" i="2"/>
  <c r="AE761" i="2"/>
  <c r="AI761" i="2"/>
  <c r="AE762" i="2"/>
  <c r="AI762" i="2" s="1"/>
  <c r="AE763" i="2"/>
  <c r="AI763" i="2"/>
  <c r="AE764" i="2"/>
  <c r="AI764" i="2"/>
  <c r="AE765" i="2"/>
  <c r="AI765" i="2" s="1"/>
  <c r="AI766" i="2"/>
  <c r="AE767" i="2"/>
  <c r="AI767" i="2" s="1"/>
  <c r="AI768" i="2"/>
  <c r="AD770" i="2"/>
  <c r="AG770" i="2"/>
  <c r="AH770" i="2"/>
  <c r="P737" i="2"/>
  <c r="S737" i="2" s="1"/>
  <c r="W737" i="2" s="1"/>
  <c r="P736" i="2"/>
  <c r="S736" i="2" s="1"/>
  <c r="W736" i="2" s="1"/>
  <c r="P735" i="2"/>
  <c r="P734" i="2"/>
  <c r="S734" i="2" s="1"/>
  <c r="W734" i="2" s="1"/>
  <c r="P733" i="2"/>
  <c r="S733" i="2" s="1"/>
  <c r="W733" i="2" s="1"/>
  <c r="U732" i="2"/>
  <c r="U770" i="2" s="1"/>
  <c r="P732" i="2"/>
  <c r="S732" i="2" s="1"/>
  <c r="W732" i="2" s="1"/>
  <c r="Q731" i="2"/>
  <c r="Q770" i="2" s="1"/>
  <c r="P731" i="2"/>
  <c r="P730" i="2"/>
  <c r="S730" i="2" s="1"/>
  <c r="W730" i="2" s="1"/>
  <c r="P729" i="2"/>
  <c r="S729" i="2" s="1"/>
  <c r="W729" i="2" s="1"/>
  <c r="P728" i="2"/>
  <c r="P727" i="2"/>
  <c r="S727" i="2"/>
  <c r="W727" i="2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W728" i="2" s="1"/>
  <c r="S735" i="2"/>
  <c r="W735" i="2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 s="1"/>
  <c r="S752" i="2"/>
  <c r="W752" i="2"/>
  <c r="S753" i="2"/>
  <c r="W753" i="2"/>
  <c r="S754" i="2"/>
  <c r="W754" i="2"/>
  <c r="S755" i="2"/>
  <c r="W755" i="2" s="1"/>
  <c r="S756" i="2"/>
  <c r="W756" i="2"/>
  <c r="S757" i="2"/>
  <c r="W757" i="2" s="1"/>
  <c r="S758" i="2"/>
  <c r="W758" i="2"/>
  <c r="S759" i="2"/>
  <c r="W759" i="2" s="1"/>
  <c r="S760" i="2"/>
  <c r="W760" i="2" s="1"/>
  <c r="S761" i="2"/>
  <c r="W761" i="2"/>
  <c r="S762" i="2"/>
  <c r="W762" i="2"/>
  <c r="S763" i="2"/>
  <c r="W763" i="2" s="1"/>
  <c r="S764" i="2"/>
  <c r="W764" i="2" s="1"/>
  <c r="S765" i="2"/>
  <c r="W765" i="2" s="1"/>
  <c r="W766" i="2"/>
  <c r="S767" i="2"/>
  <c r="W767" i="2"/>
  <c r="W768" i="2"/>
  <c r="R770" i="2"/>
  <c r="V770" i="2"/>
  <c r="AE729" i="2" l="1"/>
  <c r="AI729" i="2" s="1"/>
  <c r="AC770" i="2"/>
  <c r="AE728" i="2"/>
  <c r="AI728" i="2" s="1"/>
  <c r="AE770" i="2"/>
  <c r="AI770" i="2"/>
  <c r="P770" i="2"/>
  <c r="S731" i="2"/>
  <c r="W731" i="2" s="1"/>
  <c r="W770" i="2" s="1"/>
  <c r="S770" i="2" l="1"/>
  <c r="D737" i="2" l="1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D727" i="2"/>
  <c r="G727" i="2" s="1"/>
  <c r="C731" i="2"/>
  <c r="C732" i="2" s="1"/>
  <c r="C733" i="2" s="1"/>
  <c r="C734" i="2" s="1"/>
  <c r="C735" i="2" s="1"/>
  <c r="C736" i="2" s="1"/>
  <c r="C737" i="2" s="1"/>
  <c r="C728" i="2"/>
  <c r="C729" i="2" s="1"/>
  <c r="G728" i="2"/>
  <c r="K728" i="2" s="1"/>
  <c r="E770" i="2"/>
  <c r="I770" i="2"/>
  <c r="J770" i="2"/>
  <c r="G736" i="2"/>
  <c r="K736" i="2" s="1"/>
  <c r="G738" i="2"/>
  <c r="K738" i="2" s="1"/>
  <c r="G739" i="2"/>
  <c r="K739" i="2" s="1"/>
  <c r="G740" i="2"/>
  <c r="K740" i="2" s="1"/>
  <c r="G741" i="2"/>
  <c r="K741" i="2"/>
  <c r="G742" i="2"/>
  <c r="K742" i="2"/>
  <c r="G743" i="2"/>
  <c r="K743" i="2"/>
  <c r="G744" i="2"/>
  <c r="K744" i="2"/>
  <c r="G745" i="2"/>
  <c r="K745" i="2" s="1"/>
  <c r="G746" i="2"/>
  <c r="K746" i="2" s="1"/>
  <c r="G747" i="2"/>
  <c r="K747" i="2" s="1"/>
  <c r="G748" i="2"/>
  <c r="K748" i="2"/>
  <c r="G749" i="2"/>
  <c r="K749" i="2"/>
  <c r="G750" i="2"/>
  <c r="K750" i="2"/>
  <c r="G751" i="2"/>
  <c r="K751" i="2"/>
  <c r="G752" i="2"/>
  <c r="K752" i="2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 s="1"/>
  <c r="F770" i="2"/>
  <c r="D770" i="2" l="1"/>
  <c r="K727" i="2"/>
  <c r="K770" i="2" s="1"/>
  <c r="G770" i="2"/>
  <c r="AB675" i="2"/>
  <c r="AE675" i="2" s="1"/>
  <c r="AI675" i="2" s="1"/>
  <c r="AC674" i="2"/>
  <c r="AB674" i="2"/>
  <c r="AB673" i="2"/>
  <c r="AB672" i="2"/>
  <c r="AA673" i="2"/>
  <c r="AE673" i="2"/>
  <c r="AI673" i="2" s="1"/>
  <c r="AG715" i="2"/>
  <c r="AA674" i="2"/>
  <c r="AA675" i="2" s="1"/>
  <c r="AE674" i="2"/>
  <c r="AI674" i="2" s="1"/>
  <c r="AH715" i="2"/>
  <c r="AE676" i="2"/>
  <c r="AI676" i="2" s="1"/>
  <c r="AE677" i="2"/>
  <c r="AI677" i="2"/>
  <c r="AE678" i="2"/>
  <c r="AI678" i="2" s="1"/>
  <c r="AE679" i="2"/>
  <c r="AI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 s="1"/>
  <c r="AE689" i="2"/>
  <c r="AI689" i="2" s="1"/>
  <c r="AE690" i="2"/>
  <c r="AI690" i="2" s="1"/>
  <c r="AE691" i="2"/>
  <c r="AI691" i="2" s="1"/>
  <c r="AE692" i="2"/>
  <c r="AI692" i="2"/>
  <c r="AE693" i="2"/>
  <c r="AI693" i="2" s="1"/>
  <c r="AE694" i="2"/>
  <c r="AI694" i="2" s="1"/>
  <c r="AE695" i="2"/>
  <c r="AI695" i="2" s="1"/>
  <c r="AE696" i="2"/>
  <c r="AI696" i="2"/>
  <c r="AE697" i="2"/>
  <c r="AI697" i="2" s="1"/>
  <c r="AE698" i="2"/>
  <c r="AI698" i="2" s="1"/>
  <c r="AE699" i="2"/>
  <c r="AI699" i="2" s="1"/>
  <c r="AE700" i="2"/>
  <c r="AI700" i="2" s="1"/>
  <c r="AE701" i="2"/>
  <c r="AI701" i="2"/>
  <c r="AE702" i="2"/>
  <c r="AI702" i="2" s="1"/>
  <c r="AE703" i="2"/>
  <c r="AI703" i="2" s="1"/>
  <c r="AE704" i="2"/>
  <c r="AI704" i="2" s="1"/>
  <c r="AE705" i="2"/>
  <c r="AI705" i="2"/>
  <c r="AE706" i="2"/>
  <c r="AI706" i="2" s="1"/>
  <c r="AE707" i="2"/>
  <c r="AI707" i="2" s="1"/>
  <c r="AE708" i="2"/>
  <c r="AI708" i="2" s="1"/>
  <c r="AE709" i="2"/>
  <c r="AI709" i="2" s="1"/>
  <c r="AE710" i="2"/>
  <c r="AI710" i="2"/>
  <c r="AI711" i="2"/>
  <c r="AE712" i="2"/>
  <c r="AI712" i="2" s="1"/>
  <c r="AI713" i="2"/>
  <c r="AC715" i="2"/>
  <c r="AD715" i="2"/>
  <c r="P674" i="2"/>
  <c r="U673" i="2"/>
  <c r="Q673" i="2"/>
  <c r="P673" i="2"/>
  <c r="P672" i="2"/>
  <c r="S672" i="2" s="1"/>
  <c r="W672" i="2" s="1"/>
  <c r="O673" i="2"/>
  <c r="O674" i="2" s="1"/>
  <c r="S674" i="2"/>
  <c r="W674" i="2" s="1"/>
  <c r="S675" i="2"/>
  <c r="W675" i="2" s="1"/>
  <c r="S676" i="2"/>
  <c r="W676" i="2" s="1"/>
  <c r="S677" i="2"/>
  <c r="U715" i="2"/>
  <c r="W677" i="2"/>
  <c r="S678" i="2"/>
  <c r="W678" i="2" s="1"/>
  <c r="S679" i="2"/>
  <c r="W679" i="2" s="1"/>
  <c r="S680" i="2"/>
  <c r="W680" i="2"/>
  <c r="S681" i="2"/>
  <c r="W681" i="2" s="1"/>
  <c r="S682" i="2"/>
  <c r="W682" i="2" s="1"/>
  <c r="S683" i="2"/>
  <c r="W683" i="2"/>
  <c r="S684" i="2"/>
  <c r="W684" i="2"/>
  <c r="S685" i="2"/>
  <c r="W685" i="2"/>
  <c r="S686" i="2"/>
  <c r="W686" i="2" s="1"/>
  <c r="S687" i="2"/>
  <c r="W687" i="2"/>
  <c r="S688" i="2"/>
  <c r="W688" i="2" s="1"/>
  <c r="S689" i="2"/>
  <c r="W689" i="2"/>
  <c r="S690" i="2"/>
  <c r="W690" i="2" s="1"/>
  <c r="S691" i="2"/>
  <c r="W691" i="2" s="1"/>
  <c r="S692" i="2"/>
  <c r="W692" i="2" s="1"/>
  <c r="S693" i="2"/>
  <c r="W693" i="2"/>
  <c r="S694" i="2"/>
  <c r="W694" i="2"/>
  <c r="S695" i="2"/>
  <c r="W695" i="2" s="1"/>
  <c r="S696" i="2"/>
  <c r="W696" i="2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/>
  <c r="S703" i="2"/>
  <c r="W703" i="2"/>
  <c r="S704" i="2"/>
  <c r="W704" i="2" s="1"/>
  <c r="S705" i="2"/>
  <c r="W705" i="2" s="1"/>
  <c r="S706" i="2"/>
  <c r="W706" i="2" s="1"/>
  <c r="S707" i="2"/>
  <c r="W707" i="2"/>
  <c r="S708" i="2"/>
  <c r="W708" i="2"/>
  <c r="S709" i="2"/>
  <c r="W709" i="2"/>
  <c r="S710" i="2"/>
  <c r="W710" i="2"/>
  <c r="W711" i="2"/>
  <c r="S712" i="2"/>
  <c r="W712" i="2" s="1"/>
  <c r="W713" i="2"/>
  <c r="Q715" i="2"/>
  <c r="R715" i="2"/>
  <c r="V715" i="2"/>
  <c r="D675" i="2"/>
  <c r="G675" i="2" s="1"/>
  <c r="K675" i="2" s="1"/>
  <c r="J674" i="2"/>
  <c r="I674" i="2"/>
  <c r="I715" i="2" s="1"/>
  <c r="E674" i="2"/>
  <c r="E715" i="2" s="1"/>
  <c r="D674" i="2"/>
  <c r="E673" i="2"/>
  <c r="G673" i="2" s="1"/>
  <c r="K673" i="2" s="1"/>
  <c r="D673" i="2"/>
  <c r="D672" i="2"/>
  <c r="G672" i="2" s="1"/>
  <c r="K672" i="2" s="1"/>
  <c r="C673" i="2"/>
  <c r="C674" i="2"/>
  <c r="C675" i="2" s="1"/>
  <c r="G676" i="2"/>
  <c r="K676" i="2"/>
  <c r="G677" i="2"/>
  <c r="K677" i="2" s="1"/>
  <c r="G678" i="2"/>
  <c r="K678" i="2" s="1"/>
  <c r="G679" i="2"/>
  <c r="K679" i="2" s="1"/>
  <c r="G680" i="2"/>
  <c r="K680" i="2" s="1"/>
  <c r="G681" i="2"/>
  <c r="K681" i="2" s="1"/>
  <c r="G682" i="2"/>
  <c r="K682" i="2"/>
  <c r="G683" i="2"/>
  <c r="K683" i="2" s="1"/>
  <c r="G684" i="2"/>
  <c r="K684" i="2" s="1"/>
  <c r="G685" i="2"/>
  <c r="K685" i="2"/>
  <c r="G686" i="2"/>
  <c r="K686" i="2"/>
  <c r="G687" i="2"/>
  <c r="K687" i="2"/>
  <c r="G688" i="2"/>
  <c r="K688" i="2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 s="1"/>
  <c r="G699" i="2"/>
  <c r="K699" i="2" s="1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 s="1"/>
  <c r="F715" i="2"/>
  <c r="J715" i="2"/>
  <c r="G674" i="2" l="1"/>
  <c r="K674" i="2" s="1"/>
  <c r="S673" i="2"/>
  <c r="AB715" i="2"/>
  <c r="AE672" i="2"/>
  <c r="S715" i="2"/>
  <c r="W673" i="2"/>
  <c r="W715" i="2" s="1"/>
  <c r="P715" i="2"/>
  <c r="D715" i="2"/>
  <c r="K715" i="2"/>
  <c r="G715" i="2"/>
  <c r="AC620" i="2"/>
  <c r="AC660" i="2" s="1"/>
  <c r="AB620" i="2"/>
  <c r="AE620" i="2" s="1"/>
  <c r="AI620" i="2" s="1"/>
  <c r="AH619" i="2"/>
  <c r="AH660" i="2" s="1"/>
  <c r="AC619" i="2"/>
  <c r="AB619" i="2"/>
  <c r="AB618" i="2"/>
  <c r="AE618" i="2" s="1"/>
  <c r="AI618" i="2" s="1"/>
  <c r="AG618" i="2"/>
  <c r="AG660" i="2"/>
  <c r="AC617" i="2"/>
  <c r="AB617" i="2"/>
  <c r="AE617" i="2" s="1"/>
  <c r="AA618" i="2"/>
  <c r="AA619" i="2"/>
  <c r="AA620" i="2" s="1"/>
  <c r="AE621" i="2"/>
  <c r="AI621" i="2" s="1"/>
  <c r="AE622" i="2"/>
  <c r="AI622" i="2"/>
  <c r="AE623" i="2"/>
  <c r="AI623" i="2" s="1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/>
  <c r="AE633" i="2"/>
  <c r="AI633" i="2" s="1"/>
  <c r="AE634" i="2"/>
  <c r="AI634" i="2" s="1"/>
  <c r="AE635" i="2"/>
  <c r="AI635" i="2"/>
  <c r="AE636" i="2"/>
  <c r="AI636" i="2" s="1"/>
  <c r="AE637" i="2"/>
  <c r="AI637" i="2"/>
  <c r="AE638" i="2"/>
  <c r="AI638" i="2" s="1"/>
  <c r="AE639" i="2"/>
  <c r="AI639" i="2" s="1"/>
  <c r="AE640" i="2"/>
  <c r="AI640" i="2" s="1"/>
  <c r="AE641" i="2"/>
  <c r="AI641" i="2"/>
  <c r="AE642" i="2"/>
  <c r="AI642" i="2" s="1"/>
  <c r="AE643" i="2"/>
  <c r="AI643" i="2" s="1"/>
  <c r="AE644" i="2"/>
  <c r="AI644" i="2" s="1"/>
  <c r="AE645" i="2"/>
  <c r="AI645" i="2" s="1"/>
  <c r="AE646" i="2"/>
  <c r="AI646" i="2"/>
  <c r="AE647" i="2"/>
  <c r="AI647" i="2" s="1"/>
  <c r="AE648" i="2"/>
  <c r="AI648" i="2" s="1"/>
  <c r="AE649" i="2"/>
  <c r="AI649" i="2" s="1"/>
  <c r="AE650" i="2"/>
  <c r="AI650" i="2" s="1"/>
  <c r="AE651" i="2"/>
  <c r="AI651" i="2"/>
  <c r="AE652" i="2"/>
  <c r="AI652" i="2" s="1"/>
  <c r="AE653" i="2"/>
  <c r="AI653" i="2" s="1"/>
  <c r="AE654" i="2"/>
  <c r="AI654" i="2" s="1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S621" i="2" s="1"/>
  <c r="W621" i="2" s="1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S631" i="2"/>
  <c r="W631" i="2" s="1"/>
  <c r="S628" i="2"/>
  <c r="W628" i="2" s="1"/>
  <c r="S626" i="2"/>
  <c r="W626" i="2" s="1"/>
  <c r="S625" i="2"/>
  <c r="W625" i="2" s="1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 s="1"/>
  <c r="S645" i="2"/>
  <c r="W645" i="2"/>
  <c r="S646" i="2"/>
  <c r="W646" i="2"/>
  <c r="S647" i="2"/>
  <c r="W647" i="2" s="1"/>
  <c r="S648" i="2"/>
  <c r="W648" i="2" s="1"/>
  <c r="S649" i="2"/>
  <c r="W649" i="2"/>
  <c r="S650" i="2"/>
  <c r="W650" i="2" s="1"/>
  <c r="S651" i="2"/>
  <c r="W651" i="2"/>
  <c r="S652" i="2"/>
  <c r="W652" i="2"/>
  <c r="S653" i="2"/>
  <c r="W653" i="2" s="1"/>
  <c r="S654" i="2"/>
  <c r="W654" i="2"/>
  <c r="S655" i="2"/>
  <c r="W655" i="2" s="1"/>
  <c r="W656" i="2"/>
  <c r="S657" i="2"/>
  <c r="W657" i="2"/>
  <c r="W658" i="2"/>
  <c r="Q660" i="2"/>
  <c r="R660" i="2"/>
  <c r="V660" i="2"/>
  <c r="D631" i="2"/>
  <c r="G631" i="2" s="1"/>
  <c r="K631" i="2" s="1"/>
  <c r="D630" i="2"/>
  <c r="G630" i="2" s="1"/>
  <c r="K630" i="2" s="1"/>
  <c r="D629" i="2"/>
  <c r="G629" i="2" s="1"/>
  <c r="K629" i="2" s="1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G638" i="2"/>
  <c r="K638" i="2" s="1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E660" i="2"/>
  <c r="AE619" i="2" l="1"/>
  <c r="AI619" i="2" s="1"/>
  <c r="AE715" i="2"/>
  <c r="AI672" i="2"/>
  <c r="AI715" i="2" s="1"/>
  <c r="AI617" i="2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 s="1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 s="1"/>
  <c r="AI603" i="2"/>
  <c r="AD605" i="2"/>
  <c r="V562" i="2"/>
  <c r="V605" i="2" s="1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 s="1"/>
  <c r="S577" i="2"/>
  <c r="W577" i="2" s="1"/>
  <c r="S578" i="2"/>
  <c r="W578" i="2" s="1"/>
  <c r="S579" i="2"/>
  <c r="W579" i="2"/>
  <c r="S580" i="2"/>
  <c r="W580" i="2"/>
  <c r="S581" i="2"/>
  <c r="W581" i="2"/>
  <c r="S582" i="2"/>
  <c r="W582" i="2" s="1"/>
  <c r="S583" i="2"/>
  <c r="W583" i="2" s="1"/>
  <c r="S584" i="2"/>
  <c r="W584" i="2"/>
  <c r="S585" i="2"/>
  <c r="W585" i="2" s="1"/>
  <c r="S586" i="2"/>
  <c r="W586" i="2" s="1"/>
  <c r="S587" i="2"/>
  <c r="W587" i="2"/>
  <c r="S588" i="2"/>
  <c r="W588" i="2"/>
  <c r="S589" i="2"/>
  <c r="W589" i="2"/>
  <c r="S590" i="2"/>
  <c r="W590" i="2" s="1"/>
  <c r="S591" i="2"/>
  <c r="W591" i="2" s="1"/>
  <c r="S592" i="2"/>
  <c r="W592" i="2" s="1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 s="1"/>
  <c r="W601" i="2"/>
  <c r="S602" i="2"/>
  <c r="W602" i="2" s="1"/>
  <c r="W603" i="2"/>
  <c r="R605" i="2"/>
  <c r="AI566" i="2" l="1"/>
  <c r="AG605" i="2"/>
  <c r="AI565" i="2"/>
  <c r="AI563" i="2"/>
  <c r="AC605" i="2"/>
  <c r="AB605" i="2"/>
  <c r="AE605" i="2"/>
  <c r="S562" i="2"/>
  <c r="W562" i="2" s="1"/>
  <c r="W605" i="2" s="1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 s="1"/>
  <c r="AA510" i="2" s="1"/>
  <c r="AA511" i="2" s="1"/>
  <c r="AA512" i="2" s="1"/>
  <c r="AA513" i="2" s="1"/>
  <c r="AE514" i="2"/>
  <c r="AI514" i="2" s="1"/>
  <c r="AE515" i="2"/>
  <c r="AI515" i="2" s="1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 s="1"/>
  <c r="AE526" i="2"/>
  <c r="AI526" i="2"/>
  <c r="AE527" i="2"/>
  <c r="AI527" i="2" s="1"/>
  <c r="AE528" i="2"/>
  <c r="AI528" i="2" s="1"/>
  <c r="AE529" i="2"/>
  <c r="AI529" i="2" s="1"/>
  <c r="AE530" i="2"/>
  <c r="AI530" i="2" s="1"/>
  <c r="AE531" i="2"/>
  <c r="AI531" i="2"/>
  <c r="AE532" i="2"/>
  <c r="AI532" i="2" s="1"/>
  <c r="AE533" i="2"/>
  <c r="AI533" i="2" s="1"/>
  <c r="AE534" i="2"/>
  <c r="AI534" i="2" s="1"/>
  <c r="AE535" i="2"/>
  <c r="AI535" i="2" s="1"/>
  <c r="AE536" i="2"/>
  <c r="AI536" i="2" s="1"/>
  <c r="AE537" i="2"/>
  <c r="AI537" i="2" s="1"/>
  <c r="AE538" i="2"/>
  <c r="AI538" i="2" s="1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 s="1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S510" i="2" s="1"/>
  <c r="W510" i="2" s="1"/>
  <c r="P509" i="2"/>
  <c r="S509" i="2" s="1"/>
  <c r="U508" i="2"/>
  <c r="U550" i="2" s="1"/>
  <c r="Q508" i="2"/>
  <c r="P508" i="2"/>
  <c r="S508" i="2" s="1"/>
  <c r="Q507" i="2"/>
  <c r="Q550" i="2" s="1"/>
  <c r="P507" i="2"/>
  <c r="S507" i="2" s="1"/>
  <c r="W507" i="2" s="1"/>
  <c r="O509" i="2"/>
  <c r="O510" i="2" s="1"/>
  <c r="O511" i="2" s="1"/>
  <c r="O512" i="2" s="1"/>
  <c r="O513" i="2" s="1"/>
  <c r="O514" i="2" s="1"/>
  <c r="O515" i="2" s="1"/>
  <c r="O516" i="2" s="1"/>
  <c r="S515" i="2"/>
  <c r="W515" i="2" s="1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 s="1"/>
  <c r="S537" i="2"/>
  <c r="W537" i="2"/>
  <c r="S538" i="2"/>
  <c r="W538" i="2"/>
  <c r="S539" i="2"/>
  <c r="W539" i="2" s="1"/>
  <c r="S540" i="2"/>
  <c r="W540" i="2" s="1"/>
  <c r="S541" i="2"/>
  <c r="W541" i="2"/>
  <c r="S542" i="2"/>
  <c r="W542" i="2" s="1"/>
  <c r="S543" i="2"/>
  <c r="W543" i="2" s="1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 s="1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 s="1"/>
  <c r="G532" i="2"/>
  <c r="K532" i="2" s="1"/>
  <c r="G533" i="2"/>
  <c r="K533" i="2"/>
  <c r="G534" i="2"/>
  <c r="K534" i="2"/>
  <c r="G535" i="2"/>
  <c r="K535" i="2"/>
  <c r="G536" i="2"/>
  <c r="K536" i="2" s="1"/>
  <c r="G537" i="2"/>
  <c r="K537" i="2"/>
  <c r="G538" i="2"/>
  <c r="K538" i="2" s="1"/>
  <c r="G539" i="2"/>
  <c r="K539" i="2" s="1"/>
  <c r="G540" i="2"/>
  <c r="K540" i="2" s="1"/>
  <c r="G547" i="2"/>
  <c r="K547" i="2"/>
  <c r="F550" i="2"/>
  <c r="I550" i="2"/>
  <c r="J550" i="2"/>
  <c r="S605" i="2" l="1"/>
  <c r="G507" i="2"/>
  <c r="K507" i="2" s="1"/>
  <c r="AI605" i="2"/>
  <c r="AE513" i="2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 s="1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S458" i="2" s="1"/>
  <c r="W458" i="2" s="1"/>
  <c r="P457" i="2"/>
  <c r="P456" i="2"/>
  <c r="S456" i="2" s="1"/>
  <c r="W456" i="2" s="1"/>
  <c r="P455" i="2"/>
  <c r="S455" i="2" s="1"/>
  <c r="W455" i="2" s="1"/>
  <c r="P454" i="2"/>
  <c r="S454" i="2" s="1"/>
  <c r="W454" i="2" s="1"/>
  <c r="Q453" i="2"/>
  <c r="Q495" i="2" s="1"/>
  <c r="P453" i="2"/>
  <c r="S453" i="2" s="1"/>
  <c r="W453" i="2" s="1"/>
  <c r="P452" i="2"/>
  <c r="S452" i="2" s="1"/>
  <c r="O453" i="2"/>
  <c r="O454" i="2" s="1"/>
  <c r="O455" i="2" s="1"/>
  <c r="O456" i="2" s="1"/>
  <c r="O457" i="2" s="1"/>
  <c r="O458" i="2" s="1"/>
  <c r="O459" i="2" s="1"/>
  <c r="O460" i="2" s="1"/>
  <c r="O461" i="2" s="1"/>
  <c r="U495" i="2"/>
  <c r="S457" i="2"/>
  <c r="W457" i="2" s="1"/>
  <c r="S462" i="2"/>
  <c r="W462" i="2" s="1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/>
  <c r="S475" i="2"/>
  <c r="W475" i="2"/>
  <c r="S476" i="2"/>
  <c r="W476" i="2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/>
  <c r="S483" i="2"/>
  <c r="W483" i="2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G458" i="2" s="1"/>
  <c r="K458" i="2" s="1"/>
  <c r="D457" i="2"/>
  <c r="G457" i="2" s="1"/>
  <c r="K457" i="2" s="1"/>
  <c r="D456" i="2"/>
  <c r="G456" i="2" s="1"/>
  <c r="K456" i="2" s="1"/>
  <c r="I455" i="2"/>
  <c r="I495" i="2" s="1"/>
  <c r="D455" i="2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9" i="2"/>
  <c r="K459" i="2"/>
  <c r="G460" i="2"/>
  <c r="K460" i="2" s="1"/>
  <c r="G461" i="2"/>
  <c r="K461" i="2"/>
  <c r="G462" i="2"/>
  <c r="K462" i="2" s="1"/>
  <c r="G463" i="2"/>
  <c r="K463" i="2"/>
  <c r="G464" i="2"/>
  <c r="K464" i="2" s="1"/>
  <c r="G465" i="2"/>
  <c r="K465" i="2" s="1"/>
  <c r="G466" i="2"/>
  <c r="K466" i="2"/>
  <c r="G467" i="2"/>
  <c r="K467" i="2"/>
  <c r="G468" i="2"/>
  <c r="K468" i="2" s="1"/>
  <c r="G469" i="2"/>
  <c r="K469" i="2"/>
  <c r="G470" i="2"/>
  <c r="K470" i="2"/>
  <c r="G471" i="2"/>
  <c r="K471" i="2" s="1"/>
  <c r="G472" i="2"/>
  <c r="K472" i="2" s="1"/>
  <c r="G473" i="2"/>
  <c r="K473" i="2" s="1"/>
  <c r="G474" i="2"/>
  <c r="K474" i="2" s="1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 s="1"/>
  <c r="G483" i="2"/>
  <c r="K483" i="2" s="1"/>
  <c r="G484" i="2"/>
  <c r="K484" i="2" s="1"/>
  <c r="G485" i="2"/>
  <c r="K485" i="2"/>
  <c r="G492" i="2"/>
  <c r="K492" i="2"/>
  <c r="F495" i="2"/>
  <c r="J495" i="2"/>
  <c r="D495" i="2" l="1"/>
  <c r="AE550" i="2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E399" i="2" s="1"/>
  <c r="AI399" i="2" s="1"/>
  <c r="AB398" i="2"/>
  <c r="AE398" i="2" s="1"/>
  <c r="AI398" i="2" s="1"/>
  <c r="AH397" i="2"/>
  <c r="AH440" i="2" s="1"/>
  <c r="AG397" i="2"/>
  <c r="AB397" i="2"/>
  <c r="AE397" i="2"/>
  <c r="AA398" i="2"/>
  <c r="AA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 s="1"/>
  <c r="AE406" i="2"/>
  <c r="AI406" i="2" s="1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 s="1"/>
  <c r="AE415" i="2"/>
  <c r="AI415" i="2" s="1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 s="1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S407" i="2" s="1"/>
  <c r="W407" i="2" s="1"/>
  <c r="P406" i="2"/>
  <c r="P405" i="2"/>
  <c r="P404" i="2"/>
  <c r="S404" i="2" s="1"/>
  <c r="W404" i="2" s="1"/>
  <c r="U403" i="2"/>
  <c r="P403" i="2"/>
  <c r="S403" i="2" s="1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5" i="2"/>
  <c r="W405" i="2" s="1"/>
  <c r="S406" i="2"/>
  <c r="W406" i="2" s="1"/>
  <c r="S410" i="2"/>
  <c r="W410" i="2" s="1"/>
  <c r="S411" i="2"/>
  <c r="W411" i="2"/>
  <c r="S412" i="2"/>
  <c r="W412" i="2"/>
  <c r="S413" i="2"/>
  <c r="W413" i="2"/>
  <c r="S414" i="2"/>
  <c r="W414" i="2" s="1"/>
  <c r="S415" i="2"/>
  <c r="W415" i="2" s="1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 s="1"/>
  <c r="S427" i="2"/>
  <c r="W427" i="2" s="1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G403" i="2" s="1"/>
  <c r="K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E440" i="2"/>
  <c r="I440" i="2"/>
  <c r="J440" i="2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 s="1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 s="1"/>
  <c r="G419" i="2"/>
  <c r="K419" i="2"/>
  <c r="G420" i="2"/>
  <c r="K420" i="2" s="1"/>
  <c r="G421" i="2"/>
  <c r="K421" i="2" s="1"/>
  <c r="G422" i="2"/>
  <c r="K422" i="2"/>
  <c r="G423" i="2"/>
  <c r="K423" i="2" s="1"/>
  <c r="G424" i="2"/>
  <c r="K424" i="2" s="1"/>
  <c r="G425" i="2"/>
  <c r="K425" i="2"/>
  <c r="G426" i="2"/>
  <c r="K426" i="2"/>
  <c r="G427" i="2"/>
  <c r="K427" i="2" s="1"/>
  <c r="G428" i="2"/>
  <c r="K428" i="2" s="1"/>
  <c r="G429" i="2"/>
  <c r="K429" i="2"/>
  <c r="G430" i="2"/>
  <c r="K430" i="2"/>
  <c r="G437" i="2"/>
  <c r="K437" i="2" s="1"/>
  <c r="F440" i="2"/>
  <c r="U440" i="2" l="1"/>
  <c r="G495" i="2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 s="1"/>
  <c r="AE373" i="2"/>
  <c r="AI373" i="2"/>
  <c r="AE374" i="2"/>
  <c r="AI374" i="2" s="1"/>
  <c r="AE375" i="2"/>
  <c r="AI375" i="2" s="1"/>
  <c r="AE376" i="2"/>
  <c r="AI376" i="2" s="1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 s="1"/>
  <c r="S358" i="2"/>
  <c r="W358" i="2" s="1"/>
  <c r="S359" i="2"/>
  <c r="W359" i="2" s="1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/>
  <c r="S372" i="2"/>
  <c r="W372" i="2" s="1"/>
  <c r="S373" i="2"/>
  <c r="W373" i="2"/>
  <c r="S374" i="2"/>
  <c r="W374" i="2" s="1"/>
  <c r="S375" i="2"/>
  <c r="W375" i="2"/>
  <c r="S376" i="2"/>
  <c r="W376" i="2" s="1"/>
  <c r="S377" i="2"/>
  <c r="W377" i="2" s="1"/>
  <c r="S378" i="2"/>
  <c r="W378" i="2" s="1"/>
  <c r="S379" i="2"/>
  <c r="W379" i="2" s="1"/>
  <c r="S380" i="2"/>
  <c r="W380" i="2"/>
  <c r="W381" i="2"/>
  <c r="S382" i="2"/>
  <c r="W382" i="2" s="1"/>
  <c r="W383" i="2"/>
  <c r="R385" i="2"/>
  <c r="D349" i="2"/>
  <c r="D348" i="2"/>
  <c r="G348" i="2" s="1"/>
  <c r="K348" i="2" s="1"/>
  <c r="D347" i="2"/>
  <c r="G347" i="2" s="1"/>
  <c r="K347" i="2" s="1"/>
  <c r="D346" i="2"/>
  <c r="G346" i="2" s="1"/>
  <c r="K346" i="2" s="1"/>
  <c r="D345" i="2"/>
  <c r="J345" i="2"/>
  <c r="J385" i="2" s="1"/>
  <c r="I345" i="2"/>
  <c r="I385" i="2" s="1"/>
  <c r="E345" i="2"/>
  <c r="E385" i="2"/>
  <c r="D344" i="2"/>
  <c r="G344" i="2" s="1"/>
  <c r="K344" i="2" s="1"/>
  <c r="D343" i="2"/>
  <c r="G343" i="2" s="1"/>
  <c r="D342" i="2"/>
  <c r="G342" i="2" s="1"/>
  <c r="K342" i="2" s="1"/>
  <c r="C343" i="2"/>
  <c r="C344" i="2" s="1"/>
  <c r="C345" i="2" s="1"/>
  <c r="C346" i="2" s="1"/>
  <c r="C347" i="2" s="1"/>
  <c r="C348" i="2" s="1"/>
  <c r="C349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 s="1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 s="1"/>
  <c r="G363" i="2"/>
  <c r="K363" i="2" s="1"/>
  <c r="G364" i="2"/>
  <c r="K364" i="2" s="1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G385" i="2" l="1"/>
  <c r="AB385" i="2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C330" i="2" s="1"/>
  <c r="AB291" i="2"/>
  <c r="AH290" i="2"/>
  <c r="AH330" i="2" s="1"/>
  <c r="AG290" i="2"/>
  <c r="AG330" i="2" s="1"/>
  <c r="AB290" i="2"/>
  <c r="AE290" i="2" s="1"/>
  <c r="AG289" i="2"/>
  <c r="AC289" i="2"/>
  <c r="AB289" i="2"/>
  <c r="AE289" i="2" s="1"/>
  <c r="AI289" i="2" s="1"/>
  <c r="AB287" i="2"/>
  <c r="AE287" i="2" s="1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88" i="2"/>
  <c r="AI288" i="2" s="1"/>
  <c r="AA288" i="2"/>
  <c r="AA289" i="2" s="1"/>
  <c r="AA290" i="2" s="1"/>
  <c r="AA291" i="2" s="1"/>
  <c r="AA292" i="2" s="1"/>
  <c r="P293" i="2"/>
  <c r="P292" i="2"/>
  <c r="S292" i="2" s="1"/>
  <c r="W292" i="2" s="1"/>
  <c r="V291" i="2"/>
  <c r="V330" i="2" s="1"/>
  <c r="P291" i="2"/>
  <c r="Q291" i="2"/>
  <c r="Q330" i="2" s="1"/>
  <c r="P289" i="2"/>
  <c r="P288" i="2"/>
  <c r="S288" i="2" s="1"/>
  <c r="W288" i="2" s="1"/>
  <c r="U287" i="2"/>
  <c r="U330" i="2" s="1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 s="1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I330" i="2" s="1"/>
  <c r="D295" i="2"/>
  <c r="G295" i="2" s="1"/>
  <c r="K295" i="2" s="1"/>
  <c r="D294" i="2"/>
  <c r="G294" i="2" s="1"/>
  <c r="K294" i="2" s="1"/>
  <c r="D293" i="2"/>
  <c r="G293" i="2" s="1"/>
  <c r="K293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G289" i="2" s="1"/>
  <c r="K289" i="2" s="1"/>
  <c r="D288" i="2"/>
  <c r="G288" i="2" s="1"/>
  <c r="K288" i="2" s="1"/>
  <c r="D287" i="2"/>
  <c r="G287" i="2" s="1"/>
  <c r="C288" i="2"/>
  <c r="C289" i="2" s="1"/>
  <c r="C291" i="2" s="1"/>
  <c r="C292" i="2" s="1"/>
  <c r="C293" i="2" s="1"/>
  <c r="C294" i="2" s="1"/>
  <c r="C295" i="2" s="1"/>
  <c r="G297" i="2"/>
  <c r="K297" i="2" s="1"/>
  <c r="G298" i="2"/>
  <c r="K298" i="2"/>
  <c r="G299" i="2"/>
  <c r="K299" i="2"/>
  <c r="G300" i="2"/>
  <c r="K300" i="2"/>
  <c r="G301" i="2"/>
  <c r="K301" i="2"/>
  <c r="G302" i="2"/>
  <c r="K302" i="2" s="1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 s="1"/>
  <c r="G315" i="2"/>
  <c r="K315" i="2"/>
  <c r="G316" i="2"/>
  <c r="K316" i="2"/>
  <c r="G317" i="2"/>
  <c r="K317" i="2"/>
  <c r="G318" i="2"/>
  <c r="K318" i="2"/>
  <c r="G319" i="2"/>
  <c r="K319" i="2" s="1"/>
  <c r="G320" i="2"/>
  <c r="K320" i="2" s="1"/>
  <c r="G327" i="2"/>
  <c r="K327" i="2"/>
  <c r="E330" i="2"/>
  <c r="F330" i="2"/>
  <c r="J330" i="2"/>
  <c r="S291" i="2" l="1"/>
  <c r="W291" i="2" s="1"/>
  <c r="W385" i="2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S249" i="2" s="1"/>
  <c r="W249" i="2" s="1"/>
  <c r="P248" i="2"/>
  <c r="S248" i="2" s="1"/>
  <c r="W248" i="2" s="1"/>
  <c r="P247" i="2"/>
  <c r="S247" i="2" s="1"/>
  <c r="W247" i="2" s="1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S241" i="2" s="1"/>
  <c r="W241" i="2" s="1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S233" i="2"/>
  <c r="W233" i="2" s="1"/>
  <c r="S234" i="2"/>
  <c r="S236" i="2"/>
  <c r="W236" i="2" s="1"/>
  <c r="S237" i="2"/>
  <c r="W237" i="2" s="1"/>
  <c r="U275" i="2"/>
  <c r="S240" i="2"/>
  <c r="W240" i="2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 s="1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 s="1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 s="1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E181" i="2" s="1"/>
  <c r="AI181" i="2" s="1"/>
  <c r="AH180" i="2"/>
  <c r="AB180" i="2"/>
  <c r="AE180" i="2" s="1"/>
  <c r="AI180" i="2" s="1"/>
  <c r="AH177" i="2"/>
  <c r="AH220" i="2" s="1"/>
  <c r="AB177" i="2"/>
  <c r="AE177" i="2"/>
  <c r="AA178" i="2"/>
  <c r="AC220" i="2"/>
  <c r="AA179" i="2"/>
  <c r="AA180" i="2" s="1"/>
  <c r="AA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S184" i="2" s="1"/>
  <c r="W184" i="2" s="1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 s="1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 s="1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G181" i="2" s="1"/>
  <c r="K181" i="2" s="1"/>
  <c r="D180" i="2"/>
  <c r="G180" i="2" s="1"/>
  <c r="K180" i="2" s="1"/>
  <c r="D179" i="2"/>
  <c r="G179" i="2" s="1"/>
  <c r="K179" i="2" s="1"/>
  <c r="J178" i="2"/>
  <c r="J220" i="2" s="1"/>
  <c r="D178" i="2"/>
  <c r="G178" i="2" s="1"/>
  <c r="K178" i="2" s="1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 s="1"/>
  <c r="C178" i="2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 s="1"/>
  <c r="G210" i="2"/>
  <c r="K210" i="2" s="1"/>
  <c r="G217" i="2"/>
  <c r="K217" i="2"/>
  <c r="E220" i="2"/>
  <c r="I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E126" i="2" s="1"/>
  <c r="AI126" i="2" s="1"/>
  <c r="AB125" i="2"/>
  <c r="AE125" i="2" s="1"/>
  <c r="AI125" i="2" s="1"/>
  <c r="AC124" i="2"/>
  <c r="AE124" i="2" s="1"/>
  <c r="AI124" i="2" s="1"/>
  <c r="AB124" i="2"/>
  <c r="AH123" i="2"/>
  <c r="AH165" i="2" s="1"/>
  <c r="AC123" i="2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7" i="2"/>
  <c r="AI127" i="2" s="1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 s="1"/>
  <c r="AE160" i="2"/>
  <c r="AI160" i="2"/>
  <c r="AI161" i="2"/>
  <c r="AE162" i="2"/>
  <c r="AI162" i="2" s="1"/>
  <c r="AI163" i="2"/>
  <c r="AD165" i="2"/>
  <c r="P142" i="2"/>
  <c r="S142" i="2" s="1"/>
  <c r="W142" i="2" s="1"/>
  <c r="U141" i="2"/>
  <c r="U165" i="2" s="1"/>
  <c r="P141" i="2"/>
  <c r="S141" i="2" s="1"/>
  <c r="P140" i="2"/>
  <c r="P139" i="2"/>
  <c r="P138" i="2"/>
  <c r="S138" i="2" s="1"/>
  <c r="W138" i="2" s="1"/>
  <c r="P137" i="2"/>
  <c r="S137" i="2" s="1"/>
  <c r="W137" i="2" s="1"/>
  <c r="P136" i="2"/>
  <c r="P135" i="2"/>
  <c r="P134" i="2"/>
  <c r="P133" i="2"/>
  <c r="U132" i="2"/>
  <c r="P132" i="2"/>
  <c r="S132" i="2" s="1"/>
  <c r="W132" i="2" s="1"/>
  <c r="P131" i="2"/>
  <c r="S131" i="2" s="1"/>
  <c r="W131" i="2" s="1"/>
  <c r="P130" i="2"/>
  <c r="S130" i="2" s="1"/>
  <c r="W130" i="2" s="1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S125" i="2" s="1"/>
  <c r="W125" i="2" s="1"/>
  <c r="P124" i="2"/>
  <c r="S124" i="2" s="1"/>
  <c r="W124" i="2" s="1"/>
  <c r="P123" i="2"/>
  <c r="S123" i="2" s="1"/>
  <c r="W123" i="2" s="1"/>
  <c r="P122" i="2"/>
  <c r="S122" i="2" s="1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V165" i="2"/>
  <c r="S133" i="2"/>
  <c r="W133" i="2" s="1"/>
  <c r="S134" i="2"/>
  <c r="W134" i="2" s="1"/>
  <c r="S135" i="2"/>
  <c r="W135" i="2" s="1"/>
  <c r="S136" i="2"/>
  <c r="W136" i="2" s="1"/>
  <c r="S139" i="2"/>
  <c r="W139" i="2" s="1"/>
  <c r="S140" i="2"/>
  <c r="W140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 s="1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 s="1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 s="1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 s="1"/>
  <c r="G154" i="2"/>
  <c r="K154" i="2" s="1"/>
  <c r="G155" i="2"/>
  <c r="K155" i="2"/>
  <c r="G162" i="2"/>
  <c r="K162" i="2"/>
  <c r="E165" i="2"/>
  <c r="F165" i="2"/>
  <c r="I165" i="2"/>
  <c r="J165" i="2"/>
  <c r="AE123" i="2" l="1"/>
  <c r="AI123" i="2" s="1"/>
  <c r="AE220" i="2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E71" i="2" s="1"/>
  <c r="AI71" i="2" s="1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 s="1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 s="1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G77" i="2" s="1"/>
  <c r="K77" i="2" s="1"/>
  <c r="D76" i="2"/>
  <c r="G76" i="2" s="1"/>
  <c r="K76" i="2" s="1"/>
  <c r="D75" i="2"/>
  <c r="G75" i="2" s="1"/>
  <c r="K75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D28" i="1" s="1"/>
  <c r="J29" i="1"/>
  <c r="J30" i="1"/>
  <c r="J20" i="1"/>
  <c r="D20" i="1" s="1"/>
  <c r="J21" i="1"/>
  <c r="D21" i="1" s="1"/>
  <c r="J22" i="1"/>
  <c r="D22" i="1" s="1"/>
  <c r="J23" i="1"/>
  <c r="D36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GA ULAG</t>
        </r>
      </text>
    </comment>
    <comment ref="F27" authorId="0" shapeId="0" xr:uid="{1B6AACD4-2141-403E-A64F-050750F48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672" authorId="0" shapeId="0" xr:uid="{0D2E7FAE-67C1-447F-B129-DFE58FF65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72" authorId="0" shapeId="0" xr:uid="{01BB92B7-F15D-421D-B8D1-09796B50A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72" authorId="0" shapeId="0" xr:uid="{A1C032E8-72AC-4DAC-A139-AE0BE90CB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3" authorId="0" shapeId="0" xr:uid="{811DB81B-03AC-4ADC-AE05-DA4DE33D5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673" authorId="0" shapeId="0" xr:uid="{1827BC08-3EA1-4DBE-936B-8F8E73E64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3" authorId="0" shapeId="0" xr:uid="{45B5B070-4816-4452-AF08-06C2057615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674" authorId="0" shapeId="0" xr:uid="{E4AF8C1C-0219-4CDF-AEC0-5071B0E37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SALUG</t>
        </r>
      </text>
    </comment>
    <comment ref="O674" authorId="0" shapeId="0" xr:uid="{875F5BCA-3F0E-426F-99C3-619E3F08B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4" authorId="0" shapeId="0" xr:uid="{F02BAE80-D344-4F99-9EF3-ED20A3977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675" authorId="0" shapeId="0" xr:uid="{A710B994-9445-47FC-B429-4A48D681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675" authorId="0" shapeId="0" xr:uid="{B7EC42BC-15E8-472E-A08C-16972A804C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27" authorId="0" shapeId="0" xr:uid="{1542280B-09E6-4E20-ADDB-1FDC47E736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727" authorId="0" shapeId="0" xr:uid="{901100E9-560C-421E-BF4F-B9F6F0771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STORE
INUMAN, SINDANGAN</t>
        </r>
      </text>
    </comment>
    <comment ref="AA727" authorId="0" shapeId="0" xr:uid="{DAC7E21C-2CD0-43D0-A969-62EF057F6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728" authorId="0" shapeId="0" xr:uid="{86A5FD56-E864-4886-A2F6-9CE3C3F78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
PIAO, SINDANGAN</t>
        </r>
      </text>
    </comment>
    <comment ref="O728" authorId="0" shapeId="0" xr:uid="{8664DCC7-3389-41C8-BEEC-119FD3A56C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VILLARMINO STORE
DATU TANGKILAN, SINDANGAN</t>
        </r>
      </text>
    </comment>
    <comment ref="AA728" authorId="0" shapeId="0" xr:uid="{77B3354E-B543-4581-92B8-AFF162972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729" authorId="0" shapeId="0" xr:uid="{816E60DD-F23A-463D-9783-BCEBE43207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6EF551F8-EF52-4670-9792-DA3D7B552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ONSING STORE
DATU TANGKILAN, SINDANGAN</t>
        </r>
      </text>
    </comment>
    <comment ref="AA729" authorId="0" shapeId="0" xr:uid="{C4908162-3698-4ADA-B0B0-3C957E3E0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24C372A0-0851-4163-B15B-DB57D6B3D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GAVIOLA
DAGAO, SIAYAN</t>
        </r>
      </text>
    </comment>
    <comment ref="O730" authorId="0" shapeId="0" xr:uid="{4C95D498-D077-474C-9D6C-A1092DE454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31" authorId="0" shapeId="0" xr:uid="{5F6E22A6-2E68-43A1-BB65-C0569A28A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1" authorId="0" shapeId="0" xr:uid="{014B0F4D-D573-4926-8188-12504E89D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2" authorId="0" shapeId="0" xr:uid="{DF9839D7-C594-4F92-ACC2-799C47E656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BAGTONG LEE
POB, SIAYAN</t>
        </r>
      </text>
    </comment>
    <comment ref="O732" authorId="0" shapeId="0" xr:uid="{A2F7CA4D-B917-4612-9BD3-0AA6C46BE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733" authorId="0" shapeId="0" xr:uid="{82D93B7B-A9A7-4EA4-B8C8-0AD570E24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733" authorId="0" shapeId="0" xr:uid="{761DEEF9-7A10-4203-B2BD-40F4D01938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4" authorId="0" shapeId="0" xr:uid="{917DAB05-324E-40C7-A1E4-AD07708260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FERNANDA
DAGAO, SIAYAN</t>
        </r>
      </text>
    </comment>
    <comment ref="O734" authorId="0" shapeId="0" xr:uid="{4F889372-D629-4077-868C-78EACCAC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TALINGA, BACUNGAN</t>
        </r>
      </text>
    </comment>
    <comment ref="C735" authorId="0" shapeId="0" xr:uid="{4A3F73DF-0F43-497E-BADB-8B099A48E9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35" authorId="0" shapeId="0" xr:uid="{DBD435FD-CE61-4EA3-AFA8-2B1FDF215B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464C6930-ACEC-4C11-AF50-34F9ECA63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6" authorId="0" shapeId="0" xr:uid="{FB772A00-3E20-4D8D-8FC4-7D870C2B12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737" authorId="0" shapeId="0" xr:uid="{A5B1DE71-CA7C-4003-88C5-C574D727FE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GOMORA STORE
LAGAG, SINDANGAN</t>
        </r>
      </text>
    </comment>
    <comment ref="O737" authorId="0" shapeId="0" xr:uid="{85E328AC-022F-4F45-8488-F17718659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LANDA
UPPER INUMAN, SINDANGAN</t>
        </r>
      </text>
    </comment>
    <comment ref="O738" authorId="0" shapeId="0" xr:uid="{76A045E7-BF18-4839-B5BD-D7FCBD24B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  <comment ref="O782" authorId="0" shapeId="0" xr:uid="{EE00F4AA-4DDB-43FE-80B2-20F1053F10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782" authorId="0" shapeId="0" xr:uid="{CAA58956-0D12-4BD4-BDF7-D20B272B2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783" authorId="0" shapeId="0" xr:uid="{5C710F1E-244B-486B-83AE-84D824DD22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3" authorId="0" shapeId="0" xr:uid="{3525AA7C-910E-4DD9-A144-FE1C26744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O784" authorId="0" shapeId="0" xr:uid="{73A2C75D-2A42-46AC-8AFA-7BC0741545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5CB2E685-F619-4D55-B958-F980462C3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POB, SALUG</t>
        </r>
      </text>
    </comment>
    <comment ref="O785" authorId="0" shapeId="0" xr:uid="{1B64B027-A0E5-4429-BA0F-64AC92084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5" authorId="0" shapeId="0" xr:uid="{C385C47E-A223-4121-BCF4-CE95A83B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</t>
        </r>
      </text>
    </comment>
    <comment ref="O786" authorId="0" shapeId="0" xr:uid="{C54AEEFC-CDB8-4634-BA32-D236D0DC0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787" authorId="0" shapeId="0" xr:uid="{D7633598-6FA7-47EB-9A8F-1100447926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788" authorId="0" shapeId="0" xr:uid="{20392755-FF5D-414A-8BC9-4B719B9CE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789" authorId="0" shapeId="0" xr:uid="{0A4803BE-5CAF-41A8-BED6-4B2007C42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O790" authorId="0" shapeId="0" xr:uid="{9E783F71-DEAB-4194-BCB6-2042D49F5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791" authorId="0" shapeId="0" xr:uid="{2333784D-ABE9-402C-8845-3BA262CB11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792" authorId="0" shapeId="0" xr:uid="{013754D1-CD74-4F59-907F-E6000E64B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REYNALDO
MARAS, SINDANGAN</t>
        </r>
      </text>
    </comment>
    <comment ref="O793" authorId="0" shapeId="0" xr:uid="{A05AE852-B4FA-492C-8FA9-1B8E8BA56F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794" authorId="0" shapeId="0" xr:uid="{6D8CB1E6-494D-4AE0-8A52-6D0AF44B2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795" authorId="0" shapeId="0" xr:uid="{1E9E19D7-1503-49F9-BCBF-5DB1CB9F8A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SHANEE'S STORE
MARAS, SINDANGAN</t>
        </r>
      </text>
    </comment>
    <comment ref="O796" authorId="0" shapeId="0" xr:uid="{BE1E2D3E-B1A5-46DF-B7CA-5605E7356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797" authorId="0" shapeId="0" xr:uid="{830348B9-5425-488A-BA99-91EDEC487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98" authorId="0" shapeId="0" xr:uid="{FFD2A04E-10E0-4CF7-9D99-AF0065FE7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C837" authorId="0" shapeId="0" xr:uid="{6A10494F-ABE5-4BB5-A4B9-C30CB917DE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JERIEL DOMEN
INUMAN, SINDANGAN</t>
        </r>
      </text>
    </comment>
    <comment ref="O837" authorId="0" shapeId="0" xr:uid="{7A135203-F15E-4503-BA0F-79B30A5F2F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37" authorId="0" shapeId="0" xr:uid="{7E981291-71FD-4E8F-9299-D4AC676C7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838" authorId="0" shapeId="0" xr:uid="{01BD5932-C037-47F5-BCDA-54F14E867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838" authorId="0" shapeId="0" xr:uid="{BA243055-36FC-4A2F-9265-1A1FDD00E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51FED2C7-EF83-44C6-B3C0-AA389F960A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839" authorId="0" shapeId="0" xr:uid="{F73F4F11-592C-4231-A7FD-9D66849DB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839" authorId="0" shapeId="0" xr:uid="{5BECC05D-8848-4D9B-A390-BF245EE3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839" authorId="0" shapeId="0" xr:uid="{2DECF796-E30E-43F2-AD0A-E2235F293B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VINAH MARAÑON
VILLA SUICIDAL, LILOY</t>
        </r>
      </text>
    </comment>
    <comment ref="C840" authorId="0" shapeId="0" xr:uid="{44EABC9F-2085-47BF-B3BD-AB1D99511D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40" authorId="0" shapeId="0" xr:uid="{B379BDAD-5036-47F1-ABF0-DFF3D21D9F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NARVEM J. MONTECLARO
TINAPLAN, SINDANGAN</t>
        </r>
      </text>
    </comment>
    <comment ref="AA840" authorId="0" shapeId="0" xr:uid="{837893C0-69DA-462A-AFEB-51227D39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GERALYN CAMANSI
VILLA SUICIDAL, LILOY</t>
        </r>
      </text>
    </comment>
    <comment ref="C841" authorId="0" shapeId="0" xr:uid="{76770A46-7A5A-449F-8F3E-01982CCF7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KALAKAS, SIAYAN</t>
        </r>
      </text>
    </comment>
    <comment ref="O841" authorId="0" shapeId="0" xr:uid="{878A614B-79FF-4E84-86EA-C85A5DA94D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TOTO SANGUAN
TINAPLAN, SINDANGAN</t>
        </r>
      </text>
    </comment>
    <comment ref="AA841" authorId="0" shapeId="0" xr:uid="{AEDA4150-DB7D-4000-AF7E-15893B1EE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LAMAO, LILOY</t>
        </r>
      </text>
    </comment>
    <comment ref="C842" authorId="0" shapeId="0" xr:uid="{184C4B46-9AF7-4DE4-893A-E03C35CB03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42" authorId="0" shapeId="0" xr:uid="{153D6D93-0160-4848-863A-5F88FBE8AF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TINAPLAN, SINDANGAN</t>
        </r>
      </text>
    </comment>
    <comment ref="AA842" authorId="0" shapeId="0" xr:uid="{D1B5FDD1-633C-485E-87F9-C4C02525E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JELYN STORE
VILLA SUICIDAL, LILOY</t>
        </r>
      </text>
    </comment>
    <comment ref="C843" authorId="0" shapeId="0" xr:uid="{43B33446-29D3-4A79-8D69-DD85110CF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O843" authorId="0" shapeId="0" xr:uid="{16E502C5-624F-4236-BDAE-461DFB77C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ABAN STORE
TINAPLAN, SINDANGAN</t>
        </r>
      </text>
    </comment>
    <comment ref="AA843" authorId="0" shapeId="0" xr:uid="{1AAB9342-E05D-4CC7-A793-30AEE578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844" authorId="0" shapeId="0" xr:uid="{677BC076-04C3-4C3D-A176-FAD9EBDD6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LYSEL BAYAWA
BALOK, SINDANGAN</t>
        </r>
      </text>
    </comment>
    <comment ref="O844" authorId="0" shapeId="0" xr:uid="{024F5C5E-E30C-4368-8E26-741BE1852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LUMINGIN
TINAPLAN, SINDANGAN</t>
        </r>
      </text>
    </comment>
    <comment ref="AA844" authorId="0" shapeId="0" xr:uid="{BF14C8FA-4B32-4924-84E9-7BEC709BE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CATACUTAN
LAMAO, LILOY</t>
        </r>
      </text>
    </comment>
    <comment ref="C845" authorId="0" shapeId="0" xr:uid="{2BB621D2-BFCB-4DEE-8476-0EC5F57BE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45" authorId="0" shapeId="0" xr:uid="{FC05BA0C-6A52-449B-A9C9-E31809C97E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CANDES
TINAPLAN, SINDANGAN</t>
        </r>
      </text>
    </comment>
    <comment ref="AA845" authorId="0" shapeId="0" xr:uid="{0464EB96-E7A3-4941-96B2-D5AC1BB46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JODI'S VARIETY STORE
BAYBAY, LILOY</t>
        </r>
      </text>
    </comment>
    <comment ref="O846" authorId="0" shapeId="0" xr:uid="{806E1758-D058-4AF0-BEEF-5DE215879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MANOS STORE
TINAPLAN, SINDANGAN</t>
        </r>
      </text>
    </comment>
    <comment ref="AA846" authorId="0" shapeId="0" xr:uid="{7D3955DC-D4DF-4677-B517-F4F87EFA13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847" authorId="0" shapeId="0" xr:uid="{2E3022C8-456E-412E-9C55-D4B6C9E77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SAGAPSAPAN PESING
TINAPLAN, SINDANGAN</t>
        </r>
      </text>
    </comment>
    <comment ref="AA847" authorId="0" shapeId="0" xr:uid="{0A4F2112-3AE7-441B-A755-01BBA3048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848" authorId="0" shapeId="0" xr:uid="{A0DEBCAE-B19F-4B08-9607-F7F866E1B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JKAKAMA
TINAPLAN, SINDANGAN</t>
        </r>
      </text>
    </comment>
    <comment ref="AA848" authorId="0" shapeId="0" xr:uid="{26522955-593E-42F9-B38D-E9A14C8DC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849" authorId="0" shapeId="0" xr:uid="{23F2F30F-863B-47CD-A78D-C7D3B278D9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DAGOHOY, SINDANGAN</t>
        </r>
      </text>
    </comment>
    <comment ref="AA849" authorId="0" shapeId="0" xr:uid="{5476B96A-899A-4E9B-BC1C-3E6147CB11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NORMA HICALDE
TIMAN, LILOY</t>
        </r>
      </text>
    </comment>
    <comment ref="O850" authorId="0" shapeId="0" xr:uid="{0121A6C8-50F2-4D95-9936-4BBE702AF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50" authorId="0" shapeId="0" xr:uid="{0FE4EC9D-A934-4BC0-A57B-58707DF4F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TUMACMOL
GOLEO, SINDANGAN</t>
        </r>
      </text>
    </comment>
    <comment ref="O851" authorId="0" shapeId="0" xr:uid="{F0F99FD8-3650-4C9C-9276-A9CB0457E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852" authorId="0" shapeId="0" xr:uid="{953A8315-C213-49F5-BA33-5A4FCAA508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853" authorId="0" shapeId="0" xr:uid="{861C300E-6F2D-49A8-A4F1-5C9AC6837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JAYVEE TAATA
GOLEO, SINDANGAN</t>
        </r>
      </text>
    </comment>
    <comment ref="O854" authorId="0" shapeId="0" xr:uid="{C9EC9D2A-1DC9-42A6-9CF1-70EC97DF5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YANOS
GOLEO, SINDANGAN</t>
        </r>
      </text>
    </comment>
  </commentList>
</comments>
</file>

<file path=xl/sharedStrings.xml><?xml version="1.0" encoding="utf-8"?>
<sst xmlns="http://schemas.openxmlformats.org/spreadsheetml/2006/main" count="1094" uniqueCount="83">
  <si>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</si>
  <si>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</si>
  <si>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</si>
  <si>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</si>
  <si>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</si>
  <si>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</si>
  <si>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</si>
  <si>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</si>
  <si>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</si>
  <si>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</si>
  <si>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</si>
  <si>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</si>
  <si>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</si>
  <si>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</si>
  <si>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</si>
  <si>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</si>
  <si>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</si>
  <si>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</si>
  <si>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</si>
  <si>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</si>
  <si>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</si>
  <si>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</si>
  <si>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</si>
  <si>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</si>
  <si>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</si>
  <si>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</si>
  <si>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</si>
  <si>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</si>
  <si>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</si>
  <si>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</si>
  <si>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</si>
  <si>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</si>
  <si>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</si>
  <si>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</si>
  <si>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</si>
  <si>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</si>
  <si>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</si>
  <si>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</si>
  <si>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</si>
  <si>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</si>
  <si>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</si>
  <si>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</si>
  <si>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</si>
  <si>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</si>
  <si>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</si>
  <si>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</si>
  <si>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</si>
  <si>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</si>
  <si>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</si>
  <si>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</si>
  <si>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</si>
  <si>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</si>
  <si>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</si>
  <si>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</si>
  <si>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</si>
  <si>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</si>
  <si>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</si>
  <si>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</si>
  <si>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</si>
  <si>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</si>
  <si>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</si>
  <si>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</si>
  <si>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</si>
  <si>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</si>
  <si>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</si>
  <si>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</si>
  <si>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</si>
  <si>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</si>
  <si>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</si>
  <si>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</si>
  <si>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</si>
  <si>
    <t>FEBRUARY 16, 2026</t>
  </si>
  <si>
    <t>02/16/2026</t>
  </si>
  <si>
    <t>9094-9097/9019-9021/9155-9158</t>
  </si>
  <si>
    <t>FEBRUARY 17, 2026</t>
  </si>
  <si>
    <t>02/17/2026</t>
  </si>
  <si>
    <t>9098-9100,9201-9208/9022-9033/9159-9161</t>
  </si>
  <si>
    <t>FEBRUARY 18, 2026</t>
  </si>
  <si>
    <t>02/18/2026</t>
  </si>
  <si>
    <t>/9034-9050/9162-9165</t>
  </si>
  <si>
    <t>FEBRUARY 19, 2026</t>
  </si>
  <si>
    <t>02/19/2026</t>
  </si>
  <si>
    <t>9201-9217/9251-9268/9166-9179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</si>
</sst>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29" sqref="F2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5" t="s">
        <v>36</v>
      </c>
      <c r="B6" s="10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73</v>
      </c>
      <c r="D25" s="16">
        <f t="shared" si="0"/>
        <v>793426.5</v>
      </c>
      <c r="F25" s="14">
        <v>275477</v>
      </c>
      <c r="G25" s="14">
        <v>288857.5</v>
      </c>
      <c r="H25" s="14">
        <v>229092</v>
      </c>
      <c r="I25" s="14"/>
      <c r="J25" s="17">
        <f t="shared" si="1"/>
        <v>793426.5</v>
      </c>
    </row>
    <row r="26" spans="1:10" x14ac:dyDescent="0.25">
      <c r="A26" s="10">
        <f t="shared" si="2"/>
        <v>17</v>
      </c>
      <c r="B26" s="43" t="s">
        <v>8</v>
      </c>
      <c r="C26" s="12" t="s">
        <v>76</v>
      </c>
      <c r="D26" s="16">
        <f t="shared" ref="D26:D30" si="3">J26</f>
        <v>715237</v>
      </c>
      <c r="F26" s="14">
        <v>218900</v>
      </c>
      <c r="G26" s="14">
        <v>209167</v>
      </c>
      <c r="H26" s="14">
        <v>287170</v>
      </c>
      <c r="I26" s="14"/>
      <c r="J26" s="17">
        <f t="shared" si="1"/>
        <v>715237</v>
      </c>
    </row>
    <row r="27" spans="1:10" x14ac:dyDescent="0.25">
      <c r="A27" s="10">
        <f t="shared" si="2"/>
        <v>18</v>
      </c>
      <c r="B27" s="56" t="s">
        <v>9</v>
      </c>
      <c r="C27" s="12" t="s">
        <v>79</v>
      </c>
      <c r="D27" s="16">
        <f t="shared" si="3"/>
        <v>432458</v>
      </c>
      <c r="F27" s="14"/>
      <c r="G27" s="14">
        <v>209792.5</v>
      </c>
      <c r="H27" s="14">
        <v>222665.5</v>
      </c>
      <c r="I27" s="14"/>
      <c r="J27" s="17">
        <f t="shared" si="1"/>
        <v>432458</v>
      </c>
    </row>
    <row r="28" spans="1:10" x14ac:dyDescent="0.25">
      <c r="A28" s="10">
        <f t="shared" si="2"/>
        <v>19</v>
      </c>
      <c r="B28" s="11" t="s">
        <v>30</v>
      </c>
      <c r="C28" s="12" t="s">
        <v>82</v>
      </c>
      <c r="D28" s="16">
        <f t="shared" si="3"/>
        <v>691944.16666666663</v>
      </c>
      <c r="F28" s="14">
        <v>255431.5</v>
      </c>
      <c r="G28" s="14">
        <v>207096.16666666666</v>
      </c>
      <c r="H28" s="14">
        <v>229416.5</v>
      </c>
      <c r="I28" s="14"/>
      <c r="J28" s="17">
        <f t="shared" si="1"/>
        <v>691944.16666666663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6" t="s">
        <v>10</v>
      </c>
      <c r="B42" s="107"/>
      <c r="C42" s="108"/>
      <c r="D42" s="48">
        <f>SUM(D2:D41)</f>
        <v>10520840.666666666</v>
      </c>
      <c r="J42" s="49">
        <f>SUM(J10:J41)</f>
        <v>10520840.666666666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851" zoomScaleNormal="100" workbookViewId="0">
      <selection activeCell="AE880" sqref="AE88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5" t="s">
        <v>17</v>
      </c>
      <c r="E10" s="115"/>
      <c r="F10" s="75"/>
      <c r="G10" s="27"/>
      <c r="I10" s="113" t="s">
        <v>18</v>
      </c>
      <c r="J10" s="114"/>
      <c r="K10" s="111" t="s">
        <v>19</v>
      </c>
      <c r="N10" s="25"/>
      <c r="O10" s="26"/>
      <c r="P10" s="115" t="s">
        <v>17</v>
      </c>
      <c r="Q10" s="115"/>
      <c r="R10" s="75"/>
      <c r="S10" s="27"/>
      <c r="U10" s="113" t="s">
        <v>18</v>
      </c>
      <c r="V10" s="114"/>
      <c r="W10" s="111" t="s">
        <v>19</v>
      </c>
      <c r="Z10" s="25"/>
      <c r="AA10" s="26"/>
      <c r="AB10" s="115" t="s">
        <v>17</v>
      </c>
      <c r="AC10" s="115"/>
      <c r="AD10" s="75"/>
      <c r="AE10" s="27"/>
      <c r="AG10" s="113" t="s">
        <v>18</v>
      </c>
      <c r="AH10" s="114"/>
      <c r="AI10" s="111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2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2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2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5" t="s">
        <v>17</v>
      </c>
      <c r="E65" s="115"/>
      <c r="F65" s="87"/>
      <c r="G65" s="27"/>
      <c r="I65" s="113" t="s">
        <v>18</v>
      </c>
      <c r="J65" s="114"/>
      <c r="K65" s="111" t="s">
        <v>19</v>
      </c>
      <c r="N65" s="25"/>
      <c r="O65" s="26"/>
      <c r="P65" s="115" t="s">
        <v>17</v>
      </c>
      <c r="Q65" s="115"/>
      <c r="R65" s="87"/>
      <c r="S65" s="27"/>
      <c r="U65" s="113" t="s">
        <v>18</v>
      </c>
      <c r="V65" s="114"/>
      <c r="W65" s="111" t="s">
        <v>19</v>
      </c>
      <c r="Z65" s="25"/>
      <c r="AA65" s="26"/>
      <c r="AB65" s="115" t="s">
        <v>17</v>
      </c>
      <c r="AC65" s="115"/>
      <c r="AD65" s="87"/>
      <c r="AE65" s="27"/>
      <c r="AG65" s="113" t="s">
        <v>18</v>
      </c>
      <c r="AH65" s="114"/>
      <c r="AI65" s="111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2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2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10"/>
      <c r="AO67" s="110"/>
      <c r="AP67" s="86"/>
      <c r="AQ67" s="62"/>
      <c r="AR67" s="110"/>
      <c r="AS67" s="110"/>
      <c r="AT67" s="10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5" t="s">
        <v>17</v>
      </c>
      <c r="E120" s="115"/>
      <c r="F120" s="88"/>
      <c r="G120" s="27"/>
      <c r="I120" s="113" t="s">
        <v>18</v>
      </c>
      <c r="J120" s="114"/>
      <c r="K120" s="111" t="s">
        <v>19</v>
      </c>
      <c r="N120" s="25"/>
      <c r="O120" s="26"/>
      <c r="P120" s="115" t="s">
        <v>17</v>
      </c>
      <c r="Q120" s="115"/>
      <c r="R120" s="88"/>
      <c r="S120" s="27"/>
      <c r="U120" s="113" t="s">
        <v>18</v>
      </c>
      <c r="V120" s="114"/>
      <c r="W120" s="111" t="s">
        <v>19</v>
      </c>
      <c r="Z120" s="25"/>
      <c r="AA120" s="26"/>
      <c r="AB120" s="115" t="s">
        <v>17</v>
      </c>
      <c r="AC120" s="115"/>
      <c r="AD120" s="88"/>
      <c r="AE120" s="27"/>
      <c r="AG120" s="113" t="s">
        <v>18</v>
      </c>
      <c r="AH120" s="114"/>
      <c r="AI120" s="11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2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2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5" t="s">
        <v>17</v>
      </c>
      <c r="E175" s="115"/>
      <c r="F175" s="89"/>
      <c r="G175" s="27"/>
      <c r="I175" s="113" t="s">
        <v>18</v>
      </c>
      <c r="J175" s="114"/>
      <c r="K175" s="111" t="s">
        <v>19</v>
      </c>
      <c r="N175" s="25"/>
      <c r="O175" s="26"/>
      <c r="P175" s="115" t="s">
        <v>17</v>
      </c>
      <c r="Q175" s="115"/>
      <c r="R175" s="89"/>
      <c r="S175" s="27"/>
      <c r="U175" s="113" t="s">
        <v>18</v>
      </c>
      <c r="V175" s="114"/>
      <c r="W175" s="111" t="s">
        <v>19</v>
      </c>
      <c r="Z175" s="25"/>
      <c r="AA175" s="26"/>
      <c r="AB175" s="115" t="s">
        <v>17</v>
      </c>
      <c r="AC175" s="115"/>
      <c r="AD175" s="89"/>
      <c r="AE175" s="27"/>
      <c r="AG175" s="113" t="s">
        <v>18</v>
      </c>
      <c r="AH175" s="114"/>
      <c r="AI175" s="111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2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2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10"/>
      <c r="AO181" s="110"/>
      <c r="AP181" s="86"/>
      <c r="AQ181" s="62"/>
      <c r="AR181" s="110"/>
      <c r="AS181" s="110"/>
      <c r="AT181" s="10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5" t="s">
        <v>17</v>
      </c>
      <c r="E230" s="115"/>
      <c r="F230" s="90"/>
      <c r="G230" s="27"/>
      <c r="I230" s="113" t="s">
        <v>18</v>
      </c>
      <c r="J230" s="114"/>
      <c r="K230" s="111" t="s">
        <v>19</v>
      </c>
      <c r="N230" s="25"/>
      <c r="O230" s="26"/>
      <c r="P230" s="115" t="s">
        <v>17</v>
      </c>
      <c r="Q230" s="115"/>
      <c r="R230" s="90"/>
      <c r="S230" s="27"/>
      <c r="U230" s="113" t="s">
        <v>18</v>
      </c>
      <c r="V230" s="114"/>
      <c r="W230" s="111" t="s">
        <v>19</v>
      </c>
      <c r="Y230" s="62"/>
      <c r="Z230" s="65"/>
      <c r="AA230" s="86"/>
      <c r="AB230" s="110"/>
      <c r="AC230" s="110"/>
      <c r="AD230" s="86"/>
      <c r="AE230" s="86"/>
      <c r="AF230" s="62"/>
      <c r="AG230" s="110"/>
      <c r="AH230" s="110"/>
      <c r="AI230" s="109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2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2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109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5" t="s">
        <v>17</v>
      </c>
      <c r="E285" s="115"/>
      <c r="F285" s="91"/>
      <c r="G285" s="27"/>
      <c r="I285" s="113" t="s">
        <v>18</v>
      </c>
      <c r="J285" s="114"/>
      <c r="K285" s="111" t="s">
        <v>19</v>
      </c>
      <c r="N285" s="25"/>
      <c r="O285" s="26"/>
      <c r="P285" s="115" t="s">
        <v>17</v>
      </c>
      <c r="Q285" s="115"/>
      <c r="R285" s="91"/>
      <c r="S285" s="27"/>
      <c r="U285" s="113" t="s">
        <v>18</v>
      </c>
      <c r="V285" s="114"/>
      <c r="W285" s="111" t="s">
        <v>19</v>
      </c>
      <c r="Z285" s="25"/>
      <c r="AA285" s="26"/>
      <c r="AB285" s="115" t="s">
        <v>17</v>
      </c>
      <c r="AC285" s="115"/>
      <c r="AD285" s="91"/>
      <c r="AE285" s="27"/>
      <c r="AG285" s="113" t="s">
        <v>18</v>
      </c>
      <c r="AH285" s="114"/>
      <c r="AI285" s="11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2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2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5" t="s">
        <v>17</v>
      </c>
      <c r="E340" s="115"/>
      <c r="F340" s="93"/>
      <c r="G340" s="27"/>
      <c r="I340" s="113" t="s">
        <v>18</v>
      </c>
      <c r="J340" s="114"/>
      <c r="K340" s="111" t="s">
        <v>19</v>
      </c>
      <c r="N340" s="25"/>
      <c r="O340" s="26"/>
      <c r="P340" s="115" t="s">
        <v>17</v>
      </c>
      <c r="Q340" s="115"/>
      <c r="R340" s="93"/>
      <c r="S340" s="27"/>
      <c r="U340" s="113" t="s">
        <v>18</v>
      </c>
      <c r="V340" s="114"/>
      <c r="W340" s="111" t="s">
        <v>19</v>
      </c>
      <c r="Z340" s="25"/>
      <c r="AA340" s="26"/>
      <c r="AB340" s="115" t="s">
        <v>17</v>
      </c>
      <c r="AC340" s="115"/>
      <c r="AD340" s="93"/>
      <c r="AE340" s="27"/>
      <c r="AG340" s="113" t="s">
        <v>18</v>
      </c>
      <c r="AH340" s="114"/>
      <c r="AI340" s="111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2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2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5" t="s">
        <v>17</v>
      </c>
      <c r="E395" s="115"/>
      <c r="F395" s="94"/>
      <c r="G395" s="27"/>
      <c r="I395" s="113" t="s">
        <v>18</v>
      </c>
      <c r="J395" s="114"/>
      <c r="K395" s="111" t="s">
        <v>19</v>
      </c>
      <c r="N395" s="25"/>
      <c r="O395" s="26"/>
      <c r="P395" s="115" t="s">
        <v>17</v>
      </c>
      <c r="Q395" s="115"/>
      <c r="R395" s="94"/>
      <c r="S395" s="27"/>
      <c r="U395" s="113" t="s">
        <v>18</v>
      </c>
      <c r="V395" s="114"/>
      <c r="W395" s="111" t="s">
        <v>19</v>
      </c>
      <c r="Z395" s="25"/>
      <c r="AA395" s="26"/>
      <c r="AB395" s="115" t="s">
        <v>17</v>
      </c>
      <c r="AC395" s="115"/>
      <c r="AD395" s="94"/>
      <c r="AE395" s="27"/>
      <c r="AG395" s="113" t="s">
        <v>18</v>
      </c>
      <c r="AH395" s="114"/>
      <c r="AI395" s="111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2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2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5" t="s">
        <v>17</v>
      </c>
      <c r="E450" s="115"/>
      <c r="F450" s="95"/>
      <c r="G450" s="27"/>
      <c r="I450" s="113" t="s">
        <v>18</v>
      </c>
      <c r="J450" s="114"/>
      <c r="K450" s="111" t="s">
        <v>19</v>
      </c>
      <c r="N450" s="25"/>
      <c r="O450" s="26"/>
      <c r="P450" s="115" t="s">
        <v>17</v>
      </c>
      <c r="Q450" s="115"/>
      <c r="R450" s="95"/>
      <c r="S450" s="27"/>
      <c r="U450" s="113" t="s">
        <v>18</v>
      </c>
      <c r="V450" s="114"/>
      <c r="W450" s="111" t="s">
        <v>19</v>
      </c>
      <c r="Z450" s="25"/>
      <c r="AA450" s="26"/>
      <c r="AB450" s="115" t="s">
        <v>17</v>
      </c>
      <c r="AC450" s="115"/>
      <c r="AD450" s="95"/>
      <c r="AE450" s="27"/>
      <c r="AG450" s="113" t="s">
        <v>18</v>
      </c>
      <c r="AH450" s="114"/>
      <c r="AI450" s="111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2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2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3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3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3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3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3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3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3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2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2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5" t="s">
        <v>17</v>
      </c>
      <c r="E505" s="115"/>
      <c r="F505" s="96"/>
      <c r="G505" s="27"/>
      <c r="I505" s="113" t="s">
        <v>18</v>
      </c>
      <c r="J505" s="114"/>
      <c r="K505" s="111" t="s">
        <v>19</v>
      </c>
      <c r="N505" s="25"/>
      <c r="O505" s="26"/>
      <c r="P505" s="115" t="s">
        <v>17</v>
      </c>
      <c r="Q505" s="115"/>
      <c r="R505" s="96"/>
      <c r="S505" s="27"/>
      <c r="U505" s="113" t="s">
        <v>18</v>
      </c>
      <c r="V505" s="114"/>
      <c r="W505" s="111" t="s">
        <v>19</v>
      </c>
      <c r="Z505" s="25"/>
      <c r="AA505" s="26"/>
      <c r="AB505" s="115" t="s">
        <v>17</v>
      </c>
      <c r="AC505" s="115"/>
      <c r="AD505" s="96"/>
      <c r="AE505" s="27"/>
      <c r="AG505" s="113" t="s">
        <v>18</v>
      </c>
      <c r="AH505" s="114"/>
      <c r="AI505" s="111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2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2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3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3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3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3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2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2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10"/>
      <c r="E560" s="110"/>
      <c r="F560" s="86"/>
      <c r="G560" s="86"/>
      <c r="H560" s="62"/>
      <c r="I560" s="110"/>
      <c r="J560" s="110"/>
      <c r="K560" s="109"/>
      <c r="N560" s="25"/>
      <c r="O560" s="26"/>
      <c r="P560" s="115" t="s">
        <v>17</v>
      </c>
      <c r="Q560" s="115"/>
      <c r="R560" s="97"/>
      <c r="S560" s="27"/>
      <c r="U560" s="113" t="s">
        <v>18</v>
      </c>
      <c r="V560" s="114"/>
      <c r="W560" s="111" t="s">
        <v>19</v>
      </c>
      <c r="Z560" s="25"/>
      <c r="AA560" s="26"/>
      <c r="AB560" s="115" t="s">
        <v>17</v>
      </c>
      <c r="AC560" s="115"/>
      <c r="AD560" s="97"/>
      <c r="AE560" s="27"/>
      <c r="AG560" s="113" t="s">
        <v>18</v>
      </c>
      <c r="AH560" s="114"/>
      <c r="AI560" s="111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109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2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2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2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5" t="s">
        <v>17</v>
      </c>
      <c r="E615" s="115"/>
      <c r="F615" s="98"/>
      <c r="G615" s="27"/>
      <c r="I615" s="113" t="s">
        <v>18</v>
      </c>
      <c r="J615" s="114"/>
      <c r="K615" s="111" t="s">
        <v>19</v>
      </c>
      <c r="N615" s="25"/>
      <c r="O615" s="26"/>
      <c r="P615" s="115" t="s">
        <v>17</v>
      </c>
      <c r="Q615" s="115"/>
      <c r="R615" s="98"/>
      <c r="S615" s="27"/>
      <c r="U615" s="113" t="s">
        <v>18</v>
      </c>
      <c r="V615" s="114"/>
      <c r="W615" s="111" t="s">
        <v>19</v>
      </c>
      <c r="Z615" s="25"/>
      <c r="AA615" s="26"/>
      <c r="AB615" s="115" t="s">
        <v>17</v>
      </c>
      <c r="AC615" s="115"/>
      <c r="AD615" s="98"/>
      <c r="AE615" s="27"/>
      <c r="AG615" s="113" t="s">
        <v>18</v>
      </c>
      <c r="AH615" s="114"/>
      <c r="AI615" s="111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12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2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3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3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55" si="185">SUM(P618:Q618)</f>
        <v>3308</v>
      </c>
      <c r="T618" s="12"/>
      <c r="U618" s="12"/>
      <c r="V618" s="12">
        <v>-111</v>
      </c>
      <c r="W618" s="12">
        <f t="shared" ref="W618:W658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19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19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3">
        <f t="shared" ref="C619:C631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22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2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3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3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58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3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55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3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3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3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3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3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3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3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3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3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2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2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5" t="s">
        <v>17</v>
      </c>
      <c r="E670" s="115"/>
      <c r="F670" s="99"/>
      <c r="G670" s="27"/>
      <c r="I670" s="113" t="s">
        <v>18</v>
      </c>
      <c r="J670" s="114"/>
      <c r="K670" s="111" t="s">
        <v>19</v>
      </c>
      <c r="N670" s="25"/>
      <c r="O670" s="26"/>
      <c r="P670" s="115" t="s">
        <v>17</v>
      </c>
      <c r="Q670" s="115"/>
      <c r="R670" s="99"/>
      <c r="S670" s="27"/>
      <c r="U670" s="113" t="s">
        <v>18</v>
      </c>
      <c r="V670" s="114"/>
      <c r="W670" s="111" t="s">
        <v>19</v>
      </c>
      <c r="Z670" s="25"/>
      <c r="AA670" s="26"/>
      <c r="AB670" s="115" t="s">
        <v>17</v>
      </c>
      <c r="AC670" s="115"/>
      <c r="AD670" s="99"/>
      <c r="AE670" s="27"/>
      <c r="AG670" s="113" t="s">
        <v>18</v>
      </c>
      <c r="AH670" s="114"/>
      <c r="AI670" s="111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2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2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9094</v>
      </c>
      <c r="D672" s="32">
        <f>650*4</f>
        <v>2600</v>
      </c>
      <c r="E672" s="32"/>
      <c r="F672" s="32"/>
      <c r="G672" s="32">
        <f t="shared" ref="G672:G705" si="199">SUM(D672:E672)</f>
        <v>2600</v>
      </c>
      <c r="H672" s="12"/>
      <c r="I672" s="12"/>
      <c r="J672" s="12"/>
      <c r="K672" s="12">
        <f t="shared" ref="K672:K705" si="200">SUM(G672:J672)</f>
        <v>2600</v>
      </c>
      <c r="M672" s="10">
        <v>1</v>
      </c>
      <c r="N672" s="30" t="s">
        <v>72</v>
      </c>
      <c r="O672" s="31">
        <v>9019</v>
      </c>
      <c r="P672" s="32">
        <f>650*6+9.5*6</f>
        <v>3957</v>
      </c>
      <c r="Q672" s="32"/>
      <c r="R672" s="32"/>
      <c r="S672" s="32">
        <f>SUM(P672:Q672)</f>
        <v>3957</v>
      </c>
      <c r="T672" s="12"/>
      <c r="U672" s="12"/>
      <c r="V672" s="12"/>
      <c r="W672" s="12">
        <f>SUM(S672:V672)</f>
        <v>3957</v>
      </c>
      <c r="Y672" s="10">
        <v>1</v>
      </c>
      <c r="Z672" s="30" t="s">
        <v>72</v>
      </c>
      <c r="AA672" s="31">
        <v>9155</v>
      </c>
      <c r="AB672" s="32">
        <f>650*108+229*4+650*2</f>
        <v>72416</v>
      </c>
      <c r="AC672" s="32"/>
      <c r="AD672" s="32"/>
      <c r="AE672" s="32">
        <f>SUM(AB672:AC672)</f>
        <v>72416</v>
      </c>
      <c r="AF672" s="12"/>
      <c r="AG672" s="12">
        <v>144</v>
      </c>
      <c r="AH672" s="12">
        <v>-240</v>
      </c>
      <c r="AI672" s="12">
        <f>SUM(AE672:AH672)</f>
        <v>72320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9095</v>
      </c>
      <c r="D673" s="32">
        <f>650*7</f>
        <v>4550</v>
      </c>
      <c r="E673" s="32">
        <f>-7*6</f>
        <v>-42</v>
      </c>
      <c r="F673" s="32"/>
      <c r="G673" s="32">
        <f t="shared" si="199"/>
        <v>4508</v>
      </c>
      <c r="H673" s="12"/>
      <c r="I673" s="12"/>
      <c r="J673" s="12"/>
      <c r="K673" s="12">
        <f t="shared" si="200"/>
        <v>4508</v>
      </c>
      <c r="M673" s="10">
        <v>2</v>
      </c>
      <c r="N673" s="30" t="s">
        <v>72</v>
      </c>
      <c r="O673" s="31">
        <f>O672+1</f>
        <v>9020</v>
      </c>
      <c r="P673" s="32">
        <f>650*432+872*3+229*15</f>
        <v>286851</v>
      </c>
      <c r="Q673" s="32">
        <f>-435*6</f>
        <v>-2610</v>
      </c>
      <c r="R673" s="32"/>
      <c r="S673" s="32">
        <f t="shared" ref="S673:S710" si="201">SUM(P673:Q673)</f>
        <v>284241</v>
      </c>
      <c r="T673" s="12"/>
      <c r="U673" s="12">
        <f>120+1014</f>
        <v>1134</v>
      </c>
      <c r="V673" s="12">
        <v>-504</v>
      </c>
      <c r="W673" s="12">
        <f t="shared" ref="W673:W713" si="202">SUM(S673:V673)</f>
        <v>284871</v>
      </c>
      <c r="Y673" s="10">
        <v>2</v>
      </c>
      <c r="Z673" s="30" t="s">
        <v>72</v>
      </c>
      <c r="AA673" s="31">
        <f>AA672+1</f>
        <v>9156</v>
      </c>
      <c r="AB673" s="32">
        <f>650*55+622*10</f>
        <v>41970</v>
      </c>
      <c r="AD673" s="32"/>
      <c r="AE673" s="32">
        <f t="shared" ref="AE673:AE674" si="203">SUM(AB673:AC673)</f>
        <v>41970</v>
      </c>
      <c r="AF673" s="12"/>
      <c r="AG673" s="12"/>
      <c r="AI673" s="12">
        <f t="shared" ref="AI673:AI674" si="204">SUM(AE673:AH673)</f>
        <v>41970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" si="205">C673+1</f>
        <v>9096</v>
      </c>
      <c r="D674" s="33">
        <f>650*216+622*108+912*5+873*10+229*13</f>
        <v>223843</v>
      </c>
      <c r="E674" s="33">
        <f>-339*6</f>
        <v>-2034</v>
      </c>
      <c r="F674" s="33"/>
      <c r="G674" s="33">
        <f t="shared" si="199"/>
        <v>221809</v>
      </c>
      <c r="H674" s="34"/>
      <c r="I674" s="34">
        <f>1200+78*10</f>
        <v>1980</v>
      </c>
      <c r="J674" s="34">
        <f>-444+-84+-336+-336+-16.5+-13.5+-22.5</f>
        <v>-1252.5</v>
      </c>
      <c r="K674" s="34">
        <f t="shared" si="200"/>
        <v>222536.5</v>
      </c>
      <c r="M674" s="10">
        <v>3</v>
      </c>
      <c r="N674" s="30" t="s">
        <v>72</v>
      </c>
      <c r="O674" s="31">
        <f t="shared" ref="O674" si="206">O673+1</f>
        <v>9021</v>
      </c>
      <c r="P674" s="32">
        <f>650+9.5</f>
        <v>659.5</v>
      </c>
      <c r="Q674" s="32"/>
      <c r="R674" s="32"/>
      <c r="S674" s="32">
        <f t="shared" si="201"/>
        <v>659.5</v>
      </c>
      <c r="T674" s="12"/>
      <c r="U674" s="12"/>
      <c r="V674" s="12"/>
      <c r="W674" s="12">
        <f t="shared" si="202"/>
        <v>659.5</v>
      </c>
      <c r="Y674" s="10">
        <v>3</v>
      </c>
      <c r="Z674" s="30" t="s">
        <v>72</v>
      </c>
      <c r="AA674" s="31">
        <f t="shared" ref="AA674:AA675" si="207">AA673+1</f>
        <v>9157</v>
      </c>
      <c r="AB674" s="32">
        <f>650*130+622*30+872+229*6+650</f>
        <v>106056</v>
      </c>
      <c r="AC674" s="33">
        <f>-160*6</f>
        <v>-960</v>
      </c>
      <c r="AD674" s="32"/>
      <c r="AE674" s="32">
        <f t="shared" si="203"/>
        <v>105096</v>
      </c>
      <c r="AF674" s="12"/>
      <c r="AG674" s="12"/>
      <c r="AH674" s="12"/>
      <c r="AI674" s="12">
        <f t="shared" si="204"/>
        <v>105096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>C674+1</f>
        <v>9097</v>
      </c>
      <c r="D675" s="32">
        <f>650*60+670*2+622*10</f>
        <v>46560</v>
      </c>
      <c r="E675" s="32"/>
      <c r="F675" s="32"/>
      <c r="G675" s="32">
        <f t="shared" si="199"/>
        <v>46560</v>
      </c>
      <c r="H675" s="12"/>
      <c r="I675" s="12">
        <v>243</v>
      </c>
      <c r="J675" s="12"/>
      <c r="K675" s="12">
        <f t="shared" si="200"/>
        <v>46803</v>
      </c>
      <c r="M675" s="10">
        <v>4</v>
      </c>
      <c r="N675" s="30"/>
      <c r="O675" s="11" t="s">
        <v>27</v>
      </c>
      <c r="P675" s="32"/>
      <c r="Q675" s="32"/>
      <c r="R675" s="32"/>
      <c r="S675" s="32">
        <f t="shared" si="201"/>
        <v>0</v>
      </c>
      <c r="T675" s="12"/>
      <c r="U675" s="12"/>
      <c r="V675" s="12"/>
      <c r="W675" s="12">
        <f t="shared" si="202"/>
        <v>0</v>
      </c>
      <c r="Y675" s="10">
        <v>4</v>
      </c>
      <c r="Z675" s="30" t="s">
        <v>72</v>
      </c>
      <c r="AA675" s="31">
        <f t="shared" si="207"/>
        <v>9158</v>
      </c>
      <c r="AB675" s="32">
        <f>650*10+622*5</f>
        <v>9610</v>
      </c>
      <c r="AC675" s="32"/>
      <c r="AD675" s="32"/>
      <c r="AE675" s="32">
        <f>SUM(AB675:AC675)</f>
        <v>9610</v>
      </c>
      <c r="AF675" s="12"/>
      <c r="AH675" s="12"/>
      <c r="AI675" s="12">
        <f>SUM(AE675:AH675)</f>
        <v>9610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/>
      <c r="O676" s="31"/>
      <c r="P676" s="32"/>
      <c r="Q676" s="32"/>
      <c r="R676" s="32"/>
      <c r="S676" s="32">
        <f t="shared" si="201"/>
        <v>0</v>
      </c>
      <c r="T676" s="12"/>
      <c r="U676" s="12"/>
      <c r="V676" s="12"/>
      <c r="W676" s="12">
        <f t="shared" si="202"/>
        <v>0</v>
      </c>
      <c r="Y676" s="10">
        <v>5</v>
      </c>
      <c r="Z676" s="30"/>
      <c r="AA676" s="11" t="s">
        <v>27</v>
      </c>
      <c r="AB676" s="33"/>
      <c r="AC676" s="32"/>
      <c r="AD676" s="32"/>
      <c r="AE676" s="32">
        <f>SUM(AB676:AC676)</f>
        <v>0</v>
      </c>
      <c r="AF676" s="12"/>
      <c r="AG676" s="12"/>
      <c r="AH676" s="12"/>
      <c r="AI676" s="12">
        <f t="shared" ref="AI676:AI713" si="208">SUM(AE676:AH676)</f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31"/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ref="AE677:AE710" si="209">SUM(AB677:AC677)</f>
        <v>0</v>
      </c>
      <c r="AF677" s="12"/>
      <c r="AG677" s="12"/>
      <c r="AH677" s="10"/>
      <c r="AI677" s="12">
        <f t="shared" si="208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A678" s="31"/>
      <c r="AB678" s="32"/>
      <c r="AC678" s="32"/>
      <c r="AD678" s="32"/>
      <c r="AE678" s="32">
        <f t="shared" si="209"/>
        <v>0</v>
      </c>
      <c r="AF678" s="12"/>
      <c r="AG678" s="58"/>
      <c r="AH678" s="12"/>
      <c r="AI678" s="12">
        <f t="shared" si="208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3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9"/>
        <v>0</v>
      </c>
      <c r="AF679" s="12"/>
      <c r="AG679" s="12"/>
      <c r="AH679" s="12"/>
      <c r="AI679" s="12">
        <f t="shared" si="208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9"/>
        <v>0</v>
      </c>
      <c r="AF680" s="12"/>
      <c r="AH680" s="12"/>
      <c r="AI680" s="12">
        <f t="shared" si="208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9"/>
        <v>0</v>
      </c>
      <c r="AF681" s="12"/>
      <c r="AG681" s="12"/>
      <c r="AH681" s="12"/>
      <c r="AI681" s="12">
        <f t="shared" si="208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B682" s="32"/>
      <c r="AC682" s="32"/>
      <c r="AD682" s="32"/>
      <c r="AE682" s="32">
        <f t="shared" si="209"/>
        <v>0</v>
      </c>
      <c r="AF682" s="12"/>
      <c r="AG682" s="12"/>
      <c r="AH682" s="12"/>
      <c r="AI682" s="12">
        <f t="shared" si="208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9"/>
        <v>0</v>
      </c>
      <c r="AF683" s="12"/>
      <c r="AG683" s="12"/>
      <c r="AH683" s="12"/>
      <c r="AI683" s="12">
        <f t="shared" si="208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9"/>
        <v>0</v>
      </c>
      <c r="AF684" s="12"/>
      <c r="AG684" s="12"/>
      <c r="AH684" s="12"/>
      <c r="AI684" s="12">
        <f t="shared" si="208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9"/>
        <v>0</v>
      </c>
      <c r="AF685" s="12"/>
      <c r="AG685" s="12"/>
      <c r="AH685" s="12"/>
      <c r="AI685" s="12">
        <f t="shared" si="208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B686" s="32"/>
      <c r="AC686" s="32"/>
      <c r="AD686" s="32"/>
      <c r="AE686" s="32">
        <f t="shared" si="209"/>
        <v>0</v>
      </c>
      <c r="AF686" s="12"/>
      <c r="AG686" s="12"/>
      <c r="AH686" s="12"/>
      <c r="AI686" s="12">
        <f t="shared" si="208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B687" s="32"/>
      <c r="AC687" s="32"/>
      <c r="AD687" s="32"/>
      <c r="AE687" s="32">
        <f t="shared" si="209"/>
        <v>0</v>
      </c>
      <c r="AF687" s="12"/>
      <c r="AG687" s="12"/>
      <c r="AH687" s="12"/>
      <c r="AI687" s="12">
        <f t="shared" si="208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9"/>
        <v>0</v>
      </c>
      <c r="AF688" s="12"/>
      <c r="AG688" s="12"/>
      <c r="AH688" s="12"/>
      <c r="AI688" s="12">
        <f t="shared" si="208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9"/>
        <v>0</v>
      </c>
      <c r="AF689" s="12"/>
      <c r="AG689" s="12"/>
      <c r="AH689" s="12"/>
      <c r="AI689" s="12">
        <f t="shared" si="208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O690" s="31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9"/>
        <v>0</v>
      </c>
      <c r="AF690" s="12"/>
      <c r="AG690" s="12"/>
      <c r="AH690" s="12"/>
      <c r="AI690" s="12">
        <f t="shared" si="208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B691" s="32"/>
      <c r="AC691" s="32"/>
      <c r="AD691" s="32"/>
      <c r="AE691" s="32">
        <f t="shared" si="209"/>
        <v>0</v>
      </c>
      <c r="AF691" s="12"/>
      <c r="AG691" s="12"/>
      <c r="AH691" s="12"/>
      <c r="AI691" s="12">
        <f t="shared" si="208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P692" s="92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9"/>
        <v>0</v>
      </c>
      <c r="AF692" s="10"/>
      <c r="AG692" s="10"/>
      <c r="AH692" s="10"/>
      <c r="AI692" s="12">
        <f t="shared" si="208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92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9"/>
        <v>0</v>
      </c>
      <c r="AF693" s="10"/>
      <c r="AG693" s="10"/>
      <c r="AH693" s="10"/>
      <c r="AI693" s="12">
        <f t="shared" si="208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Q694" s="31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C694" s="31"/>
      <c r="AE694" s="32">
        <f t="shared" si="209"/>
        <v>0</v>
      </c>
      <c r="AF694" s="10"/>
      <c r="AG694" s="10"/>
      <c r="AH694" s="10"/>
      <c r="AI694" s="12">
        <f t="shared" si="208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9"/>
        <v>0</v>
      </c>
      <c r="AF695" s="10"/>
      <c r="AG695" s="10"/>
      <c r="AH695" s="10"/>
      <c r="AI695" s="12">
        <f t="shared" si="208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O696" s="31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9"/>
        <v>0</v>
      </c>
      <c r="AF696" s="10"/>
      <c r="AG696" s="10"/>
      <c r="AH696" s="10"/>
      <c r="AI696" s="12">
        <f t="shared" si="208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9"/>
        <v>0</v>
      </c>
      <c r="AF697" s="10"/>
      <c r="AG697" s="10"/>
      <c r="AH697" s="10"/>
      <c r="AI697" s="12">
        <f t="shared" si="208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9"/>
        <v>0</v>
      </c>
      <c r="AF698" s="10"/>
      <c r="AG698" s="10"/>
      <c r="AH698" s="10"/>
      <c r="AI698" s="12">
        <f t="shared" si="208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9"/>
        <v>0</v>
      </c>
      <c r="AF699" s="10"/>
      <c r="AG699" s="10"/>
      <c r="AH699" s="10"/>
      <c r="AI699" s="12">
        <f t="shared" si="208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O700" s="31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9"/>
        <v>0</v>
      </c>
      <c r="AF700" s="10"/>
      <c r="AG700" s="10"/>
      <c r="AH700" s="10"/>
      <c r="AI700" s="12">
        <f t="shared" si="208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9"/>
        <v>0</v>
      </c>
      <c r="AF701" s="10"/>
      <c r="AG701" s="10"/>
      <c r="AH701" s="10"/>
      <c r="AI701" s="12">
        <f t="shared" si="208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9"/>
        <v>0</v>
      </c>
      <c r="AF702" s="10"/>
      <c r="AG702" s="10"/>
      <c r="AH702" s="10"/>
      <c r="AI702" s="12">
        <f t="shared" si="208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O703" s="31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9"/>
        <v>0</v>
      </c>
      <c r="AF703" s="10"/>
      <c r="AG703" s="10"/>
      <c r="AH703" s="10"/>
      <c r="AI703" s="12">
        <f t="shared" si="208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9"/>
        <v>0</v>
      </c>
      <c r="AF704" s="10"/>
      <c r="AG704" s="10"/>
      <c r="AH704" s="10"/>
      <c r="AI704" s="12">
        <f t="shared" si="208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si="201"/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09"/>
        <v>0</v>
      </c>
      <c r="AF705" s="10"/>
      <c r="AG705" s="10"/>
      <c r="AH705" s="10"/>
      <c r="AI705" s="12">
        <f t="shared" si="208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1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08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1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08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1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08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1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08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1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08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8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8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8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277553</v>
      </c>
      <c r="E715" s="38">
        <f t="shared" ref="E715:F715" si="214">SUM(E672:E712)</f>
        <v>-2076</v>
      </c>
      <c r="F715" s="38">
        <f t="shared" si="214"/>
        <v>0</v>
      </c>
      <c r="G715" s="38">
        <f>SUM(G672:G714)</f>
        <v>275477</v>
      </c>
      <c r="H715" s="4"/>
      <c r="I715" s="39">
        <f>SUM(I672:I714)</f>
        <v>2223</v>
      </c>
      <c r="J715" s="39">
        <f>SUM(J672:J714)</f>
        <v>-1252.5</v>
      </c>
      <c r="K715" s="40">
        <f>SUM(K672:K714)</f>
        <v>276447.5</v>
      </c>
      <c r="N715" s="57"/>
      <c r="O715" s="57"/>
      <c r="P715" s="38">
        <f>SUM(P672:P714)</f>
        <v>291467.5</v>
      </c>
      <c r="Q715" s="38">
        <f>SUM(Q672:Q696)</f>
        <v>-2610</v>
      </c>
      <c r="R715" s="38">
        <f>SUM(R672:R696)</f>
        <v>0</v>
      </c>
      <c r="S715" s="38">
        <f>SUM(S672:S714)</f>
        <v>288857.5</v>
      </c>
      <c r="T715" s="4"/>
      <c r="U715" s="41">
        <f>SUM(U672:U714)</f>
        <v>1134</v>
      </c>
      <c r="V715" s="41">
        <f>SUM(V672:V696)</f>
        <v>-504</v>
      </c>
      <c r="W715" s="42">
        <f>SUM(W672:W714)</f>
        <v>289487.5</v>
      </c>
      <c r="Z715" s="57"/>
      <c r="AA715" s="57"/>
      <c r="AB715" s="38">
        <f>SUM(AB672:AB714)</f>
        <v>230052</v>
      </c>
      <c r="AC715" s="38">
        <f>SUM(AC672:AC696)</f>
        <v>-960</v>
      </c>
      <c r="AD715" s="38">
        <f>SUM(AD672:AD696)</f>
        <v>0</v>
      </c>
      <c r="AE715" s="38">
        <f>SUM(AE672:AE714)</f>
        <v>229092</v>
      </c>
      <c r="AF715" s="4"/>
      <c r="AG715" s="41">
        <f>SUM(AG672:AG714)</f>
        <v>144</v>
      </c>
      <c r="AH715" s="41">
        <f>SUM(AH672:AH696)</f>
        <v>-240</v>
      </c>
      <c r="AI715" s="42">
        <f>SUM(AI672:AI714)</f>
        <v>228996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5" t="s">
        <v>17</v>
      </c>
      <c r="E725" s="115"/>
      <c r="F725" s="100"/>
      <c r="G725" s="27"/>
      <c r="I725" s="113" t="s">
        <v>18</v>
      </c>
      <c r="J725" s="114"/>
      <c r="K725" s="111" t="s">
        <v>19</v>
      </c>
      <c r="N725" s="25"/>
      <c r="O725" s="26"/>
      <c r="P725" s="115" t="s">
        <v>17</v>
      </c>
      <c r="Q725" s="115"/>
      <c r="R725" s="100"/>
      <c r="S725" s="27"/>
      <c r="U725" s="113" t="s">
        <v>18</v>
      </c>
      <c r="V725" s="114"/>
      <c r="W725" s="111" t="s">
        <v>19</v>
      </c>
      <c r="Z725" s="25"/>
      <c r="AA725" s="26"/>
      <c r="AB725" s="115" t="s">
        <v>17</v>
      </c>
      <c r="AC725" s="115"/>
      <c r="AD725" s="100"/>
      <c r="AE725" s="27"/>
      <c r="AG725" s="113" t="s">
        <v>18</v>
      </c>
      <c r="AH725" s="114"/>
      <c r="AI725" s="111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2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2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3">
        <v>9098</v>
      </c>
      <c r="D727" s="32">
        <f>650*21</f>
        <v>13650</v>
      </c>
      <c r="E727" s="32"/>
      <c r="F727" s="32"/>
      <c r="G727" s="32">
        <f t="shared" ref="G727:G760" si="215">SUM(D727:E727)</f>
        <v>13650</v>
      </c>
      <c r="H727" s="12"/>
      <c r="I727" s="12"/>
      <c r="J727" s="12"/>
      <c r="K727" s="12">
        <f t="shared" ref="K727:K760" si="216">SUM(G727:J727)</f>
        <v>13650</v>
      </c>
      <c r="M727" s="10">
        <v>1</v>
      </c>
      <c r="N727" s="30" t="s">
        <v>75</v>
      </c>
      <c r="O727" s="31">
        <v>9022</v>
      </c>
      <c r="P727" s="32">
        <f>650*6+622+9.5*7</f>
        <v>4588.5</v>
      </c>
      <c r="Q727" s="32"/>
      <c r="R727" s="32"/>
      <c r="S727" s="32">
        <f>SUM(P727:Q727)</f>
        <v>4588.5</v>
      </c>
      <c r="T727" s="12"/>
      <c r="U727" s="12"/>
      <c r="V727" s="12"/>
      <c r="W727" s="12">
        <f>SUM(S727:V727)</f>
        <v>4588.5</v>
      </c>
      <c r="Y727" s="10">
        <v>1</v>
      </c>
      <c r="Z727" s="30" t="s">
        <v>75</v>
      </c>
      <c r="AA727" s="31">
        <v>9159</v>
      </c>
      <c r="AB727" s="32">
        <f>650*216+670*20+622*50+229*6</f>
        <v>186274</v>
      </c>
      <c r="AC727" s="32">
        <f>-286*6</f>
        <v>-1716</v>
      </c>
      <c r="AD727" s="32"/>
      <c r="AE727" s="32">
        <f>SUM(AB727:AC727)</f>
        <v>184558</v>
      </c>
      <c r="AF727" s="12"/>
      <c r="AG727" s="12"/>
      <c r="AH727" s="12"/>
      <c r="AI727" s="12">
        <f>SUM(AE727:AH727)</f>
        <v>184558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3">
        <f>C727+1</f>
        <v>9099</v>
      </c>
      <c r="D728" s="32">
        <f>650*10+622*2+9.5*10</f>
        <v>7839</v>
      </c>
      <c r="E728" s="32"/>
      <c r="F728" s="32"/>
      <c r="G728" s="32">
        <f t="shared" si="215"/>
        <v>7839</v>
      </c>
      <c r="H728" s="12"/>
      <c r="I728" s="12"/>
      <c r="J728" s="12"/>
      <c r="K728" s="12">
        <f t="shared" si="216"/>
        <v>7839</v>
      </c>
      <c r="M728" s="10">
        <v>2</v>
      </c>
      <c r="N728" s="30" t="s">
        <v>75</v>
      </c>
      <c r="O728" s="31">
        <f>O727+1</f>
        <v>9023</v>
      </c>
      <c r="P728" s="32">
        <f>650+622+9.5*2</f>
        <v>1291</v>
      </c>
      <c r="Q728" s="32"/>
      <c r="R728" s="32"/>
      <c r="S728" s="32">
        <f t="shared" ref="S728:S765" si="217">SUM(P728:Q728)</f>
        <v>1291</v>
      </c>
      <c r="T728" s="12"/>
      <c r="U728" s="12"/>
      <c r="V728" s="12"/>
      <c r="W728" s="12">
        <f t="shared" ref="W728:W768" si="218">SUM(S728:V728)</f>
        <v>1291</v>
      </c>
      <c r="Y728" s="10">
        <v>2</v>
      </c>
      <c r="Z728" s="30" t="s">
        <v>75</v>
      </c>
      <c r="AA728" s="31">
        <f>AA727+1</f>
        <v>9160</v>
      </c>
      <c r="AB728" s="32">
        <f>650*108+229*4</f>
        <v>71116</v>
      </c>
      <c r="AC728">
        <f>-108*6</f>
        <v>-648</v>
      </c>
      <c r="AD728" s="32"/>
      <c r="AE728" s="32">
        <f t="shared" ref="AE728:AE729" si="219">SUM(AB728:AC728)</f>
        <v>70468</v>
      </c>
      <c r="AF728" s="12"/>
      <c r="AG728" s="12"/>
      <c r="AH728">
        <f>-111*108</f>
        <v>-11988</v>
      </c>
      <c r="AI728" s="12">
        <f t="shared" ref="AI728:AI729" si="220">SUM(AE728:AH728)</f>
        <v>58480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3">
        <f t="shared" ref="C729" si="221">C728+1</f>
        <v>9100</v>
      </c>
      <c r="D729" s="33">
        <f>650*14+670</f>
        <v>9770</v>
      </c>
      <c r="E729" s="33"/>
      <c r="F729" s="33"/>
      <c r="G729" s="33">
        <f t="shared" si="215"/>
        <v>9770</v>
      </c>
      <c r="H729" s="34"/>
      <c r="I729" s="34"/>
      <c r="J729" s="34"/>
      <c r="K729" s="34">
        <f t="shared" si="216"/>
        <v>9770</v>
      </c>
      <c r="M729" s="10">
        <v>3</v>
      </c>
      <c r="N729" s="30" t="s">
        <v>75</v>
      </c>
      <c r="O729" s="31">
        <f t="shared" ref="O729:O738" si="222">O728+1</f>
        <v>9024</v>
      </c>
      <c r="P729" s="32">
        <f>650+622+9.5*2</f>
        <v>1291</v>
      </c>
      <c r="Q729" s="32"/>
      <c r="R729" s="32"/>
      <c r="S729" s="32">
        <f t="shared" si="217"/>
        <v>1291</v>
      </c>
      <c r="T729" s="12"/>
      <c r="U729" s="12"/>
      <c r="V729" s="12"/>
      <c r="W729" s="12">
        <f t="shared" si="218"/>
        <v>1291</v>
      </c>
      <c r="Y729" s="10">
        <v>3</v>
      </c>
      <c r="Z729" s="30" t="s">
        <v>75</v>
      </c>
      <c r="AA729" s="31">
        <f t="shared" ref="AA729" si="223">AA728+1</f>
        <v>9161</v>
      </c>
      <c r="AB729" s="32">
        <f>650*48+622*2</f>
        <v>32444</v>
      </c>
      <c r="AC729" s="33">
        <f>-50*6</f>
        <v>-300</v>
      </c>
      <c r="AD729" s="32"/>
      <c r="AE729" s="32">
        <f t="shared" si="219"/>
        <v>32144</v>
      </c>
      <c r="AF729" s="12"/>
      <c r="AG729" s="12"/>
      <c r="AH729" s="12">
        <f>-111*9</f>
        <v>-999</v>
      </c>
      <c r="AI729" s="12">
        <f t="shared" si="220"/>
        <v>31145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75</v>
      </c>
      <c r="C730" s="83">
        <v>9201</v>
      </c>
      <c r="D730" s="32">
        <f>650*18+622*2+9.5*20</f>
        <v>13134</v>
      </c>
      <c r="E730" s="32"/>
      <c r="F730" s="32"/>
      <c r="G730" s="32">
        <f t="shared" si="215"/>
        <v>13134</v>
      </c>
      <c r="H730" s="12"/>
      <c r="I730" s="12"/>
      <c r="J730" s="12"/>
      <c r="K730" s="12">
        <f t="shared" si="216"/>
        <v>13134</v>
      </c>
      <c r="M730" s="10">
        <v>4</v>
      </c>
      <c r="N730" s="30" t="s">
        <v>75</v>
      </c>
      <c r="O730" s="31">
        <f t="shared" si="222"/>
        <v>9025</v>
      </c>
      <c r="P730" s="32">
        <f>650*55+229</f>
        <v>35979</v>
      </c>
      <c r="Q730" s="32"/>
      <c r="R730" s="32"/>
      <c r="S730" s="32">
        <f t="shared" si="217"/>
        <v>35979</v>
      </c>
      <c r="T730" s="12"/>
      <c r="U730" s="12">
        <v>36</v>
      </c>
      <c r="V730" s="12"/>
      <c r="W730" s="12">
        <f t="shared" si="218"/>
        <v>36015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>SUM(AB730:AC730)</f>
        <v>0</v>
      </c>
      <c r="AF730" s="12"/>
      <c r="AH730" s="12"/>
      <c r="AI730" s="12">
        <f>SUM(AE730:AH730)</f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75</v>
      </c>
      <c r="C731" s="83">
        <f t="shared" ref="C731:C737" si="224">C730+1</f>
        <v>9202</v>
      </c>
      <c r="D731" s="32">
        <f>650*11</f>
        <v>7150</v>
      </c>
      <c r="E731" s="32"/>
      <c r="F731" s="32"/>
      <c r="G731" s="32">
        <f t="shared" si="215"/>
        <v>7150</v>
      </c>
      <c r="H731" s="12"/>
      <c r="I731" s="12"/>
      <c r="J731" s="12"/>
      <c r="K731" s="12">
        <f t="shared" si="216"/>
        <v>7150</v>
      </c>
      <c r="M731" s="10">
        <v>5</v>
      </c>
      <c r="N731" s="30" t="s">
        <v>75</v>
      </c>
      <c r="O731" s="31">
        <f t="shared" si="222"/>
        <v>9026</v>
      </c>
      <c r="P731" s="32">
        <f>650*100+229</f>
        <v>65229</v>
      </c>
      <c r="Q731" s="32">
        <f>-100*6</f>
        <v>-600</v>
      </c>
      <c r="R731" s="32"/>
      <c r="S731" s="32">
        <f t="shared" si="217"/>
        <v>64629</v>
      </c>
      <c r="T731" s="12"/>
      <c r="U731" s="12"/>
      <c r="V731" s="12"/>
      <c r="W731" s="12">
        <f t="shared" si="218"/>
        <v>64629</v>
      </c>
      <c r="Y731" s="10">
        <v>5</v>
      </c>
      <c r="Z731" s="30"/>
      <c r="AA731" s="31"/>
      <c r="AB731" s="33"/>
      <c r="AC731" s="32"/>
      <c r="AD731" s="32"/>
      <c r="AE731" s="32">
        <f>SUM(AB731:AC731)</f>
        <v>0</v>
      </c>
      <c r="AF731" s="12"/>
      <c r="AG731" s="12"/>
      <c r="AH731" s="12"/>
      <c r="AI731" s="12">
        <f t="shared" ref="AI731:AI768" si="225">SUM(AE731:AH731)</f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75</v>
      </c>
      <c r="C732" s="83">
        <f t="shared" si="224"/>
        <v>9203</v>
      </c>
      <c r="D732" s="32">
        <f>650*84</f>
        <v>54600</v>
      </c>
      <c r="E732" s="32"/>
      <c r="F732" s="32"/>
      <c r="G732" s="32">
        <f t="shared" si="215"/>
        <v>54600</v>
      </c>
      <c r="H732" s="12"/>
      <c r="I732" s="12"/>
      <c r="J732" s="12"/>
      <c r="K732" s="12">
        <f t="shared" si="216"/>
        <v>54600</v>
      </c>
      <c r="M732" s="10">
        <v>6</v>
      </c>
      <c r="N732" s="30" t="s">
        <v>75</v>
      </c>
      <c r="O732" s="31">
        <f t="shared" si="222"/>
        <v>9027</v>
      </c>
      <c r="P732" s="32">
        <f>650*47+622*5+229</f>
        <v>33889</v>
      </c>
      <c r="Q732" s="32"/>
      <c r="R732" s="32"/>
      <c r="S732" s="32">
        <f t="shared" si="217"/>
        <v>33889</v>
      </c>
      <c r="T732" s="12"/>
      <c r="U732" s="12">
        <f>13.5+36</f>
        <v>49.5</v>
      </c>
      <c r="V732" s="10"/>
      <c r="W732" s="12">
        <f t="shared" si="218"/>
        <v>33938.5</v>
      </c>
      <c r="Y732" s="10">
        <v>6</v>
      </c>
      <c r="Z732" s="30"/>
      <c r="AA732" s="31"/>
      <c r="AB732" s="32"/>
      <c r="AC732" s="32"/>
      <c r="AD732" s="32"/>
      <c r="AE732" s="32">
        <f t="shared" ref="AE732:AE765" si="226">SUM(AB732:AC732)</f>
        <v>0</v>
      </c>
      <c r="AF732" s="12"/>
      <c r="AG732" s="12"/>
      <c r="AH732" s="10"/>
      <c r="AI732" s="12">
        <f t="shared" si="22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75</v>
      </c>
      <c r="C733" s="83">
        <f t="shared" si="224"/>
        <v>9204</v>
      </c>
      <c r="D733" s="32">
        <f>650*80+622*20</f>
        <v>64440</v>
      </c>
      <c r="E733" s="32"/>
      <c r="F733" s="32"/>
      <c r="G733" s="32">
        <f t="shared" si="215"/>
        <v>64440</v>
      </c>
      <c r="H733" s="12"/>
      <c r="I733" s="12"/>
      <c r="J733" s="12"/>
      <c r="K733" s="12">
        <f t="shared" si="216"/>
        <v>64440</v>
      </c>
      <c r="M733" s="10">
        <v>7</v>
      </c>
      <c r="N733" s="30" t="s">
        <v>75</v>
      </c>
      <c r="O733" s="31">
        <f t="shared" si="222"/>
        <v>9028</v>
      </c>
      <c r="P733" s="32">
        <f>650*27+622*2+872+9.5*15</f>
        <v>19808.5</v>
      </c>
      <c r="Q733" s="32"/>
      <c r="R733" s="32"/>
      <c r="S733" s="32">
        <f t="shared" si="217"/>
        <v>19808.5</v>
      </c>
      <c r="T733" s="12"/>
      <c r="U733" s="12"/>
      <c r="V733" s="12"/>
      <c r="W733" s="12">
        <f t="shared" si="218"/>
        <v>19808.5</v>
      </c>
      <c r="Y733" s="10">
        <v>7</v>
      </c>
      <c r="Z733" s="30"/>
      <c r="AA733" s="31"/>
      <c r="AB733" s="32"/>
      <c r="AC733" s="32"/>
      <c r="AD733" s="32"/>
      <c r="AE733" s="32">
        <f t="shared" si="226"/>
        <v>0</v>
      </c>
      <c r="AF733" s="12"/>
      <c r="AG733" s="58"/>
      <c r="AH733" s="12"/>
      <c r="AI733" s="12">
        <f t="shared" si="22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75</v>
      </c>
      <c r="C734" s="83">
        <f t="shared" si="224"/>
        <v>9205</v>
      </c>
      <c r="D734" s="32">
        <f>650*20+622*2</f>
        <v>14244</v>
      </c>
      <c r="E734" s="32"/>
      <c r="F734" s="32"/>
      <c r="G734" s="32">
        <f t="shared" si="215"/>
        <v>14244</v>
      </c>
      <c r="H734" s="12"/>
      <c r="I734" s="12"/>
      <c r="J734" s="12"/>
      <c r="K734" s="12">
        <f t="shared" si="216"/>
        <v>14244</v>
      </c>
      <c r="M734" s="10">
        <v>8</v>
      </c>
      <c r="N734" s="30" t="s">
        <v>75</v>
      </c>
      <c r="O734" s="31">
        <f t="shared" si="222"/>
        <v>9029</v>
      </c>
      <c r="P734" s="32">
        <f>650*27+670+229</f>
        <v>18449</v>
      </c>
      <c r="Q734" s="32"/>
      <c r="R734" s="32"/>
      <c r="S734" s="32">
        <f t="shared" si="217"/>
        <v>18449</v>
      </c>
      <c r="T734" s="12"/>
      <c r="U734" s="12">
        <v>63</v>
      </c>
      <c r="V734" s="12"/>
      <c r="W734" s="12">
        <f t="shared" si="218"/>
        <v>18512</v>
      </c>
      <c r="Y734" s="10">
        <v>8</v>
      </c>
      <c r="Z734" s="30"/>
      <c r="AA734" s="31"/>
      <c r="AB734" s="32"/>
      <c r="AC734" s="32"/>
      <c r="AE734" s="32">
        <f t="shared" si="226"/>
        <v>0</v>
      </c>
      <c r="AF734" s="12"/>
      <c r="AG734" s="12"/>
      <c r="AH734" s="12"/>
      <c r="AI734" s="12">
        <f t="shared" si="22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75</v>
      </c>
      <c r="C735" s="83">
        <f t="shared" si="224"/>
        <v>9206</v>
      </c>
      <c r="D735" s="32">
        <f>650*35+622*2+229</f>
        <v>24223</v>
      </c>
      <c r="E735" s="32"/>
      <c r="F735" s="32"/>
      <c r="G735" s="32">
        <f t="shared" si="215"/>
        <v>24223</v>
      </c>
      <c r="H735" s="12"/>
      <c r="I735" s="12"/>
      <c r="J735" s="12"/>
      <c r="K735" s="12">
        <f t="shared" si="216"/>
        <v>24223</v>
      </c>
      <c r="M735" s="10">
        <v>9</v>
      </c>
      <c r="N735" s="30" t="s">
        <v>75</v>
      </c>
      <c r="O735" s="31">
        <f t="shared" si="222"/>
        <v>9030</v>
      </c>
      <c r="P735" s="32">
        <f>650*17+622*11+650</f>
        <v>18542</v>
      </c>
      <c r="Q735" s="32"/>
      <c r="R735" s="32"/>
      <c r="S735" s="32">
        <f t="shared" si="217"/>
        <v>18542</v>
      </c>
      <c r="T735" s="12"/>
      <c r="U735" s="12"/>
      <c r="V735" s="12">
        <v>-333</v>
      </c>
      <c r="W735" s="12">
        <f t="shared" si="218"/>
        <v>18209</v>
      </c>
      <c r="Y735" s="10">
        <v>9</v>
      </c>
      <c r="Z735" s="30"/>
      <c r="AA735" s="31"/>
      <c r="AC735" s="32"/>
      <c r="AD735" s="32"/>
      <c r="AE735" s="32">
        <f t="shared" si="226"/>
        <v>0</v>
      </c>
      <c r="AF735" s="12"/>
      <c r="AH735" s="12"/>
      <c r="AI735" s="12">
        <f t="shared" si="22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75</v>
      </c>
      <c r="C736" s="83">
        <f t="shared" si="224"/>
        <v>9207</v>
      </c>
      <c r="D736" s="32">
        <f>670*5</f>
        <v>3350</v>
      </c>
      <c r="E736" s="32"/>
      <c r="F736" s="32"/>
      <c r="G736" s="32">
        <f t="shared" si="215"/>
        <v>3350</v>
      </c>
      <c r="H736" s="12"/>
      <c r="I736" s="12"/>
      <c r="J736" s="12"/>
      <c r="K736" s="12">
        <f t="shared" si="216"/>
        <v>3350</v>
      </c>
      <c r="M736" s="10">
        <v>10</v>
      </c>
      <c r="N736" s="30" t="s">
        <v>75</v>
      </c>
      <c r="O736" s="31">
        <f t="shared" si="222"/>
        <v>9031</v>
      </c>
      <c r="P736" s="32">
        <f>650*2+9.5*2</f>
        <v>1319</v>
      </c>
      <c r="Q736" s="32"/>
      <c r="R736" s="32"/>
      <c r="S736" s="32">
        <f t="shared" si="217"/>
        <v>1319</v>
      </c>
      <c r="T736" s="12"/>
      <c r="U736" s="12"/>
      <c r="V736" s="12"/>
      <c r="W736" s="12">
        <f t="shared" si="218"/>
        <v>1319</v>
      </c>
      <c r="Y736" s="10">
        <v>10</v>
      </c>
      <c r="Z736" s="30"/>
      <c r="AA736" s="31"/>
      <c r="AB736" s="32"/>
      <c r="AC736" s="32"/>
      <c r="AD736" s="32"/>
      <c r="AE736" s="32">
        <f t="shared" si="226"/>
        <v>0</v>
      </c>
      <c r="AF736" s="12"/>
      <c r="AG736" s="12"/>
      <c r="AH736" s="12"/>
      <c r="AI736" s="12">
        <f t="shared" si="22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75</v>
      </c>
      <c r="C737" s="83">
        <f t="shared" si="224"/>
        <v>9208</v>
      </c>
      <c r="D737" s="32">
        <f>650*10</f>
        <v>6500</v>
      </c>
      <c r="E737" s="32"/>
      <c r="F737" s="32"/>
      <c r="G737" s="32">
        <f t="shared" si="215"/>
        <v>6500</v>
      </c>
      <c r="H737" s="12"/>
      <c r="I737" s="12"/>
      <c r="J737" s="12"/>
      <c r="K737" s="12">
        <f t="shared" si="216"/>
        <v>6500</v>
      </c>
      <c r="M737" s="10">
        <v>11</v>
      </c>
      <c r="N737" s="30" t="s">
        <v>75</v>
      </c>
      <c r="O737" s="31">
        <f t="shared" si="222"/>
        <v>9032</v>
      </c>
      <c r="P737" s="32">
        <f>650*8+622*2+9.5*10</f>
        <v>6539</v>
      </c>
      <c r="Q737" s="32"/>
      <c r="R737" s="32"/>
      <c r="S737" s="32">
        <f t="shared" si="217"/>
        <v>6539</v>
      </c>
      <c r="T737" s="12"/>
      <c r="U737" s="12"/>
      <c r="V737" s="12"/>
      <c r="W737" s="12">
        <f t="shared" si="218"/>
        <v>6539</v>
      </c>
      <c r="Y737" s="10">
        <v>11</v>
      </c>
      <c r="Z737" s="30"/>
      <c r="AB737" s="32"/>
      <c r="AC737" s="32"/>
      <c r="AD737" s="32"/>
      <c r="AE737" s="32">
        <f t="shared" si="226"/>
        <v>0</v>
      </c>
      <c r="AF737" s="12"/>
      <c r="AG737" s="12"/>
      <c r="AH737" s="12"/>
      <c r="AI737" s="12">
        <f t="shared" si="22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11" t="s">
        <v>27</v>
      </c>
      <c r="D738" s="32"/>
      <c r="E738" s="32"/>
      <c r="F738" s="32"/>
      <c r="G738" s="32">
        <f t="shared" si="215"/>
        <v>0</v>
      </c>
      <c r="H738" s="12"/>
      <c r="I738" s="12"/>
      <c r="J738" s="10"/>
      <c r="K738" s="12">
        <f t="shared" si="216"/>
        <v>0</v>
      </c>
      <c r="M738" s="10">
        <v>12</v>
      </c>
      <c r="N738" s="30" t="s">
        <v>75</v>
      </c>
      <c r="O738" s="31">
        <f t="shared" si="222"/>
        <v>9033</v>
      </c>
      <c r="P738" s="32">
        <f>650+670+872+650</f>
        <v>2842</v>
      </c>
      <c r="Q738" s="32"/>
      <c r="R738" s="32"/>
      <c r="S738" s="32">
        <f t="shared" si="217"/>
        <v>2842</v>
      </c>
      <c r="T738" s="12"/>
      <c r="U738" s="12"/>
      <c r="V738" s="12"/>
      <c r="W738" s="12">
        <f t="shared" si="218"/>
        <v>2842</v>
      </c>
      <c r="Y738" s="10">
        <v>12</v>
      </c>
      <c r="Z738" s="30"/>
      <c r="AA738" s="31"/>
      <c r="AB738" s="32"/>
      <c r="AC738" s="32"/>
      <c r="AD738" s="32"/>
      <c r="AE738" s="32">
        <f t="shared" si="226"/>
        <v>0</v>
      </c>
      <c r="AF738" s="12"/>
      <c r="AG738" s="12"/>
      <c r="AH738" s="12"/>
      <c r="AI738" s="12">
        <f t="shared" si="22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5"/>
        <v>0</v>
      </c>
      <c r="H739" s="12"/>
      <c r="I739" s="12"/>
      <c r="J739" s="12"/>
      <c r="K739" s="12">
        <f t="shared" si="216"/>
        <v>0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6"/>
        <v>0</v>
      </c>
      <c r="AF739" s="12"/>
      <c r="AG739" s="12"/>
      <c r="AH739" s="12"/>
      <c r="AI739" s="12">
        <f t="shared" si="22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5"/>
        <v>0</v>
      </c>
      <c r="H740" s="12"/>
      <c r="I740" s="12"/>
      <c r="J740" s="12"/>
      <c r="K740" s="12">
        <f t="shared" si="216"/>
        <v>0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6"/>
        <v>0</v>
      </c>
      <c r="AF740" s="12"/>
      <c r="AG740" s="12"/>
      <c r="AH740" s="12"/>
      <c r="AI740" s="12">
        <f t="shared" si="22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5"/>
        <v>0</v>
      </c>
      <c r="H741" s="12"/>
      <c r="I741" s="12"/>
      <c r="J741" s="12"/>
      <c r="K741" s="12">
        <f t="shared" si="216"/>
        <v>0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6"/>
        <v>0</v>
      </c>
      <c r="AF741" s="12"/>
      <c r="AG741" s="12"/>
      <c r="AH741" s="12"/>
      <c r="AI741" s="12">
        <f t="shared" si="22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83"/>
      <c r="D742" s="32"/>
      <c r="E742" s="32"/>
      <c r="F742" s="32"/>
      <c r="G742" s="32">
        <f t="shared" si="215"/>
        <v>0</v>
      </c>
      <c r="H742" s="12"/>
      <c r="I742" s="12"/>
      <c r="J742" s="12"/>
      <c r="K742" s="12">
        <f t="shared" si="216"/>
        <v>0</v>
      </c>
      <c r="M742" s="10">
        <v>16</v>
      </c>
      <c r="N742" s="30"/>
      <c r="O742" s="31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6"/>
        <v>0</v>
      </c>
      <c r="AF742" s="12"/>
      <c r="AG742" s="12"/>
      <c r="AH742" s="12"/>
      <c r="AI742" s="12">
        <f t="shared" si="22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5"/>
        <v>0</v>
      </c>
      <c r="H743" s="12"/>
      <c r="I743" s="12"/>
      <c r="J743" s="12"/>
      <c r="K743" s="12">
        <f t="shared" si="216"/>
        <v>0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6"/>
        <v>0</v>
      </c>
      <c r="AF743" s="12"/>
      <c r="AG743" s="12"/>
      <c r="AH743" s="12"/>
      <c r="AI743" s="12">
        <f t="shared" si="22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6"/>
        <v>0</v>
      </c>
      <c r="AF744" s="12"/>
      <c r="AG744" s="12"/>
      <c r="AH744" s="12"/>
      <c r="AI744" s="12">
        <f t="shared" si="22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O745" s="31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6"/>
        <v>0</v>
      </c>
      <c r="AF745" s="12"/>
      <c r="AG745" s="12"/>
      <c r="AH745" s="12"/>
      <c r="AI745" s="12">
        <f t="shared" si="22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B746" s="32"/>
      <c r="AC746" s="32"/>
      <c r="AD746" s="32"/>
      <c r="AE746" s="32">
        <f t="shared" si="226"/>
        <v>0</v>
      </c>
      <c r="AF746" s="12"/>
      <c r="AG746" s="12"/>
      <c r="AH746" s="12"/>
      <c r="AI746" s="12">
        <f t="shared" si="22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P747" s="92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6"/>
        <v>0</v>
      </c>
      <c r="AF747" s="10"/>
      <c r="AG747" s="10"/>
      <c r="AH747" s="10"/>
      <c r="AI747" s="12">
        <f t="shared" si="22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92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6"/>
        <v>0</v>
      </c>
      <c r="AF748" s="10"/>
      <c r="AG748" s="10"/>
      <c r="AH748" s="10"/>
      <c r="AI748" s="12">
        <f t="shared" si="22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Q749" s="31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C749" s="31"/>
      <c r="AE749" s="32">
        <f t="shared" si="226"/>
        <v>0</v>
      </c>
      <c r="AF749" s="10"/>
      <c r="AG749" s="10"/>
      <c r="AH749" s="10"/>
      <c r="AI749" s="12">
        <f t="shared" si="22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6"/>
        <v>0</v>
      </c>
      <c r="AF750" s="10"/>
      <c r="AG750" s="10"/>
      <c r="AH750" s="10"/>
      <c r="AI750" s="12">
        <f t="shared" si="22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O751" s="31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6"/>
        <v>0</v>
      </c>
      <c r="AF751" s="10"/>
      <c r="AG751" s="10"/>
      <c r="AH751" s="10"/>
      <c r="AI751" s="12">
        <f t="shared" si="22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6"/>
        <v>0</v>
      </c>
      <c r="AF752" s="10"/>
      <c r="AG752" s="10"/>
      <c r="AH752" s="10"/>
      <c r="AI752" s="12">
        <f t="shared" si="22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6"/>
        <v>0</v>
      </c>
      <c r="AF753" s="10"/>
      <c r="AG753" s="10"/>
      <c r="AH753" s="10"/>
      <c r="AI753" s="12">
        <f t="shared" si="22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6"/>
        <v>0</v>
      </c>
      <c r="AF754" s="10"/>
      <c r="AG754" s="10"/>
      <c r="AH754" s="10"/>
      <c r="AI754" s="12">
        <f t="shared" si="22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O755" s="31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6"/>
        <v>0</v>
      </c>
      <c r="AF755" s="10"/>
      <c r="AG755" s="10"/>
      <c r="AH755" s="10"/>
      <c r="AI755" s="12">
        <f t="shared" si="22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6"/>
        <v>0</v>
      </c>
      <c r="AF756" s="10"/>
      <c r="AG756" s="10"/>
      <c r="AH756" s="10"/>
      <c r="AI756" s="12">
        <f t="shared" si="22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6"/>
        <v>0</v>
      </c>
      <c r="AF757" s="10"/>
      <c r="AG757" s="10"/>
      <c r="AH757" s="10"/>
      <c r="AI757" s="12">
        <f t="shared" si="22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O758" s="31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6"/>
        <v>0</v>
      </c>
      <c r="AF758" s="10"/>
      <c r="AG758" s="10"/>
      <c r="AH758" s="10"/>
      <c r="AI758" s="12">
        <f t="shared" si="22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6"/>
        <v>0</v>
      </c>
      <c r="AF759" s="10"/>
      <c r="AG759" s="10"/>
      <c r="AH759" s="10"/>
      <c r="AI759" s="12">
        <f t="shared" si="22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si="217"/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6"/>
        <v>0</v>
      </c>
      <c r="AF760" s="10"/>
      <c r="AG760" s="10"/>
      <c r="AH760" s="10"/>
      <c r="AI760" s="12">
        <f t="shared" si="22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7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6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7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6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7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6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7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6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7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6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7">SUM(D767:E767)</f>
        <v>0</v>
      </c>
      <c r="H767" s="10"/>
      <c r="I767" s="10"/>
      <c r="J767" s="10"/>
      <c r="K767" s="12">
        <f t="shared" ref="K767" si="228">SUM(G767:J767)</f>
        <v>0</v>
      </c>
      <c r="M767" s="10"/>
      <c r="N767" s="30"/>
      <c r="O767" s="31"/>
      <c r="P767" s="47"/>
      <c r="Q767" s="31"/>
      <c r="R767" s="31"/>
      <c r="S767" s="32">
        <f t="shared" ref="S767" si="229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30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218900</v>
      </c>
      <c r="E770" s="38">
        <f t="shared" ref="E770:F770" si="231">SUM(E727:E767)</f>
        <v>0</v>
      </c>
      <c r="F770" s="38">
        <f t="shared" si="231"/>
        <v>0</v>
      </c>
      <c r="G770" s="38">
        <f>SUM(G727:G769)</f>
        <v>218900</v>
      </c>
      <c r="H770" s="4"/>
      <c r="I770" s="39">
        <f>SUM(I727:I769)</f>
        <v>0</v>
      </c>
      <c r="J770" s="39">
        <f>SUM(J727:J769)</f>
        <v>0</v>
      </c>
      <c r="K770" s="40">
        <f>SUM(K727:K769)</f>
        <v>218900</v>
      </c>
      <c r="N770" s="57"/>
      <c r="O770" s="57"/>
      <c r="P770" s="38">
        <f>SUM(P727:P769)</f>
        <v>209767</v>
      </c>
      <c r="Q770" s="38">
        <f>SUM(Q727:Q751)</f>
        <v>-600</v>
      </c>
      <c r="R770" s="38">
        <f>SUM(R727:R751)</f>
        <v>0</v>
      </c>
      <c r="S770" s="38">
        <f>SUM(S727:S769)</f>
        <v>209167</v>
      </c>
      <c r="T770" s="4"/>
      <c r="U770" s="41">
        <f>SUM(U727:U769)</f>
        <v>148.5</v>
      </c>
      <c r="V770" s="41">
        <f>SUM(V727:V751)</f>
        <v>-333</v>
      </c>
      <c r="W770" s="42">
        <f>SUM(W727:W769)</f>
        <v>208982.5</v>
      </c>
      <c r="Z770" s="57"/>
      <c r="AA770" s="57"/>
      <c r="AB770" s="38">
        <f>SUM(AB727:AB769)</f>
        <v>289834</v>
      </c>
      <c r="AC770" s="38">
        <f>SUM(AC727:AC751)</f>
        <v>-2664</v>
      </c>
      <c r="AD770" s="38">
        <f>SUM(AD727:AD751)</f>
        <v>0</v>
      </c>
      <c r="AE770" s="38">
        <f>SUM(AE727:AE769)</f>
        <v>287170</v>
      </c>
      <c r="AF770" s="4"/>
      <c r="AG770" s="41">
        <f>SUM(AG727:AG769)</f>
        <v>0</v>
      </c>
      <c r="AH770" s="41">
        <f>SUM(AH727:AH751)</f>
        <v>-12987</v>
      </c>
      <c r="AI770" s="42">
        <f>SUM(AI727:AI769)</f>
        <v>274183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2"/>
      <c r="C772" s="102"/>
      <c r="D772" s="102"/>
      <c r="E772" s="102"/>
      <c r="F772" s="102"/>
      <c r="G772" s="102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2"/>
      <c r="C773" s="102"/>
      <c r="D773" s="102"/>
      <c r="E773" s="102"/>
      <c r="F773" s="102"/>
      <c r="G773" s="102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2"/>
      <c r="C774" s="102"/>
      <c r="D774" s="102"/>
      <c r="E774" s="102"/>
      <c r="F774" s="102"/>
      <c r="G774" s="102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2"/>
      <c r="C775" s="102"/>
      <c r="D775" s="102"/>
      <c r="E775" s="102"/>
      <c r="F775" s="102"/>
      <c r="G775" s="102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2"/>
      <c r="C776" s="102"/>
      <c r="D776" s="102"/>
      <c r="E776" s="102"/>
      <c r="F776" s="102"/>
      <c r="G776" s="102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2"/>
      <c r="C777" s="102"/>
      <c r="D777" s="102"/>
      <c r="E777" s="102"/>
      <c r="F777" s="102"/>
      <c r="G777" s="102"/>
      <c r="H777" s="62"/>
      <c r="I777" s="102"/>
      <c r="J777" s="73"/>
      <c r="K777" s="62"/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2"/>
      <c r="C778" s="102"/>
      <c r="D778" s="102"/>
      <c r="E778" s="102"/>
      <c r="F778" s="102"/>
      <c r="G778" s="102"/>
      <c r="H778" s="62"/>
      <c r="I778" s="65"/>
      <c r="J778" s="65"/>
      <c r="K778" s="62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2"/>
      <c r="C779" s="102"/>
      <c r="D779" s="102"/>
      <c r="E779" s="102"/>
      <c r="F779" s="102"/>
      <c r="G779" s="102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2"/>
      <c r="D780" s="110"/>
      <c r="E780" s="110"/>
      <c r="F780" s="102"/>
      <c r="G780" s="102"/>
      <c r="H780" s="62"/>
      <c r="I780" s="110"/>
      <c r="J780" s="110"/>
      <c r="K780" s="109"/>
      <c r="N780" s="25"/>
      <c r="O780" s="26"/>
      <c r="P780" s="115" t="s">
        <v>17</v>
      </c>
      <c r="Q780" s="115"/>
      <c r="R780" s="103"/>
      <c r="S780" s="27"/>
      <c r="U780" s="113" t="s">
        <v>18</v>
      </c>
      <c r="V780" s="114"/>
      <c r="W780" s="111" t="s">
        <v>19</v>
      </c>
      <c r="Z780" s="25"/>
      <c r="AA780" s="26"/>
      <c r="AB780" s="115" t="s">
        <v>17</v>
      </c>
      <c r="AC780" s="115"/>
      <c r="AD780" s="103"/>
      <c r="AE780" s="27"/>
      <c r="AG780" s="113" t="s">
        <v>18</v>
      </c>
      <c r="AH780" s="114"/>
      <c r="AI780" s="111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2"/>
      <c r="C781" s="102"/>
      <c r="D781" s="79"/>
      <c r="E781" s="80"/>
      <c r="F781" s="81"/>
      <c r="G781" s="81"/>
      <c r="H781" s="62"/>
      <c r="I781" s="101"/>
      <c r="J781" s="101"/>
      <c r="K781" s="109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2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78</v>
      </c>
      <c r="O782" s="31">
        <v>9034</v>
      </c>
      <c r="P782" s="32">
        <f>650*3+9.5*3</f>
        <v>1978.5</v>
      </c>
      <c r="Q782" s="32"/>
      <c r="R782" s="32"/>
      <c r="S782" s="32">
        <f>SUM(P782:Q782)</f>
        <v>1978.5</v>
      </c>
      <c r="T782" s="12"/>
      <c r="U782" s="12"/>
      <c r="V782" s="12"/>
      <c r="W782" s="12">
        <f>SUM(S782:V782)</f>
        <v>1978.5</v>
      </c>
      <c r="Y782" s="10">
        <v>1</v>
      </c>
      <c r="Z782" s="30" t="s">
        <v>78</v>
      </c>
      <c r="AA782" s="31">
        <v>9162</v>
      </c>
      <c r="AB782" s="32">
        <f>650*216+622*50+229*5</f>
        <v>172645</v>
      </c>
      <c r="AC782" s="32">
        <f>-266*6</f>
        <v>-1596</v>
      </c>
      <c r="AD782" s="32"/>
      <c r="AE782" s="32">
        <f>SUM(AB782:AC782)</f>
        <v>171049</v>
      </c>
      <c r="AF782" s="12"/>
      <c r="AG782" s="12">
        <f>3108+81</f>
        <v>3189</v>
      </c>
      <c r="AH782" s="12"/>
      <c r="AI782" s="12">
        <f>SUM(AE782:AH782)</f>
        <v>174238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102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78</v>
      </c>
      <c r="O783" s="31">
        <f>O782+1</f>
        <v>9035</v>
      </c>
      <c r="P783" s="32">
        <f>650*12+1050+872+9.5*12</f>
        <v>9836</v>
      </c>
      <c r="Q783" s="32"/>
      <c r="R783" s="32"/>
      <c r="S783" s="32">
        <f t="shared" ref="S783:S820" si="232">SUM(P783:Q783)</f>
        <v>9836</v>
      </c>
      <c r="T783" s="12"/>
      <c r="U783" s="12"/>
      <c r="V783" s="12"/>
      <c r="W783" s="12">
        <f t="shared" ref="W783:W823" si="233">SUM(S783:V783)</f>
        <v>9836</v>
      </c>
      <c r="Y783" s="10">
        <v>2</v>
      </c>
      <c r="Z783" s="30" t="s">
        <v>78</v>
      </c>
      <c r="AA783" s="31">
        <f>AA782+1</f>
        <v>9163</v>
      </c>
      <c r="AB783" s="32">
        <f>650*7+973*2</f>
        <v>6496</v>
      </c>
      <c r="AD783" s="32"/>
      <c r="AE783" s="32">
        <f t="shared" ref="AE783:AE784" si="234">SUM(AB783:AC783)</f>
        <v>6496</v>
      </c>
      <c r="AF783" s="12"/>
      <c r="AG783" s="12"/>
      <c r="AH783">
        <v>-1776</v>
      </c>
      <c r="AI783" s="12">
        <f t="shared" ref="AI783:AI784" si="235">SUM(AE783:AH783)</f>
        <v>4720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102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78</v>
      </c>
      <c r="O784" s="31">
        <f t="shared" ref="O784:O798" si="236">O783+1</f>
        <v>9036</v>
      </c>
      <c r="P784" s="32">
        <f>650*5</f>
        <v>3250</v>
      </c>
      <c r="Q784" s="32"/>
      <c r="R784" s="32"/>
      <c r="S784" s="32">
        <f t="shared" si="232"/>
        <v>3250</v>
      </c>
      <c r="T784" s="12"/>
      <c r="U784" s="12"/>
      <c r="V784" s="12"/>
      <c r="W784" s="12">
        <f t="shared" si="233"/>
        <v>3250</v>
      </c>
      <c r="Y784" s="10">
        <v>3</v>
      </c>
      <c r="Z784" s="30" t="s">
        <v>78</v>
      </c>
      <c r="AA784" s="31">
        <f t="shared" ref="AA784:AA785" si="237">AA783+1</f>
        <v>9164</v>
      </c>
      <c r="AB784" s="32">
        <f>650*7+622*4+9.5*11</f>
        <v>7142.5</v>
      </c>
      <c r="AC784" s="33"/>
      <c r="AD784" s="32"/>
      <c r="AE784" s="32">
        <f t="shared" si="234"/>
        <v>7142.5</v>
      </c>
      <c r="AF784" s="12"/>
      <c r="AG784" s="12"/>
      <c r="AH784" s="12"/>
      <c r="AI784" s="12">
        <f t="shared" si="235"/>
        <v>7142.5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2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78</v>
      </c>
      <c r="O785" s="31">
        <f t="shared" si="236"/>
        <v>9037</v>
      </c>
      <c r="P785" s="32">
        <f>650*3+9.5*3</f>
        <v>1978.5</v>
      </c>
      <c r="Q785" s="32"/>
      <c r="R785" s="32"/>
      <c r="S785" s="32">
        <f t="shared" si="232"/>
        <v>1978.5</v>
      </c>
      <c r="T785" s="12"/>
      <c r="U785" s="12">
        <v>9</v>
      </c>
      <c r="V785" s="12"/>
      <c r="W785" s="12">
        <f t="shared" si="233"/>
        <v>1987.5</v>
      </c>
      <c r="Y785" s="10">
        <v>4</v>
      </c>
      <c r="Z785" s="30" t="s">
        <v>78</v>
      </c>
      <c r="AA785" s="31">
        <f t="shared" si="237"/>
        <v>9165</v>
      </c>
      <c r="AB785" s="32">
        <f>650*20+622*40+229*2</f>
        <v>38338</v>
      </c>
      <c r="AC785" s="32">
        <f>-60*6</f>
        <v>-360</v>
      </c>
      <c r="AD785" s="32"/>
      <c r="AE785" s="32">
        <f>SUM(AB785:AC785)</f>
        <v>37978</v>
      </c>
      <c r="AF785" s="12"/>
      <c r="AG785">
        <v>78</v>
      </c>
      <c r="AH785" s="12"/>
      <c r="AI785" s="12">
        <f>SUM(AE785:AH785)</f>
        <v>38056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102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78</v>
      </c>
      <c r="O786" s="31">
        <f t="shared" si="236"/>
        <v>9038</v>
      </c>
      <c r="P786" s="32">
        <f>650+622*2+9.5*3</f>
        <v>1922.5</v>
      </c>
      <c r="Q786" s="32"/>
      <c r="R786" s="32"/>
      <c r="S786" s="32">
        <f t="shared" si="232"/>
        <v>1922.5</v>
      </c>
      <c r="T786" s="12"/>
      <c r="U786" s="12"/>
      <c r="V786" s="12"/>
      <c r="W786" s="12">
        <f t="shared" si="233"/>
        <v>1922.5</v>
      </c>
      <c r="Y786" s="10">
        <v>5</v>
      </c>
      <c r="Z786" s="30"/>
      <c r="AA786" s="11" t="s">
        <v>27</v>
      </c>
      <c r="AB786" s="33"/>
      <c r="AC786" s="32"/>
      <c r="AD786" s="32"/>
      <c r="AE786" s="32">
        <f>SUM(AB786:AC786)</f>
        <v>0</v>
      </c>
      <c r="AF786" s="12"/>
      <c r="AG786" s="12"/>
      <c r="AH786" s="12"/>
      <c r="AI786" s="12">
        <f t="shared" ref="AI786:AI823" si="238">SUM(AE786:AH786)</f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102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78</v>
      </c>
      <c r="O787" s="31">
        <f t="shared" si="236"/>
        <v>9039</v>
      </c>
      <c r="P787" s="32">
        <f>650*13+670*2+622+9.5*14</f>
        <v>10545</v>
      </c>
      <c r="Q787" s="32"/>
      <c r="R787" s="32"/>
      <c r="S787" s="32">
        <f t="shared" si="232"/>
        <v>10545</v>
      </c>
      <c r="T787" s="12"/>
      <c r="U787" s="12">
        <f>4.5*19+1.5*5</f>
        <v>93</v>
      </c>
      <c r="V787" s="10"/>
      <c r="W787" s="12">
        <f t="shared" si="233"/>
        <v>10638</v>
      </c>
      <c r="Y787" s="10">
        <v>6</v>
      </c>
      <c r="Z787" s="30"/>
      <c r="AA787" s="31"/>
      <c r="AB787" s="32"/>
      <c r="AC787" s="32"/>
      <c r="AD787" s="32"/>
      <c r="AE787" s="32">
        <f t="shared" ref="AE787:AE820" si="239">SUM(AB787:AC787)</f>
        <v>0</v>
      </c>
      <c r="AF787" s="12"/>
      <c r="AG787" s="12"/>
      <c r="AH787" s="10"/>
      <c r="AI787" s="12">
        <f t="shared" si="23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2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78</v>
      </c>
      <c r="O788" s="31">
        <f t="shared" si="236"/>
        <v>9040</v>
      </c>
      <c r="P788" s="32">
        <f>650*26+622+9.5*22</f>
        <v>17731</v>
      </c>
      <c r="Q788" s="32"/>
      <c r="R788" s="32"/>
      <c r="S788" s="32">
        <f t="shared" si="232"/>
        <v>17731</v>
      </c>
      <c r="T788" s="12"/>
      <c r="U788" s="12"/>
      <c r="V788" s="12"/>
      <c r="W788" s="12">
        <f t="shared" si="233"/>
        <v>17731</v>
      </c>
      <c r="Y788" s="10">
        <v>7</v>
      </c>
      <c r="Z788" s="30"/>
      <c r="AA788" s="31"/>
      <c r="AB788" s="32"/>
      <c r="AC788" s="32"/>
      <c r="AD788" s="32"/>
      <c r="AE788" s="32">
        <f t="shared" si="239"/>
        <v>0</v>
      </c>
      <c r="AF788" s="12"/>
      <c r="AG788" s="58"/>
      <c r="AH788" s="12"/>
      <c r="AI788" s="12">
        <f t="shared" si="23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102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78</v>
      </c>
      <c r="O789" s="31">
        <f t="shared" si="236"/>
        <v>9041</v>
      </c>
      <c r="P789" s="32">
        <f>650*3+9.5*3</f>
        <v>1978.5</v>
      </c>
      <c r="Q789" s="32"/>
      <c r="R789" s="32"/>
      <c r="S789" s="32">
        <f t="shared" si="232"/>
        <v>1978.5</v>
      </c>
      <c r="T789" s="12"/>
      <c r="U789" s="12">
        <v>3</v>
      </c>
      <c r="V789" s="12"/>
      <c r="W789" s="12">
        <f t="shared" si="233"/>
        <v>1981.5</v>
      </c>
      <c r="Y789" s="10">
        <v>8</v>
      </c>
      <c r="Z789" s="30"/>
      <c r="AA789" s="31"/>
      <c r="AB789" s="32"/>
      <c r="AC789" s="32"/>
      <c r="AE789" s="32">
        <f t="shared" si="239"/>
        <v>0</v>
      </c>
      <c r="AF789" s="12"/>
      <c r="AG789" s="12"/>
      <c r="AH789" s="12"/>
      <c r="AI789" s="12">
        <f t="shared" si="23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102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78</v>
      </c>
      <c r="O790" s="31">
        <f t="shared" si="236"/>
        <v>9042</v>
      </c>
      <c r="P790" s="32">
        <f>650*4+670+700+622</f>
        <v>4592</v>
      </c>
      <c r="Q790" s="32"/>
      <c r="R790" s="32"/>
      <c r="S790" s="32">
        <f t="shared" si="232"/>
        <v>4592</v>
      </c>
      <c r="T790" s="12"/>
      <c r="U790" s="12"/>
      <c r="V790" s="12"/>
      <c r="W790" s="12">
        <f t="shared" si="233"/>
        <v>4592</v>
      </c>
      <c r="Y790" s="10">
        <v>9</v>
      </c>
      <c r="Z790" s="30"/>
      <c r="AA790" s="31"/>
      <c r="AC790" s="32"/>
      <c r="AD790" s="32"/>
      <c r="AE790" s="32">
        <f t="shared" si="239"/>
        <v>0</v>
      </c>
      <c r="AF790" s="12"/>
      <c r="AH790" s="12"/>
      <c r="AI790" s="12">
        <f t="shared" si="23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2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78</v>
      </c>
      <c r="O791" s="31">
        <f t="shared" si="236"/>
        <v>9043</v>
      </c>
      <c r="P791" s="32">
        <f>650*2+670+9.5*2</f>
        <v>1989</v>
      </c>
      <c r="Q791" s="32"/>
      <c r="R791" s="32"/>
      <c r="S791" s="32">
        <f t="shared" si="232"/>
        <v>1989</v>
      </c>
      <c r="T791" s="12"/>
      <c r="U791" s="12"/>
      <c r="V791" s="12"/>
      <c r="W791" s="12">
        <f t="shared" si="233"/>
        <v>1989</v>
      </c>
      <c r="Y791" s="10">
        <v>10</v>
      </c>
      <c r="Z791" s="30"/>
      <c r="AA791" s="31"/>
      <c r="AB791" s="32"/>
      <c r="AC791" s="32"/>
      <c r="AD791" s="32"/>
      <c r="AE791" s="32">
        <f t="shared" si="239"/>
        <v>0</v>
      </c>
      <c r="AF791" s="12"/>
      <c r="AG791" s="12"/>
      <c r="AH791" s="12"/>
      <c r="AI791" s="12">
        <f t="shared" si="23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2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78</v>
      </c>
      <c r="O792" s="31">
        <f t="shared" si="236"/>
        <v>9044</v>
      </c>
      <c r="P792" s="32">
        <f>650*8+670+622*2+9.5*10</f>
        <v>7209</v>
      </c>
      <c r="Q792" s="32"/>
      <c r="R792" s="32"/>
      <c r="S792" s="32">
        <f t="shared" si="232"/>
        <v>7209</v>
      </c>
      <c r="T792" s="12"/>
      <c r="U792" s="12"/>
      <c r="V792" s="12"/>
      <c r="W792" s="12">
        <f t="shared" si="233"/>
        <v>7209</v>
      </c>
      <c r="Y792" s="10">
        <v>11</v>
      </c>
      <c r="Z792" s="30"/>
      <c r="AB792" s="32"/>
      <c r="AC792" s="32"/>
      <c r="AD792" s="32"/>
      <c r="AE792" s="32">
        <f t="shared" si="239"/>
        <v>0</v>
      </c>
      <c r="AF792" s="12"/>
      <c r="AG792" s="12"/>
      <c r="AH792" s="12"/>
      <c r="AI792" s="12">
        <f t="shared" si="23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78</v>
      </c>
      <c r="O793" s="31">
        <f t="shared" si="236"/>
        <v>9045</v>
      </c>
      <c r="P793" s="32">
        <f>650*4+9.5*13</f>
        <v>2723.5</v>
      </c>
      <c r="Q793" s="32"/>
      <c r="R793" s="32"/>
      <c r="S793" s="32">
        <f t="shared" si="232"/>
        <v>2723.5</v>
      </c>
      <c r="T793" s="12"/>
      <c r="U793" s="12"/>
      <c r="V793" s="12"/>
      <c r="W793" s="12">
        <f t="shared" si="233"/>
        <v>2723.5</v>
      </c>
      <c r="Y793" s="10">
        <v>12</v>
      </c>
      <c r="Z793" s="30"/>
      <c r="AA793" s="31"/>
      <c r="AB793" s="32"/>
      <c r="AC793" s="32"/>
      <c r="AD793" s="32"/>
      <c r="AE793" s="32">
        <f t="shared" si="239"/>
        <v>0</v>
      </c>
      <c r="AF793" s="12"/>
      <c r="AG793" s="12"/>
      <c r="AH793" s="12"/>
      <c r="AI793" s="12">
        <f t="shared" si="23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102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78</v>
      </c>
      <c r="O794" s="31">
        <f t="shared" si="236"/>
        <v>9046</v>
      </c>
      <c r="P794" s="32">
        <f>650*3+670+622+9.5*4</f>
        <v>3280</v>
      </c>
      <c r="Q794" s="32"/>
      <c r="R794" s="32"/>
      <c r="S794" s="32">
        <f t="shared" si="232"/>
        <v>3280</v>
      </c>
      <c r="T794" s="12"/>
      <c r="U794" s="12"/>
      <c r="V794" s="12">
        <v>-555</v>
      </c>
      <c r="W794" s="12">
        <f t="shared" si="233"/>
        <v>2725</v>
      </c>
      <c r="Y794" s="10">
        <v>13</v>
      </c>
      <c r="Z794" s="30"/>
      <c r="AA794" s="31"/>
      <c r="AB794" s="32"/>
      <c r="AC794" s="32"/>
      <c r="AD794" s="32"/>
      <c r="AE794" s="32">
        <f t="shared" si="239"/>
        <v>0</v>
      </c>
      <c r="AF794" s="12"/>
      <c r="AG794" s="12"/>
      <c r="AH794" s="12"/>
      <c r="AI794" s="12">
        <f t="shared" si="23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102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78</v>
      </c>
      <c r="O795" s="31">
        <f t="shared" si="236"/>
        <v>9047</v>
      </c>
      <c r="P795" s="32">
        <f>650*3+622*2+9.5*5</f>
        <v>3241.5</v>
      </c>
      <c r="Q795" s="32"/>
      <c r="R795" s="32"/>
      <c r="S795" s="32">
        <f t="shared" si="232"/>
        <v>3241.5</v>
      </c>
      <c r="T795" s="12"/>
      <c r="U795" s="12"/>
      <c r="V795" s="12">
        <v>-240</v>
      </c>
      <c r="W795" s="12">
        <f t="shared" si="233"/>
        <v>3001.5</v>
      </c>
      <c r="Y795" s="10">
        <v>14</v>
      </c>
      <c r="Z795" s="30"/>
      <c r="AA795" s="31"/>
      <c r="AB795" s="32"/>
      <c r="AC795" s="32"/>
      <c r="AD795" s="32"/>
      <c r="AE795" s="32">
        <f t="shared" si="239"/>
        <v>0</v>
      </c>
      <c r="AF795" s="12"/>
      <c r="AG795" s="12"/>
      <c r="AH795" s="12"/>
      <c r="AI795" s="12">
        <f t="shared" si="23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102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78</v>
      </c>
      <c r="O796" s="31">
        <f t="shared" si="236"/>
        <v>9048</v>
      </c>
      <c r="P796" s="32">
        <f>650*11+9.5*11</f>
        <v>7254.5</v>
      </c>
      <c r="Q796" s="32"/>
      <c r="R796" s="32"/>
      <c r="S796" s="32">
        <f t="shared" si="232"/>
        <v>7254.5</v>
      </c>
      <c r="T796" s="12"/>
      <c r="U796" s="12"/>
      <c r="V796" s="12"/>
      <c r="W796" s="12">
        <f t="shared" si="233"/>
        <v>7254.5</v>
      </c>
      <c r="Y796" s="10">
        <v>15</v>
      </c>
      <c r="Z796" s="30"/>
      <c r="AA796" s="31"/>
      <c r="AB796" s="32"/>
      <c r="AC796" s="32"/>
      <c r="AD796" s="32"/>
      <c r="AE796" s="32">
        <f t="shared" si="239"/>
        <v>0</v>
      </c>
      <c r="AF796" s="12"/>
      <c r="AG796" s="12"/>
      <c r="AH796" s="12"/>
      <c r="AI796" s="12">
        <f t="shared" si="23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102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 t="s">
        <v>78</v>
      </c>
      <c r="O797" s="31">
        <f t="shared" si="236"/>
        <v>9049</v>
      </c>
      <c r="P797" s="32">
        <f>650*134+670*3+700*2+622*3+1050+872*2+229*6+500+650</f>
        <v>97694</v>
      </c>
      <c r="Q797" s="32"/>
      <c r="R797" s="32"/>
      <c r="S797" s="32">
        <f t="shared" si="232"/>
        <v>97694</v>
      </c>
      <c r="T797" s="12"/>
      <c r="U797" s="12">
        <v>189</v>
      </c>
      <c r="V797" s="12">
        <f>-480+-1560+-40</f>
        <v>-2080</v>
      </c>
      <c r="W797" s="12">
        <f t="shared" si="233"/>
        <v>95803</v>
      </c>
      <c r="Y797" s="10">
        <v>16</v>
      </c>
      <c r="Z797" s="30"/>
      <c r="AA797" s="31"/>
      <c r="AB797" s="32"/>
      <c r="AC797" s="32"/>
      <c r="AD797" s="32"/>
      <c r="AE797" s="32">
        <f t="shared" si="239"/>
        <v>0</v>
      </c>
      <c r="AF797" s="12"/>
      <c r="AG797" s="12"/>
      <c r="AH797" s="12"/>
      <c r="AI797" s="12">
        <f t="shared" si="23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102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 t="s">
        <v>78</v>
      </c>
      <c r="O798" s="31">
        <f t="shared" si="236"/>
        <v>9050</v>
      </c>
      <c r="P798" s="35">
        <f>650*45+622*5+229</f>
        <v>32589</v>
      </c>
      <c r="Q798" s="32"/>
      <c r="R798" s="32"/>
      <c r="S798" s="32">
        <f t="shared" si="232"/>
        <v>32589</v>
      </c>
      <c r="T798" s="12"/>
      <c r="U798" s="12">
        <v>513</v>
      </c>
      <c r="V798" s="12"/>
      <c r="W798" s="12">
        <f t="shared" si="233"/>
        <v>33102</v>
      </c>
      <c r="Y798" s="10">
        <v>17</v>
      </c>
      <c r="Z798" s="30"/>
      <c r="AA798" s="31"/>
      <c r="AB798" s="35"/>
      <c r="AC798" s="32"/>
      <c r="AD798" s="32"/>
      <c r="AE798" s="32">
        <f t="shared" si="239"/>
        <v>0</v>
      </c>
      <c r="AF798" s="12"/>
      <c r="AG798" s="12"/>
      <c r="AH798" s="12"/>
      <c r="AI798" s="12">
        <f t="shared" si="23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102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11" t="s">
        <v>27</v>
      </c>
      <c r="P799" s="32"/>
      <c r="Q799" s="32"/>
      <c r="R799" s="32"/>
      <c r="S799" s="32">
        <f t="shared" si="232"/>
        <v>0</v>
      </c>
      <c r="T799" s="12"/>
      <c r="U799" s="12"/>
      <c r="V799" s="12"/>
      <c r="W799" s="12">
        <f t="shared" si="233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9"/>
        <v>0</v>
      </c>
      <c r="AF799" s="12"/>
      <c r="AG799" s="12"/>
      <c r="AH799" s="12"/>
      <c r="AI799" s="12">
        <f t="shared" si="23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102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32"/>
        <v>0</v>
      </c>
      <c r="T800" s="12"/>
      <c r="U800" s="12"/>
      <c r="V800" s="12"/>
      <c r="W800" s="12">
        <f t="shared" si="233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9"/>
        <v>0</v>
      </c>
      <c r="AF800" s="12"/>
      <c r="AG800" s="12"/>
      <c r="AH800" s="12"/>
      <c r="AI800" s="12">
        <f t="shared" si="23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102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32"/>
        <v>0</v>
      </c>
      <c r="T801" s="12"/>
      <c r="U801" s="12"/>
      <c r="V801" s="12"/>
      <c r="W801" s="12">
        <f t="shared" si="233"/>
        <v>0</v>
      </c>
      <c r="Y801" s="10">
        <v>20</v>
      </c>
      <c r="Z801" s="30"/>
      <c r="AB801" s="32"/>
      <c r="AC801" s="32"/>
      <c r="AD801" s="32"/>
      <c r="AE801" s="32">
        <f t="shared" si="239"/>
        <v>0</v>
      </c>
      <c r="AF801" s="12"/>
      <c r="AG801" s="12"/>
      <c r="AH801" s="12"/>
      <c r="AI801" s="12">
        <f t="shared" si="23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2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P802" s="92"/>
      <c r="Q802" s="31"/>
      <c r="R802" s="31"/>
      <c r="S802" s="32">
        <f t="shared" si="232"/>
        <v>0</v>
      </c>
      <c r="T802" s="10"/>
      <c r="U802" s="10"/>
      <c r="V802" s="10"/>
      <c r="W802" s="12">
        <f t="shared" si="233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9"/>
        <v>0</v>
      </c>
      <c r="AF802" s="10"/>
      <c r="AG802" s="10"/>
      <c r="AH802" s="10"/>
      <c r="AI802" s="12">
        <f t="shared" si="23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102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92"/>
      <c r="Q803" s="31"/>
      <c r="R803" s="31"/>
      <c r="S803" s="32">
        <f t="shared" si="232"/>
        <v>0</v>
      </c>
      <c r="T803" s="10"/>
      <c r="U803" s="10"/>
      <c r="V803" s="10"/>
      <c r="W803" s="12">
        <f t="shared" si="233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9"/>
        <v>0</v>
      </c>
      <c r="AF803" s="10"/>
      <c r="AG803" s="10"/>
      <c r="AH803" s="10"/>
      <c r="AI803" s="12">
        <f t="shared" si="23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102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32"/>
        <v>0</v>
      </c>
      <c r="T804" s="10"/>
      <c r="U804" s="10"/>
      <c r="V804" s="10"/>
      <c r="W804" s="12">
        <f t="shared" si="233"/>
        <v>0</v>
      </c>
      <c r="Y804" s="10">
        <v>23</v>
      </c>
      <c r="Z804" s="30"/>
      <c r="AA804" s="31"/>
      <c r="AB804" s="47"/>
      <c r="AC804" s="31"/>
      <c r="AE804" s="32">
        <f t="shared" si="239"/>
        <v>0</v>
      </c>
      <c r="AF804" s="10"/>
      <c r="AG804" s="10"/>
      <c r="AH804" s="10"/>
      <c r="AI804" s="12">
        <f t="shared" si="23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102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P805" s="47"/>
      <c r="Q805" s="31"/>
      <c r="R805" s="31"/>
      <c r="S805" s="32">
        <f t="shared" si="232"/>
        <v>0</v>
      </c>
      <c r="T805" s="10"/>
      <c r="U805" s="10"/>
      <c r="V805" s="10"/>
      <c r="W805" s="12">
        <f t="shared" si="233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9"/>
        <v>0</v>
      </c>
      <c r="AF805" s="10"/>
      <c r="AG805" s="10"/>
      <c r="AH805" s="10"/>
      <c r="AI805" s="12">
        <f t="shared" si="23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2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32"/>
        <v>0</v>
      </c>
      <c r="T806" s="10"/>
      <c r="U806" s="10"/>
      <c r="V806" s="10"/>
      <c r="W806" s="12">
        <f t="shared" si="233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9"/>
        <v>0</v>
      </c>
      <c r="AF806" s="10"/>
      <c r="AG806" s="10"/>
      <c r="AH806" s="10"/>
      <c r="AI806" s="12">
        <f t="shared" si="23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102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P807" s="47"/>
      <c r="Q807" s="31"/>
      <c r="R807" s="31"/>
      <c r="S807" s="32">
        <f t="shared" si="232"/>
        <v>0</v>
      </c>
      <c r="T807" s="10"/>
      <c r="U807" s="10"/>
      <c r="V807" s="10"/>
      <c r="W807" s="12">
        <f t="shared" si="233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9"/>
        <v>0</v>
      </c>
      <c r="AF807" s="10"/>
      <c r="AG807" s="10"/>
      <c r="AH807" s="10"/>
      <c r="AI807" s="12">
        <f t="shared" si="23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102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32"/>
        <v>0</v>
      </c>
      <c r="T808" s="10"/>
      <c r="U808" s="10"/>
      <c r="V808" s="10"/>
      <c r="W808" s="12">
        <f t="shared" si="233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9"/>
        <v>0</v>
      </c>
      <c r="AF808" s="10"/>
      <c r="AG808" s="10"/>
      <c r="AH808" s="10"/>
      <c r="AI808" s="12">
        <f t="shared" si="23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102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32"/>
        <v>0</v>
      </c>
      <c r="T809" s="10"/>
      <c r="U809" s="10"/>
      <c r="V809" s="10"/>
      <c r="W809" s="12">
        <f t="shared" si="233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9"/>
        <v>0</v>
      </c>
      <c r="AF809" s="10"/>
      <c r="AG809" s="10"/>
      <c r="AH809" s="10"/>
      <c r="AI809" s="12">
        <f t="shared" si="23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102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32"/>
        <v>0</v>
      </c>
      <c r="T810" s="10"/>
      <c r="U810" s="10"/>
      <c r="V810" s="10"/>
      <c r="W810" s="12">
        <f t="shared" si="233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9"/>
        <v>0</v>
      </c>
      <c r="AF810" s="10"/>
      <c r="AG810" s="10"/>
      <c r="AH810" s="10"/>
      <c r="AI810" s="12">
        <f t="shared" si="23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102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P811" s="47"/>
      <c r="Q811" s="31"/>
      <c r="R811" s="31"/>
      <c r="S811" s="32">
        <f t="shared" si="232"/>
        <v>0</v>
      </c>
      <c r="T811" s="10"/>
      <c r="U811" s="10"/>
      <c r="V811" s="10"/>
      <c r="W811" s="12">
        <f t="shared" si="233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9"/>
        <v>0</v>
      </c>
      <c r="AF811" s="10"/>
      <c r="AG811" s="10"/>
      <c r="AH811" s="10"/>
      <c r="AI811" s="12">
        <f t="shared" si="23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32"/>
        <v>0</v>
      </c>
      <c r="T812" s="10"/>
      <c r="U812" s="10"/>
      <c r="V812" s="10"/>
      <c r="W812" s="12">
        <f t="shared" si="233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9"/>
        <v>0</v>
      </c>
      <c r="AF812" s="10"/>
      <c r="AG812" s="10"/>
      <c r="AH812" s="10"/>
      <c r="AI812" s="12">
        <f t="shared" si="23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102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32"/>
        <v>0</v>
      </c>
      <c r="T813" s="10"/>
      <c r="U813" s="10"/>
      <c r="V813" s="10"/>
      <c r="W813" s="12">
        <f t="shared" si="233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9"/>
        <v>0</v>
      </c>
      <c r="AF813" s="10"/>
      <c r="AG813" s="10"/>
      <c r="AH813" s="10"/>
      <c r="AI813" s="12">
        <f t="shared" si="23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32"/>
        <v>0</v>
      </c>
      <c r="T814" s="10"/>
      <c r="U814" s="10"/>
      <c r="V814" s="10"/>
      <c r="W814" s="12">
        <f t="shared" si="233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9"/>
        <v>0</v>
      </c>
      <c r="AF814" s="10"/>
      <c r="AG814" s="10"/>
      <c r="AH814" s="10"/>
      <c r="AI814" s="12">
        <f t="shared" si="23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32"/>
        <v>0</v>
      </c>
      <c r="T815" s="10"/>
      <c r="U815" s="10"/>
      <c r="V815" s="10"/>
      <c r="W815" s="12">
        <f t="shared" si="233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39"/>
        <v>0</v>
      </c>
      <c r="AF815" s="10"/>
      <c r="AG815" s="10"/>
      <c r="AH815" s="10"/>
      <c r="AI815" s="12">
        <f t="shared" si="23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32"/>
        <v>0</v>
      </c>
      <c r="T816" s="10"/>
      <c r="U816" s="10"/>
      <c r="V816" s="10"/>
      <c r="W816" s="12">
        <f t="shared" si="233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9"/>
        <v>0</v>
      </c>
      <c r="AF816" s="10"/>
      <c r="AG816" s="10"/>
      <c r="AH816" s="10"/>
      <c r="AI816" s="12">
        <f t="shared" si="23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32"/>
        <v>0</v>
      </c>
      <c r="T817" s="10"/>
      <c r="U817" s="10"/>
      <c r="V817" s="10"/>
      <c r="W817" s="12">
        <f t="shared" si="233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9"/>
        <v>0</v>
      </c>
      <c r="AF817" s="10"/>
      <c r="AG817" s="10"/>
      <c r="AH817" s="10"/>
      <c r="AI817" s="12">
        <f t="shared" si="23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2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32"/>
        <v>0</v>
      </c>
      <c r="T818" s="10"/>
      <c r="U818" s="10"/>
      <c r="V818" s="10"/>
      <c r="W818" s="12">
        <f t="shared" si="233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9"/>
        <v>0</v>
      </c>
      <c r="AF818" s="10"/>
      <c r="AG818" s="10"/>
      <c r="AH818" s="10"/>
      <c r="AI818" s="12">
        <f t="shared" si="23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2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32"/>
        <v>0</v>
      </c>
      <c r="T819" s="10"/>
      <c r="U819" s="10"/>
      <c r="V819" s="10"/>
      <c r="W819" s="12">
        <f t="shared" si="233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9"/>
        <v>0</v>
      </c>
      <c r="AF819" s="10"/>
      <c r="AG819" s="10"/>
      <c r="AH819" s="10"/>
      <c r="AI819" s="12">
        <f t="shared" si="23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2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32"/>
        <v>0</v>
      </c>
      <c r="T820" s="10"/>
      <c r="U820" s="10"/>
      <c r="V820" s="10"/>
      <c r="W820" s="12">
        <f t="shared" si="233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9"/>
        <v>0</v>
      </c>
      <c r="AF820" s="10"/>
      <c r="AG820" s="10"/>
      <c r="AH820" s="10"/>
      <c r="AI820" s="12">
        <f t="shared" si="23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2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3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2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40">SUM(P822:Q822)</f>
        <v>0</v>
      </c>
      <c r="T822" s="10"/>
      <c r="U822" s="10"/>
      <c r="V822" s="10"/>
      <c r="W822" s="12">
        <f t="shared" si="233"/>
        <v>0</v>
      </c>
      <c r="Y822" s="10"/>
      <c r="Z822" s="30"/>
      <c r="AA822" s="31"/>
      <c r="AB822" s="47"/>
      <c r="AC822" s="31"/>
      <c r="AD822" s="31"/>
      <c r="AE822" s="32">
        <f t="shared" ref="AE822" si="241">SUM(AB822:AC822)</f>
        <v>0</v>
      </c>
      <c r="AF822" s="10"/>
      <c r="AG822" s="10"/>
      <c r="AH822" s="10"/>
      <c r="AI822" s="12">
        <f t="shared" si="23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3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102"/>
      <c r="C824" s="102"/>
      <c r="D824" s="102"/>
      <c r="E824" s="102"/>
      <c r="F824" s="102"/>
      <c r="G824" s="102"/>
      <c r="H824" s="62"/>
      <c r="I824" s="62"/>
      <c r="J824" s="62"/>
      <c r="K824" s="62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102"/>
      <c r="C825" s="102"/>
      <c r="D825" s="70"/>
      <c r="E825" s="70"/>
      <c r="F825" s="70"/>
      <c r="G825" s="70"/>
      <c r="H825" s="63"/>
      <c r="I825" s="70"/>
      <c r="J825" s="70"/>
      <c r="K825" s="70"/>
      <c r="N825" s="57"/>
      <c r="O825" s="57"/>
      <c r="P825" s="38">
        <f>SUM(P782:P824)</f>
        <v>209792.5</v>
      </c>
      <c r="Q825" s="38">
        <f>SUM(Q782:Q806)</f>
        <v>0</v>
      </c>
      <c r="R825" s="38">
        <f>SUM(R782:R806)</f>
        <v>0</v>
      </c>
      <c r="S825" s="38">
        <f>SUM(S782:S824)</f>
        <v>209792.5</v>
      </c>
      <c r="T825" s="4"/>
      <c r="U825" s="41">
        <f>SUM(U782:U824)</f>
        <v>807</v>
      </c>
      <c r="V825" s="41">
        <f>SUM(V782:V806)</f>
        <v>-2875</v>
      </c>
      <c r="W825" s="42">
        <f>SUM(W782:W824)</f>
        <v>207724.5</v>
      </c>
      <c r="Z825" s="57"/>
      <c r="AA825" s="57"/>
      <c r="AB825" s="38">
        <f>SUM(AB782:AB824)</f>
        <v>224621.5</v>
      </c>
      <c r="AC825" s="38">
        <f>SUM(AC782:AC806)</f>
        <v>-1956</v>
      </c>
      <c r="AD825" s="38">
        <f>SUM(AD782:AD806)</f>
        <v>0</v>
      </c>
      <c r="AE825" s="38">
        <f>SUM(AE782:AE824)</f>
        <v>222665.5</v>
      </c>
      <c r="AF825" s="4"/>
      <c r="AG825" s="41">
        <f>SUM(AG782:AG824)</f>
        <v>3267</v>
      </c>
      <c r="AH825" s="41">
        <f>SUM(AH782:AH806)</f>
        <v>-1776</v>
      </c>
      <c r="AI825" s="42">
        <f>SUM(AI782:AI824)</f>
        <v>224156.5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80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80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80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5" t="s">
        <v>17</v>
      </c>
      <c r="E835" s="115"/>
      <c r="F835" s="104"/>
      <c r="G835" s="27"/>
      <c r="I835" s="113" t="s">
        <v>18</v>
      </c>
      <c r="J835" s="114"/>
      <c r="K835" s="111" t="s">
        <v>19</v>
      </c>
      <c r="N835" s="25"/>
      <c r="O835" s="26"/>
      <c r="P835" s="115" t="s">
        <v>17</v>
      </c>
      <c r="Q835" s="115"/>
      <c r="R835" s="104"/>
      <c r="S835" s="27"/>
      <c r="U835" s="113" t="s">
        <v>18</v>
      </c>
      <c r="V835" s="114"/>
      <c r="W835" s="111" t="s">
        <v>19</v>
      </c>
      <c r="Z835" s="25"/>
      <c r="AA835" s="26"/>
      <c r="AB835" s="115" t="s">
        <v>17</v>
      </c>
      <c r="AC835" s="115"/>
      <c r="AD835" s="104"/>
      <c r="AE835" s="27"/>
      <c r="AG835" s="113" t="s">
        <v>18</v>
      </c>
      <c r="AH835" s="114"/>
      <c r="AI835" s="111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2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2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81</v>
      </c>
      <c r="C837" s="83">
        <v>9209</v>
      </c>
      <c r="D837" s="32">
        <f>650*5+9.5*5</f>
        <v>3297.5</v>
      </c>
      <c r="E837" s="32"/>
      <c r="F837" s="32"/>
      <c r="G837" s="32">
        <f t="shared" ref="G837:G870" si="242">SUM(D837:E837)</f>
        <v>3297.5</v>
      </c>
      <c r="H837" s="12"/>
      <c r="I837" s="12">
        <f>4.5*5+1.5*5</f>
        <v>30</v>
      </c>
      <c r="J837" s="12"/>
      <c r="K837" s="12">
        <f t="shared" ref="K837:K870" si="243">SUM(G837:J837)</f>
        <v>3327.5</v>
      </c>
      <c r="M837" s="10">
        <v>1</v>
      </c>
      <c r="N837" s="30" t="s">
        <v>81</v>
      </c>
      <c r="O837" s="31">
        <v>9251</v>
      </c>
      <c r="P837" s="32">
        <f>650+670+9.5</f>
        <v>1329.5</v>
      </c>
      <c r="Q837" s="32"/>
      <c r="R837" s="32"/>
      <c r="S837" s="32">
        <f>SUM(P837:Q837)</f>
        <v>1329.5</v>
      </c>
      <c r="T837" s="12"/>
      <c r="U837" s="12"/>
      <c r="V837" s="12"/>
      <c r="W837" s="12">
        <f>SUM(S837:V837)</f>
        <v>1329.5</v>
      </c>
      <c r="Y837" s="10">
        <v>1</v>
      </c>
      <c r="Z837" s="30" t="s">
        <v>81</v>
      </c>
      <c r="AA837" s="31">
        <v>9166</v>
      </c>
      <c r="AB837" s="32">
        <f>650*9+622+9.5*10</f>
        <v>6567</v>
      </c>
      <c r="AC837" s="32"/>
      <c r="AD837" s="32"/>
      <c r="AE837" s="32">
        <f>SUM(AB837:AC837)</f>
        <v>6567</v>
      </c>
      <c r="AF837" s="12"/>
      <c r="AG837" s="12"/>
      <c r="AH837" s="12"/>
      <c r="AI837" s="12">
        <f>SUM(AE837:AH837)</f>
        <v>6567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81</v>
      </c>
      <c r="C838" s="83">
        <f>C837+1</f>
        <v>9210</v>
      </c>
      <c r="D838" s="32">
        <f>650*8+622*2+9.5*10</f>
        <v>6539</v>
      </c>
      <c r="E838" s="32"/>
      <c r="F838" s="32"/>
      <c r="G838" s="32">
        <f t="shared" si="242"/>
        <v>6539</v>
      </c>
      <c r="H838" s="12"/>
      <c r="I838" s="12"/>
      <c r="J838" s="12"/>
      <c r="K838" s="12">
        <f t="shared" si="243"/>
        <v>6539</v>
      </c>
      <c r="M838" s="10">
        <v>2</v>
      </c>
      <c r="N838" s="30" t="s">
        <v>81</v>
      </c>
      <c r="O838" s="31">
        <f>O837+1</f>
        <v>9252</v>
      </c>
      <c r="P838" s="32">
        <f>650*6</f>
        <v>3900</v>
      </c>
      <c r="Q838" s="32"/>
      <c r="R838" s="32"/>
      <c r="S838" s="32">
        <f t="shared" ref="S838:S881" si="244">SUM(P838:Q838)</f>
        <v>3900</v>
      </c>
      <c r="T838" s="12"/>
      <c r="U838" s="12"/>
      <c r="V838" s="12"/>
      <c r="W838" s="12">
        <f t="shared" ref="W838:W881" si="245">SUM(S838:V838)</f>
        <v>3900</v>
      </c>
      <c r="Y838" s="10">
        <v>2</v>
      </c>
      <c r="Z838" s="30" t="s">
        <v>81</v>
      </c>
      <c r="AA838" s="31">
        <f>AA837+1</f>
        <v>9167</v>
      </c>
      <c r="AB838" s="32">
        <f>650*15+670+622*4+229</f>
        <v>13137</v>
      </c>
      <c r="AD838" s="32"/>
      <c r="AE838" s="32">
        <f t="shared" ref="AE838:AE840" si="246">SUM(AB838:AC838)</f>
        <v>13137</v>
      </c>
      <c r="AF838" s="12"/>
      <c r="AG838" s="12"/>
      <c r="AI838" s="12">
        <f t="shared" ref="AI838:AI840" si="247">SUM(AE838:AH838)</f>
        <v>13137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81</v>
      </c>
      <c r="C839" s="83">
        <f t="shared" ref="C839:C865" si="248">C838+1</f>
        <v>9211</v>
      </c>
      <c r="D839" s="33">
        <f>650*26+872+650</f>
        <v>18422</v>
      </c>
      <c r="E839" s="33"/>
      <c r="F839" s="33"/>
      <c r="G839" s="33">
        <f t="shared" si="242"/>
        <v>18422</v>
      </c>
      <c r="H839" s="34"/>
      <c r="I839" s="34"/>
      <c r="J839" s="34">
        <v>-555</v>
      </c>
      <c r="K839" s="34">
        <f t="shared" si="243"/>
        <v>17867</v>
      </c>
      <c r="M839" s="10">
        <v>3</v>
      </c>
      <c r="N839" s="30" t="s">
        <v>81</v>
      </c>
      <c r="O839" s="31">
        <f t="shared" ref="O839:O865" si="249">O838+1</f>
        <v>9253</v>
      </c>
      <c r="P839" s="32">
        <f>650*9+9.5*9</f>
        <v>5935.5</v>
      </c>
      <c r="Q839" s="32"/>
      <c r="R839" s="32"/>
      <c r="S839" s="32">
        <f t="shared" si="244"/>
        <v>5935.5</v>
      </c>
      <c r="T839" s="12"/>
      <c r="U839" s="12"/>
      <c r="V839" s="12"/>
      <c r="W839" s="12">
        <f t="shared" si="245"/>
        <v>5935.5</v>
      </c>
      <c r="Y839" s="10">
        <v>3</v>
      </c>
      <c r="Z839" s="30" t="s">
        <v>81</v>
      </c>
      <c r="AA839" s="31">
        <f t="shared" ref="AA839:AA856" si="250">AA838+1</f>
        <v>9168</v>
      </c>
      <c r="AB839" s="32">
        <f>650*24+670*6+622*5+912*2+229*4</f>
        <v>25470</v>
      </c>
      <c r="AC839" s="33"/>
      <c r="AD839" s="32"/>
      <c r="AE839" s="32">
        <f t="shared" si="246"/>
        <v>25470</v>
      </c>
      <c r="AF839" s="12"/>
      <c r="AG839" s="12"/>
      <c r="AH839" s="12">
        <f>-1665+-78+-105</f>
        <v>-1848</v>
      </c>
      <c r="AI839" s="12">
        <f t="shared" si="247"/>
        <v>23622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81</v>
      </c>
      <c r="C840" s="83">
        <f t="shared" si="248"/>
        <v>9212</v>
      </c>
      <c r="D840" s="32">
        <f>650*160+229*6</f>
        <v>105374</v>
      </c>
      <c r="E840" s="32">
        <f>-160*6</f>
        <v>-960</v>
      </c>
      <c r="F840" s="32"/>
      <c r="G840" s="32">
        <f t="shared" si="242"/>
        <v>104414</v>
      </c>
      <c r="H840" s="12"/>
      <c r="I840" s="12"/>
      <c r="J840" s="12">
        <f>-111*56+-42*7</f>
        <v>-6510</v>
      </c>
      <c r="K840" s="12">
        <f t="shared" si="243"/>
        <v>97904</v>
      </c>
      <c r="M840" s="10">
        <v>4</v>
      </c>
      <c r="N840" s="30" t="s">
        <v>81</v>
      </c>
      <c r="O840" s="31">
        <f t="shared" si="249"/>
        <v>9254</v>
      </c>
      <c r="P840" s="32">
        <f>650*20+670*2+486.5+622*15+456+872+229*2</f>
        <v>25942.5</v>
      </c>
      <c r="Q840" s="32"/>
      <c r="R840" s="32"/>
      <c r="S840" s="32">
        <f t="shared" si="244"/>
        <v>25942.5</v>
      </c>
      <c r="T840" s="12"/>
      <c r="U840" s="12">
        <f>240+3885+156+222</f>
        <v>4503</v>
      </c>
      <c r="V840" s="12"/>
      <c r="W840" s="12">
        <f t="shared" si="245"/>
        <v>30445.5</v>
      </c>
      <c r="Y840" s="10">
        <v>4</v>
      </c>
      <c r="Z840" s="30" t="s">
        <v>81</v>
      </c>
      <c r="AA840" s="31">
        <f t="shared" si="250"/>
        <v>9169</v>
      </c>
      <c r="AB840" s="32">
        <f>650*17+622*5+229</f>
        <v>14389</v>
      </c>
      <c r="AC840" s="32"/>
      <c r="AD840" s="32"/>
      <c r="AE840" s="32">
        <f>SUM(AB840:AC840)</f>
        <v>14389</v>
      </c>
      <c r="AF840" s="12"/>
      <c r="AH840" s="12"/>
      <c r="AI840" s="12">
        <f>SUM(AE840:AH840)</f>
        <v>14389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81</v>
      </c>
      <c r="C841" s="83">
        <f t="shared" si="248"/>
        <v>9213</v>
      </c>
      <c r="D841" s="32">
        <f>650*20+622*2</f>
        <v>14244</v>
      </c>
      <c r="E841" s="32"/>
      <c r="F841" s="32"/>
      <c r="G841" s="32">
        <f t="shared" si="242"/>
        <v>14244</v>
      </c>
      <c r="H841" s="12"/>
      <c r="I841" s="12"/>
      <c r="J841" s="12"/>
      <c r="K841" s="12">
        <f t="shared" si="243"/>
        <v>14244</v>
      </c>
      <c r="M841" s="10">
        <v>5</v>
      </c>
      <c r="N841" s="30" t="s">
        <v>81</v>
      </c>
      <c r="O841" s="31">
        <f t="shared" si="249"/>
        <v>9255</v>
      </c>
      <c r="P841" s="32">
        <f>650*2+622*4</f>
        <v>3788</v>
      </c>
      <c r="Q841" s="32"/>
      <c r="R841" s="32"/>
      <c r="S841" s="32">
        <f t="shared" si="244"/>
        <v>3788</v>
      </c>
      <c r="T841" s="12"/>
      <c r="U841" s="12"/>
      <c r="V841" s="12"/>
      <c r="W841" s="12">
        <f t="shared" si="245"/>
        <v>3788</v>
      </c>
      <c r="Y841" s="10">
        <v>5</v>
      </c>
      <c r="Z841" s="30" t="s">
        <v>81</v>
      </c>
      <c r="AA841" s="31">
        <f t="shared" si="250"/>
        <v>9170</v>
      </c>
      <c r="AB841" s="33">
        <f>650*6+9.5*6</f>
        <v>3957</v>
      </c>
      <c r="AC841" s="32"/>
      <c r="AD841" s="32"/>
      <c r="AE841" s="32">
        <f>SUM(AB841:AC841)</f>
        <v>3957</v>
      </c>
      <c r="AF841" s="12"/>
      <c r="AG841" s="12"/>
      <c r="AH841" s="12"/>
      <c r="AI841" s="12">
        <f t="shared" ref="AI841:AI881" si="251">SUM(AE841:AH841)</f>
        <v>3957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81</v>
      </c>
      <c r="C842" s="83">
        <f t="shared" si="248"/>
        <v>9214</v>
      </c>
      <c r="D842" s="32">
        <f>650*95+622*10+229*5</f>
        <v>69115</v>
      </c>
      <c r="E842" s="32"/>
      <c r="F842" s="32"/>
      <c r="G842" s="32">
        <f t="shared" si="242"/>
        <v>69115</v>
      </c>
      <c r="H842" s="12"/>
      <c r="I842" s="12"/>
      <c r="J842" s="12"/>
      <c r="K842" s="12">
        <f t="shared" si="243"/>
        <v>69115</v>
      </c>
      <c r="M842" s="10">
        <v>6</v>
      </c>
      <c r="N842" s="30" t="s">
        <v>81</v>
      </c>
      <c r="O842" s="31">
        <f t="shared" si="249"/>
        <v>9256</v>
      </c>
      <c r="P842" s="32">
        <f>650+622+9.5*2</f>
        <v>1291</v>
      </c>
      <c r="Q842" s="32"/>
      <c r="R842" s="32"/>
      <c r="S842" s="32">
        <f t="shared" si="244"/>
        <v>1291</v>
      </c>
      <c r="T842" s="12"/>
      <c r="U842" s="12"/>
      <c r="V842" s="10"/>
      <c r="W842" s="12">
        <f t="shared" si="245"/>
        <v>1291</v>
      </c>
      <c r="Y842" s="10">
        <v>6</v>
      </c>
      <c r="Z842" s="30" t="s">
        <v>81</v>
      </c>
      <c r="AA842" s="31">
        <f t="shared" si="250"/>
        <v>9171</v>
      </c>
      <c r="AB842" s="32">
        <f>650+622+9.5*2</f>
        <v>1291</v>
      </c>
      <c r="AC842" s="32"/>
      <c r="AD842" s="32"/>
      <c r="AE842" s="32">
        <f t="shared" ref="AE842:AE881" si="252">SUM(AB842:AC842)</f>
        <v>1291</v>
      </c>
      <c r="AF842" s="12"/>
      <c r="AG842" s="12"/>
      <c r="AH842" s="10"/>
      <c r="AI842" s="12">
        <f t="shared" si="251"/>
        <v>1291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81</v>
      </c>
      <c r="C843" s="83">
        <f t="shared" si="248"/>
        <v>9215</v>
      </c>
      <c r="D843" s="32">
        <f>700</f>
        <v>700</v>
      </c>
      <c r="E843" s="32"/>
      <c r="F843" s="32"/>
      <c r="G843" s="32">
        <f t="shared" si="242"/>
        <v>700</v>
      </c>
      <c r="H843" s="12"/>
      <c r="I843" s="12"/>
      <c r="J843" s="12"/>
      <c r="K843" s="12">
        <f t="shared" si="243"/>
        <v>700</v>
      </c>
      <c r="M843" s="10">
        <v>7</v>
      </c>
      <c r="N843" s="30" t="s">
        <v>81</v>
      </c>
      <c r="O843" s="31">
        <f t="shared" si="249"/>
        <v>9257</v>
      </c>
      <c r="P843" s="32">
        <f>622*2+9.5*2</f>
        <v>1263</v>
      </c>
      <c r="Q843" s="32"/>
      <c r="R843" s="32"/>
      <c r="S843" s="32">
        <f t="shared" si="244"/>
        <v>1263</v>
      </c>
      <c r="T843" s="12"/>
      <c r="U843" s="12"/>
      <c r="V843" s="12"/>
      <c r="W843" s="12">
        <f t="shared" si="245"/>
        <v>1263</v>
      </c>
      <c r="Y843" s="10">
        <v>7</v>
      </c>
      <c r="Z843" s="30" t="s">
        <v>81</v>
      </c>
      <c r="AA843" s="31">
        <f t="shared" si="250"/>
        <v>9172</v>
      </c>
      <c r="AB843" s="32">
        <f>650*3+670</f>
        <v>2620</v>
      </c>
      <c r="AC843" s="32"/>
      <c r="AD843" s="32"/>
      <c r="AE843" s="32">
        <f t="shared" si="252"/>
        <v>2620</v>
      </c>
      <c r="AF843" s="12"/>
      <c r="AG843" s="58"/>
      <c r="AH843" s="12"/>
      <c r="AI843" s="12">
        <f t="shared" si="251"/>
        <v>2620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81</v>
      </c>
      <c r="C844" s="83">
        <f t="shared" si="248"/>
        <v>9216</v>
      </c>
      <c r="D844" s="32">
        <f>650*10</f>
        <v>6500</v>
      </c>
      <c r="E844" s="32"/>
      <c r="F844" s="32"/>
      <c r="G844" s="32">
        <f t="shared" si="242"/>
        <v>6500</v>
      </c>
      <c r="H844" s="12"/>
      <c r="I844" s="12">
        <v>162</v>
      </c>
      <c r="J844" s="12"/>
      <c r="K844" s="12">
        <f t="shared" si="243"/>
        <v>6662</v>
      </c>
      <c r="M844" s="10">
        <v>8</v>
      </c>
      <c r="N844" s="30" t="s">
        <v>81</v>
      </c>
      <c r="O844" s="31">
        <f t="shared" si="249"/>
        <v>9258</v>
      </c>
      <c r="P844" s="32">
        <f>622*3+9.5*3</f>
        <v>1894.5</v>
      </c>
      <c r="Q844" s="32"/>
      <c r="R844" s="32"/>
      <c r="S844" s="32">
        <f t="shared" si="244"/>
        <v>1894.5</v>
      </c>
      <c r="T844" s="12"/>
      <c r="U844" s="12"/>
      <c r="V844" s="12"/>
      <c r="W844" s="12">
        <f t="shared" si="245"/>
        <v>1894.5</v>
      </c>
      <c r="Y844" s="10">
        <v>8</v>
      </c>
      <c r="Z844" s="30" t="s">
        <v>81</v>
      </c>
      <c r="AA844" s="31">
        <f t="shared" si="250"/>
        <v>9173</v>
      </c>
      <c r="AB844" s="32">
        <f>650*2+622+9.5*3</f>
        <v>1950.5</v>
      </c>
      <c r="AC844" s="32"/>
      <c r="AE844" s="32">
        <f t="shared" si="252"/>
        <v>1950.5</v>
      </c>
      <c r="AF844" s="12"/>
      <c r="AG844" s="12"/>
      <c r="AH844" s="12"/>
      <c r="AI844" s="12">
        <f t="shared" si="251"/>
        <v>1950.5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81</v>
      </c>
      <c r="C845" s="83">
        <f t="shared" si="248"/>
        <v>9217</v>
      </c>
      <c r="D845" s="32">
        <f>650*50</f>
        <v>32500</v>
      </c>
      <c r="E845" s="32">
        <v>-300</v>
      </c>
      <c r="F845" s="32"/>
      <c r="G845" s="32">
        <f t="shared" si="242"/>
        <v>32200</v>
      </c>
      <c r="H845" s="12"/>
      <c r="I845" s="12">
        <f>50*111</f>
        <v>5550</v>
      </c>
      <c r="J845" s="12"/>
      <c r="K845" s="12">
        <f t="shared" si="243"/>
        <v>37750</v>
      </c>
      <c r="M845" s="10">
        <v>9</v>
      </c>
      <c r="N845" s="30" t="s">
        <v>81</v>
      </c>
      <c r="O845" s="31">
        <f t="shared" si="249"/>
        <v>9259</v>
      </c>
      <c r="P845" s="32">
        <f>622*8+9.5*8</f>
        <v>5052</v>
      </c>
      <c r="Q845" s="32"/>
      <c r="R845" s="32"/>
      <c r="S845" s="32">
        <f t="shared" si="244"/>
        <v>5052</v>
      </c>
      <c r="T845" s="12"/>
      <c r="U845" s="12"/>
      <c r="V845" s="12">
        <v>-555</v>
      </c>
      <c r="W845" s="12">
        <f t="shared" si="245"/>
        <v>4497</v>
      </c>
      <c r="Y845" s="10">
        <v>9</v>
      </c>
      <c r="Z845" s="30" t="s">
        <v>81</v>
      </c>
      <c r="AA845" s="31">
        <f t="shared" si="250"/>
        <v>9174</v>
      </c>
      <c r="AB845">
        <f>650*50+1050*2+229*2</f>
        <v>35058</v>
      </c>
      <c r="AC845" s="32">
        <f>-52*6</f>
        <v>-312</v>
      </c>
      <c r="AD845" s="32"/>
      <c r="AE845" s="32">
        <f t="shared" si="252"/>
        <v>34746</v>
      </c>
      <c r="AF845" s="12"/>
      <c r="AH845" s="12">
        <f>-5550+-468</f>
        <v>-6018</v>
      </c>
      <c r="AI845" s="12">
        <f t="shared" si="251"/>
        <v>28728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11" t="s">
        <v>27</v>
      </c>
      <c r="D846" s="32"/>
      <c r="E846" s="32"/>
      <c r="F846" s="32"/>
      <c r="G846" s="32">
        <f t="shared" si="242"/>
        <v>0</v>
      </c>
      <c r="H846" s="12"/>
      <c r="I846" s="12"/>
      <c r="J846" s="12"/>
      <c r="K846" s="12">
        <f t="shared" si="243"/>
        <v>0</v>
      </c>
      <c r="M846" s="10">
        <v>10</v>
      </c>
      <c r="N846" s="30" t="s">
        <v>81</v>
      </c>
      <c r="O846" s="31">
        <f t="shared" si="249"/>
        <v>9260</v>
      </c>
      <c r="P846" s="32">
        <f>650*4+622*2</f>
        <v>3844</v>
      </c>
      <c r="Q846" s="32"/>
      <c r="R846" s="32"/>
      <c r="S846" s="32">
        <f t="shared" si="244"/>
        <v>3844</v>
      </c>
      <c r="T846" s="12"/>
      <c r="U846" s="12"/>
      <c r="V846" s="12"/>
      <c r="W846" s="12">
        <f t="shared" si="245"/>
        <v>3844</v>
      </c>
      <c r="Y846" s="10">
        <v>10</v>
      </c>
      <c r="Z846" s="30" t="s">
        <v>81</v>
      </c>
      <c r="AA846" s="31">
        <f t="shared" si="250"/>
        <v>9175</v>
      </c>
      <c r="AB846" s="32">
        <f>650*45+670*3+622*2</f>
        <v>32504</v>
      </c>
      <c r="AC846" s="32">
        <f>-50*6</f>
        <v>-300</v>
      </c>
      <c r="AD846" s="32"/>
      <c r="AE846" s="32">
        <f t="shared" si="252"/>
        <v>32204</v>
      </c>
      <c r="AF846" s="12"/>
      <c r="AG846" s="12"/>
      <c r="AH846" s="12"/>
      <c r="AI846" s="12">
        <f t="shared" si="251"/>
        <v>32204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42"/>
        <v>0</v>
      </c>
      <c r="H847" s="12"/>
      <c r="I847" s="12"/>
      <c r="J847" s="12"/>
      <c r="K847" s="12">
        <f t="shared" si="243"/>
        <v>0</v>
      </c>
      <c r="M847" s="10">
        <v>11</v>
      </c>
      <c r="N847" s="30" t="s">
        <v>81</v>
      </c>
      <c r="O847" s="31">
        <f t="shared" si="249"/>
        <v>9261</v>
      </c>
      <c r="P847" s="32">
        <f>650*3+9.5*3</f>
        <v>1978.5</v>
      </c>
      <c r="Q847" s="32"/>
      <c r="R847" s="32"/>
      <c r="S847" s="32">
        <f t="shared" si="244"/>
        <v>1978.5</v>
      </c>
      <c r="T847" s="12"/>
      <c r="U847" s="12"/>
      <c r="V847" s="12"/>
      <c r="W847" s="12">
        <f t="shared" si="245"/>
        <v>1978.5</v>
      </c>
      <c r="Y847" s="10">
        <v>11</v>
      </c>
      <c r="Z847" s="30" t="s">
        <v>81</v>
      </c>
      <c r="AA847" s="31">
        <f t="shared" si="250"/>
        <v>9176</v>
      </c>
      <c r="AB847" s="32">
        <f>650*65+229</f>
        <v>42479</v>
      </c>
      <c r="AC847" s="32"/>
      <c r="AD847" s="32"/>
      <c r="AE847" s="32">
        <f t="shared" si="252"/>
        <v>42479</v>
      </c>
      <c r="AF847" s="12"/>
      <c r="AG847" s="12"/>
      <c r="AH847" s="12"/>
      <c r="AI847" s="12">
        <f t="shared" si="251"/>
        <v>42479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42"/>
        <v>0</v>
      </c>
      <c r="H848" s="12"/>
      <c r="I848" s="12"/>
      <c r="J848" s="10"/>
      <c r="K848" s="12">
        <f t="shared" si="243"/>
        <v>0</v>
      </c>
      <c r="M848" s="10">
        <v>12</v>
      </c>
      <c r="N848" s="30" t="s">
        <v>81</v>
      </c>
      <c r="O848" s="31">
        <f t="shared" si="249"/>
        <v>9262</v>
      </c>
      <c r="P848" s="32">
        <f>650*4+9.5*4</f>
        <v>2638</v>
      </c>
      <c r="Q848" s="32"/>
      <c r="R848" s="32"/>
      <c r="S848" s="32">
        <f t="shared" si="244"/>
        <v>2638</v>
      </c>
      <c r="T848" s="12"/>
      <c r="U848" s="12"/>
      <c r="V848" s="12"/>
      <c r="W848" s="12">
        <f t="shared" si="245"/>
        <v>2638</v>
      </c>
      <c r="Y848" s="10">
        <v>12</v>
      </c>
      <c r="Z848" s="30" t="s">
        <v>81</v>
      </c>
      <c r="AA848" s="31">
        <f t="shared" si="250"/>
        <v>9177</v>
      </c>
      <c r="AB848" s="32">
        <f>50*650+622*4+912+872*2+229*2+500*2</f>
        <v>39102</v>
      </c>
      <c r="AC848" s="32"/>
      <c r="AD848" s="32"/>
      <c r="AE848" s="32">
        <f t="shared" si="252"/>
        <v>39102</v>
      </c>
      <c r="AF848" s="12"/>
      <c r="AG848" s="12"/>
      <c r="AH848" s="12"/>
      <c r="AI848" s="12">
        <f t="shared" si="251"/>
        <v>39102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42"/>
        <v>0</v>
      </c>
      <c r="H849" s="12"/>
      <c r="I849" s="12"/>
      <c r="J849" s="12"/>
      <c r="K849" s="12">
        <f t="shared" si="243"/>
        <v>0</v>
      </c>
      <c r="M849" s="10">
        <v>13</v>
      </c>
      <c r="N849" s="30" t="s">
        <v>81</v>
      </c>
      <c r="O849" s="31">
        <f t="shared" si="249"/>
        <v>9263</v>
      </c>
      <c r="P849" s="32">
        <f>650*4+9.5*4</f>
        <v>2638</v>
      </c>
      <c r="Q849" s="32"/>
      <c r="R849" s="32"/>
      <c r="S849" s="32">
        <f t="shared" si="244"/>
        <v>2638</v>
      </c>
      <c r="T849" s="12"/>
      <c r="U849" s="12"/>
      <c r="V849" s="12">
        <v>-222</v>
      </c>
      <c r="W849" s="12">
        <f t="shared" si="245"/>
        <v>2416</v>
      </c>
      <c r="Y849" s="10">
        <v>13</v>
      </c>
      <c r="Z849" s="30" t="s">
        <v>81</v>
      </c>
      <c r="AA849" s="31">
        <f t="shared" si="250"/>
        <v>9178</v>
      </c>
      <c r="AB849" s="32">
        <f>650*6+622*2</f>
        <v>5144</v>
      </c>
      <c r="AC849" s="32"/>
      <c r="AD849" s="32"/>
      <c r="AE849" s="32">
        <f t="shared" si="252"/>
        <v>5144</v>
      </c>
      <c r="AF849" s="12"/>
      <c r="AG849" s="12"/>
      <c r="AH849" s="12"/>
      <c r="AI849" s="12">
        <f t="shared" si="251"/>
        <v>5144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42"/>
        <v>0</v>
      </c>
      <c r="H850" s="12"/>
      <c r="I850" s="12"/>
      <c r="J850" s="12"/>
      <c r="K850" s="12">
        <f t="shared" si="243"/>
        <v>0</v>
      </c>
      <c r="M850" s="10">
        <v>14</v>
      </c>
      <c r="N850" s="30" t="s">
        <v>81</v>
      </c>
      <c r="O850" s="31">
        <f t="shared" si="249"/>
        <v>9264</v>
      </c>
      <c r="P850" s="32">
        <f>700/6+650*4</f>
        <v>2716.6666666666665</v>
      </c>
      <c r="Q850" s="32"/>
      <c r="R850" s="32"/>
      <c r="S850" s="32">
        <f t="shared" si="244"/>
        <v>2716.6666666666665</v>
      </c>
      <c r="T850" s="12"/>
      <c r="U850" s="12"/>
      <c r="V850" s="12"/>
      <c r="W850" s="12">
        <f t="shared" si="245"/>
        <v>2716.6666666666665</v>
      </c>
      <c r="Y850" s="10">
        <v>14</v>
      </c>
      <c r="Z850" s="30" t="s">
        <v>81</v>
      </c>
      <c r="AA850" s="31">
        <f t="shared" si="250"/>
        <v>9179</v>
      </c>
      <c r="AB850" s="32">
        <f>650*5+622*5</f>
        <v>6360</v>
      </c>
      <c r="AC850" s="32"/>
      <c r="AD850" s="32"/>
      <c r="AE850" s="32">
        <f t="shared" si="252"/>
        <v>6360</v>
      </c>
      <c r="AF850" s="12"/>
      <c r="AG850" s="12"/>
      <c r="AH850" s="12"/>
      <c r="AI850" s="12">
        <f t="shared" si="251"/>
        <v>6360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42"/>
        <v>0</v>
      </c>
      <c r="H851" s="12"/>
      <c r="I851" s="12"/>
      <c r="J851" s="12"/>
      <c r="K851" s="12">
        <f t="shared" si="243"/>
        <v>0</v>
      </c>
      <c r="M851" s="10">
        <v>15</v>
      </c>
      <c r="N851" s="30" t="s">
        <v>81</v>
      </c>
      <c r="O851" s="31">
        <f t="shared" si="249"/>
        <v>9265</v>
      </c>
      <c r="P851" s="32">
        <f>650*180+670*10+622*10+229*8</f>
        <v>131752</v>
      </c>
      <c r="Q851" s="32">
        <v>-1200</v>
      </c>
      <c r="R851" s="32"/>
      <c r="S851" s="32">
        <f t="shared" si="244"/>
        <v>130552</v>
      </c>
      <c r="T851" s="12"/>
      <c r="U851" s="12">
        <v>234</v>
      </c>
      <c r="V851" s="12">
        <f>-1200+-8658+-420+-336</f>
        <v>-10614</v>
      </c>
      <c r="W851" s="12">
        <f t="shared" si="245"/>
        <v>120172</v>
      </c>
      <c r="Y851" s="10">
        <v>15</v>
      </c>
      <c r="Z851" s="30"/>
      <c r="AA851" s="11" t="s">
        <v>27</v>
      </c>
      <c r="AB851" s="32"/>
      <c r="AC851" s="32"/>
      <c r="AD851" s="32"/>
      <c r="AE851" s="32">
        <f t="shared" si="252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83"/>
      <c r="D852" s="32"/>
      <c r="E852" s="32"/>
      <c r="F852" s="32"/>
      <c r="G852" s="32">
        <f t="shared" si="242"/>
        <v>0</v>
      </c>
      <c r="H852" s="12"/>
      <c r="I852" s="12"/>
      <c r="J852" s="12"/>
      <c r="K852" s="12">
        <f t="shared" si="243"/>
        <v>0</v>
      </c>
      <c r="M852" s="10">
        <v>16</v>
      </c>
      <c r="N852" s="30" t="s">
        <v>81</v>
      </c>
      <c r="O852" s="31">
        <f t="shared" si="249"/>
        <v>9266</v>
      </c>
      <c r="P852" s="32">
        <f>650*7+670+622*2</f>
        <v>6464</v>
      </c>
      <c r="Q852" s="32"/>
      <c r="R852" s="32"/>
      <c r="S852" s="32">
        <f t="shared" si="244"/>
        <v>6464</v>
      </c>
      <c r="T852" s="12"/>
      <c r="U852" s="12">
        <v>27</v>
      </c>
      <c r="V852" s="12"/>
      <c r="W852" s="12">
        <f t="shared" si="245"/>
        <v>6491</v>
      </c>
      <c r="Y852" s="10">
        <v>16</v>
      </c>
      <c r="Z852" s="30"/>
      <c r="AA852" s="31"/>
      <c r="AB852" s="32"/>
      <c r="AC852" s="32"/>
      <c r="AD852" s="32"/>
      <c r="AE852" s="32">
        <f t="shared" si="252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42"/>
        <v>0</v>
      </c>
      <c r="H853" s="12"/>
      <c r="I853" s="12"/>
      <c r="J853" s="12"/>
      <c r="K853" s="12">
        <f t="shared" si="243"/>
        <v>0</v>
      </c>
      <c r="M853" s="10">
        <v>17</v>
      </c>
      <c r="N853" s="30" t="s">
        <v>81</v>
      </c>
      <c r="O853" s="31">
        <f t="shared" si="249"/>
        <v>9267</v>
      </c>
      <c r="P853" s="35">
        <f>650*7</f>
        <v>4550</v>
      </c>
      <c r="Q853" s="32"/>
      <c r="R853" s="32"/>
      <c r="S853" s="32">
        <f t="shared" si="244"/>
        <v>4550</v>
      </c>
      <c r="T853" s="12"/>
      <c r="U853" s="12"/>
      <c r="V853" s="12">
        <v>-333</v>
      </c>
      <c r="W853" s="12">
        <f t="shared" si="245"/>
        <v>4217</v>
      </c>
      <c r="Y853" s="10">
        <v>17</v>
      </c>
      <c r="Z853" s="30"/>
      <c r="AA853" s="31"/>
      <c r="AB853" s="35"/>
      <c r="AC853" s="32"/>
      <c r="AD853" s="32"/>
      <c r="AE853" s="32">
        <f t="shared" si="252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42"/>
        <v>0</v>
      </c>
      <c r="H854" s="12"/>
      <c r="I854" s="12"/>
      <c r="J854" s="12"/>
      <c r="K854" s="12">
        <f t="shared" si="243"/>
        <v>0</v>
      </c>
      <c r="M854" s="10">
        <v>18</v>
      </c>
      <c r="N854" s="30" t="s">
        <v>81</v>
      </c>
      <c r="O854" s="31">
        <f t="shared" si="249"/>
        <v>9268</v>
      </c>
      <c r="P854" s="32">
        <f>650*2+9.5*2</f>
        <v>1319</v>
      </c>
      <c r="Q854" s="32"/>
      <c r="R854" s="32"/>
      <c r="S854" s="32">
        <f t="shared" si="244"/>
        <v>1319</v>
      </c>
      <c r="T854" s="12"/>
      <c r="U854" s="12"/>
      <c r="V854" s="12"/>
      <c r="W854" s="12">
        <f t="shared" si="245"/>
        <v>1319</v>
      </c>
      <c r="Y854" s="10">
        <v>18</v>
      </c>
      <c r="Z854" s="30"/>
      <c r="AA854" s="31"/>
      <c r="AB854" s="32"/>
      <c r="AC854" s="32"/>
      <c r="AD854" s="32"/>
      <c r="AE854" s="32">
        <f t="shared" si="252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42"/>
        <v>0</v>
      </c>
      <c r="H855" s="12"/>
      <c r="I855" s="12"/>
      <c r="J855" s="12"/>
      <c r="K855" s="12">
        <f t="shared" si="243"/>
        <v>0</v>
      </c>
      <c r="M855" s="10">
        <v>19</v>
      </c>
      <c r="N855" s="30"/>
      <c r="O855" s="11" t="s">
        <v>27</v>
      </c>
      <c r="P855" s="32"/>
      <c r="Q855" s="32"/>
      <c r="R855" s="32"/>
      <c r="S855" s="32">
        <f t="shared" si="244"/>
        <v>0</v>
      </c>
      <c r="T855" s="12"/>
      <c r="U855" s="12"/>
      <c r="V855" s="12"/>
      <c r="W855" s="12">
        <f t="shared" si="245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52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42"/>
        <v>0</v>
      </c>
      <c r="H856" s="12"/>
      <c r="I856" s="12"/>
      <c r="J856" s="12"/>
      <c r="K856" s="12">
        <f t="shared" si="243"/>
        <v>0</v>
      </c>
      <c r="M856" s="10">
        <v>20</v>
      </c>
      <c r="N856" s="30"/>
      <c r="O856" s="31"/>
      <c r="P856" s="32"/>
      <c r="Q856" s="32"/>
      <c r="R856" s="32"/>
      <c r="S856" s="32">
        <f t="shared" si="244"/>
        <v>0</v>
      </c>
      <c r="T856" s="12"/>
      <c r="U856" s="12"/>
      <c r="V856" s="12"/>
      <c r="W856" s="12">
        <f t="shared" si="245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2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42"/>
        <v>0</v>
      </c>
      <c r="H857" s="10"/>
      <c r="I857" s="10"/>
      <c r="J857" s="10"/>
      <c r="K857" s="12">
        <f t="shared" si="243"/>
        <v>0</v>
      </c>
      <c r="M857" s="10">
        <v>21</v>
      </c>
      <c r="N857" s="30"/>
      <c r="O857" s="31"/>
      <c r="P857" s="92"/>
      <c r="Q857" s="31"/>
      <c r="R857" s="31"/>
      <c r="S857" s="32">
        <f t="shared" si="244"/>
        <v>0</v>
      </c>
      <c r="T857" s="10"/>
      <c r="U857" s="10"/>
      <c r="V857" s="10"/>
      <c r="W857" s="12">
        <f t="shared" si="245"/>
        <v>0</v>
      </c>
      <c r="Y857" s="10">
        <v>21</v>
      </c>
      <c r="Z857" s="30"/>
      <c r="AB857" s="46"/>
      <c r="AC857" s="31"/>
      <c r="AD857" s="31"/>
      <c r="AE857" s="32">
        <f t="shared" si="252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3"/>
      <c r="D858" s="32"/>
      <c r="E858" s="32"/>
      <c r="F858" s="32"/>
      <c r="G858" s="32">
        <f t="shared" si="242"/>
        <v>0</v>
      </c>
      <c r="H858" s="10"/>
      <c r="I858" s="10"/>
      <c r="J858" s="10"/>
      <c r="K858" s="12">
        <f t="shared" si="243"/>
        <v>0</v>
      </c>
      <c r="M858" s="10">
        <v>22</v>
      </c>
      <c r="N858" s="30"/>
      <c r="O858" s="31"/>
      <c r="P858" s="92"/>
      <c r="Q858" s="31"/>
      <c r="R858" s="31"/>
      <c r="S858" s="32">
        <f t="shared" si="244"/>
        <v>0</v>
      </c>
      <c r="T858" s="10"/>
      <c r="U858" s="10"/>
      <c r="V858" s="10"/>
      <c r="W858" s="12">
        <f t="shared" si="245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2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42"/>
        <v>0</v>
      </c>
      <c r="H859" s="10"/>
      <c r="I859" s="10"/>
      <c r="J859" s="12"/>
      <c r="K859" s="12">
        <f t="shared" si="243"/>
        <v>0</v>
      </c>
      <c r="M859" s="10">
        <v>23</v>
      </c>
      <c r="N859" s="30"/>
      <c r="O859" s="31"/>
      <c r="P859" s="47"/>
      <c r="Q859" s="31"/>
      <c r="S859" s="32">
        <f t="shared" si="244"/>
        <v>0</v>
      </c>
      <c r="T859" s="10"/>
      <c r="U859" s="10"/>
      <c r="V859" s="10"/>
      <c r="W859" s="12">
        <f t="shared" si="245"/>
        <v>0</v>
      </c>
      <c r="Y859" s="10">
        <v>23</v>
      </c>
      <c r="Z859" s="30"/>
      <c r="AA859" s="31"/>
      <c r="AB859" s="47"/>
      <c r="AC859" s="31"/>
      <c r="AE859" s="32">
        <f t="shared" si="252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42"/>
        <v>0</v>
      </c>
      <c r="H860" s="10"/>
      <c r="I860" s="10"/>
      <c r="J860" s="10"/>
      <c r="K860" s="12">
        <f t="shared" si="243"/>
        <v>0</v>
      </c>
      <c r="M860" s="10">
        <v>24</v>
      </c>
      <c r="N860" s="30"/>
      <c r="O860" s="31"/>
      <c r="P860" s="47"/>
      <c r="Q860" s="31"/>
      <c r="R860" s="31"/>
      <c r="S860" s="32">
        <f t="shared" si="244"/>
        <v>0</v>
      </c>
      <c r="T860" s="10"/>
      <c r="U860" s="10"/>
      <c r="V860" s="10"/>
      <c r="W860" s="12">
        <f t="shared" si="245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2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42"/>
        <v>0</v>
      </c>
      <c r="H861" s="10"/>
      <c r="I861" s="10"/>
      <c r="J861" s="10"/>
      <c r="K861" s="12">
        <f t="shared" si="243"/>
        <v>0</v>
      </c>
      <c r="M861" s="10">
        <v>25</v>
      </c>
      <c r="N861" s="30"/>
      <c r="O861" s="31"/>
      <c r="P861" s="47"/>
      <c r="Q861" s="31"/>
      <c r="R861" s="31"/>
      <c r="S861" s="32">
        <f t="shared" si="244"/>
        <v>0</v>
      </c>
      <c r="T861" s="10"/>
      <c r="U861" s="10"/>
      <c r="V861" s="10"/>
      <c r="W861" s="12">
        <f t="shared" si="245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2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42"/>
        <v>0</v>
      </c>
      <c r="H862" s="10"/>
      <c r="I862" s="10"/>
      <c r="J862" s="10"/>
      <c r="K862" s="12">
        <f t="shared" si="243"/>
        <v>0</v>
      </c>
      <c r="M862" s="10">
        <v>26</v>
      </c>
      <c r="N862" s="30"/>
      <c r="O862" s="31"/>
      <c r="P862" s="47"/>
      <c r="Q862" s="31"/>
      <c r="R862" s="31"/>
      <c r="S862" s="32">
        <f t="shared" si="244"/>
        <v>0</v>
      </c>
      <c r="T862" s="10"/>
      <c r="U862" s="10"/>
      <c r="V862" s="10"/>
      <c r="W862" s="12">
        <f t="shared" si="245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2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42"/>
        <v>0</v>
      </c>
      <c r="H863" s="10"/>
      <c r="I863" s="10"/>
      <c r="J863" s="10"/>
      <c r="K863" s="12">
        <f t="shared" si="243"/>
        <v>0</v>
      </c>
      <c r="M863" s="10">
        <v>27</v>
      </c>
      <c r="N863" s="30"/>
      <c r="O863" s="31"/>
      <c r="P863" s="47"/>
      <c r="Q863" s="31"/>
      <c r="R863" s="31"/>
      <c r="S863" s="32">
        <f t="shared" si="244"/>
        <v>0</v>
      </c>
      <c r="T863" s="10"/>
      <c r="U863" s="10"/>
      <c r="V863" s="10"/>
      <c r="W863" s="12">
        <f t="shared" si="245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2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42"/>
        <v>0</v>
      </c>
      <c r="H864" s="10"/>
      <c r="I864" s="10"/>
      <c r="J864" s="10"/>
      <c r="K864" s="12">
        <f t="shared" si="243"/>
        <v>0</v>
      </c>
      <c r="M864" s="10">
        <v>28</v>
      </c>
      <c r="N864" s="30"/>
      <c r="O864" s="31"/>
      <c r="P864" s="47"/>
      <c r="Q864" s="31"/>
      <c r="R864" s="31"/>
      <c r="S864" s="32">
        <f t="shared" si="244"/>
        <v>0</v>
      </c>
      <c r="T864" s="10"/>
      <c r="U864" s="10"/>
      <c r="V864" s="10"/>
      <c r="W864" s="12">
        <f t="shared" si="245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2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42"/>
        <v>0</v>
      </c>
      <c r="H865" s="10"/>
      <c r="I865" s="10"/>
      <c r="J865" s="10"/>
      <c r="K865" s="12">
        <f t="shared" si="243"/>
        <v>0</v>
      </c>
      <c r="M865" s="10">
        <v>29</v>
      </c>
      <c r="N865" s="30"/>
      <c r="O865" s="31"/>
      <c r="P865" s="47"/>
      <c r="Q865" s="31"/>
      <c r="R865" s="31"/>
      <c r="S865" s="32">
        <f t="shared" si="244"/>
        <v>0</v>
      </c>
      <c r="T865" s="10"/>
      <c r="U865" s="10"/>
      <c r="V865" s="10"/>
      <c r="W865" s="12">
        <f t="shared" si="245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2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D866" s="32"/>
      <c r="E866" s="32"/>
      <c r="F866" s="32"/>
      <c r="G866" s="32">
        <f t="shared" si="242"/>
        <v>0</v>
      </c>
      <c r="H866" s="10"/>
      <c r="I866" s="10"/>
      <c r="J866" s="10"/>
      <c r="K866" s="12">
        <f t="shared" si="243"/>
        <v>0</v>
      </c>
      <c r="M866" s="10">
        <v>30</v>
      </c>
      <c r="N866" s="30"/>
      <c r="P866" s="47"/>
      <c r="Q866" s="31"/>
      <c r="R866" s="31"/>
      <c r="S866" s="32">
        <f t="shared" si="244"/>
        <v>0</v>
      </c>
      <c r="T866" s="10"/>
      <c r="U866" s="10"/>
      <c r="V866" s="10"/>
      <c r="W866" s="12">
        <f t="shared" si="245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2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42"/>
        <v>0</v>
      </c>
      <c r="H867" s="10"/>
      <c r="I867" s="10"/>
      <c r="J867" s="10"/>
      <c r="K867" s="12">
        <f t="shared" si="243"/>
        <v>0</v>
      </c>
      <c r="M867" s="10">
        <v>31</v>
      </c>
      <c r="N867" s="30"/>
      <c r="O867" s="31"/>
      <c r="P867" s="47"/>
      <c r="Q867" s="31"/>
      <c r="R867" s="31"/>
      <c r="S867" s="32">
        <f t="shared" si="244"/>
        <v>0</v>
      </c>
      <c r="T867" s="10"/>
      <c r="U867" s="10"/>
      <c r="V867" s="10"/>
      <c r="W867" s="12">
        <f t="shared" si="245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2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42"/>
        <v>0</v>
      </c>
      <c r="H868" s="10"/>
      <c r="I868" s="10"/>
      <c r="J868" s="10"/>
      <c r="K868" s="12">
        <f t="shared" si="243"/>
        <v>0</v>
      </c>
      <c r="M868" s="10">
        <v>32</v>
      </c>
      <c r="N868" s="30"/>
      <c r="O868" s="31"/>
      <c r="P868" s="47"/>
      <c r="Q868" s="31"/>
      <c r="R868" s="31"/>
      <c r="S868" s="32">
        <f t="shared" si="244"/>
        <v>0</v>
      </c>
      <c r="T868" s="10"/>
      <c r="U868" s="10"/>
      <c r="V868" s="10"/>
      <c r="W868" s="12">
        <f t="shared" si="245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2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42"/>
        <v>0</v>
      </c>
      <c r="H869" s="10"/>
      <c r="I869" s="10"/>
      <c r="J869" s="10"/>
      <c r="K869" s="12">
        <f t="shared" si="243"/>
        <v>0</v>
      </c>
      <c r="M869" s="10">
        <v>33</v>
      </c>
      <c r="N869" s="30"/>
      <c r="O869" s="31"/>
      <c r="P869" s="47"/>
      <c r="Q869" s="31"/>
      <c r="R869" s="31"/>
      <c r="S869" s="32">
        <f t="shared" si="244"/>
        <v>0</v>
      </c>
      <c r="T869" s="10"/>
      <c r="U869" s="10"/>
      <c r="V869" s="10"/>
      <c r="W869" s="12">
        <f t="shared" si="245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2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42"/>
        <v>0</v>
      </c>
      <c r="H870" s="10"/>
      <c r="I870" s="10"/>
      <c r="J870" s="10"/>
      <c r="K870" s="12">
        <f t="shared" si="243"/>
        <v>0</v>
      </c>
      <c r="M870" s="10">
        <v>34</v>
      </c>
      <c r="N870" s="30"/>
      <c r="O870" s="31"/>
      <c r="P870" s="47"/>
      <c r="Q870" s="31"/>
      <c r="R870" s="31"/>
      <c r="S870" s="32">
        <f t="shared" si="244"/>
        <v>0</v>
      </c>
      <c r="T870" s="10"/>
      <c r="U870" s="10"/>
      <c r="V870" s="10"/>
      <c r="W870" s="12">
        <f t="shared" si="245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52"/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4"/>
        <v>0</v>
      </c>
      <c r="T871" s="10"/>
      <c r="U871" s="10"/>
      <c r="V871" s="10"/>
      <c r="W871" s="12">
        <f t="shared" si="245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2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4"/>
        <v>0</v>
      </c>
      <c r="T872" s="10"/>
      <c r="U872" s="10"/>
      <c r="V872" s="10"/>
      <c r="W872" s="12">
        <f t="shared" si="245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2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4"/>
        <v>0</v>
      </c>
      <c r="T873" s="10"/>
      <c r="U873" s="10"/>
      <c r="V873" s="10"/>
      <c r="W873" s="12">
        <f t="shared" si="245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2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4"/>
        <v>0</v>
      </c>
      <c r="T874" s="10"/>
      <c r="U874" s="10"/>
      <c r="V874" s="10"/>
      <c r="W874" s="12">
        <f t="shared" si="245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2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4"/>
        <v>0</v>
      </c>
      <c r="T875" s="10"/>
      <c r="U875" s="10"/>
      <c r="V875" s="10"/>
      <c r="W875" s="12">
        <f t="shared" si="245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2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5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3">SUM(D877:E877)</f>
        <v>0</v>
      </c>
      <c r="H877" s="10"/>
      <c r="I877" s="10"/>
      <c r="J877" s="10"/>
      <c r="K877" s="12">
        <f t="shared" ref="K877" si="254">SUM(G877:J877)</f>
        <v>0</v>
      </c>
      <c r="M877" s="10"/>
      <c r="N877" s="30"/>
      <c r="O877" s="31"/>
      <c r="P877" s="47"/>
      <c r="Q877" s="31"/>
      <c r="R877" s="31"/>
      <c r="S877" s="32">
        <f t="shared" ref="S877" si="255">SUM(P877:Q877)</f>
        <v>0</v>
      </c>
      <c r="T877" s="10"/>
      <c r="U877" s="10"/>
      <c r="V877" s="10"/>
      <c r="W877" s="12">
        <f t="shared" si="245"/>
        <v>0</v>
      </c>
      <c r="Y877" s="10"/>
      <c r="Z877" s="30"/>
      <c r="AA877" s="31"/>
      <c r="AB877" s="47"/>
      <c r="AC877" s="31"/>
      <c r="AD877" s="31"/>
      <c r="AE877" s="32">
        <f t="shared" ref="AE877" si="256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5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256691.5</v>
      </c>
      <c r="E880" s="38">
        <f t="shared" ref="E880:F880" si="257">SUM(E837:E877)</f>
        <v>-1260</v>
      </c>
      <c r="F880" s="38">
        <f t="shared" si="257"/>
        <v>0</v>
      </c>
      <c r="G880" s="38">
        <f>SUM(G837:G879)</f>
        <v>255431.5</v>
      </c>
      <c r="H880" s="4"/>
      <c r="I880" s="39">
        <f>SUM(I837:I879)</f>
        <v>5742</v>
      </c>
      <c r="J880" s="39">
        <f>SUM(J837:J879)</f>
        <v>-7065</v>
      </c>
      <c r="K880" s="40">
        <f>SUM(K837:K879)</f>
        <v>254108.5</v>
      </c>
      <c r="N880" s="57"/>
      <c r="O880" s="57"/>
      <c r="P880" s="38">
        <f>SUM(P837:P879)</f>
        <v>208296.16666666666</v>
      </c>
      <c r="Q880" s="38">
        <f>SUM(Q837:Q861)</f>
        <v>-1200</v>
      </c>
      <c r="R880" s="38">
        <f>SUM(R837:R861)</f>
        <v>0</v>
      </c>
      <c r="S880" s="38">
        <f>SUM(S837:S879)</f>
        <v>207096.16666666666</v>
      </c>
      <c r="T880" s="4"/>
      <c r="U880" s="41">
        <f>SUM(U837:U879)</f>
        <v>4764</v>
      </c>
      <c r="V880" s="41">
        <f>SUM(V837:V861)</f>
        <v>-11724</v>
      </c>
      <c r="W880" s="42">
        <f>SUM(W837:W879)</f>
        <v>200136.16666666669</v>
      </c>
      <c r="Z880" s="57"/>
      <c r="AA880" s="57"/>
      <c r="AB880" s="38">
        <f>SUM(AB837:AB879)</f>
        <v>230028.5</v>
      </c>
      <c r="AC880" s="38">
        <f>SUM(AC837:AC861)</f>
        <v>-612</v>
      </c>
      <c r="AD880" s="38">
        <f>SUM(AD837:AD861)</f>
        <v>0</v>
      </c>
      <c r="AE880" s="38">
        <f>SUM(AE837:AE879)</f>
        <v>229416.5</v>
      </c>
      <c r="AF880" s="4"/>
      <c r="AG880" s="41">
        <f>SUM(AG837:AG879)</f>
        <v>0</v>
      </c>
      <c r="AH880" s="41">
        <f>SUM(AH837:AH861)</f>
        <v>-7866</v>
      </c>
      <c r="AI880" s="42">
        <f>SUM(AI837:AI879)</f>
        <v>221550.5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110"/>
      <c r="E890" s="110"/>
      <c r="F890" s="86"/>
      <c r="G890" s="86"/>
      <c r="H890" s="62"/>
      <c r="I890" s="110"/>
      <c r="J890" s="110"/>
      <c r="K890" s="109"/>
      <c r="L890" s="62"/>
      <c r="M890" s="62"/>
      <c r="N890" s="65"/>
      <c r="O890" s="86"/>
      <c r="P890" s="110"/>
      <c r="Q890" s="110"/>
      <c r="R890" s="86"/>
      <c r="S890" s="86"/>
      <c r="T890" s="62"/>
      <c r="U890" s="110"/>
      <c r="V890" s="110"/>
      <c r="W890" s="109"/>
      <c r="X890" s="62"/>
      <c r="Y890" s="62"/>
      <c r="Z890" s="65"/>
      <c r="AA890" s="86"/>
      <c r="AB890" s="110"/>
      <c r="AC890" s="110"/>
      <c r="AD890" s="86"/>
      <c r="AE890" s="86"/>
      <c r="AF890" s="62"/>
      <c r="AG890" s="110"/>
      <c r="AH890" s="110"/>
      <c r="AI890" s="10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109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109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109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110"/>
      <c r="E945" s="110"/>
      <c r="F945" s="86"/>
      <c r="G945" s="86"/>
      <c r="H945" s="62"/>
      <c r="I945" s="110"/>
      <c r="J945" s="110"/>
      <c r="K945" s="109"/>
      <c r="L945" s="62"/>
      <c r="M945" s="62"/>
      <c r="N945" s="65"/>
      <c r="O945" s="86"/>
      <c r="P945" s="110"/>
      <c r="Q945" s="110"/>
      <c r="R945" s="86"/>
      <c r="S945" s="86"/>
      <c r="T945" s="62"/>
      <c r="U945" s="110"/>
      <c r="V945" s="110"/>
      <c r="W945" s="109"/>
      <c r="X945" s="62"/>
      <c r="Y945" s="62"/>
      <c r="Z945" s="65"/>
      <c r="AA945" s="86"/>
      <c r="AB945" s="110"/>
      <c r="AC945" s="110"/>
      <c r="AD945" s="86"/>
      <c r="AE945" s="86"/>
      <c r="AF945" s="62"/>
      <c r="AG945" s="110"/>
      <c r="AH945" s="110"/>
      <c r="AI945" s="109"/>
      <c r="AJ945" s="62"/>
      <c r="AK945" s="62"/>
      <c r="AL945" s="65"/>
      <c r="AM945" s="86"/>
      <c r="AN945" s="110"/>
      <c r="AO945" s="110"/>
      <c r="AP945" s="86"/>
      <c r="AQ945" s="86"/>
      <c r="AR945" s="62"/>
      <c r="AS945" s="110"/>
      <c r="AT945" s="110"/>
      <c r="AU945" s="109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109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109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109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9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0"/>
      <c r="E1000" s="110"/>
      <c r="F1000" s="86"/>
      <c r="G1000" s="86"/>
      <c r="H1000" s="62"/>
      <c r="I1000" s="110"/>
      <c r="J1000" s="110"/>
      <c r="K1000" s="109"/>
      <c r="L1000" s="62"/>
      <c r="M1000" s="62"/>
      <c r="N1000" s="65"/>
      <c r="O1000" s="86"/>
      <c r="P1000" s="110"/>
      <c r="Q1000" s="110"/>
      <c r="R1000" s="86"/>
      <c r="S1000" s="86"/>
      <c r="T1000" s="62"/>
      <c r="U1000" s="110"/>
      <c r="V1000" s="110"/>
      <c r="W1000" s="109"/>
      <c r="X1000" s="62"/>
      <c r="Y1000" s="62"/>
      <c r="Z1000" s="65"/>
      <c r="AA1000" s="86"/>
      <c r="AB1000" s="110"/>
      <c r="AC1000" s="110"/>
      <c r="AD1000" s="86"/>
      <c r="AE1000" s="86"/>
      <c r="AF1000" s="62"/>
      <c r="AG1000" s="110"/>
      <c r="AH1000" s="110"/>
      <c r="AI1000" s="10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9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9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0"/>
      <c r="E1055" s="110"/>
      <c r="F1055" s="86"/>
      <c r="G1055" s="86"/>
      <c r="H1055" s="62"/>
      <c r="I1055" s="110"/>
      <c r="J1055" s="110"/>
      <c r="K1055" s="109"/>
      <c r="L1055" s="62"/>
      <c r="M1055" s="62"/>
      <c r="N1055" s="65"/>
      <c r="O1055" s="86"/>
      <c r="P1055" s="110"/>
      <c r="Q1055" s="110"/>
      <c r="R1055" s="86"/>
      <c r="S1055" s="86"/>
      <c r="T1055" s="62"/>
      <c r="U1055" s="110"/>
      <c r="V1055" s="110"/>
      <c r="W1055" s="109"/>
      <c r="X1055" s="62"/>
      <c r="Y1055" s="62"/>
      <c r="Z1055" s="65"/>
      <c r="AA1055" s="86"/>
      <c r="AB1055" s="110"/>
      <c r="AC1055" s="110"/>
      <c r="AD1055" s="86"/>
      <c r="AE1055" s="86"/>
      <c r="AF1055" s="62"/>
      <c r="AG1055" s="110"/>
      <c r="AH1055" s="110"/>
      <c r="AI1055" s="10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9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9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0"/>
      <c r="E1110" s="110"/>
      <c r="F1110" s="86"/>
      <c r="G1110" s="86"/>
      <c r="H1110" s="62"/>
      <c r="I1110" s="110"/>
      <c r="J1110" s="110"/>
      <c r="K1110" s="109"/>
      <c r="L1110" s="62"/>
      <c r="M1110" s="62"/>
      <c r="N1110" s="65"/>
      <c r="O1110" s="86"/>
      <c r="P1110" s="110"/>
      <c r="Q1110" s="110"/>
      <c r="R1110" s="86"/>
      <c r="S1110" s="86"/>
      <c r="T1110" s="62"/>
      <c r="U1110" s="110"/>
      <c r="V1110" s="110"/>
      <c r="W1110" s="109"/>
      <c r="X1110" s="62"/>
      <c r="Y1110" s="62"/>
      <c r="Z1110" s="65"/>
      <c r="AA1110" s="86"/>
      <c r="AB1110" s="110"/>
      <c r="AC1110" s="110"/>
      <c r="AD1110" s="86"/>
      <c r="AE1110" s="86"/>
      <c r="AF1110" s="62"/>
      <c r="AG1110" s="110"/>
      <c r="AH1110" s="110"/>
      <c r="AI1110" s="10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9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9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0"/>
      <c r="E1165" s="110"/>
      <c r="F1165" s="86"/>
      <c r="G1165" s="86"/>
      <c r="H1165" s="62"/>
      <c r="I1165" s="110"/>
      <c r="J1165" s="110"/>
      <c r="K1165" s="109"/>
      <c r="L1165" s="62"/>
      <c r="M1165" s="62"/>
      <c r="N1165" s="65"/>
      <c r="O1165" s="86"/>
      <c r="P1165" s="110"/>
      <c r="Q1165" s="110"/>
      <c r="R1165" s="86"/>
      <c r="S1165" s="86"/>
      <c r="T1165" s="62"/>
      <c r="U1165" s="110"/>
      <c r="V1165" s="110"/>
      <c r="W1165" s="109"/>
      <c r="X1165" s="62"/>
      <c r="Y1165" s="62"/>
      <c r="Z1165" s="65"/>
      <c r="AA1165" s="86"/>
      <c r="AB1165" s="110"/>
      <c r="AC1165" s="110"/>
      <c r="AD1165" s="86"/>
      <c r="AE1165" s="86"/>
      <c r="AF1165" s="62"/>
      <c r="AG1165" s="110"/>
      <c r="AH1165" s="110"/>
      <c r="AI1165" s="10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9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9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0"/>
      <c r="E1221" s="110"/>
      <c r="F1221" s="86"/>
      <c r="G1221" s="86"/>
      <c r="H1221" s="62"/>
      <c r="I1221" s="110"/>
      <c r="J1221" s="110"/>
      <c r="K1221" s="109"/>
      <c r="L1221" s="62"/>
      <c r="M1221" s="62"/>
      <c r="N1221" s="65"/>
      <c r="O1221" s="86"/>
      <c r="P1221" s="110"/>
      <c r="Q1221" s="110"/>
      <c r="R1221" s="86"/>
      <c r="S1221" s="86"/>
      <c r="T1221" s="62"/>
      <c r="U1221" s="110"/>
      <c r="V1221" s="110"/>
      <c r="W1221" s="109"/>
      <c r="X1221" s="62"/>
      <c r="Y1221" s="62"/>
      <c r="Z1221" s="65"/>
      <c r="AA1221" s="86"/>
      <c r="AB1221" s="110"/>
      <c r="AC1221" s="110"/>
      <c r="AD1221" s="86"/>
      <c r="AE1221" s="86"/>
      <c r="AF1221" s="62"/>
      <c r="AG1221" s="110"/>
      <c r="AH1221" s="110"/>
      <c r="AI1221" s="10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9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9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0"/>
      <c r="E1283" s="110"/>
      <c r="F1283" s="86"/>
      <c r="G1283" s="86"/>
      <c r="H1283" s="62"/>
      <c r="I1283" s="110"/>
      <c r="J1283" s="110"/>
      <c r="K1283" s="109"/>
      <c r="L1283" s="62"/>
      <c r="M1283" s="62"/>
      <c r="N1283" s="65"/>
      <c r="O1283" s="86"/>
      <c r="P1283" s="110"/>
      <c r="Q1283" s="110"/>
      <c r="R1283" s="86"/>
      <c r="S1283" s="86"/>
      <c r="T1283" s="62"/>
      <c r="U1283" s="110"/>
      <c r="V1283" s="110"/>
      <c r="W1283" s="109"/>
      <c r="X1283" s="62"/>
      <c r="Y1283" s="62"/>
      <c r="Z1283" s="65"/>
      <c r="AA1283" s="86"/>
      <c r="AB1283" s="110"/>
      <c r="AC1283" s="110"/>
      <c r="AD1283" s="86"/>
      <c r="AE1283" s="86"/>
      <c r="AF1283" s="62"/>
      <c r="AG1283" s="110"/>
      <c r="AH1283" s="110"/>
      <c r="AI1283" s="10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9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9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2026-02-20T02:18:42Z</dcterms:modified>
</cp:coreProperties>
</file>