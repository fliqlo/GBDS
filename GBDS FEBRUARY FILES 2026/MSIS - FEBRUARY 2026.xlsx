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0379C07-7016-4EDC-B88F-19937CBF0FCA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059" i="2" l="1"/>
  <c r="P1058" i="2"/>
  <c r="S1058" i="2" s="1"/>
  <c r="W1058" i="2" s="1"/>
  <c r="V1057" i="2"/>
  <c r="V1100" i="2" s="1"/>
  <c r="Q1057" i="2"/>
  <c r="Q1100" i="2"/>
  <c r="P1057" i="2"/>
  <c r="R1100" i="2"/>
  <c r="W1098" i="2"/>
  <c r="S1097" i="2"/>
  <c r="W1097" i="2" s="1"/>
  <c r="W1096" i="2"/>
  <c r="S1095" i="2"/>
  <c r="W1095" i="2" s="1"/>
  <c r="W1094" i="2"/>
  <c r="S1094" i="2"/>
  <c r="S1093" i="2"/>
  <c r="W1093" i="2" s="1"/>
  <c r="W1092" i="2"/>
  <c r="S1092" i="2"/>
  <c r="S1091" i="2"/>
  <c r="W1091" i="2" s="1"/>
  <c r="S1090" i="2"/>
  <c r="W1090" i="2" s="1"/>
  <c r="S1089" i="2"/>
  <c r="W1089" i="2" s="1"/>
  <c r="S1088" i="2"/>
  <c r="W1088" i="2" s="1"/>
  <c r="S1087" i="2"/>
  <c r="W1087" i="2" s="1"/>
  <c r="W1086" i="2"/>
  <c r="S1086" i="2"/>
  <c r="S1085" i="2"/>
  <c r="W1085" i="2" s="1"/>
  <c r="W1084" i="2"/>
  <c r="S1084" i="2"/>
  <c r="S1083" i="2"/>
  <c r="W1083" i="2" s="1"/>
  <c r="S1082" i="2"/>
  <c r="W1082" i="2" s="1"/>
  <c r="S1081" i="2"/>
  <c r="W1081" i="2" s="1"/>
  <c r="S1080" i="2"/>
  <c r="W1080" i="2" s="1"/>
  <c r="S1079" i="2"/>
  <c r="W1079" i="2" s="1"/>
  <c r="W1078" i="2"/>
  <c r="S1078" i="2"/>
  <c r="S1077" i="2"/>
  <c r="W1077" i="2" s="1"/>
  <c r="W1076" i="2"/>
  <c r="S1076" i="2"/>
  <c r="S1075" i="2"/>
  <c r="W1075" i="2" s="1"/>
  <c r="S1074" i="2"/>
  <c r="W1074" i="2" s="1"/>
  <c r="S1073" i="2"/>
  <c r="W1073" i="2" s="1"/>
  <c r="S1072" i="2"/>
  <c r="W1072" i="2" s="1"/>
  <c r="S1071" i="2"/>
  <c r="W1071" i="2" s="1"/>
  <c r="W1070" i="2"/>
  <c r="S1070" i="2"/>
  <c r="S1069" i="2"/>
  <c r="W1069" i="2" s="1"/>
  <c r="W1068" i="2"/>
  <c r="S1068" i="2"/>
  <c r="S1067" i="2"/>
  <c r="W1067" i="2" s="1"/>
  <c r="S1066" i="2"/>
  <c r="W1066" i="2" s="1"/>
  <c r="S1065" i="2"/>
  <c r="W1065" i="2" s="1"/>
  <c r="S1064" i="2"/>
  <c r="W1064" i="2" s="1"/>
  <c r="S1063" i="2"/>
  <c r="W1063" i="2" s="1"/>
  <c r="W1062" i="2"/>
  <c r="S1062" i="2"/>
  <c r="S1061" i="2"/>
  <c r="W1061" i="2" s="1"/>
  <c r="S1060" i="2"/>
  <c r="W1060" i="2" s="1"/>
  <c r="U1100" i="2"/>
  <c r="S1059" i="2"/>
  <c r="W1059" i="2" s="1"/>
  <c r="O1058" i="2"/>
  <c r="O1059" i="2" s="1"/>
  <c r="D1076" i="2"/>
  <c r="G1076" i="2" s="1"/>
  <c r="K1076" i="2" s="1"/>
  <c r="D1075" i="2"/>
  <c r="G1075" i="2" s="1"/>
  <c r="K1075" i="2" s="1"/>
  <c r="D1074" i="2"/>
  <c r="D1073" i="2"/>
  <c r="D1072" i="2"/>
  <c r="D1071" i="2"/>
  <c r="D1070" i="2"/>
  <c r="D1069" i="2"/>
  <c r="D1068" i="2"/>
  <c r="D1067" i="2"/>
  <c r="D1066" i="2"/>
  <c r="I1065" i="2"/>
  <c r="D1065" i="2"/>
  <c r="D1064" i="2"/>
  <c r="D1063" i="2"/>
  <c r="D1062" i="2"/>
  <c r="G1062" i="2" s="1"/>
  <c r="K1062" i="2" s="1"/>
  <c r="D1061" i="2"/>
  <c r="G1061" i="2" s="1"/>
  <c r="K1061" i="2" s="1"/>
  <c r="D1060" i="2"/>
  <c r="G1060" i="2"/>
  <c r="K1060" i="2" s="1"/>
  <c r="D1059" i="2"/>
  <c r="G1059" i="2" s="1"/>
  <c r="K1059" i="2" s="1"/>
  <c r="D1058" i="2"/>
  <c r="G1058" i="2" s="1"/>
  <c r="K1058" i="2" s="1"/>
  <c r="D1057" i="2"/>
  <c r="G1057" i="2" s="1"/>
  <c r="C1068" i="2"/>
  <c r="C1069" i="2" s="1"/>
  <c r="C1070" i="2" s="1"/>
  <c r="C1071" i="2" s="1"/>
  <c r="C1072" i="2" s="1"/>
  <c r="C1073" i="2" s="1"/>
  <c r="C1074" i="2" s="1"/>
  <c r="C1075" i="2" s="1"/>
  <c r="C1076" i="2" s="1"/>
  <c r="J1100" i="2"/>
  <c r="F1100" i="2"/>
  <c r="G1097" i="2"/>
  <c r="K1097" i="2" s="1"/>
  <c r="K1090" i="2"/>
  <c r="G1090" i="2"/>
  <c r="G1089" i="2"/>
  <c r="K1089" i="2" s="1"/>
  <c r="G1088" i="2"/>
  <c r="K1088" i="2" s="1"/>
  <c r="K1087" i="2"/>
  <c r="G1087" i="2"/>
  <c r="K1086" i="2"/>
  <c r="G1086" i="2"/>
  <c r="G1085" i="2"/>
  <c r="K1085" i="2" s="1"/>
  <c r="G1084" i="2"/>
  <c r="K1084" i="2" s="1"/>
  <c r="G1083" i="2"/>
  <c r="K1083" i="2" s="1"/>
  <c r="K1082" i="2"/>
  <c r="G1082" i="2"/>
  <c r="G1081" i="2"/>
  <c r="K1081" i="2" s="1"/>
  <c r="G1080" i="2"/>
  <c r="K1080" i="2" s="1"/>
  <c r="G1079" i="2"/>
  <c r="K1079" i="2" s="1"/>
  <c r="G1078" i="2"/>
  <c r="K1078" i="2" s="1"/>
  <c r="G1077" i="2"/>
  <c r="K1077" i="2" s="1"/>
  <c r="K1074" i="2"/>
  <c r="G1074" i="2"/>
  <c r="G1073" i="2"/>
  <c r="K1073" i="2" s="1"/>
  <c r="G1072" i="2"/>
  <c r="K1072" i="2" s="1"/>
  <c r="G1071" i="2"/>
  <c r="K1071" i="2" s="1"/>
  <c r="G1070" i="2"/>
  <c r="K1070" i="2" s="1"/>
  <c r="G1069" i="2"/>
  <c r="K1069" i="2" s="1"/>
  <c r="G1068" i="2"/>
  <c r="K1068" i="2" s="1"/>
  <c r="G1067" i="2"/>
  <c r="K1067" i="2" s="1"/>
  <c r="G1066" i="2"/>
  <c r="K1066" i="2" s="1"/>
  <c r="G1065" i="2"/>
  <c r="K1065" i="2" s="1"/>
  <c r="E1100" i="2"/>
  <c r="I1100" i="2"/>
  <c r="G1064" i="2"/>
  <c r="K1064" i="2" s="1"/>
  <c r="G1063" i="2"/>
  <c r="K1063" i="2" s="1"/>
  <c r="C1058" i="2"/>
  <c r="C1059" i="2" s="1"/>
  <c r="C1060" i="2" s="1"/>
  <c r="C1061" i="2" s="1"/>
  <c r="C1062" i="2" s="1"/>
  <c r="C1063" i="2" s="1"/>
  <c r="C1064" i="2" s="1"/>
  <c r="C1065" i="2" s="1"/>
  <c r="C1066" i="2" s="1"/>
  <c r="S1057" i="2" l="1"/>
  <c r="S1100" i="2" s="1"/>
  <c r="P1100" i="2"/>
  <c r="K1057" i="2"/>
  <c r="K1100" i="2" s="1"/>
  <c r="G1100" i="2"/>
  <c r="D1100" i="2"/>
  <c r="AB1006" i="2"/>
  <c r="AE1006" i="2" s="1"/>
  <c r="AI1006" i="2" s="1"/>
  <c r="AB1005" i="2"/>
  <c r="AE1005" i="2"/>
  <c r="AI1005" i="2" s="1"/>
  <c r="AB1004" i="2"/>
  <c r="AH1003" i="2"/>
  <c r="AB1003" i="2"/>
  <c r="AC1002" i="2"/>
  <c r="AB1002" i="2"/>
  <c r="AE1002" i="2"/>
  <c r="AA1003" i="2"/>
  <c r="AA1004" i="2" s="1"/>
  <c r="AA1005" i="2" s="1"/>
  <c r="AA1006" i="2" s="1"/>
  <c r="AE1003" i="2"/>
  <c r="AE1004" i="2"/>
  <c r="AI1004" i="2" s="1"/>
  <c r="AE1007" i="2"/>
  <c r="AI1007" i="2"/>
  <c r="AE1008" i="2"/>
  <c r="AI1008" i="2" s="1"/>
  <c r="AE1009" i="2"/>
  <c r="AI1009" i="2"/>
  <c r="AE1010" i="2"/>
  <c r="AI1010" i="2"/>
  <c r="AE1011" i="2"/>
  <c r="AI1011" i="2"/>
  <c r="AE1012" i="2"/>
  <c r="AI1012" i="2"/>
  <c r="AE1013" i="2"/>
  <c r="AI1013" i="2"/>
  <c r="AE1014" i="2"/>
  <c r="AI1014" i="2" s="1"/>
  <c r="AE1015" i="2"/>
  <c r="AI1015" i="2"/>
  <c r="AE1016" i="2"/>
  <c r="AI1016" i="2"/>
  <c r="AE1017" i="2"/>
  <c r="AI1017" i="2"/>
  <c r="AE1018" i="2"/>
  <c r="AI1018" i="2"/>
  <c r="AE1019" i="2"/>
  <c r="AI1019" i="2"/>
  <c r="AE1020" i="2"/>
  <c r="AI1020" i="2"/>
  <c r="AE1021" i="2"/>
  <c r="AI1021" i="2"/>
  <c r="AE1022" i="2"/>
  <c r="AI1022" i="2" s="1"/>
  <c r="AE1023" i="2"/>
  <c r="AI1023" i="2"/>
  <c r="AE1024" i="2"/>
  <c r="AI1024" i="2"/>
  <c r="AE1025" i="2"/>
  <c r="AI1025" i="2"/>
  <c r="AE1026" i="2"/>
  <c r="AI1026" i="2"/>
  <c r="AE1027" i="2"/>
  <c r="AI1027" i="2"/>
  <c r="AE1028" i="2"/>
  <c r="AI1028" i="2"/>
  <c r="AE1029" i="2"/>
  <c r="AI1029" i="2"/>
  <c r="AE1030" i="2"/>
  <c r="AI1030" i="2" s="1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/>
  <c r="AE1037" i="2"/>
  <c r="AI1037" i="2"/>
  <c r="AE1038" i="2"/>
  <c r="AI1038" i="2" s="1"/>
  <c r="AE1039" i="2"/>
  <c r="AI1039" i="2"/>
  <c r="AE1040" i="2"/>
  <c r="AI1040" i="2"/>
  <c r="AI1041" i="2"/>
  <c r="AE1042" i="2"/>
  <c r="AI1042" i="2"/>
  <c r="AI1043" i="2"/>
  <c r="AD1045" i="2"/>
  <c r="AG1045" i="2"/>
  <c r="AH1045" i="2"/>
  <c r="W1057" i="2" l="1"/>
  <c r="W1100" i="2" s="1"/>
  <c r="AB1045" i="2"/>
  <c r="AI1003" i="2"/>
  <c r="AI1002" i="2"/>
  <c r="AE1045" i="2"/>
  <c r="AC1045" i="2"/>
  <c r="D957" i="2"/>
  <c r="D956" i="2"/>
  <c r="G956" i="2" s="1"/>
  <c r="K956" i="2" s="1"/>
  <c r="J955" i="2"/>
  <c r="J990" i="2" s="1"/>
  <c r="E955" i="2"/>
  <c r="E990" i="2" s="1"/>
  <c r="D955" i="2"/>
  <c r="I954" i="2"/>
  <c r="I990" i="2" s="1"/>
  <c r="D954" i="2"/>
  <c r="G954" i="2" s="1"/>
  <c r="K954" i="2" s="1"/>
  <c r="D952" i="2"/>
  <c r="G952" i="2" s="1"/>
  <c r="K952" i="2" s="1"/>
  <c r="D951" i="2"/>
  <c r="D950" i="2"/>
  <c r="G950" i="2"/>
  <c r="K950" i="2" s="1"/>
  <c r="D949" i="2"/>
  <c r="D948" i="2"/>
  <c r="G948" i="2" s="1"/>
  <c r="K948" i="2" s="1"/>
  <c r="D947" i="2"/>
  <c r="G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G951" i="2"/>
  <c r="K951" i="2" s="1"/>
  <c r="G953" i="2"/>
  <c r="K953" i="2"/>
  <c r="G957" i="2"/>
  <c r="K957" i="2" s="1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 s="1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F990" i="2"/>
  <c r="AI1045" i="2" l="1"/>
  <c r="G955" i="2"/>
  <c r="K955" i="2" s="1"/>
  <c r="D990" i="2"/>
  <c r="K947" i="2"/>
  <c r="G949" i="2"/>
  <c r="K949" i="2" s="1"/>
  <c r="P951" i="2"/>
  <c r="S951" i="2" s="1"/>
  <c r="W951" i="2" s="1"/>
  <c r="P950" i="2"/>
  <c r="S950" i="2" s="1"/>
  <c r="W950" i="2" s="1"/>
  <c r="V949" i="2"/>
  <c r="U949" i="2"/>
  <c r="U990" i="2" s="1"/>
  <c r="Q949" i="2"/>
  <c r="P949" i="2"/>
  <c r="S949" i="2" s="1"/>
  <c r="V948" i="2"/>
  <c r="V990" i="2" s="1"/>
  <c r="P948" i="2"/>
  <c r="P947" i="2"/>
  <c r="S947" i="2"/>
  <c r="O948" i="2"/>
  <c r="O949" i="2" s="1"/>
  <c r="O950" i="2" s="1"/>
  <c r="O951" i="2" s="1"/>
  <c r="S948" i="2"/>
  <c r="W948" i="2" s="1"/>
  <c r="S952" i="2"/>
  <c r="W952" i="2" s="1"/>
  <c r="S953" i="2"/>
  <c r="W953" i="2" s="1"/>
  <c r="S954" i="2"/>
  <c r="W954" i="2" s="1"/>
  <c r="S955" i="2"/>
  <c r="W955" i="2" s="1"/>
  <c r="S956" i="2"/>
  <c r="W956" i="2" s="1"/>
  <c r="S957" i="2"/>
  <c r="W957" i="2" s="1"/>
  <c r="S958" i="2"/>
  <c r="W958" i="2" s="1"/>
  <c r="S959" i="2"/>
  <c r="W959" i="2" s="1"/>
  <c r="S960" i="2"/>
  <c r="W960" i="2" s="1"/>
  <c r="S961" i="2"/>
  <c r="W961" i="2" s="1"/>
  <c r="S962" i="2"/>
  <c r="W962" i="2" s="1"/>
  <c r="S963" i="2"/>
  <c r="W963" i="2" s="1"/>
  <c r="S964" i="2"/>
  <c r="W964" i="2" s="1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G990" i="2" l="1"/>
  <c r="K990" i="2"/>
  <c r="W949" i="2"/>
  <c r="W947" i="2"/>
  <c r="S990" i="2"/>
  <c r="P990" i="2"/>
  <c r="AC947" i="2"/>
  <c r="AB951" i="2"/>
  <c r="AB950" i="2"/>
  <c r="AC990" i="2"/>
  <c r="AB949" i="2"/>
  <c r="AB990" i="2" s="1"/>
  <c r="AB948" i="2"/>
  <c r="AB947" i="2"/>
  <c r="AA948" i="2"/>
  <c r="AA949" i="2" s="1"/>
  <c r="AA950" i="2" s="1"/>
  <c r="AA951" i="2" s="1"/>
  <c r="AE948" i="2"/>
  <c r="AI948" i="2" s="1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G990" i="2"/>
  <c r="AH990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D990" i="2"/>
  <c r="W990" i="2" l="1"/>
  <c r="AE949" i="2"/>
  <c r="AI949" i="2" s="1"/>
  <c r="AE947" i="2"/>
  <c r="AE990" i="2" s="1"/>
  <c r="AG903" i="2"/>
  <c r="AG935" i="2" s="1"/>
  <c r="AB903" i="2"/>
  <c r="AE903" i="2" s="1"/>
  <c r="AH902" i="2"/>
  <c r="AG902" i="2"/>
  <c r="AB902" i="2"/>
  <c r="AB901" i="2"/>
  <c r="AB900" i="2"/>
  <c r="AE900" i="2" s="1"/>
  <c r="AI900" i="2" s="1"/>
  <c r="AB899" i="2"/>
  <c r="AB898" i="2"/>
  <c r="AE898" i="2" s="1"/>
  <c r="AI898" i="2" s="1"/>
  <c r="AB897" i="2"/>
  <c r="AG896" i="2"/>
  <c r="AB896" i="2"/>
  <c r="AB895" i="2"/>
  <c r="AE895" i="2" s="1"/>
  <c r="AI895" i="2" s="1"/>
  <c r="AG894" i="2"/>
  <c r="AI894" i="2" s="1"/>
  <c r="AB894" i="2"/>
  <c r="AB893" i="2"/>
  <c r="AB892" i="2"/>
  <c r="AE892" i="2" s="1"/>
  <c r="AI892" i="2" s="1"/>
  <c r="AA893" i="2"/>
  <c r="AE893" i="2"/>
  <c r="AI893" i="2"/>
  <c r="AA894" i="2"/>
  <c r="AA895" i="2" s="1"/>
  <c r="AA896" i="2" s="1"/>
  <c r="AA897" i="2" s="1"/>
  <c r="AA898" i="2" s="1"/>
  <c r="AA899" i="2" s="1"/>
  <c r="AA900" i="2" s="1"/>
  <c r="AA901" i="2" s="1"/>
  <c r="AA902" i="2" s="1"/>
  <c r="AA903" i="2" s="1"/>
  <c r="AE894" i="2"/>
  <c r="AH935" i="2"/>
  <c r="AE897" i="2"/>
  <c r="AI897" i="2" s="1"/>
  <c r="AE899" i="2"/>
  <c r="AI899" i="2" s="1"/>
  <c r="AC935" i="2"/>
  <c r="AE901" i="2"/>
  <c r="AI901" i="2" s="1"/>
  <c r="AE902" i="2"/>
  <c r="AI902" i="2" s="1"/>
  <c r="AE904" i="2"/>
  <c r="AI904" i="2" s="1"/>
  <c r="AE905" i="2"/>
  <c r="AI905" i="2" s="1"/>
  <c r="AE906" i="2"/>
  <c r="AI906" i="2" s="1"/>
  <c r="AE907" i="2"/>
  <c r="AI907" i="2"/>
  <c r="AE908" i="2"/>
  <c r="AI908" i="2" s="1"/>
  <c r="AE909" i="2"/>
  <c r="AI909" i="2" s="1"/>
  <c r="AE910" i="2"/>
  <c r="AI910" i="2" s="1"/>
  <c r="AE911" i="2"/>
  <c r="AI911" i="2"/>
  <c r="AE912" i="2"/>
  <c r="AI912" i="2"/>
  <c r="AE913" i="2"/>
  <c r="AI913" i="2"/>
  <c r="AE914" i="2"/>
  <c r="AI914" i="2" s="1"/>
  <c r="AE915" i="2"/>
  <c r="AI915" i="2"/>
  <c r="AE916" i="2"/>
  <c r="AI916" i="2" s="1"/>
  <c r="AE917" i="2"/>
  <c r="AI917" i="2" s="1"/>
  <c r="AE918" i="2"/>
  <c r="AI918" i="2" s="1"/>
  <c r="AE919" i="2"/>
  <c r="AI919" i="2"/>
  <c r="AE920" i="2"/>
  <c r="AI920" i="2"/>
  <c r="AE921" i="2"/>
  <c r="AI921" i="2"/>
  <c r="AE922" i="2"/>
  <c r="AI922" i="2" s="1"/>
  <c r="AE923" i="2"/>
  <c r="AI923" i="2"/>
  <c r="AE924" i="2"/>
  <c r="AI924" i="2" s="1"/>
  <c r="AE925" i="2"/>
  <c r="AI925" i="2" s="1"/>
  <c r="AE926" i="2"/>
  <c r="AI926" i="2" s="1"/>
  <c r="AE927" i="2"/>
  <c r="AI927" i="2"/>
  <c r="AE928" i="2"/>
  <c r="AI928" i="2"/>
  <c r="AE929" i="2"/>
  <c r="AI929" i="2"/>
  <c r="AE930" i="2"/>
  <c r="AI930" i="2" s="1"/>
  <c r="AI931" i="2"/>
  <c r="AE932" i="2"/>
  <c r="AI932" i="2"/>
  <c r="AI933" i="2"/>
  <c r="AD935" i="2"/>
  <c r="P912" i="2"/>
  <c r="S912" i="2" s="1"/>
  <c r="W912" i="2" s="1"/>
  <c r="P911" i="2"/>
  <c r="S911" i="2" s="1"/>
  <c r="W911" i="2" s="1"/>
  <c r="P910" i="2"/>
  <c r="S910" i="2" s="1"/>
  <c r="W910" i="2" s="1"/>
  <c r="P909" i="2"/>
  <c r="P908" i="2"/>
  <c r="P907" i="2"/>
  <c r="S907" i="2" s="1"/>
  <c r="W907" i="2" s="1"/>
  <c r="P906" i="2"/>
  <c r="S906" i="2" s="1"/>
  <c r="W906" i="2" s="1"/>
  <c r="P905" i="2"/>
  <c r="P904" i="2"/>
  <c r="S904" i="2" s="1"/>
  <c r="W904" i="2" s="1"/>
  <c r="P903" i="2"/>
  <c r="P902" i="2"/>
  <c r="S902" i="2" s="1"/>
  <c r="W902" i="2" s="1"/>
  <c r="P901" i="2"/>
  <c r="P900" i="2"/>
  <c r="S900" i="2" s="1"/>
  <c r="W900" i="2" s="1"/>
  <c r="P899" i="2"/>
  <c r="S899" i="2" s="1"/>
  <c r="W899" i="2" s="1"/>
  <c r="P898" i="2"/>
  <c r="P897" i="2"/>
  <c r="P896" i="2"/>
  <c r="S896" i="2" s="1"/>
  <c r="W896" i="2" s="1"/>
  <c r="P895" i="2"/>
  <c r="S895" i="2" s="1"/>
  <c r="W895" i="2" s="1"/>
  <c r="P894" i="2"/>
  <c r="P893" i="2"/>
  <c r="S893" i="2" s="1"/>
  <c r="W893" i="2" s="1"/>
  <c r="P892" i="2"/>
  <c r="S892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S894" i="2"/>
  <c r="W894" i="2" s="1"/>
  <c r="U935" i="2"/>
  <c r="S897" i="2"/>
  <c r="W897" i="2" s="1"/>
  <c r="S898" i="2"/>
  <c r="W898" i="2" s="1"/>
  <c r="S901" i="2"/>
  <c r="W901" i="2" s="1"/>
  <c r="S903" i="2"/>
  <c r="W903" i="2" s="1"/>
  <c r="S905" i="2"/>
  <c r="W905" i="2" s="1"/>
  <c r="S908" i="2"/>
  <c r="W908" i="2" s="1"/>
  <c r="S909" i="2"/>
  <c r="W909" i="2" s="1"/>
  <c r="S913" i="2"/>
  <c r="W913" i="2"/>
  <c r="S914" i="2"/>
  <c r="W914" i="2" s="1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/>
  <c r="S930" i="2"/>
  <c r="W930" i="2" s="1"/>
  <c r="W931" i="2"/>
  <c r="S932" i="2"/>
  <c r="W932" i="2"/>
  <c r="W933" i="2"/>
  <c r="Q935" i="2"/>
  <c r="R935" i="2"/>
  <c r="V935" i="2"/>
  <c r="D902" i="2"/>
  <c r="G902" i="2" s="1"/>
  <c r="K902" i="2" s="1"/>
  <c r="J901" i="2"/>
  <c r="D901" i="2"/>
  <c r="G901" i="2" s="1"/>
  <c r="D900" i="2"/>
  <c r="G900" i="2" s="1"/>
  <c r="K900" i="2" s="1"/>
  <c r="D899" i="2"/>
  <c r="D898" i="2"/>
  <c r="G898" i="2" s="1"/>
  <c r="K898" i="2" s="1"/>
  <c r="D897" i="2"/>
  <c r="D896" i="2"/>
  <c r="D895" i="2"/>
  <c r="G895" i="2" s="1"/>
  <c r="K895" i="2" s="1"/>
  <c r="I894" i="2"/>
  <c r="I935" i="2" s="1"/>
  <c r="D894" i="2"/>
  <c r="G894" i="2"/>
  <c r="J893" i="2"/>
  <c r="E893" i="2"/>
  <c r="E935" i="2" s="1"/>
  <c r="D893" i="2"/>
  <c r="D892" i="2"/>
  <c r="C893" i="2"/>
  <c r="C894" i="2" s="1"/>
  <c r="C895" i="2" s="1"/>
  <c r="C896" i="2" s="1"/>
  <c r="C897" i="2" s="1"/>
  <c r="C898" i="2" s="1"/>
  <c r="C899" i="2" s="1"/>
  <c r="C900" i="2" s="1"/>
  <c r="C901" i="2" s="1"/>
  <c r="C902" i="2" s="1"/>
  <c r="G896" i="2"/>
  <c r="K896" i="2" s="1"/>
  <c r="G897" i="2"/>
  <c r="K897" i="2" s="1"/>
  <c r="G899" i="2"/>
  <c r="K899" i="2" s="1"/>
  <c r="G903" i="2"/>
  <c r="K903" i="2" s="1"/>
  <c r="G904" i="2"/>
  <c r="K904" i="2" s="1"/>
  <c r="G905" i="2"/>
  <c r="K905" i="2" s="1"/>
  <c r="G906" i="2"/>
  <c r="K906" i="2"/>
  <c r="G907" i="2"/>
  <c r="K907" i="2"/>
  <c r="G908" i="2"/>
  <c r="K908" i="2"/>
  <c r="G909" i="2"/>
  <c r="K909" i="2" s="1"/>
  <c r="G910" i="2"/>
  <c r="K910" i="2"/>
  <c r="G911" i="2"/>
  <c r="K911" i="2"/>
  <c r="G912" i="2"/>
  <c r="K912" i="2" s="1"/>
  <c r="G913" i="2"/>
  <c r="K913" i="2" s="1"/>
  <c r="G914" i="2"/>
  <c r="K914" i="2"/>
  <c r="G915" i="2"/>
  <c r="K915" i="2"/>
  <c r="G916" i="2"/>
  <c r="K916" i="2"/>
  <c r="G917" i="2"/>
  <c r="K917" i="2" s="1"/>
  <c r="G918" i="2"/>
  <c r="K918" i="2"/>
  <c r="G919" i="2"/>
  <c r="K919" i="2"/>
  <c r="G920" i="2"/>
  <c r="K920" i="2" s="1"/>
  <c r="G921" i="2"/>
  <c r="K921" i="2" s="1"/>
  <c r="G922" i="2"/>
  <c r="K922" i="2"/>
  <c r="G923" i="2"/>
  <c r="K923" i="2"/>
  <c r="G924" i="2"/>
  <c r="K924" i="2"/>
  <c r="G925" i="2"/>
  <c r="K925" i="2" s="1"/>
  <c r="G932" i="2"/>
  <c r="K932" i="2"/>
  <c r="F935" i="2"/>
  <c r="AI947" i="2" l="1"/>
  <c r="AI990" i="2" s="1"/>
  <c r="AI903" i="2"/>
  <c r="AB935" i="2"/>
  <c r="AE896" i="2"/>
  <c r="AI896" i="2" s="1"/>
  <c r="AI935" i="2"/>
  <c r="AE935" i="2"/>
  <c r="W892" i="2"/>
  <c r="W935" i="2" s="1"/>
  <c r="S935" i="2"/>
  <c r="P935" i="2"/>
  <c r="K901" i="2"/>
  <c r="J935" i="2"/>
  <c r="K894" i="2"/>
  <c r="G893" i="2"/>
  <c r="K893" i="2" s="1"/>
  <c r="D935" i="2"/>
  <c r="G892" i="2"/>
  <c r="K892" i="2" s="1"/>
  <c r="K935" i="2" s="1"/>
  <c r="AB850" i="2"/>
  <c r="AE850" i="2"/>
  <c r="AI850" i="2" s="1"/>
  <c r="AB849" i="2"/>
  <c r="AB848" i="2"/>
  <c r="AB847" i="2"/>
  <c r="AE847" i="2" s="1"/>
  <c r="AI847" i="2" s="1"/>
  <c r="AC846" i="2"/>
  <c r="AB846" i="2"/>
  <c r="AH845" i="2"/>
  <c r="AC845" i="2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E840" i="2" s="1"/>
  <c r="AH839" i="2"/>
  <c r="AB839" i="2"/>
  <c r="AE839" i="2" s="1"/>
  <c r="AI839" i="2" s="1"/>
  <c r="AB838" i="2"/>
  <c r="AB837" i="2"/>
  <c r="AE837" i="2" s="1"/>
  <c r="AI837" i="2" s="1"/>
  <c r="AG880" i="2"/>
  <c r="AA838" i="2"/>
  <c r="AA839" i="2" s="1"/>
  <c r="AA840" i="2" s="1"/>
  <c r="AA841" i="2" s="1"/>
  <c r="AA842" i="2" s="1"/>
  <c r="AA843" i="2" s="1"/>
  <c r="AA844" i="2" s="1"/>
  <c r="AA845" i="2" s="1"/>
  <c r="AA846" i="2" s="1"/>
  <c r="AA847" i="2" s="1"/>
  <c r="AA848" i="2" s="1"/>
  <c r="AA849" i="2" s="1"/>
  <c r="AA850" i="2" s="1"/>
  <c r="AE838" i="2"/>
  <c r="AI838" i="2" s="1"/>
  <c r="AE843" i="2"/>
  <c r="AI843" i="2" s="1"/>
  <c r="AE848" i="2"/>
  <c r="AI848" i="2" s="1"/>
  <c r="AE849" i="2"/>
  <c r="AI849" i="2" s="1"/>
  <c r="AE851" i="2"/>
  <c r="AI851" i="2" s="1"/>
  <c r="AE852" i="2"/>
  <c r="AI852" i="2"/>
  <c r="AE853" i="2"/>
  <c r="AI853" i="2"/>
  <c r="AE854" i="2"/>
  <c r="AI854" i="2"/>
  <c r="AE855" i="2"/>
  <c r="AI855" i="2"/>
  <c r="AE856" i="2"/>
  <c r="AI856" i="2"/>
  <c r="AE857" i="2"/>
  <c r="AI857" i="2" s="1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D880" i="2"/>
  <c r="P854" i="2"/>
  <c r="S854" i="2" s="1"/>
  <c r="W854" i="2" s="1"/>
  <c r="P853" i="2"/>
  <c r="S853" i="2" s="1"/>
  <c r="W853" i="2" s="1"/>
  <c r="P852" i="2"/>
  <c r="V851" i="2"/>
  <c r="V880" i="2" s="1"/>
  <c r="P851" i="2"/>
  <c r="S851" i="2" s="1"/>
  <c r="P850" i="2"/>
  <c r="P849" i="2"/>
  <c r="P848" i="2"/>
  <c r="S848" i="2" s="1"/>
  <c r="W848" i="2" s="1"/>
  <c r="P847" i="2"/>
  <c r="P846" i="2"/>
  <c r="S846" i="2" s="1"/>
  <c r="W846" i="2" s="1"/>
  <c r="P845" i="2"/>
  <c r="P844" i="2"/>
  <c r="S844" i="2" s="1"/>
  <c r="W844" i="2" s="1"/>
  <c r="P843" i="2"/>
  <c r="P842" i="2"/>
  <c r="S842" i="2" s="1"/>
  <c r="W842" i="2" s="1"/>
  <c r="P841" i="2"/>
  <c r="U840" i="2"/>
  <c r="U880" i="2" s="1"/>
  <c r="P840" i="2"/>
  <c r="P839" i="2"/>
  <c r="P838" i="2"/>
  <c r="S838" i="2" s="1"/>
  <c r="W838" i="2" s="1"/>
  <c r="P837" i="2"/>
  <c r="S837" i="2"/>
  <c r="O838" i="2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S839" i="2"/>
  <c r="W839" i="2" s="1"/>
  <c r="S841" i="2"/>
  <c r="W841" i="2" s="1"/>
  <c r="S843" i="2"/>
  <c r="W843" i="2" s="1"/>
  <c r="S845" i="2"/>
  <c r="W845" i="2" s="1"/>
  <c r="S847" i="2"/>
  <c r="W847" i="2" s="1"/>
  <c r="S849" i="2"/>
  <c r="W849" i="2"/>
  <c r="S850" i="2"/>
  <c r="W850" i="2" s="1"/>
  <c r="S852" i="2"/>
  <c r="W852" i="2" s="1"/>
  <c r="S855" i="2"/>
  <c r="W855" i="2" s="1"/>
  <c r="S856" i="2"/>
  <c r="W856" i="2" s="1"/>
  <c r="S857" i="2"/>
  <c r="W857" i="2"/>
  <c r="S858" i="2"/>
  <c r="W858" i="2"/>
  <c r="S859" i="2"/>
  <c r="W859" i="2" s="1"/>
  <c r="S860" i="2"/>
  <c r="W860" i="2"/>
  <c r="S861" i="2"/>
  <c r="W861" i="2" s="1"/>
  <c r="S862" i="2"/>
  <c r="W862" i="2" s="1"/>
  <c r="S863" i="2"/>
  <c r="W863" i="2" s="1"/>
  <c r="S864" i="2"/>
  <c r="W864" i="2" s="1"/>
  <c r="S865" i="2"/>
  <c r="W865" i="2"/>
  <c r="S866" i="2"/>
  <c r="W866" i="2"/>
  <c r="S867" i="2"/>
  <c r="W867" i="2" s="1"/>
  <c r="S868" i="2"/>
  <c r="W868" i="2"/>
  <c r="S869" i="2"/>
  <c r="W869" i="2" s="1"/>
  <c r="S870" i="2"/>
  <c r="W870" i="2" s="1"/>
  <c r="S871" i="2"/>
  <c r="W871" i="2"/>
  <c r="S872" i="2"/>
  <c r="W872" i="2"/>
  <c r="S873" i="2"/>
  <c r="W873" i="2"/>
  <c r="S874" i="2"/>
  <c r="W874" i="2"/>
  <c r="S875" i="2"/>
  <c r="W875" i="2" s="1"/>
  <c r="W876" i="2"/>
  <c r="S877" i="2"/>
  <c r="W877" i="2"/>
  <c r="W878" i="2"/>
  <c r="Q880" i="2"/>
  <c r="R880" i="2"/>
  <c r="I845" i="2"/>
  <c r="I880" i="2" s="1"/>
  <c r="D845" i="2"/>
  <c r="D844" i="2"/>
  <c r="G844" i="2" s="1"/>
  <c r="K844" i="2" s="1"/>
  <c r="D843" i="2"/>
  <c r="G843" i="2" s="1"/>
  <c r="K843" i="2" s="1"/>
  <c r="D842" i="2"/>
  <c r="D841" i="2"/>
  <c r="J840" i="2"/>
  <c r="J880" i="2" s="1"/>
  <c r="E840" i="2"/>
  <c r="G840" i="2" s="1"/>
  <c r="K840" i="2" s="1"/>
  <c r="D840" i="2"/>
  <c r="D839" i="2"/>
  <c r="G839" i="2" s="1"/>
  <c r="K839" i="2" s="1"/>
  <c r="D838" i="2"/>
  <c r="I837" i="2"/>
  <c r="D837" i="2"/>
  <c r="F880" i="2"/>
  <c r="G877" i="2"/>
  <c r="K877" i="2" s="1"/>
  <c r="K870" i="2"/>
  <c r="G870" i="2"/>
  <c r="G869" i="2"/>
  <c r="K869" i="2" s="1"/>
  <c r="G868" i="2"/>
  <c r="K868" i="2" s="1"/>
  <c r="K867" i="2"/>
  <c r="G867" i="2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2" i="2"/>
  <c r="K842" i="2" s="1"/>
  <c r="G841" i="2"/>
  <c r="K841" i="2" s="1"/>
  <c r="G838" i="2"/>
  <c r="K838" i="2" s="1"/>
  <c r="C838" i="2"/>
  <c r="C839" i="2" s="1"/>
  <c r="C840" i="2" s="1"/>
  <c r="C841" i="2" s="1"/>
  <c r="C842" i="2" s="1"/>
  <c r="C843" i="2" s="1"/>
  <c r="C844" i="2" s="1"/>
  <c r="C845" i="2" s="1"/>
  <c r="G837" i="2"/>
  <c r="G935" i="2" l="1"/>
  <c r="AC880" i="2"/>
  <c r="AE846" i="2"/>
  <c r="AI846" i="2" s="1"/>
  <c r="AH880" i="2"/>
  <c r="AI840" i="2"/>
  <c r="AB880" i="2"/>
  <c r="W851" i="2"/>
  <c r="P880" i="2"/>
  <c r="W837" i="2"/>
  <c r="S840" i="2"/>
  <c r="W840" i="2" s="1"/>
  <c r="E880" i="2"/>
  <c r="D880" i="2"/>
  <c r="G880" i="2"/>
  <c r="K837" i="2"/>
  <c r="K880" i="2" s="1"/>
  <c r="AC785" i="2"/>
  <c r="AC825" i="2" s="1"/>
  <c r="AB785" i="2"/>
  <c r="AB784" i="2"/>
  <c r="AB783" i="2"/>
  <c r="AG782" i="2"/>
  <c r="AC782" i="2"/>
  <c r="AB782" i="2"/>
  <c r="AA783" i="2"/>
  <c r="AE783" i="2"/>
  <c r="AI783" i="2" s="1"/>
  <c r="AA784" i="2"/>
  <c r="AA785" i="2" s="1"/>
  <c r="AE784" i="2"/>
  <c r="AI784" i="2" s="1"/>
  <c r="AH825" i="2"/>
  <c r="AE786" i="2"/>
  <c r="AI786" i="2"/>
  <c r="AE787" i="2"/>
  <c r="AI787" i="2"/>
  <c r="AE788" i="2"/>
  <c r="AI788" i="2"/>
  <c r="AE789" i="2"/>
  <c r="AI789" i="2"/>
  <c r="AE790" i="2"/>
  <c r="AI790" i="2"/>
  <c r="AE791" i="2"/>
  <c r="AI791" i="2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8" i="2"/>
  <c r="V797" i="2"/>
  <c r="P797" i="2"/>
  <c r="P796" i="2"/>
  <c r="P795" i="2"/>
  <c r="P794" i="2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P788" i="2"/>
  <c r="U787" i="2"/>
  <c r="U825" i="2" s="1"/>
  <c r="P787" i="2"/>
  <c r="S787" i="2" s="1"/>
  <c r="W787" i="2" s="1"/>
  <c r="P786" i="2"/>
  <c r="S786" i="2" s="1"/>
  <c r="W786" i="2" s="1"/>
  <c r="P785" i="2"/>
  <c r="S785" i="2" s="1"/>
  <c r="W785" i="2" s="1"/>
  <c r="P784" i="2"/>
  <c r="S784" i="2" s="1"/>
  <c r="P783" i="2"/>
  <c r="S783" i="2" s="1"/>
  <c r="W783" i="2" s="1"/>
  <c r="P782" i="2"/>
  <c r="S782" i="2" s="1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8" i="2"/>
  <c r="W788" i="2" s="1"/>
  <c r="S789" i="2"/>
  <c r="W789" i="2" s="1"/>
  <c r="S794" i="2"/>
  <c r="W794" i="2" s="1"/>
  <c r="S795" i="2"/>
  <c r="W795" i="2" s="1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 s="1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 s="1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 s="1"/>
  <c r="S819" i="2"/>
  <c r="W819" i="2" s="1"/>
  <c r="S820" i="2"/>
  <c r="W820" i="2"/>
  <c r="W821" i="2"/>
  <c r="S822" i="2"/>
  <c r="W822" i="2"/>
  <c r="W823" i="2"/>
  <c r="Q825" i="2"/>
  <c r="R825" i="2"/>
  <c r="V825" i="2"/>
  <c r="AE880" i="2" l="1"/>
  <c r="AI880" i="2"/>
  <c r="W880" i="2"/>
  <c r="S880" i="2"/>
  <c r="AE785" i="2"/>
  <c r="AI785" i="2" s="1"/>
  <c r="AB825" i="2"/>
  <c r="AE782" i="2"/>
  <c r="S825" i="2"/>
  <c r="W784" i="2"/>
  <c r="W825" i="2" s="1"/>
  <c r="P825" i="2"/>
  <c r="P738" i="2"/>
  <c r="AI782" i="2" l="1"/>
  <c r="AI825" i="2" s="1"/>
  <c r="AE825" i="2"/>
  <c r="AH729" i="2"/>
  <c r="AC729" i="2"/>
  <c r="AB729" i="2"/>
  <c r="AH728" i="2"/>
  <c r="AC728" i="2"/>
  <c r="AB728" i="2"/>
  <c r="AB770" i="2" s="1"/>
  <c r="AC727" i="2"/>
  <c r="AB727" i="2"/>
  <c r="AE727" i="2" s="1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 s="1"/>
  <c r="AE742" i="2"/>
  <c r="AI742" i="2" s="1"/>
  <c r="AE743" i="2"/>
  <c r="AI743" i="2"/>
  <c r="AE744" i="2"/>
  <c r="AI744" i="2"/>
  <c r="AE745" i="2"/>
  <c r="AI745" i="2"/>
  <c r="AE746" i="2"/>
  <c r="AI746" i="2" s="1"/>
  <c r="AE747" i="2"/>
  <c r="AI747" i="2"/>
  <c r="AE748" i="2"/>
  <c r="AI748" i="2"/>
  <c r="AE749" i="2"/>
  <c r="AI749" i="2" s="1"/>
  <c r="AE750" i="2"/>
  <c r="AI750" i="2" s="1"/>
  <c r="AE751" i="2"/>
  <c r="AI751" i="2"/>
  <c r="AE752" i="2"/>
  <c r="AI752" i="2"/>
  <c r="AE753" i="2"/>
  <c r="AI753" i="2"/>
  <c r="AE754" i="2"/>
  <c r="AI754" i="2" s="1"/>
  <c r="AE755" i="2"/>
  <c r="AI755" i="2"/>
  <c r="AE756" i="2"/>
  <c r="AI756" i="2"/>
  <c r="AE757" i="2"/>
  <c r="AI757" i="2" s="1"/>
  <c r="AE758" i="2"/>
  <c r="AI758" i="2" s="1"/>
  <c r="AE759" i="2"/>
  <c r="AI759" i="2"/>
  <c r="AE760" i="2"/>
  <c r="AI760" i="2"/>
  <c r="AE761" i="2"/>
  <c r="AI761" i="2"/>
  <c r="AE762" i="2"/>
  <c r="AI762" i="2" s="1"/>
  <c r="AE763" i="2"/>
  <c r="AI763" i="2"/>
  <c r="AE764" i="2"/>
  <c r="AI764" i="2"/>
  <c r="AE765" i="2"/>
  <c r="AI765" i="2" s="1"/>
  <c r="AI766" i="2"/>
  <c r="AE767" i="2"/>
  <c r="AI767" i="2" s="1"/>
  <c r="AI768" i="2"/>
  <c r="AD770" i="2"/>
  <c r="AG770" i="2"/>
  <c r="AH770" i="2"/>
  <c r="P737" i="2"/>
  <c r="S737" i="2" s="1"/>
  <c r="W737" i="2" s="1"/>
  <c r="P736" i="2"/>
  <c r="S736" i="2" s="1"/>
  <c r="W736" i="2" s="1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S729" i="2" s="1"/>
  <c r="W729" i="2" s="1"/>
  <c r="P728" i="2"/>
  <c r="P727" i="2"/>
  <c r="S727" i="2"/>
  <c r="W727" i="2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W728" i="2" s="1"/>
  <c r="S735" i="2"/>
  <c r="W735" i="2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 s="1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 s="1"/>
  <c r="S760" i="2"/>
  <c r="W760" i="2" s="1"/>
  <c r="S761" i="2"/>
  <c r="W761" i="2"/>
  <c r="S762" i="2"/>
  <c r="W762" i="2"/>
  <c r="S763" i="2"/>
  <c r="W763" i="2" s="1"/>
  <c r="S764" i="2"/>
  <c r="W764" i="2" s="1"/>
  <c r="S765" i="2"/>
  <c r="W765" i="2" s="1"/>
  <c r="W766" i="2"/>
  <c r="S767" i="2"/>
  <c r="W767" i="2"/>
  <c r="W768" i="2"/>
  <c r="R770" i="2"/>
  <c r="V770" i="2"/>
  <c r="AE729" i="2" l="1"/>
  <c r="AI729" i="2" s="1"/>
  <c r="AC770" i="2"/>
  <c r="AE728" i="2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G727" i="2" s="1"/>
  <c r="C731" i="2"/>
  <c r="C732" i="2" s="1"/>
  <c r="C733" i="2" s="1"/>
  <c r="C734" i="2" s="1"/>
  <c r="C735" i="2" s="1"/>
  <c r="C736" i="2" s="1"/>
  <c r="C737" i="2" s="1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 s="1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A675" i="2" s="1"/>
  <c r="AE674" i="2"/>
  <c r="AI674" i="2" s="1"/>
  <c r="AH715" i="2"/>
  <c r="AE676" i="2"/>
  <c r="AI676" i="2" s="1"/>
  <c r="AE677" i="2"/>
  <c r="AI677" i="2"/>
  <c r="AE678" i="2"/>
  <c r="AI678" i="2" s="1"/>
  <c r="AE679" i="2"/>
  <c r="AI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 s="1"/>
  <c r="AE689" i="2"/>
  <c r="AI689" i="2" s="1"/>
  <c r="AE690" i="2"/>
  <c r="AI690" i="2" s="1"/>
  <c r="AE691" i="2"/>
  <c r="AI691" i="2" s="1"/>
  <c r="AE692" i="2"/>
  <c r="AI692" i="2"/>
  <c r="AE693" i="2"/>
  <c r="AI693" i="2" s="1"/>
  <c r="AE694" i="2"/>
  <c r="AI694" i="2" s="1"/>
  <c r="AE695" i="2"/>
  <c r="AI695" i="2" s="1"/>
  <c r="AE696" i="2"/>
  <c r="AI696" i="2"/>
  <c r="AE697" i="2"/>
  <c r="AI697" i="2" s="1"/>
  <c r="AE698" i="2"/>
  <c r="AI698" i="2" s="1"/>
  <c r="AE699" i="2"/>
  <c r="AI699" i="2" s="1"/>
  <c r="AE700" i="2"/>
  <c r="AI700" i="2" s="1"/>
  <c r="AE701" i="2"/>
  <c r="AI701" i="2"/>
  <c r="AE702" i="2"/>
  <c r="AI702" i="2" s="1"/>
  <c r="AE703" i="2"/>
  <c r="AI703" i="2" s="1"/>
  <c r="AE704" i="2"/>
  <c r="AI704" i="2" s="1"/>
  <c r="AE705" i="2"/>
  <c r="AI705" i="2"/>
  <c r="AE706" i="2"/>
  <c r="AI706" i="2" s="1"/>
  <c r="AE707" i="2"/>
  <c r="AI707" i="2" s="1"/>
  <c r="AE708" i="2"/>
  <c r="AI708" i="2" s="1"/>
  <c r="AE709" i="2"/>
  <c r="AI709" i="2" s="1"/>
  <c r="AE710" i="2"/>
  <c r="AI710" i="2"/>
  <c r="AI711" i="2"/>
  <c r="AE712" i="2"/>
  <c r="AI712" i="2" s="1"/>
  <c r="AI713" i="2"/>
  <c r="AC715" i="2"/>
  <c r="AD715" i="2"/>
  <c r="P674" i="2"/>
  <c r="U673" i="2"/>
  <c r="Q673" i="2"/>
  <c r="P673" i="2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 s="1"/>
  <c r="S679" i="2"/>
  <c r="W679" i="2" s="1"/>
  <c r="S680" i="2"/>
  <c r="W680" i="2"/>
  <c r="S681" i="2"/>
  <c r="W681" i="2" s="1"/>
  <c r="S682" i="2"/>
  <c r="W682" i="2" s="1"/>
  <c r="S683" i="2"/>
  <c r="W683" i="2"/>
  <c r="S684" i="2"/>
  <c r="W684" i="2"/>
  <c r="S685" i="2"/>
  <c r="W685" i="2"/>
  <c r="S686" i="2"/>
  <c r="W686" i="2" s="1"/>
  <c r="S687" i="2"/>
  <c r="W687" i="2"/>
  <c r="S688" i="2"/>
  <c r="W688" i="2" s="1"/>
  <c r="S689" i="2"/>
  <c r="W689" i="2"/>
  <c r="S690" i="2"/>
  <c r="W690" i="2" s="1"/>
  <c r="S691" i="2"/>
  <c r="W691" i="2" s="1"/>
  <c r="S692" i="2"/>
  <c r="W692" i="2" s="1"/>
  <c r="S693" i="2"/>
  <c r="W693" i="2"/>
  <c r="S694" i="2"/>
  <c r="W694" i="2"/>
  <c r="S695" i="2"/>
  <c r="W695" i="2" s="1"/>
  <c r="S696" i="2"/>
  <c r="W696" i="2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/>
  <c r="S703" i="2"/>
  <c r="W703" i="2"/>
  <c r="S704" i="2"/>
  <c r="W704" i="2" s="1"/>
  <c r="S705" i="2"/>
  <c r="W705" i="2" s="1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I715" i="2" s="1"/>
  <c r="E674" i="2"/>
  <c r="E715" i="2" s="1"/>
  <c r="D674" i="2"/>
  <c r="E673" i="2"/>
  <c r="G673" i="2" s="1"/>
  <c r="K673" i="2" s="1"/>
  <c r="D673" i="2"/>
  <c r="D672" i="2"/>
  <c r="G672" i="2" s="1"/>
  <c r="K672" i="2" s="1"/>
  <c r="C673" i="2"/>
  <c r="C674" i="2"/>
  <c r="C675" i="2" s="1"/>
  <c r="G676" i="2"/>
  <c r="K676" i="2"/>
  <c r="G677" i="2"/>
  <c r="K677" i="2" s="1"/>
  <c r="G678" i="2"/>
  <c r="K678" i="2" s="1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J715" i="2"/>
  <c r="G674" i="2" l="1"/>
  <c r="K674" i="2" s="1"/>
  <c r="S673" i="2"/>
  <c r="AB715" i="2"/>
  <c r="AE672" i="2"/>
  <c r="S715" i="2"/>
  <c r="W673" i="2"/>
  <c r="W715" i="2" s="1"/>
  <c r="P715" i="2"/>
  <c r="D715" i="2"/>
  <c r="K715" i="2"/>
  <c r="G715" i="2"/>
  <c r="AC620" i="2"/>
  <c r="AC660" i="2" s="1"/>
  <c r="AB620" i="2"/>
  <c r="AE620" i="2" s="1"/>
  <c r="AI620" i="2" s="1"/>
  <c r="AH619" i="2"/>
  <c r="AH660" i="2" s="1"/>
  <c r="AC619" i="2"/>
  <c r="AB619" i="2"/>
  <c r="AB618" i="2"/>
  <c r="AE618" i="2" s="1"/>
  <c r="AI618" i="2" s="1"/>
  <c r="AG618" i="2"/>
  <c r="AG660" i="2"/>
  <c r="AC617" i="2"/>
  <c r="AB617" i="2"/>
  <c r="AE617" i="2" s="1"/>
  <c r="AA618" i="2"/>
  <c r="AA619" i="2"/>
  <c r="AA620" i="2" s="1"/>
  <c r="AE621" i="2"/>
  <c r="AI621" i="2" s="1"/>
  <c r="AE622" i="2"/>
  <c r="AI622" i="2"/>
  <c r="AE623" i="2"/>
  <c r="AI623" i="2" s="1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/>
  <c r="AE633" i="2"/>
  <c r="AI633" i="2" s="1"/>
  <c r="AE634" i="2"/>
  <c r="AI634" i="2" s="1"/>
  <c r="AE635" i="2"/>
  <c r="AI635" i="2"/>
  <c r="AE636" i="2"/>
  <c r="AI636" i="2" s="1"/>
  <c r="AE637" i="2"/>
  <c r="AI637" i="2"/>
  <c r="AE638" i="2"/>
  <c r="AI638" i="2" s="1"/>
  <c r="AE639" i="2"/>
  <c r="AI639" i="2" s="1"/>
  <c r="AE640" i="2"/>
  <c r="AI640" i="2" s="1"/>
  <c r="AE641" i="2"/>
  <c r="AI641" i="2"/>
  <c r="AE642" i="2"/>
  <c r="AI642" i="2" s="1"/>
  <c r="AE643" i="2"/>
  <c r="AI643" i="2" s="1"/>
  <c r="AE644" i="2"/>
  <c r="AI644" i="2" s="1"/>
  <c r="AE645" i="2"/>
  <c r="AI645" i="2" s="1"/>
  <c r="AE646" i="2"/>
  <c r="AI646" i="2"/>
  <c r="AE647" i="2"/>
  <c r="AI647" i="2" s="1"/>
  <c r="AE648" i="2"/>
  <c r="AI648" i="2" s="1"/>
  <c r="AE649" i="2"/>
  <c r="AI649" i="2" s="1"/>
  <c r="AE650" i="2"/>
  <c r="AI650" i="2" s="1"/>
  <c r="AE651" i="2"/>
  <c r="AI651" i="2"/>
  <c r="AE652" i="2"/>
  <c r="AI652" i="2" s="1"/>
  <c r="AE653" i="2"/>
  <c r="AI653" i="2" s="1"/>
  <c r="AE654" i="2"/>
  <c r="AI654" i="2" s="1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S621" i="2" s="1"/>
  <c r="W621" i="2" s="1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S631" i="2"/>
  <c r="W631" i="2" s="1"/>
  <c r="S628" i="2"/>
  <c r="W628" i="2" s="1"/>
  <c r="S626" i="2"/>
  <c r="W626" i="2" s="1"/>
  <c r="S625" i="2"/>
  <c r="W625" i="2" s="1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 s="1"/>
  <c r="S645" i="2"/>
  <c r="W645" i="2"/>
  <c r="S646" i="2"/>
  <c r="W646" i="2"/>
  <c r="S647" i="2"/>
  <c r="W647" i="2" s="1"/>
  <c r="S648" i="2"/>
  <c r="W648" i="2" s="1"/>
  <c r="S649" i="2"/>
  <c r="W649" i="2"/>
  <c r="S650" i="2"/>
  <c r="W650" i="2" s="1"/>
  <c r="S651" i="2"/>
  <c r="W651" i="2"/>
  <c r="S652" i="2"/>
  <c r="W652" i="2"/>
  <c r="S653" i="2"/>
  <c r="W653" i="2" s="1"/>
  <c r="S654" i="2"/>
  <c r="W654" i="2"/>
  <c r="S655" i="2"/>
  <c r="W655" i="2" s="1"/>
  <c r="W656" i="2"/>
  <c r="S657" i="2"/>
  <c r="W657" i="2"/>
  <c r="W658" i="2"/>
  <c r="Q660" i="2"/>
  <c r="R660" i="2"/>
  <c r="V660" i="2"/>
  <c r="D631" i="2"/>
  <c r="G631" i="2" s="1"/>
  <c r="K631" i="2" s="1"/>
  <c r="D630" i="2"/>
  <c r="G630" i="2" s="1"/>
  <c r="K630" i="2" s="1"/>
  <c r="D629" i="2"/>
  <c r="G629" i="2" s="1"/>
  <c r="K629" i="2" s="1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G638" i="2"/>
  <c r="K638" i="2" s="1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E660" i="2"/>
  <c r="AE619" i="2" l="1"/>
  <c r="AI619" i="2" s="1"/>
  <c r="AE715" i="2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 s="1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 s="1"/>
  <c r="AI603" i="2"/>
  <c r="AD605" i="2"/>
  <c r="V562" i="2"/>
  <c r="V605" i="2" s="1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 s="1"/>
  <c r="S577" i="2"/>
  <c r="W577" i="2" s="1"/>
  <c r="S578" i="2"/>
  <c r="W578" i="2" s="1"/>
  <c r="S579" i="2"/>
  <c r="W579" i="2"/>
  <c r="S580" i="2"/>
  <c r="W580" i="2"/>
  <c r="S581" i="2"/>
  <c r="W581" i="2"/>
  <c r="S582" i="2"/>
  <c r="W582" i="2" s="1"/>
  <c r="S583" i="2"/>
  <c r="W583" i="2" s="1"/>
  <c r="S584" i="2"/>
  <c r="W584" i="2"/>
  <c r="S585" i="2"/>
  <c r="W585" i="2" s="1"/>
  <c r="S586" i="2"/>
  <c r="W586" i="2" s="1"/>
  <c r="S587" i="2"/>
  <c r="W587" i="2"/>
  <c r="S588" i="2"/>
  <c r="W588" i="2"/>
  <c r="S589" i="2"/>
  <c r="W589" i="2"/>
  <c r="S590" i="2"/>
  <c r="W590" i="2" s="1"/>
  <c r="S591" i="2"/>
  <c r="W591" i="2" s="1"/>
  <c r="S592" i="2"/>
  <c r="W592" i="2" s="1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 s="1"/>
  <c r="W601" i="2"/>
  <c r="S602" i="2"/>
  <c r="W602" i="2" s="1"/>
  <c r="W603" i="2"/>
  <c r="R605" i="2"/>
  <c r="AI566" i="2" l="1"/>
  <c r="AG605" i="2"/>
  <c r="AI565" i="2"/>
  <c r="AI563" i="2"/>
  <c r="AC605" i="2"/>
  <c r="AB605" i="2"/>
  <c r="AE605" i="2"/>
  <c r="S562" i="2"/>
  <c r="W562" i="2" s="1"/>
  <c r="W605" i="2" s="1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 s="1"/>
  <c r="AA510" i="2" s="1"/>
  <c r="AA511" i="2" s="1"/>
  <c r="AA512" i="2" s="1"/>
  <c r="AA513" i="2" s="1"/>
  <c r="AE514" i="2"/>
  <c r="AI514" i="2" s="1"/>
  <c r="AE515" i="2"/>
  <c r="AI515" i="2" s="1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 s="1"/>
  <c r="AE526" i="2"/>
  <c r="AI526" i="2"/>
  <c r="AE527" i="2"/>
  <c r="AI527" i="2" s="1"/>
  <c r="AE528" i="2"/>
  <c r="AI528" i="2" s="1"/>
  <c r="AE529" i="2"/>
  <c r="AI529" i="2" s="1"/>
  <c r="AE530" i="2"/>
  <c r="AI530" i="2" s="1"/>
  <c r="AE531" i="2"/>
  <c r="AI531" i="2"/>
  <c r="AE532" i="2"/>
  <c r="AI532" i="2" s="1"/>
  <c r="AE533" i="2"/>
  <c r="AI533" i="2" s="1"/>
  <c r="AE534" i="2"/>
  <c r="AI534" i="2" s="1"/>
  <c r="AE535" i="2"/>
  <c r="AI535" i="2" s="1"/>
  <c r="AE536" i="2"/>
  <c r="AI536" i="2" s="1"/>
  <c r="AE537" i="2"/>
  <c r="AI537" i="2" s="1"/>
  <c r="AE538" i="2"/>
  <c r="AI538" i="2" s="1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 s="1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S510" i="2" s="1"/>
  <c r="W510" i="2" s="1"/>
  <c r="P509" i="2"/>
  <c r="S509" i="2" s="1"/>
  <c r="U508" i="2"/>
  <c r="U550" i="2" s="1"/>
  <c r="Q508" i="2"/>
  <c r="P508" i="2"/>
  <c r="S508" i="2" s="1"/>
  <c r="Q507" i="2"/>
  <c r="Q550" i="2" s="1"/>
  <c r="P507" i="2"/>
  <c r="S507" i="2" s="1"/>
  <c r="W507" i="2" s="1"/>
  <c r="O509" i="2"/>
  <c r="O510" i="2" s="1"/>
  <c r="O511" i="2" s="1"/>
  <c r="O512" i="2" s="1"/>
  <c r="O513" i="2" s="1"/>
  <c r="O514" i="2" s="1"/>
  <c r="O515" i="2" s="1"/>
  <c r="O516" i="2" s="1"/>
  <c r="S515" i="2"/>
  <c r="W515" i="2" s="1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 s="1"/>
  <c r="S537" i="2"/>
  <c r="W537" i="2"/>
  <c r="S538" i="2"/>
  <c r="W538" i="2"/>
  <c r="S539" i="2"/>
  <c r="W539" i="2" s="1"/>
  <c r="S540" i="2"/>
  <c r="W540" i="2" s="1"/>
  <c r="S541" i="2"/>
  <c r="W541" i="2"/>
  <c r="S542" i="2"/>
  <c r="W542" i="2" s="1"/>
  <c r="S543" i="2"/>
  <c r="W543" i="2" s="1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 s="1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 s="1"/>
  <c r="G532" i="2"/>
  <c r="K532" i="2" s="1"/>
  <c r="G533" i="2"/>
  <c r="K533" i="2"/>
  <c r="G534" i="2"/>
  <c r="K534" i="2"/>
  <c r="G535" i="2"/>
  <c r="K535" i="2"/>
  <c r="G536" i="2"/>
  <c r="K536" i="2" s="1"/>
  <c r="G537" i="2"/>
  <c r="K537" i="2"/>
  <c r="G538" i="2"/>
  <c r="K538" i="2" s="1"/>
  <c r="G539" i="2"/>
  <c r="K539" i="2" s="1"/>
  <c r="G540" i="2"/>
  <c r="K540" i="2" s="1"/>
  <c r="G547" i="2"/>
  <c r="K547" i="2"/>
  <c r="F550" i="2"/>
  <c r="I550" i="2"/>
  <c r="J550" i="2"/>
  <c r="S605" i="2" l="1"/>
  <c r="G507" i="2"/>
  <c r="K507" i="2" s="1"/>
  <c r="AI605" i="2"/>
  <c r="AE513" i="2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 s="1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S458" i="2" s="1"/>
  <c r="W458" i="2" s="1"/>
  <c r="P457" i="2"/>
  <c r="P456" i="2"/>
  <c r="S456" i="2" s="1"/>
  <c r="W456" i="2" s="1"/>
  <c r="P455" i="2"/>
  <c r="S455" i="2" s="1"/>
  <c r="W455" i="2" s="1"/>
  <c r="P454" i="2"/>
  <c r="S454" i="2" s="1"/>
  <c r="W454" i="2" s="1"/>
  <c r="Q453" i="2"/>
  <c r="Q495" i="2" s="1"/>
  <c r="P453" i="2"/>
  <c r="S453" i="2" s="1"/>
  <c r="W453" i="2" s="1"/>
  <c r="P452" i="2"/>
  <c r="S452" i="2" s="1"/>
  <c r="O453" i="2"/>
  <c r="O454" i="2" s="1"/>
  <c r="O455" i="2" s="1"/>
  <c r="O456" i="2" s="1"/>
  <c r="O457" i="2" s="1"/>
  <c r="O458" i="2" s="1"/>
  <c r="O459" i="2" s="1"/>
  <c r="O460" i="2" s="1"/>
  <c r="O461" i="2" s="1"/>
  <c r="U495" i="2"/>
  <c r="S457" i="2"/>
  <c r="W457" i="2" s="1"/>
  <c r="S462" i="2"/>
  <c r="W462" i="2" s="1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/>
  <c r="S475" i="2"/>
  <c r="W475" i="2"/>
  <c r="S476" i="2"/>
  <c r="W476" i="2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/>
  <c r="S483" i="2"/>
  <c r="W483" i="2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G458" i="2" s="1"/>
  <c r="K458" i="2" s="1"/>
  <c r="D457" i="2"/>
  <c r="G457" i="2" s="1"/>
  <c r="K457" i="2" s="1"/>
  <c r="D456" i="2"/>
  <c r="G456" i="2" s="1"/>
  <c r="K456" i="2" s="1"/>
  <c r="I455" i="2"/>
  <c r="I495" i="2" s="1"/>
  <c r="D455" i="2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9" i="2"/>
  <c r="K459" i="2"/>
  <c r="G460" i="2"/>
  <c r="K460" i="2" s="1"/>
  <c r="G461" i="2"/>
  <c r="K461" i="2"/>
  <c r="G462" i="2"/>
  <c r="K462" i="2" s="1"/>
  <c r="G463" i="2"/>
  <c r="K463" i="2"/>
  <c r="G464" i="2"/>
  <c r="K464" i="2" s="1"/>
  <c r="G465" i="2"/>
  <c r="K465" i="2" s="1"/>
  <c r="G466" i="2"/>
  <c r="K466" i="2"/>
  <c r="G467" i="2"/>
  <c r="K467" i="2"/>
  <c r="G468" i="2"/>
  <c r="K468" i="2" s="1"/>
  <c r="G469" i="2"/>
  <c r="K469" i="2"/>
  <c r="G470" i="2"/>
  <c r="K470" i="2"/>
  <c r="G471" i="2"/>
  <c r="K471" i="2" s="1"/>
  <c r="G472" i="2"/>
  <c r="K472" i="2" s="1"/>
  <c r="G473" i="2"/>
  <c r="K473" i="2" s="1"/>
  <c r="G474" i="2"/>
  <c r="K474" i="2" s="1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 s="1"/>
  <c r="G483" i="2"/>
  <c r="K483" i="2" s="1"/>
  <c r="G484" i="2"/>
  <c r="K484" i="2" s="1"/>
  <c r="G485" i="2"/>
  <c r="K485" i="2"/>
  <c r="G492" i="2"/>
  <c r="K492" i="2"/>
  <c r="F495" i="2"/>
  <c r="J495" i="2"/>
  <c r="D495" i="2" l="1"/>
  <c r="AE550" i="2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E399" i="2" s="1"/>
  <c r="AI399" i="2" s="1"/>
  <c r="AB398" i="2"/>
  <c r="AE398" i="2" s="1"/>
  <c r="AI398" i="2" s="1"/>
  <c r="AH397" i="2"/>
  <c r="AH440" i="2" s="1"/>
  <c r="AG397" i="2"/>
  <c r="AB397" i="2"/>
  <c r="AE397" i="2"/>
  <c r="AA398" i="2"/>
  <c r="AA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 s="1"/>
  <c r="AE406" i="2"/>
  <c r="AI406" i="2" s="1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 s="1"/>
  <c r="AE415" i="2"/>
  <c r="AI415" i="2" s="1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 s="1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S407" i="2" s="1"/>
  <c r="W407" i="2" s="1"/>
  <c r="P406" i="2"/>
  <c r="P405" i="2"/>
  <c r="P404" i="2"/>
  <c r="S404" i="2" s="1"/>
  <c r="W404" i="2" s="1"/>
  <c r="U403" i="2"/>
  <c r="P403" i="2"/>
  <c r="S403" i="2" s="1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5" i="2"/>
  <c r="W405" i="2" s="1"/>
  <c r="S406" i="2"/>
  <c r="W406" i="2" s="1"/>
  <c r="S410" i="2"/>
  <c r="W410" i="2" s="1"/>
  <c r="S411" i="2"/>
  <c r="W411" i="2"/>
  <c r="S412" i="2"/>
  <c r="W412" i="2"/>
  <c r="S413" i="2"/>
  <c r="W413" i="2"/>
  <c r="S414" i="2"/>
  <c r="W414" i="2" s="1"/>
  <c r="S415" i="2"/>
  <c r="W415" i="2" s="1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 s="1"/>
  <c r="S427" i="2"/>
  <c r="W427" i="2" s="1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G403" i="2" s="1"/>
  <c r="K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E440" i="2"/>
  <c r="I440" i="2"/>
  <c r="J440" i="2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 s="1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 s="1"/>
  <c r="G419" i="2"/>
  <c r="K419" i="2"/>
  <c r="G420" i="2"/>
  <c r="K420" i="2" s="1"/>
  <c r="G421" i="2"/>
  <c r="K421" i="2" s="1"/>
  <c r="G422" i="2"/>
  <c r="K422" i="2"/>
  <c r="G423" i="2"/>
  <c r="K423" i="2" s="1"/>
  <c r="G424" i="2"/>
  <c r="K424" i="2" s="1"/>
  <c r="G425" i="2"/>
  <c r="K425" i="2"/>
  <c r="G426" i="2"/>
  <c r="K426" i="2"/>
  <c r="G427" i="2"/>
  <c r="K427" i="2" s="1"/>
  <c r="G428" i="2"/>
  <c r="K428" i="2" s="1"/>
  <c r="G429" i="2"/>
  <c r="K429" i="2"/>
  <c r="G430" i="2"/>
  <c r="K430" i="2"/>
  <c r="G437" i="2"/>
  <c r="K437" i="2" s="1"/>
  <c r="F440" i="2"/>
  <c r="U440" i="2" l="1"/>
  <c r="G495" i="2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 s="1"/>
  <c r="AE373" i="2"/>
  <c r="AI373" i="2"/>
  <c r="AE374" i="2"/>
  <c r="AI374" i="2" s="1"/>
  <c r="AE375" i="2"/>
  <c r="AI375" i="2" s="1"/>
  <c r="AE376" i="2"/>
  <c r="AI376" i="2" s="1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 s="1"/>
  <c r="S358" i="2"/>
  <c r="W358" i="2" s="1"/>
  <c r="S359" i="2"/>
  <c r="W359" i="2" s="1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/>
  <c r="S372" i="2"/>
  <c r="W372" i="2" s="1"/>
  <c r="S373" i="2"/>
  <c r="W373" i="2"/>
  <c r="S374" i="2"/>
  <c r="W374" i="2" s="1"/>
  <c r="S375" i="2"/>
  <c r="W375" i="2"/>
  <c r="S376" i="2"/>
  <c r="W376" i="2" s="1"/>
  <c r="S377" i="2"/>
  <c r="W377" i="2" s="1"/>
  <c r="S378" i="2"/>
  <c r="W378" i="2" s="1"/>
  <c r="S379" i="2"/>
  <c r="W379" i="2" s="1"/>
  <c r="S380" i="2"/>
  <c r="W380" i="2"/>
  <c r="W381" i="2"/>
  <c r="S382" i="2"/>
  <c r="W382" i="2" s="1"/>
  <c r="W383" i="2"/>
  <c r="R385" i="2"/>
  <c r="D349" i="2"/>
  <c r="D348" i="2"/>
  <c r="G348" i="2" s="1"/>
  <c r="K348" i="2" s="1"/>
  <c r="D347" i="2"/>
  <c r="G347" i="2" s="1"/>
  <c r="K347" i="2" s="1"/>
  <c r="D346" i="2"/>
  <c r="G346" i="2" s="1"/>
  <c r="K346" i="2" s="1"/>
  <c r="D345" i="2"/>
  <c r="J345" i="2"/>
  <c r="J385" i="2" s="1"/>
  <c r="I345" i="2"/>
  <c r="I385" i="2" s="1"/>
  <c r="E345" i="2"/>
  <c r="E385" i="2"/>
  <c r="D344" i="2"/>
  <c r="G344" i="2" s="1"/>
  <c r="K344" i="2" s="1"/>
  <c r="D343" i="2"/>
  <c r="G343" i="2" s="1"/>
  <c r="D342" i="2"/>
  <c r="G342" i="2" s="1"/>
  <c r="K342" i="2" s="1"/>
  <c r="C343" i="2"/>
  <c r="C344" i="2" s="1"/>
  <c r="C345" i="2" s="1"/>
  <c r="C346" i="2" s="1"/>
  <c r="C347" i="2" s="1"/>
  <c r="C348" i="2" s="1"/>
  <c r="C349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 s="1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 s="1"/>
  <c r="G363" i="2"/>
  <c r="K363" i="2" s="1"/>
  <c r="G364" i="2"/>
  <c r="K364" i="2" s="1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G385" i="2" l="1"/>
  <c r="AB385" i="2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C330" i="2" s="1"/>
  <c r="AB291" i="2"/>
  <c r="AH290" i="2"/>
  <c r="AH330" i="2" s="1"/>
  <c r="AG290" i="2"/>
  <c r="AG330" i="2" s="1"/>
  <c r="AB290" i="2"/>
  <c r="AE290" i="2" s="1"/>
  <c r="AG289" i="2"/>
  <c r="AC289" i="2"/>
  <c r="AB289" i="2"/>
  <c r="AE289" i="2" s="1"/>
  <c r="AI289" i="2" s="1"/>
  <c r="AB287" i="2"/>
  <c r="AE287" i="2" s="1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88" i="2"/>
  <c r="AI288" i="2" s="1"/>
  <c r="AA288" i="2"/>
  <c r="AA289" i="2" s="1"/>
  <c r="AA290" i="2" s="1"/>
  <c r="AA291" i="2" s="1"/>
  <c r="AA292" i="2" s="1"/>
  <c r="P293" i="2"/>
  <c r="P292" i="2"/>
  <c r="S292" i="2" s="1"/>
  <c r="W292" i="2" s="1"/>
  <c r="V291" i="2"/>
  <c r="V330" i="2" s="1"/>
  <c r="P291" i="2"/>
  <c r="Q291" i="2"/>
  <c r="Q330" i="2" s="1"/>
  <c r="P289" i="2"/>
  <c r="P288" i="2"/>
  <c r="S288" i="2" s="1"/>
  <c r="W288" i="2" s="1"/>
  <c r="U287" i="2"/>
  <c r="U330" i="2" s="1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 s="1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I330" i="2" s="1"/>
  <c r="D295" i="2"/>
  <c r="G295" i="2" s="1"/>
  <c r="K295" i="2" s="1"/>
  <c r="D294" i="2"/>
  <c r="G294" i="2" s="1"/>
  <c r="K294" i="2" s="1"/>
  <c r="D293" i="2"/>
  <c r="G293" i="2" s="1"/>
  <c r="K293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G289" i="2" s="1"/>
  <c r="K289" i="2" s="1"/>
  <c r="D288" i="2"/>
  <c r="G288" i="2" s="1"/>
  <c r="K288" i="2" s="1"/>
  <c r="D287" i="2"/>
  <c r="G287" i="2" s="1"/>
  <c r="C288" i="2"/>
  <c r="C289" i="2" s="1"/>
  <c r="C291" i="2" s="1"/>
  <c r="C292" i="2" s="1"/>
  <c r="C293" i="2" s="1"/>
  <c r="C294" i="2" s="1"/>
  <c r="C295" i="2" s="1"/>
  <c r="G297" i="2"/>
  <c r="K297" i="2" s="1"/>
  <c r="G298" i="2"/>
  <c r="K298" i="2"/>
  <c r="G299" i="2"/>
  <c r="K299" i="2"/>
  <c r="G300" i="2"/>
  <c r="K300" i="2"/>
  <c r="G301" i="2"/>
  <c r="K301" i="2"/>
  <c r="G302" i="2"/>
  <c r="K302" i="2" s="1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 s="1"/>
  <c r="G315" i="2"/>
  <c r="K315" i="2"/>
  <c r="G316" i="2"/>
  <c r="K316" i="2"/>
  <c r="G317" i="2"/>
  <c r="K317" i="2"/>
  <c r="G318" i="2"/>
  <c r="K318" i="2"/>
  <c r="G319" i="2"/>
  <c r="K319" i="2" s="1"/>
  <c r="G320" i="2"/>
  <c r="K320" i="2" s="1"/>
  <c r="G327" i="2"/>
  <c r="K327" i="2"/>
  <c r="E330" i="2"/>
  <c r="F330" i="2"/>
  <c r="J330" i="2"/>
  <c r="S291" i="2" l="1"/>
  <c r="W291" i="2" s="1"/>
  <c r="W385" i="2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S249" i="2" s="1"/>
  <c r="W249" i="2" s="1"/>
  <c r="P248" i="2"/>
  <c r="S248" i="2" s="1"/>
  <c r="W248" i="2" s="1"/>
  <c r="P247" i="2"/>
  <c r="S247" i="2" s="1"/>
  <c r="W247" i="2" s="1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S241" i="2" s="1"/>
  <c r="W241" i="2" s="1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S233" i="2"/>
  <c r="W233" i="2" s="1"/>
  <c r="S234" i="2"/>
  <c r="S236" i="2"/>
  <c r="W236" i="2" s="1"/>
  <c r="S237" i="2"/>
  <c r="W237" i="2" s="1"/>
  <c r="U275" i="2"/>
  <c r="S240" i="2"/>
  <c r="W240" i="2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 s="1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 s="1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 s="1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E181" i="2" s="1"/>
  <c r="AI181" i="2" s="1"/>
  <c r="AH180" i="2"/>
  <c r="AB180" i="2"/>
  <c r="AE180" i="2" s="1"/>
  <c r="AI180" i="2" s="1"/>
  <c r="AH177" i="2"/>
  <c r="AH220" i="2" s="1"/>
  <c r="AB177" i="2"/>
  <c r="AE177" i="2"/>
  <c r="AA178" i="2"/>
  <c r="AC220" i="2"/>
  <c r="AA179" i="2"/>
  <c r="AA180" i="2" s="1"/>
  <c r="AA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S184" i="2" s="1"/>
  <c r="W184" i="2" s="1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 s="1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 s="1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G181" i="2" s="1"/>
  <c r="K181" i="2" s="1"/>
  <c r="D180" i="2"/>
  <c r="G180" i="2" s="1"/>
  <c r="K180" i="2" s="1"/>
  <c r="D179" i="2"/>
  <c r="G179" i="2" s="1"/>
  <c r="K179" i="2" s="1"/>
  <c r="J178" i="2"/>
  <c r="J220" i="2" s="1"/>
  <c r="D178" i="2"/>
  <c r="G178" i="2" s="1"/>
  <c r="K178" i="2" s="1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 s="1"/>
  <c r="C178" i="2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 s="1"/>
  <c r="G210" i="2"/>
  <c r="K210" i="2" s="1"/>
  <c r="G217" i="2"/>
  <c r="K217" i="2"/>
  <c r="E220" i="2"/>
  <c r="I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E126" i="2" s="1"/>
  <c r="AI126" i="2" s="1"/>
  <c r="AB125" i="2"/>
  <c r="AE125" i="2" s="1"/>
  <c r="AI125" i="2" s="1"/>
  <c r="AC124" i="2"/>
  <c r="AE124" i="2" s="1"/>
  <c r="AI124" i="2" s="1"/>
  <c r="AB124" i="2"/>
  <c r="AH123" i="2"/>
  <c r="AH165" i="2" s="1"/>
  <c r="AC123" i="2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7" i="2"/>
  <c r="AI127" i="2" s="1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 s="1"/>
  <c r="AE160" i="2"/>
  <c r="AI160" i="2"/>
  <c r="AI161" i="2"/>
  <c r="AE162" i="2"/>
  <c r="AI162" i="2" s="1"/>
  <c r="AI163" i="2"/>
  <c r="AD165" i="2"/>
  <c r="P142" i="2"/>
  <c r="S142" i="2" s="1"/>
  <c r="W142" i="2" s="1"/>
  <c r="U141" i="2"/>
  <c r="U165" i="2" s="1"/>
  <c r="P141" i="2"/>
  <c r="S141" i="2" s="1"/>
  <c r="P140" i="2"/>
  <c r="P139" i="2"/>
  <c r="P138" i="2"/>
  <c r="S138" i="2" s="1"/>
  <c r="W138" i="2" s="1"/>
  <c r="P137" i="2"/>
  <c r="S137" i="2" s="1"/>
  <c r="W137" i="2" s="1"/>
  <c r="P136" i="2"/>
  <c r="P135" i="2"/>
  <c r="P134" i="2"/>
  <c r="P133" i="2"/>
  <c r="U132" i="2"/>
  <c r="P132" i="2"/>
  <c r="S132" i="2" s="1"/>
  <c r="W132" i="2" s="1"/>
  <c r="P131" i="2"/>
  <c r="S131" i="2" s="1"/>
  <c r="W131" i="2" s="1"/>
  <c r="P130" i="2"/>
  <c r="S130" i="2" s="1"/>
  <c r="W130" i="2" s="1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S125" i="2" s="1"/>
  <c r="W125" i="2" s="1"/>
  <c r="P124" i="2"/>
  <c r="S124" i="2" s="1"/>
  <c r="W124" i="2" s="1"/>
  <c r="P123" i="2"/>
  <c r="S123" i="2" s="1"/>
  <c r="W123" i="2" s="1"/>
  <c r="P122" i="2"/>
  <c r="S122" i="2" s="1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V165" i="2"/>
  <c r="S133" i="2"/>
  <c r="W133" i="2" s="1"/>
  <c r="S134" i="2"/>
  <c r="W134" i="2" s="1"/>
  <c r="S135" i="2"/>
  <c r="W135" i="2" s="1"/>
  <c r="S136" i="2"/>
  <c r="W136" i="2" s="1"/>
  <c r="S139" i="2"/>
  <c r="W139" i="2" s="1"/>
  <c r="S140" i="2"/>
  <c r="W140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 s="1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 s="1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 s="1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 s="1"/>
  <c r="G154" i="2"/>
  <c r="K154" i="2" s="1"/>
  <c r="G155" i="2"/>
  <c r="K155" i="2"/>
  <c r="G162" i="2"/>
  <c r="K162" i="2"/>
  <c r="E165" i="2"/>
  <c r="F165" i="2"/>
  <c r="I165" i="2"/>
  <c r="J165" i="2"/>
  <c r="AE123" i="2" l="1"/>
  <c r="AI123" i="2" s="1"/>
  <c r="AE220" i="2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E71" i="2" s="1"/>
  <c r="AI71" i="2" s="1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 s="1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 s="1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G77" i="2" s="1"/>
  <c r="K77" i="2" s="1"/>
  <c r="D76" i="2"/>
  <c r="G76" i="2" s="1"/>
  <c r="K76" i="2" s="1"/>
  <c r="D75" i="2"/>
  <c r="G75" i="2" s="1"/>
  <c r="K75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  <comment ref="F27" authorId="0" shapeId="0" xr:uid="{1B6AACD4-2141-403E-A64F-050750F48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F32" authorId="0" shapeId="0" xr:uid="{A41607D1-A6F0-4DF2-971F-C79BFBA3E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G32" authorId="0" shapeId="0" xr:uid="{B781DA53-31A9-4F35-B04D-D36CAC938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H33" authorId="0" shapeId="0" xr:uid="{2B87AB91-A0F7-451F-98AC-42D385AEB1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  <comment ref="O738" authorId="0" shapeId="0" xr:uid="{76A045E7-BF18-4839-B5BD-D7FCBD24B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O782" authorId="0" shapeId="0" xr:uid="{EE00F4AA-4DDB-43FE-80B2-20F1053F10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782" authorId="0" shapeId="0" xr:uid="{CAA58956-0D12-4BD4-BDF7-D20B272B2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783" authorId="0" shapeId="0" xr:uid="{5C710F1E-244B-486B-83AE-84D824DD22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3" authorId="0" shapeId="0" xr:uid="{3525AA7C-910E-4DD9-A144-FE1C26744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O784" authorId="0" shapeId="0" xr:uid="{73A2C75D-2A42-46AC-8AFA-7BC0741545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5CB2E685-F619-4D55-B958-F980462C3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POB, SALUG</t>
        </r>
      </text>
    </comment>
    <comment ref="O785" authorId="0" shapeId="0" xr:uid="{1B64B027-A0E5-4429-BA0F-64AC92084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5" authorId="0" shapeId="0" xr:uid="{C385C47E-A223-4121-BCF4-CE95A83B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</t>
        </r>
      </text>
    </comment>
    <comment ref="O786" authorId="0" shapeId="0" xr:uid="{C54AEEFC-CDB8-4634-BA32-D236D0DC0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787" authorId="0" shapeId="0" xr:uid="{D7633598-6FA7-47EB-9A8F-1100447926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788" authorId="0" shapeId="0" xr:uid="{20392755-FF5D-414A-8BC9-4B719B9CE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789" authorId="0" shapeId="0" xr:uid="{0A4803BE-5CAF-41A8-BED6-4B2007C42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O790" authorId="0" shapeId="0" xr:uid="{9E783F71-DEAB-4194-BCB6-2042D49F5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791" authorId="0" shapeId="0" xr:uid="{2333784D-ABE9-402C-8845-3BA262CB11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792" authorId="0" shapeId="0" xr:uid="{013754D1-CD74-4F59-907F-E6000E64B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REYNALDO
MARAS, SINDANGAN</t>
        </r>
      </text>
    </comment>
    <comment ref="O793" authorId="0" shapeId="0" xr:uid="{A05AE852-B4FA-492C-8FA9-1B8E8BA56F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794" authorId="0" shapeId="0" xr:uid="{6D8CB1E6-494D-4AE0-8A52-6D0AF44B2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795" authorId="0" shapeId="0" xr:uid="{1E9E19D7-1503-49F9-BCBF-5DB1CB9F8A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SHANEE'S STORE
MARAS, SINDANGAN</t>
        </r>
      </text>
    </comment>
    <comment ref="O796" authorId="0" shapeId="0" xr:uid="{BE1E2D3E-B1A5-46DF-B7CA-5605E7356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797" authorId="0" shapeId="0" xr:uid="{830348B9-5425-488A-BA99-91EDEC487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98" authorId="0" shapeId="0" xr:uid="{FFD2A04E-10E0-4CF7-9D99-AF0065FE7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C837" authorId="0" shapeId="0" xr:uid="{6A10494F-ABE5-4BB5-A4B9-C30CB917D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JERIEL DOMEN
INUMAN, SINDANGAN</t>
        </r>
      </text>
    </comment>
    <comment ref="O837" authorId="0" shapeId="0" xr:uid="{7A135203-F15E-4503-BA0F-79B30A5F2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37" authorId="0" shapeId="0" xr:uid="{7E981291-71FD-4E8F-9299-D4AC676C7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838" authorId="0" shapeId="0" xr:uid="{01BD5932-C037-47F5-BCDA-54F14E867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38" authorId="0" shapeId="0" xr:uid="{BA243055-36FC-4A2F-9265-1A1FDD00E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51FED2C7-EF83-44C6-B3C0-AA389F960A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839" authorId="0" shapeId="0" xr:uid="{F73F4F11-592C-4231-A7FD-9D66849DB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839" authorId="0" shapeId="0" xr:uid="{5BECC05D-8848-4D9B-A390-BF245EE3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839" authorId="0" shapeId="0" xr:uid="{2DECF796-E30E-43F2-AD0A-E2235F293B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VINAH MARAÑON
VILLA SUICIDAL, LILOY</t>
        </r>
      </text>
    </comment>
    <comment ref="C840" authorId="0" shapeId="0" xr:uid="{44EABC9F-2085-47BF-B3BD-AB1D99511D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40" authorId="0" shapeId="0" xr:uid="{B379BDAD-5036-47F1-ABF0-DFF3D21D9F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NARVEM J. MONTECLARO
TINAPLAN, SINDANGAN</t>
        </r>
      </text>
    </comment>
    <comment ref="AA840" authorId="0" shapeId="0" xr:uid="{837893C0-69DA-462A-AFEB-51227D39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GERALYN CAMANSI
VILLA SUICIDAL, LILOY</t>
        </r>
      </text>
    </comment>
    <comment ref="C841" authorId="0" shapeId="0" xr:uid="{76770A46-7A5A-449F-8F3E-01982CCF7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KALAKAS, SIAYAN</t>
        </r>
      </text>
    </comment>
    <comment ref="O841" authorId="0" shapeId="0" xr:uid="{878A614B-79FF-4E84-86EA-C85A5DA94D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841" authorId="0" shapeId="0" xr:uid="{AEDA4150-DB7D-4000-AF7E-15893B1EE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42" authorId="0" shapeId="0" xr:uid="{184C4B46-9AF7-4DE4-893A-E03C35CB03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42" authorId="0" shapeId="0" xr:uid="{153D6D93-0160-4848-863A-5F88FBE8AF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TINAPLAN, SINDANGAN</t>
        </r>
      </text>
    </comment>
    <comment ref="AA842" authorId="0" shapeId="0" xr:uid="{D1B5FDD1-633C-485E-87F9-C4C02525E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JELYN STORE
VILLA SUICIDAL, LILOY</t>
        </r>
      </text>
    </comment>
    <comment ref="C843" authorId="0" shapeId="0" xr:uid="{43B33446-29D3-4A79-8D69-DD85110CF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843" authorId="0" shapeId="0" xr:uid="{16E502C5-624F-4236-BDAE-461DFB77C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ABAN STORE
TINAPLAN, SINDANGAN</t>
        </r>
      </text>
    </comment>
    <comment ref="AA843" authorId="0" shapeId="0" xr:uid="{1AAB9342-E05D-4CC7-A793-30AEE578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44" authorId="0" shapeId="0" xr:uid="{677BC076-04C3-4C3D-A176-FAD9EBDD6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BALOK, SINDANGAN</t>
        </r>
      </text>
    </comment>
    <comment ref="O844" authorId="0" shapeId="0" xr:uid="{024F5C5E-E30C-4368-8E26-741BE1852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LUMINGIN
TINAPLAN, SINDANGAN</t>
        </r>
      </text>
    </comment>
    <comment ref="AA844" authorId="0" shapeId="0" xr:uid="{BF14C8FA-4B32-4924-84E9-7BEC709BE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CATACUTAN
LAMAO, LILOY</t>
        </r>
      </text>
    </comment>
    <comment ref="C845" authorId="0" shapeId="0" xr:uid="{2BB621D2-BFCB-4DEE-8476-0EC5F57BE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45" authorId="0" shapeId="0" xr:uid="{FC05BA0C-6A52-449B-A9C9-E31809C97E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CANDES
TINAPLAN, SINDANGAN</t>
        </r>
      </text>
    </comment>
    <comment ref="AA845" authorId="0" shapeId="0" xr:uid="{0464EB96-E7A3-4941-96B2-D5AC1BB46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JODI'S VARIETY STORE
BAYBAY, LILOY</t>
        </r>
      </text>
    </comment>
    <comment ref="O846" authorId="0" shapeId="0" xr:uid="{806E1758-D058-4AF0-BEEF-5DE215879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MANOS STORE
TINAPLAN, SINDANGAN</t>
        </r>
      </text>
    </comment>
    <comment ref="AA846" authorId="0" shapeId="0" xr:uid="{7D3955DC-D4DF-4677-B517-F4F87EFA13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847" authorId="0" shapeId="0" xr:uid="{2E3022C8-456E-412E-9C55-D4B6C9E77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SAGAPSAPAN PESING
TINAPLAN, SINDANGAN</t>
        </r>
      </text>
    </comment>
    <comment ref="AA847" authorId="0" shapeId="0" xr:uid="{0A4F2112-3AE7-441B-A755-01BBA3048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848" authorId="0" shapeId="0" xr:uid="{A0DEBCAE-B19F-4B08-9607-F7F866E1B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JKAKAMA
TINAPLAN, SINDANGAN</t>
        </r>
      </text>
    </comment>
    <comment ref="AA848" authorId="0" shapeId="0" xr:uid="{26522955-593E-42F9-B38D-E9A14C8DC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849" authorId="0" shapeId="0" xr:uid="{23F2F30F-863B-47CD-A78D-C7D3B278D9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DAGOHOY, SINDANGAN</t>
        </r>
      </text>
    </comment>
    <comment ref="AA849" authorId="0" shapeId="0" xr:uid="{5476B96A-899A-4E9B-BC1C-3E6147CB11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NORMA HICALDE
TIMAN, LILOY</t>
        </r>
      </text>
    </comment>
    <comment ref="O850" authorId="0" shapeId="0" xr:uid="{0121A6C8-50F2-4D95-9936-4BBE702AF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50" authorId="0" shapeId="0" xr:uid="{0FE4EC9D-A934-4BC0-A57B-58707DF4F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TUMACMOL
GOLEO, SINDANGAN</t>
        </r>
      </text>
    </comment>
    <comment ref="O851" authorId="0" shapeId="0" xr:uid="{F0F99FD8-3650-4C9C-9276-A9CB0457E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852" authorId="0" shapeId="0" xr:uid="{953A8315-C213-49F5-BA33-5A4FCAA508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853" authorId="0" shapeId="0" xr:uid="{861C300E-6F2D-49A8-A4F1-5C9AC6837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JAYVEE TAATA
GOLEO, SINDANGAN</t>
        </r>
      </text>
    </comment>
    <comment ref="O854" authorId="0" shapeId="0" xr:uid="{C9EC9D2A-1DC9-42A6-9CF1-70EC97DF5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YANOS
GOLEO, SINDANGAN</t>
        </r>
      </text>
    </comment>
    <comment ref="C892" authorId="0" shapeId="0" xr:uid="{C915527C-B08E-4ECD-B669-8D81D7E68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892" authorId="0" shapeId="0" xr:uid="{165C4E5B-F198-472A-8644-EA3FC7352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HABAGAT
UPPER INUMAN, SINDANGAN</t>
        </r>
      </text>
    </comment>
    <comment ref="AA892" authorId="0" shapeId="0" xr:uid="{D809FA18-22C9-46E6-8DDD-435747D84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93" authorId="0" shapeId="0" xr:uid="{4064A2DB-EAD6-4CA4-8C43-18A69E6B0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3" authorId="0" shapeId="0" xr:uid="{28B42870-8011-4195-A697-4048C9D05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893" authorId="0" shapeId="0" xr:uid="{B88C99E4-3C7A-4B11-8A02-9C794151A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94" authorId="0" shapeId="0" xr:uid="{A65C5D0F-5840-4EE0-B98D-56E016549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894" authorId="0" shapeId="0" xr:uid="{FC13318E-D336-4424-A0AF-728BFA444A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AA894" authorId="0" shapeId="0" xr:uid="{A9B7F7FA-8AB0-4A4B-8BE9-05DB271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C895" authorId="0" shapeId="0" xr:uid="{20558F97-1A19-4B80-B185-4946C2AECD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895" authorId="0" shapeId="0" xr:uid="{143AB182-D234-4B65-9365-6868783B9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CHERYL BERHAME
RM, SALUG</t>
        </r>
      </text>
    </comment>
    <comment ref="AA895" authorId="0" shapeId="0" xr:uid="{81E32114-B317-4AEA-96A3-C7CDB4001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ESTRELLANTE
BACONG, SALUG</t>
        </r>
      </text>
    </comment>
    <comment ref="C896" authorId="0" shapeId="0" xr:uid="{0326E1E6-EA8B-423E-BE6A-69F868942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GINGS EATERY
DISUD, SINDANGAN</t>
        </r>
      </text>
    </comment>
    <comment ref="O896" authorId="0" shapeId="0" xr:uid="{ECAC0BAE-6E42-4DDE-A23F-E11295F9BE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GUMIMAO
RM, SALUG</t>
        </r>
      </text>
    </comment>
    <comment ref="AA896" authorId="0" shapeId="0" xr:uid="{139D4D7B-773A-4A94-B393-101C3E4DB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PACITA RETUYA
BACONG, SALUG</t>
        </r>
      </text>
    </comment>
    <comment ref="C897" authorId="0" shapeId="0" xr:uid="{366DC483-811E-4D9D-A372-A47557C32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97" authorId="0" shapeId="0" xr:uid="{6512F89C-57EE-4619-A175-071B7BACC3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ESPLANA
RM, SALUG</t>
        </r>
      </text>
    </comment>
    <comment ref="AA897" authorId="0" shapeId="0" xr:uid="{E321FA62-5E57-4A5E-92A1-0A1F01E77F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VERFREY REULO STORE
BACONG, SALUG</t>
        </r>
      </text>
    </comment>
    <comment ref="C898" authorId="0" shapeId="0" xr:uid="{228614CE-6688-46D3-AE7D-4FF16029B1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ROBIN
DISUD, SINDANGAN</t>
        </r>
      </text>
    </comment>
    <comment ref="O898" authorId="0" shapeId="0" xr:uid="{E1D66C15-0D60-4A3D-BF87-53B9AD21C8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AA898" authorId="0" shapeId="0" xr:uid="{8E579D25-3F42-40B7-B4E7-04774888C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99" authorId="0" shapeId="0" xr:uid="{7E922910-2A20-41FA-BC58-F513A9EB1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BORB'S STORE
POB, SINDANGAN</t>
        </r>
      </text>
    </comment>
    <comment ref="O899" authorId="0" shapeId="0" xr:uid="{4FEF8FFF-1919-4152-8501-3F9A74E44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899" authorId="0" shapeId="0" xr:uid="{C19FC51C-BD26-4D4E-8AEA-8D4658A56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
BACONG, SALUG</t>
        </r>
      </text>
    </comment>
    <comment ref="C900" authorId="0" shapeId="0" xr:uid="{58B03017-85BB-4C59-8FEA-829AD1B2A6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900" authorId="0" shapeId="0" xr:uid="{50C25D59-930C-4314-9ED8-5F934F21B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900" authorId="0" shapeId="0" xr:uid="{753BA783-8C5D-4160-B678-BDED53D34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01" authorId="0" shapeId="0" xr:uid="{F9D0B6BD-95AA-41C9-954D-069E583A8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DAPAON, SINDANGAN</t>
        </r>
      </text>
    </comment>
    <comment ref="O901" authorId="0" shapeId="0" xr:uid="{67B9C2D3-B8E9-4048-AA55-C45EC4810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901" authorId="0" shapeId="0" xr:uid="{BA1616AC-8B85-4B3B-9A42-B1256F2B9A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902" authorId="0" shapeId="0" xr:uid="{BFAA695C-2E96-4BAD-B345-8AFBD8ABC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BANDICO
GOLEO, SINDANGAN</t>
        </r>
      </text>
    </comment>
    <comment ref="O902" authorId="0" shapeId="0" xr:uid="{29FC2C55-B1D5-46A7-A8EF-B23E9B8A7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AA902" authorId="0" shapeId="0" xr:uid="{4C564794-F539-446F-BFDA-097BE2E79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903" authorId="0" shapeId="0" xr:uid="{B3FC69DC-7EA0-4779-B517-5F0DB0AC5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AA903" authorId="0" shapeId="0" xr:uid="{392E3066-976B-42C7-AA54-14F9CACFF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O904" authorId="0" shapeId="0" xr:uid="{403CF1EC-3D21-4A48-BFA4-893962762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RAFFLES
BOGABONGAN, BACUNGAN</t>
        </r>
      </text>
    </comment>
    <comment ref="O905" authorId="0" shapeId="0" xr:uid="{F75AC2FA-D5D7-4989-BA02-CB82A192F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STORE
BOGABONGAN, BACUNGAN</t>
        </r>
      </text>
    </comment>
    <comment ref="O906" authorId="0" shapeId="0" xr:uid="{70EE3CD1-1F95-42FA-A284-9B597017A5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907" authorId="0" shapeId="0" xr:uid="{40866ED2-4D4A-4FFB-B76C-F903753D0E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O908" authorId="0" shapeId="0" xr:uid="{D399A5F2-470C-4CF3-9B83-09BBAFE7DD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AICHEL PACURE
BOGABONGAN, BACUNGAN</t>
        </r>
      </text>
    </comment>
    <comment ref="O909" authorId="0" shapeId="0" xr:uid="{2319E89C-3F84-45B4-AF2B-F2BD5E51EB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O910" authorId="0" shapeId="0" xr:uid="{5A0E4B07-6415-469A-AB15-DF0DC1DBC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911" authorId="0" shapeId="0" xr:uid="{683A133C-14D2-4C7B-8E5D-02F5F4F5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LACPAW
MARAS, SINDANGAN</t>
        </r>
      </text>
    </comment>
    <comment ref="O912" authorId="0" shapeId="0" xr:uid="{836D154B-CF77-40F3-B766-13B6F8CE1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C947" authorId="0" shapeId="0" xr:uid="{A0A3D101-29D9-47DD-9383-73B89348D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PARDILLLO CECELIOA
DUMPILAS, SIAYAN</t>
        </r>
      </text>
    </comment>
    <comment ref="O947" authorId="0" shapeId="0" xr:uid="{E8F1B5BA-C149-4E03-9977-2953DEA106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947" authorId="0" shapeId="0" xr:uid="{FB5BC2DD-D9C8-40CF-BE0C-60E31B092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8" authorId="0" shapeId="0" xr:uid="{264791DE-B73E-4754-80A5-FA8E6B37F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ROMEO
PARANG LUMBA, SIAYAN</t>
        </r>
      </text>
    </comment>
    <comment ref="O948" authorId="0" shapeId="0" xr:uid="{D3AFBC39-15AC-4122-9D4E-937723765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948" authorId="0" shapeId="0" xr:uid="{00B045FD-7154-4726-B0DC-D3C8E1A33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49" authorId="0" shapeId="0" xr:uid="{B666D128-6583-428E-BDEF-89043D9933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SIAAPAFEDO
POB, SIAYAN</t>
        </r>
      </text>
    </comment>
    <comment ref="O949" authorId="0" shapeId="0" xr:uid="{82676933-6E53-4C43-B243-D8783BF6D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949" authorId="0" shapeId="0" xr:uid="{D67D7EDE-0ED1-4EBD-9586-DEDA547C3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MELVIN STORE
TIMAN, LILOY</t>
        </r>
      </text>
    </comment>
    <comment ref="C950" authorId="0" shapeId="0" xr:uid="{25B6AA3C-C23E-4DA8-B2B9-8CDBD995D4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JENALYN LANGAN
POB, SIAYAN</t>
        </r>
      </text>
    </comment>
    <comment ref="O950" authorId="0" shapeId="0" xr:uid="{14A3F0CF-600D-4569-A279-C005C4CB1A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950" authorId="0" shapeId="0" xr:uid="{BBC361AA-838C-4D45-A105-6A23A6A9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STORE
CANAWAN, SALUG</t>
        </r>
      </text>
    </comment>
    <comment ref="C951" authorId="0" shapeId="0" xr:uid="{2F1F8D00-08AE-4B30-A170-D2D7EA285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 / REY ADAZA
POB, SIAYAN</t>
        </r>
      </text>
    </comment>
    <comment ref="O951" authorId="0" shapeId="0" xr:uid="{B8BB1B2C-1F6E-41A9-BB5D-FD22103E3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951" authorId="0" shapeId="0" xr:uid="{48CB95EB-5BE3-490F-AB83-319FC994F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CATALINA, VELASQUEZ
CANAWAN, SALUG</t>
        </r>
      </text>
    </comment>
    <comment ref="C952" authorId="0" shapeId="0" xr:uid="{06915920-A689-425C-94B2-E956AF014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954" authorId="0" shapeId="0" xr:uid="{6B0AD22B-DC1C-42B4-A0BE-510328A1B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WALTER ALBOS
GOLEO, SINDANGAN</t>
        </r>
      </text>
    </comment>
    <comment ref="C955" authorId="0" shapeId="0" xr:uid="{3DC9A881-10C9-427C-9AE9-B3B91942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956" authorId="0" shapeId="0" xr:uid="{D3E6F98F-146F-4A77-9E16-9A535868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57" authorId="0" shapeId="0" xr:uid="{146EADE5-D74F-49AA-B965-06951A8DA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VICTORIA CANTON
GOLEO, SINDANGAN</t>
        </r>
      </text>
    </comment>
    <comment ref="AA1002" authorId="0" shapeId="0" xr:uid="{D7682E8D-117D-43BF-BFA7-5A7A4D8F3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1003" authorId="0" shapeId="0" xr:uid="{D600B892-D729-4930-99C4-B4C4A64B8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AA1004" authorId="0" shapeId="0" xr:uid="{E896AC21-419A-4256-B731-17859FD46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PAUBAYA
POB, SALUG</t>
        </r>
      </text>
    </comment>
    <comment ref="AA1005" authorId="0" shapeId="0" xr:uid="{133CD3CD-764C-4E01-8DC7-657638EFC9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AA1006" authorId="0" shapeId="0" xr:uid="{2EF64C33-A22A-488E-AEC8-158D512767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7" authorId="0" shapeId="0" xr:uid="{5B2C009A-7D50-4F2C-984F-A3322E1866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057" authorId="0" shapeId="0" xr:uid="{3F7A768C-1E8E-4978-8FC1-2A34A1DBD0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1058" authorId="0" shapeId="0" xr:uid="{B51C1412-1001-4E9B-A56C-153A565A5C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058" authorId="0" shapeId="0" xr:uid="{D58334EF-C62A-4E3E-9CC5-ABCCE69956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1059" authorId="0" shapeId="0" xr:uid="{E51888A6-23E5-48AF-A431-F20261C48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1059" authorId="0" shapeId="0" xr:uid="{6B72C24F-6A52-4839-ABD6-B6C855D757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1060" authorId="0" shapeId="0" xr:uid="{90F977CD-7415-45C0-B249-457EF0C08F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LAGAG, SINDANGAN</t>
        </r>
      </text>
    </comment>
    <comment ref="C1061" authorId="0" shapeId="0" xr:uid="{90E64147-5CF0-45D4-A0F5-C902697FA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ESPERANZA SUMAMPONG
UPPER DENOYAN, SIAYAN</t>
        </r>
      </text>
    </comment>
    <comment ref="C1062" authorId="0" shapeId="0" xr:uid="{B7D4CE69-3C06-4F5E-9C22-E2057DB626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UPPER DENOYAN, SIAYAN</t>
        </r>
      </text>
    </comment>
    <comment ref="C1063" authorId="0" shapeId="0" xr:uid="{B2A453DC-123D-4716-913C-F1A8DDD975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1064" authorId="0" shapeId="0" xr:uid="{7AF79291-76E6-4E59-83C7-10AECB5DD2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1065" authorId="0" shapeId="0" xr:uid="{92AD99CF-120B-4ED3-A943-78615DD87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SALUG</t>
        </r>
      </text>
    </comment>
    <comment ref="C1066" authorId="0" shapeId="0" xr:uid="{BF752E45-1D96-420E-BA03-F2B57DAD1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SABANATES STORE
DAGAO POB, SIAYAN</t>
        </r>
      </text>
    </comment>
    <comment ref="C1067" authorId="0" shapeId="0" xr:uid="{2A0DBD06-E7E0-4D4D-8176-8610E2AC2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INOCENCIA
POLAYO, SIAYAN</t>
        </r>
      </text>
    </comment>
    <comment ref="C1068" authorId="0" shapeId="0" xr:uid="{1627A37C-7816-468A-BCDF-F7118E175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1069" authorId="0" shapeId="0" xr:uid="{17708736-DBED-4C32-80AC-27A8339EF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VILLARUBIA STORE
DENOYAN, SIAYAN</t>
        </r>
      </text>
    </comment>
    <comment ref="C1070" authorId="0" shapeId="0" xr:uid="{8E7B7E88-8469-4E2F-B942-C9CA37E2A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DENOYAN, SIAYAN</t>
        </r>
      </text>
    </comment>
    <comment ref="C1071" authorId="0" shapeId="0" xr:uid="{E0C7A827-59A7-42B5-8CD4-15FC05DF1D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1072" authorId="0" shapeId="0" xr:uid="{33126848-EB0E-4951-B437-F90463E07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C1073" authorId="0" shapeId="0" xr:uid="{09A6A1B8-AA49-4A2D-8093-077B4E3812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1074" authorId="0" shapeId="0" xr:uid="{580BC299-3B91-4C23-86E3-3956DB9B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SNB
POB, SINDANGAN</t>
        </r>
      </text>
    </comment>
    <comment ref="C1075" authorId="0" shapeId="0" xr:uid="{ED24C74B-F6EE-4456-A190-1CD2E9E58C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
POB, SINDANGAN</t>
        </r>
      </text>
    </comment>
    <comment ref="C1076" authorId="0" shapeId="0" xr:uid="{123632D2-0FA2-4ED0-A15A-918DAC7409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RITCHIE ZOZOBRADO
POB, SINDANGAN</t>
        </r>
      </text>
    </comment>
  </commentList>
</comments>
</file>

<file path=xl/sharedStrings.xml><?xml version="1.0" encoding="utf-8"?>
<sst xmlns="http://schemas.openxmlformats.org/spreadsheetml/2006/main" count="1371" uniqueCount="95">
  <si>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</si>
  <si>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</si>
  <si>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</si>
  <si>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</si>
  <si>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</si>
  <si>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</si>
  <si>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</si>
  <si>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</si>
  <si>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</si>
  <si>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</si>
  <si>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</si>
  <si>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</si>
  <si>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</si>
  <si>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</si>
  <si>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</si>
  <si>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</si>
  <si>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</si>
  <si>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</si>
  <si>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</si>
  <si>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</si>
  <si>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</si>
  <si>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</si>
  <si>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</si>
  <si>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</si>
  <si>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</si>
  <si>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</si>
  <si>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</si>
  <si>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</si>
  <si>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</si>
  <si>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</si>
  <si>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</si>
  <si>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</si>
  <si>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</si>
  <si>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</si>
  <si>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</si>
  <si>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</si>
  <si>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</si>
  <si>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</si>
  <si>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</si>
  <si>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</si>
  <si>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</si>
  <si>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</si>
  <si>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</si>
  <si>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</si>
  <si>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</si>
  <si>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</si>
  <si>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</si>
  <si>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</si>
  <si>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</si>
  <si>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</si>
  <si>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</si>
  <si>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</si>
  <si>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</si>
  <si>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</si>
  <si>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</si>
  <si>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</si>
  <si>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</si>
  <si>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</si>
  <si>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</si>
  <si>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</si>
  <si>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</si>
  <si>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</si>
  <si>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</si>
  <si>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</si>
  <si>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</si>
  <si>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</si>
  <si>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</si>
  <si>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</si>
  <si>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</si>
  <si>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</si>
  <si>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</si>
  <si>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</si>
  <si>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</si>
  <si>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</si>
  <si>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</si>
  <si>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</si>
  <si>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9098-9100,9201-9208/9022-9033/9159-9161</t>
  </si>
  <si>
    <t>FEBRUARY 18, 2026</t>
  </si>
  <si>
    <t>02/18/2026</t>
  </si>
  <si>
    <t>/9034-9050/9162-9165</t>
  </si>
  <si>
    <t>FEBRUARY 19, 2026</t>
  </si>
  <si>
    <t>02/19/2026</t>
  </si>
  <si>
    <t>9201-9217/9251-9268/9166-9179</t>
  </si>
  <si>
    <t>FEBRUARY 20, 2026</t>
  </si>
  <si>
    <t>02/20/2026</t>
  </si>
  <si>
    <t>9218-9228/9269-9289/9180-9191</t>
  </si>
  <si>
    <t>FEBRUARY 21, 2026</t>
  </si>
  <si>
    <t>02/21/2026</t>
  </si>
  <si>
    <t>9229-9239/9290-9294/9351-9355</t>
  </si>
  <si>
    <t>FEBRUARY 23, 2026</t>
  </si>
  <si>
    <t>02/23/2026</t>
  </si>
  <si>
    <t>FEBRUARY 24, 2026</t>
  </si>
  <si>
    <t>02/24/2026</t>
  </si>
  <si>
    <t>//9192-9196</t>
  </si>
  <si>
    <t>9240-9249,9111-9120/9295-9297/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</si>
</sst>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G34" sqref="G3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1" t="s">
        <v>36</v>
      </c>
      <c r="B6" s="11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715237</v>
      </c>
      <c r="F26" s="14">
        <v>218900</v>
      </c>
      <c r="G26" s="14">
        <v>209167</v>
      </c>
      <c r="H26" s="14">
        <v>287170</v>
      </c>
      <c r="I26" s="14"/>
      <c r="J26" s="17">
        <f t="shared" si="1"/>
        <v>715237</v>
      </c>
    </row>
    <row r="27" spans="1:10" x14ac:dyDescent="0.25">
      <c r="A27" s="10">
        <f t="shared" si="2"/>
        <v>18</v>
      </c>
      <c r="B27" s="56" t="s">
        <v>9</v>
      </c>
      <c r="C27" s="12" t="s">
        <v>79</v>
      </c>
      <c r="D27" s="16">
        <f t="shared" si="3"/>
        <v>432458</v>
      </c>
      <c r="F27" s="14"/>
      <c r="G27" s="14">
        <v>209792.5</v>
      </c>
      <c r="H27" s="14">
        <v>222665.5</v>
      </c>
      <c r="I27" s="14"/>
      <c r="J27" s="17">
        <f t="shared" si="1"/>
        <v>432458</v>
      </c>
    </row>
    <row r="28" spans="1:10" x14ac:dyDescent="0.25">
      <c r="A28" s="10">
        <f t="shared" si="2"/>
        <v>19</v>
      </c>
      <c r="B28" s="11" t="s">
        <v>30</v>
      </c>
      <c r="C28" s="12" t="s">
        <v>82</v>
      </c>
      <c r="D28" s="16">
        <f t="shared" si="3"/>
        <v>691944.16666666663</v>
      </c>
      <c r="F28" s="14">
        <v>255431.5</v>
      </c>
      <c r="G28" s="14">
        <v>207096.16666666666</v>
      </c>
      <c r="H28" s="14">
        <v>229416.5</v>
      </c>
      <c r="I28" s="14"/>
      <c r="J28" s="17">
        <f t="shared" si="1"/>
        <v>691944.16666666663</v>
      </c>
    </row>
    <row r="29" spans="1:10" x14ac:dyDescent="0.25">
      <c r="A29" s="10">
        <f t="shared" si="2"/>
        <v>20</v>
      </c>
      <c r="B29" s="43" t="s">
        <v>4</v>
      </c>
      <c r="C29" s="12" t="s">
        <v>85</v>
      </c>
      <c r="D29" s="16">
        <f t="shared" si="3"/>
        <v>733349.5</v>
      </c>
      <c r="F29" s="14">
        <v>289212.5</v>
      </c>
      <c r="G29" s="14">
        <v>126344.5</v>
      </c>
      <c r="H29" s="14">
        <v>317792.5</v>
      </c>
      <c r="I29" s="14"/>
      <c r="J29" s="17">
        <f t="shared" si="1"/>
        <v>733349.5</v>
      </c>
    </row>
    <row r="30" spans="1:10" x14ac:dyDescent="0.25">
      <c r="A30" s="10">
        <f t="shared" si="2"/>
        <v>21</v>
      </c>
      <c r="B30" s="56" t="s">
        <v>5</v>
      </c>
      <c r="C30" s="12" t="s">
        <v>88</v>
      </c>
      <c r="D30" s="16">
        <f t="shared" si="3"/>
        <v>787562.5</v>
      </c>
      <c r="F30" s="14">
        <v>283306.5</v>
      </c>
      <c r="G30" s="14">
        <v>233082.5</v>
      </c>
      <c r="H30" s="14">
        <v>271173.5</v>
      </c>
      <c r="I30" s="14"/>
      <c r="J30" s="17">
        <f t="shared" si="1"/>
        <v>787562.5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 t="s">
        <v>93</v>
      </c>
      <c r="D32" s="16">
        <f t="shared" ref="D32:D39" si="4">J32</f>
        <v>333300</v>
      </c>
      <c r="E32" s="15"/>
      <c r="F32" s="15"/>
      <c r="G32" s="14"/>
      <c r="H32" s="14">
        <v>333300</v>
      </c>
      <c r="I32" s="54"/>
      <c r="J32" s="17">
        <f t="shared" si="1"/>
        <v>333300</v>
      </c>
    </row>
    <row r="33" spans="1:10" x14ac:dyDescent="0.25">
      <c r="A33" s="10">
        <f t="shared" si="2"/>
        <v>24</v>
      </c>
      <c r="B33" s="43" t="s">
        <v>8</v>
      </c>
      <c r="C33" s="12" t="s">
        <v>94</v>
      </c>
      <c r="D33" s="16">
        <f t="shared" si="4"/>
        <v>614209.5</v>
      </c>
      <c r="E33" s="15"/>
      <c r="F33" s="15">
        <v>241665.5</v>
      </c>
      <c r="G33" s="14">
        <v>372544</v>
      </c>
      <c r="H33" s="14"/>
      <c r="I33" s="14"/>
      <c r="J33" s="17">
        <f t="shared" si="1"/>
        <v>614209.5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2" t="s">
        <v>10</v>
      </c>
      <c r="B42" s="113"/>
      <c r="C42" s="114"/>
      <c r="D42" s="48">
        <f>SUM(D2:D41)</f>
        <v>12989262.166666666</v>
      </c>
      <c r="J42" s="49">
        <f>SUM(J10:J41)</f>
        <v>12989262.166666666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1069" zoomScaleNormal="100" workbookViewId="0">
      <selection activeCell="A1101" sqref="A110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1" t="s">
        <v>17</v>
      </c>
      <c r="E10" s="121"/>
      <c r="F10" s="75"/>
      <c r="G10" s="27"/>
      <c r="I10" s="119" t="s">
        <v>18</v>
      </c>
      <c r="J10" s="120"/>
      <c r="K10" s="117" t="s">
        <v>19</v>
      </c>
      <c r="N10" s="25"/>
      <c r="O10" s="26"/>
      <c r="P10" s="121" t="s">
        <v>17</v>
      </c>
      <c r="Q10" s="121"/>
      <c r="R10" s="75"/>
      <c r="S10" s="27"/>
      <c r="U10" s="119" t="s">
        <v>18</v>
      </c>
      <c r="V10" s="120"/>
      <c r="W10" s="117" t="s">
        <v>19</v>
      </c>
      <c r="Z10" s="25"/>
      <c r="AA10" s="26"/>
      <c r="AB10" s="121" t="s">
        <v>17</v>
      </c>
      <c r="AC10" s="121"/>
      <c r="AD10" s="75"/>
      <c r="AE10" s="27"/>
      <c r="AG10" s="119" t="s">
        <v>18</v>
      </c>
      <c r="AH10" s="120"/>
      <c r="AI10" s="11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8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1" t="s">
        <v>17</v>
      </c>
      <c r="E65" s="121"/>
      <c r="F65" s="87"/>
      <c r="G65" s="27"/>
      <c r="I65" s="119" t="s">
        <v>18</v>
      </c>
      <c r="J65" s="120"/>
      <c r="K65" s="117" t="s">
        <v>19</v>
      </c>
      <c r="N65" s="25"/>
      <c r="O65" s="26"/>
      <c r="P65" s="121" t="s">
        <v>17</v>
      </c>
      <c r="Q65" s="121"/>
      <c r="R65" s="87"/>
      <c r="S65" s="27"/>
      <c r="U65" s="119" t="s">
        <v>18</v>
      </c>
      <c r="V65" s="120"/>
      <c r="W65" s="117" t="s">
        <v>19</v>
      </c>
      <c r="Z65" s="25"/>
      <c r="AA65" s="26"/>
      <c r="AB65" s="121" t="s">
        <v>17</v>
      </c>
      <c r="AC65" s="121"/>
      <c r="AD65" s="87"/>
      <c r="AE65" s="27"/>
      <c r="AG65" s="119" t="s">
        <v>18</v>
      </c>
      <c r="AH65" s="120"/>
      <c r="AI65" s="11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16"/>
      <c r="AO67" s="116"/>
      <c r="AP67" s="86"/>
      <c r="AQ67" s="62"/>
      <c r="AR67" s="116"/>
      <c r="AS67" s="116"/>
      <c r="AT67" s="11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1" t="s">
        <v>17</v>
      </c>
      <c r="E120" s="121"/>
      <c r="F120" s="88"/>
      <c r="G120" s="27"/>
      <c r="I120" s="119" t="s">
        <v>18</v>
      </c>
      <c r="J120" s="120"/>
      <c r="K120" s="117" t="s">
        <v>19</v>
      </c>
      <c r="N120" s="25"/>
      <c r="O120" s="26"/>
      <c r="P120" s="121" t="s">
        <v>17</v>
      </c>
      <c r="Q120" s="121"/>
      <c r="R120" s="88"/>
      <c r="S120" s="27"/>
      <c r="U120" s="119" t="s">
        <v>18</v>
      </c>
      <c r="V120" s="120"/>
      <c r="W120" s="117" t="s">
        <v>19</v>
      </c>
      <c r="Z120" s="25"/>
      <c r="AA120" s="26"/>
      <c r="AB120" s="121" t="s">
        <v>17</v>
      </c>
      <c r="AC120" s="121"/>
      <c r="AD120" s="88"/>
      <c r="AE120" s="27"/>
      <c r="AG120" s="119" t="s">
        <v>18</v>
      </c>
      <c r="AH120" s="120"/>
      <c r="AI120" s="11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1" t="s">
        <v>17</v>
      </c>
      <c r="E175" s="121"/>
      <c r="F175" s="89"/>
      <c r="G175" s="27"/>
      <c r="I175" s="119" t="s">
        <v>18</v>
      </c>
      <c r="J175" s="120"/>
      <c r="K175" s="117" t="s">
        <v>19</v>
      </c>
      <c r="N175" s="25"/>
      <c r="O175" s="26"/>
      <c r="P175" s="121" t="s">
        <v>17</v>
      </c>
      <c r="Q175" s="121"/>
      <c r="R175" s="89"/>
      <c r="S175" s="27"/>
      <c r="U175" s="119" t="s">
        <v>18</v>
      </c>
      <c r="V175" s="120"/>
      <c r="W175" s="117" t="s">
        <v>19</v>
      </c>
      <c r="Z175" s="25"/>
      <c r="AA175" s="26"/>
      <c r="AB175" s="121" t="s">
        <v>17</v>
      </c>
      <c r="AC175" s="121"/>
      <c r="AD175" s="89"/>
      <c r="AE175" s="27"/>
      <c r="AG175" s="119" t="s">
        <v>18</v>
      </c>
      <c r="AH175" s="120"/>
      <c r="AI175" s="11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16"/>
      <c r="AO181" s="116"/>
      <c r="AP181" s="86"/>
      <c r="AQ181" s="62"/>
      <c r="AR181" s="116"/>
      <c r="AS181" s="116"/>
      <c r="AT181" s="11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1" t="s">
        <v>17</v>
      </c>
      <c r="E230" s="121"/>
      <c r="F230" s="90"/>
      <c r="G230" s="27"/>
      <c r="I230" s="119" t="s">
        <v>18</v>
      </c>
      <c r="J230" s="120"/>
      <c r="K230" s="117" t="s">
        <v>19</v>
      </c>
      <c r="N230" s="25"/>
      <c r="O230" s="26"/>
      <c r="P230" s="121" t="s">
        <v>17</v>
      </c>
      <c r="Q230" s="121"/>
      <c r="R230" s="90"/>
      <c r="S230" s="27"/>
      <c r="U230" s="119" t="s">
        <v>18</v>
      </c>
      <c r="V230" s="120"/>
      <c r="W230" s="117" t="s">
        <v>19</v>
      </c>
      <c r="Y230" s="62"/>
      <c r="Z230" s="65"/>
      <c r="AA230" s="86"/>
      <c r="AB230" s="116"/>
      <c r="AC230" s="116"/>
      <c r="AD230" s="86"/>
      <c r="AE230" s="86"/>
      <c r="AF230" s="62"/>
      <c r="AG230" s="116"/>
      <c r="AH230" s="116"/>
      <c r="AI230" s="115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8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15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1" t="s">
        <v>17</v>
      </c>
      <c r="E285" s="121"/>
      <c r="F285" s="91"/>
      <c r="G285" s="27"/>
      <c r="I285" s="119" t="s">
        <v>18</v>
      </c>
      <c r="J285" s="120"/>
      <c r="K285" s="117" t="s">
        <v>19</v>
      </c>
      <c r="N285" s="25"/>
      <c r="O285" s="26"/>
      <c r="P285" s="121" t="s">
        <v>17</v>
      </c>
      <c r="Q285" s="121"/>
      <c r="R285" s="91"/>
      <c r="S285" s="27"/>
      <c r="U285" s="119" t="s">
        <v>18</v>
      </c>
      <c r="V285" s="120"/>
      <c r="W285" s="117" t="s">
        <v>19</v>
      </c>
      <c r="Z285" s="25"/>
      <c r="AA285" s="26"/>
      <c r="AB285" s="121" t="s">
        <v>17</v>
      </c>
      <c r="AC285" s="121"/>
      <c r="AD285" s="91"/>
      <c r="AE285" s="27"/>
      <c r="AG285" s="119" t="s">
        <v>18</v>
      </c>
      <c r="AH285" s="120"/>
      <c r="AI285" s="11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1" t="s">
        <v>17</v>
      </c>
      <c r="E340" s="121"/>
      <c r="F340" s="93"/>
      <c r="G340" s="27"/>
      <c r="I340" s="119" t="s">
        <v>18</v>
      </c>
      <c r="J340" s="120"/>
      <c r="K340" s="117" t="s">
        <v>19</v>
      </c>
      <c r="N340" s="25"/>
      <c r="O340" s="26"/>
      <c r="P340" s="121" t="s">
        <v>17</v>
      </c>
      <c r="Q340" s="121"/>
      <c r="R340" s="93"/>
      <c r="S340" s="27"/>
      <c r="U340" s="119" t="s">
        <v>18</v>
      </c>
      <c r="V340" s="120"/>
      <c r="W340" s="117" t="s">
        <v>19</v>
      </c>
      <c r="Z340" s="25"/>
      <c r="AA340" s="26"/>
      <c r="AB340" s="121" t="s">
        <v>17</v>
      </c>
      <c r="AC340" s="121"/>
      <c r="AD340" s="93"/>
      <c r="AE340" s="27"/>
      <c r="AG340" s="119" t="s">
        <v>18</v>
      </c>
      <c r="AH340" s="120"/>
      <c r="AI340" s="11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1" t="s">
        <v>17</v>
      </c>
      <c r="E395" s="121"/>
      <c r="F395" s="94"/>
      <c r="G395" s="27"/>
      <c r="I395" s="119" t="s">
        <v>18</v>
      </c>
      <c r="J395" s="120"/>
      <c r="K395" s="117" t="s">
        <v>19</v>
      </c>
      <c r="N395" s="25"/>
      <c r="O395" s="26"/>
      <c r="P395" s="121" t="s">
        <v>17</v>
      </c>
      <c r="Q395" s="121"/>
      <c r="R395" s="94"/>
      <c r="S395" s="27"/>
      <c r="U395" s="119" t="s">
        <v>18</v>
      </c>
      <c r="V395" s="120"/>
      <c r="W395" s="117" t="s">
        <v>19</v>
      </c>
      <c r="Z395" s="25"/>
      <c r="AA395" s="26"/>
      <c r="AB395" s="121" t="s">
        <v>17</v>
      </c>
      <c r="AC395" s="121"/>
      <c r="AD395" s="94"/>
      <c r="AE395" s="27"/>
      <c r="AG395" s="119" t="s">
        <v>18</v>
      </c>
      <c r="AH395" s="120"/>
      <c r="AI395" s="11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1" t="s">
        <v>17</v>
      </c>
      <c r="E450" s="121"/>
      <c r="F450" s="95"/>
      <c r="G450" s="27"/>
      <c r="I450" s="119" t="s">
        <v>18</v>
      </c>
      <c r="J450" s="120"/>
      <c r="K450" s="117" t="s">
        <v>19</v>
      </c>
      <c r="N450" s="25"/>
      <c r="O450" s="26"/>
      <c r="P450" s="121" t="s">
        <v>17</v>
      </c>
      <c r="Q450" s="121"/>
      <c r="R450" s="95"/>
      <c r="S450" s="27"/>
      <c r="U450" s="119" t="s">
        <v>18</v>
      </c>
      <c r="V450" s="120"/>
      <c r="W450" s="117" t="s">
        <v>19</v>
      </c>
      <c r="Z450" s="25"/>
      <c r="AA450" s="26"/>
      <c r="AB450" s="121" t="s">
        <v>17</v>
      </c>
      <c r="AC450" s="121"/>
      <c r="AD450" s="95"/>
      <c r="AE450" s="27"/>
      <c r="AG450" s="119" t="s">
        <v>18</v>
      </c>
      <c r="AH450" s="120"/>
      <c r="AI450" s="11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1" t="s">
        <v>17</v>
      </c>
      <c r="E505" s="121"/>
      <c r="F505" s="96"/>
      <c r="G505" s="27"/>
      <c r="I505" s="119" t="s">
        <v>18</v>
      </c>
      <c r="J505" s="120"/>
      <c r="K505" s="117" t="s">
        <v>19</v>
      </c>
      <c r="N505" s="25"/>
      <c r="O505" s="26"/>
      <c r="P505" s="121" t="s">
        <v>17</v>
      </c>
      <c r="Q505" s="121"/>
      <c r="R505" s="96"/>
      <c r="S505" s="27"/>
      <c r="U505" s="119" t="s">
        <v>18</v>
      </c>
      <c r="V505" s="120"/>
      <c r="W505" s="117" t="s">
        <v>19</v>
      </c>
      <c r="Z505" s="25"/>
      <c r="AA505" s="26"/>
      <c r="AB505" s="121" t="s">
        <v>17</v>
      </c>
      <c r="AC505" s="121"/>
      <c r="AD505" s="96"/>
      <c r="AE505" s="27"/>
      <c r="AG505" s="119" t="s">
        <v>18</v>
      </c>
      <c r="AH505" s="120"/>
      <c r="AI505" s="11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8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3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3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3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3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2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2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16"/>
      <c r="E560" s="116"/>
      <c r="F560" s="86"/>
      <c r="G560" s="86"/>
      <c r="H560" s="62"/>
      <c r="I560" s="116"/>
      <c r="J560" s="116"/>
      <c r="K560" s="115"/>
      <c r="N560" s="25"/>
      <c r="O560" s="26"/>
      <c r="P560" s="121" t="s">
        <v>17</v>
      </c>
      <c r="Q560" s="121"/>
      <c r="R560" s="97"/>
      <c r="S560" s="27"/>
      <c r="U560" s="119" t="s">
        <v>18</v>
      </c>
      <c r="V560" s="120"/>
      <c r="W560" s="117" t="s">
        <v>19</v>
      </c>
      <c r="Z560" s="25"/>
      <c r="AA560" s="26"/>
      <c r="AB560" s="121" t="s">
        <v>17</v>
      </c>
      <c r="AC560" s="121"/>
      <c r="AD560" s="97"/>
      <c r="AE560" s="27"/>
      <c r="AG560" s="119" t="s">
        <v>18</v>
      </c>
      <c r="AH560" s="120"/>
      <c r="AI560" s="11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15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2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2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1" t="s">
        <v>17</v>
      </c>
      <c r="E615" s="121"/>
      <c r="F615" s="98"/>
      <c r="G615" s="27"/>
      <c r="I615" s="119" t="s">
        <v>18</v>
      </c>
      <c r="J615" s="120"/>
      <c r="K615" s="117" t="s">
        <v>19</v>
      </c>
      <c r="N615" s="25"/>
      <c r="O615" s="26"/>
      <c r="P615" s="121" t="s">
        <v>17</v>
      </c>
      <c r="Q615" s="121"/>
      <c r="R615" s="98"/>
      <c r="S615" s="27"/>
      <c r="U615" s="119" t="s">
        <v>18</v>
      </c>
      <c r="V615" s="120"/>
      <c r="W615" s="117" t="s">
        <v>19</v>
      </c>
      <c r="Z615" s="25"/>
      <c r="AA615" s="26"/>
      <c r="AB615" s="121" t="s">
        <v>17</v>
      </c>
      <c r="AC615" s="121"/>
      <c r="AD615" s="98"/>
      <c r="AE615" s="27"/>
      <c r="AG615" s="119" t="s">
        <v>18</v>
      </c>
      <c r="AH615" s="120"/>
      <c r="AI615" s="11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18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3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3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3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3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3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3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3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3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3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3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3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3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3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3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3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2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2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1" t="s">
        <v>17</v>
      </c>
      <c r="E670" s="121"/>
      <c r="F670" s="99"/>
      <c r="G670" s="27"/>
      <c r="I670" s="119" t="s">
        <v>18</v>
      </c>
      <c r="J670" s="120"/>
      <c r="K670" s="117" t="s">
        <v>19</v>
      </c>
      <c r="N670" s="25"/>
      <c r="O670" s="26"/>
      <c r="P670" s="121" t="s">
        <v>17</v>
      </c>
      <c r="Q670" s="121"/>
      <c r="R670" s="99"/>
      <c r="S670" s="27"/>
      <c r="U670" s="119" t="s">
        <v>18</v>
      </c>
      <c r="V670" s="120"/>
      <c r="W670" s="117" t="s">
        <v>19</v>
      </c>
      <c r="Z670" s="25"/>
      <c r="AA670" s="26"/>
      <c r="AB670" s="121" t="s">
        <v>17</v>
      </c>
      <c r="AC670" s="121"/>
      <c r="AD670" s="99"/>
      <c r="AE670" s="27"/>
      <c r="AG670" s="119" t="s">
        <v>18</v>
      </c>
      <c r="AH670" s="120"/>
      <c r="AI670" s="11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8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8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3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2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2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1" t="s">
        <v>17</v>
      </c>
      <c r="E725" s="121"/>
      <c r="F725" s="100"/>
      <c r="G725" s="27"/>
      <c r="I725" s="119" t="s">
        <v>18</v>
      </c>
      <c r="J725" s="120"/>
      <c r="K725" s="117" t="s">
        <v>19</v>
      </c>
      <c r="N725" s="25"/>
      <c r="O725" s="26"/>
      <c r="P725" s="121" t="s">
        <v>17</v>
      </c>
      <c r="Q725" s="121"/>
      <c r="R725" s="100"/>
      <c r="S725" s="27"/>
      <c r="U725" s="119" t="s">
        <v>18</v>
      </c>
      <c r="V725" s="120"/>
      <c r="W725" s="117" t="s">
        <v>19</v>
      </c>
      <c r="Z725" s="25"/>
      <c r="AA725" s="26"/>
      <c r="AB725" s="121" t="s">
        <v>17</v>
      </c>
      <c r="AC725" s="121"/>
      <c r="AD725" s="100"/>
      <c r="AE725" s="27"/>
      <c r="AG725" s="119" t="s">
        <v>18</v>
      </c>
      <c r="AH725" s="120"/>
      <c r="AI725" s="11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8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9098</v>
      </c>
      <c r="D727" s="32">
        <f>650*21</f>
        <v>13650</v>
      </c>
      <c r="E727" s="32"/>
      <c r="F727" s="32"/>
      <c r="G727" s="32">
        <f t="shared" ref="G727:G760" si="215">SUM(D727:E727)</f>
        <v>13650</v>
      </c>
      <c r="H727" s="12"/>
      <c r="I727" s="12"/>
      <c r="J727" s="12"/>
      <c r="K727" s="12">
        <f t="shared" ref="K727:K760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65" si="217">SUM(P728:Q728)</f>
        <v>1291</v>
      </c>
      <c r="T728" s="12"/>
      <c r="U728" s="12"/>
      <c r="V728" s="12"/>
      <c r="W728" s="12">
        <f t="shared" ref="W728:W768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29" si="219">SUM(AB728:AC728)</f>
        <v>70468</v>
      </c>
      <c r="AF728" s="12"/>
      <c r="AG728" s="12"/>
      <c r="AH728">
        <f>-111*108</f>
        <v>-11988</v>
      </c>
      <c r="AI728" s="12">
        <f t="shared" ref="AI728:AI729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38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3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3">
        <f t="shared" ref="C731:C737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68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3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65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3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3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3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3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3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 t="s">
        <v>75</v>
      </c>
      <c r="O738" s="31">
        <f t="shared" si="222"/>
        <v>9033</v>
      </c>
      <c r="P738" s="32">
        <f>650+670+872+650</f>
        <v>2842</v>
      </c>
      <c r="Q738" s="32"/>
      <c r="R738" s="32"/>
      <c r="S738" s="32">
        <f t="shared" si="217"/>
        <v>2842</v>
      </c>
      <c r="T738" s="12"/>
      <c r="U738" s="12"/>
      <c r="V738" s="12"/>
      <c r="W738" s="12">
        <f t="shared" si="218"/>
        <v>2842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3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2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2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F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209767</v>
      </c>
      <c r="Q770" s="38">
        <f>SUM(Q727:Q751)</f>
        <v>-600</v>
      </c>
      <c r="R770" s="38">
        <f>SUM(R727:R751)</f>
        <v>0</v>
      </c>
      <c r="S770" s="38">
        <f>SUM(S727:S769)</f>
        <v>209167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208982.5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2"/>
      <c r="C772" s="102"/>
      <c r="D772" s="102"/>
      <c r="E772" s="102"/>
      <c r="F772" s="102"/>
      <c r="G772" s="102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2"/>
      <c r="C773" s="102"/>
      <c r="D773" s="102"/>
      <c r="E773" s="102"/>
      <c r="F773" s="102"/>
      <c r="G773" s="102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2"/>
      <c r="C774" s="102"/>
      <c r="D774" s="102"/>
      <c r="E774" s="102"/>
      <c r="F774" s="102"/>
      <c r="G774" s="102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2"/>
      <c r="C775" s="102"/>
      <c r="D775" s="102"/>
      <c r="E775" s="102"/>
      <c r="F775" s="102"/>
      <c r="G775" s="102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2"/>
      <c r="C776" s="102"/>
      <c r="D776" s="102"/>
      <c r="E776" s="102"/>
      <c r="F776" s="102"/>
      <c r="G776" s="102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2"/>
      <c r="C777" s="102"/>
      <c r="D777" s="102"/>
      <c r="E777" s="102"/>
      <c r="F777" s="102"/>
      <c r="G777" s="102"/>
      <c r="H777" s="62"/>
      <c r="I777" s="102"/>
      <c r="J777" s="73"/>
      <c r="K777" s="62"/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2"/>
      <c r="C778" s="102"/>
      <c r="D778" s="102"/>
      <c r="E778" s="102"/>
      <c r="F778" s="102"/>
      <c r="G778" s="102"/>
      <c r="H778" s="62"/>
      <c r="I778" s="65"/>
      <c r="J778" s="65"/>
      <c r="K778" s="62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2"/>
      <c r="C779" s="102"/>
      <c r="D779" s="102"/>
      <c r="E779" s="102"/>
      <c r="F779" s="102"/>
      <c r="G779" s="102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2"/>
      <c r="D780" s="116"/>
      <c r="E780" s="116"/>
      <c r="F780" s="102"/>
      <c r="G780" s="102"/>
      <c r="H780" s="62"/>
      <c r="I780" s="116"/>
      <c r="J780" s="116"/>
      <c r="K780" s="115"/>
      <c r="N780" s="25"/>
      <c r="O780" s="26"/>
      <c r="P780" s="121" t="s">
        <v>17</v>
      </c>
      <c r="Q780" s="121"/>
      <c r="R780" s="103"/>
      <c r="S780" s="27"/>
      <c r="U780" s="119" t="s">
        <v>18</v>
      </c>
      <c r="V780" s="120"/>
      <c r="W780" s="117" t="s">
        <v>19</v>
      </c>
      <c r="Z780" s="25"/>
      <c r="AA780" s="26"/>
      <c r="AB780" s="121" t="s">
        <v>17</v>
      </c>
      <c r="AC780" s="121"/>
      <c r="AD780" s="103"/>
      <c r="AE780" s="27"/>
      <c r="AG780" s="119" t="s">
        <v>18</v>
      </c>
      <c r="AH780" s="120"/>
      <c r="AI780" s="117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2"/>
      <c r="C781" s="102"/>
      <c r="D781" s="79"/>
      <c r="E781" s="80"/>
      <c r="F781" s="81"/>
      <c r="G781" s="81"/>
      <c r="H781" s="62"/>
      <c r="I781" s="101"/>
      <c r="J781" s="101"/>
      <c r="K781" s="115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8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8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78</v>
      </c>
      <c r="O782" s="31">
        <v>9034</v>
      </c>
      <c r="P782" s="32">
        <f>650*3+9.5*3</f>
        <v>1978.5</v>
      </c>
      <c r="Q782" s="32"/>
      <c r="R782" s="32"/>
      <c r="S782" s="32">
        <f>SUM(P782:Q782)</f>
        <v>1978.5</v>
      </c>
      <c r="T782" s="12"/>
      <c r="U782" s="12"/>
      <c r="V782" s="12"/>
      <c r="W782" s="12">
        <f>SUM(S782:V782)</f>
        <v>1978.5</v>
      </c>
      <c r="Y782" s="10">
        <v>1</v>
      </c>
      <c r="Z782" s="30" t="s">
        <v>78</v>
      </c>
      <c r="AA782" s="31">
        <v>9162</v>
      </c>
      <c r="AB782" s="32">
        <f>650*216+622*50+229*5</f>
        <v>172645</v>
      </c>
      <c r="AC782" s="32">
        <f>-266*6</f>
        <v>-1596</v>
      </c>
      <c r="AD782" s="32"/>
      <c r="AE782" s="32">
        <f>SUM(AB782:AC782)</f>
        <v>171049</v>
      </c>
      <c r="AF782" s="12"/>
      <c r="AG782" s="12">
        <f>3108+81</f>
        <v>3189</v>
      </c>
      <c r="AH782" s="12"/>
      <c r="AI782" s="12">
        <f>SUM(AE782:AH782)</f>
        <v>174238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102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78</v>
      </c>
      <c r="O783" s="31">
        <f>O782+1</f>
        <v>9035</v>
      </c>
      <c r="P783" s="32">
        <f>650*12+1050+872+9.5*12</f>
        <v>9836</v>
      </c>
      <c r="Q783" s="32"/>
      <c r="R783" s="32"/>
      <c r="S783" s="32">
        <f t="shared" ref="S783:S820" si="232">SUM(P783:Q783)</f>
        <v>9836</v>
      </c>
      <c r="T783" s="12"/>
      <c r="U783" s="12"/>
      <c r="V783" s="12"/>
      <c r="W783" s="12">
        <f t="shared" ref="W783:W823" si="233">SUM(S783:V783)</f>
        <v>9836</v>
      </c>
      <c r="Y783" s="10">
        <v>2</v>
      </c>
      <c r="Z783" s="30" t="s">
        <v>78</v>
      </c>
      <c r="AA783" s="31">
        <f>AA782+1</f>
        <v>9163</v>
      </c>
      <c r="AB783" s="32">
        <f>650*7+973*2</f>
        <v>6496</v>
      </c>
      <c r="AD783" s="32"/>
      <c r="AE783" s="32">
        <f t="shared" ref="AE783:AE784" si="234">SUM(AB783:AC783)</f>
        <v>6496</v>
      </c>
      <c r="AF783" s="12"/>
      <c r="AG783" s="12"/>
      <c r="AH783">
        <v>-1776</v>
      </c>
      <c r="AI783" s="12">
        <f t="shared" ref="AI783:AI784" si="235">SUM(AE783:AH783)</f>
        <v>4720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102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78</v>
      </c>
      <c r="O784" s="31">
        <f t="shared" ref="O784:O798" si="236">O783+1</f>
        <v>9036</v>
      </c>
      <c r="P784" s="32">
        <f>650*5</f>
        <v>3250</v>
      </c>
      <c r="Q784" s="32"/>
      <c r="R784" s="32"/>
      <c r="S784" s="32">
        <f t="shared" si="232"/>
        <v>3250</v>
      </c>
      <c r="T784" s="12"/>
      <c r="U784" s="12"/>
      <c r="V784" s="12"/>
      <c r="W784" s="12">
        <f t="shared" si="233"/>
        <v>3250</v>
      </c>
      <c r="Y784" s="10">
        <v>3</v>
      </c>
      <c r="Z784" s="30" t="s">
        <v>78</v>
      </c>
      <c r="AA784" s="31">
        <f t="shared" ref="AA784:AA785" si="237">AA783+1</f>
        <v>9164</v>
      </c>
      <c r="AB784" s="32">
        <f>650*7+622*4+9.5*11</f>
        <v>7142.5</v>
      </c>
      <c r="AC784" s="33"/>
      <c r="AD784" s="32"/>
      <c r="AE784" s="32">
        <f t="shared" si="234"/>
        <v>7142.5</v>
      </c>
      <c r="AF784" s="12"/>
      <c r="AG784" s="12"/>
      <c r="AH784" s="12"/>
      <c r="AI784" s="12">
        <f t="shared" si="235"/>
        <v>7142.5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2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78</v>
      </c>
      <c r="O785" s="31">
        <f t="shared" si="236"/>
        <v>9037</v>
      </c>
      <c r="P785" s="32">
        <f>650*3+9.5*3</f>
        <v>1978.5</v>
      </c>
      <c r="Q785" s="32"/>
      <c r="R785" s="32"/>
      <c r="S785" s="32">
        <f t="shared" si="232"/>
        <v>1978.5</v>
      </c>
      <c r="T785" s="12"/>
      <c r="U785" s="12">
        <v>9</v>
      </c>
      <c r="V785" s="12"/>
      <c r="W785" s="12">
        <f t="shared" si="233"/>
        <v>1987.5</v>
      </c>
      <c r="Y785" s="10">
        <v>4</v>
      </c>
      <c r="Z785" s="30" t="s">
        <v>78</v>
      </c>
      <c r="AA785" s="31">
        <f t="shared" si="237"/>
        <v>9165</v>
      </c>
      <c r="AB785" s="32">
        <f>650*20+622*40+229*2</f>
        <v>38338</v>
      </c>
      <c r="AC785" s="32">
        <f>-60*6</f>
        <v>-360</v>
      </c>
      <c r="AD785" s="32"/>
      <c r="AE785" s="32">
        <f>SUM(AB785:AC785)</f>
        <v>37978</v>
      </c>
      <c r="AF785" s="12"/>
      <c r="AG785">
        <v>78</v>
      </c>
      <c r="AH785" s="12"/>
      <c r="AI785" s="12">
        <f>SUM(AE785:AH785)</f>
        <v>38056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102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78</v>
      </c>
      <c r="O786" s="31">
        <f t="shared" si="236"/>
        <v>9038</v>
      </c>
      <c r="P786" s="32">
        <f>650+622*2+9.5*3</f>
        <v>1922.5</v>
      </c>
      <c r="Q786" s="32"/>
      <c r="R786" s="32"/>
      <c r="S786" s="32">
        <f t="shared" si="232"/>
        <v>1922.5</v>
      </c>
      <c r="T786" s="12"/>
      <c r="U786" s="12"/>
      <c r="V786" s="12"/>
      <c r="W786" s="12">
        <f t="shared" si="233"/>
        <v>1922.5</v>
      </c>
      <c r="Y786" s="10">
        <v>5</v>
      </c>
      <c r="Z786" s="30"/>
      <c r="AA786" s="11" t="s">
        <v>27</v>
      </c>
      <c r="AB786" s="33"/>
      <c r="AC786" s="32"/>
      <c r="AD786" s="32"/>
      <c r="AE786" s="32">
        <f>SUM(AB786:AC786)</f>
        <v>0</v>
      </c>
      <c r="AF786" s="12"/>
      <c r="AG786" s="12"/>
      <c r="AH786" s="12"/>
      <c r="AI786" s="12">
        <f t="shared" ref="AI786:AI823" si="238">SUM(AE786:AH786)</f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102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78</v>
      </c>
      <c r="O787" s="31">
        <f t="shared" si="236"/>
        <v>9039</v>
      </c>
      <c r="P787" s="32">
        <f>650*13+670*2+622+9.5*14</f>
        <v>10545</v>
      </c>
      <c r="Q787" s="32"/>
      <c r="R787" s="32"/>
      <c r="S787" s="32">
        <f t="shared" si="232"/>
        <v>10545</v>
      </c>
      <c r="T787" s="12"/>
      <c r="U787" s="12">
        <f>4.5*19+1.5*5</f>
        <v>93</v>
      </c>
      <c r="V787" s="10"/>
      <c r="W787" s="12">
        <f t="shared" si="233"/>
        <v>10638</v>
      </c>
      <c r="Y787" s="10">
        <v>6</v>
      </c>
      <c r="Z787" s="30"/>
      <c r="AA787" s="31"/>
      <c r="AB787" s="32"/>
      <c r="AC787" s="32"/>
      <c r="AD787" s="32"/>
      <c r="AE787" s="32">
        <f t="shared" ref="AE787:AE820" si="239">SUM(AB787:AC787)</f>
        <v>0</v>
      </c>
      <c r="AF787" s="12"/>
      <c r="AG787" s="12"/>
      <c r="AH787" s="10"/>
      <c r="AI787" s="12">
        <f t="shared" si="23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2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78</v>
      </c>
      <c r="O788" s="31">
        <f t="shared" si="236"/>
        <v>9040</v>
      </c>
      <c r="P788" s="32">
        <f>650*26+622+9.5*22</f>
        <v>17731</v>
      </c>
      <c r="Q788" s="32"/>
      <c r="R788" s="32"/>
      <c r="S788" s="32">
        <f t="shared" si="232"/>
        <v>17731</v>
      </c>
      <c r="T788" s="12"/>
      <c r="U788" s="12"/>
      <c r="V788" s="12"/>
      <c r="W788" s="12">
        <f t="shared" si="233"/>
        <v>17731</v>
      </c>
      <c r="Y788" s="10">
        <v>7</v>
      </c>
      <c r="Z788" s="30"/>
      <c r="AA788" s="31"/>
      <c r="AB788" s="32"/>
      <c r="AC788" s="32"/>
      <c r="AD788" s="32"/>
      <c r="AE788" s="32">
        <f t="shared" si="239"/>
        <v>0</v>
      </c>
      <c r="AF788" s="12"/>
      <c r="AG788" s="58"/>
      <c r="AH788" s="12"/>
      <c r="AI788" s="12">
        <f t="shared" si="23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102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78</v>
      </c>
      <c r="O789" s="31">
        <f t="shared" si="236"/>
        <v>9041</v>
      </c>
      <c r="P789" s="32">
        <f>650*3+9.5*3</f>
        <v>1978.5</v>
      </c>
      <c r="Q789" s="32"/>
      <c r="R789" s="32"/>
      <c r="S789" s="32">
        <f t="shared" si="232"/>
        <v>1978.5</v>
      </c>
      <c r="T789" s="12"/>
      <c r="U789" s="12">
        <v>3</v>
      </c>
      <c r="V789" s="12"/>
      <c r="W789" s="12">
        <f t="shared" si="233"/>
        <v>1981.5</v>
      </c>
      <c r="Y789" s="10">
        <v>8</v>
      </c>
      <c r="Z789" s="30"/>
      <c r="AA789" s="31"/>
      <c r="AB789" s="32"/>
      <c r="AC789" s="32"/>
      <c r="AE789" s="32">
        <f t="shared" si="239"/>
        <v>0</v>
      </c>
      <c r="AF789" s="12"/>
      <c r="AG789" s="12"/>
      <c r="AH789" s="12"/>
      <c r="AI789" s="12">
        <f t="shared" si="23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102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78</v>
      </c>
      <c r="O790" s="31">
        <f t="shared" si="236"/>
        <v>9042</v>
      </c>
      <c r="P790" s="32">
        <f>650*4+670+700+622</f>
        <v>4592</v>
      </c>
      <c r="Q790" s="32"/>
      <c r="R790" s="32"/>
      <c r="S790" s="32">
        <f t="shared" si="232"/>
        <v>4592</v>
      </c>
      <c r="T790" s="12"/>
      <c r="U790" s="12"/>
      <c r="V790" s="12"/>
      <c r="W790" s="12">
        <f t="shared" si="233"/>
        <v>4592</v>
      </c>
      <c r="Y790" s="10">
        <v>9</v>
      </c>
      <c r="Z790" s="30"/>
      <c r="AA790" s="31"/>
      <c r="AC790" s="32"/>
      <c r="AD790" s="32"/>
      <c r="AE790" s="32">
        <f t="shared" si="239"/>
        <v>0</v>
      </c>
      <c r="AF790" s="12"/>
      <c r="AH790" s="12"/>
      <c r="AI790" s="12">
        <f t="shared" si="23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2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78</v>
      </c>
      <c r="O791" s="31">
        <f t="shared" si="236"/>
        <v>9043</v>
      </c>
      <c r="P791" s="32">
        <f>650*2+670+9.5*2</f>
        <v>1989</v>
      </c>
      <c r="Q791" s="32"/>
      <c r="R791" s="32"/>
      <c r="S791" s="32">
        <f t="shared" si="232"/>
        <v>1989</v>
      </c>
      <c r="T791" s="12"/>
      <c r="U791" s="12"/>
      <c r="V791" s="12"/>
      <c r="W791" s="12">
        <f t="shared" si="233"/>
        <v>1989</v>
      </c>
      <c r="Y791" s="10">
        <v>10</v>
      </c>
      <c r="Z791" s="30"/>
      <c r="AA791" s="31"/>
      <c r="AB791" s="32"/>
      <c r="AC791" s="32"/>
      <c r="AD791" s="32"/>
      <c r="AE791" s="32">
        <f t="shared" si="239"/>
        <v>0</v>
      </c>
      <c r="AF791" s="12"/>
      <c r="AG791" s="12"/>
      <c r="AH791" s="12"/>
      <c r="AI791" s="12">
        <f t="shared" si="23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2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78</v>
      </c>
      <c r="O792" s="31">
        <f t="shared" si="236"/>
        <v>9044</v>
      </c>
      <c r="P792" s="32">
        <f>650*8+670+622*2+9.5*10</f>
        <v>7209</v>
      </c>
      <c r="Q792" s="32"/>
      <c r="R792" s="32"/>
      <c r="S792" s="32">
        <f t="shared" si="232"/>
        <v>7209</v>
      </c>
      <c r="T792" s="12"/>
      <c r="U792" s="12"/>
      <c r="V792" s="12"/>
      <c r="W792" s="12">
        <f t="shared" si="233"/>
        <v>7209</v>
      </c>
      <c r="Y792" s="10">
        <v>11</v>
      </c>
      <c r="Z792" s="30"/>
      <c r="AB792" s="32"/>
      <c r="AC792" s="32"/>
      <c r="AD792" s="32"/>
      <c r="AE792" s="32">
        <f t="shared" si="239"/>
        <v>0</v>
      </c>
      <c r="AF792" s="12"/>
      <c r="AG792" s="12"/>
      <c r="AH792" s="12"/>
      <c r="AI792" s="12">
        <f t="shared" si="23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78</v>
      </c>
      <c r="O793" s="31">
        <f t="shared" si="236"/>
        <v>9045</v>
      </c>
      <c r="P793" s="32">
        <f>650*4+9.5*13</f>
        <v>2723.5</v>
      </c>
      <c r="Q793" s="32"/>
      <c r="R793" s="32"/>
      <c r="S793" s="32">
        <f t="shared" si="232"/>
        <v>2723.5</v>
      </c>
      <c r="T793" s="12"/>
      <c r="U793" s="12"/>
      <c r="V793" s="12"/>
      <c r="W793" s="12">
        <f t="shared" si="233"/>
        <v>2723.5</v>
      </c>
      <c r="Y793" s="10">
        <v>12</v>
      </c>
      <c r="Z793" s="30"/>
      <c r="AA793" s="31"/>
      <c r="AB793" s="32"/>
      <c r="AC793" s="32"/>
      <c r="AD793" s="32"/>
      <c r="AE793" s="32">
        <f t="shared" si="239"/>
        <v>0</v>
      </c>
      <c r="AF793" s="12"/>
      <c r="AG793" s="12"/>
      <c r="AH793" s="12"/>
      <c r="AI793" s="12">
        <f t="shared" si="23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102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78</v>
      </c>
      <c r="O794" s="31">
        <f t="shared" si="236"/>
        <v>9046</v>
      </c>
      <c r="P794" s="32">
        <f>650*3+670+622+9.5*4</f>
        <v>3280</v>
      </c>
      <c r="Q794" s="32"/>
      <c r="R794" s="32"/>
      <c r="S794" s="32">
        <f t="shared" si="232"/>
        <v>3280</v>
      </c>
      <c r="T794" s="12"/>
      <c r="U794" s="12"/>
      <c r="V794" s="12">
        <v>-555</v>
      </c>
      <c r="W794" s="12">
        <f t="shared" si="233"/>
        <v>2725</v>
      </c>
      <c r="Y794" s="10">
        <v>13</v>
      </c>
      <c r="Z794" s="30"/>
      <c r="AA794" s="31"/>
      <c r="AB794" s="32"/>
      <c r="AC794" s="32"/>
      <c r="AD794" s="32"/>
      <c r="AE794" s="32">
        <f t="shared" si="239"/>
        <v>0</v>
      </c>
      <c r="AF794" s="12"/>
      <c r="AG794" s="12"/>
      <c r="AH794" s="12"/>
      <c r="AI794" s="12">
        <f t="shared" si="23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102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78</v>
      </c>
      <c r="O795" s="31">
        <f t="shared" si="236"/>
        <v>9047</v>
      </c>
      <c r="P795" s="32">
        <f>650*3+622*2+9.5*5</f>
        <v>3241.5</v>
      </c>
      <c r="Q795" s="32"/>
      <c r="R795" s="32"/>
      <c r="S795" s="32">
        <f t="shared" si="232"/>
        <v>3241.5</v>
      </c>
      <c r="T795" s="12"/>
      <c r="U795" s="12"/>
      <c r="V795" s="12">
        <v>-240</v>
      </c>
      <c r="W795" s="12">
        <f t="shared" si="233"/>
        <v>3001.5</v>
      </c>
      <c r="Y795" s="10">
        <v>14</v>
      </c>
      <c r="Z795" s="30"/>
      <c r="AA795" s="31"/>
      <c r="AB795" s="32"/>
      <c r="AC795" s="32"/>
      <c r="AD795" s="32"/>
      <c r="AE795" s="32">
        <f t="shared" si="239"/>
        <v>0</v>
      </c>
      <c r="AF795" s="12"/>
      <c r="AG795" s="12"/>
      <c r="AH795" s="12"/>
      <c r="AI795" s="12">
        <f t="shared" si="23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102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78</v>
      </c>
      <c r="O796" s="31">
        <f t="shared" si="236"/>
        <v>9048</v>
      </c>
      <c r="P796" s="32">
        <f>650*11+9.5*11</f>
        <v>7254.5</v>
      </c>
      <c r="Q796" s="32"/>
      <c r="R796" s="32"/>
      <c r="S796" s="32">
        <f t="shared" si="232"/>
        <v>7254.5</v>
      </c>
      <c r="T796" s="12"/>
      <c r="U796" s="12"/>
      <c r="V796" s="12"/>
      <c r="W796" s="12">
        <f t="shared" si="233"/>
        <v>7254.5</v>
      </c>
      <c r="Y796" s="10">
        <v>15</v>
      </c>
      <c r="Z796" s="30"/>
      <c r="AA796" s="31"/>
      <c r="AB796" s="32"/>
      <c r="AC796" s="32"/>
      <c r="AD796" s="32"/>
      <c r="AE796" s="32">
        <f t="shared" si="239"/>
        <v>0</v>
      </c>
      <c r="AF796" s="12"/>
      <c r="AG796" s="12"/>
      <c r="AH796" s="12"/>
      <c r="AI796" s="12">
        <f t="shared" si="23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102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 t="s">
        <v>78</v>
      </c>
      <c r="O797" s="31">
        <f t="shared" si="236"/>
        <v>9049</v>
      </c>
      <c r="P797" s="32">
        <f>650*134+670*3+700*2+622*3+1050+872*2+229*6+500+650</f>
        <v>97694</v>
      </c>
      <c r="Q797" s="32"/>
      <c r="R797" s="32"/>
      <c r="S797" s="32">
        <f t="shared" si="232"/>
        <v>97694</v>
      </c>
      <c r="T797" s="12"/>
      <c r="U797" s="12">
        <v>189</v>
      </c>
      <c r="V797" s="12">
        <f>-480+-1560+-40</f>
        <v>-2080</v>
      </c>
      <c r="W797" s="12">
        <f t="shared" si="233"/>
        <v>95803</v>
      </c>
      <c r="Y797" s="10">
        <v>16</v>
      </c>
      <c r="Z797" s="30"/>
      <c r="AA797" s="31"/>
      <c r="AB797" s="32"/>
      <c r="AC797" s="32"/>
      <c r="AD797" s="32"/>
      <c r="AE797" s="32">
        <f t="shared" si="239"/>
        <v>0</v>
      </c>
      <c r="AF797" s="12"/>
      <c r="AG797" s="12"/>
      <c r="AH797" s="12"/>
      <c r="AI797" s="12">
        <f t="shared" si="23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102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 t="s">
        <v>78</v>
      </c>
      <c r="O798" s="31">
        <f t="shared" si="236"/>
        <v>9050</v>
      </c>
      <c r="P798" s="35">
        <f>650*45+622*5+229</f>
        <v>32589</v>
      </c>
      <c r="Q798" s="32"/>
      <c r="R798" s="32"/>
      <c r="S798" s="32">
        <f t="shared" si="232"/>
        <v>32589</v>
      </c>
      <c r="T798" s="12"/>
      <c r="U798" s="12">
        <v>513</v>
      </c>
      <c r="V798" s="12"/>
      <c r="W798" s="12">
        <f t="shared" si="233"/>
        <v>33102</v>
      </c>
      <c r="Y798" s="10">
        <v>17</v>
      </c>
      <c r="Z798" s="30"/>
      <c r="AA798" s="31"/>
      <c r="AB798" s="35"/>
      <c r="AC798" s="32"/>
      <c r="AD798" s="32"/>
      <c r="AE798" s="32">
        <f t="shared" si="239"/>
        <v>0</v>
      </c>
      <c r="AF798" s="12"/>
      <c r="AG798" s="12"/>
      <c r="AH798" s="12"/>
      <c r="AI798" s="12">
        <f t="shared" si="23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102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11" t="s">
        <v>27</v>
      </c>
      <c r="P799" s="32"/>
      <c r="Q799" s="32"/>
      <c r="R799" s="32"/>
      <c r="S799" s="32">
        <f t="shared" si="232"/>
        <v>0</v>
      </c>
      <c r="T799" s="12"/>
      <c r="U799" s="12"/>
      <c r="V799" s="12"/>
      <c r="W799" s="12">
        <f t="shared" si="233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9"/>
        <v>0</v>
      </c>
      <c r="AF799" s="12"/>
      <c r="AG799" s="12"/>
      <c r="AH799" s="12"/>
      <c r="AI799" s="12">
        <f t="shared" si="23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102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32"/>
        <v>0</v>
      </c>
      <c r="T800" s="12"/>
      <c r="U800" s="12"/>
      <c r="V800" s="12"/>
      <c r="W800" s="12">
        <f t="shared" si="233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9"/>
        <v>0</v>
      </c>
      <c r="AF800" s="12"/>
      <c r="AG800" s="12"/>
      <c r="AH800" s="12"/>
      <c r="AI800" s="12">
        <f t="shared" si="23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102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32"/>
        <v>0</v>
      </c>
      <c r="T801" s="12"/>
      <c r="U801" s="12"/>
      <c r="V801" s="12"/>
      <c r="W801" s="12">
        <f t="shared" si="233"/>
        <v>0</v>
      </c>
      <c r="Y801" s="10">
        <v>20</v>
      </c>
      <c r="Z801" s="30"/>
      <c r="AB801" s="32"/>
      <c r="AC801" s="32"/>
      <c r="AD801" s="32"/>
      <c r="AE801" s="32">
        <f t="shared" si="239"/>
        <v>0</v>
      </c>
      <c r="AF801" s="12"/>
      <c r="AG801" s="12"/>
      <c r="AH801" s="12"/>
      <c r="AI801" s="12">
        <f t="shared" si="23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2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P802" s="92"/>
      <c r="Q802" s="31"/>
      <c r="R802" s="31"/>
      <c r="S802" s="32">
        <f t="shared" si="232"/>
        <v>0</v>
      </c>
      <c r="T802" s="10"/>
      <c r="U802" s="10"/>
      <c r="V802" s="10"/>
      <c r="W802" s="12">
        <f t="shared" si="233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9"/>
        <v>0</v>
      </c>
      <c r="AF802" s="10"/>
      <c r="AG802" s="10"/>
      <c r="AH802" s="10"/>
      <c r="AI802" s="12">
        <f t="shared" si="23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102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92"/>
      <c r="Q803" s="31"/>
      <c r="R803" s="31"/>
      <c r="S803" s="32">
        <f t="shared" si="232"/>
        <v>0</v>
      </c>
      <c r="T803" s="10"/>
      <c r="U803" s="10"/>
      <c r="V803" s="10"/>
      <c r="W803" s="12">
        <f t="shared" si="233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9"/>
        <v>0</v>
      </c>
      <c r="AF803" s="10"/>
      <c r="AG803" s="10"/>
      <c r="AH803" s="10"/>
      <c r="AI803" s="12">
        <f t="shared" si="23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102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32"/>
        <v>0</v>
      </c>
      <c r="T804" s="10"/>
      <c r="U804" s="10"/>
      <c r="V804" s="10"/>
      <c r="W804" s="12">
        <f t="shared" si="233"/>
        <v>0</v>
      </c>
      <c r="Y804" s="10">
        <v>23</v>
      </c>
      <c r="Z804" s="30"/>
      <c r="AA804" s="31"/>
      <c r="AB804" s="47"/>
      <c r="AC804" s="31"/>
      <c r="AE804" s="32">
        <f t="shared" si="239"/>
        <v>0</v>
      </c>
      <c r="AF804" s="10"/>
      <c r="AG804" s="10"/>
      <c r="AH804" s="10"/>
      <c r="AI804" s="12">
        <f t="shared" si="23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102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P805" s="47"/>
      <c r="Q805" s="31"/>
      <c r="R805" s="31"/>
      <c r="S805" s="32">
        <f t="shared" si="232"/>
        <v>0</v>
      </c>
      <c r="T805" s="10"/>
      <c r="U805" s="10"/>
      <c r="V805" s="10"/>
      <c r="W805" s="12">
        <f t="shared" si="233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9"/>
        <v>0</v>
      </c>
      <c r="AF805" s="10"/>
      <c r="AG805" s="10"/>
      <c r="AH805" s="10"/>
      <c r="AI805" s="12">
        <f t="shared" si="23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2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32"/>
        <v>0</v>
      </c>
      <c r="T806" s="10"/>
      <c r="U806" s="10"/>
      <c r="V806" s="10"/>
      <c r="W806" s="12">
        <f t="shared" si="233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9"/>
        <v>0</v>
      </c>
      <c r="AF806" s="10"/>
      <c r="AG806" s="10"/>
      <c r="AH806" s="10"/>
      <c r="AI806" s="12">
        <f t="shared" si="23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102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P807" s="47"/>
      <c r="Q807" s="31"/>
      <c r="R807" s="31"/>
      <c r="S807" s="32">
        <f t="shared" si="232"/>
        <v>0</v>
      </c>
      <c r="T807" s="10"/>
      <c r="U807" s="10"/>
      <c r="V807" s="10"/>
      <c r="W807" s="12">
        <f t="shared" si="233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9"/>
        <v>0</v>
      </c>
      <c r="AF807" s="10"/>
      <c r="AG807" s="10"/>
      <c r="AH807" s="10"/>
      <c r="AI807" s="12">
        <f t="shared" si="23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102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32"/>
        <v>0</v>
      </c>
      <c r="T808" s="10"/>
      <c r="U808" s="10"/>
      <c r="V808" s="10"/>
      <c r="W808" s="12">
        <f t="shared" si="233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9"/>
        <v>0</v>
      </c>
      <c r="AF808" s="10"/>
      <c r="AG808" s="10"/>
      <c r="AH808" s="10"/>
      <c r="AI808" s="12">
        <f t="shared" si="23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102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32"/>
        <v>0</v>
      </c>
      <c r="T809" s="10"/>
      <c r="U809" s="10"/>
      <c r="V809" s="10"/>
      <c r="W809" s="12">
        <f t="shared" si="233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9"/>
        <v>0</v>
      </c>
      <c r="AF809" s="10"/>
      <c r="AG809" s="10"/>
      <c r="AH809" s="10"/>
      <c r="AI809" s="12">
        <f t="shared" si="23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102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32"/>
        <v>0</v>
      </c>
      <c r="T810" s="10"/>
      <c r="U810" s="10"/>
      <c r="V810" s="10"/>
      <c r="W810" s="12">
        <f t="shared" si="233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9"/>
        <v>0</v>
      </c>
      <c r="AF810" s="10"/>
      <c r="AG810" s="10"/>
      <c r="AH810" s="10"/>
      <c r="AI810" s="12">
        <f t="shared" si="23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102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P811" s="47"/>
      <c r="Q811" s="31"/>
      <c r="R811" s="31"/>
      <c r="S811" s="32">
        <f t="shared" si="232"/>
        <v>0</v>
      </c>
      <c r="T811" s="10"/>
      <c r="U811" s="10"/>
      <c r="V811" s="10"/>
      <c r="W811" s="12">
        <f t="shared" si="233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9"/>
        <v>0</v>
      </c>
      <c r="AF811" s="10"/>
      <c r="AG811" s="10"/>
      <c r="AH811" s="10"/>
      <c r="AI811" s="12">
        <f t="shared" si="23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32"/>
        <v>0</v>
      </c>
      <c r="T812" s="10"/>
      <c r="U812" s="10"/>
      <c r="V812" s="10"/>
      <c r="W812" s="12">
        <f t="shared" si="233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9"/>
        <v>0</v>
      </c>
      <c r="AF812" s="10"/>
      <c r="AG812" s="10"/>
      <c r="AH812" s="10"/>
      <c r="AI812" s="12">
        <f t="shared" si="23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102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32"/>
        <v>0</v>
      </c>
      <c r="T813" s="10"/>
      <c r="U813" s="10"/>
      <c r="V813" s="10"/>
      <c r="W813" s="12">
        <f t="shared" si="233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9"/>
        <v>0</v>
      </c>
      <c r="AF813" s="10"/>
      <c r="AG813" s="10"/>
      <c r="AH813" s="10"/>
      <c r="AI813" s="12">
        <f t="shared" si="23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32"/>
        <v>0</v>
      </c>
      <c r="T814" s="10"/>
      <c r="U814" s="10"/>
      <c r="V814" s="10"/>
      <c r="W814" s="12">
        <f t="shared" si="233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9"/>
        <v>0</v>
      </c>
      <c r="AF814" s="10"/>
      <c r="AG814" s="10"/>
      <c r="AH814" s="10"/>
      <c r="AI814" s="12">
        <f t="shared" si="23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32"/>
        <v>0</v>
      </c>
      <c r="T815" s="10"/>
      <c r="U815" s="10"/>
      <c r="V815" s="10"/>
      <c r="W815" s="12">
        <f t="shared" si="233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39"/>
        <v>0</v>
      </c>
      <c r="AF815" s="10"/>
      <c r="AG815" s="10"/>
      <c r="AH815" s="10"/>
      <c r="AI815" s="12">
        <f t="shared" si="23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32"/>
        <v>0</v>
      </c>
      <c r="T816" s="10"/>
      <c r="U816" s="10"/>
      <c r="V816" s="10"/>
      <c r="W816" s="12">
        <f t="shared" si="233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9"/>
        <v>0</v>
      </c>
      <c r="AF816" s="10"/>
      <c r="AG816" s="10"/>
      <c r="AH816" s="10"/>
      <c r="AI816" s="12">
        <f t="shared" si="23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32"/>
        <v>0</v>
      </c>
      <c r="T817" s="10"/>
      <c r="U817" s="10"/>
      <c r="V817" s="10"/>
      <c r="W817" s="12">
        <f t="shared" si="233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9"/>
        <v>0</v>
      </c>
      <c r="AF817" s="10"/>
      <c r="AG817" s="10"/>
      <c r="AH817" s="10"/>
      <c r="AI817" s="12">
        <f t="shared" si="23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2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32"/>
        <v>0</v>
      </c>
      <c r="T818" s="10"/>
      <c r="U818" s="10"/>
      <c r="V818" s="10"/>
      <c r="W818" s="12">
        <f t="shared" si="233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9"/>
        <v>0</v>
      </c>
      <c r="AF818" s="10"/>
      <c r="AG818" s="10"/>
      <c r="AH818" s="10"/>
      <c r="AI818" s="12">
        <f t="shared" si="23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2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32"/>
        <v>0</v>
      </c>
      <c r="T819" s="10"/>
      <c r="U819" s="10"/>
      <c r="V819" s="10"/>
      <c r="W819" s="12">
        <f t="shared" si="233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9"/>
        <v>0</v>
      </c>
      <c r="AF819" s="10"/>
      <c r="AG819" s="10"/>
      <c r="AH819" s="10"/>
      <c r="AI819" s="12">
        <f t="shared" si="23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2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32"/>
        <v>0</v>
      </c>
      <c r="T820" s="10"/>
      <c r="U820" s="10"/>
      <c r="V820" s="10"/>
      <c r="W820" s="12">
        <f t="shared" si="233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9"/>
        <v>0</v>
      </c>
      <c r="AF820" s="10"/>
      <c r="AG820" s="10"/>
      <c r="AH820" s="10"/>
      <c r="AI820" s="12">
        <f t="shared" si="23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2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3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2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40">SUM(P822:Q822)</f>
        <v>0</v>
      </c>
      <c r="T822" s="10"/>
      <c r="U822" s="10"/>
      <c r="V822" s="10"/>
      <c r="W822" s="12">
        <f t="shared" si="233"/>
        <v>0</v>
      </c>
      <c r="Y822" s="10"/>
      <c r="Z822" s="30"/>
      <c r="AA822" s="31"/>
      <c r="AB822" s="47"/>
      <c r="AC822" s="31"/>
      <c r="AD822" s="31"/>
      <c r="AE822" s="32">
        <f t="shared" ref="AE822" si="241">SUM(AB822:AC822)</f>
        <v>0</v>
      </c>
      <c r="AF822" s="10"/>
      <c r="AG822" s="10"/>
      <c r="AH822" s="10"/>
      <c r="AI822" s="12">
        <f t="shared" si="23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3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102"/>
      <c r="C824" s="102"/>
      <c r="D824" s="102"/>
      <c r="E824" s="102"/>
      <c r="F824" s="102"/>
      <c r="G824" s="102"/>
      <c r="H824" s="62"/>
      <c r="I824" s="62"/>
      <c r="J824" s="62"/>
      <c r="K824" s="62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102"/>
      <c r="C825" s="102"/>
      <c r="D825" s="70"/>
      <c r="E825" s="70"/>
      <c r="F825" s="70"/>
      <c r="G825" s="70"/>
      <c r="H825" s="63"/>
      <c r="I825" s="70"/>
      <c r="J825" s="70"/>
      <c r="K825" s="70"/>
      <c r="N825" s="57"/>
      <c r="O825" s="57"/>
      <c r="P825" s="38">
        <f>SUM(P782:P824)</f>
        <v>209792.5</v>
      </c>
      <c r="Q825" s="38">
        <f>SUM(Q782:Q806)</f>
        <v>0</v>
      </c>
      <c r="R825" s="38">
        <f>SUM(R782:R806)</f>
        <v>0</v>
      </c>
      <c r="S825" s="38">
        <f>SUM(S782:S824)</f>
        <v>209792.5</v>
      </c>
      <c r="T825" s="4"/>
      <c r="U825" s="41">
        <f>SUM(U782:U824)</f>
        <v>807</v>
      </c>
      <c r="V825" s="41">
        <f>SUM(V782:V806)</f>
        <v>-2875</v>
      </c>
      <c r="W825" s="42">
        <f>SUM(W782:W824)</f>
        <v>207724.5</v>
      </c>
      <c r="Z825" s="57"/>
      <c r="AA825" s="57"/>
      <c r="AB825" s="38">
        <f>SUM(AB782:AB824)</f>
        <v>224621.5</v>
      </c>
      <c r="AC825" s="38">
        <f>SUM(AC782:AC806)</f>
        <v>-1956</v>
      </c>
      <c r="AD825" s="38">
        <f>SUM(AD782:AD806)</f>
        <v>0</v>
      </c>
      <c r="AE825" s="38">
        <f>SUM(AE782:AE824)</f>
        <v>222665.5</v>
      </c>
      <c r="AF825" s="4"/>
      <c r="AG825" s="41">
        <f>SUM(AG782:AG824)</f>
        <v>3267</v>
      </c>
      <c r="AH825" s="41">
        <f>SUM(AH782:AH806)</f>
        <v>-1776</v>
      </c>
      <c r="AI825" s="42">
        <f>SUM(AI782:AI824)</f>
        <v>224156.5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80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80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80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1" t="s">
        <v>17</v>
      </c>
      <c r="E835" s="121"/>
      <c r="F835" s="104"/>
      <c r="G835" s="27"/>
      <c r="I835" s="119" t="s">
        <v>18</v>
      </c>
      <c r="J835" s="120"/>
      <c r="K835" s="117" t="s">
        <v>19</v>
      </c>
      <c r="N835" s="25"/>
      <c r="O835" s="26"/>
      <c r="P835" s="121" t="s">
        <v>17</v>
      </c>
      <c r="Q835" s="121"/>
      <c r="R835" s="104"/>
      <c r="S835" s="27"/>
      <c r="U835" s="119" t="s">
        <v>18</v>
      </c>
      <c r="V835" s="120"/>
      <c r="W835" s="117" t="s">
        <v>19</v>
      </c>
      <c r="Z835" s="25"/>
      <c r="AA835" s="26"/>
      <c r="AB835" s="121" t="s">
        <v>17</v>
      </c>
      <c r="AC835" s="121"/>
      <c r="AD835" s="104"/>
      <c r="AE835" s="27"/>
      <c r="AG835" s="119" t="s">
        <v>18</v>
      </c>
      <c r="AH835" s="120"/>
      <c r="AI835" s="117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8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8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8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81</v>
      </c>
      <c r="C837" s="83">
        <v>9209</v>
      </c>
      <c r="D837" s="32">
        <f>650*5+9.5*5</f>
        <v>3297.5</v>
      </c>
      <c r="E837" s="32"/>
      <c r="F837" s="32"/>
      <c r="G837" s="32">
        <f t="shared" ref="G837:G870" si="242">SUM(D837:E837)</f>
        <v>3297.5</v>
      </c>
      <c r="H837" s="12"/>
      <c r="I837" s="12">
        <f>4.5*5+1.5*5</f>
        <v>30</v>
      </c>
      <c r="J837" s="12"/>
      <c r="K837" s="12">
        <f t="shared" ref="K837:K870" si="243">SUM(G837:J837)</f>
        <v>3327.5</v>
      </c>
      <c r="M837" s="10">
        <v>1</v>
      </c>
      <c r="N837" s="30" t="s">
        <v>81</v>
      </c>
      <c r="O837" s="31">
        <v>9251</v>
      </c>
      <c r="P837" s="32">
        <f>650+670+9.5</f>
        <v>1329.5</v>
      </c>
      <c r="Q837" s="32"/>
      <c r="R837" s="32"/>
      <c r="S837" s="32">
        <f>SUM(P837:Q837)</f>
        <v>1329.5</v>
      </c>
      <c r="T837" s="12"/>
      <c r="U837" s="12"/>
      <c r="V837" s="12"/>
      <c r="W837" s="12">
        <f>SUM(S837:V837)</f>
        <v>1329.5</v>
      </c>
      <c r="Y837" s="10">
        <v>1</v>
      </c>
      <c r="Z837" s="30" t="s">
        <v>81</v>
      </c>
      <c r="AA837" s="31">
        <v>9166</v>
      </c>
      <c r="AB837" s="32">
        <f>650*9+622+9.5*10</f>
        <v>6567</v>
      </c>
      <c r="AC837" s="32"/>
      <c r="AD837" s="32"/>
      <c r="AE837" s="32">
        <f>SUM(AB837:AC837)</f>
        <v>6567</v>
      </c>
      <c r="AF837" s="12"/>
      <c r="AG837" s="12"/>
      <c r="AH837" s="12"/>
      <c r="AI837" s="12">
        <f>SUM(AE837:AH837)</f>
        <v>6567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81</v>
      </c>
      <c r="C838" s="83">
        <f>C837+1</f>
        <v>9210</v>
      </c>
      <c r="D838" s="32">
        <f>650*8+622*2+9.5*10</f>
        <v>6539</v>
      </c>
      <c r="E838" s="32"/>
      <c r="F838" s="32"/>
      <c r="G838" s="32">
        <f t="shared" si="242"/>
        <v>6539</v>
      </c>
      <c r="H838" s="12"/>
      <c r="I838" s="12"/>
      <c r="J838" s="12"/>
      <c r="K838" s="12">
        <f t="shared" si="243"/>
        <v>6539</v>
      </c>
      <c r="M838" s="10">
        <v>2</v>
      </c>
      <c r="N838" s="30" t="s">
        <v>81</v>
      </c>
      <c r="O838" s="31">
        <f>O837+1</f>
        <v>9252</v>
      </c>
      <c r="P838" s="32">
        <f>650*6</f>
        <v>3900</v>
      </c>
      <c r="Q838" s="32"/>
      <c r="R838" s="32"/>
      <c r="S838" s="32">
        <f t="shared" ref="S838:S875" si="244">SUM(P838:Q838)</f>
        <v>3900</v>
      </c>
      <c r="T838" s="12"/>
      <c r="U838" s="12"/>
      <c r="V838" s="12"/>
      <c r="W838" s="12">
        <f t="shared" ref="W838:W878" si="245">SUM(S838:V838)</f>
        <v>3900</v>
      </c>
      <c r="Y838" s="10">
        <v>2</v>
      </c>
      <c r="Z838" s="30" t="s">
        <v>81</v>
      </c>
      <c r="AA838" s="31">
        <f>AA837+1</f>
        <v>9167</v>
      </c>
      <c r="AB838" s="32">
        <f>650*15+670+622*4+229</f>
        <v>13137</v>
      </c>
      <c r="AD838" s="32"/>
      <c r="AE838" s="32">
        <f t="shared" ref="AE838:AE839" si="246">SUM(AB838:AC838)</f>
        <v>13137</v>
      </c>
      <c r="AF838" s="12"/>
      <c r="AG838" s="12"/>
      <c r="AI838" s="12">
        <f t="shared" ref="AI838:AI839" si="247">SUM(AE838:AH838)</f>
        <v>13137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81</v>
      </c>
      <c r="C839" s="83">
        <f t="shared" ref="C839:C845" si="248">C838+1</f>
        <v>9211</v>
      </c>
      <c r="D839" s="33">
        <f>650*26+872+650</f>
        <v>18422</v>
      </c>
      <c r="E839" s="33"/>
      <c r="F839" s="33"/>
      <c r="G839" s="33">
        <f t="shared" si="242"/>
        <v>18422</v>
      </c>
      <c r="H839" s="34"/>
      <c r="I839" s="34"/>
      <c r="J839" s="34">
        <v>-555</v>
      </c>
      <c r="K839" s="34">
        <f t="shared" si="243"/>
        <v>17867</v>
      </c>
      <c r="M839" s="10">
        <v>3</v>
      </c>
      <c r="N839" s="30" t="s">
        <v>81</v>
      </c>
      <c r="O839" s="31">
        <f t="shared" ref="O839:O854" si="249">O838+1</f>
        <v>9253</v>
      </c>
      <c r="P839" s="32">
        <f>650*9+9.5*9</f>
        <v>5935.5</v>
      </c>
      <c r="Q839" s="32"/>
      <c r="R839" s="32"/>
      <c r="S839" s="32">
        <f t="shared" si="244"/>
        <v>5935.5</v>
      </c>
      <c r="T839" s="12"/>
      <c r="U839" s="12"/>
      <c r="V839" s="12"/>
      <c r="W839" s="12">
        <f t="shared" si="245"/>
        <v>5935.5</v>
      </c>
      <c r="Y839" s="10">
        <v>3</v>
      </c>
      <c r="Z839" s="30" t="s">
        <v>81</v>
      </c>
      <c r="AA839" s="31">
        <f t="shared" ref="AA839:AA850" si="250">AA838+1</f>
        <v>9168</v>
      </c>
      <c r="AB839" s="32">
        <f>650*24+670*6+622*5+912*2+229*4</f>
        <v>25470</v>
      </c>
      <c r="AC839" s="33"/>
      <c r="AD839" s="32"/>
      <c r="AE839" s="32">
        <f t="shared" si="246"/>
        <v>25470</v>
      </c>
      <c r="AF839" s="12"/>
      <c r="AG839" s="12"/>
      <c r="AH839" s="12">
        <f>-1665+-78+-105</f>
        <v>-1848</v>
      </c>
      <c r="AI839" s="12">
        <f t="shared" si="247"/>
        <v>23622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81</v>
      </c>
      <c r="C840" s="83">
        <f t="shared" si="248"/>
        <v>9212</v>
      </c>
      <c r="D840" s="32">
        <f>650*160+229*6</f>
        <v>105374</v>
      </c>
      <c r="E840" s="32">
        <f>-160*6</f>
        <v>-960</v>
      </c>
      <c r="F840" s="32"/>
      <c r="G840" s="32">
        <f t="shared" si="242"/>
        <v>104414</v>
      </c>
      <c r="H840" s="12"/>
      <c r="I840" s="12"/>
      <c r="J840" s="12">
        <f>-111*56+-42*7</f>
        <v>-6510</v>
      </c>
      <c r="K840" s="12">
        <f t="shared" si="243"/>
        <v>97904</v>
      </c>
      <c r="M840" s="10">
        <v>4</v>
      </c>
      <c r="N840" s="30" t="s">
        <v>81</v>
      </c>
      <c r="O840" s="31">
        <f t="shared" si="249"/>
        <v>9254</v>
      </c>
      <c r="P840" s="32">
        <f>650*20+670*2+486.5+622*15+456+872+229*2</f>
        <v>25942.5</v>
      </c>
      <c r="Q840" s="32"/>
      <c r="R840" s="32"/>
      <c r="S840" s="32">
        <f t="shared" si="244"/>
        <v>25942.5</v>
      </c>
      <c r="T840" s="12"/>
      <c r="U840" s="12">
        <f>240+3885+156+222</f>
        <v>4503</v>
      </c>
      <c r="V840" s="12"/>
      <c r="W840" s="12">
        <f t="shared" si="245"/>
        <v>30445.5</v>
      </c>
      <c r="Y840" s="10">
        <v>4</v>
      </c>
      <c r="Z840" s="30" t="s">
        <v>81</v>
      </c>
      <c r="AA840" s="31">
        <f t="shared" si="250"/>
        <v>9169</v>
      </c>
      <c r="AB840" s="32">
        <f>650*17+622*5+229</f>
        <v>14389</v>
      </c>
      <c r="AC840" s="32"/>
      <c r="AD840" s="32"/>
      <c r="AE840" s="32">
        <f>SUM(AB840:AC840)</f>
        <v>14389</v>
      </c>
      <c r="AF840" s="12"/>
      <c r="AH840" s="12"/>
      <c r="AI840" s="12">
        <f>SUM(AE840:AH840)</f>
        <v>14389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81</v>
      </c>
      <c r="C841" s="83">
        <f t="shared" si="248"/>
        <v>9213</v>
      </c>
      <c r="D841" s="32">
        <f>650*20+622*2</f>
        <v>14244</v>
      </c>
      <c r="E841" s="32"/>
      <c r="F841" s="32"/>
      <c r="G841" s="32">
        <f t="shared" si="242"/>
        <v>14244</v>
      </c>
      <c r="H841" s="12"/>
      <c r="I841" s="12"/>
      <c r="J841" s="12"/>
      <c r="K841" s="12">
        <f t="shared" si="243"/>
        <v>14244</v>
      </c>
      <c r="M841" s="10">
        <v>5</v>
      </c>
      <c r="N841" s="30" t="s">
        <v>81</v>
      </c>
      <c r="O841" s="31">
        <f t="shared" si="249"/>
        <v>9255</v>
      </c>
      <c r="P841" s="32">
        <f>650*2+622*4</f>
        <v>3788</v>
      </c>
      <c r="Q841" s="32"/>
      <c r="R841" s="32"/>
      <c r="S841" s="32">
        <f t="shared" si="244"/>
        <v>3788</v>
      </c>
      <c r="T841" s="12"/>
      <c r="U841" s="12"/>
      <c r="V841" s="12"/>
      <c r="W841" s="12">
        <f t="shared" si="245"/>
        <v>3788</v>
      </c>
      <c r="Y841" s="10">
        <v>5</v>
      </c>
      <c r="Z841" s="30" t="s">
        <v>81</v>
      </c>
      <c r="AA841" s="31">
        <f t="shared" si="250"/>
        <v>9170</v>
      </c>
      <c r="AB841" s="33">
        <f>650*6+9.5*6</f>
        <v>3957</v>
      </c>
      <c r="AC841" s="32"/>
      <c r="AD841" s="32"/>
      <c r="AE841" s="32">
        <f>SUM(AB841:AC841)</f>
        <v>3957</v>
      </c>
      <c r="AF841" s="12"/>
      <c r="AG841" s="12"/>
      <c r="AH841" s="12"/>
      <c r="AI841" s="12">
        <f t="shared" ref="AI841:AI878" si="251">SUM(AE841:AH841)</f>
        <v>3957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81</v>
      </c>
      <c r="C842" s="83">
        <f t="shared" si="248"/>
        <v>9214</v>
      </c>
      <c r="D842" s="32">
        <f>650*95+622*10+229*5</f>
        <v>69115</v>
      </c>
      <c r="E842" s="32"/>
      <c r="F842" s="32"/>
      <c r="G842" s="32">
        <f t="shared" si="242"/>
        <v>69115</v>
      </c>
      <c r="H842" s="12"/>
      <c r="I842" s="12"/>
      <c r="J842" s="12"/>
      <c r="K842" s="12">
        <f t="shared" si="243"/>
        <v>69115</v>
      </c>
      <c r="M842" s="10">
        <v>6</v>
      </c>
      <c r="N842" s="30" t="s">
        <v>81</v>
      </c>
      <c r="O842" s="31">
        <f t="shared" si="249"/>
        <v>9256</v>
      </c>
      <c r="P842" s="32">
        <f>650+622+9.5*2</f>
        <v>1291</v>
      </c>
      <c r="Q842" s="32"/>
      <c r="R842" s="32"/>
      <c r="S842" s="32">
        <f t="shared" si="244"/>
        <v>1291</v>
      </c>
      <c r="T842" s="12"/>
      <c r="U842" s="12"/>
      <c r="V842" s="10"/>
      <c r="W842" s="12">
        <f t="shared" si="245"/>
        <v>1291</v>
      </c>
      <c r="Y842" s="10">
        <v>6</v>
      </c>
      <c r="Z842" s="30" t="s">
        <v>81</v>
      </c>
      <c r="AA842" s="31">
        <f t="shared" si="250"/>
        <v>9171</v>
      </c>
      <c r="AB842" s="32">
        <f>650+622+9.5*2</f>
        <v>1291</v>
      </c>
      <c r="AC842" s="32"/>
      <c r="AD842" s="32"/>
      <c r="AE842" s="32">
        <f t="shared" ref="AE842:AE875" si="252">SUM(AB842:AC842)</f>
        <v>1291</v>
      </c>
      <c r="AF842" s="12"/>
      <c r="AG842" s="12"/>
      <c r="AH842" s="10"/>
      <c r="AI842" s="12">
        <f t="shared" si="251"/>
        <v>1291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81</v>
      </c>
      <c r="C843" s="83">
        <f t="shared" si="248"/>
        <v>9215</v>
      </c>
      <c r="D843" s="32">
        <f>700</f>
        <v>700</v>
      </c>
      <c r="E843" s="32"/>
      <c r="F843" s="32"/>
      <c r="G843" s="32">
        <f t="shared" si="242"/>
        <v>700</v>
      </c>
      <c r="H843" s="12"/>
      <c r="I843" s="12"/>
      <c r="J843" s="12"/>
      <c r="K843" s="12">
        <f t="shared" si="243"/>
        <v>700</v>
      </c>
      <c r="M843" s="10">
        <v>7</v>
      </c>
      <c r="N843" s="30" t="s">
        <v>81</v>
      </c>
      <c r="O843" s="31">
        <f t="shared" si="249"/>
        <v>9257</v>
      </c>
      <c r="P843" s="32">
        <f>622*2+9.5*2</f>
        <v>1263</v>
      </c>
      <c r="Q843" s="32"/>
      <c r="R843" s="32"/>
      <c r="S843" s="32">
        <f t="shared" si="244"/>
        <v>1263</v>
      </c>
      <c r="T843" s="12"/>
      <c r="U843" s="12"/>
      <c r="V843" s="12"/>
      <c r="W843" s="12">
        <f t="shared" si="245"/>
        <v>1263</v>
      </c>
      <c r="Y843" s="10">
        <v>7</v>
      </c>
      <c r="Z843" s="30" t="s">
        <v>81</v>
      </c>
      <c r="AA843" s="31">
        <f t="shared" si="250"/>
        <v>9172</v>
      </c>
      <c r="AB843" s="32">
        <f>650*3+670</f>
        <v>2620</v>
      </c>
      <c r="AC843" s="32"/>
      <c r="AD843" s="32"/>
      <c r="AE843" s="32">
        <f t="shared" si="252"/>
        <v>2620</v>
      </c>
      <c r="AF843" s="12"/>
      <c r="AG843" s="58"/>
      <c r="AH843" s="12"/>
      <c r="AI843" s="12">
        <f t="shared" si="251"/>
        <v>2620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81</v>
      </c>
      <c r="C844" s="83">
        <f t="shared" si="248"/>
        <v>9216</v>
      </c>
      <c r="D844" s="32">
        <f>650*10</f>
        <v>6500</v>
      </c>
      <c r="E844" s="32"/>
      <c r="F844" s="32"/>
      <c r="G844" s="32">
        <f t="shared" si="242"/>
        <v>6500</v>
      </c>
      <c r="H844" s="12"/>
      <c r="I844" s="12">
        <v>162</v>
      </c>
      <c r="J844" s="12"/>
      <c r="K844" s="12">
        <f t="shared" si="243"/>
        <v>6662</v>
      </c>
      <c r="M844" s="10">
        <v>8</v>
      </c>
      <c r="N844" s="30" t="s">
        <v>81</v>
      </c>
      <c r="O844" s="31">
        <f t="shared" si="249"/>
        <v>9258</v>
      </c>
      <c r="P844" s="32">
        <f>622*3+9.5*3</f>
        <v>1894.5</v>
      </c>
      <c r="Q844" s="32"/>
      <c r="R844" s="32"/>
      <c r="S844" s="32">
        <f t="shared" si="244"/>
        <v>1894.5</v>
      </c>
      <c r="T844" s="12"/>
      <c r="U844" s="12"/>
      <c r="V844" s="12"/>
      <c r="W844" s="12">
        <f t="shared" si="245"/>
        <v>1894.5</v>
      </c>
      <c r="Y844" s="10">
        <v>8</v>
      </c>
      <c r="Z844" s="30" t="s">
        <v>81</v>
      </c>
      <c r="AA844" s="31">
        <f t="shared" si="250"/>
        <v>9173</v>
      </c>
      <c r="AB844" s="32">
        <f>650*2+622+9.5*3</f>
        <v>1950.5</v>
      </c>
      <c r="AC844" s="32"/>
      <c r="AE844" s="32">
        <f t="shared" si="252"/>
        <v>1950.5</v>
      </c>
      <c r="AF844" s="12"/>
      <c r="AG844" s="12"/>
      <c r="AH844" s="12"/>
      <c r="AI844" s="12">
        <f t="shared" si="251"/>
        <v>1950.5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81</v>
      </c>
      <c r="C845" s="83">
        <f t="shared" si="248"/>
        <v>9217</v>
      </c>
      <c r="D845" s="32">
        <f>650*50</f>
        <v>32500</v>
      </c>
      <c r="E845" s="32">
        <v>-300</v>
      </c>
      <c r="F845" s="32"/>
      <c r="G845" s="32">
        <f t="shared" si="242"/>
        <v>32200</v>
      </c>
      <c r="H845" s="12"/>
      <c r="I845" s="12">
        <f>50*111</f>
        <v>5550</v>
      </c>
      <c r="J845" s="12"/>
      <c r="K845" s="12">
        <f t="shared" si="243"/>
        <v>37750</v>
      </c>
      <c r="M845" s="10">
        <v>9</v>
      </c>
      <c r="N845" s="30" t="s">
        <v>81</v>
      </c>
      <c r="O845" s="31">
        <f t="shared" si="249"/>
        <v>9259</v>
      </c>
      <c r="P845" s="32">
        <f>622*8+9.5*8</f>
        <v>5052</v>
      </c>
      <c r="Q845" s="32"/>
      <c r="R845" s="32"/>
      <c r="S845" s="32">
        <f t="shared" si="244"/>
        <v>5052</v>
      </c>
      <c r="T845" s="12"/>
      <c r="U845" s="12"/>
      <c r="V845" s="12">
        <v>-555</v>
      </c>
      <c r="W845" s="12">
        <f t="shared" si="245"/>
        <v>4497</v>
      </c>
      <c r="Y845" s="10">
        <v>9</v>
      </c>
      <c r="Z845" s="30" t="s">
        <v>81</v>
      </c>
      <c r="AA845" s="31">
        <f t="shared" si="250"/>
        <v>9174</v>
      </c>
      <c r="AB845">
        <f>650*50+1050*2+229*2</f>
        <v>35058</v>
      </c>
      <c r="AC845" s="32">
        <f>-52*6</f>
        <v>-312</v>
      </c>
      <c r="AD845" s="32"/>
      <c r="AE845" s="32">
        <f t="shared" si="252"/>
        <v>34746</v>
      </c>
      <c r="AF845" s="12"/>
      <c r="AH845" s="12">
        <f>-5550+-468</f>
        <v>-6018</v>
      </c>
      <c r="AI845" s="12">
        <f t="shared" si="251"/>
        <v>28728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11" t="s">
        <v>27</v>
      </c>
      <c r="D846" s="32"/>
      <c r="E846" s="32"/>
      <c r="F846" s="32"/>
      <c r="G846" s="32">
        <f t="shared" si="242"/>
        <v>0</v>
      </c>
      <c r="H846" s="12"/>
      <c r="I846" s="12"/>
      <c r="J846" s="12"/>
      <c r="K846" s="12">
        <f t="shared" si="243"/>
        <v>0</v>
      </c>
      <c r="M846" s="10">
        <v>10</v>
      </c>
      <c r="N846" s="30" t="s">
        <v>81</v>
      </c>
      <c r="O846" s="31">
        <f t="shared" si="249"/>
        <v>9260</v>
      </c>
      <c r="P846" s="32">
        <f>650*4+622*2</f>
        <v>3844</v>
      </c>
      <c r="Q846" s="32"/>
      <c r="R846" s="32"/>
      <c r="S846" s="32">
        <f t="shared" si="244"/>
        <v>3844</v>
      </c>
      <c r="T846" s="12"/>
      <c r="U846" s="12"/>
      <c r="V846" s="12"/>
      <c r="W846" s="12">
        <f t="shared" si="245"/>
        <v>3844</v>
      </c>
      <c r="Y846" s="10">
        <v>10</v>
      </c>
      <c r="Z846" s="30" t="s">
        <v>81</v>
      </c>
      <c r="AA846" s="31">
        <f t="shared" si="250"/>
        <v>9175</v>
      </c>
      <c r="AB846" s="32">
        <f>650*45+670*3+622*2</f>
        <v>32504</v>
      </c>
      <c r="AC846" s="32">
        <f>-50*6</f>
        <v>-300</v>
      </c>
      <c r="AD846" s="32"/>
      <c r="AE846" s="32">
        <f t="shared" si="252"/>
        <v>32204</v>
      </c>
      <c r="AF846" s="12"/>
      <c r="AG846" s="12"/>
      <c r="AH846" s="12"/>
      <c r="AI846" s="12">
        <f t="shared" si="251"/>
        <v>32204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42"/>
        <v>0</v>
      </c>
      <c r="H847" s="12"/>
      <c r="I847" s="12"/>
      <c r="J847" s="12"/>
      <c r="K847" s="12">
        <f t="shared" si="243"/>
        <v>0</v>
      </c>
      <c r="M847" s="10">
        <v>11</v>
      </c>
      <c r="N847" s="30" t="s">
        <v>81</v>
      </c>
      <c r="O847" s="31">
        <f t="shared" si="249"/>
        <v>9261</v>
      </c>
      <c r="P847" s="32">
        <f>650*3+9.5*3</f>
        <v>1978.5</v>
      </c>
      <c r="Q847" s="32"/>
      <c r="R847" s="32"/>
      <c r="S847" s="32">
        <f t="shared" si="244"/>
        <v>1978.5</v>
      </c>
      <c r="T847" s="12"/>
      <c r="U847" s="12"/>
      <c r="V847" s="12"/>
      <c r="W847" s="12">
        <f t="shared" si="245"/>
        <v>1978.5</v>
      </c>
      <c r="Y847" s="10">
        <v>11</v>
      </c>
      <c r="Z847" s="30" t="s">
        <v>81</v>
      </c>
      <c r="AA847" s="31">
        <f t="shared" si="250"/>
        <v>9176</v>
      </c>
      <c r="AB847" s="32">
        <f>650*65+229</f>
        <v>42479</v>
      </c>
      <c r="AC847" s="32"/>
      <c r="AD847" s="32"/>
      <c r="AE847" s="32">
        <f t="shared" si="252"/>
        <v>42479</v>
      </c>
      <c r="AF847" s="12"/>
      <c r="AG847" s="12"/>
      <c r="AH847" s="12"/>
      <c r="AI847" s="12">
        <f t="shared" si="251"/>
        <v>42479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42"/>
        <v>0</v>
      </c>
      <c r="H848" s="12"/>
      <c r="I848" s="12"/>
      <c r="J848" s="10"/>
      <c r="K848" s="12">
        <f t="shared" si="243"/>
        <v>0</v>
      </c>
      <c r="M848" s="10">
        <v>12</v>
      </c>
      <c r="N848" s="30" t="s">
        <v>81</v>
      </c>
      <c r="O848" s="31">
        <f t="shared" si="249"/>
        <v>9262</v>
      </c>
      <c r="P848" s="32">
        <f>650*4+9.5*4</f>
        <v>2638</v>
      </c>
      <c r="Q848" s="32"/>
      <c r="R848" s="32"/>
      <c r="S848" s="32">
        <f t="shared" si="244"/>
        <v>2638</v>
      </c>
      <c r="T848" s="12"/>
      <c r="U848" s="12"/>
      <c r="V848" s="12"/>
      <c r="W848" s="12">
        <f t="shared" si="245"/>
        <v>2638</v>
      </c>
      <c r="Y848" s="10">
        <v>12</v>
      </c>
      <c r="Z848" s="30" t="s">
        <v>81</v>
      </c>
      <c r="AA848" s="31">
        <f t="shared" si="250"/>
        <v>9177</v>
      </c>
      <c r="AB848" s="32">
        <f>50*650+622*4+912+872*2+229*2+500*2</f>
        <v>39102</v>
      </c>
      <c r="AC848" s="32"/>
      <c r="AD848" s="32"/>
      <c r="AE848" s="32">
        <f t="shared" si="252"/>
        <v>39102</v>
      </c>
      <c r="AF848" s="12"/>
      <c r="AG848" s="12"/>
      <c r="AH848" s="12"/>
      <c r="AI848" s="12">
        <f t="shared" si="251"/>
        <v>39102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42"/>
        <v>0</v>
      </c>
      <c r="H849" s="12"/>
      <c r="I849" s="12"/>
      <c r="J849" s="12"/>
      <c r="K849" s="12">
        <f t="shared" si="243"/>
        <v>0</v>
      </c>
      <c r="M849" s="10">
        <v>13</v>
      </c>
      <c r="N849" s="30" t="s">
        <v>81</v>
      </c>
      <c r="O849" s="31">
        <f t="shared" si="249"/>
        <v>9263</v>
      </c>
      <c r="P849" s="32">
        <f>650*4+9.5*4</f>
        <v>2638</v>
      </c>
      <c r="Q849" s="32"/>
      <c r="R849" s="32"/>
      <c r="S849" s="32">
        <f t="shared" si="244"/>
        <v>2638</v>
      </c>
      <c r="T849" s="12"/>
      <c r="U849" s="12"/>
      <c r="V849" s="12">
        <v>-222</v>
      </c>
      <c r="W849" s="12">
        <f t="shared" si="245"/>
        <v>2416</v>
      </c>
      <c r="Y849" s="10">
        <v>13</v>
      </c>
      <c r="Z849" s="30" t="s">
        <v>81</v>
      </c>
      <c r="AA849" s="31">
        <f t="shared" si="250"/>
        <v>9178</v>
      </c>
      <c r="AB849" s="32">
        <f>650*6+622*2</f>
        <v>5144</v>
      </c>
      <c r="AC849" s="32"/>
      <c r="AD849" s="32"/>
      <c r="AE849" s="32">
        <f t="shared" si="252"/>
        <v>5144</v>
      </c>
      <c r="AF849" s="12"/>
      <c r="AG849" s="12"/>
      <c r="AH849" s="12"/>
      <c r="AI849" s="12">
        <f t="shared" si="251"/>
        <v>5144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42"/>
        <v>0</v>
      </c>
      <c r="H850" s="12"/>
      <c r="I850" s="12"/>
      <c r="J850" s="12"/>
      <c r="K850" s="12">
        <f t="shared" si="243"/>
        <v>0</v>
      </c>
      <c r="M850" s="10">
        <v>14</v>
      </c>
      <c r="N850" s="30" t="s">
        <v>81</v>
      </c>
      <c r="O850" s="31">
        <f t="shared" si="249"/>
        <v>9264</v>
      </c>
      <c r="P850" s="32">
        <f>700/6+650*4</f>
        <v>2716.6666666666665</v>
      </c>
      <c r="Q850" s="32"/>
      <c r="R850" s="32"/>
      <c r="S850" s="32">
        <f t="shared" si="244"/>
        <v>2716.6666666666665</v>
      </c>
      <c r="T850" s="12"/>
      <c r="U850" s="12"/>
      <c r="V850" s="12"/>
      <c r="W850" s="12">
        <f t="shared" si="245"/>
        <v>2716.6666666666665</v>
      </c>
      <c r="Y850" s="10">
        <v>14</v>
      </c>
      <c r="Z850" s="30" t="s">
        <v>81</v>
      </c>
      <c r="AA850" s="31">
        <f t="shared" si="250"/>
        <v>9179</v>
      </c>
      <c r="AB850" s="32">
        <f>650*5+622*5</f>
        <v>6360</v>
      </c>
      <c r="AC850" s="32"/>
      <c r="AD850" s="32"/>
      <c r="AE850" s="32">
        <f t="shared" si="252"/>
        <v>6360</v>
      </c>
      <c r="AF850" s="12"/>
      <c r="AG850" s="12"/>
      <c r="AH850" s="12"/>
      <c r="AI850" s="12">
        <f t="shared" si="251"/>
        <v>6360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42"/>
        <v>0</v>
      </c>
      <c r="H851" s="12"/>
      <c r="I851" s="12"/>
      <c r="J851" s="12"/>
      <c r="K851" s="12">
        <f t="shared" si="243"/>
        <v>0</v>
      </c>
      <c r="M851" s="10">
        <v>15</v>
      </c>
      <c r="N851" s="30" t="s">
        <v>81</v>
      </c>
      <c r="O851" s="31">
        <f t="shared" si="249"/>
        <v>9265</v>
      </c>
      <c r="P851" s="32">
        <f>650*180+670*10+622*10+229*8</f>
        <v>131752</v>
      </c>
      <c r="Q851" s="32">
        <v>-1200</v>
      </c>
      <c r="R851" s="32"/>
      <c r="S851" s="32">
        <f t="shared" si="244"/>
        <v>130552</v>
      </c>
      <c r="T851" s="12"/>
      <c r="U851" s="12">
        <v>234</v>
      </c>
      <c r="V851" s="12">
        <f>-1200+-8658+-420+-336</f>
        <v>-10614</v>
      </c>
      <c r="W851" s="12">
        <f t="shared" si="245"/>
        <v>120172</v>
      </c>
      <c r="Y851" s="10">
        <v>15</v>
      </c>
      <c r="Z851" s="30"/>
      <c r="AA851" s="11" t="s">
        <v>27</v>
      </c>
      <c r="AB851" s="32"/>
      <c r="AC851" s="32"/>
      <c r="AD851" s="32"/>
      <c r="AE851" s="32">
        <f t="shared" si="252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83"/>
      <c r="D852" s="32"/>
      <c r="E852" s="32"/>
      <c r="F852" s="32"/>
      <c r="G852" s="32">
        <f t="shared" si="242"/>
        <v>0</v>
      </c>
      <c r="H852" s="12"/>
      <c r="I852" s="12"/>
      <c r="J852" s="12"/>
      <c r="K852" s="12">
        <f t="shared" si="243"/>
        <v>0</v>
      </c>
      <c r="M852" s="10">
        <v>16</v>
      </c>
      <c r="N852" s="30" t="s">
        <v>81</v>
      </c>
      <c r="O852" s="31">
        <f t="shared" si="249"/>
        <v>9266</v>
      </c>
      <c r="P852" s="32">
        <f>650*7+670+622*2</f>
        <v>6464</v>
      </c>
      <c r="Q852" s="32"/>
      <c r="R852" s="32"/>
      <c r="S852" s="32">
        <f t="shared" si="244"/>
        <v>6464</v>
      </c>
      <c r="T852" s="12"/>
      <c r="U852" s="12">
        <v>27</v>
      </c>
      <c r="V852" s="12"/>
      <c r="W852" s="12">
        <f t="shared" si="245"/>
        <v>6491</v>
      </c>
      <c r="Y852" s="10">
        <v>16</v>
      </c>
      <c r="Z852" s="30"/>
      <c r="AA852" s="31"/>
      <c r="AB852" s="32"/>
      <c r="AC852" s="32"/>
      <c r="AD852" s="32"/>
      <c r="AE852" s="32">
        <f t="shared" si="252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42"/>
        <v>0</v>
      </c>
      <c r="H853" s="12"/>
      <c r="I853" s="12"/>
      <c r="J853" s="12"/>
      <c r="K853" s="12">
        <f t="shared" si="243"/>
        <v>0</v>
      </c>
      <c r="M853" s="10">
        <v>17</v>
      </c>
      <c r="N853" s="30" t="s">
        <v>81</v>
      </c>
      <c r="O853" s="31">
        <f t="shared" si="249"/>
        <v>9267</v>
      </c>
      <c r="P853" s="35">
        <f>650*7</f>
        <v>4550</v>
      </c>
      <c r="Q853" s="32"/>
      <c r="R853" s="32"/>
      <c r="S853" s="32">
        <f t="shared" si="244"/>
        <v>4550</v>
      </c>
      <c r="T853" s="12"/>
      <c r="U853" s="12"/>
      <c r="V853" s="12">
        <v>-333</v>
      </c>
      <c r="W853" s="12">
        <f t="shared" si="245"/>
        <v>4217</v>
      </c>
      <c r="Y853" s="10">
        <v>17</v>
      </c>
      <c r="Z853" s="30"/>
      <c r="AA853" s="31"/>
      <c r="AB853" s="35"/>
      <c r="AC853" s="32"/>
      <c r="AD853" s="32"/>
      <c r="AE853" s="32">
        <f t="shared" si="252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42"/>
        <v>0</v>
      </c>
      <c r="H854" s="12"/>
      <c r="I854" s="12"/>
      <c r="J854" s="12"/>
      <c r="K854" s="12">
        <f t="shared" si="243"/>
        <v>0</v>
      </c>
      <c r="M854" s="10">
        <v>18</v>
      </c>
      <c r="N854" s="30" t="s">
        <v>81</v>
      </c>
      <c r="O854" s="31">
        <f t="shared" si="249"/>
        <v>9268</v>
      </c>
      <c r="P854" s="32">
        <f>650*2+9.5*2</f>
        <v>1319</v>
      </c>
      <c r="Q854" s="32"/>
      <c r="R854" s="32"/>
      <c r="S854" s="32">
        <f t="shared" si="244"/>
        <v>1319</v>
      </c>
      <c r="T854" s="12"/>
      <c r="U854" s="12"/>
      <c r="V854" s="12"/>
      <c r="W854" s="12">
        <f t="shared" si="245"/>
        <v>1319</v>
      </c>
      <c r="Y854" s="10">
        <v>18</v>
      </c>
      <c r="Z854" s="30"/>
      <c r="AA854" s="31"/>
      <c r="AB854" s="32"/>
      <c r="AC854" s="32"/>
      <c r="AD854" s="32"/>
      <c r="AE854" s="32">
        <f t="shared" si="252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42"/>
        <v>0</v>
      </c>
      <c r="H855" s="12"/>
      <c r="I855" s="12"/>
      <c r="J855" s="12"/>
      <c r="K855" s="12">
        <f t="shared" si="243"/>
        <v>0</v>
      </c>
      <c r="M855" s="10">
        <v>19</v>
      </c>
      <c r="N855" s="30"/>
      <c r="O855" s="11" t="s">
        <v>27</v>
      </c>
      <c r="P855" s="32"/>
      <c r="Q855" s="32"/>
      <c r="R855" s="32"/>
      <c r="S855" s="32">
        <f t="shared" si="244"/>
        <v>0</v>
      </c>
      <c r="T855" s="12"/>
      <c r="U855" s="12"/>
      <c r="V855" s="12"/>
      <c r="W855" s="12">
        <f t="shared" si="245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52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42"/>
        <v>0</v>
      </c>
      <c r="H856" s="12"/>
      <c r="I856" s="12"/>
      <c r="J856" s="12"/>
      <c r="K856" s="12">
        <f t="shared" si="243"/>
        <v>0</v>
      </c>
      <c r="M856" s="10">
        <v>20</v>
      </c>
      <c r="N856" s="30"/>
      <c r="O856" s="31"/>
      <c r="P856" s="32"/>
      <c r="Q856" s="32"/>
      <c r="R856" s="32"/>
      <c r="S856" s="32">
        <f t="shared" si="244"/>
        <v>0</v>
      </c>
      <c r="T856" s="12"/>
      <c r="U856" s="12"/>
      <c r="V856" s="12"/>
      <c r="W856" s="12">
        <f t="shared" si="245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2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42"/>
        <v>0</v>
      </c>
      <c r="H857" s="10"/>
      <c r="I857" s="10"/>
      <c r="J857" s="10"/>
      <c r="K857" s="12">
        <f t="shared" si="243"/>
        <v>0</v>
      </c>
      <c r="M857" s="10">
        <v>21</v>
      </c>
      <c r="N857" s="30"/>
      <c r="O857" s="31"/>
      <c r="P857" s="92"/>
      <c r="Q857" s="31"/>
      <c r="R857" s="31"/>
      <c r="S857" s="32">
        <f t="shared" si="244"/>
        <v>0</v>
      </c>
      <c r="T857" s="10"/>
      <c r="U857" s="10"/>
      <c r="V857" s="10"/>
      <c r="W857" s="12">
        <f t="shared" si="245"/>
        <v>0</v>
      </c>
      <c r="Y857" s="10">
        <v>21</v>
      </c>
      <c r="Z857" s="30"/>
      <c r="AB857" s="46"/>
      <c r="AC857" s="31"/>
      <c r="AD857" s="31"/>
      <c r="AE857" s="32">
        <f t="shared" si="252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42"/>
        <v>0</v>
      </c>
      <c r="H858" s="10"/>
      <c r="I858" s="10"/>
      <c r="J858" s="10"/>
      <c r="K858" s="12">
        <f t="shared" si="243"/>
        <v>0</v>
      </c>
      <c r="M858" s="10">
        <v>22</v>
      </c>
      <c r="N858" s="30"/>
      <c r="O858" s="31"/>
      <c r="P858" s="92"/>
      <c r="Q858" s="31"/>
      <c r="R858" s="31"/>
      <c r="S858" s="32">
        <f t="shared" si="244"/>
        <v>0</v>
      </c>
      <c r="T858" s="10"/>
      <c r="U858" s="10"/>
      <c r="V858" s="10"/>
      <c r="W858" s="12">
        <f t="shared" si="245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2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42"/>
        <v>0</v>
      </c>
      <c r="H859" s="10"/>
      <c r="I859" s="10"/>
      <c r="J859" s="12"/>
      <c r="K859" s="12">
        <f t="shared" si="243"/>
        <v>0</v>
      </c>
      <c r="M859" s="10">
        <v>23</v>
      </c>
      <c r="N859" s="30"/>
      <c r="O859" s="31"/>
      <c r="P859" s="47"/>
      <c r="Q859" s="31"/>
      <c r="S859" s="32">
        <f t="shared" si="244"/>
        <v>0</v>
      </c>
      <c r="T859" s="10"/>
      <c r="U859" s="10"/>
      <c r="V859" s="10"/>
      <c r="W859" s="12">
        <f t="shared" si="245"/>
        <v>0</v>
      </c>
      <c r="Y859" s="10">
        <v>23</v>
      </c>
      <c r="Z859" s="30"/>
      <c r="AA859" s="31"/>
      <c r="AB859" s="47"/>
      <c r="AC859" s="31"/>
      <c r="AE859" s="32">
        <f t="shared" si="252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42"/>
        <v>0</v>
      </c>
      <c r="H860" s="10"/>
      <c r="I860" s="10"/>
      <c r="J860" s="10"/>
      <c r="K860" s="12">
        <f t="shared" si="243"/>
        <v>0</v>
      </c>
      <c r="M860" s="10">
        <v>24</v>
      </c>
      <c r="N860" s="30"/>
      <c r="O860" s="31"/>
      <c r="P860" s="47"/>
      <c r="Q860" s="31"/>
      <c r="R860" s="31"/>
      <c r="S860" s="32">
        <f t="shared" si="244"/>
        <v>0</v>
      </c>
      <c r="T860" s="10"/>
      <c r="U860" s="10"/>
      <c r="V860" s="10"/>
      <c r="W860" s="12">
        <f t="shared" si="245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2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42"/>
        <v>0</v>
      </c>
      <c r="H861" s="10"/>
      <c r="I861" s="10"/>
      <c r="J861" s="10"/>
      <c r="K861" s="12">
        <f t="shared" si="243"/>
        <v>0</v>
      </c>
      <c r="M861" s="10">
        <v>25</v>
      </c>
      <c r="N861" s="30"/>
      <c r="O861" s="31"/>
      <c r="P861" s="47"/>
      <c r="Q861" s="31"/>
      <c r="R861" s="31"/>
      <c r="S861" s="32">
        <f t="shared" si="244"/>
        <v>0</v>
      </c>
      <c r="T861" s="10"/>
      <c r="U861" s="10"/>
      <c r="V861" s="10"/>
      <c r="W861" s="12">
        <f t="shared" si="245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2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42"/>
        <v>0</v>
      </c>
      <c r="H862" s="10"/>
      <c r="I862" s="10"/>
      <c r="J862" s="10"/>
      <c r="K862" s="12">
        <f t="shared" si="243"/>
        <v>0</v>
      </c>
      <c r="M862" s="10">
        <v>26</v>
      </c>
      <c r="N862" s="30"/>
      <c r="O862" s="31"/>
      <c r="P862" s="47"/>
      <c r="Q862" s="31"/>
      <c r="R862" s="31"/>
      <c r="S862" s="32">
        <f t="shared" si="244"/>
        <v>0</v>
      </c>
      <c r="T862" s="10"/>
      <c r="U862" s="10"/>
      <c r="V862" s="10"/>
      <c r="W862" s="12">
        <f t="shared" si="245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2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42"/>
        <v>0</v>
      </c>
      <c r="H863" s="10"/>
      <c r="I863" s="10"/>
      <c r="J863" s="10"/>
      <c r="K863" s="12">
        <f t="shared" si="243"/>
        <v>0</v>
      </c>
      <c r="M863" s="10">
        <v>27</v>
      </c>
      <c r="N863" s="30"/>
      <c r="O863" s="31"/>
      <c r="P863" s="47"/>
      <c r="Q863" s="31"/>
      <c r="R863" s="31"/>
      <c r="S863" s="32">
        <f t="shared" si="244"/>
        <v>0</v>
      </c>
      <c r="T863" s="10"/>
      <c r="U863" s="10"/>
      <c r="V863" s="10"/>
      <c r="W863" s="12">
        <f t="shared" si="245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2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42"/>
        <v>0</v>
      </c>
      <c r="H864" s="10"/>
      <c r="I864" s="10"/>
      <c r="J864" s="10"/>
      <c r="K864" s="12">
        <f t="shared" si="243"/>
        <v>0</v>
      </c>
      <c r="M864" s="10">
        <v>28</v>
      </c>
      <c r="N864" s="30"/>
      <c r="O864" s="31"/>
      <c r="P864" s="47"/>
      <c r="Q864" s="31"/>
      <c r="R864" s="31"/>
      <c r="S864" s="32">
        <f t="shared" si="244"/>
        <v>0</v>
      </c>
      <c r="T864" s="10"/>
      <c r="U864" s="10"/>
      <c r="V864" s="10"/>
      <c r="W864" s="12">
        <f t="shared" si="245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2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42"/>
        <v>0</v>
      </c>
      <c r="H865" s="10"/>
      <c r="I865" s="10"/>
      <c r="J865" s="10"/>
      <c r="K865" s="12">
        <f t="shared" si="243"/>
        <v>0</v>
      </c>
      <c r="M865" s="10">
        <v>29</v>
      </c>
      <c r="N865" s="30"/>
      <c r="O865" s="31"/>
      <c r="P865" s="47"/>
      <c r="Q865" s="31"/>
      <c r="R865" s="31"/>
      <c r="S865" s="32">
        <f t="shared" si="244"/>
        <v>0</v>
      </c>
      <c r="T865" s="10"/>
      <c r="U865" s="10"/>
      <c r="V865" s="10"/>
      <c r="W865" s="12">
        <f t="shared" si="245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2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D866" s="32"/>
      <c r="E866" s="32"/>
      <c r="F866" s="32"/>
      <c r="G866" s="32">
        <f t="shared" si="242"/>
        <v>0</v>
      </c>
      <c r="H866" s="10"/>
      <c r="I866" s="10"/>
      <c r="J866" s="10"/>
      <c r="K866" s="12">
        <f t="shared" si="243"/>
        <v>0</v>
      </c>
      <c r="M866" s="10">
        <v>30</v>
      </c>
      <c r="N866" s="30"/>
      <c r="P866" s="47"/>
      <c r="Q866" s="31"/>
      <c r="R866" s="31"/>
      <c r="S866" s="32">
        <f t="shared" si="244"/>
        <v>0</v>
      </c>
      <c r="T866" s="10"/>
      <c r="U866" s="10"/>
      <c r="V866" s="10"/>
      <c r="W866" s="12">
        <f t="shared" si="245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2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42"/>
        <v>0</v>
      </c>
      <c r="H867" s="10"/>
      <c r="I867" s="10"/>
      <c r="J867" s="10"/>
      <c r="K867" s="12">
        <f t="shared" si="243"/>
        <v>0</v>
      </c>
      <c r="M867" s="10">
        <v>31</v>
      </c>
      <c r="N867" s="30"/>
      <c r="O867" s="31"/>
      <c r="P867" s="47"/>
      <c r="Q867" s="31"/>
      <c r="R867" s="31"/>
      <c r="S867" s="32">
        <f t="shared" si="244"/>
        <v>0</v>
      </c>
      <c r="T867" s="10"/>
      <c r="U867" s="10"/>
      <c r="V867" s="10"/>
      <c r="W867" s="12">
        <f t="shared" si="245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2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42"/>
        <v>0</v>
      </c>
      <c r="H868" s="10"/>
      <c r="I868" s="10"/>
      <c r="J868" s="10"/>
      <c r="K868" s="12">
        <f t="shared" si="243"/>
        <v>0</v>
      </c>
      <c r="M868" s="10">
        <v>32</v>
      </c>
      <c r="N868" s="30"/>
      <c r="O868" s="31"/>
      <c r="P868" s="47"/>
      <c r="Q868" s="31"/>
      <c r="R868" s="31"/>
      <c r="S868" s="32">
        <f t="shared" si="244"/>
        <v>0</v>
      </c>
      <c r="T868" s="10"/>
      <c r="U868" s="10"/>
      <c r="V868" s="10"/>
      <c r="W868" s="12">
        <f t="shared" si="245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2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42"/>
        <v>0</v>
      </c>
      <c r="H869" s="10"/>
      <c r="I869" s="10"/>
      <c r="J869" s="10"/>
      <c r="K869" s="12">
        <f t="shared" si="243"/>
        <v>0</v>
      </c>
      <c r="M869" s="10">
        <v>33</v>
      </c>
      <c r="N869" s="30"/>
      <c r="O869" s="31"/>
      <c r="P869" s="47"/>
      <c r="Q869" s="31"/>
      <c r="R869" s="31"/>
      <c r="S869" s="32">
        <f t="shared" si="244"/>
        <v>0</v>
      </c>
      <c r="T869" s="10"/>
      <c r="U869" s="10"/>
      <c r="V869" s="10"/>
      <c r="W869" s="12">
        <f t="shared" si="245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2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42"/>
        <v>0</v>
      </c>
      <c r="H870" s="10"/>
      <c r="I870" s="10"/>
      <c r="J870" s="10"/>
      <c r="K870" s="12">
        <f t="shared" si="243"/>
        <v>0</v>
      </c>
      <c r="M870" s="10">
        <v>34</v>
      </c>
      <c r="N870" s="30"/>
      <c r="O870" s="31"/>
      <c r="P870" s="47"/>
      <c r="Q870" s="31"/>
      <c r="R870" s="31"/>
      <c r="S870" s="32">
        <f t="shared" si="244"/>
        <v>0</v>
      </c>
      <c r="T870" s="10"/>
      <c r="U870" s="10"/>
      <c r="V870" s="10"/>
      <c r="W870" s="12">
        <f t="shared" si="245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52"/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4"/>
        <v>0</v>
      </c>
      <c r="T871" s="10"/>
      <c r="U871" s="10"/>
      <c r="V871" s="10"/>
      <c r="W871" s="12">
        <f t="shared" si="245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2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4"/>
        <v>0</v>
      </c>
      <c r="T872" s="10"/>
      <c r="U872" s="10"/>
      <c r="V872" s="10"/>
      <c r="W872" s="12">
        <f t="shared" si="245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2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4"/>
        <v>0</v>
      </c>
      <c r="T873" s="10"/>
      <c r="U873" s="10"/>
      <c r="V873" s="10"/>
      <c r="W873" s="12">
        <f t="shared" si="245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2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4"/>
        <v>0</v>
      </c>
      <c r="T874" s="10"/>
      <c r="U874" s="10"/>
      <c r="V874" s="10"/>
      <c r="W874" s="12">
        <f t="shared" si="245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2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4"/>
        <v>0</v>
      </c>
      <c r="T875" s="10"/>
      <c r="U875" s="10"/>
      <c r="V875" s="10"/>
      <c r="W875" s="12">
        <f t="shared" si="245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2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5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3">SUM(D877:E877)</f>
        <v>0</v>
      </c>
      <c r="H877" s="10"/>
      <c r="I877" s="10"/>
      <c r="J877" s="10"/>
      <c r="K877" s="12">
        <f t="shared" ref="K877" si="254">SUM(G877:J877)</f>
        <v>0</v>
      </c>
      <c r="M877" s="10"/>
      <c r="N877" s="30"/>
      <c r="O877" s="31"/>
      <c r="P877" s="47"/>
      <c r="Q877" s="31"/>
      <c r="R877" s="31"/>
      <c r="S877" s="32">
        <f t="shared" ref="S877" si="255">SUM(P877:Q877)</f>
        <v>0</v>
      </c>
      <c r="T877" s="10"/>
      <c r="U877" s="10"/>
      <c r="V877" s="10"/>
      <c r="W877" s="12">
        <f t="shared" si="245"/>
        <v>0</v>
      </c>
      <c r="Y877" s="10"/>
      <c r="Z877" s="30"/>
      <c r="AA877" s="31"/>
      <c r="AB877" s="47"/>
      <c r="AC877" s="31"/>
      <c r="AD877" s="31"/>
      <c r="AE877" s="32">
        <f t="shared" ref="AE877" si="256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5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256691.5</v>
      </c>
      <c r="E880" s="38">
        <f t="shared" ref="E880:F880" si="257">SUM(E837:E877)</f>
        <v>-1260</v>
      </c>
      <c r="F880" s="38">
        <f t="shared" si="257"/>
        <v>0</v>
      </c>
      <c r="G880" s="38">
        <f>SUM(G837:G879)</f>
        <v>255431.5</v>
      </c>
      <c r="H880" s="4"/>
      <c r="I880" s="39">
        <f>SUM(I837:I879)</f>
        <v>5742</v>
      </c>
      <c r="J880" s="39">
        <f>SUM(J837:J879)</f>
        <v>-7065</v>
      </c>
      <c r="K880" s="40">
        <f>SUM(K837:K879)</f>
        <v>254108.5</v>
      </c>
      <c r="N880" s="57"/>
      <c r="O880" s="57"/>
      <c r="P880" s="38">
        <f>SUM(P837:P879)</f>
        <v>208296.16666666666</v>
      </c>
      <c r="Q880" s="38">
        <f>SUM(Q837:Q861)</f>
        <v>-1200</v>
      </c>
      <c r="R880" s="38">
        <f>SUM(R837:R861)</f>
        <v>0</v>
      </c>
      <c r="S880" s="38">
        <f>SUM(S837:S879)</f>
        <v>207096.16666666666</v>
      </c>
      <c r="T880" s="4"/>
      <c r="U880" s="41">
        <f>SUM(U837:U879)</f>
        <v>4764</v>
      </c>
      <c r="V880" s="41">
        <f>SUM(V837:V861)</f>
        <v>-11724</v>
      </c>
      <c r="W880" s="42">
        <f>SUM(W837:W879)</f>
        <v>200136.16666666669</v>
      </c>
      <c r="Z880" s="57"/>
      <c r="AA880" s="57"/>
      <c r="AB880" s="38">
        <f>SUM(AB837:AB879)</f>
        <v>230028.5</v>
      </c>
      <c r="AC880" s="38">
        <f>SUM(AC837:AC861)</f>
        <v>-612</v>
      </c>
      <c r="AD880" s="38">
        <f>SUM(AD837:AD861)</f>
        <v>0</v>
      </c>
      <c r="AE880" s="38">
        <f>SUM(AE837:AE879)</f>
        <v>229416.5</v>
      </c>
      <c r="AF880" s="4"/>
      <c r="AG880" s="41">
        <f>SUM(AG837:AG879)</f>
        <v>0</v>
      </c>
      <c r="AH880" s="41">
        <f>SUM(AH837:AH861)</f>
        <v>-7866</v>
      </c>
      <c r="AI880" s="42">
        <f>SUM(AI837:AI879)</f>
        <v>221550.5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1" t="s">
        <v>17</v>
      </c>
      <c r="E890" s="121"/>
      <c r="F890" s="105"/>
      <c r="G890" s="27"/>
      <c r="I890" s="119" t="s">
        <v>18</v>
      </c>
      <c r="J890" s="120"/>
      <c r="K890" s="117" t="s">
        <v>19</v>
      </c>
      <c r="N890" s="25"/>
      <c r="O890" s="26"/>
      <c r="P890" s="121" t="s">
        <v>17</v>
      </c>
      <c r="Q890" s="121"/>
      <c r="R890" s="105"/>
      <c r="S890" s="27"/>
      <c r="U890" s="119" t="s">
        <v>18</v>
      </c>
      <c r="V890" s="120"/>
      <c r="W890" s="117" t="s">
        <v>19</v>
      </c>
      <c r="Z890" s="25"/>
      <c r="AA890" s="26"/>
      <c r="AB890" s="121" t="s">
        <v>17</v>
      </c>
      <c r="AC890" s="121"/>
      <c r="AD890" s="105"/>
      <c r="AE890" s="27"/>
      <c r="AG890" s="119" t="s">
        <v>18</v>
      </c>
      <c r="AH890" s="120"/>
      <c r="AI890" s="117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18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8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8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3">
        <v>9218</v>
      </c>
      <c r="D892" s="32">
        <f>650*10+9.5*10</f>
        <v>6595</v>
      </c>
      <c r="E892" s="32"/>
      <c r="F892" s="32"/>
      <c r="G892" s="32">
        <f t="shared" ref="G892:G925" si="258">SUM(D892:E892)</f>
        <v>6595</v>
      </c>
      <c r="H892" s="12"/>
      <c r="I892" s="12"/>
      <c r="J892" s="12"/>
      <c r="K892" s="12">
        <f t="shared" ref="K892:K925" si="259">SUM(G892:J892)</f>
        <v>6595</v>
      </c>
      <c r="M892" s="10">
        <v>1</v>
      </c>
      <c r="N892" s="30" t="s">
        <v>84</v>
      </c>
      <c r="O892" s="31">
        <v>9269</v>
      </c>
      <c r="P892" s="32">
        <f>650*4+38</f>
        <v>2638</v>
      </c>
      <c r="Q892" s="32"/>
      <c r="R892" s="32"/>
      <c r="S892" s="32">
        <f>SUM(P892:Q892)</f>
        <v>2638</v>
      </c>
      <c r="T892" s="12"/>
      <c r="U892" s="12"/>
      <c r="V892" s="12"/>
      <c r="W892" s="12">
        <f>SUM(S892:V892)</f>
        <v>2638</v>
      </c>
      <c r="Y892" s="10">
        <v>1</v>
      </c>
      <c r="Z892" s="30" t="s">
        <v>84</v>
      </c>
      <c r="AA892" s="31">
        <v>9180</v>
      </c>
      <c r="AB892" s="32">
        <f>650*6+670*2+650*5+9.5*6+47.5</f>
        <v>8594.5</v>
      </c>
      <c r="AC892" s="32"/>
      <c r="AD892" s="32"/>
      <c r="AE892" s="32">
        <f>SUM(AB892:AC892)</f>
        <v>8594.5</v>
      </c>
      <c r="AF892" s="12"/>
      <c r="AG892" s="12"/>
      <c r="AH892" s="12"/>
      <c r="AI892" s="12">
        <f>SUM(AE892:AH892)</f>
        <v>8594.5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3">
        <f>C892+1</f>
        <v>9219</v>
      </c>
      <c r="D893" s="32">
        <f>650*324+229*13</f>
        <v>213577</v>
      </c>
      <c r="E893" s="32">
        <f>-324*6</f>
        <v>-1944</v>
      </c>
      <c r="F893" s="32"/>
      <c r="G893" s="32">
        <f t="shared" si="258"/>
        <v>211633</v>
      </c>
      <c r="H893" s="12"/>
      <c r="I893" s="12">
        <v>390</v>
      </c>
      <c r="J893" s="12">
        <f>-1200+-14430+-2109+-1512</f>
        <v>-19251</v>
      </c>
      <c r="K893" s="12">
        <f t="shared" si="259"/>
        <v>192772</v>
      </c>
      <c r="M893" s="10">
        <v>2</v>
      </c>
      <c r="N893" s="30" t="s">
        <v>84</v>
      </c>
      <c r="O893" s="31">
        <f>O892+1</f>
        <v>9270</v>
      </c>
      <c r="P893" s="32">
        <f>650*5</f>
        <v>3250</v>
      </c>
      <c r="Q893" s="32"/>
      <c r="R893" s="32"/>
      <c r="S893" s="32">
        <f t="shared" ref="S893:S930" si="260">SUM(P893:Q893)</f>
        <v>3250</v>
      </c>
      <c r="T893" s="12"/>
      <c r="U893" s="12"/>
      <c r="V893" s="12"/>
      <c r="W893" s="12">
        <f t="shared" ref="W893:W933" si="261">SUM(S893:V893)</f>
        <v>3250</v>
      </c>
      <c r="Y893" s="10">
        <v>2</v>
      </c>
      <c r="Z893" s="30" t="s">
        <v>84</v>
      </c>
      <c r="AA893" s="31">
        <f>AA892+1</f>
        <v>9181</v>
      </c>
      <c r="AB893" s="32">
        <f>650*12+670*2+872+114</f>
        <v>10126</v>
      </c>
      <c r="AD893" s="32"/>
      <c r="AE893" s="32">
        <f t="shared" ref="AE893:AE894" si="262">SUM(AB893:AC893)</f>
        <v>10126</v>
      </c>
      <c r="AF893" s="12"/>
      <c r="AG893" s="12">
        <v>9</v>
      </c>
      <c r="AI893" s="12">
        <f t="shared" ref="AI893:AI894" si="263">SUM(AE893:AH893)</f>
        <v>10135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3">
        <f t="shared" ref="C894:C902" si="264">C893+1</f>
        <v>9220</v>
      </c>
      <c r="D894" s="33">
        <f>650*10+2010+1866+123.5</f>
        <v>10499.5</v>
      </c>
      <c r="E894" s="33"/>
      <c r="F894" s="33"/>
      <c r="G894" s="33">
        <f t="shared" si="258"/>
        <v>10499.5</v>
      </c>
      <c r="H894" s="34"/>
      <c r="I894" s="34">
        <f>111+27</f>
        <v>138</v>
      </c>
      <c r="J894" s="34"/>
      <c r="K894" s="34">
        <f t="shared" si="259"/>
        <v>10637.5</v>
      </c>
      <c r="M894" s="10">
        <v>3</v>
      </c>
      <c r="N894" s="30" t="s">
        <v>84</v>
      </c>
      <c r="O894" s="31">
        <f t="shared" ref="O894:O912" si="265">O893+1</f>
        <v>9271</v>
      </c>
      <c r="P894" s="32">
        <f>650*25+622*5+229</f>
        <v>19589</v>
      </c>
      <c r="Q894" s="32"/>
      <c r="R894" s="32"/>
      <c r="S894" s="32">
        <f t="shared" si="260"/>
        <v>19589</v>
      </c>
      <c r="T894" s="12"/>
      <c r="U894" s="12">
        <v>78</v>
      </c>
      <c r="V894" s="12"/>
      <c r="W894" s="12">
        <f t="shared" si="261"/>
        <v>19667</v>
      </c>
      <c r="Y894" s="10">
        <v>3</v>
      </c>
      <c r="Z894" s="30" t="s">
        <v>84</v>
      </c>
      <c r="AA894" s="31">
        <f t="shared" ref="AA894:AA903" si="266">AA893+1</f>
        <v>9182</v>
      </c>
      <c r="AB894" s="32">
        <f>650*4+622*2+9.5*6</f>
        <v>3901</v>
      </c>
      <c r="AC894" s="33"/>
      <c r="AD894" s="32"/>
      <c r="AE894" s="32">
        <f t="shared" si="262"/>
        <v>3901</v>
      </c>
      <c r="AF894" s="12"/>
      <c r="AG894" s="12">
        <f>4.5*22</f>
        <v>99</v>
      </c>
      <c r="AH894" s="12"/>
      <c r="AI894" s="12">
        <f t="shared" si="263"/>
        <v>4000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3">
        <f t="shared" si="264"/>
        <v>9221</v>
      </c>
      <c r="D895" s="32">
        <f>650*20+622*6+1050*2+872+229+500*2</f>
        <v>20933</v>
      </c>
      <c r="E895" s="32"/>
      <c r="F895" s="32"/>
      <c r="G895" s="32">
        <f t="shared" si="258"/>
        <v>20933</v>
      </c>
      <c r="H895" s="12"/>
      <c r="I895" s="12"/>
      <c r="J895" s="12"/>
      <c r="K895" s="12">
        <f t="shared" si="259"/>
        <v>20933</v>
      </c>
      <c r="M895" s="10">
        <v>4</v>
      </c>
      <c r="N895" s="30" t="s">
        <v>84</v>
      </c>
      <c r="O895" s="31">
        <f t="shared" si="265"/>
        <v>9272</v>
      </c>
      <c r="P895" s="32">
        <f>650*10+670*2+622*3+9.5*13</f>
        <v>9829.5</v>
      </c>
      <c r="Q895" s="32"/>
      <c r="R895" s="32"/>
      <c r="S895" s="32">
        <f t="shared" si="260"/>
        <v>9829.5</v>
      </c>
      <c r="T895" s="12"/>
      <c r="U895" s="12"/>
      <c r="V895" s="12"/>
      <c r="W895" s="12">
        <f t="shared" si="261"/>
        <v>9829.5</v>
      </c>
      <c r="Y895" s="10">
        <v>4</v>
      </c>
      <c r="Z895" s="30" t="s">
        <v>84</v>
      </c>
      <c r="AA895" s="31">
        <f t="shared" si="266"/>
        <v>9183</v>
      </c>
      <c r="AB895" s="32">
        <f>650*2+622*2+912+9.5*4</f>
        <v>3494</v>
      </c>
      <c r="AC895" s="32"/>
      <c r="AD895" s="32"/>
      <c r="AE895" s="32">
        <f>SUM(AB895:AC895)</f>
        <v>3494</v>
      </c>
      <c r="AF895" s="12"/>
      <c r="AH895" s="12"/>
      <c r="AI895" s="12">
        <f>SUM(AE895:AH895)</f>
        <v>3494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3">
        <f t="shared" si="264"/>
        <v>9222</v>
      </c>
      <c r="D896" s="32">
        <f>670</f>
        <v>670</v>
      </c>
      <c r="E896" s="32"/>
      <c r="F896" s="32"/>
      <c r="G896" s="32">
        <f t="shared" si="258"/>
        <v>670</v>
      </c>
      <c r="H896" s="12"/>
      <c r="I896" s="12"/>
      <c r="J896" s="12"/>
      <c r="K896" s="12">
        <f t="shared" si="259"/>
        <v>670</v>
      </c>
      <c r="M896" s="10">
        <v>5</v>
      </c>
      <c r="N896" s="30" t="s">
        <v>84</v>
      </c>
      <c r="O896" s="31">
        <f t="shared" si="265"/>
        <v>9273</v>
      </c>
      <c r="P896" s="32">
        <f>650*2+9.5*2</f>
        <v>1319</v>
      </c>
      <c r="Q896" s="32"/>
      <c r="R896" s="32"/>
      <c r="S896" s="32">
        <f t="shared" si="260"/>
        <v>1319</v>
      </c>
      <c r="T896" s="12"/>
      <c r="U896" s="12"/>
      <c r="V896" s="12"/>
      <c r="W896" s="12">
        <f t="shared" si="261"/>
        <v>1319</v>
      </c>
      <c r="Y896" s="10">
        <v>5</v>
      </c>
      <c r="Z896" s="30" t="s">
        <v>84</v>
      </c>
      <c r="AA896" s="31">
        <f t="shared" si="266"/>
        <v>9184</v>
      </c>
      <c r="AB896" s="33">
        <f>650*32+670*2+622*16+458</f>
        <v>32550</v>
      </c>
      <c r="AC896" s="32">
        <v>-300</v>
      </c>
      <c r="AD896" s="32"/>
      <c r="AE896" s="32">
        <f>SUM(AB896:AC896)</f>
        <v>32250</v>
      </c>
      <c r="AF896" s="12"/>
      <c r="AG896" s="12">
        <f>14*111</f>
        <v>1554</v>
      </c>
      <c r="AH896" s="12"/>
      <c r="AI896" s="12">
        <f t="shared" ref="AI896:AI933" si="267">SUM(AE896:AH896)</f>
        <v>33804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3">
        <f t="shared" si="264"/>
        <v>9223</v>
      </c>
      <c r="D897" s="32">
        <f>650+9.5</f>
        <v>659.5</v>
      </c>
      <c r="E897" s="32"/>
      <c r="F897" s="32"/>
      <c r="G897" s="32">
        <f t="shared" si="258"/>
        <v>659.5</v>
      </c>
      <c r="H897" s="12"/>
      <c r="I897" s="12"/>
      <c r="J897" s="12"/>
      <c r="K897" s="12">
        <f t="shared" si="259"/>
        <v>659.5</v>
      </c>
      <c r="M897" s="10">
        <v>6</v>
      </c>
      <c r="N897" s="30" t="s">
        <v>84</v>
      </c>
      <c r="O897" s="31">
        <f t="shared" si="265"/>
        <v>9274</v>
      </c>
      <c r="P897" s="32">
        <f>650*6</f>
        <v>3900</v>
      </c>
      <c r="Q897" s="32"/>
      <c r="R897" s="32"/>
      <c r="S897" s="32">
        <f t="shared" si="260"/>
        <v>3900</v>
      </c>
      <c r="T897" s="12"/>
      <c r="U897" s="12"/>
      <c r="V897" s="10"/>
      <c r="W897" s="12">
        <f t="shared" si="261"/>
        <v>3900</v>
      </c>
      <c r="Y897" s="10">
        <v>6</v>
      </c>
      <c r="Z897" s="30" t="s">
        <v>84</v>
      </c>
      <c r="AA897" s="31">
        <f t="shared" si="266"/>
        <v>9185</v>
      </c>
      <c r="AB897" s="32">
        <f>650*25+670+622*5+229</f>
        <v>20259</v>
      </c>
      <c r="AC897" s="32"/>
      <c r="AD897" s="32"/>
      <c r="AE897" s="32">
        <f t="shared" ref="AE897:AE930" si="268">SUM(AB897:AC897)</f>
        <v>20259</v>
      </c>
      <c r="AF897" s="12"/>
      <c r="AG897" s="12">
        <v>108</v>
      </c>
      <c r="AH897" s="10"/>
      <c r="AI897" s="12">
        <f t="shared" si="267"/>
        <v>20367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3">
        <f t="shared" si="264"/>
        <v>9224</v>
      </c>
      <c r="D898" s="32">
        <f>650*3+9.5*3</f>
        <v>1978.5</v>
      </c>
      <c r="E898" s="32"/>
      <c r="F898" s="32"/>
      <c r="G898" s="32">
        <f t="shared" si="258"/>
        <v>1978.5</v>
      </c>
      <c r="H898" s="12"/>
      <c r="I898" s="12"/>
      <c r="J898" s="12"/>
      <c r="K898" s="12">
        <f t="shared" si="259"/>
        <v>1978.5</v>
      </c>
      <c r="M898" s="10">
        <v>7</v>
      </c>
      <c r="N898" s="30" t="s">
        <v>84</v>
      </c>
      <c r="O898" s="31">
        <f t="shared" si="265"/>
        <v>9275</v>
      </c>
      <c r="P898" s="32">
        <f>650*5+9.5*17</f>
        <v>3411.5</v>
      </c>
      <c r="Q898" s="32"/>
      <c r="R898" s="32"/>
      <c r="S898" s="32">
        <f t="shared" si="260"/>
        <v>3411.5</v>
      </c>
      <c r="T898" s="12"/>
      <c r="U898" s="12"/>
      <c r="V898" s="12"/>
      <c r="W898" s="12">
        <f t="shared" si="261"/>
        <v>3411.5</v>
      </c>
      <c r="Y898" s="10">
        <v>7</v>
      </c>
      <c r="Z898" s="30" t="s">
        <v>84</v>
      </c>
      <c r="AA898" s="31">
        <f t="shared" si="266"/>
        <v>9186</v>
      </c>
      <c r="AB898" s="32">
        <f>650*10+622*7+229</f>
        <v>11083</v>
      </c>
      <c r="AC898" s="32"/>
      <c r="AD898" s="32"/>
      <c r="AE898" s="32">
        <f t="shared" si="268"/>
        <v>11083</v>
      </c>
      <c r="AF898" s="12"/>
      <c r="AG898" s="58"/>
      <c r="AH898" s="12"/>
      <c r="AI898" s="12">
        <f t="shared" si="267"/>
        <v>11083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3">
        <f t="shared" si="264"/>
        <v>9225</v>
      </c>
      <c r="D899" s="32">
        <f>650*30</f>
        <v>19500</v>
      </c>
      <c r="E899" s="32"/>
      <c r="F899" s="32"/>
      <c r="G899" s="32">
        <f t="shared" si="258"/>
        <v>19500</v>
      </c>
      <c r="H899" s="12"/>
      <c r="I899" s="12">
        <v>54</v>
      </c>
      <c r="J899" s="12"/>
      <c r="K899" s="12">
        <f t="shared" si="259"/>
        <v>19554</v>
      </c>
      <c r="M899" s="10">
        <v>8</v>
      </c>
      <c r="N899" s="30" t="s">
        <v>84</v>
      </c>
      <c r="O899" s="31">
        <f t="shared" si="265"/>
        <v>9276</v>
      </c>
      <c r="P899" s="32">
        <f>650*5+670*2+9.5*5</f>
        <v>4637.5</v>
      </c>
      <c r="Q899" s="32"/>
      <c r="R899" s="32"/>
      <c r="S899" s="32">
        <f t="shared" si="260"/>
        <v>4637.5</v>
      </c>
      <c r="T899" s="12"/>
      <c r="U899" s="12"/>
      <c r="V899" s="12"/>
      <c r="W899" s="12">
        <f t="shared" si="261"/>
        <v>4637.5</v>
      </c>
      <c r="Y899" s="10">
        <v>8</v>
      </c>
      <c r="Z899" s="30" t="s">
        <v>84</v>
      </c>
      <c r="AA899" s="31">
        <f t="shared" si="266"/>
        <v>9187</v>
      </c>
      <c r="AB899" s="32">
        <f>650*50+229*2</f>
        <v>32958</v>
      </c>
      <c r="AC899" s="32">
        <v>-300</v>
      </c>
      <c r="AE899" s="32">
        <f t="shared" si="268"/>
        <v>32658</v>
      </c>
      <c r="AF899" s="12"/>
      <c r="AG899" s="12"/>
      <c r="AH899" s="12"/>
      <c r="AI899" s="12">
        <f t="shared" si="267"/>
        <v>32658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3">
        <f t="shared" si="264"/>
        <v>9226</v>
      </c>
      <c r="D900" s="32">
        <f>650*6+670*2+622*7</f>
        <v>9594</v>
      </c>
      <c r="E900" s="32"/>
      <c r="F900" s="32"/>
      <c r="G900" s="32">
        <f t="shared" si="258"/>
        <v>9594</v>
      </c>
      <c r="H900" s="12"/>
      <c r="I900" s="12"/>
      <c r="J900" s="12"/>
      <c r="K900" s="12">
        <f t="shared" si="259"/>
        <v>9594</v>
      </c>
      <c r="M900" s="10">
        <v>9</v>
      </c>
      <c r="N900" s="30" t="s">
        <v>84</v>
      </c>
      <c r="O900" s="31">
        <f t="shared" si="265"/>
        <v>9277</v>
      </c>
      <c r="P900" s="32">
        <f>650*55+622*2+229*2</f>
        <v>37452</v>
      </c>
      <c r="Q900" s="32"/>
      <c r="R900" s="32"/>
      <c r="S900" s="32">
        <f t="shared" si="260"/>
        <v>37452</v>
      </c>
      <c r="T900" s="12"/>
      <c r="U900" s="12">
        <v>216</v>
      </c>
      <c r="V900" s="12"/>
      <c r="W900" s="12">
        <f t="shared" si="261"/>
        <v>37668</v>
      </c>
      <c r="Y900" s="10">
        <v>9</v>
      </c>
      <c r="Z900" s="30" t="s">
        <v>84</v>
      </c>
      <c r="AA900" s="31">
        <f t="shared" si="266"/>
        <v>9188</v>
      </c>
      <c r="AB900">
        <f>650*70+670*5+622*25+916</f>
        <v>65316</v>
      </c>
      <c r="AC900" s="32">
        <v>-600</v>
      </c>
      <c r="AD900" s="32"/>
      <c r="AE900" s="32">
        <f t="shared" si="268"/>
        <v>64716</v>
      </c>
      <c r="AF900" s="12"/>
      <c r="AG900">
        <v>555</v>
      </c>
      <c r="AH900" s="12"/>
      <c r="AI900" s="12">
        <f t="shared" si="267"/>
        <v>65271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3">
        <f t="shared" si="264"/>
        <v>9227</v>
      </c>
      <c r="D901" s="32">
        <f>650*8</f>
        <v>5200</v>
      </c>
      <c r="E901" s="32"/>
      <c r="F901" s="32"/>
      <c r="G901" s="32">
        <f t="shared" si="258"/>
        <v>5200</v>
      </c>
      <c r="H901" s="12"/>
      <c r="I901" s="12"/>
      <c r="J901" s="12">
        <f>-26*111</f>
        <v>-2886</v>
      </c>
      <c r="K901" s="12">
        <f t="shared" si="259"/>
        <v>2314</v>
      </c>
      <c r="M901" s="10">
        <v>10</v>
      </c>
      <c r="N901" s="30" t="s">
        <v>84</v>
      </c>
      <c r="O901" s="31">
        <f t="shared" si="265"/>
        <v>9278</v>
      </c>
      <c r="P901" s="32">
        <f>650*5+670+47.5</f>
        <v>3967.5</v>
      </c>
      <c r="Q901" s="32"/>
      <c r="R901" s="32"/>
      <c r="S901" s="32">
        <f t="shared" si="260"/>
        <v>3967.5</v>
      </c>
      <c r="T901" s="12"/>
      <c r="U901" s="12"/>
      <c r="V901" s="12"/>
      <c r="W901" s="12">
        <f t="shared" si="261"/>
        <v>3967.5</v>
      </c>
      <c r="Y901" s="10">
        <v>10</v>
      </c>
      <c r="Z901" s="30" t="s">
        <v>84</v>
      </c>
      <c r="AA901" s="31">
        <f t="shared" si="266"/>
        <v>9189</v>
      </c>
      <c r="AB901" s="32">
        <f>650*53+670*2+622*10+229</f>
        <v>42239</v>
      </c>
      <c r="AC901" s="32"/>
      <c r="AD901" s="32"/>
      <c r="AE901" s="32">
        <f t="shared" si="268"/>
        <v>42239</v>
      </c>
      <c r="AF901" s="12"/>
      <c r="AG901" s="12"/>
      <c r="AH901" s="12"/>
      <c r="AI901" s="12">
        <f t="shared" si="267"/>
        <v>42239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3">
        <f t="shared" si="264"/>
        <v>9228</v>
      </c>
      <c r="D902" s="32">
        <f>650*3</f>
        <v>1950</v>
      </c>
      <c r="E902" s="32"/>
      <c r="F902" s="32"/>
      <c r="G902" s="32">
        <f t="shared" si="258"/>
        <v>1950</v>
      </c>
      <c r="H902" s="12"/>
      <c r="I902" s="12"/>
      <c r="J902" s="12"/>
      <c r="K902" s="12">
        <f t="shared" si="259"/>
        <v>1950</v>
      </c>
      <c r="M902" s="10">
        <v>11</v>
      </c>
      <c r="N902" s="30" t="s">
        <v>84</v>
      </c>
      <c r="O902" s="31">
        <f t="shared" si="265"/>
        <v>9279</v>
      </c>
      <c r="P902" s="32">
        <f>650*4+9.5*4</f>
        <v>2638</v>
      </c>
      <c r="Q902" s="32"/>
      <c r="R902" s="32"/>
      <c r="S902" s="32">
        <f t="shared" si="260"/>
        <v>2638</v>
      </c>
      <c r="T902" s="12"/>
      <c r="U902" s="12"/>
      <c r="V902" s="12"/>
      <c r="W902" s="12">
        <f t="shared" si="261"/>
        <v>2638</v>
      </c>
      <c r="Y902" s="10">
        <v>11</v>
      </c>
      <c r="Z902" s="30" t="s">
        <v>84</v>
      </c>
      <c r="AA902" s="31">
        <f t="shared" si="266"/>
        <v>9190</v>
      </c>
      <c r="AB902" s="32">
        <f>55900+14928+1744+916</f>
        <v>73488</v>
      </c>
      <c r="AC902" s="32">
        <v>-672</v>
      </c>
      <c r="AD902" s="32"/>
      <c r="AE902" s="32">
        <f t="shared" si="268"/>
        <v>72816</v>
      </c>
      <c r="AF902" s="12"/>
      <c r="AG902" s="12">
        <f>120+108</f>
        <v>228</v>
      </c>
      <c r="AH902" s="12">
        <f>-111*51</f>
        <v>-5661</v>
      </c>
      <c r="AI902" s="12">
        <f t="shared" si="267"/>
        <v>67383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58"/>
        <v>0</v>
      </c>
      <c r="H903" s="12"/>
      <c r="I903" s="12"/>
      <c r="J903" s="10"/>
      <c r="K903" s="12">
        <f t="shared" si="259"/>
        <v>0</v>
      </c>
      <c r="M903" s="10">
        <v>12</v>
      </c>
      <c r="N903" s="30" t="s">
        <v>84</v>
      </c>
      <c r="O903" s="31">
        <f t="shared" si="265"/>
        <v>9280</v>
      </c>
      <c r="P903" s="32">
        <f>650*7</f>
        <v>4550</v>
      </c>
      <c r="Q903" s="32"/>
      <c r="R903" s="32"/>
      <c r="S903" s="32">
        <f t="shared" si="260"/>
        <v>4550</v>
      </c>
      <c r="T903" s="12"/>
      <c r="U903" s="12"/>
      <c r="V903" s="12"/>
      <c r="W903" s="12">
        <f t="shared" si="261"/>
        <v>4550</v>
      </c>
      <c r="Y903" s="10">
        <v>12</v>
      </c>
      <c r="Z903" s="30" t="s">
        <v>84</v>
      </c>
      <c r="AA903" s="31">
        <f t="shared" si="266"/>
        <v>9191</v>
      </c>
      <c r="AB903" s="32">
        <f>650*20+912+872*2</f>
        <v>15656</v>
      </c>
      <c r="AC903" s="32"/>
      <c r="AD903" s="32"/>
      <c r="AE903" s="32">
        <f t="shared" si="268"/>
        <v>15656</v>
      </c>
      <c r="AF903" s="12"/>
      <c r="AG903" s="12">
        <f>4.5*11</f>
        <v>49.5</v>
      </c>
      <c r="AH903" s="12"/>
      <c r="AI903" s="12">
        <f t="shared" si="267"/>
        <v>15705.5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3"/>
      <c r="D904" s="32"/>
      <c r="E904" s="32"/>
      <c r="F904" s="32"/>
      <c r="G904" s="32">
        <f t="shared" si="258"/>
        <v>0</v>
      </c>
      <c r="H904" s="12"/>
      <c r="I904" s="12"/>
      <c r="J904" s="12"/>
      <c r="K904" s="12">
        <f t="shared" si="259"/>
        <v>0</v>
      </c>
      <c r="M904" s="10">
        <v>13</v>
      </c>
      <c r="N904" s="30" t="s">
        <v>84</v>
      </c>
      <c r="O904" s="31">
        <f t="shared" si="265"/>
        <v>9281</v>
      </c>
      <c r="P904" s="32">
        <f>650*2+622+9.5*3</f>
        <v>1950.5</v>
      </c>
      <c r="Q904" s="32"/>
      <c r="R904" s="32"/>
      <c r="S904" s="32">
        <f t="shared" si="260"/>
        <v>1950.5</v>
      </c>
      <c r="T904" s="12"/>
      <c r="U904" s="12"/>
      <c r="V904" s="12"/>
      <c r="W904" s="12">
        <f t="shared" si="261"/>
        <v>1950.5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68"/>
        <v>0</v>
      </c>
      <c r="AF904" s="12"/>
      <c r="AG904" s="12"/>
      <c r="AH904" s="12"/>
      <c r="AI904" s="12">
        <f t="shared" si="267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58"/>
        <v>0</v>
      </c>
      <c r="H905" s="12"/>
      <c r="I905" s="12"/>
      <c r="J905" s="12"/>
      <c r="K905" s="12">
        <f t="shared" si="259"/>
        <v>0</v>
      </c>
      <c r="M905" s="10">
        <v>14</v>
      </c>
      <c r="N905" s="30" t="s">
        <v>84</v>
      </c>
      <c r="O905" s="31">
        <f t="shared" si="265"/>
        <v>9282</v>
      </c>
      <c r="P905" s="32">
        <f>650*7+622+912+9.5*8</f>
        <v>6160</v>
      </c>
      <c r="Q905" s="32"/>
      <c r="R905" s="32"/>
      <c r="S905" s="32">
        <f t="shared" si="260"/>
        <v>6160</v>
      </c>
      <c r="T905" s="12"/>
      <c r="U905" s="12"/>
      <c r="V905" s="12"/>
      <c r="W905" s="12">
        <f t="shared" si="261"/>
        <v>6160</v>
      </c>
      <c r="Y905" s="10">
        <v>14</v>
      </c>
      <c r="Z905" s="30"/>
      <c r="AA905" s="31"/>
      <c r="AB905" s="32"/>
      <c r="AC905" s="32"/>
      <c r="AD905" s="32"/>
      <c r="AE905" s="32">
        <f t="shared" si="268"/>
        <v>0</v>
      </c>
      <c r="AF905" s="12"/>
      <c r="AG905" s="12"/>
      <c r="AH905" s="12"/>
      <c r="AI905" s="12">
        <f t="shared" si="267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58"/>
        <v>0</v>
      </c>
      <c r="H906" s="12"/>
      <c r="I906" s="12"/>
      <c r="J906" s="12"/>
      <c r="K906" s="12">
        <f t="shared" si="259"/>
        <v>0</v>
      </c>
      <c r="M906" s="10">
        <v>15</v>
      </c>
      <c r="N906" s="30" t="s">
        <v>84</v>
      </c>
      <c r="O906" s="31">
        <f t="shared" si="265"/>
        <v>9283</v>
      </c>
      <c r="P906" s="32">
        <f>650*4+9.5*4</f>
        <v>2638</v>
      </c>
      <c r="Q906" s="32"/>
      <c r="R906" s="32"/>
      <c r="S906" s="32">
        <f t="shared" si="260"/>
        <v>2638</v>
      </c>
      <c r="T906" s="12"/>
      <c r="U906" s="12"/>
      <c r="V906" s="12"/>
      <c r="W906" s="12">
        <f t="shared" si="261"/>
        <v>2638</v>
      </c>
      <c r="Y906" s="10">
        <v>15</v>
      </c>
      <c r="Z906" s="30"/>
      <c r="AB906" s="32"/>
      <c r="AC906" s="32"/>
      <c r="AD906" s="32"/>
      <c r="AE906" s="32">
        <f t="shared" si="268"/>
        <v>0</v>
      </c>
      <c r="AF906" s="12"/>
      <c r="AG906" s="12"/>
      <c r="AH906" s="12"/>
      <c r="AI906" s="12">
        <f t="shared" si="267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58"/>
        <v>0</v>
      </c>
      <c r="H907" s="12"/>
      <c r="I907" s="12"/>
      <c r="J907" s="12"/>
      <c r="K907" s="12">
        <f t="shared" si="259"/>
        <v>0</v>
      </c>
      <c r="M907" s="10">
        <v>16</v>
      </c>
      <c r="N907" s="30" t="s">
        <v>84</v>
      </c>
      <c r="O907" s="31">
        <f t="shared" si="265"/>
        <v>9284</v>
      </c>
      <c r="P907" s="32">
        <f>650*4+9.5*4</f>
        <v>2638</v>
      </c>
      <c r="Q907" s="32"/>
      <c r="R907" s="32"/>
      <c r="S907" s="32">
        <f t="shared" si="260"/>
        <v>2638</v>
      </c>
      <c r="T907" s="12"/>
      <c r="U907" s="12"/>
      <c r="V907" s="12"/>
      <c r="W907" s="12">
        <f t="shared" si="261"/>
        <v>2638</v>
      </c>
      <c r="Y907" s="10">
        <v>16</v>
      </c>
      <c r="Z907" s="30"/>
      <c r="AA907" s="31"/>
      <c r="AB907" s="32"/>
      <c r="AC907" s="32"/>
      <c r="AD907" s="32"/>
      <c r="AE907" s="32">
        <f t="shared" si="268"/>
        <v>0</v>
      </c>
      <c r="AF907" s="12"/>
      <c r="AG907" s="12"/>
      <c r="AH907" s="12"/>
      <c r="AI907" s="12">
        <f t="shared" si="267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58"/>
        <v>0</v>
      </c>
      <c r="H908" s="12"/>
      <c r="I908" s="12"/>
      <c r="J908" s="12"/>
      <c r="K908" s="12">
        <f t="shared" si="259"/>
        <v>0</v>
      </c>
      <c r="M908" s="10">
        <v>17</v>
      </c>
      <c r="N908" s="30" t="s">
        <v>84</v>
      </c>
      <c r="O908" s="31">
        <f t="shared" si="265"/>
        <v>9285</v>
      </c>
      <c r="P908" s="35">
        <f>650*5+47</f>
        <v>3297</v>
      </c>
      <c r="Q908" s="32"/>
      <c r="R908" s="32"/>
      <c r="S908" s="32">
        <f t="shared" si="260"/>
        <v>3297</v>
      </c>
      <c r="T908" s="12"/>
      <c r="U908" s="12">
        <v>7</v>
      </c>
      <c r="V908" s="12"/>
      <c r="W908" s="12">
        <f t="shared" si="261"/>
        <v>3304</v>
      </c>
      <c r="Y908" s="10">
        <v>17</v>
      </c>
      <c r="Z908" s="30"/>
      <c r="AA908" s="31"/>
      <c r="AB908" s="35"/>
      <c r="AC908" s="32"/>
      <c r="AD908" s="32"/>
      <c r="AE908" s="32">
        <f t="shared" si="268"/>
        <v>0</v>
      </c>
      <c r="AF908" s="12"/>
      <c r="AG908" s="12"/>
      <c r="AH908" s="12"/>
      <c r="AI908" s="12">
        <f t="shared" si="267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58"/>
        <v>0</v>
      </c>
      <c r="H909" s="12"/>
      <c r="I909" s="12"/>
      <c r="J909" s="12"/>
      <c r="K909" s="12">
        <f t="shared" si="259"/>
        <v>0</v>
      </c>
      <c r="M909" s="10">
        <v>18</v>
      </c>
      <c r="N909" s="30" t="s">
        <v>84</v>
      </c>
      <c r="O909" s="31">
        <f t="shared" si="265"/>
        <v>9286</v>
      </c>
      <c r="P909" s="32">
        <f>650*3+9.5*3</f>
        <v>1978.5</v>
      </c>
      <c r="Q909" s="32"/>
      <c r="R909" s="32"/>
      <c r="S909" s="32">
        <f t="shared" si="260"/>
        <v>1978.5</v>
      </c>
      <c r="T909" s="12"/>
      <c r="U909" s="12"/>
      <c r="V909" s="12"/>
      <c r="W909" s="12">
        <f t="shared" si="261"/>
        <v>1978.5</v>
      </c>
      <c r="Y909" s="10">
        <v>18</v>
      </c>
      <c r="Z909" s="30"/>
      <c r="AA909" s="31"/>
      <c r="AB909" s="32"/>
      <c r="AC909" s="32"/>
      <c r="AD909" s="32"/>
      <c r="AE909" s="32">
        <f t="shared" si="268"/>
        <v>0</v>
      </c>
      <c r="AF909" s="12"/>
      <c r="AG909" s="12"/>
      <c r="AH909" s="12"/>
      <c r="AI909" s="12">
        <f t="shared" si="267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58"/>
        <v>0</v>
      </c>
      <c r="H910" s="12"/>
      <c r="I910" s="12"/>
      <c r="J910" s="12"/>
      <c r="K910" s="12">
        <f t="shared" si="259"/>
        <v>0</v>
      </c>
      <c r="M910" s="10">
        <v>19</v>
      </c>
      <c r="N910" s="30" t="s">
        <v>84</v>
      </c>
      <c r="O910" s="31">
        <f t="shared" si="265"/>
        <v>9287</v>
      </c>
      <c r="P910" s="32">
        <f>650*7+700*2+622</f>
        <v>6572</v>
      </c>
      <c r="Q910" s="32"/>
      <c r="R910" s="32"/>
      <c r="S910" s="32">
        <f t="shared" si="260"/>
        <v>6572</v>
      </c>
      <c r="T910" s="12"/>
      <c r="U910" s="12"/>
      <c r="V910" s="12"/>
      <c r="W910" s="12">
        <f t="shared" si="261"/>
        <v>6572</v>
      </c>
      <c r="Y910" s="10">
        <v>19</v>
      </c>
      <c r="Z910" s="30"/>
      <c r="AA910" s="31"/>
      <c r="AB910" s="32"/>
      <c r="AC910" s="32"/>
      <c r="AD910" s="32"/>
      <c r="AE910" s="32">
        <f t="shared" si="268"/>
        <v>0</v>
      </c>
      <c r="AF910" s="12"/>
      <c r="AG910" s="12"/>
      <c r="AH910" s="12"/>
      <c r="AI910" s="12">
        <f t="shared" si="267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58"/>
        <v>0</v>
      </c>
      <c r="H911" s="12"/>
      <c r="I911" s="12"/>
      <c r="J911" s="12"/>
      <c r="K911" s="12">
        <f t="shared" si="259"/>
        <v>0</v>
      </c>
      <c r="M911" s="10">
        <v>20</v>
      </c>
      <c r="N911" s="30" t="s">
        <v>84</v>
      </c>
      <c r="O911" s="31">
        <f t="shared" si="265"/>
        <v>9288</v>
      </c>
      <c r="P911" s="32">
        <f>650*3+9.5*3</f>
        <v>1978.5</v>
      </c>
      <c r="Q911" s="32"/>
      <c r="R911" s="32"/>
      <c r="S911" s="32">
        <f t="shared" si="260"/>
        <v>1978.5</v>
      </c>
      <c r="T911" s="12"/>
      <c r="U911" s="12"/>
      <c r="V911" s="12"/>
      <c r="W911" s="12">
        <f t="shared" si="261"/>
        <v>1978.5</v>
      </c>
      <c r="Y911" s="10">
        <v>20</v>
      </c>
      <c r="Z911" s="30"/>
      <c r="AA911" s="31"/>
      <c r="AB911" s="32"/>
      <c r="AC911" s="32"/>
      <c r="AD911" s="32"/>
      <c r="AE911" s="32">
        <f t="shared" si="268"/>
        <v>0</v>
      </c>
      <c r="AF911" s="12"/>
      <c r="AG911" s="12"/>
      <c r="AH911" s="12"/>
      <c r="AI911" s="12">
        <f t="shared" si="267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3"/>
      <c r="D912" s="32"/>
      <c r="E912" s="32"/>
      <c r="F912" s="32"/>
      <c r="G912" s="32">
        <f t="shared" si="258"/>
        <v>0</v>
      </c>
      <c r="H912" s="10"/>
      <c r="I912" s="10"/>
      <c r="J912" s="10"/>
      <c r="K912" s="12">
        <f t="shared" si="259"/>
        <v>0</v>
      </c>
      <c r="M912" s="10">
        <v>21</v>
      </c>
      <c r="N912" s="30" t="s">
        <v>84</v>
      </c>
      <c r="O912" s="31">
        <f t="shared" si="265"/>
        <v>9289</v>
      </c>
      <c r="P912" s="92">
        <f>650*3</f>
        <v>1950</v>
      </c>
      <c r="Q912" s="31"/>
      <c r="R912" s="31"/>
      <c r="S912" s="32">
        <f t="shared" si="260"/>
        <v>1950</v>
      </c>
      <c r="T912" s="10"/>
      <c r="U912" s="10"/>
      <c r="V912" s="10"/>
      <c r="W912" s="12">
        <f t="shared" si="261"/>
        <v>1950</v>
      </c>
      <c r="Y912" s="10">
        <v>21</v>
      </c>
      <c r="Z912" s="30"/>
      <c r="AB912" s="46"/>
      <c r="AC912" s="31"/>
      <c r="AD912" s="31"/>
      <c r="AE912" s="32">
        <f t="shared" si="268"/>
        <v>0</v>
      </c>
      <c r="AF912" s="10"/>
      <c r="AG912" s="10"/>
      <c r="AH912" s="10"/>
      <c r="AI912" s="12">
        <f t="shared" si="267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3"/>
      <c r="D913" s="32"/>
      <c r="E913" s="32"/>
      <c r="F913" s="32"/>
      <c r="G913" s="32">
        <f t="shared" si="258"/>
        <v>0</v>
      </c>
      <c r="H913" s="10"/>
      <c r="I913" s="10"/>
      <c r="J913" s="10"/>
      <c r="K913" s="12">
        <f t="shared" si="259"/>
        <v>0</v>
      </c>
      <c r="M913" s="10">
        <v>22</v>
      </c>
      <c r="N913" s="30"/>
      <c r="O913" s="11" t="s">
        <v>27</v>
      </c>
      <c r="P913" s="92"/>
      <c r="Q913" s="31"/>
      <c r="R913" s="31"/>
      <c r="S913" s="32">
        <f t="shared" si="260"/>
        <v>0</v>
      </c>
      <c r="T913" s="10"/>
      <c r="U913" s="10"/>
      <c r="V913" s="10"/>
      <c r="W913" s="12">
        <f t="shared" si="261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8"/>
        <v>0</v>
      </c>
      <c r="AF913" s="10"/>
      <c r="AG913" s="10"/>
      <c r="AH913" s="10"/>
      <c r="AI913" s="12">
        <f t="shared" si="267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58"/>
        <v>0</v>
      </c>
      <c r="H914" s="10"/>
      <c r="I914" s="10"/>
      <c r="J914" s="12"/>
      <c r="K914" s="12">
        <f t="shared" si="259"/>
        <v>0</v>
      </c>
      <c r="M914" s="10">
        <v>23</v>
      </c>
      <c r="N914" s="30"/>
      <c r="O914" s="31"/>
      <c r="P914" s="47"/>
      <c r="Q914" s="31"/>
      <c r="S914" s="32">
        <f t="shared" si="260"/>
        <v>0</v>
      </c>
      <c r="T914" s="10"/>
      <c r="U914" s="10"/>
      <c r="V914" s="10"/>
      <c r="W914" s="12">
        <f t="shared" si="261"/>
        <v>0</v>
      </c>
      <c r="Y914" s="10">
        <v>23</v>
      </c>
      <c r="Z914" s="30"/>
      <c r="AA914" s="31"/>
      <c r="AB914" s="47"/>
      <c r="AC914" s="31"/>
      <c r="AE914" s="32">
        <f t="shared" si="268"/>
        <v>0</v>
      </c>
      <c r="AF914" s="10"/>
      <c r="AG914" s="10"/>
      <c r="AH914" s="10"/>
      <c r="AI914" s="12">
        <f t="shared" si="267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58"/>
        <v>0</v>
      </c>
      <c r="H915" s="10"/>
      <c r="I915" s="10"/>
      <c r="J915" s="10"/>
      <c r="K915" s="12">
        <f t="shared" si="259"/>
        <v>0</v>
      </c>
      <c r="M915" s="10">
        <v>24</v>
      </c>
      <c r="N915" s="30"/>
      <c r="P915" s="47"/>
      <c r="Q915" s="31"/>
      <c r="R915" s="31"/>
      <c r="S915" s="32">
        <f t="shared" si="260"/>
        <v>0</v>
      </c>
      <c r="T915" s="10"/>
      <c r="U915" s="10"/>
      <c r="V915" s="10"/>
      <c r="W915" s="12">
        <f t="shared" si="261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8"/>
        <v>0</v>
      </c>
      <c r="AF915" s="10"/>
      <c r="AG915" s="10"/>
      <c r="AH915" s="10"/>
      <c r="AI915" s="12">
        <f t="shared" si="267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58"/>
        <v>0</v>
      </c>
      <c r="H916" s="10"/>
      <c r="I916" s="10"/>
      <c r="J916" s="10"/>
      <c r="K916" s="12">
        <f t="shared" si="259"/>
        <v>0</v>
      </c>
      <c r="M916" s="10">
        <v>25</v>
      </c>
      <c r="N916" s="30"/>
      <c r="O916" s="31"/>
      <c r="P916" s="47"/>
      <c r="Q916" s="31"/>
      <c r="R916" s="31"/>
      <c r="S916" s="32">
        <f t="shared" si="260"/>
        <v>0</v>
      </c>
      <c r="T916" s="10"/>
      <c r="U916" s="10"/>
      <c r="V916" s="10"/>
      <c r="W916" s="12">
        <f t="shared" si="261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8"/>
        <v>0</v>
      </c>
      <c r="AF916" s="10"/>
      <c r="AG916" s="10"/>
      <c r="AH916" s="10"/>
      <c r="AI916" s="12">
        <f t="shared" si="267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58"/>
        <v>0</v>
      </c>
      <c r="H917" s="10"/>
      <c r="I917" s="10"/>
      <c r="J917" s="10"/>
      <c r="K917" s="12">
        <f t="shared" si="259"/>
        <v>0</v>
      </c>
      <c r="M917" s="10">
        <v>26</v>
      </c>
      <c r="N917" s="30"/>
      <c r="O917" s="31"/>
      <c r="P917" s="47"/>
      <c r="Q917" s="31"/>
      <c r="R917" s="31"/>
      <c r="S917" s="32">
        <f t="shared" si="260"/>
        <v>0</v>
      </c>
      <c r="T917" s="10"/>
      <c r="U917" s="10"/>
      <c r="V917" s="10"/>
      <c r="W917" s="12">
        <f t="shared" si="261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8"/>
        <v>0</v>
      </c>
      <c r="AF917" s="10"/>
      <c r="AG917" s="10"/>
      <c r="AH917" s="10"/>
      <c r="AI917" s="12">
        <f t="shared" si="267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58"/>
        <v>0</v>
      </c>
      <c r="H918" s="10"/>
      <c r="I918" s="10"/>
      <c r="J918" s="10"/>
      <c r="K918" s="12">
        <f t="shared" si="259"/>
        <v>0</v>
      </c>
      <c r="M918" s="10">
        <v>27</v>
      </c>
      <c r="N918" s="30"/>
      <c r="O918" s="31"/>
      <c r="P918" s="47"/>
      <c r="Q918" s="31"/>
      <c r="R918" s="31"/>
      <c r="S918" s="32">
        <f t="shared" si="260"/>
        <v>0</v>
      </c>
      <c r="T918" s="10"/>
      <c r="U918" s="10"/>
      <c r="V918" s="10"/>
      <c r="W918" s="12">
        <f t="shared" si="261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8"/>
        <v>0</v>
      </c>
      <c r="AF918" s="10"/>
      <c r="AG918" s="10"/>
      <c r="AH918" s="10"/>
      <c r="AI918" s="12">
        <f t="shared" si="267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58"/>
        <v>0</v>
      </c>
      <c r="H919" s="10"/>
      <c r="I919" s="10"/>
      <c r="J919" s="10"/>
      <c r="K919" s="12">
        <f t="shared" si="259"/>
        <v>0</v>
      </c>
      <c r="M919" s="10">
        <v>28</v>
      </c>
      <c r="N919" s="30"/>
      <c r="O919" s="31"/>
      <c r="P919" s="47"/>
      <c r="Q919" s="31"/>
      <c r="R919" s="31"/>
      <c r="S919" s="32">
        <f t="shared" si="260"/>
        <v>0</v>
      </c>
      <c r="T919" s="10"/>
      <c r="U919" s="10"/>
      <c r="V919" s="10"/>
      <c r="W919" s="12">
        <f t="shared" si="261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8"/>
        <v>0</v>
      </c>
      <c r="AF919" s="10"/>
      <c r="AG919" s="10"/>
      <c r="AH919" s="10"/>
      <c r="AI919" s="12">
        <f t="shared" si="267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58"/>
        <v>0</v>
      </c>
      <c r="H920" s="10"/>
      <c r="I920" s="10"/>
      <c r="J920" s="10"/>
      <c r="K920" s="12">
        <f t="shared" si="259"/>
        <v>0</v>
      </c>
      <c r="M920" s="10">
        <v>29</v>
      </c>
      <c r="N920" s="30"/>
      <c r="O920" s="31"/>
      <c r="P920" s="47"/>
      <c r="Q920" s="31"/>
      <c r="R920" s="31"/>
      <c r="S920" s="32">
        <f t="shared" si="260"/>
        <v>0</v>
      </c>
      <c r="T920" s="10"/>
      <c r="U920" s="10"/>
      <c r="V920" s="10"/>
      <c r="W920" s="12">
        <f t="shared" si="261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8"/>
        <v>0</v>
      </c>
      <c r="AF920" s="10"/>
      <c r="AG920" s="10"/>
      <c r="AH920" s="10"/>
      <c r="AI920" s="12">
        <f t="shared" si="267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58"/>
        <v>0</v>
      </c>
      <c r="H921" s="10"/>
      <c r="I921" s="10"/>
      <c r="J921" s="10"/>
      <c r="K921" s="12">
        <f t="shared" si="259"/>
        <v>0</v>
      </c>
      <c r="M921" s="10">
        <v>30</v>
      </c>
      <c r="N921" s="30"/>
      <c r="P921" s="47"/>
      <c r="Q921" s="31"/>
      <c r="R921" s="31"/>
      <c r="S921" s="32">
        <f t="shared" si="260"/>
        <v>0</v>
      </c>
      <c r="T921" s="10"/>
      <c r="U921" s="10"/>
      <c r="V921" s="10"/>
      <c r="W921" s="12">
        <f t="shared" si="261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8"/>
        <v>0</v>
      </c>
      <c r="AF921" s="10"/>
      <c r="AG921" s="10"/>
      <c r="AH921" s="10"/>
      <c r="AI921" s="12">
        <f t="shared" si="267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258"/>
        <v>0</v>
      </c>
      <c r="H922" s="10"/>
      <c r="I922" s="10"/>
      <c r="J922" s="10"/>
      <c r="K922" s="12">
        <f t="shared" si="259"/>
        <v>0</v>
      </c>
      <c r="M922" s="10">
        <v>31</v>
      </c>
      <c r="N922" s="30"/>
      <c r="O922" s="31"/>
      <c r="P922" s="47"/>
      <c r="Q922" s="31"/>
      <c r="R922" s="31"/>
      <c r="S922" s="32">
        <f t="shared" si="260"/>
        <v>0</v>
      </c>
      <c r="T922" s="10"/>
      <c r="U922" s="10"/>
      <c r="V922" s="10"/>
      <c r="W922" s="12">
        <f t="shared" si="261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8"/>
        <v>0</v>
      </c>
      <c r="AF922" s="10"/>
      <c r="AG922" s="10"/>
      <c r="AH922" s="10"/>
      <c r="AI922" s="12">
        <f t="shared" si="267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58"/>
        <v>0</v>
      </c>
      <c r="H923" s="10"/>
      <c r="I923" s="10"/>
      <c r="J923" s="10"/>
      <c r="K923" s="12">
        <f t="shared" si="259"/>
        <v>0</v>
      </c>
      <c r="M923" s="10">
        <v>32</v>
      </c>
      <c r="N923" s="30"/>
      <c r="O923" s="31"/>
      <c r="P923" s="47"/>
      <c r="Q923" s="31"/>
      <c r="R923" s="31"/>
      <c r="S923" s="32">
        <f t="shared" si="260"/>
        <v>0</v>
      </c>
      <c r="T923" s="10"/>
      <c r="U923" s="10"/>
      <c r="V923" s="10"/>
      <c r="W923" s="12">
        <f t="shared" si="261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8"/>
        <v>0</v>
      </c>
      <c r="AF923" s="10"/>
      <c r="AG923" s="10"/>
      <c r="AH923" s="10"/>
      <c r="AI923" s="12">
        <f t="shared" si="267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58"/>
        <v>0</v>
      </c>
      <c r="H924" s="10"/>
      <c r="I924" s="10"/>
      <c r="J924" s="10"/>
      <c r="K924" s="12">
        <f t="shared" si="259"/>
        <v>0</v>
      </c>
      <c r="M924" s="10">
        <v>33</v>
      </c>
      <c r="N924" s="30"/>
      <c r="O924" s="31"/>
      <c r="P924" s="47"/>
      <c r="Q924" s="31"/>
      <c r="R924" s="31"/>
      <c r="S924" s="32">
        <f t="shared" si="260"/>
        <v>0</v>
      </c>
      <c r="T924" s="10"/>
      <c r="U924" s="10"/>
      <c r="V924" s="10"/>
      <c r="W924" s="12">
        <f t="shared" si="261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8"/>
        <v>0</v>
      </c>
      <c r="AF924" s="10"/>
      <c r="AG924" s="10"/>
      <c r="AH924" s="10"/>
      <c r="AI924" s="12">
        <f t="shared" si="267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58"/>
        <v>0</v>
      </c>
      <c r="H925" s="10"/>
      <c r="I925" s="10"/>
      <c r="J925" s="10"/>
      <c r="K925" s="12">
        <f t="shared" si="259"/>
        <v>0</v>
      </c>
      <c r="M925" s="10">
        <v>34</v>
      </c>
      <c r="N925" s="30"/>
      <c r="O925" s="31"/>
      <c r="P925" s="47"/>
      <c r="Q925" s="31"/>
      <c r="R925" s="31"/>
      <c r="S925" s="32">
        <f t="shared" si="260"/>
        <v>0</v>
      </c>
      <c r="T925" s="10"/>
      <c r="U925" s="10"/>
      <c r="V925" s="10"/>
      <c r="W925" s="12">
        <f t="shared" si="261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68"/>
        <v>0</v>
      </c>
      <c r="AF925" s="10"/>
      <c r="AG925" s="10"/>
      <c r="AH925" s="10"/>
      <c r="AI925" s="12">
        <f t="shared" si="267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0"/>
        <v>0</v>
      </c>
      <c r="T926" s="10"/>
      <c r="U926" s="10"/>
      <c r="V926" s="10"/>
      <c r="W926" s="12">
        <f t="shared" si="261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8"/>
        <v>0</v>
      </c>
      <c r="AF926" s="10"/>
      <c r="AG926" s="10"/>
      <c r="AH926" s="10"/>
      <c r="AI926" s="12">
        <f t="shared" si="267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0"/>
        <v>0</v>
      </c>
      <c r="T927" s="10"/>
      <c r="U927" s="10"/>
      <c r="V927" s="10"/>
      <c r="W927" s="12">
        <f t="shared" si="261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8"/>
        <v>0</v>
      </c>
      <c r="AF927" s="10"/>
      <c r="AG927" s="10"/>
      <c r="AH927" s="10"/>
      <c r="AI927" s="12">
        <f t="shared" si="267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0"/>
        <v>0</v>
      </c>
      <c r="T928" s="10"/>
      <c r="U928" s="10"/>
      <c r="V928" s="10"/>
      <c r="W928" s="12">
        <f t="shared" si="261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8"/>
        <v>0</v>
      </c>
      <c r="AF928" s="10"/>
      <c r="AG928" s="10"/>
      <c r="AH928" s="10"/>
      <c r="AI928" s="12">
        <f t="shared" si="267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0"/>
        <v>0</v>
      </c>
      <c r="T929" s="10"/>
      <c r="U929" s="10"/>
      <c r="V929" s="10"/>
      <c r="W929" s="12">
        <f t="shared" si="261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8"/>
        <v>0</v>
      </c>
      <c r="AF929" s="10"/>
      <c r="AG929" s="10"/>
      <c r="AH929" s="10"/>
      <c r="AI929" s="12">
        <f t="shared" si="267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0"/>
        <v>0</v>
      </c>
      <c r="T930" s="10"/>
      <c r="U930" s="10"/>
      <c r="V930" s="10"/>
      <c r="W930" s="12">
        <f t="shared" si="261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8"/>
        <v>0</v>
      </c>
      <c r="AF930" s="10"/>
      <c r="AG930" s="10"/>
      <c r="AH930" s="10"/>
      <c r="AI930" s="12">
        <f t="shared" si="267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1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7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69">SUM(D932:E932)</f>
        <v>0</v>
      </c>
      <c r="H932" s="10"/>
      <c r="I932" s="10"/>
      <c r="J932" s="10"/>
      <c r="K932" s="12">
        <f t="shared" ref="K932" si="270">SUM(G932:J932)</f>
        <v>0</v>
      </c>
      <c r="M932" s="10"/>
      <c r="N932" s="30"/>
      <c r="O932" s="31"/>
      <c r="P932" s="47"/>
      <c r="Q932" s="31"/>
      <c r="R932" s="31"/>
      <c r="S932" s="32">
        <f t="shared" ref="S932" si="271">SUM(P932:Q932)</f>
        <v>0</v>
      </c>
      <c r="T932" s="10"/>
      <c r="U932" s="10"/>
      <c r="V932" s="10"/>
      <c r="W932" s="12">
        <f t="shared" si="261"/>
        <v>0</v>
      </c>
      <c r="Y932" s="10"/>
      <c r="Z932" s="30"/>
      <c r="AA932" s="31"/>
      <c r="AB932" s="47"/>
      <c r="AC932" s="31"/>
      <c r="AD932" s="31"/>
      <c r="AE932" s="32">
        <f t="shared" ref="AE932" si="272">SUM(AB932:AC932)</f>
        <v>0</v>
      </c>
      <c r="AF932" s="10"/>
      <c r="AG932" s="10"/>
      <c r="AH932" s="10"/>
      <c r="AI932" s="12">
        <f t="shared" si="267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1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7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291156.5</v>
      </c>
      <c r="E935" s="38">
        <f t="shared" ref="E935:F935" si="273">SUM(E892:E932)</f>
        <v>-1944</v>
      </c>
      <c r="F935" s="38">
        <f t="shared" si="273"/>
        <v>0</v>
      </c>
      <c r="G935" s="38">
        <f>SUM(G892:G934)</f>
        <v>289212.5</v>
      </c>
      <c r="H935" s="4"/>
      <c r="I935" s="39">
        <f>SUM(I892:I934)</f>
        <v>582</v>
      </c>
      <c r="J935" s="39">
        <f>SUM(J892:J934)</f>
        <v>-22137</v>
      </c>
      <c r="K935" s="40">
        <f>SUM(K892:K934)</f>
        <v>267657.5</v>
      </c>
      <c r="N935" s="57"/>
      <c r="O935" s="57"/>
      <c r="P935" s="38">
        <f>SUM(P892:P934)</f>
        <v>126344.5</v>
      </c>
      <c r="Q935" s="38">
        <f>SUM(Q892:Q916)</f>
        <v>0</v>
      </c>
      <c r="R935" s="38">
        <f>SUM(R892:R916)</f>
        <v>0</v>
      </c>
      <c r="S935" s="38">
        <f>SUM(S892:S934)</f>
        <v>126344.5</v>
      </c>
      <c r="T935" s="4"/>
      <c r="U935" s="41">
        <f>SUM(U892:U934)</f>
        <v>301</v>
      </c>
      <c r="V935" s="41">
        <f>SUM(V892:V916)</f>
        <v>0</v>
      </c>
      <c r="W935" s="42">
        <f>SUM(W892:W934)</f>
        <v>126645.5</v>
      </c>
      <c r="Z935" s="57"/>
      <c r="AA935" s="57"/>
      <c r="AB935" s="38">
        <f>SUM(AB892:AB934)</f>
        <v>319664.5</v>
      </c>
      <c r="AC935" s="38">
        <f>SUM(AC892:AC916)</f>
        <v>-1872</v>
      </c>
      <c r="AD935" s="38">
        <f>SUM(AD892:AD916)</f>
        <v>0</v>
      </c>
      <c r="AE935" s="38">
        <f>SUM(AE892:AE934)</f>
        <v>317792.5</v>
      </c>
      <c r="AF935" s="4"/>
      <c r="AG935" s="41">
        <f>SUM(AG892:AG934)</f>
        <v>2602.5</v>
      </c>
      <c r="AH935" s="41">
        <f>SUM(AH892:AH916)</f>
        <v>-5661</v>
      </c>
      <c r="AI935" s="42">
        <f>SUM(AI892:AI934)</f>
        <v>314734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53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53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53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86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21" t="s">
        <v>86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33</v>
      </c>
      <c r="W943" s="24"/>
      <c r="Y943" s="21" t="s">
        <v>86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35</v>
      </c>
      <c r="AI943" s="24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1" t="s">
        <v>17</v>
      </c>
      <c r="E945" s="121"/>
      <c r="F945" s="108"/>
      <c r="G945" s="27"/>
      <c r="I945" s="119" t="s">
        <v>18</v>
      </c>
      <c r="J945" s="120"/>
      <c r="K945" s="117" t="s">
        <v>19</v>
      </c>
      <c r="N945" s="25"/>
      <c r="O945" s="26"/>
      <c r="P945" s="121" t="s">
        <v>17</v>
      </c>
      <c r="Q945" s="121"/>
      <c r="R945" s="107"/>
      <c r="S945" s="27"/>
      <c r="U945" s="119" t="s">
        <v>18</v>
      </c>
      <c r="V945" s="120"/>
      <c r="W945" s="117" t="s">
        <v>19</v>
      </c>
      <c r="Z945" s="25"/>
      <c r="AA945" s="26"/>
      <c r="AB945" s="121" t="s">
        <v>17</v>
      </c>
      <c r="AC945" s="121"/>
      <c r="AD945" s="106"/>
      <c r="AE945" s="27"/>
      <c r="AG945" s="119" t="s">
        <v>18</v>
      </c>
      <c r="AH945" s="120"/>
      <c r="AI945" s="117" t="s">
        <v>19</v>
      </c>
      <c r="AK945" s="62"/>
      <c r="AL945" s="65"/>
      <c r="AM945" s="86"/>
      <c r="AN945" s="116"/>
      <c r="AO945" s="116"/>
      <c r="AP945" s="86"/>
      <c r="AQ945" s="86"/>
      <c r="AR945" s="62"/>
      <c r="AS945" s="116"/>
      <c r="AT945" s="116"/>
      <c r="AU945" s="115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8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18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8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5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87</v>
      </c>
      <c r="C947" s="83">
        <v>9229</v>
      </c>
      <c r="D947" s="32">
        <f>650*5+9.5*5</f>
        <v>3297.5</v>
      </c>
      <c r="E947" s="32"/>
      <c r="F947" s="32"/>
      <c r="G947" s="32">
        <f t="shared" ref="G947:G980" si="274">SUM(D947:E947)</f>
        <v>3297.5</v>
      </c>
      <c r="H947" s="12"/>
      <c r="I947" s="12"/>
      <c r="J947" s="12"/>
      <c r="K947" s="12">
        <f t="shared" ref="K947:K980" si="275">SUM(G947:J947)</f>
        <v>3297.5</v>
      </c>
      <c r="M947" s="10">
        <v>1</v>
      </c>
      <c r="N947" s="30" t="s">
        <v>87</v>
      </c>
      <c r="O947" s="31">
        <v>9290</v>
      </c>
      <c r="P947" s="32">
        <f>650*80+622*20+1050+229*3+650</f>
        <v>66827</v>
      </c>
      <c r="Q947" s="32"/>
      <c r="R947" s="32"/>
      <c r="S947" s="32">
        <f>SUM(P947:Q947)</f>
        <v>66827</v>
      </c>
      <c r="T947" s="12"/>
      <c r="U947" s="12"/>
      <c r="V947" s="12"/>
      <c r="W947" s="12">
        <f>SUM(S947:V947)</f>
        <v>66827</v>
      </c>
      <c r="Y947" s="10">
        <v>1</v>
      </c>
      <c r="Z947" s="30" t="s">
        <v>87</v>
      </c>
      <c r="AA947" s="31">
        <v>9351</v>
      </c>
      <c r="AB947" s="32">
        <f>324*650+670*10+622*20+912*3+872*5+229*15+500*2</f>
        <v>241271</v>
      </c>
      <c r="AC947" s="32">
        <f>-2712</f>
        <v>-2712</v>
      </c>
      <c r="AD947" s="32"/>
      <c r="AE947" s="32">
        <f>SUM(AB947:AC947)</f>
        <v>238559</v>
      </c>
      <c r="AF947" s="12"/>
      <c r="AG947" s="12"/>
      <c r="AH947" s="12"/>
      <c r="AI947" s="12">
        <f>SUM(AE947:AH947)</f>
        <v>238559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87</v>
      </c>
      <c r="C948" s="83">
        <f>C947+1</f>
        <v>9230</v>
      </c>
      <c r="D948" s="32">
        <f>650*12+9.5*12</f>
        <v>7914</v>
      </c>
      <c r="E948" s="32"/>
      <c r="F948" s="32"/>
      <c r="G948" s="32">
        <f t="shared" si="274"/>
        <v>7914</v>
      </c>
      <c r="H948" s="12"/>
      <c r="I948" s="12"/>
      <c r="J948" s="12"/>
      <c r="K948" s="12">
        <f t="shared" si="275"/>
        <v>7914</v>
      </c>
      <c r="M948" s="10">
        <v>2</v>
      </c>
      <c r="N948" s="30" t="s">
        <v>87</v>
      </c>
      <c r="O948" s="31">
        <f>O947+1</f>
        <v>9291</v>
      </c>
      <c r="P948" s="32">
        <f>650*5</f>
        <v>3250</v>
      </c>
      <c r="Q948" s="32"/>
      <c r="R948" s="32"/>
      <c r="S948" s="32">
        <f t="shared" ref="S948:S985" si="276">SUM(P948:Q948)</f>
        <v>3250</v>
      </c>
      <c r="T948" s="12"/>
      <c r="U948" s="12"/>
      <c r="V948" s="12">
        <f>-111+-84</f>
        <v>-195</v>
      </c>
      <c r="W948" s="12">
        <f t="shared" ref="W948:W988" si="277">SUM(S948:V948)</f>
        <v>3055</v>
      </c>
      <c r="Y948" s="10">
        <v>2</v>
      </c>
      <c r="Z948" s="30" t="s">
        <v>87</v>
      </c>
      <c r="AA948" s="31">
        <f>AA947+1</f>
        <v>9352</v>
      </c>
      <c r="AB948" s="32">
        <f>650*35</f>
        <v>22750</v>
      </c>
      <c r="AD948" s="32"/>
      <c r="AE948" s="32">
        <f t="shared" ref="AE948:AE949" si="278">SUM(AB948:AC948)</f>
        <v>22750</v>
      </c>
      <c r="AF948" s="12"/>
      <c r="AG948" s="12"/>
      <c r="AH948">
        <v>-3330</v>
      </c>
      <c r="AI948" s="12">
        <f t="shared" ref="AI948:AI949" si="279">SUM(AE948:AH948)</f>
        <v>19420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87</v>
      </c>
      <c r="C949" s="83">
        <f t="shared" ref="C949:C957" si="280">C948+1</f>
        <v>9231</v>
      </c>
      <c r="D949" s="33">
        <f>650*20+9.5*20</f>
        <v>13190</v>
      </c>
      <c r="E949" s="33"/>
      <c r="F949" s="33"/>
      <c r="G949" s="33">
        <f t="shared" si="274"/>
        <v>13190</v>
      </c>
      <c r="H949" s="34"/>
      <c r="I949" s="34"/>
      <c r="J949" s="34"/>
      <c r="K949" s="34">
        <f t="shared" si="275"/>
        <v>13190</v>
      </c>
      <c r="M949" s="10">
        <v>3</v>
      </c>
      <c r="N949" s="30" t="s">
        <v>87</v>
      </c>
      <c r="O949" s="31">
        <f t="shared" ref="O949:O951" si="281">O948+1</f>
        <v>9292</v>
      </c>
      <c r="P949" s="32">
        <f>650*216+622*13+229*6</f>
        <v>149860</v>
      </c>
      <c r="Q949" s="32">
        <f>-229*6</f>
        <v>-1374</v>
      </c>
      <c r="R949" s="32"/>
      <c r="S949" s="32">
        <f t="shared" si="276"/>
        <v>148486</v>
      </c>
      <c r="T949" s="12"/>
      <c r="U949" s="12">
        <f>4884+390</f>
        <v>5274</v>
      </c>
      <c r="V949" s="12">
        <f>-1092+-84*10</f>
        <v>-1932</v>
      </c>
      <c r="W949" s="12">
        <f t="shared" si="277"/>
        <v>151828</v>
      </c>
      <c r="Y949" s="10">
        <v>3</v>
      </c>
      <c r="Z949" s="30" t="s">
        <v>87</v>
      </c>
      <c r="AA949" s="31">
        <f t="shared" ref="AA949:AA951" si="282">AA948+1</f>
        <v>9353</v>
      </c>
      <c r="AB949" s="32">
        <f>650*7+9.5*7</f>
        <v>4616.5</v>
      </c>
      <c r="AC949" s="33"/>
      <c r="AD949" s="32"/>
      <c r="AE949" s="32">
        <f t="shared" si="278"/>
        <v>4616.5</v>
      </c>
      <c r="AF949" s="12"/>
      <c r="AG949" s="12"/>
      <c r="AH949" s="12"/>
      <c r="AI949" s="12">
        <f t="shared" si="279"/>
        <v>4616.5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87</v>
      </c>
      <c r="C950" s="83">
        <f t="shared" si="280"/>
        <v>9232</v>
      </c>
      <c r="D950" s="32">
        <f>650*14</f>
        <v>9100</v>
      </c>
      <c r="E950" s="32"/>
      <c r="F950" s="32"/>
      <c r="G950" s="32">
        <f t="shared" si="274"/>
        <v>9100</v>
      </c>
      <c r="H950" s="12"/>
      <c r="I950" s="12"/>
      <c r="J950" s="12"/>
      <c r="K950" s="12">
        <f t="shared" si="275"/>
        <v>9100</v>
      </c>
      <c r="M950" s="10">
        <v>4</v>
      </c>
      <c r="N950" s="30" t="s">
        <v>87</v>
      </c>
      <c r="O950" s="31">
        <f t="shared" si="281"/>
        <v>9293</v>
      </c>
      <c r="P950" s="32">
        <f>650*17+9.5*17</f>
        <v>11211.5</v>
      </c>
      <c r="Q950" s="32"/>
      <c r="R950" s="32"/>
      <c r="S950" s="32">
        <f t="shared" si="276"/>
        <v>11211.5</v>
      </c>
      <c r="T950" s="12"/>
      <c r="U950" s="12">
        <v>9</v>
      </c>
      <c r="V950" s="12">
        <v>-504</v>
      </c>
      <c r="W950" s="12">
        <f t="shared" si="277"/>
        <v>10716.5</v>
      </c>
      <c r="Y950" s="10">
        <v>4</v>
      </c>
      <c r="Z950" s="30" t="s">
        <v>87</v>
      </c>
      <c r="AA950" s="31">
        <f t="shared" si="282"/>
        <v>9354</v>
      </c>
      <c r="AB950" s="32">
        <f>650*3+9.5*3</f>
        <v>1978.5</v>
      </c>
      <c r="AC950" s="32"/>
      <c r="AD950" s="32"/>
      <c r="AE950" s="32">
        <f>SUM(AB950:AC950)</f>
        <v>1978.5</v>
      </c>
      <c r="AF950" s="12"/>
      <c r="AH950" s="12"/>
      <c r="AI950" s="12">
        <f>SUM(AE950:AH950)</f>
        <v>1978.5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87</v>
      </c>
      <c r="C951" s="83">
        <f t="shared" si="280"/>
        <v>9233</v>
      </c>
      <c r="D951" s="32">
        <f>650*16+622*5+525+250</f>
        <v>14285</v>
      </c>
      <c r="E951" s="32"/>
      <c r="F951" s="32"/>
      <c r="G951" s="32">
        <f t="shared" si="274"/>
        <v>14285</v>
      </c>
      <c r="H951" s="12"/>
      <c r="I951" s="12"/>
      <c r="J951" s="12"/>
      <c r="K951" s="12">
        <f t="shared" si="275"/>
        <v>14285</v>
      </c>
      <c r="M951" s="10">
        <v>5</v>
      </c>
      <c r="N951" s="30" t="s">
        <v>87</v>
      </c>
      <c r="O951" s="31">
        <f t="shared" si="281"/>
        <v>9294</v>
      </c>
      <c r="P951" s="32">
        <f>650*4+670+9.5*4</f>
        <v>3308</v>
      </c>
      <c r="Q951" s="32"/>
      <c r="R951" s="32"/>
      <c r="S951" s="32">
        <f t="shared" si="276"/>
        <v>3308</v>
      </c>
      <c r="T951" s="12"/>
      <c r="U951" s="12"/>
      <c r="V951" s="12"/>
      <c r="W951" s="12">
        <f t="shared" si="277"/>
        <v>3308</v>
      </c>
      <c r="Y951" s="10">
        <v>5</v>
      </c>
      <c r="Z951" s="30" t="s">
        <v>87</v>
      </c>
      <c r="AA951" s="31">
        <f t="shared" si="282"/>
        <v>9355</v>
      </c>
      <c r="AB951" s="33">
        <f>650*4+622+9.5*5</f>
        <v>3269.5</v>
      </c>
      <c r="AC951" s="32"/>
      <c r="AD951" s="32"/>
      <c r="AE951" s="32">
        <f>SUM(AB951:AC951)</f>
        <v>3269.5</v>
      </c>
      <c r="AF951" s="12"/>
      <c r="AG951" s="12"/>
      <c r="AH951" s="12"/>
      <c r="AI951" s="12">
        <f t="shared" ref="AI951:AI988" si="283">SUM(AE951:AH951)</f>
        <v>3269.5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87</v>
      </c>
      <c r="C952" s="83">
        <f t="shared" si="280"/>
        <v>9234</v>
      </c>
      <c r="D952" s="32">
        <f>650*15+700+622</f>
        <v>11072</v>
      </c>
      <c r="E952" s="32"/>
      <c r="F952" s="32"/>
      <c r="G952" s="32">
        <f t="shared" si="274"/>
        <v>11072</v>
      </c>
      <c r="H952" s="12"/>
      <c r="I952" s="12"/>
      <c r="J952" s="12"/>
      <c r="K952" s="12">
        <f t="shared" si="275"/>
        <v>11072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6"/>
        <v>0</v>
      </c>
      <c r="T952" s="12"/>
      <c r="U952" s="12"/>
      <c r="V952" s="10"/>
      <c r="W952" s="12">
        <f t="shared" si="277"/>
        <v>0</v>
      </c>
      <c r="Y952" s="10">
        <v>6</v>
      </c>
      <c r="Z952" s="30"/>
      <c r="AA952" s="11" t="s">
        <v>27</v>
      </c>
      <c r="AB952" s="32"/>
      <c r="AC952" s="32"/>
      <c r="AD952" s="32"/>
      <c r="AE952" s="32">
        <f t="shared" ref="AE952:AE985" si="284">SUM(AB952:AC952)</f>
        <v>0</v>
      </c>
      <c r="AF952" s="12"/>
      <c r="AG952" s="12"/>
      <c r="AH952" s="10"/>
      <c r="AI952" s="12">
        <f t="shared" si="283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87</v>
      </c>
      <c r="C953" s="83">
        <f t="shared" si="280"/>
        <v>9235</v>
      </c>
      <c r="D953" s="32"/>
      <c r="E953" s="32"/>
      <c r="F953" s="32"/>
      <c r="G953" s="32">
        <f t="shared" si="274"/>
        <v>0</v>
      </c>
      <c r="H953" s="12"/>
      <c r="I953" s="12"/>
      <c r="J953" s="12"/>
      <c r="K953" s="12">
        <f t="shared" si="275"/>
        <v>0</v>
      </c>
      <c r="M953" s="10">
        <v>7</v>
      </c>
      <c r="N953" s="30"/>
      <c r="O953" s="31"/>
      <c r="P953" s="32"/>
      <c r="Q953" s="32"/>
      <c r="R953" s="32"/>
      <c r="S953" s="32">
        <f t="shared" si="276"/>
        <v>0</v>
      </c>
      <c r="T953" s="12"/>
      <c r="U953" s="12"/>
      <c r="V953" s="12"/>
      <c r="W953" s="12">
        <f t="shared" si="277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4"/>
        <v>0</v>
      </c>
      <c r="AF953" s="12"/>
      <c r="AG953" s="58"/>
      <c r="AH953" s="12"/>
      <c r="AI953" s="12">
        <f t="shared" si="283"/>
        <v>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87</v>
      </c>
      <c r="C954" s="83">
        <f t="shared" si="280"/>
        <v>9236</v>
      </c>
      <c r="D954" s="32">
        <f>650*3</f>
        <v>1950</v>
      </c>
      <c r="E954" s="32"/>
      <c r="F954" s="32"/>
      <c r="G954" s="32">
        <f t="shared" si="274"/>
        <v>1950</v>
      </c>
      <c r="H954" s="12"/>
      <c r="I954" s="12">
        <f>111*3</f>
        <v>333</v>
      </c>
      <c r="J954" s="12"/>
      <c r="K954" s="12">
        <f t="shared" si="275"/>
        <v>2283</v>
      </c>
      <c r="M954" s="10">
        <v>8</v>
      </c>
      <c r="N954" s="30"/>
      <c r="O954" s="31"/>
      <c r="P954" s="32"/>
      <c r="Q954" s="32"/>
      <c r="R954" s="32"/>
      <c r="S954" s="32">
        <f t="shared" si="276"/>
        <v>0</v>
      </c>
      <c r="T954" s="12"/>
      <c r="U954" s="12"/>
      <c r="V954" s="12"/>
      <c r="W954" s="12">
        <f t="shared" si="277"/>
        <v>0</v>
      </c>
      <c r="Y954" s="10">
        <v>8</v>
      </c>
      <c r="Z954" s="30"/>
      <c r="AA954" s="31"/>
      <c r="AB954" s="32"/>
      <c r="AC954" s="32"/>
      <c r="AE954" s="32">
        <f t="shared" si="284"/>
        <v>0</v>
      </c>
      <c r="AF954" s="12"/>
      <c r="AG954" s="12"/>
      <c r="AH954" s="12"/>
      <c r="AI954" s="12">
        <f t="shared" si="283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87</v>
      </c>
      <c r="C955" s="83">
        <f t="shared" si="280"/>
        <v>9237</v>
      </c>
      <c r="D955" s="32">
        <f>650*216+229*8</f>
        <v>142232</v>
      </c>
      <c r="E955" s="32">
        <f>-216*6</f>
        <v>-1296</v>
      </c>
      <c r="F955" s="32"/>
      <c r="G955" s="32">
        <f t="shared" si="274"/>
        <v>140936</v>
      </c>
      <c r="H955" s="12"/>
      <c r="I955" s="12">
        <v>312</v>
      </c>
      <c r="J955" s="12">
        <f>-120*10+-111*62++-84*3+-42*5+-2.25*9+-4.5+-1.5*18</f>
        <v>-8595.75</v>
      </c>
      <c r="K955" s="12">
        <f t="shared" si="275"/>
        <v>132652.25</v>
      </c>
      <c r="M955" s="10">
        <v>9</v>
      </c>
      <c r="N955" s="30"/>
      <c r="O955" s="31"/>
      <c r="P955" s="32"/>
      <c r="Q955" s="32"/>
      <c r="R955" s="32"/>
      <c r="S955" s="32">
        <f t="shared" si="276"/>
        <v>0</v>
      </c>
      <c r="T955" s="12"/>
      <c r="U955" s="12"/>
      <c r="V955" s="12"/>
      <c r="W955" s="12">
        <f t="shared" si="277"/>
        <v>0</v>
      </c>
      <c r="Y955" s="10">
        <v>9</v>
      </c>
      <c r="Z955" s="30"/>
      <c r="AA955" s="31"/>
      <c r="AC955" s="32"/>
      <c r="AD955" s="32"/>
      <c r="AE955" s="32">
        <f t="shared" si="284"/>
        <v>0</v>
      </c>
      <c r="AF955" s="12"/>
      <c r="AH955" s="12"/>
      <c r="AI955" s="12">
        <f t="shared" si="283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87</v>
      </c>
      <c r="C956" s="83">
        <f t="shared" si="280"/>
        <v>9238</v>
      </c>
      <c r="D956" s="32">
        <f>973*70+912*3+1050*4+872*3</f>
        <v>77662</v>
      </c>
      <c r="E956" s="32"/>
      <c r="F956" s="32"/>
      <c r="G956" s="32">
        <f t="shared" si="274"/>
        <v>77662</v>
      </c>
      <c r="H956" s="12"/>
      <c r="I956" s="12"/>
      <c r="J956" s="12"/>
      <c r="K956" s="12">
        <f t="shared" si="275"/>
        <v>77662</v>
      </c>
      <c r="M956" s="10">
        <v>10</v>
      </c>
      <c r="N956" s="30"/>
      <c r="O956" s="31"/>
      <c r="P956" s="32"/>
      <c r="Q956" s="32"/>
      <c r="R956" s="32"/>
      <c r="S956" s="32">
        <f t="shared" si="276"/>
        <v>0</v>
      </c>
      <c r="T956" s="12"/>
      <c r="U956" s="12"/>
      <c r="V956" s="12"/>
      <c r="W956" s="12">
        <f t="shared" si="277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4"/>
        <v>0</v>
      </c>
      <c r="AF956" s="12"/>
      <c r="AG956" s="12"/>
      <c r="AH956" s="12"/>
      <c r="AI956" s="12">
        <f t="shared" si="283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87</v>
      </c>
      <c r="C957" s="83">
        <f t="shared" si="280"/>
        <v>9239</v>
      </c>
      <c r="D957" s="32">
        <f>650*6</f>
        <v>3900</v>
      </c>
      <c r="E957" s="32"/>
      <c r="F957" s="32"/>
      <c r="G957" s="32">
        <f t="shared" si="274"/>
        <v>3900</v>
      </c>
      <c r="H957" s="12"/>
      <c r="I957" s="12"/>
      <c r="J957" s="12"/>
      <c r="K957" s="12">
        <f t="shared" si="275"/>
        <v>3900</v>
      </c>
      <c r="M957" s="10">
        <v>11</v>
      </c>
      <c r="N957" s="30"/>
      <c r="O957" s="31"/>
      <c r="P957" s="32"/>
      <c r="Q957" s="32"/>
      <c r="R957" s="32"/>
      <c r="S957" s="32">
        <f t="shared" si="276"/>
        <v>0</v>
      </c>
      <c r="T957" s="12"/>
      <c r="U957" s="12"/>
      <c r="V957" s="12"/>
      <c r="W957" s="12">
        <f t="shared" si="277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84"/>
        <v>0</v>
      </c>
      <c r="AF957" s="12"/>
      <c r="AG957" s="12"/>
      <c r="AH957" s="12"/>
      <c r="AI957" s="12">
        <f t="shared" si="283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4"/>
        <v>0</v>
      </c>
      <c r="H958" s="12"/>
      <c r="I958" s="12"/>
      <c r="J958" s="10"/>
      <c r="K958" s="12">
        <f t="shared" si="275"/>
        <v>0</v>
      </c>
      <c r="M958" s="10">
        <v>12</v>
      </c>
      <c r="N958" s="30"/>
      <c r="O958" s="31"/>
      <c r="P958" s="32"/>
      <c r="Q958" s="32"/>
      <c r="R958" s="32"/>
      <c r="S958" s="32">
        <f t="shared" si="276"/>
        <v>0</v>
      </c>
      <c r="T958" s="12"/>
      <c r="U958" s="12"/>
      <c r="V958" s="12"/>
      <c r="W958" s="12">
        <f t="shared" si="277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4"/>
        <v>0</v>
      </c>
      <c r="AF958" s="12"/>
      <c r="AG958" s="12"/>
      <c r="AH958" s="12"/>
      <c r="AI958" s="12">
        <f t="shared" si="283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74"/>
        <v>0</v>
      </c>
      <c r="H959" s="12"/>
      <c r="I959" s="12"/>
      <c r="J959" s="12"/>
      <c r="K959" s="12">
        <f t="shared" si="275"/>
        <v>0</v>
      </c>
      <c r="M959" s="10">
        <v>13</v>
      </c>
      <c r="N959" s="30"/>
      <c r="O959" s="31"/>
      <c r="P959" s="32"/>
      <c r="Q959" s="32"/>
      <c r="R959" s="32"/>
      <c r="S959" s="32">
        <f t="shared" si="276"/>
        <v>0</v>
      </c>
      <c r="T959" s="12"/>
      <c r="U959" s="12"/>
      <c r="V959" s="12"/>
      <c r="W959" s="12">
        <f t="shared" si="277"/>
        <v>0</v>
      </c>
      <c r="Y959" s="10">
        <v>13</v>
      </c>
      <c r="Z959" s="30"/>
      <c r="AB959" s="32"/>
      <c r="AC959" s="32"/>
      <c r="AD959" s="32"/>
      <c r="AE959" s="32">
        <f t="shared" si="284"/>
        <v>0</v>
      </c>
      <c r="AF959" s="12"/>
      <c r="AG959" s="12"/>
      <c r="AH959" s="12"/>
      <c r="AI959" s="12">
        <f t="shared" si="283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74"/>
        <v>0</v>
      </c>
      <c r="H960" s="12"/>
      <c r="I960" s="12"/>
      <c r="J960" s="12"/>
      <c r="K960" s="12">
        <f t="shared" si="275"/>
        <v>0</v>
      </c>
      <c r="M960" s="10">
        <v>14</v>
      </c>
      <c r="N960" s="30"/>
      <c r="O960" s="31"/>
      <c r="P960" s="32"/>
      <c r="Q960" s="32"/>
      <c r="R960" s="32"/>
      <c r="S960" s="32">
        <f t="shared" si="276"/>
        <v>0</v>
      </c>
      <c r="T960" s="12"/>
      <c r="U960" s="12"/>
      <c r="V960" s="12"/>
      <c r="W960" s="12">
        <f t="shared" si="277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4"/>
        <v>0</v>
      </c>
      <c r="AF960" s="12"/>
      <c r="AG960" s="12"/>
      <c r="AH960" s="12"/>
      <c r="AI960" s="12">
        <f t="shared" si="283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D961" s="32"/>
      <c r="E961" s="32"/>
      <c r="F961" s="32"/>
      <c r="G961" s="32">
        <f t="shared" si="274"/>
        <v>0</v>
      </c>
      <c r="H961" s="12"/>
      <c r="I961" s="12"/>
      <c r="J961" s="12"/>
      <c r="K961" s="12">
        <f t="shared" si="275"/>
        <v>0</v>
      </c>
      <c r="M961" s="10">
        <v>15</v>
      </c>
      <c r="N961" s="30"/>
      <c r="O961" s="31"/>
      <c r="P961" s="32"/>
      <c r="Q961" s="32"/>
      <c r="R961" s="32"/>
      <c r="S961" s="32">
        <f t="shared" si="276"/>
        <v>0</v>
      </c>
      <c r="T961" s="12"/>
      <c r="U961" s="12"/>
      <c r="V961" s="12"/>
      <c r="W961" s="12">
        <f t="shared" si="277"/>
        <v>0</v>
      </c>
      <c r="Y961" s="10">
        <v>15</v>
      </c>
      <c r="Z961" s="30"/>
      <c r="AB961" s="32"/>
      <c r="AC961" s="32"/>
      <c r="AD961" s="32"/>
      <c r="AE961" s="32">
        <f t="shared" si="284"/>
        <v>0</v>
      </c>
      <c r="AF961" s="12"/>
      <c r="AG961" s="12"/>
      <c r="AH961" s="12"/>
      <c r="AI961" s="12">
        <f t="shared" si="283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57"/>
      <c r="D962" s="32"/>
      <c r="E962" s="32"/>
      <c r="F962" s="32"/>
      <c r="G962" s="32">
        <f t="shared" si="274"/>
        <v>0</v>
      </c>
      <c r="H962" s="12"/>
      <c r="I962" s="12"/>
      <c r="J962" s="12"/>
      <c r="K962" s="12">
        <f t="shared" si="275"/>
        <v>0</v>
      </c>
      <c r="M962" s="10">
        <v>16</v>
      </c>
      <c r="N962" s="30"/>
      <c r="O962" s="31"/>
      <c r="P962" s="32"/>
      <c r="Q962" s="32"/>
      <c r="R962" s="32"/>
      <c r="S962" s="32">
        <f t="shared" si="276"/>
        <v>0</v>
      </c>
      <c r="T962" s="12"/>
      <c r="U962" s="12"/>
      <c r="V962" s="12"/>
      <c r="W962" s="12">
        <f t="shared" si="277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4"/>
        <v>0</v>
      </c>
      <c r="AF962" s="12"/>
      <c r="AG962" s="12"/>
      <c r="AH962" s="12"/>
      <c r="AI962" s="12">
        <f t="shared" si="283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74"/>
        <v>0</v>
      </c>
      <c r="H963" s="12"/>
      <c r="I963" s="12"/>
      <c r="J963" s="12"/>
      <c r="K963" s="12">
        <f t="shared" si="275"/>
        <v>0</v>
      </c>
      <c r="M963" s="10">
        <v>17</v>
      </c>
      <c r="N963" s="30"/>
      <c r="O963" s="31"/>
      <c r="P963" s="35"/>
      <c r="Q963" s="32"/>
      <c r="R963" s="32"/>
      <c r="S963" s="32">
        <f t="shared" si="276"/>
        <v>0</v>
      </c>
      <c r="T963" s="12"/>
      <c r="U963" s="12"/>
      <c r="V963" s="12"/>
      <c r="W963" s="12">
        <f t="shared" si="277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4"/>
        <v>0</v>
      </c>
      <c r="AF963" s="12"/>
      <c r="AG963" s="12"/>
      <c r="AH963" s="12"/>
      <c r="AI963" s="12">
        <f t="shared" si="283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74"/>
        <v>0</v>
      </c>
      <c r="H964" s="12"/>
      <c r="I964" s="12"/>
      <c r="J964" s="12"/>
      <c r="K964" s="12">
        <f t="shared" si="275"/>
        <v>0</v>
      </c>
      <c r="M964" s="10">
        <v>18</v>
      </c>
      <c r="N964" s="30"/>
      <c r="O964" s="31"/>
      <c r="P964" s="32"/>
      <c r="Q964" s="32"/>
      <c r="R964" s="32"/>
      <c r="S964" s="32">
        <f t="shared" si="276"/>
        <v>0</v>
      </c>
      <c r="T964" s="12"/>
      <c r="U964" s="12"/>
      <c r="V964" s="12"/>
      <c r="W964" s="12">
        <f t="shared" si="277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4"/>
        <v>0</v>
      </c>
      <c r="AF964" s="12"/>
      <c r="AG964" s="12"/>
      <c r="AH964" s="12"/>
      <c r="AI964" s="12">
        <f t="shared" si="283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74"/>
        <v>0</v>
      </c>
      <c r="H965" s="12"/>
      <c r="I965" s="12"/>
      <c r="J965" s="12"/>
      <c r="K965" s="12">
        <f t="shared" si="275"/>
        <v>0</v>
      </c>
      <c r="M965" s="10">
        <v>19</v>
      </c>
      <c r="N965" s="30"/>
      <c r="O965" s="31"/>
      <c r="P965" s="32"/>
      <c r="Q965" s="32"/>
      <c r="R965" s="32"/>
      <c r="S965" s="32">
        <f t="shared" si="276"/>
        <v>0</v>
      </c>
      <c r="T965" s="12"/>
      <c r="U965" s="12"/>
      <c r="V965" s="12"/>
      <c r="W965" s="12">
        <f t="shared" si="277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4"/>
        <v>0</v>
      </c>
      <c r="AF965" s="12"/>
      <c r="AG965" s="12"/>
      <c r="AH965" s="12"/>
      <c r="AI965" s="12">
        <f t="shared" si="283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74"/>
        <v>0</v>
      </c>
      <c r="H966" s="12"/>
      <c r="I966" s="12"/>
      <c r="J966" s="12"/>
      <c r="K966" s="12">
        <f t="shared" si="275"/>
        <v>0</v>
      </c>
      <c r="M966" s="10">
        <v>20</v>
      </c>
      <c r="N966" s="30"/>
      <c r="O966" s="31"/>
      <c r="P966" s="32"/>
      <c r="Q966" s="32"/>
      <c r="R966" s="32"/>
      <c r="S966" s="32">
        <f t="shared" si="276"/>
        <v>0</v>
      </c>
      <c r="T966" s="12"/>
      <c r="U966" s="12"/>
      <c r="V966" s="12"/>
      <c r="W966" s="12">
        <f t="shared" si="277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4"/>
        <v>0</v>
      </c>
      <c r="AF966" s="12"/>
      <c r="AG966" s="12"/>
      <c r="AH966" s="12"/>
      <c r="AI966" s="12">
        <f t="shared" si="283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74"/>
        <v>0</v>
      </c>
      <c r="H967" s="10"/>
      <c r="I967" s="10"/>
      <c r="J967" s="10"/>
      <c r="K967" s="12">
        <f t="shared" si="275"/>
        <v>0</v>
      </c>
      <c r="M967" s="10">
        <v>21</v>
      </c>
      <c r="N967" s="30"/>
      <c r="O967" s="31"/>
      <c r="P967" s="92"/>
      <c r="Q967" s="31"/>
      <c r="R967" s="31"/>
      <c r="S967" s="32">
        <f t="shared" si="276"/>
        <v>0</v>
      </c>
      <c r="T967" s="10"/>
      <c r="U967" s="10"/>
      <c r="V967" s="10"/>
      <c r="W967" s="12">
        <f t="shared" si="277"/>
        <v>0</v>
      </c>
      <c r="Y967" s="10">
        <v>21</v>
      </c>
      <c r="Z967" s="30"/>
      <c r="AB967" s="46"/>
      <c r="AC967" s="31"/>
      <c r="AD967" s="31"/>
      <c r="AE967" s="32">
        <f t="shared" si="284"/>
        <v>0</v>
      </c>
      <c r="AF967" s="10"/>
      <c r="AG967" s="10"/>
      <c r="AH967" s="10"/>
      <c r="AI967" s="12">
        <f t="shared" si="283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3"/>
      <c r="D968" s="32"/>
      <c r="E968" s="32"/>
      <c r="F968" s="32"/>
      <c r="G968" s="32">
        <f t="shared" si="274"/>
        <v>0</v>
      </c>
      <c r="H968" s="10"/>
      <c r="I968" s="10"/>
      <c r="J968" s="10"/>
      <c r="K968" s="12">
        <f t="shared" si="275"/>
        <v>0</v>
      </c>
      <c r="M968" s="10">
        <v>22</v>
      </c>
      <c r="N968" s="30"/>
      <c r="P968" s="92"/>
      <c r="Q968" s="31"/>
      <c r="R968" s="31"/>
      <c r="S968" s="32">
        <f t="shared" si="276"/>
        <v>0</v>
      </c>
      <c r="T968" s="10"/>
      <c r="U968" s="10"/>
      <c r="V968" s="10"/>
      <c r="W968" s="12">
        <f t="shared" si="277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4"/>
        <v>0</v>
      </c>
      <c r="AF968" s="10"/>
      <c r="AG968" s="10"/>
      <c r="AH968" s="10"/>
      <c r="AI968" s="12">
        <f t="shared" si="283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74"/>
        <v>0</v>
      </c>
      <c r="H969" s="10"/>
      <c r="I969" s="10"/>
      <c r="J969" s="12"/>
      <c r="K969" s="12">
        <f t="shared" si="275"/>
        <v>0</v>
      </c>
      <c r="M969" s="10">
        <v>23</v>
      </c>
      <c r="N969" s="30"/>
      <c r="O969" s="31"/>
      <c r="P969" s="47"/>
      <c r="Q969" s="31"/>
      <c r="S969" s="32">
        <f t="shared" si="276"/>
        <v>0</v>
      </c>
      <c r="T969" s="10"/>
      <c r="U969" s="10"/>
      <c r="V969" s="10"/>
      <c r="W969" s="12">
        <f t="shared" si="277"/>
        <v>0</v>
      </c>
      <c r="Y969" s="10">
        <v>23</v>
      </c>
      <c r="Z969" s="30"/>
      <c r="AA969" s="31"/>
      <c r="AB969" s="47"/>
      <c r="AC969" s="31"/>
      <c r="AE969" s="32">
        <f t="shared" si="284"/>
        <v>0</v>
      </c>
      <c r="AF969" s="10"/>
      <c r="AG969" s="10"/>
      <c r="AH969" s="10"/>
      <c r="AI969" s="12">
        <f t="shared" si="283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74"/>
        <v>0</v>
      </c>
      <c r="H970" s="10"/>
      <c r="I970" s="10"/>
      <c r="J970" s="10"/>
      <c r="K970" s="12">
        <f t="shared" si="275"/>
        <v>0</v>
      </c>
      <c r="M970" s="10">
        <v>24</v>
      </c>
      <c r="N970" s="30"/>
      <c r="P970" s="47"/>
      <c r="Q970" s="31"/>
      <c r="R970" s="31"/>
      <c r="S970" s="32">
        <f t="shared" si="276"/>
        <v>0</v>
      </c>
      <c r="T970" s="10"/>
      <c r="U970" s="10"/>
      <c r="V970" s="10"/>
      <c r="W970" s="12">
        <f t="shared" si="277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4"/>
        <v>0</v>
      </c>
      <c r="AF970" s="10"/>
      <c r="AG970" s="10"/>
      <c r="AH970" s="10"/>
      <c r="AI970" s="12">
        <f t="shared" si="283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74"/>
        <v>0</v>
      </c>
      <c r="H971" s="10"/>
      <c r="I971" s="10"/>
      <c r="J971" s="10"/>
      <c r="K971" s="12">
        <f t="shared" si="275"/>
        <v>0</v>
      </c>
      <c r="M971" s="10">
        <v>25</v>
      </c>
      <c r="N971" s="30"/>
      <c r="O971" s="31"/>
      <c r="P971" s="47"/>
      <c r="Q971" s="31"/>
      <c r="R971" s="31"/>
      <c r="S971" s="32">
        <f t="shared" si="276"/>
        <v>0</v>
      </c>
      <c r="T971" s="10"/>
      <c r="U971" s="10"/>
      <c r="V971" s="10"/>
      <c r="W971" s="12">
        <f t="shared" si="277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4"/>
        <v>0</v>
      </c>
      <c r="AF971" s="10"/>
      <c r="AG971" s="10"/>
      <c r="AH971" s="10"/>
      <c r="AI971" s="12">
        <f t="shared" si="283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74"/>
        <v>0</v>
      </c>
      <c r="H972" s="10"/>
      <c r="I972" s="10"/>
      <c r="J972" s="10"/>
      <c r="K972" s="12">
        <f t="shared" si="275"/>
        <v>0</v>
      </c>
      <c r="M972" s="10">
        <v>26</v>
      </c>
      <c r="N972" s="30"/>
      <c r="O972" s="31"/>
      <c r="P972" s="47"/>
      <c r="Q972" s="31"/>
      <c r="R972" s="31"/>
      <c r="S972" s="32">
        <f t="shared" si="276"/>
        <v>0</v>
      </c>
      <c r="T972" s="10"/>
      <c r="U972" s="10"/>
      <c r="V972" s="10"/>
      <c r="W972" s="12">
        <f t="shared" si="277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4"/>
        <v>0</v>
      </c>
      <c r="AF972" s="10"/>
      <c r="AG972" s="10"/>
      <c r="AH972" s="10"/>
      <c r="AI972" s="12">
        <f t="shared" si="283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74"/>
        <v>0</v>
      </c>
      <c r="H973" s="10"/>
      <c r="I973" s="10"/>
      <c r="J973" s="10"/>
      <c r="K973" s="12">
        <f t="shared" si="275"/>
        <v>0</v>
      </c>
      <c r="M973" s="10">
        <v>27</v>
      </c>
      <c r="N973" s="30"/>
      <c r="O973" s="31"/>
      <c r="P973" s="47"/>
      <c r="Q973" s="31"/>
      <c r="R973" s="31"/>
      <c r="S973" s="32">
        <f t="shared" si="276"/>
        <v>0</v>
      </c>
      <c r="T973" s="10"/>
      <c r="U973" s="10"/>
      <c r="V973" s="10"/>
      <c r="W973" s="12">
        <f t="shared" si="277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4"/>
        <v>0</v>
      </c>
      <c r="AF973" s="10"/>
      <c r="AG973" s="10"/>
      <c r="AH973" s="10"/>
      <c r="AI973" s="12">
        <f t="shared" si="283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74"/>
        <v>0</v>
      </c>
      <c r="H974" s="10"/>
      <c r="I974" s="10"/>
      <c r="J974" s="10"/>
      <c r="K974" s="12">
        <f t="shared" si="275"/>
        <v>0</v>
      </c>
      <c r="M974" s="10">
        <v>28</v>
      </c>
      <c r="N974" s="30"/>
      <c r="O974" s="31"/>
      <c r="P974" s="47"/>
      <c r="Q974" s="31"/>
      <c r="R974" s="31"/>
      <c r="S974" s="32">
        <f t="shared" si="276"/>
        <v>0</v>
      </c>
      <c r="T974" s="10"/>
      <c r="U974" s="10"/>
      <c r="V974" s="10"/>
      <c r="W974" s="12">
        <f t="shared" si="277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4"/>
        <v>0</v>
      </c>
      <c r="AF974" s="10"/>
      <c r="AG974" s="10"/>
      <c r="AH974" s="10"/>
      <c r="AI974" s="12">
        <f t="shared" si="283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74"/>
        <v>0</v>
      </c>
      <c r="H975" s="10"/>
      <c r="I975" s="10"/>
      <c r="J975" s="10"/>
      <c r="K975" s="12">
        <f t="shared" si="275"/>
        <v>0</v>
      </c>
      <c r="M975" s="10">
        <v>29</v>
      </c>
      <c r="N975" s="30"/>
      <c r="O975" s="31"/>
      <c r="P975" s="47"/>
      <c r="Q975" s="31"/>
      <c r="R975" s="31"/>
      <c r="S975" s="32">
        <f t="shared" si="276"/>
        <v>0</v>
      </c>
      <c r="T975" s="10"/>
      <c r="U975" s="10"/>
      <c r="V975" s="10"/>
      <c r="W975" s="12">
        <f t="shared" si="277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4"/>
        <v>0</v>
      </c>
      <c r="AF975" s="10"/>
      <c r="AG975" s="10"/>
      <c r="AH975" s="10"/>
      <c r="AI975" s="12">
        <f t="shared" si="283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4"/>
        <v>0</v>
      </c>
      <c r="H976" s="10"/>
      <c r="I976" s="10"/>
      <c r="J976" s="10"/>
      <c r="K976" s="12">
        <f t="shared" si="275"/>
        <v>0</v>
      </c>
      <c r="M976" s="10">
        <v>30</v>
      </c>
      <c r="N976" s="30"/>
      <c r="P976" s="47"/>
      <c r="Q976" s="31"/>
      <c r="R976" s="31"/>
      <c r="S976" s="32">
        <f t="shared" si="276"/>
        <v>0</v>
      </c>
      <c r="T976" s="10"/>
      <c r="U976" s="10"/>
      <c r="V976" s="10"/>
      <c r="W976" s="12">
        <f t="shared" si="277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4"/>
        <v>0</v>
      </c>
      <c r="AF976" s="10"/>
      <c r="AG976" s="10"/>
      <c r="AH976" s="10"/>
      <c r="AI976" s="12">
        <f t="shared" si="283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4"/>
        <v>0</v>
      </c>
      <c r="H977" s="10"/>
      <c r="I977" s="10"/>
      <c r="J977" s="10"/>
      <c r="K977" s="12">
        <f t="shared" si="275"/>
        <v>0</v>
      </c>
      <c r="M977" s="10">
        <v>31</v>
      </c>
      <c r="N977" s="30"/>
      <c r="O977" s="31"/>
      <c r="P977" s="47"/>
      <c r="Q977" s="31"/>
      <c r="R977" s="31"/>
      <c r="S977" s="32">
        <f t="shared" si="276"/>
        <v>0</v>
      </c>
      <c r="T977" s="10"/>
      <c r="U977" s="10"/>
      <c r="V977" s="10"/>
      <c r="W977" s="12">
        <f t="shared" si="277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4"/>
        <v>0</v>
      </c>
      <c r="AF977" s="10"/>
      <c r="AG977" s="10"/>
      <c r="AH977" s="10"/>
      <c r="AI977" s="12">
        <f t="shared" si="283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74"/>
        <v>0</v>
      </c>
      <c r="H978" s="10"/>
      <c r="I978" s="10"/>
      <c r="J978" s="10"/>
      <c r="K978" s="12">
        <f t="shared" si="275"/>
        <v>0</v>
      </c>
      <c r="M978" s="10">
        <v>32</v>
      </c>
      <c r="N978" s="30"/>
      <c r="O978" s="31"/>
      <c r="P978" s="47"/>
      <c r="Q978" s="31"/>
      <c r="R978" s="31"/>
      <c r="S978" s="32">
        <f t="shared" si="276"/>
        <v>0</v>
      </c>
      <c r="T978" s="10"/>
      <c r="U978" s="10"/>
      <c r="V978" s="10"/>
      <c r="W978" s="12">
        <f t="shared" si="277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4"/>
        <v>0</v>
      </c>
      <c r="AF978" s="10"/>
      <c r="AG978" s="10"/>
      <c r="AH978" s="10"/>
      <c r="AI978" s="12">
        <f t="shared" si="283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74"/>
        <v>0</v>
      </c>
      <c r="H979" s="10"/>
      <c r="I979" s="10"/>
      <c r="J979" s="10"/>
      <c r="K979" s="12">
        <f t="shared" si="275"/>
        <v>0</v>
      </c>
      <c r="M979" s="10">
        <v>33</v>
      </c>
      <c r="N979" s="30"/>
      <c r="O979" s="31"/>
      <c r="P979" s="47"/>
      <c r="Q979" s="31"/>
      <c r="R979" s="31"/>
      <c r="S979" s="32">
        <f t="shared" si="276"/>
        <v>0</v>
      </c>
      <c r="T979" s="10"/>
      <c r="U979" s="10"/>
      <c r="V979" s="10"/>
      <c r="W979" s="12">
        <f t="shared" si="277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4"/>
        <v>0</v>
      </c>
      <c r="AF979" s="10"/>
      <c r="AG979" s="10"/>
      <c r="AH979" s="10"/>
      <c r="AI979" s="12">
        <f t="shared" si="283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74"/>
        <v>0</v>
      </c>
      <c r="H980" s="10"/>
      <c r="I980" s="10"/>
      <c r="J980" s="10"/>
      <c r="K980" s="12">
        <f t="shared" si="275"/>
        <v>0</v>
      </c>
      <c r="M980" s="10">
        <v>34</v>
      </c>
      <c r="N980" s="30"/>
      <c r="O980" s="31"/>
      <c r="P980" s="47"/>
      <c r="Q980" s="31"/>
      <c r="R980" s="31"/>
      <c r="S980" s="32">
        <f t="shared" si="276"/>
        <v>0</v>
      </c>
      <c r="T980" s="10"/>
      <c r="U980" s="10"/>
      <c r="V980" s="10"/>
      <c r="W980" s="12">
        <f t="shared" si="277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84"/>
        <v>0</v>
      </c>
      <c r="AF980" s="10"/>
      <c r="AG980" s="10"/>
      <c r="AH980" s="10"/>
      <c r="AI980" s="12">
        <f t="shared" si="283"/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6"/>
        <v>0</v>
      </c>
      <c r="T981" s="10"/>
      <c r="U981" s="10"/>
      <c r="V981" s="10"/>
      <c r="W981" s="12">
        <f t="shared" si="277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4"/>
        <v>0</v>
      </c>
      <c r="AF981" s="10"/>
      <c r="AG981" s="10"/>
      <c r="AH981" s="10"/>
      <c r="AI981" s="12">
        <f t="shared" si="283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6"/>
        <v>0</v>
      </c>
      <c r="T982" s="10"/>
      <c r="U982" s="10"/>
      <c r="V982" s="10"/>
      <c r="W982" s="12">
        <f t="shared" si="277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4"/>
        <v>0</v>
      </c>
      <c r="AF982" s="10"/>
      <c r="AG982" s="10"/>
      <c r="AH982" s="10"/>
      <c r="AI982" s="12">
        <f t="shared" si="283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6"/>
        <v>0</v>
      </c>
      <c r="T983" s="10"/>
      <c r="U983" s="10"/>
      <c r="V983" s="10"/>
      <c r="W983" s="12">
        <f t="shared" si="277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4"/>
        <v>0</v>
      </c>
      <c r="AF983" s="10"/>
      <c r="AG983" s="10"/>
      <c r="AH983" s="10"/>
      <c r="AI983" s="12">
        <f t="shared" si="283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6"/>
        <v>0</v>
      </c>
      <c r="T984" s="10"/>
      <c r="U984" s="10"/>
      <c r="V984" s="10"/>
      <c r="W984" s="12">
        <f t="shared" si="277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4"/>
        <v>0</v>
      </c>
      <c r="AF984" s="10"/>
      <c r="AG984" s="10"/>
      <c r="AH984" s="10"/>
      <c r="AI984" s="12">
        <f t="shared" si="283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6"/>
        <v>0</v>
      </c>
      <c r="T985" s="10"/>
      <c r="U985" s="10"/>
      <c r="V985" s="10"/>
      <c r="W985" s="12">
        <f t="shared" si="277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4"/>
        <v>0</v>
      </c>
      <c r="AF985" s="10"/>
      <c r="AG985" s="10"/>
      <c r="AH985" s="10"/>
      <c r="AI985" s="12">
        <f t="shared" si="283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7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3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5">SUM(D987:E987)</f>
        <v>0</v>
      </c>
      <c r="H987" s="10"/>
      <c r="I987" s="10"/>
      <c r="J987" s="10"/>
      <c r="K987" s="12">
        <f t="shared" ref="K987" si="286">SUM(G987:J987)</f>
        <v>0</v>
      </c>
      <c r="M987" s="10"/>
      <c r="N987" s="30"/>
      <c r="O987" s="31"/>
      <c r="P987" s="47"/>
      <c r="Q987" s="31"/>
      <c r="R987" s="31"/>
      <c r="S987" s="32">
        <f t="shared" ref="S987" si="287">SUM(P987:Q987)</f>
        <v>0</v>
      </c>
      <c r="T987" s="10"/>
      <c r="U987" s="10"/>
      <c r="V987" s="10"/>
      <c r="W987" s="12">
        <f t="shared" si="277"/>
        <v>0</v>
      </c>
      <c r="Y987" s="10"/>
      <c r="Z987" s="30"/>
      <c r="AA987" s="31"/>
      <c r="AB987" s="47"/>
      <c r="AC987" s="31"/>
      <c r="AD987" s="31"/>
      <c r="AE987" s="32">
        <f t="shared" ref="AE987" si="288">SUM(AB987:AC987)</f>
        <v>0</v>
      </c>
      <c r="AF987" s="10"/>
      <c r="AG987" s="10"/>
      <c r="AH987" s="10"/>
      <c r="AI987" s="12">
        <f t="shared" si="283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7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3"/>
        <v>0</v>
      </c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284602.5</v>
      </c>
      <c r="E990" s="38">
        <f t="shared" ref="E990:F990" si="289">SUM(E947:E987)</f>
        <v>-1296</v>
      </c>
      <c r="F990" s="38">
        <f t="shared" si="289"/>
        <v>0</v>
      </c>
      <c r="G990" s="38">
        <f>SUM(G947:G989)</f>
        <v>283306.5</v>
      </c>
      <c r="H990" s="4"/>
      <c r="I990" s="39">
        <f>SUM(I947:I989)</f>
        <v>645</v>
      </c>
      <c r="J990" s="39">
        <f>SUM(J947:J989)</f>
        <v>-8595.75</v>
      </c>
      <c r="K990" s="40">
        <f>SUM(K947:K989)</f>
        <v>275355.75</v>
      </c>
      <c r="N990" s="57"/>
      <c r="O990" s="57"/>
      <c r="P990" s="38">
        <f>SUM(P947:P989)</f>
        <v>234456.5</v>
      </c>
      <c r="Q990" s="38">
        <f>SUM(Q947:Q971)</f>
        <v>-1374</v>
      </c>
      <c r="R990" s="38">
        <f>SUM(R947:R971)</f>
        <v>0</v>
      </c>
      <c r="S990" s="38">
        <f>SUM(S947:S989)</f>
        <v>233082.5</v>
      </c>
      <c r="T990" s="4"/>
      <c r="U990" s="41">
        <f>SUM(U947:U989)</f>
        <v>5283</v>
      </c>
      <c r="V990" s="41">
        <f>SUM(V947:V971)</f>
        <v>-2631</v>
      </c>
      <c r="W990" s="42">
        <f>SUM(W947:W989)</f>
        <v>235734.5</v>
      </c>
      <c r="Z990" s="57"/>
      <c r="AA990" s="57"/>
      <c r="AB990" s="38">
        <f>SUM(AB947:AB989)</f>
        <v>273885.5</v>
      </c>
      <c r="AC990" s="38">
        <f>SUM(AC947:AC971)</f>
        <v>-2712</v>
      </c>
      <c r="AD990" s="38">
        <f>SUM(AD947:AD971)</f>
        <v>0</v>
      </c>
      <c r="AE990" s="38">
        <f>SUM(AE947:AE989)</f>
        <v>271173.5</v>
      </c>
      <c r="AF990" s="4"/>
      <c r="AG990" s="41">
        <f>SUM(AG947:AG989)</f>
        <v>0</v>
      </c>
      <c r="AH990" s="41">
        <f>SUM(AH947:AH971)</f>
        <v>-3330</v>
      </c>
      <c r="AI990" s="42">
        <f>SUM(AI947:AI989)</f>
        <v>267843.5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Y997" t="s">
        <v>34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Y998" s="21" t="s">
        <v>89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35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6"/>
      <c r="E1000" s="116"/>
      <c r="F1000" s="86"/>
      <c r="G1000" s="86"/>
      <c r="H1000" s="62"/>
      <c r="I1000" s="116"/>
      <c r="J1000" s="116"/>
      <c r="K1000" s="115"/>
      <c r="L1000" s="62"/>
      <c r="M1000" s="62"/>
      <c r="N1000" s="65"/>
      <c r="O1000" s="86"/>
      <c r="P1000" s="116"/>
      <c r="Q1000" s="116"/>
      <c r="R1000" s="86"/>
      <c r="S1000" s="86"/>
      <c r="T1000" s="62"/>
      <c r="U1000" s="116"/>
      <c r="V1000" s="116"/>
      <c r="W1000" s="115"/>
      <c r="Z1000" s="25"/>
      <c r="AA1000" s="26"/>
      <c r="AB1000" s="121" t="s">
        <v>17</v>
      </c>
      <c r="AC1000" s="121"/>
      <c r="AD1000" s="109"/>
      <c r="AE1000" s="27"/>
      <c r="AG1000" s="119" t="s">
        <v>18</v>
      </c>
      <c r="AH1000" s="120"/>
      <c r="AI1000" s="117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5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5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8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Y1002" s="10">
        <v>1</v>
      </c>
      <c r="Z1002" s="30" t="s">
        <v>90</v>
      </c>
      <c r="AA1002" s="31">
        <v>9192</v>
      </c>
      <c r="AB1002" s="32">
        <f>223*650+670*10+622*50+229*5</f>
        <v>183895</v>
      </c>
      <c r="AC1002" s="32">
        <f>-283*6</f>
        <v>-1698</v>
      </c>
      <c r="AD1002" s="32"/>
      <c r="AE1002" s="32">
        <f>SUM(AB1002:AC1002)</f>
        <v>182197</v>
      </c>
      <c r="AF1002" s="12"/>
      <c r="AG1002" s="12"/>
      <c r="AH1002" s="12"/>
      <c r="AI1002" s="12">
        <f>SUM(AE1002:AH1002)</f>
        <v>182197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Y1003" s="10">
        <v>2</v>
      </c>
      <c r="Z1003" s="30" t="s">
        <v>90</v>
      </c>
      <c r="AA1003" s="31">
        <f>AA1002+1</f>
        <v>9193</v>
      </c>
      <c r="AB1003" s="32">
        <f>650*69+622*2</f>
        <v>46094</v>
      </c>
      <c r="AD1003" s="32"/>
      <c r="AE1003" s="32">
        <f t="shared" ref="AE1003:AE1004" si="290">SUM(AB1003:AC1003)</f>
        <v>46094</v>
      </c>
      <c r="AF1003" s="12"/>
      <c r="AG1003" s="12"/>
      <c r="AH1003">
        <f>-120+-30*111</f>
        <v>-3450</v>
      </c>
      <c r="AI1003" s="12">
        <f t="shared" ref="AI1003:AI1004" si="291">SUM(AE1003:AH1003)</f>
        <v>42644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Y1004" s="10">
        <v>3</v>
      </c>
      <c r="Z1004" s="30" t="s">
        <v>90</v>
      </c>
      <c r="AA1004" s="31">
        <f t="shared" ref="AA1004:AA1006" si="292">AA1003+1</f>
        <v>9194</v>
      </c>
      <c r="AB1004" s="32">
        <f>650*4+872+229</f>
        <v>3701</v>
      </c>
      <c r="AC1004" s="33"/>
      <c r="AD1004" s="32"/>
      <c r="AE1004" s="32">
        <f t="shared" si="290"/>
        <v>3701</v>
      </c>
      <c r="AF1004" s="12"/>
      <c r="AG1004" s="12">
        <v>30</v>
      </c>
      <c r="AH1004" s="12"/>
      <c r="AI1004" s="12">
        <f t="shared" si="291"/>
        <v>3731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Y1005" s="10">
        <v>4</v>
      </c>
      <c r="Z1005" s="30" t="s">
        <v>90</v>
      </c>
      <c r="AA1005" s="31">
        <f t="shared" si="292"/>
        <v>9195</v>
      </c>
      <c r="AB1005" s="32">
        <f>1744</f>
        <v>1744</v>
      </c>
      <c r="AC1005" s="32"/>
      <c r="AD1005" s="32"/>
      <c r="AE1005" s="32">
        <f>SUM(AB1005:AC1005)</f>
        <v>1744</v>
      </c>
      <c r="AF1005" s="12"/>
      <c r="AH1005" s="12">
        <v>-333</v>
      </c>
      <c r="AI1005" s="12">
        <f>SUM(AE1005:AH1005)</f>
        <v>1411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Y1006" s="10">
        <v>5</v>
      </c>
      <c r="Z1006" s="30" t="s">
        <v>90</v>
      </c>
      <c r="AA1006" s="31">
        <f t="shared" si="292"/>
        <v>9196</v>
      </c>
      <c r="AB1006" s="33">
        <f>650*108+622*45+229*6</f>
        <v>99564</v>
      </c>
      <c r="AC1006" s="32"/>
      <c r="AD1006" s="32"/>
      <c r="AE1006" s="32">
        <f>SUM(AB1006:AC1006)</f>
        <v>99564</v>
      </c>
      <c r="AF1006" s="12"/>
      <c r="AG1006" s="12"/>
      <c r="AH1006" s="12"/>
      <c r="AI1006" s="12">
        <f t="shared" ref="AI1006:AI1043" si="293">SUM(AE1006:AH1006)</f>
        <v>99564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ref="AE1007:AE1040" si="294">SUM(AB1007:AC1007)</f>
        <v>0</v>
      </c>
      <c r="AF1007" s="12"/>
      <c r="AG1007" s="12"/>
      <c r="AH1007" s="10"/>
      <c r="AI1007" s="12">
        <f t="shared" si="293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Y1008" s="10">
        <v>7</v>
      </c>
      <c r="Z1008" s="30"/>
      <c r="AA1008" s="31"/>
      <c r="AB1008" s="32"/>
      <c r="AC1008" s="32"/>
      <c r="AD1008" s="32"/>
      <c r="AE1008" s="32">
        <f t="shared" si="294"/>
        <v>0</v>
      </c>
      <c r="AF1008" s="12"/>
      <c r="AG1008" s="58"/>
      <c r="AH1008" s="12"/>
      <c r="AI1008" s="12">
        <f t="shared" si="293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Y1009" s="10">
        <v>8</v>
      </c>
      <c r="Z1009" s="30"/>
      <c r="AA1009" s="31"/>
      <c r="AB1009" s="32"/>
      <c r="AC1009" s="32"/>
      <c r="AE1009" s="32">
        <f t="shared" si="294"/>
        <v>0</v>
      </c>
      <c r="AF1009" s="12"/>
      <c r="AG1009" s="12"/>
      <c r="AH1009" s="12"/>
      <c r="AI1009" s="12">
        <f t="shared" si="293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Y1010" s="10">
        <v>9</v>
      </c>
      <c r="Z1010" s="30"/>
      <c r="AA1010" s="31"/>
      <c r="AC1010" s="32"/>
      <c r="AD1010" s="32"/>
      <c r="AE1010" s="32">
        <f t="shared" si="294"/>
        <v>0</v>
      </c>
      <c r="AF1010" s="12"/>
      <c r="AH1010" s="12"/>
      <c r="AI1010" s="12">
        <f t="shared" si="293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Y1011" s="10">
        <v>10</v>
      </c>
      <c r="Z1011" s="30"/>
      <c r="AA1011" s="31"/>
      <c r="AB1011" s="32"/>
      <c r="AC1011" s="32"/>
      <c r="AD1011" s="32"/>
      <c r="AE1011" s="32">
        <f t="shared" si="294"/>
        <v>0</v>
      </c>
      <c r="AF1011" s="12"/>
      <c r="AG1011" s="12"/>
      <c r="AH1011" s="12"/>
      <c r="AI1011" s="12">
        <f t="shared" si="293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Y1012" s="10">
        <v>11</v>
      </c>
      <c r="Z1012" s="30"/>
      <c r="AB1012" s="32"/>
      <c r="AC1012" s="32"/>
      <c r="AD1012" s="32"/>
      <c r="AE1012" s="32">
        <f t="shared" si="294"/>
        <v>0</v>
      </c>
      <c r="AF1012" s="12"/>
      <c r="AG1012" s="12"/>
      <c r="AH1012" s="12"/>
      <c r="AI1012" s="12">
        <f t="shared" si="293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Y1013" s="10">
        <v>12</v>
      </c>
      <c r="Z1013" s="30"/>
      <c r="AA1013" s="31"/>
      <c r="AB1013" s="32"/>
      <c r="AC1013" s="32"/>
      <c r="AD1013" s="32"/>
      <c r="AE1013" s="32">
        <f t="shared" si="294"/>
        <v>0</v>
      </c>
      <c r="AF1013" s="12"/>
      <c r="AG1013" s="12"/>
      <c r="AH1013" s="12"/>
      <c r="AI1013" s="12">
        <f t="shared" si="293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Y1014" s="10">
        <v>13</v>
      </c>
      <c r="Z1014" s="30"/>
      <c r="AB1014" s="32"/>
      <c r="AC1014" s="32"/>
      <c r="AD1014" s="32"/>
      <c r="AE1014" s="32">
        <f t="shared" si="294"/>
        <v>0</v>
      </c>
      <c r="AF1014" s="12"/>
      <c r="AG1014" s="12"/>
      <c r="AH1014" s="12"/>
      <c r="AI1014" s="12">
        <f t="shared" si="293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Y1015" s="10">
        <v>14</v>
      </c>
      <c r="Z1015" s="30"/>
      <c r="AA1015" s="31"/>
      <c r="AB1015" s="32"/>
      <c r="AC1015" s="32"/>
      <c r="AD1015" s="32"/>
      <c r="AE1015" s="32">
        <f t="shared" si="294"/>
        <v>0</v>
      </c>
      <c r="AF1015" s="12"/>
      <c r="AG1015" s="12"/>
      <c r="AH1015" s="12"/>
      <c r="AI1015" s="12">
        <f t="shared" si="293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Y1016" s="10">
        <v>15</v>
      </c>
      <c r="Z1016" s="30"/>
      <c r="AB1016" s="32"/>
      <c r="AC1016" s="32"/>
      <c r="AD1016" s="32"/>
      <c r="AE1016" s="32">
        <f t="shared" si="294"/>
        <v>0</v>
      </c>
      <c r="AF1016" s="12"/>
      <c r="AG1016" s="12"/>
      <c r="AH1016" s="12"/>
      <c r="AI1016" s="12">
        <f t="shared" si="293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Y1017" s="10">
        <v>16</v>
      </c>
      <c r="Z1017" s="30"/>
      <c r="AA1017" s="31"/>
      <c r="AB1017" s="32"/>
      <c r="AC1017" s="32"/>
      <c r="AD1017" s="32"/>
      <c r="AE1017" s="32">
        <f t="shared" si="294"/>
        <v>0</v>
      </c>
      <c r="AF1017" s="12"/>
      <c r="AG1017" s="12"/>
      <c r="AH1017" s="12"/>
      <c r="AI1017" s="12">
        <f t="shared" si="293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Y1018" s="10">
        <v>17</v>
      </c>
      <c r="Z1018" s="30"/>
      <c r="AA1018" s="31"/>
      <c r="AB1018" s="35"/>
      <c r="AC1018" s="32"/>
      <c r="AD1018" s="32"/>
      <c r="AE1018" s="32">
        <f t="shared" si="294"/>
        <v>0</v>
      </c>
      <c r="AF1018" s="12"/>
      <c r="AG1018" s="12"/>
      <c r="AH1018" s="12"/>
      <c r="AI1018" s="12">
        <f t="shared" si="293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Y1019" s="10">
        <v>18</v>
      </c>
      <c r="Z1019" s="30"/>
      <c r="AA1019" s="31"/>
      <c r="AB1019" s="32"/>
      <c r="AC1019" s="32"/>
      <c r="AD1019" s="32"/>
      <c r="AE1019" s="32">
        <f t="shared" si="294"/>
        <v>0</v>
      </c>
      <c r="AF1019" s="12"/>
      <c r="AG1019" s="12"/>
      <c r="AH1019" s="12"/>
      <c r="AI1019" s="12">
        <f t="shared" si="293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Y1020" s="10">
        <v>19</v>
      </c>
      <c r="Z1020" s="30"/>
      <c r="AA1020" s="31"/>
      <c r="AB1020" s="32"/>
      <c r="AC1020" s="32"/>
      <c r="AD1020" s="32"/>
      <c r="AE1020" s="32">
        <f t="shared" si="294"/>
        <v>0</v>
      </c>
      <c r="AF1020" s="12"/>
      <c r="AG1020" s="12"/>
      <c r="AH1020" s="12"/>
      <c r="AI1020" s="12">
        <f t="shared" si="293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Y1021" s="10">
        <v>20</v>
      </c>
      <c r="Z1021" s="30"/>
      <c r="AA1021" s="31"/>
      <c r="AB1021" s="32"/>
      <c r="AC1021" s="32"/>
      <c r="AD1021" s="32"/>
      <c r="AE1021" s="32">
        <f t="shared" si="294"/>
        <v>0</v>
      </c>
      <c r="AF1021" s="12"/>
      <c r="AG1021" s="12"/>
      <c r="AH1021" s="12"/>
      <c r="AI1021" s="12">
        <f t="shared" si="293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Y1022" s="10">
        <v>21</v>
      </c>
      <c r="Z1022" s="30"/>
      <c r="AB1022" s="46"/>
      <c r="AC1022" s="31"/>
      <c r="AD1022" s="31"/>
      <c r="AE1022" s="32">
        <f t="shared" si="294"/>
        <v>0</v>
      </c>
      <c r="AF1022" s="10"/>
      <c r="AG1022" s="10"/>
      <c r="AH1022" s="10"/>
      <c r="AI1022" s="12">
        <f t="shared" si="293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Y1023" s="10">
        <v>22</v>
      </c>
      <c r="Z1023" s="30"/>
      <c r="AA1023" s="31"/>
      <c r="AB1023" s="45"/>
      <c r="AC1023" s="31"/>
      <c r="AD1023" s="31"/>
      <c r="AE1023" s="32">
        <f t="shared" si="294"/>
        <v>0</v>
      </c>
      <c r="AF1023" s="10"/>
      <c r="AG1023" s="10"/>
      <c r="AH1023" s="10"/>
      <c r="AI1023" s="12">
        <f t="shared" si="293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Y1024" s="10">
        <v>23</v>
      </c>
      <c r="Z1024" s="30"/>
      <c r="AA1024" s="31"/>
      <c r="AB1024" s="47"/>
      <c r="AC1024" s="31"/>
      <c r="AE1024" s="32">
        <f t="shared" si="294"/>
        <v>0</v>
      </c>
      <c r="AF1024" s="10"/>
      <c r="AG1024" s="10"/>
      <c r="AH1024" s="10"/>
      <c r="AI1024" s="12">
        <f t="shared" si="293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Y1025" s="10">
        <v>24</v>
      </c>
      <c r="Z1025" s="30"/>
      <c r="AA1025" s="31"/>
      <c r="AB1025" s="47"/>
      <c r="AC1025" s="31"/>
      <c r="AD1025" s="31"/>
      <c r="AE1025" s="32">
        <f t="shared" si="294"/>
        <v>0</v>
      </c>
      <c r="AF1025" s="10"/>
      <c r="AG1025" s="10"/>
      <c r="AH1025" s="10"/>
      <c r="AI1025" s="12">
        <f t="shared" si="293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Y1026" s="10">
        <v>25</v>
      </c>
      <c r="Z1026" s="30"/>
      <c r="AA1026" s="31"/>
      <c r="AB1026" s="47"/>
      <c r="AC1026" s="31"/>
      <c r="AD1026" s="31"/>
      <c r="AE1026" s="32">
        <f t="shared" si="294"/>
        <v>0</v>
      </c>
      <c r="AF1026" s="10"/>
      <c r="AG1026" s="10"/>
      <c r="AH1026" s="10"/>
      <c r="AI1026" s="12">
        <f t="shared" si="293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Y1027" s="10">
        <v>26</v>
      </c>
      <c r="Z1027" s="30"/>
      <c r="AA1027" s="31"/>
      <c r="AB1027" s="47"/>
      <c r="AC1027" s="31"/>
      <c r="AD1027" s="31"/>
      <c r="AE1027" s="32">
        <f t="shared" si="294"/>
        <v>0</v>
      </c>
      <c r="AF1027" s="10"/>
      <c r="AG1027" s="10"/>
      <c r="AH1027" s="10"/>
      <c r="AI1027" s="12">
        <f t="shared" si="293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Y1028" s="10">
        <v>27</v>
      </c>
      <c r="Z1028" s="30"/>
      <c r="AA1028" s="31"/>
      <c r="AB1028" s="47"/>
      <c r="AC1028" s="31"/>
      <c r="AD1028" s="31"/>
      <c r="AE1028" s="32">
        <f t="shared" si="294"/>
        <v>0</v>
      </c>
      <c r="AF1028" s="10"/>
      <c r="AG1028" s="10"/>
      <c r="AH1028" s="10"/>
      <c r="AI1028" s="12">
        <f t="shared" si="293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Y1029" s="10">
        <v>28</v>
      </c>
      <c r="Z1029" s="30"/>
      <c r="AA1029" s="31"/>
      <c r="AB1029" s="47"/>
      <c r="AC1029" s="31"/>
      <c r="AD1029" s="31"/>
      <c r="AE1029" s="32">
        <f t="shared" si="294"/>
        <v>0</v>
      </c>
      <c r="AF1029" s="10"/>
      <c r="AG1029" s="10"/>
      <c r="AH1029" s="10"/>
      <c r="AI1029" s="12">
        <f t="shared" si="293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Y1030" s="10">
        <v>29</v>
      </c>
      <c r="Z1030" s="30"/>
      <c r="AA1030" s="31"/>
      <c r="AB1030" s="47"/>
      <c r="AC1030" s="31"/>
      <c r="AD1030" s="31"/>
      <c r="AE1030" s="32">
        <f t="shared" si="294"/>
        <v>0</v>
      </c>
      <c r="AF1030" s="10"/>
      <c r="AG1030" s="10"/>
      <c r="AH1030" s="10"/>
      <c r="AI1030" s="12">
        <f t="shared" si="293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Y1031" s="10">
        <v>30</v>
      </c>
      <c r="Z1031" s="30"/>
      <c r="AA1031" s="31"/>
      <c r="AB1031" s="47"/>
      <c r="AC1031" s="31"/>
      <c r="AD1031" s="31"/>
      <c r="AE1031" s="32">
        <f t="shared" si="294"/>
        <v>0</v>
      </c>
      <c r="AF1031" s="10"/>
      <c r="AG1031" s="10"/>
      <c r="AH1031" s="10"/>
      <c r="AI1031" s="12">
        <f t="shared" si="293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Y1032" s="10">
        <v>31</v>
      </c>
      <c r="Z1032" s="30"/>
      <c r="AA1032" s="31"/>
      <c r="AB1032" s="47"/>
      <c r="AC1032" s="31"/>
      <c r="AD1032" s="31"/>
      <c r="AE1032" s="32">
        <f t="shared" si="294"/>
        <v>0</v>
      </c>
      <c r="AF1032" s="10"/>
      <c r="AG1032" s="10"/>
      <c r="AH1032" s="10"/>
      <c r="AI1032" s="12">
        <f t="shared" si="293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Y1033" s="10">
        <v>32</v>
      </c>
      <c r="Z1033" s="30"/>
      <c r="AA1033" s="31"/>
      <c r="AB1033" s="47"/>
      <c r="AC1033" s="31"/>
      <c r="AD1033" s="31"/>
      <c r="AE1033" s="32">
        <f t="shared" si="294"/>
        <v>0</v>
      </c>
      <c r="AF1033" s="10"/>
      <c r="AG1033" s="10"/>
      <c r="AH1033" s="10"/>
      <c r="AI1033" s="12">
        <f t="shared" si="293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Y1034" s="10">
        <v>33</v>
      </c>
      <c r="Z1034" s="30"/>
      <c r="AA1034" s="31"/>
      <c r="AB1034" s="47"/>
      <c r="AC1034" s="31"/>
      <c r="AD1034" s="31"/>
      <c r="AE1034" s="32">
        <f t="shared" si="294"/>
        <v>0</v>
      </c>
      <c r="AF1034" s="10"/>
      <c r="AG1034" s="10"/>
      <c r="AH1034" s="10"/>
      <c r="AI1034" s="12">
        <f t="shared" si="293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Y1035" s="10">
        <v>34</v>
      </c>
      <c r="Z1035" s="30"/>
      <c r="AA1035" s="31"/>
      <c r="AB1035" s="47"/>
      <c r="AC1035" s="31"/>
      <c r="AD1035" s="31"/>
      <c r="AE1035" s="32">
        <f t="shared" si="294"/>
        <v>0</v>
      </c>
      <c r="AF1035" s="10"/>
      <c r="AG1035" s="10"/>
      <c r="AH1035" s="10"/>
      <c r="AI1035" s="12">
        <f t="shared" si="293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Y1036" s="10">
        <v>35</v>
      </c>
      <c r="Z1036" s="30"/>
      <c r="AA1036" s="31"/>
      <c r="AB1036" s="47"/>
      <c r="AC1036" s="31"/>
      <c r="AD1036" s="31"/>
      <c r="AE1036" s="32">
        <f t="shared" si="294"/>
        <v>0</v>
      </c>
      <c r="AF1036" s="10"/>
      <c r="AG1036" s="10"/>
      <c r="AH1036" s="10"/>
      <c r="AI1036" s="12">
        <f t="shared" si="293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Y1037" s="10">
        <v>36</v>
      </c>
      <c r="Z1037" s="30"/>
      <c r="AA1037" s="31"/>
      <c r="AB1037" s="47"/>
      <c r="AC1037" s="31"/>
      <c r="AD1037" s="31"/>
      <c r="AE1037" s="32">
        <f t="shared" si="294"/>
        <v>0</v>
      </c>
      <c r="AF1037" s="10"/>
      <c r="AG1037" s="10"/>
      <c r="AH1037" s="10"/>
      <c r="AI1037" s="12">
        <f t="shared" si="293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Y1038" s="10">
        <v>37</v>
      </c>
      <c r="Z1038" s="30"/>
      <c r="AA1038" s="31"/>
      <c r="AB1038" s="47"/>
      <c r="AC1038" s="31"/>
      <c r="AD1038" s="31"/>
      <c r="AE1038" s="32">
        <f t="shared" si="294"/>
        <v>0</v>
      </c>
      <c r="AF1038" s="10"/>
      <c r="AG1038" s="10"/>
      <c r="AH1038" s="10"/>
      <c r="AI1038" s="12">
        <f t="shared" si="293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Y1039" s="10">
        <v>38</v>
      </c>
      <c r="Z1039" s="30"/>
      <c r="AA1039" s="31"/>
      <c r="AB1039" s="47"/>
      <c r="AC1039" s="31"/>
      <c r="AD1039" s="31"/>
      <c r="AE1039" s="32">
        <f t="shared" si="294"/>
        <v>0</v>
      </c>
      <c r="AF1039" s="10"/>
      <c r="AG1039" s="10"/>
      <c r="AH1039" s="10"/>
      <c r="AI1039" s="12">
        <f t="shared" si="293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Y1040" s="10">
        <v>39</v>
      </c>
      <c r="Z1040" s="30"/>
      <c r="AA1040" s="31"/>
      <c r="AB1040" s="47"/>
      <c r="AC1040" s="31"/>
      <c r="AD1040" s="31"/>
      <c r="AE1040" s="32">
        <f t="shared" si="294"/>
        <v>0</v>
      </c>
      <c r="AF1040" s="10"/>
      <c r="AG1040" s="10"/>
      <c r="AH1040" s="10"/>
      <c r="AI1040" s="12">
        <f t="shared" si="293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3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Y1042" s="10"/>
      <c r="Z1042" s="30"/>
      <c r="AA1042" s="31"/>
      <c r="AB1042" s="47"/>
      <c r="AC1042" s="31"/>
      <c r="AD1042" s="31"/>
      <c r="AE1042" s="32">
        <f t="shared" ref="AE1042" si="295">SUM(AB1042:AC1042)</f>
        <v>0</v>
      </c>
      <c r="AF1042" s="10"/>
      <c r="AG1042" s="10"/>
      <c r="AH1042" s="10"/>
      <c r="AI1042" s="12">
        <f t="shared" si="293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3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Z1045" s="57"/>
      <c r="AA1045" s="57"/>
      <c r="AB1045" s="38">
        <f>SUM(AB1002:AB1044)</f>
        <v>334998</v>
      </c>
      <c r="AC1045" s="38">
        <f>SUM(AC1002:AC1026)</f>
        <v>-1698</v>
      </c>
      <c r="AD1045" s="38">
        <f>SUM(AD1002:AD1026)</f>
        <v>0</v>
      </c>
      <c r="AE1045" s="38">
        <f>SUM(AE1002:AE1044)</f>
        <v>333300</v>
      </c>
      <c r="AF1045" s="4"/>
      <c r="AG1045" s="41">
        <f>SUM(AG1002:AG1044)</f>
        <v>30</v>
      </c>
      <c r="AH1045" s="41">
        <f>SUM(AH1002:AH1026)</f>
        <v>-3783</v>
      </c>
      <c r="AI1045" s="42">
        <f>SUM(AI1002:AI1044)</f>
        <v>329547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39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39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91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91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33</v>
      </c>
      <c r="W1053" s="24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1" t="s">
        <v>17</v>
      </c>
      <c r="E1055" s="121"/>
      <c r="F1055" s="110"/>
      <c r="G1055" s="27"/>
      <c r="I1055" s="119" t="s">
        <v>18</v>
      </c>
      <c r="J1055" s="120"/>
      <c r="K1055" s="117" t="s">
        <v>19</v>
      </c>
      <c r="N1055" s="25"/>
      <c r="O1055" s="26"/>
      <c r="P1055" s="121" t="s">
        <v>17</v>
      </c>
      <c r="Q1055" s="121"/>
      <c r="R1055" s="110"/>
      <c r="S1055" s="27"/>
      <c r="U1055" s="119" t="s">
        <v>18</v>
      </c>
      <c r="V1055" s="120"/>
      <c r="W1055" s="117" t="s">
        <v>19</v>
      </c>
      <c r="Y1055" s="62"/>
      <c r="Z1055" s="65"/>
      <c r="AA1055" s="86"/>
      <c r="AB1055" s="116"/>
      <c r="AC1055" s="116"/>
      <c r="AD1055" s="86"/>
      <c r="AE1055" s="86"/>
      <c r="AF1055" s="62"/>
      <c r="AG1055" s="116"/>
      <c r="AH1055" s="116"/>
      <c r="AI1055" s="11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18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18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92</v>
      </c>
      <c r="C1057" s="83">
        <v>9240</v>
      </c>
      <c r="D1057" s="32">
        <f>650*10+670+622*6+912+9.5*6</f>
        <v>11871</v>
      </c>
      <c r="E1057" s="32"/>
      <c r="F1057" s="32"/>
      <c r="G1057" s="32">
        <f t="shared" ref="G1057:G1090" si="296">SUM(D1057:E1057)</f>
        <v>11871</v>
      </c>
      <c r="H1057" s="12"/>
      <c r="I1057" s="12"/>
      <c r="J1057" s="12"/>
      <c r="K1057" s="12">
        <f t="shared" ref="K1057:K1090" si="297">SUM(G1057:J1057)</f>
        <v>11871</v>
      </c>
      <c r="M1057" s="10">
        <v>1</v>
      </c>
      <c r="N1057" s="30" t="s">
        <v>92</v>
      </c>
      <c r="O1057" s="31">
        <v>9295</v>
      </c>
      <c r="P1057" s="32">
        <f>650*432+622*108+229*22</f>
        <v>353014</v>
      </c>
      <c r="Q1057" s="32">
        <f>-540*6</f>
        <v>-3240</v>
      </c>
      <c r="R1057" s="32"/>
      <c r="S1057" s="32">
        <f>SUM(P1057:Q1057)</f>
        <v>349774</v>
      </c>
      <c r="T1057" s="12"/>
      <c r="U1057" s="12">
        <v>1326</v>
      </c>
      <c r="V1057" s="12">
        <f>-1680+-840</f>
        <v>-2520</v>
      </c>
      <c r="W1057" s="12">
        <f>SUM(S1057:V1057)</f>
        <v>348580</v>
      </c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92</v>
      </c>
      <c r="C1058" s="83">
        <f>C1057+1</f>
        <v>9241</v>
      </c>
      <c r="D1058" s="32">
        <f>650*17+670+622</f>
        <v>12342</v>
      </c>
      <c r="E1058" s="32"/>
      <c r="F1058" s="32"/>
      <c r="G1058" s="32">
        <f t="shared" si="296"/>
        <v>12342</v>
      </c>
      <c r="H1058" s="12"/>
      <c r="I1058" s="12"/>
      <c r="J1058" s="12"/>
      <c r="K1058" s="12">
        <f t="shared" si="297"/>
        <v>12342</v>
      </c>
      <c r="M1058" s="10">
        <v>2</v>
      </c>
      <c r="N1058" s="30" t="s">
        <v>92</v>
      </c>
      <c r="O1058" s="31">
        <f>O1057+1</f>
        <v>9296</v>
      </c>
      <c r="P1058" s="32">
        <f>650*4+670</f>
        <v>3270</v>
      </c>
      <c r="Q1058" s="32"/>
      <c r="R1058" s="32"/>
      <c r="S1058" s="32">
        <f t="shared" ref="S1058:S1095" si="298">SUM(P1058:Q1058)</f>
        <v>3270</v>
      </c>
      <c r="T1058" s="12"/>
      <c r="U1058" s="12"/>
      <c r="V1058" s="12">
        <v>-666</v>
      </c>
      <c r="W1058" s="12">
        <f t="shared" ref="W1058:W1098" si="299">SUM(S1058:V1058)</f>
        <v>2604</v>
      </c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92</v>
      </c>
      <c r="C1059" s="83">
        <f t="shared" ref="C1059:C1081" si="300">C1058+1</f>
        <v>9242</v>
      </c>
      <c r="D1059" s="33">
        <f>650*3+9.5*3</f>
        <v>1978.5</v>
      </c>
      <c r="E1059" s="33"/>
      <c r="F1059" s="33"/>
      <c r="G1059" s="33">
        <f t="shared" si="296"/>
        <v>1978.5</v>
      </c>
      <c r="H1059" s="34"/>
      <c r="I1059" s="34"/>
      <c r="J1059" s="34">
        <v>-111</v>
      </c>
      <c r="K1059" s="34">
        <f t="shared" si="297"/>
        <v>1867.5</v>
      </c>
      <c r="M1059" s="10">
        <v>3</v>
      </c>
      <c r="N1059" s="30" t="s">
        <v>92</v>
      </c>
      <c r="O1059" s="31">
        <f t="shared" ref="O1059:O1061" si="301">O1058+1</f>
        <v>9297</v>
      </c>
      <c r="P1059" s="32">
        <f>650*30</f>
        <v>19500</v>
      </c>
      <c r="Q1059" s="32"/>
      <c r="R1059" s="32"/>
      <c r="S1059" s="32">
        <f t="shared" si="298"/>
        <v>19500</v>
      </c>
      <c r="T1059" s="12"/>
      <c r="U1059" s="12">
        <v>27</v>
      </c>
      <c r="V1059" s="12"/>
      <c r="W1059" s="12">
        <f t="shared" si="299"/>
        <v>19527</v>
      </c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92</v>
      </c>
      <c r="C1060" s="83">
        <f t="shared" si="300"/>
        <v>9243</v>
      </c>
      <c r="D1060" s="32">
        <f>650*8+622+9.5*9</f>
        <v>5907.5</v>
      </c>
      <c r="E1060" s="32"/>
      <c r="F1060" s="32"/>
      <c r="G1060" s="32">
        <f t="shared" si="296"/>
        <v>5907.5</v>
      </c>
      <c r="H1060" s="12"/>
      <c r="I1060" s="12"/>
      <c r="J1060" s="12"/>
      <c r="K1060" s="12">
        <f t="shared" si="297"/>
        <v>5907.5</v>
      </c>
      <c r="M1060" s="10">
        <v>4</v>
      </c>
      <c r="N1060" s="30"/>
      <c r="O1060" s="11" t="s">
        <v>27</v>
      </c>
      <c r="P1060" s="32"/>
      <c r="Q1060" s="32"/>
      <c r="R1060" s="32"/>
      <c r="S1060" s="32">
        <f t="shared" si="298"/>
        <v>0</v>
      </c>
      <c r="T1060" s="12"/>
      <c r="U1060" s="12"/>
      <c r="V1060" s="12"/>
      <c r="W1060" s="12">
        <f t="shared" si="299"/>
        <v>0</v>
      </c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92</v>
      </c>
      <c r="C1061" s="83">
        <f t="shared" si="300"/>
        <v>9244</v>
      </c>
      <c r="D1061" s="32">
        <f>650*2+9.5*2</f>
        <v>1319</v>
      </c>
      <c r="E1061" s="32"/>
      <c r="F1061" s="32"/>
      <c r="G1061" s="32">
        <f t="shared" si="296"/>
        <v>1319</v>
      </c>
      <c r="H1061" s="12"/>
      <c r="I1061" s="12"/>
      <c r="J1061" s="12"/>
      <c r="K1061" s="12">
        <f t="shared" si="297"/>
        <v>1319</v>
      </c>
      <c r="M1061" s="10">
        <v>5</v>
      </c>
      <c r="N1061" s="30"/>
      <c r="O1061" s="31"/>
      <c r="P1061" s="32"/>
      <c r="Q1061" s="32"/>
      <c r="R1061" s="32"/>
      <c r="S1061" s="32">
        <f t="shared" si="298"/>
        <v>0</v>
      </c>
      <c r="T1061" s="12"/>
      <c r="U1061" s="12"/>
      <c r="V1061" s="12"/>
      <c r="W1061" s="12">
        <f t="shared" si="299"/>
        <v>0</v>
      </c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92</v>
      </c>
      <c r="C1062" s="83">
        <f t="shared" si="300"/>
        <v>9245</v>
      </c>
      <c r="D1062" s="32">
        <f>650*16</f>
        <v>10400</v>
      </c>
      <c r="E1062" s="32"/>
      <c r="F1062" s="32"/>
      <c r="G1062" s="32">
        <f t="shared" si="296"/>
        <v>10400</v>
      </c>
      <c r="H1062" s="12"/>
      <c r="I1062" s="12"/>
      <c r="J1062" s="12"/>
      <c r="K1062" s="12">
        <f t="shared" si="297"/>
        <v>10400</v>
      </c>
      <c r="M1062" s="10">
        <v>6</v>
      </c>
      <c r="N1062" s="30"/>
      <c r="P1062" s="32"/>
      <c r="Q1062" s="32"/>
      <c r="R1062" s="32"/>
      <c r="S1062" s="32">
        <f t="shared" si="298"/>
        <v>0</v>
      </c>
      <c r="T1062" s="12"/>
      <c r="U1062" s="12"/>
      <c r="V1062" s="10"/>
      <c r="W1062" s="12">
        <f t="shared" si="299"/>
        <v>0</v>
      </c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92</v>
      </c>
      <c r="C1063" s="83">
        <f t="shared" si="300"/>
        <v>9246</v>
      </c>
      <c r="D1063" s="32">
        <f>650*45+229</f>
        <v>29479</v>
      </c>
      <c r="E1063" s="32"/>
      <c r="F1063" s="32"/>
      <c r="G1063" s="32">
        <f t="shared" si="296"/>
        <v>29479</v>
      </c>
      <c r="H1063" s="12"/>
      <c r="I1063" s="12"/>
      <c r="J1063" s="12"/>
      <c r="K1063" s="12">
        <f t="shared" si="297"/>
        <v>29479</v>
      </c>
      <c r="M1063" s="10">
        <v>7</v>
      </c>
      <c r="N1063" s="30"/>
      <c r="O1063" s="31"/>
      <c r="P1063" s="32"/>
      <c r="Q1063" s="32"/>
      <c r="R1063" s="32"/>
      <c r="S1063" s="32">
        <f t="shared" si="298"/>
        <v>0</v>
      </c>
      <c r="T1063" s="12"/>
      <c r="U1063" s="12"/>
      <c r="V1063" s="12"/>
      <c r="W1063" s="12">
        <f t="shared" si="299"/>
        <v>0</v>
      </c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92</v>
      </c>
      <c r="C1064" s="83">
        <f t="shared" si="300"/>
        <v>9247</v>
      </c>
      <c r="D1064" s="32">
        <f>650*11</f>
        <v>7150</v>
      </c>
      <c r="E1064" s="32"/>
      <c r="F1064" s="32"/>
      <c r="G1064" s="32">
        <f t="shared" si="296"/>
        <v>7150</v>
      </c>
      <c r="H1064" s="12"/>
      <c r="I1064" s="12"/>
      <c r="J1064" s="12"/>
      <c r="K1064" s="12">
        <f t="shared" si="297"/>
        <v>7150</v>
      </c>
      <c r="M1064" s="10">
        <v>8</v>
      </c>
      <c r="N1064" s="30"/>
      <c r="O1064" s="31"/>
      <c r="P1064" s="32"/>
      <c r="Q1064" s="32"/>
      <c r="R1064" s="32"/>
      <c r="S1064" s="32">
        <f t="shared" si="298"/>
        <v>0</v>
      </c>
      <c r="T1064" s="12"/>
      <c r="U1064" s="12"/>
      <c r="V1064" s="12"/>
      <c r="W1064" s="12">
        <f t="shared" si="299"/>
        <v>0</v>
      </c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92</v>
      </c>
      <c r="C1065" s="83">
        <f t="shared" si="300"/>
        <v>9248</v>
      </c>
      <c r="D1065" s="32">
        <f>650*100+622*10</f>
        <v>71220</v>
      </c>
      <c r="E1065" s="32"/>
      <c r="F1065" s="32"/>
      <c r="G1065" s="32">
        <f t="shared" si="296"/>
        <v>71220</v>
      </c>
      <c r="H1065" s="12"/>
      <c r="I1065" s="12">
        <f>10*111+4.5*4</f>
        <v>1128</v>
      </c>
      <c r="J1065" s="12"/>
      <c r="K1065" s="12">
        <f t="shared" si="297"/>
        <v>72348</v>
      </c>
      <c r="M1065" s="10">
        <v>9</v>
      </c>
      <c r="N1065" s="30"/>
      <c r="O1065" s="31"/>
      <c r="P1065" s="32"/>
      <c r="Q1065" s="32"/>
      <c r="R1065" s="32"/>
      <c r="S1065" s="32">
        <f t="shared" si="298"/>
        <v>0</v>
      </c>
      <c r="T1065" s="12"/>
      <c r="U1065" s="12"/>
      <c r="V1065" s="12"/>
      <c r="W1065" s="12">
        <f t="shared" si="299"/>
        <v>0</v>
      </c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92</v>
      </c>
      <c r="C1066" s="83">
        <f t="shared" si="300"/>
        <v>9249</v>
      </c>
      <c r="D1066" s="32">
        <f>650*4+9.5*4</f>
        <v>2638</v>
      </c>
      <c r="E1066" s="32"/>
      <c r="F1066" s="32"/>
      <c r="G1066" s="32">
        <f t="shared" si="296"/>
        <v>2638</v>
      </c>
      <c r="H1066" s="12"/>
      <c r="I1066" s="12"/>
      <c r="J1066" s="12"/>
      <c r="K1066" s="12">
        <f t="shared" si="297"/>
        <v>2638</v>
      </c>
      <c r="M1066" s="10">
        <v>10</v>
      </c>
      <c r="N1066" s="30"/>
      <c r="O1066" s="31"/>
      <c r="P1066" s="32"/>
      <c r="Q1066" s="32"/>
      <c r="R1066" s="32"/>
      <c r="S1066" s="32">
        <f t="shared" si="298"/>
        <v>0</v>
      </c>
      <c r="T1066" s="12"/>
      <c r="U1066" s="12"/>
      <c r="V1066" s="12"/>
      <c r="W1066" s="12">
        <f t="shared" si="299"/>
        <v>0</v>
      </c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92</v>
      </c>
      <c r="C1067" s="83">
        <v>9111</v>
      </c>
      <c r="D1067" s="32">
        <f>650*6+9.5*6</f>
        <v>3957</v>
      </c>
      <c r="E1067" s="32"/>
      <c r="F1067" s="32"/>
      <c r="G1067" s="32">
        <f t="shared" si="296"/>
        <v>3957</v>
      </c>
      <c r="H1067" s="12"/>
      <c r="I1067" s="12"/>
      <c r="J1067" s="12"/>
      <c r="K1067" s="12">
        <f t="shared" si="297"/>
        <v>3957</v>
      </c>
      <c r="M1067" s="10">
        <v>11</v>
      </c>
      <c r="N1067" s="30"/>
      <c r="O1067" s="31"/>
      <c r="P1067" s="32"/>
      <c r="Q1067" s="32"/>
      <c r="R1067" s="32"/>
      <c r="S1067" s="32">
        <f t="shared" si="298"/>
        <v>0</v>
      </c>
      <c r="T1067" s="12"/>
      <c r="U1067" s="12"/>
      <c r="V1067" s="12"/>
      <c r="W1067" s="12">
        <f t="shared" si="299"/>
        <v>0</v>
      </c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92</v>
      </c>
      <c r="C1068" s="83">
        <f t="shared" si="300"/>
        <v>9112</v>
      </c>
      <c r="D1068" s="32">
        <f>650*4+9.5*4</f>
        <v>2638</v>
      </c>
      <c r="E1068" s="32"/>
      <c r="F1068" s="32"/>
      <c r="G1068" s="32">
        <f t="shared" si="296"/>
        <v>2638</v>
      </c>
      <c r="H1068" s="12"/>
      <c r="I1068" s="12"/>
      <c r="J1068" s="10"/>
      <c r="K1068" s="12">
        <f t="shared" si="297"/>
        <v>2638</v>
      </c>
      <c r="M1068" s="10">
        <v>12</v>
      </c>
      <c r="N1068" s="30"/>
      <c r="O1068" s="31"/>
      <c r="P1068" s="32"/>
      <c r="Q1068" s="32"/>
      <c r="R1068" s="32"/>
      <c r="S1068" s="32">
        <f t="shared" si="298"/>
        <v>0</v>
      </c>
      <c r="T1068" s="12"/>
      <c r="U1068" s="12"/>
      <c r="V1068" s="12"/>
      <c r="W1068" s="12">
        <f t="shared" si="299"/>
        <v>0</v>
      </c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92</v>
      </c>
      <c r="C1069" s="83">
        <f t="shared" si="300"/>
        <v>9113</v>
      </c>
      <c r="D1069" s="32">
        <f>650*3+622</f>
        <v>2572</v>
      </c>
      <c r="E1069" s="32"/>
      <c r="F1069" s="32"/>
      <c r="G1069" s="32">
        <f t="shared" si="296"/>
        <v>2572</v>
      </c>
      <c r="H1069" s="12"/>
      <c r="I1069" s="12"/>
      <c r="J1069" s="12"/>
      <c r="K1069" s="12">
        <f t="shared" si="297"/>
        <v>2572</v>
      </c>
      <c r="M1069" s="10">
        <v>13</v>
      </c>
      <c r="N1069" s="30"/>
      <c r="O1069" s="31"/>
      <c r="P1069" s="32"/>
      <c r="Q1069" s="32"/>
      <c r="R1069" s="32"/>
      <c r="S1069" s="32">
        <f t="shared" si="298"/>
        <v>0</v>
      </c>
      <c r="T1069" s="12"/>
      <c r="U1069" s="12"/>
      <c r="V1069" s="12"/>
      <c r="W1069" s="12">
        <f t="shared" si="299"/>
        <v>0</v>
      </c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 t="s">
        <v>92</v>
      </c>
      <c r="C1070" s="83">
        <f t="shared" si="300"/>
        <v>9114</v>
      </c>
      <c r="D1070" s="32">
        <f>650*10+9.5*10</f>
        <v>6595</v>
      </c>
      <c r="E1070" s="32"/>
      <c r="F1070" s="32"/>
      <c r="G1070" s="32">
        <f t="shared" si="296"/>
        <v>6595</v>
      </c>
      <c r="H1070" s="12"/>
      <c r="I1070" s="12"/>
      <c r="J1070" s="12"/>
      <c r="K1070" s="12">
        <f t="shared" si="297"/>
        <v>6595</v>
      </c>
      <c r="M1070" s="10">
        <v>14</v>
      </c>
      <c r="N1070" s="30"/>
      <c r="O1070" s="31"/>
      <c r="P1070" s="32"/>
      <c r="Q1070" s="32"/>
      <c r="R1070" s="32"/>
      <c r="S1070" s="32">
        <f t="shared" si="298"/>
        <v>0</v>
      </c>
      <c r="T1070" s="12"/>
      <c r="U1070" s="12"/>
      <c r="V1070" s="12"/>
      <c r="W1070" s="12">
        <f t="shared" si="299"/>
        <v>0</v>
      </c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 t="s">
        <v>92</v>
      </c>
      <c r="C1071" s="83">
        <f t="shared" si="300"/>
        <v>9115</v>
      </c>
      <c r="D1071" s="32">
        <f>650*41+670*2+229</f>
        <v>28219</v>
      </c>
      <c r="E1071" s="32"/>
      <c r="F1071" s="32"/>
      <c r="G1071" s="32">
        <f t="shared" si="296"/>
        <v>28219</v>
      </c>
      <c r="H1071" s="12"/>
      <c r="I1071" s="12"/>
      <c r="J1071" s="12"/>
      <c r="K1071" s="12">
        <f t="shared" si="297"/>
        <v>28219</v>
      </c>
      <c r="M1071" s="10">
        <v>15</v>
      </c>
      <c r="N1071" s="30"/>
      <c r="O1071" s="31"/>
      <c r="P1071" s="32"/>
      <c r="Q1071" s="32"/>
      <c r="R1071" s="32"/>
      <c r="S1071" s="32">
        <f t="shared" si="298"/>
        <v>0</v>
      </c>
      <c r="T1071" s="12"/>
      <c r="U1071" s="12"/>
      <c r="V1071" s="12"/>
      <c r="W1071" s="12">
        <f t="shared" si="299"/>
        <v>0</v>
      </c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 t="s">
        <v>92</v>
      </c>
      <c r="C1072" s="83">
        <f t="shared" si="300"/>
        <v>9116</v>
      </c>
      <c r="D1072" s="32">
        <f>650*16+9.5*16</f>
        <v>10552</v>
      </c>
      <c r="E1072" s="32"/>
      <c r="F1072" s="32"/>
      <c r="G1072" s="32">
        <f t="shared" si="296"/>
        <v>10552</v>
      </c>
      <c r="H1072" s="12"/>
      <c r="I1072" s="12"/>
      <c r="J1072" s="12"/>
      <c r="K1072" s="12">
        <f t="shared" si="297"/>
        <v>10552</v>
      </c>
      <c r="M1072" s="10">
        <v>16</v>
      </c>
      <c r="N1072" s="30"/>
      <c r="O1072" s="31"/>
      <c r="P1072" s="32"/>
      <c r="Q1072" s="32"/>
      <c r="R1072" s="32"/>
      <c r="S1072" s="32">
        <f t="shared" si="298"/>
        <v>0</v>
      </c>
      <c r="T1072" s="12"/>
      <c r="U1072" s="12"/>
      <c r="V1072" s="12"/>
      <c r="W1072" s="12">
        <f t="shared" si="299"/>
        <v>0</v>
      </c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 t="s">
        <v>92</v>
      </c>
      <c r="C1073" s="83">
        <f t="shared" si="300"/>
        <v>9117</v>
      </c>
      <c r="D1073" s="32">
        <f>650*17+622+872+9.5*18</f>
        <v>12715</v>
      </c>
      <c r="E1073" s="32"/>
      <c r="F1073" s="32"/>
      <c r="G1073" s="32">
        <f t="shared" si="296"/>
        <v>12715</v>
      </c>
      <c r="H1073" s="12"/>
      <c r="I1073" s="12">
        <v>112.5</v>
      </c>
      <c r="J1073" s="12"/>
      <c r="K1073" s="12">
        <f t="shared" si="297"/>
        <v>12827.5</v>
      </c>
      <c r="M1073" s="10">
        <v>17</v>
      </c>
      <c r="N1073" s="30"/>
      <c r="O1073" s="31"/>
      <c r="P1073" s="35"/>
      <c r="Q1073" s="32"/>
      <c r="R1073" s="32"/>
      <c r="S1073" s="32">
        <f t="shared" si="298"/>
        <v>0</v>
      </c>
      <c r="T1073" s="12"/>
      <c r="U1073" s="12"/>
      <c r="V1073" s="12"/>
      <c r="W1073" s="12">
        <f t="shared" si="299"/>
        <v>0</v>
      </c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 t="s">
        <v>92</v>
      </c>
      <c r="C1074" s="83">
        <f t="shared" si="300"/>
        <v>9118</v>
      </c>
      <c r="D1074" s="32">
        <f>650</f>
        <v>650</v>
      </c>
      <c r="E1074" s="32"/>
      <c r="F1074" s="32"/>
      <c r="G1074" s="32">
        <f t="shared" si="296"/>
        <v>650</v>
      </c>
      <c r="H1074" s="12"/>
      <c r="I1074" s="12"/>
      <c r="J1074" s="12">
        <v>-333</v>
      </c>
      <c r="K1074" s="12">
        <f t="shared" si="297"/>
        <v>317</v>
      </c>
      <c r="M1074" s="10">
        <v>18</v>
      </c>
      <c r="N1074" s="30"/>
      <c r="O1074" s="31"/>
      <c r="P1074" s="32"/>
      <c r="Q1074" s="32"/>
      <c r="R1074" s="32"/>
      <c r="S1074" s="32">
        <f t="shared" si="298"/>
        <v>0</v>
      </c>
      <c r="T1074" s="12"/>
      <c r="U1074" s="12"/>
      <c r="V1074" s="12"/>
      <c r="W1074" s="12">
        <f t="shared" si="299"/>
        <v>0</v>
      </c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 t="s">
        <v>92</v>
      </c>
      <c r="C1075" s="83">
        <f t="shared" si="300"/>
        <v>9119</v>
      </c>
      <c r="D1075" s="32">
        <f>650*18+670*3+912+872+171+500</f>
        <v>16165</v>
      </c>
      <c r="E1075" s="32"/>
      <c r="F1075" s="32"/>
      <c r="G1075" s="32">
        <f t="shared" si="296"/>
        <v>16165</v>
      </c>
      <c r="H1075" s="12"/>
      <c r="I1075" s="12">
        <v>45</v>
      </c>
      <c r="J1075" s="12"/>
      <c r="K1075" s="12">
        <f t="shared" si="297"/>
        <v>16210</v>
      </c>
      <c r="M1075" s="10">
        <v>19</v>
      </c>
      <c r="N1075" s="30"/>
      <c r="O1075" s="31"/>
      <c r="P1075" s="32"/>
      <c r="Q1075" s="32"/>
      <c r="R1075" s="32"/>
      <c r="S1075" s="32">
        <f t="shared" si="298"/>
        <v>0</v>
      </c>
      <c r="T1075" s="12"/>
      <c r="U1075" s="12"/>
      <c r="V1075" s="12"/>
      <c r="W1075" s="12">
        <f t="shared" si="299"/>
        <v>0</v>
      </c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 t="s">
        <v>92</v>
      </c>
      <c r="C1076" s="83">
        <f t="shared" si="300"/>
        <v>9120</v>
      </c>
      <c r="D1076" s="32">
        <f>650*5+9.5*5</f>
        <v>3297.5</v>
      </c>
      <c r="E1076" s="32"/>
      <c r="F1076" s="32"/>
      <c r="G1076" s="32">
        <f t="shared" si="296"/>
        <v>3297.5</v>
      </c>
      <c r="H1076" s="12"/>
      <c r="I1076" s="12"/>
      <c r="J1076" s="12">
        <v>-444</v>
      </c>
      <c r="K1076" s="12">
        <f t="shared" si="297"/>
        <v>2853.5</v>
      </c>
      <c r="M1076" s="10">
        <v>20</v>
      </c>
      <c r="N1076" s="30"/>
      <c r="O1076" s="31"/>
      <c r="P1076" s="32"/>
      <c r="Q1076" s="32"/>
      <c r="R1076" s="32"/>
      <c r="S1076" s="32">
        <f t="shared" si="298"/>
        <v>0</v>
      </c>
      <c r="T1076" s="12"/>
      <c r="U1076" s="12"/>
      <c r="V1076" s="12"/>
      <c r="W1076" s="12">
        <f t="shared" si="299"/>
        <v>0</v>
      </c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11" t="s">
        <v>27</v>
      </c>
      <c r="D1077" s="32"/>
      <c r="E1077" s="32"/>
      <c r="F1077" s="32"/>
      <c r="G1077" s="32">
        <f t="shared" si="296"/>
        <v>0</v>
      </c>
      <c r="H1077" s="10"/>
      <c r="I1077" s="10"/>
      <c r="J1077" s="10"/>
      <c r="K1077" s="12">
        <f t="shared" si="297"/>
        <v>0</v>
      </c>
      <c r="M1077" s="10">
        <v>21</v>
      </c>
      <c r="N1077" s="30"/>
      <c r="O1077" s="31"/>
      <c r="P1077" s="92"/>
      <c r="Q1077" s="31"/>
      <c r="R1077" s="31"/>
      <c r="S1077" s="32">
        <f t="shared" si="298"/>
        <v>0</v>
      </c>
      <c r="T1077" s="10"/>
      <c r="U1077" s="10"/>
      <c r="V1077" s="10"/>
      <c r="W1077" s="12">
        <f t="shared" si="299"/>
        <v>0</v>
      </c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83"/>
      <c r="D1078" s="32"/>
      <c r="E1078" s="32"/>
      <c r="F1078" s="32"/>
      <c r="G1078" s="32">
        <f t="shared" si="296"/>
        <v>0</v>
      </c>
      <c r="H1078" s="10"/>
      <c r="I1078" s="10"/>
      <c r="J1078" s="10"/>
      <c r="K1078" s="12">
        <f t="shared" si="297"/>
        <v>0</v>
      </c>
      <c r="M1078" s="10">
        <v>22</v>
      </c>
      <c r="N1078" s="30"/>
      <c r="P1078" s="92"/>
      <c r="Q1078" s="31"/>
      <c r="R1078" s="31"/>
      <c r="S1078" s="32">
        <f t="shared" si="298"/>
        <v>0</v>
      </c>
      <c r="T1078" s="10"/>
      <c r="U1078" s="10"/>
      <c r="V1078" s="10"/>
      <c r="W1078" s="12">
        <f t="shared" si="299"/>
        <v>0</v>
      </c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3"/>
      <c r="D1079" s="32"/>
      <c r="E1079" s="32"/>
      <c r="F1079" s="32"/>
      <c r="G1079" s="32">
        <f t="shared" si="296"/>
        <v>0</v>
      </c>
      <c r="H1079" s="10"/>
      <c r="I1079" s="10"/>
      <c r="J1079" s="12"/>
      <c r="K1079" s="12">
        <f t="shared" si="297"/>
        <v>0</v>
      </c>
      <c r="M1079" s="10">
        <v>23</v>
      </c>
      <c r="N1079" s="30"/>
      <c r="O1079" s="31"/>
      <c r="P1079" s="47"/>
      <c r="Q1079" s="31"/>
      <c r="S1079" s="32">
        <f t="shared" si="298"/>
        <v>0</v>
      </c>
      <c r="T1079" s="10"/>
      <c r="U1079" s="10"/>
      <c r="V1079" s="10"/>
      <c r="W1079" s="12">
        <f t="shared" si="299"/>
        <v>0</v>
      </c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83"/>
      <c r="D1080" s="32"/>
      <c r="E1080" s="32"/>
      <c r="F1080" s="32"/>
      <c r="G1080" s="32">
        <f t="shared" si="296"/>
        <v>0</v>
      </c>
      <c r="H1080" s="10"/>
      <c r="I1080" s="10"/>
      <c r="J1080" s="10"/>
      <c r="K1080" s="12">
        <f t="shared" si="297"/>
        <v>0</v>
      </c>
      <c r="M1080" s="10">
        <v>24</v>
      </c>
      <c r="N1080" s="30"/>
      <c r="P1080" s="47"/>
      <c r="Q1080" s="31"/>
      <c r="R1080" s="31"/>
      <c r="S1080" s="32">
        <f t="shared" si="298"/>
        <v>0</v>
      </c>
      <c r="T1080" s="10"/>
      <c r="U1080" s="10"/>
      <c r="V1080" s="10"/>
      <c r="W1080" s="12">
        <f t="shared" si="299"/>
        <v>0</v>
      </c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83"/>
      <c r="D1081" s="32"/>
      <c r="E1081" s="32"/>
      <c r="F1081" s="32"/>
      <c r="G1081" s="32">
        <f t="shared" si="296"/>
        <v>0</v>
      </c>
      <c r="H1081" s="10"/>
      <c r="I1081" s="10"/>
      <c r="J1081" s="10"/>
      <c r="K1081" s="12">
        <f t="shared" si="297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98"/>
        <v>0</v>
      </c>
      <c r="T1081" s="10"/>
      <c r="U1081" s="10"/>
      <c r="V1081" s="10"/>
      <c r="W1081" s="12">
        <f t="shared" si="299"/>
        <v>0</v>
      </c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D1082" s="32"/>
      <c r="E1082" s="32"/>
      <c r="F1082" s="32"/>
      <c r="G1082" s="32">
        <f t="shared" si="296"/>
        <v>0</v>
      </c>
      <c r="H1082" s="10"/>
      <c r="I1082" s="10"/>
      <c r="J1082" s="10"/>
      <c r="K1082" s="12">
        <f t="shared" si="297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298"/>
        <v>0</v>
      </c>
      <c r="T1082" s="10"/>
      <c r="U1082" s="10"/>
      <c r="V1082" s="10"/>
      <c r="W1082" s="12">
        <f t="shared" si="299"/>
        <v>0</v>
      </c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83"/>
      <c r="D1083" s="32"/>
      <c r="E1083" s="32"/>
      <c r="F1083" s="32"/>
      <c r="G1083" s="32">
        <f t="shared" si="296"/>
        <v>0</v>
      </c>
      <c r="H1083" s="10"/>
      <c r="I1083" s="10"/>
      <c r="J1083" s="10"/>
      <c r="K1083" s="12">
        <f t="shared" si="297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98"/>
        <v>0</v>
      </c>
      <c r="T1083" s="10"/>
      <c r="U1083" s="10"/>
      <c r="V1083" s="10"/>
      <c r="W1083" s="12">
        <f t="shared" si="299"/>
        <v>0</v>
      </c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83"/>
      <c r="D1084" s="32"/>
      <c r="E1084" s="32"/>
      <c r="F1084" s="32"/>
      <c r="G1084" s="32">
        <f t="shared" si="296"/>
        <v>0</v>
      </c>
      <c r="H1084" s="10"/>
      <c r="I1084" s="10"/>
      <c r="J1084" s="10"/>
      <c r="K1084" s="12">
        <f t="shared" si="297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98"/>
        <v>0</v>
      </c>
      <c r="T1084" s="10"/>
      <c r="U1084" s="10"/>
      <c r="V1084" s="10"/>
      <c r="W1084" s="12">
        <f t="shared" si="299"/>
        <v>0</v>
      </c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83"/>
      <c r="D1085" s="32"/>
      <c r="E1085" s="32"/>
      <c r="F1085" s="32"/>
      <c r="G1085" s="32">
        <f t="shared" si="296"/>
        <v>0</v>
      </c>
      <c r="H1085" s="10"/>
      <c r="I1085" s="10"/>
      <c r="J1085" s="10"/>
      <c r="K1085" s="12">
        <f t="shared" si="297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98"/>
        <v>0</v>
      </c>
      <c r="T1085" s="10"/>
      <c r="U1085" s="10"/>
      <c r="V1085" s="10"/>
      <c r="W1085" s="12">
        <f t="shared" si="299"/>
        <v>0</v>
      </c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296"/>
        <v>0</v>
      </c>
      <c r="H1086" s="10"/>
      <c r="I1086" s="10"/>
      <c r="J1086" s="10"/>
      <c r="K1086" s="12">
        <f t="shared" si="297"/>
        <v>0</v>
      </c>
      <c r="M1086" s="10">
        <v>30</v>
      </c>
      <c r="N1086" s="30"/>
      <c r="P1086" s="47"/>
      <c r="Q1086" s="31"/>
      <c r="R1086" s="31"/>
      <c r="S1086" s="32">
        <f t="shared" si="298"/>
        <v>0</v>
      </c>
      <c r="T1086" s="10"/>
      <c r="U1086" s="10"/>
      <c r="V1086" s="10"/>
      <c r="W1086" s="12">
        <f t="shared" si="299"/>
        <v>0</v>
      </c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296"/>
        <v>0</v>
      </c>
      <c r="H1087" s="10"/>
      <c r="I1087" s="10"/>
      <c r="J1087" s="10"/>
      <c r="K1087" s="12">
        <f t="shared" si="297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298"/>
        <v>0</v>
      </c>
      <c r="T1087" s="10"/>
      <c r="U1087" s="10"/>
      <c r="V1087" s="10"/>
      <c r="W1087" s="12">
        <f t="shared" si="299"/>
        <v>0</v>
      </c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3"/>
      <c r="D1088" s="32"/>
      <c r="E1088" s="32"/>
      <c r="F1088" s="32"/>
      <c r="G1088" s="32">
        <f t="shared" si="296"/>
        <v>0</v>
      </c>
      <c r="H1088" s="10"/>
      <c r="I1088" s="10"/>
      <c r="J1088" s="10"/>
      <c r="K1088" s="12">
        <f t="shared" si="297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98"/>
        <v>0</v>
      </c>
      <c r="T1088" s="10"/>
      <c r="U1088" s="10"/>
      <c r="V1088" s="10"/>
      <c r="W1088" s="12">
        <f t="shared" si="299"/>
        <v>0</v>
      </c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3"/>
      <c r="D1089" s="32"/>
      <c r="E1089" s="32"/>
      <c r="F1089" s="32"/>
      <c r="G1089" s="32">
        <f t="shared" si="296"/>
        <v>0</v>
      </c>
      <c r="H1089" s="10"/>
      <c r="I1089" s="10"/>
      <c r="J1089" s="10"/>
      <c r="K1089" s="12">
        <f t="shared" si="297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98"/>
        <v>0</v>
      </c>
      <c r="T1089" s="10"/>
      <c r="U1089" s="10"/>
      <c r="V1089" s="10"/>
      <c r="W1089" s="12">
        <f t="shared" si="299"/>
        <v>0</v>
      </c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3"/>
      <c r="D1090" s="32"/>
      <c r="E1090" s="32"/>
      <c r="F1090" s="32"/>
      <c r="G1090" s="32">
        <f t="shared" si="296"/>
        <v>0</v>
      </c>
      <c r="H1090" s="10"/>
      <c r="I1090" s="10"/>
      <c r="J1090" s="10"/>
      <c r="K1090" s="12">
        <f t="shared" si="297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98"/>
        <v>0</v>
      </c>
      <c r="T1090" s="10"/>
      <c r="U1090" s="10"/>
      <c r="V1090" s="10"/>
      <c r="W1090" s="12">
        <f t="shared" si="299"/>
        <v>0</v>
      </c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3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98"/>
        <v>0</v>
      </c>
      <c r="T1091" s="10"/>
      <c r="U1091" s="10"/>
      <c r="V1091" s="10"/>
      <c r="W1091" s="12">
        <f t="shared" si="299"/>
        <v>0</v>
      </c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3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98"/>
        <v>0</v>
      </c>
      <c r="T1092" s="10"/>
      <c r="U1092" s="10"/>
      <c r="V1092" s="10"/>
      <c r="W1092" s="12">
        <f t="shared" si="299"/>
        <v>0</v>
      </c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98"/>
        <v>0</v>
      </c>
      <c r="T1093" s="10"/>
      <c r="U1093" s="10"/>
      <c r="V1093" s="10"/>
      <c r="W1093" s="12">
        <f t="shared" si="299"/>
        <v>0</v>
      </c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98"/>
        <v>0</v>
      </c>
      <c r="T1094" s="10"/>
      <c r="U1094" s="10"/>
      <c r="V1094" s="10"/>
      <c r="W1094" s="12">
        <f t="shared" si="299"/>
        <v>0</v>
      </c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98"/>
        <v>0</v>
      </c>
      <c r="T1095" s="10"/>
      <c r="U1095" s="10"/>
      <c r="V1095" s="10"/>
      <c r="W1095" s="12">
        <f t="shared" si="299"/>
        <v>0</v>
      </c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99"/>
        <v>0</v>
      </c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02">SUM(D1097:E1097)</f>
        <v>0</v>
      </c>
      <c r="H1097" s="10"/>
      <c r="I1097" s="10"/>
      <c r="J1097" s="10"/>
      <c r="K1097" s="12">
        <f t="shared" ref="K1097" si="303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04">SUM(P1097:Q1097)</f>
        <v>0</v>
      </c>
      <c r="T1097" s="10"/>
      <c r="U1097" s="10"/>
      <c r="V1097" s="10"/>
      <c r="W1097" s="12">
        <f t="shared" si="299"/>
        <v>0</v>
      </c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99"/>
        <v>0</v>
      </c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241665.5</v>
      </c>
      <c r="E1100" s="38">
        <f t="shared" ref="E1100:F1100" si="305">SUM(E1057:E1097)</f>
        <v>0</v>
      </c>
      <c r="F1100" s="38">
        <f t="shared" si="305"/>
        <v>0</v>
      </c>
      <c r="G1100" s="38">
        <f>SUM(G1057:G1099)</f>
        <v>241665.5</v>
      </c>
      <c r="H1100" s="4"/>
      <c r="I1100" s="39">
        <f>SUM(I1057:I1099)</f>
        <v>1285.5</v>
      </c>
      <c r="J1100" s="39">
        <f>SUM(J1057:J1099)</f>
        <v>-888</v>
      </c>
      <c r="K1100" s="40">
        <f>SUM(K1057:K1099)</f>
        <v>242063</v>
      </c>
      <c r="N1100" s="57"/>
      <c r="O1100" s="57"/>
      <c r="P1100" s="38">
        <f>SUM(P1057:P1099)</f>
        <v>375784</v>
      </c>
      <c r="Q1100" s="38">
        <f>SUM(Q1057:Q1081)</f>
        <v>-3240</v>
      </c>
      <c r="R1100" s="38">
        <f>SUM(R1057:R1081)</f>
        <v>0</v>
      </c>
      <c r="S1100" s="38">
        <f>SUM(S1057:S1099)</f>
        <v>372544</v>
      </c>
      <c r="T1100" s="4"/>
      <c r="U1100" s="41">
        <f>SUM(U1057:U1099)</f>
        <v>1353</v>
      </c>
      <c r="V1100" s="41">
        <f>SUM(V1057:V1081)</f>
        <v>-3186</v>
      </c>
      <c r="W1100" s="42">
        <f>SUM(W1057:W1099)</f>
        <v>370711</v>
      </c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6"/>
      <c r="E1110" s="116"/>
      <c r="F1110" s="86"/>
      <c r="G1110" s="86"/>
      <c r="H1110" s="62"/>
      <c r="I1110" s="116"/>
      <c r="J1110" s="116"/>
      <c r="K1110" s="115"/>
      <c r="L1110" s="62"/>
      <c r="M1110" s="62"/>
      <c r="N1110" s="65"/>
      <c r="O1110" s="86"/>
      <c r="P1110" s="116"/>
      <c r="Q1110" s="116"/>
      <c r="R1110" s="86"/>
      <c r="S1110" s="86"/>
      <c r="T1110" s="62"/>
      <c r="U1110" s="116"/>
      <c r="V1110" s="116"/>
      <c r="W1110" s="115"/>
      <c r="X1110" s="62"/>
      <c r="Y1110" s="62"/>
      <c r="Z1110" s="65"/>
      <c r="AA1110" s="86"/>
      <c r="AB1110" s="116"/>
      <c r="AC1110" s="116"/>
      <c r="AD1110" s="86"/>
      <c r="AE1110" s="86"/>
      <c r="AF1110" s="62"/>
      <c r="AG1110" s="116"/>
      <c r="AH1110" s="116"/>
      <c r="AI1110" s="11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5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5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6"/>
      <c r="E1165" s="116"/>
      <c r="F1165" s="86"/>
      <c r="G1165" s="86"/>
      <c r="H1165" s="62"/>
      <c r="I1165" s="116"/>
      <c r="J1165" s="116"/>
      <c r="K1165" s="115"/>
      <c r="L1165" s="62"/>
      <c r="M1165" s="62"/>
      <c r="N1165" s="65"/>
      <c r="O1165" s="86"/>
      <c r="P1165" s="116"/>
      <c r="Q1165" s="116"/>
      <c r="R1165" s="86"/>
      <c r="S1165" s="86"/>
      <c r="T1165" s="62"/>
      <c r="U1165" s="116"/>
      <c r="V1165" s="116"/>
      <c r="W1165" s="115"/>
      <c r="X1165" s="62"/>
      <c r="Y1165" s="62"/>
      <c r="Z1165" s="65"/>
      <c r="AA1165" s="86"/>
      <c r="AB1165" s="116"/>
      <c r="AC1165" s="116"/>
      <c r="AD1165" s="86"/>
      <c r="AE1165" s="86"/>
      <c r="AF1165" s="62"/>
      <c r="AG1165" s="116"/>
      <c r="AH1165" s="116"/>
      <c r="AI1165" s="11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5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5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6"/>
      <c r="E1221" s="116"/>
      <c r="F1221" s="86"/>
      <c r="G1221" s="86"/>
      <c r="H1221" s="62"/>
      <c r="I1221" s="116"/>
      <c r="J1221" s="116"/>
      <c r="K1221" s="115"/>
      <c r="L1221" s="62"/>
      <c r="M1221" s="62"/>
      <c r="N1221" s="65"/>
      <c r="O1221" s="86"/>
      <c r="P1221" s="116"/>
      <c r="Q1221" s="116"/>
      <c r="R1221" s="86"/>
      <c r="S1221" s="86"/>
      <c r="T1221" s="62"/>
      <c r="U1221" s="116"/>
      <c r="V1221" s="116"/>
      <c r="W1221" s="115"/>
      <c r="X1221" s="62"/>
      <c r="Y1221" s="62"/>
      <c r="Z1221" s="65"/>
      <c r="AA1221" s="86"/>
      <c r="AB1221" s="116"/>
      <c r="AC1221" s="116"/>
      <c r="AD1221" s="86"/>
      <c r="AE1221" s="86"/>
      <c r="AF1221" s="62"/>
      <c r="AG1221" s="116"/>
      <c r="AH1221" s="116"/>
      <c r="AI1221" s="11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5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5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6"/>
      <c r="E1283" s="116"/>
      <c r="F1283" s="86"/>
      <c r="G1283" s="86"/>
      <c r="H1283" s="62"/>
      <c r="I1283" s="116"/>
      <c r="J1283" s="116"/>
      <c r="K1283" s="115"/>
      <c r="L1283" s="62"/>
      <c r="M1283" s="62"/>
      <c r="N1283" s="65"/>
      <c r="O1283" s="86"/>
      <c r="P1283" s="116"/>
      <c r="Q1283" s="116"/>
      <c r="R1283" s="86"/>
      <c r="S1283" s="86"/>
      <c r="T1283" s="62"/>
      <c r="U1283" s="116"/>
      <c r="V1283" s="116"/>
      <c r="W1283" s="115"/>
      <c r="X1283" s="62"/>
      <c r="Y1283" s="62"/>
      <c r="Z1283" s="65"/>
      <c r="AA1283" s="86"/>
      <c r="AB1283" s="116"/>
      <c r="AC1283" s="116"/>
      <c r="AD1283" s="86"/>
      <c r="AE1283" s="86"/>
      <c r="AF1283" s="62"/>
      <c r="AG1283" s="116"/>
      <c r="AH1283" s="116"/>
      <c r="AI1283" s="11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5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5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2026-02-25T00:36:10Z</dcterms:modified>
</cp:coreProperties>
</file>