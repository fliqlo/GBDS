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8ABF469-8941-431D-A5E4-7C062F99A82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951" i="2" l="1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W949" i="2" l="1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</commentList>
</comments>
</file>

<file path=xl/sharedStrings.xml><?xml version="1.0" encoding="utf-8"?>
<sst xmlns="http://schemas.openxmlformats.org/spreadsheetml/2006/main" count="1250" uniqueCount="89">
  <si>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</si>
  <si>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</si>
  <si>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</si>
  <si>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</si>
  <si>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</si>
  <si>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</si>
  <si>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</si>
  <si>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</si>
  <si>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</si>
  <si>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</si>
  <si>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</si>
  <si>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</si>
  <si>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</si>
  <si>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</si>
  <si>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</si>
  <si>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</si>
  <si>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</si>
  <si>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</si>
  <si>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</si>
  <si>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</si>
  <si>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</si>
  <si>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</si>
  <si>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</si>
  <si>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</si>
  <si>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</si>
  <si>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</si>
  <si>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</si>
  <si>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</si>
  <si>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</si>
  <si>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</si>
  <si>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</si>
  <si>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</si>
  <si>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</si>
  <si>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</si>
  <si>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</si>
  <si>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</si>
  <si>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</si>
  <si>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</si>
  <si>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</si>
  <si>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</si>
  <si>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</si>
  <si>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</si>
  <si>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</si>
  <si>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</si>
  <si>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</si>
  <si>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</si>
  <si>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</si>
  <si>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</si>
  <si>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</si>
  <si>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</si>
  <si>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</si>
  <si>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</si>
  <si>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</si>
  <si>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</si>
  <si>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</si>
  <si>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</si>
  <si>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</si>
  <si>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</si>
  <si>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</si>
  <si>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</si>
  <si>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</si>
  <si>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</si>
  <si>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</si>
  <si>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</si>
  <si>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</si>
  <si>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</si>
  <si>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</si>
  <si>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</si>
  <si>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</si>
  <si>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</si>
  <si>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</si>
  <si>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</si>
  <si>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</si>
  <si>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</si>
  <si>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</si>
  <si>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</si>
  <si>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</si>
  <si>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</si>
  <si>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</si>
  <si>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</si>
  <si>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</si>
  <si>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</si>
  <si>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</si>
  <si>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</si>
  <si>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</si>
  <si>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</si>
  <si>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</si>
  <si>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</si>
  <si>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/9290-9294/9351-9355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</si>
</sst>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F30" sqref="F3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8" t="s">
        <v>36</v>
      </c>
      <c r="B6" s="10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504256</v>
      </c>
      <c r="F30" s="14"/>
      <c r="G30" s="14">
        <v>233082.5</v>
      </c>
      <c r="H30" s="14">
        <v>271173.5</v>
      </c>
      <c r="I30" s="14"/>
      <c r="J30" s="17">
        <f t="shared" si="1"/>
        <v>504256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9" t="s">
        <v>10</v>
      </c>
      <c r="B42" s="110"/>
      <c r="C42" s="111"/>
      <c r="D42" s="48">
        <f>SUM(D2:D41)</f>
        <v>11758446.166666666</v>
      </c>
      <c r="J42" s="49">
        <f>SUM(J10:J41)</f>
        <v>11758446.166666666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G964" zoomScaleNormal="100" workbookViewId="0">
      <selection activeCell="S990" sqref="S99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8" t="s">
        <v>17</v>
      </c>
      <c r="E10" s="118"/>
      <c r="F10" s="75"/>
      <c r="G10" s="27"/>
      <c r="I10" s="116" t="s">
        <v>18</v>
      </c>
      <c r="J10" s="117"/>
      <c r="K10" s="114" t="s">
        <v>19</v>
      </c>
      <c r="N10" s="25"/>
      <c r="O10" s="26"/>
      <c r="P10" s="118" t="s">
        <v>17</v>
      </c>
      <c r="Q10" s="118"/>
      <c r="R10" s="75"/>
      <c r="S10" s="27"/>
      <c r="U10" s="116" t="s">
        <v>18</v>
      </c>
      <c r="V10" s="117"/>
      <c r="W10" s="114" t="s">
        <v>19</v>
      </c>
      <c r="Z10" s="25"/>
      <c r="AA10" s="26"/>
      <c r="AB10" s="118" t="s">
        <v>17</v>
      </c>
      <c r="AC10" s="118"/>
      <c r="AD10" s="75"/>
      <c r="AE10" s="27"/>
      <c r="AG10" s="116" t="s">
        <v>18</v>
      </c>
      <c r="AH10" s="117"/>
      <c r="AI10" s="114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5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8" t="s">
        <v>17</v>
      </c>
      <c r="E65" s="118"/>
      <c r="F65" s="87"/>
      <c r="G65" s="27"/>
      <c r="I65" s="116" t="s">
        <v>18</v>
      </c>
      <c r="J65" s="117"/>
      <c r="K65" s="114" t="s">
        <v>19</v>
      </c>
      <c r="N65" s="25"/>
      <c r="O65" s="26"/>
      <c r="P65" s="118" t="s">
        <v>17</v>
      </c>
      <c r="Q65" s="118"/>
      <c r="R65" s="87"/>
      <c r="S65" s="27"/>
      <c r="U65" s="116" t="s">
        <v>18</v>
      </c>
      <c r="V65" s="117"/>
      <c r="W65" s="114" t="s">
        <v>19</v>
      </c>
      <c r="Z65" s="25"/>
      <c r="AA65" s="26"/>
      <c r="AB65" s="118" t="s">
        <v>17</v>
      </c>
      <c r="AC65" s="118"/>
      <c r="AD65" s="87"/>
      <c r="AE65" s="27"/>
      <c r="AG65" s="116" t="s">
        <v>18</v>
      </c>
      <c r="AH65" s="117"/>
      <c r="AI65" s="11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5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13"/>
      <c r="AO67" s="113"/>
      <c r="AP67" s="86"/>
      <c r="AQ67" s="62"/>
      <c r="AR67" s="113"/>
      <c r="AS67" s="113"/>
      <c r="AT67" s="11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88"/>
      <c r="G120" s="27"/>
      <c r="I120" s="116" t="s">
        <v>18</v>
      </c>
      <c r="J120" s="117"/>
      <c r="K120" s="114" t="s">
        <v>19</v>
      </c>
      <c r="N120" s="25"/>
      <c r="O120" s="26"/>
      <c r="P120" s="118" t="s">
        <v>17</v>
      </c>
      <c r="Q120" s="118"/>
      <c r="R120" s="88"/>
      <c r="S120" s="27"/>
      <c r="U120" s="116" t="s">
        <v>18</v>
      </c>
      <c r="V120" s="117"/>
      <c r="W120" s="114" t="s">
        <v>19</v>
      </c>
      <c r="Z120" s="25"/>
      <c r="AA120" s="26"/>
      <c r="AB120" s="118" t="s">
        <v>17</v>
      </c>
      <c r="AC120" s="118"/>
      <c r="AD120" s="88"/>
      <c r="AE120" s="27"/>
      <c r="AG120" s="116" t="s">
        <v>18</v>
      </c>
      <c r="AH120" s="117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89"/>
      <c r="G175" s="27"/>
      <c r="I175" s="116" t="s">
        <v>18</v>
      </c>
      <c r="J175" s="117"/>
      <c r="K175" s="114" t="s">
        <v>19</v>
      </c>
      <c r="N175" s="25"/>
      <c r="O175" s="26"/>
      <c r="P175" s="118" t="s">
        <v>17</v>
      </c>
      <c r="Q175" s="118"/>
      <c r="R175" s="89"/>
      <c r="S175" s="27"/>
      <c r="U175" s="116" t="s">
        <v>18</v>
      </c>
      <c r="V175" s="117"/>
      <c r="W175" s="114" t="s">
        <v>19</v>
      </c>
      <c r="Z175" s="25"/>
      <c r="AA175" s="26"/>
      <c r="AB175" s="118" t="s">
        <v>17</v>
      </c>
      <c r="AC175" s="118"/>
      <c r="AD175" s="89"/>
      <c r="AE175" s="27"/>
      <c r="AG175" s="116" t="s">
        <v>18</v>
      </c>
      <c r="AH175" s="117"/>
      <c r="AI175" s="11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13"/>
      <c r="AO181" s="113"/>
      <c r="AP181" s="86"/>
      <c r="AQ181" s="62"/>
      <c r="AR181" s="113"/>
      <c r="AS181" s="113"/>
      <c r="AT181" s="11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8" t="s">
        <v>17</v>
      </c>
      <c r="E230" s="118"/>
      <c r="F230" s="90"/>
      <c r="G230" s="27"/>
      <c r="I230" s="116" t="s">
        <v>18</v>
      </c>
      <c r="J230" s="117"/>
      <c r="K230" s="114" t="s">
        <v>19</v>
      </c>
      <c r="N230" s="25"/>
      <c r="O230" s="26"/>
      <c r="P230" s="118" t="s">
        <v>17</v>
      </c>
      <c r="Q230" s="118"/>
      <c r="R230" s="90"/>
      <c r="S230" s="27"/>
      <c r="U230" s="116" t="s">
        <v>18</v>
      </c>
      <c r="V230" s="117"/>
      <c r="W230" s="114" t="s">
        <v>19</v>
      </c>
      <c r="Y230" s="62"/>
      <c r="Z230" s="65"/>
      <c r="AA230" s="86"/>
      <c r="AB230" s="113"/>
      <c r="AC230" s="113"/>
      <c r="AD230" s="86"/>
      <c r="AE230" s="86"/>
      <c r="AF230" s="62"/>
      <c r="AG230" s="113"/>
      <c r="AH230" s="113"/>
      <c r="AI230" s="112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5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12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91"/>
      <c r="G285" s="27"/>
      <c r="I285" s="116" t="s">
        <v>18</v>
      </c>
      <c r="J285" s="117"/>
      <c r="K285" s="114" t="s">
        <v>19</v>
      </c>
      <c r="N285" s="25"/>
      <c r="O285" s="26"/>
      <c r="P285" s="118" t="s">
        <v>17</v>
      </c>
      <c r="Q285" s="118"/>
      <c r="R285" s="91"/>
      <c r="S285" s="27"/>
      <c r="U285" s="116" t="s">
        <v>18</v>
      </c>
      <c r="V285" s="117"/>
      <c r="W285" s="114" t="s">
        <v>19</v>
      </c>
      <c r="Z285" s="25"/>
      <c r="AA285" s="26"/>
      <c r="AB285" s="118" t="s">
        <v>17</v>
      </c>
      <c r="AC285" s="118"/>
      <c r="AD285" s="91"/>
      <c r="AE285" s="27"/>
      <c r="AG285" s="116" t="s">
        <v>18</v>
      </c>
      <c r="AH285" s="117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93"/>
      <c r="G340" s="27"/>
      <c r="I340" s="116" t="s">
        <v>18</v>
      </c>
      <c r="J340" s="117"/>
      <c r="K340" s="114" t="s">
        <v>19</v>
      </c>
      <c r="N340" s="25"/>
      <c r="O340" s="26"/>
      <c r="P340" s="118" t="s">
        <v>17</v>
      </c>
      <c r="Q340" s="118"/>
      <c r="R340" s="93"/>
      <c r="S340" s="27"/>
      <c r="U340" s="116" t="s">
        <v>18</v>
      </c>
      <c r="V340" s="117"/>
      <c r="W340" s="114" t="s">
        <v>19</v>
      </c>
      <c r="Z340" s="25"/>
      <c r="AA340" s="26"/>
      <c r="AB340" s="118" t="s">
        <v>17</v>
      </c>
      <c r="AC340" s="118"/>
      <c r="AD340" s="93"/>
      <c r="AE340" s="27"/>
      <c r="AG340" s="116" t="s">
        <v>18</v>
      </c>
      <c r="AH340" s="117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8" t="s">
        <v>17</v>
      </c>
      <c r="E395" s="118"/>
      <c r="F395" s="94"/>
      <c r="G395" s="27"/>
      <c r="I395" s="116" t="s">
        <v>18</v>
      </c>
      <c r="J395" s="117"/>
      <c r="K395" s="114" t="s">
        <v>19</v>
      </c>
      <c r="N395" s="25"/>
      <c r="O395" s="26"/>
      <c r="P395" s="118" t="s">
        <v>17</v>
      </c>
      <c r="Q395" s="118"/>
      <c r="R395" s="94"/>
      <c r="S395" s="27"/>
      <c r="U395" s="116" t="s">
        <v>18</v>
      </c>
      <c r="V395" s="117"/>
      <c r="W395" s="114" t="s">
        <v>19</v>
      </c>
      <c r="Z395" s="25"/>
      <c r="AA395" s="26"/>
      <c r="AB395" s="118" t="s">
        <v>17</v>
      </c>
      <c r="AC395" s="118"/>
      <c r="AD395" s="94"/>
      <c r="AE395" s="27"/>
      <c r="AG395" s="116" t="s">
        <v>18</v>
      </c>
      <c r="AH395" s="117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5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95"/>
      <c r="G450" s="27"/>
      <c r="I450" s="116" t="s">
        <v>18</v>
      </c>
      <c r="J450" s="117"/>
      <c r="K450" s="114" t="s">
        <v>19</v>
      </c>
      <c r="N450" s="25"/>
      <c r="O450" s="26"/>
      <c r="P450" s="118" t="s">
        <v>17</v>
      </c>
      <c r="Q450" s="118"/>
      <c r="R450" s="95"/>
      <c r="S450" s="27"/>
      <c r="U450" s="116" t="s">
        <v>18</v>
      </c>
      <c r="V450" s="117"/>
      <c r="W450" s="114" t="s">
        <v>19</v>
      </c>
      <c r="Z450" s="25"/>
      <c r="AA450" s="26"/>
      <c r="AB450" s="118" t="s">
        <v>17</v>
      </c>
      <c r="AC450" s="118"/>
      <c r="AD450" s="95"/>
      <c r="AE450" s="27"/>
      <c r="AG450" s="116" t="s">
        <v>18</v>
      </c>
      <c r="AH450" s="117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8" t="s">
        <v>17</v>
      </c>
      <c r="E505" s="118"/>
      <c r="F505" s="96"/>
      <c r="G505" s="27"/>
      <c r="I505" s="116" t="s">
        <v>18</v>
      </c>
      <c r="J505" s="117"/>
      <c r="K505" s="114" t="s">
        <v>19</v>
      </c>
      <c r="N505" s="25"/>
      <c r="O505" s="26"/>
      <c r="P505" s="118" t="s">
        <v>17</v>
      </c>
      <c r="Q505" s="118"/>
      <c r="R505" s="96"/>
      <c r="S505" s="27"/>
      <c r="U505" s="116" t="s">
        <v>18</v>
      </c>
      <c r="V505" s="117"/>
      <c r="W505" s="114" t="s">
        <v>19</v>
      </c>
      <c r="Z505" s="25"/>
      <c r="AA505" s="26"/>
      <c r="AB505" s="118" t="s">
        <v>17</v>
      </c>
      <c r="AC505" s="118"/>
      <c r="AD505" s="96"/>
      <c r="AE505" s="27"/>
      <c r="AG505" s="116" t="s">
        <v>18</v>
      </c>
      <c r="AH505" s="117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13"/>
      <c r="E560" s="113"/>
      <c r="F560" s="86"/>
      <c r="G560" s="86"/>
      <c r="H560" s="62"/>
      <c r="I560" s="113"/>
      <c r="J560" s="113"/>
      <c r="K560" s="112"/>
      <c r="N560" s="25"/>
      <c r="O560" s="26"/>
      <c r="P560" s="118" t="s">
        <v>17</v>
      </c>
      <c r="Q560" s="118"/>
      <c r="R560" s="97"/>
      <c r="S560" s="27"/>
      <c r="U560" s="116" t="s">
        <v>18</v>
      </c>
      <c r="V560" s="117"/>
      <c r="W560" s="114" t="s">
        <v>19</v>
      </c>
      <c r="Z560" s="25"/>
      <c r="AA560" s="26"/>
      <c r="AB560" s="118" t="s">
        <v>17</v>
      </c>
      <c r="AC560" s="118"/>
      <c r="AD560" s="97"/>
      <c r="AE560" s="27"/>
      <c r="AG560" s="116" t="s">
        <v>18</v>
      </c>
      <c r="AH560" s="117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12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5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8" t="s">
        <v>17</v>
      </c>
      <c r="E615" s="118"/>
      <c r="F615" s="98"/>
      <c r="G615" s="27"/>
      <c r="I615" s="116" t="s">
        <v>18</v>
      </c>
      <c r="J615" s="117"/>
      <c r="K615" s="114" t="s">
        <v>19</v>
      </c>
      <c r="N615" s="25"/>
      <c r="O615" s="26"/>
      <c r="P615" s="118" t="s">
        <v>17</v>
      </c>
      <c r="Q615" s="118"/>
      <c r="R615" s="98"/>
      <c r="S615" s="27"/>
      <c r="U615" s="116" t="s">
        <v>18</v>
      </c>
      <c r="V615" s="117"/>
      <c r="W615" s="114" t="s">
        <v>19</v>
      </c>
      <c r="Z615" s="25"/>
      <c r="AA615" s="26"/>
      <c r="AB615" s="118" t="s">
        <v>17</v>
      </c>
      <c r="AC615" s="118"/>
      <c r="AD615" s="98"/>
      <c r="AE615" s="27"/>
      <c r="AG615" s="116" t="s">
        <v>18</v>
      </c>
      <c r="AH615" s="117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5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5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8" t="s">
        <v>17</v>
      </c>
      <c r="E670" s="118"/>
      <c r="F670" s="99"/>
      <c r="G670" s="27"/>
      <c r="I670" s="116" t="s">
        <v>18</v>
      </c>
      <c r="J670" s="117"/>
      <c r="K670" s="114" t="s">
        <v>19</v>
      </c>
      <c r="N670" s="25"/>
      <c r="O670" s="26"/>
      <c r="P670" s="118" t="s">
        <v>17</v>
      </c>
      <c r="Q670" s="118"/>
      <c r="R670" s="99"/>
      <c r="S670" s="27"/>
      <c r="U670" s="116" t="s">
        <v>18</v>
      </c>
      <c r="V670" s="117"/>
      <c r="W670" s="114" t="s">
        <v>19</v>
      </c>
      <c r="Z670" s="25"/>
      <c r="AA670" s="26"/>
      <c r="AB670" s="118" t="s">
        <v>17</v>
      </c>
      <c r="AC670" s="118"/>
      <c r="AD670" s="99"/>
      <c r="AE670" s="27"/>
      <c r="AG670" s="116" t="s">
        <v>18</v>
      </c>
      <c r="AH670" s="117"/>
      <c r="AI670" s="114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5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5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5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8" t="s">
        <v>17</v>
      </c>
      <c r="E725" s="118"/>
      <c r="F725" s="100"/>
      <c r="G725" s="27"/>
      <c r="I725" s="116" t="s">
        <v>18</v>
      </c>
      <c r="J725" s="117"/>
      <c r="K725" s="114" t="s">
        <v>19</v>
      </c>
      <c r="N725" s="25"/>
      <c r="O725" s="26"/>
      <c r="P725" s="118" t="s">
        <v>17</v>
      </c>
      <c r="Q725" s="118"/>
      <c r="R725" s="100"/>
      <c r="S725" s="27"/>
      <c r="U725" s="116" t="s">
        <v>18</v>
      </c>
      <c r="V725" s="117"/>
      <c r="W725" s="114" t="s">
        <v>19</v>
      </c>
      <c r="Z725" s="25"/>
      <c r="AA725" s="26"/>
      <c r="AB725" s="118" t="s">
        <v>17</v>
      </c>
      <c r="AC725" s="118"/>
      <c r="AD725" s="100"/>
      <c r="AE725" s="27"/>
      <c r="AG725" s="116" t="s">
        <v>18</v>
      </c>
      <c r="AH725" s="117"/>
      <c r="AI725" s="11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5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5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5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2"/>
      <c r="C772" s="102"/>
      <c r="D772" s="102"/>
      <c r="E772" s="102"/>
      <c r="F772" s="102"/>
      <c r="G772" s="102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2"/>
      <c r="C773" s="102"/>
      <c r="D773" s="102"/>
      <c r="E773" s="102"/>
      <c r="F773" s="102"/>
      <c r="G773" s="102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2"/>
      <c r="C774" s="102"/>
      <c r="D774" s="102"/>
      <c r="E774" s="102"/>
      <c r="F774" s="102"/>
      <c r="G774" s="102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2"/>
      <c r="C775" s="102"/>
      <c r="D775" s="102"/>
      <c r="E775" s="102"/>
      <c r="F775" s="102"/>
      <c r="G775" s="102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2"/>
      <c r="C776" s="102"/>
      <c r="D776" s="102"/>
      <c r="E776" s="102"/>
      <c r="F776" s="102"/>
      <c r="G776" s="102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2"/>
      <c r="C777" s="102"/>
      <c r="D777" s="102"/>
      <c r="E777" s="102"/>
      <c r="F777" s="102"/>
      <c r="G777" s="102"/>
      <c r="H777" s="62"/>
      <c r="I777" s="102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2"/>
      <c r="C778" s="102"/>
      <c r="D778" s="102"/>
      <c r="E778" s="102"/>
      <c r="F778" s="102"/>
      <c r="G778" s="102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2"/>
      <c r="C779" s="102"/>
      <c r="D779" s="102"/>
      <c r="E779" s="102"/>
      <c r="F779" s="102"/>
      <c r="G779" s="102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2"/>
      <c r="D780" s="113"/>
      <c r="E780" s="113"/>
      <c r="F780" s="102"/>
      <c r="G780" s="102"/>
      <c r="H780" s="62"/>
      <c r="I780" s="113"/>
      <c r="J780" s="113"/>
      <c r="K780" s="112"/>
      <c r="N780" s="25"/>
      <c r="O780" s="26"/>
      <c r="P780" s="118" t="s">
        <v>17</v>
      </c>
      <c r="Q780" s="118"/>
      <c r="R780" s="103"/>
      <c r="S780" s="27"/>
      <c r="U780" s="116" t="s">
        <v>18</v>
      </c>
      <c r="V780" s="117"/>
      <c r="W780" s="114" t="s">
        <v>19</v>
      </c>
      <c r="Z780" s="25"/>
      <c r="AA780" s="26"/>
      <c r="AB780" s="118" t="s">
        <v>17</v>
      </c>
      <c r="AC780" s="118"/>
      <c r="AD780" s="103"/>
      <c r="AE780" s="27"/>
      <c r="AG780" s="116" t="s">
        <v>18</v>
      </c>
      <c r="AH780" s="117"/>
      <c r="AI780" s="114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2"/>
      <c r="C781" s="102"/>
      <c r="D781" s="79"/>
      <c r="E781" s="80"/>
      <c r="F781" s="81"/>
      <c r="G781" s="81"/>
      <c r="H781" s="62"/>
      <c r="I781" s="101"/>
      <c r="J781" s="101"/>
      <c r="K781" s="112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5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5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2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2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2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2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2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2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2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2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2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2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2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2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2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2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2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2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2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2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2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2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2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2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2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2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2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2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2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2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2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2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2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2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2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2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2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2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2"/>
      <c r="C824" s="102"/>
      <c r="D824" s="102"/>
      <c r="E824" s="102"/>
      <c r="F824" s="102"/>
      <c r="G824" s="102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2"/>
      <c r="C825" s="102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8" t="s">
        <v>17</v>
      </c>
      <c r="E835" s="118"/>
      <c r="F835" s="104"/>
      <c r="G835" s="27"/>
      <c r="I835" s="116" t="s">
        <v>18</v>
      </c>
      <c r="J835" s="117"/>
      <c r="K835" s="114" t="s">
        <v>19</v>
      </c>
      <c r="N835" s="25"/>
      <c r="O835" s="26"/>
      <c r="P835" s="118" t="s">
        <v>17</v>
      </c>
      <c r="Q835" s="118"/>
      <c r="R835" s="104"/>
      <c r="S835" s="27"/>
      <c r="U835" s="116" t="s">
        <v>18</v>
      </c>
      <c r="V835" s="117"/>
      <c r="W835" s="114" t="s">
        <v>19</v>
      </c>
      <c r="Z835" s="25"/>
      <c r="AA835" s="26"/>
      <c r="AB835" s="118" t="s">
        <v>17</v>
      </c>
      <c r="AC835" s="118"/>
      <c r="AD835" s="104"/>
      <c r="AE835" s="27"/>
      <c r="AG835" s="116" t="s">
        <v>18</v>
      </c>
      <c r="AH835" s="117"/>
      <c r="AI835" s="114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5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5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5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3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3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3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3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3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3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3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3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3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3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2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2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8" t="s">
        <v>17</v>
      </c>
      <c r="E890" s="118"/>
      <c r="F890" s="105"/>
      <c r="G890" s="27"/>
      <c r="I890" s="116" t="s">
        <v>18</v>
      </c>
      <c r="J890" s="117"/>
      <c r="K890" s="114" t="s">
        <v>19</v>
      </c>
      <c r="N890" s="25"/>
      <c r="O890" s="26"/>
      <c r="P890" s="118" t="s">
        <v>17</v>
      </c>
      <c r="Q890" s="118"/>
      <c r="R890" s="105"/>
      <c r="S890" s="27"/>
      <c r="U890" s="116" t="s">
        <v>18</v>
      </c>
      <c r="V890" s="117"/>
      <c r="W890" s="114" t="s">
        <v>19</v>
      </c>
      <c r="Z890" s="25"/>
      <c r="AA890" s="26"/>
      <c r="AB890" s="118" t="s">
        <v>17</v>
      </c>
      <c r="AC890" s="118"/>
      <c r="AD890" s="105"/>
      <c r="AE890" s="27"/>
      <c r="AG890" s="116" t="s">
        <v>18</v>
      </c>
      <c r="AH890" s="117"/>
      <c r="AI890" s="114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5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5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5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2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2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13"/>
      <c r="E945" s="113"/>
      <c r="F945" s="86"/>
      <c r="G945" s="86"/>
      <c r="H945" s="62"/>
      <c r="I945" s="113"/>
      <c r="J945" s="113"/>
      <c r="K945" s="112"/>
      <c r="N945" s="25"/>
      <c r="O945" s="26"/>
      <c r="P945" s="118" t="s">
        <v>17</v>
      </c>
      <c r="Q945" s="118"/>
      <c r="R945" s="107"/>
      <c r="S945" s="27"/>
      <c r="U945" s="116" t="s">
        <v>18</v>
      </c>
      <c r="V945" s="117"/>
      <c r="W945" s="114" t="s">
        <v>19</v>
      </c>
      <c r="Z945" s="25"/>
      <c r="AA945" s="26"/>
      <c r="AB945" s="118" t="s">
        <v>17</v>
      </c>
      <c r="AC945" s="118"/>
      <c r="AD945" s="106"/>
      <c r="AE945" s="27"/>
      <c r="AG945" s="116" t="s">
        <v>18</v>
      </c>
      <c r="AH945" s="117"/>
      <c r="AI945" s="114" t="s">
        <v>19</v>
      </c>
      <c r="AK945" s="62"/>
      <c r="AL945" s="65"/>
      <c r="AM945" s="86"/>
      <c r="AN945" s="113"/>
      <c r="AO945" s="113"/>
      <c r="AP945" s="86"/>
      <c r="AQ945" s="86"/>
      <c r="AR945" s="62"/>
      <c r="AS945" s="113"/>
      <c r="AT945" s="113"/>
      <c r="AU945" s="112"/>
      <c r="AV945" s="62"/>
      <c r="AW945" s="62"/>
      <c r="AX945" s="62"/>
      <c r="AY945" s="62"/>
      <c r="AZ945" s="62"/>
    </row>
    <row r="946" spans="1:52" ht="30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12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5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5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91" si="274">SUM(P948:Q948)</f>
        <v>3250</v>
      </c>
      <c r="T948" s="12"/>
      <c r="U948" s="12"/>
      <c r="V948" s="12">
        <f>-111+-84</f>
        <v>-195</v>
      </c>
      <c r="W948" s="12">
        <f t="shared" ref="W948:W991" si="275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6">SUM(AB948:AC948)</f>
        <v>22750</v>
      </c>
      <c r="AF948" s="12"/>
      <c r="AG948" s="12"/>
      <c r="AH948">
        <v>-3330</v>
      </c>
      <c r="AI948" s="12">
        <f t="shared" ref="AI948:AI949" si="277">SUM(AE948:AH948)</f>
        <v>19420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M949" s="10">
        <v>3</v>
      </c>
      <c r="N949" s="30" t="s">
        <v>87</v>
      </c>
      <c r="O949" s="31">
        <f t="shared" ref="O949:O967" si="278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4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5"/>
        <v>151828</v>
      </c>
      <c r="Y949" s="10">
        <v>3</v>
      </c>
      <c r="Z949" s="30" t="s">
        <v>87</v>
      </c>
      <c r="AA949" s="31">
        <f t="shared" ref="AA949:AA951" si="279">AA948+1</f>
        <v>9353</v>
      </c>
      <c r="AB949" s="32">
        <f>650*7+9.5*7</f>
        <v>4616.5</v>
      </c>
      <c r="AC949" s="33"/>
      <c r="AD949" s="32"/>
      <c r="AE949" s="32">
        <f t="shared" si="276"/>
        <v>4616.5</v>
      </c>
      <c r="AF949" s="12"/>
      <c r="AG949" s="12"/>
      <c r="AH949" s="12"/>
      <c r="AI949" s="12">
        <f t="shared" si="277"/>
        <v>4616.5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M950" s="10">
        <v>4</v>
      </c>
      <c r="N950" s="30" t="s">
        <v>87</v>
      </c>
      <c r="O950" s="31">
        <f t="shared" si="278"/>
        <v>9293</v>
      </c>
      <c r="P950" s="32">
        <f>650*17+9.5*17</f>
        <v>11211.5</v>
      </c>
      <c r="Q950" s="32"/>
      <c r="R950" s="32"/>
      <c r="S950" s="32">
        <f t="shared" si="274"/>
        <v>11211.5</v>
      </c>
      <c r="T950" s="12"/>
      <c r="U950" s="12">
        <v>9</v>
      </c>
      <c r="V950" s="12">
        <v>-504</v>
      </c>
      <c r="W950" s="12">
        <f t="shared" si="275"/>
        <v>10716.5</v>
      </c>
      <c r="Y950" s="10">
        <v>4</v>
      </c>
      <c r="Z950" s="30" t="s">
        <v>87</v>
      </c>
      <c r="AA950" s="31">
        <f t="shared" si="279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M951" s="10">
        <v>5</v>
      </c>
      <c r="N951" s="30" t="s">
        <v>87</v>
      </c>
      <c r="O951" s="31">
        <f t="shared" si="278"/>
        <v>9294</v>
      </c>
      <c r="P951" s="32">
        <f>650*4+670+9.5*4</f>
        <v>3308</v>
      </c>
      <c r="Q951" s="32"/>
      <c r="R951" s="32"/>
      <c r="S951" s="32">
        <f t="shared" si="274"/>
        <v>3308</v>
      </c>
      <c r="T951" s="12"/>
      <c r="U951" s="12"/>
      <c r="V951" s="12"/>
      <c r="W951" s="12">
        <f t="shared" si="275"/>
        <v>3308</v>
      </c>
      <c r="Y951" s="10">
        <v>5</v>
      </c>
      <c r="Z951" s="30" t="s">
        <v>87</v>
      </c>
      <c r="AA951" s="31">
        <f t="shared" si="279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0">SUM(AE951:AH951)</f>
        <v>3269.5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M952" s="10">
        <v>6</v>
      </c>
      <c r="N952" s="30"/>
      <c r="O952" s="11" t="s">
        <v>27</v>
      </c>
      <c r="P952" s="32"/>
      <c r="Q952" s="32"/>
      <c r="R952" s="32"/>
      <c r="S952" s="32">
        <f t="shared" si="274"/>
        <v>0</v>
      </c>
      <c r="T952" s="12"/>
      <c r="U952" s="12"/>
      <c r="V952" s="10"/>
      <c r="W952" s="12">
        <f t="shared" si="275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1">SUM(AB952:AC952)</f>
        <v>0</v>
      </c>
      <c r="AF952" s="12"/>
      <c r="AG952" s="12"/>
      <c r="AH952" s="10"/>
      <c r="AI952" s="12">
        <f t="shared" si="280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M953" s="10">
        <v>7</v>
      </c>
      <c r="N953" s="30"/>
      <c r="O953" s="31"/>
      <c r="P953" s="32"/>
      <c r="Q953" s="32"/>
      <c r="R953" s="32"/>
      <c r="S953" s="32">
        <f t="shared" si="274"/>
        <v>0</v>
      </c>
      <c r="T953" s="12"/>
      <c r="U953" s="12"/>
      <c r="V953" s="12"/>
      <c r="W953" s="12">
        <f t="shared" si="275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1"/>
        <v>0</v>
      </c>
      <c r="AF953" s="12"/>
      <c r="AG953" s="58"/>
      <c r="AH953" s="12"/>
      <c r="AI953" s="12">
        <f t="shared" si="280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M954" s="10">
        <v>8</v>
      </c>
      <c r="N954" s="30"/>
      <c r="O954" s="31"/>
      <c r="P954" s="32"/>
      <c r="Q954" s="32"/>
      <c r="R954" s="32"/>
      <c r="S954" s="32">
        <f t="shared" si="274"/>
        <v>0</v>
      </c>
      <c r="T954" s="12"/>
      <c r="U954" s="12"/>
      <c r="V954" s="12"/>
      <c r="W954" s="12">
        <f t="shared" si="275"/>
        <v>0</v>
      </c>
      <c r="Y954" s="10">
        <v>8</v>
      </c>
      <c r="Z954" s="30"/>
      <c r="AA954" s="31"/>
      <c r="AB954" s="32"/>
      <c r="AC954" s="32"/>
      <c r="AE954" s="32">
        <f t="shared" si="281"/>
        <v>0</v>
      </c>
      <c r="AF954" s="12"/>
      <c r="AG954" s="12"/>
      <c r="AH954" s="12"/>
      <c r="AI954" s="12">
        <f t="shared" si="280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M955" s="10">
        <v>9</v>
      </c>
      <c r="N955" s="30"/>
      <c r="O955" s="31"/>
      <c r="P955" s="32"/>
      <c r="Q955" s="32"/>
      <c r="R955" s="32"/>
      <c r="S955" s="32">
        <f t="shared" si="274"/>
        <v>0</v>
      </c>
      <c r="T955" s="12"/>
      <c r="U955" s="12"/>
      <c r="V955" s="12"/>
      <c r="W955" s="12">
        <f t="shared" si="275"/>
        <v>0</v>
      </c>
      <c r="Y955" s="10">
        <v>9</v>
      </c>
      <c r="Z955" s="30"/>
      <c r="AA955" s="31"/>
      <c r="AC955" s="32"/>
      <c r="AD955" s="32"/>
      <c r="AE955" s="32">
        <f t="shared" si="281"/>
        <v>0</v>
      </c>
      <c r="AF955" s="12"/>
      <c r="AH955" s="12"/>
      <c r="AI955" s="12">
        <f t="shared" si="280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M956" s="10">
        <v>10</v>
      </c>
      <c r="N956" s="30"/>
      <c r="O956" s="31"/>
      <c r="P956" s="32"/>
      <c r="Q956" s="32"/>
      <c r="R956" s="32"/>
      <c r="S956" s="32">
        <f t="shared" si="274"/>
        <v>0</v>
      </c>
      <c r="T956" s="12"/>
      <c r="U956" s="12"/>
      <c r="V956" s="12"/>
      <c r="W956" s="12">
        <f t="shared" si="275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1"/>
        <v>0</v>
      </c>
      <c r="AF956" s="12"/>
      <c r="AG956" s="12"/>
      <c r="AH956" s="12"/>
      <c r="AI956" s="12">
        <f t="shared" si="28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M957" s="10">
        <v>11</v>
      </c>
      <c r="N957" s="30"/>
      <c r="O957" s="31"/>
      <c r="P957" s="32"/>
      <c r="Q957" s="32"/>
      <c r="R957" s="32"/>
      <c r="S957" s="32">
        <f t="shared" si="274"/>
        <v>0</v>
      </c>
      <c r="T957" s="12"/>
      <c r="U957" s="12"/>
      <c r="V957" s="12"/>
      <c r="W957" s="12">
        <f t="shared" si="275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1"/>
        <v>0</v>
      </c>
      <c r="AF957" s="12"/>
      <c r="AG957" s="12"/>
      <c r="AH957" s="12"/>
      <c r="AI957" s="12">
        <f t="shared" si="280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M958" s="10">
        <v>12</v>
      </c>
      <c r="N958" s="30"/>
      <c r="O958" s="31"/>
      <c r="P958" s="32"/>
      <c r="Q958" s="32"/>
      <c r="R958" s="32"/>
      <c r="S958" s="32">
        <f t="shared" si="274"/>
        <v>0</v>
      </c>
      <c r="T958" s="12"/>
      <c r="U958" s="12"/>
      <c r="V958" s="12"/>
      <c r="W958" s="12">
        <f t="shared" si="275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1"/>
        <v>0</v>
      </c>
      <c r="AF958" s="12"/>
      <c r="AG958" s="12"/>
      <c r="AH958" s="12"/>
      <c r="AI958" s="12">
        <f t="shared" si="280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M959" s="10">
        <v>13</v>
      </c>
      <c r="N959" s="30"/>
      <c r="O959" s="31"/>
      <c r="P959" s="32"/>
      <c r="Q959" s="32"/>
      <c r="R959" s="32"/>
      <c r="S959" s="32">
        <f t="shared" si="274"/>
        <v>0</v>
      </c>
      <c r="T959" s="12"/>
      <c r="U959" s="12"/>
      <c r="V959" s="12"/>
      <c r="W959" s="12">
        <f t="shared" si="275"/>
        <v>0</v>
      </c>
      <c r="Y959" s="10">
        <v>13</v>
      </c>
      <c r="Z959" s="30"/>
      <c r="AB959" s="32"/>
      <c r="AC959" s="32"/>
      <c r="AD959" s="32"/>
      <c r="AE959" s="32">
        <f t="shared" si="281"/>
        <v>0</v>
      </c>
      <c r="AF959" s="12"/>
      <c r="AG959" s="12"/>
      <c r="AH959" s="12"/>
      <c r="AI959" s="12">
        <f t="shared" si="280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M960" s="10">
        <v>14</v>
      </c>
      <c r="N960" s="30"/>
      <c r="O960" s="31"/>
      <c r="P960" s="32"/>
      <c r="Q960" s="32"/>
      <c r="R960" s="32"/>
      <c r="S960" s="32">
        <f t="shared" si="274"/>
        <v>0</v>
      </c>
      <c r="T960" s="12"/>
      <c r="U960" s="12"/>
      <c r="V960" s="12"/>
      <c r="W960" s="12">
        <f t="shared" si="275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1"/>
        <v>0</v>
      </c>
      <c r="AF960" s="12"/>
      <c r="AG960" s="12"/>
      <c r="AH960" s="12"/>
      <c r="AI960" s="12">
        <f t="shared" si="280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M961" s="10">
        <v>15</v>
      </c>
      <c r="N961" s="30"/>
      <c r="O961" s="31"/>
      <c r="P961" s="32"/>
      <c r="Q961" s="32"/>
      <c r="R961" s="32"/>
      <c r="S961" s="32">
        <f t="shared" si="274"/>
        <v>0</v>
      </c>
      <c r="T961" s="12"/>
      <c r="U961" s="12"/>
      <c r="V961" s="12"/>
      <c r="W961" s="12">
        <f t="shared" si="275"/>
        <v>0</v>
      </c>
      <c r="Y961" s="10">
        <v>15</v>
      </c>
      <c r="Z961" s="30"/>
      <c r="AB961" s="32"/>
      <c r="AC961" s="32"/>
      <c r="AD961" s="32"/>
      <c r="AE961" s="32">
        <f t="shared" si="281"/>
        <v>0</v>
      </c>
      <c r="AF961" s="12"/>
      <c r="AG961" s="12"/>
      <c r="AH961" s="12"/>
      <c r="AI961" s="12">
        <f t="shared" si="280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M962" s="10">
        <v>16</v>
      </c>
      <c r="N962" s="30"/>
      <c r="O962" s="31"/>
      <c r="P962" s="32"/>
      <c r="Q962" s="32"/>
      <c r="R962" s="32"/>
      <c r="S962" s="32">
        <f t="shared" si="274"/>
        <v>0</v>
      </c>
      <c r="T962" s="12"/>
      <c r="U962" s="12"/>
      <c r="V962" s="12"/>
      <c r="W962" s="12">
        <f t="shared" si="275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1"/>
        <v>0</v>
      </c>
      <c r="AF962" s="12"/>
      <c r="AG962" s="12"/>
      <c r="AH962" s="12"/>
      <c r="AI962" s="12">
        <f t="shared" si="280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M963" s="10">
        <v>17</v>
      </c>
      <c r="N963" s="30"/>
      <c r="O963" s="31"/>
      <c r="P963" s="35"/>
      <c r="Q963" s="32"/>
      <c r="R963" s="32"/>
      <c r="S963" s="32">
        <f t="shared" si="274"/>
        <v>0</v>
      </c>
      <c r="T963" s="12"/>
      <c r="U963" s="12"/>
      <c r="V963" s="12"/>
      <c r="W963" s="12">
        <f t="shared" si="275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1"/>
        <v>0</v>
      </c>
      <c r="AF963" s="12"/>
      <c r="AG963" s="12"/>
      <c r="AH963" s="12"/>
      <c r="AI963" s="12">
        <f t="shared" si="280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M964" s="10">
        <v>18</v>
      </c>
      <c r="N964" s="30"/>
      <c r="O964" s="31"/>
      <c r="P964" s="32"/>
      <c r="Q964" s="32"/>
      <c r="R964" s="32"/>
      <c r="S964" s="32">
        <f t="shared" si="274"/>
        <v>0</v>
      </c>
      <c r="T964" s="12"/>
      <c r="U964" s="12"/>
      <c r="V964" s="12"/>
      <c r="W964" s="12">
        <f t="shared" si="275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1"/>
        <v>0</v>
      </c>
      <c r="AF964" s="12"/>
      <c r="AG964" s="12"/>
      <c r="AH964" s="12"/>
      <c r="AI964" s="12">
        <f t="shared" si="280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M965" s="10">
        <v>19</v>
      </c>
      <c r="N965" s="30"/>
      <c r="O965" s="31"/>
      <c r="P965" s="32"/>
      <c r="Q965" s="32"/>
      <c r="R965" s="32"/>
      <c r="S965" s="32">
        <f t="shared" si="274"/>
        <v>0</v>
      </c>
      <c r="T965" s="12"/>
      <c r="U965" s="12"/>
      <c r="V965" s="12"/>
      <c r="W965" s="12">
        <f t="shared" si="275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1"/>
        <v>0</v>
      </c>
      <c r="AF965" s="12"/>
      <c r="AG965" s="12"/>
      <c r="AH965" s="12"/>
      <c r="AI965" s="12">
        <f t="shared" si="280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M966" s="10">
        <v>20</v>
      </c>
      <c r="N966" s="30"/>
      <c r="O966" s="31"/>
      <c r="P966" s="32"/>
      <c r="Q966" s="32"/>
      <c r="R966" s="32"/>
      <c r="S966" s="32">
        <f t="shared" si="274"/>
        <v>0</v>
      </c>
      <c r="T966" s="12"/>
      <c r="U966" s="12"/>
      <c r="V966" s="12"/>
      <c r="W966" s="12">
        <f t="shared" si="275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1"/>
        <v>0</v>
      </c>
      <c r="AF966" s="12"/>
      <c r="AG966" s="12"/>
      <c r="AH966" s="12"/>
      <c r="AI966" s="12">
        <f t="shared" si="280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M967" s="10">
        <v>21</v>
      </c>
      <c r="N967" s="30"/>
      <c r="O967" s="31"/>
      <c r="P967" s="92"/>
      <c r="Q967" s="31"/>
      <c r="R967" s="31"/>
      <c r="S967" s="32">
        <f t="shared" si="274"/>
        <v>0</v>
      </c>
      <c r="T967" s="10"/>
      <c r="U967" s="10"/>
      <c r="V967" s="10"/>
      <c r="W967" s="12">
        <f t="shared" si="275"/>
        <v>0</v>
      </c>
      <c r="Y967" s="10">
        <v>21</v>
      </c>
      <c r="Z967" s="30"/>
      <c r="AB967" s="46"/>
      <c r="AC967" s="31"/>
      <c r="AD967" s="31"/>
      <c r="AE967" s="32">
        <f t="shared" si="281"/>
        <v>0</v>
      </c>
      <c r="AF967" s="10"/>
      <c r="AG967" s="10"/>
      <c r="AH967" s="10"/>
      <c r="AI967" s="12">
        <f t="shared" si="280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M968" s="10">
        <v>22</v>
      </c>
      <c r="N968" s="30"/>
      <c r="P968" s="92"/>
      <c r="Q968" s="31"/>
      <c r="R968" s="31"/>
      <c r="S968" s="32">
        <f t="shared" si="274"/>
        <v>0</v>
      </c>
      <c r="T968" s="10"/>
      <c r="U968" s="10"/>
      <c r="V968" s="10"/>
      <c r="W968" s="12">
        <f t="shared" si="275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1"/>
        <v>0</v>
      </c>
      <c r="AF968" s="10"/>
      <c r="AG968" s="10"/>
      <c r="AH968" s="10"/>
      <c r="AI968" s="12">
        <f t="shared" si="280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M969" s="10">
        <v>23</v>
      </c>
      <c r="N969" s="30"/>
      <c r="O969" s="31"/>
      <c r="P969" s="47"/>
      <c r="Q969" s="31"/>
      <c r="S969" s="32">
        <f t="shared" si="274"/>
        <v>0</v>
      </c>
      <c r="T969" s="10"/>
      <c r="U969" s="10"/>
      <c r="V969" s="10"/>
      <c r="W969" s="12">
        <f t="shared" si="275"/>
        <v>0</v>
      </c>
      <c r="Y969" s="10">
        <v>23</v>
      </c>
      <c r="Z969" s="30"/>
      <c r="AA969" s="31"/>
      <c r="AB969" s="47"/>
      <c r="AC969" s="31"/>
      <c r="AE969" s="32">
        <f t="shared" si="281"/>
        <v>0</v>
      </c>
      <c r="AF969" s="10"/>
      <c r="AG969" s="10"/>
      <c r="AH969" s="10"/>
      <c r="AI969" s="12">
        <f t="shared" si="280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M970" s="10">
        <v>24</v>
      </c>
      <c r="N970" s="30"/>
      <c r="P970" s="47"/>
      <c r="Q970" s="31"/>
      <c r="R970" s="31"/>
      <c r="S970" s="32">
        <f t="shared" si="274"/>
        <v>0</v>
      </c>
      <c r="T970" s="10"/>
      <c r="U970" s="10"/>
      <c r="V970" s="10"/>
      <c r="W970" s="12">
        <f t="shared" si="275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1"/>
        <v>0</v>
      </c>
      <c r="AF970" s="10"/>
      <c r="AG970" s="10"/>
      <c r="AH970" s="10"/>
      <c r="AI970" s="12">
        <f t="shared" si="280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M971" s="10">
        <v>25</v>
      </c>
      <c r="N971" s="30"/>
      <c r="O971" s="31"/>
      <c r="P971" s="47"/>
      <c r="Q971" s="31"/>
      <c r="R971" s="31"/>
      <c r="S971" s="32">
        <f t="shared" si="274"/>
        <v>0</v>
      </c>
      <c r="T971" s="10"/>
      <c r="U971" s="10"/>
      <c r="V971" s="10"/>
      <c r="W971" s="12">
        <f t="shared" si="275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1"/>
        <v>0</v>
      </c>
      <c r="AF971" s="10"/>
      <c r="AG971" s="10"/>
      <c r="AH971" s="10"/>
      <c r="AI971" s="12">
        <f t="shared" si="280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M972" s="10">
        <v>26</v>
      </c>
      <c r="N972" s="30"/>
      <c r="O972" s="31"/>
      <c r="P972" s="47"/>
      <c r="Q972" s="31"/>
      <c r="R972" s="31"/>
      <c r="S972" s="32">
        <f t="shared" si="274"/>
        <v>0</v>
      </c>
      <c r="T972" s="10"/>
      <c r="U972" s="10"/>
      <c r="V972" s="10"/>
      <c r="W972" s="12">
        <f t="shared" si="275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1"/>
        <v>0</v>
      </c>
      <c r="AF972" s="10"/>
      <c r="AG972" s="10"/>
      <c r="AH972" s="10"/>
      <c r="AI972" s="12">
        <f t="shared" si="280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M973" s="10">
        <v>27</v>
      </c>
      <c r="N973" s="30"/>
      <c r="O973" s="31"/>
      <c r="P973" s="47"/>
      <c r="Q973" s="31"/>
      <c r="R973" s="31"/>
      <c r="S973" s="32">
        <f t="shared" si="274"/>
        <v>0</v>
      </c>
      <c r="T973" s="10"/>
      <c r="U973" s="10"/>
      <c r="V973" s="10"/>
      <c r="W973" s="12">
        <f t="shared" si="275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1"/>
        <v>0</v>
      </c>
      <c r="AF973" s="10"/>
      <c r="AG973" s="10"/>
      <c r="AH973" s="10"/>
      <c r="AI973" s="12">
        <f t="shared" si="280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M974" s="10">
        <v>28</v>
      </c>
      <c r="N974" s="30"/>
      <c r="O974" s="31"/>
      <c r="P974" s="47"/>
      <c r="Q974" s="31"/>
      <c r="R974" s="31"/>
      <c r="S974" s="32">
        <f t="shared" si="274"/>
        <v>0</v>
      </c>
      <c r="T974" s="10"/>
      <c r="U974" s="10"/>
      <c r="V974" s="10"/>
      <c r="W974" s="12">
        <f t="shared" si="275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1"/>
        <v>0</v>
      </c>
      <c r="AF974" s="10"/>
      <c r="AG974" s="10"/>
      <c r="AH974" s="10"/>
      <c r="AI974" s="12">
        <f t="shared" si="280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M975" s="10">
        <v>29</v>
      </c>
      <c r="N975" s="30"/>
      <c r="O975" s="31"/>
      <c r="P975" s="47"/>
      <c r="Q975" s="31"/>
      <c r="R975" s="31"/>
      <c r="S975" s="32">
        <f t="shared" si="274"/>
        <v>0</v>
      </c>
      <c r="T975" s="10"/>
      <c r="U975" s="10"/>
      <c r="V975" s="10"/>
      <c r="W975" s="12">
        <f t="shared" si="275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1"/>
        <v>0</v>
      </c>
      <c r="AF975" s="10"/>
      <c r="AG975" s="10"/>
      <c r="AH975" s="10"/>
      <c r="AI975" s="12">
        <f t="shared" si="280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M976" s="10">
        <v>30</v>
      </c>
      <c r="N976" s="30"/>
      <c r="P976" s="47"/>
      <c r="Q976" s="31"/>
      <c r="R976" s="31"/>
      <c r="S976" s="32">
        <f t="shared" si="274"/>
        <v>0</v>
      </c>
      <c r="T976" s="10"/>
      <c r="U976" s="10"/>
      <c r="V976" s="10"/>
      <c r="W976" s="12">
        <f t="shared" si="275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1"/>
        <v>0</v>
      </c>
      <c r="AF976" s="10"/>
      <c r="AG976" s="10"/>
      <c r="AH976" s="10"/>
      <c r="AI976" s="12">
        <f t="shared" si="280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M977" s="10">
        <v>31</v>
      </c>
      <c r="N977" s="30"/>
      <c r="O977" s="31"/>
      <c r="P977" s="47"/>
      <c r="Q977" s="31"/>
      <c r="R977" s="31"/>
      <c r="S977" s="32">
        <f t="shared" si="274"/>
        <v>0</v>
      </c>
      <c r="T977" s="10"/>
      <c r="U977" s="10"/>
      <c r="V977" s="10"/>
      <c r="W977" s="12">
        <f t="shared" si="275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1"/>
        <v>0</v>
      </c>
      <c r="AF977" s="10"/>
      <c r="AG977" s="10"/>
      <c r="AH977" s="10"/>
      <c r="AI977" s="12">
        <f t="shared" si="280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M978" s="10">
        <v>32</v>
      </c>
      <c r="N978" s="30"/>
      <c r="O978" s="31"/>
      <c r="P978" s="47"/>
      <c r="Q978" s="31"/>
      <c r="R978" s="31"/>
      <c r="S978" s="32">
        <f t="shared" si="274"/>
        <v>0</v>
      </c>
      <c r="T978" s="10"/>
      <c r="U978" s="10"/>
      <c r="V978" s="10"/>
      <c r="W978" s="12">
        <f t="shared" si="275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1"/>
        <v>0</v>
      </c>
      <c r="AF978" s="10"/>
      <c r="AG978" s="10"/>
      <c r="AH978" s="10"/>
      <c r="AI978" s="12">
        <f t="shared" si="280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M979" s="10">
        <v>33</v>
      </c>
      <c r="N979" s="30"/>
      <c r="O979" s="31"/>
      <c r="P979" s="47"/>
      <c r="Q979" s="31"/>
      <c r="R979" s="31"/>
      <c r="S979" s="32">
        <f t="shared" si="274"/>
        <v>0</v>
      </c>
      <c r="T979" s="10"/>
      <c r="U979" s="10"/>
      <c r="V979" s="10"/>
      <c r="W979" s="12">
        <f t="shared" si="275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1"/>
        <v>0</v>
      </c>
      <c r="AF979" s="10"/>
      <c r="AG979" s="10"/>
      <c r="AH979" s="10"/>
      <c r="AI979" s="12">
        <f t="shared" si="280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M980" s="10">
        <v>34</v>
      </c>
      <c r="N980" s="30"/>
      <c r="O980" s="31"/>
      <c r="P980" s="47"/>
      <c r="Q980" s="31"/>
      <c r="R980" s="31"/>
      <c r="S980" s="32">
        <f t="shared" si="274"/>
        <v>0</v>
      </c>
      <c r="T980" s="10"/>
      <c r="U980" s="10"/>
      <c r="V980" s="10"/>
      <c r="W980" s="12">
        <f t="shared" si="275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1"/>
        <v>0</v>
      </c>
      <c r="AF980" s="10"/>
      <c r="AG980" s="10"/>
      <c r="AH980" s="10"/>
      <c r="AI980" s="12">
        <f t="shared" si="280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M981" s="10">
        <v>35</v>
      </c>
      <c r="N981" s="30"/>
      <c r="O981" s="31"/>
      <c r="P981" s="47"/>
      <c r="Q981" s="31"/>
      <c r="R981" s="31"/>
      <c r="S981" s="32">
        <f t="shared" si="274"/>
        <v>0</v>
      </c>
      <c r="T981" s="10"/>
      <c r="U981" s="10"/>
      <c r="V981" s="10"/>
      <c r="W981" s="12">
        <f t="shared" si="275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1"/>
        <v>0</v>
      </c>
      <c r="AF981" s="10"/>
      <c r="AG981" s="10"/>
      <c r="AH981" s="10"/>
      <c r="AI981" s="12">
        <f t="shared" si="280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M982" s="10">
        <v>36</v>
      </c>
      <c r="N982" s="30"/>
      <c r="O982" s="31"/>
      <c r="P982" s="47"/>
      <c r="Q982" s="31"/>
      <c r="R982" s="31"/>
      <c r="S982" s="32">
        <f t="shared" si="274"/>
        <v>0</v>
      </c>
      <c r="T982" s="10"/>
      <c r="U982" s="10"/>
      <c r="V982" s="10"/>
      <c r="W982" s="12">
        <f t="shared" si="275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1"/>
        <v>0</v>
      </c>
      <c r="AF982" s="10"/>
      <c r="AG982" s="10"/>
      <c r="AH982" s="10"/>
      <c r="AI982" s="12">
        <f t="shared" si="280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M983" s="10">
        <v>37</v>
      </c>
      <c r="N983" s="30"/>
      <c r="P983" s="47"/>
      <c r="Q983" s="31"/>
      <c r="R983" s="31"/>
      <c r="S983" s="32">
        <f t="shared" si="274"/>
        <v>0</v>
      </c>
      <c r="T983" s="10"/>
      <c r="U983" s="10"/>
      <c r="V983" s="10"/>
      <c r="W983" s="12">
        <f t="shared" si="275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1"/>
        <v>0</v>
      </c>
      <c r="AF983" s="10"/>
      <c r="AG983" s="10"/>
      <c r="AH983" s="10"/>
      <c r="AI983" s="12">
        <f t="shared" si="280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M984" s="10">
        <v>38</v>
      </c>
      <c r="N984" s="30"/>
      <c r="O984" s="31"/>
      <c r="P984" s="47"/>
      <c r="Q984" s="31"/>
      <c r="R984" s="31"/>
      <c r="S984" s="32">
        <f t="shared" si="274"/>
        <v>0</v>
      </c>
      <c r="T984" s="10"/>
      <c r="U984" s="10"/>
      <c r="V984" s="10"/>
      <c r="W984" s="12">
        <f t="shared" si="275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1"/>
        <v>0</v>
      </c>
      <c r="AF984" s="10"/>
      <c r="AG984" s="10"/>
      <c r="AH984" s="10"/>
      <c r="AI984" s="12">
        <f t="shared" si="280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M985" s="10">
        <v>39</v>
      </c>
      <c r="N985" s="30"/>
      <c r="O985" s="31"/>
      <c r="P985" s="47"/>
      <c r="Q985" s="31"/>
      <c r="R985" s="31"/>
      <c r="S985" s="32">
        <f t="shared" si="274"/>
        <v>0</v>
      </c>
      <c r="T985" s="10"/>
      <c r="U985" s="10"/>
      <c r="V985" s="10"/>
      <c r="W985" s="12">
        <f t="shared" si="275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1"/>
        <v>0</v>
      </c>
      <c r="AF985" s="10"/>
      <c r="AG985" s="10"/>
      <c r="AH985" s="10"/>
      <c r="AI985" s="12">
        <f t="shared" si="280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5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0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M987" s="10"/>
      <c r="N987" s="30"/>
      <c r="O987" s="31"/>
      <c r="P987" s="47"/>
      <c r="Q987" s="31"/>
      <c r="R987" s="31"/>
      <c r="S987" s="32">
        <f t="shared" ref="S987" si="282">SUM(P987:Q987)</f>
        <v>0</v>
      </c>
      <c r="T987" s="10"/>
      <c r="U987" s="10"/>
      <c r="V987" s="10"/>
      <c r="W987" s="12">
        <f t="shared" si="275"/>
        <v>0</v>
      </c>
      <c r="Y987" s="10"/>
      <c r="Z987" s="30"/>
      <c r="AA987" s="31"/>
      <c r="AB987" s="47"/>
      <c r="AC987" s="31"/>
      <c r="AD987" s="31"/>
      <c r="AE987" s="32">
        <f t="shared" ref="AE987" si="283">SUM(AB987:AC987)</f>
        <v>0</v>
      </c>
      <c r="AF987" s="10"/>
      <c r="AG987" s="10"/>
      <c r="AH987" s="10"/>
      <c r="AI987" s="12">
        <f t="shared" si="280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5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0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3"/>
      <c r="E1000" s="113"/>
      <c r="F1000" s="86"/>
      <c r="G1000" s="86"/>
      <c r="H1000" s="62"/>
      <c r="I1000" s="113"/>
      <c r="J1000" s="113"/>
      <c r="K1000" s="112"/>
      <c r="L1000" s="62"/>
      <c r="M1000" s="62"/>
      <c r="N1000" s="65"/>
      <c r="O1000" s="86"/>
      <c r="P1000" s="113"/>
      <c r="Q1000" s="113"/>
      <c r="R1000" s="86"/>
      <c r="S1000" s="86"/>
      <c r="T1000" s="62"/>
      <c r="U1000" s="113"/>
      <c r="V1000" s="113"/>
      <c r="W1000" s="112"/>
      <c r="X1000" s="62"/>
      <c r="Y1000" s="62"/>
      <c r="Z1000" s="65"/>
      <c r="AA1000" s="86"/>
      <c r="AB1000" s="113"/>
      <c r="AC1000" s="113"/>
      <c r="AD1000" s="86"/>
      <c r="AE1000" s="86"/>
      <c r="AF1000" s="62"/>
      <c r="AG1000" s="113"/>
      <c r="AH1000" s="113"/>
      <c r="AI1000" s="11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2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2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3"/>
      <c r="E1055" s="113"/>
      <c r="F1055" s="86"/>
      <c r="G1055" s="86"/>
      <c r="H1055" s="62"/>
      <c r="I1055" s="113"/>
      <c r="J1055" s="113"/>
      <c r="K1055" s="112"/>
      <c r="L1055" s="62"/>
      <c r="M1055" s="62"/>
      <c r="N1055" s="65"/>
      <c r="O1055" s="86"/>
      <c r="P1055" s="113"/>
      <c r="Q1055" s="113"/>
      <c r="R1055" s="86"/>
      <c r="S1055" s="86"/>
      <c r="T1055" s="62"/>
      <c r="U1055" s="113"/>
      <c r="V1055" s="113"/>
      <c r="W1055" s="112"/>
      <c r="X1055" s="62"/>
      <c r="Y1055" s="62"/>
      <c r="Z1055" s="65"/>
      <c r="AA1055" s="86"/>
      <c r="AB1055" s="113"/>
      <c r="AC1055" s="113"/>
      <c r="AD1055" s="86"/>
      <c r="AE1055" s="86"/>
      <c r="AF1055" s="62"/>
      <c r="AG1055" s="113"/>
      <c r="AH1055" s="113"/>
      <c r="AI1055" s="11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2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2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3"/>
      <c r="E1110" s="113"/>
      <c r="F1110" s="86"/>
      <c r="G1110" s="86"/>
      <c r="H1110" s="62"/>
      <c r="I1110" s="113"/>
      <c r="J1110" s="113"/>
      <c r="K1110" s="112"/>
      <c r="L1110" s="62"/>
      <c r="M1110" s="62"/>
      <c r="N1110" s="65"/>
      <c r="O1110" s="86"/>
      <c r="P1110" s="113"/>
      <c r="Q1110" s="113"/>
      <c r="R1110" s="86"/>
      <c r="S1110" s="86"/>
      <c r="T1110" s="62"/>
      <c r="U1110" s="113"/>
      <c r="V1110" s="113"/>
      <c r="W1110" s="112"/>
      <c r="X1110" s="62"/>
      <c r="Y1110" s="62"/>
      <c r="Z1110" s="65"/>
      <c r="AA1110" s="86"/>
      <c r="AB1110" s="113"/>
      <c r="AC1110" s="113"/>
      <c r="AD1110" s="86"/>
      <c r="AE1110" s="86"/>
      <c r="AF1110" s="62"/>
      <c r="AG1110" s="113"/>
      <c r="AH1110" s="113"/>
      <c r="AI1110" s="11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2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2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3"/>
      <c r="E1165" s="113"/>
      <c r="F1165" s="86"/>
      <c r="G1165" s="86"/>
      <c r="H1165" s="62"/>
      <c r="I1165" s="113"/>
      <c r="J1165" s="113"/>
      <c r="K1165" s="112"/>
      <c r="L1165" s="62"/>
      <c r="M1165" s="62"/>
      <c r="N1165" s="65"/>
      <c r="O1165" s="86"/>
      <c r="P1165" s="113"/>
      <c r="Q1165" s="113"/>
      <c r="R1165" s="86"/>
      <c r="S1165" s="86"/>
      <c r="T1165" s="62"/>
      <c r="U1165" s="113"/>
      <c r="V1165" s="113"/>
      <c r="W1165" s="112"/>
      <c r="X1165" s="62"/>
      <c r="Y1165" s="62"/>
      <c r="Z1165" s="65"/>
      <c r="AA1165" s="86"/>
      <c r="AB1165" s="113"/>
      <c r="AC1165" s="113"/>
      <c r="AD1165" s="86"/>
      <c r="AE1165" s="86"/>
      <c r="AF1165" s="62"/>
      <c r="AG1165" s="113"/>
      <c r="AH1165" s="113"/>
      <c r="AI1165" s="11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2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2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3"/>
      <c r="E1221" s="113"/>
      <c r="F1221" s="86"/>
      <c r="G1221" s="86"/>
      <c r="H1221" s="62"/>
      <c r="I1221" s="113"/>
      <c r="J1221" s="113"/>
      <c r="K1221" s="112"/>
      <c r="L1221" s="62"/>
      <c r="M1221" s="62"/>
      <c r="N1221" s="65"/>
      <c r="O1221" s="86"/>
      <c r="P1221" s="113"/>
      <c r="Q1221" s="113"/>
      <c r="R1221" s="86"/>
      <c r="S1221" s="86"/>
      <c r="T1221" s="62"/>
      <c r="U1221" s="113"/>
      <c r="V1221" s="113"/>
      <c r="W1221" s="112"/>
      <c r="X1221" s="62"/>
      <c r="Y1221" s="62"/>
      <c r="Z1221" s="65"/>
      <c r="AA1221" s="86"/>
      <c r="AB1221" s="113"/>
      <c r="AC1221" s="113"/>
      <c r="AD1221" s="86"/>
      <c r="AE1221" s="86"/>
      <c r="AF1221" s="62"/>
      <c r="AG1221" s="113"/>
      <c r="AH1221" s="113"/>
      <c r="AI1221" s="11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2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2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3"/>
      <c r="E1283" s="113"/>
      <c r="F1283" s="86"/>
      <c r="G1283" s="86"/>
      <c r="H1283" s="62"/>
      <c r="I1283" s="113"/>
      <c r="J1283" s="113"/>
      <c r="K1283" s="112"/>
      <c r="L1283" s="62"/>
      <c r="M1283" s="62"/>
      <c r="N1283" s="65"/>
      <c r="O1283" s="86"/>
      <c r="P1283" s="113"/>
      <c r="Q1283" s="113"/>
      <c r="R1283" s="86"/>
      <c r="S1283" s="86"/>
      <c r="T1283" s="62"/>
      <c r="U1283" s="113"/>
      <c r="V1283" s="113"/>
      <c r="W1283" s="112"/>
      <c r="X1283" s="62"/>
      <c r="Y1283" s="62"/>
      <c r="Z1283" s="65"/>
      <c r="AA1283" s="86"/>
      <c r="AB1283" s="113"/>
      <c r="AC1283" s="113"/>
      <c r="AD1283" s="86"/>
      <c r="AE1283" s="86"/>
      <c r="AF1283" s="62"/>
      <c r="AG1283" s="113"/>
      <c r="AH1283" s="113"/>
      <c r="AI1283" s="11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2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2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2026-02-21T09:36:38Z</dcterms:modified>
</cp:coreProperties>
</file>