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6C144F2A-BDF1-40DF-B693-21A48A644197}" xr6:coauthVersionLast="45" xr6:coauthVersionMax="45" xr10:uidLastSave="{00000000-0000-0000-0000-000000000000}"/>
  <bookViews>
    <workbookView xWindow="-120" yWindow="-120" windowWidth="29040" windowHeight="15840" tabRatio="586" xr2:uid="{1BECB66F-BB2E-4983-8F6C-4EC307945A01}"/>
  </bookViews>
  <sheets>
    <sheet name="MSIS FEBRUARY" sheetId="1" r:id="rId1"/>
    <sheet name="DSIS | FEBRUARY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947" i="2" l="1"/>
  <c r="AB951" i="2"/>
  <c r="AB950" i="2"/>
  <c r="AC990" i="2"/>
  <c r="AB949" i="2"/>
  <c r="AB990" i="2" s="1"/>
  <c r="AB948" i="2"/>
  <c r="AB947" i="2"/>
  <c r="AA948" i="2"/>
  <c r="AA949" i="2" s="1"/>
  <c r="AA950" i="2" s="1"/>
  <c r="AA951" i="2" s="1"/>
  <c r="AE948" i="2"/>
  <c r="AI948" i="2" s="1"/>
  <c r="AE950" i="2"/>
  <c r="AI950" i="2" s="1"/>
  <c r="AE951" i="2"/>
  <c r="AI951" i="2" s="1"/>
  <c r="AE952" i="2"/>
  <c r="AI952" i="2" s="1"/>
  <c r="AE953" i="2"/>
  <c r="AI953" i="2" s="1"/>
  <c r="AE954" i="2"/>
  <c r="AI954" i="2" s="1"/>
  <c r="AE955" i="2"/>
  <c r="AI955" i="2" s="1"/>
  <c r="AE956" i="2"/>
  <c r="AI956" i="2" s="1"/>
  <c r="AE957" i="2"/>
  <c r="AI957" i="2" s="1"/>
  <c r="AG990" i="2"/>
  <c r="AH990" i="2"/>
  <c r="AE958" i="2"/>
  <c r="AI958" i="2" s="1"/>
  <c r="AE959" i="2"/>
  <c r="AI959" i="2"/>
  <c r="AE960" i="2"/>
  <c r="AI960" i="2"/>
  <c r="AE961" i="2"/>
  <c r="AI961" i="2"/>
  <c r="AE962" i="2"/>
  <c r="AI962" i="2"/>
  <c r="AE963" i="2"/>
  <c r="AI963" i="2"/>
  <c r="AE964" i="2"/>
  <c r="AI964" i="2"/>
  <c r="AE965" i="2"/>
  <c r="AI965" i="2" s="1"/>
  <c r="AE966" i="2"/>
  <c r="AI966" i="2" s="1"/>
  <c r="AE967" i="2"/>
  <c r="AI967" i="2"/>
  <c r="AE968" i="2"/>
  <c r="AI968" i="2"/>
  <c r="AE969" i="2"/>
  <c r="AI969" i="2"/>
  <c r="AE970" i="2"/>
  <c r="AI970" i="2"/>
  <c r="AE971" i="2"/>
  <c r="AI971" i="2"/>
  <c r="AE972" i="2"/>
  <c r="AI972" i="2"/>
  <c r="AE973" i="2"/>
  <c r="AI973" i="2" s="1"/>
  <c r="AE974" i="2"/>
  <c r="AI974" i="2" s="1"/>
  <c r="AE975" i="2"/>
  <c r="AI975" i="2"/>
  <c r="AE976" i="2"/>
  <c r="AI976" i="2"/>
  <c r="AE977" i="2"/>
  <c r="AI977" i="2"/>
  <c r="AE978" i="2"/>
  <c r="AI978" i="2"/>
  <c r="AE979" i="2"/>
  <c r="AI979" i="2"/>
  <c r="AE980" i="2"/>
  <c r="AI980" i="2"/>
  <c r="AE981" i="2"/>
  <c r="AI981" i="2" s="1"/>
  <c r="AE982" i="2"/>
  <c r="AI982" i="2" s="1"/>
  <c r="AE983" i="2"/>
  <c r="AI983" i="2"/>
  <c r="AE984" i="2"/>
  <c r="AI984" i="2"/>
  <c r="AE985" i="2"/>
  <c r="AI985" i="2"/>
  <c r="AI986" i="2"/>
  <c r="AE987" i="2"/>
  <c r="AI987" i="2"/>
  <c r="AI988" i="2"/>
  <c r="AD990" i="2"/>
  <c r="AE949" i="2" l="1"/>
  <c r="AI949" i="2" s="1"/>
  <c r="AE947" i="2"/>
  <c r="AE990" i="2" s="1"/>
  <c r="AG903" i="2"/>
  <c r="AG935" i="2" s="1"/>
  <c r="AB903" i="2"/>
  <c r="AE903" i="2" s="1"/>
  <c r="AH902" i="2"/>
  <c r="AG902" i="2"/>
  <c r="AB902" i="2"/>
  <c r="AB901" i="2"/>
  <c r="AB900" i="2"/>
  <c r="AE900" i="2" s="1"/>
  <c r="AI900" i="2" s="1"/>
  <c r="AB899" i="2"/>
  <c r="AB898" i="2"/>
  <c r="AE898" i="2" s="1"/>
  <c r="AI898" i="2" s="1"/>
  <c r="AB897" i="2"/>
  <c r="AG896" i="2"/>
  <c r="AB896" i="2"/>
  <c r="AB895" i="2"/>
  <c r="AE895" i="2" s="1"/>
  <c r="AI895" i="2" s="1"/>
  <c r="AG894" i="2"/>
  <c r="AI894" i="2" s="1"/>
  <c r="AB894" i="2"/>
  <c r="AB893" i="2"/>
  <c r="AB892" i="2"/>
  <c r="AE892" i="2" s="1"/>
  <c r="AI892" i="2" s="1"/>
  <c r="AA893" i="2"/>
  <c r="AE893" i="2"/>
  <c r="AI893" i="2"/>
  <c r="AA894" i="2"/>
  <c r="AA895" i="2" s="1"/>
  <c r="AA896" i="2" s="1"/>
  <c r="AA897" i="2" s="1"/>
  <c r="AA898" i="2" s="1"/>
  <c r="AA899" i="2" s="1"/>
  <c r="AA900" i="2" s="1"/>
  <c r="AA901" i="2" s="1"/>
  <c r="AA902" i="2" s="1"/>
  <c r="AA903" i="2" s="1"/>
  <c r="AE894" i="2"/>
  <c r="AH935" i="2"/>
  <c r="AE897" i="2"/>
  <c r="AI897" i="2" s="1"/>
  <c r="AE899" i="2"/>
  <c r="AI899" i="2" s="1"/>
  <c r="AC935" i="2"/>
  <c r="AE901" i="2"/>
  <c r="AI901" i="2" s="1"/>
  <c r="AE902" i="2"/>
  <c r="AI902" i="2" s="1"/>
  <c r="AE904" i="2"/>
  <c r="AI904" i="2" s="1"/>
  <c r="AE905" i="2"/>
  <c r="AI905" i="2" s="1"/>
  <c r="AE906" i="2"/>
  <c r="AI906" i="2" s="1"/>
  <c r="AE907" i="2"/>
  <c r="AI907" i="2"/>
  <c r="AE908" i="2"/>
  <c r="AI908" i="2" s="1"/>
  <c r="AE909" i="2"/>
  <c r="AI909" i="2" s="1"/>
  <c r="AE910" i="2"/>
  <c r="AI910" i="2" s="1"/>
  <c r="AE911" i="2"/>
  <c r="AI911" i="2"/>
  <c r="AE912" i="2"/>
  <c r="AI912" i="2"/>
  <c r="AE913" i="2"/>
  <c r="AI913" i="2"/>
  <c r="AE914" i="2"/>
  <c r="AI914" i="2" s="1"/>
  <c r="AE915" i="2"/>
  <c r="AI915" i="2"/>
  <c r="AE916" i="2"/>
  <c r="AI916" i="2" s="1"/>
  <c r="AE917" i="2"/>
  <c r="AI917" i="2" s="1"/>
  <c r="AE918" i="2"/>
  <c r="AI918" i="2" s="1"/>
  <c r="AE919" i="2"/>
  <c r="AI919" i="2"/>
  <c r="AE920" i="2"/>
  <c r="AI920" i="2"/>
  <c r="AE921" i="2"/>
  <c r="AI921" i="2"/>
  <c r="AE922" i="2"/>
  <c r="AI922" i="2" s="1"/>
  <c r="AE923" i="2"/>
  <c r="AI923" i="2"/>
  <c r="AE924" i="2"/>
  <c r="AI924" i="2" s="1"/>
  <c r="AE925" i="2"/>
  <c r="AI925" i="2" s="1"/>
  <c r="AE926" i="2"/>
  <c r="AI926" i="2" s="1"/>
  <c r="AE927" i="2"/>
  <c r="AI927" i="2"/>
  <c r="AE928" i="2"/>
  <c r="AI928" i="2"/>
  <c r="AE929" i="2"/>
  <c r="AI929" i="2"/>
  <c r="AE930" i="2"/>
  <c r="AI930" i="2" s="1"/>
  <c r="AI931" i="2"/>
  <c r="AE932" i="2"/>
  <c r="AI932" i="2"/>
  <c r="AI933" i="2"/>
  <c r="AD935" i="2"/>
  <c r="P912" i="2"/>
  <c r="S912" i="2" s="1"/>
  <c r="W912" i="2" s="1"/>
  <c r="P911" i="2"/>
  <c r="S911" i="2" s="1"/>
  <c r="W911" i="2" s="1"/>
  <c r="P910" i="2"/>
  <c r="S910" i="2" s="1"/>
  <c r="W910" i="2" s="1"/>
  <c r="P909" i="2"/>
  <c r="P908" i="2"/>
  <c r="P907" i="2"/>
  <c r="S907" i="2" s="1"/>
  <c r="W907" i="2" s="1"/>
  <c r="P906" i="2"/>
  <c r="S906" i="2" s="1"/>
  <c r="W906" i="2" s="1"/>
  <c r="P905" i="2"/>
  <c r="P904" i="2"/>
  <c r="S904" i="2" s="1"/>
  <c r="W904" i="2" s="1"/>
  <c r="P903" i="2"/>
  <c r="P902" i="2"/>
  <c r="S902" i="2" s="1"/>
  <c r="W902" i="2" s="1"/>
  <c r="P901" i="2"/>
  <c r="P900" i="2"/>
  <c r="S900" i="2" s="1"/>
  <c r="W900" i="2" s="1"/>
  <c r="P899" i="2"/>
  <c r="S899" i="2" s="1"/>
  <c r="W899" i="2" s="1"/>
  <c r="P898" i="2"/>
  <c r="P897" i="2"/>
  <c r="P896" i="2"/>
  <c r="S896" i="2" s="1"/>
  <c r="W896" i="2" s="1"/>
  <c r="P895" i="2"/>
  <c r="S895" i="2" s="1"/>
  <c r="W895" i="2" s="1"/>
  <c r="P894" i="2"/>
  <c r="P893" i="2"/>
  <c r="S893" i="2" s="1"/>
  <c r="W893" i="2" s="1"/>
  <c r="P892" i="2"/>
  <c r="S892" i="2" s="1"/>
  <c r="O893" i="2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S894" i="2"/>
  <c r="W894" i="2" s="1"/>
  <c r="U935" i="2"/>
  <c r="S897" i="2"/>
  <c r="W897" i="2" s="1"/>
  <c r="S898" i="2"/>
  <c r="W898" i="2" s="1"/>
  <c r="S901" i="2"/>
  <c r="W901" i="2" s="1"/>
  <c r="S903" i="2"/>
  <c r="W903" i="2" s="1"/>
  <c r="S905" i="2"/>
  <c r="W905" i="2" s="1"/>
  <c r="S908" i="2"/>
  <c r="W908" i="2" s="1"/>
  <c r="S909" i="2"/>
  <c r="W909" i="2" s="1"/>
  <c r="S913" i="2"/>
  <c r="W913" i="2"/>
  <c r="S914" i="2"/>
  <c r="W914" i="2" s="1"/>
  <c r="S915" i="2"/>
  <c r="W915" i="2"/>
  <c r="S916" i="2"/>
  <c r="W916" i="2"/>
  <c r="S917" i="2"/>
  <c r="W917" i="2"/>
  <c r="S918" i="2"/>
  <c r="W918" i="2" s="1"/>
  <c r="S919" i="2"/>
  <c r="W919" i="2"/>
  <c r="S920" i="2"/>
  <c r="W920" i="2"/>
  <c r="S921" i="2"/>
  <c r="W921" i="2"/>
  <c r="S922" i="2"/>
  <c r="W922" i="2" s="1"/>
  <c r="S923" i="2"/>
  <c r="W923" i="2"/>
  <c r="S924" i="2"/>
  <c r="W924" i="2"/>
  <c r="S925" i="2"/>
  <c r="W925" i="2"/>
  <c r="S926" i="2"/>
  <c r="W926" i="2" s="1"/>
  <c r="S927" i="2"/>
  <c r="W927" i="2"/>
  <c r="S928" i="2"/>
  <c r="W928" i="2"/>
  <c r="S929" i="2"/>
  <c r="W929" i="2"/>
  <c r="S930" i="2"/>
  <c r="W930" i="2" s="1"/>
  <c r="W931" i="2"/>
  <c r="S932" i="2"/>
  <c r="W932" i="2"/>
  <c r="W933" i="2"/>
  <c r="Q935" i="2"/>
  <c r="R935" i="2"/>
  <c r="V935" i="2"/>
  <c r="D902" i="2"/>
  <c r="G902" i="2" s="1"/>
  <c r="K902" i="2" s="1"/>
  <c r="J901" i="2"/>
  <c r="D901" i="2"/>
  <c r="G901" i="2" s="1"/>
  <c r="D900" i="2"/>
  <c r="G900" i="2" s="1"/>
  <c r="K900" i="2" s="1"/>
  <c r="D899" i="2"/>
  <c r="D898" i="2"/>
  <c r="G898" i="2" s="1"/>
  <c r="K898" i="2" s="1"/>
  <c r="D897" i="2"/>
  <c r="D896" i="2"/>
  <c r="D895" i="2"/>
  <c r="G895" i="2" s="1"/>
  <c r="K895" i="2" s="1"/>
  <c r="I894" i="2"/>
  <c r="I935" i="2" s="1"/>
  <c r="D894" i="2"/>
  <c r="G894" i="2"/>
  <c r="J893" i="2"/>
  <c r="E893" i="2"/>
  <c r="E935" i="2" s="1"/>
  <c r="D893" i="2"/>
  <c r="D892" i="2"/>
  <c r="C893" i="2"/>
  <c r="C894" i="2" s="1"/>
  <c r="C895" i="2" s="1"/>
  <c r="C896" i="2" s="1"/>
  <c r="C897" i="2" s="1"/>
  <c r="C898" i="2" s="1"/>
  <c r="C899" i="2" s="1"/>
  <c r="C900" i="2" s="1"/>
  <c r="C901" i="2" s="1"/>
  <c r="C902" i="2" s="1"/>
  <c r="G896" i="2"/>
  <c r="K896" i="2" s="1"/>
  <c r="G897" i="2"/>
  <c r="K897" i="2" s="1"/>
  <c r="G899" i="2"/>
  <c r="K899" i="2" s="1"/>
  <c r="G903" i="2"/>
  <c r="K903" i="2" s="1"/>
  <c r="G904" i="2"/>
  <c r="K904" i="2" s="1"/>
  <c r="G905" i="2"/>
  <c r="K905" i="2" s="1"/>
  <c r="G906" i="2"/>
  <c r="K906" i="2"/>
  <c r="G907" i="2"/>
  <c r="K907" i="2"/>
  <c r="G908" i="2"/>
  <c r="K908" i="2"/>
  <c r="G909" i="2"/>
  <c r="K909" i="2" s="1"/>
  <c r="G910" i="2"/>
  <c r="K910" i="2"/>
  <c r="G911" i="2"/>
  <c r="K911" i="2"/>
  <c r="G912" i="2"/>
  <c r="K912" i="2" s="1"/>
  <c r="G913" i="2"/>
  <c r="K913" i="2" s="1"/>
  <c r="G914" i="2"/>
  <c r="K914" i="2"/>
  <c r="G915" i="2"/>
  <c r="K915" i="2"/>
  <c r="G916" i="2"/>
  <c r="K916" i="2"/>
  <c r="G917" i="2"/>
  <c r="K917" i="2" s="1"/>
  <c r="G918" i="2"/>
  <c r="K918" i="2"/>
  <c r="G919" i="2"/>
  <c r="K919" i="2"/>
  <c r="G920" i="2"/>
  <c r="K920" i="2" s="1"/>
  <c r="G921" i="2"/>
  <c r="K921" i="2" s="1"/>
  <c r="G922" i="2"/>
  <c r="K922" i="2"/>
  <c r="G923" i="2"/>
  <c r="K923" i="2"/>
  <c r="G924" i="2"/>
  <c r="K924" i="2"/>
  <c r="G925" i="2"/>
  <c r="K925" i="2" s="1"/>
  <c r="G932" i="2"/>
  <c r="K932" i="2"/>
  <c r="F935" i="2"/>
  <c r="AI947" i="2" l="1"/>
  <c r="AI990" i="2" s="1"/>
  <c r="AI903" i="2"/>
  <c r="AB935" i="2"/>
  <c r="AE896" i="2"/>
  <c r="AI896" i="2" s="1"/>
  <c r="AI935" i="2"/>
  <c r="AE935" i="2"/>
  <c r="W892" i="2"/>
  <c r="W935" i="2" s="1"/>
  <c r="S935" i="2"/>
  <c r="P935" i="2"/>
  <c r="K901" i="2"/>
  <c r="J935" i="2"/>
  <c r="K894" i="2"/>
  <c r="G893" i="2"/>
  <c r="K893" i="2" s="1"/>
  <c r="D935" i="2"/>
  <c r="G892" i="2"/>
  <c r="K892" i="2" s="1"/>
  <c r="K935" i="2" s="1"/>
  <c r="AB850" i="2"/>
  <c r="AE850" i="2"/>
  <c r="AI850" i="2" s="1"/>
  <c r="AB849" i="2"/>
  <c r="AB848" i="2"/>
  <c r="AB847" i="2"/>
  <c r="AE847" i="2" s="1"/>
  <c r="AI847" i="2" s="1"/>
  <c r="AC846" i="2"/>
  <c r="AB846" i="2"/>
  <c r="AH845" i="2"/>
  <c r="AC845" i="2"/>
  <c r="AB845" i="2"/>
  <c r="AE845" i="2" s="1"/>
  <c r="AI845" i="2" s="1"/>
  <c r="AB844" i="2"/>
  <c r="AE844" i="2" s="1"/>
  <c r="AI844" i="2" s="1"/>
  <c r="AB843" i="2"/>
  <c r="AB842" i="2"/>
  <c r="AE842" i="2" s="1"/>
  <c r="AI842" i="2" s="1"/>
  <c r="AB841" i="2"/>
  <c r="AE841" i="2" s="1"/>
  <c r="AI841" i="2" s="1"/>
  <c r="AB840" i="2"/>
  <c r="AE840" i="2" s="1"/>
  <c r="AH839" i="2"/>
  <c r="AB839" i="2"/>
  <c r="AE839" i="2" s="1"/>
  <c r="AI839" i="2" s="1"/>
  <c r="AB838" i="2"/>
  <c r="AB837" i="2"/>
  <c r="AE837" i="2" s="1"/>
  <c r="AI837" i="2" s="1"/>
  <c r="AG880" i="2"/>
  <c r="AA838" i="2"/>
  <c r="AA839" i="2" s="1"/>
  <c r="AA840" i="2" s="1"/>
  <c r="AA841" i="2" s="1"/>
  <c r="AA842" i="2" s="1"/>
  <c r="AA843" i="2" s="1"/>
  <c r="AA844" i="2" s="1"/>
  <c r="AA845" i="2" s="1"/>
  <c r="AA846" i="2" s="1"/>
  <c r="AA847" i="2" s="1"/>
  <c r="AA848" i="2" s="1"/>
  <c r="AA849" i="2" s="1"/>
  <c r="AA850" i="2" s="1"/>
  <c r="AE838" i="2"/>
  <c r="AI838" i="2" s="1"/>
  <c r="AE843" i="2"/>
  <c r="AI843" i="2" s="1"/>
  <c r="AE848" i="2"/>
  <c r="AI848" i="2" s="1"/>
  <c r="AE849" i="2"/>
  <c r="AI849" i="2" s="1"/>
  <c r="AE851" i="2"/>
  <c r="AI851" i="2" s="1"/>
  <c r="AE852" i="2"/>
  <c r="AI852" i="2"/>
  <c r="AE853" i="2"/>
  <c r="AI853" i="2"/>
  <c r="AE854" i="2"/>
  <c r="AI854" i="2"/>
  <c r="AE855" i="2"/>
  <c r="AI855" i="2"/>
  <c r="AE856" i="2"/>
  <c r="AI856" i="2"/>
  <c r="AE857" i="2"/>
  <c r="AI857" i="2" s="1"/>
  <c r="AE858" i="2"/>
  <c r="AI858" i="2" s="1"/>
  <c r="AE859" i="2"/>
  <c r="AI859" i="2"/>
  <c r="AE860" i="2"/>
  <c r="AI860" i="2"/>
  <c r="AE861" i="2"/>
  <c r="AI861" i="2"/>
  <c r="AE862" i="2"/>
  <c r="AI862" i="2"/>
  <c r="AE863" i="2"/>
  <c r="AI863" i="2"/>
  <c r="AE864" i="2"/>
  <c r="AI864" i="2" s="1"/>
  <c r="AE865" i="2"/>
  <c r="AI865" i="2"/>
  <c r="AE866" i="2"/>
  <c r="AI866" i="2" s="1"/>
  <c r="AE867" i="2"/>
  <c r="AI867" i="2"/>
  <c r="AE868" i="2"/>
  <c r="AI868" i="2"/>
  <c r="AE869" i="2"/>
  <c r="AI869" i="2"/>
  <c r="AE870" i="2"/>
  <c r="AI870" i="2"/>
  <c r="AE871" i="2"/>
  <c r="AI871" i="2"/>
  <c r="AE872" i="2"/>
  <c r="AI872" i="2" s="1"/>
  <c r="AE873" i="2"/>
  <c r="AI873" i="2"/>
  <c r="AE874" i="2"/>
  <c r="AI874" i="2" s="1"/>
  <c r="AE875" i="2"/>
  <c r="AI875" i="2"/>
  <c r="AI876" i="2"/>
  <c r="AE877" i="2"/>
  <c r="AI877" i="2"/>
  <c r="AI878" i="2"/>
  <c r="AD880" i="2"/>
  <c r="P854" i="2"/>
  <c r="S854" i="2" s="1"/>
  <c r="W854" i="2" s="1"/>
  <c r="P853" i="2"/>
  <c r="S853" i="2" s="1"/>
  <c r="W853" i="2" s="1"/>
  <c r="P852" i="2"/>
  <c r="V851" i="2"/>
  <c r="V880" i="2" s="1"/>
  <c r="P851" i="2"/>
  <c r="S851" i="2" s="1"/>
  <c r="P850" i="2"/>
  <c r="P849" i="2"/>
  <c r="P848" i="2"/>
  <c r="S848" i="2" s="1"/>
  <c r="W848" i="2" s="1"/>
  <c r="P847" i="2"/>
  <c r="P846" i="2"/>
  <c r="S846" i="2" s="1"/>
  <c r="W846" i="2" s="1"/>
  <c r="P845" i="2"/>
  <c r="P844" i="2"/>
  <c r="S844" i="2" s="1"/>
  <c r="W844" i="2" s="1"/>
  <c r="P843" i="2"/>
  <c r="P842" i="2"/>
  <c r="S842" i="2" s="1"/>
  <c r="W842" i="2" s="1"/>
  <c r="P841" i="2"/>
  <c r="U840" i="2"/>
  <c r="U880" i="2" s="1"/>
  <c r="P840" i="2"/>
  <c r="P839" i="2"/>
  <c r="P838" i="2"/>
  <c r="S838" i="2" s="1"/>
  <c r="W838" i="2" s="1"/>
  <c r="P837" i="2"/>
  <c r="S837" i="2"/>
  <c r="O838" i="2"/>
  <c r="O839" i="2" s="1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S839" i="2"/>
  <c r="W839" i="2" s="1"/>
  <c r="S841" i="2"/>
  <c r="W841" i="2" s="1"/>
  <c r="S843" i="2"/>
  <c r="W843" i="2" s="1"/>
  <c r="S845" i="2"/>
  <c r="W845" i="2" s="1"/>
  <c r="S847" i="2"/>
  <c r="W847" i="2" s="1"/>
  <c r="S849" i="2"/>
  <c r="W849" i="2"/>
  <c r="S850" i="2"/>
  <c r="W850" i="2" s="1"/>
  <c r="S852" i="2"/>
  <c r="W852" i="2" s="1"/>
  <c r="S855" i="2"/>
  <c r="W855" i="2" s="1"/>
  <c r="S856" i="2"/>
  <c r="W856" i="2" s="1"/>
  <c r="S857" i="2"/>
  <c r="W857" i="2"/>
  <c r="S858" i="2"/>
  <c r="W858" i="2"/>
  <c r="S859" i="2"/>
  <c r="W859" i="2" s="1"/>
  <c r="S860" i="2"/>
  <c r="W860" i="2"/>
  <c r="S861" i="2"/>
  <c r="W861" i="2" s="1"/>
  <c r="S862" i="2"/>
  <c r="W862" i="2" s="1"/>
  <c r="S863" i="2"/>
  <c r="W863" i="2" s="1"/>
  <c r="S864" i="2"/>
  <c r="W864" i="2" s="1"/>
  <c r="S865" i="2"/>
  <c r="W865" i="2"/>
  <c r="S866" i="2"/>
  <c r="W866" i="2"/>
  <c r="S867" i="2"/>
  <c r="W867" i="2" s="1"/>
  <c r="S868" i="2"/>
  <c r="W868" i="2"/>
  <c r="S869" i="2"/>
  <c r="W869" i="2" s="1"/>
  <c r="S870" i="2"/>
  <c r="W870" i="2" s="1"/>
  <c r="S871" i="2"/>
  <c r="W871" i="2"/>
  <c r="S872" i="2"/>
  <c r="W872" i="2"/>
  <c r="S873" i="2"/>
  <c r="W873" i="2"/>
  <c r="S874" i="2"/>
  <c r="W874" i="2"/>
  <c r="S875" i="2"/>
  <c r="W875" i="2" s="1"/>
  <c r="W876" i="2"/>
  <c r="S877" i="2"/>
  <c r="W877" i="2"/>
  <c r="W878" i="2"/>
  <c r="Q880" i="2"/>
  <c r="R880" i="2"/>
  <c r="I845" i="2"/>
  <c r="I880" i="2" s="1"/>
  <c r="D845" i="2"/>
  <c r="D844" i="2"/>
  <c r="G844" i="2" s="1"/>
  <c r="K844" i="2" s="1"/>
  <c r="D843" i="2"/>
  <c r="G843" i="2" s="1"/>
  <c r="K843" i="2" s="1"/>
  <c r="D842" i="2"/>
  <c r="D841" i="2"/>
  <c r="J840" i="2"/>
  <c r="J880" i="2" s="1"/>
  <c r="E840" i="2"/>
  <c r="G840" i="2" s="1"/>
  <c r="K840" i="2" s="1"/>
  <c r="D840" i="2"/>
  <c r="D839" i="2"/>
  <c r="G839" i="2" s="1"/>
  <c r="K839" i="2" s="1"/>
  <c r="D838" i="2"/>
  <c r="I837" i="2"/>
  <c r="D837" i="2"/>
  <c r="F880" i="2"/>
  <c r="G877" i="2"/>
  <c r="K877" i="2" s="1"/>
  <c r="K870" i="2"/>
  <c r="G870" i="2"/>
  <c r="G869" i="2"/>
  <c r="K869" i="2" s="1"/>
  <c r="G868" i="2"/>
  <c r="K868" i="2" s="1"/>
  <c r="K867" i="2"/>
  <c r="G867" i="2"/>
  <c r="G866" i="2"/>
  <c r="K866" i="2" s="1"/>
  <c r="G865" i="2"/>
  <c r="K865" i="2" s="1"/>
  <c r="G864" i="2"/>
  <c r="K864" i="2" s="1"/>
  <c r="G863" i="2"/>
  <c r="K863" i="2" s="1"/>
  <c r="G862" i="2"/>
  <c r="K862" i="2" s="1"/>
  <c r="G861" i="2"/>
  <c r="K861" i="2" s="1"/>
  <c r="G860" i="2"/>
  <c r="K860" i="2" s="1"/>
  <c r="G859" i="2"/>
  <c r="K859" i="2" s="1"/>
  <c r="G858" i="2"/>
  <c r="K858" i="2" s="1"/>
  <c r="G857" i="2"/>
  <c r="K857" i="2" s="1"/>
  <c r="G856" i="2"/>
  <c r="K856" i="2" s="1"/>
  <c r="G855" i="2"/>
  <c r="K855" i="2" s="1"/>
  <c r="G854" i="2"/>
  <c r="K854" i="2" s="1"/>
  <c r="G853" i="2"/>
  <c r="K853" i="2" s="1"/>
  <c r="G852" i="2"/>
  <c r="K852" i="2" s="1"/>
  <c r="G851" i="2"/>
  <c r="K851" i="2" s="1"/>
  <c r="G850" i="2"/>
  <c r="K850" i="2" s="1"/>
  <c r="G849" i="2"/>
  <c r="K849" i="2" s="1"/>
  <c r="G848" i="2"/>
  <c r="K848" i="2" s="1"/>
  <c r="G847" i="2"/>
  <c r="K847" i="2" s="1"/>
  <c r="G846" i="2"/>
  <c r="K846" i="2" s="1"/>
  <c r="G845" i="2"/>
  <c r="K845" i="2" s="1"/>
  <c r="G842" i="2"/>
  <c r="K842" i="2" s="1"/>
  <c r="G841" i="2"/>
  <c r="K841" i="2" s="1"/>
  <c r="G838" i="2"/>
  <c r="K838" i="2" s="1"/>
  <c r="C838" i="2"/>
  <c r="C839" i="2" s="1"/>
  <c r="C840" i="2" s="1"/>
  <c r="C841" i="2" s="1"/>
  <c r="C842" i="2" s="1"/>
  <c r="C843" i="2" s="1"/>
  <c r="C844" i="2" s="1"/>
  <c r="C845" i="2" s="1"/>
  <c r="G837" i="2"/>
  <c r="G935" i="2" l="1"/>
  <c r="AC880" i="2"/>
  <c r="AE846" i="2"/>
  <c r="AI846" i="2" s="1"/>
  <c r="AH880" i="2"/>
  <c r="AI840" i="2"/>
  <c r="AB880" i="2"/>
  <c r="W851" i="2"/>
  <c r="P880" i="2"/>
  <c r="W837" i="2"/>
  <c r="S840" i="2"/>
  <c r="W840" i="2" s="1"/>
  <c r="E880" i="2"/>
  <c r="D880" i="2"/>
  <c r="G880" i="2"/>
  <c r="K837" i="2"/>
  <c r="K880" i="2" s="1"/>
  <c r="AC785" i="2"/>
  <c r="AC825" i="2" s="1"/>
  <c r="AB785" i="2"/>
  <c r="AB784" i="2"/>
  <c r="AB783" i="2"/>
  <c r="AG782" i="2"/>
  <c r="AC782" i="2"/>
  <c r="AB782" i="2"/>
  <c r="AA783" i="2"/>
  <c r="AE783" i="2"/>
  <c r="AI783" i="2" s="1"/>
  <c r="AA784" i="2"/>
  <c r="AA785" i="2" s="1"/>
  <c r="AE784" i="2"/>
  <c r="AI784" i="2" s="1"/>
  <c r="AH825" i="2"/>
  <c r="AE786" i="2"/>
  <c r="AI786" i="2"/>
  <c r="AE787" i="2"/>
  <c r="AI787" i="2"/>
  <c r="AE788" i="2"/>
  <c r="AI788" i="2"/>
  <c r="AE789" i="2"/>
  <c r="AI789" i="2"/>
  <c r="AE790" i="2"/>
  <c r="AI790" i="2"/>
  <c r="AE791" i="2"/>
  <c r="AI791" i="2"/>
  <c r="AE792" i="2"/>
  <c r="AI792" i="2"/>
  <c r="AE793" i="2"/>
  <c r="AI793" i="2"/>
  <c r="AE794" i="2"/>
  <c r="AI794" i="2"/>
  <c r="AE795" i="2"/>
  <c r="AI795" i="2"/>
  <c r="AE796" i="2"/>
  <c r="AI796" i="2"/>
  <c r="AE797" i="2"/>
  <c r="AI797" i="2"/>
  <c r="AE798" i="2"/>
  <c r="AI798" i="2"/>
  <c r="AE799" i="2"/>
  <c r="AI799" i="2"/>
  <c r="AE800" i="2"/>
  <c r="AI800" i="2"/>
  <c r="AE801" i="2"/>
  <c r="AI801" i="2"/>
  <c r="AE802" i="2"/>
  <c r="AI802" i="2"/>
  <c r="AE803" i="2"/>
  <c r="AI803" i="2"/>
  <c r="AE804" i="2"/>
  <c r="AI804" i="2"/>
  <c r="AE805" i="2"/>
  <c r="AI805" i="2"/>
  <c r="AE806" i="2"/>
  <c r="AI806" i="2"/>
  <c r="AE807" i="2"/>
  <c r="AI807" i="2"/>
  <c r="AE808" i="2"/>
  <c r="AI808" i="2"/>
  <c r="AE809" i="2"/>
  <c r="AI809" i="2"/>
  <c r="AE810" i="2"/>
  <c r="AI810" i="2"/>
  <c r="AE811" i="2"/>
  <c r="AI811" i="2"/>
  <c r="AE812" i="2"/>
  <c r="AI812" i="2"/>
  <c r="AE813" i="2"/>
  <c r="AI813" i="2"/>
  <c r="AE814" i="2"/>
  <c r="AI814" i="2"/>
  <c r="AE815" i="2"/>
  <c r="AI815" i="2"/>
  <c r="AE816" i="2"/>
  <c r="AI816" i="2"/>
  <c r="AE817" i="2"/>
  <c r="AI817" i="2"/>
  <c r="AE818" i="2"/>
  <c r="AI818" i="2"/>
  <c r="AE819" i="2"/>
  <c r="AI819" i="2"/>
  <c r="AE820" i="2"/>
  <c r="AI820" i="2" s="1"/>
  <c r="AI821" i="2"/>
  <c r="AE822" i="2"/>
  <c r="AI822" i="2"/>
  <c r="AI823" i="2"/>
  <c r="AD825" i="2"/>
  <c r="AG825" i="2"/>
  <c r="P798" i="2"/>
  <c r="V797" i="2"/>
  <c r="P797" i="2"/>
  <c r="P796" i="2"/>
  <c r="P795" i="2"/>
  <c r="P794" i="2"/>
  <c r="P793" i="2"/>
  <c r="S793" i="2" s="1"/>
  <c r="W793" i="2" s="1"/>
  <c r="P792" i="2"/>
  <c r="S792" i="2" s="1"/>
  <c r="W792" i="2" s="1"/>
  <c r="P791" i="2"/>
  <c r="S791" i="2" s="1"/>
  <c r="W791" i="2" s="1"/>
  <c r="P790" i="2"/>
  <c r="S790" i="2" s="1"/>
  <c r="W790" i="2" s="1"/>
  <c r="P789" i="2"/>
  <c r="P788" i="2"/>
  <c r="U787" i="2"/>
  <c r="U825" i="2" s="1"/>
  <c r="P787" i="2"/>
  <c r="S787" i="2" s="1"/>
  <c r="W787" i="2" s="1"/>
  <c r="P786" i="2"/>
  <c r="S786" i="2" s="1"/>
  <c r="W786" i="2" s="1"/>
  <c r="P785" i="2"/>
  <c r="S785" i="2" s="1"/>
  <c r="W785" i="2" s="1"/>
  <c r="P784" i="2"/>
  <c r="S784" i="2" s="1"/>
  <c r="P783" i="2"/>
  <c r="S783" i="2" s="1"/>
  <c r="W783" i="2" s="1"/>
  <c r="P782" i="2"/>
  <c r="S782" i="2" s="1"/>
  <c r="W782" i="2" s="1"/>
  <c r="O783" i="2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S788" i="2"/>
  <c r="W788" i="2" s="1"/>
  <c r="S789" i="2"/>
  <c r="W789" i="2" s="1"/>
  <c r="S794" i="2"/>
  <c r="W794" i="2" s="1"/>
  <c r="S795" i="2"/>
  <c r="W795" i="2" s="1"/>
  <c r="S796" i="2"/>
  <c r="W796" i="2" s="1"/>
  <c r="S797" i="2"/>
  <c r="W797" i="2" s="1"/>
  <c r="S798" i="2"/>
  <c r="W798" i="2" s="1"/>
  <c r="S799" i="2"/>
  <c r="W799" i="2" s="1"/>
  <c r="S800" i="2"/>
  <c r="W800" i="2" s="1"/>
  <c r="S801" i="2"/>
  <c r="W801" i="2" s="1"/>
  <c r="S802" i="2"/>
  <c r="W802" i="2"/>
  <c r="S803" i="2"/>
  <c r="W803" i="2" s="1"/>
  <c r="S804" i="2"/>
  <c r="W804" i="2"/>
  <c r="S805" i="2"/>
  <c r="W805" i="2"/>
  <c r="S806" i="2"/>
  <c r="W806" i="2" s="1"/>
  <c r="S807" i="2"/>
  <c r="W807" i="2"/>
  <c r="S808" i="2"/>
  <c r="W808" i="2"/>
  <c r="S809" i="2"/>
  <c r="W809" i="2" s="1"/>
  <c r="S810" i="2"/>
  <c r="W810" i="2"/>
  <c r="S811" i="2"/>
  <c r="W811" i="2" s="1"/>
  <c r="S812" i="2"/>
  <c r="W812" i="2"/>
  <c r="S813" i="2"/>
  <c r="W813" i="2"/>
  <c r="S814" i="2"/>
  <c r="W814" i="2" s="1"/>
  <c r="S815" i="2"/>
  <c r="W815" i="2"/>
  <c r="S816" i="2"/>
  <c r="W816" i="2"/>
  <c r="S817" i="2"/>
  <c r="W817" i="2" s="1"/>
  <c r="S818" i="2"/>
  <c r="W818" i="2" s="1"/>
  <c r="S819" i="2"/>
  <c r="W819" i="2" s="1"/>
  <c r="S820" i="2"/>
  <c r="W820" i="2"/>
  <c r="W821" i="2"/>
  <c r="S822" i="2"/>
  <c r="W822" i="2"/>
  <c r="W823" i="2"/>
  <c r="Q825" i="2"/>
  <c r="R825" i="2"/>
  <c r="V825" i="2"/>
  <c r="AE880" i="2" l="1"/>
  <c r="AI880" i="2"/>
  <c r="W880" i="2"/>
  <c r="S880" i="2"/>
  <c r="AE785" i="2"/>
  <c r="AI785" i="2" s="1"/>
  <c r="AB825" i="2"/>
  <c r="AE782" i="2"/>
  <c r="S825" i="2"/>
  <c r="W784" i="2"/>
  <c r="W825" i="2" s="1"/>
  <c r="P825" i="2"/>
  <c r="P738" i="2"/>
  <c r="AI782" i="2" l="1"/>
  <c r="AI825" i="2" s="1"/>
  <c r="AE825" i="2"/>
  <c r="AH729" i="2"/>
  <c r="AC729" i="2"/>
  <c r="AB729" i="2"/>
  <c r="AH728" i="2"/>
  <c r="AC728" i="2"/>
  <c r="AB728" i="2"/>
  <c r="AB770" i="2" s="1"/>
  <c r="AC727" i="2"/>
  <c r="AB727" i="2"/>
  <c r="AE727" i="2" s="1"/>
  <c r="AI727" i="2" s="1"/>
  <c r="AA728" i="2"/>
  <c r="AA729" i="2"/>
  <c r="AE730" i="2"/>
  <c r="AI730" i="2"/>
  <c r="AE731" i="2"/>
  <c r="AI731" i="2" s="1"/>
  <c r="AE732" i="2"/>
  <c r="AI732" i="2"/>
  <c r="AE733" i="2"/>
  <c r="AI733" i="2" s="1"/>
  <c r="AE734" i="2"/>
  <c r="AI734" i="2" s="1"/>
  <c r="AE735" i="2"/>
  <c r="AI735" i="2"/>
  <c r="AE736" i="2"/>
  <c r="AI736" i="2" s="1"/>
  <c r="AE737" i="2"/>
  <c r="AI737" i="2"/>
  <c r="AE738" i="2"/>
  <c r="AI738" i="2" s="1"/>
  <c r="AE739" i="2"/>
  <c r="AI739" i="2"/>
  <c r="AE740" i="2"/>
  <c r="AI740" i="2"/>
  <c r="AE741" i="2"/>
  <c r="AI741" i="2" s="1"/>
  <c r="AE742" i="2"/>
  <c r="AI742" i="2" s="1"/>
  <c r="AE743" i="2"/>
  <c r="AI743" i="2"/>
  <c r="AE744" i="2"/>
  <c r="AI744" i="2"/>
  <c r="AE745" i="2"/>
  <c r="AI745" i="2"/>
  <c r="AE746" i="2"/>
  <c r="AI746" i="2" s="1"/>
  <c r="AE747" i="2"/>
  <c r="AI747" i="2"/>
  <c r="AE748" i="2"/>
  <c r="AI748" i="2"/>
  <c r="AE749" i="2"/>
  <c r="AI749" i="2" s="1"/>
  <c r="AE750" i="2"/>
  <c r="AI750" i="2" s="1"/>
  <c r="AE751" i="2"/>
  <c r="AI751" i="2"/>
  <c r="AE752" i="2"/>
  <c r="AI752" i="2"/>
  <c r="AE753" i="2"/>
  <c r="AI753" i="2"/>
  <c r="AE754" i="2"/>
  <c r="AI754" i="2" s="1"/>
  <c r="AE755" i="2"/>
  <c r="AI755" i="2"/>
  <c r="AE756" i="2"/>
  <c r="AI756" i="2"/>
  <c r="AE757" i="2"/>
  <c r="AI757" i="2" s="1"/>
  <c r="AE758" i="2"/>
  <c r="AI758" i="2" s="1"/>
  <c r="AE759" i="2"/>
  <c r="AI759" i="2"/>
  <c r="AE760" i="2"/>
  <c r="AI760" i="2"/>
  <c r="AE761" i="2"/>
  <c r="AI761" i="2"/>
  <c r="AE762" i="2"/>
  <c r="AI762" i="2" s="1"/>
  <c r="AE763" i="2"/>
  <c r="AI763" i="2"/>
  <c r="AE764" i="2"/>
  <c r="AI764" i="2"/>
  <c r="AE765" i="2"/>
  <c r="AI765" i="2" s="1"/>
  <c r="AI766" i="2"/>
  <c r="AE767" i="2"/>
  <c r="AI767" i="2" s="1"/>
  <c r="AI768" i="2"/>
  <c r="AD770" i="2"/>
  <c r="AG770" i="2"/>
  <c r="AH770" i="2"/>
  <c r="P737" i="2"/>
  <c r="S737" i="2" s="1"/>
  <c r="W737" i="2" s="1"/>
  <c r="P736" i="2"/>
  <c r="S736" i="2" s="1"/>
  <c r="W736" i="2" s="1"/>
  <c r="P735" i="2"/>
  <c r="P734" i="2"/>
  <c r="S734" i="2" s="1"/>
  <c r="W734" i="2" s="1"/>
  <c r="P733" i="2"/>
  <c r="S733" i="2" s="1"/>
  <c r="W733" i="2" s="1"/>
  <c r="U732" i="2"/>
  <c r="U770" i="2" s="1"/>
  <c r="P732" i="2"/>
  <c r="S732" i="2" s="1"/>
  <c r="W732" i="2" s="1"/>
  <c r="Q731" i="2"/>
  <c r="Q770" i="2" s="1"/>
  <c r="P731" i="2"/>
  <c r="P730" i="2"/>
  <c r="S730" i="2" s="1"/>
  <c r="W730" i="2" s="1"/>
  <c r="P729" i="2"/>
  <c r="S729" i="2" s="1"/>
  <c r="W729" i="2" s="1"/>
  <c r="P728" i="2"/>
  <c r="P727" i="2"/>
  <c r="S727" i="2"/>
  <c r="W727" i="2"/>
  <c r="O728" i="2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S728" i="2"/>
  <c r="W728" i="2" s="1"/>
  <c r="S735" i="2"/>
  <c r="W735" i="2"/>
  <c r="S738" i="2"/>
  <c r="W738" i="2" s="1"/>
  <c r="S739" i="2"/>
  <c r="W739" i="2" s="1"/>
  <c r="S740" i="2"/>
  <c r="W740" i="2" s="1"/>
  <c r="S741" i="2"/>
  <c r="W741" i="2" s="1"/>
  <c r="S742" i="2"/>
  <c r="W742" i="2"/>
  <c r="S743" i="2"/>
  <c r="W743" i="2" s="1"/>
  <c r="S744" i="2"/>
  <c r="W744" i="2"/>
  <c r="S745" i="2"/>
  <c r="W745" i="2" s="1"/>
  <c r="S746" i="2"/>
  <c r="W746" i="2" s="1"/>
  <c r="S747" i="2"/>
  <c r="W747" i="2" s="1"/>
  <c r="S748" i="2"/>
  <c r="W748" i="2"/>
  <c r="S749" i="2"/>
  <c r="W749" i="2" s="1"/>
  <c r="S750" i="2"/>
  <c r="W750" i="2" s="1"/>
  <c r="S751" i="2"/>
  <c r="W751" i="2" s="1"/>
  <c r="S752" i="2"/>
  <c r="W752" i="2"/>
  <c r="S753" i="2"/>
  <c r="W753" i="2"/>
  <c r="S754" i="2"/>
  <c r="W754" i="2"/>
  <c r="S755" i="2"/>
  <c r="W755" i="2" s="1"/>
  <c r="S756" i="2"/>
  <c r="W756" i="2"/>
  <c r="S757" i="2"/>
  <c r="W757" i="2" s="1"/>
  <c r="S758" i="2"/>
  <c r="W758" i="2"/>
  <c r="S759" i="2"/>
  <c r="W759" i="2" s="1"/>
  <c r="S760" i="2"/>
  <c r="W760" i="2" s="1"/>
  <c r="S761" i="2"/>
  <c r="W761" i="2"/>
  <c r="S762" i="2"/>
  <c r="W762" i="2"/>
  <c r="S763" i="2"/>
  <c r="W763" i="2" s="1"/>
  <c r="S764" i="2"/>
  <c r="W764" i="2" s="1"/>
  <c r="S765" i="2"/>
  <c r="W765" i="2" s="1"/>
  <c r="W766" i="2"/>
  <c r="S767" i="2"/>
  <c r="W767" i="2"/>
  <c r="W768" i="2"/>
  <c r="R770" i="2"/>
  <c r="V770" i="2"/>
  <c r="AE729" i="2" l="1"/>
  <c r="AI729" i="2" s="1"/>
  <c r="AC770" i="2"/>
  <c r="AE728" i="2"/>
  <c r="AI728" i="2" s="1"/>
  <c r="AE770" i="2"/>
  <c r="AI770" i="2"/>
  <c r="P770" i="2"/>
  <c r="S731" i="2"/>
  <c r="W731" i="2" s="1"/>
  <c r="W770" i="2" s="1"/>
  <c r="S770" i="2" l="1"/>
  <c r="D737" i="2" l="1"/>
  <c r="G737" i="2" s="1"/>
  <c r="K737" i="2" s="1"/>
  <c r="D736" i="2"/>
  <c r="D735" i="2"/>
  <c r="G735" i="2" s="1"/>
  <c r="K735" i="2" s="1"/>
  <c r="D734" i="2"/>
  <c r="G734" i="2" s="1"/>
  <c r="K734" i="2" s="1"/>
  <c r="D733" i="2"/>
  <c r="G733" i="2" s="1"/>
  <c r="K733" i="2" s="1"/>
  <c r="D732" i="2"/>
  <c r="G732" i="2"/>
  <c r="K732" i="2" s="1"/>
  <c r="D731" i="2"/>
  <c r="G731" i="2" s="1"/>
  <c r="K731" i="2" s="1"/>
  <c r="D730" i="2"/>
  <c r="G730" i="2" s="1"/>
  <c r="K730" i="2" s="1"/>
  <c r="D729" i="2"/>
  <c r="G729" i="2" s="1"/>
  <c r="K729" i="2" s="1"/>
  <c r="D728" i="2"/>
  <c r="D727" i="2"/>
  <c r="G727" i="2" s="1"/>
  <c r="C731" i="2"/>
  <c r="C732" i="2" s="1"/>
  <c r="C733" i="2" s="1"/>
  <c r="C734" i="2" s="1"/>
  <c r="C735" i="2" s="1"/>
  <c r="C736" i="2" s="1"/>
  <c r="C737" i="2" s="1"/>
  <c r="C728" i="2"/>
  <c r="C729" i="2" s="1"/>
  <c r="G728" i="2"/>
  <c r="K728" i="2" s="1"/>
  <c r="E770" i="2"/>
  <c r="I770" i="2"/>
  <c r="J770" i="2"/>
  <c r="G736" i="2"/>
  <c r="K736" i="2" s="1"/>
  <c r="G738" i="2"/>
  <c r="K738" i="2" s="1"/>
  <c r="G739" i="2"/>
  <c r="K739" i="2" s="1"/>
  <c r="G740" i="2"/>
  <c r="K740" i="2" s="1"/>
  <c r="G741" i="2"/>
  <c r="K741" i="2"/>
  <c r="G742" i="2"/>
  <c r="K742" i="2"/>
  <c r="G743" i="2"/>
  <c r="K743" i="2"/>
  <c r="G744" i="2"/>
  <c r="K744" i="2"/>
  <c r="G745" i="2"/>
  <c r="K745" i="2" s="1"/>
  <c r="G746" i="2"/>
  <c r="K746" i="2" s="1"/>
  <c r="G747" i="2"/>
  <c r="K747" i="2" s="1"/>
  <c r="G748" i="2"/>
  <c r="K748" i="2"/>
  <c r="G749" i="2"/>
  <c r="K749" i="2"/>
  <c r="G750" i="2"/>
  <c r="K750" i="2"/>
  <c r="G751" i="2"/>
  <c r="K751" i="2"/>
  <c r="G752" i="2"/>
  <c r="K752" i="2"/>
  <c r="G753" i="2"/>
  <c r="K753" i="2" s="1"/>
  <c r="G754" i="2"/>
  <c r="K754" i="2"/>
  <c r="G755" i="2"/>
  <c r="K755" i="2" s="1"/>
  <c r="G756" i="2"/>
  <c r="K756" i="2"/>
  <c r="G757" i="2"/>
  <c r="K757" i="2"/>
  <c r="G758" i="2"/>
  <c r="K758" i="2"/>
  <c r="G759" i="2"/>
  <c r="K759" i="2"/>
  <c r="G760" i="2"/>
  <c r="K760" i="2"/>
  <c r="G767" i="2"/>
  <c r="K767" i="2" s="1"/>
  <c r="F770" i="2"/>
  <c r="D770" i="2" l="1"/>
  <c r="K727" i="2"/>
  <c r="K770" i="2" s="1"/>
  <c r="G770" i="2"/>
  <c r="AB675" i="2"/>
  <c r="AE675" i="2" s="1"/>
  <c r="AI675" i="2" s="1"/>
  <c r="AC674" i="2"/>
  <c r="AB674" i="2"/>
  <c r="AB673" i="2"/>
  <c r="AB672" i="2"/>
  <c r="AA673" i="2"/>
  <c r="AE673" i="2"/>
  <c r="AI673" i="2" s="1"/>
  <c r="AG715" i="2"/>
  <c r="AA674" i="2"/>
  <c r="AA675" i="2" s="1"/>
  <c r="AE674" i="2"/>
  <c r="AI674" i="2" s="1"/>
  <c r="AH715" i="2"/>
  <c r="AE676" i="2"/>
  <c r="AI676" i="2" s="1"/>
  <c r="AE677" i="2"/>
  <c r="AI677" i="2"/>
  <c r="AE678" i="2"/>
  <c r="AI678" i="2" s="1"/>
  <c r="AE679" i="2"/>
  <c r="AI679" i="2" s="1"/>
  <c r="AE680" i="2"/>
  <c r="AI680" i="2" s="1"/>
  <c r="AE681" i="2"/>
  <c r="AI681" i="2" s="1"/>
  <c r="AE682" i="2"/>
  <c r="AI682" i="2" s="1"/>
  <c r="AE683" i="2"/>
  <c r="AI683" i="2" s="1"/>
  <c r="AE684" i="2"/>
  <c r="AI684" i="2" s="1"/>
  <c r="AE685" i="2"/>
  <c r="AI685" i="2"/>
  <c r="AE686" i="2"/>
  <c r="AI686" i="2"/>
  <c r="AE687" i="2"/>
  <c r="AI687" i="2"/>
  <c r="AE688" i="2"/>
  <c r="AI688" i="2" s="1"/>
  <c r="AE689" i="2"/>
  <c r="AI689" i="2" s="1"/>
  <c r="AE690" i="2"/>
  <c r="AI690" i="2" s="1"/>
  <c r="AE691" i="2"/>
  <c r="AI691" i="2" s="1"/>
  <c r="AE692" i="2"/>
  <c r="AI692" i="2"/>
  <c r="AE693" i="2"/>
  <c r="AI693" i="2" s="1"/>
  <c r="AE694" i="2"/>
  <c r="AI694" i="2" s="1"/>
  <c r="AE695" i="2"/>
  <c r="AI695" i="2" s="1"/>
  <c r="AE696" i="2"/>
  <c r="AI696" i="2"/>
  <c r="AE697" i="2"/>
  <c r="AI697" i="2" s="1"/>
  <c r="AE698" i="2"/>
  <c r="AI698" i="2" s="1"/>
  <c r="AE699" i="2"/>
  <c r="AI699" i="2" s="1"/>
  <c r="AE700" i="2"/>
  <c r="AI700" i="2" s="1"/>
  <c r="AE701" i="2"/>
  <c r="AI701" i="2"/>
  <c r="AE702" i="2"/>
  <c r="AI702" i="2" s="1"/>
  <c r="AE703" i="2"/>
  <c r="AI703" i="2" s="1"/>
  <c r="AE704" i="2"/>
  <c r="AI704" i="2" s="1"/>
  <c r="AE705" i="2"/>
  <c r="AI705" i="2"/>
  <c r="AE706" i="2"/>
  <c r="AI706" i="2" s="1"/>
  <c r="AE707" i="2"/>
  <c r="AI707" i="2" s="1"/>
  <c r="AE708" i="2"/>
  <c r="AI708" i="2" s="1"/>
  <c r="AE709" i="2"/>
  <c r="AI709" i="2" s="1"/>
  <c r="AE710" i="2"/>
  <c r="AI710" i="2"/>
  <c r="AI711" i="2"/>
  <c r="AE712" i="2"/>
  <c r="AI712" i="2" s="1"/>
  <c r="AI713" i="2"/>
  <c r="AC715" i="2"/>
  <c r="AD715" i="2"/>
  <c r="P674" i="2"/>
  <c r="U673" i="2"/>
  <c r="Q673" i="2"/>
  <c r="P673" i="2"/>
  <c r="P672" i="2"/>
  <c r="S672" i="2" s="1"/>
  <c r="W672" i="2" s="1"/>
  <c r="O673" i="2"/>
  <c r="O674" i="2" s="1"/>
  <c r="S674" i="2"/>
  <c r="W674" i="2" s="1"/>
  <c r="S675" i="2"/>
  <c r="W675" i="2" s="1"/>
  <c r="S676" i="2"/>
  <c r="W676" i="2" s="1"/>
  <c r="S677" i="2"/>
  <c r="U715" i="2"/>
  <c r="W677" i="2"/>
  <c r="S678" i="2"/>
  <c r="W678" i="2" s="1"/>
  <c r="S679" i="2"/>
  <c r="W679" i="2" s="1"/>
  <c r="S680" i="2"/>
  <c r="W680" i="2"/>
  <c r="S681" i="2"/>
  <c r="W681" i="2" s="1"/>
  <c r="S682" i="2"/>
  <c r="W682" i="2" s="1"/>
  <c r="S683" i="2"/>
  <c r="W683" i="2"/>
  <c r="S684" i="2"/>
  <c r="W684" i="2"/>
  <c r="S685" i="2"/>
  <c r="W685" i="2"/>
  <c r="S686" i="2"/>
  <c r="W686" i="2" s="1"/>
  <c r="S687" i="2"/>
  <c r="W687" i="2"/>
  <c r="S688" i="2"/>
  <c r="W688" i="2" s="1"/>
  <c r="S689" i="2"/>
  <c r="W689" i="2"/>
  <c r="S690" i="2"/>
  <c r="W690" i="2" s="1"/>
  <c r="S691" i="2"/>
  <c r="W691" i="2" s="1"/>
  <c r="S692" i="2"/>
  <c r="W692" i="2" s="1"/>
  <c r="S693" i="2"/>
  <c r="W693" i="2"/>
  <c r="S694" i="2"/>
  <c r="W694" i="2"/>
  <c r="S695" i="2"/>
  <c r="W695" i="2" s="1"/>
  <c r="S696" i="2"/>
  <c r="W696" i="2"/>
  <c r="S697" i="2"/>
  <c r="W697" i="2" s="1"/>
  <c r="S698" i="2"/>
  <c r="W698" i="2" s="1"/>
  <c r="S699" i="2"/>
  <c r="W699" i="2" s="1"/>
  <c r="S700" i="2"/>
  <c r="W700" i="2" s="1"/>
  <c r="S701" i="2"/>
  <c r="W701" i="2" s="1"/>
  <c r="S702" i="2"/>
  <c r="W702" i="2"/>
  <c r="S703" i="2"/>
  <c r="W703" i="2"/>
  <c r="S704" i="2"/>
  <c r="W704" i="2" s="1"/>
  <c r="S705" i="2"/>
  <c r="W705" i="2" s="1"/>
  <c r="S706" i="2"/>
  <c r="W706" i="2" s="1"/>
  <c r="S707" i="2"/>
  <c r="W707" i="2"/>
  <c r="S708" i="2"/>
  <c r="W708" i="2"/>
  <c r="S709" i="2"/>
  <c r="W709" i="2"/>
  <c r="S710" i="2"/>
  <c r="W710" i="2"/>
  <c r="W711" i="2"/>
  <c r="S712" i="2"/>
  <c r="W712" i="2" s="1"/>
  <c r="W713" i="2"/>
  <c r="Q715" i="2"/>
  <c r="R715" i="2"/>
  <c r="V715" i="2"/>
  <c r="D675" i="2"/>
  <c r="G675" i="2" s="1"/>
  <c r="K675" i="2" s="1"/>
  <c r="J674" i="2"/>
  <c r="I674" i="2"/>
  <c r="I715" i="2" s="1"/>
  <c r="E674" i="2"/>
  <c r="E715" i="2" s="1"/>
  <c r="D674" i="2"/>
  <c r="E673" i="2"/>
  <c r="G673" i="2" s="1"/>
  <c r="K673" i="2" s="1"/>
  <c r="D673" i="2"/>
  <c r="D672" i="2"/>
  <c r="G672" i="2" s="1"/>
  <c r="K672" i="2" s="1"/>
  <c r="C673" i="2"/>
  <c r="C674" i="2"/>
  <c r="C675" i="2" s="1"/>
  <c r="G676" i="2"/>
  <c r="K676" i="2"/>
  <c r="G677" i="2"/>
  <c r="K677" i="2" s="1"/>
  <c r="G678" i="2"/>
  <c r="K678" i="2" s="1"/>
  <c r="G679" i="2"/>
  <c r="K679" i="2" s="1"/>
  <c r="G680" i="2"/>
  <c r="K680" i="2" s="1"/>
  <c r="G681" i="2"/>
  <c r="K681" i="2" s="1"/>
  <c r="G682" i="2"/>
  <c r="K682" i="2"/>
  <c r="G683" i="2"/>
  <c r="K683" i="2" s="1"/>
  <c r="G684" i="2"/>
  <c r="K684" i="2" s="1"/>
  <c r="G685" i="2"/>
  <c r="K685" i="2"/>
  <c r="G686" i="2"/>
  <c r="K686" i="2"/>
  <c r="G687" i="2"/>
  <c r="K687" i="2"/>
  <c r="G688" i="2"/>
  <c r="K688" i="2"/>
  <c r="G689" i="2"/>
  <c r="K689" i="2" s="1"/>
  <c r="G690" i="2"/>
  <c r="K690" i="2" s="1"/>
  <c r="G691" i="2"/>
  <c r="K691" i="2" s="1"/>
  <c r="G692" i="2"/>
  <c r="K692" i="2"/>
  <c r="G693" i="2"/>
  <c r="K693" i="2"/>
  <c r="G694" i="2"/>
  <c r="K694" i="2"/>
  <c r="G695" i="2"/>
  <c r="K695" i="2"/>
  <c r="G696" i="2"/>
  <c r="K696" i="2"/>
  <c r="G697" i="2"/>
  <c r="K697" i="2"/>
  <c r="G698" i="2"/>
  <c r="K698" i="2" s="1"/>
  <c r="G699" i="2"/>
  <c r="K699" i="2" s="1"/>
  <c r="G700" i="2"/>
  <c r="K700" i="2"/>
  <c r="G701" i="2"/>
  <c r="K701" i="2"/>
  <c r="G702" i="2"/>
  <c r="K702" i="2"/>
  <c r="G703" i="2"/>
  <c r="K703" i="2"/>
  <c r="G704" i="2"/>
  <c r="K704" i="2"/>
  <c r="G705" i="2"/>
  <c r="K705" i="2"/>
  <c r="G712" i="2"/>
  <c r="K712" i="2" s="1"/>
  <c r="F715" i="2"/>
  <c r="J715" i="2"/>
  <c r="G674" i="2" l="1"/>
  <c r="K674" i="2" s="1"/>
  <c r="S673" i="2"/>
  <c r="AB715" i="2"/>
  <c r="AE672" i="2"/>
  <c r="S715" i="2"/>
  <c r="W673" i="2"/>
  <c r="W715" i="2" s="1"/>
  <c r="P715" i="2"/>
  <c r="D715" i="2"/>
  <c r="K715" i="2"/>
  <c r="G715" i="2"/>
  <c r="AC620" i="2"/>
  <c r="AC660" i="2" s="1"/>
  <c r="AB620" i="2"/>
  <c r="AE620" i="2" s="1"/>
  <c r="AI620" i="2" s="1"/>
  <c r="AH619" i="2"/>
  <c r="AH660" i="2" s="1"/>
  <c r="AC619" i="2"/>
  <c r="AB619" i="2"/>
  <c r="AB618" i="2"/>
  <c r="AE618" i="2" s="1"/>
  <c r="AI618" i="2" s="1"/>
  <c r="AG618" i="2"/>
  <c r="AG660" i="2"/>
  <c r="AC617" i="2"/>
  <c r="AB617" i="2"/>
  <c r="AE617" i="2" s="1"/>
  <c r="AA618" i="2"/>
  <c r="AA619" i="2"/>
  <c r="AA620" i="2" s="1"/>
  <c r="AE621" i="2"/>
  <c r="AI621" i="2" s="1"/>
  <c r="AE622" i="2"/>
  <c r="AI622" i="2"/>
  <c r="AE623" i="2"/>
  <c r="AI623" i="2" s="1"/>
  <c r="AE624" i="2"/>
  <c r="AI624" i="2" s="1"/>
  <c r="AE625" i="2"/>
  <c r="AI625" i="2" s="1"/>
  <c r="AE626" i="2"/>
  <c r="AI626" i="2" s="1"/>
  <c r="AE627" i="2"/>
  <c r="AI627" i="2" s="1"/>
  <c r="AE628" i="2"/>
  <c r="AI628" i="2" s="1"/>
  <c r="AE629" i="2"/>
  <c r="AI629" i="2" s="1"/>
  <c r="AE630" i="2"/>
  <c r="AI630" i="2" s="1"/>
  <c r="AE631" i="2"/>
  <c r="AI631" i="2" s="1"/>
  <c r="AE632" i="2"/>
  <c r="AI632" i="2"/>
  <c r="AE633" i="2"/>
  <c r="AI633" i="2" s="1"/>
  <c r="AE634" i="2"/>
  <c r="AI634" i="2" s="1"/>
  <c r="AE635" i="2"/>
  <c r="AI635" i="2"/>
  <c r="AE636" i="2"/>
  <c r="AI636" i="2" s="1"/>
  <c r="AE637" i="2"/>
  <c r="AI637" i="2"/>
  <c r="AE638" i="2"/>
  <c r="AI638" i="2" s="1"/>
  <c r="AE639" i="2"/>
  <c r="AI639" i="2" s="1"/>
  <c r="AE640" i="2"/>
  <c r="AI640" i="2" s="1"/>
  <c r="AE641" i="2"/>
  <c r="AI641" i="2"/>
  <c r="AE642" i="2"/>
  <c r="AI642" i="2" s="1"/>
  <c r="AE643" i="2"/>
  <c r="AI643" i="2" s="1"/>
  <c r="AE644" i="2"/>
  <c r="AI644" i="2" s="1"/>
  <c r="AE645" i="2"/>
  <c r="AI645" i="2" s="1"/>
  <c r="AE646" i="2"/>
  <c r="AI646" i="2"/>
  <c r="AE647" i="2"/>
  <c r="AI647" i="2" s="1"/>
  <c r="AE648" i="2"/>
  <c r="AI648" i="2" s="1"/>
  <c r="AE649" i="2"/>
  <c r="AI649" i="2" s="1"/>
  <c r="AE650" i="2"/>
  <c r="AI650" i="2" s="1"/>
  <c r="AE651" i="2"/>
  <c r="AI651" i="2"/>
  <c r="AE652" i="2"/>
  <c r="AI652" i="2" s="1"/>
  <c r="AE653" i="2"/>
  <c r="AI653" i="2" s="1"/>
  <c r="AE654" i="2"/>
  <c r="AI654" i="2" s="1"/>
  <c r="AE655" i="2"/>
  <c r="AI655" i="2"/>
  <c r="AI656" i="2"/>
  <c r="AE657" i="2"/>
  <c r="AI657" i="2"/>
  <c r="AI658" i="2"/>
  <c r="AD660" i="2"/>
  <c r="U622" i="2"/>
  <c r="U660" i="2" s="1"/>
  <c r="Q622" i="2"/>
  <c r="P622" i="2"/>
  <c r="S622" i="2" s="1"/>
  <c r="P621" i="2"/>
  <c r="S621" i="2" s="1"/>
  <c r="W621" i="2" s="1"/>
  <c r="P620" i="2"/>
  <c r="S620" i="2" s="1"/>
  <c r="W620" i="2" s="1"/>
  <c r="P619" i="2"/>
  <c r="S619" i="2" s="1"/>
  <c r="W619" i="2" s="1"/>
  <c r="P618" i="2"/>
  <c r="S618" i="2" s="1"/>
  <c r="W618" i="2" s="1"/>
  <c r="P617" i="2"/>
  <c r="S617" i="2" s="1"/>
  <c r="S631" i="2"/>
  <c r="W631" i="2" s="1"/>
  <c r="S628" i="2"/>
  <c r="W628" i="2" s="1"/>
  <c r="S626" i="2"/>
  <c r="W626" i="2" s="1"/>
  <c r="S625" i="2"/>
  <c r="W625" i="2" s="1"/>
  <c r="O619" i="2"/>
  <c r="O620" i="2" s="1"/>
  <c r="O621" i="2" s="1"/>
  <c r="O622" i="2" s="1"/>
  <c r="S623" i="2"/>
  <c r="W623" i="2" s="1"/>
  <c r="S624" i="2"/>
  <c r="W624" i="2" s="1"/>
  <c r="S627" i="2"/>
  <c r="W627" i="2" s="1"/>
  <c r="S629" i="2"/>
  <c r="W629" i="2" s="1"/>
  <c r="S630" i="2"/>
  <c r="W630" i="2" s="1"/>
  <c r="S632" i="2"/>
  <c r="W632" i="2" s="1"/>
  <c r="S633" i="2"/>
  <c r="W633" i="2" s="1"/>
  <c r="S634" i="2"/>
  <c r="W634" i="2" s="1"/>
  <c r="S635" i="2"/>
  <c r="W635" i="2" s="1"/>
  <c r="S636" i="2"/>
  <c r="W636" i="2"/>
  <c r="S637" i="2"/>
  <c r="W637" i="2"/>
  <c r="S638" i="2"/>
  <c r="W638" i="2"/>
  <c r="S639" i="2"/>
  <c r="W639" i="2" s="1"/>
  <c r="S640" i="2"/>
  <c r="W640" i="2"/>
  <c r="S641" i="2"/>
  <c r="W641" i="2"/>
  <c r="S642" i="2"/>
  <c r="W642" i="2" s="1"/>
  <c r="S643" i="2"/>
  <c r="W643" i="2"/>
  <c r="S644" i="2"/>
  <c r="W644" i="2" s="1"/>
  <c r="S645" i="2"/>
  <c r="W645" i="2"/>
  <c r="S646" i="2"/>
  <c r="W646" i="2"/>
  <c r="S647" i="2"/>
  <c r="W647" i="2" s="1"/>
  <c r="S648" i="2"/>
  <c r="W648" i="2" s="1"/>
  <c r="S649" i="2"/>
  <c r="W649" i="2"/>
  <c r="S650" i="2"/>
  <c r="W650" i="2" s="1"/>
  <c r="S651" i="2"/>
  <c r="W651" i="2"/>
  <c r="S652" i="2"/>
  <c r="W652" i="2"/>
  <c r="S653" i="2"/>
  <c r="W653" i="2" s="1"/>
  <c r="S654" i="2"/>
  <c r="W654" i="2"/>
  <c r="S655" i="2"/>
  <c r="W655" i="2" s="1"/>
  <c r="W656" i="2"/>
  <c r="S657" i="2"/>
  <c r="W657" i="2"/>
  <c r="W658" i="2"/>
  <c r="Q660" i="2"/>
  <c r="R660" i="2"/>
  <c r="V660" i="2"/>
  <c r="D631" i="2"/>
  <c r="G631" i="2" s="1"/>
  <c r="K631" i="2" s="1"/>
  <c r="D630" i="2"/>
  <c r="G630" i="2" s="1"/>
  <c r="K630" i="2" s="1"/>
  <c r="D629" i="2"/>
  <c r="G629" i="2" s="1"/>
  <c r="K629" i="2" s="1"/>
  <c r="D628" i="2"/>
  <c r="D627" i="2"/>
  <c r="G627" i="2" s="1"/>
  <c r="K627" i="2" s="1"/>
  <c r="D626" i="2"/>
  <c r="D625" i="2"/>
  <c r="D624" i="2"/>
  <c r="D623" i="2"/>
  <c r="J622" i="2"/>
  <c r="J660" i="2" s="1"/>
  <c r="D622" i="2"/>
  <c r="G622" i="2" s="1"/>
  <c r="K622" i="2" s="1"/>
  <c r="D621" i="2"/>
  <c r="G621" i="2" s="1"/>
  <c r="K621" i="2" s="1"/>
  <c r="D620" i="2"/>
  <c r="G620" i="2" s="1"/>
  <c r="K620" i="2" s="1"/>
  <c r="D619" i="2"/>
  <c r="G619" i="2" s="1"/>
  <c r="K619" i="2" s="1"/>
  <c r="D618" i="2"/>
  <c r="G618" i="2" s="1"/>
  <c r="K618" i="2" s="1"/>
  <c r="D617" i="2"/>
  <c r="G617" i="2" s="1"/>
  <c r="I660" i="2"/>
  <c r="F660" i="2"/>
  <c r="G657" i="2"/>
  <c r="K657" i="2" s="1"/>
  <c r="G650" i="2"/>
  <c r="K650" i="2" s="1"/>
  <c r="G649" i="2"/>
  <c r="K649" i="2" s="1"/>
  <c r="G648" i="2"/>
  <c r="K648" i="2" s="1"/>
  <c r="G647" i="2"/>
  <c r="K647" i="2" s="1"/>
  <c r="K646" i="2"/>
  <c r="G646" i="2"/>
  <c r="G645" i="2"/>
  <c r="K645" i="2" s="1"/>
  <c r="G644" i="2"/>
  <c r="K644" i="2" s="1"/>
  <c r="G643" i="2"/>
  <c r="K643" i="2" s="1"/>
  <c r="G642" i="2"/>
  <c r="K642" i="2" s="1"/>
  <c r="G641" i="2"/>
  <c r="K641" i="2" s="1"/>
  <c r="G640" i="2"/>
  <c r="K640" i="2" s="1"/>
  <c r="G639" i="2"/>
  <c r="K639" i="2" s="1"/>
  <c r="G638" i="2"/>
  <c r="K638" i="2" s="1"/>
  <c r="G637" i="2"/>
  <c r="K637" i="2" s="1"/>
  <c r="G636" i="2"/>
  <c r="K636" i="2" s="1"/>
  <c r="G635" i="2"/>
  <c r="K635" i="2" s="1"/>
  <c r="G634" i="2"/>
  <c r="K634" i="2" s="1"/>
  <c r="G633" i="2"/>
  <c r="K633" i="2" s="1"/>
  <c r="G632" i="2"/>
  <c r="K632" i="2" s="1"/>
  <c r="G628" i="2"/>
  <c r="K628" i="2" s="1"/>
  <c r="G626" i="2"/>
  <c r="K626" i="2" s="1"/>
  <c r="G625" i="2"/>
  <c r="K625" i="2" s="1"/>
  <c r="G624" i="2"/>
  <c r="K624" i="2" s="1"/>
  <c r="G623" i="2"/>
  <c r="K623" i="2" s="1"/>
  <c r="C618" i="2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E660" i="2"/>
  <c r="AE619" i="2" l="1"/>
  <c r="AI619" i="2" s="1"/>
  <c r="AE715" i="2"/>
  <c r="AI672" i="2"/>
  <c r="AI715" i="2" s="1"/>
  <c r="AI617" i="2"/>
  <c r="AI660" i="2" s="1"/>
  <c r="AE660" i="2"/>
  <c r="AB660" i="2"/>
  <c r="W622" i="2"/>
  <c r="W617" i="2"/>
  <c r="W660" i="2" s="1"/>
  <c r="S660" i="2"/>
  <c r="P660" i="2"/>
  <c r="K617" i="2"/>
  <c r="K660" i="2" s="1"/>
  <c r="G660" i="2"/>
  <c r="D660" i="2"/>
  <c r="AH566" i="2"/>
  <c r="AB566" i="2"/>
  <c r="AH565" i="2"/>
  <c r="AH605" i="2" s="1"/>
  <c r="AG565" i="2"/>
  <c r="AC565" i="2"/>
  <c r="AB565" i="2"/>
  <c r="AB564" i="2"/>
  <c r="AG563" i="2"/>
  <c r="AC563" i="2"/>
  <c r="AE563" i="2" s="1"/>
  <c r="AB563" i="2"/>
  <c r="AB562" i="2"/>
  <c r="AE562" i="2" s="1"/>
  <c r="AI562" i="2" s="1"/>
  <c r="AA563" i="2"/>
  <c r="AA564" i="2" s="1"/>
  <c r="AA565" i="2" s="1"/>
  <c r="AA566" i="2" s="1"/>
  <c r="AE564" i="2"/>
  <c r="AI564" i="2" s="1"/>
  <c r="AE565" i="2"/>
  <c r="AE566" i="2"/>
  <c r="AE567" i="2"/>
  <c r="AI567" i="2" s="1"/>
  <c r="AE568" i="2"/>
  <c r="AI568" i="2" s="1"/>
  <c r="AE569" i="2"/>
  <c r="AI569" i="2"/>
  <c r="AE570" i="2"/>
  <c r="AI570" i="2" s="1"/>
  <c r="AE571" i="2"/>
  <c r="AI571" i="2" s="1"/>
  <c r="AE572" i="2"/>
  <c r="AI572" i="2"/>
  <c r="AE573" i="2"/>
  <c r="AI573" i="2"/>
  <c r="AE574" i="2"/>
  <c r="AI574" i="2"/>
  <c r="AE575" i="2"/>
  <c r="AI575" i="2"/>
  <c r="AE576" i="2"/>
  <c r="AI576" i="2"/>
  <c r="AE577" i="2"/>
  <c r="AI577" i="2" s="1"/>
  <c r="AE578" i="2"/>
  <c r="AI578" i="2" s="1"/>
  <c r="AE579" i="2"/>
  <c r="AI579" i="2" s="1"/>
  <c r="AE580" i="2"/>
  <c r="AI580" i="2"/>
  <c r="AE581" i="2"/>
  <c r="AI581" i="2"/>
  <c r="AE582" i="2"/>
  <c r="AI582" i="2"/>
  <c r="AE583" i="2"/>
  <c r="AI583" i="2"/>
  <c r="AE584" i="2"/>
  <c r="AI584" i="2"/>
  <c r="AE585" i="2"/>
  <c r="AI585" i="2"/>
  <c r="AE586" i="2"/>
  <c r="AI586" i="2" s="1"/>
  <c r="AE587" i="2"/>
  <c r="AI587" i="2" s="1"/>
  <c r="AE588" i="2"/>
  <c r="AI588" i="2"/>
  <c r="AE589" i="2"/>
  <c r="AI589" i="2"/>
  <c r="AE590" i="2"/>
  <c r="AI590" i="2"/>
  <c r="AE591" i="2"/>
  <c r="AI591" i="2"/>
  <c r="AE592" i="2"/>
  <c r="AI592" i="2"/>
  <c r="AE593" i="2"/>
  <c r="AI593" i="2"/>
  <c r="AE594" i="2"/>
  <c r="AI594" i="2" s="1"/>
  <c r="AE595" i="2"/>
  <c r="AI595" i="2" s="1"/>
  <c r="AE596" i="2"/>
  <c r="AI596" i="2"/>
  <c r="AE597" i="2"/>
  <c r="AI597" i="2"/>
  <c r="AE598" i="2"/>
  <c r="AI598" i="2"/>
  <c r="AE599" i="2"/>
  <c r="AI599" i="2"/>
  <c r="AE600" i="2"/>
  <c r="AI600" i="2"/>
  <c r="AI601" i="2"/>
  <c r="AE602" i="2"/>
  <c r="AI602" i="2" s="1"/>
  <c r="AI603" i="2"/>
  <c r="AD605" i="2"/>
  <c r="V562" i="2"/>
  <c r="V605" i="2" s="1"/>
  <c r="U562" i="2"/>
  <c r="U605" i="2" s="1"/>
  <c r="Q562" i="2"/>
  <c r="Q605" i="2" s="1"/>
  <c r="P562" i="2"/>
  <c r="P605" i="2"/>
  <c r="S563" i="2"/>
  <c r="W563" i="2" s="1"/>
  <c r="S564" i="2"/>
  <c r="W564" i="2"/>
  <c r="S565" i="2"/>
  <c r="W565" i="2" s="1"/>
  <c r="S566" i="2"/>
  <c r="W566" i="2"/>
  <c r="S567" i="2"/>
  <c r="W567" i="2" s="1"/>
  <c r="S568" i="2"/>
  <c r="W568" i="2" s="1"/>
  <c r="S569" i="2"/>
  <c r="W569" i="2" s="1"/>
  <c r="S570" i="2"/>
  <c r="W570" i="2" s="1"/>
  <c r="S571" i="2"/>
  <c r="W571" i="2" s="1"/>
  <c r="S572" i="2"/>
  <c r="W572" i="2"/>
  <c r="S573" i="2"/>
  <c r="W573" i="2"/>
  <c r="S574" i="2"/>
  <c r="W574" i="2" s="1"/>
  <c r="S575" i="2"/>
  <c r="W575" i="2"/>
  <c r="S576" i="2"/>
  <c r="W576" i="2" s="1"/>
  <c r="S577" i="2"/>
  <c r="W577" i="2" s="1"/>
  <c r="S578" i="2"/>
  <c r="W578" i="2" s="1"/>
  <c r="S579" i="2"/>
  <c r="W579" i="2"/>
  <c r="S580" i="2"/>
  <c r="W580" i="2"/>
  <c r="S581" i="2"/>
  <c r="W581" i="2"/>
  <c r="S582" i="2"/>
  <c r="W582" i="2" s="1"/>
  <c r="S583" i="2"/>
  <c r="W583" i="2" s="1"/>
  <c r="S584" i="2"/>
  <c r="W584" i="2"/>
  <c r="S585" i="2"/>
  <c r="W585" i="2" s="1"/>
  <c r="S586" i="2"/>
  <c r="W586" i="2" s="1"/>
  <c r="S587" i="2"/>
  <c r="W587" i="2"/>
  <c r="S588" i="2"/>
  <c r="W588" i="2"/>
  <c r="S589" i="2"/>
  <c r="W589" i="2"/>
  <c r="S590" i="2"/>
  <c r="W590" i="2" s="1"/>
  <c r="S591" i="2"/>
  <c r="W591" i="2" s="1"/>
  <c r="S592" i="2"/>
  <c r="W592" i="2" s="1"/>
  <c r="S593" i="2"/>
  <c r="W593" i="2"/>
  <c r="S594" i="2"/>
  <c r="W594" i="2" s="1"/>
  <c r="S595" i="2"/>
  <c r="W595" i="2"/>
  <c r="S596" i="2"/>
  <c r="W596" i="2"/>
  <c r="S597" i="2"/>
  <c r="W597" i="2"/>
  <c r="S598" i="2"/>
  <c r="W598" i="2" s="1"/>
  <c r="S599" i="2"/>
  <c r="W599" i="2"/>
  <c r="S600" i="2"/>
  <c r="W600" i="2" s="1"/>
  <c r="W601" i="2"/>
  <c r="S602" i="2"/>
  <c r="W602" i="2" s="1"/>
  <c r="W603" i="2"/>
  <c r="R605" i="2"/>
  <c r="AI566" i="2" l="1"/>
  <c r="AG605" i="2"/>
  <c r="AI565" i="2"/>
  <c r="AI563" i="2"/>
  <c r="AC605" i="2"/>
  <c r="AB605" i="2"/>
  <c r="AE605" i="2"/>
  <c r="S562" i="2"/>
  <c r="W562" i="2" s="1"/>
  <c r="W605" i="2" s="1"/>
  <c r="AC513" i="2"/>
  <c r="AB513" i="2"/>
  <c r="AB512" i="2"/>
  <c r="AE512" i="2" s="1"/>
  <c r="AI512" i="2" s="1"/>
  <c r="AB511" i="2"/>
  <c r="AE511" i="2" s="1"/>
  <c r="AI511" i="2" s="1"/>
  <c r="AC510" i="2"/>
  <c r="AC550" i="2" s="1"/>
  <c r="AB510" i="2"/>
  <c r="AE510" i="2" s="1"/>
  <c r="AI510" i="2" s="1"/>
  <c r="AB509" i="2"/>
  <c r="AE509" i="2" s="1"/>
  <c r="AI509" i="2" s="1"/>
  <c r="AB508" i="2"/>
  <c r="AB507" i="2"/>
  <c r="AE507" i="2" s="1"/>
  <c r="AI507" i="2" s="1"/>
  <c r="AA508" i="2"/>
  <c r="AA509" i="2" s="1"/>
  <c r="AA510" i="2" s="1"/>
  <c r="AA511" i="2" s="1"/>
  <c r="AA512" i="2" s="1"/>
  <c r="AA513" i="2" s="1"/>
  <c r="AE514" i="2"/>
  <c r="AI514" i="2" s="1"/>
  <c r="AE515" i="2"/>
  <c r="AI515" i="2" s="1"/>
  <c r="AE516" i="2"/>
  <c r="AI516" i="2"/>
  <c r="AE517" i="2"/>
  <c r="AI517" i="2"/>
  <c r="AE518" i="2"/>
  <c r="AI518" i="2"/>
  <c r="AE519" i="2"/>
  <c r="AI519" i="2" s="1"/>
  <c r="AE520" i="2"/>
  <c r="AI520" i="2" s="1"/>
  <c r="AE521" i="2"/>
  <c r="AI521" i="2" s="1"/>
  <c r="AE522" i="2"/>
  <c r="AI522" i="2"/>
  <c r="AE523" i="2"/>
  <c r="AI523" i="2"/>
  <c r="AE524" i="2"/>
  <c r="AI524" i="2"/>
  <c r="AE525" i="2"/>
  <c r="AI525" i="2" s="1"/>
  <c r="AE526" i="2"/>
  <c r="AI526" i="2"/>
  <c r="AE527" i="2"/>
  <c r="AI527" i="2" s="1"/>
  <c r="AE528" i="2"/>
  <c r="AI528" i="2" s="1"/>
  <c r="AE529" i="2"/>
  <c r="AI529" i="2" s="1"/>
  <c r="AE530" i="2"/>
  <c r="AI530" i="2" s="1"/>
  <c r="AE531" i="2"/>
  <c r="AI531" i="2"/>
  <c r="AE532" i="2"/>
  <c r="AI532" i="2" s="1"/>
  <c r="AE533" i="2"/>
  <c r="AI533" i="2" s="1"/>
  <c r="AE534" i="2"/>
  <c r="AI534" i="2" s="1"/>
  <c r="AE535" i="2"/>
  <c r="AI535" i="2" s="1"/>
  <c r="AE536" i="2"/>
  <c r="AI536" i="2" s="1"/>
  <c r="AE537" i="2"/>
  <c r="AI537" i="2" s="1"/>
  <c r="AE538" i="2"/>
  <c r="AI538" i="2" s="1"/>
  <c r="AE539" i="2"/>
  <c r="AI539" i="2"/>
  <c r="AE540" i="2"/>
  <c r="AI540" i="2"/>
  <c r="AE541" i="2"/>
  <c r="AI541" i="2"/>
  <c r="AE542" i="2"/>
  <c r="AI542" i="2"/>
  <c r="AE543" i="2"/>
  <c r="AI543" i="2" s="1"/>
  <c r="AE544" i="2"/>
  <c r="AI544" i="2" s="1"/>
  <c r="AE545" i="2"/>
  <c r="AI545" i="2" s="1"/>
  <c r="AI546" i="2"/>
  <c r="AE547" i="2"/>
  <c r="AI547" i="2"/>
  <c r="AI548" i="2"/>
  <c r="AD550" i="2"/>
  <c r="AG550" i="2"/>
  <c r="AH550" i="2"/>
  <c r="P517" i="2"/>
  <c r="O517" i="2"/>
  <c r="P516" i="2"/>
  <c r="S516" i="2" s="1"/>
  <c r="W516" i="2" s="1"/>
  <c r="P515" i="2"/>
  <c r="P514" i="2"/>
  <c r="S514" i="2" s="1"/>
  <c r="W514" i="2" s="1"/>
  <c r="P513" i="2"/>
  <c r="S513" i="2" s="1"/>
  <c r="W513" i="2" s="1"/>
  <c r="P512" i="2"/>
  <c r="S512" i="2" s="1"/>
  <c r="W512" i="2" s="1"/>
  <c r="P511" i="2"/>
  <c r="P510" i="2"/>
  <c r="S510" i="2" s="1"/>
  <c r="W510" i="2" s="1"/>
  <c r="P509" i="2"/>
  <c r="S509" i="2" s="1"/>
  <c r="U508" i="2"/>
  <c r="U550" i="2" s="1"/>
  <c r="Q508" i="2"/>
  <c r="P508" i="2"/>
  <c r="S508" i="2" s="1"/>
  <c r="Q507" i="2"/>
  <c r="Q550" i="2" s="1"/>
  <c r="P507" i="2"/>
  <c r="S507" i="2" s="1"/>
  <c r="W507" i="2" s="1"/>
  <c r="O509" i="2"/>
  <c r="O510" i="2" s="1"/>
  <c r="O511" i="2" s="1"/>
  <c r="O512" i="2" s="1"/>
  <c r="O513" i="2" s="1"/>
  <c r="O514" i="2" s="1"/>
  <c r="O515" i="2" s="1"/>
  <c r="O516" i="2" s="1"/>
  <c r="S515" i="2"/>
  <c r="W515" i="2" s="1"/>
  <c r="S517" i="2"/>
  <c r="W517" i="2" s="1"/>
  <c r="S518" i="2"/>
  <c r="W518" i="2" s="1"/>
  <c r="S519" i="2"/>
  <c r="W519" i="2"/>
  <c r="S520" i="2"/>
  <c r="W520" i="2"/>
  <c r="S521" i="2"/>
  <c r="W521" i="2" s="1"/>
  <c r="S522" i="2"/>
  <c r="W522" i="2"/>
  <c r="S523" i="2"/>
  <c r="W523" i="2" s="1"/>
  <c r="S524" i="2"/>
  <c r="W524" i="2"/>
  <c r="S525" i="2"/>
  <c r="W525" i="2" s="1"/>
  <c r="S526" i="2"/>
  <c r="W526" i="2" s="1"/>
  <c r="S527" i="2"/>
  <c r="W527" i="2"/>
  <c r="S528" i="2"/>
  <c r="W528" i="2"/>
  <c r="S529" i="2"/>
  <c r="W529" i="2"/>
  <c r="S530" i="2"/>
  <c r="W530" i="2"/>
  <c r="S531" i="2"/>
  <c r="W531" i="2" s="1"/>
  <c r="S532" i="2"/>
  <c r="W532" i="2" s="1"/>
  <c r="S533" i="2"/>
  <c r="W533" i="2"/>
  <c r="S534" i="2"/>
  <c r="W534" i="2"/>
  <c r="S535" i="2"/>
  <c r="W535" i="2"/>
  <c r="S536" i="2"/>
  <c r="W536" i="2" s="1"/>
  <c r="S537" i="2"/>
  <c r="W537" i="2"/>
  <c r="S538" i="2"/>
  <c r="W538" i="2"/>
  <c r="S539" i="2"/>
  <c r="W539" i="2" s="1"/>
  <c r="S540" i="2"/>
  <c r="W540" i="2" s="1"/>
  <c r="S541" i="2"/>
  <c r="W541" i="2"/>
  <c r="S542" i="2"/>
  <c r="W542" i="2" s="1"/>
  <c r="S543" i="2"/>
  <c r="W543" i="2" s="1"/>
  <c r="S544" i="2"/>
  <c r="W544" i="2"/>
  <c r="S545" i="2"/>
  <c r="W545" i="2" s="1"/>
  <c r="W546" i="2"/>
  <c r="S547" i="2"/>
  <c r="W547" i="2"/>
  <c r="W548" i="2"/>
  <c r="R550" i="2"/>
  <c r="V550" i="2"/>
  <c r="D510" i="2"/>
  <c r="G510" i="2" s="1"/>
  <c r="K510" i="2" s="1"/>
  <c r="D509" i="2"/>
  <c r="D508" i="2"/>
  <c r="G508" i="2" s="1"/>
  <c r="E507" i="2"/>
  <c r="D507" i="2"/>
  <c r="C508" i="2"/>
  <c r="C509" i="2" s="1"/>
  <c r="C510" i="2" s="1"/>
  <c r="G509" i="2"/>
  <c r="K509" i="2" s="1"/>
  <c r="E550" i="2"/>
  <c r="G511" i="2"/>
  <c r="K511" i="2" s="1"/>
  <c r="G512" i="2"/>
  <c r="K512" i="2" s="1"/>
  <c r="G513" i="2"/>
  <c r="K513" i="2" s="1"/>
  <c r="G514" i="2"/>
  <c r="K514" i="2"/>
  <c r="G515" i="2"/>
  <c r="K515" i="2" s="1"/>
  <c r="G516" i="2"/>
  <c r="K516" i="2" s="1"/>
  <c r="G517" i="2"/>
  <c r="K517" i="2" s="1"/>
  <c r="G518" i="2"/>
  <c r="K518" i="2"/>
  <c r="G519" i="2"/>
  <c r="K519" i="2" s="1"/>
  <c r="G520" i="2"/>
  <c r="K520" i="2"/>
  <c r="G521" i="2"/>
  <c r="K521" i="2" s="1"/>
  <c r="G522" i="2"/>
  <c r="K522" i="2"/>
  <c r="G523" i="2"/>
  <c r="K523" i="2" s="1"/>
  <c r="G524" i="2"/>
  <c r="K524" i="2" s="1"/>
  <c r="G525" i="2"/>
  <c r="K525" i="2"/>
  <c r="G526" i="2"/>
  <c r="K526" i="2"/>
  <c r="G527" i="2"/>
  <c r="K527" i="2" s="1"/>
  <c r="G528" i="2"/>
  <c r="K528" i="2"/>
  <c r="G529" i="2"/>
  <c r="K529" i="2" s="1"/>
  <c r="G530" i="2"/>
  <c r="K530" i="2" s="1"/>
  <c r="G531" i="2"/>
  <c r="K531" i="2" s="1"/>
  <c r="G532" i="2"/>
  <c r="K532" i="2" s="1"/>
  <c r="G533" i="2"/>
  <c r="K533" i="2"/>
  <c r="G534" i="2"/>
  <c r="K534" i="2"/>
  <c r="G535" i="2"/>
  <c r="K535" i="2"/>
  <c r="G536" i="2"/>
  <c r="K536" i="2" s="1"/>
  <c r="G537" i="2"/>
  <c r="K537" i="2"/>
  <c r="G538" i="2"/>
  <c r="K538" i="2" s="1"/>
  <c r="G539" i="2"/>
  <c r="K539" i="2" s="1"/>
  <c r="G540" i="2"/>
  <c r="K540" i="2" s="1"/>
  <c r="G547" i="2"/>
  <c r="K547" i="2"/>
  <c r="F550" i="2"/>
  <c r="I550" i="2"/>
  <c r="J550" i="2"/>
  <c r="S605" i="2" l="1"/>
  <c r="G507" i="2"/>
  <c r="K507" i="2" s="1"/>
  <c r="AI605" i="2"/>
  <c r="AE513" i="2"/>
  <c r="AI513" i="2" s="1"/>
  <c r="AB550" i="2"/>
  <c r="AE508" i="2"/>
  <c r="AI508" i="2" s="1"/>
  <c r="AI550" i="2" s="1"/>
  <c r="P550" i="2"/>
  <c r="S511" i="2"/>
  <c r="W511" i="2" s="1"/>
  <c r="W508" i="2"/>
  <c r="W509" i="2"/>
  <c r="G550" i="2"/>
  <c r="K508" i="2"/>
  <c r="K550" i="2"/>
  <c r="D550" i="2"/>
  <c r="AC455" i="2"/>
  <c r="AB455" i="2"/>
  <c r="AE455" i="2" s="1"/>
  <c r="AI455" i="2" s="1"/>
  <c r="AB454" i="2"/>
  <c r="AB453" i="2"/>
  <c r="AH452" i="2"/>
  <c r="AB452" i="2"/>
  <c r="AE452" i="2" s="1"/>
  <c r="AA453" i="2"/>
  <c r="AA454" i="2" s="1"/>
  <c r="AA455" i="2" s="1"/>
  <c r="AE453" i="2"/>
  <c r="AE454" i="2"/>
  <c r="AI454" i="2" s="1"/>
  <c r="AE456" i="2"/>
  <c r="AI456" i="2" s="1"/>
  <c r="AE457" i="2"/>
  <c r="AI457" i="2" s="1"/>
  <c r="AE458" i="2"/>
  <c r="AI458" i="2" s="1"/>
  <c r="AE459" i="2"/>
  <c r="AI459" i="2"/>
  <c r="AE460" i="2"/>
  <c r="AI460" i="2" s="1"/>
  <c r="AE461" i="2"/>
  <c r="AI461" i="2" s="1"/>
  <c r="AE462" i="2"/>
  <c r="AI462" i="2" s="1"/>
  <c r="AE463" i="2"/>
  <c r="AI463" i="2"/>
  <c r="AE464" i="2"/>
  <c r="AI464" i="2" s="1"/>
  <c r="AE465" i="2"/>
  <c r="AI465" i="2" s="1"/>
  <c r="AE466" i="2"/>
  <c r="AI466" i="2" s="1"/>
  <c r="AE467" i="2"/>
  <c r="AI467" i="2" s="1"/>
  <c r="AE468" i="2"/>
  <c r="AI468" i="2" s="1"/>
  <c r="AE469" i="2"/>
  <c r="AI469" i="2"/>
  <c r="AE470" i="2"/>
  <c r="AI470" i="2"/>
  <c r="AE471" i="2"/>
  <c r="AI471" i="2"/>
  <c r="AE472" i="2"/>
  <c r="AI472" i="2" s="1"/>
  <c r="AE473" i="2"/>
  <c r="AI473" i="2" s="1"/>
  <c r="AE474" i="2"/>
  <c r="AI474" i="2"/>
  <c r="AE475" i="2"/>
  <c r="AI475" i="2"/>
  <c r="AE476" i="2"/>
  <c r="AI476" i="2" s="1"/>
  <c r="AE477" i="2"/>
  <c r="AI477" i="2" s="1"/>
  <c r="AE478" i="2"/>
  <c r="AI478" i="2"/>
  <c r="AE479" i="2"/>
  <c r="AI479" i="2"/>
  <c r="AE480" i="2"/>
  <c r="AI480" i="2" s="1"/>
  <c r="AE481" i="2"/>
  <c r="AI481" i="2" s="1"/>
  <c r="AE482" i="2"/>
  <c r="AI482" i="2" s="1"/>
  <c r="AE483" i="2"/>
  <c r="AI483" i="2" s="1"/>
  <c r="AE484" i="2"/>
  <c r="AI484" i="2" s="1"/>
  <c r="AE485" i="2"/>
  <c r="AI485" i="2"/>
  <c r="AE486" i="2"/>
  <c r="AI486" i="2"/>
  <c r="AE487" i="2"/>
  <c r="AI487" i="2"/>
  <c r="AE488" i="2"/>
  <c r="AI488" i="2" s="1"/>
  <c r="AE489" i="2"/>
  <c r="AI489" i="2" s="1"/>
  <c r="AE490" i="2"/>
  <c r="AI490" i="2"/>
  <c r="AI491" i="2"/>
  <c r="AE492" i="2"/>
  <c r="AI492" i="2" s="1"/>
  <c r="AI493" i="2"/>
  <c r="AC495" i="2"/>
  <c r="AD495" i="2"/>
  <c r="AG495" i="2"/>
  <c r="AH495" i="2"/>
  <c r="P461" i="2"/>
  <c r="S461" i="2" s="1"/>
  <c r="W461" i="2" s="1"/>
  <c r="P460" i="2"/>
  <c r="S460" i="2" s="1"/>
  <c r="W460" i="2" s="1"/>
  <c r="P459" i="2"/>
  <c r="S459" i="2" s="1"/>
  <c r="W459" i="2" s="1"/>
  <c r="P458" i="2"/>
  <c r="S458" i="2" s="1"/>
  <c r="W458" i="2" s="1"/>
  <c r="P457" i="2"/>
  <c r="P456" i="2"/>
  <c r="S456" i="2" s="1"/>
  <c r="W456" i="2" s="1"/>
  <c r="P455" i="2"/>
  <c r="S455" i="2" s="1"/>
  <c r="W455" i="2" s="1"/>
  <c r="P454" i="2"/>
  <c r="S454" i="2" s="1"/>
  <c r="W454" i="2" s="1"/>
  <c r="Q453" i="2"/>
  <c r="Q495" i="2" s="1"/>
  <c r="P453" i="2"/>
  <c r="S453" i="2" s="1"/>
  <c r="W453" i="2" s="1"/>
  <c r="P452" i="2"/>
  <c r="S452" i="2" s="1"/>
  <c r="O453" i="2"/>
  <c r="O454" i="2" s="1"/>
  <c r="O455" i="2" s="1"/>
  <c r="O456" i="2" s="1"/>
  <c r="O457" i="2" s="1"/>
  <c r="O458" i="2" s="1"/>
  <c r="O459" i="2" s="1"/>
  <c r="O460" i="2" s="1"/>
  <c r="O461" i="2" s="1"/>
  <c r="U495" i="2"/>
  <c r="S457" i="2"/>
  <c r="W457" i="2" s="1"/>
  <c r="S462" i="2"/>
  <c r="W462" i="2" s="1"/>
  <c r="S463" i="2"/>
  <c r="W463" i="2" s="1"/>
  <c r="S464" i="2"/>
  <c r="W464" i="2" s="1"/>
  <c r="S465" i="2"/>
  <c r="W465" i="2" s="1"/>
  <c r="S466" i="2"/>
  <c r="W466" i="2"/>
  <c r="S467" i="2"/>
  <c r="W467" i="2"/>
  <c r="S468" i="2"/>
  <c r="W468" i="2"/>
  <c r="S469" i="2"/>
  <c r="W469" i="2" s="1"/>
  <c r="S470" i="2"/>
  <c r="W470" i="2"/>
  <c r="S471" i="2"/>
  <c r="W471" i="2" s="1"/>
  <c r="S472" i="2"/>
  <c r="W472" i="2" s="1"/>
  <c r="S473" i="2"/>
  <c r="W473" i="2" s="1"/>
  <c r="S474" i="2"/>
  <c r="W474" i="2"/>
  <c r="S475" i="2"/>
  <c r="W475" i="2"/>
  <c r="S476" i="2"/>
  <c r="W476" i="2"/>
  <c r="S477" i="2"/>
  <c r="W477" i="2" s="1"/>
  <c r="S478" i="2"/>
  <c r="W478" i="2" s="1"/>
  <c r="S479" i="2"/>
  <c r="W479" i="2"/>
  <c r="S480" i="2"/>
  <c r="W480" i="2" s="1"/>
  <c r="S481" i="2"/>
  <c r="W481" i="2" s="1"/>
  <c r="S482" i="2"/>
  <c r="W482" i="2"/>
  <c r="S483" i="2"/>
  <c r="W483" i="2"/>
  <c r="S484" i="2"/>
  <c r="W484" i="2"/>
  <c r="S485" i="2"/>
  <c r="W485" i="2" s="1"/>
  <c r="S486" i="2"/>
  <c r="W486" i="2" s="1"/>
  <c r="S487" i="2"/>
  <c r="W487" i="2" s="1"/>
  <c r="S488" i="2"/>
  <c r="W488" i="2"/>
  <c r="S489" i="2"/>
  <c r="W489" i="2" s="1"/>
  <c r="S490" i="2"/>
  <c r="W490" i="2"/>
  <c r="W491" i="2"/>
  <c r="S492" i="2"/>
  <c r="W492" i="2"/>
  <c r="W493" i="2"/>
  <c r="R495" i="2"/>
  <c r="V495" i="2"/>
  <c r="D458" i="2"/>
  <c r="G458" i="2" s="1"/>
  <c r="K458" i="2" s="1"/>
  <c r="D457" i="2"/>
  <c r="G457" i="2" s="1"/>
  <c r="K457" i="2" s="1"/>
  <c r="D456" i="2"/>
  <c r="G456" i="2" s="1"/>
  <c r="K456" i="2" s="1"/>
  <c r="I455" i="2"/>
  <c r="I495" i="2" s="1"/>
  <c r="D455" i="2"/>
  <c r="E455" i="2"/>
  <c r="D454" i="2"/>
  <c r="D453" i="2"/>
  <c r="E452" i="2"/>
  <c r="D452" i="2"/>
  <c r="G452" i="2" s="1"/>
  <c r="K452" i="2" s="1"/>
  <c r="C453" i="2"/>
  <c r="C454" i="2" s="1"/>
  <c r="C455" i="2" s="1"/>
  <c r="C456" i="2" s="1"/>
  <c r="C457" i="2" s="1"/>
  <c r="C458" i="2" s="1"/>
  <c r="G454" i="2"/>
  <c r="K454" i="2" s="1"/>
  <c r="G459" i="2"/>
  <c r="K459" i="2"/>
  <c r="G460" i="2"/>
  <c r="K460" i="2" s="1"/>
  <c r="G461" i="2"/>
  <c r="K461" i="2"/>
  <c r="G462" i="2"/>
  <c r="K462" i="2" s="1"/>
  <c r="G463" i="2"/>
  <c r="K463" i="2"/>
  <c r="G464" i="2"/>
  <c r="K464" i="2" s="1"/>
  <c r="G465" i="2"/>
  <c r="K465" i="2" s="1"/>
  <c r="G466" i="2"/>
  <c r="K466" i="2"/>
  <c r="G467" i="2"/>
  <c r="K467" i="2"/>
  <c r="G468" i="2"/>
  <c r="K468" i="2" s="1"/>
  <c r="G469" i="2"/>
  <c r="K469" i="2"/>
  <c r="G470" i="2"/>
  <c r="K470" i="2"/>
  <c r="G471" i="2"/>
  <c r="K471" i="2" s="1"/>
  <c r="G472" i="2"/>
  <c r="K472" i="2" s="1"/>
  <c r="G473" i="2"/>
  <c r="K473" i="2" s="1"/>
  <c r="G474" i="2"/>
  <c r="K474" i="2" s="1"/>
  <c r="G475" i="2"/>
  <c r="K475" i="2"/>
  <c r="G476" i="2"/>
  <c r="K476" i="2" s="1"/>
  <c r="G477" i="2"/>
  <c r="K477" i="2"/>
  <c r="G478" i="2"/>
  <c r="K478" i="2"/>
  <c r="G479" i="2"/>
  <c r="K479" i="2"/>
  <c r="G480" i="2"/>
  <c r="K480" i="2" s="1"/>
  <c r="G481" i="2"/>
  <c r="K481" i="2"/>
  <c r="G482" i="2"/>
  <c r="K482" i="2" s="1"/>
  <c r="G483" i="2"/>
  <c r="K483" i="2" s="1"/>
  <c r="G484" i="2"/>
  <c r="K484" i="2" s="1"/>
  <c r="G485" i="2"/>
  <c r="K485" i="2"/>
  <c r="G492" i="2"/>
  <c r="K492" i="2"/>
  <c r="F495" i="2"/>
  <c r="J495" i="2"/>
  <c r="D495" i="2" l="1"/>
  <c r="AE550" i="2"/>
  <c r="S550" i="2"/>
  <c r="W550" i="2"/>
  <c r="AI452" i="2"/>
  <c r="AI453" i="2"/>
  <c r="AI495" i="2" s="1"/>
  <c r="AE495" i="2"/>
  <c r="AB495" i="2"/>
  <c r="P495" i="2"/>
  <c r="W452" i="2"/>
  <c r="W495" i="2" s="1"/>
  <c r="S495" i="2"/>
  <c r="G455" i="2"/>
  <c r="K455" i="2" s="1"/>
  <c r="E495" i="2"/>
  <c r="G453" i="2"/>
  <c r="K453" i="2" s="1"/>
  <c r="K495" i="2" s="1"/>
  <c r="AB399" i="2"/>
  <c r="AE399" i="2" s="1"/>
  <c r="AI399" i="2" s="1"/>
  <c r="AB398" i="2"/>
  <c r="AE398" i="2" s="1"/>
  <c r="AI398" i="2" s="1"/>
  <c r="AH397" i="2"/>
  <c r="AH440" i="2" s="1"/>
  <c r="AG397" i="2"/>
  <c r="AB397" i="2"/>
  <c r="AE397" i="2"/>
  <c r="AA398" i="2"/>
  <c r="AA399" i="2" s="1"/>
  <c r="AG440" i="2"/>
  <c r="AE400" i="2"/>
  <c r="AI400" i="2" s="1"/>
  <c r="AE401" i="2"/>
  <c r="AI401" i="2" s="1"/>
  <c r="AE402" i="2"/>
  <c r="AI402" i="2" s="1"/>
  <c r="AE403" i="2"/>
  <c r="AI403" i="2"/>
  <c r="AE404" i="2"/>
  <c r="AI404" i="2" s="1"/>
  <c r="AE405" i="2"/>
  <c r="AI405" i="2" s="1"/>
  <c r="AE406" i="2"/>
  <c r="AI406" i="2" s="1"/>
  <c r="AE407" i="2"/>
  <c r="AI407" i="2"/>
  <c r="AE408" i="2"/>
  <c r="AI408" i="2" s="1"/>
  <c r="AE409" i="2"/>
  <c r="AI409" i="2"/>
  <c r="AE410" i="2"/>
  <c r="AI410" i="2"/>
  <c r="AE411" i="2"/>
  <c r="AI411" i="2"/>
  <c r="AE412" i="2"/>
  <c r="AI412" i="2" s="1"/>
  <c r="AE413" i="2"/>
  <c r="AI413" i="2"/>
  <c r="AE414" i="2"/>
  <c r="AI414" i="2" s="1"/>
  <c r="AE415" i="2"/>
  <c r="AI415" i="2" s="1"/>
  <c r="AE416" i="2"/>
  <c r="AI416" i="2" s="1"/>
  <c r="AE417" i="2"/>
  <c r="AI417" i="2"/>
  <c r="AE418" i="2"/>
  <c r="AI418" i="2"/>
  <c r="AE419" i="2"/>
  <c r="AI419" i="2"/>
  <c r="AE420" i="2"/>
  <c r="AI420" i="2" s="1"/>
  <c r="AE421" i="2"/>
  <c r="AI421" i="2"/>
  <c r="AE422" i="2"/>
  <c r="AI422" i="2"/>
  <c r="AE423" i="2"/>
  <c r="AI423" i="2" s="1"/>
  <c r="AE424" i="2"/>
  <c r="AI424" i="2" s="1"/>
  <c r="AE425" i="2"/>
  <c r="AI425" i="2"/>
  <c r="AE426" i="2"/>
  <c r="AI426" i="2"/>
  <c r="AE427" i="2"/>
  <c r="AI427" i="2"/>
  <c r="AE428" i="2"/>
  <c r="AI428" i="2" s="1"/>
  <c r="AE429" i="2"/>
  <c r="AI429" i="2"/>
  <c r="AE430" i="2"/>
  <c r="AI430" i="2"/>
  <c r="AE431" i="2"/>
  <c r="AI431" i="2"/>
  <c r="AE432" i="2"/>
  <c r="AI432" i="2" s="1"/>
  <c r="AE433" i="2"/>
  <c r="AI433" i="2"/>
  <c r="AE434" i="2"/>
  <c r="AI434" i="2" s="1"/>
  <c r="AE435" i="2"/>
  <c r="AI435" i="2"/>
  <c r="AI436" i="2"/>
  <c r="AE437" i="2"/>
  <c r="AI437" i="2" s="1"/>
  <c r="AI438" i="2"/>
  <c r="AC440" i="2"/>
  <c r="AD440" i="2"/>
  <c r="P409" i="2"/>
  <c r="S409" i="2" s="1"/>
  <c r="W409" i="2" s="1"/>
  <c r="V408" i="2"/>
  <c r="V440" i="2" s="1"/>
  <c r="U408" i="2"/>
  <c r="Q408" i="2"/>
  <c r="S408" i="2" s="1"/>
  <c r="W408" i="2" s="1"/>
  <c r="P408" i="2"/>
  <c r="P407" i="2"/>
  <c r="S407" i="2" s="1"/>
  <c r="W407" i="2" s="1"/>
  <c r="P406" i="2"/>
  <c r="P405" i="2"/>
  <c r="P404" i="2"/>
  <c r="S404" i="2" s="1"/>
  <c r="W404" i="2" s="1"/>
  <c r="U403" i="2"/>
  <c r="P403" i="2"/>
  <c r="S403" i="2" s="1"/>
  <c r="P402" i="2"/>
  <c r="S402" i="2" s="1"/>
  <c r="W402" i="2" s="1"/>
  <c r="P401" i="2"/>
  <c r="P400" i="2"/>
  <c r="S400" i="2" s="1"/>
  <c r="W400" i="2" s="1"/>
  <c r="U399" i="2"/>
  <c r="P399" i="2"/>
  <c r="P398" i="2"/>
  <c r="S398" i="2" s="1"/>
  <c r="W398" i="2" s="1"/>
  <c r="P397" i="2"/>
  <c r="S397" i="2"/>
  <c r="W397" i="2" s="1"/>
  <c r="O398" i="2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S399" i="2"/>
  <c r="S401" i="2"/>
  <c r="W401" i="2" s="1"/>
  <c r="S405" i="2"/>
  <c r="W405" i="2" s="1"/>
  <c r="S406" i="2"/>
  <c r="W406" i="2" s="1"/>
  <c r="S410" i="2"/>
  <c r="W410" i="2" s="1"/>
  <c r="S411" i="2"/>
  <c r="W411" i="2"/>
  <c r="S412" i="2"/>
  <c r="W412" i="2"/>
  <c r="S413" i="2"/>
  <c r="W413" i="2"/>
  <c r="S414" i="2"/>
  <c r="W414" i="2" s="1"/>
  <c r="S415" i="2"/>
  <c r="W415" i="2" s="1"/>
  <c r="S416" i="2"/>
  <c r="W416" i="2"/>
  <c r="S417" i="2"/>
  <c r="W417" i="2" s="1"/>
  <c r="S418" i="2"/>
  <c r="W418" i="2"/>
  <c r="S419" i="2"/>
  <c r="W419" i="2"/>
  <c r="S420" i="2"/>
  <c r="W420" i="2"/>
  <c r="S421" i="2"/>
  <c r="W421" i="2"/>
  <c r="S422" i="2"/>
  <c r="W422" i="2"/>
  <c r="S423" i="2"/>
  <c r="W423" i="2"/>
  <c r="S424" i="2"/>
  <c r="W424" i="2" s="1"/>
  <c r="S425" i="2"/>
  <c r="W425" i="2" s="1"/>
  <c r="S426" i="2"/>
  <c r="W426" i="2" s="1"/>
  <c r="S427" i="2"/>
  <c r="W427" i="2" s="1"/>
  <c r="S428" i="2"/>
  <c r="W428" i="2"/>
  <c r="S429" i="2"/>
  <c r="W429" i="2"/>
  <c r="S430" i="2"/>
  <c r="W430" i="2"/>
  <c r="S431" i="2"/>
  <c r="W431" i="2"/>
  <c r="S432" i="2"/>
  <c r="W432" i="2" s="1"/>
  <c r="S433" i="2"/>
  <c r="W433" i="2" s="1"/>
  <c r="S434" i="2"/>
  <c r="W434" i="2"/>
  <c r="S435" i="2"/>
  <c r="W435" i="2"/>
  <c r="W436" i="2"/>
  <c r="S437" i="2"/>
  <c r="W437" i="2"/>
  <c r="W438" i="2"/>
  <c r="R440" i="2"/>
  <c r="D403" i="2"/>
  <c r="G403" i="2" s="1"/>
  <c r="K403" i="2" s="1"/>
  <c r="D402" i="2"/>
  <c r="G402" i="2" s="1"/>
  <c r="K402" i="2" s="1"/>
  <c r="D401" i="2"/>
  <c r="G401" i="2" s="1"/>
  <c r="K401" i="2" s="1"/>
  <c r="D400" i="2"/>
  <c r="G400" i="2" s="1"/>
  <c r="K400" i="2" s="1"/>
  <c r="D399" i="2"/>
  <c r="G399" i="2" s="1"/>
  <c r="K399" i="2" s="1"/>
  <c r="D398" i="2"/>
  <c r="G398" i="2" s="1"/>
  <c r="K398" i="2" s="1"/>
  <c r="D397" i="2"/>
  <c r="G397" i="2" s="1"/>
  <c r="C398" i="2"/>
  <c r="C399" i="2" s="1"/>
  <c r="C400" i="2" s="1"/>
  <c r="C401" i="2" s="1"/>
  <c r="C402" i="2" s="1"/>
  <c r="C403" i="2" s="1"/>
  <c r="E440" i="2"/>
  <c r="I440" i="2"/>
  <c r="J440" i="2"/>
  <c r="G404" i="2"/>
  <c r="K404" i="2" s="1"/>
  <c r="G405" i="2"/>
  <c r="K405" i="2"/>
  <c r="G406" i="2"/>
  <c r="K406" i="2"/>
  <c r="G407" i="2"/>
  <c r="K407" i="2" s="1"/>
  <c r="G408" i="2"/>
  <c r="K408" i="2" s="1"/>
  <c r="G409" i="2"/>
  <c r="K409" i="2"/>
  <c r="G410" i="2"/>
  <c r="K410" i="2"/>
  <c r="G411" i="2"/>
  <c r="K411" i="2" s="1"/>
  <c r="G412" i="2"/>
  <c r="K412" i="2" s="1"/>
  <c r="G413" i="2"/>
  <c r="K413" i="2"/>
  <c r="G414" i="2"/>
  <c r="K414" i="2"/>
  <c r="G415" i="2"/>
  <c r="K415" i="2" s="1"/>
  <c r="G416" i="2"/>
  <c r="K416" i="2" s="1"/>
  <c r="G417" i="2"/>
  <c r="K417" i="2"/>
  <c r="G418" i="2"/>
  <c r="K418" i="2" s="1"/>
  <c r="G419" i="2"/>
  <c r="K419" i="2"/>
  <c r="G420" i="2"/>
  <c r="K420" i="2" s="1"/>
  <c r="G421" i="2"/>
  <c r="K421" i="2" s="1"/>
  <c r="G422" i="2"/>
  <c r="K422" i="2"/>
  <c r="G423" i="2"/>
  <c r="K423" i="2" s="1"/>
  <c r="G424" i="2"/>
  <c r="K424" i="2" s="1"/>
  <c r="G425" i="2"/>
  <c r="K425" i="2"/>
  <c r="G426" i="2"/>
  <c r="K426" i="2"/>
  <c r="G427" i="2"/>
  <c r="K427" i="2" s="1"/>
  <c r="G428" i="2"/>
  <c r="K428" i="2" s="1"/>
  <c r="G429" i="2"/>
  <c r="K429" i="2"/>
  <c r="G430" i="2"/>
  <c r="K430" i="2"/>
  <c r="G437" i="2"/>
  <c r="K437" i="2" s="1"/>
  <c r="F440" i="2"/>
  <c r="U440" i="2" l="1"/>
  <c r="G495" i="2"/>
  <c r="AI397" i="2"/>
  <c r="AI440" i="2" s="1"/>
  <c r="AE440" i="2"/>
  <c r="AB440" i="2"/>
  <c r="Q440" i="2"/>
  <c r="W403" i="2"/>
  <c r="W399" i="2"/>
  <c r="P440" i="2"/>
  <c r="S440" i="2"/>
  <c r="W440" i="2"/>
  <c r="K397" i="2"/>
  <c r="K440" i="2" s="1"/>
  <c r="G440" i="2"/>
  <c r="D440" i="2"/>
  <c r="AA348" i="2"/>
  <c r="AB348" i="2"/>
  <c r="AE348" i="2" s="1"/>
  <c r="AI348" i="2" s="1"/>
  <c r="AB347" i="2"/>
  <c r="AE347" i="2" s="1"/>
  <c r="AI347" i="2" s="1"/>
  <c r="AB346" i="2"/>
  <c r="AB345" i="2"/>
  <c r="AE345" i="2" s="1"/>
  <c r="AI345" i="2" s="1"/>
  <c r="AG344" i="2"/>
  <c r="AB344" i="2"/>
  <c r="AB343" i="2"/>
  <c r="AG342" i="2"/>
  <c r="AB342" i="2"/>
  <c r="AE342" i="2"/>
  <c r="AI342" i="2" s="1"/>
  <c r="AA343" i="2"/>
  <c r="AA344" i="2" s="1"/>
  <c r="AA345" i="2" s="1"/>
  <c r="AA346" i="2" s="1"/>
  <c r="AA347" i="2" s="1"/>
  <c r="AE343" i="2"/>
  <c r="AI343" i="2"/>
  <c r="AC385" i="2"/>
  <c r="AE346" i="2"/>
  <c r="AI346" i="2" s="1"/>
  <c r="AE349" i="2"/>
  <c r="AI349" i="2"/>
  <c r="AE350" i="2"/>
  <c r="AI350" i="2" s="1"/>
  <c r="AE351" i="2"/>
  <c r="AI351" i="2" s="1"/>
  <c r="AE352" i="2"/>
  <c r="AI352" i="2"/>
  <c r="AE353" i="2"/>
  <c r="AI353" i="2"/>
  <c r="AE354" i="2"/>
  <c r="AI354" i="2" s="1"/>
  <c r="AE355" i="2"/>
  <c r="AI355" i="2" s="1"/>
  <c r="AE356" i="2"/>
  <c r="AI356" i="2"/>
  <c r="AE357" i="2"/>
  <c r="AI357" i="2"/>
  <c r="AE358" i="2"/>
  <c r="AI358" i="2" s="1"/>
  <c r="AE359" i="2"/>
  <c r="AI359" i="2" s="1"/>
  <c r="AE360" i="2"/>
  <c r="AI360" i="2"/>
  <c r="AE361" i="2"/>
  <c r="AI361" i="2"/>
  <c r="AE362" i="2"/>
  <c r="AI362" i="2" s="1"/>
  <c r="AE363" i="2"/>
  <c r="AI363" i="2" s="1"/>
  <c r="AE364" i="2"/>
  <c r="AI364" i="2" s="1"/>
  <c r="AE365" i="2"/>
  <c r="AI365" i="2" s="1"/>
  <c r="AE366" i="2"/>
  <c r="AI366" i="2" s="1"/>
  <c r="AE367" i="2"/>
  <c r="AI367" i="2" s="1"/>
  <c r="AE368" i="2"/>
  <c r="AI368" i="2"/>
  <c r="AE369" i="2"/>
  <c r="AI369" i="2"/>
  <c r="AE370" i="2"/>
  <c r="AI370" i="2" s="1"/>
  <c r="AE371" i="2"/>
  <c r="AI371" i="2" s="1"/>
  <c r="AE372" i="2"/>
  <c r="AI372" i="2" s="1"/>
  <c r="AE373" i="2"/>
  <c r="AI373" i="2"/>
  <c r="AE374" i="2"/>
  <c r="AI374" i="2" s="1"/>
  <c r="AE375" i="2"/>
  <c r="AI375" i="2" s="1"/>
  <c r="AE376" i="2"/>
  <c r="AI376" i="2" s="1"/>
  <c r="AE377" i="2"/>
  <c r="AI377" i="2"/>
  <c r="AE378" i="2"/>
  <c r="AI378" i="2" s="1"/>
  <c r="AE379" i="2"/>
  <c r="AI379" i="2" s="1"/>
  <c r="AE380" i="2"/>
  <c r="AI380" i="2"/>
  <c r="AI381" i="2"/>
  <c r="AE382" i="2"/>
  <c r="AI382" i="2"/>
  <c r="AI383" i="2"/>
  <c r="AD385" i="2"/>
  <c r="AH385" i="2"/>
  <c r="P344" i="2"/>
  <c r="U343" i="2"/>
  <c r="U385" i="2" s="1"/>
  <c r="Q343" i="2"/>
  <c r="Q385" i="2" s="1"/>
  <c r="P343" i="2"/>
  <c r="P342" i="2"/>
  <c r="S342" i="2" s="1"/>
  <c r="W342" i="2" s="1"/>
  <c r="O343" i="2"/>
  <c r="O344" i="2" s="1"/>
  <c r="S344" i="2"/>
  <c r="S345" i="2"/>
  <c r="W345" i="2" s="1"/>
  <c r="S346" i="2"/>
  <c r="W346" i="2" s="1"/>
  <c r="V385" i="2"/>
  <c r="S347" i="2"/>
  <c r="W347" i="2" s="1"/>
  <c r="S348" i="2"/>
  <c r="W348" i="2"/>
  <c r="S349" i="2"/>
  <c r="W349" i="2"/>
  <c r="S350" i="2"/>
  <c r="W350" i="2" s="1"/>
  <c r="S351" i="2"/>
  <c r="W351" i="2"/>
  <c r="S352" i="2"/>
  <c r="W352" i="2" s="1"/>
  <c r="S353" i="2"/>
  <c r="W353" i="2"/>
  <c r="S354" i="2"/>
  <c r="W354" i="2" s="1"/>
  <c r="S355" i="2"/>
  <c r="W355" i="2"/>
  <c r="S356" i="2"/>
  <c r="W356" i="2"/>
  <c r="S357" i="2"/>
  <c r="W357" i="2" s="1"/>
  <c r="S358" i="2"/>
  <c r="W358" i="2" s="1"/>
  <c r="S359" i="2"/>
  <c r="W359" i="2" s="1"/>
  <c r="S360" i="2"/>
  <c r="W360" i="2" s="1"/>
  <c r="S361" i="2"/>
  <c r="W361" i="2"/>
  <c r="S362" i="2"/>
  <c r="W362" i="2" s="1"/>
  <c r="S363" i="2"/>
  <c r="W363" i="2"/>
  <c r="S364" i="2"/>
  <c r="W364" i="2"/>
  <c r="S365" i="2"/>
  <c r="W365" i="2"/>
  <c r="S366" i="2"/>
  <c r="W366" i="2" s="1"/>
  <c r="S367" i="2"/>
  <c r="W367" i="2" s="1"/>
  <c r="S368" i="2"/>
  <c r="W368" i="2" s="1"/>
  <c r="S369" i="2"/>
  <c r="W369" i="2" s="1"/>
  <c r="S370" i="2"/>
  <c r="W370" i="2" s="1"/>
  <c r="S371" i="2"/>
  <c r="W371" i="2"/>
  <c r="S372" i="2"/>
  <c r="W372" i="2" s="1"/>
  <c r="S373" i="2"/>
  <c r="W373" i="2"/>
  <c r="S374" i="2"/>
  <c r="W374" i="2" s="1"/>
  <c r="S375" i="2"/>
  <c r="W375" i="2"/>
  <c r="S376" i="2"/>
  <c r="W376" i="2" s="1"/>
  <c r="S377" i="2"/>
  <c r="W377" i="2" s="1"/>
  <c r="S378" i="2"/>
  <c r="W378" i="2" s="1"/>
  <c r="S379" i="2"/>
  <c r="W379" i="2" s="1"/>
  <c r="S380" i="2"/>
  <c r="W380" i="2"/>
  <c r="W381" i="2"/>
  <c r="S382" i="2"/>
  <c r="W382" i="2" s="1"/>
  <c r="W383" i="2"/>
  <c r="R385" i="2"/>
  <c r="D349" i="2"/>
  <c r="D348" i="2"/>
  <c r="G348" i="2" s="1"/>
  <c r="K348" i="2" s="1"/>
  <c r="D347" i="2"/>
  <c r="G347" i="2" s="1"/>
  <c r="K347" i="2" s="1"/>
  <c r="D346" i="2"/>
  <c r="G346" i="2" s="1"/>
  <c r="K346" i="2" s="1"/>
  <c r="D345" i="2"/>
  <c r="J345" i="2"/>
  <c r="J385" i="2" s="1"/>
  <c r="I345" i="2"/>
  <c r="I385" i="2" s="1"/>
  <c r="E345" i="2"/>
  <c r="E385" i="2"/>
  <c r="D344" i="2"/>
  <c r="G344" i="2" s="1"/>
  <c r="K344" i="2" s="1"/>
  <c r="D343" i="2"/>
  <c r="G343" i="2" s="1"/>
  <c r="D342" i="2"/>
  <c r="G342" i="2" s="1"/>
  <c r="K342" i="2" s="1"/>
  <c r="C343" i="2"/>
  <c r="C344" i="2" s="1"/>
  <c r="C345" i="2" s="1"/>
  <c r="C346" i="2" s="1"/>
  <c r="C347" i="2" s="1"/>
  <c r="C348" i="2" s="1"/>
  <c r="C349" i="2" s="1"/>
  <c r="G349" i="2"/>
  <c r="K349" i="2" s="1"/>
  <c r="G350" i="2"/>
  <c r="K350" i="2" s="1"/>
  <c r="G351" i="2"/>
  <c r="K351" i="2" s="1"/>
  <c r="G352" i="2"/>
  <c r="K352" i="2" s="1"/>
  <c r="G353" i="2"/>
  <c r="K353" i="2"/>
  <c r="G354" i="2"/>
  <c r="K354" i="2" s="1"/>
  <c r="G355" i="2"/>
  <c r="K355" i="2" s="1"/>
  <c r="G356" i="2"/>
  <c r="K356" i="2" s="1"/>
  <c r="G357" i="2"/>
  <c r="K357" i="2"/>
  <c r="G358" i="2"/>
  <c r="K358" i="2"/>
  <c r="G359" i="2"/>
  <c r="K359" i="2"/>
  <c r="G360" i="2"/>
  <c r="K360" i="2" s="1"/>
  <c r="G361" i="2"/>
  <c r="K361" i="2"/>
  <c r="G362" i="2"/>
  <c r="K362" i="2" s="1"/>
  <c r="G363" i="2"/>
  <c r="K363" i="2" s="1"/>
  <c r="G364" i="2"/>
  <c r="K364" i="2" s="1"/>
  <c r="G365" i="2"/>
  <c r="K365" i="2"/>
  <c r="G366" i="2"/>
  <c r="K366" i="2"/>
  <c r="G367" i="2"/>
  <c r="K367" i="2"/>
  <c r="G368" i="2"/>
  <c r="K368" i="2" s="1"/>
  <c r="G369" i="2"/>
  <c r="K369" i="2"/>
  <c r="G370" i="2"/>
  <c r="K370" i="2"/>
  <c r="G371" i="2"/>
  <c r="K371" i="2" s="1"/>
  <c r="G372" i="2"/>
  <c r="K372" i="2"/>
  <c r="G373" i="2"/>
  <c r="K373" i="2"/>
  <c r="G374" i="2"/>
  <c r="K374" i="2"/>
  <c r="G375" i="2"/>
  <c r="K375" i="2"/>
  <c r="G382" i="2"/>
  <c r="K382" i="2" s="1"/>
  <c r="F385" i="2"/>
  <c r="AG385" i="2" l="1"/>
  <c r="AB385" i="2"/>
  <c r="AE344" i="2"/>
  <c r="AI344" i="2" s="1"/>
  <c r="AI385" i="2" s="1"/>
  <c r="AE385" i="2"/>
  <c r="S343" i="2"/>
  <c r="W343" i="2" s="1"/>
  <c r="P385" i="2"/>
  <c r="W344" i="2"/>
  <c r="G345" i="2"/>
  <c r="K345" i="2" s="1"/>
  <c r="K343" i="2"/>
  <c r="D385" i="2"/>
  <c r="AB292" i="2"/>
  <c r="AE292" i="2" s="1"/>
  <c r="AI292" i="2" s="1"/>
  <c r="AC291" i="2"/>
  <c r="AC330" i="2" s="1"/>
  <c r="AB291" i="2"/>
  <c r="AH290" i="2"/>
  <c r="AH330" i="2" s="1"/>
  <c r="AG290" i="2"/>
  <c r="AG330" i="2" s="1"/>
  <c r="AB290" i="2"/>
  <c r="AE290" i="2" s="1"/>
  <c r="AG289" i="2"/>
  <c r="AC289" i="2"/>
  <c r="AB289" i="2"/>
  <c r="AE289" i="2" s="1"/>
  <c r="AI289" i="2" s="1"/>
  <c r="AB287" i="2"/>
  <c r="AE287" i="2" s="1"/>
  <c r="AD330" i="2"/>
  <c r="AI328" i="2"/>
  <c r="AE327" i="2"/>
  <c r="AI327" i="2" s="1"/>
  <c r="AI326" i="2"/>
  <c r="AE325" i="2"/>
  <c r="AI325" i="2" s="1"/>
  <c r="AE324" i="2"/>
  <c r="AI324" i="2" s="1"/>
  <c r="AE323" i="2"/>
  <c r="AI323" i="2" s="1"/>
  <c r="AE322" i="2"/>
  <c r="AI322" i="2" s="1"/>
  <c r="AE321" i="2"/>
  <c r="AI321" i="2" s="1"/>
  <c r="AE320" i="2"/>
  <c r="AI320" i="2" s="1"/>
  <c r="AE319" i="2"/>
  <c r="AI319" i="2" s="1"/>
  <c r="AE318" i="2"/>
  <c r="AI318" i="2" s="1"/>
  <c r="AE317" i="2"/>
  <c r="AI317" i="2" s="1"/>
  <c r="AE316" i="2"/>
  <c r="AI316" i="2" s="1"/>
  <c r="AE315" i="2"/>
  <c r="AI315" i="2" s="1"/>
  <c r="AE314" i="2"/>
  <c r="AI314" i="2" s="1"/>
  <c r="AE313" i="2"/>
  <c r="AI313" i="2" s="1"/>
  <c r="AE312" i="2"/>
  <c r="AI312" i="2" s="1"/>
  <c r="AE311" i="2"/>
  <c r="AI311" i="2" s="1"/>
  <c r="AE310" i="2"/>
  <c r="AI310" i="2" s="1"/>
  <c r="AE309" i="2"/>
  <c r="AI309" i="2" s="1"/>
  <c r="AE308" i="2"/>
  <c r="AI308" i="2" s="1"/>
  <c r="AE307" i="2"/>
  <c r="AI307" i="2" s="1"/>
  <c r="AE306" i="2"/>
  <c r="AI306" i="2" s="1"/>
  <c r="AE305" i="2"/>
  <c r="AI305" i="2" s="1"/>
  <c r="AE304" i="2"/>
  <c r="AI304" i="2" s="1"/>
  <c r="AE303" i="2"/>
  <c r="AI303" i="2" s="1"/>
  <c r="AE302" i="2"/>
  <c r="AI302" i="2" s="1"/>
  <c r="AE301" i="2"/>
  <c r="AI301" i="2" s="1"/>
  <c r="AE300" i="2"/>
  <c r="AI300" i="2" s="1"/>
  <c r="AE299" i="2"/>
  <c r="AI299" i="2" s="1"/>
  <c r="AE298" i="2"/>
  <c r="AI298" i="2" s="1"/>
  <c r="AE297" i="2"/>
  <c r="AI297" i="2" s="1"/>
  <c r="AE296" i="2"/>
  <c r="AI296" i="2" s="1"/>
  <c r="AE295" i="2"/>
  <c r="AI295" i="2" s="1"/>
  <c r="AE294" i="2"/>
  <c r="AI294" i="2" s="1"/>
  <c r="AE293" i="2"/>
  <c r="AI293" i="2" s="1"/>
  <c r="AE291" i="2"/>
  <c r="AI291" i="2" s="1"/>
  <c r="AE288" i="2"/>
  <c r="AI288" i="2" s="1"/>
  <c r="AA288" i="2"/>
  <c r="AA289" i="2" s="1"/>
  <c r="AA290" i="2" s="1"/>
  <c r="AA291" i="2" s="1"/>
  <c r="AA292" i="2" s="1"/>
  <c r="P293" i="2"/>
  <c r="P292" i="2"/>
  <c r="S292" i="2" s="1"/>
  <c r="W292" i="2" s="1"/>
  <c r="V291" i="2"/>
  <c r="V330" i="2" s="1"/>
  <c r="P291" i="2"/>
  <c r="Q291" i="2"/>
  <c r="Q330" i="2" s="1"/>
  <c r="P289" i="2"/>
  <c r="P288" i="2"/>
  <c r="S288" i="2" s="1"/>
  <c r="W288" i="2" s="1"/>
  <c r="U287" i="2"/>
  <c r="U330" i="2" s="1"/>
  <c r="P287" i="2"/>
  <c r="S287" i="2"/>
  <c r="W287" i="2" s="1"/>
  <c r="O288" i="2"/>
  <c r="O289" i="2"/>
  <c r="O290" i="2" s="1"/>
  <c r="O291" i="2" s="1"/>
  <c r="O292" i="2" s="1"/>
  <c r="O293" i="2" s="1"/>
  <c r="S289" i="2"/>
  <c r="S290" i="2"/>
  <c r="S293" i="2"/>
  <c r="W293" i="2" s="1"/>
  <c r="S294" i="2"/>
  <c r="W294" i="2" s="1"/>
  <c r="S295" i="2"/>
  <c r="W295" i="2" s="1"/>
  <c r="S296" i="2"/>
  <c r="W296" i="2"/>
  <c r="S297" i="2"/>
  <c r="W297" i="2" s="1"/>
  <c r="S298" i="2"/>
  <c r="W298" i="2" s="1"/>
  <c r="S299" i="2"/>
  <c r="W299" i="2"/>
  <c r="S300" i="2"/>
  <c r="W300" i="2" s="1"/>
  <c r="S301" i="2"/>
  <c r="W301" i="2" s="1"/>
  <c r="S302" i="2"/>
  <c r="W302" i="2"/>
  <c r="S303" i="2"/>
  <c r="W303" i="2" s="1"/>
  <c r="S304" i="2"/>
  <c r="W304" i="2" s="1"/>
  <c r="S305" i="2"/>
  <c r="W305" i="2" s="1"/>
  <c r="S306" i="2"/>
  <c r="W306" i="2" s="1"/>
  <c r="S307" i="2"/>
  <c r="W307" i="2" s="1"/>
  <c r="S308" i="2"/>
  <c r="W308" i="2" s="1"/>
  <c r="S309" i="2"/>
  <c r="W309" i="2" s="1"/>
  <c r="S310" i="2"/>
  <c r="W310" i="2"/>
  <c r="S311" i="2"/>
  <c r="W311" i="2" s="1"/>
  <c r="S312" i="2"/>
  <c r="W312" i="2"/>
  <c r="S313" i="2"/>
  <c r="W313" i="2" s="1"/>
  <c r="S314" i="2"/>
  <c r="W314" i="2"/>
  <c r="S315" i="2"/>
  <c r="W315" i="2"/>
  <c r="S316" i="2"/>
  <c r="W316" i="2" s="1"/>
  <c r="S317" i="2"/>
  <c r="W317" i="2"/>
  <c r="S318" i="2"/>
  <c r="W318" i="2"/>
  <c r="S319" i="2"/>
  <c r="W319" i="2" s="1"/>
  <c r="S320" i="2"/>
  <c r="W320" i="2"/>
  <c r="S321" i="2"/>
  <c r="W321" i="2" s="1"/>
  <c r="S322" i="2"/>
  <c r="W322" i="2"/>
  <c r="S323" i="2"/>
  <c r="W323" i="2"/>
  <c r="S324" i="2"/>
  <c r="W324" i="2" s="1"/>
  <c r="S325" i="2"/>
  <c r="W325" i="2"/>
  <c r="W326" i="2"/>
  <c r="S327" i="2"/>
  <c r="W327" i="2" s="1"/>
  <c r="W328" i="2"/>
  <c r="R330" i="2"/>
  <c r="D296" i="2"/>
  <c r="G296" i="2" s="1"/>
  <c r="K296" i="2" s="1"/>
  <c r="I295" i="2"/>
  <c r="I330" i="2" s="1"/>
  <c r="D295" i="2"/>
  <c r="G295" i="2" s="1"/>
  <c r="K295" i="2" s="1"/>
  <c r="D294" i="2"/>
  <c r="G294" i="2" s="1"/>
  <c r="K294" i="2" s="1"/>
  <c r="D293" i="2"/>
  <c r="G293" i="2" s="1"/>
  <c r="K293" i="2" s="1"/>
  <c r="D292" i="2"/>
  <c r="G292" i="2" s="1"/>
  <c r="K292" i="2" s="1"/>
  <c r="D291" i="2"/>
  <c r="G291" i="2" s="1"/>
  <c r="K291" i="2" s="1"/>
  <c r="D290" i="2"/>
  <c r="G290" i="2" s="1"/>
  <c r="K290" i="2" s="1"/>
  <c r="D289" i="2"/>
  <c r="G289" i="2" s="1"/>
  <c r="K289" i="2" s="1"/>
  <c r="D288" i="2"/>
  <c r="G288" i="2" s="1"/>
  <c r="K288" i="2" s="1"/>
  <c r="D287" i="2"/>
  <c r="G287" i="2" s="1"/>
  <c r="C288" i="2"/>
  <c r="C289" i="2" s="1"/>
  <c r="C291" i="2" s="1"/>
  <c r="C292" i="2" s="1"/>
  <c r="C293" i="2" s="1"/>
  <c r="C294" i="2" s="1"/>
  <c r="C295" i="2" s="1"/>
  <c r="G297" i="2"/>
  <c r="K297" i="2" s="1"/>
  <c r="G298" i="2"/>
  <c r="K298" i="2"/>
  <c r="G299" i="2"/>
  <c r="K299" i="2"/>
  <c r="G300" i="2"/>
  <c r="K300" i="2"/>
  <c r="G301" i="2"/>
  <c r="K301" i="2"/>
  <c r="G302" i="2"/>
  <c r="K302" i="2" s="1"/>
  <c r="G303" i="2"/>
  <c r="K303" i="2" s="1"/>
  <c r="G304" i="2"/>
  <c r="K304" i="2"/>
  <c r="G305" i="2"/>
  <c r="K305" i="2"/>
  <c r="G306" i="2"/>
  <c r="K306" i="2"/>
  <c r="G307" i="2"/>
  <c r="K307" i="2"/>
  <c r="G308" i="2"/>
  <c r="K308" i="2"/>
  <c r="G309" i="2"/>
  <c r="K309" i="2"/>
  <c r="G310" i="2"/>
  <c r="K310" i="2"/>
  <c r="G311" i="2"/>
  <c r="K311" i="2" s="1"/>
  <c r="G312" i="2"/>
  <c r="K312" i="2"/>
  <c r="G313" i="2"/>
  <c r="K313" i="2"/>
  <c r="G314" i="2"/>
  <c r="K314" i="2" s="1"/>
  <c r="G315" i="2"/>
  <c r="K315" i="2"/>
  <c r="G316" i="2"/>
  <c r="K316" i="2"/>
  <c r="G317" i="2"/>
  <c r="K317" i="2"/>
  <c r="G318" i="2"/>
  <c r="K318" i="2"/>
  <c r="G319" i="2"/>
  <c r="K319" i="2" s="1"/>
  <c r="G320" i="2"/>
  <c r="K320" i="2" s="1"/>
  <c r="G327" i="2"/>
  <c r="K327" i="2"/>
  <c r="E330" i="2"/>
  <c r="F330" i="2"/>
  <c r="J330" i="2"/>
  <c r="S291" i="2" l="1"/>
  <c r="W291" i="2" s="1"/>
  <c r="W385" i="2"/>
  <c r="S385" i="2"/>
  <c r="K385" i="2"/>
  <c r="G385" i="2"/>
  <c r="AI290" i="2"/>
  <c r="AI287" i="2"/>
  <c r="AE330" i="2"/>
  <c r="AB330" i="2"/>
  <c r="W290" i="2"/>
  <c r="P330" i="2"/>
  <c r="S330" i="2"/>
  <c r="W289" i="2"/>
  <c r="W330" i="2" s="1"/>
  <c r="K287" i="2"/>
  <c r="K330" i="2" s="1"/>
  <c r="G330" i="2"/>
  <c r="D330" i="2"/>
  <c r="P254" i="2"/>
  <c r="S254" i="2" s="1"/>
  <c r="W254" i="2" s="1"/>
  <c r="U253" i="2"/>
  <c r="P253" i="2"/>
  <c r="U252" i="2"/>
  <c r="P252" i="2"/>
  <c r="S252" i="2" s="1"/>
  <c r="W252" i="2" s="1"/>
  <c r="P251" i="2"/>
  <c r="P250" i="2"/>
  <c r="S250" i="2" s="1"/>
  <c r="W250" i="2" s="1"/>
  <c r="P249" i="2"/>
  <c r="S249" i="2" s="1"/>
  <c r="W249" i="2" s="1"/>
  <c r="P248" i="2"/>
  <c r="S248" i="2" s="1"/>
  <c r="W248" i="2" s="1"/>
  <c r="P247" i="2"/>
  <c r="S247" i="2" s="1"/>
  <c r="W247" i="2" s="1"/>
  <c r="P246" i="2"/>
  <c r="S246" i="2" s="1"/>
  <c r="W246" i="2" s="1"/>
  <c r="P245" i="2"/>
  <c r="S245" i="2" s="1"/>
  <c r="W245" i="2" s="1"/>
  <c r="P244" i="2"/>
  <c r="S244" i="2" s="1"/>
  <c r="W244" i="2" s="1"/>
  <c r="P243" i="2"/>
  <c r="S243" i="2" s="1"/>
  <c r="W243" i="2" s="1"/>
  <c r="P242" i="2"/>
  <c r="S242" i="2" s="1"/>
  <c r="W242" i="2" s="1"/>
  <c r="P241" i="2"/>
  <c r="S241" i="2" s="1"/>
  <c r="W241" i="2" s="1"/>
  <c r="P240" i="2"/>
  <c r="P239" i="2"/>
  <c r="S239" i="2" s="1"/>
  <c r="W239" i="2" s="1"/>
  <c r="P238" i="2"/>
  <c r="S238" i="2" s="1"/>
  <c r="W238" i="2" s="1"/>
  <c r="P237" i="2"/>
  <c r="P236" i="2"/>
  <c r="P235" i="2"/>
  <c r="S235" i="2" s="1"/>
  <c r="W235" i="2" s="1"/>
  <c r="P234" i="2"/>
  <c r="P233" i="2"/>
  <c r="P232" i="2"/>
  <c r="O233" i="2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S233" i="2"/>
  <c r="W233" i="2" s="1"/>
  <c r="S234" i="2"/>
  <c r="S236" i="2"/>
  <c r="W236" i="2" s="1"/>
  <c r="S237" i="2"/>
  <c r="W237" i="2" s="1"/>
  <c r="U275" i="2"/>
  <c r="S240" i="2"/>
  <c r="W240" i="2"/>
  <c r="S251" i="2"/>
  <c r="W251" i="2" s="1"/>
  <c r="S253" i="2"/>
  <c r="W253" i="2" s="1"/>
  <c r="S255" i="2"/>
  <c r="W255" i="2" s="1"/>
  <c r="S256" i="2"/>
  <c r="W256" i="2" s="1"/>
  <c r="S257" i="2"/>
  <c r="W257" i="2"/>
  <c r="S258" i="2"/>
  <c r="W258" i="2"/>
  <c r="S259" i="2"/>
  <c r="W259" i="2" s="1"/>
  <c r="S260" i="2"/>
  <c r="W260" i="2"/>
  <c r="S261" i="2"/>
  <c r="W261" i="2"/>
  <c r="S262" i="2"/>
  <c r="W262" i="2"/>
  <c r="S263" i="2"/>
  <c r="W263" i="2" s="1"/>
  <c r="S264" i="2"/>
  <c r="W264" i="2"/>
  <c r="S265" i="2"/>
  <c r="W265" i="2"/>
  <c r="S266" i="2"/>
  <c r="W266" i="2"/>
  <c r="S267" i="2"/>
  <c r="W267" i="2"/>
  <c r="S268" i="2"/>
  <c r="W268" i="2"/>
  <c r="S269" i="2"/>
  <c r="W269" i="2"/>
  <c r="S270" i="2"/>
  <c r="W270" i="2"/>
  <c r="W271" i="2"/>
  <c r="S272" i="2"/>
  <c r="W272" i="2" s="1"/>
  <c r="W273" i="2"/>
  <c r="Q275" i="2"/>
  <c r="R275" i="2"/>
  <c r="V275" i="2"/>
  <c r="D241" i="2"/>
  <c r="G241" i="2" s="1"/>
  <c r="K241" i="2" s="1"/>
  <c r="D240" i="2"/>
  <c r="D239" i="2"/>
  <c r="G239" i="2" s="1"/>
  <c r="K239" i="2" s="1"/>
  <c r="D238" i="2"/>
  <c r="G238" i="2" s="1"/>
  <c r="K238" i="2" s="1"/>
  <c r="D237" i="2"/>
  <c r="D236" i="2"/>
  <c r="D235" i="2"/>
  <c r="D234" i="2"/>
  <c r="D233" i="2"/>
  <c r="J232" i="2"/>
  <c r="I232" i="2"/>
  <c r="I275" i="2" s="1"/>
  <c r="D232" i="2"/>
  <c r="G232" i="2"/>
  <c r="C233" i="2"/>
  <c r="C234" i="2" s="1"/>
  <c r="C235" i="2" s="1"/>
  <c r="C236" i="2" s="1"/>
  <c r="C237" i="2" s="1"/>
  <c r="C238" i="2" s="1"/>
  <c r="C239" i="2" s="1"/>
  <c r="C240" i="2" s="1"/>
  <c r="C241" i="2" s="1"/>
  <c r="G233" i="2"/>
  <c r="K233" i="2" s="1"/>
  <c r="G234" i="2"/>
  <c r="K234" i="2" s="1"/>
  <c r="G235" i="2"/>
  <c r="K235" i="2" s="1"/>
  <c r="G236" i="2"/>
  <c r="K236" i="2" s="1"/>
  <c r="G240" i="2"/>
  <c r="K240" i="2" s="1"/>
  <c r="G242" i="2"/>
  <c r="K242" i="2" s="1"/>
  <c r="G243" i="2"/>
  <c r="K243" i="2"/>
  <c r="G244" i="2"/>
  <c r="K244" i="2" s="1"/>
  <c r="G245" i="2"/>
  <c r="K245" i="2" s="1"/>
  <c r="G246" i="2"/>
  <c r="K246" i="2"/>
  <c r="G247" i="2"/>
  <c r="K247" i="2" s="1"/>
  <c r="G248" i="2"/>
  <c r="K248" i="2"/>
  <c r="G249" i="2"/>
  <c r="K249" i="2"/>
  <c r="G250" i="2"/>
  <c r="K250" i="2"/>
  <c r="G251" i="2"/>
  <c r="K251" i="2" s="1"/>
  <c r="G252" i="2"/>
  <c r="K252" i="2" s="1"/>
  <c r="G253" i="2"/>
  <c r="K253" i="2"/>
  <c r="G254" i="2"/>
  <c r="K254" i="2"/>
  <c r="G255" i="2"/>
  <c r="K255" i="2" s="1"/>
  <c r="G256" i="2"/>
  <c r="K256" i="2"/>
  <c r="G257" i="2"/>
  <c r="K257" i="2"/>
  <c r="G258" i="2"/>
  <c r="K258" i="2"/>
  <c r="G259" i="2"/>
  <c r="K259" i="2"/>
  <c r="G260" i="2"/>
  <c r="K260" i="2" s="1"/>
  <c r="G261" i="2"/>
  <c r="K261" i="2" s="1"/>
  <c r="G262" i="2"/>
  <c r="K262" i="2"/>
  <c r="G263" i="2"/>
  <c r="K263" i="2" s="1"/>
  <c r="G264" i="2"/>
  <c r="K264" i="2"/>
  <c r="G265" i="2"/>
  <c r="K265" i="2"/>
  <c r="G272" i="2"/>
  <c r="K272" i="2"/>
  <c r="E275" i="2"/>
  <c r="F275" i="2"/>
  <c r="J275" i="2"/>
  <c r="AI330" i="2" l="1"/>
  <c r="P275" i="2"/>
  <c r="S232" i="2"/>
  <c r="W232" i="2" s="1"/>
  <c r="S275" i="2"/>
  <c r="W234" i="2"/>
  <c r="W275" i="2" s="1"/>
  <c r="D275" i="2"/>
  <c r="G237" i="2"/>
  <c r="K237" i="2" s="1"/>
  <c r="K232" i="2"/>
  <c r="K275" i="2"/>
  <c r="AE179" i="2"/>
  <c r="AI179" i="2" s="1"/>
  <c r="AB181" i="2"/>
  <c r="AE181" i="2" s="1"/>
  <c r="AI181" i="2" s="1"/>
  <c r="AH180" i="2"/>
  <c r="AB180" i="2"/>
  <c r="AE180" i="2" s="1"/>
  <c r="AI180" i="2" s="1"/>
  <c r="AH177" i="2"/>
  <c r="AH220" i="2" s="1"/>
  <c r="AB177" i="2"/>
  <c r="AE177" i="2"/>
  <c r="AA178" i="2"/>
  <c r="AC220" i="2"/>
  <c r="AA179" i="2"/>
  <c r="AA180" i="2" s="1"/>
  <c r="AA181" i="2" s="1"/>
  <c r="AE182" i="2"/>
  <c r="AI182" i="2" s="1"/>
  <c r="AE183" i="2"/>
  <c r="AI183" i="2" s="1"/>
  <c r="AE184" i="2"/>
  <c r="AI184" i="2" s="1"/>
  <c r="AE185" i="2"/>
  <c r="AI185" i="2" s="1"/>
  <c r="AE186" i="2"/>
  <c r="AI186" i="2" s="1"/>
  <c r="AE187" i="2"/>
  <c r="AI187" i="2" s="1"/>
  <c r="AE188" i="2"/>
  <c r="AI188" i="2" s="1"/>
  <c r="AE189" i="2"/>
  <c r="AI189" i="2"/>
  <c r="AE190" i="2"/>
  <c r="AI190" i="2"/>
  <c r="AE191" i="2"/>
  <c r="AI191" i="2" s="1"/>
  <c r="AE192" i="2"/>
  <c r="AI192" i="2"/>
  <c r="AE193" i="2"/>
  <c r="AI193" i="2" s="1"/>
  <c r="AE194" i="2"/>
  <c r="AI194" i="2" s="1"/>
  <c r="AE195" i="2"/>
  <c r="AI195" i="2" s="1"/>
  <c r="AE196" i="2"/>
  <c r="AI196" i="2"/>
  <c r="AE197" i="2"/>
  <c r="AI197" i="2"/>
  <c r="AE198" i="2"/>
  <c r="AI198" i="2"/>
  <c r="AE199" i="2"/>
  <c r="AI199" i="2" s="1"/>
  <c r="AE200" i="2"/>
  <c r="AI200" i="2"/>
  <c r="AE201" i="2"/>
  <c r="AI201" i="2" s="1"/>
  <c r="AE202" i="2"/>
  <c r="AI202" i="2" s="1"/>
  <c r="AE203" i="2"/>
  <c r="AI203" i="2" s="1"/>
  <c r="AE204" i="2"/>
  <c r="AI204" i="2"/>
  <c r="AE205" i="2"/>
  <c r="AI205" i="2"/>
  <c r="AE206" i="2"/>
  <c r="AI206" i="2"/>
  <c r="AE207" i="2"/>
  <c r="AI207" i="2" s="1"/>
  <c r="AE208" i="2"/>
  <c r="AI208" i="2"/>
  <c r="AE209" i="2"/>
  <c r="AI209" i="2" s="1"/>
  <c r="AE210" i="2"/>
  <c r="AI210" i="2" s="1"/>
  <c r="AE211" i="2"/>
  <c r="AI211" i="2" s="1"/>
  <c r="AE212" i="2"/>
  <c r="AI212" i="2"/>
  <c r="AE213" i="2"/>
  <c r="AI213" i="2"/>
  <c r="AE214" i="2"/>
  <c r="AI214" i="2"/>
  <c r="AE215" i="2"/>
  <c r="AI215" i="2" s="1"/>
  <c r="AI216" i="2"/>
  <c r="AE217" i="2"/>
  <c r="AI217" i="2"/>
  <c r="AI218" i="2"/>
  <c r="AD220" i="2"/>
  <c r="AG220" i="2"/>
  <c r="P185" i="2"/>
  <c r="S185" i="2" s="1"/>
  <c r="W185" i="2" s="1"/>
  <c r="P184" i="2"/>
  <c r="S184" i="2" s="1"/>
  <c r="W184" i="2" s="1"/>
  <c r="V183" i="2"/>
  <c r="V220" i="2" s="1"/>
  <c r="U183" i="2"/>
  <c r="U220" i="2" s="1"/>
  <c r="P183" i="2"/>
  <c r="S183" i="2" s="1"/>
  <c r="P182" i="2"/>
  <c r="S182" i="2" s="1"/>
  <c r="W182" i="2" s="1"/>
  <c r="P181" i="2"/>
  <c r="S181" i="2" s="1"/>
  <c r="W181" i="2" s="1"/>
  <c r="P180" i="2"/>
  <c r="S180" i="2" s="1"/>
  <c r="W180" i="2" s="1"/>
  <c r="P179" i="2"/>
  <c r="P178" i="2"/>
  <c r="P177" i="2"/>
  <c r="S177" i="2" s="1"/>
  <c r="W177" i="2" s="1"/>
  <c r="O178" i="2"/>
  <c r="S178" i="2"/>
  <c r="W178" i="2" s="1"/>
  <c r="O179" i="2"/>
  <c r="S179" i="2"/>
  <c r="W179" i="2" s="1"/>
  <c r="O180" i="2"/>
  <c r="O181" i="2" s="1"/>
  <c r="O183" i="2" s="1"/>
  <c r="O184" i="2" s="1"/>
  <c r="O185" i="2" s="1"/>
  <c r="S186" i="2"/>
  <c r="W186" i="2"/>
  <c r="S187" i="2"/>
  <c r="W187" i="2" s="1"/>
  <c r="S188" i="2"/>
  <c r="W188" i="2" s="1"/>
  <c r="S189" i="2"/>
  <c r="W189" i="2"/>
  <c r="S190" i="2"/>
  <c r="W190" i="2" s="1"/>
  <c r="S191" i="2"/>
  <c r="W191" i="2" s="1"/>
  <c r="S192" i="2"/>
  <c r="W192" i="2" s="1"/>
  <c r="S193" i="2"/>
  <c r="W193" i="2" s="1"/>
  <c r="S194" i="2"/>
  <c r="W194" i="2" s="1"/>
  <c r="S195" i="2"/>
  <c r="W195" i="2"/>
  <c r="S196" i="2"/>
  <c r="W196" i="2" s="1"/>
  <c r="S197" i="2"/>
  <c r="W197" i="2"/>
  <c r="S198" i="2"/>
  <c r="W198" i="2" s="1"/>
  <c r="S199" i="2"/>
  <c r="W199" i="2" s="1"/>
  <c r="S200" i="2"/>
  <c r="W200" i="2"/>
  <c r="S201" i="2"/>
  <c r="W201" i="2"/>
  <c r="S202" i="2"/>
  <c r="W202" i="2"/>
  <c r="S203" i="2"/>
  <c r="W203" i="2" s="1"/>
  <c r="S204" i="2"/>
  <c r="W204" i="2" s="1"/>
  <c r="S205" i="2"/>
  <c r="W205" i="2"/>
  <c r="S206" i="2"/>
  <c r="W206" i="2"/>
  <c r="S207" i="2"/>
  <c r="W207" i="2" s="1"/>
  <c r="S208" i="2"/>
  <c r="W208" i="2"/>
  <c r="S209" i="2"/>
  <c r="W209" i="2"/>
  <c r="S210" i="2"/>
  <c r="W210" i="2"/>
  <c r="S211" i="2"/>
  <c r="W211" i="2" s="1"/>
  <c r="S212" i="2"/>
  <c r="W212" i="2"/>
  <c r="S213" i="2"/>
  <c r="W213" i="2" s="1"/>
  <c r="S214" i="2"/>
  <c r="W214" i="2"/>
  <c r="S215" i="2"/>
  <c r="W215" i="2" s="1"/>
  <c r="W216" i="2"/>
  <c r="S217" i="2"/>
  <c r="W217" i="2"/>
  <c r="W218" i="2"/>
  <c r="Q220" i="2"/>
  <c r="R220" i="2"/>
  <c r="G187" i="2"/>
  <c r="K187" i="2" s="1"/>
  <c r="F187" i="2"/>
  <c r="F220" i="2" s="1"/>
  <c r="D187" i="2"/>
  <c r="D186" i="2"/>
  <c r="G186" i="2" s="1"/>
  <c r="K186" i="2" s="1"/>
  <c r="D185" i="2"/>
  <c r="D184" i="2"/>
  <c r="G184" i="2" s="1"/>
  <c r="K184" i="2" s="1"/>
  <c r="D183" i="2"/>
  <c r="D182" i="2"/>
  <c r="G182" i="2" s="1"/>
  <c r="K182" i="2" s="1"/>
  <c r="D181" i="2"/>
  <c r="G181" i="2" s="1"/>
  <c r="K181" i="2" s="1"/>
  <c r="D180" i="2"/>
  <c r="G180" i="2" s="1"/>
  <c r="K180" i="2" s="1"/>
  <c r="D179" i="2"/>
  <c r="G179" i="2" s="1"/>
  <c r="K179" i="2" s="1"/>
  <c r="J178" i="2"/>
  <c r="J220" i="2" s="1"/>
  <c r="D178" i="2"/>
  <c r="G178" i="2" s="1"/>
  <c r="K178" i="2" s="1"/>
  <c r="C179" i="2"/>
  <c r="C180" i="2" s="1"/>
  <c r="C181" i="2" s="1"/>
  <c r="C182" i="2" s="1"/>
  <c r="C183" i="2" s="1"/>
  <c r="C184" i="2" s="1"/>
  <c r="C185" i="2" s="1"/>
  <c r="C186" i="2" s="1"/>
  <c r="C187" i="2" s="1"/>
  <c r="D177" i="2"/>
  <c r="G177" i="2"/>
  <c r="K177" i="2" s="1"/>
  <c r="C178" i="2"/>
  <c r="G185" i="2"/>
  <c r="K185" i="2"/>
  <c r="G188" i="2"/>
  <c r="K188" i="2"/>
  <c r="G189" i="2"/>
  <c r="K189" i="2"/>
  <c r="G190" i="2"/>
  <c r="K190" i="2" s="1"/>
  <c r="G191" i="2"/>
  <c r="K191" i="2" s="1"/>
  <c r="G192" i="2"/>
  <c r="K192" i="2"/>
  <c r="G193" i="2"/>
  <c r="K193" i="2"/>
  <c r="G194" i="2"/>
  <c r="K194" i="2"/>
  <c r="G195" i="2"/>
  <c r="K195" i="2"/>
  <c r="G196" i="2"/>
  <c r="K196" i="2"/>
  <c r="G197" i="2"/>
  <c r="K197" i="2"/>
  <c r="G198" i="2"/>
  <c r="K198" i="2"/>
  <c r="G199" i="2"/>
  <c r="K199" i="2" s="1"/>
  <c r="G200" i="2"/>
  <c r="K200" i="2" s="1"/>
  <c r="G201" i="2"/>
  <c r="K201" i="2" s="1"/>
  <c r="G202" i="2"/>
  <c r="K202" i="2"/>
  <c r="G203" i="2"/>
  <c r="K203" i="2" s="1"/>
  <c r="G204" i="2"/>
  <c r="K204" i="2"/>
  <c r="G205" i="2"/>
  <c r="K205" i="2"/>
  <c r="G206" i="2"/>
  <c r="K206" i="2" s="1"/>
  <c r="G207" i="2"/>
  <c r="K207" i="2" s="1"/>
  <c r="G208" i="2"/>
  <c r="K208" i="2"/>
  <c r="G209" i="2"/>
  <c r="K209" i="2" s="1"/>
  <c r="G210" i="2"/>
  <c r="K210" i="2" s="1"/>
  <c r="G217" i="2"/>
  <c r="K217" i="2"/>
  <c r="E220" i="2"/>
  <c r="I220" i="2"/>
  <c r="G275" i="2" l="1"/>
  <c r="AB220" i="2"/>
  <c r="AI177" i="2"/>
  <c r="AE178" i="2"/>
  <c r="W183" i="2"/>
  <c r="W220" i="2" s="1"/>
  <c r="P220" i="2"/>
  <c r="S220" i="2"/>
  <c r="D220" i="2"/>
  <c r="G183" i="2"/>
  <c r="K183" i="2" s="1"/>
  <c r="G220" i="2"/>
  <c r="K220" i="2"/>
  <c r="AB129" i="2"/>
  <c r="AB128" i="2"/>
  <c r="AE128" i="2" s="1"/>
  <c r="AI128" i="2" s="1"/>
  <c r="AB126" i="2"/>
  <c r="AE126" i="2" s="1"/>
  <c r="AI126" i="2" s="1"/>
  <c r="AB125" i="2"/>
  <c r="AE125" i="2" s="1"/>
  <c r="AI125" i="2" s="1"/>
  <c r="AC124" i="2"/>
  <c r="AE124" i="2" s="1"/>
  <c r="AI124" i="2" s="1"/>
  <c r="AB124" i="2"/>
  <c r="AH123" i="2"/>
  <c r="AH165" i="2" s="1"/>
  <c r="AC123" i="2"/>
  <c r="AB123" i="2"/>
  <c r="AG122" i="2"/>
  <c r="AG165" i="2"/>
  <c r="AC122" i="2"/>
  <c r="AB122" i="2"/>
  <c r="AE122" i="2"/>
  <c r="AA123" i="2"/>
  <c r="AA124" i="2" s="1"/>
  <c r="AA125" i="2" s="1"/>
  <c r="AA126" i="2" s="1"/>
  <c r="AA127" i="2" s="1"/>
  <c r="AA128" i="2" s="1"/>
  <c r="AA129" i="2" s="1"/>
  <c r="AE127" i="2"/>
  <c r="AI127" i="2" s="1"/>
  <c r="AE129" i="2"/>
  <c r="AI129" i="2" s="1"/>
  <c r="AE130" i="2"/>
  <c r="AI130" i="2" s="1"/>
  <c r="AE131" i="2"/>
  <c r="AI131" i="2" s="1"/>
  <c r="AE132" i="2"/>
  <c r="AI132" i="2" s="1"/>
  <c r="AE133" i="2"/>
  <c r="AI133" i="2"/>
  <c r="AE134" i="2"/>
  <c r="AI134" i="2"/>
  <c r="AE135" i="2"/>
  <c r="AI135" i="2"/>
  <c r="AE136" i="2"/>
  <c r="AI136" i="2"/>
  <c r="AE137" i="2"/>
  <c r="AI137" i="2"/>
  <c r="AE138" i="2"/>
  <c r="AI138" i="2" s="1"/>
  <c r="AE139" i="2"/>
  <c r="AI139" i="2"/>
  <c r="AE140" i="2"/>
  <c r="AI140" i="2" s="1"/>
  <c r="AE141" i="2"/>
  <c r="AI141" i="2"/>
  <c r="AE142" i="2"/>
  <c r="AI142" i="2"/>
  <c r="AE143" i="2"/>
  <c r="AI143" i="2"/>
  <c r="AE144" i="2"/>
  <c r="AI144" i="2"/>
  <c r="AE145" i="2"/>
  <c r="AI145" i="2"/>
  <c r="AE146" i="2"/>
  <c r="AI146" i="2" s="1"/>
  <c r="AE147" i="2"/>
  <c r="AI147" i="2"/>
  <c r="AE148" i="2"/>
  <c r="AI148" i="2" s="1"/>
  <c r="AE149" i="2"/>
  <c r="AI149" i="2"/>
  <c r="AE150" i="2"/>
  <c r="AI150" i="2"/>
  <c r="AE151" i="2"/>
  <c r="AI151" i="2"/>
  <c r="AE152" i="2"/>
  <c r="AI152" i="2"/>
  <c r="AE153" i="2"/>
  <c r="AI153" i="2"/>
  <c r="AE154" i="2"/>
  <c r="AI154" i="2" s="1"/>
  <c r="AE155" i="2"/>
  <c r="AI155" i="2"/>
  <c r="AE156" i="2"/>
  <c r="AI156" i="2" s="1"/>
  <c r="AE157" i="2"/>
  <c r="AI157" i="2"/>
  <c r="AE158" i="2"/>
  <c r="AI158" i="2"/>
  <c r="AE159" i="2"/>
  <c r="AI159" i="2" s="1"/>
  <c r="AE160" i="2"/>
  <c r="AI160" i="2"/>
  <c r="AI161" i="2"/>
  <c r="AE162" i="2"/>
  <c r="AI162" i="2" s="1"/>
  <c r="AI163" i="2"/>
  <c r="AD165" i="2"/>
  <c r="P142" i="2"/>
  <c r="S142" i="2" s="1"/>
  <c r="W142" i="2" s="1"/>
  <c r="U141" i="2"/>
  <c r="U165" i="2" s="1"/>
  <c r="P141" i="2"/>
  <c r="S141" i="2" s="1"/>
  <c r="P140" i="2"/>
  <c r="P139" i="2"/>
  <c r="P138" i="2"/>
  <c r="S138" i="2" s="1"/>
  <c r="W138" i="2" s="1"/>
  <c r="P137" i="2"/>
  <c r="S137" i="2" s="1"/>
  <c r="W137" i="2" s="1"/>
  <c r="P136" i="2"/>
  <c r="P135" i="2"/>
  <c r="P134" i="2"/>
  <c r="P133" i="2"/>
  <c r="U132" i="2"/>
  <c r="P132" i="2"/>
  <c r="S132" i="2" s="1"/>
  <c r="W132" i="2" s="1"/>
  <c r="P131" i="2"/>
  <c r="S131" i="2" s="1"/>
  <c r="W131" i="2" s="1"/>
  <c r="P130" i="2"/>
  <c r="S130" i="2" s="1"/>
  <c r="W130" i="2" s="1"/>
  <c r="P129" i="2"/>
  <c r="S129" i="2" s="1"/>
  <c r="W129" i="2" s="1"/>
  <c r="P128" i="2"/>
  <c r="S128" i="2" s="1"/>
  <c r="W128" i="2" s="1"/>
  <c r="P127" i="2"/>
  <c r="S127" i="2" s="1"/>
  <c r="W127" i="2" s="1"/>
  <c r="P126" i="2"/>
  <c r="S126" i="2" s="1"/>
  <c r="W126" i="2" s="1"/>
  <c r="P125" i="2"/>
  <c r="S125" i="2" s="1"/>
  <c r="W125" i="2" s="1"/>
  <c r="P124" i="2"/>
  <c r="S124" i="2" s="1"/>
  <c r="W124" i="2" s="1"/>
  <c r="P123" i="2"/>
  <c r="S123" i="2" s="1"/>
  <c r="W123" i="2" s="1"/>
  <c r="P122" i="2"/>
  <c r="S122" i="2" s="1"/>
  <c r="W122" i="2" s="1"/>
  <c r="O123" i="2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V165" i="2"/>
  <c r="S133" i="2"/>
  <c r="W133" i="2" s="1"/>
  <c r="S134" i="2"/>
  <c r="W134" i="2" s="1"/>
  <c r="S135" i="2"/>
  <c r="W135" i="2" s="1"/>
  <c r="S136" i="2"/>
  <c r="W136" i="2" s="1"/>
  <c r="S139" i="2"/>
  <c r="W139" i="2" s="1"/>
  <c r="S140" i="2"/>
  <c r="W140" i="2" s="1"/>
  <c r="S143" i="2"/>
  <c r="W143" i="2"/>
  <c r="S144" i="2"/>
  <c r="W144" i="2" s="1"/>
  <c r="S145" i="2"/>
  <c r="W145" i="2" s="1"/>
  <c r="S146" i="2"/>
  <c r="W146" i="2" s="1"/>
  <c r="S147" i="2"/>
  <c r="W147" i="2"/>
  <c r="S148" i="2"/>
  <c r="W148" i="2" s="1"/>
  <c r="S149" i="2"/>
  <c r="W149" i="2"/>
  <c r="S150" i="2"/>
  <c r="W150" i="2"/>
  <c r="S151" i="2"/>
  <c r="W151" i="2"/>
  <c r="S152" i="2"/>
  <c r="W152" i="2"/>
  <c r="S153" i="2"/>
  <c r="W153" i="2"/>
  <c r="S154" i="2"/>
  <c r="W154" i="2" s="1"/>
  <c r="S155" i="2"/>
  <c r="W155" i="2" s="1"/>
  <c r="S156" i="2"/>
  <c r="W156" i="2"/>
  <c r="S157" i="2"/>
  <c r="W157" i="2"/>
  <c r="S158" i="2"/>
  <c r="W158" i="2"/>
  <c r="S159" i="2"/>
  <c r="W159" i="2"/>
  <c r="S160" i="2"/>
  <c r="W160" i="2" s="1"/>
  <c r="W161" i="2"/>
  <c r="S162" i="2"/>
  <c r="W162" i="2" s="1"/>
  <c r="W163" i="2"/>
  <c r="Q165" i="2"/>
  <c r="R165" i="2"/>
  <c r="D123" i="2"/>
  <c r="D122" i="2"/>
  <c r="G122" i="2"/>
  <c r="C123" i="2"/>
  <c r="G123" i="2"/>
  <c r="K123" i="2" s="1"/>
  <c r="D165" i="2"/>
  <c r="G124" i="2"/>
  <c r="K124" i="2" s="1"/>
  <c r="G125" i="2"/>
  <c r="K125" i="2" s="1"/>
  <c r="G126" i="2"/>
  <c r="K126" i="2" s="1"/>
  <c r="G127" i="2"/>
  <c r="K127" i="2" s="1"/>
  <c r="G128" i="2"/>
  <c r="K128" i="2" s="1"/>
  <c r="G129" i="2"/>
  <c r="K129" i="2" s="1"/>
  <c r="G130" i="2"/>
  <c r="K130" i="2" s="1"/>
  <c r="G131" i="2"/>
  <c r="K131" i="2" s="1"/>
  <c r="G132" i="2"/>
  <c r="K132" i="2" s="1"/>
  <c r="G133" i="2"/>
  <c r="K133" i="2" s="1"/>
  <c r="G134" i="2"/>
  <c r="K134" i="2" s="1"/>
  <c r="G135" i="2"/>
  <c r="K135" i="2" s="1"/>
  <c r="G136" i="2"/>
  <c r="K136" i="2" s="1"/>
  <c r="G137" i="2"/>
  <c r="K137" i="2"/>
  <c r="G138" i="2"/>
  <c r="K138" i="2" s="1"/>
  <c r="G139" i="2"/>
  <c r="K139" i="2"/>
  <c r="G140" i="2"/>
  <c r="K140" i="2"/>
  <c r="G141" i="2"/>
  <c r="K141" i="2" s="1"/>
  <c r="G142" i="2"/>
  <c r="K142" i="2" s="1"/>
  <c r="G143" i="2"/>
  <c r="K143" i="2"/>
  <c r="G144" i="2"/>
  <c r="K144" i="2" s="1"/>
  <c r="G145" i="2"/>
  <c r="K145" i="2" s="1"/>
  <c r="G146" i="2"/>
  <c r="K146" i="2" s="1"/>
  <c r="G147" i="2"/>
  <c r="K147" i="2"/>
  <c r="G148" i="2"/>
  <c r="K148" i="2"/>
  <c r="G149" i="2"/>
  <c r="K149" i="2" s="1"/>
  <c r="G150" i="2"/>
  <c r="K150" i="2" s="1"/>
  <c r="G151" i="2"/>
  <c r="K151" i="2"/>
  <c r="G152" i="2"/>
  <c r="K152" i="2" s="1"/>
  <c r="G153" i="2"/>
  <c r="K153" i="2" s="1"/>
  <c r="G154" i="2"/>
  <c r="K154" i="2" s="1"/>
  <c r="G155" i="2"/>
  <c r="K155" i="2"/>
  <c r="G162" i="2"/>
  <c r="K162" i="2"/>
  <c r="E165" i="2"/>
  <c r="F165" i="2"/>
  <c r="I165" i="2"/>
  <c r="J165" i="2"/>
  <c r="AE123" i="2" l="1"/>
  <c r="AI123" i="2" s="1"/>
  <c r="AE220" i="2"/>
  <c r="AI178" i="2"/>
  <c r="AI220" i="2" s="1"/>
  <c r="AB165" i="2"/>
  <c r="AC165" i="2"/>
  <c r="AE165" i="2"/>
  <c r="AI122" i="2"/>
  <c r="AI165" i="2" s="1"/>
  <c r="W141" i="2"/>
  <c r="W165" i="2" s="1"/>
  <c r="P165" i="2"/>
  <c r="S165" i="2"/>
  <c r="K122" i="2"/>
  <c r="K165" i="2" s="1"/>
  <c r="G165" i="2"/>
  <c r="AB71" i="2"/>
  <c r="AE71" i="2" s="1"/>
  <c r="AI71" i="2" s="1"/>
  <c r="AB70" i="2"/>
  <c r="AE70" i="2" s="1"/>
  <c r="AI70" i="2" s="1"/>
  <c r="AB69" i="2"/>
  <c r="AE69" i="2"/>
  <c r="AI69" i="2" s="1"/>
  <c r="AB68" i="2"/>
  <c r="AG67" i="2"/>
  <c r="AC67" i="2"/>
  <c r="AC110" i="2" s="1"/>
  <c r="AB67" i="2"/>
  <c r="AE67" i="2" s="1"/>
  <c r="AI67" i="2" s="1"/>
  <c r="AA68" i="2"/>
  <c r="AG110" i="2"/>
  <c r="AA69" i="2"/>
  <c r="AA70" i="2" s="1"/>
  <c r="AA71" i="2" s="1"/>
  <c r="AE72" i="2"/>
  <c r="AI72" i="2" s="1"/>
  <c r="AE73" i="2"/>
  <c r="AI73" i="2" s="1"/>
  <c r="AE74" i="2"/>
  <c r="AI74" i="2"/>
  <c r="AE75" i="2"/>
  <c r="AI75" i="2"/>
  <c r="AE76" i="2"/>
  <c r="AI76" i="2" s="1"/>
  <c r="AE77" i="2"/>
  <c r="AI77" i="2" s="1"/>
  <c r="AE78" i="2"/>
  <c r="AI78" i="2"/>
  <c r="AE79" i="2"/>
  <c r="AI79" i="2"/>
  <c r="AE80" i="2"/>
  <c r="AI80" i="2"/>
  <c r="AE81" i="2"/>
  <c r="AI81" i="2"/>
  <c r="AE82" i="2"/>
  <c r="AI82" i="2"/>
  <c r="AE83" i="2"/>
  <c r="AI83" i="2" s="1"/>
  <c r="AE84" i="2"/>
  <c r="AI84" i="2" s="1"/>
  <c r="AE85" i="2"/>
  <c r="AI85" i="2"/>
  <c r="AE86" i="2"/>
  <c r="AI86" i="2"/>
  <c r="AE87" i="2"/>
  <c r="AI87" i="2"/>
  <c r="AE88" i="2"/>
  <c r="AI88" i="2"/>
  <c r="AE89" i="2"/>
  <c r="AI89" i="2"/>
  <c r="AE90" i="2"/>
  <c r="AI90" i="2"/>
  <c r="AE91" i="2"/>
  <c r="AI91" i="2" s="1"/>
  <c r="AE92" i="2"/>
  <c r="AI92" i="2" s="1"/>
  <c r="AE93" i="2"/>
  <c r="AI93" i="2"/>
  <c r="AE94" i="2"/>
  <c r="AI94" i="2"/>
  <c r="AE95" i="2"/>
  <c r="AI95" i="2"/>
  <c r="AE96" i="2"/>
  <c r="AI96" i="2"/>
  <c r="AE97" i="2"/>
  <c r="AI97" i="2"/>
  <c r="AE98" i="2"/>
  <c r="AI98" i="2"/>
  <c r="AE99" i="2"/>
  <c r="AI99" i="2" s="1"/>
  <c r="AE100" i="2"/>
  <c r="AI100" i="2" s="1"/>
  <c r="AE101" i="2"/>
  <c r="AI101" i="2" s="1"/>
  <c r="AE102" i="2"/>
  <c r="AI102" i="2"/>
  <c r="AE103" i="2"/>
  <c r="AI103" i="2"/>
  <c r="AE104" i="2"/>
  <c r="AI104" i="2"/>
  <c r="AE105" i="2"/>
  <c r="AI105" i="2" s="1"/>
  <c r="AI106" i="2"/>
  <c r="AE107" i="2"/>
  <c r="AI107" i="2"/>
  <c r="AI108" i="2"/>
  <c r="AD110" i="2"/>
  <c r="AH110" i="2"/>
  <c r="P75" i="2"/>
  <c r="P74" i="2"/>
  <c r="P73" i="2"/>
  <c r="S73" i="2" s="1"/>
  <c r="W73" i="2" s="1"/>
  <c r="P72" i="2"/>
  <c r="S72" i="2" s="1"/>
  <c r="W72" i="2" s="1"/>
  <c r="V71" i="2"/>
  <c r="V110" i="2" s="1"/>
  <c r="P71" i="2"/>
  <c r="S71" i="2" s="1"/>
  <c r="W71" i="2" s="1"/>
  <c r="P70" i="2"/>
  <c r="P69" i="2"/>
  <c r="P68" i="2"/>
  <c r="S68" i="2" s="1"/>
  <c r="W68" i="2" s="1"/>
  <c r="P67" i="2"/>
  <c r="O68" i="2"/>
  <c r="O69" i="2" s="1"/>
  <c r="O70" i="2" s="1"/>
  <c r="O71" i="2" s="1"/>
  <c r="O72" i="2" s="1"/>
  <c r="O73" i="2" s="1"/>
  <c r="O74" i="2" s="1"/>
  <c r="O75" i="2" s="1"/>
  <c r="S69" i="2"/>
  <c r="S74" i="2"/>
  <c r="W74" i="2" s="1"/>
  <c r="S75" i="2"/>
  <c r="W75" i="2" s="1"/>
  <c r="S76" i="2"/>
  <c r="W76" i="2" s="1"/>
  <c r="S77" i="2"/>
  <c r="W77" i="2" s="1"/>
  <c r="S78" i="2"/>
  <c r="W78" i="2" s="1"/>
  <c r="S79" i="2"/>
  <c r="W79" i="2" s="1"/>
  <c r="S80" i="2"/>
  <c r="W80" i="2" s="1"/>
  <c r="S81" i="2"/>
  <c r="W81" i="2"/>
  <c r="S82" i="2"/>
  <c r="W82" i="2" s="1"/>
  <c r="S83" i="2"/>
  <c r="W83" i="2"/>
  <c r="S84" i="2"/>
  <c r="W84" i="2"/>
  <c r="S85" i="2"/>
  <c r="W85" i="2"/>
  <c r="S86" i="2"/>
  <c r="W86" i="2" s="1"/>
  <c r="S87" i="2"/>
  <c r="W87" i="2"/>
  <c r="S88" i="2"/>
  <c r="W88" i="2" s="1"/>
  <c r="S89" i="2"/>
  <c r="W89" i="2"/>
  <c r="S90" i="2"/>
  <c r="W90" i="2"/>
  <c r="S91" i="2"/>
  <c r="W91" i="2"/>
  <c r="S92" i="2"/>
  <c r="W92" i="2"/>
  <c r="S93" i="2"/>
  <c r="W93" i="2"/>
  <c r="S94" i="2"/>
  <c r="W94" i="2" s="1"/>
  <c r="S95" i="2"/>
  <c r="W95" i="2"/>
  <c r="S96" i="2"/>
  <c r="W96" i="2" s="1"/>
  <c r="S97" i="2"/>
  <c r="W97" i="2" s="1"/>
  <c r="S98" i="2"/>
  <c r="W98" i="2"/>
  <c r="S99" i="2"/>
  <c r="W99" i="2"/>
  <c r="S100" i="2"/>
  <c r="W100" i="2" s="1"/>
  <c r="S101" i="2"/>
  <c r="W101" i="2"/>
  <c r="S102" i="2"/>
  <c r="W102" i="2" s="1"/>
  <c r="S103" i="2"/>
  <c r="W103" i="2"/>
  <c r="S104" i="2"/>
  <c r="W104" i="2"/>
  <c r="S105" i="2"/>
  <c r="W105" i="2" s="1"/>
  <c r="W106" i="2"/>
  <c r="S107" i="2"/>
  <c r="W107" i="2"/>
  <c r="W108" i="2"/>
  <c r="Q110" i="2"/>
  <c r="R110" i="2"/>
  <c r="U110" i="2"/>
  <c r="D79" i="2"/>
  <c r="D78" i="2"/>
  <c r="G78" i="2" s="1"/>
  <c r="K78" i="2" s="1"/>
  <c r="D77" i="2"/>
  <c r="G77" i="2" s="1"/>
  <c r="K77" i="2" s="1"/>
  <c r="D76" i="2"/>
  <c r="G76" i="2" s="1"/>
  <c r="K76" i="2" s="1"/>
  <c r="D75" i="2"/>
  <c r="G75" i="2" s="1"/>
  <c r="K75" i="2" s="1"/>
  <c r="D74" i="2"/>
  <c r="G74" i="2" s="1"/>
  <c r="K74" i="2" s="1"/>
  <c r="D73" i="2"/>
  <c r="G73" i="2" s="1"/>
  <c r="K73" i="2" s="1"/>
  <c r="D72" i="2"/>
  <c r="G72" i="2" s="1"/>
  <c r="K72" i="2" s="1"/>
  <c r="D71" i="2"/>
  <c r="G71" i="2" s="1"/>
  <c r="K71" i="2" s="1"/>
  <c r="D70" i="2"/>
  <c r="G70" i="2" s="1"/>
  <c r="K70" i="2" s="1"/>
  <c r="D69" i="2"/>
  <c r="D68" i="2"/>
  <c r="G68" i="2" s="1"/>
  <c r="K68" i="2" s="1"/>
  <c r="D67" i="2"/>
  <c r="C68" i="2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G69" i="2"/>
  <c r="K69" i="2" s="1"/>
  <c r="G79" i="2"/>
  <c r="K79" i="2" s="1"/>
  <c r="G80" i="2"/>
  <c r="K80" i="2"/>
  <c r="G81" i="2"/>
  <c r="K81" i="2" s="1"/>
  <c r="G82" i="2"/>
  <c r="K82" i="2" s="1"/>
  <c r="G83" i="2"/>
  <c r="K83" i="2"/>
  <c r="G84" i="2"/>
  <c r="K84" i="2" s="1"/>
  <c r="G85" i="2"/>
  <c r="K85" i="2" s="1"/>
  <c r="G86" i="2"/>
  <c r="K86" i="2" s="1"/>
  <c r="G87" i="2"/>
  <c r="K87" i="2"/>
  <c r="G88" i="2"/>
  <c r="K88" i="2"/>
  <c r="G89" i="2"/>
  <c r="K89" i="2"/>
  <c r="G90" i="2"/>
  <c r="K90" i="2" s="1"/>
  <c r="G91" i="2"/>
  <c r="K91" i="2" s="1"/>
  <c r="G92" i="2"/>
  <c r="K92" i="2" s="1"/>
  <c r="G93" i="2"/>
  <c r="K93" i="2" s="1"/>
  <c r="G94" i="2"/>
  <c r="K94" i="2"/>
  <c r="G95" i="2"/>
  <c r="K95" i="2"/>
  <c r="G96" i="2"/>
  <c r="K96" i="2"/>
  <c r="G97" i="2"/>
  <c r="K97" i="2"/>
  <c r="G98" i="2"/>
  <c r="K98" i="2" s="1"/>
  <c r="G99" i="2"/>
  <c r="K99" i="2"/>
  <c r="G100" i="2"/>
  <c r="K100" i="2" s="1"/>
  <c r="G107" i="2"/>
  <c r="K107" i="2" s="1"/>
  <c r="E110" i="2"/>
  <c r="F110" i="2"/>
  <c r="I110" i="2"/>
  <c r="J110" i="2"/>
  <c r="AB110" i="2" l="1"/>
  <c r="AE68" i="2"/>
  <c r="P110" i="2"/>
  <c r="S67" i="2"/>
  <c r="W67" i="2" s="1"/>
  <c r="W69" i="2"/>
  <c r="S70" i="2"/>
  <c r="W70" i="2" s="1"/>
  <c r="D110" i="2"/>
  <c r="G67" i="2"/>
  <c r="G110" i="2" s="1"/>
  <c r="AG13" i="2"/>
  <c r="AE110" i="2" l="1"/>
  <c r="AI68" i="2"/>
  <c r="AI110" i="2" s="1"/>
  <c r="W110" i="2"/>
  <c r="S110" i="2"/>
  <c r="K67" i="2"/>
  <c r="K110" i="2" s="1"/>
  <c r="AB17" i="2"/>
  <c r="AG16" i="2"/>
  <c r="AB16" i="2"/>
  <c r="AB15" i="2"/>
  <c r="AB14" i="2"/>
  <c r="AH13" i="2"/>
  <c r="AB13" i="2"/>
  <c r="AB12" i="2"/>
  <c r="AA13" i="2"/>
  <c r="P17" i="2"/>
  <c r="P16" i="2"/>
  <c r="P15" i="2"/>
  <c r="Q14" i="2"/>
  <c r="P14" i="2"/>
  <c r="P13" i="2"/>
  <c r="P12" i="2"/>
  <c r="D19" i="2"/>
  <c r="D18" i="2"/>
  <c r="D17" i="2"/>
  <c r="D16" i="2"/>
  <c r="D15" i="2"/>
  <c r="D14" i="2"/>
  <c r="D13" i="2"/>
  <c r="I12" i="2"/>
  <c r="J12" i="2"/>
  <c r="E12" i="2"/>
  <c r="D12" i="2"/>
  <c r="J34" i="1" l="1"/>
  <c r="D34" i="1" s="1"/>
  <c r="J35" i="1"/>
  <c r="D35" i="1" s="1"/>
  <c r="J36" i="1"/>
  <c r="J37" i="1"/>
  <c r="J27" i="1"/>
  <c r="D27" i="1" s="1"/>
  <c r="J28" i="1"/>
  <c r="D28" i="1" s="1"/>
  <c r="J29" i="1"/>
  <c r="D29" i="1" s="1"/>
  <c r="J30" i="1"/>
  <c r="D30" i="1" s="1"/>
  <c r="J20" i="1"/>
  <c r="D20" i="1" s="1"/>
  <c r="J21" i="1"/>
  <c r="D21" i="1" s="1"/>
  <c r="J22" i="1"/>
  <c r="D22" i="1" s="1"/>
  <c r="J23" i="1"/>
  <c r="D36" i="1"/>
  <c r="J13" i="1"/>
  <c r="D13" i="1" s="1"/>
  <c r="J14" i="1"/>
  <c r="C13" i="2" l="1"/>
  <c r="C14" i="2" s="1"/>
  <c r="C15" i="2" s="1"/>
  <c r="C16" i="2" s="1"/>
  <c r="C17" i="2" s="1"/>
  <c r="C18" i="2" s="1"/>
  <c r="C19" i="2" s="1"/>
  <c r="J38" i="1" l="1"/>
  <c r="J39" i="1"/>
  <c r="J40" i="1"/>
  <c r="J32" i="1"/>
  <c r="D32" i="1" s="1"/>
  <c r="D23" i="1"/>
  <c r="J25" i="1"/>
  <c r="D25" i="1" s="1"/>
  <c r="J15" i="1"/>
  <c r="D15" i="1" s="1"/>
  <c r="J16" i="1"/>
  <c r="D16" i="1" s="1"/>
  <c r="J18" i="1"/>
  <c r="D18" i="1" s="1"/>
  <c r="D37" i="1"/>
  <c r="D38" i="1"/>
  <c r="D39" i="1"/>
  <c r="D40" i="1" l="1"/>
  <c r="O13" i="2"/>
  <c r="O14" i="2" s="1"/>
  <c r="O15" i="2" s="1"/>
  <c r="O16" i="2" s="1"/>
  <c r="O17" i="2" s="1"/>
  <c r="J33" i="1"/>
  <c r="D33" i="1" s="1"/>
  <c r="J26" i="1"/>
  <c r="D26" i="1" s="1"/>
  <c r="J19" i="1"/>
  <c r="D19" i="1" s="1"/>
  <c r="D14" i="1"/>
  <c r="J12" i="1"/>
  <c r="D12" i="1" s="1"/>
  <c r="J11" i="1"/>
  <c r="D11" i="1" s="1"/>
  <c r="D42" i="1" l="1"/>
  <c r="AA14" i="2" l="1"/>
  <c r="AA16" i="2" s="1"/>
  <c r="AA17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5" authorId="0" shapeId="0" xr:uid="{D8338695-98AF-4283-A391-9C3F951A24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TRIP
BAKASYON</t>
        </r>
      </text>
    </comment>
    <comment ref="F22" authorId="0" shapeId="0" xr:uid="{87871041-47B1-44F1-83DA-81ECB5229C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TRIP
GA ULAG</t>
        </r>
      </text>
    </comment>
    <comment ref="F27" authorId="0" shapeId="0" xr:uid="{1B6AACD4-2141-403E-A64F-050750F48C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GA ULAG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CC4A1E2C-9DDA-4996-822A-28E6ECEFC0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TAMPUS STORE
POB, SINDANGAN</t>
        </r>
      </text>
    </comment>
    <comment ref="O12" authorId="0" shapeId="0" xr:uid="{185C193D-B2BD-4B26-8CC6-82A4154790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ELICANAL STORE
INUMAN, SINDANGAN</t>
        </r>
      </text>
    </comment>
    <comment ref="AA12" authorId="0" shapeId="0" xr:uid="{CAD1BDCF-21D1-48E8-A190-59968821D1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TROCIO STORE
BACONG, SALUG</t>
        </r>
      </text>
    </comment>
    <comment ref="C13" authorId="0" shapeId="0" xr:uid="{8FD600F8-0D58-4CD2-9CD6-1B7FB152A2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ELMER VILLARIN
POB, SINDANGAN</t>
        </r>
      </text>
    </comment>
    <comment ref="O13" authorId="0" shapeId="0" xr:uid="{4798CF9D-BEA6-48C0-AB17-8F05FE8450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KEN VARIETY STORE
INUMAN, SINDANGAN</t>
        </r>
      </text>
    </comment>
    <comment ref="AA13" authorId="0" shapeId="0" xr:uid="{179F2DF0-4C5E-4B3F-A331-A12B728D2B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14" authorId="0" shapeId="0" xr:uid="{D0582457-B36D-4A03-BF93-E47792DB84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 STORE
DAPAON, SINDANGAN</t>
        </r>
      </text>
    </comment>
    <comment ref="O14" authorId="0" shapeId="0" xr:uid="{9F7BEA4E-19D7-4BD9-85FB-6A922DEDFB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AA14" authorId="0" shapeId="0" xr:uid="{16D19D07-C383-4A77-AF12-277C730510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NANAY ELMY
POB, SALUG</t>
        </r>
      </text>
    </comment>
    <comment ref="C15" authorId="0" shapeId="0" xr:uid="{A9D023FA-9275-4578-8DE9-C2578E88D3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O15" authorId="0" shapeId="0" xr:uid="{D71D7DCA-7B91-4637-9937-6CAEE7FA9A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NIETES
GOLEO, SINDANGAN</t>
        </r>
      </text>
    </comment>
    <comment ref="AA15" authorId="0" shapeId="0" xr:uid="{44B28685-66C4-47C2-9D84-FB6CD6BF21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GB CONVENIENCE STORE
POB, SALUG</t>
        </r>
      </text>
    </comment>
    <comment ref="C16" authorId="0" shapeId="0" xr:uid="{0903CE4F-1174-434F-A07A-8BA6AC13E6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ABRAHAM MAHINAY
DISUD, SINDANGAN</t>
        </r>
      </text>
    </comment>
    <comment ref="O16" authorId="0" shapeId="0" xr:uid="{3B903AFB-0317-4AEE-B2FA-5ECAD3C5CB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JOVEN'S BATIO-ON
PIAO, SINDANGAN</t>
        </r>
      </text>
    </comment>
    <comment ref="AA16" authorId="0" shapeId="0" xr:uid="{F0D86385-DA59-4871-B211-673E000E20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17" authorId="0" shapeId="0" xr:uid="{DF765E7D-0883-4516-ADAC-FA8EFE5AB4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MARKIM ESQUADRO
RM, SINDANGAN</t>
        </r>
      </text>
    </comment>
    <comment ref="O17" authorId="0" shapeId="0" xr:uid="{45B245AB-7293-4C66-BA4A-7A9E1DC8A7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REMULUNA STORE
UPPER INUMAN, SINDANGAN</t>
        </r>
      </text>
    </comment>
    <comment ref="AA17" authorId="0" shapeId="0" xr:uid="{7AF0D4B8-9188-407A-82EB-485DE79305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MYRNA LABRADOR
CANAWAN, SALUG</t>
        </r>
      </text>
    </comment>
    <comment ref="C18" authorId="0" shapeId="0" xr:uid="{F09EF8E2-414D-4669-B942-16EB6C77A3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MAVY'S STORE
DAPAON, SINDANGAN</t>
        </r>
      </text>
    </comment>
    <comment ref="C19" authorId="0" shapeId="0" xr:uid="{2B9C7C2A-4E18-43BB-A412-E68CEC0876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JOSEFINA LODGE
RM, SINDANGAN</t>
        </r>
      </text>
    </comment>
    <comment ref="C67" authorId="0" shapeId="0" xr:uid="{147D934A-E37F-4695-A550-C69B75695F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TIGAS
BAGO, SINDANGAN</t>
        </r>
      </text>
    </comment>
    <comment ref="O67" authorId="0" shapeId="0" xr:uid="{1157EE41-804D-47F4-8CD3-B04EDF58C8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STORE
GOLEO, SINDANGAN</t>
        </r>
      </text>
    </comment>
    <comment ref="AA67" authorId="0" shapeId="0" xr:uid="{D15CDDB6-BE25-49ED-BBDD-2D490D6769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68" authorId="0" shapeId="0" xr:uid="{F83E9DDB-F2F5-47AE-B2C4-1494A1C84C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O68" authorId="0" shapeId="0" xr:uid="{6A84CAA2-A076-4318-A3FB-F548F997B9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BOGANOTAN ARLEY
UPPER INUMAN, SINDANGAN</t>
        </r>
      </text>
    </comment>
    <comment ref="AA68" authorId="0" shapeId="0" xr:uid="{BD5E23C1-4F60-49F1-B765-8951EE8B89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BAYBAY, LILOY</t>
        </r>
      </text>
    </comment>
    <comment ref="C69" authorId="0" shapeId="0" xr:uid="{99824969-AF8F-4438-BD03-C24036C7C0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SHIRLEY ESTOSATA
PIAO, SINDANGAN</t>
        </r>
      </text>
    </comment>
    <comment ref="O69" authorId="0" shapeId="0" xr:uid="{C45AA55D-5DA8-47BB-8595-CB9574AC6B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AMORADO STORE
TALINGA, BACUNGAN</t>
        </r>
      </text>
    </comment>
    <comment ref="AA69" authorId="0" shapeId="0" xr:uid="{A7AB54CA-8A8F-43FE-8656-8B4CF1C675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70" authorId="0" shapeId="0" xr:uid="{20423958-2DC8-4F5F-B9B4-D3C60DECB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ALEJANDRA MAQUILING
BALOK, SINDANGAN</t>
        </r>
      </text>
    </comment>
    <comment ref="O70" authorId="0" shapeId="0" xr:uid="{8A9D5525-3BDC-4F1B-AB6A-E9180CA93C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NANCY STORE
POB, BACUNGAN</t>
        </r>
      </text>
    </comment>
    <comment ref="AA70" authorId="0" shapeId="0" xr:uid="{3EAC3659-ED72-45E9-A885-8C0EC4B014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NELVIN STORE
KAYOK, LILOY</t>
        </r>
      </text>
    </comment>
    <comment ref="C71" authorId="0" shapeId="0" xr:uid="{A443C7E4-FABE-44FF-BC0E-C3E0C335FC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VERDADERO STORE
DAGAO, SIAYAN</t>
        </r>
      </text>
    </comment>
    <comment ref="O71" authorId="0" shapeId="0" xr:uid="{D286ED9C-FA79-4E72-8CBE-404BA4DD99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71" authorId="0" shapeId="0" xr:uid="{37DF59D6-9035-44C6-B42E-8EEBE2F80A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JAZZI STORE
KAYOK, LILOY</t>
        </r>
      </text>
    </comment>
    <comment ref="C72" authorId="0" shapeId="0" xr:uid="{47CC676D-A5F4-4245-978B-37C4DD5DF6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FERNANDA CENAS
DAGAO, SIAYAN</t>
        </r>
      </text>
    </comment>
    <comment ref="O72" authorId="0" shapeId="0" xr:uid="{948C7B1C-40AD-4879-9D84-C6D6899529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 STORE
POB, BACUNGAN</t>
        </r>
      </text>
    </comment>
    <comment ref="C73" authorId="0" shapeId="0" xr:uid="{A5140C81-049F-4633-8FE7-AD994D83F6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LANIE STORE
POB, SIAYAN</t>
        </r>
      </text>
    </comment>
    <comment ref="O73" authorId="0" shapeId="0" xr:uid="{404A79EA-E6EA-4405-AC39-D34E202A47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C74" authorId="0" shapeId="0" xr:uid="{DD433E95-F1A0-41A4-BB8B-E183A44862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GENEVEV STORE
POB, SIAYAN</t>
        </r>
      </text>
    </comment>
    <comment ref="O74" authorId="0" shapeId="0" xr:uid="{E006DFFD-3539-445C-BF25-BFF9D53174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C75" authorId="0" shapeId="0" xr:uid="{2A359F6F-0A7B-4F6D-8D8C-37A816F231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GOMEZ STORE
POB, SIAYAN</t>
        </r>
      </text>
    </comment>
    <comment ref="O75" authorId="0" shapeId="0" xr:uid="{6EBA0B9B-7CC7-4A96-A921-85AA57166E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C76" authorId="0" shapeId="0" xr:uid="{1818033A-714E-4C04-B114-DB1C96FD18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NOR-B STORE
DAGAO, SIAYAN</t>
        </r>
      </text>
    </comment>
    <comment ref="C77" authorId="0" shapeId="0" xr:uid="{C657BAFF-2993-4BA8-B160-BBEEEA1ED1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JURLAN GOMORA
LAGAG, SINDANGAN</t>
        </r>
      </text>
    </comment>
    <comment ref="C78" authorId="0" shapeId="0" xr:uid="{5F21FC81-AC1F-46CF-97A4-B4FA8BC9EB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LIEZEL BAYAWA
BALOK, SINDANGAN</t>
        </r>
      </text>
    </comment>
    <comment ref="C79" authorId="0" shapeId="0" xr:uid="{CA27DDB0-A871-46CB-AA36-C94758DEAC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DELICANO STORE
BALOK, SINDANGAN</t>
        </r>
      </text>
    </comment>
    <comment ref="C122" authorId="0" shapeId="0" xr:uid="{DEBAE754-AFC9-4BEC-993E-C550647AD8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JONATHAN CENAS
POB, SIAYAN</t>
        </r>
      </text>
    </comment>
    <comment ref="O122" authorId="0" shapeId="0" xr:uid="{BAF0045E-FC1E-440F-A50C-F20FA4B79B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LANDA STORE
UPPER INUMAN, SINDANGAN</t>
        </r>
      </text>
    </comment>
    <comment ref="AA122" authorId="0" shapeId="0" xr:uid="{04CED5AC-6A9A-4CF0-82C2-4137DB697C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123" authorId="0" shapeId="0" xr:uid="{5F68FE75-80F1-49B4-9FED-14D61D5A98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BOGTONG, LEE
POB, SIAYAN</t>
        </r>
      </text>
    </comment>
    <comment ref="O123" authorId="0" shapeId="0" xr:uid="{7BB31988-3CB2-4659-B222-86C4ED901F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GOLEO, SINDANGAN</t>
        </r>
      </text>
    </comment>
    <comment ref="AA123" authorId="0" shapeId="0" xr:uid="{01EC14B6-7B12-44EC-87EE-72F0AEAC65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O124" authorId="0" shapeId="0" xr:uid="{9803507F-FFF0-463D-B03C-FBC01E4698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124" authorId="0" shapeId="0" xr:uid="{0090DB8C-10A6-4A2F-8DA6-EDBF7B2706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125" authorId="0" shapeId="0" xr:uid="{48F91CFE-9A91-4C88-B607-CB186BB522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MAMAC STORE
TALINGA, BACUNGAN</t>
        </r>
      </text>
    </comment>
    <comment ref="AA125" authorId="0" shapeId="0" xr:uid="{765EC721-78AB-4D22-80D6-526134645E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CRUSH AND BLEND
POB, SALUG</t>
        </r>
      </text>
    </comment>
    <comment ref="O126" authorId="0" shapeId="0" xr:uid="{9C19D39C-4B76-45FE-80D5-F03E9305F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DYLEN TALIP
TALINGA, BACUNGAN</t>
        </r>
      </text>
    </comment>
    <comment ref="AA126" authorId="0" shapeId="0" xr:uid="{6CC8BA97-753B-4769-BB46-1EC1DCCF1B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VIRCULE PABUAYA
POB, SALUG</t>
        </r>
      </text>
    </comment>
    <comment ref="O127" authorId="0" shapeId="0" xr:uid="{A9ABAB9B-B392-4C0B-A2EF-F037F6D026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AMORADO STORE
TALINGA, BACUNGAN</t>
        </r>
      </text>
    </comment>
    <comment ref="O128" authorId="0" shapeId="0" xr:uid="{10F196B3-4FDC-43FD-A51E-5A385A86C6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AMBUS STORE
RM, SALUG</t>
        </r>
      </text>
    </comment>
    <comment ref="AA128" authorId="0" shapeId="0" xr:uid="{A431C948-7F85-4CCC-89A6-A150F325A7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SABINA ANTAGON
POB, SALUG</t>
        </r>
      </text>
    </comment>
    <comment ref="O129" authorId="0" shapeId="0" xr:uid="{5473F502-AA51-4FF5-9A46-556BE99DC5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RENIE BENDE
TALINGA, BACUNGAN</t>
        </r>
      </text>
    </comment>
    <comment ref="AA129" authorId="0" shapeId="0" xr:uid="{049B7B61-E2B0-4927-A24E-44DB991E40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GEMINI PHARMACY
POB, SALUG</t>
        </r>
      </text>
    </comment>
    <comment ref="O130" authorId="0" shapeId="0" xr:uid="{E53BEC03-4D18-4DF8-A2B2-3588A37777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COSEP STORE
TALINGA, BACUNGAN</t>
        </r>
      </text>
    </comment>
    <comment ref="O131" authorId="0" shapeId="0" xr:uid="{9E7805E0-AF9F-47F7-97B5-B29D0EBB38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LIMPAG STORE
TALINGA, BACUNGAN</t>
        </r>
      </text>
    </comment>
    <comment ref="O132" authorId="0" shapeId="0" xr:uid="{B7D8CB8D-8CA9-454B-9E35-6DDCA183ED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POB, BACUNGAN</t>
        </r>
      </text>
    </comment>
    <comment ref="O133" authorId="0" shapeId="0" xr:uid="{EED3769A-A53F-4E98-A5F6-68572A24ED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BASIA STORE
TALINGA, BACUNGAN</t>
        </r>
      </text>
    </comment>
    <comment ref="O134" authorId="0" shapeId="0" xr:uid="{3DAB1D18-41B5-465D-A78D-05B199C934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KING'S STORE
TALINGA, BACUNGAN</t>
        </r>
      </text>
    </comment>
    <comment ref="O135" authorId="0" shapeId="0" xr:uid="{7AADA9FF-5DD1-43F3-8FE1-9452DBD754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O136" authorId="0" shapeId="0" xr:uid="{139607B0-44E2-4423-961A-A2D0F8C542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EBALLES STORE
MARAS, SINDANGAN</t>
        </r>
      </text>
    </comment>
    <comment ref="O137" authorId="0" shapeId="0" xr:uid="{943CA32C-B2DB-47D9-A7FB-87013836E6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GRACE DEOFE
MARAS, SINDANGAN</t>
        </r>
      </text>
    </comment>
    <comment ref="O138" authorId="0" shapeId="0" xr:uid="{E68745B8-C323-4E93-910D-2794F6BF50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RESONABLE STORE
MARAS, SINDANGAN</t>
        </r>
      </text>
    </comment>
    <comment ref="O139" authorId="0" shapeId="0" xr:uid="{40A676BC-B13D-415E-9AE5-C83452B164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SULTAN CABER STORE
MARAS, SINDANGAN</t>
        </r>
      </text>
    </comment>
    <comment ref="O140" authorId="0" shapeId="0" xr:uid="{32F5B826-F64A-4B6A-8407-AFC9AC9D49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NIETEZ
GOLEO, SINDANGAN</t>
        </r>
      </text>
    </comment>
    <comment ref="O141" authorId="0" shapeId="0" xr:uid="{701320C5-2607-44AB-B58A-C6D258887D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ELICANAL STORE
INUMAN, SINDANGAN</t>
        </r>
      </text>
    </comment>
    <comment ref="O142" authorId="0" shapeId="0" xr:uid="{37468C12-B8AA-4E0A-977D-2557E9C894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JOVEN'S BATIO-ON
PIAO, SINDANGAN</t>
        </r>
      </text>
    </comment>
    <comment ref="D177" authorId="0" shapeId="0" xr:uid="{CE13167E-9C8A-4C49-805C-1B180BA4A4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ROLEN SIASICO
POB, SIAYAN</t>
        </r>
      </text>
    </comment>
    <comment ref="O177" authorId="0" shapeId="0" xr:uid="{A96E2AA8-5A8A-46AC-BC42-7A5700ADFC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FLORENCIA DALALON
MARAS, SINDANGAN</t>
        </r>
      </text>
    </comment>
    <comment ref="AA177" authorId="0" shapeId="0" xr:uid="{C55C1263-44F1-4CD9-8A12-ADE6DCA029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JODI'S VARIETY STORE
ALBERT TAN
BAYBAY, LILOY</t>
        </r>
      </text>
    </comment>
    <comment ref="D178" authorId="0" shapeId="0" xr:uid="{F3E69502-5292-4412-8E1C-D0049D3724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PIZON, ALEJANDRO
POB, SIAYAN</t>
        </r>
      </text>
    </comment>
    <comment ref="O178" authorId="0" shapeId="0" xr:uid="{24A9F7E7-E6E8-480A-A443-ED9DB274E6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SAPPAL STORE
TALINGA, BACUNGAN</t>
        </r>
      </text>
    </comment>
    <comment ref="D179" authorId="0" shapeId="0" xr:uid="{795EDC38-B3D7-4D5E-87AD-90473D385A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GLORIA GOMEZ
POB, SIAYAN</t>
        </r>
      </text>
    </comment>
    <comment ref="O179" authorId="0" shapeId="0" xr:uid="{DB535A20-FE76-421F-8E75-0F0C9CBEFC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&amp; CATHLEEN STORE
MARAS, SINDANGAN</t>
        </r>
      </text>
    </comment>
    <comment ref="D180" authorId="0" shapeId="0" xr:uid="{A338BDD6-26DE-430D-84AB-88693C30D7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ARNEL ALIA
POB, SIAYAN</t>
        </r>
      </text>
    </comment>
    <comment ref="O180" authorId="0" shapeId="0" xr:uid="{24579C9C-BE60-4DF3-95B8-6FC3CD1D63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SHANES STORE
MARAS, SINDANGAN</t>
        </r>
      </text>
    </comment>
    <comment ref="AA180" authorId="0" shapeId="0" xr:uid="{45D61AC3-3DE6-4383-9BC8-15FD528B76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OSANNAH STORE
BAYBAY, LILOY</t>
        </r>
      </text>
    </comment>
    <comment ref="D181" authorId="0" shapeId="0" xr:uid="{CFAC39AE-5938-4C01-AB1B-EA16A1D128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DEBURA MADULA
KALAKAS, SIAYAN</t>
        </r>
      </text>
    </comment>
    <comment ref="O181" authorId="0" shapeId="0" xr:uid="{DC4D608A-8610-41A7-B8D9-0127159239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LUCITA CAYACAP
MARAS, SINDANGAN</t>
        </r>
      </text>
    </comment>
    <comment ref="AA181" authorId="0" shapeId="0" xr:uid="{0DBB2567-CE5D-48E1-86E0-6BD8AD53D0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BAYBAY, LILOY</t>
        </r>
      </text>
    </comment>
    <comment ref="D182" authorId="0" shapeId="0" xr:uid="{3D5A204F-1B6E-4F60-A4E7-9C9BE8B24B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LANIE SUERTE
POB, SIAYAN</t>
        </r>
      </text>
    </comment>
    <comment ref="O182" authorId="0" shapeId="0" xr:uid="{BCFDC1F0-1E77-4183-A572-4E63E32B1F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BIBOY'S EATERY
UPPER INUMAN, SINDANGAN</t>
        </r>
      </text>
    </comment>
    <comment ref="D183" authorId="0" shapeId="0" xr:uid="{EB3CD6CA-027E-436A-9908-414C12980F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LANGAN, JERALYN
POB, SIAYAN</t>
        </r>
      </text>
    </comment>
    <comment ref="O183" authorId="0" shapeId="0" xr:uid="{2382C0B6-6E0E-4970-8317-94A948D4A7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D184" authorId="0" shapeId="0" xr:uid="{946822CB-32D5-476B-B3EB-5EAA9AF0D9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GABIOLA STORE
DAGAO, SIAYAN</t>
        </r>
      </text>
    </comment>
    <comment ref="O184" authorId="0" shapeId="0" xr:uid="{8D0EC933-5450-4FC8-9FC4-93DE12F803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D185" authorId="0" shapeId="0" xr:uid="{74ED6D38-F073-454A-A7D4-B3CF7C0EE1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LIEZEL BAYAWA
BALOK, SINDANGAN</t>
        </r>
      </text>
    </comment>
    <comment ref="O185" authorId="0" shapeId="0" xr:uid="{B4BB97C1-F66D-45DD-896D-81D399CF91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YANO'S STORE
GOLEO, SINDANGAN</t>
        </r>
      </text>
    </comment>
    <comment ref="D186" authorId="0" shapeId="0" xr:uid="{5E5E52F0-9ABB-4CE0-BEA7-FAF9F188DA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JAYKIN IDIAS
PIAO, SINDANGAN</t>
        </r>
      </text>
    </comment>
    <comment ref="D187" authorId="0" shapeId="0" xr:uid="{902A3D68-ED17-4BA9-AD21-0AEEBD20F6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TABASA
DISUD, SINDANGAN</t>
        </r>
      </text>
    </comment>
    <comment ref="C232" authorId="0" shapeId="0" xr:uid="{CE341713-6BD8-454D-926D-A71B3D68F8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CONVENIENCE STORE
POB, SINDANGAN</t>
        </r>
      </text>
    </comment>
    <comment ref="O232" authorId="0" shapeId="0" xr:uid="{E933E43A-95F9-4726-9AFD-18187AFA4D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ALBENA STORE
UPPER INUMAN, SINDANGAN</t>
        </r>
      </text>
    </comment>
    <comment ref="C233" authorId="0" shapeId="0" xr:uid="{1790845A-26AA-49D3-970A-8263987BC9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CONVENIENCE STORE
POB, SINDANGAN</t>
        </r>
      </text>
    </comment>
    <comment ref="O233" authorId="0" shapeId="0" xr:uid="{8511EAB9-7A0D-4BA4-A769-75A7ACC80D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 &amp; L STORE
MAWAL, BACUNGAN</t>
        </r>
      </text>
    </comment>
    <comment ref="C234" authorId="0" shapeId="0" xr:uid="{432DC933-31C9-4483-A992-30DF0A7D73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 STORE
DAPAON, SINDANGAN</t>
        </r>
      </text>
    </comment>
    <comment ref="O234" authorId="0" shapeId="0" xr:uid="{B4EF0671-49D0-4DD0-88FA-01B23B933C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PAHUWAY LENDIE
MAWAL, BACUNGAN</t>
        </r>
      </text>
    </comment>
    <comment ref="C235" authorId="0" shapeId="0" xr:uid="{D32BFA90-E007-4183-A98F-5985CF4E55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ABRAHAM MAHINAY
DISUD, SINDANGAN</t>
        </r>
      </text>
    </comment>
    <comment ref="O235" authorId="0" shapeId="0" xr:uid="{D146C388-E31A-4052-A6ED-FC9F8A90BF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WOOTEN STORE
MAWAL, BACUNGAN</t>
        </r>
      </text>
    </comment>
    <comment ref="C236" authorId="0" shapeId="0" xr:uid="{0BE9E87F-30ED-4FEB-B3F4-FEFE11F625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JANICE MOLAS
DICOYONG, SINDANGAN</t>
        </r>
      </text>
    </comment>
    <comment ref="O236" authorId="0" shapeId="0" xr:uid="{3653835A-B0A5-41B4-9896-05AE9A14C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PACALDO STORE
RM, SALUG</t>
        </r>
      </text>
    </comment>
    <comment ref="C237" authorId="0" shapeId="0" xr:uid="{30B0FD89-79D4-4DA2-B210-88AC232A7E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 RUSIGNA
DISUD, SINDANGAN</t>
        </r>
      </text>
    </comment>
    <comment ref="O237" authorId="0" shapeId="0" xr:uid="{410D05CA-34D0-4592-9ACD-FB59AFBA20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GUMIMAW STORE
RM, SALUG</t>
        </r>
      </text>
    </comment>
    <comment ref="C238" authorId="0" shapeId="0" xr:uid="{751101B4-F348-458A-8554-80928E933D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O238" authorId="0" shapeId="0" xr:uid="{3FB476E9-1C96-447C-8337-C328DB5097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MJ STORE
RM, SALUG</t>
        </r>
      </text>
    </comment>
    <comment ref="C239" authorId="0" shapeId="0" xr:uid="{3BBCB7EC-18EA-44DC-854A-2D22C0CFB1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MORANO'S STORE
DISUD, SINDANGAN</t>
        </r>
      </text>
    </comment>
    <comment ref="O239" authorId="0" shapeId="0" xr:uid="{5E77DBDA-D240-4021-95FA-B72D72E34E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GIYA STORE
RM, SALUG</t>
        </r>
      </text>
    </comment>
    <comment ref="C240" authorId="0" shapeId="0" xr:uid="{156BAA58-68E4-4612-B1C9-AB2542BC77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ROBIN LOMOCSO
DISUD, SINDANGAN</t>
        </r>
      </text>
    </comment>
    <comment ref="O240" authorId="0" shapeId="0" xr:uid="{FE451C5B-0313-4EF4-825D-E8647DB93C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MARTIN STORE
PALANDOK, BACUNGAN</t>
        </r>
      </text>
    </comment>
    <comment ref="C241" authorId="0" shapeId="0" xr:uid="{72AC256B-6616-46E3-A3F9-83E43D7083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JOSEFINA LODGE
DISUD, SINDANGAN</t>
        </r>
      </text>
    </comment>
    <comment ref="O241" authorId="0" shapeId="0" xr:uid="{6BFF572C-9B30-4270-9434-13B748601A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JAMES STORE
PALANDOK, BACUNGAN</t>
        </r>
      </text>
    </comment>
    <comment ref="O242" authorId="0" shapeId="0" xr:uid="{72EAB265-A216-4349-99F6-451E07DCB2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ACOJEDO STORE
MANGOP, BACUNGAN</t>
        </r>
      </text>
    </comment>
    <comment ref="O243" authorId="0" shapeId="0" xr:uid="{5031E490-5BB2-4613-A558-B2387B419A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EMELY TEBES
MANGOP, BACUNGAN</t>
        </r>
      </text>
    </comment>
    <comment ref="O244" authorId="0" shapeId="0" xr:uid="{7EBE70CC-7212-49A2-8FC1-CA3F789410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SEMBLANTE STORE
JOAN SEMBLANTE
BOGABONGAN, BACUNGAN</t>
        </r>
      </text>
    </comment>
    <comment ref="O245" authorId="0" shapeId="0" xr:uid="{1D6AE58C-A110-462A-ADF1-15A4F19F56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MAI-MAI ESTRADA
BOGABONGAN, BACUNGAN</t>
        </r>
      </text>
    </comment>
    <comment ref="O246" authorId="0" shapeId="0" xr:uid="{C0BF2929-00E5-4065-B63C-D17AC3A6D6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STORE
BOGABONGAN, BACUNGAN</t>
        </r>
      </text>
    </comment>
    <comment ref="O247" authorId="0" shapeId="0" xr:uid="{B3210F9B-BDA7-44BE-8C9B-F4975B05B4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RAFLES ARNEL
BOGABONGAN, BACUNGAN</t>
        </r>
      </text>
    </comment>
    <comment ref="O248" authorId="0" shapeId="0" xr:uid="{38B368D6-69DC-4C21-BFBA-FB8CA978B9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SALABEDRA STORE
BOGABONGAN, BACUNGAN</t>
        </r>
      </text>
    </comment>
    <comment ref="O249" authorId="0" shapeId="0" xr:uid="{5887631F-FF14-4806-8742-4C6C5F4B67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GOMEZ
BOGABONGAN, BACUNGAN</t>
        </r>
      </text>
    </comment>
    <comment ref="O250" authorId="0" shapeId="0" xr:uid="{E9D9FEC0-8D76-45BE-B1DE-91AEBE76CD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EMA STORE
BOGABONGAN, BACUNGAN</t>
        </r>
      </text>
    </comment>
    <comment ref="O251" authorId="0" shapeId="0" xr:uid="{3F362394-AB1C-4047-AC09-1A602F0D2B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JEANNIAS STORE
BOGABONGAN, BACUNGAN</t>
        </r>
      </text>
    </comment>
    <comment ref="O252" authorId="0" shapeId="0" xr:uid="{26130C2D-D771-45D1-B99D-C0BF7A36EA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GALEPOSO STORE
POB, GODON</t>
        </r>
      </text>
    </comment>
    <comment ref="O253" authorId="0" shapeId="0" xr:uid="{3D854D0D-878A-4534-BD22-F222183A8E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O254" authorId="0" shapeId="0" xr:uid="{E0077F11-3AD4-4134-ADAF-F22218F28A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KEN VARIETY STORE
UPPER INUMAN, SINDANGAN</t>
        </r>
      </text>
    </comment>
    <comment ref="C287" authorId="0" shapeId="0" xr:uid="{0C2676DA-8792-4009-BEE7-2BA5313695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O287" authorId="0" shapeId="0" xr:uid="{E64594B7-D618-4ED7-A936-4B41234D51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ALESNA STORE
MANDIH, SINDANGAN</t>
        </r>
      </text>
    </comment>
    <comment ref="AA287" authorId="0" shapeId="0" xr:uid="{E44D2056-81E1-47BC-8344-FE018130FB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STORE
POB, SALUG</t>
        </r>
      </text>
    </comment>
    <comment ref="C288" authorId="0" shapeId="0" xr:uid="{ADA9FD14-C7D3-47B3-89FB-81FB0D6C2F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BERTUCIO STORE
PIAO, SINDANGAN</t>
        </r>
      </text>
    </comment>
    <comment ref="O288" authorId="0" shapeId="0" xr:uid="{38D5C53A-EEF0-4DA5-B968-7ED87317EB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OCSALES STORE
MANDIH, SINDANGAN</t>
        </r>
      </text>
    </comment>
    <comment ref="C289" authorId="0" shapeId="0" xr:uid="{6712D0C4-0488-4738-B4F5-BD6BAB9675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ORILLOZA STORE
PIAO, SINDANGAN</t>
        </r>
      </text>
    </comment>
    <comment ref="O289" authorId="0" shapeId="0" xr:uid="{254EFDA2-1378-4364-8FBE-4820A811EE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HERMATA STORE
MARAS, SINDANGAN</t>
        </r>
      </text>
    </comment>
    <comment ref="AA289" authorId="0" shapeId="0" xr:uid="{6AE8A6DA-B4F5-4D26-8E0F-FC845893DA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290" authorId="0" shapeId="0" xr:uid="{1C7DABDE-FFD7-4609-90FB-11224DFE25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MAGWATE STORE
LAGAG, SINDANGAN</t>
        </r>
      </text>
    </comment>
    <comment ref="AA290" authorId="0" shapeId="0" xr:uid="{7195C6C8-EEA9-4130-9DA1-A0721C7308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GENITA STORE
BAYBAY, LILOY</t>
        </r>
      </text>
    </comment>
    <comment ref="C291" authorId="0" shapeId="0" xr:uid="{276A04E0-5192-4AE2-BCEA-59BDA78840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O291" authorId="0" shapeId="0" xr:uid="{B9EA3B31-ECEF-4993-A527-11A901A606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STORE
MANDIH, SINDANGAN</t>
        </r>
      </text>
    </comment>
    <comment ref="AA291" authorId="0" shapeId="0" xr:uid="{ACF8F0CE-2507-46B5-84D8-0866BD1448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292" authorId="0" shapeId="0" xr:uid="{9D7D02CF-7722-4A53-BA35-5B26057EB3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VERDADERO STORE
DAGAO, SIAYAN</t>
        </r>
      </text>
    </comment>
    <comment ref="O292" authorId="0" shapeId="0" xr:uid="{55083BB8-9EE0-444A-8296-99E161E46A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NIETEZ
GOLEO, SINDANGAN</t>
        </r>
      </text>
    </comment>
    <comment ref="AA292" authorId="0" shapeId="0" xr:uid="{6CB47B13-1599-4523-BAD8-DCD96A6AB4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NALE</t>
        </r>
      </text>
    </comment>
    <comment ref="C293" authorId="0" shapeId="0" xr:uid="{DE0EA04D-102E-4995-9A1B-998AFD6B7C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SABILLO STORE
POB, SAIAYAN</t>
        </r>
      </text>
    </comment>
    <comment ref="O293" authorId="0" shapeId="0" xr:uid="{8C27EB4F-D509-45C0-85BB-AA1E8E8810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GOMEZ STORE
MANDIH, SINDANGAN</t>
        </r>
      </text>
    </comment>
    <comment ref="C294" authorId="0" shapeId="0" xr:uid="{43F9A1A1-0766-4927-9432-2220214B4F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 STORE
POB, SIAYAN</t>
        </r>
      </text>
    </comment>
    <comment ref="C295" authorId="0" shapeId="0" xr:uid="{0E441D62-AF62-4400-871B-AA3A7BB9BB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LEE BAGTONG
POB, SIAYAN</t>
        </r>
      </text>
    </comment>
    <comment ref="C296" authorId="0" shapeId="0" xr:uid="{2E48A849-8130-4011-BB76-726992491A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LANIE SUERTE
POB, SIAYAN</t>
        </r>
      </text>
    </comment>
    <comment ref="C342" authorId="0" shapeId="0" xr:uid="{99A83C07-582F-4303-836A-2DE1066CA3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MARKIM ESQUADRO
DAPAON, SINDANGAN</t>
        </r>
      </text>
    </comment>
    <comment ref="O342" authorId="0" shapeId="0" xr:uid="{1B6989F7-3EF5-4E3B-8130-E009660C54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TITA BELANDRES
TALINGA, BACUNGAN</t>
        </r>
      </text>
    </comment>
    <comment ref="AA342" authorId="0" shapeId="0" xr:uid="{3FA61FA2-8173-452D-8128-A34E1A1F2C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343" authorId="0" shapeId="0" xr:uid="{5E1672A3-0C5C-4232-8342-0469BB4E66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 STORE
DAPAON, SINDANGAN</t>
        </r>
      </text>
    </comment>
    <comment ref="O343" authorId="0" shapeId="0" xr:uid="{F50B270E-B7C7-4D76-B6F4-ABB22D9ED1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AA343" authorId="0" shapeId="0" xr:uid="{31B1FE80-B83C-48AA-81E3-5CF4F1BA74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NANAY ELMY STORE
POB, SALUG</t>
        </r>
      </text>
    </comment>
    <comment ref="C344" authorId="0" shapeId="0" xr:uid="{8455E1F1-562E-4833-BFD7-3AA469DD4C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JULIET DE ASIS
DAPAON, SINDANGAN</t>
        </r>
      </text>
    </comment>
    <comment ref="O344" authorId="0" shapeId="0" xr:uid="{28B70B5D-9F52-46D4-9D5E-00B85973E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DADAN
TALINGA, BACUNGAN</t>
        </r>
      </text>
    </comment>
    <comment ref="AA344" authorId="0" shapeId="0" xr:uid="{D314EBA2-A081-4E5E-9D24-40FAA1549D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JAMS CONSUMER GOODS STORE
POB, SALUG</t>
        </r>
      </text>
    </comment>
    <comment ref="C345" authorId="0" shapeId="0" xr:uid="{295B7E73-949F-4A47-8986-155B38D974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 TAMPUS STORE
POB, SINDANGAN</t>
        </r>
      </text>
    </comment>
    <comment ref="AA345" authorId="0" shapeId="0" xr:uid="{7185B921-84E3-4B69-9DE1-C1328B4554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G.B. CONVENIENCE STORE
POB, SALUG</t>
        </r>
      </text>
    </comment>
    <comment ref="C346" authorId="0" shapeId="0" xr:uid="{7B7BEB1A-48AC-4610-80DC-CE6E61C78E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ELMER VILLARIN
POB, SINDANGAN</t>
        </r>
      </text>
    </comment>
    <comment ref="AA346" authorId="0" shapeId="0" xr:uid="{88180C65-C615-43EB-9DDA-7E518FA7E8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SAGARIO STORE
POB, SALUG</t>
        </r>
      </text>
    </comment>
    <comment ref="C347" authorId="0" shapeId="0" xr:uid="{DA337012-B484-47AB-B587-D729D83EE7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MALINOG STORE
DAPAON, SINDANGAN</t>
        </r>
      </text>
    </comment>
    <comment ref="AA347" authorId="0" shapeId="0" xr:uid="{51C9E3D3-7AF8-4A5D-BC1A-0E4058F48D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VIRGIE PABUAYA
POB, SALUG</t>
        </r>
      </text>
    </comment>
    <comment ref="C348" authorId="0" shapeId="0" xr:uid="{E85466B0-8DB3-4372-9E18-D37910E601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DIOSDADA SOREÑO
POB, SINDANGAN</t>
        </r>
      </text>
    </comment>
    <comment ref="AA348" authorId="0" shapeId="0" xr:uid="{DA5A8779-19B0-47D5-8195-957D56347E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TROCIO STORE
BACONG, SALUG</t>
        </r>
      </text>
    </comment>
    <comment ref="C349" authorId="0" shapeId="0" xr:uid="{4D4845D8-1BA2-45A2-9286-A21DA6908A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CAMASURA GODDIE
POB, SINDANGAN</t>
        </r>
      </text>
    </comment>
    <comment ref="C397" authorId="0" shapeId="0" xr:uid="{52323DEC-B4DA-45EF-8B76-5D3A1B5A33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FACOMA
POB, SINDANGAN
</t>
        </r>
      </text>
    </comment>
    <comment ref="O397" authorId="0" shapeId="0" xr:uid="{5B923E68-8CF8-4080-BD98-F06677E473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BOGANOTAN STORE
UPPER INUMAN, SINDANGAN</t>
        </r>
      </text>
    </comment>
    <comment ref="AA397" authorId="0" shapeId="0" xr:uid="{1E9C24F3-64D7-478E-90D9-238D04E795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LILOY
BAYBAY, LILOY</t>
        </r>
      </text>
    </comment>
    <comment ref="C398" authorId="0" shapeId="0" xr:uid="{279491CC-E261-4752-9A61-8A69C607AB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O398" authorId="0" shapeId="0" xr:uid="{57518BD8-9FCD-457E-BE05-6D19FBE7C9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DELIA REDERIA
TALINGA, SINDANGAN</t>
        </r>
      </text>
    </comment>
    <comment ref="AA398" authorId="0" shapeId="0" xr:uid="{7767749C-1235-4543-9A3D-13381D3D70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399" authorId="0" shapeId="0" xr:uid="{FE65F555-4DB4-4998-9F98-18F663F5C7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SHIRLEY ESTOSATA
PIAO, SINDANGAN</t>
        </r>
      </text>
    </comment>
    <comment ref="O399" authorId="0" shapeId="0" xr:uid="{27DB7347-44C3-4BD4-A5E1-A01A08382E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MAGULTA NEDIE
TALINGA, SINDANGAN</t>
        </r>
      </text>
    </comment>
    <comment ref="AA399" authorId="0" shapeId="0" xr:uid="{CB4129BA-B472-4067-9B69-3AFBD9AD26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400" authorId="0" shapeId="0" xr:uid="{A55B7654-59F9-49B8-B4AD-B485E84F45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PIZON, ALEJANDRO
POB, SIAYAN</t>
        </r>
      </text>
    </comment>
    <comment ref="O400" authorId="0" shapeId="0" xr:uid="{5439273F-7E11-4C6E-A3E1-EF425D3E2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TERIZA DELROSARIO
TALINGA, SINDANGAN</t>
        </r>
      </text>
    </comment>
    <comment ref="C401" authorId="0" shapeId="0" xr:uid="{83FAA3EE-372E-4174-9D30-181E66F3C8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ARNEL ALIA
POB, SIAYAN</t>
        </r>
      </text>
    </comment>
    <comment ref="O401" authorId="0" shapeId="0" xr:uid="{982C7F61-1918-4383-A3B8-86A9A45FDF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EVELYN YOSORES
TALINGA, SINDANGAN</t>
        </r>
      </text>
    </comment>
    <comment ref="C402" authorId="0" shapeId="0" xr:uid="{8322E7DB-B2C0-405F-A482-64C255F43D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JONATHAN CENAS
POB, SIAYAN</t>
        </r>
      </text>
    </comment>
    <comment ref="O402" authorId="0" shapeId="0" xr:uid="{C7C63657-9C11-448C-AA16-BE839B56F1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SANOPAO
MARAS, SINDANGAN</t>
        </r>
      </text>
    </comment>
    <comment ref="C403" authorId="0" shapeId="0" xr:uid="{BA47C905-59AE-4F50-9C3A-29FA2C0F62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LYSEL BAYAWA
POB, BALOK</t>
        </r>
      </text>
    </comment>
    <comment ref="O403" authorId="0" shapeId="0" xr:uid="{6DA3810A-102F-44F9-ACB6-C49E8DBDB2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LUCITA CAYACAP
MARAS, SINDANGAN</t>
        </r>
      </text>
    </comment>
    <comment ref="O404" authorId="0" shapeId="0" xr:uid="{8EA01978-FB15-4734-8D10-03B033DEB8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MELLANA ANSELING
CALUAN, SINDANGAN</t>
        </r>
      </text>
    </comment>
    <comment ref="O405" authorId="0" shapeId="0" xr:uid="{3873F322-6C60-4F4E-A0A5-683E6E912B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O406" authorId="0" shapeId="0" xr:uid="{D71B93FB-5C2B-48C5-AF2F-F782F75201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JONA BELARMINO
DATU TANGKILAN, SINDANGAN</t>
        </r>
      </text>
    </comment>
    <comment ref="O407" authorId="0" shapeId="0" xr:uid="{B1D96792-1C43-497B-A9C5-806AEAD8D9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JADE EATERY
GOLEO, SINDANGAN</t>
        </r>
      </text>
    </comment>
    <comment ref="O408" authorId="0" shapeId="0" xr:uid="{79773FBF-BB2E-4089-B170-BEDDF1B9DD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O409" authorId="0" shapeId="0" xr:uid="{DC54CDCD-EA95-42A6-820A-24CA7A18A2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NIETEZ
GOLEO, SINDANGAN</t>
        </r>
      </text>
    </comment>
    <comment ref="C452" authorId="0" shapeId="0" xr:uid="{08D878DD-847C-41BC-8B9B-E0C607456F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?
</t>
        </r>
      </text>
    </comment>
    <comment ref="O452" authorId="0" shapeId="0" xr:uid="{B6A93569-2B03-4AC3-B702-D642A60A3C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PALLION STORE
MARAS, SINDANGAN</t>
        </r>
      </text>
    </comment>
    <comment ref="AA452" authorId="0" shapeId="0" xr:uid="{277A6C72-FA05-42DE-9FA7-EB6B7AE260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453" authorId="0" shapeId="0" xr:uid="{946DA2F2-296F-4E1C-B00B-60FB422759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BALAMBAN STORE
GUNYAN, SIAYAN</t>
        </r>
      </text>
    </comment>
    <comment ref="O453" authorId="0" shapeId="0" xr:uid="{281590AB-7FE2-4D5E-B8AB-8920487D42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453" authorId="0" shapeId="0" xr:uid="{B2CD20F1-846B-4365-BCC9-09AA92643F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RAYMOND ABRIOL
POB, SALUG</t>
        </r>
      </text>
    </comment>
    <comment ref="C454" authorId="0" shapeId="0" xr:uid="{BFB7499E-1DCD-44B6-B995-7B2491186B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COLLEN
BAYBAY, LILOY</t>
        </r>
      </text>
    </comment>
    <comment ref="O454" authorId="0" shapeId="0" xr:uid="{15914D97-AE47-4583-895D-133FFA5006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454" authorId="0" shapeId="0" xr:uid="{02462A6B-4BFF-4292-802E-9D76730B12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C455" authorId="0" shapeId="0" xr:uid="{0FC3EE08-1C51-4E08-A92C-8A9D4C9059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455" authorId="0" shapeId="0" xr:uid="{B7D09F8C-E359-425A-9B85-29714AEB8F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 POB, BACUNGAN</t>
        </r>
      </text>
    </comment>
    <comment ref="AA455" authorId="0" shapeId="0" xr:uid="{99B8F1A1-695B-4830-AF74-3B076E66A5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456" authorId="0" shapeId="0" xr:uid="{4A6FE68C-B2A5-49E3-A987-A5586EB3C2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DAWN CATAYAS
POB, SINDANGAN</t>
        </r>
      </text>
    </comment>
    <comment ref="O456" authorId="0" shapeId="0" xr:uid="{4FB54DE6-D6D2-48FA-BED8-2524784031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&amp; CATHLEEN
MARAS, SINDANGAN</t>
        </r>
      </text>
    </comment>
    <comment ref="C457" authorId="0" shapeId="0" xr:uid="{C78EA474-D11B-4C60-9202-885238E275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O457" authorId="0" shapeId="0" xr:uid="{2CFA8731-D40B-463B-89F3-C70E2C7AB5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SAMONTE
MARAS, SINDANGAN</t>
        </r>
      </text>
    </comment>
    <comment ref="C458" authorId="0" shapeId="0" xr:uid="{F772F875-BA58-4E30-9A47-75E2B8F479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 RUSIANA
DISUD, SINDANGAN</t>
        </r>
      </text>
    </comment>
    <comment ref="O458" authorId="0" shapeId="0" xr:uid="{ECC4DA41-D256-46BF-B4BD-1E426F1BE8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BIBOR CARINDERIA
INUMAN, SINDANGAN</t>
        </r>
      </text>
    </comment>
    <comment ref="O459" authorId="0" shapeId="0" xr:uid="{986142FC-5DF1-44AB-A0EC-1F7058614D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ESPAÑOLA STORE
INUMAN, SINDANGAN</t>
        </r>
      </text>
    </comment>
    <comment ref="O460" authorId="0" shapeId="0" xr:uid="{38BC8CCF-4576-4B08-A658-D294F64676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RASONABLE
POB, SINDANGAN</t>
        </r>
      </text>
    </comment>
    <comment ref="O461" authorId="0" shapeId="0" xr:uid="{0746B78F-A13D-4211-9F2C-8636AE0721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JOVANI
POB, SINDANGAN</t>
        </r>
      </text>
    </comment>
    <comment ref="C507" authorId="0" shapeId="0" xr:uid="{7C488A7B-BC5A-4A1A-AAB4-7CC0ECAF10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CATIG
GUNYAN, SIAYAN</t>
        </r>
      </text>
    </comment>
    <comment ref="O507" authorId="0" shapeId="0" xr:uid="{48147C28-6F2C-46EC-AFD7-AC3C70A229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AA507" authorId="0" shapeId="0" xr:uid="{21CAF73E-C654-44E6-A8E3-7244016065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
BACONG, SALUG</t>
        </r>
      </text>
    </comment>
    <comment ref="C508" authorId="0" shapeId="0" xr:uid="{3E5D791C-5E50-4C1A-84C8-3352E05A51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LANIE STORE
POB, SIAYAN</t>
        </r>
      </text>
    </comment>
    <comment ref="O508" authorId="0" shapeId="0" xr:uid="{312D3B52-CD2F-4DF9-8DB9-B57C653C43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STORE
POB, SINDANGAN</t>
        </r>
      </text>
    </comment>
    <comment ref="AA508" authorId="0" shapeId="0" xr:uid="{E7DC76A0-EB97-453C-832F-25D4C9384A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CABIGON
BACONG, SALUG</t>
        </r>
      </text>
    </comment>
    <comment ref="C509" authorId="0" shapeId="0" xr:uid="{2B0C4E44-3886-49C3-9CC7-8544AF95C6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GLEN ONGOS
LABAKID, SINDANGAN</t>
        </r>
      </text>
    </comment>
    <comment ref="O509" authorId="0" shapeId="0" xr:uid="{6C882EF8-197F-49F0-BB66-CDD99C3CB6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DADAN RICHARD
TINAPLAN, SINDANGAN</t>
        </r>
      </text>
    </comment>
    <comment ref="AA509" authorId="0" shapeId="0" xr:uid="{1881F818-3EA9-44B0-A344-10F887242F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STORE
BACONG, SALUG</t>
        </r>
      </text>
    </comment>
    <comment ref="C510" authorId="0" shapeId="0" xr:uid="{53C72702-07D3-463B-8918-E7049D3076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WENDY CAMION</t>
        </r>
      </text>
    </comment>
    <comment ref="O510" authorId="0" shapeId="0" xr:uid="{55E29264-E84D-432E-A565-05E5FA3069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MICHEL LUMINGIN
TINAPLAN, SINDANGAN</t>
        </r>
      </text>
    </comment>
    <comment ref="AA510" authorId="0" shapeId="0" xr:uid="{73C62E12-B9D6-4967-93DC-C15BAA233E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BETH HENSON
BACONG, SALUG</t>
        </r>
      </text>
    </comment>
    <comment ref="O511" authorId="0" shapeId="0" xr:uid="{E1B6DBEE-A56C-40E1-9F09-5AAD55FB2D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BERNIE CANDES
TINAPLAN, SINDANGAN</t>
        </r>
      </text>
    </comment>
    <comment ref="AA511" authorId="0" shapeId="0" xr:uid="{4880E9F8-1460-437B-B1CE-DB255B630F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STORE
POB, SALUG</t>
        </r>
      </text>
    </comment>
    <comment ref="O512" authorId="0" shapeId="0" xr:uid="{3D8E3C6F-7DBB-4007-BD12-287DD87C9B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JUMAWAN STORE
TINAPLAN, SINDANGAN</t>
        </r>
      </text>
    </comment>
    <comment ref="AA512" authorId="0" shapeId="0" xr:uid="{946DC7D3-7321-4772-84AF-ABE566E99B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RABANES STORE
BAYBAY, LILOY</t>
        </r>
      </text>
    </comment>
    <comment ref="O513" authorId="0" shapeId="0" xr:uid="{B0A9CC72-BC43-4D60-8A85-E03806A572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JERRY JUMAWAN
TINAPLAN, SINDANGAN</t>
        </r>
      </text>
    </comment>
    <comment ref="AA513" authorId="0" shapeId="0" xr:uid="{054AFC39-A286-4584-8BF0-5C4FD93ADF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O514" authorId="0" shapeId="0" xr:uid="{3DC11D5A-2C54-4455-8884-EF56FDD452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JERSON PADILLA
BARILI, SINDANGAN</t>
        </r>
      </text>
    </comment>
    <comment ref="O515" authorId="0" shapeId="0" xr:uid="{7C40BD47-A33D-499F-B9E1-EB4760C12B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BERMUDEZ
DAGOHOY, SINDANGAN</t>
        </r>
      </text>
    </comment>
    <comment ref="O516" authorId="0" shapeId="0" xr:uid="{DF20D8E2-400E-4870-ABB8-E8A974C407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CALIPAYAN
BARILI, SINDANGAN</t>
        </r>
      </text>
    </comment>
    <comment ref="O517" authorId="0" shapeId="0" xr:uid="{75C83EB1-25BB-4EE0-92B0-9308E013F9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O562" authorId="0" shapeId="0" xr:uid="{DF8D878C-EDB2-4383-B24B-24E2269FB4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
POB, BACUNGAN</t>
        </r>
      </text>
    </comment>
    <comment ref="AA562" authorId="0" shapeId="0" xr:uid="{A67974E6-305D-4F8F-ACC5-9A6FDE9AE8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ZENAIDA MAÑOSA
POB, SALUG</t>
        </r>
      </text>
    </comment>
    <comment ref="AA563" authorId="0" shapeId="0" xr:uid="{585A9CA7-9145-477F-A3DE-53401ED77E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AA564" authorId="0" shapeId="0" xr:uid="{4A0A2279-03CE-4375-9874-43D69CBD00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SAPIHI STORE
POB, SALUG</t>
        </r>
      </text>
    </comment>
    <comment ref="AA565" authorId="0" shapeId="0" xr:uid="{16FABDD5-F303-4323-95FC-BD4E131215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AA566" authorId="0" shapeId="0" xr:uid="{B4415088-66B0-446C-A66A-E9748AFFC6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RJC STORE</t>
        </r>
      </text>
    </comment>
    <comment ref="C617" authorId="0" shapeId="0" xr:uid="{35D104A8-F5B1-413A-B5FF-3CAF2273A8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ALMA GEROMO
MANDIH, SINDANGAN</t>
        </r>
      </text>
    </comment>
    <comment ref="O617" authorId="0" shapeId="0" xr:uid="{FF33EBAD-E528-4D38-9AD8-D589795946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NIETEZ
GOLEO, SINDANGAN</t>
        </r>
      </text>
    </comment>
    <comment ref="AA617" authorId="0" shapeId="0" xr:uid="{530E5382-BBCA-442F-9A0A-B3ECBA218E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BETH'S HENSON
BACONG, SALUG</t>
        </r>
      </text>
    </comment>
    <comment ref="C618" authorId="0" shapeId="0" xr:uid="{09996EAA-C31E-443D-AD25-A27A6FCF71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JANICE MOLAS
DICOYONG, SINDANGAN</t>
        </r>
      </text>
    </comment>
    <comment ref="O618" authorId="0" shapeId="0" xr:uid="{1026AEE4-CE8F-4444-AD0B-1EF0C1DAC0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ALIB
GOLEO, SINDANGAN</t>
        </r>
      </text>
    </comment>
    <comment ref="AA618" authorId="0" shapeId="0" xr:uid="{EACE39F4-4A82-4B04-87AA-6F1EA95F91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NANAY ELMY
POB, SALUG</t>
        </r>
      </text>
    </comment>
    <comment ref="C619" authorId="0" shapeId="0" xr:uid="{27BF819E-2968-4894-8426-ACF7BCBD81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 IRENE
DENOYAN, SIAYAN</t>
        </r>
      </text>
    </comment>
    <comment ref="O619" authorId="0" shapeId="0" xr:uid="{07FF09C6-C3E0-4C7A-B528-4440427F47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ALESNA STORE
MANDIH, SINDANGAN</t>
        </r>
      </text>
    </comment>
    <comment ref="AA619" authorId="0" shapeId="0" xr:uid="{6985D348-365E-4550-971F-A6518E7366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620" authorId="0" shapeId="0" xr:uid="{F3D13F62-3908-4ECE-BD5A-8DC525A6A6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3CI VARIETY STORE
DENOYAN, SIAYAN</t>
        </r>
      </text>
    </comment>
    <comment ref="O620" authorId="0" shapeId="0" xr:uid="{9FF64441-47AC-47E1-86D6-398E63C355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REJAN STORE
MANDIH, SINDANGAN</t>
        </r>
      </text>
    </comment>
    <comment ref="AA620" authorId="0" shapeId="0" xr:uid="{D1104782-BFCD-416C-AD94-80A86500B2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OSANNAH STORE
BAYBAY, LILOY</t>
        </r>
      </text>
    </comment>
    <comment ref="C621" authorId="0" shapeId="0" xr:uid="{BDF69008-CC78-4D31-A852-F9EE3696B4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VILLAROBIA WILSON
DENOYA, SIAYAN</t>
        </r>
      </text>
    </comment>
    <comment ref="O621" authorId="0" shapeId="0" xr:uid="{1C671C44-AE5F-40FB-BF80-CCBA35D5EF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OCSALES STORE
MANDIH, SINDANGAN</t>
        </r>
      </text>
    </comment>
    <comment ref="C622" authorId="0" shapeId="0" xr:uid="{45FC81F4-34A2-491D-A88C-09E981A4F5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LUMAWAN STORE
DENOYAN, SIAYAN</t>
        </r>
      </text>
    </comment>
    <comment ref="O622" authorId="0" shapeId="0" xr:uid="{AF19A53F-EF37-415E-82CE-493DFE0167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STORE
MANDIH, SINDANGAN</t>
        </r>
      </text>
    </comment>
    <comment ref="C623" authorId="0" shapeId="0" xr:uid="{BFA53B07-2D6B-484F-BD82-9E1497276A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DADO STORE
DENOYAN, SIAYAN</t>
        </r>
      </text>
    </comment>
    <comment ref="C624" authorId="0" shapeId="0" xr:uid="{EF9C36E5-C0FF-4CF7-A2A1-44E0FED566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LEE, BAGTONG
POB, SIAYAN</t>
        </r>
      </text>
    </comment>
    <comment ref="C625" authorId="0" shapeId="0" xr:uid="{38669A35-9F31-4D75-8C23-C58DF3B8FE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PIZON, ALEJANDRO
POB, SIAYAN</t>
        </r>
      </text>
    </comment>
    <comment ref="C626" authorId="0" shapeId="0" xr:uid="{EC1765FD-0988-464C-B04B-16E1293AF1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LANIE SUERTE
POB, SIAYAN</t>
        </r>
      </text>
    </comment>
    <comment ref="C627" authorId="0" shapeId="0" xr:uid="{591C9165-ACD3-4CE8-A8D5-56EBC5A2E6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LANGAN, JENALYN
POB, SIAYAN</t>
        </r>
      </text>
    </comment>
    <comment ref="C628" authorId="0" shapeId="0" xr:uid="{F72BF39B-FD6E-4F91-A801-9C3020D4C3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VERDADERO STORE
DAGAO, SIAYAN</t>
        </r>
      </text>
    </comment>
    <comment ref="C629" authorId="0" shapeId="0" xr:uid="{8858A515-9E3E-4898-BB6E-24060459E6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BAYAWA LIEZEL
BALOK, SINDANGAN</t>
        </r>
      </text>
    </comment>
    <comment ref="C630" authorId="0" shapeId="0" xr:uid="{6254FFF9-B4D3-448F-865D-C18FAA7AA8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C631" authorId="0" shapeId="0" xr:uid="{3C8DA7EB-5244-4DE2-9E51-31EEEB5A9F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C672" authorId="0" shapeId="0" xr:uid="{0D2E7FAE-67C1-447F-B129-DFE58FF65E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LAÑOJAN STORE
GOLEO, SINDANGAN</t>
        </r>
      </text>
    </comment>
    <comment ref="O672" authorId="0" shapeId="0" xr:uid="{01BB92B7-F15D-421D-B8D1-09796B50A7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AMORADO STORE
TALINGA, BACUNGAN</t>
        </r>
      </text>
    </comment>
    <comment ref="AA672" authorId="0" shapeId="0" xr:uid="{A1C032E8-72AC-4DAC-A139-AE0BE90CB4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673" authorId="0" shapeId="0" xr:uid="{811DB81B-03AC-4ADC-AE05-DA4DE33D5C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673" authorId="0" shapeId="0" xr:uid="{1827BC08-3EA1-4DBE-936B-8F8E73E645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673" authorId="0" shapeId="0" xr:uid="{45B5B070-4816-4452-AF08-06C2057615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POB, SALUG</t>
        </r>
      </text>
    </comment>
    <comment ref="C674" authorId="0" shapeId="0" xr:uid="{E4AF8C1C-0219-4CDF-AEC0-5071B0E373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SALUG</t>
        </r>
      </text>
    </comment>
    <comment ref="O674" authorId="0" shapeId="0" xr:uid="{875F5BCA-3F0E-426F-99C3-619E3F08B6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674" authorId="0" shapeId="0" xr:uid="{F02BAE80-D344-4F99-9EF3-ED20A39775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C675" authorId="0" shapeId="0" xr:uid="{A710B994-9445-47FC-B429-4A48D681A4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AA675" authorId="0" shapeId="0" xr:uid="{B7EC42BC-15E8-472E-A08C-16972A804C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727" authorId="0" shapeId="0" xr:uid="{1542280B-09E6-4E20-ADDB-1FDC47E736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JANICE MOLAS
DICOYONG, SINDANGAN</t>
        </r>
      </text>
    </comment>
    <comment ref="O727" authorId="0" shapeId="0" xr:uid="{901100E9-560C-421E-BF4F-B9F6F0771F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DAISY STORE
INUMAN, SINDANGAN</t>
        </r>
      </text>
    </comment>
    <comment ref="AA727" authorId="0" shapeId="0" xr:uid="{DAC7E21C-2CD0-43D0-A969-62EF057F60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728" authorId="0" shapeId="0" xr:uid="{86A5FD56-E864-4886-A2F6-9CE3C3F785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ESTOSATA
PIAO, SINDANGAN</t>
        </r>
      </text>
    </comment>
    <comment ref="O728" authorId="0" shapeId="0" xr:uid="{8664DCC7-3389-41C8-BEEC-119FD3A56C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VILLARMINO STORE
DATU TANGKILAN, SINDANGAN</t>
        </r>
      </text>
    </comment>
    <comment ref="AA728" authorId="0" shapeId="0" xr:uid="{77B3354E-B543-4581-92B8-AFF162972E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OSANNAH STORE
BAYBAY, LILOY</t>
        </r>
      </text>
    </comment>
    <comment ref="C729" authorId="0" shapeId="0" xr:uid="{816E60DD-F23A-463D-9783-BCEBE43207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O729" authorId="0" shapeId="0" xr:uid="{6EF551F8-EF52-4670-9792-DA3D7B552C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ONSING STORE
DATU TANGKILAN, SINDANGAN</t>
        </r>
      </text>
    </comment>
    <comment ref="AA729" authorId="0" shapeId="0" xr:uid="{C4908162-3698-4ADA-B0B0-3C957E3E0C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730" authorId="0" shapeId="0" xr:uid="{24C372A0-0851-4163-B15B-DB57D6B3D6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GAVIOLA
DAGAO, SIAYAN</t>
        </r>
      </text>
    </comment>
    <comment ref="O730" authorId="0" shapeId="0" xr:uid="{4C95D498-D077-474C-9D6C-A1092DE454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C731" authorId="0" shapeId="0" xr:uid="{5F6E22A6-2E68-43A1-BB65-C0569A28A3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LANIE STORE
POB, SIAYAN</t>
        </r>
      </text>
    </comment>
    <comment ref="O731" authorId="0" shapeId="0" xr:uid="{014B0F4D-D573-4926-8188-12504E89DE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 STORE
POB, BACUNGAN</t>
        </r>
      </text>
    </comment>
    <comment ref="C732" authorId="0" shapeId="0" xr:uid="{DF9839D7-C594-4F92-ACC2-799C47E656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BAGTONG LEE
POB, SIAYAN</t>
        </r>
      </text>
    </comment>
    <comment ref="O732" authorId="0" shapeId="0" xr:uid="{A2F7CA4D-B917-4612-9BD3-0AA6C46BE1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POB, BACUNGAN</t>
        </r>
      </text>
    </comment>
    <comment ref="C733" authorId="0" shapeId="0" xr:uid="{82D93B7B-A9A7-4EA4-B8C8-0AD570E244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PIZON, ALEJANDRO
POB, SIAYAN</t>
        </r>
      </text>
    </comment>
    <comment ref="O733" authorId="0" shapeId="0" xr:uid="{761DEEF9-7A10-4203-B2BD-40F4D01938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C734" authorId="0" shapeId="0" xr:uid="{917DAB05-324E-40C7-A1E4-AD07708260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CENAS FERNANDA
DAGAO, SIAYAN</t>
        </r>
      </text>
    </comment>
    <comment ref="O734" authorId="0" shapeId="0" xr:uid="{4F889372-D629-4077-868C-78EACCAC01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ADEN STORE
TALINGA, BACUNGAN</t>
        </r>
      </text>
    </comment>
    <comment ref="C735" authorId="0" shapeId="0" xr:uid="{4A3F73DF-0F43-497E-BADB-8B099A48E9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VERDADERO STORE
DAGAO, SIAYAN</t>
        </r>
      </text>
    </comment>
    <comment ref="O735" authorId="0" shapeId="0" xr:uid="{DBD435FD-CE61-4EA3-AFA8-2B1FDF215B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C736" authorId="0" shapeId="0" xr:uid="{464C6930-ACEC-4C11-AF50-34F9ECA632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O736" authorId="0" shapeId="0" xr:uid="{FB772A00-3E20-4D8D-8FC4-7D870C2B12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NIETEZ
GOLEO, SINDANGAN</t>
        </r>
      </text>
    </comment>
    <comment ref="C737" authorId="0" shapeId="0" xr:uid="{A5B1DE71-CA7C-4003-88C5-C574D727FE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GOMORA STORE
LAGAG, SINDANGAN</t>
        </r>
      </text>
    </comment>
    <comment ref="O737" authorId="0" shapeId="0" xr:uid="{85E328AC-022F-4F45-8488-F177186595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ROEL LANDA
UPPER INUMAN, SINDANGAN</t>
        </r>
      </text>
    </comment>
    <comment ref="O738" authorId="0" shapeId="0" xr:uid="{76A045E7-BF18-4839-B5BD-D7FCBD24B9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ANSELING STORE
CALUAN, SINDANGAN</t>
        </r>
      </text>
    </comment>
    <comment ref="O782" authorId="0" shapeId="0" xr:uid="{EE00F4AA-4DDB-43FE-80B2-20F1053F10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782" authorId="0" shapeId="0" xr:uid="{CAA58956-0D12-4BD4-BDF7-D20B272B2E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SALUG</t>
        </r>
      </text>
    </comment>
    <comment ref="O783" authorId="0" shapeId="0" xr:uid="{5C710F1E-244B-486B-83AE-84D824DD22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BEACH RESORT
TALINGA, BACUNGAN</t>
        </r>
      </text>
    </comment>
    <comment ref="AA783" authorId="0" shapeId="0" xr:uid="{3525AA7C-910E-4DD9-A144-FE1C26744E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
POB, SALUG</t>
        </r>
      </text>
    </comment>
    <comment ref="O784" authorId="0" shapeId="0" xr:uid="{73A2C75D-2A42-46AC-8AFA-7BC0741545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AMORADO STORE
TALINGA, BACUNGAN</t>
        </r>
      </text>
    </comment>
    <comment ref="AA784" authorId="0" shapeId="0" xr:uid="{5CB2E685-F619-4D55-B958-F980462C35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POB, SALUG</t>
        </r>
      </text>
    </comment>
    <comment ref="O785" authorId="0" shapeId="0" xr:uid="{1B64B027-A0E5-4429-BA0F-64AC920841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AA785" authorId="0" shapeId="0" xr:uid="{C385C47E-A223-4121-BCF4-CE95A83B58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BETH'S HENSON</t>
        </r>
      </text>
    </comment>
    <comment ref="O786" authorId="0" shapeId="0" xr:uid="{C54AEEFC-CDB8-4634-BA32-D236D0DC0B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O787" authorId="0" shapeId="0" xr:uid="{D7633598-6FA7-47EB-9A8F-1100447926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O788" authorId="0" shapeId="0" xr:uid="{20392755-FF5D-414A-8BC9-4B719B9CEA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KYRIC ZAI STORE
MARAS, SINDANGAN</t>
        </r>
      </text>
    </comment>
    <comment ref="O789" authorId="0" shapeId="0" xr:uid="{0A4803BE-5CAF-41A8-BED6-4B2007C429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DYLEN TALIP
TALINGA, BACUNGAN</t>
        </r>
      </text>
    </comment>
    <comment ref="O790" authorId="0" shapeId="0" xr:uid="{9E783F71-DEAB-4194-BCB6-2042D49F50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O791" authorId="0" shapeId="0" xr:uid="{2333784D-ABE9-402C-8845-3BA262CB11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FERVEY STORE
TALINGA, SINDANGAN</t>
        </r>
      </text>
    </comment>
    <comment ref="O792" authorId="0" shapeId="0" xr:uid="{013754D1-CD74-4F59-907F-E6000E64B8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EBALLES REYNALDO
MARAS, SINDANGAN</t>
        </r>
      </text>
    </comment>
    <comment ref="O793" authorId="0" shapeId="0" xr:uid="{A05AE852-B4FA-492C-8FA9-1B8E8BA56F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TEOPE
MARAS, SINDANGAN</t>
        </r>
      </text>
    </comment>
    <comment ref="O794" authorId="0" shapeId="0" xr:uid="{6D8CB1E6-494D-4AE0-8A52-6D0AF44B2E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LUCITA CAYACAP
MARAS, SINDANGAN</t>
        </r>
      </text>
    </comment>
    <comment ref="O795" authorId="0" shapeId="0" xr:uid="{1E9E19D7-1503-49F9-BCBF-5DB1CB9F8A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SHANEE'S STORE
MARAS, SINDANGAN</t>
        </r>
      </text>
    </comment>
    <comment ref="O796" authorId="0" shapeId="0" xr:uid="{BE1E2D3E-B1A5-46DF-B7CA-5605E7356C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BERNING STORE
MARAS, SINDANGAN</t>
        </r>
      </text>
    </comment>
    <comment ref="O797" authorId="0" shapeId="0" xr:uid="{830348B9-5425-488A-BA99-91EDEC4878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O798" authorId="0" shapeId="0" xr:uid="{FFD2A04E-10E0-4CF7-9D99-AF0065FE76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JULIET DE ASIS
DAPAON, SINDANGAN</t>
        </r>
      </text>
    </comment>
    <comment ref="C837" authorId="0" shapeId="0" xr:uid="{6A10494F-ABE5-4BB5-A4B9-C30CB917DE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JERIEL DOMEN
INUMAN, SINDANGAN</t>
        </r>
      </text>
    </comment>
    <comment ref="O837" authorId="0" shapeId="0" xr:uid="{7A135203-F15E-4503-BA0F-79B30A5F2F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837" authorId="0" shapeId="0" xr:uid="{7E981291-71FD-4E8F-9299-D4AC676C76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NELMIN STORE
KAYOK, LILOY</t>
        </r>
      </text>
    </comment>
    <comment ref="C838" authorId="0" shapeId="0" xr:uid="{01BD5932-C037-47F5-BCDA-54F14E8674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O838" authorId="0" shapeId="0" xr:uid="{BA243055-36FC-4A2F-9265-1A1FDD00E2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EATERY
UPPER INUMAN, SINDANGAN</t>
        </r>
      </text>
    </comment>
    <comment ref="AA838" authorId="0" shapeId="0" xr:uid="{51FED2C7-EF83-44C6-B3C0-AA389F960A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JASSI STORE
KAYOK, LILOY</t>
        </r>
      </text>
    </comment>
    <comment ref="C839" authorId="0" shapeId="0" xr:uid="{F73F4F11-592C-4231-A7FD-9D66849DB1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
POB, SIAYAN</t>
        </r>
      </text>
    </comment>
    <comment ref="O839" authorId="0" shapeId="0" xr:uid="{5BECC05D-8848-4D9B-A390-BF245EE320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KEN VARIETY STORE
UPPER INUMAN, SINDANGAN</t>
        </r>
      </text>
    </comment>
    <comment ref="AA839" authorId="0" shapeId="0" xr:uid="{2DECF796-E30E-43F2-AD0A-E2235F293B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 VINAH MARAÑON
VILLA SUICIDAL, LILOY</t>
        </r>
      </text>
    </comment>
    <comment ref="C840" authorId="0" shapeId="0" xr:uid="{44EABC9F-2085-47BF-B3BD-AB1D99511D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840" authorId="0" shapeId="0" xr:uid="{B379BDAD-5036-47F1-ABF0-DFF3D21D9F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NARVEM J. MONTECLARO
TINAPLAN, SINDANGAN</t>
        </r>
      </text>
    </comment>
    <comment ref="AA840" authorId="0" shapeId="0" xr:uid="{837893C0-69DA-462A-AFEB-51227D3993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GERALYN CAMANSI
VILLA SUICIDAL, LILOY</t>
        </r>
      </text>
    </comment>
    <comment ref="C841" authorId="0" shapeId="0" xr:uid="{76770A46-7A5A-449F-8F3E-01982CCF74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MADULA, DEBORA
KALAKAS, SIAYAN</t>
        </r>
      </text>
    </comment>
    <comment ref="O841" authorId="0" shapeId="0" xr:uid="{878A614B-79FF-4E84-86EA-C85A5DA94D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TOTO SANGUAN
TINAPLAN, SINDANGAN</t>
        </r>
      </text>
    </comment>
    <comment ref="AA841" authorId="0" shapeId="0" xr:uid="{AEDA4150-DB7D-4000-AF7E-15893B1EEA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 STORE
LAMAO, LILOY</t>
        </r>
      </text>
    </comment>
    <comment ref="C842" authorId="0" shapeId="0" xr:uid="{184C4B46-9AF7-4DE4-893A-E03C35CB03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JONATHAN
POB, SIAYAN</t>
        </r>
      </text>
    </comment>
    <comment ref="O842" authorId="0" shapeId="0" xr:uid="{153D6D93-0160-4848-863A-5F88FBE8AF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RICHARD DADAN
TINAPLAN, SINDANGAN</t>
        </r>
      </text>
    </comment>
    <comment ref="AA842" authorId="0" shapeId="0" xr:uid="{D1B5FDD1-633C-485E-87F9-C4C02525E1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ALCAZAR JELYN STORE
VILLA SUICIDAL, LILOY</t>
        </r>
      </text>
    </comment>
    <comment ref="C843" authorId="0" shapeId="0" xr:uid="{43B33446-29D3-4A79-8D69-DD85110CF6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RUTH LANGAN
POB, SIAYAN</t>
        </r>
      </text>
    </comment>
    <comment ref="O843" authorId="0" shapeId="0" xr:uid="{16E502C5-624F-4236-BDAE-461DFB77CA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ABAN STORE
TINAPLAN, SINDANGAN</t>
        </r>
      </text>
    </comment>
    <comment ref="AA843" authorId="0" shapeId="0" xr:uid="{1AAB9342-E05D-4CC7-A793-30AEE57894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RAUL FORMOSO
LAMAO, LILOY</t>
        </r>
      </text>
    </comment>
    <comment ref="C844" authorId="0" shapeId="0" xr:uid="{677BC076-04C3-4C3D-A176-FAD9EBDD61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LYSEL BAYAWA
BALOK, SINDANGAN</t>
        </r>
      </text>
    </comment>
    <comment ref="O844" authorId="0" shapeId="0" xr:uid="{024F5C5E-E30C-4368-8E26-741BE18529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MICHELLE LUMINGIN
TINAPLAN, SINDANGAN</t>
        </r>
      </text>
    </comment>
    <comment ref="AA844" authorId="0" shapeId="0" xr:uid="{BF14C8FA-4B32-4924-84E9-7BEC709BEE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CHONA CATACUTAN
LAMAO, LILOY</t>
        </r>
      </text>
    </comment>
    <comment ref="C845" authorId="0" shapeId="0" xr:uid="{2BB621D2-BFCB-4DEE-8476-0EC5F57BEB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845" authorId="0" shapeId="0" xr:uid="{FC05BA0C-6A52-449B-A9C9-E31809C97E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BERNIE CANDES
TINAPLAN, SINDANGAN</t>
        </r>
      </text>
    </comment>
    <comment ref="AA845" authorId="0" shapeId="0" xr:uid="{0464EB96-E7A3-4941-96B2-D5AC1BB462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JODI'S VARIETY STORE
BAYBAY, LILOY</t>
        </r>
      </text>
    </comment>
    <comment ref="O846" authorId="0" shapeId="0" xr:uid="{806E1758-D058-4AF0-BEEF-5DE2158795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MANOS STORE
TINAPLAN, SINDANGAN</t>
        </r>
      </text>
    </comment>
    <comment ref="AA846" authorId="0" shapeId="0" xr:uid="{7D3955DC-D4DF-4677-B517-F4F87EFA13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847" authorId="0" shapeId="0" xr:uid="{2E3022C8-456E-412E-9C55-D4B6C9E771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SAGAPSAPAN PESING
TINAPLAN, SINDANGAN</t>
        </r>
      </text>
    </comment>
    <comment ref="AA847" authorId="0" shapeId="0" xr:uid="{0A4F2112-3AE7-441B-A755-01BBA30484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O848" authorId="0" shapeId="0" xr:uid="{A0DEBCAE-B19F-4B08-9607-F7F866E1BA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JOSEPH JKAKAMA
TINAPLAN, SINDANGAN</t>
        </r>
      </text>
    </comment>
    <comment ref="AA848" authorId="0" shapeId="0" xr:uid="{26522955-593E-42F9-B38D-E9A14C8DC9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O849" authorId="0" shapeId="0" xr:uid="{23F2F30F-863B-47CD-A78D-C7D3B278D9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ASENTESTA STORE
DAGOHOY, SINDANGAN</t>
        </r>
      </text>
    </comment>
    <comment ref="AA849" authorId="0" shapeId="0" xr:uid="{5476B96A-899A-4E9B-BC1C-3E6147CB11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NORMA HICALDE
TIMAN, LILOY</t>
        </r>
      </text>
    </comment>
    <comment ref="O850" authorId="0" shapeId="0" xr:uid="{0121A6C8-50F2-4D95-9936-4BBE702AFA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850" authorId="0" shapeId="0" xr:uid="{0FE4EC9D-A934-4BC0-A57B-58707DF4FE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TUMACMOL
GOLEO, SINDANGAN</t>
        </r>
      </text>
    </comment>
    <comment ref="O851" authorId="0" shapeId="0" xr:uid="{F0F99FD8-3650-4C9C-9276-A9CB0457EC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O852" authorId="0" shapeId="0" xr:uid="{953A8315-C213-49F5-BA33-5A4FCAA508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O853" authorId="0" shapeId="0" xr:uid="{861C300E-6F2D-49A8-A4F1-5C9AC68377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JAYVEE TAATA
GOLEO, SINDANGAN</t>
        </r>
      </text>
    </comment>
    <comment ref="O854" authorId="0" shapeId="0" xr:uid="{C9EC9D2A-1DC9-42A6-9CF1-70EC97DF57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CHRISTINE YANOS
GOLEO, SINDANGAN</t>
        </r>
      </text>
    </comment>
    <comment ref="C892" authorId="0" shapeId="0" xr:uid="{C915527C-B08E-4ECD-B669-8D81D7E688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DEGURO STORE
BALOK, SINDANGAN</t>
        </r>
      </text>
    </comment>
    <comment ref="O892" authorId="0" shapeId="0" xr:uid="{165C4E5B-F198-472A-8644-EA3FC73527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ALBENA HABAGAT
UPPER INUMAN, SINDANGAN</t>
        </r>
      </text>
    </comment>
    <comment ref="AA892" authorId="0" shapeId="0" xr:uid="{D809FA18-22C9-46E6-8DDD-435747D840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C893" authorId="0" shapeId="0" xr:uid="{4064A2DB-EAD6-4CA4-8C43-18A69E6B0B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893" authorId="0" shapeId="0" xr:uid="{28B42870-8011-4195-A697-4048C9D057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AMORADO STORE
TALINGA, BACUNGAN</t>
        </r>
      </text>
    </comment>
    <comment ref="AA893" authorId="0" shapeId="0" xr:uid="{B88C99E4-3C7A-4B11-8A02-9C794151A4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894" authorId="0" shapeId="0" xr:uid="{A65C5D0F-5840-4EE0-B98D-56E0165495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ABRAHAM MAHINAY
DISUD, SINDANGAN</t>
        </r>
      </text>
    </comment>
    <comment ref="O894" authorId="0" shapeId="0" xr:uid="{FC13318E-D336-4424-A0AF-728BFA444A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MJ STORE
RM, SALUG</t>
        </r>
      </text>
    </comment>
    <comment ref="AA894" authorId="0" shapeId="0" xr:uid="{A9B7F7FA-8AB0-4A4B-8BE9-05DB271440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BASTE STORE
BACONG, SALUG</t>
        </r>
      </text>
    </comment>
    <comment ref="C895" authorId="0" shapeId="0" xr:uid="{20558F97-1A19-4B80-B185-4946C2AECD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LINDA JOSEFINA
DISUD, SINDANGAN</t>
        </r>
      </text>
    </comment>
    <comment ref="O895" authorId="0" shapeId="0" xr:uid="{143AB182-D234-4B65-9365-6868783B9F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CHERYL BERHAME
RM, SALUG</t>
        </r>
      </text>
    </comment>
    <comment ref="AA895" authorId="0" shapeId="0" xr:uid="{81E32114-B317-4AEA-96A3-C7CDB40012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BOY ESTRELLANTE
BACONG, SALUG</t>
        </r>
      </text>
    </comment>
    <comment ref="C896" authorId="0" shapeId="0" xr:uid="{0326E1E6-EA8B-423E-BE6A-69F8689428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GINGS EATERY
DISUD, SINDANGAN</t>
        </r>
      </text>
    </comment>
    <comment ref="O896" authorId="0" shapeId="0" xr:uid="{ECAC0BAE-6E42-4DDE-A23F-E11295F9BE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GUMIMAO
RM, SALUG</t>
        </r>
      </text>
    </comment>
    <comment ref="AA896" authorId="0" shapeId="0" xr:uid="{139D4D7B-773A-4A94-B393-101C3E4DB0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PACITA RETUYA
BACONG, SALUG</t>
        </r>
      </text>
    </comment>
    <comment ref="C897" authorId="0" shapeId="0" xr:uid="{366DC483-811E-4D9D-A372-A47557C32C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O897" authorId="0" shapeId="0" xr:uid="{6512F89C-57EE-4619-A175-071B7BACC3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ESPLANA
RM, SALUG</t>
        </r>
      </text>
    </comment>
    <comment ref="AA897" authorId="0" shapeId="0" xr:uid="{E321FA62-5E57-4A5E-92A1-0A1F01E77F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VERFREY REULO STORE
BACONG, SALUG</t>
        </r>
      </text>
    </comment>
    <comment ref="C898" authorId="0" shapeId="0" xr:uid="{228614CE-6688-46D3-AE7D-4FF16029B1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ROBIN
DISUD, SINDANGAN</t>
        </r>
      </text>
    </comment>
    <comment ref="O898" authorId="0" shapeId="0" xr:uid="{E1D66C15-0D60-4A3D-BF87-53B9AD21C8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PACALDO STORE
RM, SALUG</t>
        </r>
      </text>
    </comment>
    <comment ref="AA898" authorId="0" shapeId="0" xr:uid="{8E579D25-3F42-40B7-B4E7-04774888CC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C899" authorId="0" shapeId="0" xr:uid="{7E922910-2A20-41FA-BC58-F513A9EB17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BORB'S STORE
POB, SINDANGAN</t>
        </r>
      </text>
    </comment>
    <comment ref="O899" authorId="0" shapeId="0" xr:uid="{4FEF8FFF-1919-4152-8501-3F9A74E443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RM, SALUG</t>
        </r>
      </text>
    </comment>
    <comment ref="AA899" authorId="0" shapeId="0" xr:uid="{C19FC51C-BD26-4D4E-8AEA-8D4658A56F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BETH'S HENSON
BACONG, SALUG</t>
        </r>
      </text>
    </comment>
    <comment ref="C900" authorId="0" shapeId="0" xr:uid="{58B03017-85BB-4C59-8FEA-829AD1B2A6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O900" authorId="0" shapeId="0" xr:uid="{50C25D59-930C-4314-9ED8-5F934F21BC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AA900" authorId="0" shapeId="0" xr:uid="{753BA783-8C5D-4160-B678-BDED53D34E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901" authorId="0" shapeId="0" xr:uid="{F9D0B6BD-95AA-41C9-954D-069E583A8F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CHILL BAR
DAPAON, SINDANGAN</t>
        </r>
      </text>
    </comment>
    <comment ref="O901" authorId="0" shapeId="0" xr:uid="{67B9C2D3-B8E9-4048-AA55-C45EC48103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MARTIN STORE
PALANDOK, BACUNGAN</t>
        </r>
      </text>
    </comment>
    <comment ref="AA901" authorId="0" shapeId="0" xr:uid="{BA1616AC-8B85-4B3B-9A42-B1256F2B9A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POB, SALUG</t>
        </r>
      </text>
    </comment>
    <comment ref="C902" authorId="0" shapeId="0" xr:uid="{BFAA695C-2E96-4BAD-B345-8AFBD8ABC1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ROSE BANDICO
GOLEO, SINDANGAN</t>
        </r>
      </text>
    </comment>
    <comment ref="O902" authorId="0" shapeId="0" xr:uid="{29FC2C55-B1D5-46A7-A8EF-B23E9B8A7E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JAMES STORE
PALANDOK, BACUNGAN</t>
        </r>
      </text>
    </comment>
    <comment ref="AA902" authorId="0" shapeId="0" xr:uid="{4C564794-F539-446F-BFDA-097BE2E79A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POB, SALUG</t>
        </r>
      </text>
    </comment>
    <comment ref="O903" authorId="0" shapeId="0" xr:uid="{B3FC69DC-7EA0-4779-B517-5F0DB0AC54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MINIMART
BOGABONGAN, BACUNGAN</t>
        </r>
      </text>
    </comment>
    <comment ref="AA903" authorId="0" shapeId="0" xr:uid="{392E3066-976B-42C7-AA54-14F9CACFF6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G.B. CONVENIENCE STORE
POB, SALUG</t>
        </r>
      </text>
    </comment>
    <comment ref="O904" authorId="0" shapeId="0" xr:uid="{403CF1EC-3D21-4A48-BFA4-893962762A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RAFFLES
BOGABONGAN, BACUNGAN</t>
        </r>
      </text>
    </comment>
    <comment ref="O905" authorId="0" shapeId="0" xr:uid="{F75AC2FA-D5D7-4989-BA02-CB82A192FD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BEYN STORE
BOGABONGAN, BACUNGAN</t>
        </r>
      </text>
    </comment>
    <comment ref="O906" authorId="0" shapeId="0" xr:uid="{70EE3CD1-1F95-42FA-A284-9B597017A5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EMA DAGONDONG
BOGABONGAN, BACUNGAN</t>
        </r>
      </text>
    </comment>
    <comment ref="O907" authorId="0" shapeId="0" xr:uid="{40866ED2-4D4A-4FFB-B76C-F903753D0E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JEANIAS STORE
BOGABONGAN, BACUNGAN</t>
        </r>
      </text>
    </comment>
    <comment ref="O908" authorId="0" shapeId="0" xr:uid="{D399A5F2-470C-4CF3-9B83-09BBAFE7DD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AICHEL PACURE
BOGABONGAN, BACUNGAN</t>
        </r>
      </text>
    </comment>
    <comment ref="O909" authorId="0" shapeId="0" xr:uid="{2319E89C-3F84-45B4-AF2B-F2BD5E51EB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LUZMINDA MAINIT
MANIL, BACUNGAN</t>
        </r>
      </text>
    </comment>
    <comment ref="O910" authorId="0" shapeId="0" xr:uid="{5A0E4B07-6415-469A-AB15-DF0DC1DBCF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 STORE
MARAS, SINDANGAN</t>
        </r>
      </text>
    </comment>
    <comment ref="O911" authorId="0" shapeId="0" xr:uid="{683A133C-14D2-4C7B-8E5D-02F5F4F5B3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FAYE LACPAW
MARAS, SINDANGAN</t>
        </r>
      </text>
    </comment>
    <comment ref="O912" authorId="0" shapeId="0" xr:uid="{836D154B-CF77-40F3-B766-13B6F8CE14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AA947" authorId="0" shapeId="0" xr:uid="{FB5BC2DD-D9C8-40CF-BE0C-60E31B0921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AA948" authorId="0" shapeId="0" xr:uid="{00B045FD-7154-4726-B0DC-D3C8E1A331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AA949" authorId="0" shapeId="0" xr:uid="{D67D7EDE-0ED1-4EBD-9586-DEDA547C31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MELVIN STORE
TIMAN, LILOY</t>
        </r>
      </text>
    </comment>
    <comment ref="AA950" authorId="0" shapeId="0" xr:uid="{BBC361AA-838C-4D45-A105-6A23A6A97A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WENDYL STORE
CANAWAN, SALUG</t>
        </r>
      </text>
    </comment>
    <comment ref="AA951" authorId="0" shapeId="0" xr:uid="{48CB95EB-5BE3-490F-AB83-319FC994F8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CATALINA, VELASQUEZ
CANAWAN, SALUG</t>
        </r>
      </text>
    </comment>
  </commentList>
</comments>
</file>

<file path=xl/sharedStrings.xml><?xml version="1.0" encoding="utf-8"?>
<sst xmlns="http://schemas.openxmlformats.org/spreadsheetml/2006/main" count="1225" uniqueCount="89">
  <si>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</si>
  <si>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</si>
  <si>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</si>
  <si>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</si>
  <si>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</si>
  <si>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</si>
  <si>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</si>
  <si>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</si>
  <si>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</si>
  <si>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</si>
  <si>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</si>
  <si>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</si>
  <si>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</si>
  <si>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</si>
  <si>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</si>
  <si>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</si>
  <si>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</si>
  <si>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</si>
  <si>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</si>
  <si>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</si>
  <si>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</si>
  <si>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</si>
  <si>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</si>
  <si>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</si>
  <si>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</si>
  <si>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</si>
  <si>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</si>
  <si>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</si>
  <si>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</si>
  <si>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</si>
  <si>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</si>
  <si>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</si>
  <si>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</si>
  <si>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</si>
  <si>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MONDAY</t>
  </si>
  <si>
    <t>GICA, GRACE</t>
  </si>
  <si>
    <t>FEBRUARY 2026</t>
  </si>
  <si>
    <t>FEBRUARY 02, 2026</t>
  </si>
  <si>
    <t>8851-8858/8810-8815/8698-8700,8901-8903</t>
  </si>
  <si>
    <t>TUESDAY</t>
  </si>
  <si>
    <t>FEBRUARY 03, 2026</t>
  </si>
  <si>
    <t>8859-8871/8816-8824/8904-8908</t>
  </si>
  <si>
    <t>R3</t>
  </si>
  <si>
    <t>R4</t>
  </si>
  <si>
    <t>WEDNESDAY</t>
  </si>
  <si>
    <t>FEBRUARY 04, 2026</t>
  </si>
  <si>
    <t>8872-8873/8825-8845/8909-8916</t>
  </si>
  <si>
    <t>THURSDAY</t>
  </si>
  <si>
    <t>FEBRUARY 05, 2026</t>
  </si>
  <si>
    <t>8874-8884/8846-8954/8914,8917-8918</t>
  </si>
  <si>
    <t>FRIDAY</t>
  </si>
  <si>
    <t>FEBRUARY 06, 2026</t>
  </si>
  <si>
    <t>8885-8894/8955-8977/</t>
  </si>
  <si>
    <t>SATURDAY</t>
  </si>
  <si>
    <t>FEBRUARY 07, 2026</t>
  </si>
  <si>
    <t>8798-8900,9051/8978-8984/8919-8924</t>
  </si>
  <si>
    <t>FEBRUARY 09, 2026</t>
  </si>
  <si>
    <t>9053-9060/8985-8987/8925-8931</t>
  </si>
  <si>
    <t>FEBRUARY 10, 2026</t>
  </si>
  <si>
    <t>9061-9067/9001-9013/8932-8934</t>
  </si>
  <si>
    <t>FEBRUARY 11, 2026</t>
  </si>
  <si>
    <t>9068-9074/9101-9110/8935-8938</t>
  </si>
  <si>
    <t>FEBRUARY 12, 2026</t>
  </si>
  <si>
    <t>LOPEZ, GINA GRACE</t>
  </si>
  <si>
    <t>9075-9078/8988-8997/8939-8945</t>
  </si>
  <si>
    <t>FEBRUARY 13, 2026</t>
  </si>
  <si>
    <t>02/13/2026</t>
  </si>
  <si>
    <t>8999/8946-8950</t>
  </si>
  <si>
    <t>FEBRUARY 14, 2026</t>
  </si>
  <si>
    <t>02/14/2026</t>
  </si>
  <si>
    <t>9079-9093/9000-9018/9151-9154</t>
  </si>
  <si>
    <t>FEBRUARY 16, 2026</t>
  </si>
  <si>
    <t>02/16/2026</t>
  </si>
  <si>
    <t>9094-9097/9019-9021/9155-9158</t>
  </si>
  <si>
    <t>FEBRUARY 17, 2026</t>
  </si>
  <si>
    <t>02/17/2026</t>
  </si>
  <si>
    <t>9098-9100,9201-9208/9022-9033/9159-9161</t>
  </si>
  <si>
    <t>FEBRUARY 18, 2026</t>
  </si>
  <si>
    <t>02/18/2026</t>
  </si>
  <si>
    <t>/9034-9050/9162-9165</t>
  </si>
  <si>
    <t>FEBRUARY 19, 2026</t>
  </si>
  <si>
    <t>02/19/2026</t>
  </si>
  <si>
    <t>9201-9217/9251-9268/9166-9179</t>
  </si>
  <si>
    <t>FEBRUARY 20, 2026</t>
  </si>
  <si>
    <t>02/20/2026</t>
  </si>
  <si>
    <t>9218-9228/9269-9289/9180-9191</t>
  </si>
  <si>
    <t>FEBRUARY 21, 2026</t>
  </si>
  <si>
    <t>02/21/2026</t>
  </si>
  <si>
    <t>/9351-9355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</si>
</sst>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3" fontId="0" fillId="0" borderId="1" xfId="1" applyFont="1" applyBorder="1" applyAlignment="1"/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abSelected="1" topLeftCell="A4" zoomScaleNormal="100" workbookViewId="0">
      <selection activeCell="C30" sqref="C30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07" t="s">
        <v>36</v>
      </c>
      <c r="B6" s="107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42</v>
      </c>
      <c r="I8" s="52" t="s">
        <v>43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3" t="s">
        <v>6</v>
      </c>
      <c r="C10" s="44" t="s">
        <v>29</v>
      </c>
      <c r="D10" s="55" t="s">
        <v>29</v>
      </c>
      <c r="F10" s="14"/>
      <c r="G10" s="14"/>
      <c r="H10" s="14"/>
      <c r="I10" s="14"/>
      <c r="J10" s="59"/>
    </row>
    <row r="11" spans="1:10" x14ac:dyDescent="0.25">
      <c r="A11" s="10">
        <f>A10+1</f>
        <v>2</v>
      </c>
      <c r="B11" s="11" t="s">
        <v>7</v>
      </c>
      <c r="C11" s="12" t="s">
        <v>38</v>
      </c>
      <c r="D11" s="16">
        <f t="shared" ref="D11:D25" si="0">J11</f>
        <v>856580.5</v>
      </c>
      <c r="F11" s="14">
        <v>265335.5</v>
      </c>
      <c r="G11" s="14">
        <v>341135</v>
      </c>
      <c r="H11" s="14">
        <v>250110</v>
      </c>
      <c r="I11" s="14"/>
      <c r="J11" s="17">
        <f t="shared" ref="J11:J40" si="1">F11+G11+H11</f>
        <v>856580.5</v>
      </c>
    </row>
    <row r="12" spans="1:10" x14ac:dyDescent="0.25">
      <c r="A12" s="10">
        <f t="shared" ref="A12:A37" si="2">A11+1</f>
        <v>3</v>
      </c>
      <c r="B12" s="43" t="s">
        <v>8</v>
      </c>
      <c r="C12" s="12" t="s">
        <v>41</v>
      </c>
      <c r="D12" s="16">
        <f t="shared" si="0"/>
        <v>709919.5</v>
      </c>
      <c r="F12" s="14">
        <v>225713.5</v>
      </c>
      <c r="G12" s="14">
        <v>183193.5</v>
      </c>
      <c r="H12" s="14">
        <v>301012.5</v>
      </c>
      <c r="I12" s="14"/>
      <c r="J12" s="17">
        <f t="shared" si="1"/>
        <v>709919.5</v>
      </c>
    </row>
    <row r="13" spans="1:10" x14ac:dyDescent="0.25">
      <c r="A13" s="10">
        <f t="shared" si="2"/>
        <v>4</v>
      </c>
      <c r="B13" s="56" t="s">
        <v>9</v>
      </c>
      <c r="C13" s="12" t="s">
        <v>46</v>
      </c>
      <c r="D13" s="16">
        <f t="shared" si="0"/>
        <v>744056.5</v>
      </c>
      <c r="F13" s="14">
        <v>168919</v>
      </c>
      <c r="G13" s="14">
        <v>150489.5</v>
      </c>
      <c r="H13" s="14">
        <v>424648</v>
      </c>
      <c r="I13" s="14"/>
      <c r="J13" s="17">
        <f t="shared" si="1"/>
        <v>744056.5</v>
      </c>
    </row>
    <row r="14" spans="1:10" x14ac:dyDescent="0.25">
      <c r="A14" s="10">
        <f t="shared" si="2"/>
        <v>5</v>
      </c>
      <c r="B14" s="11" t="s">
        <v>30</v>
      </c>
      <c r="C14" s="12" t="s">
        <v>49</v>
      </c>
      <c r="D14" s="16">
        <f t="shared" si="0"/>
        <v>501390.5</v>
      </c>
      <c r="F14" s="14">
        <v>167361</v>
      </c>
      <c r="G14" s="14">
        <v>158699.5</v>
      </c>
      <c r="H14" s="14">
        <v>175330</v>
      </c>
      <c r="I14" s="14"/>
      <c r="J14" s="17">
        <f t="shared" si="1"/>
        <v>501390.5</v>
      </c>
    </row>
    <row r="15" spans="1:10" x14ac:dyDescent="0.25">
      <c r="A15" s="10">
        <f t="shared" si="2"/>
        <v>6</v>
      </c>
      <c r="B15" s="43" t="s">
        <v>4</v>
      </c>
      <c r="C15" s="12" t="s">
        <v>52</v>
      </c>
      <c r="D15" s="16">
        <f t="shared" si="0"/>
        <v>318693.5</v>
      </c>
      <c r="F15" s="14">
        <v>155067.5</v>
      </c>
      <c r="G15" s="14">
        <v>163626</v>
      </c>
      <c r="H15" s="14"/>
      <c r="I15" s="14"/>
      <c r="J15" s="17">
        <f t="shared" si="1"/>
        <v>318693.5</v>
      </c>
    </row>
    <row r="16" spans="1:10" x14ac:dyDescent="0.25">
      <c r="A16" s="10">
        <f t="shared" si="2"/>
        <v>7</v>
      </c>
      <c r="B16" s="56" t="s">
        <v>5</v>
      </c>
      <c r="C16" s="12" t="s">
        <v>55</v>
      </c>
      <c r="D16" s="16">
        <f t="shared" si="0"/>
        <v>600356</v>
      </c>
      <c r="F16" s="14">
        <v>123829</v>
      </c>
      <c r="G16" s="14">
        <v>226892</v>
      </c>
      <c r="H16" s="14">
        <v>249635</v>
      </c>
      <c r="I16" s="14"/>
      <c r="J16" s="17">
        <f t="shared" si="1"/>
        <v>600356</v>
      </c>
    </row>
    <row r="17" spans="1:10" x14ac:dyDescent="0.25">
      <c r="A17" s="10">
        <f t="shared" si="2"/>
        <v>8</v>
      </c>
      <c r="B17" s="13" t="s">
        <v>6</v>
      </c>
      <c r="C17" s="44" t="s">
        <v>29</v>
      </c>
      <c r="D17" s="55" t="s">
        <v>29</v>
      </c>
      <c r="F17" s="14"/>
      <c r="G17" s="14"/>
      <c r="H17" s="14"/>
      <c r="I17" s="14"/>
      <c r="J17" s="59"/>
    </row>
    <row r="18" spans="1:10" x14ac:dyDescent="0.25">
      <c r="A18" s="10">
        <f t="shared" si="2"/>
        <v>9</v>
      </c>
      <c r="B18" s="11" t="s">
        <v>7</v>
      </c>
      <c r="C18" s="12" t="s">
        <v>57</v>
      </c>
      <c r="D18" s="16">
        <f t="shared" si="0"/>
        <v>809752</v>
      </c>
      <c r="F18" s="14">
        <v>260275.5</v>
      </c>
      <c r="G18" s="14">
        <v>285396</v>
      </c>
      <c r="H18" s="14">
        <v>264080.5</v>
      </c>
      <c r="I18" s="14"/>
      <c r="J18" s="17">
        <f t="shared" si="1"/>
        <v>809752</v>
      </c>
    </row>
    <row r="19" spans="1:10" x14ac:dyDescent="0.25">
      <c r="A19" s="10">
        <f t="shared" si="2"/>
        <v>10</v>
      </c>
      <c r="B19" s="43" t="s">
        <v>8</v>
      </c>
      <c r="C19" s="12" t="s">
        <v>59</v>
      </c>
      <c r="D19" s="16">
        <f t="shared" si="0"/>
        <v>614407</v>
      </c>
      <c r="F19" s="14">
        <v>168188</v>
      </c>
      <c r="G19" s="14">
        <v>173509</v>
      </c>
      <c r="H19" s="14">
        <v>272710</v>
      </c>
      <c r="I19" s="14"/>
      <c r="J19" s="17">
        <f t="shared" si="1"/>
        <v>614407</v>
      </c>
    </row>
    <row r="20" spans="1:10" x14ac:dyDescent="0.25">
      <c r="A20" s="10">
        <f t="shared" si="2"/>
        <v>11</v>
      </c>
      <c r="B20" s="56" t="s">
        <v>9</v>
      </c>
      <c r="C20" s="12" t="s">
        <v>61</v>
      </c>
      <c r="D20" s="16">
        <f t="shared" si="0"/>
        <v>1082361</v>
      </c>
      <c r="F20" s="14">
        <v>687380</v>
      </c>
      <c r="G20" s="14">
        <v>144809.5</v>
      </c>
      <c r="H20" s="14">
        <v>250171.5</v>
      </c>
      <c r="I20" s="14"/>
      <c r="J20" s="17">
        <f t="shared" si="1"/>
        <v>1082361</v>
      </c>
    </row>
    <row r="21" spans="1:10" x14ac:dyDescent="0.25">
      <c r="A21" s="10">
        <f t="shared" si="2"/>
        <v>12</v>
      </c>
      <c r="B21" s="11" t="s">
        <v>30</v>
      </c>
      <c r="C21" s="12" t="s">
        <v>64</v>
      </c>
      <c r="D21" s="16">
        <f t="shared" si="0"/>
        <v>597108</v>
      </c>
      <c r="F21" s="14">
        <v>237316</v>
      </c>
      <c r="G21" s="14">
        <v>199947</v>
      </c>
      <c r="H21" s="14">
        <v>159845</v>
      </c>
      <c r="I21" s="14"/>
      <c r="J21" s="17">
        <f t="shared" si="1"/>
        <v>597108</v>
      </c>
    </row>
    <row r="22" spans="1:10" x14ac:dyDescent="0.25">
      <c r="A22" s="10">
        <f t="shared" si="2"/>
        <v>13</v>
      </c>
      <c r="B22" s="43" t="s">
        <v>4</v>
      </c>
      <c r="C22" s="12" t="s">
        <v>67</v>
      </c>
      <c r="D22" s="16">
        <f t="shared" si="0"/>
        <v>302867</v>
      </c>
      <c r="F22" s="14"/>
      <c r="G22" s="14">
        <v>138597</v>
      </c>
      <c r="H22" s="14">
        <v>164270</v>
      </c>
      <c r="I22" s="14"/>
      <c r="J22" s="17">
        <f t="shared" si="1"/>
        <v>302867</v>
      </c>
    </row>
    <row r="23" spans="1:10" x14ac:dyDescent="0.25">
      <c r="A23" s="10">
        <f t="shared" si="2"/>
        <v>14</v>
      </c>
      <c r="B23" s="56" t="s">
        <v>5</v>
      </c>
      <c r="C23" s="12" t="s">
        <v>70</v>
      </c>
      <c r="D23" s="16">
        <f t="shared" si="0"/>
        <v>750283.5</v>
      </c>
      <c r="F23" s="14">
        <v>304269</v>
      </c>
      <c r="G23" s="14">
        <v>205893.5</v>
      </c>
      <c r="H23" s="14">
        <v>240121</v>
      </c>
      <c r="I23" s="14"/>
      <c r="J23" s="17">
        <f t="shared" si="1"/>
        <v>750283.5</v>
      </c>
    </row>
    <row r="24" spans="1:10" x14ac:dyDescent="0.25">
      <c r="A24" s="10">
        <f t="shared" si="2"/>
        <v>15</v>
      </c>
      <c r="B24" s="13" t="s">
        <v>6</v>
      </c>
      <c r="C24" s="44" t="s">
        <v>29</v>
      </c>
      <c r="D24" s="55" t="s">
        <v>29</v>
      </c>
      <c r="F24" s="14"/>
      <c r="G24" s="14"/>
      <c r="H24" s="14"/>
      <c r="I24" s="14"/>
      <c r="J24" s="59"/>
    </row>
    <row r="25" spans="1:10" x14ac:dyDescent="0.25">
      <c r="A25" s="10">
        <f t="shared" si="2"/>
        <v>16</v>
      </c>
      <c r="B25" s="11" t="s">
        <v>7</v>
      </c>
      <c r="C25" s="12" t="s">
        <v>73</v>
      </c>
      <c r="D25" s="16">
        <f t="shared" si="0"/>
        <v>793426.5</v>
      </c>
      <c r="F25" s="14">
        <v>275477</v>
      </c>
      <c r="G25" s="14">
        <v>288857.5</v>
      </c>
      <c r="H25" s="14">
        <v>229092</v>
      </c>
      <c r="I25" s="14"/>
      <c r="J25" s="17">
        <f t="shared" si="1"/>
        <v>793426.5</v>
      </c>
    </row>
    <row r="26" spans="1:10" x14ac:dyDescent="0.25">
      <c r="A26" s="10">
        <f t="shared" si="2"/>
        <v>17</v>
      </c>
      <c r="B26" s="43" t="s">
        <v>8</v>
      </c>
      <c r="C26" s="12" t="s">
        <v>76</v>
      </c>
      <c r="D26" s="16">
        <f t="shared" ref="D26:D30" si="3">J26</f>
        <v>715237</v>
      </c>
      <c r="F26" s="14">
        <v>218900</v>
      </c>
      <c r="G26" s="14">
        <v>209167</v>
      </c>
      <c r="H26" s="14">
        <v>287170</v>
      </c>
      <c r="I26" s="14"/>
      <c r="J26" s="17">
        <f t="shared" si="1"/>
        <v>715237</v>
      </c>
    </row>
    <row r="27" spans="1:10" x14ac:dyDescent="0.25">
      <c r="A27" s="10">
        <f t="shared" si="2"/>
        <v>18</v>
      </c>
      <c r="B27" s="56" t="s">
        <v>9</v>
      </c>
      <c r="C27" s="12" t="s">
        <v>79</v>
      </c>
      <c r="D27" s="16">
        <f t="shared" si="3"/>
        <v>432458</v>
      </c>
      <c r="F27" s="14"/>
      <c r="G27" s="14">
        <v>209792.5</v>
      </c>
      <c r="H27" s="14">
        <v>222665.5</v>
      </c>
      <c r="I27" s="14"/>
      <c r="J27" s="17">
        <f t="shared" si="1"/>
        <v>432458</v>
      </c>
    </row>
    <row r="28" spans="1:10" x14ac:dyDescent="0.25">
      <c r="A28" s="10">
        <f t="shared" si="2"/>
        <v>19</v>
      </c>
      <c r="B28" s="11" t="s">
        <v>30</v>
      </c>
      <c r="C28" s="12" t="s">
        <v>82</v>
      </c>
      <c r="D28" s="16">
        <f t="shared" si="3"/>
        <v>691944.16666666663</v>
      </c>
      <c r="F28" s="14">
        <v>255431.5</v>
      </c>
      <c r="G28" s="14">
        <v>207096.16666666666</v>
      </c>
      <c r="H28" s="14">
        <v>229416.5</v>
      </c>
      <c r="I28" s="14"/>
      <c r="J28" s="17">
        <f t="shared" si="1"/>
        <v>691944.16666666663</v>
      </c>
    </row>
    <row r="29" spans="1:10" x14ac:dyDescent="0.25">
      <c r="A29" s="10">
        <f t="shared" si="2"/>
        <v>20</v>
      </c>
      <c r="B29" s="43" t="s">
        <v>4</v>
      </c>
      <c r="C29" s="12" t="s">
        <v>85</v>
      </c>
      <c r="D29" s="16">
        <f t="shared" si="3"/>
        <v>733349.5</v>
      </c>
      <c r="F29" s="14">
        <v>289212.5</v>
      </c>
      <c r="G29" s="14">
        <v>126344.5</v>
      </c>
      <c r="H29" s="14">
        <v>317792.5</v>
      </c>
      <c r="I29" s="14"/>
      <c r="J29" s="17">
        <f t="shared" si="1"/>
        <v>733349.5</v>
      </c>
    </row>
    <row r="30" spans="1:10" x14ac:dyDescent="0.25">
      <c r="A30" s="10">
        <f t="shared" si="2"/>
        <v>21</v>
      </c>
      <c r="B30" s="56" t="s">
        <v>5</v>
      </c>
      <c r="C30" s="12" t="s">
        <v>88</v>
      </c>
      <c r="D30" s="16">
        <f t="shared" si="3"/>
        <v>271173.5</v>
      </c>
      <c r="F30" s="14"/>
      <c r="G30" s="14"/>
      <c r="H30" s="14">
        <v>271173.5</v>
      </c>
      <c r="I30" s="14"/>
      <c r="J30" s="17">
        <f t="shared" si="1"/>
        <v>271173.5</v>
      </c>
    </row>
    <row r="31" spans="1:10" x14ac:dyDescent="0.25">
      <c r="A31" s="10">
        <f t="shared" si="2"/>
        <v>22</v>
      </c>
      <c r="B31" s="13" t="s">
        <v>6</v>
      </c>
      <c r="C31" s="44" t="s">
        <v>29</v>
      </c>
      <c r="D31" s="55" t="s">
        <v>29</v>
      </c>
      <c r="E31" s="14"/>
      <c r="F31" s="14"/>
      <c r="G31" s="14"/>
      <c r="H31" s="14"/>
      <c r="I31" s="14"/>
      <c r="J31" s="59"/>
    </row>
    <row r="32" spans="1:10" x14ac:dyDescent="0.25">
      <c r="A32" s="10">
        <f t="shared" si="2"/>
        <v>23</v>
      </c>
      <c r="B32" s="11" t="s">
        <v>7</v>
      </c>
      <c r="C32" s="12"/>
      <c r="D32" s="16">
        <f t="shared" ref="D32:D39" si="4">J32</f>
        <v>0</v>
      </c>
      <c r="E32" s="15"/>
      <c r="F32" s="15"/>
      <c r="G32" s="14"/>
      <c r="H32" s="14"/>
      <c r="I32" s="54"/>
      <c r="J32" s="17">
        <f t="shared" si="1"/>
        <v>0</v>
      </c>
    </row>
    <row r="33" spans="1:10" x14ac:dyDescent="0.25">
      <c r="A33" s="10">
        <f t="shared" si="2"/>
        <v>24</v>
      </c>
      <c r="B33" s="43" t="s">
        <v>8</v>
      </c>
      <c r="C33" s="12"/>
      <c r="D33" s="16">
        <f t="shared" si="4"/>
        <v>0</v>
      </c>
      <c r="E33" s="15"/>
      <c r="F33" s="15"/>
      <c r="G33" s="14"/>
      <c r="H33" s="14"/>
      <c r="I33" s="14"/>
      <c r="J33" s="17">
        <f t="shared" si="1"/>
        <v>0</v>
      </c>
    </row>
    <row r="34" spans="1:10" x14ac:dyDescent="0.25">
      <c r="A34" s="10">
        <f>A33+1</f>
        <v>25</v>
      </c>
      <c r="B34" s="56" t="s">
        <v>9</v>
      </c>
      <c r="C34" s="12"/>
      <c r="D34" s="16">
        <f t="shared" si="4"/>
        <v>0</v>
      </c>
      <c r="E34" s="14"/>
      <c r="F34" s="15"/>
      <c r="G34" s="14"/>
      <c r="H34" s="14"/>
      <c r="I34" s="14"/>
      <c r="J34" s="17">
        <f t="shared" si="1"/>
        <v>0</v>
      </c>
    </row>
    <row r="35" spans="1:10" x14ac:dyDescent="0.25">
      <c r="A35" s="10">
        <f t="shared" si="2"/>
        <v>26</v>
      </c>
      <c r="B35" s="11" t="s">
        <v>30</v>
      </c>
      <c r="C35" s="12"/>
      <c r="D35" s="16">
        <f t="shared" si="4"/>
        <v>0</v>
      </c>
      <c r="E35" s="14"/>
      <c r="F35" s="14"/>
      <c r="G35" s="14"/>
      <c r="H35" s="14"/>
      <c r="I35" s="14"/>
      <c r="J35" s="17">
        <f t="shared" si="1"/>
        <v>0</v>
      </c>
    </row>
    <row r="36" spans="1:10" x14ac:dyDescent="0.25">
      <c r="A36" s="10">
        <f t="shared" si="2"/>
        <v>27</v>
      </c>
      <c r="B36" s="43" t="s">
        <v>4</v>
      </c>
      <c r="C36" s="12"/>
      <c r="D36" s="16">
        <f t="shared" si="4"/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56" t="s">
        <v>5</v>
      </c>
      <c r="C37" s="12"/>
      <c r="D37" s="16">
        <f t="shared" si="4"/>
        <v>0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/>
      <c r="B38" s="13"/>
      <c r="C38" s="12"/>
      <c r="D38" s="16">
        <f t="shared" si="4"/>
        <v>0</v>
      </c>
      <c r="E38" s="14"/>
      <c r="F38" s="14"/>
      <c r="G38" s="14"/>
      <c r="H38" s="14"/>
      <c r="I38" s="14"/>
      <c r="J38" s="17">
        <f t="shared" si="1"/>
        <v>0</v>
      </c>
    </row>
    <row r="39" spans="1:10" x14ac:dyDescent="0.25">
      <c r="A39" s="10"/>
      <c r="B39" s="43"/>
      <c r="C39" s="12"/>
      <c r="D39" s="16">
        <f t="shared" si="4"/>
        <v>0</v>
      </c>
      <c r="E39" s="14"/>
      <c r="F39" s="14"/>
      <c r="G39" s="14"/>
      <c r="H39" s="14"/>
      <c r="I39" s="14"/>
      <c r="J39" s="17">
        <f t="shared" si="1"/>
        <v>0</v>
      </c>
    </row>
    <row r="40" spans="1:10" x14ac:dyDescent="0.25">
      <c r="A40" s="10"/>
      <c r="B40" s="56"/>
      <c r="C40" s="12"/>
      <c r="D40" s="16">
        <f t="shared" ref="D40" si="5">J40</f>
        <v>0</v>
      </c>
      <c r="E40" s="14"/>
      <c r="F40" s="14"/>
      <c r="G40" s="14"/>
      <c r="H40" s="14"/>
      <c r="I40" s="14"/>
      <c r="J40" s="17">
        <f t="shared" si="1"/>
        <v>0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08" t="s">
        <v>10</v>
      </c>
      <c r="B42" s="109"/>
      <c r="C42" s="110"/>
      <c r="D42" s="48">
        <f>SUM(D2:D41)</f>
        <v>11525363.666666666</v>
      </c>
      <c r="J42" s="49">
        <f>SUM(J10:J41)</f>
        <v>11525363.666666666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8"/>
  <sheetViews>
    <sheetView topLeftCell="O937" zoomScaleNormal="100" workbookViewId="0">
      <selection activeCell="AE990" sqref="AE990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4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34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34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34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37</v>
      </c>
      <c r="B8" s="20"/>
      <c r="C8" s="57"/>
      <c r="D8" s="57"/>
      <c r="E8" s="57"/>
      <c r="G8" s="57"/>
      <c r="I8" s="22" t="s">
        <v>16</v>
      </c>
      <c r="J8" s="23" t="s">
        <v>31</v>
      </c>
      <c r="K8" s="24"/>
      <c r="M8" s="21" t="s">
        <v>37</v>
      </c>
      <c r="N8" s="20"/>
      <c r="O8" s="57"/>
      <c r="P8" s="57"/>
      <c r="Q8" s="57"/>
      <c r="R8" s="57"/>
      <c r="S8" s="57"/>
      <c r="U8" s="22" t="s">
        <v>16</v>
      </c>
      <c r="V8" s="23" t="s">
        <v>33</v>
      </c>
      <c r="W8" s="24"/>
      <c r="Y8" s="21" t="s">
        <v>37</v>
      </c>
      <c r="Z8" s="20"/>
      <c r="AA8" s="57"/>
      <c r="AB8" s="57"/>
      <c r="AC8" s="57"/>
      <c r="AD8" s="57"/>
      <c r="AE8" s="57"/>
      <c r="AG8" s="22" t="s">
        <v>16</v>
      </c>
      <c r="AH8" s="23" t="s">
        <v>35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15" t="s">
        <v>17</v>
      </c>
      <c r="E10" s="115"/>
      <c r="F10" s="75"/>
      <c r="G10" s="27"/>
      <c r="I10" s="113" t="s">
        <v>18</v>
      </c>
      <c r="J10" s="114"/>
      <c r="K10" s="111" t="s">
        <v>19</v>
      </c>
      <c r="N10" s="25"/>
      <c r="O10" s="26"/>
      <c r="P10" s="115" t="s">
        <v>17</v>
      </c>
      <c r="Q10" s="115"/>
      <c r="R10" s="75"/>
      <c r="S10" s="27"/>
      <c r="U10" s="113" t="s">
        <v>18</v>
      </c>
      <c r="V10" s="114"/>
      <c r="W10" s="111" t="s">
        <v>19</v>
      </c>
      <c r="Z10" s="25"/>
      <c r="AA10" s="26"/>
      <c r="AB10" s="115" t="s">
        <v>17</v>
      </c>
      <c r="AC10" s="115"/>
      <c r="AD10" s="75"/>
      <c r="AE10" s="27"/>
      <c r="AG10" s="113" t="s">
        <v>18</v>
      </c>
      <c r="AH10" s="114"/>
      <c r="AI10" s="111" t="s">
        <v>19</v>
      </c>
    </row>
    <row r="11" spans="1:35" ht="30" x14ac:dyDescent="0.25">
      <c r="B11" s="28" t="s">
        <v>20</v>
      </c>
      <c r="C11" s="28" t="s">
        <v>21</v>
      </c>
      <c r="D11" s="77" t="s">
        <v>22</v>
      </c>
      <c r="E11" s="76" t="s">
        <v>23</v>
      </c>
      <c r="F11" s="78" t="s">
        <v>32</v>
      </c>
      <c r="G11" s="78" t="s">
        <v>24</v>
      </c>
      <c r="I11" s="29" t="s">
        <v>25</v>
      </c>
      <c r="J11" s="29" t="s">
        <v>26</v>
      </c>
      <c r="K11" s="112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32</v>
      </c>
      <c r="S11" s="78" t="s">
        <v>24</v>
      </c>
      <c r="U11" s="29" t="s">
        <v>25</v>
      </c>
      <c r="V11" s="29" t="s">
        <v>26</v>
      </c>
      <c r="W11" s="112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32</v>
      </c>
      <c r="AE11" s="78" t="s">
        <v>24</v>
      </c>
      <c r="AG11" s="29" t="s">
        <v>25</v>
      </c>
      <c r="AH11" s="29" t="s">
        <v>26</v>
      </c>
      <c r="AI11" s="112"/>
    </row>
    <row r="12" spans="1:35" x14ac:dyDescent="0.25">
      <c r="A12" s="10">
        <v>1</v>
      </c>
      <c r="B12" s="30">
        <v>46055</v>
      </c>
      <c r="C12" s="83">
        <v>8851</v>
      </c>
      <c r="D12" s="32">
        <f>650*216+622*108+229*13</f>
        <v>210553</v>
      </c>
      <c r="E12" s="32">
        <f>-324*6</f>
        <v>-1944</v>
      </c>
      <c r="F12" s="32"/>
      <c r="G12" s="32">
        <f t="shared" ref="G12:G45" si="0">SUM(D12:E12)</f>
        <v>208609</v>
      </c>
      <c r="H12" s="12"/>
      <c r="I12" s="12">
        <f>222*111+78*11+19*1.5</f>
        <v>25528.5</v>
      </c>
      <c r="J12" s="12">
        <f>-120*5</f>
        <v>-600</v>
      </c>
      <c r="K12" s="12">
        <f t="shared" ref="K12:K45" si="1">SUM(G12:J12)</f>
        <v>233537.5</v>
      </c>
      <c r="M12" s="10">
        <v>1</v>
      </c>
      <c r="N12" s="30">
        <v>46055</v>
      </c>
      <c r="O12" s="31">
        <v>8810</v>
      </c>
      <c r="P12" s="32">
        <f>650*7+622*2</f>
        <v>5794</v>
      </c>
      <c r="Q12" s="32"/>
      <c r="R12" s="32"/>
      <c r="S12" s="32">
        <f>SUM(P12:Q12)</f>
        <v>5794</v>
      </c>
      <c r="T12" s="12"/>
      <c r="U12" s="12"/>
      <c r="V12" s="12">
        <v>-1332</v>
      </c>
      <c r="W12" s="12">
        <f>SUM(S12:V12)</f>
        <v>4462</v>
      </c>
      <c r="Y12" s="10">
        <v>1</v>
      </c>
      <c r="Z12" s="30">
        <v>46055</v>
      </c>
      <c r="AA12" s="31">
        <v>8698</v>
      </c>
      <c r="AB12" s="32">
        <f>30*650+670*2+229</f>
        <v>21069</v>
      </c>
      <c r="AC12" s="32"/>
      <c r="AD12" s="32"/>
      <c r="AE12" s="32">
        <f>SUM(AB12:AC12)</f>
        <v>21069</v>
      </c>
      <c r="AF12" s="12"/>
      <c r="AG12" s="12"/>
      <c r="AH12" s="12"/>
      <c r="AI12" s="12">
        <f>SUM(AE12:AH12)</f>
        <v>21069</v>
      </c>
    </row>
    <row r="13" spans="1:35" x14ac:dyDescent="0.25">
      <c r="A13" s="10">
        <v>2</v>
      </c>
      <c r="B13" s="30">
        <v>46055</v>
      </c>
      <c r="C13" s="83">
        <f>C12+1</f>
        <v>8852</v>
      </c>
      <c r="D13" s="32">
        <f>650*29+670*4+622*10</f>
        <v>27750</v>
      </c>
      <c r="E13" s="32"/>
      <c r="F13" s="32"/>
      <c r="G13" s="32">
        <f t="shared" si="0"/>
        <v>27750</v>
      </c>
      <c r="H13" s="12"/>
      <c r="I13" s="12">
        <v>324</v>
      </c>
      <c r="J13" s="12"/>
      <c r="K13" s="12">
        <f t="shared" si="1"/>
        <v>28074</v>
      </c>
      <c r="M13" s="10">
        <v>2</v>
      </c>
      <c r="N13" s="30">
        <v>46055</v>
      </c>
      <c r="O13" s="31">
        <f>O12+1</f>
        <v>8811</v>
      </c>
      <c r="P13" s="32">
        <f>650*5+622+9.5*6</f>
        <v>3929</v>
      </c>
      <c r="Q13" s="32"/>
      <c r="R13" s="32"/>
      <c r="S13" s="32">
        <f t="shared" ref="S13:S44" si="2">SUM(P13:Q13)</f>
        <v>3929</v>
      </c>
      <c r="T13" s="12"/>
      <c r="U13" s="12"/>
      <c r="V13" s="12">
        <v>-1110</v>
      </c>
      <c r="W13" s="12">
        <f t="shared" ref="W13:W44" si="3">SUM(S13:V13)</f>
        <v>2819</v>
      </c>
      <c r="Y13" s="10">
        <v>2</v>
      </c>
      <c r="Z13" s="30">
        <v>46055</v>
      </c>
      <c r="AA13" s="31">
        <f>AA12+1</f>
        <v>8699</v>
      </c>
      <c r="AB13" s="32">
        <f>650*108+229*4</f>
        <v>71116</v>
      </c>
      <c r="AC13" s="32">
        <v>-648</v>
      </c>
      <c r="AD13" s="32"/>
      <c r="AE13" s="32">
        <f t="shared" ref="AE13:AE44" si="4">SUM(AB13:AC13)</f>
        <v>70468</v>
      </c>
      <c r="AF13" s="12"/>
      <c r="AG13" s="12">
        <f>24*1.5</f>
        <v>36</v>
      </c>
      <c r="AH13" s="12">
        <f>-111*24</f>
        <v>-2664</v>
      </c>
      <c r="AI13" s="12">
        <f t="shared" ref="AI13:AI44" si="5">SUM(AE13:AH13)</f>
        <v>67840</v>
      </c>
    </row>
    <row r="14" spans="1:35" x14ac:dyDescent="0.25">
      <c r="A14" s="10">
        <v>3</v>
      </c>
      <c r="B14" s="30">
        <v>46055</v>
      </c>
      <c r="C14" s="83">
        <f t="shared" ref="C14:C19" si="6">C13+1</f>
        <v>8853</v>
      </c>
      <c r="D14" s="33">
        <f>650*11+670</f>
        <v>7820</v>
      </c>
      <c r="E14" s="33"/>
      <c r="F14" s="33"/>
      <c r="G14" s="33">
        <f t="shared" si="0"/>
        <v>7820</v>
      </c>
      <c r="H14" s="34"/>
      <c r="I14" s="34"/>
      <c r="J14" s="34"/>
      <c r="K14" s="34">
        <f t="shared" si="1"/>
        <v>7820</v>
      </c>
      <c r="M14" s="10">
        <v>3</v>
      </c>
      <c r="N14" s="30">
        <v>46055</v>
      </c>
      <c r="O14" s="31">
        <f t="shared" ref="O14:O17" si="7">O13+1</f>
        <v>8812</v>
      </c>
      <c r="P14" s="32">
        <f>650*432+670*10+622*50+229*20+650*2</f>
        <v>324480</v>
      </c>
      <c r="Q14" s="32">
        <f>-492*6</f>
        <v>-2952</v>
      </c>
      <c r="R14" s="32"/>
      <c r="S14" s="32">
        <f t="shared" si="2"/>
        <v>321528</v>
      </c>
      <c r="T14" s="12"/>
      <c r="U14" s="12">
        <v>720</v>
      </c>
      <c r="V14" s="12"/>
      <c r="W14" s="12">
        <f t="shared" si="3"/>
        <v>322248</v>
      </c>
      <c r="Y14" s="10">
        <v>3</v>
      </c>
      <c r="Z14" s="30">
        <v>46055</v>
      </c>
      <c r="AA14" s="31">
        <f t="shared" ref="AA14:AA17" si="8">AA13+1</f>
        <v>8700</v>
      </c>
      <c r="AB14" s="33">
        <f>650*90+622*10+872*3+229*2</f>
        <v>67794</v>
      </c>
      <c r="AC14" s="33"/>
      <c r="AD14" s="32"/>
      <c r="AE14" s="32">
        <f t="shared" si="4"/>
        <v>67794</v>
      </c>
      <c r="AF14" s="12"/>
      <c r="AG14" s="12"/>
      <c r="AH14" s="12"/>
      <c r="AI14" s="12">
        <f t="shared" si="5"/>
        <v>67794</v>
      </c>
    </row>
    <row r="15" spans="1:35" x14ac:dyDescent="0.25">
      <c r="A15" s="10">
        <v>4</v>
      </c>
      <c r="B15" s="30">
        <v>46055</v>
      </c>
      <c r="C15" s="83">
        <f t="shared" si="6"/>
        <v>8854</v>
      </c>
      <c r="D15" s="32">
        <f>650*9+9.5*9</f>
        <v>5935.5</v>
      </c>
      <c r="E15" s="32"/>
      <c r="F15" s="32"/>
      <c r="G15" s="32">
        <f t="shared" si="0"/>
        <v>5935.5</v>
      </c>
      <c r="H15" s="12"/>
      <c r="I15" s="12"/>
      <c r="J15" s="12"/>
      <c r="K15" s="12">
        <f t="shared" si="1"/>
        <v>5935.5</v>
      </c>
      <c r="M15" s="10">
        <v>4</v>
      </c>
      <c r="N15" s="30">
        <v>46055</v>
      </c>
      <c r="O15" s="31">
        <f t="shared" si="7"/>
        <v>8813</v>
      </c>
      <c r="P15" s="32">
        <f>650*3+670+9.5*4</f>
        <v>2658</v>
      </c>
      <c r="Q15" s="32"/>
      <c r="R15" s="32"/>
      <c r="S15" s="32">
        <f t="shared" si="2"/>
        <v>2658</v>
      </c>
      <c r="T15" s="12"/>
      <c r="U15" s="12"/>
      <c r="V15" s="12"/>
      <c r="W15" s="12">
        <f t="shared" si="3"/>
        <v>2658</v>
      </c>
      <c r="Y15" s="10">
        <v>4</v>
      </c>
      <c r="Z15" s="30">
        <v>46055</v>
      </c>
      <c r="AA15" s="31">
        <v>8901</v>
      </c>
      <c r="AB15" s="32">
        <f>650*20+670*5+622*8+872*2+229</f>
        <v>23299</v>
      </c>
      <c r="AC15" s="32"/>
      <c r="AD15" s="32"/>
      <c r="AE15" s="32">
        <f t="shared" si="4"/>
        <v>23299</v>
      </c>
      <c r="AF15" s="12"/>
      <c r="AH15" s="12">
        <v>-333</v>
      </c>
      <c r="AI15" s="12">
        <f t="shared" si="5"/>
        <v>22966</v>
      </c>
    </row>
    <row r="16" spans="1:35" x14ac:dyDescent="0.25">
      <c r="A16" s="10">
        <v>5</v>
      </c>
      <c r="B16" s="30">
        <v>46055</v>
      </c>
      <c r="C16" s="83">
        <f t="shared" si="6"/>
        <v>8855</v>
      </c>
      <c r="D16" s="32">
        <f>670</f>
        <v>670</v>
      </c>
      <c r="E16" s="32"/>
      <c r="F16" s="32"/>
      <c r="G16" s="32">
        <f t="shared" si="0"/>
        <v>670</v>
      </c>
      <c r="H16" s="12"/>
      <c r="I16" s="12"/>
      <c r="J16" s="12"/>
      <c r="K16" s="12">
        <f t="shared" si="1"/>
        <v>670</v>
      </c>
      <c r="M16" s="10">
        <v>5</v>
      </c>
      <c r="N16" s="30">
        <v>46055</v>
      </c>
      <c r="O16" s="31">
        <f t="shared" si="7"/>
        <v>8814</v>
      </c>
      <c r="P16" s="32">
        <f>650*8+9.5*8</f>
        <v>5276</v>
      </c>
      <c r="Q16" s="32"/>
      <c r="R16" s="32"/>
      <c r="S16" s="32">
        <f t="shared" si="2"/>
        <v>5276</v>
      </c>
      <c r="T16" s="12"/>
      <c r="U16" s="12"/>
      <c r="V16" s="12"/>
      <c r="W16" s="12">
        <f t="shared" si="3"/>
        <v>5276</v>
      </c>
      <c r="Y16" s="10">
        <v>5</v>
      </c>
      <c r="Z16" s="30">
        <v>46055</v>
      </c>
      <c r="AA16" s="31">
        <f t="shared" si="8"/>
        <v>8902</v>
      </c>
      <c r="AB16" s="32">
        <f>650*80+622*20+229*2</f>
        <v>64898</v>
      </c>
      <c r="AC16" s="32"/>
      <c r="AD16" s="32"/>
      <c r="AE16" s="32">
        <f t="shared" ref="AE16:AE21" si="9">SUM(AB16:AC16)</f>
        <v>64898</v>
      </c>
      <c r="AF16" s="12"/>
      <c r="AG16" s="12">
        <f>2664+4.5*25</f>
        <v>2776.5</v>
      </c>
      <c r="AH16" s="12"/>
      <c r="AI16" s="12">
        <f t="shared" si="5"/>
        <v>67674.5</v>
      </c>
    </row>
    <row r="17" spans="1:35" x14ac:dyDescent="0.25">
      <c r="A17" s="10">
        <v>6</v>
      </c>
      <c r="B17" s="30">
        <v>46055</v>
      </c>
      <c r="C17" s="83">
        <f t="shared" si="6"/>
        <v>8856</v>
      </c>
      <c r="D17" s="32">
        <f>650*10+670*3+9.5*10</f>
        <v>8605</v>
      </c>
      <c r="E17" s="32"/>
      <c r="F17" s="32"/>
      <c r="G17" s="32">
        <f t="shared" si="0"/>
        <v>8605</v>
      </c>
      <c r="H17" s="12"/>
      <c r="I17" s="12"/>
      <c r="J17" s="12"/>
      <c r="K17" s="12">
        <f t="shared" si="1"/>
        <v>8605</v>
      </c>
      <c r="M17" s="10">
        <v>6</v>
      </c>
      <c r="N17" s="30">
        <v>46055</v>
      </c>
      <c r="O17" s="31">
        <f t="shared" si="7"/>
        <v>8815</v>
      </c>
      <c r="P17" s="32">
        <f>650*3</f>
        <v>1950</v>
      </c>
      <c r="Q17" s="32"/>
      <c r="R17" s="32"/>
      <c r="S17" s="32">
        <f t="shared" si="2"/>
        <v>1950</v>
      </c>
      <c r="T17" s="12"/>
      <c r="U17" s="12"/>
      <c r="V17" s="10"/>
      <c r="W17" s="12">
        <f t="shared" si="3"/>
        <v>1950</v>
      </c>
      <c r="Y17" s="10">
        <v>6</v>
      </c>
      <c r="Z17" s="30">
        <v>46055</v>
      </c>
      <c r="AA17" s="31">
        <f t="shared" si="8"/>
        <v>8903</v>
      </c>
      <c r="AB17" s="32">
        <f>650*2+622*2+9.5*4</f>
        <v>2582</v>
      </c>
      <c r="AC17" s="32"/>
      <c r="AD17" s="32"/>
      <c r="AE17" s="32">
        <f t="shared" si="9"/>
        <v>2582</v>
      </c>
      <c r="AF17" s="12"/>
      <c r="AG17" s="12"/>
      <c r="AH17" s="10"/>
      <c r="AI17" s="12">
        <f t="shared" si="5"/>
        <v>2582</v>
      </c>
    </row>
    <row r="18" spans="1:35" x14ac:dyDescent="0.25">
      <c r="A18" s="10">
        <v>7</v>
      </c>
      <c r="B18" s="30">
        <v>46055</v>
      </c>
      <c r="C18" s="83">
        <f t="shared" si="6"/>
        <v>8857</v>
      </c>
      <c r="D18" s="32">
        <f>3900+670+57</f>
        <v>4627</v>
      </c>
      <c r="E18" s="32"/>
      <c r="F18" s="32"/>
      <c r="G18" s="32">
        <f t="shared" si="0"/>
        <v>4627</v>
      </c>
      <c r="H18" s="12"/>
      <c r="I18" s="12"/>
      <c r="J18" s="12"/>
      <c r="K18" s="12">
        <f t="shared" si="1"/>
        <v>4627</v>
      </c>
      <c r="M18" s="10">
        <v>7</v>
      </c>
      <c r="N18" s="30"/>
      <c r="O18" s="11" t="s">
        <v>27</v>
      </c>
      <c r="P18" s="32"/>
      <c r="Q18" s="32"/>
      <c r="R18" s="32"/>
      <c r="S18" s="32">
        <f t="shared" si="2"/>
        <v>0</v>
      </c>
      <c r="T18" s="12"/>
      <c r="U18" s="12"/>
      <c r="V18" s="12"/>
      <c r="W18" s="12">
        <f t="shared" si="3"/>
        <v>0</v>
      </c>
      <c r="Y18" s="10">
        <v>7</v>
      </c>
      <c r="Z18" s="30"/>
      <c r="AA18" s="11" t="s">
        <v>27</v>
      </c>
      <c r="AB18" s="32"/>
      <c r="AC18" s="32"/>
      <c r="AD18" s="32"/>
      <c r="AE18" s="32">
        <f t="shared" si="9"/>
        <v>0</v>
      </c>
      <c r="AF18" s="12"/>
      <c r="AG18" s="58"/>
      <c r="AH18" s="12"/>
      <c r="AI18" s="12">
        <f t="shared" si="5"/>
        <v>0</v>
      </c>
    </row>
    <row r="19" spans="1:35" x14ac:dyDescent="0.25">
      <c r="A19" s="10">
        <v>8</v>
      </c>
      <c r="B19" s="30">
        <v>46055</v>
      </c>
      <c r="C19" s="83">
        <f t="shared" si="6"/>
        <v>8858</v>
      </c>
      <c r="D19" s="32">
        <f>650*2+9.5*2</f>
        <v>1319</v>
      </c>
      <c r="E19" s="32"/>
      <c r="F19" s="32"/>
      <c r="G19" s="32">
        <f t="shared" si="0"/>
        <v>1319</v>
      </c>
      <c r="H19" s="12"/>
      <c r="I19" s="12"/>
      <c r="J19" s="12"/>
      <c r="K19" s="12">
        <f t="shared" si="1"/>
        <v>1319</v>
      </c>
      <c r="M19" s="10">
        <v>8</v>
      </c>
      <c r="N19" s="30"/>
      <c r="O19" s="31"/>
      <c r="P19" s="32"/>
      <c r="Q19" s="32"/>
      <c r="R19" s="32"/>
      <c r="S19" s="32">
        <f t="shared" si="2"/>
        <v>0</v>
      </c>
      <c r="T19" s="12"/>
      <c r="U19" s="12"/>
      <c r="V19" s="12"/>
      <c r="W19" s="12">
        <f t="shared" si="3"/>
        <v>0</v>
      </c>
      <c r="Y19" s="10">
        <v>8</v>
      </c>
      <c r="Z19" s="30"/>
      <c r="AA19" s="31"/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/>
      <c r="C20" s="11" t="s">
        <v>27</v>
      </c>
      <c r="D20" s="32"/>
      <c r="E20" s="32"/>
      <c r="F20" s="32"/>
      <c r="G20" s="32">
        <f t="shared" si="0"/>
        <v>0</v>
      </c>
      <c r="H20" s="12"/>
      <c r="I20" s="12"/>
      <c r="J20" s="12"/>
      <c r="K20" s="12">
        <f t="shared" si="1"/>
        <v>0</v>
      </c>
      <c r="M20" s="10">
        <v>9</v>
      </c>
      <c r="N20" s="30"/>
      <c r="O20" s="31"/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/>
      <c r="C21" s="83"/>
      <c r="D21" s="32"/>
      <c r="E21" s="32"/>
      <c r="F21" s="32"/>
      <c r="G21" s="32">
        <f t="shared" si="0"/>
        <v>0</v>
      </c>
      <c r="H21" s="12"/>
      <c r="I21" s="12"/>
      <c r="J21" s="12"/>
      <c r="K21" s="12">
        <f t="shared" si="1"/>
        <v>0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3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83"/>
      <c r="D22" s="32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83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83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3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3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3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C29" s="83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3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3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3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3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3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3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3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3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3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3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3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3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3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3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3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3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3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3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267279.5</v>
      </c>
      <c r="E55" s="38">
        <f t="shared" ref="E55:F55" si="18">SUM(E12:E52)</f>
        <v>-1944</v>
      </c>
      <c r="F55" s="38">
        <f t="shared" si="18"/>
        <v>0</v>
      </c>
      <c r="G55" s="38">
        <f>SUM(G12:G54)</f>
        <v>265335.5</v>
      </c>
      <c r="H55" s="4"/>
      <c r="I55" s="39">
        <f>SUM(I12:I54)</f>
        <v>25852.5</v>
      </c>
      <c r="J55" s="39">
        <f>SUM(J12:J54)</f>
        <v>-600</v>
      </c>
      <c r="K55" s="40">
        <f>SUM(K12:K54)</f>
        <v>290588</v>
      </c>
      <c r="N55" s="57"/>
      <c r="O55" s="57"/>
      <c r="P55" s="38">
        <f>SUM(P12:P54)</f>
        <v>344087</v>
      </c>
      <c r="Q55" s="38">
        <f>SUM(Q12:Q36)</f>
        <v>-2952</v>
      </c>
      <c r="R55" s="38">
        <f>SUM(R12:R36)</f>
        <v>0</v>
      </c>
      <c r="S55" s="38">
        <f>SUM(S12:S54)</f>
        <v>341135</v>
      </c>
      <c r="T55" s="4"/>
      <c r="U55" s="41">
        <f>SUM(U12:U54)</f>
        <v>720</v>
      </c>
      <c r="V55" s="41">
        <f>SUM(V12:V36)</f>
        <v>-2442</v>
      </c>
      <c r="W55" s="42">
        <f>SUM(W12:W54)</f>
        <v>339413</v>
      </c>
      <c r="Z55" s="57"/>
      <c r="AA55" s="57"/>
      <c r="AB55" s="38">
        <f>SUM(AB12:AB54)</f>
        <v>250758</v>
      </c>
      <c r="AC55" s="38">
        <f>SUM(AC12:AC36)</f>
        <v>-648</v>
      </c>
      <c r="AD55" s="38">
        <f>SUM(AD12:AD36)</f>
        <v>0</v>
      </c>
      <c r="AE55" s="38">
        <f>SUM(AE12:AE54)</f>
        <v>250110</v>
      </c>
      <c r="AF55" s="4"/>
      <c r="AG55" s="41">
        <f>SUM(AG12:AG54)</f>
        <v>2812.5</v>
      </c>
      <c r="AH55" s="41">
        <f>SUM(AH12:AH36)</f>
        <v>-2997</v>
      </c>
      <c r="AI55" s="42">
        <f>SUM(AI12:AI54)</f>
        <v>249925.5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t="s">
        <v>28</v>
      </c>
      <c r="B58" s="57"/>
      <c r="C58" s="57"/>
      <c r="D58" s="57"/>
      <c r="E58" s="57"/>
      <c r="G58" s="57"/>
      <c r="M58" t="s">
        <v>28</v>
      </c>
      <c r="N58" s="57"/>
      <c r="O58" s="57"/>
      <c r="P58" s="57"/>
      <c r="Q58" s="57"/>
      <c r="R58" s="57"/>
      <c r="S58" s="57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4" t="s">
        <v>14</v>
      </c>
      <c r="N60" s="57"/>
      <c r="O60" s="57"/>
      <c r="P60" s="57"/>
      <c r="Q60" s="57"/>
      <c r="R60" s="57"/>
      <c r="S60" s="57"/>
      <c r="Y60" s="4" t="s">
        <v>14</v>
      </c>
      <c r="Z60" s="57"/>
      <c r="AA60" s="57"/>
      <c r="AB60" s="57"/>
      <c r="AC60" s="57"/>
      <c r="AD60" s="57"/>
      <c r="AE60" s="57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39</v>
      </c>
      <c r="B62" s="57"/>
      <c r="C62" s="57"/>
      <c r="D62" s="57"/>
      <c r="E62" s="57"/>
      <c r="G62" s="57"/>
      <c r="I62" s="57" t="s">
        <v>15</v>
      </c>
      <c r="J62" s="19">
        <v>1</v>
      </c>
      <c r="M62" t="s">
        <v>39</v>
      </c>
      <c r="N62" s="57"/>
      <c r="O62" s="57"/>
      <c r="P62" s="57"/>
      <c r="Q62" s="57"/>
      <c r="R62" s="57"/>
      <c r="S62" s="57"/>
      <c r="U62" s="57" t="s">
        <v>15</v>
      </c>
      <c r="V62" s="19">
        <v>2</v>
      </c>
      <c r="Y62" t="s">
        <v>39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40</v>
      </c>
      <c r="B63" s="20"/>
      <c r="C63" s="57"/>
      <c r="D63" s="57"/>
      <c r="E63" s="57"/>
      <c r="G63" s="57"/>
      <c r="I63" s="22" t="s">
        <v>16</v>
      </c>
      <c r="J63" s="23" t="s">
        <v>31</v>
      </c>
      <c r="K63" s="24"/>
      <c r="M63" s="21" t="s">
        <v>40</v>
      </c>
      <c r="N63" s="20"/>
      <c r="O63" s="57"/>
      <c r="P63" s="57"/>
      <c r="Q63" s="57"/>
      <c r="R63" s="57"/>
      <c r="S63" s="57"/>
      <c r="U63" s="22" t="s">
        <v>16</v>
      </c>
      <c r="V63" s="23" t="s">
        <v>33</v>
      </c>
      <c r="W63" s="24"/>
      <c r="Y63" s="21" t="s">
        <v>40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35</v>
      </c>
      <c r="AI63" s="24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B65" s="25"/>
      <c r="C65" s="26"/>
      <c r="D65" s="115" t="s">
        <v>17</v>
      </c>
      <c r="E65" s="115"/>
      <c r="F65" s="87"/>
      <c r="G65" s="27"/>
      <c r="I65" s="113" t="s">
        <v>18</v>
      </c>
      <c r="J65" s="114"/>
      <c r="K65" s="111" t="s">
        <v>19</v>
      </c>
      <c r="N65" s="25"/>
      <c r="O65" s="26"/>
      <c r="P65" s="115" t="s">
        <v>17</v>
      </c>
      <c r="Q65" s="115"/>
      <c r="R65" s="87"/>
      <c r="S65" s="27"/>
      <c r="U65" s="113" t="s">
        <v>18</v>
      </c>
      <c r="V65" s="114"/>
      <c r="W65" s="111" t="s">
        <v>19</v>
      </c>
      <c r="Z65" s="25"/>
      <c r="AA65" s="26"/>
      <c r="AB65" s="115" t="s">
        <v>17</v>
      </c>
      <c r="AC65" s="115"/>
      <c r="AD65" s="87"/>
      <c r="AE65" s="27"/>
      <c r="AG65" s="113" t="s">
        <v>18</v>
      </c>
      <c r="AH65" s="114"/>
      <c r="AI65" s="111" t="s">
        <v>19</v>
      </c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7" t="s">
        <v>22</v>
      </c>
      <c r="E66" s="76" t="s">
        <v>23</v>
      </c>
      <c r="F66" s="78" t="s">
        <v>32</v>
      </c>
      <c r="G66" s="78" t="s">
        <v>24</v>
      </c>
      <c r="I66" s="29" t="s">
        <v>25</v>
      </c>
      <c r="J66" s="29" t="s">
        <v>26</v>
      </c>
      <c r="K66" s="112"/>
      <c r="N66" s="28" t="s">
        <v>20</v>
      </c>
      <c r="O66" s="28" t="s">
        <v>21</v>
      </c>
      <c r="P66" s="77" t="s">
        <v>22</v>
      </c>
      <c r="Q66" s="78" t="s">
        <v>23</v>
      </c>
      <c r="R66" s="78" t="s">
        <v>32</v>
      </c>
      <c r="S66" s="78" t="s">
        <v>24</v>
      </c>
      <c r="U66" s="29" t="s">
        <v>25</v>
      </c>
      <c r="V66" s="29" t="s">
        <v>26</v>
      </c>
      <c r="W66" s="112"/>
      <c r="Z66" s="28" t="s">
        <v>20</v>
      </c>
      <c r="AA66" s="28" t="s">
        <v>21</v>
      </c>
      <c r="AB66" s="77" t="s">
        <v>22</v>
      </c>
      <c r="AC66" s="78" t="s">
        <v>23</v>
      </c>
      <c r="AD66" s="78" t="s">
        <v>32</v>
      </c>
      <c r="AE66" s="78" t="s">
        <v>24</v>
      </c>
      <c r="AG66" s="29" t="s">
        <v>25</v>
      </c>
      <c r="AH66" s="29" t="s">
        <v>26</v>
      </c>
      <c r="AI66" s="112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46083</v>
      </c>
      <c r="C67" s="83">
        <v>8859</v>
      </c>
      <c r="D67" s="32">
        <f>650*6</f>
        <v>3900</v>
      </c>
      <c r="E67" s="32">
        <v>-36</v>
      </c>
      <c r="F67" s="32"/>
      <c r="G67" s="32">
        <f t="shared" ref="G67:G100" si="19">SUM(D67:E67)</f>
        <v>3864</v>
      </c>
      <c r="H67" s="12"/>
      <c r="I67" s="12"/>
      <c r="J67" s="12"/>
      <c r="K67" s="12">
        <f t="shared" ref="K67:K100" si="20">SUM(G67:J67)</f>
        <v>3864</v>
      </c>
      <c r="M67" s="10">
        <v>1</v>
      </c>
      <c r="N67" s="30">
        <v>46083</v>
      </c>
      <c r="O67" s="31">
        <v>8816</v>
      </c>
      <c r="P67" s="32">
        <f>650*4+670+622</f>
        <v>3892</v>
      </c>
      <c r="Q67" s="32"/>
      <c r="R67" s="32"/>
      <c r="S67" s="32">
        <f>SUM(P67:Q67)</f>
        <v>3892</v>
      </c>
      <c r="T67" s="12"/>
      <c r="U67" s="12"/>
      <c r="V67" s="12"/>
      <c r="W67" s="12">
        <f>SUM(S67:V67)</f>
        <v>3892</v>
      </c>
      <c r="Y67" s="10">
        <v>1</v>
      </c>
      <c r="Z67" s="30">
        <v>46083</v>
      </c>
      <c r="AA67" s="31">
        <v>8904</v>
      </c>
      <c r="AB67" s="32">
        <f>650*304+622*20+1175+1175+872*3+229*9+500*2</f>
        <v>218067</v>
      </c>
      <c r="AC67" s="32">
        <f>-329*6</f>
        <v>-1974</v>
      </c>
      <c r="AD67" s="32"/>
      <c r="AE67" s="32">
        <f>SUM(AB67:AC67)</f>
        <v>216093</v>
      </c>
      <c r="AF67" s="12"/>
      <c r="AG67" s="12">
        <f>4.5*54+144*1.5</f>
        <v>459</v>
      </c>
      <c r="AH67" s="12"/>
      <c r="AI67" s="12">
        <f>SUM(AE67:AH67)</f>
        <v>216552</v>
      </c>
      <c r="AK67" s="62"/>
      <c r="AL67" s="65"/>
      <c r="AM67" s="86"/>
      <c r="AN67" s="117"/>
      <c r="AO67" s="117"/>
      <c r="AP67" s="86"/>
      <c r="AQ67" s="62"/>
      <c r="AR67" s="117"/>
      <c r="AS67" s="117"/>
      <c r="AT67" s="116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46083</v>
      </c>
      <c r="C68" s="83">
        <f>C67+1</f>
        <v>8860</v>
      </c>
      <c r="D68" s="32">
        <f>650*15+670+872</f>
        <v>11292</v>
      </c>
      <c r="E68" s="32"/>
      <c r="F68" s="32"/>
      <c r="G68" s="32">
        <f t="shared" si="19"/>
        <v>11292</v>
      </c>
      <c r="H68" s="12"/>
      <c r="I68" s="12"/>
      <c r="J68" s="12"/>
      <c r="K68" s="12">
        <f t="shared" si="20"/>
        <v>11292</v>
      </c>
      <c r="M68" s="10">
        <v>2</v>
      </c>
      <c r="N68" s="30">
        <v>46083</v>
      </c>
      <c r="O68" s="31">
        <f>O67+1</f>
        <v>8817</v>
      </c>
      <c r="P68" s="32">
        <f>650*17+622*3+9.5*20</f>
        <v>13106</v>
      </c>
      <c r="Q68" s="32"/>
      <c r="R68" s="32"/>
      <c r="S68" s="32">
        <f t="shared" ref="S68:S99" si="21">SUM(P68:Q68)</f>
        <v>13106</v>
      </c>
      <c r="T68" s="12"/>
      <c r="U68" s="12"/>
      <c r="V68" s="12"/>
      <c r="W68" s="12">
        <f t="shared" ref="W68:W99" si="22">SUM(S68:V68)</f>
        <v>13106</v>
      </c>
      <c r="Y68" s="10">
        <v>2</v>
      </c>
      <c r="Z68" s="30">
        <v>46083</v>
      </c>
      <c r="AA68" s="31">
        <f>AA67+1</f>
        <v>8905</v>
      </c>
      <c r="AB68" s="32">
        <f>650*55+622*5+229+650*2</f>
        <v>40389</v>
      </c>
      <c r="AC68" s="32"/>
      <c r="AD68" s="32"/>
      <c r="AE68" s="32">
        <f t="shared" ref="AE68:AE70" si="23">SUM(AB68:AC68)</f>
        <v>40389</v>
      </c>
      <c r="AF68" s="12"/>
      <c r="AG68" s="12"/>
      <c r="AH68" s="12"/>
      <c r="AI68" s="12">
        <f t="shared" ref="AI68:AI99" si="24">SUM(AE68:AH68)</f>
        <v>40389</v>
      </c>
      <c r="AK68" s="62"/>
      <c r="AL68" s="86"/>
      <c r="AM68" s="86"/>
      <c r="AN68" s="86"/>
      <c r="AO68" s="85"/>
      <c r="AP68" s="85"/>
      <c r="AQ68" s="62"/>
      <c r="AR68" s="85"/>
      <c r="AS68" s="85"/>
      <c r="AT68" s="116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46083</v>
      </c>
      <c r="C69" s="83">
        <f t="shared" ref="C69:C79" si="25">C68+1</f>
        <v>8861</v>
      </c>
      <c r="D69" s="33">
        <f>650*9+622+9.5*10</f>
        <v>6567</v>
      </c>
      <c r="E69" s="33"/>
      <c r="F69" s="33"/>
      <c r="G69" s="33">
        <f t="shared" si="19"/>
        <v>6567</v>
      </c>
      <c r="H69" s="34"/>
      <c r="I69" s="34"/>
      <c r="J69" s="34"/>
      <c r="K69" s="34">
        <f t="shared" si="20"/>
        <v>6567</v>
      </c>
      <c r="M69" s="10">
        <v>3</v>
      </c>
      <c r="N69" s="30">
        <v>46083</v>
      </c>
      <c r="O69" s="31">
        <f t="shared" ref="O69:O75" si="26">O68+1</f>
        <v>8818</v>
      </c>
      <c r="P69" s="32">
        <f>650*2</f>
        <v>1300</v>
      </c>
      <c r="Q69" s="32"/>
      <c r="R69" s="32"/>
      <c r="S69" s="32">
        <f t="shared" si="21"/>
        <v>1300</v>
      </c>
      <c r="T69" s="12"/>
      <c r="U69" s="12"/>
      <c r="V69" s="12"/>
      <c r="W69" s="12">
        <f t="shared" si="22"/>
        <v>1300</v>
      </c>
      <c r="Y69" s="10">
        <v>3</v>
      </c>
      <c r="Z69" s="30">
        <v>46083</v>
      </c>
      <c r="AA69" s="31">
        <f t="shared" ref="AA69:AA71" si="27">AA68+1</f>
        <v>8906</v>
      </c>
      <c r="AB69" s="33">
        <f>650*40+670*4+622*6</f>
        <v>32412</v>
      </c>
      <c r="AC69" s="33">
        <v>-300</v>
      </c>
      <c r="AD69" s="32"/>
      <c r="AE69" s="32">
        <f t="shared" si="23"/>
        <v>32112</v>
      </c>
      <c r="AF69" s="12"/>
      <c r="AG69" s="12"/>
      <c r="AH69" s="12"/>
      <c r="AI69" s="12">
        <f t="shared" si="24"/>
        <v>32112</v>
      </c>
      <c r="AK69" s="62"/>
      <c r="AL69" s="66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46083</v>
      </c>
      <c r="C70" s="83">
        <f t="shared" si="25"/>
        <v>8862</v>
      </c>
      <c r="D70" s="32">
        <f>650*10+670+622*2+9.5*12</f>
        <v>8528</v>
      </c>
      <c r="E70" s="32"/>
      <c r="F70" s="32"/>
      <c r="G70" s="32">
        <f t="shared" si="19"/>
        <v>8528</v>
      </c>
      <c r="H70" s="12"/>
      <c r="I70" s="12"/>
      <c r="J70" s="12"/>
      <c r="K70" s="12">
        <f t="shared" si="20"/>
        <v>8528</v>
      </c>
      <c r="M70" s="10">
        <v>4</v>
      </c>
      <c r="N70" s="30">
        <v>46083</v>
      </c>
      <c r="O70" s="31">
        <f t="shared" si="26"/>
        <v>8819</v>
      </c>
      <c r="P70" s="32">
        <f>650*30+670+1102+9.5*30+650</f>
        <v>22207</v>
      </c>
      <c r="Q70" s="32"/>
      <c r="R70" s="32"/>
      <c r="S70" s="32">
        <f t="shared" si="21"/>
        <v>22207</v>
      </c>
      <c r="T70" s="12"/>
      <c r="U70" s="12"/>
      <c r="V70" s="12">
        <v>-333</v>
      </c>
      <c r="W70" s="12">
        <f t="shared" si="22"/>
        <v>21874</v>
      </c>
      <c r="Y70" s="10">
        <v>4</v>
      </c>
      <c r="Z70" s="30">
        <v>46083</v>
      </c>
      <c r="AA70" s="31">
        <f t="shared" si="27"/>
        <v>8907</v>
      </c>
      <c r="AB70" s="32">
        <f>650*10+622*2+9.5*12</f>
        <v>7858</v>
      </c>
      <c r="AC70" s="32"/>
      <c r="AD70" s="32"/>
      <c r="AE70" s="32">
        <f t="shared" si="23"/>
        <v>7858</v>
      </c>
      <c r="AF70" s="12"/>
      <c r="AH70" s="12"/>
      <c r="AI70" s="12">
        <f t="shared" si="24"/>
        <v>7858</v>
      </c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46083</v>
      </c>
      <c r="C71" s="83">
        <f t="shared" si="25"/>
        <v>8863</v>
      </c>
      <c r="D71" s="32">
        <f>650*45+622*5+229</f>
        <v>32589</v>
      </c>
      <c r="E71" s="32"/>
      <c r="F71" s="32"/>
      <c r="G71" s="32">
        <f t="shared" si="19"/>
        <v>32589</v>
      </c>
      <c r="H71" s="12"/>
      <c r="I71" s="12"/>
      <c r="J71" s="12"/>
      <c r="K71" s="12">
        <f t="shared" si="20"/>
        <v>32589</v>
      </c>
      <c r="M71" s="10">
        <v>5</v>
      </c>
      <c r="N71" s="30">
        <v>46083</v>
      </c>
      <c r="O71" s="31">
        <f t="shared" si="26"/>
        <v>8820</v>
      </c>
      <c r="P71" s="32">
        <f>650*35+622*15</f>
        <v>32080</v>
      </c>
      <c r="Q71" s="32"/>
      <c r="R71" s="32"/>
      <c r="S71" s="32">
        <f t="shared" si="21"/>
        <v>32080</v>
      </c>
      <c r="T71" s="12"/>
      <c r="U71" s="12"/>
      <c r="V71" s="12">
        <f>4.5*3</f>
        <v>13.5</v>
      </c>
      <c r="W71" s="12">
        <f t="shared" si="22"/>
        <v>32093.5</v>
      </c>
      <c r="Y71" s="10">
        <v>5</v>
      </c>
      <c r="Z71" s="30">
        <v>46083</v>
      </c>
      <c r="AA71" s="31">
        <f t="shared" si="27"/>
        <v>8908</v>
      </c>
      <c r="AB71" s="32">
        <f>650*5+622*2+9.5*7</f>
        <v>4560.5</v>
      </c>
      <c r="AC71" s="32"/>
      <c r="AD71" s="32"/>
      <c r="AE71" s="32">
        <f t="shared" ref="AE71:AE76" si="28">SUM(AB71:AC71)</f>
        <v>4560.5</v>
      </c>
      <c r="AF71" s="12"/>
      <c r="AG71" s="12"/>
      <c r="AH71" s="12"/>
      <c r="AI71" s="12">
        <f t="shared" si="24"/>
        <v>4560.5</v>
      </c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46083</v>
      </c>
      <c r="C72" s="83">
        <f t="shared" si="25"/>
        <v>8864</v>
      </c>
      <c r="D72" s="32">
        <f>650*30+622*5</f>
        <v>22610</v>
      </c>
      <c r="E72" s="32"/>
      <c r="F72" s="32"/>
      <c r="G72" s="32">
        <f t="shared" si="19"/>
        <v>22610</v>
      </c>
      <c r="H72" s="12"/>
      <c r="I72" s="12"/>
      <c r="J72" s="12"/>
      <c r="K72" s="12">
        <f t="shared" si="20"/>
        <v>22610</v>
      </c>
      <c r="M72" s="10">
        <v>6</v>
      </c>
      <c r="N72" s="30">
        <v>46083</v>
      </c>
      <c r="O72" s="31">
        <f t="shared" si="26"/>
        <v>8821</v>
      </c>
      <c r="P72" s="32">
        <f>650*126+670*6+622*8+229*2</f>
        <v>91354</v>
      </c>
      <c r="Q72" s="32">
        <v>-840</v>
      </c>
      <c r="R72" s="32"/>
      <c r="S72" s="32">
        <f t="shared" si="21"/>
        <v>90514</v>
      </c>
      <c r="T72" s="12"/>
      <c r="U72" s="12">
        <v>36</v>
      </c>
      <c r="V72" s="10">
        <v>-3885</v>
      </c>
      <c r="W72" s="12">
        <f t="shared" si="22"/>
        <v>86665</v>
      </c>
      <c r="Y72" s="10">
        <v>6</v>
      </c>
      <c r="Z72" s="30"/>
      <c r="AA72" s="11" t="s">
        <v>27</v>
      </c>
      <c r="AB72" s="32"/>
      <c r="AC72" s="32"/>
      <c r="AD72" s="32"/>
      <c r="AE72" s="32">
        <f t="shared" si="28"/>
        <v>0</v>
      </c>
      <c r="AF72" s="12"/>
      <c r="AG72" s="12"/>
      <c r="AH72" s="10"/>
      <c r="AI72" s="12">
        <f t="shared" si="24"/>
        <v>0</v>
      </c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46083</v>
      </c>
      <c r="C73" s="83">
        <f t="shared" si="25"/>
        <v>8865</v>
      </c>
      <c r="D73" s="32">
        <f>650*18</f>
        <v>11700</v>
      </c>
      <c r="E73" s="32"/>
      <c r="F73" s="32"/>
      <c r="G73" s="32">
        <f t="shared" si="19"/>
        <v>11700</v>
      </c>
      <c r="H73" s="12"/>
      <c r="I73" s="12"/>
      <c r="J73" s="12"/>
      <c r="K73" s="12">
        <f t="shared" si="20"/>
        <v>11700</v>
      </c>
      <c r="M73" s="10">
        <v>7</v>
      </c>
      <c r="N73" s="30">
        <v>46083</v>
      </c>
      <c r="O73" s="31">
        <f t="shared" si="26"/>
        <v>8822</v>
      </c>
      <c r="P73" s="32">
        <f>650*10</f>
        <v>6500</v>
      </c>
      <c r="Q73" s="32"/>
      <c r="R73" s="32"/>
      <c r="S73" s="32">
        <f t="shared" si="21"/>
        <v>6500</v>
      </c>
      <c r="T73" s="12"/>
      <c r="U73" s="12"/>
      <c r="V73" s="12"/>
      <c r="W73" s="12">
        <f t="shared" si="22"/>
        <v>6500</v>
      </c>
      <c r="Y73" s="10">
        <v>7</v>
      </c>
      <c r="Z73" s="30"/>
      <c r="AA73" s="31"/>
      <c r="AB73" s="32"/>
      <c r="AC73" s="32"/>
      <c r="AD73" s="32"/>
      <c r="AE73" s="32">
        <f t="shared" si="28"/>
        <v>0</v>
      </c>
      <c r="AF73" s="12"/>
      <c r="AG73" s="58"/>
      <c r="AH73" s="12"/>
      <c r="AI73" s="12">
        <f t="shared" si="24"/>
        <v>0</v>
      </c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46083</v>
      </c>
      <c r="C74" s="83">
        <f t="shared" si="25"/>
        <v>8866</v>
      </c>
      <c r="D74" s="32">
        <f>650*25+525+436+650*2</f>
        <v>18511</v>
      </c>
      <c r="E74" s="32"/>
      <c r="F74" s="32"/>
      <c r="G74" s="32">
        <f t="shared" si="19"/>
        <v>18511</v>
      </c>
      <c r="H74" s="12"/>
      <c r="I74" s="12"/>
      <c r="J74" s="12"/>
      <c r="K74" s="12">
        <f t="shared" si="20"/>
        <v>18511</v>
      </c>
      <c r="M74" s="10">
        <v>8</v>
      </c>
      <c r="N74" s="30">
        <v>46083</v>
      </c>
      <c r="O74" s="31">
        <f t="shared" si="26"/>
        <v>8823</v>
      </c>
      <c r="P74" s="32">
        <f>650*3+9.5*3</f>
        <v>1978.5</v>
      </c>
      <c r="Q74" s="32"/>
      <c r="R74" s="32"/>
      <c r="S74" s="32">
        <f t="shared" si="21"/>
        <v>1978.5</v>
      </c>
      <c r="T74" s="12"/>
      <c r="U74" s="12"/>
      <c r="V74" s="12"/>
      <c r="W74" s="12">
        <f t="shared" si="22"/>
        <v>1978.5</v>
      </c>
      <c r="Y74" s="10">
        <v>8</v>
      </c>
      <c r="Z74" s="30"/>
      <c r="AA74" s="31"/>
      <c r="AB74" s="32"/>
      <c r="AC74" s="32"/>
      <c r="AE74" s="32">
        <f t="shared" si="28"/>
        <v>0</v>
      </c>
      <c r="AF74" s="12"/>
      <c r="AG74" s="12"/>
      <c r="AH74" s="12"/>
      <c r="AI74" s="12">
        <f t="shared" si="24"/>
        <v>0</v>
      </c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46083</v>
      </c>
      <c r="C75" s="83">
        <f t="shared" si="25"/>
        <v>8867</v>
      </c>
      <c r="D75" s="32">
        <f>650*100+670*5+700*5</f>
        <v>71850</v>
      </c>
      <c r="E75" s="32"/>
      <c r="F75" s="32"/>
      <c r="G75" s="32">
        <f t="shared" si="19"/>
        <v>71850</v>
      </c>
      <c r="H75" s="12"/>
      <c r="I75" s="12"/>
      <c r="J75" s="12"/>
      <c r="K75" s="12">
        <f t="shared" si="20"/>
        <v>71850</v>
      </c>
      <c r="M75" s="10">
        <v>9</v>
      </c>
      <c r="N75" s="30">
        <v>46083</v>
      </c>
      <c r="O75" s="31">
        <f t="shared" si="26"/>
        <v>8824</v>
      </c>
      <c r="P75" s="32">
        <f>650*15+622*3</f>
        <v>11616</v>
      </c>
      <c r="Q75" s="32"/>
      <c r="R75" s="32"/>
      <c r="S75" s="32">
        <f t="shared" si="21"/>
        <v>11616</v>
      </c>
      <c r="T75" s="12"/>
      <c r="U75" s="12"/>
      <c r="V75" s="12"/>
      <c r="W75" s="12">
        <f t="shared" si="22"/>
        <v>11616</v>
      </c>
      <c r="Y75" s="10">
        <v>9</v>
      </c>
      <c r="Z75" s="30"/>
      <c r="AA75" s="31"/>
      <c r="AC75" s="32"/>
      <c r="AD75" s="32"/>
      <c r="AE75" s="32">
        <f t="shared" si="28"/>
        <v>0</v>
      </c>
      <c r="AF75" s="12"/>
      <c r="AH75" s="12"/>
      <c r="AI75" s="12">
        <f t="shared" si="24"/>
        <v>0</v>
      </c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46083</v>
      </c>
      <c r="C76" s="83">
        <f t="shared" si="25"/>
        <v>8868</v>
      </c>
      <c r="D76" s="32">
        <f>650*3+9.5*3</f>
        <v>1978.5</v>
      </c>
      <c r="E76" s="32"/>
      <c r="F76" s="32"/>
      <c r="G76" s="32">
        <f t="shared" si="19"/>
        <v>1978.5</v>
      </c>
      <c r="H76" s="12"/>
      <c r="I76" s="12"/>
      <c r="J76" s="12"/>
      <c r="K76" s="12">
        <f t="shared" si="20"/>
        <v>1978.5</v>
      </c>
      <c r="M76" s="10">
        <v>10</v>
      </c>
      <c r="N76" s="30"/>
      <c r="O76" s="11" t="s">
        <v>27</v>
      </c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/>
      <c r="AA76" s="31"/>
      <c r="AB76" s="32"/>
      <c r="AC76" s="32"/>
      <c r="AD76" s="32"/>
      <c r="AE76" s="32">
        <f t="shared" si="28"/>
        <v>0</v>
      </c>
      <c r="AF76" s="12"/>
      <c r="AG76" s="12"/>
      <c r="AH76" s="12"/>
      <c r="AI76" s="12">
        <f t="shared" si="24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46083</v>
      </c>
      <c r="C77" s="83">
        <f t="shared" si="25"/>
        <v>8869</v>
      </c>
      <c r="D77" s="32">
        <f>650*29+622*5</f>
        <v>21960</v>
      </c>
      <c r="E77" s="32"/>
      <c r="F77" s="32"/>
      <c r="G77" s="32">
        <f t="shared" si="19"/>
        <v>21960</v>
      </c>
      <c r="H77" s="12"/>
      <c r="I77" s="12"/>
      <c r="J77" s="12"/>
      <c r="K77" s="12">
        <f t="shared" si="20"/>
        <v>21960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/>
      <c r="AA77" s="31"/>
      <c r="AB77" s="32"/>
      <c r="AC77" s="32"/>
      <c r="AD77" s="32"/>
      <c r="AE77" s="32">
        <f t="shared" ref="AE77:AE99" si="29">SUM(AB77:AC77)</f>
        <v>0</v>
      </c>
      <c r="AF77" s="12"/>
      <c r="AG77" s="12"/>
      <c r="AH77" s="12"/>
      <c r="AI77" s="12">
        <f t="shared" si="24"/>
        <v>0</v>
      </c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>
        <v>46083</v>
      </c>
      <c r="C78" s="83">
        <f t="shared" si="25"/>
        <v>8870</v>
      </c>
      <c r="D78" s="32">
        <f>650*17+670+622*2</f>
        <v>12964</v>
      </c>
      <c r="E78" s="32"/>
      <c r="F78" s="32"/>
      <c r="G78" s="32">
        <f t="shared" si="19"/>
        <v>12964</v>
      </c>
      <c r="H78" s="12"/>
      <c r="I78" s="12">
        <v>1332</v>
      </c>
      <c r="J78" s="10"/>
      <c r="K78" s="12">
        <f t="shared" si="20"/>
        <v>14296</v>
      </c>
      <c r="M78" s="10">
        <v>12</v>
      </c>
      <c r="N78" s="30"/>
      <c r="O78" s="31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/>
      <c r="AA78" s="31"/>
      <c r="AB78" s="32"/>
      <c r="AC78" s="32"/>
      <c r="AD78" s="32"/>
      <c r="AE78" s="32">
        <f t="shared" si="29"/>
        <v>0</v>
      </c>
      <c r="AF78" s="12"/>
      <c r="AG78" s="12"/>
      <c r="AH78" s="12"/>
      <c r="AI78" s="12">
        <f t="shared" si="24"/>
        <v>0</v>
      </c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>
        <v>46083</v>
      </c>
      <c r="C79" s="83">
        <f t="shared" si="25"/>
        <v>8871</v>
      </c>
      <c r="D79" s="32">
        <f>650*2</f>
        <v>1300</v>
      </c>
      <c r="E79" s="32"/>
      <c r="F79" s="32"/>
      <c r="G79" s="32">
        <f t="shared" si="19"/>
        <v>1300</v>
      </c>
      <c r="H79" s="12"/>
      <c r="I79" s="12"/>
      <c r="J79" s="12"/>
      <c r="K79" s="12">
        <f t="shared" si="20"/>
        <v>1300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/>
      <c r="AA79" s="31"/>
      <c r="AB79" s="32"/>
      <c r="AC79" s="32"/>
      <c r="AD79" s="32"/>
      <c r="AE79" s="32">
        <f t="shared" si="29"/>
        <v>0</v>
      </c>
      <c r="AF79" s="12"/>
      <c r="AG79" s="12"/>
      <c r="AH79" s="12"/>
      <c r="AI79" s="12">
        <f t="shared" si="24"/>
        <v>0</v>
      </c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/>
      <c r="C80" s="11" t="s">
        <v>27</v>
      </c>
      <c r="D80" s="32"/>
      <c r="E80" s="32"/>
      <c r="F80" s="32"/>
      <c r="G80" s="32">
        <f t="shared" si="19"/>
        <v>0</v>
      </c>
      <c r="H80" s="12"/>
      <c r="I80" s="12"/>
      <c r="J80" s="12"/>
      <c r="K80" s="12">
        <f t="shared" si="20"/>
        <v>0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31"/>
      <c r="AB80" s="32"/>
      <c r="AC80" s="32"/>
      <c r="AD80" s="32"/>
      <c r="AE80" s="32">
        <f t="shared" si="29"/>
        <v>0</v>
      </c>
      <c r="AF80" s="12"/>
      <c r="AG80" s="12"/>
      <c r="AH80" s="12"/>
      <c r="AI80" s="12">
        <f t="shared" si="24"/>
        <v>0</v>
      </c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83"/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9"/>
        <v>0</v>
      </c>
      <c r="AF81" s="12"/>
      <c r="AG81" s="12"/>
      <c r="AH81" s="12"/>
      <c r="AI81" s="12">
        <f t="shared" si="24"/>
        <v>0</v>
      </c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83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10">
        <v>16</v>
      </c>
      <c r="N82" s="30"/>
      <c r="O82" s="31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B82" s="32"/>
      <c r="AC82" s="32"/>
      <c r="AD82" s="32"/>
      <c r="AE82" s="32">
        <f t="shared" si="29"/>
        <v>0</v>
      </c>
      <c r="AF82" s="12"/>
      <c r="AG82" s="12"/>
      <c r="AH82" s="12"/>
      <c r="AI82" s="12">
        <f t="shared" si="24"/>
        <v>0</v>
      </c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83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10">
        <v>17</v>
      </c>
      <c r="N83" s="30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9"/>
        <v>0</v>
      </c>
      <c r="AF83" s="12"/>
      <c r="AG83" s="12"/>
      <c r="AH83" s="12"/>
      <c r="AI83" s="12">
        <f t="shared" si="24"/>
        <v>0</v>
      </c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83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9"/>
        <v>0</v>
      </c>
      <c r="AF84" s="12"/>
      <c r="AG84" s="12"/>
      <c r="AH84" s="12"/>
      <c r="AI84" s="12">
        <f t="shared" si="24"/>
        <v>0</v>
      </c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83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9"/>
        <v>0</v>
      </c>
      <c r="AF85" s="12"/>
      <c r="AG85" s="12"/>
      <c r="AH85" s="12"/>
      <c r="AI85" s="12">
        <f t="shared" si="24"/>
        <v>0</v>
      </c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83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9"/>
        <v>0</v>
      </c>
      <c r="AF86" s="12"/>
      <c r="AG86" s="12"/>
      <c r="AH86" s="12"/>
      <c r="AI86" s="12">
        <f t="shared" si="24"/>
        <v>0</v>
      </c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83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9"/>
        <v>0</v>
      </c>
      <c r="AF87" s="10"/>
      <c r="AG87" s="10"/>
      <c r="AH87" s="10"/>
      <c r="AI87" s="12">
        <f t="shared" si="24"/>
        <v>0</v>
      </c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83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O88" s="31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9"/>
        <v>0</v>
      </c>
      <c r="AF88" s="10"/>
      <c r="AG88" s="10"/>
      <c r="AH88" s="10"/>
      <c r="AI88" s="12">
        <f t="shared" si="24"/>
        <v>0</v>
      </c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83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9"/>
        <v>0</v>
      </c>
      <c r="AF89" s="10"/>
      <c r="AG89" s="10"/>
      <c r="AH89" s="10"/>
      <c r="AI89" s="12">
        <f t="shared" si="24"/>
        <v>0</v>
      </c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83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O90" s="3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9"/>
        <v>0</v>
      </c>
      <c r="AF90" s="10"/>
      <c r="AG90" s="10"/>
      <c r="AH90" s="10"/>
      <c r="AI90" s="12">
        <f t="shared" si="24"/>
        <v>0</v>
      </c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83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31"/>
      <c r="AB91" s="47"/>
      <c r="AC91" s="31"/>
      <c r="AD91" s="31"/>
      <c r="AE91" s="32">
        <f t="shared" si="29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83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A92" s="31"/>
      <c r="AB92" s="47"/>
      <c r="AC92" s="31"/>
      <c r="AD92" s="31"/>
      <c r="AE92" s="32">
        <f t="shared" si="29"/>
        <v>0</v>
      </c>
      <c r="AF92" s="10"/>
      <c r="AG92" s="10"/>
      <c r="AH92" s="10"/>
      <c r="AI92" s="12">
        <f t="shared" si="24"/>
        <v>0</v>
      </c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83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9"/>
        <v>0</v>
      </c>
      <c r="AF93" s="10"/>
      <c r="AG93" s="10"/>
      <c r="AH93" s="10"/>
      <c r="AI93" s="12">
        <f t="shared" si="24"/>
        <v>0</v>
      </c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83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9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O95" s="31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9"/>
        <v>0</v>
      </c>
      <c r="AF95" s="10"/>
      <c r="AG95" s="10"/>
      <c r="AH95" s="10"/>
      <c r="AI95" s="12">
        <f t="shared" si="24"/>
        <v>0</v>
      </c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83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O96" s="31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A96" s="31"/>
      <c r="AB96" s="47"/>
      <c r="AC96" s="31"/>
      <c r="AD96" s="31"/>
      <c r="AE96" s="32">
        <f t="shared" si="29"/>
        <v>0</v>
      </c>
      <c r="AF96" s="10"/>
      <c r="AG96" s="10"/>
      <c r="AH96" s="10"/>
      <c r="AI96" s="12">
        <f t="shared" si="24"/>
        <v>0</v>
      </c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83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A97" s="31"/>
      <c r="AB97" s="47"/>
      <c r="AC97" s="31"/>
      <c r="AD97" s="31"/>
      <c r="AE97" s="32">
        <f t="shared" si="29"/>
        <v>0</v>
      </c>
      <c r="AF97" s="10"/>
      <c r="AG97" s="10"/>
      <c r="AH97" s="10"/>
      <c r="AI97" s="12">
        <f t="shared" si="24"/>
        <v>0</v>
      </c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83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O98" s="31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9"/>
        <v>0</v>
      </c>
      <c r="AF98" s="10"/>
      <c r="AG98" s="10"/>
      <c r="AH98" s="10"/>
      <c r="AI98" s="12">
        <f t="shared" si="24"/>
        <v>0</v>
      </c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83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9"/>
        <v>0</v>
      </c>
      <c r="AF99" s="10"/>
      <c r="AG99" s="10"/>
      <c r="AH99" s="10"/>
      <c r="AI99" s="12">
        <f t="shared" si="24"/>
        <v>0</v>
      </c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83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30">SUM(P100:Q100)</f>
        <v>0</v>
      </c>
      <c r="T100" s="10"/>
      <c r="U100" s="10"/>
      <c r="V100" s="10"/>
      <c r="W100" s="12">
        <f t="shared" ref="W100:W108" si="31">SUM(S100:V100)</f>
        <v>0</v>
      </c>
      <c r="Y100" s="10">
        <v>34</v>
      </c>
      <c r="Z100" s="30"/>
      <c r="AA100" s="31"/>
      <c r="AB100" s="47"/>
      <c r="AC100" s="31"/>
      <c r="AD100" s="31"/>
      <c r="AE100" s="32">
        <f t="shared" ref="AE100:AE105" si="32">SUM(AB100:AC100)</f>
        <v>0</v>
      </c>
      <c r="AF100" s="10"/>
      <c r="AG100" s="10"/>
      <c r="AH100" s="10"/>
      <c r="AI100" s="12">
        <f t="shared" ref="AI100:AI108" si="33">SUM(AE100:AH100)</f>
        <v>0</v>
      </c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83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30"/>
        <v>0</v>
      </c>
      <c r="T101" s="10"/>
      <c r="U101" s="10"/>
      <c r="V101" s="10"/>
      <c r="W101" s="12">
        <f t="shared" si="31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2"/>
        <v>0</v>
      </c>
      <c r="AF101" s="10"/>
      <c r="AG101" s="10"/>
      <c r="AH101" s="10"/>
      <c r="AI101" s="12">
        <f t="shared" si="33"/>
        <v>0</v>
      </c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83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30"/>
        <v>0</v>
      </c>
      <c r="T102" s="10"/>
      <c r="U102" s="10"/>
      <c r="V102" s="10"/>
      <c r="W102" s="12">
        <f t="shared" si="31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2"/>
        <v>0</v>
      </c>
      <c r="AF102" s="10"/>
      <c r="AG102" s="10"/>
      <c r="AH102" s="10"/>
      <c r="AI102" s="12">
        <f t="shared" si="33"/>
        <v>0</v>
      </c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30"/>
        <v>0</v>
      </c>
      <c r="T103" s="10"/>
      <c r="U103" s="10"/>
      <c r="V103" s="10"/>
      <c r="W103" s="12">
        <f t="shared" si="31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2"/>
        <v>0</v>
      </c>
      <c r="AF103" s="10"/>
      <c r="AG103" s="10"/>
      <c r="AH103" s="10"/>
      <c r="AI103" s="12">
        <f t="shared" si="33"/>
        <v>0</v>
      </c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30"/>
        <v>0</v>
      </c>
      <c r="T104" s="10"/>
      <c r="U104" s="10"/>
      <c r="V104" s="10"/>
      <c r="W104" s="12">
        <f t="shared" si="31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2"/>
        <v>0</v>
      </c>
      <c r="AF104" s="10"/>
      <c r="AG104" s="10"/>
      <c r="AH104" s="10"/>
      <c r="AI104" s="12">
        <f t="shared" si="33"/>
        <v>0</v>
      </c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30"/>
        <v>0</v>
      </c>
      <c r="T105" s="10"/>
      <c r="U105" s="10"/>
      <c r="V105" s="10"/>
      <c r="W105" s="12">
        <f t="shared" si="31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2"/>
        <v>0</v>
      </c>
      <c r="AF105" s="10"/>
      <c r="AG105" s="10"/>
      <c r="AH105" s="10"/>
      <c r="AI105" s="12">
        <f t="shared" si="33"/>
        <v>0</v>
      </c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31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3"/>
        <v>0</v>
      </c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4">SUM(D107:E107)</f>
        <v>0</v>
      </c>
      <c r="H107" s="10"/>
      <c r="I107" s="10"/>
      <c r="J107" s="10"/>
      <c r="K107" s="12">
        <f t="shared" ref="K107" si="35">SUM(G107:J107)</f>
        <v>0</v>
      </c>
      <c r="M107" s="10"/>
      <c r="N107" s="30"/>
      <c r="O107" s="31"/>
      <c r="P107" s="47"/>
      <c r="Q107" s="31"/>
      <c r="R107" s="31"/>
      <c r="S107" s="32">
        <f t="shared" ref="S107" si="36">SUM(P107:Q107)</f>
        <v>0</v>
      </c>
      <c r="T107" s="10"/>
      <c r="U107" s="10"/>
      <c r="V107" s="10"/>
      <c r="W107" s="12">
        <f t="shared" si="31"/>
        <v>0</v>
      </c>
      <c r="Y107" s="10"/>
      <c r="Z107" s="30"/>
      <c r="AA107" s="31"/>
      <c r="AB107" s="47"/>
      <c r="AC107" s="31"/>
      <c r="AD107" s="31"/>
      <c r="AE107" s="32">
        <f t="shared" ref="AE107" si="37">SUM(AB107:AC107)</f>
        <v>0</v>
      </c>
      <c r="AF107" s="10"/>
      <c r="AG107" s="10"/>
      <c r="AH107" s="10"/>
      <c r="AI107" s="12">
        <f t="shared" si="33"/>
        <v>0</v>
      </c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31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3"/>
        <v>0</v>
      </c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225749.5</v>
      </c>
      <c r="E110" s="38">
        <f t="shared" ref="E110:F110" si="38">SUM(E67:E107)</f>
        <v>-36</v>
      </c>
      <c r="F110" s="38">
        <f t="shared" si="38"/>
        <v>0</v>
      </c>
      <c r="G110" s="38">
        <f>SUM(G67:G109)</f>
        <v>225713.5</v>
      </c>
      <c r="H110" s="4"/>
      <c r="I110" s="39">
        <f>SUM(I67:I109)</f>
        <v>1332</v>
      </c>
      <c r="J110" s="39">
        <f>SUM(J67:J109)</f>
        <v>0</v>
      </c>
      <c r="K110" s="40">
        <f>SUM(K67:K109)</f>
        <v>227045.5</v>
      </c>
      <c r="N110" s="57"/>
      <c r="O110" s="57"/>
      <c r="P110" s="38">
        <f>SUM(P67:P109)</f>
        <v>184033.5</v>
      </c>
      <c r="Q110" s="38">
        <f>SUM(Q67:Q91)</f>
        <v>-840</v>
      </c>
      <c r="R110" s="38">
        <f>SUM(R67:R91)</f>
        <v>0</v>
      </c>
      <c r="S110" s="38">
        <f>SUM(S67:S109)</f>
        <v>183193.5</v>
      </c>
      <c r="T110" s="4"/>
      <c r="U110" s="41">
        <f>SUM(U67:U109)</f>
        <v>36</v>
      </c>
      <c r="V110" s="41">
        <f>SUM(V67:V91)</f>
        <v>-4204.5</v>
      </c>
      <c r="W110" s="42">
        <f>SUM(W67:W109)</f>
        <v>179025</v>
      </c>
      <c r="Z110" s="57"/>
      <c r="AA110" s="57"/>
      <c r="AB110" s="38">
        <f>SUM(AB67:AB109)</f>
        <v>303286.5</v>
      </c>
      <c r="AC110" s="38">
        <f>SUM(AC67:AC91)</f>
        <v>-2274</v>
      </c>
      <c r="AD110" s="38">
        <f>SUM(AD67:AD91)</f>
        <v>0</v>
      </c>
      <c r="AE110" s="38">
        <f>SUM(AE67:AE109)</f>
        <v>301012.5</v>
      </c>
      <c r="AF110" s="4"/>
      <c r="AG110" s="41">
        <f>SUM(AG67:AG109)</f>
        <v>459</v>
      </c>
      <c r="AH110" s="41">
        <f>SUM(AH67:AH91)</f>
        <v>0</v>
      </c>
      <c r="AI110" s="42">
        <f>SUM(AI67:AI109)</f>
        <v>301471.5</v>
      </c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44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44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44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45</v>
      </c>
      <c r="B118" s="20"/>
      <c r="C118" s="57"/>
      <c r="D118" s="57"/>
      <c r="E118" s="57"/>
      <c r="G118" s="57"/>
      <c r="I118" s="22" t="s">
        <v>16</v>
      </c>
      <c r="J118" s="23" t="s">
        <v>31</v>
      </c>
      <c r="K118" s="24"/>
      <c r="M118" s="21" t="s">
        <v>45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33</v>
      </c>
      <c r="W118" s="24"/>
      <c r="Y118" s="21" t="s">
        <v>45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35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15" t="s">
        <v>17</v>
      </c>
      <c r="E120" s="115"/>
      <c r="F120" s="88"/>
      <c r="G120" s="27"/>
      <c r="I120" s="113" t="s">
        <v>18</v>
      </c>
      <c r="J120" s="114"/>
      <c r="K120" s="111" t="s">
        <v>19</v>
      </c>
      <c r="N120" s="25"/>
      <c r="O120" s="26"/>
      <c r="P120" s="115" t="s">
        <v>17</v>
      </c>
      <c r="Q120" s="115"/>
      <c r="R120" s="88"/>
      <c r="S120" s="27"/>
      <c r="U120" s="113" t="s">
        <v>18</v>
      </c>
      <c r="V120" s="114"/>
      <c r="W120" s="111" t="s">
        <v>19</v>
      </c>
      <c r="Z120" s="25"/>
      <c r="AA120" s="26"/>
      <c r="AB120" s="115" t="s">
        <v>17</v>
      </c>
      <c r="AC120" s="115"/>
      <c r="AD120" s="88"/>
      <c r="AE120" s="27"/>
      <c r="AG120" s="113" t="s">
        <v>18</v>
      </c>
      <c r="AH120" s="114"/>
      <c r="AI120" s="111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7" t="s">
        <v>22</v>
      </c>
      <c r="E121" s="76" t="s">
        <v>23</v>
      </c>
      <c r="F121" s="78" t="s">
        <v>32</v>
      </c>
      <c r="G121" s="78" t="s">
        <v>24</v>
      </c>
      <c r="I121" s="29" t="s">
        <v>25</v>
      </c>
      <c r="J121" s="29" t="s">
        <v>26</v>
      </c>
      <c r="K121" s="112"/>
      <c r="N121" s="28" t="s">
        <v>20</v>
      </c>
      <c r="O121" s="28" t="s">
        <v>21</v>
      </c>
      <c r="P121" s="77" t="s">
        <v>22</v>
      </c>
      <c r="Q121" s="78" t="s">
        <v>23</v>
      </c>
      <c r="R121" s="78" t="s">
        <v>32</v>
      </c>
      <c r="S121" s="78" t="s">
        <v>24</v>
      </c>
      <c r="U121" s="29" t="s">
        <v>25</v>
      </c>
      <c r="V121" s="29" t="s">
        <v>26</v>
      </c>
      <c r="W121" s="112"/>
      <c r="Z121" s="28" t="s">
        <v>20</v>
      </c>
      <c r="AA121" s="28" t="s">
        <v>21</v>
      </c>
      <c r="AB121" s="77" t="s">
        <v>22</v>
      </c>
      <c r="AC121" s="78" t="s">
        <v>23</v>
      </c>
      <c r="AD121" s="78" t="s">
        <v>32</v>
      </c>
      <c r="AE121" s="78" t="s">
        <v>24</v>
      </c>
      <c r="AG121" s="29" t="s">
        <v>25</v>
      </c>
      <c r="AH121" s="29" t="s">
        <v>26</v>
      </c>
      <c r="AI121" s="11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46114</v>
      </c>
      <c r="C122" s="83">
        <v>8872</v>
      </c>
      <c r="D122" s="32">
        <f>175*650+622*12+229*5</f>
        <v>122359</v>
      </c>
      <c r="E122" s="32"/>
      <c r="F122" s="32"/>
      <c r="G122" s="32">
        <f t="shared" ref="G122:G155" si="39">SUM(D122:E122)</f>
        <v>122359</v>
      </c>
      <c r="H122" s="12"/>
      <c r="I122" s="12"/>
      <c r="J122" s="12"/>
      <c r="K122" s="12">
        <f t="shared" ref="K122:K155" si="40">SUM(G122:J122)</f>
        <v>122359</v>
      </c>
      <c r="M122" s="10">
        <v>1</v>
      </c>
      <c r="N122" s="30">
        <v>46114</v>
      </c>
      <c r="O122" s="31">
        <v>8825</v>
      </c>
      <c r="P122" s="32">
        <f>650+622+9.5*2</f>
        <v>1291</v>
      </c>
      <c r="Q122" s="32"/>
      <c r="R122" s="32"/>
      <c r="S122" s="32">
        <f>SUM(P122:Q122)</f>
        <v>1291</v>
      </c>
      <c r="T122" s="12"/>
      <c r="U122" s="12"/>
      <c r="V122" s="12"/>
      <c r="W122" s="12">
        <f>SUM(S122:V122)</f>
        <v>1291</v>
      </c>
      <c r="Y122" s="10">
        <v>1</v>
      </c>
      <c r="Z122" s="30">
        <v>46114</v>
      </c>
      <c r="AA122" s="31">
        <v>8909</v>
      </c>
      <c r="AB122" s="32">
        <f>650*100+670*8+973*2+622*30+912*2+872*2+229*5+650*2</f>
        <v>96979</v>
      </c>
      <c r="AC122" s="32">
        <f>-144*6</f>
        <v>-864</v>
      </c>
      <c r="AD122" s="32"/>
      <c r="AE122" s="32">
        <f>SUM(AB122:AC122)</f>
        <v>96115</v>
      </c>
      <c r="AF122" s="12"/>
      <c r="AG122" s="12">
        <f>5*120+24*111+4.5*48+12*1.5</f>
        <v>3498</v>
      </c>
      <c r="AH122" s="12"/>
      <c r="AI122" s="12">
        <f>SUM(AE122:AH122)</f>
        <v>99613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46114</v>
      </c>
      <c r="C123" s="83">
        <f>C122+1</f>
        <v>8873</v>
      </c>
      <c r="D123" s="32">
        <f>650*60+670*2+622*10</f>
        <v>46560</v>
      </c>
      <c r="E123" s="32"/>
      <c r="F123" s="32"/>
      <c r="G123" s="32">
        <f t="shared" si="39"/>
        <v>46560</v>
      </c>
      <c r="H123" s="12"/>
      <c r="I123" s="12"/>
      <c r="J123" s="12">
        <v>-1998</v>
      </c>
      <c r="K123" s="12">
        <f t="shared" si="40"/>
        <v>44562</v>
      </c>
      <c r="M123" s="10">
        <v>2</v>
      </c>
      <c r="N123" s="30">
        <v>46114</v>
      </c>
      <c r="O123" s="31">
        <f>O122+1</f>
        <v>8826</v>
      </c>
      <c r="P123" s="32">
        <f>650*8+670*2+9.5*8</f>
        <v>6616</v>
      </c>
      <c r="Q123" s="32"/>
      <c r="R123" s="32"/>
      <c r="S123" s="32">
        <f t="shared" ref="S123:S154" si="41">SUM(P123:Q123)</f>
        <v>6616</v>
      </c>
      <c r="T123" s="12"/>
      <c r="U123" s="12"/>
      <c r="V123" s="12"/>
      <c r="W123" s="12">
        <f t="shared" ref="W123:W154" si="42">SUM(S123:V123)</f>
        <v>6616</v>
      </c>
      <c r="Y123" s="10">
        <v>2</v>
      </c>
      <c r="Z123" s="30">
        <v>46114</v>
      </c>
      <c r="AA123" s="31">
        <f>AA122+1</f>
        <v>8910</v>
      </c>
      <c r="AB123" s="32">
        <f>650*216+622*108+912+1050*2+872*2</f>
        <v>212332</v>
      </c>
      <c r="AC123" s="32">
        <f>-329*6</f>
        <v>-1974</v>
      </c>
      <c r="AD123" s="32"/>
      <c r="AE123" s="32">
        <f t="shared" ref="AE123:AE125" si="43">SUM(AB123:AC123)</f>
        <v>210358</v>
      </c>
      <c r="AF123" s="12"/>
      <c r="AG123" s="12">
        <v>72</v>
      </c>
      <c r="AH123" s="12">
        <f>-78*18</f>
        <v>-1404</v>
      </c>
      <c r="AI123" s="12">
        <f t="shared" ref="AI123:AI154" si="44">SUM(AE123:AH123)</f>
        <v>209026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/>
      <c r="C124" s="11" t="s">
        <v>27</v>
      </c>
      <c r="D124" s="33"/>
      <c r="E124" s="33"/>
      <c r="F124" s="33"/>
      <c r="G124" s="33">
        <f t="shared" si="39"/>
        <v>0</v>
      </c>
      <c r="H124" s="34"/>
      <c r="I124" s="34"/>
      <c r="J124" s="34"/>
      <c r="K124" s="34">
        <f t="shared" si="40"/>
        <v>0</v>
      </c>
      <c r="M124" s="10">
        <v>3</v>
      </c>
      <c r="N124" s="30">
        <v>46114</v>
      </c>
      <c r="O124" s="31">
        <f t="shared" ref="O124:O142" si="45">O123+1</f>
        <v>8827</v>
      </c>
      <c r="P124" s="32">
        <f>650*20+622*7+229</f>
        <v>17583</v>
      </c>
      <c r="Q124" s="32"/>
      <c r="R124" s="32"/>
      <c r="S124" s="32">
        <f t="shared" si="41"/>
        <v>17583</v>
      </c>
      <c r="T124" s="12"/>
      <c r="U124" s="12"/>
      <c r="V124" s="12"/>
      <c r="W124" s="12">
        <f t="shared" si="42"/>
        <v>17583</v>
      </c>
      <c r="Y124" s="10">
        <v>3</v>
      </c>
      <c r="Z124" s="30">
        <v>46114</v>
      </c>
      <c r="AA124" s="31">
        <f t="shared" ref="AA124:AA129" si="46">AA123+1</f>
        <v>8911</v>
      </c>
      <c r="AB124" s="33">
        <f>650*100+670*10+622*10+872+229*4</f>
        <v>79708</v>
      </c>
      <c r="AC124" s="33">
        <f>-121*6</f>
        <v>-726</v>
      </c>
      <c r="AD124" s="32"/>
      <c r="AE124" s="32">
        <f t="shared" si="43"/>
        <v>78982</v>
      </c>
      <c r="AF124" s="12"/>
      <c r="AG124" s="12">
        <v>72</v>
      </c>
      <c r="AH124" s="12"/>
      <c r="AI124" s="12">
        <f t="shared" si="44"/>
        <v>79054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/>
      <c r="C125" s="83"/>
      <c r="D125" s="32"/>
      <c r="E125" s="32"/>
      <c r="F125" s="32"/>
      <c r="G125" s="32">
        <f t="shared" si="39"/>
        <v>0</v>
      </c>
      <c r="H125" s="12"/>
      <c r="I125" s="12"/>
      <c r="J125" s="12"/>
      <c r="K125" s="12">
        <f t="shared" si="40"/>
        <v>0</v>
      </c>
      <c r="M125" s="10">
        <v>4</v>
      </c>
      <c r="N125" s="30">
        <v>46114</v>
      </c>
      <c r="O125" s="31">
        <f t="shared" si="45"/>
        <v>8828</v>
      </c>
      <c r="P125" s="32">
        <f>650*25+622*5+229</f>
        <v>19589</v>
      </c>
      <c r="Q125" s="32"/>
      <c r="R125" s="32"/>
      <c r="S125" s="32">
        <f t="shared" si="41"/>
        <v>19589</v>
      </c>
      <c r="T125" s="12"/>
      <c r="U125" s="12"/>
      <c r="V125" s="12"/>
      <c r="W125" s="12">
        <f t="shared" si="42"/>
        <v>19589</v>
      </c>
      <c r="Y125" s="10">
        <v>4</v>
      </c>
      <c r="Z125" s="30">
        <v>46114</v>
      </c>
      <c r="AA125" s="31">
        <f t="shared" si="46"/>
        <v>8912</v>
      </c>
      <c r="AB125" s="32">
        <f>650*4+229</f>
        <v>2829</v>
      </c>
      <c r="AC125" s="32"/>
      <c r="AD125" s="32"/>
      <c r="AE125" s="32">
        <f t="shared" si="43"/>
        <v>2829</v>
      </c>
      <c r="AF125" s="12"/>
      <c r="AH125" s="12"/>
      <c r="AI125" s="12">
        <f t="shared" si="44"/>
        <v>2829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/>
      <c r="C126" s="83"/>
      <c r="D126" s="32"/>
      <c r="E126" s="32"/>
      <c r="F126" s="32"/>
      <c r="G126" s="32">
        <f t="shared" si="39"/>
        <v>0</v>
      </c>
      <c r="H126" s="12"/>
      <c r="I126" s="12"/>
      <c r="J126" s="12"/>
      <c r="K126" s="12">
        <f t="shared" si="40"/>
        <v>0</v>
      </c>
      <c r="M126" s="10">
        <v>5</v>
      </c>
      <c r="N126" s="30">
        <v>46114</v>
      </c>
      <c r="O126" s="31">
        <f t="shared" si="45"/>
        <v>8829</v>
      </c>
      <c r="P126" s="32">
        <f>650*2+9.5*2</f>
        <v>1319</v>
      </c>
      <c r="Q126" s="32"/>
      <c r="R126" s="32"/>
      <c r="S126" s="32">
        <f t="shared" si="41"/>
        <v>1319</v>
      </c>
      <c r="T126" s="12"/>
      <c r="U126" s="12"/>
      <c r="V126" s="12"/>
      <c r="W126" s="12">
        <f t="shared" si="42"/>
        <v>1319</v>
      </c>
      <c r="Y126" s="10">
        <v>5</v>
      </c>
      <c r="Z126" s="30">
        <v>46114</v>
      </c>
      <c r="AA126" s="31">
        <f t="shared" si="46"/>
        <v>8913</v>
      </c>
      <c r="AB126" s="32">
        <f>650*28+670*2+700*3+229*2</f>
        <v>22098</v>
      </c>
      <c r="AC126" s="32"/>
      <c r="AD126" s="32"/>
      <c r="AE126" s="32">
        <f t="shared" ref="AE126:AE131" si="47">SUM(AB126:AC126)</f>
        <v>22098</v>
      </c>
      <c r="AF126" s="12"/>
      <c r="AG126" s="12"/>
      <c r="AH126" s="12">
        <v>-999</v>
      </c>
      <c r="AI126" s="12">
        <f t="shared" si="44"/>
        <v>21099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/>
      <c r="C127" s="83"/>
      <c r="D127" s="32"/>
      <c r="E127" s="32"/>
      <c r="F127" s="32"/>
      <c r="G127" s="32">
        <f t="shared" si="39"/>
        <v>0</v>
      </c>
      <c r="H127" s="12"/>
      <c r="I127" s="12"/>
      <c r="J127" s="12"/>
      <c r="K127" s="12">
        <f t="shared" si="40"/>
        <v>0</v>
      </c>
      <c r="M127" s="10">
        <v>6</v>
      </c>
      <c r="N127" s="30">
        <v>46114</v>
      </c>
      <c r="O127" s="31">
        <f t="shared" si="45"/>
        <v>8830</v>
      </c>
      <c r="P127" s="32">
        <f>650*5</f>
        <v>3250</v>
      </c>
      <c r="Q127" s="32"/>
      <c r="R127" s="32"/>
      <c r="S127" s="32">
        <f t="shared" si="41"/>
        <v>3250</v>
      </c>
      <c r="T127" s="12"/>
      <c r="U127" s="12"/>
      <c r="V127" s="10"/>
      <c r="W127" s="12">
        <f t="shared" si="42"/>
        <v>3250</v>
      </c>
      <c r="Y127" s="10">
        <v>6</v>
      </c>
      <c r="Z127" s="30">
        <v>46114</v>
      </c>
      <c r="AA127" s="31">
        <f t="shared" si="46"/>
        <v>8914</v>
      </c>
      <c r="AB127" s="32"/>
      <c r="AC127" s="32"/>
      <c r="AD127" s="32"/>
      <c r="AE127" s="32">
        <f t="shared" si="47"/>
        <v>0</v>
      </c>
      <c r="AF127" s="12"/>
      <c r="AG127" s="12"/>
      <c r="AH127" s="10"/>
      <c r="AI127" s="12">
        <f t="shared" si="44"/>
        <v>0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/>
      <c r="C128" s="83"/>
      <c r="D128" s="32"/>
      <c r="E128" s="32"/>
      <c r="F128" s="32"/>
      <c r="G128" s="32">
        <f t="shared" si="39"/>
        <v>0</v>
      </c>
      <c r="H128" s="12"/>
      <c r="I128" s="12"/>
      <c r="J128" s="12"/>
      <c r="K128" s="12">
        <f t="shared" si="40"/>
        <v>0</v>
      </c>
      <c r="M128" s="10">
        <v>7</v>
      </c>
      <c r="N128" s="30">
        <v>46114</v>
      </c>
      <c r="O128" s="31">
        <f t="shared" si="45"/>
        <v>8831</v>
      </c>
      <c r="P128" s="32">
        <f>650*31+229</f>
        <v>20379</v>
      </c>
      <c r="Q128" s="32"/>
      <c r="R128" s="32"/>
      <c r="S128" s="32">
        <f t="shared" si="41"/>
        <v>20379</v>
      </c>
      <c r="T128" s="12"/>
      <c r="U128" s="12">
        <v>36</v>
      </c>
      <c r="V128" s="12"/>
      <c r="W128" s="12">
        <f t="shared" si="42"/>
        <v>20415</v>
      </c>
      <c r="Y128" s="10">
        <v>7</v>
      </c>
      <c r="Z128" s="30">
        <v>46114</v>
      </c>
      <c r="AA128" s="31">
        <f t="shared" si="46"/>
        <v>8915</v>
      </c>
      <c r="AB128" s="32">
        <f>650*5+700</f>
        <v>3950</v>
      </c>
      <c r="AC128" s="32"/>
      <c r="AD128" s="32"/>
      <c r="AE128" s="32">
        <f t="shared" si="47"/>
        <v>3950</v>
      </c>
      <c r="AF128" s="12"/>
      <c r="AG128" s="58"/>
      <c r="AH128" s="12"/>
      <c r="AI128" s="12">
        <f t="shared" si="44"/>
        <v>3950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83"/>
      <c r="D129" s="32"/>
      <c r="E129" s="32"/>
      <c r="F129" s="32"/>
      <c r="G129" s="32">
        <f t="shared" si="39"/>
        <v>0</v>
      </c>
      <c r="H129" s="12"/>
      <c r="I129" s="12"/>
      <c r="J129" s="12"/>
      <c r="K129" s="12">
        <f t="shared" si="40"/>
        <v>0</v>
      </c>
      <c r="M129" s="10">
        <v>8</v>
      </c>
      <c r="N129" s="30">
        <v>46114</v>
      </c>
      <c r="O129" s="31">
        <f t="shared" si="45"/>
        <v>8832</v>
      </c>
      <c r="P129" s="32">
        <f>650*14+622+9.5*15</f>
        <v>9864.5</v>
      </c>
      <c r="Q129" s="32"/>
      <c r="R129" s="32"/>
      <c r="S129" s="32">
        <f t="shared" si="41"/>
        <v>9864.5</v>
      </c>
      <c r="T129" s="12"/>
      <c r="U129" s="12">
        <v>18</v>
      </c>
      <c r="V129" s="12"/>
      <c r="W129" s="12">
        <f t="shared" si="42"/>
        <v>9882.5</v>
      </c>
      <c r="Y129" s="10">
        <v>8</v>
      </c>
      <c r="Z129" s="30">
        <v>46114</v>
      </c>
      <c r="AA129" s="31">
        <f t="shared" si="46"/>
        <v>8916</v>
      </c>
      <c r="AB129" s="32">
        <f>650*8+622*3+650*5</f>
        <v>10316</v>
      </c>
      <c r="AC129" s="32"/>
      <c r="AE129" s="32">
        <f t="shared" si="47"/>
        <v>10316</v>
      </c>
      <c r="AF129" s="12"/>
      <c r="AG129" s="12"/>
      <c r="AH129" s="12"/>
      <c r="AI129" s="12">
        <f t="shared" si="44"/>
        <v>10316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83"/>
      <c r="D130" s="32"/>
      <c r="E130" s="32"/>
      <c r="F130" s="32"/>
      <c r="G130" s="32">
        <f t="shared" si="39"/>
        <v>0</v>
      </c>
      <c r="H130" s="12"/>
      <c r="I130" s="12"/>
      <c r="J130" s="12"/>
      <c r="K130" s="12">
        <f t="shared" si="40"/>
        <v>0</v>
      </c>
      <c r="M130" s="10">
        <v>9</v>
      </c>
      <c r="N130" s="30">
        <v>46114</v>
      </c>
      <c r="O130" s="31">
        <f t="shared" si="45"/>
        <v>8833</v>
      </c>
      <c r="P130" s="32">
        <f>650*3+9.5*3</f>
        <v>1978.5</v>
      </c>
      <c r="Q130" s="32"/>
      <c r="R130" s="32"/>
      <c r="S130" s="32">
        <f t="shared" si="41"/>
        <v>1978.5</v>
      </c>
      <c r="T130" s="12"/>
      <c r="U130" s="12"/>
      <c r="V130" s="12"/>
      <c r="W130" s="12">
        <f t="shared" si="42"/>
        <v>1978.5</v>
      </c>
      <c r="Y130" s="10">
        <v>9</v>
      </c>
      <c r="Z130" s="30"/>
      <c r="AA130" s="11" t="s">
        <v>27</v>
      </c>
      <c r="AC130" s="32"/>
      <c r="AD130" s="32"/>
      <c r="AE130" s="32">
        <f t="shared" si="47"/>
        <v>0</v>
      </c>
      <c r="AF130" s="12"/>
      <c r="AH130" s="12"/>
      <c r="AI130" s="12">
        <f t="shared" si="44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83"/>
      <c r="D131" s="32"/>
      <c r="E131" s="32"/>
      <c r="F131" s="32"/>
      <c r="G131" s="32">
        <f t="shared" si="39"/>
        <v>0</v>
      </c>
      <c r="H131" s="12"/>
      <c r="I131" s="12"/>
      <c r="J131" s="12"/>
      <c r="K131" s="12">
        <f t="shared" si="40"/>
        <v>0</v>
      </c>
      <c r="M131" s="10">
        <v>10</v>
      </c>
      <c r="N131" s="30">
        <v>46114</v>
      </c>
      <c r="O131" s="31">
        <f t="shared" si="45"/>
        <v>8834</v>
      </c>
      <c r="P131" s="32">
        <f>650*7+9.5*7</f>
        <v>4616.5</v>
      </c>
      <c r="Q131" s="32"/>
      <c r="R131" s="32"/>
      <c r="S131" s="32">
        <f t="shared" si="41"/>
        <v>4616.5</v>
      </c>
      <c r="T131" s="12"/>
      <c r="U131" s="12"/>
      <c r="V131" s="12"/>
      <c r="W131" s="12">
        <f t="shared" si="42"/>
        <v>4616.5</v>
      </c>
      <c r="Y131" s="10">
        <v>10</v>
      </c>
      <c r="Z131" s="30"/>
      <c r="AA131" s="31"/>
      <c r="AB131" s="32"/>
      <c r="AC131" s="32"/>
      <c r="AD131" s="32"/>
      <c r="AE131" s="32">
        <f t="shared" si="47"/>
        <v>0</v>
      </c>
      <c r="AF131" s="12"/>
      <c r="AG131" s="12"/>
      <c r="AH131" s="12"/>
      <c r="AI131" s="12">
        <f t="shared" si="44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83"/>
      <c r="D132" s="32"/>
      <c r="E132" s="32"/>
      <c r="F132" s="32"/>
      <c r="G132" s="32">
        <f t="shared" si="39"/>
        <v>0</v>
      </c>
      <c r="H132" s="12"/>
      <c r="I132" s="12"/>
      <c r="J132" s="12"/>
      <c r="K132" s="12">
        <f t="shared" si="40"/>
        <v>0</v>
      </c>
      <c r="M132" s="10">
        <v>11</v>
      </c>
      <c r="N132" s="30">
        <v>46114</v>
      </c>
      <c r="O132" s="31">
        <f t="shared" si="45"/>
        <v>8835</v>
      </c>
      <c r="P132" s="32">
        <f>650*15+9.5*15</f>
        <v>9892.5</v>
      </c>
      <c r="Q132" s="32"/>
      <c r="R132" s="32"/>
      <c r="S132" s="32">
        <f t="shared" si="41"/>
        <v>9892.5</v>
      </c>
      <c r="T132" s="12"/>
      <c r="U132" s="12">
        <f>15*1.5</f>
        <v>22.5</v>
      </c>
      <c r="V132" s="12"/>
      <c r="W132" s="12">
        <f t="shared" si="42"/>
        <v>9915</v>
      </c>
      <c r="Y132" s="10">
        <v>11</v>
      </c>
      <c r="Z132" s="30"/>
      <c r="AB132" s="32"/>
      <c r="AC132" s="32"/>
      <c r="AD132" s="32"/>
      <c r="AE132" s="32">
        <f t="shared" ref="AE132:AE154" si="48">SUM(AB132:AC132)</f>
        <v>0</v>
      </c>
      <c r="AF132" s="12"/>
      <c r="AG132" s="12"/>
      <c r="AH132" s="12"/>
      <c r="AI132" s="12">
        <f t="shared" si="44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C133" s="83"/>
      <c r="D133" s="32"/>
      <c r="E133" s="32"/>
      <c r="F133" s="32"/>
      <c r="G133" s="32">
        <f t="shared" si="39"/>
        <v>0</v>
      </c>
      <c r="H133" s="12"/>
      <c r="I133" s="12"/>
      <c r="J133" s="10"/>
      <c r="K133" s="12">
        <f t="shared" si="40"/>
        <v>0</v>
      </c>
      <c r="M133" s="10">
        <v>12</v>
      </c>
      <c r="N133" s="30">
        <v>46114</v>
      </c>
      <c r="O133" s="31">
        <f t="shared" si="45"/>
        <v>8836</v>
      </c>
      <c r="P133" s="32">
        <f>650*8+9.5*8</f>
        <v>5276</v>
      </c>
      <c r="Q133" s="32"/>
      <c r="R133" s="32"/>
      <c r="S133" s="32">
        <f t="shared" si="41"/>
        <v>5276</v>
      </c>
      <c r="T133" s="12"/>
      <c r="U133" s="12">
        <v>4.5</v>
      </c>
      <c r="V133" s="12"/>
      <c r="W133" s="12">
        <f t="shared" si="42"/>
        <v>5280.5</v>
      </c>
      <c r="Y133" s="10">
        <v>12</v>
      </c>
      <c r="Z133" s="30"/>
      <c r="AA133" s="31"/>
      <c r="AB133" s="32"/>
      <c r="AC133" s="32"/>
      <c r="AD133" s="32"/>
      <c r="AE133" s="32">
        <f t="shared" si="48"/>
        <v>0</v>
      </c>
      <c r="AF133" s="12"/>
      <c r="AG133" s="12"/>
      <c r="AH133" s="12"/>
      <c r="AI133" s="12">
        <f t="shared" si="44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83"/>
      <c r="D134" s="32"/>
      <c r="E134" s="32"/>
      <c r="F134" s="32"/>
      <c r="G134" s="32">
        <f t="shared" si="39"/>
        <v>0</v>
      </c>
      <c r="H134" s="12"/>
      <c r="I134" s="12"/>
      <c r="J134" s="12"/>
      <c r="K134" s="12">
        <f t="shared" si="40"/>
        <v>0</v>
      </c>
      <c r="M134" s="10">
        <v>13</v>
      </c>
      <c r="N134" s="30">
        <v>46114</v>
      </c>
      <c r="O134" s="31">
        <f t="shared" si="45"/>
        <v>8837</v>
      </c>
      <c r="P134" s="32">
        <f>650*6+9.5*6</f>
        <v>3957</v>
      </c>
      <c r="Q134" s="32"/>
      <c r="R134" s="32"/>
      <c r="S134" s="32">
        <f t="shared" si="41"/>
        <v>3957</v>
      </c>
      <c r="T134" s="12"/>
      <c r="U134" s="12"/>
      <c r="V134" s="12"/>
      <c r="W134" s="12">
        <f t="shared" si="42"/>
        <v>3957</v>
      </c>
      <c r="Y134" s="10">
        <v>13</v>
      </c>
      <c r="Z134" s="30"/>
      <c r="AA134" s="31"/>
      <c r="AB134" s="32"/>
      <c r="AC134" s="32"/>
      <c r="AD134" s="32"/>
      <c r="AE134" s="32">
        <f t="shared" si="48"/>
        <v>0</v>
      </c>
      <c r="AF134" s="12"/>
      <c r="AG134" s="12"/>
      <c r="AH134" s="12"/>
      <c r="AI134" s="12">
        <f t="shared" si="44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D135" s="32"/>
      <c r="E135" s="32"/>
      <c r="F135" s="32"/>
      <c r="G135" s="32">
        <f t="shared" si="39"/>
        <v>0</v>
      </c>
      <c r="H135" s="12"/>
      <c r="I135" s="12"/>
      <c r="J135" s="12"/>
      <c r="K135" s="12">
        <f t="shared" si="40"/>
        <v>0</v>
      </c>
      <c r="M135" s="10">
        <v>14</v>
      </c>
      <c r="N135" s="30">
        <v>46114</v>
      </c>
      <c r="O135" s="31">
        <f t="shared" si="45"/>
        <v>8838</v>
      </c>
      <c r="P135" s="32">
        <f>650*5+670+700</f>
        <v>4620</v>
      </c>
      <c r="Q135" s="32"/>
      <c r="R135" s="32"/>
      <c r="S135" s="32">
        <f t="shared" si="41"/>
        <v>4620</v>
      </c>
      <c r="T135" s="12"/>
      <c r="U135" s="12"/>
      <c r="V135" s="12"/>
      <c r="W135" s="12">
        <f t="shared" si="42"/>
        <v>4620</v>
      </c>
      <c r="Y135" s="10">
        <v>14</v>
      </c>
      <c r="Z135" s="30"/>
      <c r="AA135" s="31"/>
      <c r="AB135" s="32"/>
      <c r="AC135" s="32"/>
      <c r="AD135" s="32"/>
      <c r="AE135" s="32">
        <f t="shared" si="48"/>
        <v>0</v>
      </c>
      <c r="AF135" s="12"/>
      <c r="AG135" s="12"/>
      <c r="AH135" s="12"/>
      <c r="AI135" s="12">
        <f t="shared" si="44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3"/>
      <c r="D136" s="32"/>
      <c r="E136" s="32"/>
      <c r="F136" s="32"/>
      <c r="G136" s="32">
        <f t="shared" si="39"/>
        <v>0</v>
      </c>
      <c r="H136" s="12"/>
      <c r="I136" s="12"/>
      <c r="J136" s="12"/>
      <c r="K136" s="12">
        <f t="shared" si="40"/>
        <v>0</v>
      </c>
      <c r="M136" s="10">
        <v>15</v>
      </c>
      <c r="N136" s="30">
        <v>46114</v>
      </c>
      <c r="O136" s="31">
        <f t="shared" si="45"/>
        <v>8839</v>
      </c>
      <c r="P136" s="32">
        <f>650*4+670+622*2+9.5*6</f>
        <v>4571</v>
      </c>
      <c r="Q136" s="32"/>
      <c r="R136" s="32"/>
      <c r="S136" s="32">
        <f t="shared" si="41"/>
        <v>4571</v>
      </c>
      <c r="T136" s="12"/>
      <c r="U136" s="12"/>
      <c r="V136" s="12"/>
      <c r="W136" s="12">
        <f t="shared" si="42"/>
        <v>4571</v>
      </c>
      <c r="Y136" s="10">
        <v>15</v>
      </c>
      <c r="Z136" s="30"/>
      <c r="AA136" s="31"/>
      <c r="AB136" s="32"/>
      <c r="AC136" s="32"/>
      <c r="AD136" s="32"/>
      <c r="AE136" s="32">
        <f t="shared" si="48"/>
        <v>0</v>
      </c>
      <c r="AF136" s="12"/>
      <c r="AG136" s="12"/>
      <c r="AH136" s="12"/>
      <c r="AI136" s="12">
        <f t="shared" si="44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83"/>
      <c r="D137" s="32"/>
      <c r="E137" s="32"/>
      <c r="F137" s="32"/>
      <c r="G137" s="32">
        <f t="shared" si="39"/>
        <v>0</v>
      </c>
      <c r="H137" s="12"/>
      <c r="I137" s="12"/>
      <c r="J137" s="12"/>
      <c r="K137" s="12">
        <f t="shared" si="40"/>
        <v>0</v>
      </c>
      <c r="M137" s="10">
        <v>16</v>
      </c>
      <c r="N137" s="30">
        <v>46114</v>
      </c>
      <c r="O137" s="31">
        <f t="shared" si="45"/>
        <v>8840</v>
      </c>
      <c r="P137" s="32">
        <f>650*11+229</f>
        <v>7379</v>
      </c>
      <c r="Q137" s="32"/>
      <c r="R137" s="32"/>
      <c r="S137" s="32">
        <f t="shared" si="41"/>
        <v>7379</v>
      </c>
      <c r="T137" s="12"/>
      <c r="U137" s="12"/>
      <c r="V137" s="12"/>
      <c r="W137" s="12">
        <f t="shared" si="42"/>
        <v>7379</v>
      </c>
      <c r="Y137" s="10">
        <v>16</v>
      </c>
      <c r="Z137" s="30"/>
      <c r="AB137" s="32"/>
      <c r="AC137" s="32"/>
      <c r="AD137" s="32"/>
      <c r="AE137" s="32">
        <f t="shared" si="48"/>
        <v>0</v>
      </c>
      <c r="AF137" s="12"/>
      <c r="AG137" s="12"/>
      <c r="AH137" s="12"/>
      <c r="AI137" s="12">
        <f t="shared" si="44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83"/>
      <c r="D138" s="32"/>
      <c r="E138" s="32"/>
      <c r="F138" s="32"/>
      <c r="G138" s="32">
        <f t="shared" si="39"/>
        <v>0</v>
      </c>
      <c r="H138" s="12"/>
      <c r="I138" s="12"/>
      <c r="J138" s="12"/>
      <c r="K138" s="12">
        <f t="shared" si="40"/>
        <v>0</v>
      </c>
      <c r="M138" s="10">
        <v>17</v>
      </c>
      <c r="N138" s="30">
        <v>46114</v>
      </c>
      <c r="O138" s="31">
        <f t="shared" si="45"/>
        <v>8841</v>
      </c>
      <c r="P138" s="35">
        <f>650*8+700*2</f>
        <v>6600</v>
      </c>
      <c r="Q138" s="32"/>
      <c r="R138" s="32"/>
      <c r="S138" s="32">
        <f t="shared" si="41"/>
        <v>6600</v>
      </c>
      <c r="T138" s="12"/>
      <c r="U138" s="12"/>
      <c r="V138" s="12"/>
      <c r="W138" s="12">
        <f t="shared" si="42"/>
        <v>6600</v>
      </c>
      <c r="Y138" s="10">
        <v>17</v>
      </c>
      <c r="Z138" s="30"/>
      <c r="AA138" s="31"/>
      <c r="AB138" s="35"/>
      <c r="AC138" s="32"/>
      <c r="AD138" s="32"/>
      <c r="AE138" s="32">
        <f t="shared" si="48"/>
        <v>0</v>
      </c>
      <c r="AF138" s="12"/>
      <c r="AG138" s="12"/>
      <c r="AH138" s="12"/>
      <c r="AI138" s="12">
        <f t="shared" si="44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83"/>
      <c r="D139" s="32"/>
      <c r="E139" s="32"/>
      <c r="F139" s="32"/>
      <c r="G139" s="32">
        <f t="shared" si="39"/>
        <v>0</v>
      </c>
      <c r="H139" s="12"/>
      <c r="I139" s="12"/>
      <c r="J139" s="12"/>
      <c r="K139" s="12">
        <f t="shared" si="40"/>
        <v>0</v>
      </c>
      <c r="M139" s="10">
        <v>18</v>
      </c>
      <c r="N139" s="30">
        <v>46114</v>
      </c>
      <c r="O139" s="31">
        <f t="shared" si="45"/>
        <v>8842</v>
      </c>
      <c r="P139" s="32">
        <f>650*12+622+9.5*13</f>
        <v>8545.5</v>
      </c>
      <c r="Q139" s="32"/>
      <c r="R139" s="32"/>
      <c r="S139" s="32">
        <f t="shared" si="41"/>
        <v>8545.5</v>
      </c>
      <c r="T139" s="12"/>
      <c r="U139" s="12"/>
      <c r="V139" s="12"/>
      <c r="W139" s="12">
        <f t="shared" si="42"/>
        <v>8545.5</v>
      </c>
      <c r="Y139" s="10">
        <v>18</v>
      </c>
      <c r="Z139" s="30"/>
      <c r="AA139" s="31"/>
      <c r="AB139" s="32"/>
      <c r="AC139" s="32"/>
      <c r="AD139" s="32"/>
      <c r="AE139" s="32">
        <f t="shared" si="48"/>
        <v>0</v>
      </c>
      <c r="AF139" s="12"/>
      <c r="AG139" s="12"/>
      <c r="AH139" s="12"/>
      <c r="AI139" s="12">
        <f t="shared" si="44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3"/>
      <c r="D140" s="32"/>
      <c r="E140" s="32"/>
      <c r="F140" s="32"/>
      <c r="G140" s="32">
        <f t="shared" si="39"/>
        <v>0</v>
      </c>
      <c r="H140" s="12"/>
      <c r="I140" s="12"/>
      <c r="J140" s="12"/>
      <c r="K140" s="12">
        <f t="shared" si="40"/>
        <v>0</v>
      </c>
      <c r="M140" s="10">
        <v>19</v>
      </c>
      <c r="N140" s="30">
        <v>46114</v>
      </c>
      <c r="O140" s="31">
        <f t="shared" si="45"/>
        <v>8843</v>
      </c>
      <c r="P140" s="32">
        <f>650*6+9.5*6</f>
        <v>3957</v>
      </c>
      <c r="Q140" s="32"/>
      <c r="R140" s="32"/>
      <c r="S140" s="32">
        <f t="shared" si="41"/>
        <v>3957</v>
      </c>
      <c r="T140" s="12"/>
      <c r="U140" s="12"/>
      <c r="V140" s="12"/>
      <c r="W140" s="12">
        <f t="shared" si="42"/>
        <v>3957</v>
      </c>
      <c r="Y140" s="10">
        <v>19</v>
      </c>
      <c r="Z140" s="30"/>
      <c r="AA140" s="31"/>
      <c r="AB140" s="32"/>
      <c r="AC140" s="32"/>
      <c r="AD140" s="32"/>
      <c r="AE140" s="32">
        <f t="shared" si="48"/>
        <v>0</v>
      </c>
      <c r="AF140" s="12"/>
      <c r="AG140" s="12"/>
      <c r="AH140" s="12"/>
      <c r="AI140" s="12">
        <f t="shared" si="44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83"/>
      <c r="D141" s="32"/>
      <c r="E141" s="32"/>
      <c r="F141" s="32"/>
      <c r="G141" s="32">
        <f t="shared" si="39"/>
        <v>0</v>
      </c>
      <c r="H141" s="12"/>
      <c r="I141" s="12"/>
      <c r="J141" s="12"/>
      <c r="K141" s="12">
        <f t="shared" si="40"/>
        <v>0</v>
      </c>
      <c r="M141" s="10">
        <v>20</v>
      </c>
      <c r="N141" s="30">
        <v>46114</v>
      </c>
      <c r="O141" s="31">
        <f t="shared" si="45"/>
        <v>8844</v>
      </c>
      <c r="P141" s="32">
        <f>650*7+622+9.5*8</f>
        <v>5248</v>
      </c>
      <c r="Q141" s="32"/>
      <c r="R141" s="32"/>
      <c r="S141" s="32">
        <f t="shared" si="41"/>
        <v>5248</v>
      </c>
      <c r="T141" s="12"/>
      <c r="U141" s="12">
        <f>1.5*8</f>
        <v>12</v>
      </c>
      <c r="V141" s="12"/>
      <c r="W141" s="12">
        <f t="shared" si="42"/>
        <v>5260</v>
      </c>
      <c r="Y141" s="10">
        <v>20</v>
      </c>
      <c r="Z141" s="30"/>
      <c r="AB141" s="32"/>
      <c r="AC141" s="32"/>
      <c r="AD141" s="32"/>
      <c r="AE141" s="32">
        <f t="shared" si="48"/>
        <v>0</v>
      </c>
      <c r="AF141" s="12"/>
      <c r="AG141" s="12"/>
      <c r="AH141" s="12"/>
      <c r="AI141" s="12">
        <f t="shared" si="44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D142" s="32"/>
      <c r="E142" s="32"/>
      <c r="F142" s="32"/>
      <c r="G142" s="32">
        <f t="shared" si="39"/>
        <v>0</v>
      </c>
      <c r="H142" s="10"/>
      <c r="I142" s="10"/>
      <c r="J142" s="10"/>
      <c r="K142" s="12">
        <f t="shared" si="40"/>
        <v>0</v>
      </c>
      <c r="M142" s="10">
        <v>21</v>
      </c>
      <c r="N142" s="30">
        <v>46114</v>
      </c>
      <c r="O142" s="31">
        <f t="shared" si="45"/>
        <v>8845</v>
      </c>
      <c r="P142" s="46">
        <f>650*6+9.5*6</f>
        <v>3957</v>
      </c>
      <c r="Q142" s="31"/>
      <c r="R142" s="31"/>
      <c r="S142" s="32">
        <f t="shared" si="41"/>
        <v>3957</v>
      </c>
      <c r="T142" s="10"/>
      <c r="U142" s="10"/>
      <c r="V142" s="10"/>
      <c r="W142" s="12">
        <f t="shared" si="42"/>
        <v>3957</v>
      </c>
      <c r="Y142" s="10">
        <v>21</v>
      </c>
      <c r="Z142" s="30"/>
      <c r="AA142" s="31"/>
      <c r="AB142" s="46"/>
      <c r="AC142" s="31"/>
      <c r="AD142" s="31"/>
      <c r="AE142" s="32">
        <f t="shared" si="48"/>
        <v>0</v>
      </c>
      <c r="AF142" s="10"/>
      <c r="AG142" s="10"/>
      <c r="AH142" s="10"/>
      <c r="AI142" s="12">
        <f t="shared" si="44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3"/>
      <c r="D143" s="32"/>
      <c r="E143" s="32"/>
      <c r="F143" s="32"/>
      <c r="G143" s="32">
        <f t="shared" si="39"/>
        <v>0</v>
      </c>
      <c r="H143" s="10"/>
      <c r="I143" s="10"/>
      <c r="J143" s="10"/>
      <c r="K143" s="12">
        <f t="shared" si="40"/>
        <v>0</v>
      </c>
      <c r="M143" s="10">
        <v>22</v>
      </c>
      <c r="N143" s="30"/>
      <c r="O143" s="11" t="s">
        <v>27</v>
      </c>
      <c r="P143" s="45"/>
      <c r="Q143" s="31"/>
      <c r="R143" s="31"/>
      <c r="S143" s="32">
        <f t="shared" si="41"/>
        <v>0</v>
      </c>
      <c r="T143" s="10"/>
      <c r="U143" s="10"/>
      <c r="V143" s="10"/>
      <c r="W143" s="12">
        <f t="shared" si="42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8"/>
        <v>0</v>
      </c>
      <c r="AF143" s="10"/>
      <c r="AG143" s="10"/>
      <c r="AH143" s="10"/>
      <c r="AI143" s="12">
        <f t="shared" si="44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3"/>
      <c r="D144" s="32"/>
      <c r="E144" s="32"/>
      <c r="F144" s="32"/>
      <c r="G144" s="32">
        <f t="shared" si="39"/>
        <v>0</v>
      </c>
      <c r="H144" s="10"/>
      <c r="I144" s="10"/>
      <c r="J144" s="12"/>
      <c r="K144" s="12">
        <f t="shared" si="40"/>
        <v>0</v>
      </c>
      <c r="M144" s="10">
        <v>23</v>
      </c>
      <c r="N144" s="30"/>
      <c r="O144" s="31"/>
      <c r="P144" s="47"/>
      <c r="S144" s="32">
        <f t="shared" si="41"/>
        <v>0</v>
      </c>
      <c r="T144" s="10"/>
      <c r="U144" s="10"/>
      <c r="V144" s="10"/>
      <c r="W144" s="12">
        <f t="shared" si="42"/>
        <v>0</v>
      </c>
      <c r="Y144" s="10">
        <v>23</v>
      </c>
      <c r="Z144" s="30"/>
      <c r="AA144" s="31"/>
      <c r="AB144" s="47"/>
      <c r="AE144" s="32">
        <f t="shared" si="48"/>
        <v>0</v>
      </c>
      <c r="AF144" s="10"/>
      <c r="AG144" s="10"/>
      <c r="AH144" s="10"/>
      <c r="AI144" s="12">
        <f t="shared" si="44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3"/>
      <c r="D145" s="32"/>
      <c r="E145" s="32"/>
      <c r="F145" s="32"/>
      <c r="G145" s="32">
        <f t="shared" si="39"/>
        <v>0</v>
      </c>
      <c r="H145" s="10"/>
      <c r="I145" s="10"/>
      <c r="J145" s="10"/>
      <c r="K145" s="12">
        <f t="shared" si="40"/>
        <v>0</v>
      </c>
      <c r="M145" s="10">
        <v>24</v>
      </c>
      <c r="N145" s="30"/>
      <c r="O145" s="31"/>
      <c r="P145" s="47"/>
      <c r="Q145" s="31"/>
      <c r="R145" s="31"/>
      <c r="S145" s="32">
        <f t="shared" si="41"/>
        <v>0</v>
      </c>
      <c r="T145" s="10"/>
      <c r="U145" s="10"/>
      <c r="V145" s="10"/>
      <c r="W145" s="12">
        <f t="shared" si="42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8"/>
        <v>0</v>
      </c>
      <c r="AF145" s="10"/>
      <c r="AG145" s="10"/>
      <c r="AH145" s="10"/>
      <c r="AI145" s="12">
        <f t="shared" si="44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3"/>
      <c r="D146" s="32"/>
      <c r="E146" s="32"/>
      <c r="F146" s="32"/>
      <c r="G146" s="32">
        <f t="shared" si="39"/>
        <v>0</v>
      </c>
      <c r="H146" s="10"/>
      <c r="I146" s="10"/>
      <c r="J146" s="10"/>
      <c r="K146" s="12">
        <f t="shared" si="40"/>
        <v>0</v>
      </c>
      <c r="M146" s="10">
        <v>25</v>
      </c>
      <c r="N146" s="30"/>
      <c r="O146" s="31"/>
      <c r="P146" s="47"/>
      <c r="Q146" s="31"/>
      <c r="R146" s="31"/>
      <c r="S146" s="32">
        <f t="shared" si="41"/>
        <v>0</v>
      </c>
      <c r="T146" s="10"/>
      <c r="U146" s="10"/>
      <c r="V146" s="10"/>
      <c r="W146" s="12">
        <f t="shared" si="42"/>
        <v>0</v>
      </c>
      <c r="Y146" s="10">
        <v>25</v>
      </c>
      <c r="Z146" s="30"/>
      <c r="AA146" s="31"/>
      <c r="AB146" s="47"/>
      <c r="AC146" s="31"/>
      <c r="AD146" s="31"/>
      <c r="AE146" s="32">
        <f t="shared" si="48"/>
        <v>0</v>
      </c>
      <c r="AF146" s="10"/>
      <c r="AG146" s="10"/>
      <c r="AH146" s="10"/>
      <c r="AI146" s="12">
        <f t="shared" si="44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3"/>
      <c r="D147" s="32"/>
      <c r="E147" s="32"/>
      <c r="F147" s="32"/>
      <c r="G147" s="32">
        <f t="shared" si="39"/>
        <v>0</v>
      </c>
      <c r="H147" s="10"/>
      <c r="I147" s="10"/>
      <c r="J147" s="10"/>
      <c r="K147" s="12">
        <f t="shared" si="40"/>
        <v>0</v>
      </c>
      <c r="M147" s="10">
        <v>26</v>
      </c>
      <c r="N147" s="30"/>
      <c r="O147" s="31"/>
      <c r="P147" s="47"/>
      <c r="Q147" s="31"/>
      <c r="R147" s="31"/>
      <c r="S147" s="32">
        <f t="shared" si="41"/>
        <v>0</v>
      </c>
      <c r="T147" s="10"/>
      <c r="U147" s="10"/>
      <c r="V147" s="10"/>
      <c r="W147" s="12">
        <f t="shared" si="42"/>
        <v>0</v>
      </c>
      <c r="Y147" s="10">
        <v>26</v>
      </c>
      <c r="Z147" s="30"/>
      <c r="AA147" s="31"/>
      <c r="AB147" s="47"/>
      <c r="AC147" s="31"/>
      <c r="AD147" s="31"/>
      <c r="AE147" s="32">
        <f t="shared" si="48"/>
        <v>0</v>
      </c>
      <c r="AF147" s="10"/>
      <c r="AG147" s="10"/>
      <c r="AH147" s="10"/>
      <c r="AI147" s="12">
        <f t="shared" si="44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3"/>
      <c r="D148" s="32"/>
      <c r="E148" s="32"/>
      <c r="F148" s="32"/>
      <c r="G148" s="32">
        <f t="shared" si="39"/>
        <v>0</v>
      </c>
      <c r="H148" s="10"/>
      <c r="I148" s="10"/>
      <c r="J148" s="10"/>
      <c r="K148" s="12">
        <f t="shared" si="40"/>
        <v>0</v>
      </c>
      <c r="M148" s="10">
        <v>27</v>
      </c>
      <c r="N148" s="30"/>
      <c r="O148" s="31"/>
      <c r="P148" s="47"/>
      <c r="Q148" s="31"/>
      <c r="R148" s="31"/>
      <c r="S148" s="32">
        <f t="shared" si="41"/>
        <v>0</v>
      </c>
      <c r="T148" s="10"/>
      <c r="U148" s="10"/>
      <c r="V148" s="10"/>
      <c r="W148" s="12">
        <f t="shared" si="42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8"/>
        <v>0</v>
      </c>
      <c r="AF148" s="10"/>
      <c r="AG148" s="10"/>
      <c r="AH148" s="10"/>
      <c r="AI148" s="12">
        <f t="shared" si="44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3"/>
      <c r="D149" s="32"/>
      <c r="E149" s="32"/>
      <c r="F149" s="32"/>
      <c r="G149" s="32">
        <f t="shared" si="39"/>
        <v>0</v>
      </c>
      <c r="H149" s="10"/>
      <c r="I149" s="10"/>
      <c r="J149" s="10"/>
      <c r="K149" s="12">
        <f t="shared" si="40"/>
        <v>0</v>
      </c>
      <c r="M149" s="10">
        <v>28</v>
      </c>
      <c r="N149" s="30"/>
      <c r="O149" s="31"/>
      <c r="P149" s="47"/>
      <c r="Q149" s="31"/>
      <c r="R149" s="31"/>
      <c r="S149" s="32">
        <f t="shared" si="41"/>
        <v>0</v>
      </c>
      <c r="T149" s="10"/>
      <c r="U149" s="10"/>
      <c r="V149" s="10"/>
      <c r="W149" s="12">
        <f t="shared" si="42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8"/>
        <v>0</v>
      </c>
      <c r="AF149" s="10"/>
      <c r="AG149" s="10"/>
      <c r="AH149" s="10"/>
      <c r="AI149" s="12">
        <f t="shared" si="44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57"/>
      <c r="D150" s="32"/>
      <c r="E150" s="32"/>
      <c r="F150" s="32"/>
      <c r="G150" s="32">
        <f t="shared" si="39"/>
        <v>0</v>
      </c>
      <c r="H150" s="10"/>
      <c r="I150" s="10"/>
      <c r="J150" s="10"/>
      <c r="K150" s="12">
        <f t="shared" si="40"/>
        <v>0</v>
      </c>
      <c r="M150" s="10">
        <v>29</v>
      </c>
      <c r="N150" s="30"/>
      <c r="O150" s="31"/>
      <c r="P150" s="47"/>
      <c r="Q150" s="31"/>
      <c r="R150" s="31"/>
      <c r="S150" s="32">
        <f t="shared" si="41"/>
        <v>0</v>
      </c>
      <c r="T150" s="10"/>
      <c r="U150" s="10"/>
      <c r="V150" s="10"/>
      <c r="W150" s="12">
        <f t="shared" si="42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8"/>
        <v>0</v>
      </c>
      <c r="AF150" s="10"/>
      <c r="AG150" s="10"/>
      <c r="AH150" s="10"/>
      <c r="AI150" s="12">
        <f t="shared" si="44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3"/>
      <c r="D151" s="32"/>
      <c r="E151" s="32"/>
      <c r="F151" s="32"/>
      <c r="G151" s="32">
        <f t="shared" si="39"/>
        <v>0</v>
      </c>
      <c r="H151" s="10"/>
      <c r="I151" s="10"/>
      <c r="J151" s="10"/>
      <c r="K151" s="12">
        <f t="shared" si="40"/>
        <v>0</v>
      </c>
      <c r="M151" s="10">
        <v>30</v>
      </c>
      <c r="N151" s="30"/>
      <c r="P151" s="47"/>
      <c r="Q151" s="31"/>
      <c r="R151" s="31"/>
      <c r="S151" s="32">
        <f t="shared" si="41"/>
        <v>0</v>
      </c>
      <c r="T151" s="10"/>
      <c r="U151" s="10"/>
      <c r="V151" s="10"/>
      <c r="W151" s="12">
        <f t="shared" si="42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8"/>
        <v>0</v>
      </c>
      <c r="AF151" s="10"/>
      <c r="AG151" s="10"/>
      <c r="AH151" s="10"/>
      <c r="AI151" s="12">
        <f t="shared" si="44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3"/>
      <c r="D152" s="32"/>
      <c r="E152" s="32"/>
      <c r="F152" s="32"/>
      <c r="G152" s="32">
        <f t="shared" si="39"/>
        <v>0</v>
      </c>
      <c r="H152" s="10"/>
      <c r="I152" s="10"/>
      <c r="J152" s="10"/>
      <c r="K152" s="12">
        <f t="shared" si="40"/>
        <v>0</v>
      </c>
      <c r="M152" s="10">
        <v>31</v>
      </c>
      <c r="N152" s="30"/>
      <c r="O152" s="31"/>
      <c r="P152" s="47"/>
      <c r="Q152" s="31"/>
      <c r="R152" s="31"/>
      <c r="S152" s="32">
        <f t="shared" si="41"/>
        <v>0</v>
      </c>
      <c r="T152" s="10"/>
      <c r="U152" s="10"/>
      <c r="V152" s="10"/>
      <c r="W152" s="12">
        <f t="shared" si="42"/>
        <v>0</v>
      </c>
      <c r="Y152" s="10">
        <v>31</v>
      </c>
      <c r="Z152" s="30"/>
      <c r="AA152" s="31"/>
      <c r="AB152" s="47"/>
      <c r="AC152" s="31"/>
      <c r="AD152" s="31"/>
      <c r="AE152" s="32">
        <f t="shared" si="48"/>
        <v>0</v>
      </c>
      <c r="AF152" s="10"/>
      <c r="AG152" s="10"/>
      <c r="AH152" s="10"/>
      <c r="AI152" s="12">
        <f t="shared" si="44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3"/>
      <c r="D153" s="32"/>
      <c r="E153" s="32"/>
      <c r="F153" s="32"/>
      <c r="G153" s="32">
        <f t="shared" si="39"/>
        <v>0</v>
      </c>
      <c r="H153" s="10"/>
      <c r="I153" s="10"/>
      <c r="J153" s="10"/>
      <c r="K153" s="12">
        <f t="shared" si="40"/>
        <v>0</v>
      </c>
      <c r="M153" s="10">
        <v>32</v>
      </c>
      <c r="N153" s="30"/>
      <c r="O153" s="31"/>
      <c r="P153" s="47"/>
      <c r="Q153" s="31"/>
      <c r="R153" s="31"/>
      <c r="S153" s="32">
        <f t="shared" si="41"/>
        <v>0</v>
      </c>
      <c r="T153" s="10"/>
      <c r="U153" s="10"/>
      <c r="V153" s="10"/>
      <c r="W153" s="12">
        <f t="shared" si="42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8"/>
        <v>0</v>
      </c>
      <c r="AF153" s="10"/>
      <c r="AG153" s="10"/>
      <c r="AH153" s="10"/>
      <c r="AI153" s="12">
        <f t="shared" si="44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3"/>
      <c r="D154" s="32"/>
      <c r="E154" s="32"/>
      <c r="F154" s="32"/>
      <c r="G154" s="32">
        <f t="shared" si="39"/>
        <v>0</v>
      </c>
      <c r="H154" s="10"/>
      <c r="I154" s="10"/>
      <c r="J154" s="10"/>
      <c r="K154" s="12">
        <f t="shared" si="40"/>
        <v>0</v>
      </c>
      <c r="M154" s="10">
        <v>33</v>
      </c>
      <c r="N154" s="30"/>
      <c r="O154" s="31"/>
      <c r="P154" s="47"/>
      <c r="Q154" s="31"/>
      <c r="R154" s="31"/>
      <c r="S154" s="32">
        <f t="shared" si="41"/>
        <v>0</v>
      </c>
      <c r="T154" s="10"/>
      <c r="U154" s="10"/>
      <c r="V154" s="10"/>
      <c r="W154" s="12">
        <f t="shared" si="42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8"/>
        <v>0</v>
      </c>
      <c r="AF154" s="10"/>
      <c r="AG154" s="10"/>
      <c r="AH154" s="10"/>
      <c r="AI154" s="12">
        <f t="shared" si="44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3"/>
      <c r="D155" s="32"/>
      <c r="E155" s="32"/>
      <c r="F155" s="32"/>
      <c r="G155" s="32">
        <f t="shared" si="39"/>
        <v>0</v>
      </c>
      <c r="H155" s="10"/>
      <c r="I155" s="10"/>
      <c r="J155" s="10"/>
      <c r="K155" s="12">
        <f t="shared" si="40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9">SUM(P155:Q155)</f>
        <v>0</v>
      </c>
      <c r="T155" s="10"/>
      <c r="U155" s="10"/>
      <c r="V155" s="10"/>
      <c r="W155" s="12">
        <f t="shared" ref="W155:W163" si="50">SUM(S155:V155)</f>
        <v>0</v>
      </c>
      <c r="Y155" s="10">
        <v>34</v>
      </c>
      <c r="Z155" s="30"/>
      <c r="AA155" s="31"/>
      <c r="AB155" s="47"/>
      <c r="AC155" s="31"/>
      <c r="AD155" s="31"/>
      <c r="AE155" s="32">
        <f t="shared" ref="AE155:AE160" si="51">SUM(AB155:AC155)</f>
        <v>0</v>
      </c>
      <c r="AF155" s="10"/>
      <c r="AG155" s="10"/>
      <c r="AH155" s="10"/>
      <c r="AI155" s="12">
        <f t="shared" ref="AI155:AI163" si="52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3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9"/>
        <v>0</v>
      </c>
      <c r="T156" s="10"/>
      <c r="U156" s="10"/>
      <c r="V156" s="10"/>
      <c r="W156" s="12">
        <f t="shared" si="50"/>
        <v>0</v>
      </c>
      <c r="Y156" s="10">
        <v>35</v>
      </c>
      <c r="Z156" s="30"/>
      <c r="AA156" s="31"/>
      <c r="AB156" s="47"/>
      <c r="AC156" s="31"/>
      <c r="AD156" s="31"/>
      <c r="AE156" s="32">
        <f t="shared" si="51"/>
        <v>0</v>
      </c>
      <c r="AF156" s="10"/>
      <c r="AG156" s="10"/>
      <c r="AH156" s="10"/>
      <c r="AI156" s="12">
        <f t="shared" si="52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3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9"/>
        <v>0</v>
      </c>
      <c r="T157" s="10"/>
      <c r="U157" s="10"/>
      <c r="V157" s="10"/>
      <c r="W157" s="12">
        <f t="shared" si="50"/>
        <v>0</v>
      </c>
      <c r="Y157" s="10">
        <v>36</v>
      </c>
      <c r="Z157" s="30"/>
      <c r="AA157" s="31"/>
      <c r="AB157" s="47"/>
      <c r="AC157" s="31"/>
      <c r="AD157" s="31"/>
      <c r="AE157" s="32">
        <f t="shared" si="51"/>
        <v>0</v>
      </c>
      <c r="AF157" s="10"/>
      <c r="AG157" s="10"/>
      <c r="AH157" s="10"/>
      <c r="AI157" s="12">
        <f t="shared" si="52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9"/>
        <v>0</v>
      </c>
      <c r="T158" s="10"/>
      <c r="U158" s="10"/>
      <c r="V158" s="10"/>
      <c r="W158" s="12">
        <f t="shared" si="50"/>
        <v>0</v>
      </c>
      <c r="Y158" s="10">
        <v>37</v>
      </c>
      <c r="Z158" s="30"/>
      <c r="AA158" s="31"/>
      <c r="AB158" s="47"/>
      <c r="AC158" s="31"/>
      <c r="AD158" s="31"/>
      <c r="AE158" s="32">
        <f t="shared" si="51"/>
        <v>0</v>
      </c>
      <c r="AF158" s="10"/>
      <c r="AG158" s="10"/>
      <c r="AH158" s="10"/>
      <c r="AI158" s="12">
        <f t="shared" si="52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9"/>
        <v>0</v>
      </c>
      <c r="T159" s="10"/>
      <c r="U159" s="10"/>
      <c r="V159" s="10"/>
      <c r="W159" s="12">
        <f t="shared" si="50"/>
        <v>0</v>
      </c>
      <c r="Y159" s="10">
        <v>38</v>
      </c>
      <c r="Z159" s="30"/>
      <c r="AA159" s="31"/>
      <c r="AB159" s="47"/>
      <c r="AC159" s="31"/>
      <c r="AD159" s="31"/>
      <c r="AE159" s="32">
        <f t="shared" si="51"/>
        <v>0</v>
      </c>
      <c r="AF159" s="10"/>
      <c r="AG159" s="10"/>
      <c r="AH159" s="10"/>
      <c r="AI159" s="12">
        <f t="shared" si="52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9"/>
        <v>0</v>
      </c>
      <c r="T160" s="10"/>
      <c r="U160" s="10"/>
      <c r="V160" s="10"/>
      <c r="W160" s="12">
        <f t="shared" si="50"/>
        <v>0</v>
      </c>
      <c r="Y160" s="10">
        <v>39</v>
      </c>
      <c r="Z160" s="30"/>
      <c r="AA160" s="31"/>
      <c r="AB160" s="47"/>
      <c r="AC160" s="31"/>
      <c r="AD160" s="31"/>
      <c r="AE160" s="32">
        <f t="shared" si="51"/>
        <v>0</v>
      </c>
      <c r="AF160" s="10"/>
      <c r="AG160" s="10"/>
      <c r="AH160" s="10"/>
      <c r="AI160" s="12">
        <f t="shared" si="52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50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52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3">SUM(D162:E162)</f>
        <v>0</v>
      </c>
      <c r="H162" s="10"/>
      <c r="I162" s="10"/>
      <c r="J162" s="10"/>
      <c r="K162" s="12">
        <f t="shared" ref="K162" si="54">SUM(G162:J162)</f>
        <v>0</v>
      </c>
      <c r="M162" s="10"/>
      <c r="N162" s="30"/>
      <c r="O162" s="31"/>
      <c r="P162" s="47"/>
      <c r="Q162" s="31"/>
      <c r="R162" s="31"/>
      <c r="S162" s="32">
        <f t="shared" ref="S162" si="55">SUM(P162:Q162)</f>
        <v>0</v>
      </c>
      <c r="T162" s="10"/>
      <c r="U162" s="10"/>
      <c r="V162" s="10"/>
      <c r="W162" s="12">
        <f t="shared" si="50"/>
        <v>0</v>
      </c>
      <c r="Y162" s="10"/>
      <c r="Z162" s="30"/>
      <c r="AA162" s="31"/>
      <c r="AB162" s="47"/>
      <c r="AC162" s="31"/>
      <c r="AD162" s="31"/>
      <c r="AE162" s="32">
        <f t="shared" ref="AE162" si="56">SUM(AB162:AC162)</f>
        <v>0</v>
      </c>
      <c r="AF162" s="10"/>
      <c r="AG162" s="10"/>
      <c r="AH162" s="10"/>
      <c r="AI162" s="12">
        <f t="shared" si="52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50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52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168919</v>
      </c>
      <c r="E165" s="38">
        <f t="shared" ref="E165:F165" si="57">SUM(E122:E162)</f>
        <v>0</v>
      </c>
      <c r="F165" s="38">
        <f t="shared" si="57"/>
        <v>0</v>
      </c>
      <c r="G165" s="38">
        <f>SUM(G122:G164)</f>
        <v>168919</v>
      </c>
      <c r="H165" s="4"/>
      <c r="I165" s="39">
        <f>SUM(I122:I164)</f>
        <v>0</v>
      </c>
      <c r="J165" s="39">
        <f>SUM(J122:J164)</f>
        <v>-1998</v>
      </c>
      <c r="K165" s="40">
        <f>SUM(K122:K164)</f>
        <v>166921</v>
      </c>
      <c r="N165" s="57"/>
      <c r="O165" s="57"/>
      <c r="P165" s="38">
        <f>SUM(P122:P164)</f>
        <v>150489.5</v>
      </c>
      <c r="Q165" s="38">
        <f>SUM(Q122:Q146)</f>
        <v>0</v>
      </c>
      <c r="R165" s="38">
        <f>SUM(R122:R146)</f>
        <v>0</v>
      </c>
      <c r="S165" s="38">
        <f>SUM(S122:S164)</f>
        <v>150489.5</v>
      </c>
      <c r="T165" s="4"/>
      <c r="U165" s="41">
        <f>SUM(U122:U164)</f>
        <v>93</v>
      </c>
      <c r="V165" s="41">
        <f>SUM(V122:V146)</f>
        <v>0</v>
      </c>
      <c r="W165" s="42">
        <f>SUM(W122:W164)</f>
        <v>150582.5</v>
      </c>
      <c r="Z165" s="57"/>
      <c r="AA165" s="57"/>
      <c r="AB165" s="38">
        <f>SUM(AB122:AB164)</f>
        <v>428212</v>
      </c>
      <c r="AC165" s="38">
        <f>SUM(AC122:AC146)</f>
        <v>-3564</v>
      </c>
      <c r="AD165" s="38">
        <f>SUM(AD122:AD146)</f>
        <v>0</v>
      </c>
      <c r="AE165" s="38">
        <f>SUM(AE122:AE164)</f>
        <v>424648</v>
      </c>
      <c r="AF165" s="4"/>
      <c r="AG165" s="41">
        <f>SUM(AG122:AG164)</f>
        <v>3642</v>
      </c>
      <c r="AH165" s="41">
        <f>SUM(AH122:AH146)</f>
        <v>-2403</v>
      </c>
      <c r="AI165" s="42">
        <f>SUM(AI122:AI164)</f>
        <v>425887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47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47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47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48</v>
      </c>
      <c r="B173" s="20"/>
      <c r="C173" s="57"/>
      <c r="D173" s="57"/>
      <c r="E173" s="57"/>
      <c r="G173" s="57"/>
      <c r="I173" s="22" t="s">
        <v>16</v>
      </c>
      <c r="J173" s="23" t="s">
        <v>31</v>
      </c>
      <c r="K173" s="24"/>
      <c r="M173" s="21" t="s">
        <v>48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33</v>
      </c>
      <c r="W173" s="24"/>
      <c r="Y173" s="21" t="s">
        <v>48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35</v>
      </c>
      <c r="AI173" s="24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15" t="s">
        <v>17</v>
      </c>
      <c r="E175" s="115"/>
      <c r="F175" s="89"/>
      <c r="G175" s="27"/>
      <c r="I175" s="113" t="s">
        <v>18</v>
      </c>
      <c r="J175" s="114"/>
      <c r="K175" s="111" t="s">
        <v>19</v>
      </c>
      <c r="N175" s="25"/>
      <c r="O175" s="26"/>
      <c r="P175" s="115" t="s">
        <v>17</v>
      </c>
      <c r="Q175" s="115"/>
      <c r="R175" s="89"/>
      <c r="S175" s="27"/>
      <c r="U175" s="113" t="s">
        <v>18</v>
      </c>
      <c r="V175" s="114"/>
      <c r="W175" s="111" t="s">
        <v>19</v>
      </c>
      <c r="Z175" s="25"/>
      <c r="AA175" s="26"/>
      <c r="AB175" s="115" t="s">
        <v>17</v>
      </c>
      <c r="AC175" s="115"/>
      <c r="AD175" s="89"/>
      <c r="AE175" s="27"/>
      <c r="AG175" s="113" t="s">
        <v>18</v>
      </c>
      <c r="AH175" s="114"/>
      <c r="AI175" s="111" t="s">
        <v>19</v>
      </c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7" t="s">
        <v>22</v>
      </c>
      <c r="E176" s="76" t="s">
        <v>23</v>
      </c>
      <c r="F176" s="78" t="s">
        <v>32</v>
      </c>
      <c r="G176" s="78" t="s">
        <v>24</v>
      </c>
      <c r="I176" s="29" t="s">
        <v>25</v>
      </c>
      <c r="J176" s="29" t="s">
        <v>26</v>
      </c>
      <c r="K176" s="112"/>
      <c r="N176" s="28" t="s">
        <v>20</v>
      </c>
      <c r="O176" s="28" t="s">
        <v>21</v>
      </c>
      <c r="P176" s="77" t="s">
        <v>22</v>
      </c>
      <c r="Q176" s="78" t="s">
        <v>23</v>
      </c>
      <c r="R176" s="78" t="s">
        <v>32</v>
      </c>
      <c r="S176" s="78" t="s">
        <v>24</v>
      </c>
      <c r="U176" s="29" t="s">
        <v>25</v>
      </c>
      <c r="V176" s="29" t="s">
        <v>26</v>
      </c>
      <c r="W176" s="112"/>
      <c r="Z176" s="28" t="s">
        <v>20</v>
      </c>
      <c r="AA176" s="28" t="s">
        <v>21</v>
      </c>
      <c r="AB176" s="77" t="s">
        <v>22</v>
      </c>
      <c r="AC176" s="78" t="s">
        <v>23</v>
      </c>
      <c r="AD176" s="78" t="s">
        <v>32</v>
      </c>
      <c r="AE176" s="78" t="s">
        <v>24</v>
      </c>
      <c r="AG176" s="29" t="s">
        <v>25</v>
      </c>
      <c r="AH176" s="29" t="s">
        <v>26</v>
      </c>
      <c r="AI176" s="112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46144</v>
      </c>
      <c r="C177" s="83">
        <v>8874</v>
      </c>
      <c r="D177" s="32">
        <f>650*7+622</f>
        <v>5172</v>
      </c>
      <c r="E177" s="32"/>
      <c r="F177" s="32"/>
      <c r="G177" s="32">
        <f t="shared" ref="G177:G210" si="58">SUM(D177:E177)</f>
        <v>5172</v>
      </c>
      <c r="H177" s="12"/>
      <c r="I177" s="12"/>
      <c r="J177" s="12"/>
      <c r="K177" s="12">
        <f t="shared" ref="K177:K210" si="59">SUM(G177:J177)</f>
        <v>5172</v>
      </c>
      <c r="M177" s="10">
        <v>1</v>
      </c>
      <c r="N177" s="30">
        <v>46144</v>
      </c>
      <c r="O177" s="31">
        <v>8846</v>
      </c>
      <c r="P177" s="32">
        <f>650*8+622*2+9.5*10</f>
        <v>6539</v>
      </c>
      <c r="Q177" s="32">
        <v>-777</v>
      </c>
      <c r="R177" s="32"/>
      <c r="S177" s="32">
        <f>SUM(P177:Q177)</f>
        <v>5762</v>
      </c>
      <c r="T177" s="12"/>
      <c r="U177" s="12"/>
      <c r="V177" s="12"/>
      <c r="W177" s="12">
        <f>SUM(S177:V177)</f>
        <v>5762</v>
      </c>
      <c r="Y177" s="10">
        <v>1</v>
      </c>
      <c r="Z177" s="30">
        <v>46144</v>
      </c>
      <c r="AA177" s="31">
        <v>8914</v>
      </c>
      <c r="AB177" s="32">
        <f>650*100+1102+1050*2+229*4</f>
        <v>69118</v>
      </c>
      <c r="AC177" s="32">
        <v>-618</v>
      </c>
      <c r="AD177" s="32"/>
      <c r="AE177" s="32">
        <f>SUM(AB177:AC177)</f>
        <v>68500</v>
      </c>
      <c r="AF177" s="12"/>
      <c r="AG177" s="12"/>
      <c r="AH177" s="12">
        <f>-120+-111*50+-78*3</f>
        <v>-5904</v>
      </c>
      <c r="AI177" s="12">
        <f>SUM(AE177:AH177)</f>
        <v>62596</v>
      </c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46144</v>
      </c>
      <c r="C178" s="83">
        <f>C177+1</f>
        <v>8875</v>
      </c>
      <c r="D178" s="32">
        <f>650*108+622*20+1102+872+650*4</f>
        <v>87214</v>
      </c>
      <c r="E178" s="32"/>
      <c r="F178" s="32"/>
      <c r="G178" s="32">
        <f t="shared" si="58"/>
        <v>87214</v>
      </c>
      <c r="H178" s="12"/>
      <c r="I178" s="12"/>
      <c r="J178" s="12">
        <f>-120*3+-111*6+-78*3+-84*3</f>
        <v>-1512</v>
      </c>
      <c r="K178" s="12">
        <f t="shared" si="59"/>
        <v>85702</v>
      </c>
      <c r="M178" s="10">
        <v>2</v>
      </c>
      <c r="N178" s="30">
        <v>46144</v>
      </c>
      <c r="O178" s="31">
        <f>O177+1</f>
        <v>8847</v>
      </c>
      <c r="P178" s="32">
        <f>650*4+9.5*4</f>
        <v>2638</v>
      </c>
      <c r="Q178" s="32"/>
      <c r="R178" s="32"/>
      <c r="S178" s="32">
        <f t="shared" ref="S178:S209" si="60">SUM(P178:Q178)</f>
        <v>2638</v>
      </c>
      <c r="T178" s="12"/>
      <c r="U178" s="12"/>
      <c r="V178" s="12">
        <v>-222</v>
      </c>
      <c r="W178" s="12">
        <f t="shared" ref="W178:W209" si="61">SUM(S178:V178)</f>
        <v>2416</v>
      </c>
      <c r="Y178" s="10">
        <v>2</v>
      </c>
      <c r="Z178" s="30">
        <v>46144</v>
      </c>
      <c r="AA178" s="31">
        <f>AA177+1</f>
        <v>8915</v>
      </c>
      <c r="AB178" s="32"/>
      <c r="AD178" s="32"/>
      <c r="AE178" s="32">
        <f t="shared" ref="AE178:AE179" si="62">SUM(AB178:AC178)</f>
        <v>0</v>
      </c>
      <c r="AF178" s="12"/>
      <c r="AG178" s="12"/>
      <c r="AI178" s="12">
        <f t="shared" ref="AI178:AI209" si="63">SUM(AE178:AH178)</f>
        <v>0</v>
      </c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46144</v>
      </c>
      <c r="C179" s="83">
        <f t="shared" ref="C179:C187" si="64">C178+1</f>
        <v>8876</v>
      </c>
      <c r="D179" s="33">
        <f>622*10</f>
        <v>6220</v>
      </c>
      <c r="E179" s="33"/>
      <c r="F179" s="33"/>
      <c r="G179" s="33">
        <f t="shared" si="58"/>
        <v>6220</v>
      </c>
      <c r="H179" s="34"/>
      <c r="I179" s="34">
        <v>162</v>
      </c>
      <c r="J179" s="34"/>
      <c r="K179" s="34">
        <f t="shared" si="59"/>
        <v>6382</v>
      </c>
      <c r="M179" s="10">
        <v>3</v>
      </c>
      <c r="N179" s="30">
        <v>46144</v>
      </c>
      <c r="O179" s="31">
        <f t="shared" ref="O179:O185" si="65">O178+1</f>
        <v>8848</v>
      </c>
      <c r="P179" s="32">
        <f>650*2+9.5*2</f>
        <v>1319</v>
      </c>
      <c r="Q179" s="32"/>
      <c r="R179" s="32"/>
      <c r="S179" s="32">
        <f t="shared" si="60"/>
        <v>1319</v>
      </c>
      <c r="T179" s="12"/>
      <c r="U179" s="12"/>
      <c r="V179" s="12"/>
      <c r="W179" s="12">
        <f t="shared" si="61"/>
        <v>1319</v>
      </c>
      <c r="Y179" s="10">
        <v>3</v>
      </c>
      <c r="Z179" s="30">
        <v>46144</v>
      </c>
      <c r="AA179" s="31">
        <f t="shared" ref="AA179:AA181" si="66">AA178+1</f>
        <v>8916</v>
      </c>
      <c r="AB179" s="32"/>
      <c r="AC179" s="33"/>
      <c r="AD179" s="32"/>
      <c r="AE179" s="32">
        <f t="shared" si="62"/>
        <v>0</v>
      </c>
      <c r="AF179" s="12"/>
      <c r="AG179" s="12"/>
      <c r="AH179" s="12"/>
      <c r="AI179" s="12">
        <f t="shared" si="63"/>
        <v>0</v>
      </c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46144</v>
      </c>
      <c r="C180" s="83">
        <f t="shared" si="64"/>
        <v>8877</v>
      </c>
      <c r="D180" s="32">
        <f>650*25+622+872+229+500</f>
        <v>18473</v>
      </c>
      <c r="E180" s="32"/>
      <c r="F180" s="32"/>
      <c r="G180" s="32">
        <f t="shared" si="58"/>
        <v>18473</v>
      </c>
      <c r="H180" s="12"/>
      <c r="I180" s="12"/>
      <c r="J180" s="12"/>
      <c r="K180" s="12">
        <f t="shared" si="59"/>
        <v>18473</v>
      </c>
      <c r="M180" s="10">
        <v>4</v>
      </c>
      <c r="N180" s="30">
        <v>46144</v>
      </c>
      <c r="O180" s="31">
        <f t="shared" si="65"/>
        <v>8849</v>
      </c>
      <c r="P180" s="32">
        <f>650*5+9.5*5</f>
        <v>3297.5</v>
      </c>
      <c r="Q180" s="32"/>
      <c r="R180" s="32"/>
      <c r="S180" s="32">
        <f t="shared" si="60"/>
        <v>3297.5</v>
      </c>
      <c r="T180" s="12"/>
      <c r="U180" s="12"/>
      <c r="V180" s="12">
        <v>-333</v>
      </c>
      <c r="W180" s="12">
        <f t="shared" si="61"/>
        <v>2964.5</v>
      </c>
      <c r="Y180" s="10">
        <v>4</v>
      </c>
      <c r="Z180" s="30">
        <v>46144</v>
      </c>
      <c r="AA180" s="31">
        <f t="shared" si="66"/>
        <v>8917</v>
      </c>
      <c r="AB180" s="32">
        <f>650*108+229*4</f>
        <v>71116</v>
      </c>
      <c r="AC180" s="32">
        <v>-648</v>
      </c>
      <c r="AD180" s="32"/>
      <c r="AE180" s="32">
        <f>SUM(AB180:AC180)</f>
        <v>70468</v>
      </c>
      <c r="AF180" s="12"/>
      <c r="AH180" s="12">
        <f>-120*11+-111*108+-78*10</f>
        <v>-14088</v>
      </c>
      <c r="AI180" s="12">
        <f>SUM(AE180:AH180)</f>
        <v>56380</v>
      </c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46144</v>
      </c>
      <c r="C181" s="83">
        <f t="shared" si="64"/>
        <v>8878</v>
      </c>
      <c r="D181" s="32">
        <f>650*28+670+229</f>
        <v>19099</v>
      </c>
      <c r="E181" s="32"/>
      <c r="F181" s="32"/>
      <c r="G181" s="32">
        <f t="shared" si="58"/>
        <v>19099</v>
      </c>
      <c r="H181" s="12"/>
      <c r="I181" s="12"/>
      <c r="J181" s="12"/>
      <c r="K181" s="12">
        <f t="shared" si="59"/>
        <v>19099</v>
      </c>
      <c r="M181" s="10">
        <v>5</v>
      </c>
      <c r="N181" s="30">
        <v>46144</v>
      </c>
      <c r="O181" s="31">
        <f t="shared" si="65"/>
        <v>8850</v>
      </c>
      <c r="P181" s="32">
        <f>650*2+9.5*2</f>
        <v>1319</v>
      </c>
      <c r="Q181" s="32"/>
      <c r="R181" s="32"/>
      <c r="S181" s="32">
        <f t="shared" si="60"/>
        <v>1319</v>
      </c>
      <c r="T181" s="12"/>
      <c r="U181" s="12"/>
      <c r="V181" s="12"/>
      <c r="W181" s="12">
        <f t="shared" si="61"/>
        <v>1319</v>
      </c>
      <c r="Y181" s="10">
        <v>5</v>
      </c>
      <c r="Z181" s="30">
        <v>46144</v>
      </c>
      <c r="AA181" s="31">
        <f t="shared" si="66"/>
        <v>8918</v>
      </c>
      <c r="AB181" s="33">
        <f>650*40+622*6+456+1050*2+872*3+229*2+500*2</f>
        <v>36362</v>
      </c>
      <c r="AC181" s="32"/>
      <c r="AD181" s="32"/>
      <c r="AE181" s="32">
        <f>SUM(AB181:AC181)</f>
        <v>36362</v>
      </c>
      <c r="AF181" s="12"/>
      <c r="AG181" s="12"/>
      <c r="AH181" s="12"/>
      <c r="AI181" s="12">
        <f t="shared" si="63"/>
        <v>36362</v>
      </c>
      <c r="AK181" s="62"/>
      <c r="AL181" s="65"/>
      <c r="AM181" s="86"/>
      <c r="AN181" s="117"/>
      <c r="AO181" s="117"/>
      <c r="AP181" s="86"/>
      <c r="AQ181" s="62"/>
      <c r="AR181" s="117"/>
      <c r="AS181" s="117"/>
      <c r="AT181" s="116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46144</v>
      </c>
      <c r="C182" s="83">
        <f t="shared" si="64"/>
        <v>8879</v>
      </c>
      <c r="D182" s="32">
        <f>650*11</f>
        <v>7150</v>
      </c>
      <c r="E182" s="32"/>
      <c r="F182" s="32"/>
      <c r="G182" s="32">
        <f t="shared" si="58"/>
        <v>7150</v>
      </c>
      <c r="H182" s="12"/>
      <c r="I182" s="12"/>
      <c r="J182" s="12"/>
      <c r="K182" s="12">
        <f t="shared" si="59"/>
        <v>7150</v>
      </c>
      <c r="M182" s="10">
        <v>6</v>
      </c>
      <c r="N182" s="30">
        <v>46144</v>
      </c>
      <c r="O182" s="31">
        <v>8951</v>
      </c>
      <c r="P182" s="32">
        <f>650*4+622*2</f>
        <v>3844</v>
      </c>
      <c r="Q182" s="32"/>
      <c r="R182" s="32"/>
      <c r="S182" s="32">
        <f t="shared" si="60"/>
        <v>3844</v>
      </c>
      <c r="T182" s="12"/>
      <c r="U182" s="12"/>
      <c r="V182" s="10">
        <v>-444</v>
      </c>
      <c r="W182" s="12">
        <f t="shared" si="61"/>
        <v>3400</v>
      </c>
      <c r="Y182" s="10">
        <v>6</v>
      </c>
      <c r="Z182" s="30"/>
      <c r="AA182" s="11" t="s">
        <v>27</v>
      </c>
      <c r="AB182" s="32"/>
      <c r="AC182" s="32"/>
      <c r="AD182" s="32"/>
      <c r="AE182" s="32">
        <f t="shared" ref="AE182:AE186" si="67">SUM(AB182:AC182)</f>
        <v>0</v>
      </c>
      <c r="AF182" s="12"/>
      <c r="AG182" s="12"/>
      <c r="AH182" s="10"/>
      <c r="AI182" s="12">
        <f t="shared" si="63"/>
        <v>0</v>
      </c>
      <c r="AK182" s="62"/>
      <c r="AL182" s="86"/>
      <c r="AM182" s="86"/>
      <c r="AN182" s="86"/>
      <c r="AO182" s="85"/>
      <c r="AP182" s="85"/>
      <c r="AQ182" s="62"/>
      <c r="AR182" s="85"/>
      <c r="AS182" s="85"/>
      <c r="AT182" s="116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46144</v>
      </c>
      <c r="C183" s="83">
        <f t="shared" si="64"/>
        <v>8880</v>
      </c>
      <c r="D183" s="32">
        <f>650*5+229</f>
        <v>3479</v>
      </c>
      <c r="E183" s="32"/>
      <c r="F183" s="32"/>
      <c r="G183" s="32">
        <f t="shared" si="58"/>
        <v>3479</v>
      </c>
      <c r="H183" s="12"/>
      <c r="I183" s="12"/>
      <c r="J183" s="12"/>
      <c r="K183" s="12">
        <f t="shared" si="59"/>
        <v>3479</v>
      </c>
      <c r="M183" s="10">
        <v>7</v>
      </c>
      <c r="N183" s="30">
        <v>46144</v>
      </c>
      <c r="O183" s="31">
        <f t="shared" si="65"/>
        <v>8952</v>
      </c>
      <c r="P183" s="32">
        <f>650*170+622*20+912*2+1102*2+229*7+650*2</f>
        <v>129871</v>
      </c>
      <c r="Q183" s="32">
        <v>-1152</v>
      </c>
      <c r="R183" s="32"/>
      <c r="S183" s="32">
        <f t="shared" si="60"/>
        <v>128719</v>
      </c>
      <c r="T183" s="12"/>
      <c r="U183" s="12">
        <f>6216+390</f>
        <v>6606</v>
      </c>
      <c r="V183" s="12">
        <f>-480+-333+-336</f>
        <v>-1149</v>
      </c>
      <c r="W183" s="12">
        <f t="shared" si="61"/>
        <v>134176</v>
      </c>
      <c r="Y183" s="10">
        <v>7</v>
      </c>
      <c r="Z183" s="30"/>
      <c r="AA183" s="31"/>
      <c r="AB183" s="32"/>
      <c r="AC183" s="32"/>
      <c r="AD183" s="32"/>
      <c r="AE183" s="32">
        <f t="shared" si="67"/>
        <v>0</v>
      </c>
      <c r="AF183" s="12"/>
      <c r="AG183" s="58"/>
      <c r="AH183" s="12"/>
      <c r="AI183" s="12">
        <f t="shared" si="63"/>
        <v>0</v>
      </c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46144</v>
      </c>
      <c r="C184" s="83">
        <f t="shared" si="64"/>
        <v>8881</v>
      </c>
      <c r="D184" s="32">
        <f>14*650+629+229</f>
        <v>9958</v>
      </c>
      <c r="E184" s="32"/>
      <c r="F184" s="32"/>
      <c r="G184" s="32">
        <f t="shared" si="58"/>
        <v>9958</v>
      </c>
      <c r="H184" s="12"/>
      <c r="I184" s="12"/>
      <c r="J184" s="12"/>
      <c r="K184" s="12">
        <f t="shared" si="59"/>
        <v>9958</v>
      </c>
      <c r="M184" s="10">
        <v>8</v>
      </c>
      <c r="N184" s="30">
        <v>46144</v>
      </c>
      <c r="O184" s="31">
        <f t="shared" si="65"/>
        <v>8953</v>
      </c>
      <c r="P184" s="32">
        <f>650*8+622*5+650*2</f>
        <v>9610</v>
      </c>
      <c r="Q184" s="32"/>
      <c r="R184" s="32"/>
      <c r="S184" s="32">
        <f t="shared" si="60"/>
        <v>9610</v>
      </c>
      <c r="T184" s="12"/>
      <c r="U184" s="12"/>
      <c r="V184" s="12">
        <v>-222</v>
      </c>
      <c r="W184" s="12">
        <f t="shared" si="61"/>
        <v>9388</v>
      </c>
      <c r="Y184" s="10">
        <v>8</v>
      </c>
      <c r="Z184" s="30"/>
      <c r="AA184" s="31"/>
      <c r="AB184" s="32"/>
      <c r="AC184" s="32"/>
      <c r="AE184" s="32">
        <f t="shared" si="67"/>
        <v>0</v>
      </c>
      <c r="AF184" s="12"/>
      <c r="AG184" s="12"/>
      <c r="AH184" s="12"/>
      <c r="AI184" s="12">
        <f t="shared" si="63"/>
        <v>0</v>
      </c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>
        <v>46144</v>
      </c>
      <c r="C185" s="83">
        <f t="shared" si="64"/>
        <v>8882</v>
      </c>
      <c r="D185" s="32">
        <f>650*5</f>
        <v>3250</v>
      </c>
      <c r="E185" s="32"/>
      <c r="F185" s="32"/>
      <c r="G185" s="32">
        <f t="shared" si="58"/>
        <v>3250</v>
      </c>
      <c r="H185" s="12"/>
      <c r="I185" s="12"/>
      <c r="J185" s="12"/>
      <c r="K185" s="12">
        <f t="shared" si="59"/>
        <v>3250</v>
      </c>
      <c r="M185" s="10">
        <v>9</v>
      </c>
      <c r="N185" s="30">
        <v>46144</v>
      </c>
      <c r="O185" s="31">
        <f t="shared" si="65"/>
        <v>8954</v>
      </c>
      <c r="P185" s="32">
        <f>650*2+872+9.5*2</f>
        <v>2191</v>
      </c>
      <c r="Q185" s="32"/>
      <c r="R185" s="32"/>
      <c r="S185" s="32">
        <f t="shared" si="60"/>
        <v>2191</v>
      </c>
      <c r="T185" s="12"/>
      <c r="U185" s="12"/>
      <c r="V185" s="12"/>
      <c r="W185" s="12">
        <f t="shared" si="61"/>
        <v>2191</v>
      </c>
      <c r="Y185" s="10">
        <v>9</v>
      </c>
      <c r="Z185" s="30"/>
      <c r="AA185" s="31"/>
      <c r="AC185" s="32"/>
      <c r="AD185" s="32"/>
      <c r="AE185" s="32">
        <f t="shared" si="67"/>
        <v>0</v>
      </c>
      <c r="AF185" s="12"/>
      <c r="AH185" s="12"/>
      <c r="AI185" s="12">
        <f t="shared" si="63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>
        <v>46144</v>
      </c>
      <c r="C186" s="83">
        <f t="shared" si="64"/>
        <v>8883</v>
      </c>
      <c r="D186" s="32">
        <f>650*4</f>
        <v>2600</v>
      </c>
      <c r="E186" s="32"/>
      <c r="F186" s="32"/>
      <c r="G186" s="32">
        <f t="shared" si="58"/>
        <v>2600</v>
      </c>
      <c r="H186" s="12"/>
      <c r="I186" s="12"/>
      <c r="J186" s="12">
        <v>-222</v>
      </c>
      <c r="K186" s="12">
        <f t="shared" si="59"/>
        <v>2378</v>
      </c>
      <c r="M186" s="10">
        <v>10</v>
      </c>
      <c r="N186" s="30"/>
      <c r="O186" s="11" t="s">
        <v>27</v>
      </c>
      <c r="P186" s="32"/>
      <c r="Q186" s="32"/>
      <c r="R186" s="32"/>
      <c r="S186" s="32">
        <f t="shared" si="60"/>
        <v>0</v>
      </c>
      <c r="T186" s="12"/>
      <c r="U186" s="12"/>
      <c r="V186" s="12"/>
      <c r="W186" s="12">
        <f t="shared" si="61"/>
        <v>0</v>
      </c>
      <c r="Y186" s="10">
        <v>10</v>
      </c>
      <c r="Z186" s="30"/>
      <c r="AA186" s="31"/>
      <c r="AB186" s="32"/>
      <c r="AC186" s="32"/>
      <c r="AD186" s="32"/>
      <c r="AE186" s="32">
        <f t="shared" si="67"/>
        <v>0</v>
      </c>
      <c r="AF186" s="12"/>
      <c r="AG186" s="12"/>
      <c r="AH186" s="12"/>
      <c r="AI186" s="12">
        <f t="shared" si="63"/>
        <v>0</v>
      </c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>
        <v>46144</v>
      </c>
      <c r="C187" s="83">
        <f t="shared" si="64"/>
        <v>8884</v>
      </c>
      <c r="D187" s="32">
        <f>1582*3</f>
        <v>4746</v>
      </c>
      <c r="E187" s="32"/>
      <c r="F187" s="32">
        <f>973*10</f>
        <v>9730</v>
      </c>
      <c r="G187" s="32">
        <f t="shared" si="58"/>
        <v>4746</v>
      </c>
      <c r="H187" s="12"/>
      <c r="I187" s="12"/>
      <c r="J187" s="12"/>
      <c r="K187" s="12">
        <f t="shared" si="59"/>
        <v>4746</v>
      </c>
      <c r="M187" s="10">
        <v>11</v>
      </c>
      <c r="N187" s="30"/>
      <c r="O187" s="31"/>
      <c r="P187" s="32"/>
      <c r="Q187" s="32"/>
      <c r="R187" s="32"/>
      <c r="S187" s="32">
        <f t="shared" si="60"/>
        <v>0</v>
      </c>
      <c r="T187" s="12"/>
      <c r="U187" s="12"/>
      <c r="V187" s="12"/>
      <c r="W187" s="12">
        <f t="shared" si="61"/>
        <v>0</v>
      </c>
      <c r="Y187" s="10">
        <v>11</v>
      </c>
      <c r="Z187" s="30"/>
      <c r="AA187" s="31"/>
      <c r="AB187" s="32"/>
      <c r="AC187" s="32"/>
      <c r="AD187" s="32"/>
      <c r="AE187" s="32">
        <f t="shared" ref="AE187:AE209" si="68">SUM(AB187:AC187)</f>
        <v>0</v>
      </c>
      <c r="AF187" s="12"/>
      <c r="AG187" s="12"/>
      <c r="AH187" s="12"/>
      <c r="AI187" s="12">
        <f t="shared" si="63"/>
        <v>0</v>
      </c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11" t="s">
        <v>27</v>
      </c>
      <c r="D188" s="32"/>
      <c r="E188" s="32"/>
      <c r="F188" s="32"/>
      <c r="G188" s="32">
        <f t="shared" si="58"/>
        <v>0</v>
      </c>
      <c r="H188" s="12"/>
      <c r="I188" s="12"/>
      <c r="J188" s="10"/>
      <c r="K188" s="12">
        <f t="shared" si="59"/>
        <v>0</v>
      </c>
      <c r="M188" s="10">
        <v>12</v>
      </c>
      <c r="N188" s="30"/>
      <c r="O188" s="31"/>
      <c r="P188" s="32"/>
      <c r="Q188" s="32"/>
      <c r="R188" s="32"/>
      <c r="S188" s="32">
        <f t="shared" si="60"/>
        <v>0</v>
      </c>
      <c r="T188" s="12"/>
      <c r="U188" s="12"/>
      <c r="V188" s="12"/>
      <c r="W188" s="12">
        <f t="shared" si="61"/>
        <v>0</v>
      </c>
      <c r="Y188" s="10">
        <v>12</v>
      </c>
      <c r="Z188" s="30"/>
      <c r="AA188" s="31"/>
      <c r="AB188" s="32"/>
      <c r="AC188" s="32"/>
      <c r="AD188" s="32"/>
      <c r="AE188" s="32">
        <f t="shared" si="68"/>
        <v>0</v>
      </c>
      <c r="AF188" s="12"/>
      <c r="AG188" s="12"/>
      <c r="AH188" s="12"/>
      <c r="AI188" s="12">
        <f t="shared" si="63"/>
        <v>0</v>
      </c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83"/>
      <c r="D189" s="32"/>
      <c r="E189" s="32"/>
      <c r="F189" s="32"/>
      <c r="G189" s="32">
        <f t="shared" si="58"/>
        <v>0</v>
      </c>
      <c r="H189" s="12"/>
      <c r="I189" s="12"/>
      <c r="J189" s="12"/>
      <c r="K189" s="12">
        <f t="shared" si="59"/>
        <v>0</v>
      </c>
      <c r="M189" s="10">
        <v>13</v>
      </c>
      <c r="N189" s="30"/>
      <c r="O189" s="31"/>
      <c r="P189" s="32"/>
      <c r="Q189" s="32"/>
      <c r="R189" s="32"/>
      <c r="S189" s="32">
        <f t="shared" si="60"/>
        <v>0</v>
      </c>
      <c r="T189" s="12"/>
      <c r="U189" s="12"/>
      <c r="V189" s="12"/>
      <c r="W189" s="12">
        <f t="shared" si="61"/>
        <v>0</v>
      </c>
      <c r="Y189" s="10">
        <v>13</v>
      </c>
      <c r="Z189" s="30"/>
      <c r="AA189" s="31"/>
      <c r="AB189" s="32"/>
      <c r="AC189" s="32"/>
      <c r="AD189" s="32"/>
      <c r="AE189" s="32">
        <f t="shared" si="68"/>
        <v>0</v>
      </c>
      <c r="AF189" s="12"/>
      <c r="AG189" s="12"/>
      <c r="AH189" s="12"/>
      <c r="AI189" s="12">
        <f t="shared" si="63"/>
        <v>0</v>
      </c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83"/>
      <c r="D190" s="32"/>
      <c r="E190" s="32"/>
      <c r="F190" s="32"/>
      <c r="G190" s="32">
        <f t="shared" si="58"/>
        <v>0</v>
      </c>
      <c r="H190" s="12"/>
      <c r="I190" s="12"/>
      <c r="J190" s="12"/>
      <c r="K190" s="12">
        <f t="shared" si="59"/>
        <v>0</v>
      </c>
      <c r="M190" s="10">
        <v>14</v>
      </c>
      <c r="N190" s="30"/>
      <c r="O190" s="31"/>
      <c r="P190" s="32"/>
      <c r="Q190" s="32"/>
      <c r="R190" s="32"/>
      <c r="S190" s="32">
        <f t="shared" si="60"/>
        <v>0</v>
      </c>
      <c r="T190" s="12"/>
      <c r="U190" s="12"/>
      <c r="V190" s="12"/>
      <c r="W190" s="12">
        <f t="shared" si="61"/>
        <v>0</v>
      </c>
      <c r="Y190" s="10">
        <v>14</v>
      </c>
      <c r="Z190" s="30"/>
      <c r="AA190" s="31"/>
      <c r="AB190" s="32"/>
      <c r="AC190" s="32"/>
      <c r="AD190" s="32"/>
      <c r="AE190" s="32">
        <f t="shared" si="68"/>
        <v>0</v>
      </c>
      <c r="AF190" s="12"/>
      <c r="AG190" s="12"/>
      <c r="AH190" s="12"/>
      <c r="AI190" s="12">
        <f t="shared" si="63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3"/>
      <c r="D191" s="32"/>
      <c r="E191" s="32"/>
      <c r="F191" s="32"/>
      <c r="G191" s="32">
        <f t="shared" si="58"/>
        <v>0</v>
      </c>
      <c r="H191" s="12"/>
      <c r="I191" s="12"/>
      <c r="J191" s="12"/>
      <c r="K191" s="12">
        <f t="shared" si="59"/>
        <v>0</v>
      </c>
      <c r="M191" s="10">
        <v>15</v>
      </c>
      <c r="N191" s="30"/>
      <c r="O191" s="31"/>
      <c r="P191" s="32"/>
      <c r="Q191" s="32"/>
      <c r="R191" s="32"/>
      <c r="S191" s="32">
        <f t="shared" si="60"/>
        <v>0</v>
      </c>
      <c r="T191" s="12"/>
      <c r="U191" s="12"/>
      <c r="V191" s="12"/>
      <c r="W191" s="12">
        <f t="shared" si="61"/>
        <v>0</v>
      </c>
      <c r="Y191" s="10">
        <v>15</v>
      </c>
      <c r="Z191" s="30"/>
      <c r="AA191" s="31"/>
      <c r="AB191" s="32"/>
      <c r="AC191" s="32"/>
      <c r="AD191" s="32"/>
      <c r="AE191" s="32">
        <f t="shared" si="68"/>
        <v>0</v>
      </c>
      <c r="AF191" s="12"/>
      <c r="AG191" s="12"/>
      <c r="AH191" s="12"/>
      <c r="AI191" s="12">
        <f t="shared" si="63"/>
        <v>0</v>
      </c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D192" s="32"/>
      <c r="E192" s="32"/>
      <c r="F192" s="32"/>
      <c r="G192" s="32">
        <f t="shared" si="58"/>
        <v>0</v>
      </c>
      <c r="H192" s="12"/>
      <c r="I192" s="12"/>
      <c r="J192" s="12"/>
      <c r="K192" s="12">
        <f t="shared" si="59"/>
        <v>0</v>
      </c>
      <c r="M192" s="10">
        <v>16</v>
      </c>
      <c r="N192" s="30"/>
      <c r="O192" s="31"/>
      <c r="P192" s="32"/>
      <c r="Q192" s="32"/>
      <c r="R192" s="32"/>
      <c r="S192" s="32">
        <f t="shared" si="60"/>
        <v>0</v>
      </c>
      <c r="T192" s="12"/>
      <c r="U192" s="12"/>
      <c r="V192" s="12"/>
      <c r="W192" s="12">
        <f t="shared" si="61"/>
        <v>0</v>
      </c>
      <c r="Y192" s="10">
        <v>16</v>
      </c>
      <c r="Z192" s="30"/>
      <c r="AB192" s="32"/>
      <c r="AC192" s="32"/>
      <c r="AD192" s="32"/>
      <c r="AE192" s="32">
        <f t="shared" si="68"/>
        <v>0</v>
      </c>
      <c r="AF192" s="12"/>
      <c r="AG192" s="12"/>
      <c r="AH192" s="12"/>
      <c r="AI192" s="12">
        <f t="shared" si="63"/>
        <v>0</v>
      </c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83"/>
      <c r="D193" s="32"/>
      <c r="E193" s="32"/>
      <c r="F193" s="32"/>
      <c r="G193" s="32">
        <f t="shared" si="58"/>
        <v>0</v>
      </c>
      <c r="H193" s="12"/>
      <c r="I193" s="12"/>
      <c r="J193" s="12"/>
      <c r="K193" s="12">
        <f t="shared" si="59"/>
        <v>0</v>
      </c>
      <c r="M193" s="10">
        <v>17</v>
      </c>
      <c r="N193" s="30"/>
      <c r="O193" s="31"/>
      <c r="P193" s="35"/>
      <c r="Q193" s="32"/>
      <c r="R193" s="32"/>
      <c r="S193" s="32">
        <f t="shared" si="60"/>
        <v>0</v>
      </c>
      <c r="T193" s="12"/>
      <c r="U193" s="12"/>
      <c r="V193" s="12"/>
      <c r="W193" s="12">
        <f t="shared" si="61"/>
        <v>0</v>
      </c>
      <c r="Y193" s="10">
        <v>17</v>
      </c>
      <c r="Z193" s="30"/>
      <c r="AA193" s="31"/>
      <c r="AB193" s="35"/>
      <c r="AC193" s="32"/>
      <c r="AD193" s="32"/>
      <c r="AE193" s="32">
        <f t="shared" si="68"/>
        <v>0</v>
      </c>
      <c r="AF193" s="12"/>
      <c r="AG193" s="12"/>
      <c r="AH193" s="12"/>
      <c r="AI193" s="12">
        <f t="shared" si="63"/>
        <v>0</v>
      </c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83"/>
      <c r="D194" s="32"/>
      <c r="E194" s="32"/>
      <c r="F194" s="32"/>
      <c r="G194" s="32">
        <f t="shared" si="58"/>
        <v>0</v>
      </c>
      <c r="H194" s="12"/>
      <c r="I194" s="12"/>
      <c r="J194" s="12"/>
      <c r="K194" s="12">
        <f t="shared" si="59"/>
        <v>0</v>
      </c>
      <c r="M194" s="10">
        <v>18</v>
      </c>
      <c r="N194" s="30"/>
      <c r="O194" s="31"/>
      <c r="P194" s="32"/>
      <c r="Q194" s="32"/>
      <c r="R194" s="32"/>
      <c r="S194" s="32">
        <f t="shared" si="60"/>
        <v>0</v>
      </c>
      <c r="T194" s="12"/>
      <c r="U194" s="12"/>
      <c r="V194" s="12"/>
      <c r="W194" s="12">
        <f t="shared" si="61"/>
        <v>0</v>
      </c>
      <c r="Y194" s="10">
        <v>18</v>
      </c>
      <c r="Z194" s="30"/>
      <c r="AA194" s="31"/>
      <c r="AB194" s="32"/>
      <c r="AC194" s="32"/>
      <c r="AD194" s="32"/>
      <c r="AE194" s="32">
        <f t="shared" si="68"/>
        <v>0</v>
      </c>
      <c r="AF194" s="12"/>
      <c r="AG194" s="12"/>
      <c r="AH194" s="12"/>
      <c r="AI194" s="12">
        <f t="shared" si="63"/>
        <v>0</v>
      </c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3"/>
      <c r="D195" s="32"/>
      <c r="E195" s="32"/>
      <c r="F195" s="32"/>
      <c r="G195" s="32">
        <f t="shared" si="58"/>
        <v>0</v>
      </c>
      <c r="H195" s="12"/>
      <c r="I195" s="12"/>
      <c r="J195" s="12"/>
      <c r="K195" s="12">
        <f t="shared" si="59"/>
        <v>0</v>
      </c>
      <c r="M195" s="10">
        <v>19</v>
      </c>
      <c r="N195" s="30"/>
      <c r="O195" s="31"/>
      <c r="P195" s="32"/>
      <c r="Q195" s="32"/>
      <c r="R195" s="32"/>
      <c r="S195" s="32">
        <f t="shared" si="60"/>
        <v>0</v>
      </c>
      <c r="T195" s="12"/>
      <c r="U195" s="12"/>
      <c r="V195" s="12"/>
      <c r="W195" s="12">
        <f t="shared" si="61"/>
        <v>0</v>
      </c>
      <c r="Y195" s="10">
        <v>19</v>
      </c>
      <c r="Z195" s="30"/>
      <c r="AA195" s="31"/>
      <c r="AB195" s="32"/>
      <c r="AC195" s="32"/>
      <c r="AD195" s="32"/>
      <c r="AE195" s="32">
        <f t="shared" si="68"/>
        <v>0</v>
      </c>
      <c r="AF195" s="12"/>
      <c r="AG195" s="12"/>
      <c r="AH195" s="12"/>
      <c r="AI195" s="12">
        <f t="shared" si="63"/>
        <v>0</v>
      </c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83"/>
      <c r="D196" s="32"/>
      <c r="E196" s="32"/>
      <c r="F196" s="32"/>
      <c r="G196" s="32">
        <f t="shared" si="58"/>
        <v>0</v>
      </c>
      <c r="H196" s="12"/>
      <c r="I196" s="12"/>
      <c r="J196" s="12"/>
      <c r="K196" s="12">
        <f t="shared" si="59"/>
        <v>0</v>
      </c>
      <c r="M196" s="10">
        <v>20</v>
      </c>
      <c r="N196" s="30"/>
      <c r="O196" s="31"/>
      <c r="P196" s="32"/>
      <c r="Q196" s="32"/>
      <c r="R196" s="32"/>
      <c r="S196" s="32">
        <f t="shared" si="60"/>
        <v>0</v>
      </c>
      <c r="T196" s="12"/>
      <c r="U196" s="12"/>
      <c r="V196" s="12"/>
      <c r="W196" s="12">
        <f t="shared" si="61"/>
        <v>0</v>
      </c>
      <c r="Y196" s="10">
        <v>20</v>
      </c>
      <c r="Z196" s="30"/>
      <c r="AB196" s="32"/>
      <c r="AC196" s="32"/>
      <c r="AD196" s="32"/>
      <c r="AE196" s="32">
        <f t="shared" si="68"/>
        <v>0</v>
      </c>
      <c r="AF196" s="12"/>
      <c r="AG196" s="12"/>
      <c r="AH196" s="12"/>
      <c r="AI196" s="12">
        <f t="shared" si="63"/>
        <v>0</v>
      </c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57"/>
      <c r="D197" s="32"/>
      <c r="E197" s="32"/>
      <c r="F197" s="32"/>
      <c r="G197" s="32">
        <f t="shared" si="58"/>
        <v>0</v>
      </c>
      <c r="H197" s="10"/>
      <c r="I197" s="10"/>
      <c r="J197" s="10"/>
      <c r="K197" s="12">
        <f t="shared" si="59"/>
        <v>0</v>
      </c>
      <c r="M197" s="10">
        <v>21</v>
      </c>
      <c r="N197" s="30"/>
      <c r="O197" s="31"/>
      <c r="P197" s="46"/>
      <c r="Q197" s="31"/>
      <c r="R197" s="31"/>
      <c r="S197" s="32">
        <f t="shared" si="60"/>
        <v>0</v>
      </c>
      <c r="T197" s="10"/>
      <c r="U197" s="10"/>
      <c r="V197" s="10"/>
      <c r="W197" s="12">
        <f t="shared" si="61"/>
        <v>0</v>
      </c>
      <c r="Y197" s="10">
        <v>21</v>
      </c>
      <c r="Z197" s="30"/>
      <c r="AA197" s="31"/>
      <c r="AB197" s="46"/>
      <c r="AC197" s="31"/>
      <c r="AD197" s="31"/>
      <c r="AE197" s="32">
        <f t="shared" si="68"/>
        <v>0</v>
      </c>
      <c r="AF197" s="10"/>
      <c r="AG197" s="10"/>
      <c r="AH197" s="10"/>
      <c r="AI197" s="12">
        <f t="shared" si="63"/>
        <v>0</v>
      </c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3"/>
      <c r="D198" s="32"/>
      <c r="E198" s="32"/>
      <c r="F198" s="32"/>
      <c r="G198" s="32">
        <f t="shared" si="58"/>
        <v>0</v>
      </c>
      <c r="H198" s="10"/>
      <c r="I198" s="10"/>
      <c r="J198" s="10"/>
      <c r="K198" s="12">
        <f t="shared" si="59"/>
        <v>0</v>
      </c>
      <c r="M198" s="10">
        <v>22</v>
      </c>
      <c r="N198" s="30"/>
      <c r="P198" s="45"/>
      <c r="Q198" s="31"/>
      <c r="R198" s="31"/>
      <c r="S198" s="32">
        <f t="shared" si="60"/>
        <v>0</v>
      </c>
      <c r="T198" s="10"/>
      <c r="U198" s="10"/>
      <c r="V198" s="10"/>
      <c r="W198" s="12">
        <f t="shared" si="61"/>
        <v>0</v>
      </c>
      <c r="Y198" s="10">
        <v>22</v>
      </c>
      <c r="Z198" s="30"/>
      <c r="AA198" s="31"/>
      <c r="AB198" s="45"/>
      <c r="AC198" s="31"/>
      <c r="AD198" s="31"/>
      <c r="AE198" s="32">
        <f t="shared" si="68"/>
        <v>0</v>
      </c>
      <c r="AF198" s="10"/>
      <c r="AG198" s="10"/>
      <c r="AH198" s="10"/>
      <c r="AI198" s="12">
        <f t="shared" si="63"/>
        <v>0</v>
      </c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3"/>
      <c r="D199" s="32"/>
      <c r="E199" s="32"/>
      <c r="F199" s="32"/>
      <c r="G199" s="32">
        <f t="shared" si="58"/>
        <v>0</v>
      </c>
      <c r="H199" s="10"/>
      <c r="I199" s="10"/>
      <c r="J199" s="12"/>
      <c r="K199" s="12">
        <f t="shared" si="59"/>
        <v>0</v>
      </c>
      <c r="M199" s="10">
        <v>23</v>
      </c>
      <c r="N199" s="30"/>
      <c r="O199" s="31"/>
      <c r="P199" s="47"/>
      <c r="Q199" s="31"/>
      <c r="S199" s="32">
        <f t="shared" si="60"/>
        <v>0</v>
      </c>
      <c r="T199" s="10"/>
      <c r="U199" s="10"/>
      <c r="V199" s="10"/>
      <c r="W199" s="12">
        <f t="shared" si="61"/>
        <v>0</v>
      </c>
      <c r="Y199" s="10">
        <v>23</v>
      </c>
      <c r="Z199" s="30"/>
      <c r="AA199" s="31"/>
      <c r="AB199" s="47"/>
      <c r="AE199" s="32">
        <f t="shared" si="68"/>
        <v>0</v>
      </c>
      <c r="AF199" s="10"/>
      <c r="AG199" s="10"/>
      <c r="AH199" s="10"/>
      <c r="AI199" s="12">
        <f t="shared" si="63"/>
        <v>0</v>
      </c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3"/>
      <c r="D200" s="32"/>
      <c r="E200" s="32"/>
      <c r="F200" s="32"/>
      <c r="G200" s="32">
        <f t="shared" si="58"/>
        <v>0</v>
      </c>
      <c r="H200" s="10"/>
      <c r="I200" s="10"/>
      <c r="J200" s="10"/>
      <c r="K200" s="12">
        <f t="shared" si="59"/>
        <v>0</v>
      </c>
      <c r="M200" s="10">
        <v>24</v>
      </c>
      <c r="N200" s="30"/>
      <c r="O200" s="31"/>
      <c r="P200" s="47"/>
      <c r="Q200" s="31"/>
      <c r="R200" s="31"/>
      <c r="S200" s="32">
        <f t="shared" si="60"/>
        <v>0</v>
      </c>
      <c r="T200" s="10"/>
      <c r="U200" s="10"/>
      <c r="V200" s="10"/>
      <c r="W200" s="12">
        <f t="shared" si="61"/>
        <v>0</v>
      </c>
      <c r="Y200" s="10">
        <v>24</v>
      </c>
      <c r="Z200" s="30"/>
      <c r="AA200" s="31"/>
      <c r="AB200" s="47"/>
      <c r="AC200" s="31"/>
      <c r="AD200" s="31"/>
      <c r="AE200" s="32">
        <f t="shared" si="68"/>
        <v>0</v>
      </c>
      <c r="AF200" s="10"/>
      <c r="AG200" s="10"/>
      <c r="AH200" s="10"/>
      <c r="AI200" s="12">
        <f t="shared" si="63"/>
        <v>0</v>
      </c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3"/>
      <c r="D201" s="32"/>
      <c r="E201" s="32"/>
      <c r="F201" s="32"/>
      <c r="G201" s="32">
        <f t="shared" si="58"/>
        <v>0</v>
      </c>
      <c r="H201" s="10"/>
      <c r="I201" s="10"/>
      <c r="J201" s="10"/>
      <c r="K201" s="12">
        <f t="shared" si="59"/>
        <v>0</v>
      </c>
      <c r="M201" s="10">
        <v>25</v>
      </c>
      <c r="N201" s="30"/>
      <c r="O201" s="31"/>
      <c r="P201" s="47"/>
      <c r="Q201" s="31"/>
      <c r="R201" s="31"/>
      <c r="S201" s="32">
        <f t="shared" si="60"/>
        <v>0</v>
      </c>
      <c r="T201" s="10"/>
      <c r="U201" s="10"/>
      <c r="V201" s="10"/>
      <c r="W201" s="12">
        <f t="shared" si="61"/>
        <v>0</v>
      </c>
      <c r="Y201" s="10">
        <v>25</v>
      </c>
      <c r="Z201" s="30"/>
      <c r="AA201" s="31"/>
      <c r="AB201" s="47"/>
      <c r="AC201" s="31"/>
      <c r="AD201" s="31"/>
      <c r="AE201" s="32">
        <f t="shared" si="68"/>
        <v>0</v>
      </c>
      <c r="AF201" s="10"/>
      <c r="AG201" s="10"/>
      <c r="AH201" s="10"/>
      <c r="AI201" s="12">
        <f t="shared" si="63"/>
        <v>0</v>
      </c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3"/>
      <c r="D202" s="32"/>
      <c r="E202" s="32"/>
      <c r="F202" s="32"/>
      <c r="G202" s="32">
        <f t="shared" si="58"/>
        <v>0</v>
      </c>
      <c r="H202" s="10"/>
      <c r="I202" s="10"/>
      <c r="J202" s="10"/>
      <c r="K202" s="12">
        <f t="shared" si="59"/>
        <v>0</v>
      </c>
      <c r="M202" s="10">
        <v>26</v>
      </c>
      <c r="N202" s="30"/>
      <c r="O202" s="31"/>
      <c r="P202" s="47"/>
      <c r="Q202" s="31"/>
      <c r="R202" s="31"/>
      <c r="S202" s="32">
        <f t="shared" si="60"/>
        <v>0</v>
      </c>
      <c r="T202" s="10"/>
      <c r="U202" s="10"/>
      <c r="V202" s="10"/>
      <c r="W202" s="12">
        <f t="shared" si="61"/>
        <v>0</v>
      </c>
      <c r="Y202" s="10">
        <v>26</v>
      </c>
      <c r="Z202" s="30"/>
      <c r="AA202" s="31"/>
      <c r="AB202" s="47"/>
      <c r="AC202" s="31"/>
      <c r="AD202" s="31"/>
      <c r="AE202" s="32">
        <f t="shared" si="68"/>
        <v>0</v>
      </c>
      <c r="AF202" s="10"/>
      <c r="AG202" s="10"/>
      <c r="AH202" s="10"/>
      <c r="AI202" s="12">
        <f t="shared" si="63"/>
        <v>0</v>
      </c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3"/>
      <c r="D203" s="32"/>
      <c r="E203" s="32"/>
      <c r="F203" s="32"/>
      <c r="G203" s="32">
        <f t="shared" si="58"/>
        <v>0</v>
      </c>
      <c r="H203" s="10"/>
      <c r="I203" s="10"/>
      <c r="J203" s="10"/>
      <c r="K203" s="12">
        <f t="shared" si="59"/>
        <v>0</v>
      </c>
      <c r="M203" s="10">
        <v>27</v>
      </c>
      <c r="N203" s="30"/>
      <c r="O203" s="31"/>
      <c r="P203" s="47"/>
      <c r="Q203" s="31"/>
      <c r="R203" s="31"/>
      <c r="S203" s="32">
        <f t="shared" si="60"/>
        <v>0</v>
      </c>
      <c r="T203" s="10"/>
      <c r="U203" s="10"/>
      <c r="V203" s="10"/>
      <c r="W203" s="12">
        <f t="shared" si="61"/>
        <v>0</v>
      </c>
      <c r="Y203" s="10">
        <v>27</v>
      </c>
      <c r="Z203" s="30"/>
      <c r="AA203" s="31"/>
      <c r="AB203" s="47"/>
      <c r="AC203" s="31"/>
      <c r="AD203" s="31"/>
      <c r="AE203" s="32">
        <f t="shared" si="68"/>
        <v>0</v>
      </c>
      <c r="AF203" s="10"/>
      <c r="AG203" s="10"/>
      <c r="AH203" s="10"/>
      <c r="AI203" s="12">
        <f t="shared" si="63"/>
        <v>0</v>
      </c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3"/>
      <c r="D204" s="32"/>
      <c r="E204" s="32"/>
      <c r="F204" s="32"/>
      <c r="G204" s="32">
        <f t="shared" si="58"/>
        <v>0</v>
      </c>
      <c r="H204" s="10"/>
      <c r="I204" s="10"/>
      <c r="J204" s="10"/>
      <c r="K204" s="12">
        <f t="shared" si="59"/>
        <v>0</v>
      </c>
      <c r="M204" s="10">
        <v>28</v>
      </c>
      <c r="N204" s="30"/>
      <c r="O204" s="31"/>
      <c r="P204" s="47"/>
      <c r="Q204" s="31"/>
      <c r="R204" s="31"/>
      <c r="S204" s="32">
        <f t="shared" si="60"/>
        <v>0</v>
      </c>
      <c r="T204" s="10"/>
      <c r="U204" s="10"/>
      <c r="V204" s="10"/>
      <c r="W204" s="12">
        <f t="shared" si="61"/>
        <v>0</v>
      </c>
      <c r="Y204" s="10">
        <v>28</v>
      </c>
      <c r="Z204" s="30"/>
      <c r="AA204" s="31"/>
      <c r="AB204" s="47"/>
      <c r="AC204" s="31"/>
      <c r="AD204" s="31"/>
      <c r="AE204" s="32">
        <f t="shared" si="68"/>
        <v>0</v>
      </c>
      <c r="AF204" s="10"/>
      <c r="AG204" s="10"/>
      <c r="AH204" s="10"/>
      <c r="AI204" s="12">
        <f t="shared" si="63"/>
        <v>0</v>
      </c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57"/>
      <c r="D205" s="32"/>
      <c r="E205" s="32"/>
      <c r="F205" s="32"/>
      <c r="G205" s="32">
        <f t="shared" si="58"/>
        <v>0</v>
      </c>
      <c r="H205" s="10"/>
      <c r="I205" s="10"/>
      <c r="J205" s="10"/>
      <c r="K205" s="12">
        <f t="shared" si="59"/>
        <v>0</v>
      </c>
      <c r="M205" s="10">
        <v>29</v>
      </c>
      <c r="N205" s="30"/>
      <c r="O205" s="31"/>
      <c r="P205" s="47"/>
      <c r="Q205" s="31"/>
      <c r="R205" s="31"/>
      <c r="S205" s="32">
        <f t="shared" si="60"/>
        <v>0</v>
      </c>
      <c r="T205" s="10"/>
      <c r="U205" s="10"/>
      <c r="V205" s="10"/>
      <c r="W205" s="12">
        <f t="shared" si="61"/>
        <v>0</v>
      </c>
      <c r="Y205" s="10">
        <v>29</v>
      </c>
      <c r="Z205" s="30"/>
      <c r="AA205" s="31"/>
      <c r="AB205" s="47"/>
      <c r="AC205" s="31"/>
      <c r="AD205" s="31"/>
      <c r="AE205" s="32">
        <f t="shared" si="68"/>
        <v>0</v>
      </c>
      <c r="AF205" s="10"/>
      <c r="AG205" s="10"/>
      <c r="AH205" s="10"/>
      <c r="AI205" s="12">
        <f t="shared" si="63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3"/>
      <c r="D206" s="32"/>
      <c r="E206" s="32"/>
      <c r="F206" s="32"/>
      <c r="G206" s="32">
        <f t="shared" si="58"/>
        <v>0</v>
      </c>
      <c r="H206" s="10"/>
      <c r="I206" s="10"/>
      <c r="J206" s="10"/>
      <c r="K206" s="12">
        <f t="shared" si="59"/>
        <v>0</v>
      </c>
      <c r="M206" s="10">
        <v>30</v>
      </c>
      <c r="N206" s="30"/>
      <c r="P206" s="47"/>
      <c r="Q206" s="31"/>
      <c r="R206" s="31"/>
      <c r="S206" s="32">
        <f t="shared" si="60"/>
        <v>0</v>
      </c>
      <c r="T206" s="10"/>
      <c r="U206" s="10"/>
      <c r="V206" s="10"/>
      <c r="W206" s="12">
        <f t="shared" si="61"/>
        <v>0</v>
      </c>
      <c r="Y206" s="10">
        <v>30</v>
      </c>
      <c r="Z206" s="30"/>
      <c r="AA206" s="31"/>
      <c r="AB206" s="47"/>
      <c r="AC206" s="31"/>
      <c r="AD206" s="31"/>
      <c r="AE206" s="32">
        <f t="shared" si="68"/>
        <v>0</v>
      </c>
      <c r="AF206" s="10"/>
      <c r="AG206" s="10"/>
      <c r="AH206" s="10"/>
      <c r="AI206" s="12">
        <f t="shared" si="63"/>
        <v>0</v>
      </c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3"/>
      <c r="D207" s="32"/>
      <c r="E207" s="32"/>
      <c r="F207" s="32"/>
      <c r="G207" s="32">
        <f t="shared" si="58"/>
        <v>0</v>
      </c>
      <c r="H207" s="10"/>
      <c r="I207" s="10"/>
      <c r="J207" s="10"/>
      <c r="K207" s="12">
        <f t="shared" si="59"/>
        <v>0</v>
      </c>
      <c r="M207" s="10">
        <v>31</v>
      </c>
      <c r="N207" s="30"/>
      <c r="O207" s="31"/>
      <c r="P207" s="47"/>
      <c r="Q207" s="31"/>
      <c r="R207" s="31"/>
      <c r="S207" s="32">
        <f t="shared" si="60"/>
        <v>0</v>
      </c>
      <c r="T207" s="10"/>
      <c r="U207" s="10"/>
      <c r="V207" s="10"/>
      <c r="W207" s="12">
        <f t="shared" si="61"/>
        <v>0</v>
      </c>
      <c r="Y207" s="10">
        <v>31</v>
      </c>
      <c r="Z207" s="30"/>
      <c r="AA207" s="31"/>
      <c r="AB207" s="47"/>
      <c r="AC207" s="31"/>
      <c r="AD207" s="31"/>
      <c r="AE207" s="32">
        <f t="shared" si="68"/>
        <v>0</v>
      </c>
      <c r="AF207" s="10"/>
      <c r="AG207" s="10"/>
      <c r="AH207" s="10"/>
      <c r="AI207" s="12">
        <f t="shared" si="63"/>
        <v>0</v>
      </c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3"/>
      <c r="D208" s="32"/>
      <c r="E208" s="32"/>
      <c r="F208" s="32"/>
      <c r="G208" s="32">
        <f t="shared" si="58"/>
        <v>0</v>
      </c>
      <c r="H208" s="10"/>
      <c r="I208" s="10"/>
      <c r="J208" s="10"/>
      <c r="K208" s="12">
        <f t="shared" si="59"/>
        <v>0</v>
      </c>
      <c r="M208" s="10">
        <v>32</v>
      </c>
      <c r="N208" s="30"/>
      <c r="O208" s="31"/>
      <c r="P208" s="47"/>
      <c r="Q208" s="31"/>
      <c r="R208" s="31"/>
      <c r="S208" s="32">
        <f t="shared" si="60"/>
        <v>0</v>
      </c>
      <c r="T208" s="10"/>
      <c r="U208" s="10"/>
      <c r="V208" s="10"/>
      <c r="W208" s="12">
        <f t="shared" si="61"/>
        <v>0</v>
      </c>
      <c r="Y208" s="10">
        <v>32</v>
      </c>
      <c r="Z208" s="30"/>
      <c r="AA208" s="31"/>
      <c r="AB208" s="47"/>
      <c r="AC208" s="31"/>
      <c r="AD208" s="31"/>
      <c r="AE208" s="32">
        <f t="shared" si="68"/>
        <v>0</v>
      </c>
      <c r="AF208" s="10"/>
      <c r="AG208" s="10"/>
      <c r="AH208" s="10"/>
      <c r="AI208" s="12">
        <f t="shared" si="63"/>
        <v>0</v>
      </c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3"/>
      <c r="D209" s="32"/>
      <c r="E209" s="32"/>
      <c r="F209" s="32"/>
      <c r="G209" s="32">
        <f t="shared" si="58"/>
        <v>0</v>
      </c>
      <c r="H209" s="10"/>
      <c r="I209" s="10"/>
      <c r="J209" s="10"/>
      <c r="K209" s="12">
        <f t="shared" si="59"/>
        <v>0</v>
      </c>
      <c r="M209" s="10">
        <v>33</v>
      </c>
      <c r="N209" s="30"/>
      <c r="O209" s="31"/>
      <c r="P209" s="47"/>
      <c r="Q209" s="31"/>
      <c r="R209" s="31"/>
      <c r="S209" s="32">
        <f t="shared" si="60"/>
        <v>0</v>
      </c>
      <c r="T209" s="10"/>
      <c r="U209" s="10"/>
      <c r="V209" s="10"/>
      <c r="W209" s="12">
        <f t="shared" si="61"/>
        <v>0</v>
      </c>
      <c r="Y209" s="10">
        <v>33</v>
      </c>
      <c r="Z209" s="30"/>
      <c r="AA209" s="31"/>
      <c r="AB209" s="47"/>
      <c r="AC209" s="31"/>
      <c r="AD209" s="31"/>
      <c r="AE209" s="32">
        <f t="shared" si="68"/>
        <v>0</v>
      </c>
      <c r="AF209" s="10"/>
      <c r="AG209" s="10"/>
      <c r="AH209" s="10"/>
      <c r="AI209" s="12">
        <f t="shared" si="63"/>
        <v>0</v>
      </c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3"/>
      <c r="D210" s="32"/>
      <c r="E210" s="32"/>
      <c r="F210" s="32"/>
      <c r="G210" s="32">
        <f t="shared" si="58"/>
        <v>0</v>
      </c>
      <c r="H210" s="10"/>
      <c r="I210" s="10"/>
      <c r="J210" s="10"/>
      <c r="K210" s="12">
        <f t="shared" si="59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9">SUM(P210:Q210)</f>
        <v>0</v>
      </c>
      <c r="T210" s="10"/>
      <c r="U210" s="10"/>
      <c r="V210" s="10"/>
      <c r="W210" s="12">
        <f t="shared" ref="W210:W218" si="70">SUM(S210:V210)</f>
        <v>0</v>
      </c>
      <c r="Y210" s="10">
        <v>34</v>
      </c>
      <c r="Z210" s="30"/>
      <c r="AA210" s="31"/>
      <c r="AB210" s="47"/>
      <c r="AC210" s="31"/>
      <c r="AD210" s="31"/>
      <c r="AE210" s="32">
        <f t="shared" ref="AE210:AE215" si="71">SUM(AB210:AC210)</f>
        <v>0</v>
      </c>
      <c r="AF210" s="10"/>
      <c r="AG210" s="10"/>
      <c r="AH210" s="10"/>
      <c r="AI210" s="12">
        <f t="shared" ref="AI210:AI218" si="72">SUM(AE210:AH210)</f>
        <v>0</v>
      </c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3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9"/>
        <v>0</v>
      </c>
      <c r="T211" s="10"/>
      <c r="U211" s="10"/>
      <c r="V211" s="10"/>
      <c r="W211" s="12">
        <f t="shared" si="70"/>
        <v>0</v>
      </c>
      <c r="Y211" s="10">
        <v>35</v>
      </c>
      <c r="Z211" s="30"/>
      <c r="AA211" s="31"/>
      <c r="AB211" s="47"/>
      <c r="AC211" s="31"/>
      <c r="AD211" s="31"/>
      <c r="AE211" s="32">
        <f t="shared" si="71"/>
        <v>0</v>
      </c>
      <c r="AF211" s="10"/>
      <c r="AG211" s="10"/>
      <c r="AH211" s="10"/>
      <c r="AI211" s="12">
        <f t="shared" si="72"/>
        <v>0</v>
      </c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3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9"/>
        <v>0</v>
      </c>
      <c r="T212" s="10"/>
      <c r="U212" s="10"/>
      <c r="V212" s="10"/>
      <c r="W212" s="12">
        <f t="shared" si="70"/>
        <v>0</v>
      </c>
      <c r="Y212" s="10">
        <v>36</v>
      </c>
      <c r="Z212" s="30"/>
      <c r="AA212" s="31"/>
      <c r="AB212" s="47"/>
      <c r="AC212" s="31"/>
      <c r="AD212" s="31"/>
      <c r="AE212" s="32">
        <f t="shared" si="71"/>
        <v>0</v>
      </c>
      <c r="AF212" s="10"/>
      <c r="AG212" s="10"/>
      <c r="AH212" s="10"/>
      <c r="AI212" s="12">
        <f t="shared" si="72"/>
        <v>0</v>
      </c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9"/>
        <v>0</v>
      </c>
      <c r="T213" s="10"/>
      <c r="U213" s="10"/>
      <c r="V213" s="10"/>
      <c r="W213" s="12">
        <f t="shared" si="70"/>
        <v>0</v>
      </c>
      <c r="Y213" s="10">
        <v>37</v>
      </c>
      <c r="Z213" s="30"/>
      <c r="AA213" s="31"/>
      <c r="AB213" s="47"/>
      <c r="AC213" s="31"/>
      <c r="AD213" s="31"/>
      <c r="AE213" s="32">
        <f t="shared" si="71"/>
        <v>0</v>
      </c>
      <c r="AF213" s="10"/>
      <c r="AG213" s="10"/>
      <c r="AH213" s="10"/>
      <c r="AI213" s="12">
        <f t="shared" si="72"/>
        <v>0</v>
      </c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9"/>
        <v>0</v>
      </c>
      <c r="T214" s="10"/>
      <c r="U214" s="10"/>
      <c r="V214" s="10"/>
      <c r="W214" s="12">
        <f t="shared" si="70"/>
        <v>0</v>
      </c>
      <c r="Y214" s="10">
        <v>38</v>
      </c>
      <c r="Z214" s="30"/>
      <c r="AA214" s="31"/>
      <c r="AB214" s="47"/>
      <c r="AC214" s="31"/>
      <c r="AD214" s="31"/>
      <c r="AE214" s="32">
        <f t="shared" si="71"/>
        <v>0</v>
      </c>
      <c r="AF214" s="10"/>
      <c r="AG214" s="10"/>
      <c r="AH214" s="10"/>
      <c r="AI214" s="12">
        <f t="shared" si="72"/>
        <v>0</v>
      </c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9"/>
        <v>0</v>
      </c>
      <c r="T215" s="10"/>
      <c r="U215" s="10"/>
      <c r="V215" s="10"/>
      <c r="W215" s="12">
        <f t="shared" si="70"/>
        <v>0</v>
      </c>
      <c r="Y215" s="10">
        <v>39</v>
      </c>
      <c r="Z215" s="30"/>
      <c r="AA215" s="31"/>
      <c r="AB215" s="47"/>
      <c r="AC215" s="31"/>
      <c r="AD215" s="31"/>
      <c r="AE215" s="32">
        <f t="shared" si="71"/>
        <v>0</v>
      </c>
      <c r="AF215" s="10"/>
      <c r="AG215" s="10"/>
      <c r="AH215" s="10"/>
      <c r="AI215" s="12">
        <f t="shared" si="72"/>
        <v>0</v>
      </c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70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72"/>
        <v>0</v>
      </c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73">SUM(D217:E217)</f>
        <v>0</v>
      </c>
      <c r="H217" s="10"/>
      <c r="I217" s="10"/>
      <c r="J217" s="10"/>
      <c r="K217" s="12">
        <f t="shared" ref="K217" si="74">SUM(G217:J217)</f>
        <v>0</v>
      </c>
      <c r="M217" s="10"/>
      <c r="N217" s="30"/>
      <c r="O217" s="31"/>
      <c r="P217" s="47"/>
      <c r="Q217" s="31"/>
      <c r="R217" s="31"/>
      <c r="S217" s="32">
        <f t="shared" ref="S217" si="75">SUM(P217:Q217)</f>
        <v>0</v>
      </c>
      <c r="T217" s="10"/>
      <c r="U217" s="10"/>
      <c r="V217" s="10"/>
      <c r="W217" s="12">
        <f t="shared" si="70"/>
        <v>0</v>
      </c>
      <c r="Y217" s="10"/>
      <c r="Z217" s="30"/>
      <c r="AA217" s="31"/>
      <c r="AB217" s="47"/>
      <c r="AC217" s="31"/>
      <c r="AD217" s="31"/>
      <c r="AE217" s="32">
        <f t="shared" ref="AE217" si="76">SUM(AB217:AC217)</f>
        <v>0</v>
      </c>
      <c r="AF217" s="10"/>
      <c r="AG217" s="10"/>
      <c r="AH217" s="10"/>
      <c r="AI217" s="12">
        <f t="shared" si="72"/>
        <v>0</v>
      </c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70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72"/>
        <v>0</v>
      </c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167361</v>
      </c>
      <c r="E220" s="38">
        <f t="shared" ref="E220:F220" si="77">SUM(E177:E217)</f>
        <v>0</v>
      </c>
      <c r="F220" s="38">
        <f t="shared" si="77"/>
        <v>9730</v>
      </c>
      <c r="G220" s="38">
        <f>SUM(G177:G219)</f>
        <v>167361</v>
      </c>
      <c r="H220" s="4"/>
      <c r="I220" s="39">
        <f>SUM(I177:I219)</f>
        <v>162</v>
      </c>
      <c r="J220" s="39">
        <f>SUM(J177:J219)</f>
        <v>-1734</v>
      </c>
      <c r="K220" s="40">
        <f>SUM(K177:K219)</f>
        <v>165789</v>
      </c>
      <c r="N220" s="57"/>
      <c r="O220" s="57"/>
      <c r="P220" s="38">
        <f>SUM(P177:P219)</f>
        <v>160628.5</v>
      </c>
      <c r="Q220" s="38">
        <f>SUM(Q177:Q201)</f>
        <v>-1929</v>
      </c>
      <c r="R220" s="38">
        <f>SUM(R177:R201)</f>
        <v>0</v>
      </c>
      <c r="S220" s="38">
        <f>SUM(S177:S219)</f>
        <v>158699.5</v>
      </c>
      <c r="T220" s="4"/>
      <c r="U220" s="41">
        <f>SUM(U177:U219)</f>
        <v>6606</v>
      </c>
      <c r="V220" s="41">
        <f>SUM(V177:V201)</f>
        <v>-2370</v>
      </c>
      <c r="W220" s="42">
        <f>SUM(W177:W219)</f>
        <v>162935.5</v>
      </c>
      <c r="Z220" s="57"/>
      <c r="AA220" s="57"/>
      <c r="AB220" s="38">
        <f>SUM(AB177:AB219)</f>
        <v>176596</v>
      </c>
      <c r="AC220" s="38">
        <f>SUM(AC177:AC201)</f>
        <v>-1266</v>
      </c>
      <c r="AD220" s="38">
        <f>SUM(AD177:AD201)</f>
        <v>0</v>
      </c>
      <c r="AE220" s="38">
        <f>SUM(AE177:AE219)</f>
        <v>175330</v>
      </c>
      <c r="AF220" s="4"/>
      <c r="AG220" s="41">
        <f>SUM(AG177:AG219)</f>
        <v>0</v>
      </c>
      <c r="AH220" s="41">
        <f>SUM(AH177:AH201)</f>
        <v>-19992</v>
      </c>
      <c r="AI220" s="42">
        <f>SUM(AI177:AI219)</f>
        <v>155338</v>
      </c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s="62"/>
      <c r="Z222" s="86"/>
      <c r="AA222" s="86"/>
      <c r="AB222" s="86"/>
      <c r="AC222" s="86"/>
      <c r="AD222" s="86"/>
      <c r="AE222" s="86"/>
      <c r="AF222" s="62"/>
      <c r="AG222" s="62"/>
      <c r="AH222" s="62"/>
      <c r="AI222" s="62"/>
      <c r="AJ222" s="62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t="s">
        <v>28</v>
      </c>
      <c r="N223" s="57"/>
      <c r="O223" s="57"/>
      <c r="P223" s="57"/>
      <c r="Q223" s="57"/>
      <c r="R223" s="57"/>
      <c r="S223" s="57"/>
      <c r="Y223" s="62"/>
      <c r="Z223" s="86"/>
      <c r="AA223" s="86"/>
      <c r="AB223" s="86"/>
      <c r="AC223" s="86"/>
      <c r="AD223" s="86"/>
      <c r="AE223" s="86"/>
      <c r="AF223" s="62"/>
      <c r="AG223" s="62"/>
      <c r="AH223" s="62"/>
      <c r="AI223" s="62"/>
      <c r="AJ223" s="62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Y224" s="62"/>
      <c r="Z224" s="86"/>
      <c r="AA224" s="86"/>
      <c r="AB224" s="86"/>
      <c r="AC224" s="86"/>
      <c r="AD224" s="86"/>
      <c r="AE224" s="86"/>
      <c r="AF224" s="62"/>
      <c r="AG224" s="62"/>
      <c r="AH224" s="62"/>
      <c r="AI224" s="62"/>
      <c r="AJ224" s="62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4" t="s">
        <v>14</v>
      </c>
      <c r="N225" s="57"/>
      <c r="O225" s="57"/>
      <c r="P225" s="57"/>
      <c r="Q225" s="57"/>
      <c r="R225" s="57"/>
      <c r="S225" s="57"/>
      <c r="Y225" s="63"/>
      <c r="Z225" s="86"/>
      <c r="AA225" s="86"/>
      <c r="AB225" s="86"/>
      <c r="AC225" s="86"/>
      <c r="AD225" s="86"/>
      <c r="AE225" s="86"/>
      <c r="AF225" s="62"/>
      <c r="AG225" s="62"/>
      <c r="AH225" s="62"/>
      <c r="AI225" s="62"/>
      <c r="AJ225" s="62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Y226" s="62"/>
      <c r="Z226" s="86"/>
      <c r="AA226" s="86"/>
      <c r="AB226" s="86"/>
      <c r="AC226" s="86"/>
      <c r="AD226" s="86"/>
      <c r="AE226" s="86"/>
      <c r="AF226" s="62"/>
      <c r="AG226" s="62"/>
      <c r="AH226" s="62"/>
      <c r="AI226" s="62"/>
      <c r="AJ226" s="62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50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t="s">
        <v>50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s="62"/>
      <c r="Z227" s="86"/>
      <c r="AA227" s="86"/>
      <c r="AB227" s="86"/>
      <c r="AC227" s="86"/>
      <c r="AD227" s="86"/>
      <c r="AE227" s="86"/>
      <c r="AF227" s="62"/>
      <c r="AG227" s="86"/>
      <c r="AH227" s="86"/>
      <c r="AI227" s="62"/>
      <c r="AJ227" s="62"/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51</v>
      </c>
      <c r="B228" s="20"/>
      <c r="C228" s="57"/>
      <c r="D228" s="57"/>
      <c r="E228" s="57"/>
      <c r="G228" s="57"/>
      <c r="I228" s="22" t="s">
        <v>16</v>
      </c>
      <c r="J228" s="23" t="s">
        <v>31</v>
      </c>
      <c r="K228" s="24"/>
      <c r="M228" s="21" t="s">
        <v>51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33</v>
      </c>
      <c r="W228" s="24"/>
      <c r="Y228" s="64"/>
      <c r="Z228" s="86"/>
      <c r="AA228" s="86"/>
      <c r="AB228" s="86"/>
      <c r="AC228" s="86"/>
      <c r="AD228" s="86"/>
      <c r="AE228" s="86"/>
      <c r="AF228" s="62"/>
      <c r="AG228" s="65"/>
      <c r="AH228" s="65"/>
      <c r="AI228" s="62"/>
      <c r="AJ228" s="62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Y229" s="62"/>
      <c r="Z229" s="86"/>
      <c r="AA229" s="86"/>
      <c r="AB229" s="86"/>
      <c r="AC229" s="86"/>
      <c r="AD229" s="86"/>
      <c r="AE229" s="86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15" t="s">
        <v>17</v>
      </c>
      <c r="E230" s="115"/>
      <c r="F230" s="90"/>
      <c r="G230" s="27"/>
      <c r="I230" s="113" t="s">
        <v>18</v>
      </c>
      <c r="J230" s="114"/>
      <c r="K230" s="111" t="s">
        <v>19</v>
      </c>
      <c r="N230" s="25"/>
      <c r="O230" s="26"/>
      <c r="P230" s="115" t="s">
        <v>17</v>
      </c>
      <c r="Q230" s="115"/>
      <c r="R230" s="90"/>
      <c r="S230" s="27"/>
      <c r="U230" s="113" t="s">
        <v>18</v>
      </c>
      <c r="V230" s="114"/>
      <c r="W230" s="111" t="s">
        <v>19</v>
      </c>
      <c r="Y230" s="62"/>
      <c r="Z230" s="65"/>
      <c r="AA230" s="86"/>
      <c r="AB230" s="117"/>
      <c r="AC230" s="117"/>
      <c r="AD230" s="86"/>
      <c r="AE230" s="86"/>
      <c r="AF230" s="62"/>
      <c r="AG230" s="117"/>
      <c r="AH230" s="117"/>
      <c r="AI230" s="116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7" t="s">
        <v>22</v>
      </c>
      <c r="E231" s="76" t="s">
        <v>23</v>
      </c>
      <c r="F231" s="78" t="s">
        <v>32</v>
      </c>
      <c r="G231" s="78" t="s">
        <v>24</v>
      </c>
      <c r="I231" s="29" t="s">
        <v>25</v>
      </c>
      <c r="J231" s="29" t="s">
        <v>26</v>
      </c>
      <c r="K231" s="112"/>
      <c r="N231" s="28" t="s">
        <v>20</v>
      </c>
      <c r="O231" s="28" t="s">
        <v>21</v>
      </c>
      <c r="P231" s="77" t="s">
        <v>22</v>
      </c>
      <c r="Q231" s="78" t="s">
        <v>23</v>
      </c>
      <c r="R231" s="78" t="s">
        <v>32</v>
      </c>
      <c r="S231" s="78" t="s">
        <v>24</v>
      </c>
      <c r="U231" s="29" t="s">
        <v>25</v>
      </c>
      <c r="V231" s="29" t="s">
        <v>26</v>
      </c>
      <c r="W231" s="112"/>
      <c r="Y231" s="62"/>
      <c r="Z231" s="86"/>
      <c r="AA231" s="86"/>
      <c r="AB231" s="79"/>
      <c r="AC231" s="81"/>
      <c r="AD231" s="81"/>
      <c r="AE231" s="81"/>
      <c r="AF231" s="62"/>
      <c r="AG231" s="85"/>
      <c r="AH231" s="85"/>
      <c r="AI231" s="116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46175</v>
      </c>
      <c r="C232" s="83">
        <v>8885</v>
      </c>
      <c r="D232" s="32">
        <f>670*20+973*10+1582+500*5+700*10+872*50+872*5+500*10</f>
        <v>87172</v>
      </c>
      <c r="E232" s="32"/>
      <c r="F232" s="32"/>
      <c r="G232" s="32">
        <f t="shared" ref="G232:G265" si="78">SUM(D232:E232)</f>
        <v>87172</v>
      </c>
      <c r="H232" s="12"/>
      <c r="I232" s="12">
        <f>120*81+111*30</f>
        <v>13050</v>
      </c>
      <c r="J232" s="12">
        <f>-111*6+-84*53+-84*121</f>
        <v>-15282</v>
      </c>
      <c r="K232" s="12">
        <f t="shared" ref="K232:K265" si="79">SUM(G232:J232)</f>
        <v>84940</v>
      </c>
      <c r="M232" s="10">
        <v>1</v>
      </c>
      <c r="N232" s="30">
        <v>46175</v>
      </c>
      <c r="O232" s="31">
        <v>8955</v>
      </c>
      <c r="P232" s="32">
        <f>650*4+38</f>
        <v>2638</v>
      </c>
      <c r="Q232" s="32"/>
      <c r="R232" s="32"/>
      <c r="S232" s="32">
        <f>SUM(P232:Q232)</f>
        <v>2638</v>
      </c>
      <c r="T232" s="12"/>
      <c r="U232" s="12"/>
      <c r="V232" s="12"/>
      <c r="W232" s="12">
        <f>SUM(S232:V232)</f>
        <v>2638</v>
      </c>
      <c r="Y232" s="62"/>
      <c r="Z232" s="66"/>
      <c r="AA232" s="86"/>
      <c r="AB232" s="60"/>
      <c r="AC232" s="60"/>
      <c r="AD232" s="60"/>
      <c r="AE232" s="60"/>
      <c r="AF232" s="61"/>
      <c r="AG232" s="61"/>
      <c r="AH232" s="61"/>
      <c r="AI232" s="61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46175</v>
      </c>
      <c r="C233" s="83">
        <f>C232+1</f>
        <v>8886</v>
      </c>
      <c r="D233" s="32">
        <f>1582+650+1667*2+1175*5+1175*2+1102*2+1667*2+650*5</f>
        <v>22579</v>
      </c>
      <c r="E233" s="32"/>
      <c r="F233" s="32"/>
      <c r="G233" s="32">
        <f t="shared" si="78"/>
        <v>22579</v>
      </c>
      <c r="H233" s="12"/>
      <c r="I233" s="12"/>
      <c r="J233" s="12"/>
      <c r="K233" s="12">
        <f t="shared" si="79"/>
        <v>22579</v>
      </c>
      <c r="M233" s="10">
        <v>2</v>
      </c>
      <c r="N233" s="30">
        <v>46175</v>
      </c>
      <c r="O233" s="31">
        <f>O232+1</f>
        <v>8956</v>
      </c>
      <c r="P233" s="32">
        <f>650*9+622+9.5*10</f>
        <v>6567</v>
      </c>
      <c r="Q233" s="32"/>
      <c r="R233" s="32"/>
      <c r="S233" s="32">
        <f t="shared" ref="S233:S264" si="80">SUM(P233:Q233)</f>
        <v>6567</v>
      </c>
      <c r="T233" s="12"/>
      <c r="U233" s="12"/>
      <c r="V233" s="12"/>
      <c r="W233" s="12">
        <f t="shared" ref="W233:W264" si="81">SUM(S233:V233)</f>
        <v>6567</v>
      </c>
      <c r="Y233" s="62"/>
      <c r="Z233" s="66"/>
      <c r="AA233" s="86"/>
      <c r="AB233" s="60"/>
      <c r="AC233" s="60"/>
      <c r="AD233" s="60"/>
      <c r="AE233" s="60"/>
      <c r="AF233" s="61"/>
      <c r="AG233" s="61"/>
      <c r="AH233" s="61"/>
      <c r="AI233" s="61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46175</v>
      </c>
      <c r="C234" s="83">
        <f t="shared" ref="C234:C241" si="82">C233+1</f>
        <v>8887</v>
      </c>
      <c r="D234" s="33">
        <f>650*28+670*3+622*2+229</f>
        <v>21683</v>
      </c>
      <c r="E234" s="33"/>
      <c r="F234" s="33"/>
      <c r="G234" s="33">
        <f t="shared" si="78"/>
        <v>21683</v>
      </c>
      <c r="H234" s="34"/>
      <c r="I234" s="34"/>
      <c r="J234" s="34">
        <v>-4284</v>
      </c>
      <c r="K234" s="34">
        <f t="shared" si="79"/>
        <v>17399</v>
      </c>
      <c r="M234" s="10">
        <v>3</v>
      </c>
      <c r="N234" s="30">
        <v>46175</v>
      </c>
      <c r="O234" s="31">
        <f t="shared" ref="O234:O254" si="83">O233+1</f>
        <v>8957</v>
      </c>
      <c r="P234" s="32">
        <f>650*8+9.5*8</f>
        <v>5276</v>
      </c>
      <c r="Q234" s="32"/>
      <c r="R234" s="32"/>
      <c r="S234" s="32">
        <f t="shared" si="80"/>
        <v>5276</v>
      </c>
      <c r="T234" s="12"/>
      <c r="U234" s="12"/>
      <c r="V234" s="12"/>
      <c r="W234" s="12">
        <f t="shared" si="81"/>
        <v>5276</v>
      </c>
      <c r="Y234" s="62"/>
      <c r="Z234" s="66"/>
      <c r="AA234" s="86"/>
      <c r="AB234" s="60"/>
      <c r="AC234" s="60"/>
      <c r="AD234" s="60"/>
      <c r="AE234" s="60"/>
      <c r="AF234" s="61"/>
      <c r="AG234" s="61"/>
      <c r="AH234" s="61"/>
      <c r="AI234" s="61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46175</v>
      </c>
      <c r="C235" s="83">
        <f t="shared" si="82"/>
        <v>8888</v>
      </c>
      <c r="D235" s="32">
        <f>650*10+670</f>
        <v>7170</v>
      </c>
      <c r="E235" s="32"/>
      <c r="F235" s="32"/>
      <c r="G235" s="32">
        <f t="shared" si="78"/>
        <v>7170</v>
      </c>
      <c r="H235" s="12"/>
      <c r="I235" s="12"/>
      <c r="J235" s="12"/>
      <c r="K235" s="12">
        <f t="shared" si="79"/>
        <v>7170</v>
      </c>
      <c r="M235" s="10">
        <v>4</v>
      </c>
      <c r="N235" s="30">
        <v>46175</v>
      </c>
      <c r="O235" s="31">
        <f t="shared" si="83"/>
        <v>8958</v>
      </c>
      <c r="P235" s="32">
        <f>650+700*2+622</f>
        <v>2672</v>
      </c>
      <c r="Q235" s="32"/>
      <c r="R235" s="32"/>
      <c r="S235" s="32">
        <f t="shared" si="80"/>
        <v>2672</v>
      </c>
      <c r="T235" s="12"/>
      <c r="U235" s="12"/>
      <c r="V235" s="12"/>
      <c r="W235" s="12">
        <f t="shared" si="81"/>
        <v>2672</v>
      </c>
      <c r="Y235" s="62"/>
      <c r="Z235" s="66"/>
      <c r="AA235" s="86"/>
      <c r="AB235" s="60"/>
      <c r="AC235" s="60"/>
      <c r="AD235" s="60"/>
      <c r="AE235" s="60"/>
      <c r="AF235" s="61"/>
      <c r="AG235" s="62"/>
      <c r="AH235" s="61"/>
      <c r="AI235" s="61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46175</v>
      </c>
      <c r="C236" s="83">
        <f t="shared" si="82"/>
        <v>8889</v>
      </c>
      <c r="D236" s="32">
        <f>650*6+622</f>
        <v>4522</v>
      </c>
      <c r="E236" s="32"/>
      <c r="F236" s="32"/>
      <c r="G236" s="32">
        <f t="shared" si="78"/>
        <v>4522</v>
      </c>
      <c r="H236" s="12"/>
      <c r="I236" s="12"/>
      <c r="J236" s="12"/>
      <c r="K236" s="12">
        <f t="shared" si="79"/>
        <v>4522</v>
      </c>
      <c r="M236" s="10">
        <v>5</v>
      </c>
      <c r="N236" s="30">
        <v>46175</v>
      </c>
      <c r="O236" s="31">
        <f t="shared" si="83"/>
        <v>8959</v>
      </c>
      <c r="P236" s="32">
        <f>650*5+622+229</f>
        <v>4101</v>
      </c>
      <c r="Q236" s="32"/>
      <c r="R236" s="32"/>
      <c r="S236" s="32">
        <f t="shared" si="80"/>
        <v>4101</v>
      </c>
      <c r="T236" s="12"/>
      <c r="U236" s="12"/>
      <c r="V236" s="12"/>
      <c r="W236" s="12">
        <f t="shared" si="81"/>
        <v>4101</v>
      </c>
      <c r="Y236" s="62"/>
      <c r="Z236" s="66"/>
      <c r="AA236" s="86"/>
      <c r="AB236" s="60"/>
      <c r="AC236" s="60"/>
      <c r="AD236" s="60"/>
      <c r="AE236" s="60"/>
      <c r="AF236" s="61"/>
      <c r="AG236" s="61"/>
      <c r="AH236" s="61"/>
      <c r="AI236" s="61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46175</v>
      </c>
      <c r="C237" s="83">
        <f t="shared" si="82"/>
        <v>8890</v>
      </c>
      <c r="D237" s="32">
        <f>650*4+622*2+9.5*6</f>
        <v>3901</v>
      </c>
      <c r="E237" s="32"/>
      <c r="F237" s="32"/>
      <c r="G237" s="32">
        <f t="shared" si="78"/>
        <v>3901</v>
      </c>
      <c r="H237" s="12"/>
      <c r="I237" s="12"/>
      <c r="J237" s="12"/>
      <c r="K237" s="12">
        <f t="shared" si="79"/>
        <v>3901</v>
      </c>
      <c r="M237" s="10">
        <v>6</v>
      </c>
      <c r="N237" s="30">
        <v>46175</v>
      </c>
      <c r="O237" s="31">
        <f t="shared" si="83"/>
        <v>8960</v>
      </c>
      <c r="P237" s="32">
        <f>650*2+622+9.5*3</f>
        <v>1950.5</v>
      </c>
      <c r="Q237" s="32"/>
      <c r="R237" s="32"/>
      <c r="S237" s="32">
        <f t="shared" si="80"/>
        <v>1950.5</v>
      </c>
      <c r="T237" s="12"/>
      <c r="U237" s="12"/>
      <c r="V237" s="10"/>
      <c r="W237" s="12">
        <f t="shared" si="81"/>
        <v>1950.5</v>
      </c>
      <c r="Y237" s="62"/>
      <c r="Z237" s="66"/>
      <c r="AA237" s="86"/>
      <c r="AB237" s="60"/>
      <c r="AC237" s="60"/>
      <c r="AD237" s="60"/>
      <c r="AE237" s="60"/>
      <c r="AF237" s="61"/>
      <c r="AG237" s="61"/>
      <c r="AH237" s="62"/>
      <c r="AI237" s="61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46175</v>
      </c>
      <c r="C238" s="83">
        <f t="shared" si="82"/>
        <v>8891</v>
      </c>
      <c r="D238" s="32">
        <f>650*3+670+229</f>
        <v>2849</v>
      </c>
      <c r="E238" s="32"/>
      <c r="F238" s="32"/>
      <c r="G238" s="32">
        <f t="shared" si="78"/>
        <v>2849</v>
      </c>
      <c r="H238" s="12"/>
      <c r="I238" s="12"/>
      <c r="J238" s="12"/>
      <c r="K238" s="12">
        <f t="shared" si="79"/>
        <v>2849</v>
      </c>
      <c r="M238" s="10">
        <v>7</v>
      </c>
      <c r="N238" s="30">
        <v>46175</v>
      </c>
      <c r="O238" s="31">
        <f t="shared" si="83"/>
        <v>8961</v>
      </c>
      <c r="P238" s="32">
        <f>650*30+670*5+622*5+229</f>
        <v>26189</v>
      </c>
      <c r="Q238" s="32"/>
      <c r="R238" s="32"/>
      <c r="S238" s="32">
        <f t="shared" si="80"/>
        <v>26189</v>
      </c>
      <c r="T238" s="12"/>
      <c r="U238" s="12">
        <v>189</v>
      </c>
      <c r="V238" s="12"/>
      <c r="W238" s="12">
        <f t="shared" si="81"/>
        <v>26378</v>
      </c>
      <c r="Y238" s="62"/>
      <c r="Z238" s="66"/>
      <c r="AA238" s="86"/>
      <c r="AB238" s="60"/>
      <c r="AC238" s="60"/>
      <c r="AD238" s="60"/>
      <c r="AE238" s="60"/>
      <c r="AF238" s="61"/>
      <c r="AG238" s="61"/>
      <c r="AH238" s="61"/>
      <c r="AI238" s="61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46175</v>
      </c>
      <c r="C239" s="83">
        <f t="shared" si="82"/>
        <v>8892</v>
      </c>
      <c r="D239" s="32">
        <f>650*4+622+9.5*5</f>
        <v>3269.5</v>
      </c>
      <c r="E239" s="32"/>
      <c r="F239" s="32"/>
      <c r="G239" s="32">
        <f t="shared" si="78"/>
        <v>3269.5</v>
      </c>
      <c r="H239" s="12"/>
      <c r="I239" s="12"/>
      <c r="J239" s="12"/>
      <c r="K239" s="12">
        <f t="shared" si="79"/>
        <v>3269.5</v>
      </c>
      <c r="M239" s="10">
        <v>8</v>
      </c>
      <c r="N239" s="30">
        <v>46175</v>
      </c>
      <c r="O239" s="31">
        <f t="shared" si="83"/>
        <v>8962</v>
      </c>
      <c r="P239" s="32">
        <f>650*4+670+622+9.5*5</f>
        <v>3939.5</v>
      </c>
      <c r="Q239" s="32"/>
      <c r="R239" s="32"/>
      <c r="S239" s="32">
        <f t="shared" si="80"/>
        <v>3939.5</v>
      </c>
      <c r="T239" s="12"/>
      <c r="U239" s="12"/>
      <c r="V239" s="12"/>
      <c r="W239" s="12">
        <f t="shared" si="81"/>
        <v>3939.5</v>
      </c>
      <c r="Y239" s="62"/>
      <c r="Z239" s="66"/>
      <c r="AA239" s="86"/>
      <c r="AB239" s="60"/>
      <c r="AC239" s="60"/>
      <c r="AD239" s="62"/>
      <c r="AE239" s="60"/>
      <c r="AF239" s="61"/>
      <c r="AG239" s="61"/>
      <c r="AH239" s="61"/>
      <c r="AI239" s="61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46175</v>
      </c>
      <c r="C240" s="83">
        <f t="shared" si="82"/>
        <v>8893</v>
      </c>
      <c r="D240" s="32">
        <f>622</f>
        <v>622</v>
      </c>
      <c r="E240" s="32"/>
      <c r="F240" s="32"/>
      <c r="G240" s="32">
        <f t="shared" si="78"/>
        <v>622</v>
      </c>
      <c r="H240" s="12"/>
      <c r="I240" s="12"/>
      <c r="J240" s="12"/>
      <c r="K240" s="12">
        <f t="shared" si="79"/>
        <v>622</v>
      </c>
      <c r="M240" s="10">
        <v>9</v>
      </c>
      <c r="N240" s="30">
        <v>46175</v>
      </c>
      <c r="O240" s="31">
        <f t="shared" si="83"/>
        <v>8963</v>
      </c>
      <c r="P240" s="32">
        <f>650*4+9.5*4</f>
        <v>2638</v>
      </c>
      <c r="Q240" s="32"/>
      <c r="R240" s="32"/>
      <c r="S240" s="32">
        <f t="shared" si="80"/>
        <v>2638</v>
      </c>
      <c r="T240" s="12"/>
      <c r="U240" s="12"/>
      <c r="V240" s="12"/>
      <c r="W240" s="12">
        <f t="shared" si="81"/>
        <v>2638</v>
      </c>
      <c r="Y240" s="62"/>
      <c r="Z240" s="66"/>
      <c r="AA240" s="86"/>
      <c r="AB240" s="60"/>
      <c r="AC240" s="60"/>
      <c r="AD240" s="60"/>
      <c r="AE240" s="60"/>
      <c r="AF240" s="61"/>
      <c r="AG240" s="62"/>
      <c r="AH240" s="61"/>
      <c r="AI240" s="61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46175</v>
      </c>
      <c r="C241" s="83">
        <f t="shared" si="82"/>
        <v>8894</v>
      </c>
      <c r="D241" s="32">
        <f>650*2</f>
        <v>1300</v>
      </c>
      <c r="E241" s="32"/>
      <c r="F241" s="32"/>
      <c r="G241" s="32">
        <f t="shared" si="78"/>
        <v>1300</v>
      </c>
      <c r="H241" s="12"/>
      <c r="I241" s="12"/>
      <c r="J241" s="12"/>
      <c r="K241" s="12">
        <f t="shared" si="79"/>
        <v>1300</v>
      </c>
      <c r="M241" s="10">
        <v>10</v>
      </c>
      <c r="N241" s="30">
        <v>46175</v>
      </c>
      <c r="O241" s="31">
        <f t="shared" si="83"/>
        <v>8964</v>
      </c>
      <c r="P241" s="32">
        <f>650*2+670+9.5*2</f>
        <v>1989</v>
      </c>
      <c r="Q241" s="32"/>
      <c r="R241" s="32"/>
      <c r="S241" s="32">
        <f t="shared" si="80"/>
        <v>1989</v>
      </c>
      <c r="T241" s="12"/>
      <c r="U241" s="12"/>
      <c r="V241" s="12"/>
      <c r="W241" s="12">
        <f t="shared" si="81"/>
        <v>1989</v>
      </c>
      <c r="Y241" s="62"/>
      <c r="Z241" s="66"/>
      <c r="AA241" s="86"/>
      <c r="AB241" s="60"/>
      <c r="AC241" s="60"/>
      <c r="AD241" s="60"/>
      <c r="AE241" s="60"/>
      <c r="AF241" s="61"/>
      <c r="AG241" s="61"/>
      <c r="AH241" s="61"/>
      <c r="AI241" s="61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/>
      <c r="C242" s="11" t="s">
        <v>27</v>
      </c>
      <c r="D242" s="32"/>
      <c r="E242" s="32"/>
      <c r="F242" s="32"/>
      <c r="G242" s="32">
        <f t="shared" si="78"/>
        <v>0</v>
      </c>
      <c r="H242" s="12"/>
      <c r="I242" s="12"/>
      <c r="J242" s="12"/>
      <c r="K242" s="12">
        <f t="shared" si="79"/>
        <v>0</v>
      </c>
      <c r="M242" s="10">
        <v>11</v>
      </c>
      <c r="N242" s="30">
        <v>46175</v>
      </c>
      <c r="O242" s="31">
        <f t="shared" si="83"/>
        <v>8965</v>
      </c>
      <c r="P242" s="32">
        <f>650*3+9.5*3</f>
        <v>1978.5</v>
      </c>
      <c r="Q242" s="32"/>
      <c r="R242" s="32"/>
      <c r="S242" s="32">
        <f t="shared" si="80"/>
        <v>1978.5</v>
      </c>
      <c r="T242" s="12"/>
      <c r="U242" s="12"/>
      <c r="V242" s="12"/>
      <c r="W242" s="12">
        <f t="shared" si="81"/>
        <v>1978.5</v>
      </c>
      <c r="Y242" s="62"/>
      <c r="Z242" s="66"/>
      <c r="AA242" s="86"/>
      <c r="AB242" s="60"/>
      <c r="AC242" s="60"/>
      <c r="AD242" s="60"/>
      <c r="AE242" s="60"/>
      <c r="AF242" s="61"/>
      <c r="AG242" s="61"/>
      <c r="AH242" s="61"/>
      <c r="AI242" s="61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/>
      <c r="D243" s="32"/>
      <c r="E243" s="32"/>
      <c r="F243" s="32"/>
      <c r="G243" s="32">
        <f t="shared" si="78"/>
        <v>0</v>
      </c>
      <c r="H243" s="12"/>
      <c r="I243" s="12"/>
      <c r="J243" s="10"/>
      <c r="K243" s="12">
        <f t="shared" si="79"/>
        <v>0</v>
      </c>
      <c r="M243" s="10">
        <v>12</v>
      </c>
      <c r="N243" s="30">
        <v>46175</v>
      </c>
      <c r="O243" s="31">
        <f t="shared" si="83"/>
        <v>8966</v>
      </c>
      <c r="P243" s="32">
        <f>650*2+9.5*2</f>
        <v>1319</v>
      </c>
      <c r="Q243" s="32"/>
      <c r="R243" s="32"/>
      <c r="S243" s="32">
        <f t="shared" si="80"/>
        <v>1319</v>
      </c>
      <c r="T243" s="12"/>
      <c r="U243" s="12"/>
      <c r="V243" s="12"/>
      <c r="W243" s="12">
        <f t="shared" si="81"/>
        <v>1319</v>
      </c>
      <c r="Y243" s="62"/>
      <c r="Z243" s="66"/>
      <c r="AA243" s="65"/>
      <c r="AB243" s="60"/>
      <c r="AC243" s="60"/>
      <c r="AD243" s="60"/>
      <c r="AE243" s="60"/>
      <c r="AF243" s="61"/>
      <c r="AG243" s="61"/>
      <c r="AH243" s="61"/>
      <c r="AI243" s="61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/>
      <c r="C244" s="83"/>
      <c r="D244" s="32"/>
      <c r="E244" s="32"/>
      <c r="F244" s="32"/>
      <c r="G244" s="32">
        <f t="shared" si="78"/>
        <v>0</v>
      </c>
      <c r="H244" s="12"/>
      <c r="I244" s="12"/>
      <c r="J244" s="12"/>
      <c r="K244" s="12">
        <f t="shared" si="79"/>
        <v>0</v>
      </c>
      <c r="M244" s="10">
        <v>13</v>
      </c>
      <c r="N244" s="30">
        <v>46175</v>
      </c>
      <c r="O244" s="31">
        <f t="shared" si="83"/>
        <v>8967</v>
      </c>
      <c r="P244" s="32">
        <f>650*6+622*3+9.5*9</f>
        <v>5851.5</v>
      </c>
      <c r="Q244" s="32"/>
      <c r="R244" s="32"/>
      <c r="S244" s="32">
        <f t="shared" si="80"/>
        <v>5851.5</v>
      </c>
      <c r="T244" s="12"/>
      <c r="U244" s="12"/>
      <c r="V244" s="12">
        <v>-222</v>
      </c>
      <c r="W244" s="12">
        <f t="shared" si="81"/>
        <v>5629.5</v>
      </c>
      <c r="Y244" s="62"/>
      <c r="Z244" s="66"/>
      <c r="AA244" s="86"/>
      <c r="AB244" s="60"/>
      <c r="AC244" s="60"/>
      <c r="AD244" s="60"/>
      <c r="AE244" s="60"/>
      <c r="AF244" s="61"/>
      <c r="AG244" s="61"/>
      <c r="AH244" s="61"/>
      <c r="AI244" s="61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/>
      <c r="C245" s="83"/>
      <c r="D245" s="32"/>
      <c r="E245" s="32"/>
      <c r="F245" s="32"/>
      <c r="G245" s="32">
        <f t="shared" si="78"/>
        <v>0</v>
      </c>
      <c r="H245" s="12"/>
      <c r="I245" s="12"/>
      <c r="J245" s="12"/>
      <c r="K245" s="12">
        <f t="shared" si="79"/>
        <v>0</v>
      </c>
      <c r="M245" s="10">
        <v>14</v>
      </c>
      <c r="N245" s="30">
        <v>46175</v>
      </c>
      <c r="O245" s="31">
        <f t="shared" si="83"/>
        <v>8968</v>
      </c>
      <c r="P245" s="32">
        <f>650*4+622*10+9.5*14</f>
        <v>8953</v>
      </c>
      <c r="Q245" s="32"/>
      <c r="R245" s="32"/>
      <c r="S245" s="32">
        <f t="shared" si="80"/>
        <v>8953</v>
      </c>
      <c r="T245" s="12"/>
      <c r="U245" s="12"/>
      <c r="V245" s="12">
        <v>-222</v>
      </c>
      <c r="W245" s="12">
        <f t="shared" si="81"/>
        <v>8731</v>
      </c>
      <c r="Y245" s="62"/>
      <c r="Z245" s="66"/>
      <c r="AA245" s="86"/>
      <c r="AB245" s="60"/>
      <c r="AC245" s="60"/>
      <c r="AD245" s="60"/>
      <c r="AE245" s="60"/>
      <c r="AF245" s="61"/>
      <c r="AG245" s="61"/>
      <c r="AH245" s="61"/>
      <c r="AI245" s="61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/>
      <c r="C246" s="83"/>
      <c r="D246" s="32"/>
      <c r="E246" s="32"/>
      <c r="F246" s="32"/>
      <c r="G246" s="32">
        <f t="shared" si="78"/>
        <v>0</v>
      </c>
      <c r="H246" s="12"/>
      <c r="I246" s="12"/>
      <c r="J246" s="12"/>
      <c r="K246" s="12">
        <f t="shared" si="79"/>
        <v>0</v>
      </c>
      <c r="M246" s="10">
        <v>15</v>
      </c>
      <c r="N246" s="30">
        <v>46175</v>
      </c>
      <c r="O246" s="31">
        <f t="shared" si="83"/>
        <v>8969</v>
      </c>
      <c r="P246" s="32">
        <f>650*9</f>
        <v>5850</v>
      </c>
      <c r="Q246" s="32"/>
      <c r="R246" s="32"/>
      <c r="S246" s="32">
        <f t="shared" si="80"/>
        <v>5850</v>
      </c>
      <c r="T246" s="12"/>
      <c r="U246" s="12"/>
      <c r="V246" s="12"/>
      <c r="W246" s="12">
        <f t="shared" si="81"/>
        <v>5850</v>
      </c>
      <c r="Y246" s="62"/>
      <c r="Z246" s="66"/>
      <c r="AA246" s="86"/>
      <c r="AB246" s="60"/>
      <c r="AC246" s="60"/>
      <c r="AD246" s="60"/>
      <c r="AE246" s="60"/>
      <c r="AF246" s="61"/>
      <c r="AG246" s="61"/>
      <c r="AH246" s="61"/>
      <c r="AI246" s="61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/>
      <c r="D247" s="32"/>
      <c r="E247" s="32"/>
      <c r="F247" s="32"/>
      <c r="G247" s="32">
        <f t="shared" si="78"/>
        <v>0</v>
      </c>
      <c r="H247" s="12"/>
      <c r="I247" s="12"/>
      <c r="J247" s="12"/>
      <c r="K247" s="12">
        <f t="shared" si="79"/>
        <v>0</v>
      </c>
      <c r="M247" s="10">
        <v>16</v>
      </c>
      <c r="N247" s="30">
        <v>46175</v>
      </c>
      <c r="O247" s="31">
        <f t="shared" si="83"/>
        <v>8970</v>
      </c>
      <c r="P247" s="32">
        <f>650*2+9.5*2</f>
        <v>1319</v>
      </c>
      <c r="Q247" s="32"/>
      <c r="R247" s="32"/>
      <c r="S247" s="32">
        <f t="shared" si="80"/>
        <v>1319</v>
      </c>
      <c r="T247" s="12"/>
      <c r="U247" s="12"/>
      <c r="V247" s="12"/>
      <c r="W247" s="12">
        <f t="shared" si="81"/>
        <v>1319</v>
      </c>
      <c r="Y247" s="62"/>
      <c r="Z247" s="66"/>
      <c r="AA247" s="62"/>
      <c r="AB247" s="60"/>
      <c r="AC247" s="60"/>
      <c r="AD247" s="60"/>
      <c r="AE247" s="60"/>
      <c r="AF247" s="61"/>
      <c r="AG247" s="61"/>
      <c r="AH247" s="61"/>
      <c r="AI247" s="61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/>
      <c r="C248" s="83"/>
      <c r="D248" s="32"/>
      <c r="E248" s="32"/>
      <c r="F248" s="32"/>
      <c r="G248" s="32">
        <f t="shared" si="78"/>
        <v>0</v>
      </c>
      <c r="H248" s="12"/>
      <c r="I248" s="12"/>
      <c r="J248" s="12"/>
      <c r="K248" s="12">
        <f t="shared" si="79"/>
        <v>0</v>
      </c>
      <c r="M248" s="10">
        <v>17</v>
      </c>
      <c r="N248" s="30">
        <v>46175</v>
      </c>
      <c r="O248" s="31">
        <f t="shared" si="83"/>
        <v>8971</v>
      </c>
      <c r="P248" s="35">
        <f>650*4+912+9.5*4</f>
        <v>3550</v>
      </c>
      <c r="Q248" s="32"/>
      <c r="R248" s="32"/>
      <c r="S248" s="32">
        <f t="shared" si="80"/>
        <v>3550</v>
      </c>
      <c r="T248" s="12"/>
      <c r="U248" s="12"/>
      <c r="V248" s="12"/>
      <c r="W248" s="12">
        <f t="shared" si="81"/>
        <v>3550</v>
      </c>
      <c r="Y248" s="62"/>
      <c r="Z248" s="66"/>
      <c r="AA248" s="86"/>
      <c r="AB248" s="60"/>
      <c r="AC248" s="60"/>
      <c r="AD248" s="60"/>
      <c r="AE248" s="60"/>
      <c r="AF248" s="61"/>
      <c r="AG248" s="61"/>
      <c r="AH248" s="61"/>
      <c r="AI248" s="61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83"/>
      <c r="D249" s="32"/>
      <c r="E249" s="32"/>
      <c r="F249" s="32"/>
      <c r="G249" s="32">
        <f t="shared" si="78"/>
        <v>0</v>
      </c>
      <c r="H249" s="12"/>
      <c r="I249" s="12"/>
      <c r="J249" s="12"/>
      <c r="K249" s="12">
        <f t="shared" si="79"/>
        <v>0</v>
      </c>
      <c r="M249" s="10">
        <v>18</v>
      </c>
      <c r="N249" s="30">
        <v>46175</v>
      </c>
      <c r="O249" s="31">
        <f t="shared" si="83"/>
        <v>8972</v>
      </c>
      <c r="P249" s="32">
        <f>650*3+9.5*3</f>
        <v>1978.5</v>
      </c>
      <c r="Q249" s="32"/>
      <c r="R249" s="32"/>
      <c r="S249" s="32">
        <f t="shared" si="80"/>
        <v>1978.5</v>
      </c>
      <c r="T249" s="12"/>
      <c r="U249" s="12"/>
      <c r="V249" s="12"/>
      <c r="W249" s="12">
        <f t="shared" si="81"/>
        <v>1978.5</v>
      </c>
      <c r="Y249" s="62"/>
      <c r="Z249" s="66"/>
      <c r="AA249" s="86"/>
      <c r="AB249" s="60"/>
      <c r="AC249" s="60"/>
      <c r="AD249" s="60"/>
      <c r="AE249" s="60"/>
      <c r="AF249" s="61"/>
      <c r="AG249" s="61"/>
      <c r="AH249" s="61"/>
      <c r="AI249" s="61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83"/>
      <c r="D250" s="32"/>
      <c r="E250" s="32"/>
      <c r="F250" s="32"/>
      <c r="G250" s="32">
        <f t="shared" si="78"/>
        <v>0</v>
      </c>
      <c r="H250" s="12"/>
      <c r="I250" s="12"/>
      <c r="J250" s="12"/>
      <c r="K250" s="12">
        <f t="shared" si="79"/>
        <v>0</v>
      </c>
      <c r="M250" s="10">
        <v>19</v>
      </c>
      <c r="N250" s="30">
        <v>46175</v>
      </c>
      <c r="O250" s="31">
        <f t="shared" si="83"/>
        <v>8973</v>
      </c>
      <c r="P250" s="32">
        <f>650*3+9.5*3</f>
        <v>1978.5</v>
      </c>
      <c r="Q250" s="32"/>
      <c r="R250" s="32"/>
      <c r="S250" s="32">
        <f t="shared" si="80"/>
        <v>1978.5</v>
      </c>
      <c r="T250" s="12"/>
      <c r="U250" s="12"/>
      <c r="V250" s="12"/>
      <c r="W250" s="12">
        <f t="shared" si="81"/>
        <v>1978.5</v>
      </c>
      <c r="Y250" s="62"/>
      <c r="Z250" s="66"/>
      <c r="AA250" s="86"/>
      <c r="AB250" s="60"/>
      <c r="AC250" s="60"/>
      <c r="AD250" s="60"/>
      <c r="AE250" s="60"/>
      <c r="AF250" s="61"/>
      <c r="AG250" s="61"/>
      <c r="AH250" s="61"/>
      <c r="AI250" s="61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83"/>
      <c r="D251" s="32"/>
      <c r="E251" s="32"/>
      <c r="F251" s="32"/>
      <c r="G251" s="32">
        <f t="shared" si="78"/>
        <v>0</v>
      </c>
      <c r="H251" s="12"/>
      <c r="I251" s="12"/>
      <c r="J251" s="12"/>
      <c r="K251" s="12">
        <f t="shared" si="79"/>
        <v>0</v>
      </c>
      <c r="M251" s="10">
        <v>20</v>
      </c>
      <c r="N251" s="30">
        <v>46175</v>
      </c>
      <c r="O251" s="31">
        <f t="shared" si="83"/>
        <v>8974</v>
      </c>
      <c r="P251" s="32">
        <f>650*4+9.5*4</f>
        <v>2638</v>
      </c>
      <c r="Q251" s="32"/>
      <c r="R251" s="32"/>
      <c r="S251" s="32">
        <f t="shared" si="80"/>
        <v>2638</v>
      </c>
      <c r="T251" s="12"/>
      <c r="U251" s="12"/>
      <c r="V251" s="12"/>
      <c r="W251" s="12">
        <f t="shared" si="81"/>
        <v>2638</v>
      </c>
      <c r="Y251" s="62"/>
      <c r="Z251" s="66"/>
      <c r="AA251" s="86"/>
      <c r="AB251" s="60"/>
      <c r="AC251" s="60"/>
      <c r="AD251" s="60"/>
      <c r="AE251" s="60"/>
      <c r="AF251" s="61"/>
      <c r="AG251" s="61"/>
      <c r="AH251" s="61"/>
      <c r="AI251" s="61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57"/>
      <c r="D252" s="32"/>
      <c r="E252" s="32"/>
      <c r="F252" s="32"/>
      <c r="G252" s="32">
        <f t="shared" si="78"/>
        <v>0</v>
      </c>
      <c r="H252" s="10"/>
      <c r="I252" s="10"/>
      <c r="J252" s="10"/>
      <c r="K252" s="12">
        <f t="shared" si="79"/>
        <v>0</v>
      </c>
      <c r="M252" s="10">
        <v>21</v>
      </c>
      <c r="N252" s="30">
        <v>46175</v>
      </c>
      <c r="O252" s="31">
        <f t="shared" si="83"/>
        <v>8975</v>
      </c>
      <c r="P252" s="92">
        <f>650*70+622*30+229*2</f>
        <v>64618</v>
      </c>
      <c r="Q252" s="31"/>
      <c r="R252" s="31"/>
      <c r="S252" s="32">
        <f t="shared" si="80"/>
        <v>64618</v>
      </c>
      <c r="T252" s="10"/>
      <c r="U252" s="10">
        <f>111*2+78*2+4.5*2</f>
        <v>387</v>
      </c>
      <c r="V252" s="10"/>
      <c r="W252" s="12">
        <f t="shared" si="81"/>
        <v>65005</v>
      </c>
      <c r="Y252" s="62"/>
      <c r="Z252" s="66"/>
      <c r="AA252" s="62"/>
      <c r="AB252" s="67"/>
      <c r="AC252" s="86"/>
      <c r="AD252" s="86"/>
      <c r="AE252" s="60"/>
      <c r="AF252" s="62"/>
      <c r="AG252" s="62"/>
      <c r="AH252" s="62"/>
      <c r="AI252" s="61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83"/>
      <c r="D253" s="32"/>
      <c r="E253" s="32"/>
      <c r="F253" s="32"/>
      <c r="G253" s="32">
        <f t="shared" si="78"/>
        <v>0</v>
      </c>
      <c r="H253" s="10"/>
      <c r="I253" s="10"/>
      <c r="J253" s="10"/>
      <c r="K253" s="12">
        <f t="shared" si="79"/>
        <v>0</v>
      </c>
      <c r="M253" s="10">
        <v>22</v>
      </c>
      <c r="N253" s="30">
        <v>46175</v>
      </c>
      <c r="O253" s="31">
        <f t="shared" si="83"/>
        <v>8976</v>
      </c>
      <c r="P253" s="92">
        <f>872*5</f>
        <v>4360</v>
      </c>
      <c r="Q253" s="31"/>
      <c r="R253" s="31"/>
      <c r="S253" s="32">
        <f t="shared" si="80"/>
        <v>4360</v>
      </c>
      <c r="T253" s="10"/>
      <c r="U253" s="10">
        <f>120*5</f>
        <v>600</v>
      </c>
      <c r="V253" s="10"/>
      <c r="W253" s="12">
        <f t="shared" si="81"/>
        <v>4960</v>
      </c>
      <c r="Y253" s="62"/>
      <c r="Z253" s="66"/>
      <c r="AA253" s="86"/>
      <c r="AB253" s="68"/>
      <c r="AC253" s="86"/>
      <c r="AD253" s="86"/>
      <c r="AE253" s="60"/>
      <c r="AF253" s="62"/>
      <c r="AG253" s="62"/>
      <c r="AH253" s="62"/>
      <c r="AI253" s="61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83"/>
      <c r="D254" s="32"/>
      <c r="E254" s="32"/>
      <c r="F254" s="32"/>
      <c r="G254" s="32">
        <f t="shared" si="78"/>
        <v>0</v>
      </c>
      <c r="H254" s="10"/>
      <c r="I254" s="10"/>
      <c r="J254" s="12"/>
      <c r="K254" s="12">
        <f t="shared" si="79"/>
        <v>0</v>
      </c>
      <c r="M254" s="10">
        <v>23</v>
      </c>
      <c r="N254" s="30">
        <v>46175</v>
      </c>
      <c r="O254" s="31">
        <f t="shared" si="83"/>
        <v>8977</v>
      </c>
      <c r="P254" s="47">
        <f>650+622</f>
        <v>1272</v>
      </c>
      <c r="Q254" s="31"/>
      <c r="S254" s="32">
        <f t="shared" si="80"/>
        <v>1272</v>
      </c>
      <c r="T254" s="10"/>
      <c r="U254" s="10"/>
      <c r="V254" s="10"/>
      <c r="W254" s="12">
        <f t="shared" si="81"/>
        <v>1272</v>
      </c>
      <c r="Y254" s="62"/>
      <c r="Z254" s="66"/>
      <c r="AA254" s="86"/>
      <c r="AB254" s="69"/>
      <c r="AC254" s="62"/>
      <c r="AD254" s="62"/>
      <c r="AE254" s="60"/>
      <c r="AF254" s="62"/>
      <c r="AG254" s="62"/>
      <c r="AH254" s="62"/>
      <c r="AI254" s="61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83"/>
      <c r="D255" s="32"/>
      <c r="E255" s="32"/>
      <c r="F255" s="32"/>
      <c r="G255" s="32">
        <f t="shared" si="78"/>
        <v>0</v>
      </c>
      <c r="H255" s="10"/>
      <c r="I255" s="10"/>
      <c r="J255" s="10"/>
      <c r="K255" s="12">
        <f t="shared" si="79"/>
        <v>0</v>
      </c>
      <c r="M255" s="10">
        <v>24</v>
      </c>
      <c r="N255" s="30"/>
      <c r="O255" s="11" t="s">
        <v>27</v>
      </c>
      <c r="P255" s="47"/>
      <c r="Q255" s="31"/>
      <c r="R255" s="31"/>
      <c r="S255" s="32">
        <f t="shared" si="80"/>
        <v>0</v>
      </c>
      <c r="T255" s="10"/>
      <c r="U255" s="10"/>
      <c r="V255" s="10"/>
      <c r="W255" s="12">
        <f t="shared" si="81"/>
        <v>0</v>
      </c>
      <c r="Y255" s="62"/>
      <c r="Z255" s="66"/>
      <c r="AA255" s="86"/>
      <c r="AB255" s="69"/>
      <c r="AC255" s="86"/>
      <c r="AD255" s="86"/>
      <c r="AE255" s="60"/>
      <c r="AF255" s="62"/>
      <c r="AG255" s="62"/>
      <c r="AH255" s="62"/>
      <c r="AI255" s="61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83"/>
      <c r="D256" s="32"/>
      <c r="E256" s="32"/>
      <c r="F256" s="32"/>
      <c r="G256" s="32">
        <f t="shared" si="78"/>
        <v>0</v>
      </c>
      <c r="H256" s="10"/>
      <c r="I256" s="10"/>
      <c r="J256" s="10"/>
      <c r="K256" s="12">
        <f t="shared" si="79"/>
        <v>0</v>
      </c>
      <c r="M256" s="10">
        <v>25</v>
      </c>
      <c r="N256" s="30"/>
      <c r="O256" s="31"/>
      <c r="P256" s="47"/>
      <c r="Q256" s="31"/>
      <c r="R256" s="31"/>
      <c r="S256" s="32">
        <f t="shared" si="80"/>
        <v>0</v>
      </c>
      <c r="T256" s="10"/>
      <c r="U256" s="10"/>
      <c r="V256" s="10"/>
      <c r="W256" s="12">
        <f t="shared" si="81"/>
        <v>0</v>
      </c>
      <c r="Y256" s="62"/>
      <c r="Z256" s="66"/>
      <c r="AA256" s="86"/>
      <c r="AB256" s="69"/>
      <c r="AC256" s="86"/>
      <c r="AD256" s="86"/>
      <c r="AE256" s="60"/>
      <c r="AF256" s="62"/>
      <c r="AG256" s="62"/>
      <c r="AH256" s="62"/>
      <c r="AI256" s="61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83"/>
      <c r="D257" s="32"/>
      <c r="E257" s="32"/>
      <c r="F257" s="32"/>
      <c r="G257" s="32">
        <f t="shared" si="78"/>
        <v>0</v>
      </c>
      <c r="H257" s="10"/>
      <c r="I257" s="10"/>
      <c r="J257" s="10"/>
      <c r="K257" s="12">
        <f t="shared" si="79"/>
        <v>0</v>
      </c>
      <c r="M257" s="10">
        <v>26</v>
      </c>
      <c r="N257" s="30"/>
      <c r="P257" s="47"/>
      <c r="Q257" s="31"/>
      <c r="R257" s="31"/>
      <c r="S257" s="32">
        <f t="shared" si="80"/>
        <v>0</v>
      </c>
      <c r="T257" s="10"/>
      <c r="U257" s="10"/>
      <c r="V257" s="10"/>
      <c r="W257" s="12">
        <f t="shared" si="81"/>
        <v>0</v>
      </c>
      <c r="Y257" s="62"/>
      <c r="Z257" s="66"/>
      <c r="AA257" s="86"/>
      <c r="AB257" s="69"/>
      <c r="AC257" s="86"/>
      <c r="AD257" s="86"/>
      <c r="AE257" s="60"/>
      <c r="AF257" s="62"/>
      <c r="AG257" s="62"/>
      <c r="AH257" s="62"/>
      <c r="AI257" s="61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83"/>
      <c r="D258" s="32"/>
      <c r="E258" s="32"/>
      <c r="F258" s="32"/>
      <c r="G258" s="32">
        <f t="shared" si="78"/>
        <v>0</v>
      </c>
      <c r="H258" s="10"/>
      <c r="I258" s="10"/>
      <c r="J258" s="10"/>
      <c r="K258" s="12">
        <f t="shared" si="79"/>
        <v>0</v>
      </c>
      <c r="M258" s="10">
        <v>27</v>
      </c>
      <c r="N258" s="30"/>
      <c r="O258" s="31"/>
      <c r="P258" s="47"/>
      <c r="Q258" s="31"/>
      <c r="R258" s="31"/>
      <c r="S258" s="32">
        <f t="shared" si="80"/>
        <v>0</v>
      </c>
      <c r="T258" s="10"/>
      <c r="U258" s="10"/>
      <c r="V258" s="10"/>
      <c r="W258" s="12">
        <f t="shared" si="81"/>
        <v>0</v>
      </c>
      <c r="Y258" s="62"/>
      <c r="Z258" s="66"/>
      <c r="AA258" s="86"/>
      <c r="AB258" s="69"/>
      <c r="AC258" s="86"/>
      <c r="AD258" s="86"/>
      <c r="AE258" s="60"/>
      <c r="AF258" s="62"/>
      <c r="AG258" s="62"/>
      <c r="AH258" s="62"/>
      <c r="AI258" s="61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83"/>
      <c r="D259" s="32"/>
      <c r="E259" s="32"/>
      <c r="F259" s="32"/>
      <c r="G259" s="32">
        <f t="shared" si="78"/>
        <v>0</v>
      </c>
      <c r="H259" s="10"/>
      <c r="I259" s="10"/>
      <c r="J259" s="10"/>
      <c r="K259" s="12">
        <f t="shared" si="79"/>
        <v>0</v>
      </c>
      <c r="M259" s="10">
        <v>28</v>
      </c>
      <c r="N259" s="30"/>
      <c r="O259" s="31"/>
      <c r="P259" s="47"/>
      <c r="Q259" s="31"/>
      <c r="R259" s="31"/>
      <c r="S259" s="32">
        <f t="shared" si="80"/>
        <v>0</v>
      </c>
      <c r="T259" s="10"/>
      <c r="U259" s="10"/>
      <c r="V259" s="10"/>
      <c r="W259" s="12">
        <f t="shared" si="81"/>
        <v>0</v>
      </c>
      <c r="Y259" s="62"/>
      <c r="Z259" s="66"/>
      <c r="AA259" s="86"/>
      <c r="AB259" s="69"/>
      <c r="AC259" s="86"/>
      <c r="AD259" s="86"/>
      <c r="AE259" s="60"/>
      <c r="AF259" s="62"/>
      <c r="AG259" s="62"/>
      <c r="AH259" s="62"/>
      <c r="AI259" s="61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57"/>
      <c r="D260" s="32"/>
      <c r="E260" s="32"/>
      <c r="F260" s="32"/>
      <c r="G260" s="32">
        <f t="shared" si="78"/>
        <v>0</v>
      </c>
      <c r="H260" s="10"/>
      <c r="I260" s="10"/>
      <c r="J260" s="10"/>
      <c r="K260" s="12">
        <f t="shared" si="79"/>
        <v>0</v>
      </c>
      <c r="M260" s="10">
        <v>29</v>
      </c>
      <c r="N260" s="30"/>
      <c r="O260" s="31"/>
      <c r="P260" s="47"/>
      <c r="Q260" s="31"/>
      <c r="R260" s="31"/>
      <c r="S260" s="32">
        <f t="shared" si="80"/>
        <v>0</v>
      </c>
      <c r="T260" s="10"/>
      <c r="U260" s="10"/>
      <c r="V260" s="10"/>
      <c r="W260" s="12">
        <f t="shared" si="81"/>
        <v>0</v>
      </c>
      <c r="Y260" s="62"/>
      <c r="Z260" s="66"/>
      <c r="AA260" s="86"/>
      <c r="AB260" s="69"/>
      <c r="AC260" s="86"/>
      <c r="AD260" s="86"/>
      <c r="AE260" s="60"/>
      <c r="AF260" s="62"/>
      <c r="AG260" s="62"/>
      <c r="AH260" s="62"/>
      <c r="AI260" s="61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83"/>
      <c r="D261" s="32"/>
      <c r="E261" s="32"/>
      <c r="F261" s="32"/>
      <c r="G261" s="32">
        <f t="shared" si="78"/>
        <v>0</v>
      </c>
      <c r="H261" s="10"/>
      <c r="I261" s="10"/>
      <c r="J261" s="10"/>
      <c r="K261" s="12">
        <f t="shared" si="79"/>
        <v>0</v>
      </c>
      <c r="M261" s="10">
        <v>30</v>
      </c>
      <c r="N261" s="30"/>
      <c r="P261" s="47"/>
      <c r="Q261" s="31"/>
      <c r="R261" s="31"/>
      <c r="S261" s="32">
        <f t="shared" si="80"/>
        <v>0</v>
      </c>
      <c r="T261" s="10"/>
      <c r="U261" s="10"/>
      <c r="V261" s="10"/>
      <c r="W261" s="12">
        <f t="shared" si="81"/>
        <v>0</v>
      </c>
      <c r="Y261" s="62"/>
      <c r="Z261" s="66"/>
      <c r="AA261" s="86"/>
      <c r="AB261" s="69"/>
      <c r="AC261" s="86"/>
      <c r="AD261" s="86"/>
      <c r="AE261" s="60"/>
      <c r="AF261" s="62"/>
      <c r="AG261" s="62"/>
      <c r="AH261" s="62"/>
      <c r="AI261" s="61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83"/>
      <c r="D262" s="32"/>
      <c r="E262" s="32"/>
      <c r="F262" s="32"/>
      <c r="G262" s="32">
        <f t="shared" si="78"/>
        <v>0</v>
      </c>
      <c r="H262" s="10"/>
      <c r="I262" s="10"/>
      <c r="J262" s="10"/>
      <c r="K262" s="12">
        <f t="shared" si="79"/>
        <v>0</v>
      </c>
      <c r="M262" s="10">
        <v>31</v>
      </c>
      <c r="N262" s="30"/>
      <c r="O262" s="31"/>
      <c r="P262" s="47"/>
      <c r="Q262" s="31"/>
      <c r="R262" s="31"/>
      <c r="S262" s="32">
        <f t="shared" si="80"/>
        <v>0</v>
      </c>
      <c r="T262" s="10"/>
      <c r="U262" s="10"/>
      <c r="V262" s="10"/>
      <c r="W262" s="12">
        <f t="shared" si="81"/>
        <v>0</v>
      </c>
      <c r="Y262" s="62"/>
      <c r="Z262" s="66"/>
      <c r="AA262" s="86"/>
      <c r="AB262" s="69"/>
      <c r="AC262" s="86"/>
      <c r="AD262" s="86"/>
      <c r="AE262" s="60"/>
      <c r="AF262" s="62"/>
      <c r="AG262" s="62"/>
      <c r="AH262" s="62"/>
      <c r="AI262" s="61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83"/>
      <c r="D263" s="32"/>
      <c r="E263" s="32"/>
      <c r="F263" s="32"/>
      <c r="G263" s="32">
        <f t="shared" si="78"/>
        <v>0</v>
      </c>
      <c r="H263" s="10"/>
      <c r="I263" s="10"/>
      <c r="J263" s="10"/>
      <c r="K263" s="12">
        <f t="shared" si="79"/>
        <v>0</v>
      </c>
      <c r="M263" s="10">
        <v>32</v>
      </c>
      <c r="N263" s="30"/>
      <c r="O263" s="31"/>
      <c r="P263" s="47"/>
      <c r="Q263" s="31"/>
      <c r="R263" s="31"/>
      <c r="S263" s="32">
        <f t="shared" si="80"/>
        <v>0</v>
      </c>
      <c r="T263" s="10"/>
      <c r="U263" s="10"/>
      <c r="V263" s="10"/>
      <c r="W263" s="12">
        <f t="shared" si="81"/>
        <v>0</v>
      </c>
      <c r="Y263" s="62"/>
      <c r="Z263" s="66"/>
      <c r="AA263" s="86"/>
      <c r="AB263" s="69"/>
      <c r="AC263" s="86"/>
      <c r="AD263" s="86"/>
      <c r="AE263" s="60"/>
      <c r="AF263" s="62"/>
      <c r="AG263" s="62"/>
      <c r="AH263" s="62"/>
      <c r="AI263" s="61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83"/>
      <c r="D264" s="32"/>
      <c r="E264" s="32"/>
      <c r="F264" s="32"/>
      <c r="G264" s="32">
        <f t="shared" si="78"/>
        <v>0</v>
      </c>
      <c r="H264" s="10"/>
      <c r="I264" s="10"/>
      <c r="J264" s="10"/>
      <c r="K264" s="12">
        <f t="shared" si="79"/>
        <v>0</v>
      </c>
      <c r="M264" s="10">
        <v>33</v>
      </c>
      <c r="N264" s="30"/>
      <c r="O264" s="31"/>
      <c r="P264" s="47"/>
      <c r="Q264" s="31"/>
      <c r="R264" s="31"/>
      <c r="S264" s="32">
        <f t="shared" si="80"/>
        <v>0</v>
      </c>
      <c r="T264" s="10"/>
      <c r="U264" s="10"/>
      <c r="V264" s="10"/>
      <c r="W264" s="12">
        <f t="shared" si="81"/>
        <v>0</v>
      </c>
      <c r="Y264" s="62"/>
      <c r="Z264" s="66"/>
      <c r="AA264" s="86"/>
      <c r="AB264" s="69"/>
      <c r="AC264" s="86"/>
      <c r="AD264" s="86"/>
      <c r="AE264" s="60"/>
      <c r="AF264" s="62"/>
      <c r="AG264" s="62"/>
      <c r="AH264" s="62"/>
      <c r="AI264" s="61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83"/>
      <c r="D265" s="32"/>
      <c r="E265" s="32"/>
      <c r="F265" s="32"/>
      <c r="G265" s="32">
        <f t="shared" si="78"/>
        <v>0</v>
      </c>
      <c r="H265" s="10"/>
      <c r="I265" s="10"/>
      <c r="J265" s="10"/>
      <c r="K265" s="12">
        <f t="shared" si="79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84">SUM(P265:Q265)</f>
        <v>0</v>
      </c>
      <c r="T265" s="10"/>
      <c r="U265" s="10"/>
      <c r="V265" s="10"/>
      <c r="W265" s="12">
        <f t="shared" ref="W265:W273" si="85">SUM(S265:V265)</f>
        <v>0</v>
      </c>
      <c r="Y265" s="62"/>
      <c r="Z265" s="66"/>
      <c r="AA265" s="86"/>
      <c r="AB265" s="69"/>
      <c r="AC265" s="86"/>
      <c r="AD265" s="86"/>
      <c r="AE265" s="60"/>
      <c r="AF265" s="62"/>
      <c r="AG265" s="62"/>
      <c r="AH265" s="62"/>
      <c r="AI265" s="61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83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84"/>
        <v>0</v>
      </c>
      <c r="T266" s="10"/>
      <c r="U266" s="10"/>
      <c r="V266" s="10"/>
      <c r="W266" s="12">
        <f t="shared" si="85"/>
        <v>0</v>
      </c>
      <c r="Y266" s="62"/>
      <c r="Z266" s="66"/>
      <c r="AA266" s="86"/>
      <c r="AB266" s="69"/>
      <c r="AC266" s="86"/>
      <c r="AD266" s="86"/>
      <c r="AE266" s="60"/>
      <c r="AF266" s="62"/>
      <c r="AG266" s="62"/>
      <c r="AH266" s="62"/>
      <c r="AI266" s="61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83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84"/>
        <v>0</v>
      </c>
      <c r="T267" s="10"/>
      <c r="U267" s="10"/>
      <c r="V267" s="10"/>
      <c r="W267" s="12">
        <f t="shared" si="85"/>
        <v>0</v>
      </c>
      <c r="Y267" s="62"/>
      <c r="Z267" s="66"/>
      <c r="AA267" s="86"/>
      <c r="AB267" s="69"/>
      <c r="AC267" s="86"/>
      <c r="AD267" s="86"/>
      <c r="AE267" s="60"/>
      <c r="AF267" s="62"/>
      <c r="AG267" s="62"/>
      <c r="AH267" s="62"/>
      <c r="AI267" s="61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84"/>
        <v>0</v>
      </c>
      <c r="T268" s="10"/>
      <c r="U268" s="10"/>
      <c r="V268" s="10"/>
      <c r="W268" s="12">
        <f t="shared" si="85"/>
        <v>0</v>
      </c>
      <c r="Y268" s="62"/>
      <c r="Z268" s="66"/>
      <c r="AA268" s="86"/>
      <c r="AB268" s="69"/>
      <c r="AC268" s="86"/>
      <c r="AD268" s="86"/>
      <c r="AE268" s="60"/>
      <c r="AF268" s="62"/>
      <c r="AG268" s="62"/>
      <c r="AH268" s="62"/>
      <c r="AI268" s="61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84"/>
        <v>0</v>
      </c>
      <c r="T269" s="10"/>
      <c r="U269" s="10"/>
      <c r="V269" s="10"/>
      <c r="W269" s="12">
        <f t="shared" si="85"/>
        <v>0</v>
      </c>
      <c r="Y269" s="62"/>
      <c r="Z269" s="66"/>
      <c r="AA269" s="86"/>
      <c r="AB269" s="69"/>
      <c r="AC269" s="86"/>
      <c r="AD269" s="86"/>
      <c r="AE269" s="60"/>
      <c r="AF269" s="62"/>
      <c r="AG269" s="62"/>
      <c r="AH269" s="62"/>
      <c r="AI269" s="61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84"/>
        <v>0</v>
      </c>
      <c r="T270" s="10"/>
      <c r="U270" s="10"/>
      <c r="V270" s="10"/>
      <c r="W270" s="12">
        <f t="shared" si="85"/>
        <v>0</v>
      </c>
      <c r="Y270" s="62"/>
      <c r="Z270" s="66"/>
      <c r="AA270" s="86"/>
      <c r="AB270" s="69"/>
      <c r="AC270" s="86"/>
      <c r="AD270" s="86"/>
      <c r="AE270" s="60"/>
      <c r="AF270" s="62"/>
      <c r="AG270" s="62"/>
      <c r="AH270" s="62"/>
      <c r="AI270" s="61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85"/>
        <v>0</v>
      </c>
      <c r="Y271" s="62"/>
      <c r="Z271" s="66"/>
      <c r="AA271" s="62"/>
      <c r="AB271" s="69"/>
      <c r="AC271" s="86"/>
      <c r="AD271" s="86"/>
      <c r="AE271" s="60"/>
      <c r="AF271" s="62"/>
      <c r="AG271" s="62"/>
      <c r="AH271" s="62"/>
      <c r="AI271" s="61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6">SUM(D272:E272)</f>
        <v>0</v>
      </c>
      <c r="H272" s="10"/>
      <c r="I272" s="10"/>
      <c r="J272" s="10"/>
      <c r="K272" s="12">
        <f t="shared" ref="K272" si="87">SUM(G272:J272)</f>
        <v>0</v>
      </c>
      <c r="M272" s="10"/>
      <c r="N272" s="30"/>
      <c r="O272" s="31"/>
      <c r="P272" s="47"/>
      <c r="Q272" s="31"/>
      <c r="R272" s="31"/>
      <c r="S272" s="32">
        <f t="shared" ref="S272" si="88">SUM(P272:Q272)</f>
        <v>0</v>
      </c>
      <c r="T272" s="10"/>
      <c r="U272" s="10"/>
      <c r="V272" s="10"/>
      <c r="W272" s="12">
        <f t="shared" si="85"/>
        <v>0</v>
      </c>
      <c r="Y272" s="62"/>
      <c r="Z272" s="66"/>
      <c r="AA272" s="86"/>
      <c r="AB272" s="69"/>
      <c r="AC272" s="86"/>
      <c r="AD272" s="86"/>
      <c r="AE272" s="60"/>
      <c r="AF272" s="62"/>
      <c r="AG272" s="62"/>
      <c r="AH272" s="62"/>
      <c r="AI272" s="61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85"/>
        <v>0</v>
      </c>
      <c r="Y273" s="62"/>
      <c r="Z273" s="86"/>
      <c r="AA273" s="86"/>
      <c r="AB273" s="86"/>
      <c r="AC273" s="86"/>
      <c r="AD273" s="86"/>
      <c r="AE273" s="86"/>
      <c r="AF273" s="62"/>
      <c r="AG273" s="62"/>
      <c r="AH273" s="62"/>
      <c r="AI273" s="61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Y274" s="62"/>
      <c r="Z274" s="86"/>
      <c r="AA274" s="86"/>
      <c r="AB274" s="86"/>
      <c r="AC274" s="86"/>
      <c r="AD274" s="86"/>
      <c r="AE274" s="86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155067.5</v>
      </c>
      <c r="E275" s="38">
        <f t="shared" ref="E275:F275" si="89">SUM(E232:E272)</f>
        <v>0</v>
      </c>
      <c r="F275" s="38">
        <f t="shared" si="89"/>
        <v>0</v>
      </c>
      <c r="G275" s="38">
        <f>SUM(G232:G274)</f>
        <v>155067.5</v>
      </c>
      <c r="H275" s="4"/>
      <c r="I275" s="39">
        <f>SUM(I232:I274)</f>
        <v>13050</v>
      </c>
      <c r="J275" s="39">
        <f>SUM(J232:J274)</f>
        <v>-19566</v>
      </c>
      <c r="K275" s="40">
        <f>SUM(K232:K274)</f>
        <v>148551.5</v>
      </c>
      <c r="N275" s="57"/>
      <c r="O275" s="57"/>
      <c r="P275" s="38">
        <f>SUM(P232:P274)</f>
        <v>163626</v>
      </c>
      <c r="Q275" s="38">
        <f>SUM(Q232:Q256)</f>
        <v>0</v>
      </c>
      <c r="R275" s="38">
        <f>SUM(R232:R256)</f>
        <v>0</v>
      </c>
      <c r="S275" s="38">
        <f>SUM(S232:S274)</f>
        <v>163626</v>
      </c>
      <c r="T275" s="4"/>
      <c r="U275" s="41">
        <f>SUM(U232:U274)</f>
        <v>1176</v>
      </c>
      <c r="V275" s="41">
        <f>SUM(V232:V256)</f>
        <v>-444</v>
      </c>
      <c r="W275" s="42">
        <f>SUM(W232:W274)</f>
        <v>164358</v>
      </c>
      <c r="Y275" s="62"/>
      <c r="Z275" s="86"/>
      <c r="AA275" s="86"/>
      <c r="AB275" s="70"/>
      <c r="AC275" s="70"/>
      <c r="AD275" s="70"/>
      <c r="AE275" s="70"/>
      <c r="AF275" s="63"/>
      <c r="AG275" s="71"/>
      <c r="AH275" s="71"/>
      <c r="AI275" s="71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28</v>
      </c>
      <c r="B278" s="57"/>
      <c r="C278" s="57"/>
      <c r="D278" s="57"/>
      <c r="E278" s="57"/>
      <c r="G278" s="57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14</v>
      </c>
      <c r="B280" s="57"/>
      <c r="C280" s="57"/>
      <c r="D280" s="57"/>
      <c r="E280" s="57"/>
      <c r="G280" s="57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53</v>
      </c>
      <c r="B282" s="57"/>
      <c r="C282" s="57"/>
      <c r="D282" s="57"/>
      <c r="E282" s="57"/>
      <c r="G282" s="57"/>
      <c r="I282" s="57" t="s">
        <v>15</v>
      </c>
      <c r="J282" s="19">
        <v>1</v>
      </c>
      <c r="M282" t="s">
        <v>53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53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54</v>
      </c>
      <c r="B283" s="20"/>
      <c r="C283" s="57"/>
      <c r="D283" s="57"/>
      <c r="E283" s="57"/>
      <c r="G283" s="57"/>
      <c r="I283" s="22" t="s">
        <v>16</v>
      </c>
      <c r="J283" s="23" t="s">
        <v>31</v>
      </c>
      <c r="K283" s="24"/>
      <c r="M283" s="21" t="s">
        <v>54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33</v>
      </c>
      <c r="W283" s="24"/>
      <c r="Y283" s="21" t="s">
        <v>54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35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15" t="s">
        <v>17</v>
      </c>
      <c r="E285" s="115"/>
      <c r="F285" s="91"/>
      <c r="G285" s="27"/>
      <c r="I285" s="113" t="s">
        <v>18</v>
      </c>
      <c r="J285" s="114"/>
      <c r="K285" s="111" t="s">
        <v>19</v>
      </c>
      <c r="N285" s="25"/>
      <c r="O285" s="26"/>
      <c r="P285" s="115" t="s">
        <v>17</v>
      </c>
      <c r="Q285" s="115"/>
      <c r="R285" s="91"/>
      <c r="S285" s="27"/>
      <c r="U285" s="113" t="s">
        <v>18</v>
      </c>
      <c r="V285" s="114"/>
      <c r="W285" s="111" t="s">
        <v>19</v>
      </c>
      <c r="Z285" s="25"/>
      <c r="AA285" s="26"/>
      <c r="AB285" s="115" t="s">
        <v>17</v>
      </c>
      <c r="AC285" s="115"/>
      <c r="AD285" s="91"/>
      <c r="AE285" s="27"/>
      <c r="AG285" s="113" t="s">
        <v>18</v>
      </c>
      <c r="AH285" s="114"/>
      <c r="AI285" s="111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20</v>
      </c>
      <c r="C286" s="28" t="s">
        <v>21</v>
      </c>
      <c r="D286" s="77" t="s">
        <v>22</v>
      </c>
      <c r="E286" s="76" t="s">
        <v>23</v>
      </c>
      <c r="F286" s="78" t="s">
        <v>32</v>
      </c>
      <c r="G286" s="78" t="s">
        <v>24</v>
      </c>
      <c r="I286" s="29" t="s">
        <v>25</v>
      </c>
      <c r="J286" s="29" t="s">
        <v>26</v>
      </c>
      <c r="K286" s="112"/>
      <c r="N286" s="28" t="s">
        <v>20</v>
      </c>
      <c r="O286" s="28" t="s">
        <v>21</v>
      </c>
      <c r="P286" s="77" t="s">
        <v>22</v>
      </c>
      <c r="Q286" s="78" t="s">
        <v>23</v>
      </c>
      <c r="R286" s="78" t="s">
        <v>32</v>
      </c>
      <c r="S286" s="78" t="s">
        <v>24</v>
      </c>
      <c r="U286" s="29" t="s">
        <v>25</v>
      </c>
      <c r="V286" s="29" t="s">
        <v>26</v>
      </c>
      <c r="W286" s="112"/>
      <c r="Z286" s="28" t="s">
        <v>20</v>
      </c>
      <c r="AA286" s="28" t="s">
        <v>21</v>
      </c>
      <c r="AB286" s="77" t="s">
        <v>22</v>
      </c>
      <c r="AC286" s="78" t="s">
        <v>23</v>
      </c>
      <c r="AD286" s="78" t="s">
        <v>32</v>
      </c>
      <c r="AE286" s="78" t="s">
        <v>24</v>
      </c>
      <c r="AG286" s="29" t="s">
        <v>25</v>
      </c>
      <c r="AH286" s="29" t="s">
        <v>26</v>
      </c>
      <c r="AI286" s="11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46205</v>
      </c>
      <c r="C287" s="83">
        <v>8798</v>
      </c>
      <c r="D287" s="32">
        <f>650*5</f>
        <v>3250</v>
      </c>
      <c r="E287" s="32"/>
      <c r="F287" s="32"/>
      <c r="G287" s="32">
        <f t="shared" ref="G287:G320" si="90">SUM(D287:E287)</f>
        <v>3250</v>
      </c>
      <c r="H287" s="12"/>
      <c r="I287" s="12"/>
      <c r="J287" s="12"/>
      <c r="K287" s="12">
        <f t="shared" ref="K287:K320" si="91">SUM(G287:J287)</f>
        <v>3250</v>
      </c>
      <c r="M287" s="10">
        <v>1</v>
      </c>
      <c r="N287" s="30">
        <v>46205</v>
      </c>
      <c r="O287" s="31">
        <v>8978</v>
      </c>
      <c r="P287" s="32">
        <f>650*75+670*5+229*3</f>
        <v>52787</v>
      </c>
      <c r="Q287" s="32"/>
      <c r="R287" s="32"/>
      <c r="S287" s="32">
        <f>SUM(P287:Q287)</f>
        <v>52787</v>
      </c>
      <c r="T287" s="12"/>
      <c r="U287" s="12">
        <f>4.5*42</f>
        <v>189</v>
      </c>
      <c r="V287" s="12"/>
      <c r="W287" s="12">
        <f>SUM(S287:V287)</f>
        <v>52976</v>
      </c>
      <c r="Y287" s="10">
        <v>1</v>
      </c>
      <c r="Z287" s="30">
        <v>46205</v>
      </c>
      <c r="AA287" s="31">
        <v>8919</v>
      </c>
      <c r="AB287" s="32">
        <f>650*50+670*4+622*10+229</f>
        <v>41629</v>
      </c>
      <c r="AC287" s="32"/>
      <c r="AD287" s="32"/>
      <c r="AE287" s="32">
        <f>SUM(AB287:AC287)</f>
        <v>41629</v>
      </c>
      <c r="AF287" s="12"/>
      <c r="AG287" s="12"/>
      <c r="AH287" s="12"/>
      <c r="AI287" s="12">
        <f>SUM(AE287:AH287)</f>
        <v>41629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46205</v>
      </c>
      <c r="C288" s="83">
        <f>C287+1</f>
        <v>8799</v>
      </c>
      <c r="D288" s="32">
        <f>650*6+9.5*6</f>
        <v>3957</v>
      </c>
      <c r="E288" s="32"/>
      <c r="F288" s="32"/>
      <c r="G288" s="32">
        <f t="shared" si="90"/>
        <v>3957</v>
      </c>
      <c r="H288" s="12"/>
      <c r="I288" s="12"/>
      <c r="J288" s="12"/>
      <c r="K288" s="12">
        <f t="shared" si="91"/>
        <v>3957</v>
      </c>
      <c r="M288" s="10">
        <v>2</v>
      </c>
      <c r="N288" s="30">
        <v>46205</v>
      </c>
      <c r="O288" s="31">
        <f>O287+1</f>
        <v>8979</v>
      </c>
      <c r="P288" s="32">
        <f>670*5</f>
        <v>3350</v>
      </c>
      <c r="Q288" s="32"/>
      <c r="R288" s="32"/>
      <c r="S288" s="32">
        <f t="shared" ref="S288:S325" si="92">SUM(P288:Q288)</f>
        <v>3350</v>
      </c>
      <c r="T288" s="12"/>
      <c r="U288" s="12"/>
      <c r="V288" s="12"/>
      <c r="W288" s="12">
        <f t="shared" ref="W288:W328" si="93">SUM(S288:V288)</f>
        <v>3350</v>
      </c>
      <c r="Y288" s="10">
        <v>2</v>
      </c>
      <c r="Z288" s="30">
        <v>46205</v>
      </c>
      <c r="AA288" s="31">
        <f>AA287+1</f>
        <v>8920</v>
      </c>
      <c r="AB288" s="32"/>
      <c r="AD288" s="32"/>
      <c r="AE288" s="32">
        <f t="shared" ref="AE288:AE289" si="94">SUM(AB288:AC288)</f>
        <v>0</v>
      </c>
      <c r="AF288" s="12"/>
      <c r="AG288" s="12"/>
      <c r="AI288" s="12">
        <f t="shared" ref="AI288:AI289" si="95">SUM(AE288:AH288)</f>
        <v>0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46205</v>
      </c>
      <c r="C289" s="83">
        <f t="shared" ref="C289:C295" si="96">C288+1</f>
        <v>8800</v>
      </c>
      <c r="D289" s="33">
        <f>650+622+9.5*2</f>
        <v>1291</v>
      </c>
      <c r="E289" s="33"/>
      <c r="F289" s="33"/>
      <c r="G289" s="33">
        <f t="shared" si="90"/>
        <v>1291</v>
      </c>
      <c r="H289" s="34"/>
      <c r="I289" s="34"/>
      <c r="J289" s="34"/>
      <c r="K289" s="34">
        <f t="shared" si="91"/>
        <v>1291</v>
      </c>
      <c r="M289" s="10">
        <v>3</v>
      </c>
      <c r="N289" s="30">
        <v>46205</v>
      </c>
      <c r="O289" s="31">
        <f t="shared" ref="O289:O293" si="97">O288+1</f>
        <v>8980</v>
      </c>
      <c r="P289" s="32">
        <f>650*7+622*3+9.5*10</f>
        <v>6511</v>
      </c>
      <c r="Q289" s="32"/>
      <c r="R289" s="32"/>
      <c r="S289" s="32">
        <f t="shared" si="92"/>
        <v>6511</v>
      </c>
      <c r="T289" s="12"/>
      <c r="U289" s="12"/>
      <c r="V289" s="12"/>
      <c r="W289" s="12">
        <f t="shared" si="93"/>
        <v>6511</v>
      </c>
      <c r="Y289" s="10">
        <v>3</v>
      </c>
      <c r="Z289" s="30">
        <v>46205</v>
      </c>
      <c r="AA289" s="31">
        <f t="shared" ref="AA289:AA292" si="98">AA288+1</f>
        <v>8921</v>
      </c>
      <c r="AB289" s="32">
        <f>184*650+500*2</f>
        <v>120600</v>
      </c>
      <c r="AC289" s="33">
        <f>-184*6</f>
        <v>-1104</v>
      </c>
      <c r="AD289" s="32"/>
      <c r="AE289" s="32">
        <f t="shared" si="94"/>
        <v>119496</v>
      </c>
      <c r="AF289" s="12"/>
      <c r="AG289" s="12">
        <f>252+4.5*114</f>
        <v>765</v>
      </c>
      <c r="AH289" s="12"/>
      <c r="AI289" s="12">
        <f t="shared" si="95"/>
        <v>120261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46205</v>
      </c>
      <c r="C290" s="83">
        <v>8895</v>
      </c>
      <c r="D290" s="32">
        <f>650*3+670+622*2+9.5*5</f>
        <v>3911.5</v>
      </c>
      <c r="E290" s="32"/>
      <c r="F290" s="32"/>
      <c r="G290" s="32">
        <f t="shared" si="90"/>
        <v>3911.5</v>
      </c>
      <c r="H290" s="12"/>
      <c r="I290" s="12"/>
      <c r="J290" s="12"/>
      <c r="K290" s="12">
        <f t="shared" si="91"/>
        <v>3911.5</v>
      </c>
      <c r="M290" s="10">
        <v>4</v>
      </c>
      <c r="N290" s="30">
        <v>46205</v>
      </c>
      <c r="O290" s="31">
        <f t="shared" si="97"/>
        <v>8981</v>
      </c>
      <c r="P290" s="32"/>
      <c r="Q290" s="32"/>
      <c r="R290" s="32"/>
      <c r="S290" s="32">
        <f t="shared" si="92"/>
        <v>0</v>
      </c>
      <c r="T290" s="12"/>
      <c r="U290" s="12"/>
      <c r="V290" s="12"/>
      <c r="W290" s="12">
        <f t="shared" si="93"/>
        <v>0</v>
      </c>
      <c r="Y290" s="10">
        <v>4</v>
      </c>
      <c r="Z290" s="30">
        <v>46205</v>
      </c>
      <c r="AA290" s="31">
        <f t="shared" si="98"/>
        <v>8922</v>
      </c>
      <c r="AB290" s="32">
        <f>650*70+670*6</f>
        <v>49520</v>
      </c>
      <c r="AC290" s="32"/>
      <c r="AD290" s="32"/>
      <c r="AE290" s="32">
        <f>SUM(AB290:AC290)</f>
        <v>49520</v>
      </c>
      <c r="AF290" s="12"/>
      <c r="AG290">
        <f>4.5*7</f>
        <v>31.5</v>
      </c>
      <c r="AH290" s="12">
        <f>-78*9</f>
        <v>-702</v>
      </c>
      <c r="AI290" s="12">
        <f>SUM(AE290:AH290)</f>
        <v>48849.5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46205</v>
      </c>
      <c r="C291" s="83">
        <f t="shared" si="96"/>
        <v>8896</v>
      </c>
      <c r="D291" s="32">
        <f>650*6+670*2+9.5*6+650</f>
        <v>5947</v>
      </c>
      <c r="E291" s="32"/>
      <c r="F291" s="32"/>
      <c r="G291" s="32">
        <f t="shared" si="90"/>
        <v>5947</v>
      </c>
      <c r="H291" s="12"/>
      <c r="I291" s="12"/>
      <c r="J291" s="12"/>
      <c r="K291" s="12">
        <f t="shared" si="91"/>
        <v>5947</v>
      </c>
      <c r="M291" s="10">
        <v>5</v>
      </c>
      <c r="N291" s="30">
        <v>46205</v>
      </c>
      <c r="O291" s="31">
        <f t="shared" si="97"/>
        <v>8982</v>
      </c>
      <c r="P291" s="32">
        <f>650*241+229*8</f>
        <v>158482</v>
      </c>
      <c r="Q291" s="32">
        <f>-241*6</f>
        <v>-1446</v>
      </c>
      <c r="R291" s="32"/>
      <c r="S291" s="32">
        <f t="shared" si="92"/>
        <v>157036</v>
      </c>
      <c r="T291" s="12"/>
      <c r="U291" s="12">
        <v>624</v>
      </c>
      <c r="V291" s="12">
        <f>-17094+-1344+-462</f>
        <v>-18900</v>
      </c>
      <c r="W291" s="12">
        <f t="shared" si="93"/>
        <v>138760</v>
      </c>
      <c r="Y291" s="10">
        <v>5</v>
      </c>
      <c r="Z291" s="30">
        <v>46205</v>
      </c>
      <c r="AA291" s="31">
        <f t="shared" si="98"/>
        <v>8923</v>
      </c>
      <c r="AB291" s="33">
        <f>650*44+622*6+229*2</f>
        <v>32790</v>
      </c>
      <c r="AC291" s="32">
        <f>-50*6</f>
        <v>-300</v>
      </c>
      <c r="AD291" s="32"/>
      <c r="AE291" s="32">
        <f>SUM(AB291:AC291)</f>
        <v>32490</v>
      </c>
      <c r="AF291" s="12"/>
      <c r="AG291" s="12"/>
      <c r="AH291" s="12">
        <v>-2220</v>
      </c>
      <c r="AI291" s="12">
        <f t="shared" ref="AI291:AI319" si="99">SUM(AE291:AH291)</f>
        <v>30270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46205</v>
      </c>
      <c r="C292" s="83">
        <f t="shared" si="96"/>
        <v>8897</v>
      </c>
      <c r="D292" s="32">
        <f>650*26</f>
        <v>16900</v>
      </c>
      <c r="E292" s="32"/>
      <c r="F292" s="32"/>
      <c r="G292" s="32">
        <f t="shared" si="90"/>
        <v>16900</v>
      </c>
      <c r="H292" s="12"/>
      <c r="I292" s="12"/>
      <c r="J292" s="12"/>
      <c r="K292" s="12">
        <f t="shared" si="91"/>
        <v>16900</v>
      </c>
      <c r="M292" s="10">
        <v>6</v>
      </c>
      <c r="N292" s="30">
        <v>46205</v>
      </c>
      <c r="O292" s="31">
        <f t="shared" si="97"/>
        <v>8983</v>
      </c>
      <c r="P292" s="32">
        <f>650*4+670+38</f>
        <v>3308</v>
      </c>
      <c r="Q292" s="32"/>
      <c r="R292" s="32"/>
      <c r="S292" s="32">
        <f t="shared" si="92"/>
        <v>3308</v>
      </c>
      <c r="T292" s="12"/>
      <c r="U292" s="12"/>
      <c r="V292" s="10"/>
      <c r="W292" s="12">
        <f t="shared" si="93"/>
        <v>3308</v>
      </c>
      <c r="Y292" s="10">
        <v>6</v>
      </c>
      <c r="Z292" s="30">
        <v>46205</v>
      </c>
      <c r="AA292" s="31">
        <f t="shared" si="98"/>
        <v>8924</v>
      </c>
      <c r="AB292" s="32">
        <f>650*10</f>
        <v>6500</v>
      </c>
      <c r="AC292" s="32"/>
      <c r="AD292" s="32"/>
      <c r="AE292" s="32">
        <f t="shared" ref="AE292:AE296" si="100">SUM(AB292:AC292)</f>
        <v>6500</v>
      </c>
      <c r="AF292" s="12"/>
      <c r="AG292" s="12"/>
      <c r="AH292" s="10"/>
      <c r="AI292" s="12">
        <f t="shared" si="99"/>
        <v>6500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46205</v>
      </c>
      <c r="C293" s="83">
        <f t="shared" si="96"/>
        <v>8898</v>
      </c>
      <c r="D293" s="32">
        <f>650*18+9.5*12</f>
        <v>11814</v>
      </c>
      <c r="E293" s="32"/>
      <c r="F293" s="32"/>
      <c r="G293" s="32">
        <f t="shared" si="90"/>
        <v>11814</v>
      </c>
      <c r="H293" s="12"/>
      <c r="I293" s="12"/>
      <c r="J293" s="12"/>
      <c r="K293" s="12">
        <f t="shared" si="91"/>
        <v>11814</v>
      </c>
      <c r="M293" s="10">
        <v>7</v>
      </c>
      <c r="N293" s="30">
        <v>46205</v>
      </c>
      <c r="O293" s="31">
        <f t="shared" si="97"/>
        <v>8984</v>
      </c>
      <c r="P293" s="32">
        <f>650*6</f>
        <v>3900</v>
      </c>
      <c r="Q293" s="32"/>
      <c r="R293" s="32"/>
      <c r="S293" s="32">
        <f t="shared" si="92"/>
        <v>3900</v>
      </c>
      <c r="T293" s="12"/>
      <c r="U293" s="12"/>
      <c r="V293" s="12"/>
      <c r="W293" s="12">
        <f t="shared" si="93"/>
        <v>3900</v>
      </c>
      <c r="Y293" s="10">
        <v>7</v>
      </c>
      <c r="Z293" s="30"/>
      <c r="AA293" s="11" t="s">
        <v>27</v>
      </c>
      <c r="AB293" s="32"/>
      <c r="AC293" s="32"/>
      <c r="AD293" s="32"/>
      <c r="AE293" s="32">
        <f t="shared" si="100"/>
        <v>0</v>
      </c>
      <c r="AF293" s="12"/>
      <c r="AG293" s="58"/>
      <c r="AH293" s="12"/>
      <c r="AI293" s="12">
        <f t="shared" si="99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46205</v>
      </c>
      <c r="C294" s="83">
        <f t="shared" si="96"/>
        <v>8899</v>
      </c>
      <c r="D294" s="32">
        <f>650*23+670*2+622*5+912</f>
        <v>20312</v>
      </c>
      <c r="E294" s="32"/>
      <c r="F294" s="32"/>
      <c r="G294" s="32">
        <f t="shared" si="90"/>
        <v>20312</v>
      </c>
      <c r="H294" s="12"/>
      <c r="I294" s="12">
        <v>180</v>
      </c>
      <c r="J294" s="12"/>
      <c r="K294" s="12">
        <f t="shared" si="91"/>
        <v>20492</v>
      </c>
      <c r="M294" s="10">
        <v>8</v>
      </c>
      <c r="N294" s="30"/>
      <c r="O294" s="11" t="s">
        <v>27</v>
      </c>
      <c r="P294" s="32"/>
      <c r="Q294" s="32"/>
      <c r="R294" s="32"/>
      <c r="S294" s="32">
        <f t="shared" si="92"/>
        <v>0</v>
      </c>
      <c r="T294" s="12"/>
      <c r="U294" s="12"/>
      <c r="V294" s="12"/>
      <c r="W294" s="12">
        <f t="shared" si="93"/>
        <v>0</v>
      </c>
      <c r="Y294" s="10">
        <v>8</v>
      </c>
      <c r="Z294" s="30"/>
      <c r="AA294" s="31"/>
      <c r="AB294" s="32"/>
      <c r="AC294" s="32"/>
      <c r="AE294" s="32">
        <f t="shared" si="100"/>
        <v>0</v>
      </c>
      <c r="AF294" s="12"/>
      <c r="AG294" s="12"/>
      <c r="AH294" s="12"/>
      <c r="AI294" s="12">
        <f t="shared" si="99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>
        <v>46205</v>
      </c>
      <c r="C295" s="83">
        <f t="shared" si="96"/>
        <v>8900</v>
      </c>
      <c r="D295" s="32">
        <f>650*60+622*14+872</f>
        <v>48580</v>
      </c>
      <c r="E295" s="32"/>
      <c r="F295" s="32"/>
      <c r="G295" s="32">
        <f t="shared" si="90"/>
        <v>48580</v>
      </c>
      <c r="H295" s="12"/>
      <c r="I295" s="12">
        <f>120+4.5*14</f>
        <v>183</v>
      </c>
      <c r="J295" s="12"/>
      <c r="K295" s="12">
        <f t="shared" si="91"/>
        <v>48763</v>
      </c>
      <c r="M295" s="10">
        <v>9</v>
      </c>
      <c r="N295" s="30"/>
      <c r="O295" s="31"/>
      <c r="P295" s="32"/>
      <c r="Q295" s="32"/>
      <c r="R295" s="32"/>
      <c r="S295" s="32">
        <f t="shared" si="92"/>
        <v>0</v>
      </c>
      <c r="T295" s="12"/>
      <c r="U295" s="12"/>
      <c r="V295" s="12"/>
      <c r="W295" s="12">
        <f t="shared" si="93"/>
        <v>0</v>
      </c>
      <c r="Y295" s="10">
        <v>9</v>
      </c>
      <c r="Z295" s="30"/>
      <c r="AA295" s="31"/>
      <c r="AC295" s="32"/>
      <c r="AD295" s="32"/>
      <c r="AE295" s="32">
        <f t="shared" si="100"/>
        <v>0</v>
      </c>
      <c r="AF295" s="12"/>
      <c r="AH295" s="12"/>
      <c r="AI295" s="12">
        <f t="shared" si="99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>
        <v>46205</v>
      </c>
      <c r="C296" s="83">
        <v>9051</v>
      </c>
      <c r="D296" s="32">
        <f>650*11+9.5*7+650</f>
        <v>7866.5</v>
      </c>
      <c r="E296" s="32"/>
      <c r="F296" s="32"/>
      <c r="G296" s="32">
        <f t="shared" si="90"/>
        <v>7866.5</v>
      </c>
      <c r="H296" s="12"/>
      <c r="I296" s="12"/>
      <c r="J296" s="12">
        <v>-333</v>
      </c>
      <c r="K296" s="12">
        <f t="shared" si="91"/>
        <v>7533.5</v>
      </c>
      <c r="M296" s="10">
        <v>10</v>
      </c>
      <c r="N296" s="30"/>
      <c r="O296" s="31"/>
      <c r="P296" s="32"/>
      <c r="Q296" s="32"/>
      <c r="R296" s="32"/>
      <c r="S296" s="32">
        <f t="shared" si="92"/>
        <v>0</v>
      </c>
      <c r="T296" s="12"/>
      <c r="U296" s="12"/>
      <c r="V296" s="12"/>
      <c r="W296" s="12">
        <f t="shared" si="93"/>
        <v>0</v>
      </c>
      <c r="Y296" s="10">
        <v>10</v>
      </c>
      <c r="Z296" s="30"/>
      <c r="AA296" s="31"/>
      <c r="AB296" s="32"/>
      <c r="AC296" s="32"/>
      <c r="AD296" s="32"/>
      <c r="AE296" s="32">
        <f t="shared" si="100"/>
        <v>0</v>
      </c>
      <c r="AF296" s="12"/>
      <c r="AG296" s="12"/>
      <c r="AH296" s="12"/>
      <c r="AI296" s="12">
        <f t="shared" si="99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/>
      <c r="C297" s="11" t="s">
        <v>27</v>
      </c>
      <c r="D297" s="32"/>
      <c r="E297" s="32"/>
      <c r="F297" s="32"/>
      <c r="G297" s="32">
        <f t="shared" si="90"/>
        <v>0</v>
      </c>
      <c r="H297" s="12"/>
      <c r="I297" s="12"/>
      <c r="J297" s="12"/>
      <c r="K297" s="12">
        <f t="shared" si="91"/>
        <v>0</v>
      </c>
      <c r="M297" s="10">
        <v>11</v>
      </c>
      <c r="N297" s="30"/>
      <c r="O297" s="31"/>
      <c r="P297" s="32"/>
      <c r="Q297" s="32"/>
      <c r="R297" s="32"/>
      <c r="S297" s="32">
        <f t="shared" si="92"/>
        <v>0</v>
      </c>
      <c r="T297" s="12"/>
      <c r="U297" s="12"/>
      <c r="V297" s="12"/>
      <c r="W297" s="12">
        <f t="shared" si="93"/>
        <v>0</v>
      </c>
      <c r="Y297" s="10">
        <v>11</v>
      </c>
      <c r="Z297" s="30"/>
      <c r="AA297" s="31"/>
      <c r="AB297" s="32"/>
      <c r="AC297" s="32"/>
      <c r="AD297" s="32"/>
      <c r="AE297" s="32">
        <f t="shared" ref="AE297:AE325" si="101">SUM(AB297:AC297)</f>
        <v>0</v>
      </c>
      <c r="AF297" s="12"/>
      <c r="AG297" s="12"/>
      <c r="AH297" s="12"/>
      <c r="AI297" s="12">
        <f t="shared" si="99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/>
      <c r="C298" s="57"/>
      <c r="D298" s="32"/>
      <c r="E298" s="32"/>
      <c r="F298" s="32"/>
      <c r="G298" s="32">
        <f t="shared" si="90"/>
        <v>0</v>
      </c>
      <c r="H298" s="12"/>
      <c r="I298" s="12"/>
      <c r="J298" s="10"/>
      <c r="K298" s="12">
        <f t="shared" si="91"/>
        <v>0</v>
      </c>
      <c r="M298" s="10">
        <v>12</v>
      </c>
      <c r="N298" s="30"/>
      <c r="O298" s="31"/>
      <c r="P298" s="32"/>
      <c r="Q298" s="32"/>
      <c r="R298" s="32"/>
      <c r="S298" s="32">
        <f t="shared" si="92"/>
        <v>0</v>
      </c>
      <c r="T298" s="12"/>
      <c r="U298" s="12"/>
      <c r="V298" s="12"/>
      <c r="W298" s="12">
        <f t="shared" si="93"/>
        <v>0</v>
      </c>
      <c r="Y298" s="10">
        <v>12</v>
      </c>
      <c r="Z298" s="30"/>
      <c r="AA298" s="31"/>
      <c r="AB298" s="32"/>
      <c r="AC298" s="32"/>
      <c r="AD298" s="32"/>
      <c r="AE298" s="32">
        <f t="shared" si="101"/>
        <v>0</v>
      </c>
      <c r="AF298" s="12"/>
      <c r="AG298" s="12"/>
      <c r="AH298" s="12"/>
      <c r="AI298" s="12">
        <f t="shared" si="99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83"/>
      <c r="D299" s="32"/>
      <c r="E299" s="32"/>
      <c r="F299" s="32"/>
      <c r="G299" s="32">
        <f t="shared" si="90"/>
        <v>0</v>
      </c>
      <c r="H299" s="12"/>
      <c r="I299" s="12"/>
      <c r="J299" s="12"/>
      <c r="K299" s="12">
        <f t="shared" si="91"/>
        <v>0</v>
      </c>
      <c r="M299" s="10">
        <v>13</v>
      </c>
      <c r="N299" s="30"/>
      <c r="O299" s="31"/>
      <c r="P299" s="32"/>
      <c r="Q299" s="32"/>
      <c r="R299" s="32"/>
      <c r="S299" s="32">
        <f t="shared" si="92"/>
        <v>0</v>
      </c>
      <c r="T299" s="12"/>
      <c r="U299" s="12"/>
      <c r="V299" s="12"/>
      <c r="W299" s="12">
        <f t="shared" si="93"/>
        <v>0</v>
      </c>
      <c r="Y299" s="10">
        <v>13</v>
      </c>
      <c r="Z299" s="30"/>
      <c r="AA299" s="31"/>
      <c r="AB299" s="32"/>
      <c r="AC299" s="32"/>
      <c r="AD299" s="32"/>
      <c r="AE299" s="32">
        <f t="shared" si="101"/>
        <v>0</v>
      </c>
      <c r="AF299" s="12"/>
      <c r="AG299" s="12"/>
      <c r="AH299" s="12"/>
      <c r="AI299" s="12">
        <f t="shared" si="99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83"/>
      <c r="D300" s="32"/>
      <c r="E300" s="32"/>
      <c r="F300" s="32"/>
      <c r="G300" s="32">
        <f t="shared" si="90"/>
        <v>0</v>
      </c>
      <c r="H300" s="12"/>
      <c r="I300" s="12"/>
      <c r="J300" s="12"/>
      <c r="K300" s="12">
        <f t="shared" si="91"/>
        <v>0</v>
      </c>
      <c r="M300" s="10">
        <v>14</v>
      </c>
      <c r="N300" s="30"/>
      <c r="O300" s="31"/>
      <c r="P300" s="32"/>
      <c r="Q300" s="32"/>
      <c r="R300" s="32"/>
      <c r="S300" s="32">
        <f t="shared" si="92"/>
        <v>0</v>
      </c>
      <c r="T300" s="12"/>
      <c r="U300" s="12"/>
      <c r="V300" s="12"/>
      <c r="W300" s="12">
        <f t="shared" si="93"/>
        <v>0</v>
      </c>
      <c r="Y300" s="10">
        <v>14</v>
      </c>
      <c r="Z300" s="30"/>
      <c r="AA300" s="31"/>
      <c r="AB300" s="32"/>
      <c r="AC300" s="32"/>
      <c r="AD300" s="32"/>
      <c r="AE300" s="32">
        <f t="shared" si="101"/>
        <v>0</v>
      </c>
      <c r="AF300" s="12"/>
      <c r="AG300" s="12"/>
      <c r="AH300" s="12"/>
      <c r="AI300" s="12">
        <f t="shared" si="99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83"/>
      <c r="D301" s="32"/>
      <c r="E301" s="32"/>
      <c r="F301" s="32"/>
      <c r="G301" s="32">
        <f t="shared" si="90"/>
        <v>0</v>
      </c>
      <c r="H301" s="12"/>
      <c r="I301" s="12"/>
      <c r="J301" s="12"/>
      <c r="K301" s="12">
        <f t="shared" si="91"/>
        <v>0</v>
      </c>
      <c r="M301" s="10">
        <v>15</v>
      </c>
      <c r="N301" s="30"/>
      <c r="O301" s="31"/>
      <c r="P301" s="32"/>
      <c r="Q301" s="32"/>
      <c r="R301" s="32"/>
      <c r="S301" s="32">
        <f t="shared" si="92"/>
        <v>0</v>
      </c>
      <c r="T301" s="12"/>
      <c r="U301" s="12"/>
      <c r="V301" s="12"/>
      <c r="W301" s="12">
        <f t="shared" si="93"/>
        <v>0</v>
      </c>
      <c r="Y301" s="10">
        <v>15</v>
      </c>
      <c r="Z301" s="30"/>
      <c r="AA301" s="31"/>
      <c r="AB301" s="32"/>
      <c r="AC301" s="32"/>
      <c r="AD301" s="32"/>
      <c r="AE301" s="32">
        <f t="shared" si="101"/>
        <v>0</v>
      </c>
      <c r="AF301" s="12"/>
      <c r="AG301" s="12"/>
      <c r="AH301" s="12"/>
      <c r="AI301" s="12">
        <f t="shared" si="99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57"/>
      <c r="D302" s="32"/>
      <c r="E302" s="32"/>
      <c r="F302" s="32"/>
      <c r="G302" s="32">
        <f t="shared" si="90"/>
        <v>0</v>
      </c>
      <c r="H302" s="12"/>
      <c r="I302" s="12"/>
      <c r="J302" s="12"/>
      <c r="K302" s="12">
        <f t="shared" si="91"/>
        <v>0</v>
      </c>
      <c r="M302" s="10">
        <v>16</v>
      </c>
      <c r="N302" s="30"/>
      <c r="O302" s="31"/>
      <c r="P302" s="32"/>
      <c r="Q302" s="32"/>
      <c r="R302" s="32"/>
      <c r="S302" s="32">
        <f t="shared" si="92"/>
        <v>0</v>
      </c>
      <c r="T302" s="12"/>
      <c r="U302" s="12"/>
      <c r="V302" s="12"/>
      <c r="W302" s="12">
        <f t="shared" si="93"/>
        <v>0</v>
      </c>
      <c r="Y302" s="10">
        <v>16</v>
      </c>
      <c r="Z302" s="30"/>
      <c r="AB302" s="32"/>
      <c r="AC302" s="32"/>
      <c r="AD302" s="32"/>
      <c r="AE302" s="32">
        <f t="shared" si="101"/>
        <v>0</v>
      </c>
      <c r="AF302" s="12"/>
      <c r="AG302" s="12"/>
      <c r="AH302" s="12"/>
      <c r="AI302" s="12">
        <f t="shared" si="99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83"/>
      <c r="D303" s="32"/>
      <c r="E303" s="32"/>
      <c r="F303" s="32"/>
      <c r="G303" s="32">
        <f t="shared" si="90"/>
        <v>0</v>
      </c>
      <c r="H303" s="12"/>
      <c r="I303" s="12"/>
      <c r="J303" s="12"/>
      <c r="K303" s="12">
        <f t="shared" si="91"/>
        <v>0</v>
      </c>
      <c r="M303" s="10">
        <v>17</v>
      </c>
      <c r="N303" s="30"/>
      <c r="O303" s="31"/>
      <c r="P303" s="35"/>
      <c r="Q303" s="32"/>
      <c r="R303" s="32"/>
      <c r="S303" s="32">
        <f t="shared" si="92"/>
        <v>0</v>
      </c>
      <c r="T303" s="12"/>
      <c r="U303" s="12"/>
      <c r="V303" s="12"/>
      <c r="W303" s="12">
        <f t="shared" si="93"/>
        <v>0</v>
      </c>
      <c r="Y303" s="10">
        <v>17</v>
      </c>
      <c r="Z303" s="30"/>
      <c r="AA303" s="31"/>
      <c r="AB303" s="35"/>
      <c r="AC303" s="32"/>
      <c r="AD303" s="32"/>
      <c r="AE303" s="32">
        <f t="shared" si="101"/>
        <v>0</v>
      </c>
      <c r="AF303" s="12"/>
      <c r="AG303" s="12"/>
      <c r="AH303" s="12"/>
      <c r="AI303" s="12">
        <f t="shared" si="99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83"/>
      <c r="D304" s="32"/>
      <c r="E304" s="32"/>
      <c r="F304" s="32"/>
      <c r="G304" s="32">
        <f t="shared" si="90"/>
        <v>0</v>
      </c>
      <c r="H304" s="12"/>
      <c r="I304" s="12"/>
      <c r="J304" s="12"/>
      <c r="K304" s="12">
        <f t="shared" si="91"/>
        <v>0</v>
      </c>
      <c r="M304" s="10">
        <v>18</v>
      </c>
      <c r="N304" s="30"/>
      <c r="O304" s="31"/>
      <c r="P304" s="32"/>
      <c r="Q304" s="32"/>
      <c r="R304" s="32"/>
      <c r="S304" s="32">
        <f t="shared" si="92"/>
        <v>0</v>
      </c>
      <c r="T304" s="12"/>
      <c r="U304" s="12"/>
      <c r="V304" s="12"/>
      <c r="W304" s="12">
        <f t="shared" si="93"/>
        <v>0</v>
      </c>
      <c r="Y304" s="10">
        <v>18</v>
      </c>
      <c r="Z304" s="30"/>
      <c r="AA304" s="31"/>
      <c r="AB304" s="32"/>
      <c r="AC304" s="32"/>
      <c r="AD304" s="32"/>
      <c r="AE304" s="32">
        <f t="shared" si="101"/>
        <v>0</v>
      </c>
      <c r="AF304" s="12"/>
      <c r="AG304" s="12"/>
      <c r="AH304" s="12"/>
      <c r="AI304" s="12">
        <f t="shared" si="99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83"/>
      <c r="D305" s="32"/>
      <c r="E305" s="32"/>
      <c r="F305" s="32"/>
      <c r="G305" s="32">
        <f t="shared" si="90"/>
        <v>0</v>
      </c>
      <c r="H305" s="12"/>
      <c r="I305" s="12"/>
      <c r="J305" s="12"/>
      <c r="K305" s="12">
        <f t="shared" si="91"/>
        <v>0</v>
      </c>
      <c r="M305" s="10">
        <v>19</v>
      </c>
      <c r="N305" s="30"/>
      <c r="O305" s="31"/>
      <c r="P305" s="32"/>
      <c r="Q305" s="32"/>
      <c r="R305" s="32"/>
      <c r="S305" s="32">
        <f t="shared" si="92"/>
        <v>0</v>
      </c>
      <c r="T305" s="12"/>
      <c r="U305" s="12"/>
      <c r="V305" s="12"/>
      <c r="W305" s="12">
        <f t="shared" si="93"/>
        <v>0</v>
      </c>
      <c r="Y305" s="10">
        <v>19</v>
      </c>
      <c r="Z305" s="30"/>
      <c r="AA305" s="31"/>
      <c r="AB305" s="32"/>
      <c r="AC305" s="32"/>
      <c r="AD305" s="32"/>
      <c r="AE305" s="32">
        <f t="shared" si="101"/>
        <v>0</v>
      </c>
      <c r="AF305" s="12"/>
      <c r="AG305" s="12"/>
      <c r="AH305" s="12"/>
      <c r="AI305" s="12">
        <f t="shared" si="99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83"/>
      <c r="D306" s="32"/>
      <c r="E306" s="32"/>
      <c r="F306" s="32"/>
      <c r="G306" s="32">
        <f t="shared" si="90"/>
        <v>0</v>
      </c>
      <c r="H306" s="12"/>
      <c r="I306" s="12"/>
      <c r="J306" s="12"/>
      <c r="K306" s="12">
        <f t="shared" si="91"/>
        <v>0</v>
      </c>
      <c r="M306" s="10">
        <v>20</v>
      </c>
      <c r="N306" s="30"/>
      <c r="O306" s="31"/>
      <c r="P306" s="32"/>
      <c r="Q306" s="32"/>
      <c r="R306" s="32"/>
      <c r="S306" s="32">
        <f t="shared" si="92"/>
        <v>0</v>
      </c>
      <c r="T306" s="12"/>
      <c r="U306" s="12"/>
      <c r="V306" s="12"/>
      <c r="W306" s="12">
        <f t="shared" si="93"/>
        <v>0</v>
      </c>
      <c r="Y306" s="10">
        <v>20</v>
      </c>
      <c r="Z306" s="30"/>
      <c r="AB306" s="32"/>
      <c r="AC306" s="32"/>
      <c r="AD306" s="32"/>
      <c r="AE306" s="32">
        <f t="shared" si="101"/>
        <v>0</v>
      </c>
      <c r="AF306" s="12"/>
      <c r="AG306" s="12"/>
      <c r="AH306" s="12"/>
      <c r="AI306" s="12">
        <f t="shared" si="99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57"/>
      <c r="D307" s="32"/>
      <c r="E307" s="32"/>
      <c r="F307" s="32"/>
      <c r="G307" s="32">
        <f t="shared" si="90"/>
        <v>0</v>
      </c>
      <c r="H307" s="10"/>
      <c r="I307" s="10"/>
      <c r="J307" s="10"/>
      <c r="K307" s="12">
        <f t="shared" si="91"/>
        <v>0</v>
      </c>
      <c r="M307" s="10">
        <v>21</v>
      </c>
      <c r="N307" s="30"/>
      <c r="O307" s="31"/>
      <c r="P307" s="92"/>
      <c r="Q307" s="31"/>
      <c r="R307" s="31"/>
      <c r="S307" s="32">
        <f t="shared" si="92"/>
        <v>0</v>
      </c>
      <c r="T307" s="10"/>
      <c r="U307" s="10"/>
      <c r="V307" s="10"/>
      <c r="W307" s="12">
        <f t="shared" si="93"/>
        <v>0</v>
      </c>
      <c r="Y307" s="10">
        <v>21</v>
      </c>
      <c r="Z307" s="30"/>
      <c r="AA307" s="31"/>
      <c r="AB307" s="46"/>
      <c r="AC307" s="31"/>
      <c r="AD307" s="31"/>
      <c r="AE307" s="32">
        <f t="shared" si="101"/>
        <v>0</v>
      </c>
      <c r="AF307" s="10"/>
      <c r="AG307" s="10"/>
      <c r="AH307" s="10"/>
      <c r="AI307" s="12">
        <f t="shared" si="99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83"/>
      <c r="D308" s="32"/>
      <c r="E308" s="32"/>
      <c r="F308" s="32"/>
      <c r="G308" s="32">
        <f t="shared" si="90"/>
        <v>0</v>
      </c>
      <c r="H308" s="10"/>
      <c r="I308" s="10"/>
      <c r="J308" s="10"/>
      <c r="K308" s="12">
        <f t="shared" si="91"/>
        <v>0</v>
      </c>
      <c r="M308" s="10">
        <v>22</v>
      </c>
      <c r="N308" s="30"/>
      <c r="O308" s="31"/>
      <c r="P308" s="92"/>
      <c r="Q308" s="31"/>
      <c r="R308" s="31"/>
      <c r="S308" s="32">
        <f t="shared" si="92"/>
        <v>0</v>
      </c>
      <c r="T308" s="10"/>
      <c r="U308" s="10"/>
      <c r="V308" s="10"/>
      <c r="W308" s="12">
        <f t="shared" si="93"/>
        <v>0</v>
      </c>
      <c r="Y308" s="10">
        <v>22</v>
      </c>
      <c r="Z308" s="30"/>
      <c r="AA308" s="31"/>
      <c r="AB308" s="45"/>
      <c r="AC308" s="31"/>
      <c r="AD308" s="31"/>
      <c r="AE308" s="32">
        <f t="shared" si="101"/>
        <v>0</v>
      </c>
      <c r="AF308" s="10"/>
      <c r="AG308" s="10"/>
      <c r="AH308" s="10"/>
      <c r="AI308" s="12">
        <f t="shared" si="99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83"/>
      <c r="D309" s="32"/>
      <c r="E309" s="32"/>
      <c r="F309" s="32"/>
      <c r="G309" s="32">
        <f t="shared" si="90"/>
        <v>0</v>
      </c>
      <c r="H309" s="10"/>
      <c r="I309" s="10"/>
      <c r="J309" s="12"/>
      <c r="K309" s="12">
        <f t="shared" si="91"/>
        <v>0</v>
      </c>
      <c r="M309" s="10">
        <v>23</v>
      </c>
      <c r="N309" s="30"/>
      <c r="O309" s="31"/>
      <c r="P309" s="47"/>
      <c r="Q309" s="31"/>
      <c r="S309" s="32">
        <f t="shared" si="92"/>
        <v>0</v>
      </c>
      <c r="T309" s="10"/>
      <c r="U309" s="10"/>
      <c r="V309" s="10"/>
      <c r="W309" s="12">
        <f t="shared" si="93"/>
        <v>0</v>
      </c>
      <c r="Y309" s="10">
        <v>23</v>
      </c>
      <c r="Z309" s="30"/>
      <c r="AA309" s="31"/>
      <c r="AB309" s="47"/>
      <c r="AE309" s="32">
        <f t="shared" si="101"/>
        <v>0</v>
      </c>
      <c r="AF309" s="10"/>
      <c r="AG309" s="10"/>
      <c r="AH309" s="10"/>
      <c r="AI309" s="12">
        <f t="shared" si="99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83"/>
      <c r="D310" s="32"/>
      <c r="E310" s="32"/>
      <c r="F310" s="32"/>
      <c r="G310" s="32">
        <f t="shared" si="90"/>
        <v>0</v>
      </c>
      <c r="H310" s="10"/>
      <c r="I310" s="10"/>
      <c r="J310" s="10"/>
      <c r="K310" s="12">
        <f t="shared" si="91"/>
        <v>0</v>
      </c>
      <c r="M310" s="10">
        <v>24</v>
      </c>
      <c r="N310" s="30"/>
      <c r="P310" s="47"/>
      <c r="Q310" s="31"/>
      <c r="R310" s="31"/>
      <c r="S310" s="32">
        <f t="shared" si="92"/>
        <v>0</v>
      </c>
      <c r="T310" s="10"/>
      <c r="U310" s="10"/>
      <c r="V310" s="10"/>
      <c r="W310" s="12">
        <f t="shared" si="93"/>
        <v>0</v>
      </c>
      <c r="Y310" s="10">
        <v>24</v>
      </c>
      <c r="Z310" s="30"/>
      <c r="AA310" s="31"/>
      <c r="AB310" s="47"/>
      <c r="AC310" s="31"/>
      <c r="AD310" s="31"/>
      <c r="AE310" s="32">
        <f t="shared" si="101"/>
        <v>0</v>
      </c>
      <c r="AF310" s="10"/>
      <c r="AG310" s="10"/>
      <c r="AH310" s="10"/>
      <c r="AI310" s="12">
        <f t="shared" si="99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83"/>
      <c r="D311" s="32"/>
      <c r="E311" s="32"/>
      <c r="F311" s="32"/>
      <c r="G311" s="32">
        <f t="shared" si="90"/>
        <v>0</v>
      </c>
      <c r="H311" s="10"/>
      <c r="I311" s="10"/>
      <c r="J311" s="10"/>
      <c r="K311" s="12">
        <f t="shared" si="91"/>
        <v>0</v>
      </c>
      <c r="M311" s="10">
        <v>25</v>
      </c>
      <c r="N311" s="30"/>
      <c r="O311" s="31"/>
      <c r="P311" s="47"/>
      <c r="Q311" s="31"/>
      <c r="R311" s="31"/>
      <c r="S311" s="32">
        <f t="shared" si="92"/>
        <v>0</v>
      </c>
      <c r="T311" s="10"/>
      <c r="U311" s="10"/>
      <c r="V311" s="10"/>
      <c r="W311" s="12">
        <f t="shared" si="93"/>
        <v>0</v>
      </c>
      <c r="Y311" s="10">
        <v>25</v>
      </c>
      <c r="Z311" s="30"/>
      <c r="AA311" s="31"/>
      <c r="AB311" s="47"/>
      <c r="AC311" s="31"/>
      <c r="AD311" s="31"/>
      <c r="AE311" s="32">
        <f t="shared" si="101"/>
        <v>0</v>
      </c>
      <c r="AF311" s="10"/>
      <c r="AG311" s="10"/>
      <c r="AH311" s="10"/>
      <c r="AI311" s="12">
        <f t="shared" si="99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83"/>
      <c r="D312" s="32"/>
      <c r="E312" s="32"/>
      <c r="F312" s="32"/>
      <c r="G312" s="32">
        <f t="shared" si="90"/>
        <v>0</v>
      </c>
      <c r="H312" s="10"/>
      <c r="I312" s="10"/>
      <c r="J312" s="10"/>
      <c r="K312" s="12">
        <f t="shared" si="91"/>
        <v>0</v>
      </c>
      <c r="M312" s="10">
        <v>26</v>
      </c>
      <c r="N312" s="30"/>
      <c r="P312" s="47"/>
      <c r="Q312" s="31"/>
      <c r="R312" s="31"/>
      <c r="S312" s="32">
        <f t="shared" si="92"/>
        <v>0</v>
      </c>
      <c r="T312" s="10"/>
      <c r="U312" s="10"/>
      <c r="V312" s="10"/>
      <c r="W312" s="12">
        <f t="shared" si="93"/>
        <v>0</v>
      </c>
      <c r="Y312" s="10">
        <v>26</v>
      </c>
      <c r="Z312" s="30"/>
      <c r="AA312" s="31"/>
      <c r="AB312" s="47"/>
      <c r="AC312" s="31"/>
      <c r="AD312" s="31"/>
      <c r="AE312" s="32">
        <f t="shared" si="101"/>
        <v>0</v>
      </c>
      <c r="AF312" s="10"/>
      <c r="AG312" s="10"/>
      <c r="AH312" s="10"/>
      <c r="AI312" s="12">
        <f t="shared" si="99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83"/>
      <c r="D313" s="32"/>
      <c r="E313" s="32"/>
      <c r="F313" s="32"/>
      <c r="G313" s="32">
        <f t="shared" si="90"/>
        <v>0</v>
      </c>
      <c r="H313" s="10"/>
      <c r="I313" s="10"/>
      <c r="J313" s="10"/>
      <c r="K313" s="12">
        <f t="shared" si="91"/>
        <v>0</v>
      </c>
      <c r="M313" s="10">
        <v>27</v>
      </c>
      <c r="N313" s="30"/>
      <c r="O313" s="31"/>
      <c r="P313" s="47"/>
      <c r="Q313" s="31"/>
      <c r="R313" s="31"/>
      <c r="S313" s="32">
        <f t="shared" si="92"/>
        <v>0</v>
      </c>
      <c r="T313" s="10"/>
      <c r="U313" s="10"/>
      <c r="V313" s="10"/>
      <c r="W313" s="12">
        <f t="shared" si="93"/>
        <v>0</v>
      </c>
      <c r="Y313" s="10">
        <v>27</v>
      </c>
      <c r="Z313" s="30"/>
      <c r="AA313" s="31"/>
      <c r="AB313" s="47"/>
      <c r="AC313" s="31"/>
      <c r="AD313" s="31"/>
      <c r="AE313" s="32">
        <f t="shared" si="101"/>
        <v>0</v>
      </c>
      <c r="AF313" s="10"/>
      <c r="AG313" s="10"/>
      <c r="AH313" s="10"/>
      <c r="AI313" s="12">
        <f t="shared" si="99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83"/>
      <c r="D314" s="32"/>
      <c r="E314" s="32"/>
      <c r="F314" s="32"/>
      <c r="G314" s="32">
        <f t="shared" si="90"/>
        <v>0</v>
      </c>
      <c r="H314" s="10"/>
      <c r="I314" s="10"/>
      <c r="J314" s="10"/>
      <c r="K314" s="12">
        <f t="shared" si="91"/>
        <v>0</v>
      </c>
      <c r="M314" s="10">
        <v>28</v>
      </c>
      <c r="N314" s="30"/>
      <c r="O314" s="31"/>
      <c r="P314" s="47"/>
      <c r="Q314" s="31"/>
      <c r="R314" s="31"/>
      <c r="S314" s="32">
        <f t="shared" si="92"/>
        <v>0</v>
      </c>
      <c r="T314" s="10"/>
      <c r="U314" s="10"/>
      <c r="V314" s="10"/>
      <c r="W314" s="12">
        <f t="shared" si="93"/>
        <v>0</v>
      </c>
      <c r="Y314" s="10">
        <v>28</v>
      </c>
      <c r="Z314" s="30"/>
      <c r="AA314" s="31"/>
      <c r="AB314" s="47"/>
      <c r="AC314" s="31"/>
      <c r="AD314" s="31"/>
      <c r="AE314" s="32">
        <f t="shared" si="101"/>
        <v>0</v>
      </c>
      <c r="AF314" s="10"/>
      <c r="AG314" s="10"/>
      <c r="AH314" s="10"/>
      <c r="AI314" s="12">
        <f t="shared" si="99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57"/>
      <c r="D315" s="32"/>
      <c r="E315" s="32"/>
      <c r="F315" s="32"/>
      <c r="G315" s="32">
        <f t="shared" si="90"/>
        <v>0</v>
      </c>
      <c r="H315" s="10"/>
      <c r="I315" s="10"/>
      <c r="J315" s="10"/>
      <c r="K315" s="12">
        <f t="shared" si="91"/>
        <v>0</v>
      </c>
      <c r="M315" s="10">
        <v>29</v>
      </c>
      <c r="N315" s="30"/>
      <c r="O315" s="31"/>
      <c r="P315" s="47"/>
      <c r="Q315" s="31"/>
      <c r="R315" s="31"/>
      <c r="S315" s="32">
        <f t="shared" si="92"/>
        <v>0</v>
      </c>
      <c r="T315" s="10"/>
      <c r="U315" s="10"/>
      <c r="V315" s="10"/>
      <c r="W315" s="12">
        <f t="shared" si="93"/>
        <v>0</v>
      </c>
      <c r="Y315" s="10">
        <v>29</v>
      </c>
      <c r="Z315" s="30"/>
      <c r="AA315" s="31"/>
      <c r="AB315" s="47"/>
      <c r="AC315" s="31"/>
      <c r="AD315" s="31"/>
      <c r="AE315" s="32">
        <f t="shared" si="101"/>
        <v>0</v>
      </c>
      <c r="AF315" s="10"/>
      <c r="AG315" s="10"/>
      <c r="AH315" s="10"/>
      <c r="AI315" s="12">
        <f t="shared" si="99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83"/>
      <c r="D316" s="32"/>
      <c r="E316" s="32"/>
      <c r="F316" s="32"/>
      <c r="G316" s="32">
        <f t="shared" si="90"/>
        <v>0</v>
      </c>
      <c r="H316" s="10"/>
      <c r="I316" s="10"/>
      <c r="J316" s="10"/>
      <c r="K316" s="12">
        <f t="shared" si="91"/>
        <v>0</v>
      </c>
      <c r="M316" s="10">
        <v>30</v>
      </c>
      <c r="N316" s="30"/>
      <c r="P316" s="47"/>
      <c r="Q316" s="31"/>
      <c r="R316" s="31"/>
      <c r="S316" s="32">
        <f t="shared" si="92"/>
        <v>0</v>
      </c>
      <c r="T316" s="10"/>
      <c r="U316" s="10"/>
      <c r="V316" s="10"/>
      <c r="W316" s="12">
        <f t="shared" si="93"/>
        <v>0</v>
      </c>
      <c r="Y316" s="10">
        <v>30</v>
      </c>
      <c r="Z316" s="30"/>
      <c r="AA316" s="31"/>
      <c r="AB316" s="47"/>
      <c r="AC316" s="31"/>
      <c r="AD316" s="31"/>
      <c r="AE316" s="32">
        <f t="shared" si="101"/>
        <v>0</v>
      </c>
      <c r="AF316" s="10"/>
      <c r="AG316" s="10"/>
      <c r="AH316" s="10"/>
      <c r="AI316" s="12">
        <f t="shared" si="99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83"/>
      <c r="D317" s="32"/>
      <c r="E317" s="32"/>
      <c r="F317" s="32"/>
      <c r="G317" s="32">
        <f t="shared" si="90"/>
        <v>0</v>
      </c>
      <c r="H317" s="10"/>
      <c r="I317" s="10"/>
      <c r="J317" s="10"/>
      <c r="K317" s="12">
        <f t="shared" si="91"/>
        <v>0</v>
      </c>
      <c r="M317" s="10">
        <v>31</v>
      </c>
      <c r="N317" s="30"/>
      <c r="O317" s="31"/>
      <c r="P317" s="47"/>
      <c r="Q317" s="31"/>
      <c r="R317" s="31"/>
      <c r="S317" s="32">
        <f t="shared" si="92"/>
        <v>0</v>
      </c>
      <c r="T317" s="10"/>
      <c r="U317" s="10"/>
      <c r="V317" s="10"/>
      <c r="W317" s="12">
        <f t="shared" si="93"/>
        <v>0</v>
      </c>
      <c r="Y317" s="10">
        <v>31</v>
      </c>
      <c r="Z317" s="30"/>
      <c r="AA317" s="31"/>
      <c r="AB317" s="47"/>
      <c r="AC317" s="31"/>
      <c r="AD317" s="31"/>
      <c r="AE317" s="32">
        <f t="shared" si="101"/>
        <v>0</v>
      </c>
      <c r="AF317" s="10"/>
      <c r="AG317" s="10"/>
      <c r="AH317" s="10"/>
      <c r="AI317" s="12">
        <f t="shared" si="99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83"/>
      <c r="D318" s="32"/>
      <c r="E318" s="32"/>
      <c r="F318" s="32"/>
      <c r="G318" s="32">
        <f t="shared" si="90"/>
        <v>0</v>
      </c>
      <c r="H318" s="10"/>
      <c r="I318" s="10"/>
      <c r="J318" s="10"/>
      <c r="K318" s="12">
        <f t="shared" si="91"/>
        <v>0</v>
      </c>
      <c r="M318" s="10">
        <v>32</v>
      </c>
      <c r="N318" s="30"/>
      <c r="O318" s="31"/>
      <c r="P318" s="47"/>
      <c r="Q318" s="31"/>
      <c r="R318" s="31"/>
      <c r="S318" s="32">
        <f t="shared" si="92"/>
        <v>0</v>
      </c>
      <c r="T318" s="10"/>
      <c r="U318" s="10"/>
      <c r="V318" s="10"/>
      <c r="W318" s="12">
        <f t="shared" si="93"/>
        <v>0</v>
      </c>
      <c r="Y318" s="10">
        <v>32</v>
      </c>
      <c r="Z318" s="30"/>
      <c r="AA318" s="31"/>
      <c r="AB318" s="47"/>
      <c r="AC318" s="31"/>
      <c r="AD318" s="31"/>
      <c r="AE318" s="32">
        <f t="shared" si="101"/>
        <v>0</v>
      </c>
      <c r="AF318" s="10"/>
      <c r="AG318" s="10"/>
      <c r="AH318" s="10"/>
      <c r="AI318" s="12">
        <f t="shared" si="99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83"/>
      <c r="D319" s="32"/>
      <c r="E319" s="32"/>
      <c r="F319" s="32"/>
      <c r="G319" s="32">
        <f t="shared" si="90"/>
        <v>0</v>
      </c>
      <c r="H319" s="10"/>
      <c r="I319" s="10"/>
      <c r="J319" s="10"/>
      <c r="K319" s="12">
        <f t="shared" si="91"/>
        <v>0</v>
      </c>
      <c r="M319" s="10">
        <v>33</v>
      </c>
      <c r="N319" s="30"/>
      <c r="O319" s="31"/>
      <c r="P319" s="47"/>
      <c r="Q319" s="31"/>
      <c r="R319" s="31"/>
      <c r="S319" s="32">
        <f t="shared" si="92"/>
        <v>0</v>
      </c>
      <c r="T319" s="10"/>
      <c r="U319" s="10"/>
      <c r="V319" s="10"/>
      <c r="W319" s="12">
        <f t="shared" si="93"/>
        <v>0</v>
      </c>
      <c r="Y319" s="10">
        <v>33</v>
      </c>
      <c r="Z319" s="30"/>
      <c r="AA319" s="31"/>
      <c r="AB319" s="47"/>
      <c r="AC319" s="31"/>
      <c r="AD319" s="31"/>
      <c r="AE319" s="32">
        <f t="shared" si="101"/>
        <v>0</v>
      </c>
      <c r="AF319" s="10"/>
      <c r="AG319" s="10"/>
      <c r="AH319" s="10"/>
      <c r="AI319" s="12">
        <f t="shared" si="99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83"/>
      <c r="D320" s="32"/>
      <c r="E320" s="32"/>
      <c r="F320" s="32"/>
      <c r="G320" s="32">
        <f t="shared" si="90"/>
        <v>0</v>
      </c>
      <c r="H320" s="10"/>
      <c r="I320" s="10"/>
      <c r="J320" s="10"/>
      <c r="K320" s="12">
        <f t="shared" si="91"/>
        <v>0</v>
      </c>
      <c r="M320" s="10">
        <v>34</v>
      </c>
      <c r="N320" s="30"/>
      <c r="O320" s="31"/>
      <c r="P320" s="47"/>
      <c r="Q320" s="31"/>
      <c r="R320" s="31"/>
      <c r="S320" s="32">
        <f t="shared" si="92"/>
        <v>0</v>
      </c>
      <c r="T320" s="10"/>
      <c r="U320" s="10"/>
      <c r="V320" s="10"/>
      <c r="W320" s="12">
        <f t="shared" si="93"/>
        <v>0</v>
      </c>
      <c r="Y320" s="10">
        <v>34</v>
      </c>
      <c r="Z320" s="30"/>
      <c r="AA320" s="31"/>
      <c r="AB320" s="47"/>
      <c r="AC320" s="31"/>
      <c r="AD320" s="31"/>
      <c r="AE320" s="32">
        <f t="shared" si="101"/>
        <v>0</v>
      </c>
      <c r="AF320" s="10"/>
      <c r="AG320" s="10"/>
      <c r="AH320" s="10"/>
      <c r="AI320" s="12">
        <f t="shared" ref="AI320:AI328" si="102">SUM(AE320:AH320)</f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83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92"/>
        <v>0</v>
      </c>
      <c r="T321" s="10"/>
      <c r="U321" s="10"/>
      <c r="V321" s="10"/>
      <c r="W321" s="12">
        <f t="shared" si="93"/>
        <v>0</v>
      </c>
      <c r="Y321" s="10">
        <v>35</v>
      </c>
      <c r="Z321" s="30"/>
      <c r="AA321" s="31"/>
      <c r="AB321" s="47"/>
      <c r="AC321" s="31"/>
      <c r="AD321" s="31"/>
      <c r="AE321" s="32">
        <f t="shared" si="101"/>
        <v>0</v>
      </c>
      <c r="AF321" s="10"/>
      <c r="AG321" s="10"/>
      <c r="AH321" s="10"/>
      <c r="AI321" s="12">
        <f t="shared" si="102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83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92"/>
        <v>0</v>
      </c>
      <c r="T322" s="10"/>
      <c r="U322" s="10"/>
      <c r="V322" s="10"/>
      <c r="W322" s="12">
        <f t="shared" si="93"/>
        <v>0</v>
      </c>
      <c r="Y322" s="10">
        <v>36</v>
      </c>
      <c r="Z322" s="30"/>
      <c r="AA322" s="31"/>
      <c r="AB322" s="47"/>
      <c r="AC322" s="31"/>
      <c r="AD322" s="31"/>
      <c r="AE322" s="32">
        <f t="shared" si="101"/>
        <v>0</v>
      </c>
      <c r="AF322" s="10"/>
      <c r="AG322" s="10"/>
      <c r="AH322" s="10"/>
      <c r="AI322" s="12">
        <f t="shared" si="102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92"/>
        <v>0</v>
      </c>
      <c r="T323" s="10"/>
      <c r="U323" s="10"/>
      <c r="V323" s="10"/>
      <c r="W323" s="12">
        <f t="shared" si="93"/>
        <v>0</v>
      </c>
      <c r="Y323" s="10">
        <v>37</v>
      </c>
      <c r="Z323" s="30"/>
      <c r="AA323" s="31"/>
      <c r="AB323" s="47"/>
      <c r="AC323" s="31"/>
      <c r="AD323" s="31"/>
      <c r="AE323" s="32">
        <f t="shared" si="101"/>
        <v>0</v>
      </c>
      <c r="AF323" s="10"/>
      <c r="AG323" s="10"/>
      <c r="AH323" s="10"/>
      <c r="AI323" s="12">
        <f t="shared" si="102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92"/>
        <v>0</v>
      </c>
      <c r="T324" s="10"/>
      <c r="U324" s="10"/>
      <c r="V324" s="10"/>
      <c r="W324" s="12">
        <f t="shared" si="93"/>
        <v>0</v>
      </c>
      <c r="Y324" s="10">
        <v>38</v>
      </c>
      <c r="Z324" s="30"/>
      <c r="AA324" s="31"/>
      <c r="AB324" s="47"/>
      <c r="AC324" s="31"/>
      <c r="AD324" s="31"/>
      <c r="AE324" s="32">
        <f t="shared" si="101"/>
        <v>0</v>
      </c>
      <c r="AF324" s="10"/>
      <c r="AG324" s="10"/>
      <c r="AH324" s="10"/>
      <c r="AI324" s="12">
        <f t="shared" si="102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92"/>
        <v>0</v>
      </c>
      <c r="T325" s="10"/>
      <c r="U325" s="10"/>
      <c r="V325" s="10"/>
      <c r="W325" s="12">
        <f t="shared" si="93"/>
        <v>0</v>
      </c>
      <c r="Y325" s="10">
        <v>39</v>
      </c>
      <c r="Z325" s="30"/>
      <c r="AA325" s="31"/>
      <c r="AB325" s="47"/>
      <c r="AC325" s="31"/>
      <c r="AD325" s="31"/>
      <c r="AE325" s="32">
        <f t="shared" si="101"/>
        <v>0</v>
      </c>
      <c r="AF325" s="10"/>
      <c r="AG325" s="10"/>
      <c r="AH325" s="10"/>
      <c r="AI325" s="12">
        <f t="shared" si="102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93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102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3">SUM(D327:E327)</f>
        <v>0</v>
      </c>
      <c r="H327" s="10"/>
      <c r="I327" s="10"/>
      <c r="J327" s="10"/>
      <c r="K327" s="12">
        <f t="shared" ref="K327" si="104">SUM(G327:J327)</f>
        <v>0</v>
      </c>
      <c r="M327" s="10"/>
      <c r="N327" s="30"/>
      <c r="O327" s="31"/>
      <c r="P327" s="47"/>
      <c r="Q327" s="31"/>
      <c r="R327" s="31"/>
      <c r="S327" s="32">
        <f t="shared" ref="S327" si="105">SUM(P327:Q327)</f>
        <v>0</v>
      </c>
      <c r="T327" s="10"/>
      <c r="U327" s="10"/>
      <c r="V327" s="10"/>
      <c r="W327" s="12">
        <f t="shared" si="93"/>
        <v>0</v>
      </c>
      <c r="Y327" s="10"/>
      <c r="Z327" s="30"/>
      <c r="AA327" s="31"/>
      <c r="AB327" s="47"/>
      <c r="AC327" s="31"/>
      <c r="AD327" s="31"/>
      <c r="AE327" s="32">
        <f t="shared" ref="AE327" si="106">SUM(AB327:AC327)</f>
        <v>0</v>
      </c>
      <c r="AF327" s="10"/>
      <c r="AG327" s="10"/>
      <c r="AH327" s="10"/>
      <c r="AI327" s="12">
        <f t="shared" si="102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93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102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123829</v>
      </c>
      <c r="E330" s="38">
        <f t="shared" ref="E330:F330" si="107">SUM(E287:E327)</f>
        <v>0</v>
      </c>
      <c r="F330" s="38">
        <f t="shared" si="107"/>
        <v>0</v>
      </c>
      <c r="G330" s="38">
        <f>SUM(G287:G329)</f>
        <v>123829</v>
      </c>
      <c r="H330" s="4"/>
      <c r="I330" s="39">
        <f>SUM(I287:I329)</f>
        <v>363</v>
      </c>
      <c r="J330" s="39">
        <f>SUM(J287:J329)</f>
        <v>-333</v>
      </c>
      <c r="K330" s="40">
        <f>SUM(K287:K329)</f>
        <v>123859</v>
      </c>
      <c r="N330" s="57"/>
      <c r="O330" s="57"/>
      <c r="P330" s="38">
        <f>SUM(P287:P329)</f>
        <v>228338</v>
      </c>
      <c r="Q330" s="38">
        <f>SUM(Q287:Q311)</f>
        <v>-1446</v>
      </c>
      <c r="R330" s="38">
        <f>SUM(R287:R311)</f>
        <v>0</v>
      </c>
      <c r="S330" s="38">
        <f>SUM(S287:S329)</f>
        <v>226892</v>
      </c>
      <c r="T330" s="4"/>
      <c r="U330" s="41">
        <f>SUM(U287:U329)</f>
        <v>813</v>
      </c>
      <c r="V330" s="41">
        <f>SUM(V287:V311)</f>
        <v>-18900</v>
      </c>
      <c r="W330" s="42">
        <f>SUM(W287:W329)</f>
        <v>208805</v>
      </c>
      <c r="Z330" s="57"/>
      <c r="AA330" s="57"/>
      <c r="AB330" s="38">
        <f>SUM(AB287:AB329)</f>
        <v>251039</v>
      </c>
      <c r="AC330" s="38">
        <f>SUM(AC287:AC311)</f>
        <v>-1404</v>
      </c>
      <c r="AD330" s="38">
        <f>SUM(AD287:AD311)</f>
        <v>0</v>
      </c>
      <c r="AE330" s="38">
        <f>SUM(AE287:AE329)</f>
        <v>249635</v>
      </c>
      <c r="AF330" s="4"/>
      <c r="AG330" s="41">
        <f>SUM(AG287:AG329)</f>
        <v>796.5</v>
      </c>
      <c r="AH330" s="41">
        <f>SUM(AH287:AH311)</f>
        <v>-2922</v>
      </c>
      <c r="AI330" s="42">
        <f>SUM(AI287:AI329)</f>
        <v>247509.5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t="s">
        <v>28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4" t="s">
        <v>14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34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34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t="s">
        <v>34</v>
      </c>
      <c r="Z337" s="57"/>
      <c r="AA337" s="57"/>
      <c r="AB337" s="57"/>
      <c r="AC337" s="57"/>
      <c r="AD337" s="57"/>
      <c r="AE337" s="57"/>
      <c r="AG337" s="57" t="s">
        <v>15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16</v>
      </c>
      <c r="J338" s="23" t="s">
        <v>31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33</v>
      </c>
      <c r="W338" s="24"/>
      <c r="Y338" s="21" t="s">
        <v>56</v>
      </c>
      <c r="Z338" s="20"/>
      <c r="AA338" s="57"/>
      <c r="AB338" s="57"/>
      <c r="AC338" s="57"/>
      <c r="AD338" s="57"/>
      <c r="AE338" s="57"/>
      <c r="AG338" s="22" t="s">
        <v>16</v>
      </c>
      <c r="AH338" s="23" t="s">
        <v>35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15" t="s">
        <v>17</v>
      </c>
      <c r="E340" s="115"/>
      <c r="F340" s="93"/>
      <c r="G340" s="27"/>
      <c r="I340" s="113" t="s">
        <v>18</v>
      </c>
      <c r="J340" s="114"/>
      <c r="K340" s="111" t="s">
        <v>19</v>
      </c>
      <c r="N340" s="25"/>
      <c r="O340" s="26"/>
      <c r="P340" s="115" t="s">
        <v>17</v>
      </c>
      <c r="Q340" s="115"/>
      <c r="R340" s="93"/>
      <c r="S340" s="27"/>
      <c r="U340" s="113" t="s">
        <v>18</v>
      </c>
      <c r="V340" s="114"/>
      <c r="W340" s="111" t="s">
        <v>19</v>
      </c>
      <c r="Z340" s="25"/>
      <c r="AA340" s="26"/>
      <c r="AB340" s="115" t="s">
        <v>17</v>
      </c>
      <c r="AC340" s="115"/>
      <c r="AD340" s="93"/>
      <c r="AE340" s="27"/>
      <c r="AG340" s="113" t="s">
        <v>18</v>
      </c>
      <c r="AH340" s="114"/>
      <c r="AI340" s="111" t="s">
        <v>19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7" t="s">
        <v>22</v>
      </c>
      <c r="E341" s="76" t="s">
        <v>23</v>
      </c>
      <c r="F341" s="78" t="s">
        <v>32</v>
      </c>
      <c r="G341" s="78" t="s">
        <v>24</v>
      </c>
      <c r="I341" s="29" t="s">
        <v>25</v>
      </c>
      <c r="J341" s="29" t="s">
        <v>26</v>
      </c>
      <c r="K341" s="112"/>
      <c r="N341" s="28" t="s">
        <v>20</v>
      </c>
      <c r="O341" s="28" t="s">
        <v>21</v>
      </c>
      <c r="P341" s="77" t="s">
        <v>22</v>
      </c>
      <c r="Q341" s="78" t="s">
        <v>23</v>
      </c>
      <c r="R341" s="78" t="s">
        <v>32</v>
      </c>
      <c r="S341" s="78" t="s">
        <v>24</v>
      </c>
      <c r="U341" s="29" t="s">
        <v>25</v>
      </c>
      <c r="V341" s="29" t="s">
        <v>26</v>
      </c>
      <c r="W341" s="112"/>
      <c r="Z341" s="28" t="s">
        <v>20</v>
      </c>
      <c r="AA341" s="28" t="s">
        <v>21</v>
      </c>
      <c r="AB341" s="77" t="s">
        <v>22</v>
      </c>
      <c r="AC341" s="78" t="s">
        <v>23</v>
      </c>
      <c r="AD341" s="78" t="s">
        <v>32</v>
      </c>
      <c r="AE341" s="78" t="s">
        <v>24</v>
      </c>
      <c r="AG341" s="29" t="s">
        <v>25</v>
      </c>
      <c r="AH341" s="29" t="s">
        <v>26</v>
      </c>
      <c r="AI341" s="11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46267</v>
      </c>
      <c r="C342" s="83">
        <v>9053</v>
      </c>
      <c r="D342" s="32">
        <f>650*12+670*2+622+9.5*13</f>
        <v>9885.5</v>
      </c>
      <c r="E342" s="32"/>
      <c r="F342" s="32"/>
      <c r="G342" s="32">
        <f t="shared" ref="G342:G375" si="108">SUM(D342:E342)</f>
        <v>9885.5</v>
      </c>
      <c r="H342" s="12"/>
      <c r="I342" s="12">
        <v>27</v>
      </c>
      <c r="J342" s="12"/>
      <c r="K342" s="12">
        <f t="shared" ref="K342:K375" si="109">SUM(G342:J342)</f>
        <v>9912.5</v>
      </c>
      <c r="M342" s="10">
        <v>1</v>
      </c>
      <c r="N342" s="30">
        <v>46267</v>
      </c>
      <c r="O342" s="31">
        <v>8985</v>
      </c>
      <c r="P342" s="32">
        <f>650*3</f>
        <v>1950</v>
      </c>
      <c r="Q342" s="32"/>
      <c r="R342" s="32"/>
      <c r="S342" s="32">
        <f>SUM(P342:Q342)</f>
        <v>1950</v>
      </c>
      <c r="T342" s="12"/>
      <c r="U342" s="12"/>
      <c r="V342" s="12">
        <v>-777</v>
      </c>
      <c r="W342" s="12">
        <f>SUM(S342:V342)</f>
        <v>1173</v>
      </c>
      <c r="Y342" s="10">
        <v>1</v>
      </c>
      <c r="Z342" s="30">
        <v>46267</v>
      </c>
      <c r="AA342" s="31">
        <v>8925</v>
      </c>
      <c r="AB342" s="32">
        <f>160*650+622*50+229*8</f>
        <v>136932</v>
      </c>
      <c r="AC342" s="32"/>
      <c r="AD342" s="32"/>
      <c r="AE342" s="32">
        <f>SUM(AB342:AC342)</f>
        <v>136932</v>
      </c>
      <c r="AF342" s="12"/>
      <c r="AG342" s="12">
        <f>111*41+4.5*18+144*1.5</f>
        <v>4848</v>
      </c>
      <c r="AH342" s="12">
        <v>-600</v>
      </c>
      <c r="AI342" s="12">
        <f>SUM(AE342:AH342)</f>
        <v>141180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46267</v>
      </c>
      <c r="C343" s="83">
        <f>C342+1</f>
        <v>9054</v>
      </c>
      <c r="D343" s="32">
        <f>650*37+670*3+622*10+229</f>
        <v>32509</v>
      </c>
      <c r="E343" s="32"/>
      <c r="F343" s="32"/>
      <c r="G343" s="32">
        <f t="shared" si="108"/>
        <v>32509</v>
      </c>
      <c r="H343" s="12"/>
      <c r="I343" s="12"/>
      <c r="J343" s="12"/>
      <c r="K343" s="12">
        <f t="shared" si="109"/>
        <v>32509</v>
      </c>
      <c r="M343" s="10">
        <v>2</v>
      </c>
      <c r="N343" s="30">
        <v>46267</v>
      </c>
      <c r="O343" s="31">
        <f>O342+1</f>
        <v>8986</v>
      </c>
      <c r="P343" s="32">
        <f>650*324+622*108+872*2+229*20+650</f>
        <v>284750</v>
      </c>
      <c r="Q343" s="32">
        <f>-434*6</f>
        <v>-2604</v>
      </c>
      <c r="R343" s="32"/>
      <c r="S343" s="32">
        <f t="shared" ref="S343:S380" si="110">SUM(P343:Q343)</f>
        <v>282146</v>
      </c>
      <c r="T343" s="12"/>
      <c r="U343" s="12">
        <f>120+936</f>
        <v>1056</v>
      </c>
      <c r="V343" s="12">
        <v>-672</v>
      </c>
      <c r="W343" s="12">
        <f t="shared" ref="W343:W383" si="111">SUM(S343:V343)</f>
        <v>282530</v>
      </c>
      <c r="Y343" s="10">
        <v>2</v>
      </c>
      <c r="Z343" s="30">
        <v>46267</v>
      </c>
      <c r="AA343" s="31">
        <f>AA342+1</f>
        <v>8926</v>
      </c>
      <c r="AB343" s="32">
        <f>650*40+622*10</f>
        <v>32220</v>
      </c>
      <c r="AD343" s="32"/>
      <c r="AE343" s="32">
        <f t="shared" ref="AE343:AE344" si="112">SUM(AB343:AC343)</f>
        <v>32220</v>
      </c>
      <c r="AF343" s="12"/>
      <c r="AG343" s="12"/>
      <c r="AI343" s="12">
        <f t="shared" ref="AI343:AI344" si="113">SUM(AE343:AH343)</f>
        <v>32220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46267</v>
      </c>
      <c r="C344" s="83">
        <f t="shared" ref="C344:C349" si="114">C343+1</f>
        <v>9055</v>
      </c>
      <c r="D344" s="33">
        <f>650*25+670*3+622*2</f>
        <v>19504</v>
      </c>
      <c r="E344" s="33"/>
      <c r="F344" s="33"/>
      <c r="G344" s="33">
        <f t="shared" si="108"/>
        <v>19504</v>
      </c>
      <c r="H344" s="34"/>
      <c r="I344" s="34"/>
      <c r="J344" s="34"/>
      <c r="K344" s="34">
        <f t="shared" si="109"/>
        <v>19504</v>
      </c>
      <c r="M344" s="10">
        <v>3</v>
      </c>
      <c r="N344" s="30">
        <v>46267</v>
      </c>
      <c r="O344" s="31">
        <f t="shared" ref="O344" si="115">O343+1</f>
        <v>8987</v>
      </c>
      <c r="P344" s="32">
        <f>650*2</f>
        <v>1300</v>
      </c>
      <c r="Q344" s="32"/>
      <c r="R344" s="32"/>
      <c r="S344" s="32">
        <f t="shared" si="110"/>
        <v>1300</v>
      </c>
      <c r="T344" s="12"/>
      <c r="U344" s="12"/>
      <c r="V344" s="12">
        <v>-666</v>
      </c>
      <c r="W344" s="12">
        <f t="shared" si="111"/>
        <v>634</v>
      </c>
      <c r="Y344" s="10">
        <v>3</v>
      </c>
      <c r="Z344" s="30">
        <v>46267</v>
      </c>
      <c r="AA344" s="31">
        <f t="shared" ref="AA344:AA348" si="116">AA343+1</f>
        <v>8927</v>
      </c>
      <c r="AB344" s="32">
        <f>650*55+622*10+229*2</f>
        <v>42428</v>
      </c>
      <c r="AC344" s="33"/>
      <c r="AD344" s="32"/>
      <c r="AE344" s="32">
        <f t="shared" si="112"/>
        <v>42428</v>
      </c>
      <c r="AF344" s="12"/>
      <c r="AG344" s="12">
        <f>1.5*43</f>
        <v>64.5</v>
      </c>
      <c r="AH344" s="12"/>
      <c r="AI344" s="12">
        <f t="shared" si="113"/>
        <v>42492.5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46267</v>
      </c>
      <c r="C345" s="83">
        <f t="shared" si="114"/>
        <v>9056</v>
      </c>
      <c r="D345" s="32">
        <f>650*216+912*10+1050*5+229*9+650*2</f>
        <v>158131</v>
      </c>
      <c r="E345" s="32">
        <f>-231*6</f>
        <v>-1386</v>
      </c>
      <c r="F345" s="32"/>
      <c r="G345" s="32">
        <f t="shared" si="108"/>
        <v>156745</v>
      </c>
      <c r="H345" s="12"/>
      <c r="I345" s="12">
        <f>720+468</f>
        <v>1188</v>
      </c>
      <c r="J345" s="12">
        <f>-6993+-336+-4.5</f>
        <v>-7333.5</v>
      </c>
      <c r="K345" s="12">
        <f t="shared" si="109"/>
        <v>150599.5</v>
      </c>
      <c r="M345" s="10">
        <v>4</v>
      </c>
      <c r="N345" s="30"/>
      <c r="O345" s="11" t="s">
        <v>27</v>
      </c>
      <c r="P345" s="32"/>
      <c r="Q345" s="32"/>
      <c r="R345" s="32"/>
      <c r="S345" s="32">
        <f t="shared" si="110"/>
        <v>0</v>
      </c>
      <c r="T345" s="12"/>
      <c r="U345" s="12"/>
      <c r="V345" s="12"/>
      <c r="W345" s="12">
        <f t="shared" si="111"/>
        <v>0</v>
      </c>
      <c r="Y345" s="10">
        <v>4</v>
      </c>
      <c r="Z345" s="30">
        <v>46267</v>
      </c>
      <c r="AA345" s="31">
        <f t="shared" si="116"/>
        <v>8928</v>
      </c>
      <c r="AB345" s="32">
        <f>650*20+229</f>
        <v>13229</v>
      </c>
      <c r="AC345" s="32"/>
      <c r="AD345" s="32"/>
      <c r="AE345" s="32">
        <f>SUM(AB345:AC345)</f>
        <v>13229</v>
      </c>
      <c r="AF345" s="12"/>
      <c r="AH345" s="12"/>
      <c r="AI345" s="12">
        <f>SUM(AE345:AH345)</f>
        <v>13229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46267</v>
      </c>
      <c r="C346" s="83">
        <f t="shared" si="114"/>
        <v>9057</v>
      </c>
      <c r="D346" s="32">
        <f>650*47+670*3</f>
        <v>32560</v>
      </c>
      <c r="E346" s="32"/>
      <c r="F346" s="32"/>
      <c r="G346" s="32">
        <f t="shared" si="108"/>
        <v>32560</v>
      </c>
      <c r="H346" s="12"/>
      <c r="I346" s="12">
        <v>54</v>
      </c>
      <c r="J346" s="12"/>
      <c r="K346" s="12">
        <f t="shared" si="109"/>
        <v>32614</v>
      </c>
      <c r="M346" s="10">
        <v>5</v>
      </c>
      <c r="N346" s="30"/>
      <c r="O346" s="31"/>
      <c r="P346" s="32"/>
      <c r="Q346" s="32"/>
      <c r="R346" s="32"/>
      <c r="S346" s="32">
        <f t="shared" si="110"/>
        <v>0</v>
      </c>
      <c r="T346" s="12"/>
      <c r="U346" s="12"/>
      <c r="V346" s="12"/>
      <c r="W346" s="12">
        <f t="shared" si="111"/>
        <v>0</v>
      </c>
      <c r="Y346" s="10">
        <v>5</v>
      </c>
      <c r="Z346" s="30">
        <v>46267</v>
      </c>
      <c r="AA346" s="31">
        <f t="shared" si="116"/>
        <v>8929</v>
      </c>
      <c r="AB346" s="33">
        <f>650*30+973*1.5+622*10+229*2</f>
        <v>27637.5</v>
      </c>
      <c r="AC346" s="32"/>
      <c r="AD346" s="32"/>
      <c r="AE346" s="32">
        <f>SUM(AB346:AC346)</f>
        <v>27637.5</v>
      </c>
      <c r="AF346" s="12"/>
      <c r="AG346" s="12"/>
      <c r="AH346" s="12">
        <v>-666</v>
      </c>
      <c r="AI346" s="12">
        <f t="shared" ref="AI346:AI374" si="117">SUM(AE346:AH346)</f>
        <v>26971.5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46267</v>
      </c>
      <c r="C347" s="83">
        <f t="shared" si="114"/>
        <v>9058</v>
      </c>
      <c r="D347" s="32">
        <f>650*10</f>
        <v>6500</v>
      </c>
      <c r="E347" s="32"/>
      <c r="F347" s="32"/>
      <c r="G347" s="32">
        <f t="shared" si="108"/>
        <v>6500</v>
      </c>
      <c r="H347" s="12"/>
      <c r="I347" s="12"/>
      <c r="J347" s="12"/>
      <c r="K347" s="12">
        <f t="shared" si="109"/>
        <v>6500</v>
      </c>
      <c r="M347" s="10">
        <v>6</v>
      </c>
      <c r="N347" s="30"/>
      <c r="O347" s="31"/>
      <c r="P347" s="32"/>
      <c r="Q347" s="32"/>
      <c r="R347" s="32"/>
      <c r="S347" s="32">
        <f t="shared" si="110"/>
        <v>0</v>
      </c>
      <c r="T347" s="12"/>
      <c r="U347" s="12"/>
      <c r="V347" s="10"/>
      <c r="W347" s="12">
        <f t="shared" si="111"/>
        <v>0</v>
      </c>
      <c r="Y347" s="10">
        <v>6</v>
      </c>
      <c r="Z347" s="30">
        <v>46267</v>
      </c>
      <c r="AA347" s="31">
        <f t="shared" si="116"/>
        <v>8930</v>
      </c>
      <c r="AB347" s="32">
        <f>670*10</f>
        <v>6700</v>
      </c>
      <c r="AC347" s="32"/>
      <c r="AD347" s="32"/>
      <c r="AE347" s="32">
        <f t="shared" ref="AE347:AE351" si="118">SUM(AB347:AC347)</f>
        <v>6700</v>
      </c>
      <c r="AF347" s="12"/>
      <c r="AG347" s="12"/>
      <c r="AH347" s="10"/>
      <c r="AI347" s="12">
        <f t="shared" si="117"/>
        <v>6700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>
        <v>46267</v>
      </c>
      <c r="C348" s="83">
        <f t="shared" si="114"/>
        <v>9059</v>
      </c>
      <c r="D348" s="32">
        <f>650+622</f>
        <v>1272</v>
      </c>
      <c r="E348" s="32"/>
      <c r="F348" s="32"/>
      <c r="G348" s="32">
        <f t="shared" si="108"/>
        <v>1272</v>
      </c>
      <c r="H348" s="12"/>
      <c r="I348" s="12"/>
      <c r="J348" s="12"/>
      <c r="K348" s="12">
        <f t="shared" si="109"/>
        <v>1272</v>
      </c>
      <c r="M348" s="10">
        <v>7</v>
      </c>
      <c r="N348" s="30"/>
      <c r="O348" s="31"/>
      <c r="P348" s="32"/>
      <c r="Q348" s="32"/>
      <c r="R348" s="32"/>
      <c r="S348" s="32">
        <f t="shared" si="110"/>
        <v>0</v>
      </c>
      <c r="T348" s="12"/>
      <c r="U348" s="12"/>
      <c r="V348" s="12"/>
      <c r="W348" s="12">
        <f t="shared" si="111"/>
        <v>0</v>
      </c>
      <c r="Y348" s="10">
        <v>7</v>
      </c>
      <c r="Z348" s="30">
        <v>46267</v>
      </c>
      <c r="AA348" s="31">
        <f t="shared" si="116"/>
        <v>8931</v>
      </c>
      <c r="AB348" s="32">
        <f>622*5+912*2</f>
        <v>4934</v>
      </c>
      <c r="AC348" s="32"/>
      <c r="AD348" s="32"/>
      <c r="AE348" s="32">
        <f t="shared" si="118"/>
        <v>4934</v>
      </c>
      <c r="AF348" s="12"/>
      <c r="AG348" s="58"/>
      <c r="AH348" s="12"/>
      <c r="AI348" s="12">
        <f t="shared" si="117"/>
        <v>4934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>
        <v>46267</v>
      </c>
      <c r="C349" s="83">
        <f t="shared" si="114"/>
        <v>9060</v>
      </c>
      <c r="D349" s="32">
        <f>650*2</f>
        <v>1300</v>
      </c>
      <c r="E349" s="32"/>
      <c r="F349" s="32"/>
      <c r="G349" s="32">
        <f t="shared" si="108"/>
        <v>1300</v>
      </c>
      <c r="H349" s="12"/>
      <c r="I349" s="12"/>
      <c r="J349" s="12">
        <v>-333</v>
      </c>
      <c r="K349" s="12">
        <f t="shared" si="109"/>
        <v>967</v>
      </c>
      <c r="M349" s="10">
        <v>8</v>
      </c>
      <c r="N349" s="30"/>
      <c r="P349" s="32"/>
      <c r="Q349" s="32"/>
      <c r="R349" s="32"/>
      <c r="S349" s="32">
        <f t="shared" si="110"/>
        <v>0</v>
      </c>
      <c r="T349" s="12"/>
      <c r="U349" s="12"/>
      <c r="V349" s="12"/>
      <c r="W349" s="12">
        <f t="shared" si="111"/>
        <v>0</v>
      </c>
      <c r="Y349" s="10">
        <v>8</v>
      </c>
      <c r="Z349" s="30"/>
      <c r="AA349" s="11" t="s">
        <v>27</v>
      </c>
      <c r="AB349" s="32"/>
      <c r="AC349" s="32"/>
      <c r="AE349" s="32">
        <f t="shared" si="118"/>
        <v>0</v>
      </c>
      <c r="AF349" s="12"/>
      <c r="AG349" s="12"/>
      <c r="AH349" s="12"/>
      <c r="AI349" s="12">
        <f t="shared" si="117"/>
        <v>0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/>
      <c r="C350" s="11" t="s">
        <v>27</v>
      </c>
      <c r="D350" s="32"/>
      <c r="E350" s="32"/>
      <c r="F350" s="32"/>
      <c r="G350" s="32">
        <f t="shared" si="108"/>
        <v>0</v>
      </c>
      <c r="H350" s="12"/>
      <c r="I350" s="12"/>
      <c r="J350" s="12"/>
      <c r="K350" s="12">
        <f t="shared" si="109"/>
        <v>0</v>
      </c>
      <c r="M350" s="10">
        <v>9</v>
      </c>
      <c r="N350" s="30"/>
      <c r="O350" s="31"/>
      <c r="P350" s="32"/>
      <c r="Q350" s="32"/>
      <c r="R350" s="32"/>
      <c r="S350" s="32">
        <f t="shared" si="110"/>
        <v>0</v>
      </c>
      <c r="T350" s="12"/>
      <c r="U350" s="12"/>
      <c r="V350" s="12"/>
      <c r="W350" s="12">
        <f t="shared" si="111"/>
        <v>0</v>
      </c>
      <c r="Y350" s="10">
        <v>9</v>
      </c>
      <c r="Z350" s="30"/>
      <c r="AA350" s="31"/>
      <c r="AC350" s="32"/>
      <c r="AD350" s="32"/>
      <c r="AE350" s="32">
        <f t="shared" si="118"/>
        <v>0</v>
      </c>
      <c r="AF350" s="12"/>
      <c r="AH350" s="12"/>
      <c r="AI350" s="12">
        <f t="shared" si="117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/>
      <c r="C351" s="83"/>
      <c r="D351" s="32"/>
      <c r="E351" s="32"/>
      <c r="F351" s="32"/>
      <c r="G351" s="32">
        <f t="shared" si="108"/>
        <v>0</v>
      </c>
      <c r="H351" s="12"/>
      <c r="I351" s="12"/>
      <c r="J351" s="12"/>
      <c r="K351" s="12">
        <f t="shared" si="109"/>
        <v>0</v>
      </c>
      <c r="M351" s="10">
        <v>10</v>
      </c>
      <c r="N351" s="30"/>
      <c r="O351" s="31"/>
      <c r="P351" s="32"/>
      <c r="Q351" s="32"/>
      <c r="R351" s="32"/>
      <c r="S351" s="32">
        <f t="shared" si="110"/>
        <v>0</v>
      </c>
      <c r="T351" s="12"/>
      <c r="U351" s="12"/>
      <c r="V351" s="12"/>
      <c r="W351" s="12">
        <f t="shared" si="111"/>
        <v>0</v>
      </c>
      <c r="Y351" s="10">
        <v>10</v>
      </c>
      <c r="Z351" s="30"/>
      <c r="AA351" s="31"/>
      <c r="AB351" s="32"/>
      <c r="AC351" s="32"/>
      <c r="AD351" s="32"/>
      <c r="AE351" s="32">
        <f t="shared" si="118"/>
        <v>0</v>
      </c>
      <c r="AF351" s="12"/>
      <c r="AG351" s="12"/>
      <c r="AH351" s="12"/>
      <c r="AI351" s="12">
        <f t="shared" si="117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/>
      <c r="C352" s="83"/>
      <c r="D352" s="32"/>
      <c r="E352" s="32"/>
      <c r="F352" s="32"/>
      <c r="G352" s="32">
        <f t="shared" si="108"/>
        <v>0</v>
      </c>
      <c r="H352" s="12"/>
      <c r="I352" s="12"/>
      <c r="J352" s="12"/>
      <c r="K352" s="12">
        <f t="shared" si="109"/>
        <v>0</v>
      </c>
      <c r="M352" s="10">
        <v>11</v>
      </c>
      <c r="N352" s="30"/>
      <c r="O352" s="31"/>
      <c r="P352" s="32"/>
      <c r="Q352" s="32"/>
      <c r="R352" s="32"/>
      <c r="S352" s="32">
        <f t="shared" si="110"/>
        <v>0</v>
      </c>
      <c r="T352" s="12"/>
      <c r="U352" s="12"/>
      <c r="V352" s="12"/>
      <c r="W352" s="12">
        <f t="shared" si="111"/>
        <v>0</v>
      </c>
      <c r="Y352" s="10">
        <v>11</v>
      </c>
      <c r="Z352" s="30"/>
      <c r="AA352" s="31"/>
      <c r="AB352" s="32"/>
      <c r="AC352" s="32"/>
      <c r="AD352" s="32"/>
      <c r="AE352" s="32">
        <f t="shared" ref="AE352:AE380" si="119">SUM(AB352:AC352)</f>
        <v>0</v>
      </c>
      <c r="AF352" s="12"/>
      <c r="AG352" s="12"/>
      <c r="AH352" s="12"/>
      <c r="AI352" s="12">
        <f t="shared" si="117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/>
      <c r="C353" s="83"/>
      <c r="D353" s="32"/>
      <c r="E353" s="32"/>
      <c r="F353" s="32"/>
      <c r="G353" s="32">
        <f t="shared" si="108"/>
        <v>0</v>
      </c>
      <c r="H353" s="12"/>
      <c r="I353" s="12"/>
      <c r="J353" s="10"/>
      <c r="K353" s="12">
        <f t="shared" si="109"/>
        <v>0</v>
      </c>
      <c r="M353" s="10">
        <v>12</v>
      </c>
      <c r="N353" s="30"/>
      <c r="O353" s="31"/>
      <c r="P353" s="32"/>
      <c r="Q353" s="32"/>
      <c r="R353" s="32"/>
      <c r="S353" s="32">
        <f t="shared" si="110"/>
        <v>0</v>
      </c>
      <c r="T353" s="12"/>
      <c r="U353" s="12"/>
      <c r="V353" s="12"/>
      <c r="W353" s="12">
        <f t="shared" si="111"/>
        <v>0</v>
      </c>
      <c r="Y353" s="10">
        <v>12</v>
      </c>
      <c r="Z353" s="30"/>
      <c r="AA353" s="31"/>
      <c r="AB353" s="32"/>
      <c r="AC353" s="32"/>
      <c r="AD353" s="32"/>
      <c r="AE353" s="32">
        <f t="shared" si="119"/>
        <v>0</v>
      </c>
      <c r="AF353" s="12"/>
      <c r="AG353" s="12"/>
      <c r="AH353" s="12"/>
      <c r="AI353" s="12">
        <f t="shared" si="117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C354" s="83"/>
      <c r="D354" s="32"/>
      <c r="E354" s="32"/>
      <c r="F354" s="32"/>
      <c r="G354" s="32">
        <f t="shared" si="108"/>
        <v>0</v>
      </c>
      <c r="H354" s="12"/>
      <c r="I354" s="12"/>
      <c r="J354" s="12"/>
      <c r="K354" s="12">
        <f t="shared" si="109"/>
        <v>0</v>
      </c>
      <c r="M354" s="10">
        <v>13</v>
      </c>
      <c r="N354" s="30"/>
      <c r="O354" s="31"/>
      <c r="P354" s="32"/>
      <c r="Q354" s="32"/>
      <c r="R354" s="32"/>
      <c r="S354" s="32">
        <f t="shared" si="110"/>
        <v>0</v>
      </c>
      <c r="T354" s="12"/>
      <c r="U354" s="12"/>
      <c r="V354" s="12"/>
      <c r="W354" s="12">
        <f t="shared" si="111"/>
        <v>0</v>
      </c>
      <c r="Y354" s="10">
        <v>13</v>
      </c>
      <c r="Z354" s="30"/>
      <c r="AA354" s="31"/>
      <c r="AB354" s="32"/>
      <c r="AC354" s="32"/>
      <c r="AD354" s="32"/>
      <c r="AE354" s="32">
        <f t="shared" si="119"/>
        <v>0</v>
      </c>
      <c r="AF354" s="12"/>
      <c r="AG354" s="12"/>
      <c r="AH354" s="12"/>
      <c r="AI354" s="12">
        <f t="shared" si="117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83"/>
      <c r="D355" s="32"/>
      <c r="E355" s="32"/>
      <c r="F355" s="32"/>
      <c r="G355" s="32">
        <f t="shared" si="108"/>
        <v>0</v>
      </c>
      <c r="H355" s="12"/>
      <c r="I355" s="12"/>
      <c r="J355" s="12"/>
      <c r="K355" s="12">
        <f t="shared" si="109"/>
        <v>0</v>
      </c>
      <c r="M355" s="10">
        <v>14</v>
      </c>
      <c r="N355" s="30"/>
      <c r="O355" s="31"/>
      <c r="P355" s="32"/>
      <c r="Q355" s="32"/>
      <c r="R355" s="32"/>
      <c r="S355" s="32">
        <f t="shared" si="110"/>
        <v>0</v>
      </c>
      <c r="T355" s="12"/>
      <c r="U355" s="12"/>
      <c r="V355" s="12"/>
      <c r="W355" s="12">
        <f t="shared" si="111"/>
        <v>0</v>
      </c>
      <c r="Y355" s="10">
        <v>14</v>
      </c>
      <c r="Z355" s="30"/>
      <c r="AA355" s="31"/>
      <c r="AB355" s="32"/>
      <c r="AC355" s="32"/>
      <c r="AD355" s="32"/>
      <c r="AE355" s="32">
        <f t="shared" si="119"/>
        <v>0</v>
      </c>
      <c r="AF355" s="12"/>
      <c r="AG355" s="12"/>
      <c r="AH355" s="12"/>
      <c r="AI355" s="12">
        <f t="shared" si="117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83"/>
      <c r="D356" s="32"/>
      <c r="E356" s="32"/>
      <c r="F356" s="32"/>
      <c r="G356" s="32">
        <f t="shared" si="108"/>
        <v>0</v>
      </c>
      <c r="H356" s="12"/>
      <c r="I356" s="12"/>
      <c r="J356" s="12"/>
      <c r="K356" s="12">
        <f t="shared" si="109"/>
        <v>0</v>
      </c>
      <c r="M356" s="10">
        <v>15</v>
      </c>
      <c r="N356" s="30"/>
      <c r="O356" s="31"/>
      <c r="P356" s="32"/>
      <c r="Q356" s="32"/>
      <c r="R356" s="32"/>
      <c r="S356" s="32">
        <f t="shared" si="110"/>
        <v>0</v>
      </c>
      <c r="T356" s="12"/>
      <c r="U356" s="12"/>
      <c r="V356" s="12"/>
      <c r="W356" s="12">
        <f t="shared" si="111"/>
        <v>0</v>
      </c>
      <c r="Y356" s="10">
        <v>15</v>
      </c>
      <c r="Z356" s="30"/>
      <c r="AA356" s="31"/>
      <c r="AB356" s="32"/>
      <c r="AC356" s="32"/>
      <c r="AD356" s="32"/>
      <c r="AE356" s="32">
        <f t="shared" si="119"/>
        <v>0</v>
      </c>
      <c r="AF356" s="12"/>
      <c r="AG356" s="12"/>
      <c r="AH356" s="12"/>
      <c r="AI356" s="12">
        <f t="shared" si="117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D357" s="32"/>
      <c r="E357" s="32"/>
      <c r="F357" s="32"/>
      <c r="G357" s="32">
        <f t="shared" si="108"/>
        <v>0</v>
      </c>
      <c r="H357" s="12"/>
      <c r="I357" s="12"/>
      <c r="J357" s="12"/>
      <c r="K357" s="12">
        <f t="shared" si="109"/>
        <v>0</v>
      </c>
      <c r="M357" s="10">
        <v>16</v>
      </c>
      <c r="N357" s="30"/>
      <c r="O357" s="31"/>
      <c r="P357" s="32"/>
      <c r="Q357" s="32"/>
      <c r="R357" s="32"/>
      <c r="S357" s="32">
        <f t="shared" si="110"/>
        <v>0</v>
      </c>
      <c r="T357" s="12"/>
      <c r="U357" s="12"/>
      <c r="V357" s="12"/>
      <c r="W357" s="12">
        <f t="shared" si="111"/>
        <v>0</v>
      </c>
      <c r="Y357" s="10">
        <v>16</v>
      </c>
      <c r="Z357" s="30"/>
      <c r="AB357" s="32"/>
      <c r="AC357" s="32"/>
      <c r="AD357" s="32"/>
      <c r="AE357" s="32">
        <f t="shared" si="119"/>
        <v>0</v>
      </c>
      <c r="AF357" s="12"/>
      <c r="AG357" s="12"/>
      <c r="AH357" s="12"/>
      <c r="AI357" s="12">
        <f t="shared" si="117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83"/>
      <c r="D358" s="32"/>
      <c r="E358" s="32"/>
      <c r="F358" s="32"/>
      <c r="G358" s="32">
        <f t="shared" si="108"/>
        <v>0</v>
      </c>
      <c r="H358" s="12"/>
      <c r="I358" s="12"/>
      <c r="J358" s="12"/>
      <c r="K358" s="12">
        <f t="shared" si="109"/>
        <v>0</v>
      </c>
      <c r="M358" s="10">
        <v>17</v>
      </c>
      <c r="N358" s="30"/>
      <c r="O358" s="31"/>
      <c r="P358" s="35"/>
      <c r="Q358" s="32"/>
      <c r="R358" s="32"/>
      <c r="S358" s="32">
        <f t="shared" si="110"/>
        <v>0</v>
      </c>
      <c r="T358" s="12"/>
      <c r="U358" s="12"/>
      <c r="V358" s="12"/>
      <c r="W358" s="12">
        <f t="shared" si="111"/>
        <v>0</v>
      </c>
      <c r="Y358" s="10">
        <v>17</v>
      </c>
      <c r="Z358" s="30"/>
      <c r="AA358" s="31"/>
      <c r="AB358" s="35"/>
      <c r="AC358" s="32"/>
      <c r="AD358" s="32"/>
      <c r="AE358" s="32">
        <f t="shared" si="119"/>
        <v>0</v>
      </c>
      <c r="AF358" s="12"/>
      <c r="AG358" s="12"/>
      <c r="AH358" s="12"/>
      <c r="AI358" s="12">
        <f t="shared" si="117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83"/>
      <c r="D359" s="32"/>
      <c r="E359" s="32"/>
      <c r="F359" s="32"/>
      <c r="G359" s="32">
        <f t="shared" si="108"/>
        <v>0</v>
      </c>
      <c r="H359" s="12"/>
      <c r="I359" s="12"/>
      <c r="J359" s="12"/>
      <c r="K359" s="12">
        <f t="shared" si="109"/>
        <v>0</v>
      </c>
      <c r="M359" s="10">
        <v>18</v>
      </c>
      <c r="N359" s="30"/>
      <c r="O359" s="31"/>
      <c r="P359" s="32"/>
      <c r="Q359" s="32"/>
      <c r="R359" s="32"/>
      <c r="S359" s="32">
        <f t="shared" si="110"/>
        <v>0</v>
      </c>
      <c r="T359" s="12"/>
      <c r="U359" s="12"/>
      <c r="V359" s="12"/>
      <c r="W359" s="12">
        <f t="shared" si="111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19"/>
        <v>0</v>
      </c>
      <c r="AF359" s="12"/>
      <c r="AG359" s="12"/>
      <c r="AH359" s="12"/>
      <c r="AI359" s="12">
        <f t="shared" si="117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83"/>
      <c r="D360" s="32"/>
      <c r="E360" s="32"/>
      <c r="F360" s="32"/>
      <c r="G360" s="32">
        <f t="shared" si="108"/>
        <v>0</v>
      </c>
      <c r="H360" s="12"/>
      <c r="I360" s="12"/>
      <c r="J360" s="12"/>
      <c r="K360" s="12">
        <f t="shared" si="109"/>
        <v>0</v>
      </c>
      <c r="M360" s="10">
        <v>19</v>
      </c>
      <c r="N360" s="30"/>
      <c r="O360" s="31"/>
      <c r="P360" s="32"/>
      <c r="Q360" s="32"/>
      <c r="R360" s="32"/>
      <c r="S360" s="32">
        <f t="shared" si="110"/>
        <v>0</v>
      </c>
      <c r="T360" s="12"/>
      <c r="U360" s="12"/>
      <c r="V360" s="12"/>
      <c r="W360" s="12">
        <f t="shared" si="111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19"/>
        <v>0</v>
      </c>
      <c r="AF360" s="12"/>
      <c r="AG360" s="12"/>
      <c r="AH360" s="12"/>
      <c r="AI360" s="12">
        <f t="shared" si="117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83"/>
      <c r="D361" s="32"/>
      <c r="E361" s="32"/>
      <c r="F361" s="32"/>
      <c r="G361" s="32">
        <f t="shared" si="108"/>
        <v>0</v>
      </c>
      <c r="H361" s="12"/>
      <c r="I361" s="12"/>
      <c r="J361" s="12"/>
      <c r="K361" s="12">
        <f t="shared" si="109"/>
        <v>0</v>
      </c>
      <c r="M361" s="10">
        <v>20</v>
      </c>
      <c r="N361" s="30"/>
      <c r="O361" s="31"/>
      <c r="P361" s="32"/>
      <c r="Q361" s="32"/>
      <c r="R361" s="32"/>
      <c r="S361" s="32">
        <f t="shared" si="110"/>
        <v>0</v>
      </c>
      <c r="T361" s="12"/>
      <c r="U361" s="12"/>
      <c r="V361" s="12"/>
      <c r="W361" s="12">
        <f t="shared" si="111"/>
        <v>0</v>
      </c>
      <c r="Y361" s="10">
        <v>20</v>
      </c>
      <c r="Z361" s="30"/>
      <c r="AB361" s="32"/>
      <c r="AC361" s="32"/>
      <c r="AD361" s="32"/>
      <c r="AE361" s="32">
        <f t="shared" si="119"/>
        <v>0</v>
      </c>
      <c r="AF361" s="12"/>
      <c r="AG361" s="12"/>
      <c r="AH361" s="12"/>
      <c r="AI361" s="12">
        <f t="shared" si="117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57"/>
      <c r="D362" s="32"/>
      <c r="E362" s="32"/>
      <c r="F362" s="32"/>
      <c r="G362" s="32">
        <f t="shared" si="108"/>
        <v>0</v>
      </c>
      <c r="H362" s="10"/>
      <c r="I362" s="10"/>
      <c r="J362" s="10"/>
      <c r="K362" s="12">
        <f t="shared" si="109"/>
        <v>0</v>
      </c>
      <c r="M362" s="10">
        <v>21</v>
      </c>
      <c r="N362" s="30"/>
      <c r="O362" s="31"/>
      <c r="P362" s="92"/>
      <c r="Q362" s="31"/>
      <c r="R362" s="31"/>
      <c r="S362" s="32">
        <f t="shared" si="110"/>
        <v>0</v>
      </c>
      <c r="T362" s="10"/>
      <c r="U362" s="10"/>
      <c r="V362" s="10"/>
      <c r="W362" s="12">
        <f t="shared" si="111"/>
        <v>0</v>
      </c>
      <c r="Y362" s="10">
        <v>21</v>
      </c>
      <c r="Z362" s="30"/>
      <c r="AA362" s="31"/>
      <c r="AB362" s="46"/>
      <c r="AC362" s="31"/>
      <c r="AD362" s="31"/>
      <c r="AE362" s="32">
        <f t="shared" si="119"/>
        <v>0</v>
      </c>
      <c r="AF362" s="10"/>
      <c r="AG362" s="10"/>
      <c r="AH362" s="10"/>
      <c r="AI362" s="12">
        <f t="shared" si="117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83"/>
      <c r="D363" s="32"/>
      <c r="E363" s="32"/>
      <c r="F363" s="32"/>
      <c r="G363" s="32">
        <f t="shared" si="108"/>
        <v>0</v>
      </c>
      <c r="H363" s="10"/>
      <c r="I363" s="10"/>
      <c r="J363" s="10"/>
      <c r="K363" s="12">
        <f t="shared" si="109"/>
        <v>0</v>
      </c>
      <c r="M363" s="10">
        <v>22</v>
      </c>
      <c r="N363" s="30"/>
      <c r="O363" s="31"/>
      <c r="P363" s="92"/>
      <c r="Q363" s="31"/>
      <c r="R363" s="31"/>
      <c r="S363" s="32">
        <f t="shared" si="110"/>
        <v>0</v>
      </c>
      <c r="T363" s="10"/>
      <c r="U363" s="10"/>
      <c r="V363" s="10"/>
      <c r="W363" s="12">
        <f t="shared" si="111"/>
        <v>0</v>
      </c>
      <c r="Y363" s="10">
        <v>22</v>
      </c>
      <c r="Z363" s="30"/>
      <c r="AA363" s="31"/>
      <c r="AB363" s="45"/>
      <c r="AC363" s="31"/>
      <c r="AD363" s="31"/>
      <c r="AE363" s="32">
        <f t="shared" si="119"/>
        <v>0</v>
      </c>
      <c r="AF363" s="10"/>
      <c r="AG363" s="10"/>
      <c r="AH363" s="10"/>
      <c r="AI363" s="12">
        <f t="shared" si="117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83"/>
      <c r="D364" s="32"/>
      <c r="E364" s="32"/>
      <c r="F364" s="32"/>
      <c r="G364" s="32">
        <f t="shared" si="108"/>
        <v>0</v>
      </c>
      <c r="H364" s="10"/>
      <c r="I364" s="10"/>
      <c r="J364" s="12"/>
      <c r="K364" s="12">
        <f t="shared" si="109"/>
        <v>0</v>
      </c>
      <c r="M364" s="10">
        <v>23</v>
      </c>
      <c r="N364" s="30"/>
      <c r="O364" s="31"/>
      <c r="P364" s="47"/>
      <c r="Q364" s="31"/>
      <c r="S364" s="32">
        <f t="shared" si="110"/>
        <v>0</v>
      </c>
      <c r="T364" s="10"/>
      <c r="U364" s="10"/>
      <c r="V364" s="10"/>
      <c r="W364" s="12">
        <f t="shared" si="111"/>
        <v>0</v>
      </c>
      <c r="Y364" s="10">
        <v>23</v>
      </c>
      <c r="Z364" s="30"/>
      <c r="AA364" s="31"/>
      <c r="AB364" s="47"/>
      <c r="AC364" s="31"/>
      <c r="AE364" s="32">
        <f t="shared" si="119"/>
        <v>0</v>
      </c>
      <c r="AF364" s="10"/>
      <c r="AG364" s="10"/>
      <c r="AH364" s="10"/>
      <c r="AI364" s="12">
        <f t="shared" si="117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83"/>
      <c r="D365" s="32"/>
      <c r="E365" s="32"/>
      <c r="F365" s="32"/>
      <c r="G365" s="32">
        <f t="shared" si="108"/>
        <v>0</v>
      </c>
      <c r="H365" s="10"/>
      <c r="I365" s="10"/>
      <c r="J365" s="10"/>
      <c r="K365" s="12">
        <f t="shared" si="109"/>
        <v>0</v>
      </c>
      <c r="M365" s="10">
        <v>24</v>
      </c>
      <c r="N365" s="30"/>
      <c r="P365" s="47"/>
      <c r="Q365" s="31"/>
      <c r="R365" s="31"/>
      <c r="S365" s="32">
        <f t="shared" si="110"/>
        <v>0</v>
      </c>
      <c r="T365" s="10"/>
      <c r="U365" s="10"/>
      <c r="V365" s="10"/>
      <c r="W365" s="12">
        <f t="shared" si="111"/>
        <v>0</v>
      </c>
      <c r="Y365" s="10">
        <v>24</v>
      </c>
      <c r="Z365" s="30"/>
      <c r="AA365" s="31"/>
      <c r="AB365" s="47"/>
      <c r="AC365" s="31"/>
      <c r="AD365" s="31"/>
      <c r="AE365" s="32">
        <f t="shared" si="119"/>
        <v>0</v>
      </c>
      <c r="AF365" s="10"/>
      <c r="AG365" s="10"/>
      <c r="AH365" s="10"/>
      <c r="AI365" s="12">
        <f t="shared" si="117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83"/>
      <c r="D366" s="32"/>
      <c r="E366" s="32"/>
      <c r="F366" s="32"/>
      <c r="G366" s="32">
        <f t="shared" si="108"/>
        <v>0</v>
      </c>
      <c r="H366" s="10"/>
      <c r="I366" s="10"/>
      <c r="J366" s="10"/>
      <c r="K366" s="12">
        <f t="shared" si="109"/>
        <v>0</v>
      </c>
      <c r="M366" s="10">
        <v>25</v>
      </c>
      <c r="N366" s="30"/>
      <c r="O366" s="31"/>
      <c r="P366" s="47"/>
      <c r="Q366" s="31"/>
      <c r="R366" s="31"/>
      <c r="S366" s="32">
        <f t="shared" si="110"/>
        <v>0</v>
      </c>
      <c r="T366" s="10"/>
      <c r="U366" s="10"/>
      <c r="V366" s="10"/>
      <c r="W366" s="12">
        <f t="shared" si="111"/>
        <v>0</v>
      </c>
      <c r="Y366" s="10">
        <v>25</v>
      </c>
      <c r="Z366" s="30"/>
      <c r="AA366" s="31"/>
      <c r="AB366" s="47"/>
      <c r="AC366" s="31"/>
      <c r="AD366" s="31"/>
      <c r="AE366" s="32">
        <f t="shared" si="119"/>
        <v>0</v>
      </c>
      <c r="AF366" s="10"/>
      <c r="AG366" s="10"/>
      <c r="AH366" s="10"/>
      <c r="AI366" s="12">
        <f t="shared" si="117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83"/>
      <c r="D367" s="32"/>
      <c r="E367" s="32"/>
      <c r="F367" s="32"/>
      <c r="G367" s="32">
        <f t="shared" si="108"/>
        <v>0</v>
      </c>
      <c r="H367" s="10"/>
      <c r="I367" s="10"/>
      <c r="J367" s="10"/>
      <c r="K367" s="12">
        <f t="shared" si="109"/>
        <v>0</v>
      </c>
      <c r="M367" s="10">
        <v>26</v>
      </c>
      <c r="N367" s="30"/>
      <c r="P367" s="47"/>
      <c r="Q367" s="31"/>
      <c r="R367" s="31"/>
      <c r="S367" s="32">
        <f t="shared" si="110"/>
        <v>0</v>
      </c>
      <c r="T367" s="10"/>
      <c r="U367" s="10"/>
      <c r="V367" s="10"/>
      <c r="W367" s="12">
        <f t="shared" si="111"/>
        <v>0</v>
      </c>
      <c r="Y367" s="10">
        <v>26</v>
      </c>
      <c r="Z367" s="30"/>
      <c r="AA367" s="31"/>
      <c r="AB367" s="47"/>
      <c r="AC367" s="31"/>
      <c r="AD367" s="31"/>
      <c r="AE367" s="32">
        <f t="shared" si="119"/>
        <v>0</v>
      </c>
      <c r="AF367" s="10"/>
      <c r="AG367" s="10"/>
      <c r="AH367" s="10"/>
      <c r="AI367" s="12">
        <f t="shared" si="117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83"/>
      <c r="D368" s="32"/>
      <c r="E368" s="32"/>
      <c r="F368" s="32"/>
      <c r="G368" s="32">
        <f t="shared" si="108"/>
        <v>0</v>
      </c>
      <c r="H368" s="10"/>
      <c r="I368" s="10"/>
      <c r="J368" s="10"/>
      <c r="K368" s="12">
        <f t="shared" si="109"/>
        <v>0</v>
      </c>
      <c r="M368" s="10">
        <v>27</v>
      </c>
      <c r="N368" s="30"/>
      <c r="O368" s="31"/>
      <c r="P368" s="47"/>
      <c r="Q368" s="31"/>
      <c r="R368" s="31"/>
      <c r="S368" s="32">
        <f t="shared" si="110"/>
        <v>0</v>
      </c>
      <c r="T368" s="10"/>
      <c r="U368" s="10"/>
      <c r="V368" s="10"/>
      <c r="W368" s="12">
        <f t="shared" si="111"/>
        <v>0</v>
      </c>
      <c r="Y368" s="10">
        <v>27</v>
      </c>
      <c r="Z368" s="30"/>
      <c r="AA368" s="31"/>
      <c r="AB368" s="47"/>
      <c r="AC368" s="31"/>
      <c r="AD368" s="31"/>
      <c r="AE368" s="32">
        <f t="shared" si="119"/>
        <v>0</v>
      </c>
      <c r="AF368" s="10"/>
      <c r="AG368" s="10"/>
      <c r="AH368" s="10"/>
      <c r="AI368" s="12">
        <f t="shared" si="117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83"/>
      <c r="D369" s="32"/>
      <c r="E369" s="32"/>
      <c r="F369" s="32"/>
      <c r="G369" s="32">
        <f t="shared" si="108"/>
        <v>0</v>
      </c>
      <c r="H369" s="10"/>
      <c r="I369" s="10"/>
      <c r="J369" s="10"/>
      <c r="K369" s="12">
        <f t="shared" si="109"/>
        <v>0</v>
      </c>
      <c r="M369" s="10">
        <v>28</v>
      </c>
      <c r="N369" s="30"/>
      <c r="O369" s="31"/>
      <c r="P369" s="47"/>
      <c r="Q369" s="31"/>
      <c r="R369" s="31"/>
      <c r="S369" s="32">
        <f t="shared" si="110"/>
        <v>0</v>
      </c>
      <c r="T369" s="10"/>
      <c r="U369" s="10"/>
      <c r="V369" s="10"/>
      <c r="W369" s="12">
        <f t="shared" si="111"/>
        <v>0</v>
      </c>
      <c r="Y369" s="10">
        <v>28</v>
      </c>
      <c r="Z369" s="30"/>
      <c r="AA369" s="31"/>
      <c r="AB369" s="47"/>
      <c r="AC369" s="31"/>
      <c r="AD369" s="31"/>
      <c r="AE369" s="32">
        <f t="shared" si="119"/>
        <v>0</v>
      </c>
      <c r="AF369" s="10"/>
      <c r="AG369" s="10"/>
      <c r="AH369" s="10"/>
      <c r="AI369" s="12">
        <f t="shared" si="117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57"/>
      <c r="D370" s="32"/>
      <c r="E370" s="32"/>
      <c r="F370" s="32"/>
      <c r="G370" s="32">
        <f t="shared" si="108"/>
        <v>0</v>
      </c>
      <c r="H370" s="10"/>
      <c r="I370" s="10"/>
      <c r="J370" s="10"/>
      <c r="K370" s="12">
        <f t="shared" si="109"/>
        <v>0</v>
      </c>
      <c r="M370" s="10">
        <v>29</v>
      </c>
      <c r="N370" s="30"/>
      <c r="O370" s="31"/>
      <c r="P370" s="47"/>
      <c r="Q370" s="31"/>
      <c r="R370" s="31"/>
      <c r="S370" s="32">
        <f t="shared" si="110"/>
        <v>0</v>
      </c>
      <c r="T370" s="10"/>
      <c r="U370" s="10"/>
      <c r="V370" s="10"/>
      <c r="W370" s="12">
        <f t="shared" si="111"/>
        <v>0</v>
      </c>
      <c r="Y370" s="10">
        <v>29</v>
      </c>
      <c r="Z370" s="30"/>
      <c r="AA370" s="31"/>
      <c r="AB370" s="47"/>
      <c r="AC370" s="31"/>
      <c r="AD370" s="31"/>
      <c r="AE370" s="32">
        <f t="shared" si="119"/>
        <v>0</v>
      </c>
      <c r="AF370" s="10"/>
      <c r="AG370" s="10"/>
      <c r="AH370" s="10"/>
      <c r="AI370" s="12">
        <f t="shared" si="117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83"/>
      <c r="D371" s="32"/>
      <c r="E371" s="32"/>
      <c r="F371" s="32"/>
      <c r="G371" s="32">
        <f t="shared" si="108"/>
        <v>0</v>
      </c>
      <c r="H371" s="10"/>
      <c r="I371" s="10"/>
      <c r="J371" s="10"/>
      <c r="K371" s="12">
        <f t="shared" si="109"/>
        <v>0</v>
      </c>
      <c r="M371" s="10">
        <v>30</v>
      </c>
      <c r="N371" s="30"/>
      <c r="P371" s="47"/>
      <c r="Q371" s="31"/>
      <c r="R371" s="31"/>
      <c r="S371" s="32">
        <f t="shared" si="110"/>
        <v>0</v>
      </c>
      <c r="T371" s="10"/>
      <c r="U371" s="10"/>
      <c r="V371" s="10"/>
      <c r="W371" s="12">
        <f t="shared" si="111"/>
        <v>0</v>
      </c>
      <c r="Y371" s="10">
        <v>30</v>
      </c>
      <c r="Z371" s="30"/>
      <c r="AA371" s="31"/>
      <c r="AB371" s="47"/>
      <c r="AC371" s="31"/>
      <c r="AD371" s="31"/>
      <c r="AE371" s="32">
        <f t="shared" si="119"/>
        <v>0</v>
      </c>
      <c r="AF371" s="10"/>
      <c r="AG371" s="10"/>
      <c r="AH371" s="10"/>
      <c r="AI371" s="12">
        <f t="shared" si="117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83"/>
      <c r="D372" s="32"/>
      <c r="E372" s="32"/>
      <c r="F372" s="32"/>
      <c r="G372" s="32">
        <f t="shared" si="108"/>
        <v>0</v>
      </c>
      <c r="H372" s="10"/>
      <c r="I372" s="10"/>
      <c r="J372" s="10"/>
      <c r="K372" s="12">
        <f t="shared" si="109"/>
        <v>0</v>
      </c>
      <c r="M372" s="10">
        <v>31</v>
      </c>
      <c r="N372" s="30"/>
      <c r="O372" s="31"/>
      <c r="P372" s="47"/>
      <c r="Q372" s="31"/>
      <c r="R372" s="31"/>
      <c r="S372" s="32">
        <f t="shared" si="110"/>
        <v>0</v>
      </c>
      <c r="T372" s="10"/>
      <c r="U372" s="10"/>
      <c r="V372" s="10"/>
      <c r="W372" s="12">
        <f t="shared" si="111"/>
        <v>0</v>
      </c>
      <c r="Y372" s="10">
        <v>31</v>
      </c>
      <c r="Z372" s="30"/>
      <c r="AA372" s="31"/>
      <c r="AB372" s="47"/>
      <c r="AC372" s="31"/>
      <c r="AD372" s="31"/>
      <c r="AE372" s="32">
        <f t="shared" si="119"/>
        <v>0</v>
      </c>
      <c r="AF372" s="10"/>
      <c r="AG372" s="10"/>
      <c r="AH372" s="10"/>
      <c r="AI372" s="12">
        <f t="shared" si="117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83"/>
      <c r="D373" s="32"/>
      <c r="E373" s="32"/>
      <c r="F373" s="32"/>
      <c r="G373" s="32">
        <f t="shared" si="108"/>
        <v>0</v>
      </c>
      <c r="H373" s="10"/>
      <c r="I373" s="10"/>
      <c r="J373" s="10"/>
      <c r="K373" s="12">
        <f t="shared" si="109"/>
        <v>0</v>
      </c>
      <c r="M373" s="10">
        <v>32</v>
      </c>
      <c r="N373" s="30"/>
      <c r="O373" s="31"/>
      <c r="P373" s="47"/>
      <c r="Q373" s="31"/>
      <c r="R373" s="31"/>
      <c r="S373" s="32">
        <f t="shared" si="110"/>
        <v>0</v>
      </c>
      <c r="T373" s="10"/>
      <c r="U373" s="10"/>
      <c r="V373" s="10"/>
      <c r="W373" s="12">
        <f t="shared" si="111"/>
        <v>0</v>
      </c>
      <c r="Y373" s="10">
        <v>32</v>
      </c>
      <c r="Z373" s="30"/>
      <c r="AA373" s="31"/>
      <c r="AB373" s="47"/>
      <c r="AC373" s="31"/>
      <c r="AD373" s="31"/>
      <c r="AE373" s="32">
        <f t="shared" si="119"/>
        <v>0</v>
      </c>
      <c r="AF373" s="10"/>
      <c r="AG373" s="10"/>
      <c r="AH373" s="10"/>
      <c r="AI373" s="12">
        <f t="shared" si="117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83"/>
      <c r="D374" s="32"/>
      <c r="E374" s="32"/>
      <c r="F374" s="32"/>
      <c r="G374" s="32">
        <f t="shared" si="108"/>
        <v>0</v>
      </c>
      <c r="H374" s="10"/>
      <c r="I374" s="10"/>
      <c r="J374" s="10"/>
      <c r="K374" s="12">
        <f t="shared" si="109"/>
        <v>0</v>
      </c>
      <c r="M374" s="10">
        <v>33</v>
      </c>
      <c r="N374" s="30"/>
      <c r="O374" s="31"/>
      <c r="P374" s="47"/>
      <c r="Q374" s="31"/>
      <c r="R374" s="31"/>
      <c r="S374" s="32">
        <f t="shared" si="110"/>
        <v>0</v>
      </c>
      <c r="T374" s="10"/>
      <c r="U374" s="10"/>
      <c r="V374" s="10"/>
      <c r="W374" s="12">
        <f t="shared" si="111"/>
        <v>0</v>
      </c>
      <c r="Y374" s="10">
        <v>33</v>
      </c>
      <c r="Z374" s="30"/>
      <c r="AA374" s="31"/>
      <c r="AB374" s="47"/>
      <c r="AC374" s="31"/>
      <c r="AD374" s="31"/>
      <c r="AE374" s="32">
        <f t="shared" si="119"/>
        <v>0</v>
      </c>
      <c r="AF374" s="10"/>
      <c r="AG374" s="10"/>
      <c r="AH374" s="10"/>
      <c r="AI374" s="12">
        <f t="shared" si="117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83"/>
      <c r="D375" s="32"/>
      <c r="E375" s="32"/>
      <c r="F375" s="32"/>
      <c r="G375" s="32">
        <f t="shared" si="108"/>
        <v>0</v>
      </c>
      <c r="H375" s="10"/>
      <c r="I375" s="10"/>
      <c r="J375" s="10"/>
      <c r="K375" s="12">
        <f t="shared" si="109"/>
        <v>0</v>
      </c>
      <c r="M375" s="10">
        <v>34</v>
      </c>
      <c r="N375" s="30"/>
      <c r="O375" s="31"/>
      <c r="P375" s="47"/>
      <c r="Q375" s="31"/>
      <c r="R375" s="31"/>
      <c r="S375" s="32">
        <f t="shared" si="110"/>
        <v>0</v>
      </c>
      <c r="T375" s="10"/>
      <c r="U375" s="10"/>
      <c r="V375" s="10"/>
      <c r="W375" s="12">
        <f t="shared" si="111"/>
        <v>0</v>
      </c>
      <c r="Y375" s="10">
        <v>34</v>
      </c>
      <c r="Z375" s="30"/>
      <c r="AA375" s="31"/>
      <c r="AB375" s="47"/>
      <c r="AC375" s="31"/>
      <c r="AD375" s="31"/>
      <c r="AE375" s="32">
        <f t="shared" si="119"/>
        <v>0</v>
      </c>
      <c r="AF375" s="10"/>
      <c r="AG375" s="10"/>
      <c r="AH375" s="10"/>
      <c r="AI375" s="12">
        <f t="shared" ref="AI375:AI383" si="120">SUM(AE375:AH375)</f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83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10"/>
        <v>0</v>
      </c>
      <c r="T376" s="10"/>
      <c r="U376" s="10"/>
      <c r="V376" s="10"/>
      <c r="W376" s="12">
        <f t="shared" si="111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19"/>
        <v>0</v>
      </c>
      <c r="AF376" s="10"/>
      <c r="AG376" s="10"/>
      <c r="AH376" s="10"/>
      <c r="AI376" s="12">
        <f t="shared" si="120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83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10"/>
        <v>0</v>
      </c>
      <c r="T377" s="10"/>
      <c r="U377" s="10"/>
      <c r="V377" s="10"/>
      <c r="W377" s="12">
        <f t="shared" si="111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19"/>
        <v>0</v>
      </c>
      <c r="AF377" s="10"/>
      <c r="AG377" s="10"/>
      <c r="AH377" s="10"/>
      <c r="AI377" s="12">
        <f t="shared" si="120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10"/>
        <v>0</v>
      </c>
      <c r="T378" s="10"/>
      <c r="U378" s="10"/>
      <c r="V378" s="10"/>
      <c r="W378" s="12">
        <f t="shared" si="111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19"/>
        <v>0</v>
      </c>
      <c r="AF378" s="10"/>
      <c r="AG378" s="10"/>
      <c r="AH378" s="10"/>
      <c r="AI378" s="12">
        <f t="shared" si="120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10"/>
        <v>0</v>
      </c>
      <c r="T379" s="10"/>
      <c r="U379" s="10"/>
      <c r="V379" s="10"/>
      <c r="W379" s="12">
        <f t="shared" si="111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19"/>
        <v>0</v>
      </c>
      <c r="AF379" s="10"/>
      <c r="AG379" s="10"/>
      <c r="AH379" s="10"/>
      <c r="AI379" s="12">
        <f t="shared" si="120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10"/>
        <v>0</v>
      </c>
      <c r="T380" s="10"/>
      <c r="U380" s="10"/>
      <c r="V380" s="10"/>
      <c r="W380" s="12">
        <f t="shared" si="111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19"/>
        <v>0</v>
      </c>
      <c r="AF380" s="10"/>
      <c r="AG380" s="10"/>
      <c r="AH380" s="10"/>
      <c r="AI380" s="12">
        <f t="shared" si="120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11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120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21">SUM(D382:E382)</f>
        <v>0</v>
      </c>
      <c r="H382" s="10"/>
      <c r="I382" s="10"/>
      <c r="J382" s="10"/>
      <c r="K382" s="12">
        <f t="shared" ref="K382" si="122">SUM(G382:J382)</f>
        <v>0</v>
      </c>
      <c r="M382" s="10"/>
      <c r="N382" s="30"/>
      <c r="O382" s="31"/>
      <c r="P382" s="47"/>
      <c r="Q382" s="31"/>
      <c r="R382" s="31"/>
      <c r="S382" s="32">
        <f t="shared" ref="S382" si="123">SUM(P382:Q382)</f>
        <v>0</v>
      </c>
      <c r="T382" s="10"/>
      <c r="U382" s="10"/>
      <c r="V382" s="10"/>
      <c r="W382" s="12">
        <f t="shared" si="111"/>
        <v>0</v>
      </c>
      <c r="Y382" s="10"/>
      <c r="Z382" s="30"/>
      <c r="AA382" s="31"/>
      <c r="AB382" s="47"/>
      <c r="AC382" s="31"/>
      <c r="AD382" s="31"/>
      <c r="AE382" s="32">
        <f t="shared" ref="AE382" si="124">SUM(AB382:AC382)</f>
        <v>0</v>
      </c>
      <c r="AF382" s="10"/>
      <c r="AG382" s="10"/>
      <c r="AH382" s="10"/>
      <c r="AI382" s="12">
        <f t="shared" si="120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11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120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261661.5</v>
      </c>
      <c r="E385" s="38">
        <f t="shared" ref="E385:F385" si="125">SUM(E342:E382)</f>
        <v>-1386</v>
      </c>
      <c r="F385" s="38">
        <f t="shared" si="125"/>
        <v>0</v>
      </c>
      <c r="G385" s="38">
        <f>SUM(G342:G384)</f>
        <v>260275.5</v>
      </c>
      <c r="H385" s="4"/>
      <c r="I385" s="39">
        <f>SUM(I342:I384)</f>
        <v>1269</v>
      </c>
      <c r="J385" s="39">
        <f>SUM(J342:J384)</f>
        <v>-7666.5</v>
      </c>
      <c r="K385" s="40">
        <f>SUM(K342:K384)</f>
        <v>253878</v>
      </c>
      <c r="N385" s="57"/>
      <c r="O385" s="57"/>
      <c r="P385" s="38">
        <f>SUM(P342:P384)</f>
        <v>288000</v>
      </c>
      <c r="Q385" s="38">
        <f>SUM(Q342:Q366)</f>
        <v>-2604</v>
      </c>
      <c r="R385" s="38">
        <f>SUM(R342:R366)</f>
        <v>0</v>
      </c>
      <c r="S385" s="38">
        <f>SUM(S342:S384)</f>
        <v>285396</v>
      </c>
      <c r="T385" s="4"/>
      <c r="U385" s="41">
        <f>SUM(U342:U384)</f>
        <v>1056</v>
      </c>
      <c r="V385" s="41">
        <f>SUM(V342:V366)</f>
        <v>-2115</v>
      </c>
      <c r="W385" s="42">
        <f>SUM(W342:W384)</f>
        <v>284337</v>
      </c>
      <c r="Z385" s="57"/>
      <c r="AA385" s="57"/>
      <c r="AB385" s="38">
        <f>SUM(AB342:AB384)</f>
        <v>264080.5</v>
      </c>
      <c r="AC385" s="38">
        <f>SUM(AC342:AC366)</f>
        <v>0</v>
      </c>
      <c r="AD385" s="38">
        <f>SUM(AD342:AD366)</f>
        <v>0</v>
      </c>
      <c r="AE385" s="38">
        <f>SUM(AE342:AE384)</f>
        <v>264080.5</v>
      </c>
      <c r="AF385" s="4"/>
      <c r="AG385" s="41">
        <f>SUM(AG342:AG384)</f>
        <v>4912.5</v>
      </c>
      <c r="AH385" s="41">
        <f>SUM(AH342:AH366)</f>
        <v>-1266</v>
      </c>
      <c r="AI385" s="42">
        <f>SUM(AI342:AI384)</f>
        <v>267727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28</v>
      </c>
      <c r="B388" s="57"/>
      <c r="C388" s="57"/>
      <c r="D388" s="57"/>
      <c r="E388" s="57"/>
      <c r="G388" s="57"/>
      <c r="M388" t="s">
        <v>28</v>
      </c>
      <c r="N388" s="57"/>
      <c r="O388" s="57"/>
      <c r="P388" s="57"/>
      <c r="Q388" s="57"/>
      <c r="R388" s="57"/>
      <c r="S388" s="57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14</v>
      </c>
      <c r="B390" s="57"/>
      <c r="C390" s="57"/>
      <c r="D390" s="57"/>
      <c r="E390" s="57"/>
      <c r="G390" s="57"/>
      <c r="M390" s="4" t="s">
        <v>14</v>
      </c>
      <c r="N390" s="57"/>
      <c r="O390" s="57"/>
      <c r="P390" s="57"/>
      <c r="Q390" s="57"/>
      <c r="R390" s="57"/>
      <c r="S390" s="57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39</v>
      </c>
      <c r="B392" s="57"/>
      <c r="C392" s="57"/>
      <c r="D392" s="57"/>
      <c r="E392" s="57"/>
      <c r="G392" s="57"/>
      <c r="I392" s="57" t="s">
        <v>15</v>
      </c>
      <c r="J392" s="19">
        <v>1</v>
      </c>
      <c r="M392" t="s">
        <v>39</v>
      </c>
      <c r="N392" s="57"/>
      <c r="O392" s="57"/>
      <c r="P392" s="57"/>
      <c r="Q392" s="57"/>
      <c r="R392" s="57"/>
      <c r="S392" s="57"/>
      <c r="U392" s="57" t="s">
        <v>15</v>
      </c>
      <c r="V392" s="19">
        <v>2</v>
      </c>
      <c r="Y392" t="s">
        <v>39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58</v>
      </c>
      <c r="B393" s="20"/>
      <c r="C393" s="57"/>
      <c r="D393" s="57"/>
      <c r="E393" s="57"/>
      <c r="G393" s="57"/>
      <c r="I393" s="22" t="s">
        <v>16</v>
      </c>
      <c r="J393" s="23" t="s">
        <v>31</v>
      </c>
      <c r="K393" s="24"/>
      <c r="M393" s="21" t="s">
        <v>58</v>
      </c>
      <c r="N393" s="20"/>
      <c r="O393" s="57"/>
      <c r="P393" s="57"/>
      <c r="Q393" s="57"/>
      <c r="R393" s="57"/>
      <c r="S393" s="57"/>
      <c r="U393" s="22" t="s">
        <v>16</v>
      </c>
      <c r="V393" s="23" t="s">
        <v>33</v>
      </c>
      <c r="W393" s="24"/>
      <c r="Y393" s="21" t="s">
        <v>58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35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15" t="s">
        <v>17</v>
      </c>
      <c r="E395" s="115"/>
      <c r="F395" s="94"/>
      <c r="G395" s="27"/>
      <c r="I395" s="113" t="s">
        <v>18</v>
      </c>
      <c r="J395" s="114"/>
      <c r="K395" s="111" t="s">
        <v>19</v>
      </c>
      <c r="N395" s="25"/>
      <c r="O395" s="26"/>
      <c r="P395" s="115" t="s">
        <v>17</v>
      </c>
      <c r="Q395" s="115"/>
      <c r="R395" s="94"/>
      <c r="S395" s="27"/>
      <c r="U395" s="113" t="s">
        <v>18</v>
      </c>
      <c r="V395" s="114"/>
      <c r="W395" s="111" t="s">
        <v>19</v>
      </c>
      <c r="Z395" s="25"/>
      <c r="AA395" s="26"/>
      <c r="AB395" s="115" t="s">
        <v>17</v>
      </c>
      <c r="AC395" s="115"/>
      <c r="AD395" s="94"/>
      <c r="AE395" s="27"/>
      <c r="AG395" s="113" t="s">
        <v>18</v>
      </c>
      <c r="AH395" s="114"/>
      <c r="AI395" s="111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20</v>
      </c>
      <c r="C396" s="28" t="s">
        <v>21</v>
      </c>
      <c r="D396" s="77" t="s">
        <v>22</v>
      </c>
      <c r="E396" s="76" t="s">
        <v>23</v>
      </c>
      <c r="F396" s="78" t="s">
        <v>32</v>
      </c>
      <c r="G396" s="78" t="s">
        <v>24</v>
      </c>
      <c r="I396" s="29" t="s">
        <v>25</v>
      </c>
      <c r="J396" s="29" t="s">
        <v>26</v>
      </c>
      <c r="K396" s="112"/>
      <c r="N396" s="28" t="s">
        <v>20</v>
      </c>
      <c r="O396" s="28" t="s">
        <v>21</v>
      </c>
      <c r="P396" s="77" t="s">
        <v>22</v>
      </c>
      <c r="Q396" s="78" t="s">
        <v>23</v>
      </c>
      <c r="R396" s="78" t="s">
        <v>32</v>
      </c>
      <c r="S396" s="78" t="s">
        <v>24</v>
      </c>
      <c r="U396" s="29" t="s">
        <v>25</v>
      </c>
      <c r="V396" s="29" t="s">
        <v>26</v>
      </c>
      <c r="W396" s="112"/>
      <c r="Z396" s="28" t="s">
        <v>20</v>
      </c>
      <c r="AA396" s="28" t="s">
        <v>21</v>
      </c>
      <c r="AB396" s="77" t="s">
        <v>22</v>
      </c>
      <c r="AC396" s="78" t="s">
        <v>23</v>
      </c>
      <c r="AD396" s="78" t="s">
        <v>32</v>
      </c>
      <c r="AE396" s="78" t="s">
        <v>24</v>
      </c>
      <c r="AG396" s="29" t="s">
        <v>25</v>
      </c>
      <c r="AH396" s="29" t="s">
        <v>26</v>
      </c>
      <c r="AI396" s="11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46297</v>
      </c>
      <c r="C397" s="83">
        <v>9061</v>
      </c>
      <c r="D397" s="32">
        <f>650*27+622*10+229</f>
        <v>23999</v>
      </c>
      <c r="E397" s="32"/>
      <c r="F397" s="32"/>
      <c r="G397" s="32">
        <f t="shared" ref="G397:G430" si="126">SUM(D397:E397)</f>
        <v>23999</v>
      </c>
      <c r="H397" s="12"/>
      <c r="I397" s="12"/>
      <c r="J397" s="12"/>
      <c r="K397" s="12">
        <f t="shared" ref="K397:K430" si="127">SUM(G397:J397)</f>
        <v>23999</v>
      </c>
      <c r="M397" s="10">
        <v>1</v>
      </c>
      <c r="N397" s="30">
        <v>46297</v>
      </c>
      <c r="O397" s="31">
        <v>9001</v>
      </c>
      <c r="P397" s="32">
        <f>650*12+9.5*12</f>
        <v>7914</v>
      </c>
      <c r="Q397" s="32"/>
      <c r="R397" s="32"/>
      <c r="S397" s="32">
        <f>SUM(P397:Q397)</f>
        <v>7914</v>
      </c>
      <c r="T397" s="12"/>
      <c r="U397" s="12"/>
      <c r="V397" s="12">
        <v>-333</v>
      </c>
      <c r="W397" s="12">
        <f>SUM(S397:V397)</f>
        <v>7581</v>
      </c>
      <c r="Y397" s="10">
        <v>1</v>
      </c>
      <c r="Z397" s="30">
        <v>46297</v>
      </c>
      <c r="AA397" s="31">
        <v>8932</v>
      </c>
      <c r="AB397" s="32">
        <f>650*300+670*35+973*10+912*10+872*5+700*10+650*10</f>
        <v>255160</v>
      </c>
      <c r="AC397" s="32"/>
      <c r="AD397" s="32"/>
      <c r="AE397" s="32">
        <f>SUM(AB397:AC397)</f>
        <v>255160</v>
      </c>
      <c r="AF397" s="12"/>
      <c r="AG397" s="12">
        <f>345*111+120*25</f>
        <v>41295</v>
      </c>
      <c r="AH397" s="12">
        <f>-360+-5772+-4788+-21168</f>
        <v>-32088</v>
      </c>
      <c r="AI397" s="12">
        <f>SUM(AE397:AH397)</f>
        <v>264367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46297</v>
      </c>
      <c r="C398" s="83">
        <f>C397+1</f>
        <v>9062</v>
      </c>
      <c r="D398" s="32">
        <f>650*8+670</f>
        <v>5870</v>
      </c>
      <c r="E398" s="32"/>
      <c r="F398" s="32"/>
      <c r="G398" s="32">
        <f t="shared" si="126"/>
        <v>5870</v>
      </c>
      <c r="H398" s="12"/>
      <c r="I398" s="12"/>
      <c r="J398" s="12"/>
      <c r="K398" s="12">
        <f t="shared" si="127"/>
        <v>5870</v>
      </c>
      <c r="M398" s="10">
        <v>2</v>
      </c>
      <c r="N398" s="30">
        <v>46297</v>
      </c>
      <c r="O398" s="31">
        <f>O397+1</f>
        <v>9002</v>
      </c>
      <c r="P398" s="32">
        <f>650*4+229</f>
        <v>2829</v>
      </c>
      <c r="Q398" s="32"/>
      <c r="R398" s="32"/>
      <c r="S398" s="32">
        <f t="shared" ref="S398:S435" si="128">SUM(P398:Q398)</f>
        <v>2829</v>
      </c>
      <c r="T398" s="12"/>
      <c r="U398" s="12"/>
      <c r="V398" s="12"/>
      <c r="W398" s="12">
        <f t="shared" ref="W398:W438" si="129">SUM(S398:V398)</f>
        <v>2829</v>
      </c>
      <c r="Y398" s="10">
        <v>2</v>
      </c>
      <c r="Z398" s="30">
        <v>46297</v>
      </c>
      <c r="AA398" s="31">
        <f>AA397+1</f>
        <v>8933</v>
      </c>
      <c r="AB398" s="32">
        <f>650*20</f>
        <v>13000</v>
      </c>
      <c r="AD398" s="32"/>
      <c r="AE398" s="32">
        <f t="shared" ref="AE398:AE399" si="130">SUM(AB398:AC398)</f>
        <v>13000</v>
      </c>
      <c r="AF398" s="12"/>
      <c r="AG398" s="12"/>
      <c r="AH398">
        <v>-3330</v>
      </c>
      <c r="AI398" s="12">
        <f t="shared" ref="AI398:AI399" si="131">SUM(AE398:AH398)</f>
        <v>9670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46297</v>
      </c>
      <c r="C399" s="83">
        <f t="shared" ref="C399:C403" si="132">C398+1</f>
        <v>9063</v>
      </c>
      <c r="D399" s="33">
        <f>650*5+670+622</f>
        <v>4542</v>
      </c>
      <c r="E399" s="33"/>
      <c r="F399" s="33"/>
      <c r="G399" s="33">
        <f t="shared" si="126"/>
        <v>4542</v>
      </c>
      <c r="H399" s="34"/>
      <c r="I399" s="34"/>
      <c r="J399" s="34"/>
      <c r="K399" s="34">
        <f t="shared" si="127"/>
        <v>4542</v>
      </c>
      <c r="M399" s="10">
        <v>3</v>
      </c>
      <c r="N399" s="30">
        <v>46297</v>
      </c>
      <c r="O399" s="31">
        <f t="shared" ref="O399:O409" si="133">O398+1</f>
        <v>9003</v>
      </c>
      <c r="P399" s="32">
        <f>650*2</f>
        <v>1300</v>
      </c>
      <c r="Q399" s="32"/>
      <c r="R399" s="32"/>
      <c r="S399" s="32">
        <f t="shared" si="128"/>
        <v>1300</v>
      </c>
      <c r="T399" s="12"/>
      <c r="U399" s="12">
        <f>111+9</f>
        <v>120</v>
      </c>
      <c r="V399" s="12"/>
      <c r="W399" s="12">
        <f t="shared" si="129"/>
        <v>1420</v>
      </c>
      <c r="Y399" s="10">
        <v>3</v>
      </c>
      <c r="Z399" s="30">
        <v>46297</v>
      </c>
      <c r="AA399" s="31">
        <f t="shared" ref="AA399" si="134">AA398+1</f>
        <v>8934</v>
      </c>
      <c r="AB399" s="32">
        <f>650*7</f>
        <v>4550</v>
      </c>
      <c r="AC399" s="33"/>
      <c r="AD399" s="32"/>
      <c r="AE399" s="32">
        <f t="shared" si="130"/>
        <v>4550</v>
      </c>
      <c r="AF399" s="12"/>
      <c r="AG399" s="12"/>
      <c r="AH399" s="12">
        <v>-1443</v>
      </c>
      <c r="AI399" s="12">
        <f t="shared" si="131"/>
        <v>3107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46297</v>
      </c>
      <c r="C400" s="83">
        <f t="shared" si="132"/>
        <v>9064</v>
      </c>
      <c r="D400" s="32">
        <f>650*108</f>
        <v>70200</v>
      </c>
      <c r="E400" s="32"/>
      <c r="F400" s="32"/>
      <c r="G400" s="32">
        <f t="shared" si="126"/>
        <v>70200</v>
      </c>
      <c r="H400" s="12"/>
      <c r="I400" s="12"/>
      <c r="J400" s="12">
        <v>-234</v>
      </c>
      <c r="K400" s="12">
        <f t="shared" si="127"/>
        <v>69966</v>
      </c>
      <c r="M400" s="10">
        <v>4</v>
      </c>
      <c r="N400" s="30">
        <v>46297</v>
      </c>
      <c r="O400" s="31">
        <f t="shared" si="133"/>
        <v>9004</v>
      </c>
      <c r="P400" s="32">
        <f>650*3+9.5*3</f>
        <v>1978.5</v>
      </c>
      <c r="Q400" s="32"/>
      <c r="R400" s="32"/>
      <c r="S400" s="32">
        <f t="shared" si="128"/>
        <v>1978.5</v>
      </c>
      <c r="T400" s="12"/>
      <c r="U400" s="12"/>
      <c r="V400" s="12">
        <v>-111</v>
      </c>
      <c r="W400" s="12">
        <f t="shared" si="129"/>
        <v>1867.5</v>
      </c>
      <c r="Y400" s="10">
        <v>4</v>
      </c>
      <c r="Z400" s="30"/>
      <c r="AA400" s="11" t="s">
        <v>27</v>
      </c>
      <c r="AB400" s="32"/>
      <c r="AC400" s="32"/>
      <c r="AD400" s="32"/>
      <c r="AE400" s="32">
        <f>SUM(AB400:AC400)</f>
        <v>0</v>
      </c>
      <c r="AF400" s="12"/>
      <c r="AH400" s="12"/>
      <c r="AI400" s="12">
        <f>SUM(AE400:AH400)</f>
        <v>0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46297</v>
      </c>
      <c r="C401" s="83">
        <f t="shared" si="132"/>
        <v>9065</v>
      </c>
      <c r="D401" s="32">
        <f>650*10+670+229+650</f>
        <v>8049</v>
      </c>
      <c r="E401" s="32"/>
      <c r="F401" s="32"/>
      <c r="G401" s="32">
        <f t="shared" si="126"/>
        <v>8049</v>
      </c>
      <c r="H401" s="12"/>
      <c r="I401" s="12"/>
      <c r="J401" s="12"/>
      <c r="K401" s="12">
        <f t="shared" si="127"/>
        <v>8049</v>
      </c>
      <c r="M401" s="10">
        <v>5</v>
      </c>
      <c r="N401" s="30">
        <v>46297</v>
      </c>
      <c r="O401" s="31">
        <f t="shared" si="133"/>
        <v>9005</v>
      </c>
      <c r="P401" s="32">
        <f>650*2+9.5*2</f>
        <v>1319</v>
      </c>
      <c r="Q401" s="32"/>
      <c r="R401" s="32"/>
      <c r="S401" s="32">
        <f t="shared" si="128"/>
        <v>1319</v>
      </c>
      <c r="T401" s="12"/>
      <c r="U401" s="12"/>
      <c r="V401" s="12"/>
      <c r="W401" s="12">
        <f t="shared" si="129"/>
        <v>1319</v>
      </c>
      <c r="Y401" s="10">
        <v>5</v>
      </c>
      <c r="Z401" s="30"/>
      <c r="AA401" s="31"/>
      <c r="AB401" s="33"/>
      <c r="AC401" s="32"/>
      <c r="AD401" s="32"/>
      <c r="AE401" s="32">
        <f>SUM(AB401:AC401)</f>
        <v>0</v>
      </c>
      <c r="AF401" s="12"/>
      <c r="AG401" s="12"/>
      <c r="AH401" s="12"/>
      <c r="AI401" s="12">
        <f t="shared" ref="AI401:AI438" si="135">SUM(AE401:AH401)</f>
        <v>0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46297</v>
      </c>
      <c r="C402" s="83">
        <f t="shared" si="132"/>
        <v>9066</v>
      </c>
      <c r="D402" s="32">
        <f>650*65+622*10</f>
        <v>48470</v>
      </c>
      <c r="E402" s="32"/>
      <c r="F402" s="32"/>
      <c r="G402" s="32">
        <f t="shared" si="126"/>
        <v>48470</v>
      </c>
      <c r="H402" s="12"/>
      <c r="I402" s="12"/>
      <c r="J402" s="12"/>
      <c r="K402" s="12">
        <f t="shared" si="127"/>
        <v>48470</v>
      </c>
      <c r="M402" s="10">
        <v>6</v>
      </c>
      <c r="N402" s="30">
        <v>46297</v>
      </c>
      <c r="O402" s="31">
        <f t="shared" si="133"/>
        <v>9006</v>
      </c>
      <c r="P402" s="32">
        <f>650*3+670+9.5*3</f>
        <v>2648.5</v>
      </c>
      <c r="Q402" s="32"/>
      <c r="R402" s="32"/>
      <c r="S402" s="32">
        <f t="shared" si="128"/>
        <v>2648.5</v>
      </c>
      <c r="T402" s="12"/>
      <c r="U402" s="12"/>
      <c r="V402" s="10">
        <v>-333</v>
      </c>
      <c r="W402" s="12">
        <f t="shared" si="129"/>
        <v>2315.5</v>
      </c>
      <c r="Y402" s="10">
        <v>6</v>
      </c>
      <c r="Z402" s="30"/>
      <c r="AA402" s="31"/>
      <c r="AB402" s="32"/>
      <c r="AC402" s="32"/>
      <c r="AD402" s="32"/>
      <c r="AE402" s="32">
        <f t="shared" ref="AE402:AE435" si="136">SUM(AB402:AC402)</f>
        <v>0</v>
      </c>
      <c r="AF402" s="12"/>
      <c r="AG402" s="12"/>
      <c r="AH402" s="10"/>
      <c r="AI402" s="12">
        <f t="shared" si="135"/>
        <v>0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>
        <v>46297</v>
      </c>
      <c r="C403" s="83">
        <f t="shared" si="132"/>
        <v>9067</v>
      </c>
      <c r="D403" s="32">
        <f>650*6+670+622*4</f>
        <v>7058</v>
      </c>
      <c r="E403" s="32"/>
      <c r="F403" s="32"/>
      <c r="G403" s="32">
        <f t="shared" si="126"/>
        <v>7058</v>
      </c>
      <c r="H403" s="12"/>
      <c r="I403" s="12"/>
      <c r="J403" s="12">
        <v>-222</v>
      </c>
      <c r="K403" s="12">
        <f t="shared" si="127"/>
        <v>6836</v>
      </c>
      <c r="M403" s="10">
        <v>7</v>
      </c>
      <c r="N403" s="30">
        <v>46297</v>
      </c>
      <c r="O403" s="31">
        <f t="shared" si="133"/>
        <v>9007</v>
      </c>
      <c r="P403" s="32">
        <f>650*10+9.5*10</f>
        <v>6595</v>
      </c>
      <c r="Q403" s="32"/>
      <c r="R403" s="32"/>
      <c r="S403" s="32">
        <f t="shared" si="128"/>
        <v>6595</v>
      </c>
      <c r="T403" s="12"/>
      <c r="U403" s="12">
        <f>555+27</f>
        <v>582</v>
      </c>
      <c r="V403" s="12"/>
      <c r="W403" s="12">
        <f t="shared" si="129"/>
        <v>7177</v>
      </c>
      <c r="Y403" s="10">
        <v>7</v>
      </c>
      <c r="Z403" s="30"/>
      <c r="AA403" s="31"/>
      <c r="AB403" s="32"/>
      <c r="AC403" s="32"/>
      <c r="AD403" s="32"/>
      <c r="AE403" s="32">
        <f t="shared" si="136"/>
        <v>0</v>
      </c>
      <c r="AF403" s="12"/>
      <c r="AG403" s="58"/>
      <c r="AH403" s="12"/>
      <c r="AI403" s="12">
        <f t="shared" si="135"/>
        <v>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/>
      <c r="C404" s="11" t="s">
        <v>27</v>
      </c>
      <c r="D404" s="32"/>
      <c r="E404" s="32"/>
      <c r="F404" s="32"/>
      <c r="G404" s="32">
        <f t="shared" si="126"/>
        <v>0</v>
      </c>
      <c r="H404" s="12"/>
      <c r="I404" s="12"/>
      <c r="J404" s="12"/>
      <c r="K404" s="12">
        <f t="shared" si="127"/>
        <v>0</v>
      </c>
      <c r="M404" s="10">
        <v>8</v>
      </c>
      <c r="N404" s="30">
        <v>46297</v>
      </c>
      <c r="O404" s="31">
        <f t="shared" si="133"/>
        <v>9008</v>
      </c>
      <c r="P404" s="32">
        <f>650*10+872+9.5*10</f>
        <v>7467</v>
      </c>
      <c r="Q404" s="32"/>
      <c r="R404" s="32"/>
      <c r="S404" s="32">
        <f t="shared" si="128"/>
        <v>7467</v>
      </c>
      <c r="T404" s="12"/>
      <c r="U404" s="12"/>
      <c r="V404" s="12">
        <v>-444</v>
      </c>
      <c r="W404" s="12">
        <f t="shared" si="129"/>
        <v>7023</v>
      </c>
      <c r="Y404" s="10">
        <v>8</v>
      </c>
      <c r="Z404" s="30"/>
      <c r="AB404" s="32"/>
      <c r="AC404" s="32"/>
      <c r="AE404" s="32">
        <f t="shared" si="136"/>
        <v>0</v>
      </c>
      <c r="AF404" s="12"/>
      <c r="AG404" s="12"/>
      <c r="AH404" s="12"/>
      <c r="AI404" s="12">
        <f t="shared" si="135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/>
      <c r="C405" s="83"/>
      <c r="D405" s="32"/>
      <c r="E405" s="32"/>
      <c r="F405" s="32"/>
      <c r="G405" s="32">
        <f t="shared" si="126"/>
        <v>0</v>
      </c>
      <c r="H405" s="12"/>
      <c r="I405" s="12"/>
      <c r="J405" s="12"/>
      <c r="K405" s="12">
        <f t="shared" si="127"/>
        <v>0</v>
      </c>
      <c r="M405" s="10">
        <v>9</v>
      </c>
      <c r="N405" s="30">
        <v>46297</v>
      </c>
      <c r="O405" s="31">
        <f t="shared" si="133"/>
        <v>9009</v>
      </c>
      <c r="P405" s="32">
        <f>650*16+670+9.5*16</f>
        <v>11222</v>
      </c>
      <c r="Q405" s="32"/>
      <c r="R405" s="32"/>
      <c r="S405" s="32">
        <f t="shared" si="128"/>
        <v>11222</v>
      </c>
      <c r="T405" s="12"/>
      <c r="U405" s="12"/>
      <c r="V405" s="12">
        <v>-777</v>
      </c>
      <c r="W405" s="12">
        <f t="shared" si="129"/>
        <v>10445</v>
      </c>
      <c r="Y405" s="10">
        <v>9</v>
      </c>
      <c r="Z405" s="30"/>
      <c r="AA405" s="31"/>
      <c r="AC405" s="32"/>
      <c r="AD405" s="32"/>
      <c r="AE405" s="32">
        <f t="shared" si="136"/>
        <v>0</v>
      </c>
      <c r="AF405" s="12"/>
      <c r="AH405" s="12"/>
      <c r="AI405" s="12">
        <f t="shared" si="135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/>
      <c r="C406" s="83"/>
      <c r="D406" s="32"/>
      <c r="E406" s="32"/>
      <c r="F406" s="32"/>
      <c r="G406" s="32">
        <f t="shared" si="126"/>
        <v>0</v>
      </c>
      <c r="H406" s="12"/>
      <c r="I406" s="12"/>
      <c r="J406" s="12"/>
      <c r="K406" s="12">
        <f t="shared" si="127"/>
        <v>0</v>
      </c>
      <c r="M406" s="10">
        <v>10</v>
      </c>
      <c r="N406" s="30">
        <v>46297</v>
      </c>
      <c r="O406" s="31">
        <f t="shared" si="133"/>
        <v>9010</v>
      </c>
      <c r="P406" s="32">
        <f>650*2+670+9.5*2</f>
        <v>1989</v>
      </c>
      <c r="Q406" s="32"/>
      <c r="R406" s="32"/>
      <c r="S406" s="32">
        <f t="shared" si="128"/>
        <v>1989</v>
      </c>
      <c r="T406" s="12"/>
      <c r="U406" s="12"/>
      <c r="V406" s="12"/>
      <c r="W406" s="12">
        <f t="shared" si="129"/>
        <v>1989</v>
      </c>
      <c r="Y406" s="10">
        <v>10</v>
      </c>
      <c r="Z406" s="30"/>
      <c r="AA406" s="31"/>
      <c r="AB406" s="32"/>
      <c r="AC406" s="32"/>
      <c r="AD406" s="32"/>
      <c r="AE406" s="32">
        <f t="shared" si="136"/>
        <v>0</v>
      </c>
      <c r="AF406" s="12"/>
      <c r="AG406" s="12"/>
      <c r="AH406" s="12"/>
      <c r="AI406" s="12">
        <f t="shared" si="135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/>
      <c r="D407" s="32"/>
      <c r="E407" s="32"/>
      <c r="F407" s="32"/>
      <c r="G407" s="32">
        <f t="shared" si="126"/>
        <v>0</v>
      </c>
      <c r="H407" s="12"/>
      <c r="I407" s="12"/>
      <c r="J407" s="12"/>
      <c r="K407" s="12">
        <f t="shared" si="127"/>
        <v>0</v>
      </c>
      <c r="M407" s="10">
        <v>11</v>
      </c>
      <c r="N407" s="30">
        <v>46297</v>
      </c>
      <c r="O407" s="31">
        <f t="shared" si="133"/>
        <v>9011</v>
      </c>
      <c r="P407" s="32">
        <f>650*3+9.5*3</f>
        <v>1978.5</v>
      </c>
      <c r="Q407" s="32"/>
      <c r="R407" s="32"/>
      <c r="S407" s="32">
        <f t="shared" si="128"/>
        <v>1978.5</v>
      </c>
      <c r="T407" s="12"/>
      <c r="U407" s="12"/>
      <c r="V407" s="12">
        <v>-111</v>
      </c>
      <c r="W407" s="12">
        <f t="shared" si="129"/>
        <v>1867.5</v>
      </c>
      <c r="Y407" s="10">
        <v>11</v>
      </c>
      <c r="Z407" s="30"/>
      <c r="AB407" s="32"/>
      <c r="AC407" s="32"/>
      <c r="AD407" s="32"/>
      <c r="AE407" s="32">
        <f t="shared" si="136"/>
        <v>0</v>
      </c>
      <c r="AF407" s="12"/>
      <c r="AG407" s="12"/>
      <c r="AH407" s="12"/>
      <c r="AI407" s="12">
        <f t="shared" si="135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/>
      <c r="C408" s="83"/>
      <c r="D408" s="32"/>
      <c r="E408" s="32"/>
      <c r="F408" s="32"/>
      <c r="G408" s="32">
        <f t="shared" si="126"/>
        <v>0</v>
      </c>
      <c r="H408" s="12"/>
      <c r="I408" s="12"/>
      <c r="J408" s="10"/>
      <c r="K408" s="12">
        <f t="shared" si="127"/>
        <v>0</v>
      </c>
      <c r="M408" s="10">
        <v>12</v>
      </c>
      <c r="N408" s="30">
        <v>46297</v>
      </c>
      <c r="O408" s="31">
        <f t="shared" si="133"/>
        <v>9012</v>
      </c>
      <c r="P408" s="32">
        <f>650*160+622*20+1175+1582+229*7+650*6</f>
        <v>124700</v>
      </c>
      <c r="Q408" s="32">
        <f>-180*6</f>
        <v>-1080</v>
      </c>
      <c r="R408" s="32"/>
      <c r="S408" s="32">
        <f t="shared" si="128"/>
        <v>123620</v>
      </c>
      <c r="T408" s="12"/>
      <c r="U408" s="12">
        <f>27*111+78*6</f>
        <v>3465</v>
      </c>
      <c r="V408" s="12">
        <f>-42*6</f>
        <v>-252</v>
      </c>
      <c r="W408" s="12">
        <f t="shared" si="129"/>
        <v>126833</v>
      </c>
      <c r="Y408" s="10">
        <v>12</v>
      </c>
      <c r="Z408" s="30"/>
      <c r="AA408" s="31"/>
      <c r="AB408" s="32"/>
      <c r="AC408" s="32"/>
      <c r="AD408" s="32"/>
      <c r="AE408" s="32">
        <f t="shared" si="136"/>
        <v>0</v>
      </c>
      <c r="AF408" s="12"/>
      <c r="AG408" s="12"/>
      <c r="AH408" s="12"/>
      <c r="AI408" s="12">
        <f t="shared" si="135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/>
      <c r="C409" s="83"/>
      <c r="D409" s="32"/>
      <c r="E409" s="32"/>
      <c r="F409" s="32"/>
      <c r="G409" s="32">
        <f t="shared" si="126"/>
        <v>0</v>
      </c>
      <c r="H409" s="12"/>
      <c r="I409" s="12"/>
      <c r="J409" s="12"/>
      <c r="K409" s="12">
        <f t="shared" si="127"/>
        <v>0</v>
      </c>
      <c r="M409" s="10">
        <v>13</v>
      </c>
      <c r="N409" s="30">
        <v>46297</v>
      </c>
      <c r="O409" s="31">
        <f t="shared" si="133"/>
        <v>9013</v>
      </c>
      <c r="P409" s="32">
        <f>650*3+670+9.5*3</f>
        <v>2648.5</v>
      </c>
      <c r="Q409" s="32"/>
      <c r="R409" s="32"/>
      <c r="S409" s="32">
        <f t="shared" si="128"/>
        <v>2648.5</v>
      </c>
      <c r="T409" s="12"/>
      <c r="U409" s="12"/>
      <c r="V409" s="12"/>
      <c r="W409" s="12">
        <f t="shared" si="129"/>
        <v>2648.5</v>
      </c>
      <c r="Y409" s="10">
        <v>13</v>
      </c>
      <c r="Z409" s="30"/>
      <c r="AA409" s="31"/>
      <c r="AB409" s="32"/>
      <c r="AC409" s="32"/>
      <c r="AD409" s="32"/>
      <c r="AE409" s="32">
        <f t="shared" si="136"/>
        <v>0</v>
      </c>
      <c r="AF409" s="12"/>
      <c r="AG409" s="12"/>
      <c r="AH409" s="12"/>
      <c r="AI409" s="12">
        <f t="shared" si="135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/>
      <c r="C410" s="83"/>
      <c r="D410" s="32"/>
      <c r="E410" s="32"/>
      <c r="F410" s="32"/>
      <c r="G410" s="32">
        <f t="shared" si="126"/>
        <v>0</v>
      </c>
      <c r="H410" s="12"/>
      <c r="I410" s="12"/>
      <c r="J410" s="12"/>
      <c r="K410" s="12">
        <f t="shared" si="127"/>
        <v>0</v>
      </c>
      <c r="M410" s="10">
        <v>14</v>
      </c>
      <c r="N410" s="30"/>
      <c r="O410" s="11" t="s">
        <v>27</v>
      </c>
      <c r="P410" s="32"/>
      <c r="Q410" s="32"/>
      <c r="R410" s="32"/>
      <c r="S410" s="32">
        <f t="shared" si="128"/>
        <v>0</v>
      </c>
      <c r="T410" s="12"/>
      <c r="U410" s="12"/>
      <c r="V410" s="12"/>
      <c r="W410" s="12">
        <f t="shared" si="129"/>
        <v>0</v>
      </c>
      <c r="Y410" s="10">
        <v>14</v>
      </c>
      <c r="Z410" s="30"/>
      <c r="AA410" s="31"/>
      <c r="AB410" s="32"/>
      <c r="AC410" s="32"/>
      <c r="AD410" s="32"/>
      <c r="AE410" s="32">
        <f t="shared" si="136"/>
        <v>0</v>
      </c>
      <c r="AF410" s="12"/>
      <c r="AG410" s="12"/>
      <c r="AH410" s="12"/>
      <c r="AI410" s="12">
        <f t="shared" si="135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/>
      <c r="C411" s="83"/>
      <c r="D411" s="32"/>
      <c r="E411" s="32"/>
      <c r="F411" s="32"/>
      <c r="G411" s="32">
        <f t="shared" si="126"/>
        <v>0</v>
      </c>
      <c r="H411" s="12"/>
      <c r="I411" s="12"/>
      <c r="J411" s="12"/>
      <c r="K411" s="12">
        <f t="shared" si="127"/>
        <v>0</v>
      </c>
      <c r="M411" s="10">
        <v>15</v>
      </c>
      <c r="N411" s="30"/>
      <c r="O411" s="31"/>
      <c r="P411" s="32"/>
      <c r="Q411" s="32"/>
      <c r="R411" s="32"/>
      <c r="S411" s="32">
        <f t="shared" si="128"/>
        <v>0</v>
      </c>
      <c r="T411" s="12"/>
      <c r="U411" s="12"/>
      <c r="V411" s="12"/>
      <c r="W411" s="12">
        <f t="shared" si="129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36"/>
        <v>0</v>
      </c>
      <c r="AF411" s="12"/>
      <c r="AG411" s="12"/>
      <c r="AH411" s="12"/>
      <c r="AI411" s="12">
        <f t="shared" si="135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57"/>
      <c r="D412" s="32"/>
      <c r="E412" s="32"/>
      <c r="F412" s="32"/>
      <c r="G412" s="32">
        <f t="shared" si="126"/>
        <v>0</v>
      </c>
      <c r="H412" s="12"/>
      <c r="I412" s="12"/>
      <c r="J412" s="12"/>
      <c r="K412" s="12">
        <f t="shared" si="127"/>
        <v>0</v>
      </c>
      <c r="M412" s="10">
        <v>16</v>
      </c>
      <c r="N412" s="30"/>
      <c r="P412" s="32"/>
      <c r="Q412" s="32"/>
      <c r="R412" s="32"/>
      <c r="S412" s="32">
        <f t="shared" si="128"/>
        <v>0</v>
      </c>
      <c r="T412" s="12"/>
      <c r="U412" s="12"/>
      <c r="V412" s="12"/>
      <c r="W412" s="12">
        <f t="shared" si="129"/>
        <v>0</v>
      </c>
      <c r="Y412" s="10">
        <v>16</v>
      </c>
      <c r="Z412" s="30"/>
      <c r="AB412" s="32"/>
      <c r="AC412" s="32"/>
      <c r="AD412" s="32"/>
      <c r="AE412" s="32">
        <f t="shared" si="136"/>
        <v>0</v>
      </c>
      <c r="AF412" s="12"/>
      <c r="AG412" s="12"/>
      <c r="AH412" s="12"/>
      <c r="AI412" s="12">
        <f t="shared" si="135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83"/>
      <c r="D413" s="32"/>
      <c r="E413" s="32"/>
      <c r="F413" s="32"/>
      <c r="G413" s="32">
        <f t="shared" si="126"/>
        <v>0</v>
      </c>
      <c r="H413" s="12"/>
      <c r="I413" s="12"/>
      <c r="J413" s="12"/>
      <c r="K413" s="12">
        <f t="shared" si="127"/>
        <v>0</v>
      </c>
      <c r="M413" s="10">
        <v>17</v>
      </c>
      <c r="N413" s="30"/>
      <c r="O413" s="31"/>
      <c r="P413" s="35"/>
      <c r="Q413" s="32"/>
      <c r="R413" s="32"/>
      <c r="S413" s="32">
        <f t="shared" si="128"/>
        <v>0</v>
      </c>
      <c r="T413" s="12"/>
      <c r="U413" s="12"/>
      <c r="V413" s="12"/>
      <c r="W413" s="12">
        <f t="shared" si="129"/>
        <v>0</v>
      </c>
      <c r="Y413" s="10">
        <v>17</v>
      </c>
      <c r="Z413" s="30"/>
      <c r="AA413" s="31"/>
      <c r="AB413" s="35"/>
      <c r="AC413" s="32"/>
      <c r="AD413" s="32"/>
      <c r="AE413" s="32">
        <f t="shared" si="136"/>
        <v>0</v>
      </c>
      <c r="AF413" s="12"/>
      <c r="AG413" s="12"/>
      <c r="AH413" s="12"/>
      <c r="AI413" s="12">
        <f t="shared" si="135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C414" s="83"/>
      <c r="D414" s="32"/>
      <c r="E414" s="32"/>
      <c r="F414" s="32"/>
      <c r="G414" s="32">
        <f t="shared" si="126"/>
        <v>0</v>
      </c>
      <c r="H414" s="12"/>
      <c r="I414" s="12"/>
      <c r="J414" s="12"/>
      <c r="K414" s="12">
        <f t="shared" si="127"/>
        <v>0</v>
      </c>
      <c r="M414" s="10">
        <v>18</v>
      </c>
      <c r="N414" s="30"/>
      <c r="O414" s="31"/>
      <c r="P414" s="32"/>
      <c r="Q414" s="32"/>
      <c r="R414" s="32"/>
      <c r="S414" s="32">
        <f t="shared" si="128"/>
        <v>0</v>
      </c>
      <c r="T414" s="12"/>
      <c r="U414" s="12"/>
      <c r="V414" s="12"/>
      <c r="W414" s="12">
        <f t="shared" si="129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36"/>
        <v>0</v>
      </c>
      <c r="AF414" s="12"/>
      <c r="AG414" s="12"/>
      <c r="AH414" s="12"/>
      <c r="AI414" s="12">
        <f t="shared" si="135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83"/>
      <c r="D415" s="32"/>
      <c r="E415" s="32"/>
      <c r="F415" s="32"/>
      <c r="G415" s="32">
        <f t="shared" si="126"/>
        <v>0</v>
      </c>
      <c r="H415" s="12"/>
      <c r="I415" s="12"/>
      <c r="J415" s="12"/>
      <c r="K415" s="12">
        <f t="shared" si="127"/>
        <v>0</v>
      </c>
      <c r="M415" s="10">
        <v>19</v>
      </c>
      <c r="N415" s="30"/>
      <c r="O415" s="31"/>
      <c r="P415" s="32"/>
      <c r="Q415" s="32"/>
      <c r="R415" s="32"/>
      <c r="S415" s="32">
        <f t="shared" si="128"/>
        <v>0</v>
      </c>
      <c r="T415" s="12"/>
      <c r="U415" s="12"/>
      <c r="V415" s="12"/>
      <c r="W415" s="12">
        <f t="shared" si="129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36"/>
        <v>0</v>
      </c>
      <c r="AF415" s="12"/>
      <c r="AG415" s="12"/>
      <c r="AH415" s="12"/>
      <c r="AI415" s="12">
        <f t="shared" si="135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83"/>
      <c r="D416" s="32"/>
      <c r="E416" s="32"/>
      <c r="F416" s="32"/>
      <c r="G416" s="32">
        <f t="shared" si="126"/>
        <v>0</v>
      </c>
      <c r="H416" s="12"/>
      <c r="I416" s="12"/>
      <c r="J416" s="12"/>
      <c r="K416" s="12">
        <f t="shared" si="127"/>
        <v>0</v>
      </c>
      <c r="M416" s="10">
        <v>20</v>
      </c>
      <c r="N416" s="30"/>
      <c r="O416" s="31"/>
      <c r="P416" s="32"/>
      <c r="Q416" s="32"/>
      <c r="R416" s="32"/>
      <c r="S416" s="32">
        <f t="shared" si="128"/>
        <v>0</v>
      </c>
      <c r="T416" s="12"/>
      <c r="U416" s="12"/>
      <c r="V416" s="12"/>
      <c r="W416" s="12">
        <f t="shared" si="129"/>
        <v>0</v>
      </c>
      <c r="Y416" s="10">
        <v>20</v>
      </c>
      <c r="Z416" s="30"/>
      <c r="AB416" s="32"/>
      <c r="AC416" s="32"/>
      <c r="AD416" s="32"/>
      <c r="AE416" s="32">
        <f t="shared" si="136"/>
        <v>0</v>
      </c>
      <c r="AF416" s="12"/>
      <c r="AG416" s="12"/>
      <c r="AH416" s="12"/>
      <c r="AI416" s="12">
        <f t="shared" si="135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57"/>
      <c r="D417" s="32"/>
      <c r="E417" s="32"/>
      <c r="F417" s="32"/>
      <c r="G417" s="32">
        <f t="shared" si="126"/>
        <v>0</v>
      </c>
      <c r="H417" s="10"/>
      <c r="I417" s="10"/>
      <c r="J417" s="10"/>
      <c r="K417" s="12">
        <f t="shared" si="127"/>
        <v>0</v>
      </c>
      <c r="M417" s="10">
        <v>21</v>
      </c>
      <c r="N417" s="30"/>
      <c r="O417" s="31"/>
      <c r="P417" s="92"/>
      <c r="Q417" s="31"/>
      <c r="R417" s="31"/>
      <c r="S417" s="32">
        <f t="shared" si="128"/>
        <v>0</v>
      </c>
      <c r="T417" s="10"/>
      <c r="U417" s="10"/>
      <c r="V417" s="10"/>
      <c r="W417" s="12">
        <f t="shared" si="129"/>
        <v>0</v>
      </c>
      <c r="Y417" s="10">
        <v>21</v>
      </c>
      <c r="Z417" s="30"/>
      <c r="AA417" s="31"/>
      <c r="AB417" s="46"/>
      <c r="AC417" s="31"/>
      <c r="AD417" s="31"/>
      <c r="AE417" s="32">
        <f t="shared" si="136"/>
        <v>0</v>
      </c>
      <c r="AF417" s="10"/>
      <c r="AG417" s="10"/>
      <c r="AH417" s="10"/>
      <c r="AI417" s="12">
        <f t="shared" si="135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83"/>
      <c r="D418" s="32"/>
      <c r="E418" s="32"/>
      <c r="F418" s="32"/>
      <c r="G418" s="32">
        <f t="shared" si="126"/>
        <v>0</v>
      </c>
      <c r="H418" s="10"/>
      <c r="I418" s="10"/>
      <c r="J418" s="10"/>
      <c r="K418" s="12">
        <f t="shared" si="127"/>
        <v>0</v>
      </c>
      <c r="M418" s="10">
        <v>22</v>
      </c>
      <c r="N418" s="30"/>
      <c r="O418" s="31"/>
      <c r="P418" s="92"/>
      <c r="Q418" s="31"/>
      <c r="R418" s="31"/>
      <c r="S418" s="32">
        <f t="shared" si="128"/>
        <v>0</v>
      </c>
      <c r="T418" s="10"/>
      <c r="U418" s="10"/>
      <c r="V418" s="10"/>
      <c r="W418" s="12">
        <f t="shared" si="129"/>
        <v>0</v>
      </c>
      <c r="Y418" s="10">
        <v>22</v>
      </c>
      <c r="Z418" s="30"/>
      <c r="AA418" s="31"/>
      <c r="AB418" s="45"/>
      <c r="AC418" s="31"/>
      <c r="AD418" s="31"/>
      <c r="AE418" s="32">
        <f t="shared" si="136"/>
        <v>0</v>
      </c>
      <c r="AF418" s="10"/>
      <c r="AG418" s="10"/>
      <c r="AH418" s="10"/>
      <c r="AI418" s="12">
        <f t="shared" si="135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83"/>
      <c r="D419" s="32"/>
      <c r="E419" s="32"/>
      <c r="F419" s="32"/>
      <c r="G419" s="32">
        <f t="shared" si="126"/>
        <v>0</v>
      </c>
      <c r="H419" s="10"/>
      <c r="I419" s="10"/>
      <c r="J419" s="12"/>
      <c r="K419" s="12">
        <f t="shared" si="127"/>
        <v>0</v>
      </c>
      <c r="M419" s="10">
        <v>23</v>
      </c>
      <c r="N419" s="30"/>
      <c r="O419" s="31"/>
      <c r="P419" s="47"/>
      <c r="Q419" s="31"/>
      <c r="S419" s="32">
        <f t="shared" si="128"/>
        <v>0</v>
      </c>
      <c r="T419" s="10"/>
      <c r="U419" s="10"/>
      <c r="V419" s="10"/>
      <c r="W419" s="12">
        <f t="shared" si="129"/>
        <v>0</v>
      </c>
      <c r="Y419" s="10">
        <v>23</v>
      </c>
      <c r="Z419" s="30"/>
      <c r="AA419" s="31"/>
      <c r="AB419" s="47"/>
      <c r="AC419" s="31"/>
      <c r="AE419" s="32">
        <f t="shared" si="136"/>
        <v>0</v>
      </c>
      <c r="AF419" s="10"/>
      <c r="AG419" s="10"/>
      <c r="AH419" s="10"/>
      <c r="AI419" s="12">
        <f t="shared" si="135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83"/>
      <c r="D420" s="32"/>
      <c r="E420" s="32"/>
      <c r="F420" s="32"/>
      <c r="G420" s="32">
        <f t="shared" si="126"/>
        <v>0</v>
      </c>
      <c r="H420" s="10"/>
      <c r="I420" s="10"/>
      <c r="J420" s="10"/>
      <c r="K420" s="12">
        <f t="shared" si="127"/>
        <v>0</v>
      </c>
      <c r="M420" s="10">
        <v>24</v>
      </c>
      <c r="N420" s="30"/>
      <c r="P420" s="47"/>
      <c r="Q420" s="31"/>
      <c r="R420" s="31"/>
      <c r="S420" s="32">
        <f t="shared" si="128"/>
        <v>0</v>
      </c>
      <c r="T420" s="10"/>
      <c r="U420" s="10"/>
      <c r="V420" s="10"/>
      <c r="W420" s="12">
        <f t="shared" si="129"/>
        <v>0</v>
      </c>
      <c r="Y420" s="10">
        <v>24</v>
      </c>
      <c r="Z420" s="30"/>
      <c r="AA420" s="31"/>
      <c r="AB420" s="47"/>
      <c r="AC420" s="31"/>
      <c r="AD420" s="31"/>
      <c r="AE420" s="32">
        <f t="shared" si="136"/>
        <v>0</v>
      </c>
      <c r="AF420" s="10"/>
      <c r="AG420" s="10"/>
      <c r="AH420" s="10"/>
      <c r="AI420" s="12">
        <f t="shared" si="135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83"/>
      <c r="D421" s="32"/>
      <c r="E421" s="32"/>
      <c r="F421" s="32"/>
      <c r="G421" s="32">
        <f t="shared" si="126"/>
        <v>0</v>
      </c>
      <c r="H421" s="10"/>
      <c r="I421" s="10"/>
      <c r="J421" s="10"/>
      <c r="K421" s="12">
        <f t="shared" si="127"/>
        <v>0</v>
      </c>
      <c r="M421" s="10">
        <v>25</v>
      </c>
      <c r="N421" s="30"/>
      <c r="O421" s="31"/>
      <c r="P421" s="47"/>
      <c r="Q421" s="31"/>
      <c r="R421" s="31"/>
      <c r="S421" s="32">
        <f t="shared" si="128"/>
        <v>0</v>
      </c>
      <c r="T421" s="10"/>
      <c r="U421" s="10"/>
      <c r="V421" s="10"/>
      <c r="W421" s="12">
        <f t="shared" si="129"/>
        <v>0</v>
      </c>
      <c r="Y421" s="10">
        <v>25</v>
      </c>
      <c r="Z421" s="30"/>
      <c r="AA421" s="31"/>
      <c r="AB421" s="47"/>
      <c r="AC421" s="31"/>
      <c r="AD421" s="31"/>
      <c r="AE421" s="32">
        <f t="shared" si="136"/>
        <v>0</v>
      </c>
      <c r="AF421" s="10"/>
      <c r="AG421" s="10"/>
      <c r="AH421" s="10"/>
      <c r="AI421" s="12">
        <f t="shared" si="135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83"/>
      <c r="D422" s="32"/>
      <c r="E422" s="32"/>
      <c r="F422" s="32"/>
      <c r="G422" s="32">
        <f t="shared" si="126"/>
        <v>0</v>
      </c>
      <c r="H422" s="10"/>
      <c r="I422" s="10"/>
      <c r="J422" s="10"/>
      <c r="K422" s="12">
        <f t="shared" si="127"/>
        <v>0</v>
      </c>
      <c r="M422" s="10">
        <v>26</v>
      </c>
      <c r="N422" s="30"/>
      <c r="P422" s="47"/>
      <c r="Q422" s="31"/>
      <c r="R422" s="31"/>
      <c r="S422" s="32">
        <f t="shared" si="128"/>
        <v>0</v>
      </c>
      <c r="T422" s="10"/>
      <c r="U422" s="10"/>
      <c r="V422" s="10"/>
      <c r="W422" s="12">
        <f t="shared" si="129"/>
        <v>0</v>
      </c>
      <c r="Y422" s="10">
        <v>26</v>
      </c>
      <c r="Z422" s="30"/>
      <c r="AA422" s="31"/>
      <c r="AB422" s="47"/>
      <c r="AC422" s="31"/>
      <c r="AD422" s="31"/>
      <c r="AE422" s="32">
        <f t="shared" si="136"/>
        <v>0</v>
      </c>
      <c r="AF422" s="10"/>
      <c r="AG422" s="10"/>
      <c r="AH422" s="10"/>
      <c r="AI422" s="12">
        <f t="shared" si="135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83"/>
      <c r="D423" s="32"/>
      <c r="E423" s="32"/>
      <c r="F423" s="32"/>
      <c r="G423" s="32">
        <f t="shared" si="126"/>
        <v>0</v>
      </c>
      <c r="H423" s="10"/>
      <c r="I423" s="10"/>
      <c r="J423" s="10"/>
      <c r="K423" s="12">
        <f t="shared" si="127"/>
        <v>0</v>
      </c>
      <c r="M423" s="10">
        <v>27</v>
      </c>
      <c r="N423" s="30"/>
      <c r="O423" s="31"/>
      <c r="P423" s="47"/>
      <c r="Q423" s="31"/>
      <c r="R423" s="31"/>
      <c r="S423" s="32">
        <f t="shared" si="128"/>
        <v>0</v>
      </c>
      <c r="T423" s="10"/>
      <c r="U423" s="10"/>
      <c r="V423" s="10"/>
      <c r="W423" s="12">
        <f t="shared" si="129"/>
        <v>0</v>
      </c>
      <c r="Y423" s="10">
        <v>27</v>
      </c>
      <c r="Z423" s="30"/>
      <c r="AA423" s="31"/>
      <c r="AB423" s="47"/>
      <c r="AC423" s="31"/>
      <c r="AD423" s="31"/>
      <c r="AE423" s="32">
        <f t="shared" si="136"/>
        <v>0</v>
      </c>
      <c r="AF423" s="10"/>
      <c r="AG423" s="10"/>
      <c r="AH423" s="10"/>
      <c r="AI423" s="12">
        <f t="shared" si="135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83"/>
      <c r="D424" s="32"/>
      <c r="E424" s="32"/>
      <c r="F424" s="32"/>
      <c r="G424" s="32">
        <f t="shared" si="126"/>
        <v>0</v>
      </c>
      <c r="H424" s="10"/>
      <c r="I424" s="10"/>
      <c r="J424" s="10"/>
      <c r="K424" s="12">
        <f t="shared" si="127"/>
        <v>0</v>
      </c>
      <c r="M424" s="10">
        <v>28</v>
      </c>
      <c r="N424" s="30"/>
      <c r="O424" s="31"/>
      <c r="P424" s="47"/>
      <c r="Q424" s="31"/>
      <c r="R424" s="31"/>
      <c r="S424" s="32">
        <f t="shared" si="128"/>
        <v>0</v>
      </c>
      <c r="T424" s="10"/>
      <c r="U424" s="10"/>
      <c r="V424" s="10"/>
      <c r="W424" s="12">
        <f t="shared" si="129"/>
        <v>0</v>
      </c>
      <c r="Y424" s="10">
        <v>28</v>
      </c>
      <c r="Z424" s="30"/>
      <c r="AA424" s="31"/>
      <c r="AB424" s="47"/>
      <c r="AC424" s="31"/>
      <c r="AD424" s="31"/>
      <c r="AE424" s="32">
        <f t="shared" si="136"/>
        <v>0</v>
      </c>
      <c r="AF424" s="10"/>
      <c r="AG424" s="10"/>
      <c r="AH424" s="10"/>
      <c r="AI424" s="12">
        <f t="shared" si="135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57"/>
      <c r="D425" s="32"/>
      <c r="E425" s="32"/>
      <c r="F425" s="32"/>
      <c r="G425" s="32">
        <f t="shared" si="126"/>
        <v>0</v>
      </c>
      <c r="H425" s="10"/>
      <c r="I425" s="10"/>
      <c r="J425" s="10"/>
      <c r="K425" s="12">
        <f t="shared" si="127"/>
        <v>0</v>
      </c>
      <c r="M425" s="10">
        <v>29</v>
      </c>
      <c r="N425" s="30"/>
      <c r="O425" s="31"/>
      <c r="P425" s="47"/>
      <c r="Q425" s="31"/>
      <c r="R425" s="31"/>
      <c r="S425" s="32">
        <f t="shared" si="128"/>
        <v>0</v>
      </c>
      <c r="T425" s="10"/>
      <c r="U425" s="10"/>
      <c r="V425" s="10"/>
      <c r="W425" s="12">
        <f t="shared" si="129"/>
        <v>0</v>
      </c>
      <c r="Y425" s="10">
        <v>29</v>
      </c>
      <c r="Z425" s="30"/>
      <c r="AA425" s="31"/>
      <c r="AB425" s="47"/>
      <c r="AC425" s="31"/>
      <c r="AD425" s="31"/>
      <c r="AE425" s="32">
        <f t="shared" si="136"/>
        <v>0</v>
      </c>
      <c r="AF425" s="10"/>
      <c r="AG425" s="10"/>
      <c r="AH425" s="10"/>
      <c r="AI425" s="12">
        <f t="shared" si="135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83"/>
      <c r="D426" s="32"/>
      <c r="E426" s="32"/>
      <c r="F426" s="32"/>
      <c r="G426" s="32">
        <f t="shared" si="126"/>
        <v>0</v>
      </c>
      <c r="H426" s="10"/>
      <c r="I426" s="10"/>
      <c r="J426" s="10"/>
      <c r="K426" s="12">
        <f t="shared" si="127"/>
        <v>0</v>
      </c>
      <c r="M426" s="10">
        <v>30</v>
      </c>
      <c r="N426" s="30"/>
      <c r="P426" s="47"/>
      <c r="Q426" s="31"/>
      <c r="R426" s="31"/>
      <c r="S426" s="32">
        <f t="shared" si="128"/>
        <v>0</v>
      </c>
      <c r="T426" s="10"/>
      <c r="U426" s="10"/>
      <c r="V426" s="10"/>
      <c r="W426" s="12">
        <f t="shared" si="129"/>
        <v>0</v>
      </c>
      <c r="Y426" s="10">
        <v>30</v>
      </c>
      <c r="Z426" s="30"/>
      <c r="AA426" s="31"/>
      <c r="AB426" s="47"/>
      <c r="AC426" s="31"/>
      <c r="AD426" s="31"/>
      <c r="AE426" s="32">
        <f t="shared" si="136"/>
        <v>0</v>
      </c>
      <c r="AF426" s="10"/>
      <c r="AG426" s="10"/>
      <c r="AH426" s="10"/>
      <c r="AI426" s="12">
        <f t="shared" si="135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83"/>
      <c r="D427" s="32"/>
      <c r="E427" s="32"/>
      <c r="F427" s="32"/>
      <c r="G427" s="32">
        <f t="shared" si="126"/>
        <v>0</v>
      </c>
      <c r="H427" s="10"/>
      <c r="I427" s="10"/>
      <c r="J427" s="10"/>
      <c r="K427" s="12">
        <f t="shared" si="127"/>
        <v>0</v>
      </c>
      <c r="M427" s="10">
        <v>31</v>
      </c>
      <c r="N427" s="30"/>
      <c r="O427" s="31"/>
      <c r="P427" s="47"/>
      <c r="Q427" s="31"/>
      <c r="R427" s="31"/>
      <c r="S427" s="32">
        <f t="shared" si="128"/>
        <v>0</v>
      </c>
      <c r="T427" s="10"/>
      <c r="U427" s="10"/>
      <c r="V427" s="10"/>
      <c r="W427" s="12">
        <f t="shared" si="129"/>
        <v>0</v>
      </c>
      <c r="Y427" s="10">
        <v>31</v>
      </c>
      <c r="Z427" s="30"/>
      <c r="AA427" s="31"/>
      <c r="AB427" s="47"/>
      <c r="AC427" s="31"/>
      <c r="AD427" s="31"/>
      <c r="AE427" s="32">
        <f t="shared" si="136"/>
        <v>0</v>
      </c>
      <c r="AF427" s="10"/>
      <c r="AG427" s="10"/>
      <c r="AH427" s="10"/>
      <c r="AI427" s="12">
        <f t="shared" si="135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83"/>
      <c r="D428" s="32"/>
      <c r="E428" s="32"/>
      <c r="F428" s="32"/>
      <c r="G428" s="32">
        <f t="shared" si="126"/>
        <v>0</v>
      </c>
      <c r="H428" s="10"/>
      <c r="I428" s="10"/>
      <c r="J428" s="10"/>
      <c r="K428" s="12">
        <f t="shared" si="127"/>
        <v>0</v>
      </c>
      <c r="M428" s="10">
        <v>32</v>
      </c>
      <c r="N428" s="30"/>
      <c r="O428" s="31"/>
      <c r="P428" s="47"/>
      <c r="Q428" s="31"/>
      <c r="R428" s="31"/>
      <c r="S428" s="32">
        <f t="shared" si="128"/>
        <v>0</v>
      </c>
      <c r="T428" s="10"/>
      <c r="U428" s="10"/>
      <c r="V428" s="10"/>
      <c r="W428" s="12">
        <f t="shared" si="129"/>
        <v>0</v>
      </c>
      <c r="Y428" s="10">
        <v>32</v>
      </c>
      <c r="Z428" s="30"/>
      <c r="AA428" s="31"/>
      <c r="AB428" s="47"/>
      <c r="AC428" s="31"/>
      <c r="AD428" s="31"/>
      <c r="AE428" s="32">
        <f t="shared" si="136"/>
        <v>0</v>
      </c>
      <c r="AF428" s="10"/>
      <c r="AG428" s="10"/>
      <c r="AH428" s="10"/>
      <c r="AI428" s="12">
        <f t="shared" si="135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83"/>
      <c r="D429" s="32"/>
      <c r="E429" s="32"/>
      <c r="F429" s="32"/>
      <c r="G429" s="32">
        <f t="shared" si="126"/>
        <v>0</v>
      </c>
      <c r="H429" s="10"/>
      <c r="I429" s="10"/>
      <c r="J429" s="10"/>
      <c r="K429" s="12">
        <f t="shared" si="127"/>
        <v>0</v>
      </c>
      <c r="M429" s="10">
        <v>33</v>
      </c>
      <c r="N429" s="30"/>
      <c r="O429" s="31"/>
      <c r="P429" s="47"/>
      <c r="Q429" s="31"/>
      <c r="R429" s="31"/>
      <c r="S429" s="32">
        <f t="shared" si="128"/>
        <v>0</v>
      </c>
      <c r="T429" s="10"/>
      <c r="U429" s="10"/>
      <c r="V429" s="10"/>
      <c r="W429" s="12">
        <f t="shared" si="129"/>
        <v>0</v>
      </c>
      <c r="Y429" s="10">
        <v>33</v>
      </c>
      <c r="Z429" s="30"/>
      <c r="AA429" s="31"/>
      <c r="AB429" s="47"/>
      <c r="AC429" s="31"/>
      <c r="AD429" s="31"/>
      <c r="AE429" s="32">
        <f t="shared" si="136"/>
        <v>0</v>
      </c>
      <c r="AF429" s="10"/>
      <c r="AG429" s="10"/>
      <c r="AH429" s="10"/>
      <c r="AI429" s="12">
        <f t="shared" si="135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83"/>
      <c r="D430" s="32"/>
      <c r="E430" s="32"/>
      <c r="F430" s="32"/>
      <c r="G430" s="32">
        <f t="shared" si="126"/>
        <v>0</v>
      </c>
      <c r="H430" s="10"/>
      <c r="I430" s="10"/>
      <c r="J430" s="10"/>
      <c r="K430" s="12">
        <f t="shared" si="127"/>
        <v>0</v>
      </c>
      <c r="M430" s="10">
        <v>34</v>
      </c>
      <c r="N430" s="30"/>
      <c r="O430" s="31"/>
      <c r="P430" s="47"/>
      <c r="Q430" s="31"/>
      <c r="R430" s="31"/>
      <c r="S430" s="32">
        <f t="shared" si="128"/>
        <v>0</v>
      </c>
      <c r="T430" s="10"/>
      <c r="U430" s="10"/>
      <c r="V430" s="10"/>
      <c r="W430" s="12">
        <f t="shared" si="129"/>
        <v>0</v>
      </c>
      <c r="Y430" s="10">
        <v>34</v>
      </c>
      <c r="Z430" s="30"/>
      <c r="AA430" s="31"/>
      <c r="AB430" s="47"/>
      <c r="AC430" s="31"/>
      <c r="AD430" s="31"/>
      <c r="AE430" s="32">
        <f t="shared" si="136"/>
        <v>0</v>
      </c>
      <c r="AF430" s="10"/>
      <c r="AG430" s="10"/>
      <c r="AH430" s="10"/>
      <c r="AI430" s="12">
        <f t="shared" si="135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83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28"/>
        <v>0</v>
      </c>
      <c r="T431" s="10"/>
      <c r="U431" s="10"/>
      <c r="V431" s="10"/>
      <c r="W431" s="12">
        <f t="shared" si="129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36"/>
        <v>0</v>
      </c>
      <c r="AF431" s="10"/>
      <c r="AG431" s="10"/>
      <c r="AH431" s="10"/>
      <c r="AI431" s="12">
        <f t="shared" si="135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83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28"/>
        <v>0</v>
      </c>
      <c r="T432" s="10"/>
      <c r="U432" s="10"/>
      <c r="V432" s="10"/>
      <c r="W432" s="12">
        <f t="shared" si="129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36"/>
        <v>0</v>
      </c>
      <c r="AF432" s="10"/>
      <c r="AG432" s="10"/>
      <c r="AH432" s="10"/>
      <c r="AI432" s="12">
        <f t="shared" si="135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28"/>
        <v>0</v>
      </c>
      <c r="T433" s="10"/>
      <c r="U433" s="10"/>
      <c r="V433" s="10"/>
      <c r="W433" s="12">
        <f t="shared" si="129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36"/>
        <v>0</v>
      </c>
      <c r="AF433" s="10"/>
      <c r="AG433" s="10"/>
      <c r="AH433" s="10"/>
      <c r="AI433" s="12">
        <f t="shared" si="135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28"/>
        <v>0</v>
      </c>
      <c r="T434" s="10"/>
      <c r="U434" s="10"/>
      <c r="V434" s="10"/>
      <c r="W434" s="12">
        <f t="shared" si="129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36"/>
        <v>0</v>
      </c>
      <c r="AF434" s="10"/>
      <c r="AG434" s="10"/>
      <c r="AH434" s="10"/>
      <c r="AI434" s="12">
        <f t="shared" si="135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28"/>
        <v>0</v>
      </c>
      <c r="T435" s="10"/>
      <c r="U435" s="10"/>
      <c r="V435" s="10"/>
      <c r="W435" s="12">
        <f t="shared" si="129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36"/>
        <v>0</v>
      </c>
      <c r="AF435" s="10"/>
      <c r="AG435" s="10"/>
      <c r="AH435" s="10"/>
      <c r="AI435" s="12">
        <f t="shared" si="135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29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35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37">SUM(D437:E437)</f>
        <v>0</v>
      </c>
      <c r="H437" s="10"/>
      <c r="I437" s="10"/>
      <c r="J437" s="10"/>
      <c r="K437" s="12">
        <f t="shared" ref="K437" si="138">SUM(G437:J437)</f>
        <v>0</v>
      </c>
      <c r="M437" s="10"/>
      <c r="N437" s="30"/>
      <c r="O437" s="31"/>
      <c r="P437" s="47"/>
      <c r="Q437" s="31"/>
      <c r="R437" s="31"/>
      <c r="S437" s="32">
        <f t="shared" ref="S437" si="139">SUM(P437:Q437)</f>
        <v>0</v>
      </c>
      <c r="T437" s="10"/>
      <c r="U437" s="10"/>
      <c r="V437" s="10"/>
      <c r="W437" s="12">
        <f t="shared" si="129"/>
        <v>0</v>
      </c>
      <c r="Y437" s="10"/>
      <c r="Z437" s="30"/>
      <c r="AA437" s="31"/>
      <c r="AB437" s="47"/>
      <c r="AC437" s="31"/>
      <c r="AD437" s="31"/>
      <c r="AE437" s="32">
        <f t="shared" ref="AE437" si="140">SUM(AB437:AC437)</f>
        <v>0</v>
      </c>
      <c r="AF437" s="10"/>
      <c r="AG437" s="10"/>
      <c r="AH437" s="10"/>
      <c r="AI437" s="12">
        <f t="shared" si="135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29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35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168188</v>
      </c>
      <c r="E440" s="38">
        <f t="shared" ref="E440:F440" si="141">SUM(E397:E437)</f>
        <v>0</v>
      </c>
      <c r="F440" s="38">
        <f t="shared" si="141"/>
        <v>0</v>
      </c>
      <c r="G440" s="38">
        <f>SUM(G397:G439)</f>
        <v>168188</v>
      </c>
      <c r="H440" s="4"/>
      <c r="I440" s="39">
        <f>SUM(I397:I439)</f>
        <v>0</v>
      </c>
      <c r="J440" s="39">
        <f>SUM(J397:J439)</f>
        <v>-456</v>
      </c>
      <c r="K440" s="40">
        <f>SUM(K397:K439)</f>
        <v>167732</v>
      </c>
      <c r="N440" s="57"/>
      <c r="O440" s="57"/>
      <c r="P440" s="38">
        <f>SUM(P397:P439)</f>
        <v>174589</v>
      </c>
      <c r="Q440" s="38">
        <f>SUM(Q397:Q421)</f>
        <v>-1080</v>
      </c>
      <c r="R440" s="38">
        <f>SUM(R397:R421)</f>
        <v>0</v>
      </c>
      <c r="S440" s="38">
        <f>SUM(S397:S439)</f>
        <v>173509</v>
      </c>
      <c r="T440" s="4"/>
      <c r="U440" s="41">
        <f>SUM(U397:U439)</f>
        <v>4167</v>
      </c>
      <c r="V440" s="41">
        <f>SUM(V397:V421)</f>
        <v>-2361</v>
      </c>
      <c r="W440" s="42">
        <f>SUM(W397:W439)</f>
        <v>175315</v>
      </c>
      <c r="Z440" s="57"/>
      <c r="AA440" s="57"/>
      <c r="AB440" s="38">
        <f>SUM(AB397:AB439)</f>
        <v>272710</v>
      </c>
      <c r="AC440" s="38">
        <f>SUM(AC397:AC421)</f>
        <v>0</v>
      </c>
      <c r="AD440" s="38">
        <f>SUM(AD397:AD421)</f>
        <v>0</v>
      </c>
      <c r="AE440" s="38">
        <f>SUM(AE397:AE439)</f>
        <v>272710</v>
      </c>
      <c r="AF440" s="4"/>
      <c r="AG440" s="41">
        <f>SUM(AG397:AG439)</f>
        <v>41295</v>
      </c>
      <c r="AH440" s="41">
        <f>SUM(AH397:AH421)</f>
        <v>-36861</v>
      </c>
      <c r="AI440" s="42">
        <f>SUM(AI397:AI439)</f>
        <v>277144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28</v>
      </c>
      <c r="B443" s="57"/>
      <c r="C443" s="57"/>
      <c r="D443" s="57"/>
      <c r="E443" s="57"/>
      <c r="G443" s="57"/>
      <c r="M443" t="s">
        <v>28</v>
      </c>
      <c r="N443" s="57"/>
      <c r="O443" s="57"/>
      <c r="P443" s="57"/>
      <c r="Q443" s="57"/>
      <c r="R443" s="57"/>
      <c r="S443" s="57"/>
      <c r="Y443" t="s">
        <v>28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14</v>
      </c>
      <c r="B445" s="57"/>
      <c r="C445" s="57"/>
      <c r="D445" s="57"/>
      <c r="E445" s="57"/>
      <c r="G445" s="57"/>
      <c r="M445" s="4" t="s">
        <v>14</v>
      </c>
      <c r="N445" s="57"/>
      <c r="O445" s="57"/>
      <c r="P445" s="57"/>
      <c r="Q445" s="57"/>
      <c r="R445" s="57"/>
      <c r="S445" s="57"/>
      <c r="Y445" s="4" t="s">
        <v>14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44</v>
      </c>
      <c r="B447" s="57"/>
      <c r="C447" s="57"/>
      <c r="D447" s="57"/>
      <c r="E447" s="57"/>
      <c r="G447" s="57"/>
      <c r="I447" s="57" t="s">
        <v>15</v>
      </c>
      <c r="J447" s="19">
        <v>1</v>
      </c>
      <c r="M447" t="s">
        <v>44</v>
      </c>
      <c r="N447" s="57"/>
      <c r="O447" s="57"/>
      <c r="P447" s="57"/>
      <c r="Q447" s="57"/>
      <c r="R447" s="57"/>
      <c r="S447" s="57"/>
      <c r="U447" s="57" t="s">
        <v>15</v>
      </c>
      <c r="V447" s="19">
        <v>2</v>
      </c>
      <c r="Y447" t="s">
        <v>44</v>
      </c>
      <c r="Z447" s="57"/>
      <c r="AA447" s="57"/>
      <c r="AB447" s="57"/>
      <c r="AC447" s="57"/>
      <c r="AD447" s="57"/>
      <c r="AE447" s="57"/>
      <c r="AG447" s="57" t="s">
        <v>15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60</v>
      </c>
      <c r="B448" s="20"/>
      <c r="C448" s="57"/>
      <c r="D448" s="57"/>
      <c r="E448" s="57"/>
      <c r="G448" s="57"/>
      <c r="I448" s="22" t="s">
        <v>16</v>
      </c>
      <c r="J448" s="23" t="s">
        <v>31</v>
      </c>
      <c r="K448" s="24"/>
      <c r="M448" s="21" t="s">
        <v>60</v>
      </c>
      <c r="N448" s="20"/>
      <c r="O448" s="57"/>
      <c r="P448" s="57"/>
      <c r="Q448" s="57"/>
      <c r="R448" s="57"/>
      <c r="S448" s="57"/>
      <c r="U448" s="22" t="s">
        <v>16</v>
      </c>
      <c r="V448" s="23" t="s">
        <v>33</v>
      </c>
      <c r="W448" s="24"/>
      <c r="Y448" s="21" t="s">
        <v>60</v>
      </c>
      <c r="Z448" s="20"/>
      <c r="AA448" s="57"/>
      <c r="AB448" s="57"/>
      <c r="AC448" s="57"/>
      <c r="AD448" s="57"/>
      <c r="AE448" s="57"/>
      <c r="AG448" s="22" t="s">
        <v>16</v>
      </c>
      <c r="AH448" s="23" t="s">
        <v>35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15" t="s">
        <v>17</v>
      </c>
      <c r="E450" s="115"/>
      <c r="F450" s="95"/>
      <c r="G450" s="27"/>
      <c r="I450" s="113" t="s">
        <v>18</v>
      </c>
      <c r="J450" s="114"/>
      <c r="K450" s="111" t="s">
        <v>19</v>
      </c>
      <c r="N450" s="25"/>
      <c r="O450" s="26"/>
      <c r="P450" s="115" t="s">
        <v>17</v>
      </c>
      <c r="Q450" s="115"/>
      <c r="R450" s="95"/>
      <c r="S450" s="27"/>
      <c r="U450" s="113" t="s">
        <v>18</v>
      </c>
      <c r="V450" s="114"/>
      <c r="W450" s="111" t="s">
        <v>19</v>
      </c>
      <c r="Z450" s="25"/>
      <c r="AA450" s="26"/>
      <c r="AB450" s="115" t="s">
        <v>17</v>
      </c>
      <c r="AC450" s="115"/>
      <c r="AD450" s="95"/>
      <c r="AE450" s="27"/>
      <c r="AG450" s="113" t="s">
        <v>18</v>
      </c>
      <c r="AH450" s="114"/>
      <c r="AI450" s="111" t="s">
        <v>19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20</v>
      </c>
      <c r="C451" s="28" t="s">
        <v>21</v>
      </c>
      <c r="D451" s="77" t="s">
        <v>22</v>
      </c>
      <c r="E451" s="76" t="s">
        <v>23</v>
      </c>
      <c r="F451" s="78" t="s">
        <v>32</v>
      </c>
      <c r="G451" s="78" t="s">
        <v>24</v>
      </c>
      <c r="I451" s="29" t="s">
        <v>25</v>
      </c>
      <c r="J451" s="29" t="s">
        <v>26</v>
      </c>
      <c r="K451" s="112"/>
      <c r="N451" s="28" t="s">
        <v>20</v>
      </c>
      <c r="O451" s="28" t="s">
        <v>21</v>
      </c>
      <c r="P451" s="77" t="s">
        <v>22</v>
      </c>
      <c r="Q451" s="78" t="s">
        <v>23</v>
      </c>
      <c r="R451" s="78" t="s">
        <v>32</v>
      </c>
      <c r="S451" s="78" t="s">
        <v>24</v>
      </c>
      <c r="U451" s="29" t="s">
        <v>25</v>
      </c>
      <c r="V451" s="29" t="s">
        <v>26</v>
      </c>
      <c r="W451" s="112"/>
      <c r="Z451" s="28" t="s">
        <v>20</v>
      </c>
      <c r="AA451" s="28" t="s">
        <v>21</v>
      </c>
      <c r="AB451" s="77" t="s">
        <v>22</v>
      </c>
      <c r="AC451" s="78" t="s">
        <v>23</v>
      </c>
      <c r="AD451" s="78" t="s">
        <v>32</v>
      </c>
      <c r="AE451" s="78" t="s">
        <v>24</v>
      </c>
      <c r="AG451" s="29" t="s">
        <v>25</v>
      </c>
      <c r="AH451" s="29" t="s">
        <v>26</v>
      </c>
      <c r="AI451" s="11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46328</v>
      </c>
      <c r="C452" s="83">
        <v>9068</v>
      </c>
      <c r="D452" s="32">
        <f>650*9</f>
        <v>5850</v>
      </c>
      <c r="E452" s="32">
        <f>-9*6</f>
        <v>-54</v>
      </c>
      <c r="F452" s="32"/>
      <c r="G452" s="32">
        <f t="shared" ref="G452:G485" si="142">SUM(D452:E452)</f>
        <v>5796</v>
      </c>
      <c r="H452" s="12"/>
      <c r="I452" s="12"/>
      <c r="J452" s="12"/>
      <c r="K452" s="12">
        <f t="shared" ref="K452:K485" si="143">SUM(G452:J452)</f>
        <v>5796</v>
      </c>
      <c r="M452" s="10">
        <v>1</v>
      </c>
      <c r="N452" s="30">
        <v>46328</v>
      </c>
      <c r="O452" s="31">
        <v>9101</v>
      </c>
      <c r="P452" s="32">
        <f>650*7+9.5*7</f>
        <v>4616.5</v>
      </c>
      <c r="Q452" s="32"/>
      <c r="R452" s="32"/>
      <c r="S452" s="32">
        <f>SUM(P452:Q452)</f>
        <v>4616.5</v>
      </c>
      <c r="T452" s="12"/>
      <c r="U452" s="12"/>
      <c r="V452" s="12"/>
      <c r="W452" s="12">
        <f>SUM(S452:V452)</f>
        <v>4616.5</v>
      </c>
      <c r="Y452" s="10">
        <v>1</v>
      </c>
      <c r="Z452" s="30">
        <v>46328</v>
      </c>
      <c r="AA452" s="31">
        <v>8935</v>
      </c>
      <c r="AB452" s="32">
        <f>650*216+622*30+912*3+1175+872+229*5+650*2</f>
        <v>166288</v>
      </c>
      <c r="AC452" s="32">
        <v>-1506</v>
      </c>
      <c r="AD452" s="32"/>
      <c r="AE452" s="32">
        <f>SUM(AB452:AC452)</f>
        <v>164782</v>
      </c>
      <c r="AF452" s="12"/>
      <c r="AG452" s="12"/>
      <c r="AH452" s="12">
        <f>-120+-1170+-252+-210</f>
        <v>-1752</v>
      </c>
      <c r="AI452" s="12">
        <f>SUM(AE452:AH452)</f>
        <v>163030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46328</v>
      </c>
      <c r="C453" s="83">
        <f>C452+1</f>
        <v>9069</v>
      </c>
      <c r="D453" s="32">
        <f>650*325+229*13</f>
        <v>214227</v>
      </c>
      <c r="E453" s="32">
        <v>-1950</v>
      </c>
      <c r="F453" s="32"/>
      <c r="G453" s="32">
        <f t="shared" si="142"/>
        <v>212277</v>
      </c>
      <c r="H453" s="12"/>
      <c r="I453" s="12">
        <v>468</v>
      </c>
      <c r="J453" s="12"/>
      <c r="K453" s="12">
        <f t="shared" si="143"/>
        <v>212745</v>
      </c>
      <c r="M453" s="10">
        <v>2</v>
      </c>
      <c r="N453" s="30">
        <v>46328</v>
      </c>
      <c r="O453" s="31">
        <f>O452+1</f>
        <v>9102</v>
      </c>
      <c r="P453" s="32">
        <f>650*80+622*23+229*4</f>
        <v>67222</v>
      </c>
      <c r="Q453" s="32">
        <f>-103*6</f>
        <v>-618</v>
      </c>
      <c r="R453" s="32"/>
      <c r="S453" s="32">
        <f t="shared" ref="S453:S490" si="144">SUM(P453:Q453)</f>
        <v>66604</v>
      </c>
      <c r="T453" s="12"/>
      <c r="U453" s="12">
        <v>144</v>
      </c>
      <c r="V453" s="12"/>
      <c r="W453" s="12">
        <f t="shared" ref="W453:W493" si="145">SUM(S453:V453)</f>
        <v>66748</v>
      </c>
      <c r="Y453" s="10">
        <v>2</v>
      </c>
      <c r="Z453" s="30">
        <v>46328</v>
      </c>
      <c r="AA453" s="31">
        <f>AA452+1</f>
        <v>8936</v>
      </c>
      <c r="AB453" s="32">
        <f>3250+47.5</f>
        <v>3297.5</v>
      </c>
      <c r="AD453" s="32"/>
      <c r="AE453" s="32">
        <f t="shared" ref="AE453:AE454" si="146">SUM(AB453:AC453)</f>
        <v>3297.5</v>
      </c>
      <c r="AF453" s="12"/>
      <c r="AG453" s="12"/>
      <c r="AH453">
        <v>-111</v>
      </c>
      <c r="AI453" s="12">
        <f t="shared" ref="AI453:AI454" si="147">SUM(AE453:AH453)</f>
        <v>3186.5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46328</v>
      </c>
      <c r="C454" s="83">
        <f t="shared" ref="C454:C458" si="148">C453+1</f>
        <v>9070</v>
      </c>
      <c r="D454" s="33">
        <f>650*20</f>
        <v>13000</v>
      </c>
      <c r="E454" s="33"/>
      <c r="F454" s="33"/>
      <c r="G454" s="33">
        <f t="shared" si="142"/>
        <v>13000</v>
      </c>
      <c r="H454" s="34"/>
      <c r="I454" s="34"/>
      <c r="J454" s="34"/>
      <c r="K454" s="34">
        <f t="shared" si="143"/>
        <v>13000</v>
      </c>
      <c r="M454" s="10">
        <v>3</v>
      </c>
      <c r="N454" s="30">
        <v>46328</v>
      </c>
      <c r="O454" s="31">
        <f t="shared" ref="O454:O461" si="149">O453+1</f>
        <v>9103</v>
      </c>
      <c r="P454" s="32">
        <f>650*37+229</f>
        <v>24279</v>
      </c>
      <c r="Q454" s="32"/>
      <c r="R454" s="32"/>
      <c r="S454" s="32">
        <f t="shared" si="144"/>
        <v>24279</v>
      </c>
      <c r="T454" s="12"/>
      <c r="U454" s="12">
        <v>36</v>
      </c>
      <c r="V454" s="12"/>
      <c r="W454" s="12">
        <f t="shared" si="145"/>
        <v>24315</v>
      </c>
      <c r="Y454" s="10">
        <v>3</v>
      </c>
      <c r="Z454" s="30">
        <v>46328</v>
      </c>
      <c r="AA454" s="31">
        <f t="shared" ref="AA454:AA455" si="150">AA453+1</f>
        <v>8937</v>
      </c>
      <c r="AB454" s="32">
        <f>650*60+670*5+229*2</f>
        <v>42808</v>
      </c>
      <c r="AC454" s="33">
        <v>-390</v>
      </c>
      <c r="AD454" s="32"/>
      <c r="AE454" s="32">
        <f t="shared" si="146"/>
        <v>42418</v>
      </c>
      <c r="AF454" s="12"/>
      <c r="AG454" s="12"/>
      <c r="AH454" s="12"/>
      <c r="AI454" s="12">
        <f t="shared" si="147"/>
        <v>42418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46328</v>
      </c>
      <c r="C455" s="83">
        <f t="shared" si="148"/>
        <v>9071</v>
      </c>
      <c r="D455" s="32">
        <f>650*324+670*48+108*622+912*30+1050*10+15*229</f>
        <v>351231</v>
      </c>
      <c r="E455" s="32">
        <f>-520*6</f>
        <v>-3120</v>
      </c>
      <c r="F455" s="32"/>
      <c r="G455" s="32">
        <f t="shared" si="142"/>
        <v>348111</v>
      </c>
      <c r="H455" s="12"/>
      <c r="I455" s="12">
        <f>3600+1554+288</f>
        <v>5442</v>
      </c>
      <c r="J455" s="12"/>
      <c r="K455" s="12">
        <f t="shared" si="143"/>
        <v>353553</v>
      </c>
      <c r="M455" s="10">
        <v>4</v>
      </c>
      <c r="N455" s="30">
        <v>46328</v>
      </c>
      <c r="O455" s="31">
        <f t="shared" si="149"/>
        <v>9104</v>
      </c>
      <c r="P455" s="32">
        <f>650*35+700</f>
        <v>23450</v>
      </c>
      <c r="Q455" s="32"/>
      <c r="R455" s="32"/>
      <c r="S455" s="32">
        <f t="shared" si="144"/>
        <v>23450</v>
      </c>
      <c r="T455" s="12"/>
      <c r="U455" s="12"/>
      <c r="V455" s="12"/>
      <c r="W455" s="12">
        <f t="shared" si="145"/>
        <v>23450</v>
      </c>
      <c r="Y455" s="10">
        <v>4</v>
      </c>
      <c r="Z455" s="30">
        <v>46328</v>
      </c>
      <c r="AA455" s="31">
        <f t="shared" si="150"/>
        <v>8938</v>
      </c>
      <c r="AB455" s="32">
        <f>650*50+670*5+622*6+229*2</f>
        <v>40040</v>
      </c>
      <c r="AC455" s="32">
        <f>-61*6</f>
        <v>-366</v>
      </c>
      <c r="AD455" s="32"/>
      <c r="AE455" s="32">
        <f>SUM(AB455:AC455)</f>
        <v>39674</v>
      </c>
      <c r="AF455" s="12"/>
      <c r="AG455">
        <v>156</v>
      </c>
      <c r="AH455" s="12"/>
      <c r="AI455" s="12">
        <f>SUM(AE455:AH455)</f>
        <v>39830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>
        <v>46328</v>
      </c>
      <c r="C456" s="83">
        <f t="shared" si="148"/>
        <v>9072</v>
      </c>
      <c r="D456" s="32">
        <f>6500+650</f>
        <v>7150</v>
      </c>
      <c r="E456" s="32"/>
      <c r="F456" s="32"/>
      <c r="G456" s="32">
        <f t="shared" si="142"/>
        <v>7150</v>
      </c>
      <c r="H456" s="12"/>
      <c r="I456" s="12"/>
      <c r="J456" s="12">
        <v>-2664</v>
      </c>
      <c r="K456" s="12">
        <f t="shared" si="143"/>
        <v>4486</v>
      </c>
      <c r="M456" s="10">
        <v>5</v>
      </c>
      <c r="N456" s="30">
        <v>46328</v>
      </c>
      <c r="O456" s="31">
        <f t="shared" si="149"/>
        <v>9105</v>
      </c>
      <c r="P456" s="32">
        <f>650</f>
        <v>650</v>
      </c>
      <c r="Q456" s="32"/>
      <c r="R456" s="32"/>
      <c r="S456" s="32">
        <f t="shared" si="144"/>
        <v>650</v>
      </c>
      <c r="T456" s="12"/>
      <c r="U456" s="12"/>
      <c r="V456" s="12"/>
      <c r="W456" s="12">
        <f t="shared" si="145"/>
        <v>650</v>
      </c>
      <c r="Y456" s="10">
        <v>5</v>
      </c>
      <c r="Z456" s="30"/>
      <c r="AA456" s="11" t="s">
        <v>27</v>
      </c>
      <c r="AB456" s="33"/>
      <c r="AC456" s="32"/>
      <c r="AD456" s="32"/>
      <c r="AE456" s="32">
        <f>SUM(AB456:AC456)</f>
        <v>0</v>
      </c>
      <c r="AF456" s="12"/>
      <c r="AG456" s="12"/>
      <c r="AH456" s="12"/>
      <c r="AI456" s="12">
        <f t="shared" ref="AI456:AI493" si="151">SUM(AE456:AH456)</f>
        <v>0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>
        <v>46328</v>
      </c>
      <c r="C457" s="83">
        <f t="shared" si="148"/>
        <v>9073</v>
      </c>
      <c r="D457" s="32">
        <f>650*137+229*24</f>
        <v>94546</v>
      </c>
      <c r="E457" s="32"/>
      <c r="F457" s="32"/>
      <c r="G457" s="32">
        <f t="shared" si="142"/>
        <v>94546</v>
      </c>
      <c r="H457" s="12"/>
      <c r="I457" s="12">
        <v>1872</v>
      </c>
      <c r="J457" s="12"/>
      <c r="K457" s="12">
        <f t="shared" si="143"/>
        <v>96418</v>
      </c>
      <c r="M457" s="10">
        <v>6</v>
      </c>
      <c r="N457" s="30">
        <v>46328</v>
      </c>
      <c r="O457" s="31">
        <f t="shared" si="149"/>
        <v>9106</v>
      </c>
      <c r="P457" s="32">
        <f>1300+19</f>
        <v>1319</v>
      </c>
      <c r="Q457" s="32"/>
      <c r="R457" s="32"/>
      <c r="S457" s="32">
        <f t="shared" si="144"/>
        <v>1319</v>
      </c>
      <c r="T457" s="12"/>
      <c r="U457" s="12"/>
      <c r="V457" s="10"/>
      <c r="W457" s="12">
        <f t="shared" si="145"/>
        <v>1319</v>
      </c>
      <c r="Y457" s="10">
        <v>6</v>
      </c>
      <c r="Z457" s="30"/>
      <c r="AA457" s="31"/>
      <c r="AB457" s="32"/>
      <c r="AC457" s="32"/>
      <c r="AD457" s="32"/>
      <c r="AE457" s="32">
        <f t="shared" ref="AE457:AE490" si="152">SUM(AB457:AC457)</f>
        <v>0</v>
      </c>
      <c r="AF457" s="12"/>
      <c r="AG457" s="12"/>
      <c r="AH457" s="10"/>
      <c r="AI457" s="12">
        <f t="shared" si="151"/>
        <v>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>
        <v>46328</v>
      </c>
      <c r="C458" s="83">
        <f t="shared" si="148"/>
        <v>9074</v>
      </c>
      <c r="D458" s="32">
        <f>650*10</f>
        <v>6500</v>
      </c>
      <c r="E458" s="32"/>
      <c r="F458" s="32"/>
      <c r="G458" s="32">
        <f t="shared" si="142"/>
        <v>6500</v>
      </c>
      <c r="H458" s="12"/>
      <c r="I458" s="12"/>
      <c r="J458" s="12"/>
      <c r="K458" s="12">
        <f t="shared" si="143"/>
        <v>6500</v>
      </c>
      <c r="M458" s="10">
        <v>7</v>
      </c>
      <c r="N458" s="30">
        <v>46328</v>
      </c>
      <c r="O458" s="31">
        <f t="shared" si="149"/>
        <v>9107</v>
      </c>
      <c r="P458" s="32">
        <f>650*3+622*2</f>
        <v>3194</v>
      </c>
      <c r="Q458" s="32"/>
      <c r="R458" s="32"/>
      <c r="S458" s="32">
        <f t="shared" si="144"/>
        <v>3194</v>
      </c>
      <c r="T458" s="12"/>
      <c r="U458" s="12">
        <v>4.5</v>
      </c>
      <c r="V458" s="12"/>
      <c r="W458" s="12">
        <f t="shared" si="145"/>
        <v>3198.5</v>
      </c>
      <c r="Y458" s="10">
        <v>7</v>
      </c>
      <c r="Z458" s="30"/>
      <c r="AA458" s="31"/>
      <c r="AB458" s="32"/>
      <c r="AC458" s="32"/>
      <c r="AD458" s="32"/>
      <c r="AE458" s="32">
        <f t="shared" si="152"/>
        <v>0</v>
      </c>
      <c r="AF458" s="12"/>
      <c r="AG458" s="58"/>
      <c r="AH458" s="12"/>
      <c r="AI458" s="12">
        <f t="shared" si="151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/>
      <c r="C459" s="11" t="s">
        <v>27</v>
      </c>
      <c r="D459" s="32"/>
      <c r="E459" s="32"/>
      <c r="F459" s="32"/>
      <c r="G459" s="32">
        <f t="shared" si="142"/>
        <v>0</v>
      </c>
      <c r="H459" s="12"/>
      <c r="I459" s="12"/>
      <c r="J459" s="12"/>
      <c r="K459" s="12">
        <f t="shared" si="143"/>
        <v>0</v>
      </c>
      <c r="M459" s="10">
        <v>8</v>
      </c>
      <c r="N459" s="30">
        <v>46328</v>
      </c>
      <c r="O459" s="31">
        <f t="shared" si="149"/>
        <v>9108</v>
      </c>
      <c r="P459" s="32">
        <f>650*18+622*4+229*3</f>
        <v>14875</v>
      </c>
      <c r="Q459" s="32"/>
      <c r="R459" s="32"/>
      <c r="S459" s="32">
        <f t="shared" si="144"/>
        <v>14875</v>
      </c>
      <c r="T459" s="12"/>
      <c r="U459" s="12"/>
      <c r="V459" s="12">
        <v>-333</v>
      </c>
      <c r="W459" s="12">
        <f t="shared" si="145"/>
        <v>14542</v>
      </c>
      <c r="Y459" s="10">
        <v>8</v>
      </c>
      <c r="Z459" s="30"/>
      <c r="AA459" s="31"/>
      <c r="AB459" s="32"/>
      <c r="AC459" s="32"/>
      <c r="AE459" s="32">
        <f t="shared" si="152"/>
        <v>0</v>
      </c>
      <c r="AF459" s="12"/>
      <c r="AG459" s="12"/>
      <c r="AH459" s="12"/>
      <c r="AI459" s="12">
        <f t="shared" si="151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/>
      <c r="C460" s="83"/>
      <c r="D460" s="32"/>
      <c r="E460" s="32"/>
      <c r="F460" s="32"/>
      <c r="G460" s="32">
        <f t="shared" si="142"/>
        <v>0</v>
      </c>
      <c r="H460" s="12"/>
      <c r="I460" s="12"/>
      <c r="J460" s="12"/>
      <c r="K460" s="12">
        <f t="shared" si="143"/>
        <v>0</v>
      </c>
      <c r="M460" s="10">
        <v>9</v>
      </c>
      <c r="N460" s="30">
        <v>46328</v>
      </c>
      <c r="O460" s="31">
        <f t="shared" si="149"/>
        <v>9109</v>
      </c>
      <c r="P460" s="32">
        <f>650*8</f>
        <v>5200</v>
      </c>
      <c r="Q460" s="32"/>
      <c r="R460" s="32"/>
      <c r="S460" s="32">
        <f t="shared" si="144"/>
        <v>5200</v>
      </c>
      <c r="T460" s="12"/>
      <c r="U460" s="12"/>
      <c r="V460" s="12">
        <v>-12</v>
      </c>
      <c r="W460" s="12">
        <f t="shared" si="145"/>
        <v>5188</v>
      </c>
      <c r="Y460" s="10">
        <v>9</v>
      </c>
      <c r="Z460" s="30"/>
      <c r="AA460" s="31"/>
      <c r="AC460" s="32"/>
      <c r="AD460" s="32"/>
      <c r="AE460" s="32">
        <f t="shared" si="152"/>
        <v>0</v>
      </c>
      <c r="AF460" s="12"/>
      <c r="AH460" s="12"/>
      <c r="AI460" s="12">
        <f t="shared" si="151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/>
      <c r="C461" s="83"/>
      <c r="D461" s="32"/>
      <c r="E461" s="32"/>
      <c r="F461" s="32"/>
      <c r="G461" s="32">
        <f t="shared" si="142"/>
        <v>0</v>
      </c>
      <c r="H461" s="12"/>
      <c r="I461" s="12"/>
      <c r="J461" s="12"/>
      <c r="K461" s="12">
        <f t="shared" si="143"/>
        <v>0</v>
      </c>
      <c r="M461" s="10">
        <v>10</v>
      </c>
      <c r="N461" s="30">
        <v>46328</v>
      </c>
      <c r="O461" s="31">
        <f t="shared" si="149"/>
        <v>9110</v>
      </c>
      <c r="P461" s="32">
        <f>622</f>
        <v>622</v>
      </c>
      <c r="Q461" s="32"/>
      <c r="R461" s="32"/>
      <c r="S461" s="32">
        <f t="shared" si="144"/>
        <v>622</v>
      </c>
      <c r="T461" s="12"/>
      <c r="U461" s="12"/>
      <c r="V461" s="12"/>
      <c r="W461" s="12">
        <f t="shared" si="145"/>
        <v>622</v>
      </c>
      <c r="Y461" s="10">
        <v>10</v>
      </c>
      <c r="Z461" s="30"/>
      <c r="AA461" s="31"/>
      <c r="AB461" s="32"/>
      <c r="AC461" s="32"/>
      <c r="AD461" s="32"/>
      <c r="AE461" s="32">
        <f t="shared" si="152"/>
        <v>0</v>
      </c>
      <c r="AF461" s="12"/>
      <c r="AG461" s="12"/>
      <c r="AH461" s="12"/>
      <c r="AI461" s="12">
        <f t="shared" si="151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/>
      <c r="C462" s="57"/>
      <c r="D462" s="32"/>
      <c r="E462" s="32"/>
      <c r="F462" s="32"/>
      <c r="G462" s="32">
        <f t="shared" si="142"/>
        <v>0</v>
      </c>
      <c r="H462" s="12"/>
      <c r="I462" s="12"/>
      <c r="J462" s="12"/>
      <c r="K462" s="12">
        <f t="shared" si="143"/>
        <v>0</v>
      </c>
      <c r="M462" s="10">
        <v>11</v>
      </c>
      <c r="N462" s="30"/>
      <c r="O462" s="11" t="s">
        <v>27</v>
      </c>
      <c r="P462" s="32"/>
      <c r="Q462" s="32"/>
      <c r="R462" s="32"/>
      <c r="S462" s="32">
        <f t="shared" si="144"/>
        <v>0</v>
      </c>
      <c r="T462" s="12"/>
      <c r="U462" s="12"/>
      <c r="V462" s="12"/>
      <c r="W462" s="12">
        <f t="shared" si="145"/>
        <v>0</v>
      </c>
      <c r="Y462" s="10">
        <v>11</v>
      </c>
      <c r="Z462" s="30"/>
      <c r="AA462" s="31"/>
      <c r="AB462" s="32"/>
      <c r="AC462" s="32"/>
      <c r="AD462" s="32"/>
      <c r="AE462" s="32">
        <f t="shared" si="152"/>
        <v>0</v>
      </c>
      <c r="AF462" s="12"/>
      <c r="AG462" s="12"/>
      <c r="AH462" s="12"/>
      <c r="AI462" s="12">
        <f t="shared" si="151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/>
      <c r="C463" s="83"/>
      <c r="D463" s="32"/>
      <c r="E463" s="32"/>
      <c r="F463" s="32"/>
      <c r="G463" s="32">
        <f t="shared" si="142"/>
        <v>0</v>
      </c>
      <c r="H463" s="12"/>
      <c r="I463" s="12"/>
      <c r="J463" s="10"/>
      <c r="K463" s="12">
        <f t="shared" si="143"/>
        <v>0</v>
      </c>
      <c r="M463" s="10">
        <v>12</v>
      </c>
      <c r="N463" s="30"/>
      <c r="O463" s="31"/>
      <c r="P463" s="32"/>
      <c r="Q463" s="32"/>
      <c r="R463" s="32"/>
      <c r="S463" s="32">
        <f t="shared" si="144"/>
        <v>0</v>
      </c>
      <c r="T463" s="12"/>
      <c r="U463" s="12"/>
      <c r="V463" s="12"/>
      <c r="W463" s="12">
        <f t="shared" si="145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52"/>
        <v>0</v>
      </c>
      <c r="AF463" s="12"/>
      <c r="AG463" s="12"/>
      <c r="AH463" s="12"/>
      <c r="AI463" s="12">
        <f t="shared" si="151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/>
      <c r="C464" s="83"/>
      <c r="D464" s="32"/>
      <c r="E464" s="32"/>
      <c r="F464" s="32"/>
      <c r="G464" s="32">
        <f t="shared" si="142"/>
        <v>0</v>
      </c>
      <c r="H464" s="12"/>
      <c r="I464" s="12"/>
      <c r="J464" s="12"/>
      <c r="K464" s="12">
        <f t="shared" si="143"/>
        <v>0</v>
      </c>
      <c r="M464" s="10">
        <v>13</v>
      </c>
      <c r="N464" s="30"/>
      <c r="O464" s="31"/>
      <c r="P464" s="32"/>
      <c r="Q464" s="32"/>
      <c r="R464" s="32"/>
      <c r="S464" s="32">
        <f t="shared" si="144"/>
        <v>0</v>
      </c>
      <c r="T464" s="12"/>
      <c r="U464" s="12"/>
      <c r="V464" s="12"/>
      <c r="W464" s="12">
        <f t="shared" si="145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52"/>
        <v>0</v>
      </c>
      <c r="AF464" s="12"/>
      <c r="AG464" s="12"/>
      <c r="AH464" s="12"/>
      <c r="AI464" s="12">
        <f t="shared" si="151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/>
      <c r="C465" s="83"/>
      <c r="D465" s="32"/>
      <c r="E465" s="32"/>
      <c r="F465" s="32"/>
      <c r="G465" s="32">
        <f t="shared" si="142"/>
        <v>0</v>
      </c>
      <c r="H465" s="12"/>
      <c r="I465" s="12"/>
      <c r="J465" s="12"/>
      <c r="K465" s="12">
        <f t="shared" si="143"/>
        <v>0</v>
      </c>
      <c r="M465" s="10">
        <v>14</v>
      </c>
      <c r="N465" s="30"/>
      <c r="O465" s="31"/>
      <c r="P465" s="32"/>
      <c r="Q465" s="32"/>
      <c r="R465" s="32"/>
      <c r="S465" s="32">
        <f t="shared" si="144"/>
        <v>0</v>
      </c>
      <c r="T465" s="12"/>
      <c r="U465" s="12"/>
      <c r="V465" s="12"/>
      <c r="W465" s="12">
        <f t="shared" si="145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52"/>
        <v>0</v>
      </c>
      <c r="AF465" s="12"/>
      <c r="AG465" s="12"/>
      <c r="AH465" s="12"/>
      <c r="AI465" s="12">
        <f t="shared" si="151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/>
      <c r="C466" s="83"/>
      <c r="D466" s="32"/>
      <c r="E466" s="32"/>
      <c r="F466" s="32"/>
      <c r="G466" s="32">
        <f t="shared" si="142"/>
        <v>0</v>
      </c>
      <c r="H466" s="12"/>
      <c r="I466" s="12"/>
      <c r="J466" s="12"/>
      <c r="K466" s="12">
        <f t="shared" si="143"/>
        <v>0</v>
      </c>
      <c r="M466" s="10">
        <v>15</v>
      </c>
      <c r="N466" s="30"/>
      <c r="O466" s="31"/>
      <c r="P466" s="32"/>
      <c r="Q466" s="32"/>
      <c r="R466" s="32"/>
      <c r="S466" s="32">
        <f t="shared" si="144"/>
        <v>0</v>
      </c>
      <c r="T466" s="12"/>
      <c r="U466" s="12"/>
      <c r="V466" s="12"/>
      <c r="W466" s="12">
        <f t="shared" si="145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52"/>
        <v>0</v>
      </c>
      <c r="AF466" s="12"/>
      <c r="AG466" s="12"/>
      <c r="AH466" s="12"/>
      <c r="AI466" s="12">
        <f t="shared" si="151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/>
      <c r="D467" s="32"/>
      <c r="E467" s="32"/>
      <c r="F467" s="32"/>
      <c r="G467" s="32">
        <f t="shared" si="142"/>
        <v>0</v>
      </c>
      <c r="H467" s="12"/>
      <c r="I467" s="12"/>
      <c r="J467" s="12"/>
      <c r="K467" s="12">
        <f t="shared" si="143"/>
        <v>0</v>
      </c>
      <c r="M467" s="10">
        <v>16</v>
      </c>
      <c r="N467" s="30"/>
      <c r="P467" s="32"/>
      <c r="Q467" s="32"/>
      <c r="R467" s="32"/>
      <c r="S467" s="32">
        <f t="shared" si="144"/>
        <v>0</v>
      </c>
      <c r="T467" s="12"/>
      <c r="U467" s="12"/>
      <c r="V467" s="12"/>
      <c r="W467" s="12">
        <f t="shared" si="145"/>
        <v>0</v>
      </c>
      <c r="Y467" s="10">
        <v>16</v>
      </c>
      <c r="Z467" s="30"/>
      <c r="AB467" s="32"/>
      <c r="AC467" s="32"/>
      <c r="AD467" s="32"/>
      <c r="AE467" s="32">
        <f t="shared" si="152"/>
        <v>0</v>
      </c>
      <c r="AF467" s="12"/>
      <c r="AG467" s="12"/>
      <c r="AH467" s="12"/>
      <c r="AI467" s="12">
        <f t="shared" si="151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/>
      <c r="C468" s="83"/>
      <c r="D468" s="32"/>
      <c r="E468" s="32"/>
      <c r="F468" s="32"/>
      <c r="G468" s="32">
        <f t="shared" si="142"/>
        <v>0</v>
      </c>
      <c r="H468" s="12"/>
      <c r="I468" s="12"/>
      <c r="J468" s="12"/>
      <c r="K468" s="12">
        <f t="shared" si="143"/>
        <v>0</v>
      </c>
      <c r="M468" s="10">
        <v>17</v>
      </c>
      <c r="N468" s="30"/>
      <c r="O468" s="31"/>
      <c r="P468" s="35"/>
      <c r="Q468" s="32"/>
      <c r="R468" s="32"/>
      <c r="S468" s="32">
        <f t="shared" si="144"/>
        <v>0</v>
      </c>
      <c r="T468" s="12"/>
      <c r="U468" s="12"/>
      <c r="V468" s="12"/>
      <c r="W468" s="12">
        <f t="shared" si="145"/>
        <v>0</v>
      </c>
      <c r="Y468" s="10">
        <v>17</v>
      </c>
      <c r="Z468" s="30"/>
      <c r="AA468" s="31"/>
      <c r="AB468" s="35"/>
      <c r="AC468" s="32"/>
      <c r="AD468" s="32"/>
      <c r="AE468" s="32">
        <f t="shared" si="152"/>
        <v>0</v>
      </c>
      <c r="AF468" s="12"/>
      <c r="AG468" s="12"/>
      <c r="AH468" s="12"/>
      <c r="AI468" s="12">
        <f t="shared" si="151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/>
      <c r="C469" s="83"/>
      <c r="D469" s="32"/>
      <c r="E469" s="32"/>
      <c r="F469" s="32"/>
      <c r="G469" s="32">
        <f t="shared" si="142"/>
        <v>0</v>
      </c>
      <c r="H469" s="12"/>
      <c r="I469" s="12"/>
      <c r="J469" s="12"/>
      <c r="K469" s="12">
        <f t="shared" si="143"/>
        <v>0</v>
      </c>
      <c r="M469" s="10">
        <v>18</v>
      </c>
      <c r="N469" s="30"/>
      <c r="O469" s="31"/>
      <c r="P469" s="32"/>
      <c r="Q469" s="32"/>
      <c r="R469" s="32"/>
      <c r="S469" s="32">
        <f t="shared" si="144"/>
        <v>0</v>
      </c>
      <c r="T469" s="12"/>
      <c r="U469" s="12"/>
      <c r="V469" s="12"/>
      <c r="W469" s="12">
        <f t="shared" si="145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52"/>
        <v>0</v>
      </c>
      <c r="AF469" s="12"/>
      <c r="AG469" s="12"/>
      <c r="AH469" s="12"/>
      <c r="AI469" s="12">
        <f t="shared" si="151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83"/>
      <c r="D470" s="32"/>
      <c r="E470" s="32"/>
      <c r="F470" s="32"/>
      <c r="G470" s="32">
        <f t="shared" si="142"/>
        <v>0</v>
      </c>
      <c r="H470" s="12"/>
      <c r="I470" s="12"/>
      <c r="J470" s="12"/>
      <c r="K470" s="12">
        <f t="shared" si="143"/>
        <v>0</v>
      </c>
      <c r="M470" s="10">
        <v>19</v>
      </c>
      <c r="N470" s="30"/>
      <c r="O470" s="31"/>
      <c r="P470" s="32"/>
      <c r="Q470" s="32"/>
      <c r="R470" s="32"/>
      <c r="S470" s="32">
        <f t="shared" si="144"/>
        <v>0</v>
      </c>
      <c r="T470" s="12"/>
      <c r="U470" s="12"/>
      <c r="V470" s="12"/>
      <c r="W470" s="12">
        <f t="shared" si="145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52"/>
        <v>0</v>
      </c>
      <c r="AF470" s="12"/>
      <c r="AG470" s="12"/>
      <c r="AH470" s="12"/>
      <c r="AI470" s="12">
        <f t="shared" si="151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83"/>
      <c r="D471" s="32"/>
      <c r="E471" s="32"/>
      <c r="F471" s="32"/>
      <c r="G471" s="32">
        <f t="shared" si="142"/>
        <v>0</v>
      </c>
      <c r="H471" s="12"/>
      <c r="I471" s="12"/>
      <c r="J471" s="12"/>
      <c r="K471" s="12">
        <f t="shared" si="143"/>
        <v>0</v>
      </c>
      <c r="M471" s="10">
        <v>20</v>
      </c>
      <c r="N471" s="30"/>
      <c r="O471" s="31"/>
      <c r="P471" s="32"/>
      <c r="Q471" s="32"/>
      <c r="R471" s="32"/>
      <c r="S471" s="32">
        <f t="shared" si="144"/>
        <v>0</v>
      </c>
      <c r="T471" s="12"/>
      <c r="U471" s="12"/>
      <c r="V471" s="12"/>
      <c r="W471" s="12">
        <f t="shared" si="145"/>
        <v>0</v>
      </c>
      <c r="Y471" s="10">
        <v>20</v>
      </c>
      <c r="Z471" s="30"/>
      <c r="AB471" s="32"/>
      <c r="AC471" s="32"/>
      <c r="AD471" s="32"/>
      <c r="AE471" s="32">
        <f t="shared" si="152"/>
        <v>0</v>
      </c>
      <c r="AF471" s="12"/>
      <c r="AG471" s="12"/>
      <c r="AH471" s="12"/>
      <c r="AI471" s="12">
        <f t="shared" si="151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C472" s="57"/>
      <c r="D472" s="32"/>
      <c r="E472" s="32"/>
      <c r="F472" s="32"/>
      <c r="G472" s="32">
        <f t="shared" si="142"/>
        <v>0</v>
      </c>
      <c r="H472" s="10"/>
      <c r="I472" s="10"/>
      <c r="J472" s="10"/>
      <c r="K472" s="12">
        <f t="shared" si="143"/>
        <v>0</v>
      </c>
      <c r="M472" s="10">
        <v>21</v>
      </c>
      <c r="N472" s="30"/>
      <c r="O472" s="31"/>
      <c r="P472" s="92"/>
      <c r="Q472" s="31"/>
      <c r="R472" s="31"/>
      <c r="S472" s="32">
        <f t="shared" si="144"/>
        <v>0</v>
      </c>
      <c r="T472" s="10"/>
      <c r="U472" s="10"/>
      <c r="V472" s="10"/>
      <c r="W472" s="12">
        <f t="shared" si="145"/>
        <v>0</v>
      </c>
      <c r="Y472" s="10">
        <v>21</v>
      </c>
      <c r="Z472" s="30"/>
      <c r="AA472" s="31"/>
      <c r="AB472" s="46"/>
      <c r="AC472" s="31"/>
      <c r="AD472" s="31"/>
      <c r="AE472" s="32">
        <f t="shared" si="152"/>
        <v>0</v>
      </c>
      <c r="AF472" s="10"/>
      <c r="AG472" s="10"/>
      <c r="AH472" s="10"/>
      <c r="AI472" s="12">
        <f t="shared" si="151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C473" s="83"/>
      <c r="D473" s="32"/>
      <c r="E473" s="32"/>
      <c r="F473" s="32"/>
      <c r="G473" s="32">
        <f t="shared" si="142"/>
        <v>0</v>
      </c>
      <c r="H473" s="10"/>
      <c r="I473" s="10"/>
      <c r="J473" s="10"/>
      <c r="K473" s="12">
        <f t="shared" si="143"/>
        <v>0</v>
      </c>
      <c r="M473" s="10">
        <v>22</v>
      </c>
      <c r="N473" s="30"/>
      <c r="O473" s="31"/>
      <c r="P473" s="92"/>
      <c r="Q473" s="31"/>
      <c r="R473" s="31"/>
      <c r="S473" s="32">
        <f t="shared" si="144"/>
        <v>0</v>
      </c>
      <c r="T473" s="10"/>
      <c r="U473" s="10"/>
      <c r="V473" s="10"/>
      <c r="W473" s="12">
        <f t="shared" si="145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52"/>
        <v>0</v>
      </c>
      <c r="AF473" s="10"/>
      <c r="AG473" s="10"/>
      <c r="AH473" s="10"/>
      <c r="AI473" s="12">
        <f t="shared" si="151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83"/>
      <c r="D474" s="32"/>
      <c r="E474" s="32"/>
      <c r="F474" s="32"/>
      <c r="G474" s="32">
        <f t="shared" si="142"/>
        <v>0</v>
      </c>
      <c r="H474" s="10"/>
      <c r="I474" s="10"/>
      <c r="J474" s="12"/>
      <c r="K474" s="12">
        <f t="shared" si="143"/>
        <v>0</v>
      </c>
      <c r="M474" s="10">
        <v>23</v>
      </c>
      <c r="N474" s="30"/>
      <c r="O474" s="31"/>
      <c r="P474" s="47"/>
      <c r="Q474" s="31"/>
      <c r="S474" s="32">
        <f t="shared" si="144"/>
        <v>0</v>
      </c>
      <c r="T474" s="10"/>
      <c r="U474" s="10"/>
      <c r="V474" s="10"/>
      <c r="W474" s="12">
        <f t="shared" si="145"/>
        <v>0</v>
      </c>
      <c r="Y474" s="10">
        <v>23</v>
      </c>
      <c r="Z474" s="30"/>
      <c r="AA474" s="31"/>
      <c r="AB474" s="47"/>
      <c r="AC474" s="31"/>
      <c r="AE474" s="32">
        <f t="shared" si="152"/>
        <v>0</v>
      </c>
      <c r="AF474" s="10"/>
      <c r="AG474" s="10"/>
      <c r="AH474" s="10"/>
      <c r="AI474" s="12">
        <f t="shared" si="151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83"/>
      <c r="D475" s="32"/>
      <c r="E475" s="32"/>
      <c r="F475" s="32"/>
      <c r="G475" s="32">
        <f t="shared" si="142"/>
        <v>0</v>
      </c>
      <c r="H475" s="10"/>
      <c r="I475" s="10"/>
      <c r="J475" s="10"/>
      <c r="K475" s="12">
        <f t="shared" si="143"/>
        <v>0</v>
      </c>
      <c r="M475" s="10">
        <v>24</v>
      </c>
      <c r="N475" s="30"/>
      <c r="P475" s="47"/>
      <c r="Q475" s="31"/>
      <c r="R475" s="31"/>
      <c r="S475" s="32">
        <f t="shared" si="144"/>
        <v>0</v>
      </c>
      <c r="T475" s="10"/>
      <c r="U475" s="10"/>
      <c r="V475" s="10"/>
      <c r="W475" s="12">
        <f t="shared" si="145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52"/>
        <v>0</v>
      </c>
      <c r="AF475" s="10"/>
      <c r="AG475" s="10"/>
      <c r="AH475" s="10"/>
      <c r="AI475" s="12">
        <f t="shared" si="151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83"/>
      <c r="D476" s="32"/>
      <c r="E476" s="32"/>
      <c r="F476" s="32"/>
      <c r="G476" s="32">
        <f t="shared" si="142"/>
        <v>0</v>
      </c>
      <c r="H476" s="10"/>
      <c r="I476" s="10"/>
      <c r="J476" s="10"/>
      <c r="K476" s="12">
        <f t="shared" si="143"/>
        <v>0</v>
      </c>
      <c r="M476" s="10">
        <v>25</v>
      </c>
      <c r="N476" s="30"/>
      <c r="O476" s="31"/>
      <c r="P476" s="47"/>
      <c r="Q476" s="31"/>
      <c r="R476" s="31"/>
      <c r="S476" s="32">
        <f t="shared" si="144"/>
        <v>0</v>
      </c>
      <c r="T476" s="10"/>
      <c r="U476" s="10"/>
      <c r="V476" s="10"/>
      <c r="W476" s="12">
        <f t="shared" si="145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52"/>
        <v>0</v>
      </c>
      <c r="AF476" s="10"/>
      <c r="AG476" s="10"/>
      <c r="AH476" s="10"/>
      <c r="AI476" s="12">
        <f t="shared" si="151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83"/>
      <c r="D477" s="32"/>
      <c r="E477" s="32"/>
      <c r="F477" s="32"/>
      <c r="G477" s="32">
        <f t="shared" si="142"/>
        <v>0</v>
      </c>
      <c r="H477" s="10"/>
      <c r="I477" s="10"/>
      <c r="J477" s="10"/>
      <c r="K477" s="12">
        <f t="shared" si="143"/>
        <v>0</v>
      </c>
      <c r="M477" s="10">
        <v>26</v>
      </c>
      <c r="N477" s="30"/>
      <c r="P477" s="47"/>
      <c r="Q477" s="31"/>
      <c r="R477" s="31"/>
      <c r="S477" s="32">
        <f t="shared" si="144"/>
        <v>0</v>
      </c>
      <c r="T477" s="10"/>
      <c r="U477" s="10"/>
      <c r="V477" s="10"/>
      <c r="W477" s="12">
        <f t="shared" si="145"/>
        <v>0</v>
      </c>
      <c r="Y477" s="10">
        <v>26</v>
      </c>
      <c r="Z477" s="30"/>
      <c r="AA477" s="31"/>
      <c r="AB477" s="47"/>
      <c r="AC477" s="31"/>
      <c r="AD477" s="31"/>
      <c r="AE477" s="32">
        <f t="shared" si="152"/>
        <v>0</v>
      </c>
      <c r="AF477" s="10"/>
      <c r="AG477" s="10"/>
      <c r="AH477" s="10"/>
      <c r="AI477" s="12">
        <f t="shared" si="151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83"/>
      <c r="D478" s="32"/>
      <c r="E478" s="32"/>
      <c r="F478" s="32"/>
      <c r="G478" s="32">
        <f t="shared" si="142"/>
        <v>0</v>
      </c>
      <c r="H478" s="10"/>
      <c r="I478" s="10"/>
      <c r="J478" s="10"/>
      <c r="K478" s="12">
        <f t="shared" si="143"/>
        <v>0</v>
      </c>
      <c r="M478" s="10">
        <v>27</v>
      </c>
      <c r="N478" s="30"/>
      <c r="O478" s="31"/>
      <c r="P478" s="47"/>
      <c r="Q478" s="31"/>
      <c r="R478" s="31"/>
      <c r="S478" s="32">
        <f t="shared" si="144"/>
        <v>0</v>
      </c>
      <c r="T478" s="10"/>
      <c r="U478" s="10"/>
      <c r="V478" s="10"/>
      <c r="W478" s="12">
        <f t="shared" si="145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52"/>
        <v>0</v>
      </c>
      <c r="AF478" s="10"/>
      <c r="AG478" s="10"/>
      <c r="AH478" s="10"/>
      <c r="AI478" s="12">
        <f t="shared" si="151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83"/>
      <c r="D479" s="32"/>
      <c r="E479" s="32"/>
      <c r="F479" s="32"/>
      <c r="G479" s="32">
        <f t="shared" si="142"/>
        <v>0</v>
      </c>
      <c r="H479" s="10"/>
      <c r="I479" s="10"/>
      <c r="J479" s="10"/>
      <c r="K479" s="12">
        <f t="shared" si="143"/>
        <v>0</v>
      </c>
      <c r="M479" s="10">
        <v>28</v>
      </c>
      <c r="N479" s="30"/>
      <c r="O479" s="31"/>
      <c r="P479" s="47"/>
      <c r="Q479" s="31"/>
      <c r="R479" s="31"/>
      <c r="S479" s="32">
        <f t="shared" si="144"/>
        <v>0</v>
      </c>
      <c r="T479" s="10"/>
      <c r="U479" s="10"/>
      <c r="V479" s="10"/>
      <c r="W479" s="12">
        <f t="shared" si="145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52"/>
        <v>0</v>
      </c>
      <c r="AF479" s="10"/>
      <c r="AG479" s="10"/>
      <c r="AH479" s="10"/>
      <c r="AI479" s="12">
        <f t="shared" si="151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57"/>
      <c r="D480" s="32"/>
      <c r="E480" s="32"/>
      <c r="F480" s="32"/>
      <c r="G480" s="32">
        <f t="shared" si="142"/>
        <v>0</v>
      </c>
      <c r="H480" s="10"/>
      <c r="I480" s="10"/>
      <c r="J480" s="10"/>
      <c r="K480" s="12">
        <f t="shared" si="143"/>
        <v>0</v>
      </c>
      <c r="M480" s="10">
        <v>29</v>
      </c>
      <c r="N480" s="30"/>
      <c r="O480" s="31"/>
      <c r="P480" s="47"/>
      <c r="Q480" s="31"/>
      <c r="R480" s="31"/>
      <c r="S480" s="32">
        <f t="shared" si="144"/>
        <v>0</v>
      </c>
      <c r="T480" s="10"/>
      <c r="U480" s="10"/>
      <c r="V480" s="10"/>
      <c r="W480" s="12">
        <f t="shared" si="145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52"/>
        <v>0</v>
      </c>
      <c r="AF480" s="10"/>
      <c r="AG480" s="10"/>
      <c r="AH480" s="10"/>
      <c r="AI480" s="12">
        <f t="shared" si="151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83"/>
      <c r="D481" s="32"/>
      <c r="E481" s="32"/>
      <c r="F481" s="32"/>
      <c r="G481" s="32">
        <f t="shared" si="142"/>
        <v>0</v>
      </c>
      <c r="H481" s="10"/>
      <c r="I481" s="10"/>
      <c r="J481" s="10"/>
      <c r="K481" s="12">
        <f t="shared" si="143"/>
        <v>0</v>
      </c>
      <c r="M481" s="10">
        <v>30</v>
      </c>
      <c r="N481" s="30"/>
      <c r="P481" s="47"/>
      <c r="Q481" s="31"/>
      <c r="R481" s="31"/>
      <c r="S481" s="32">
        <f t="shared" si="144"/>
        <v>0</v>
      </c>
      <c r="T481" s="10"/>
      <c r="U481" s="10"/>
      <c r="V481" s="10"/>
      <c r="W481" s="12">
        <f t="shared" si="145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52"/>
        <v>0</v>
      </c>
      <c r="AF481" s="10"/>
      <c r="AG481" s="10"/>
      <c r="AH481" s="10"/>
      <c r="AI481" s="12">
        <f t="shared" si="151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83"/>
      <c r="D482" s="32"/>
      <c r="E482" s="32"/>
      <c r="F482" s="32"/>
      <c r="G482" s="32">
        <f t="shared" si="142"/>
        <v>0</v>
      </c>
      <c r="H482" s="10"/>
      <c r="I482" s="10"/>
      <c r="J482" s="10"/>
      <c r="K482" s="12">
        <f t="shared" si="143"/>
        <v>0</v>
      </c>
      <c r="M482" s="10">
        <v>31</v>
      </c>
      <c r="N482" s="30"/>
      <c r="O482" s="31"/>
      <c r="P482" s="47"/>
      <c r="Q482" s="31"/>
      <c r="R482" s="31"/>
      <c r="S482" s="32">
        <f t="shared" si="144"/>
        <v>0</v>
      </c>
      <c r="T482" s="10"/>
      <c r="U482" s="10"/>
      <c r="V482" s="10"/>
      <c r="W482" s="12">
        <f t="shared" si="145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52"/>
        <v>0</v>
      </c>
      <c r="AF482" s="10"/>
      <c r="AG482" s="10"/>
      <c r="AH482" s="10"/>
      <c r="AI482" s="12">
        <f t="shared" si="151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83"/>
      <c r="D483" s="32"/>
      <c r="E483" s="32"/>
      <c r="F483" s="32"/>
      <c r="G483" s="32">
        <f t="shared" si="142"/>
        <v>0</v>
      </c>
      <c r="H483" s="10"/>
      <c r="I483" s="10"/>
      <c r="J483" s="10"/>
      <c r="K483" s="12">
        <f t="shared" si="143"/>
        <v>0</v>
      </c>
      <c r="M483" s="10">
        <v>32</v>
      </c>
      <c r="N483" s="30"/>
      <c r="O483" s="31"/>
      <c r="P483" s="47"/>
      <c r="Q483" s="31"/>
      <c r="R483" s="31"/>
      <c r="S483" s="32">
        <f t="shared" si="144"/>
        <v>0</v>
      </c>
      <c r="T483" s="10"/>
      <c r="U483" s="10"/>
      <c r="V483" s="10"/>
      <c r="W483" s="12">
        <f t="shared" si="145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52"/>
        <v>0</v>
      </c>
      <c r="AF483" s="10"/>
      <c r="AG483" s="10"/>
      <c r="AH483" s="10"/>
      <c r="AI483" s="12">
        <f t="shared" si="151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83"/>
      <c r="D484" s="32"/>
      <c r="E484" s="32"/>
      <c r="F484" s="32"/>
      <c r="G484" s="32">
        <f t="shared" si="142"/>
        <v>0</v>
      </c>
      <c r="H484" s="10"/>
      <c r="I484" s="10"/>
      <c r="J484" s="10"/>
      <c r="K484" s="12">
        <f t="shared" si="143"/>
        <v>0</v>
      </c>
      <c r="M484" s="10">
        <v>33</v>
      </c>
      <c r="N484" s="30"/>
      <c r="O484" s="31"/>
      <c r="P484" s="47"/>
      <c r="Q484" s="31"/>
      <c r="R484" s="31"/>
      <c r="S484" s="32">
        <f t="shared" si="144"/>
        <v>0</v>
      </c>
      <c r="T484" s="10"/>
      <c r="U484" s="10"/>
      <c r="V484" s="10"/>
      <c r="W484" s="12">
        <f t="shared" si="145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52"/>
        <v>0</v>
      </c>
      <c r="AF484" s="10"/>
      <c r="AG484" s="10"/>
      <c r="AH484" s="10"/>
      <c r="AI484" s="12">
        <f t="shared" si="151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83"/>
      <c r="D485" s="32"/>
      <c r="E485" s="32"/>
      <c r="F485" s="32"/>
      <c r="G485" s="32">
        <f t="shared" si="142"/>
        <v>0</v>
      </c>
      <c r="H485" s="10"/>
      <c r="I485" s="10"/>
      <c r="J485" s="10"/>
      <c r="K485" s="12">
        <f t="shared" si="143"/>
        <v>0</v>
      </c>
      <c r="M485" s="10">
        <v>34</v>
      </c>
      <c r="N485" s="30"/>
      <c r="O485" s="31"/>
      <c r="P485" s="47"/>
      <c r="Q485" s="31"/>
      <c r="R485" s="31"/>
      <c r="S485" s="32">
        <f t="shared" si="144"/>
        <v>0</v>
      </c>
      <c r="T485" s="10"/>
      <c r="U485" s="10"/>
      <c r="V485" s="10"/>
      <c r="W485" s="12">
        <f t="shared" si="145"/>
        <v>0</v>
      </c>
      <c r="Y485" s="10">
        <v>34</v>
      </c>
      <c r="Z485" s="30"/>
      <c r="AA485" s="31"/>
      <c r="AB485" s="47"/>
      <c r="AC485" s="31"/>
      <c r="AD485" s="31"/>
      <c r="AE485" s="32">
        <f t="shared" si="152"/>
        <v>0</v>
      </c>
      <c r="AF485" s="10"/>
      <c r="AG485" s="10"/>
      <c r="AH485" s="10"/>
      <c r="AI485" s="12">
        <f t="shared" si="151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83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144"/>
        <v>0</v>
      </c>
      <c r="T486" s="10"/>
      <c r="U486" s="10"/>
      <c r="V486" s="10"/>
      <c r="W486" s="12">
        <f t="shared" si="145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52"/>
        <v>0</v>
      </c>
      <c r="AF486" s="10"/>
      <c r="AG486" s="10"/>
      <c r="AH486" s="10"/>
      <c r="AI486" s="12">
        <f t="shared" si="151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83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44"/>
        <v>0</v>
      </c>
      <c r="T487" s="10"/>
      <c r="U487" s="10"/>
      <c r="V487" s="10"/>
      <c r="W487" s="12">
        <f t="shared" si="145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52"/>
        <v>0</v>
      </c>
      <c r="AF487" s="10"/>
      <c r="AG487" s="10"/>
      <c r="AH487" s="10"/>
      <c r="AI487" s="12">
        <f t="shared" si="151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144"/>
        <v>0</v>
      </c>
      <c r="T488" s="10"/>
      <c r="U488" s="10"/>
      <c r="V488" s="10"/>
      <c r="W488" s="12">
        <f t="shared" si="145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52"/>
        <v>0</v>
      </c>
      <c r="AF488" s="10"/>
      <c r="AG488" s="10"/>
      <c r="AH488" s="10"/>
      <c r="AI488" s="12">
        <f t="shared" si="151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44"/>
        <v>0</v>
      </c>
      <c r="T489" s="10"/>
      <c r="U489" s="10"/>
      <c r="V489" s="10"/>
      <c r="W489" s="12">
        <f t="shared" si="145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52"/>
        <v>0</v>
      </c>
      <c r="AF489" s="10"/>
      <c r="AG489" s="10"/>
      <c r="AH489" s="10"/>
      <c r="AI489" s="12">
        <f t="shared" si="151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44"/>
        <v>0</v>
      </c>
      <c r="T490" s="10"/>
      <c r="U490" s="10"/>
      <c r="V490" s="10"/>
      <c r="W490" s="12">
        <f t="shared" si="145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52"/>
        <v>0</v>
      </c>
      <c r="AF490" s="10"/>
      <c r="AG490" s="10"/>
      <c r="AH490" s="10"/>
      <c r="AI490" s="12">
        <f t="shared" si="151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45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51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53">SUM(D492:E492)</f>
        <v>0</v>
      </c>
      <c r="H492" s="10"/>
      <c r="I492" s="10"/>
      <c r="J492" s="10"/>
      <c r="K492" s="12">
        <f t="shared" ref="K492" si="154">SUM(G492:J492)</f>
        <v>0</v>
      </c>
      <c r="M492" s="10"/>
      <c r="N492" s="30"/>
      <c r="O492" s="31"/>
      <c r="P492" s="47"/>
      <c r="Q492" s="31"/>
      <c r="R492" s="31"/>
      <c r="S492" s="32">
        <f t="shared" ref="S492" si="155">SUM(P492:Q492)</f>
        <v>0</v>
      </c>
      <c r="T492" s="10"/>
      <c r="U492" s="10"/>
      <c r="V492" s="10"/>
      <c r="W492" s="12">
        <f t="shared" si="145"/>
        <v>0</v>
      </c>
      <c r="Y492" s="10"/>
      <c r="Z492" s="30"/>
      <c r="AA492" s="31"/>
      <c r="AB492" s="47"/>
      <c r="AC492" s="31"/>
      <c r="AD492" s="31"/>
      <c r="AE492" s="32">
        <f t="shared" ref="AE492" si="156">SUM(AB492:AC492)</f>
        <v>0</v>
      </c>
      <c r="AF492" s="10"/>
      <c r="AG492" s="10"/>
      <c r="AH492" s="10"/>
      <c r="AI492" s="12">
        <f t="shared" si="151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45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51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692504</v>
      </c>
      <c r="E495" s="38">
        <f t="shared" ref="E495:F495" si="157">SUM(E452:E492)</f>
        <v>-5124</v>
      </c>
      <c r="F495" s="38">
        <f t="shared" si="157"/>
        <v>0</v>
      </c>
      <c r="G495" s="38">
        <f>SUM(G452:G494)</f>
        <v>687380</v>
      </c>
      <c r="H495" s="4"/>
      <c r="I495" s="39">
        <f>SUM(I452:I494)</f>
        <v>7782</v>
      </c>
      <c r="J495" s="39">
        <f>SUM(J452:J494)</f>
        <v>-2664</v>
      </c>
      <c r="K495" s="40">
        <f>SUM(K452:K494)</f>
        <v>692498</v>
      </c>
      <c r="N495" s="57"/>
      <c r="O495" s="57"/>
      <c r="P495" s="38">
        <f>SUM(P452:P494)</f>
        <v>145427.5</v>
      </c>
      <c r="Q495" s="38">
        <f>SUM(Q452:Q476)</f>
        <v>-618</v>
      </c>
      <c r="R495" s="38">
        <f>SUM(R452:R476)</f>
        <v>0</v>
      </c>
      <c r="S495" s="38">
        <f>SUM(S452:S494)</f>
        <v>144809.5</v>
      </c>
      <c r="T495" s="4"/>
      <c r="U495" s="41">
        <f>SUM(U452:U494)</f>
        <v>184.5</v>
      </c>
      <c r="V495" s="41">
        <f>SUM(V452:V476)</f>
        <v>-345</v>
      </c>
      <c r="W495" s="42">
        <f>SUM(W452:W494)</f>
        <v>144649</v>
      </c>
      <c r="Z495" s="57"/>
      <c r="AA495" s="57"/>
      <c r="AB495" s="38">
        <f>SUM(AB452:AB494)</f>
        <v>252433.5</v>
      </c>
      <c r="AC495" s="38">
        <f>SUM(AC452:AC476)</f>
        <v>-2262</v>
      </c>
      <c r="AD495" s="38">
        <f>SUM(AD452:AD476)</f>
        <v>0</v>
      </c>
      <c r="AE495" s="38">
        <f>SUM(AE452:AE494)</f>
        <v>250171.5</v>
      </c>
      <c r="AF495" s="4"/>
      <c r="AG495" s="41">
        <f>SUM(AG452:AG494)</f>
        <v>156</v>
      </c>
      <c r="AH495" s="41">
        <f>SUM(AH452:AH476)</f>
        <v>-1863</v>
      </c>
      <c r="AI495" s="42">
        <f>SUM(AI452:AI494)</f>
        <v>248464.5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28</v>
      </c>
      <c r="B498" s="57"/>
      <c r="C498" s="57"/>
      <c r="D498" s="57"/>
      <c r="E498" s="57"/>
      <c r="G498" s="57"/>
      <c r="M498" t="s">
        <v>28</v>
      </c>
      <c r="N498" s="57"/>
      <c r="O498" s="57"/>
      <c r="P498" s="57"/>
      <c r="Q498" s="57"/>
      <c r="R498" s="57"/>
      <c r="S498" s="57"/>
      <c r="Y498" t="s">
        <v>28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14</v>
      </c>
      <c r="B500" s="57"/>
      <c r="C500" s="57"/>
      <c r="D500" s="57"/>
      <c r="E500" s="57"/>
      <c r="G500" s="57"/>
      <c r="M500" s="4" t="s">
        <v>14</v>
      </c>
      <c r="N500" s="57"/>
      <c r="O500" s="57"/>
      <c r="P500" s="57"/>
      <c r="Q500" s="57"/>
      <c r="R500" s="57"/>
      <c r="S500" s="57"/>
      <c r="Y500" s="4" t="s">
        <v>14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47</v>
      </c>
      <c r="B502" s="57"/>
      <c r="C502" s="57"/>
      <c r="D502" s="57"/>
      <c r="E502" s="57"/>
      <c r="G502" s="57"/>
      <c r="I502" s="57" t="s">
        <v>15</v>
      </c>
      <c r="J502" s="19">
        <v>1</v>
      </c>
      <c r="M502" t="s">
        <v>47</v>
      </c>
      <c r="N502" s="57"/>
      <c r="O502" s="57"/>
      <c r="P502" s="57"/>
      <c r="Q502" s="57"/>
      <c r="R502" s="57"/>
      <c r="S502" s="57"/>
      <c r="U502" s="57" t="s">
        <v>15</v>
      </c>
      <c r="V502" s="19">
        <v>2</v>
      </c>
      <c r="Y502" t="s">
        <v>47</v>
      </c>
      <c r="Z502" s="57"/>
      <c r="AA502" s="57"/>
      <c r="AB502" s="57"/>
      <c r="AC502" s="57"/>
      <c r="AD502" s="57"/>
      <c r="AE502" s="57"/>
      <c r="AG502" s="57" t="s">
        <v>15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62</v>
      </c>
      <c r="B503" s="20"/>
      <c r="C503" s="57"/>
      <c r="D503" s="57"/>
      <c r="E503" s="57"/>
      <c r="G503" s="57"/>
      <c r="I503" s="22" t="s">
        <v>16</v>
      </c>
      <c r="J503" s="23" t="s">
        <v>31</v>
      </c>
      <c r="K503" s="24"/>
      <c r="M503" s="21" t="s">
        <v>62</v>
      </c>
      <c r="N503" s="20"/>
      <c r="O503" s="57"/>
      <c r="P503" s="57"/>
      <c r="Q503" s="57"/>
      <c r="R503" s="57"/>
      <c r="S503" s="57"/>
      <c r="U503" s="22" t="s">
        <v>16</v>
      </c>
      <c r="V503" s="23" t="s">
        <v>33</v>
      </c>
      <c r="W503" s="24"/>
      <c r="Y503" s="21" t="s">
        <v>62</v>
      </c>
      <c r="Z503" s="20"/>
      <c r="AA503" s="57"/>
      <c r="AB503" s="57"/>
      <c r="AC503" s="57"/>
      <c r="AD503" s="57"/>
      <c r="AE503" s="57"/>
      <c r="AG503" s="22" t="s">
        <v>16</v>
      </c>
      <c r="AH503" s="23" t="s">
        <v>63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15" t="s">
        <v>17</v>
      </c>
      <c r="E505" s="115"/>
      <c r="F505" s="96"/>
      <c r="G505" s="27"/>
      <c r="I505" s="113" t="s">
        <v>18</v>
      </c>
      <c r="J505" s="114"/>
      <c r="K505" s="111" t="s">
        <v>19</v>
      </c>
      <c r="N505" s="25"/>
      <c r="O505" s="26"/>
      <c r="P505" s="115" t="s">
        <v>17</v>
      </c>
      <c r="Q505" s="115"/>
      <c r="R505" s="96"/>
      <c r="S505" s="27"/>
      <c r="U505" s="113" t="s">
        <v>18</v>
      </c>
      <c r="V505" s="114"/>
      <c r="W505" s="111" t="s">
        <v>19</v>
      </c>
      <c r="Z505" s="25"/>
      <c r="AA505" s="26"/>
      <c r="AB505" s="115" t="s">
        <v>17</v>
      </c>
      <c r="AC505" s="115"/>
      <c r="AD505" s="96"/>
      <c r="AE505" s="27"/>
      <c r="AG505" s="113" t="s">
        <v>18</v>
      </c>
      <c r="AH505" s="114"/>
      <c r="AI505" s="111" t="s">
        <v>19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20</v>
      </c>
      <c r="C506" s="28" t="s">
        <v>21</v>
      </c>
      <c r="D506" s="77" t="s">
        <v>22</v>
      </c>
      <c r="E506" s="76" t="s">
        <v>23</v>
      </c>
      <c r="F506" s="78" t="s">
        <v>32</v>
      </c>
      <c r="G506" s="78" t="s">
        <v>24</v>
      </c>
      <c r="I506" s="29" t="s">
        <v>25</v>
      </c>
      <c r="J506" s="29" t="s">
        <v>26</v>
      </c>
      <c r="K506" s="112"/>
      <c r="N506" s="28" t="s">
        <v>20</v>
      </c>
      <c r="O506" s="28" t="s">
        <v>21</v>
      </c>
      <c r="P506" s="77" t="s">
        <v>22</v>
      </c>
      <c r="Q506" s="78" t="s">
        <v>23</v>
      </c>
      <c r="R506" s="78" t="s">
        <v>32</v>
      </c>
      <c r="S506" s="78" t="s">
        <v>24</v>
      </c>
      <c r="U506" s="29" t="s">
        <v>25</v>
      </c>
      <c r="V506" s="29" t="s">
        <v>26</v>
      </c>
      <c r="W506" s="112"/>
      <c r="Z506" s="28" t="s">
        <v>20</v>
      </c>
      <c r="AA506" s="28" t="s">
        <v>21</v>
      </c>
      <c r="AB506" s="77" t="s">
        <v>22</v>
      </c>
      <c r="AC506" s="78" t="s">
        <v>23</v>
      </c>
      <c r="AD506" s="78" t="s">
        <v>32</v>
      </c>
      <c r="AE506" s="78" t="s">
        <v>24</v>
      </c>
      <c r="AG506" s="29" t="s">
        <v>25</v>
      </c>
      <c r="AH506" s="29" t="s">
        <v>26</v>
      </c>
      <c r="AI506" s="11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>
        <v>46358</v>
      </c>
      <c r="C507" s="83">
        <v>9075</v>
      </c>
      <c r="D507" s="32">
        <f>650*324+229*10</f>
        <v>212890</v>
      </c>
      <c r="E507" s="32">
        <f>-324*6</f>
        <v>-1944</v>
      </c>
      <c r="F507" s="32"/>
      <c r="G507" s="32">
        <f t="shared" ref="G507:G540" si="158">SUM(D507:E507)</f>
        <v>210946</v>
      </c>
      <c r="H507" s="12"/>
      <c r="I507" s="12">
        <v>216</v>
      </c>
      <c r="J507" s="12"/>
      <c r="K507" s="12">
        <f t="shared" ref="K507:K540" si="159">SUM(G507:J507)</f>
        <v>211162</v>
      </c>
      <c r="M507" s="10">
        <v>1</v>
      </c>
      <c r="N507" s="30">
        <v>46358</v>
      </c>
      <c r="O507" s="31">
        <v>8998</v>
      </c>
      <c r="P507" s="32">
        <f>973*10+912*10</f>
        <v>18850</v>
      </c>
      <c r="Q507" s="32">
        <f>-20*6</f>
        <v>-120</v>
      </c>
      <c r="R507" s="32"/>
      <c r="S507" s="32">
        <f>SUM(P507:Q507)</f>
        <v>18730</v>
      </c>
      <c r="T507" s="12"/>
      <c r="U507" s="12">
        <v>2400</v>
      </c>
      <c r="V507" s="12"/>
      <c r="W507" s="12">
        <f>SUM(S507:V507)</f>
        <v>21130</v>
      </c>
      <c r="Y507" s="10">
        <v>1</v>
      </c>
      <c r="Z507" s="30">
        <v>46358</v>
      </c>
      <c r="AA507" s="31">
        <v>8939</v>
      </c>
      <c r="AB507" s="32">
        <f>650*24+2680+622*10+229</f>
        <v>24729</v>
      </c>
      <c r="AC507" s="32"/>
      <c r="AD507" s="32"/>
      <c r="AE507" s="32">
        <f>SUM(AB507:AC507)</f>
        <v>24729</v>
      </c>
      <c r="AF507" s="12"/>
      <c r="AG507" s="12">
        <v>9</v>
      </c>
      <c r="AH507" s="12"/>
      <c r="AI507" s="12">
        <f>SUM(AE507:AH507)</f>
        <v>24738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>
        <v>46358</v>
      </c>
      <c r="C508" s="83">
        <f>C507+1</f>
        <v>9076</v>
      </c>
      <c r="D508" s="32">
        <f>650*10</f>
        <v>6500</v>
      </c>
      <c r="E508" s="32"/>
      <c r="F508" s="32"/>
      <c r="G508" s="32">
        <f t="shared" si="158"/>
        <v>6500</v>
      </c>
      <c r="H508" s="12"/>
      <c r="I508" s="12">
        <v>81</v>
      </c>
      <c r="J508" s="12"/>
      <c r="K508" s="12">
        <f t="shared" si="159"/>
        <v>6581</v>
      </c>
      <c r="M508" s="10">
        <v>2</v>
      </c>
      <c r="N508" s="30">
        <v>46358</v>
      </c>
      <c r="O508" s="31">
        <v>8988</v>
      </c>
      <c r="P508" s="32">
        <f>160*650+973*10+622*20+912*10+229*7+650*8</f>
        <v>142093</v>
      </c>
      <c r="Q508" s="32">
        <f>-200*6</f>
        <v>-1200</v>
      </c>
      <c r="R508" s="32"/>
      <c r="S508" s="32">
        <f t="shared" ref="S508:S545" si="160">SUM(P508:Q508)</f>
        <v>140893</v>
      </c>
      <c r="T508" s="12"/>
      <c r="U508" s="12">
        <f>120*20+146*111+78*7</f>
        <v>19152</v>
      </c>
      <c r="V508" s="12"/>
      <c r="W508" s="12">
        <f t="shared" ref="W508:W548" si="161">SUM(S508:V508)</f>
        <v>160045</v>
      </c>
      <c r="Y508" s="10">
        <v>2</v>
      </c>
      <c r="Z508" s="30">
        <v>46358</v>
      </c>
      <c r="AA508" s="31">
        <f>AA507+1</f>
        <v>8940</v>
      </c>
      <c r="AB508" s="32">
        <f>650*2+670</f>
        <v>1970</v>
      </c>
      <c r="AD508" s="32"/>
      <c r="AE508" s="32">
        <f t="shared" ref="AE508:AE509" si="162">SUM(AB508:AC508)</f>
        <v>1970</v>
      </c>
      <c r="AF508" s="12"/>
      <c r="AG508" s="12"/>
      <c r="AI508" s="12">
        <f t="shared" ref="AI508:AI509" si="163">SUM(AE508:AH508)</f>
        <v>1970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>
        <v>46358</v>
      </c>
      <c r="C509" s="83">
        <f t="shared" ref="C509:C510" si="164">C508+1</f>
        <v>9077</v>
      </c>
      <c r="D509" s="33">
        <f>650*8+622*3</f>
        <v>7066</v>
      </c>
      <c r="E509" s="33"/>
      <c r="F509" s="33"/>
      <c r="G509" s="33">
        <f t="shared" si="158"/>
        <v>7066</v>
      </c>
      <c r="H509" s="34"/>
      <c r="I509" s="34">
        <v>135</v>
      </c>
      <c r="J509" s="34"/>
      <c r="K509" s="34">
        <f t="shared" si="159"/>
        <v>7201</v>
      </c>
      <c r="M509" s="10">
        <v>3</v>
      </c>
      <c r="N509" s="30">
        <v>46358</v>
      </c>
      <c r="O509" s="31">
        <f t="shared" ref="O509:O517" si="165">O508+1</f>
        <v>8989</v>
      </c>
      <c r="P509" s="32">
        <f>650+622+9.5*2</f>
        <v>1291</v>
      </c>
      <c r="Q509" s="32"/>
      <c r="R509" s="32"/>
      <c r="S509" s="32">
        <f t="shared" si="160"/>
        <v>1291</v>
      </c>
      <c r="T509" s="12"/>
      <c r="U509" s="12"/>
      <c r="V509" s="12"/>
      <c r="W509" s="12">
        <f t="shared" si="161"/>
        <v>1291</v>
      </c>
      <c r="Y509" s="10">
        <v>3</v>
      </c>
      <c r="Z509" s="30">
        <v>46358</v>
      </c>
      <c r="AA509" s="31">
        <f t="shared" ref="AA509:AA513" si="166">AA508+1</f>
        <v>8941</v>
      </c>
      <c r="AB509" s="32">
        <f>650*11+670</f>
        <v>7820</v>
      </c>
      <c r="AC509" s="33"/>
      <c r="AD509" s="32"/>
      <c r="AE509" s="32">
        <f t="shared" si="162"/>
        <v>7820</v>
      </c>
      <c r="AF509" s="12"/>
      <c r="AG509" s="12"/>
      <c r="AH509" s="12"/>
      <c r="AI509" s="12">
        <f t="shared" si="163"/>
        <v>7820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>
        <v>46358</v>
      </c>
      <c r="C510" s="83">
        <f t="shared" si="164"/>
        <v>9078</v>
      </c>
      <c r="D510" s="32">
        <f>650*13+622*7</f>
        <v>12804</v>
      </c>
      <c r="E510" s="32"/>
      <c r="F510" s="32"/>
      <c r="G510" s="32">
        <f t="shared" si="158"/>
        <v>12804</v>
      </c>
      <c r="H510" s="12"/>
      <c r="I510" s="12"/>
      <c r="J510" s="12"/>
      <c r="K510" s="12">
        <f t="shared" si="159"/>
        <v>12804</v>
      </c>
      <c r="M510" s="10">
        <v>4</v>
      </c>
      <c r="N510" s="30">
        <v>46358</v>
      </c>
      <c r="O510" s="31">
        <f t="shared" si="165"/>
        <v>8990</v>
      </c>
      <c r="P510" s="32">
        <f>650*3+622*2+9.5*5</f>
        <v>3241.5</v>
      </c>
      <c r="Q510" s="32"/>
      <c r="R510" s="32"/>
      <c r="S510" s="32">
        <f t="shared" si="160"/>
        <v>3241.5</v>
      </c>
      <c r="T510" s="12"/>
      <c r="U510" s="12"/>
      <c r="V510" s="12"/>
      <c r="W510" s="12">
        <f t="shared" si="161"/>
        <v>3241.5</v>
      </c>
      <c r="Y510" s="10">
        <v>4</v>
      </c>
      <c r="Z510" s="30">
        <v>46358</v>
      </c>
      <c r="AA510" s="31">
        <f t="shared" si="166"/>
        <v>8942</v>
      </c>
      <c r="AB510" s="32">
        <f>650*50+229*3</f>
        <v>33187</v>
      </c>
      <c r="AC510" s="32">
        <f>-50*6</f>
        <v>-300</v>
      </c>
      <c r="AD510" s="32"/>
      <c r="AE510" s="32">
        <f>SUM(AB510:AC510)</f>
        <v>32887</v>
      </c>
      <c r="AF510" s="12"/>
      <c r="AH510" s="12"/>
      <c r="AI510" s="12">
        <f>SUM(AE510:AH510)</f>
        <v>32887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/>
      <c r="C511" s="11" t="s">
        <v>27</v>
      </c>
      <c r="D511" s="32"/>
      <c r="E511" s="32"/>
      <c r="F511" s="32"/>
      <c r="G511" s="32">
        <f t="shared" si="158"/>
        <v>0</v>
      </c>
      <c r="H511" s="12"/>
      <c r="I511" s="12"/>
      <c r="J511" s="12"/>
      <c r="K511" s="12">
        <f t="shared" si="159"/>
        <v>0</v>
      </c>
      <c r="M511" s="10">
        <v>5</v>
      </c>
      <c r="N511" s="30">
        <v>46358</v>
      </c>
      <c r="O511" s="31">
        <f t="shared" si="165"/>
        <v>8991</v>
      </c>
      <c r="P511" s="32">
        <f>650*5+622*7+9.5*12</f>
        <v>7718</v>
      </c>
      <c r="Q511" s="32"/>
      <c r="R511" s="32"/>
      <c r="S511" s="32">
        <f t="shared" si="160"/>
        <v>7718</v>
      </c>
      <c r="T511" s="12"/>
      <c r="U511" s="12"/>
      <c r="V511" s="12"/>
      <c r="W511" s="12">
        <f t="shared" si="161"/>
        <v>7718</v>
      </c>
      <c r="Y511" s="10">
        <v>5</v>
      </c>
      <c r="Z511" s="30">
        <v>46358</v>
      </c>
      <c r="AA511" s="31">
        <f t="shared" si="166"/>
        <v>8943</v>
      </c>
      <c r="AB511" s="33">
        <f>650*55+6220</f>
        <v>41970</v>
      </c>
      <c r="AC511" s="32"/>
      <c r="AD511" s="32"/>
      <c r="AE511" s="32">
        <f>SUM(AB511:AC511)</f>
        <v>41970</v>
      </c>
      <c r="AF511" s="12"/>
      <c r="AG511" s="12">
        <v>54</v>
      </c>
      <c r="AH511" s="12"/>
      <c r="AI511" s="12">
        <f t="shared" ref="AI511:AI548" si="167">SUM(AE511:AH511)</f>
        <v>42024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/>
      <c r="C512" s="83"/>
      <c r="D512" s="32"/>
      <c r="E512" s="32"/>
      <c r="F512" s="32"/>
      <c r="G512" s="32">
        <f t="shared" si="158"/>
        <v>0</v>
      </c>
      <c r="H512" s="12"/>
      <c r="I512" s="12"/>
      <c r="J512" s="12"/>
      <c r="K512" s="12">
        <f t="shared" si="159"/>
        <v>0</v>
      </c>
      <c r="M512" s="10">
        <v>6</v>
      </c>
      <c r="N512" s="30">
        <v>46358</v>
      </c>
      <c r="O512" s="31">
        <f t="shared" si="165"/>
        <v>8992</v>
      </c>
      <c r="P512" s="32">
        <f>650*4</f>
        <v>2600</v>
      </c>
      <c r="Q512" s="32"/>
      <c r="R512" s="32"/>
      <c r="S512" s="32">
        <f t="shared" si="160"/>
        <v>2600</v>
      </c>
      <c r="T512" s="12"/>
      <c r="U512" s="12"/>
      <c r="V512" s="10"/>
      <c r="W512" s="12">
        <f t="shared" si="161"/>
        <v>2600</v>
      </c>
      <c r="Y512" s="10">
        <v>6</v>
      </c>
      <c r="Z512" s="30">
        <v>46358</v>
      </c>
      <c r="AA512" s="31">
        <f t="shared" si="166"/>
        <v>8944</v>
      </c>
      <c r="AB512" s="32">
        <f>650*20+670*3+622*5</f>
        <v>18120</v>
      </c>
      <c r="AC512" s="32"/>
      <c r="AD512" s="32"/>
      <c r="AE512" s="32">
        <f t="shared" ref="AE512:AE545" si="168">SUM(AB512:AC512)</f>
        <v>18120</v>
      </c>
      <c r="AF512" s="12"/>
      <c r="AG512" s="12">
        <v>216</v>
      </c>
      <c r="AH512" s="10"/>
      <c r="AI512" s="12">
        <f t="shared" si="167"/>
        <v>18336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/>
      <c r="C513" s="83"/>
      <c r="D513" s="32"/>
      <c r="E513" s="32"/>
      <c r="F513" s="32"/>
      <c r="G513" s="32">
        <f t="shared" si="158"/>
        <v>0</v>
      </c>
      <c r="H513" s="12"/>
      <c r="I513" s="12"/>
      <c r="J513" s="12"/>
      <c r="K513" s="12">
        <f t="shared" si="159"/>
        <v>0</v>
      </c>
      <c r="M513" s="10">
        <v>7</v>
      </c>
      <c r="N513" s="30">
        <v>46358</v>
      </c>
      <c r="O513" s="31">
        <f t="shared" si="165"/>
        <v>8993</v>
      </c>
      <c r="P513" s="32">
        <f>650*3+9.5*3</f>
        <v>1978.5</v>
      </c>
      <c r="Q513" s="32"/>
      <c r="R513" s="32"/>
      <c r="S513" s="32">
        <f t="shared" si="160"/>
        <v>1978.5</v>
      </c>
      <c r="T513" s="12"/>
      <c r="U513" s="12"/>
      <c r="V513" s="12"/>
      <c r="W513" s="12">
        <f t="shared" si="161"/>
        <v>1978.5</v>
      </c>
      <c r="Y513" s="10">
        <v>7</v>
      </c>
      <c r="Z513" s="30">
        <v>46358</v>
      </c>
      <c r="AA513" s="31">
        <f t="shared" si="166"/>
        <v>8945</v>
      </c>
      <c r="AB513" s="32">
        <f>650*42+670*3+622*5+229</f>
        <v>32649</v>
      </c>
      <c r="AC513" s="32">
        <f>-50*6</f>
        <v>-300</v>
      </c>
      <c r="AD513" s="32"/>
      <c r="AE513" s="32">
        <f t="shared" si="168"/>
        <v>32349</v>
      </c>
      <c r="AF513" s="12"/>
      <c r="AG513" s="58"/>
      <c r="AH513" s="12">
        <v>-1665</v>
      </c>
      <c r="AI513" s="12">
        <f t="shared" si="167"/>
        <v>30684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/>
      <c r="D514" s="32"/>
      <c r="E514" s="32"/>
      <c r="F514" s="32"/>
      <c r="G514" s="32">
        <f t="shared" si="158"/>
        <v>0</v>
      </c>
      <c r="H514" s="12"/>
      <c r="I514" s="12"/>
      <c r="J514" s="12"/>
      <c r="K514" s="12">
        <f t="shared" si="159"/>
        <v>0</v>
      </c>
      <c r="M514" s="10">
        <v>8</v>
      </c>
      <c r="N514" s="30">
        <v>46358</v>
      </c>
      <c r="O514" s="31">
        <f t="shared" si="165"/>
        <v>8994</v>
      </c>
      <c r="P514" s="32">
        <f>650*6+9.5*6</f>
        <v>3957</v>
      </c>
      <c r="Q514" s="32"/>
      <c r="R514" s="32"/>
      <c r="S514" s="32">
        <f t="shared" si="160"/>
        <v>3957</v>
      </c>
      <c r="T514" s="12"/>
      <c r="U514" s="12"/>
      <c r="V514" s="12"/>
      <c r="W514" s="12">
        <f t="shared" si="161"/>
        <v>3957</v>
      </c>
      <c r="Y514" s="10">
        <v>8</v>
      </c>
      <c r="Z514" s="30"/>
      <c r="AA514" s="11" t="s">
        <v>27</v>
      </c>
      <c r="AB514" s="32"/>
      <c r="AC514" s="32"/>
      <c r="AE514" s="32">
        <f t="shared" si="168"/>
        <v>0</v>
      </c>
      <c r="AF514" s="12"/>
      <c r="AG514" s="12"/>
      <c r="AH514" s="12"/>
      <c r="AI514" s="12">
        <f t="shared" si="167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/>
      <c r="C515" s="83"/>
      <c r="D515" s="32"/>
      <c r="E515" s="32"/>
      <c r="F515" s="32"/>
      <c r="G515" s="32">
        <f t="shared" si="158"/>
        <v>0</v>
      </c>
      <c r="H515" s="12"/>
      <c r="I515" s="12"/>
      <c r="J515" s="12"/>
      <c r="K515" s="12">
        <f t="shared" si="159"/>
        <v>0</v>
      </c>
      <c r="M515" s="10">
        <v>9</v>
      </c>
      <c r="N515" s="30">
        <v>46358</v>
      </c>
      <c r="O515" s="31">
        <f t="shared" si="165"/>
        <v>8995</v>
      </c>
      <c r="P515" s="32">
        <f>650*4+9.5*4</f>
        <v>2638</v>
      </c>
      <c r="Q515" s="32"/>
      <c r="R515" s="32"/>
      <c r="S515" s="32">
        <f t="shared" si="160"/>
        <v>2638</v>
      </c>
      <c r="T515" s="12"/>
      <c r="U515" s="12"/>
      <c r="V515" s="12"/>
      <c r="W515" s="12">
        <f t="shared" si="161"/>
        <v>2638</v>
      </c>
      <c r="Y515" s="10">
        <v>9</v>
      </c>
      <c r="Z515" s="30"/>
      <c r="AA515" s="31"/>
      <c r="AC515" s="32"/>
      <c r="AD515" s="32"/>
      <c r="AE515" s="32">
        <f t="shared" si="168"/>
        <v>0</v>
      </c>
      <c r="AF515" s="12"/>
      <c r="AH515" s="12"/>
      <c r="AI515" s="12">
        <f t="shared" si="167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83"/>
      <c r="D516" s="32"/>
      <c r="E516" s="32"/>
      <c r="F516" s="32"/>
      <c r="G516" s="32">
        <f t="shared" si="158"/>
        <v>0</v>
      </c>
      <c r="H516" s="12"/>
      <c r="I516" s="12"/>
      <c r="J516" s="12"/>
      <c r="K516" s="12">
        <f t="shared" si="159"/>
        <v>0</v>
      </c>
      <c r="M516" s="10">
        <v>10</v>
      </c>
      <c r="N516" s="30">
        <v>46358</v>
      </c>
      <c r="O516" s="31">
        <f t="shared" si="165"/>
        <v>8996</v>
      </c>
      <c r="P516" s="32">
        <f>650*7</f>
        <v>4550</v>
      </c>
      <c r="Q516" s="32"/>
      <c r="R516" s="32"/>
      <c r="S516" s="32">
        <f t="shared" si="160"/>
        <v>4550</v>
      </c>
      <c r="T516" s="12"/>
      <c r="U516" s="12"/>
      <c r="V516" s="12"/>
      <c r="W516" s="12">
        <f t="shared" si="161"/>
        <v>4550</v>
      </c>
      <c r="Y516" s="10">
        <v>10</v>
      </c>
      <c r="Z516" s="30"/>
      <c r="AB516" s="32"/>
      <c r="AC516" s="32"/>
      <c r="AD516" s="32"/>
      <c r="AE516" s="32">
        <f t="shared" si="168"/>
        <v>0</v>
      </c>
      <c r="AF516" s="12"/>
      <c r="AG516" s="12"/>
      <c r="AH516" s="12"/>
      <c r="AI516" s="12">
        <f t="shared" si="167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57"/>
      <c r="D517" s="32"/>
      <c r="E517" s="32"/>
      <c r="F517" s="32"/>
      <c r="G517" s="32">
        <f t="shared" si="158"/>
        <v>0</v>
      </c>
      <c r="H517" s="12"/>
      <c r="I517" s="12"/>
      <c r="J517" s="12"/>
      <c r="K517" s="12">
        <f t="shared" si="159"/>
        <v>0</v>
      </c>
      <c r="M517" s="10">
        <v>11</v>
      </c>
      <c r="N517" s="30">
        <v>46358</v>
      </c>
      <c r="O517" s="31">
        <f t="shared" si="165"/>
        <v>8997</v>
      </c>
      <c r="P517" s="32">
        <f>650*19</f>
        <v>12350</v>
      </c>
      <c r="Q517" s="32"/>
      <c r="R517" s="32"/>
      <c r="S517" s="32">
        <f t="shared" si="160"/>
        <v>12350</v>
      </c>
      <c r="T517" s="12"/>
      <c r="U517" s="12"/>
      <c r="V517" s="12"/>
      <c r="W517" s="12">
        <f t="shared" si="161"/>
        <v>12350</v>
      </c>
      <c r="Y517" s="10">
        <v>11</v>
      </c>
      <c r="Z517" s="30"/>
      <c r="AA517" s="31"/>
      <c r="AB517" s="32"/>
      <c r="AC517" s="32"/>
      <c r="AD517" s="32"/>
      <c r="AE517" s="32">
        <f t="shared" si="168"/>
        <v>0</v>
      </c>
      <c r="AF517" s="12"/>
      <c r="AG517" s="12"/>
      <c r="AH517" s="12"/>
      <c r="AI517" s="12">
        <f t="shared" si="167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83"/>
      <c r="D518" s="32"/>
      <c r="E518" s="32"/>
      <c r="F518" s="32"/>
      <c r="G518" s="32">
        <f t="shared" si="158"/>
        <v>0</v>
      </c>
      <c r="H518" s="12"/>
      <c r="I518" s="12"/>
      <c r="J518" s="10"/>
      <c r="K518" s="12">
        <f t="shared" si="159"/>
        <v>0</v>
      </c>
      <c r="M518" s="10">
        <v>12</v>
      </c>
      <c r="N518" s="30"/>
      <c r="O518" s="11" t="s">
        <v>27</v>
      </c>
      <c r="P518" s="32"/>
      <c r="Q518" s="32"/>
      <c r="R518" s="32"/>
      <c r="S518" s="32">
        <f t="shared" si="160"/>
        <v>0</v>
      </c>
      <c r="T518" s="12"/>
      <c r="U518" s="12"/>
      <c r="V518" s="12"/>
      <c r="W518" s="12">
        <f t="shared" si="161"/>
        <v>0</v>
      </c>
      <c r="Y518" s="10">
        <v>12</v>
      </c>
      <c r="Z518" s="30"/>
      <c r="AA518" s="31"/>
      <c r="AB518" s="32"/>
      <c r="AC518" s="32"/>
      <c r="AD518" s="32"/>
      <c r="AE518" s="32">
        <f t="shared" si="168"/>
        <v>0</v>
      </c>
      <c r="AF518" s="12"/>
      <c r="AG518" s="12"/>
      <c r="AH518" s="12"/>
      <c r="AI518" s="12">
        <f t="shared" si="167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83"/>
      <c r="D519" s="32"/>
      <c r="E519" s="32"/>
      <c r="F519" s="32"/>
      <c r="G519" s="32">
        <f t="shared" si="158"/>
        <v>0</v>
      </c>
      <c r="H519" s="12"/>
      <c r="I519" s="12"/>
      <c r="J519" s="12"/>
      <c r="K519" s="12">
        <f t="shared" si="159"/>
        <v>0</v>
      </c>
      <c r="M519" s="10">
        <v>13</v>
      </c>
      <c r="N519" s="30"/>
      <c r="O519" s="31"/>
      <c r="P519" s="32"/>
      <c r="Q519" s="32"/>
      <c r="R519" s="32"/>
      <c r="S519" s="32">
        <f t="shared" si="160"/>
        <v>0</v>
      </c>
      <c r="T519" s="12"/>
      <c r="U519" s="12"/>
      <c r="V519" s="12"/>
      <c r="W519" s="12">
        <f t="shared" si="161"/>
        <v>0</v>
      </c>
      <c r="Y519" s="10">
        <v>13</v>
      </c>
      <c r="Z519" s="30"/>
      <c r="AA519" s="31"/>
      <c r="AB519" s="32"/>
      <c r="AC519" s="32"/>
      <c r="AD519" s="32"/>
      <c r="AE519" s="32">
        <f t="shared" si="168"/>
        <v>0</v>
      </c>
      <c r="AF519" s="12"/>
      <c r="AG519" s="12"/>
      <c r="AH519" s="12"/>
      <c r="AI519" s="12">
        <f t="shared" si="167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83"/>
      <c r="D520" s="32"/>
      <c r="E520" s="32"/>
      <c r="F520" s="32"/>
      <c r="G520" s="32">
        <f t="shared" si="158"/>
        <v>0</v>
      </c>
      <c r="H520" s="12"/>
      <c r="I520" s="12"/>
      <c r="J520" s="12"/>
      <c r="K520" s="12">
        <f t="shared" si="159"/>
        <v>0</v>
      </c>
      <c r="M520" s="10">
        <v>14</v>
      </c>
      <c r="N520" s="30"/>
      <c r="O520" s="31"/>
      <c r="P520" s="32"/>
      <c r="Q520" s="32"/>
      <c r="R520" s="32"/>
      <c r="S520" s="32">
        <f t="shared" si="160"/>
        <v>0</v>
      </c>
      <c r="T520" s="12"/>
      <c r="U520" s="12"/>
      <c r="V520" s="12"/>
      <c r="W520" s="12">
        <f t="shared" si="161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68"/>
        <v>0</v>
      </c>
      <c r="AF520" s="12"/>
      <c r="AG520" s="12"/>
      <c r="AH520" s="12"/>
      <c r="AI520" s="12">
        <f t="shared" si="167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83"/>
      <c r="D521" s="32"/>
      <c r="E521" s="32"/>
      <c r="F521" s="32"/>
      <c r="G521" s="32">
        <f t="shared" si="158"/>
        <v>0</v>
      </c>
      <c r="H521" s="12"/>
      <c r="I521" s="12"/>
      <c r="J521" s="12"/>
      <c r="K521" s="12">
        <f t="shared" si="159"/>
        <v>0</v>
      </c>
      <c r="M521" s="10">
        <v>15</v>
      </c>
      <c r="N521" s="30"/>
      <c r="O521" s="31"/>
      <c r="P521" s="32"/>
      <c r="Q521" s="32"/>
      <c r="R521" s="32"/>
      <c r="S521" s="32">
        <f t="shared" si="160"/>
        <v>0</v>
      </c>
      <c r="T521" s="12"/>
      <c r="U521" s="12"/>
      <c r="V521" s="12"/>
      <c r="W521" s="12">
        <f t="shared" si="161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68"/>
        <v>0</v>
      </c>
      <c r="AF521" s="12"/>
      <c r="AG521" s="12"/>
      <c r="AH521" s="12"/>
      <c r="AI521" s="12">
        <f t="shared" si="167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D522" s="32"/>
      <c r="E522" s="32"/>
      <c r="F522" s="32"/>
      <c r="G522" s="32">
        <f t="shared" si="158"/>
        <v>0</v>
      </c>
      <c r="H522" s="12"/>
      <c r="I522" s="12"/>
      <c r="J522" s="12"/>
      <c r="K522" s="12">
        <f t="shared" si="159"/>
        <v>0</v>
      </c>
      <c r="M522" s="10">
        <v>16</v>
      </c>
      <c r="N522" s="30"/>
      <c r="P522" s="32"/>
      <c r="Q522" s="32"/>
      <c r="R522" s="32"/>
      <c r="S522" s="32">
        <f t="shared" si="160"/>
        <v>0</v>
      </c>
      <c r="T522" s="12"/>
      <c r="U522" s="12"/>
      <c r="V522" s="12"/>
      <c r="W522" s="12">
        <f t="shared" si="161"/>
        <v>0</v>
      </c>
      <c r="Y522" s="10">
        <v>16</v>
      </c>
      <c r="Z522" s="30"/>
      <c r="AB522" s="32"/>
      <c r="AC522" s="32"/>
      <c r="AD522" s="32"/>
      <c r="AE522" s="32">
        <f t="shared" si="168"/>
        <v>0</v>
      </c>
      <c r="AF522" s="12"/>
      <c r="AG522" s="12"/>
      <c r="AH522" s="12"/>
      <c r="AI522" s="12">
        <f t="shared" si="167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83"/>
      <c r="D523" s="32"/>
      <c r="E523" s="32"/>
      <c r="F523" s="32"/>
      <c r="G523" s="32">
        <f t="shared" si="158"/>
        <v>0</v>
      </c>
      <c r="H523" s="12"/>
      <c r="I523" s="12"/>
      <c r="J523" s="12"/>
      <c r="K523" s="12">
        <f t="shared" si="159"/>
        <v>0</v>
      </c>
      <c r="M523" s="10">
        <v>17</v>
      </c>
      <c r="N523" s="30"/>
      <c r="O523" s="31"/>
      <c r="P523" s="35"/>
      <c r="Q523" s="32"/>
      <c r="R523" s="32"/>
      <c r="S523" s="32">
        <f t="shared" si="160"/>
        <v>0</v>
      </c>
      <c r="T523" s="12"/>
      <c r="U523" s="12"/>
      <c r="V523" s="12"/>
      <c r="W523" s="12">
        <f t="shared" si="161"/>
        <v>0</v>
      </c>
      <c r="Y523" s="10">
        <v>17</v>
      </c>
      <c r="Z523" s="30"/>
      <c r="AA523" s="31"/>
      <c r="AB523" s="35"/>
      <c r="AC523" s="32"/>
      <c r="AD523" s="32"/>
      <c r="AE523" s="32">
        <f t="shared" si="168"/>
        <v>0</v>
      </c>
      <c r="AF523" s="12"/>
      <c r="AG523" s="12"/>
      <c r="AH523" s="12"/>
      <c r="AI523" s="12">
        <f t="shared" si="167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83"/>
      <c r="D524" s="32"/>
      <c r="E524" s="32"/>
      <c r="F524" s="32"/>
      <c r="G524" s="32">
        <f t="shared" si="158"/>
        <v>0</v>
      </c>
      <c r="H524" s="12"/>
      <c r="I524" s="12"/>
      <c r="J524" s="12"/>
      <c r="K524" s="12">
        <f t="shared" si="159"/>
        <v>0</v>
      </c>
      <c r="M524" s="10">
        <v>18</v>
      </c>
      <c r="N524" s="30"/>
      <c r="O524" s="31"/>
      <c r="P524" s="32"/>
      <c r="Q524" s="32"/>
      <c r="R524" s="32"/>
      <c r="S524" s="32">
        <f t="shared" si="160"/>
        <v>0</v>
      </c>
      <c r="T524" s="12"/>
      <c r="U524" s="12"/>
      <c r="V524" s="12"/>
      <c r="W524" s="12">
        <f t="shared" si="161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68"/>
        <v>0</v>
      </c>
      <c r="AF524" s="12"/>
      <c r="AG524" s="12"/>
      <c r="AH524" s="12"/>
      <c r="AI524" s="12">
        <f t="shared" si="167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83"/>
      <c r="D525" s="32"/>
      <c r="E525" s="32"/>
      <c r="F525" s="32"/>
      <c r="G525" s="32">
        <f t="shared" si="158"/>
        <v>0</v>
      </c>
      <c r="H525" s="12"/>
      <c r="I525" s="12"/>
      <c r="J525" s="12"/>
      <c r="K525" s="12">
        <f t="shared" si="159"/>
        <v>0</v>
      </c>
      <c r="M525" s="10">
        <v>19</v>
      </c>
      <c r="N525" s="30"/>
      <c r="O525" s="31"/>
      <c r="P525" s="32"/>
      <c r="Q525" s="32"/>
      <c r="R525" s="32"/>
      <c r="S525" s="32">
        <f t="shared" si="160"/>
        <v>0</v>
      </c>
      <c r="T525" s="12"/>
      <c r="U525" s="12"/>
      <c r="V525" s="12"/>
      <c r="W525" s="12">
        <f t="shared" si="161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68"/>
        <v>0</v>
      </c>
      <c r="AF525" s="12"/>
      <c r="AG525" s="12"/>
      <c r="AH525" s="12"/>
      <c r="AI525" s="12">
        <f t="shared" si="167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83"/>
      <c r="D526" s="32"/>
      <c r="E526" s="32"/>
      <c r="F526" s="32"/>
      <c r="G526" s="32">
        <f t="shared" si="158"/>
        <v>0</v>
      </c>
      <c r="H526" s="12"/>
      <c r="I526" s="12"/>
      <c r="J526" s="12"/>
      <c r="K526" s="12">
        <f t="shared" si="159"/>
        <v>0</v>
      </c>
      <c r="M526" s="10">
        <v>20</v>
      </c>
      <c r="N526" s="30"/>
      <c r="O526" s="31"/>
      <c r="P526" s="32"/>
      <c r="Q526" s="32"/>
      <c r="R526" s="32"/>
      <c r="S526" s="32">
        <f t="shared" si="160"/>
        <v>0</v>
      </c>
      <c r="T526" s="12"/>
      <c r="U526" s="12"/>
      <c r="V526" s="12"/>
      <c r="W526" s="12">
        <f t="shared" si="161"/>
        <v>0</v>
      </c>
      <c r="Y526" s="10">
        <v>20</v>
      </c>
      <c r="Z526" s="30"/>
      <c r="AB526" s="32"/>
      <c r="AC526" s="32"/>
      <c r="AD526" s="32"/>
      <c r="AE526" s="32">
        <f t="shared" si="168"/>
        <v>0</v>
      </c>
      <c r="AF526" s="12"/>
      <c r="AG526" s="12"/>
      <c r="AH526" s="12"/>
      <c r="AI526" s="12">
        <f t="shared" si="167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57"/>
      <c r="D527" s="32"/>
      <c r="E527" s="32"/>
      <c r="F527" s="32"/>
      <c r="G527" s="32">
        <f t="shared" si="158"/>
        <v>0</v>
      </c>
      <c r="H527" s="10"/>
      <c r="I527" s="10"/>
      <c r="J527" s="10"/>
      <c r="K527" s="12">
        <f t="shared" si="159"/>
        <v>0</v>
      </c>
      <c r="M527" s="10">
        <v>21</v>
      </c>
      <c r="N527" s="30"/>
      <c r="O527" s="31"/>
      <c r="P527" s="92"/>
      <c r="Q527" s="31"/>
      <c r="R527" s="31"/>
      <c r="S527" s="32">
        <f t="shared" si="160"/>
        <v>0</v>
      </c>
      <c r="T527" s="10"/>
      <c r="U527" s="10"/>
      <c r="V527" s="10"/>
      <c r="W527" s="12">
        <f t="shared" si="161"/>
        <v>0</v>
      </c>
      <c r="Y527" s="10">
        <v>21</v>
      </c>
      <c r="Z527" s="30"/>
      <c r="AA527" s="31"/>
      <c r="AB527" s="46"/>
      <c r="AC527" s="31"/>
      <c r="AD527" s="31"/>
      <c r="AE527" s="32">
        <f t="shared" si="168"/>
        <v>0</v>
      </c>
      <c r="AF527" s="10"/>
      <c r="AG527" s="10"/>
      <c r="AH527" s="10"/>
      <c r="AI527" s="12">
        <f t="shared" si="167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83"/>
      <c r="D528" s="32"/>
      <c r="E528" s="32"/>
      <c r="F528" s="32"/>
      <c r="G528" s="32">
        <f t="shared" si="158"/>
        <v>0</v>
      </c>
      <c r="H528" s="10"/>
      <c r="I528" s="10"/>
      <c r="J528" s="10"/>
      <c r="K528" s="12">
        <f t="shared" si="159"/>
        <v>0</v>
      </c>
      <c r="M528" s="10">
        <v>22</v>
      </c>
      <c r="N528" s="30"/>
      <c r="O528" s="31"/>
      <c r="P528" s="92"/>
      <c r="Q528" s="31"/>
      <c r="R528" s="31"/>
      <c r="S528" s="32">
        <f t="shared" si="160"/>
        <v>0</v>
      </c>
      <c r="T528" s="10"/>
      <c r="U528" s="10"/>
      <c r="V528" s="10"/>
      <c r="W528" s="12">
        <f t="shared" si="161"/>
        <v>0</v>
      </c>
      <c r="Y528" s="10">
        <v>22</v>
      </c>
      <c r="Z528" s="30"/>
      <c r="AA528" s="31"/>
      <c r="AB528" s="45"/>
      <c r="AC528" s="31"/>
      <c r="AD528" s="31"/>
      <c r="AE528" s="32">
        <f t="shared" si="168"/>
        <v>0</v>
      </c>
      <c r="AF528" s="10"/>
      <c r="AG528" s="10"/>
      <c r="AH528" s="10"/>
      <c r="AI528" s="12">
        <f t="shared" si="167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83"/>
      <c r="D529" s="32"/>
      <c r="E529" s="32"/>
      <c r="F529" s="32"/>
      <c r="G529" s="32">
        <f t="shared" si="158"/>
        <v>0</v>
      </c>
      <c r="H529" s="10"/>
      <c r="I529" s="10"/>
      <c r="J529" s="12"/>
      <c r="K529" s="12">
        <f t="shared" si="159"/>
        <v>0</v>
      </c>
      <c r="M529" s="10">
        <v>23</v>
      </c>
      <c r="N529" s="30"/>
      <c r="O529" s="31"/>
      <c r="P529" s="47"/>
      <c r="Q529" s="31"/>
      <c r="S529" s="32">
        <f t="shared" si="160"/>
        <v>0</v>
      </c>
      <c r="T529" s="10"/>
      <c r="U529" s="10"/>
      <c r="V529" s="10"/>
      <c r="W529" s="12">
        <f t="shared" si="161"/>
        <v>0</v>
      </c>
      <c r="Y529" s="10">
        <v>23</v>
      </c>
      <c r="Z529" s="30"/>
      <c r="AA529" s="31"/>
      <c r="AB529" s="47"/>
      <c r="AC529" s="31"/>
      <c r="AE529" s="32">
        <f t="shared" si="168"/>
        <v>0</v>
      </c>
      <c r="AF529" s="10"/>
      <c r="AG529" s="10"/>
      <c r="AH529" s="10"/>
      <c r="AI529" s="12">
        <f t="shared" si="167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83"/>
      <c r="D530" s="32"/>
      <c r="E530" s="32"/>
      <c r="F530" s="32"/>
      <c r="G530" s="32">
        <f t="shared" si="158"/>
        <v>0</v>
      </c>
      <c r="H530" s="10"/>
      <c r="I530" s="10"/>
      <c r="J530" s="10"/>
      <c r="K530" s="12">
        <f t="shared" si="159"/>
        <v>0</v>
      </c>
      <c r="M530" s="10">
        <v>24</v>
      </c>
      <c r="N530" s="30"/>
      <c r="P530" s="47"/>
      <c r="Q530" s="31"/>
      <c r="R530" s="31"/>
      <c r="S530" s="32">
        <f t="shared" si="160"/>
        <v>0</v>
      </c>
      <c r="T530" s="10"/>
      <c r="U530" s="10"/>
      <c r="V530" s="10"/>
      <c r="W530" s="12">
        <f t="shared" si="161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68"/>
        <v>0</v>
      </c>
      <c r="AF530" s="10"/>
      <c r="AG530" s="10"/>
      <c r="AH530" s="10"/>
      <c r="AI530" s="12">
        <f t="shared" si="167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83"/>
      <c r="D531" s="32"/>
      <c r="E531" s="32"/>
      <c r="F531" s="32"/>
      <c r="G531" s="32">
        <f t="shared" si="158"/>
        <v>0</v>
      </c>
      <c r="H531" s="10"/>
      <c r="I531" s="10"/>
      <c r="J531" s="10"/>
      <c r="K531" s="12">
        <f t="shared" si="159"/>
        <v>0</v>
      </c>
      <c r="M531" s="10">
        <v>25</v>
      </c>
      <c r="N531" s="30"/>
      <c r="O531" s="31"/>
      <c r="P531" s="47"/>
      <c r="Q531" s="31"/>
      <c r="R531" s="31"/>
      <c r="S531" s="32">
        <f t="shared" si="160"/>
        <v>0</v>
      </c>
      <c r="T531" s="10"/>
      <c r="U531" s="10"/>
      <c r="V531" s="10"/>
      <c r="W531" s="12">
        <f t="shared" si="161"/>
        <v>0</v>
      </c>
      <c r="Y531" s="10">
        <v>25</v>
      </c>
      <c r="Z531" s="30"/>
      <c r="AA531" s="31"/>
      <c r="AB531" s="47"/>
      <c r="AC531" s="31"/>
      <c r="AD531" s="31"/>
      <c r="AE531" s="32">
        <f t="shared" si="168"/>
        <v>0</v>
      </c>
      <c r="AF531" s="10"/>
      <c r="AG531" s="10"/>
      <c r="AH531" s="10"/>
      <c r="AI531" s="12">
        <f t="shared" si="167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83"/>
      <c r="D532" s="32"/>
      <c r="E532" s="32"/>
      <c r="F532" s="32"/>
      <c r="G532" s="32">
        <f t="shared" si="158"/>
        <v>0</v>
      </c>
      <c r="H532" s="10"/>
      <c r="I532" s="10"/>
      <c r="J532" s="10"/>
      <c r="K532" s="12">
        <f t="shared" si="159"/>
        <v>0</v>
      </c>
      <c r="M532" s="10">
        <v>26</v>
      </c>
      <c r="N532" s="30"/>
      <c r="P532" s="47"/>
      <c r="Q532" s="31"/>
      <c r="R532" s="31"/>
      <c r="S532" s="32">
        <f t="shared" si="160"/>
        <v>0</v>
      </c>
      <c r="T532" s="10"/>
      <c r="U532" s="10"/>
      <c r="V532" s="10"/>
      <c r="W532" s="12">
        <f t="shared" si="161"/>
        <v>0</v>
      </c>
      <c r="Y532" s="10">
        <v>26</v>
      </c>
      <c r="Z532" s="30"/>
      <c r="AA532" s="31"/>
      <c r="AB532" s="47"/>
      <c r="AC532" s="31"/>
      <c r="AD532" s="31"/>
      <c r="AE532" s="32">
        <f t="shared" si="168"/>
        <v>0</v>
      </c>
      <c r="AF532" s="10"/>
      <c r="AG532" s="10"/>
      <c r="AH532" s="10"/>
      <c r="AI532" s="12">
        <f t="shared" si="167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83"/>
      <c r="D533" s="32"/>
      <c r="E533" s="32"/>
      <c r="F533" s="32"/>
      <c r="G533" s="32">
        <f t="shared" si="158"/>
        <v>0</v>
      </c>
      <c r="H533" s="10"/>
      <c r="I533" s="10"/>
      <c r="J533" s="10"/>
      <c r="K533" s="12">
        <f t="shared" si="159"/>
        <v>0</v>
      </c>
      <c r="M533" s="10">
        <v>27</v>
      </c>
      <c r="N533" s="30"/>
      <c r="O533" s="31"/>
      <c r="P533" s="47"/>
      <c r="Q533" s="31"/>
      <c r="R533" s="31"/>
      <c r="S533" s="32">
        <f t="shared" si="160"/>
        <v>0</v>
      </c>
      <c r="T533" s="10"/>
      <c r="U533" s="10"/>
      <c r="V533" s="10"/>
      <c r="W533" s="12">
        <f t="shared" si="161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68"/>
        <v>0</v>
      </c>
      <c r="AF533" s="10"/>
      <c r="AG533" s="10"/>
      <c r="AH533" s="10"/>
      <c r="AI533" s="12">
        <f t="shared" si="167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83"/>
      <c r="D534" s="32"/>
      <c r="E534" s="32"/>
      <c r="F534" s="32"/>
      <c r="G534" s="32">
        <f t="shared" si="158"/>
        <v>0</v>
      </c>
      <c r="H534" s="10"/>
      <c r="I534" s="10"/>
      <c r="J534" s="10"/>
      <c r="K534" s="12">
        <f t="shared" si="159"/>
        <v>0</v>
      </c>
      <c r="M534" s="10">
        <v>28</v>
      </c>
      <c r="N534" s="30"/>
      <c r="O534" s="31"/>
      <c r="P534" s="47"/>
      <c r="Q534" s="31"/>
      <c r="R534" s="31"/>
      <c r="S534" s="32">
        <f t="shared" si="160"/>
        <v>0</v>
      </c>
      <c r="T534" s="10"/>
      <c r="U534" s="10"/>
      <c r="V534" s="10"/>
      <c r="W534" s="12">
        <f t="shared" si="161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68"/>
        <v>0</v>
      </c>
      <c r="AF534" s="10"/>
      <c r="AG534" s="10"/>
      <c r="AH534" s="10"/>
      <c r="AI534" s="12">
        <f t="shared" si="167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57"/>
      <c r="D535" s="32"/>
      <c r="E535" s="32"/>
      <c r="F535" s="32"/>
      <c r="G535" s="32">
        <f t="shared" si="158"/>
        <v>0</v>
      </c>
      <c r="H535" s="10"/>
      <c r="I535" s="10"/>
      <c r="J535" s="10"/>
      <c r="K535" s="12">
        <f t="shared" si="159"/>
        <v>0</v>
      </c>
      <c r="M535" s="10">
        <v>29</v>
      </c>
      <c r="N535" s="30"/>
      <c r="O535" s="31"/>
      <c r="P535" s="47"/>
      <c r="Q535" s="31"/>
      <c r="R535" s="31"/>
      <c r="S535" s="32">
        <f t="shared" si="160"/>
        <v>0</v>
      </c>
      <c r="T535" s="10"/>
      <c r="U535" s="10"/>
      <c r="V535" s="10"/>
      <c r="W535" s="12">
        <f t="shared" si="161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68"/>
        <v>0</v>
      </c>
      <c r="AF535" s="10"/>
      <c r="AG535" s="10"/>
      <c r="AH535" s="10"/>
      <c r="AI535" s="12">
        <f t="shared" si="167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83"/>
      <c r="D536" s="32"/>
      <c r="E536" s="32"/>
      <c r="F536" s="32"/>
      <c r="G536" s="32">
        <f t="shared" si="158"/>
        <v>0</v>
      </c>
      <c r="H536" s="10"/>
      <c r="I536" s="10"/>
      <c r="J536" s="10"/>
      <c r="K536" s="12">
        <f t="shared" si="159"/>
        <v>0</v>
      </c>
      <c r="M536" s="10">
        <v>30</v>
      </c>
      <c r="N536" s="30"/>
      <c r="P536" s="47"/>
      <c r="Q536" s="31"/>
      <c r="R536" s="31"/>
      <c r="S536" s="32">
        <f t="shared" si="160"/>
        <v>0</v>
      </c>
      <c r="T536" s="10"/>
      <c r="U536" s="10"/>
      <c r="V536" s="10"/>
      <c r="W536" s="12">
        <f t="shared" si="161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68"/>
        <v>0</v>
      </c>
      <c r="AF536" s="10"/>
      <c r="AG536" s="10"/>
      <c r="AH536" s="10"/>
      <c r="AI536" s="12">
        <f t="shared" si="167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83"/>
      <c r="D537" s="32"/>
      <c r="E537" s="32"/>
      <c r="F537" s="32"/>
      <c r="G537" s="32">
        <f t="shared" si="158"/>
        <v>0</v>
      </c>
      <c r="H537" s="10"/>
      <c r="I537" s="10"/>
      <c r="J537" s="10"/>
      <c r="K537" s="12">
        <f t="shared" si="159"/>
        <v>0</v>
      </c>
      <c r="M537" s="10">
        <v>31</v>
      </c>
      <c r="N537" s="30"/>
      <c r="O537" s="31"/>
      <c r="P537" s="47"/>
      <c r="Q537" s="31"/>
      <c r="R537" s="31"/>
      <c r="S537" s="32">
        <f t="shared" si="160"/>
        <v>0</v>
      </c>
      <c r="T537" s="10"/>
      <c r="U537" s="10"/>
      <c r="V537" s="10"/>
      <c r="W537" s="12">
        <f t="shared" si="161"/>
        <v>0</v>
      </c>
      <c r="Y537" s="10">
        <v>31</v>
      </c>
      <c r="Z537" s="30"/>
      <c r="AA537" s="31"/>
      <c r="AB537" s="47"/>
      <c r="AC537" s="31"/>
      <c r="AD537" s="31"/>
      <c r="AE537" s="32">
        <f t="shared" si="168"/>
        <v>0</v>
      </c>
      <c r="AF537" s="10"/>
      <c r="AG537" s="10"/>
      <c r="AH537" s="10"/>
      <c r="AI537" s="12">
        <f t="shared" si="167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83"/>
      <c r="D538" s="32"/>
      <c r="E538" s="32"/>
      <c r="F538" s="32"/>
      <c r="G538" s="32">
        <f t="shared" si="158"/>
        <v>0</v>
      </c>
      <c r="H538" s="10"/>
      <c r="I538" s="10"/>
      <c r="J538" s="10"/>
      <c r="K538" s="12">
        <f t="shared" si="159"/>
        <v>0</v>
      </c>
      <c r="M538" s="10">
        <v>32</v>
      </c>
      <c r="N538" s="30"/>
      <c r="O538" s="31"/>
      <c r="P538" s="47"/>
      <c r="Q538" s="31"/>
      <c r="R538" s="31"/>
      <c r="S538" s="32">
        <f t="shared" si="160"/>
        <v>0</v>
      </c>
      <c r="T538" s="10"/>
      <c r="U538" s="10"/>
      <c r="V538" s="10"/>
      <c r="W538" s="12">
        <f t="shared" si="161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68"/>
        <v>0</v>
      </c>
      <c r="AF538" s="10"/>
      <c r="AG538" s="10"/>
      <c r="AH538" s="10"/>
      <c r="AI538" s="12">
        <f t="shared" si="167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83"/>
      <c r="D539" s="32"/>
      <c r="E539" s="32"/>
      <c r="F539" s="32"/>
      <c r="G539" s="32">
        <f t="shared" si="158"/>
        <v>0</v>
      </c>
      <c r="H539" s="10"/>
      <c r="I539" s="10"/>
      <c r="J539" s="10"/>
      <c r="K539" s="12">
        <f t="shared" si="159"/>
        <v>0</v>
      </c>
      <c r="M539" s="10">
        <v>33</v>
      </c>
      <c r="N539" s="30"/>
      <c r="O539" s="31"/>
      <c r="P539" s="47"/>
      <c r="Q539" s="31"/>
      <c r="R539" s="31"/>
      <c r="S539" s="32">
        <f t="shared" si="160"/>
        <v>0</v>
      </c>
      <c r="T539" s="10"/>
      <c r="U539" s="10"/>
      <c r="V539" s="10"/>
      <c r="W539" s="12">
        <f t="shared" si="161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68"/>
        <v>0</v>
      </c>
      <c r="AF539" s="10"/>
      <c r="AG539" s="10"/>
      <c r="AH539" s="10"/>
      <c r="AI539" s="12">
        <f t="shared" si="167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83"/>
      <c r="D540" s="32"/>
      <c r="E540" s="32"/>
      <c r="F540" s="32"/>
      <c r="G540" s="32">
        <f t="shared" si="158"/>
        <v>0</v>
      </c>
      <c r="H540" s="10"/>
      <c r="I540" s="10"/>
      <c r="J540" s="10"/>
      <c r="K540" s="12">
        <f t="shared" si="159"/>
        <v>0</v>
      </c>
      <c r="M540" s="10">
        <v>34</v>
      </c>
      <c r="N540" s="30"/>
      <c r="O540" s="31"/>
      <c r="P540" s="47"/>
      <c r="Q540" s="31"/>
      <c r="R540" s="31"/>
      <c r="S540" s="32">
        <f t="shared" si="160"/>
        <v>0</v>
      </c>
      <c r="T540" s="10"/>
      <c r="U540" s="10"/>
      <c r="V540" s="10"/>
      <c r="W540" s="12">
        <f t="shared" si="161"/>
        <v>0</v>
      </c>
      <c r="Y540" s="10">
        <v>34</v>
      </c>
      <c r="Z540" s="30"/>
      <c r="AA540" s="31"/>
      <c r="AB540" s="47"/>
      <c r="AC540" s="31"/>
      <c r="AD540" s="31"/>
      <c r="AE540" s="32">
        <f t="shared" si="168"/>
        <v>0</v>
      </c>
      <c r="AF540" s="10"/>
      <c r="AG540" s="10"/>
      <c r="AH540" s="10"/>
      <c r="AI540" s="12">
        <f t="shared" si="167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83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60"/>
        <v>0</v>
      </c>
      <c r="T541" s="10"/>
      <c r="U541" s="10"/>
      <c r="V541" s="10"/>
      <c r="W541" s="12">
        <f t="shared" si="161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68"/>
        <v>0</v>
      </c>
      <c r="AF541" s="10"/>
      <c r="AG541" s="10"/>
      <c r="AH541" s="10"/>
      <c r="AI541" s="12">
        <f t="shared" si="167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83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60"/>
        <v>0</v>
      </c>
      <c r="T542" s="10"/>
      <c r="U542" s="10"/>
      <c r="V542" s="10"/>
      <c r="W542" s="12">
        <f t="shared" si="161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68"/>
        <v>0</v>
      </c>
      <c r="AF542" s="10"/>
      <c r="AG542" s="10"/>
      <c r="AH542" s="10"/>
      <c r="AI542" s="12">
        <f t="shared" si="167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60"/>
        <v>0</v>
      </c>
      <c r="T543" s="10"/>
      <c r="U543" s="10"/>
      <c r="V543" s="10"/>
      <c r="W543" s="12">
        <f t="shared" si="161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68"/>
        <v>0</v>
      </c>
      <c r="AF543" s="10"/>
      <c r="AG543" s="10"/>
      <c r="AH543" s="10"/>
      <c r="AI543" s="12">
        <f t="shared" si="167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60"/>
        <v>0</v>
      </c>
      <c r="T544" s="10"/>
      <c r="U544" s="10"/>
      <c r="V544" s="10"/>
      <c r="W544" s="12">
        <f t="shared" si="161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68"/>
        <v>0</v>
      </c>
      <c r="AF544" s="10"/>
      <c r="AG544" s="10"/>
      <c r="AH544" s="10"/>
      <c r="AI544" s="12">
        <f t="shared" si="167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60"/>
        <v>0</v>
      </c>
      <c r="T545" s="10"/>
      <c r="U545" s="10"/>
      <c r="V545" s="10"/>
      <c r="W545" s="12">
        <f t="shared" si="161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68"/>
        <v>0</v>
      </c>
      <c r="AF545" s="10"/>
      <c r="AG545" s="10"/>
      <c r="AH545" s="10"/>
      <c r="AI545" s="12">
        <f t="shared" si="167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61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67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69">SUM(D547:E547)</f>
        <v>0</v>
      </c>
      <c r="H547" s="10"/>
      <c r="I547" s="10"/>
      <c r="J547" s="10"/>
      <c r="K547" s="12">
        <f t="shared" ref="K547" si="170">SUM(G547:J547)</f>
        <v>0</v>
      </c>
      <c r="M547" s="10"/>
      <c r="N547" s="30"/>
      <c r="O547" s="31"/>
      <c r="P547" s="47"/>
      <c r="Q547" s="31"/>
      <c r="R547" s="31"/>
      <c r="S547" s="32">
        <f t="shared" ref="S547" si="171">SUM(P547:Q547)</f>
        <v>0</v>
      </c>
      <c r="T547" s="10"/>
      <c r="U547" s="10"/>
      <c r="V547" s="10"/>
      <c r="W547" s="12">
        <f t="shared" si="161"/>
        <v>0</v>
      </c>
      <c r="Y547" s="10"/>
      <c r="Z547" s="30"/>
      <c r="AA547" s="31"/>
      <c r="AB547" s="47"/>
      <c r="AC547" s="31"/>
      <c r="AD547" s="31"/>
      <c r="AE547" s="32">
        <f t="shared" ref="AE547" si="172">SUM(AB547:AC547)</f>
        <v>0</v>
      </c>
      <c r="AF547" s="10"/>
      <c r="AG547" s="10"/>
      <c r="AH547" s="10"/>
      <c r="AI547" s="12">
        <f t="shared" si="167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61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67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239260</v>
      </c>
      <c r="E550" s="38">
        <f t="shared" ref="E550:F550" si="173">SUM(E507:E547)</f>
        <v>-1944</v>
      </c>
      <c r="F550" s="38">
        <f t="shared" si="173"/>
        <v>0</v>
      </c>
      <c r="G550" s="38">
        <f>SUM(G507:G549)</f>
        <v>237316</v>
      </c>
      <c r="H550" s="4"/>
      <c r="I550" s="39">
        <f>SUM(I507:I549)</f>
        <v>432</v>
      </c>
      <c r="J550" s="39">
        <f>SUM(J507:J549)</f>
        <v>0</v>
      </c>
      <c r="K550" s="40">
        <f>SUM(K507:K549)</f>
        <v>237748</v>
      </c>
      <c r="N550" s="57"/>
      <c r="O550" s="57"/>
      <c r="P550" s="38">
        <f>SUM(P507:P549)</f>
        <v>201267</v>
      </c>
      <c r="Q550" s="38">
        <f>SUM(Q507:Q531)</f>
        <v>-1320</v>
      </c>
      <c r="R550" s="38">
        <f>SUM(R507:R531)</f>
        <v>0</v>
      </c>
      <c r="S550" s="38">
        <f>SUM(S507:S549)</f>
        <v>199947</v>
      </c>
      <c r="T550" s="4"/>
      <c r="U550" s="41">
        <f>SUM(U507:U549)</f>
        <v>21552</v>
      </c>
      <c r="V550" s="41">
        <f>SUM(V507:V531)</f>
        <v>0</v>
      </c>
      <c r="W550" s="42">
        <f>SUM(W507:W549)</f>
        <v>221499</v>
      </c>
      <c r="Z550" s="57"/>
      <c r="AA550" s="57"/>
      <c r="AB550" s="38">
        <f>SUM(AB507:AB549)</f>
        <v>160445</v>
      </c>
      <c r="AC550" s="38">
        <f>SUM(AC507:AC531)</f>
        <v>-600</v>
      </c>
      <c r="AD550" s="38">
        <f>SUM(AD507:AD531)</f>
        <v>0</v>
      </c>
      <c r="AE550" s="38">
        <f>SUM(AE507:AE549)</f>
        <v>159845</v>
      </c>
      <c r="AF550" s="4"/>
      <c r="AG550" s="41">
        <f>SUM(AG507:AG549)</f>
        <v>279</v>
      </c>
      <c r="AH550" s="41">
        <f>SUM(AH507:AH531)</f>
        <v>-1665</v>
      </c>
      <c r="AI550" s="42">
        <f>SUM(AI507:AI549)</f>
        <v>158459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86"/>
      <c r="C552" s="86"/>
      <c r="D552" s="86"/>
      <c r="E552" s="86"/>
      <c r="F552" s="86"/>
      <c r="G552" s="86"/>
      <c r="H552" s="62"/>
      <c r="I552" s="62"/>
      <c r="J552" s="62"/>
      <c r="K552" s="62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86"/>
      <c r="C553" s="86"/>
      <c r="D553" s="86"/>
      <c r="E553" s="86"/>
      <c r="F553" s="86"/>
      <c r="G553" s="86"/>
      <c r="H553" s="62"/>
      <c r="I553" s="62"/>
      <c r="J553" s="62"/>
      <c r="K553" s="62"/>
      <c r="M553" t="s">
        <v>28</v>
      </c>
      <c r="N553" s="57"/>
      <c r="O553" s="57"/>
      <c r="P553" s="57"/>
      <c r="Q553" s="57"/>
      <c r="R553" s="57"/>
      <c r="S553" s="57"/>
      <c r="Y553" t="s">
        <v>28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86"/>
      <c r="C554" s="86"/>
      <c r="D554" s="86"/>
      <c r="E554" s="86"/>
      <c r="F554" s="86"/>
      <c r="G554" s="86"/>
      <c r="H554" s="62"/>
      <c r="I554" s="62"/>
      <c r="J554" s="62"/>
      <c r="K554" s="62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3"/>
      <c r="B555" s="86"/>
      <c r="C555" s="86"/>
      <c r="D555" s="86"/>
      <c r="E555" s="86"/>
      <c r="F555" s="86"/>
      <c r="G555" s="86"/>
      <c r="H555" s="62"/>
      <c r="I555" s="62"/>
      <c r="J555" s="62"/>
      <c r="K555" s="62"/>
      <c r="M555" s="4" t="s">
        <v>14</v>
      </c>
      <c r="N555" s="57"/>
      <c r="O555" s="57"/>
      <c r="P555" s="57"/>
      <c r="Q555" s="57"/>
      <c r="R555" s="57"/>
      <c r="S555" s="57"/>
      <c r="Y555" s="4" t="s">
        <v>14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86"/>
      <c r="C556" s="86"/>
      <c r="D556" s="86"/>
      <c r="E556" s="86"/>
      <c r="F556" s="86"/>
      <c r="G556" s="86"/>
      <c r="H556" s="62"/>
      <c r="I556" s="62"/>
      <c r="J556" s="62"/>
      <c r="K556" s="62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86"/>
      <c r="C557" s="86"/>
      <c r="D557" s="86"/>
      <c r="E557" s="86"/>
      <c r="F557" s="86"/>
      <c r="G557" s="86"/>
      <c r="H557" s="62"/>
      <c r="I557" s="86"/>
      <c r="J557" s="73"/>
      <c r="K557" s="62"/>
      <c r="M557" t="s">
        <v>50</v>
      </c>
      <c r="N557" s="57"/>
      <c r="O557" s="57"/>
      <c r="P557" s="57"/>
      <c r="Q557" s="57"/>
      <c r="R557" s="57"/>
      <c r="S557" s="57"/>
      <c r="U557" s="57" t="s">
        <v>15</v>
      </c>
      <c r="V557" s="19">
        <v>2</v>
      </c>
      <c r="Y557" t="s">
        <v>50</v>
      </c>
      <c r="Z557" s="57"/>
      <c r="AA557" s="57"/>
      <c r="AB557" s="57"/>
      <c r="AC557" s="57"/>
      <c r="AD557" s="57"/>
      <c r="AE557" s="57"/>
      <c r="AG557" s="57" t="s">
        <v>15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4"/>
      <c r="B558" s="86"/>
      <c r="C558" s="86"/>
      <c r="D558" s="86"/>
      <c r="E558" s="86"/>
      <c r="F558" s="86"/>
      <c r="G558" s="86"/>
      <c r="H558" s="62"/>
      <c r="I558" s="65"/>
      <c r="J558" s="65"/>
      <c r="K558" s="62"/>
      <c r="M558" s="21" t="s">
        <v>65</v>
      </c>
      <c r="N558" s="20"/>
      <c r="O558" s="57"/>
      <c r="P558" s="57"/>
      <c r="Q558" s="57"/>
      <c r="R558" s="57"/>
      <c r="S558" s="57"/>
      <c r="U558" s="22" t="s">
        <v>16</v>
      </c>
      <c r="V558" s="23" t="s">
        <v>33</v>
      </c>
      <c r="W558" s="24"/>
      <c r="Y558" s="21" t="s">
        <v>65</v>
      </c>
      <c r="Z558" s="20"/>
      <c r="AA558" s="57"/>
      <c r="AB558" s="57"/>
      <c r="AC558" s="57"/>
      <c r="AD558" s="57"/>
      <c r="AE558" s="57"/>
      <c r="AG558" s="22" t="s">
        <v>16</v>
      </c>
      <c r="AH558" s="23" t="s">
        <v>35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86"/>
      <c r="C559" s="86"/>
      <c r="D559" s="86"/>
      <c r="E559" s="86"/>
      <c r="F559" s="86"/>
      <c r="G559" s="86"/>
      <c r="H559" s="62"/>
      <c r="I559" s="62"/>
      <c r="J559" s="62"/>
      <c r="K559" s="62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5"/>
      <c r="C560" s="86"/>
      <c r="D560" s="117"/>
      <c r="E560" s="117"/>
      <c r="F560" s="86"/>
      <c r="G560" s="86"/>
      <c r="H560" s="62"/>
      <c r="I560" s="117"/>
      <c r="J560" s="117"/>
      <c r="K560" s="116"/>
      <c r="N560" s="25"/>
      <c r="O560" s="26"/>
      <c r="P560" s="115" t="s">
        <v>17</v>
      </c>
      <c r="Q560" s="115"/>
      <c r="R560" s="97"/>
      <c r="S560" s="27"/>
      <c r="U560" s="113" t="s">
        <v>18</v>
      </c>
      <c r="V560" s="114"/>
      <c r="W560" s="111" t="s">
        <v>19</v>
      </c>
      <c r="Z560" s="25"/>
      <c r="AA560" s="26"/>
      <c r="AB560" s="115" t="s">
        <v>17</v>
      </c>
      <c r="AC560" s="115"/>
      <c r="AD560" s="97"/>
      <c r="AE560" s="27"/>
      <c r="AG560" s="113" t="s">
        <v>18</v>
      </c>
      <c r="AH560" s="114"/>
      <c r="AI560" s="111" t="s">
        <v>19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A561" s="62"/>
      <c r="B561" s="86"/>
      <c r="C561" s="86"/>
      <c r="D561" s="79"/>
      <c r="E561" s="80"/>
      <c r="F561" s="81"/>
      <c r="G561" s="81"/>
      <c r="H561" s="62"/>
      <c r="I561" s="85"/>
      <c r="J561" s="85"/>
      <c r="K561" s="116"/>
      <c r="N561" s="28" t="s">
        <v>20</v>
      </c>
      <c r="O561" s="28" t="s">
        <v>21</v>
      </c>
      <c r="P561" s="77" t="s">
        <v>22</v>
      </c>
      <c r="Q561" s="78" t="s">
        <v>23</v>
      </c>
      <c r="R561" s="78" t="s">
        <v>32</v>
      </c>
      <c r="S561" s="78" t="s">
        <v>24</v>
      </c>
      <c r="U561" s="29" t="s">
        <v>25</v>
      </c>
      <c r="V561" s="29" t="s">
        <v>26</v>
      </c>
      <c r="W561" s="112"/>
      <c r="Z561" s="28" t="s">
        <v>20</v>
      </c>
      <c r="AA561" s="28" t="s">
        <v>21</v>
      </c>
      <c r="AB561" s="77" t="s">
        <v>22</v>
      </c>
      <c r="AC561" s="78" t="s">
        <v>23</v>
      </c>
      <c r="AD561" s="78" t="s">
        <v>32</v>
      </c>
      <c r="AE561" s="78" t="s">
        <v>24</v>
      </c>
      <c r="AG561" s="29" t="s">
        <v>25</v>
      </c>
      <c r="AH561" s="29" t="s">
        <v>26</v>
      </c>
      <c r="AI561" s="11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6"/>
      <c r="C562" s="84"/>
      <c r="D562" s="60"/>
      <c r="E562" s="60"/>
      <c r="F562" s="60"/>
      <c r="G562" s="60"/>
      <c r="H562" s="61"/>
      <c r="I562" s="61"/>
      <c r="J562" s="61"/>
      <c r="K562" s="61"/>
      <c r="M562" s="10">
        <v>1</v>
      </c>
      <c r="N562" s="30" t="s">
        <v>66</v>
      </c>
      <c r="O562" s="31">
        <v>8999</v>
      </c>
      <c r="P562" s="32">
        <f>650*150+973*5+622*50+912*5+229*8</f>
        <v>139857</v>
      </c>
      <c r="Q562" s="32">
        <f>-210*6</f>
        <v>-1260</v>
      </c>
      <c r="R562" s="32"/>
      <c r="S562" s="32">
        <f>SUM(P562:Q562)</f>
        <v>138597</v>
      </c>
      <c r="T562" s="12"/>
      <c r="U562" s="12">
        <f>78</f>
        <v>78</v>
      </c>
      <c r="V562" s="12">
        <f>-5883+-1680</f>
        <v>-7563</v>
      </c>
      <c r="W562" s="12">
        <f>SUM(S562:V562)</f>
        <v>131112</v>
      </c>
      <c r="Y562" s="10">
        <v>1</v>
      </c>
      <c r="Z562" s="30" t="s">
        <v>66</v>
      </c>
      <c r="AA562" s="31">
        <v>8946</v>
      </c>
      <c r="AB562" s="32">
        <f>650*17+670*2</f>
        <v>12390</v>
      </c>
      <c r="AC562" s="32"/>
      <c r="AD562" s="32"/>
      <c r="AE562" s="32">
        <f>SUM(AB562:AC562)</f>
        <v>12390</v>
      </c>
      <c r="AF562" s="12"/>
      <c r="AG562" s="12"/>
      <c r="AH562" s="12"/>
      <c r="AI562" s="12">
        <f>SUM(AE562:AH562)</f>
        <v>12390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6"/>
      <c r="C563" s="84"/>
      <c r="D563" s="60"/>
      <c r="E563" s="60"/>
      <c r="F563" s="60"/>
      <c r="G563" s="60"/>
      <c r="H563" s="61"/>
      <c r="I563" s="61"/>
      <c r="J563" s="61"/>
      <c r="K563" s="61"/>
      <c r="M563" s="10">
        <v>2</v>
      </c>
      <c r="N563" s="30"/>
      <c r="O563" s="11" t="s">
        <v>27</v>
      </c>
      <c r="P563" s="32"/>
      <c r="Q563" s="32"/>
      <c r="R563" s="32"/>
      <c r="S563" s="32">
        <f t="shared" ref="S563:S600" si="174">SUM(P563:Q563)</f>
        <v>0</v>
      </c>
      <c r="T563" s="12"/>
      <c r="U563" s="12"/>
      <c r="V563" s="12"/>
      <c r="W563" s="12">
        <f t="shared" ref="W563:W603" si="175">SUM(S563:V563)</f>
        <v>0</v>
      </c>
      <c r="Y563" s="10">
        <v>2</v>
      </c>
      <c r="Z563" s="30" t="s">
        <v>66</v>
      </c>
      <c r="AA563" s="31">
        <f>AA562+1</f>
        <v>8947</v>
      </c>
      <c r="AB563" s="32">
        <f>650*108+670*3+872*5</f>
        <v>76570</v>
      </c>
      <c r="AC563">
        <f>-116*6</f>
        <v>-696</v>
      </c>
      <c r="AD563" s="32"/>
      <c r="AE563" s="32">
        <f t="shared" ref="AE563:AE564" si="176">SUM(AB563:AC563)</f>
        <v>75874</v>
      </c>
      <c r="AF563" s="12"/>
      <c r="AG563" s="12">
        <f>600+220.5</f>
        <v>820.5</v>
      </c>
      <c r="AI563" s="12">
        <f t="shared" ref="AI563:AI564" si="177">SUM(AE563:AH563)</f>
        <v>76694.5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6"/>
      <c r="C564" s="84"/>
      <c r="D564" s="60"/>
      <c r="E564" s="60"/>
      <c r="F564" s="60"/>
      <c r="G564" s="60"/>
      <c r="H564" s="61"/>
      <c r="I564" s="61"/>
      <c r="J564" s="61"/>
      <c r="K564" s="61"/>
      <c r="M564" s="10">
        <v>3</v>
      </c>
      <c r="N564" s="30"/>
      <c r="O564" s="31"/>
      <c r="P564" s="32"/>
      <c r="Q564" s="32"/>
      <c r="R564" s="32"/>
      <c r="S564" s="32">
        <f t="shared" si="174"/>
        <v>0</v>
      </c>
      <c r="T564" s="12"/>
      <c r="U564" s="12"/>
      <c r="V564" s="12"/>
      <c r="W564" s="12">
        <f t="shared" si="175"/>
        <v>0</v>
      </c>
      <c r="Y564" s="10">
        <v>3</v>
      </c>
      <c r="Z564" s="30" t="s">
        <v>66</v>
      </c>
      <c r="AA564" s="31">
        <f t="shared" ref="AA564:AA566" si="178">AA563+1</f>
        <v>8948</v>
      </c>
      <c r="AB564" s="32">
        <f>650*7+622*4+229*2</f>
        <v>7496</v>
      </c>
      <c r="AC564" s="33"/>
      <c r="AD564" s="32"/>
      <c r="AE564" s="32">
        <f t="shared" si="176"/>
        <v>7496</v>
      </c>
      <c r="AF564" s="12"/>
      <c r="AG564" s="12"/>
      <c r="AH564" s="12">
        <v>-2109</v>
      </c>
      <c r="AI564" s="12">
        <f t="shared" si="177"/>
        <v>5387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6"/>
      <c r="C565" s="65"/>
      <c r="D565" s="60"/>
      <c r="E565" s="60"/>
      <c r="F565" s="60"/>
      <c r="G565" s="60"/>
      <c r="H565" s="61"/>
      <c r="I565" s="61"/>
      <c r="J565" s="61"/>
      <c r="K565" s="61"/>
      <c r="M565" s="10">
        <v>4</v>
      </c>
      <c r="N565" s="30"/>
      <c r="O565" s="31"/>
      <c r="P565" s="32"/>
      <c r="Q565" s="32"/>
      <c r="R565" s="32"/>
      <c r="S565" s="32">
        <f t="shared" si="174"/>
        <v>0</v>
      </c>
      <c r="T565" s="12"/>
      <c r="U565" s="12"/>
      <c r="V565" s="12"/>
      <c r="W565" s="12">
        <f t="shared" si="175"/>
        <v>0</v>
      </c>
      <c r="Y565" s="10">
        <v>4</v>
      </c>
      <c r="Z565" s="30" t="s">
        <v>66</v>
      </c>
      <c r="AA565" s="31">
        <f t="shared" si="178"/>
        <v>8949</v>
      </c>
      <c r="AB565" s="32">
        <f>650*100+229*4</f>
        <v>65916</v>
      </c>
      <c r="AC565" s="32">
        <f>-100*6</f>
        <v>-600</v>
      </c>
      <c r="AD565" s="32"/>
      <c r="AE565" s="32">
        <f>SUM(AB565:AC565)</f>
        <v>65316</v>
      </c>
      <c r="AF565" s="12"/>
      <c r="AG565">
        <f>5772+156</f>
        <v>5928</v>
      </c>
      <c r="AH565" s="12">
        <f>-120*2+-42*9</f>
        <v>-618</v>
      </c>
      <c r="AI565" s="12">
        <f>SUM(AE565:AH565)</f>
        <v>70626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6"/>
      <c r="C566" s="86"/>
      <c r="D566" s="60"/>
      <c r="E566" s="60"/>
      <c r="F566" s="60"/>
      <c r="G566" s="60"/>
      <c r="H566" s="61"/>
      <c r="I566" s="61"/>
      <c r="J566" s="61"/>
      <c r="K566" s="61"/>
      <c r="M566" s="10">
        <v>5</v>
      </c>
      <c r="N566" s="30"/>
      <c r="O566" s="31"/>
      <c r="P566" s="32"/>
      <c r="Q566" s="32"/>
      <c r="R566" s="32"/>
      <c r="S566" s="32">
        <f t="shared" si="174"/>
        <v>0</v>
      </c>
      <c r="T566" s="12"/>
      <c r="U566" s="12"/>
      <c r="V566" s="12"/>
      <c r="W566" s="12">
        <f t="shared" si="175"/>
        <v>0</v>
      </c>
      <c r="Y566" s="10">
        <v>5</v>
      </c>
      <c r="Z566" s="30" t="s">
        <v>66</v>
      </c>
      <c r="AA566" s="31">
        <f t="shared" si="178"/>
        <v>8950</v>
      </c>
      <c r="AB566" s="33">
        <f>650*3+622*2</f>
        <v>3194</v>
      </c>
      <c r="AC566" s="32"/>
      <c r="AD566" s="32"/>
      <c r="AE566" s="32">
        <f>SUM(AB566:AC566)</f>
        <v>3194</v>
      </c>
      <c r="AF566" s="12"/>
      <c r="AG566" s="12"/>
      <c r="AH566" s="12">
        <f>-78*2</f>
        <v>-156</v>
      </c>
      <c r="AI566" s="12">
        <f t="shared" ref="AI566:AI603" si="179">SUM(AE566:AH566)</f>
        <v>3038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6"/>
      <c r="C567" s="84"/>
      <c r="D567" s="60"/>
      <c r="E567" s="60"/>
      <c r="F567" s="60"/>
      <c r="G567" s="60"/>
      <c r="H567" s="61"/>
      <c r="I567" s="61"/>
      <c r="J567" s="61"/>
      <c r="K567" s="61"/>
      <c r="M567" s="10">
        <v>6</v>
      </c>
      <c r="N567" s="30"/>
      <c r="O567" s="31"/>
      <c r="P567" s="32"/>
      <c r="Q567" s="32"/>
      <c r="R567" s="32"/>
      <c r="S567" s="32">
        <f t="shared" si="174"/>
        <v>0</v>
      </c>
      <c r="T567" s="12"/>
      <c r="U567" s="12"/>
      <c r="V567" s="10"/>
      <c r="W567" s="12">
        <f t="shared" si="175"/>
        <v>0</v>
      </c>
      <c r="Y567" s="10">
        <v>6</v>
      </c>
      <c r="Z567" s="30"/>
      <c r="AA567" s="11" t="s">
        <v>27</v>
      </c>
      <c r="AB567" s="32"/>
      <c r="AC567" s="32"/>
      <c r="AD567" s="32"/>
      <c r="AE567" s="32">
        <f t="shared" ref="AE567:AE600" si="180">SUM(AB567:AC567)</f>
        <v>0</v>
      </c>
      <c r="AF567" s="12"/>
      <c r="AG567" s="12"/>
      <c r="AH567" s="10"/>
      <c r="AI567" s="12">
        <f t="shared" si="179"/>
        <v>0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6"/>
      <c r="C568" s="84"/>
      <c r="D568" s="60"/>
      <c r="E568" s="60"/>
      <c r="F568" s="60"/>
      <c r="G568" s="60"/>
      <c r="H568" s="61"/>
      <c r="I568" s="61"/>
      <c r="J568" s="61"/>
      <c r="K568" s="61"/>
      <c r="M568" s="10">
        <v>7</v>
      </c>
      <c r="N568" s="30"/>
      <c r="O568" s="31"/>
      <c r="P568" s="32"/>
      <c r="Q568" s="32"/>
      <c r="R568" s="32"/>
      <c r="S568" s="32">
        <f t="shared" si="174"/>
        <v>0</v>
      </c>
      <c r="T568" s="12"/>
      <c r="U568" s="12"/>
      <c r="V568" s="12"/>
      <c r="W568" s="12">
        <f t="shared" si="175"/>
        <v>0</v>
      </c>
      <c r="Y568" s="10">
        <v>7</v>
      </c>
      <c r="Z568" s="30"/>
      <c r="AA568" s="31"/>
      <c r="AB568" s="32"/>
      <c r="AC568" s="32"/>
      <c r="AD568" s="32"/>
      <c r="AE568" s="32">
        <f t="shared" si="180"/>
        <v>0</v>
      </c>
      <c r="AF568" s="12"/>
      <c r="AG568" s="58"/>
      <c r="AH568" s="12"/>
      <c r="AI568" s="12">
        <f t="shared" si="179"/>
        <v>0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6"/>
      <c r="C569" s="84"/>
      <c r="D569" s="60"/>
      <c r="E569" s="60"/>
      <c r="F569" s="60"/>
      <c r="G569" s="60"/>
      <c r="H569" s="61"/>
      <c r="I569" s="61"/>
      <c r="J569" s="61"/>
      <c r="K569" s="61"/>
      <c r="M569" s="10">
        <v>8</v>
      </c>
      <c r="N569" s="30"/>
      <c r="O569" s="31"/>
      <c r="P569" s="32"/>
      <c r="Q569" s="32"/>
      <c r="R569" s="32"/>
      <c r="S569" s="32">
        <f t="shared" si="174"/>
        <v>0</v>
      </c>
      <c r="T569" s="12"/>
      <c r="U569" s="12"/>
      <c r="V569" s="12"/>
      <c r="W569" s="12">
        <f t="shared" si="175"/>
        <v>0</v>
      </c>
      <c r="Y569" s="10">
        <v>8</v>
      </c>
      <c r="Z569" s="30"/>
      <c r="AB569" s="32"/>
      <c r="AC569" s="32"/>
      <c r="AE569" s="32">
        <f t="shared" si="180"/>
        <v>0</v>
      </c>
      <c r="AF569" s="12"/>
      <c r="AG569" s="12"/>
      <c r="AH569" s="12"/>
      <c r="AI569" s="12">
        <f t="shared" si="179"/>
        <v>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6"/>
      <c r="C570" s="84"/>
      <c r="D570" s="60"/>
      <c r="E570" s="60"/>
      <c r="F570" s="60"/>
      <c r="G570" s="60"/>
      <c r="H570" s="61"/>
      <c r="I570" s="61"/>
      <c r="J570" s="61"/>
      <c r="K570" s="61"/>
      <c r="M570" s="10">
        <v>9</v>
      </c>
      <c r="N570" s="30"/>
      <c r="O570" s="31"/>
      <c r="P570" s="32"/>
      <c r="Q570" s="32"/>
      <c r="R570" s="32"/>
      <c r="S570" s="32">
        <f t="shared" si="174"/>
        <v>0</v>
      </c>
      <c r="T570" s="12"/>
      <c r="U570" s="12"/>
      <c r="V570" s="12"/>
      <c r="W570" s="12">
        <f t="shared" si="175"/>
        <v>0</v>
      </c>
      <c r="Y570" s="10">
        <v>9</v>
      </c>
      <c r="Z570" s="30"/>
      <c r="AA570" s="31"/>
      <c r="AC570" s="32"/>
      <c r="AD570" s="32"/>
      <c r="AE570" s="32">
        <f t="shared" si="180"/>
        <v>0</v>
      </c>
      <c r="AF570" s="12"/>
      <c r="AH570" s="12"/>
      <c r="AI570" s="12">
        <f t="shared" si="179"/>
        <v>0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6"/>
      <c r="C571" s="84"/>
      <c r="D571" s="60"/>
      <c r="E571" s="60"/>
      <c r="F571" s="60"/>
      <c r="G571" s="60"/>
      <c r="H571" s="61"/>
      <c r="I571" s="61"/>
      <c r="J571" s="61"/>
      <c r="K571" s="61"/>
      <c r="M571" s="10">
        <v>10</v>
      </c>
      <c r="N571" s="30"/>
      <c r="O571" s="31"/>
      <c r="P571" s="32"/>
      <c r="Q571" s="32"/>
      <c r="R571" s="32"/>
      <c r="S571" s="32">
        <f t="shared" si="174"/>
        <v>0</v>
      </c>
      <c r="T571" s="12"/>
      <c r="U571" s="12"/>
      <c r="V571" s="12"/>
      <c r="W571" s="12">
        <f t="shared" si="175"/>
        <v>0</v>
      </c>
      <c r="Y571" s="10">
        <v>10</v>
      </c>
      <c r="Z571" s="30"/>
      <c r="AB571" s="32"/>
      <c r="AC571" s="32"/>
      <c r="AD571" s="32"/>
      <c r="AE571" s="32">
        <f t="shared" si="180"/>
        <v>0</v>
      </c>
      <c r="AF571" s="12"/>
      <c r="AG571" s="12"/>
      <c r="AH571" s="12"/>
      <c r="AI571" s="12">
        <f t="shared" si="179"/>
        <v>0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6"/>
      <c r="C572" s="86"/>
      <c r="D572" s="60"/>
      <c r="E572" s="60"/>
      <c r="F572" s="60"/>
      <c r="G572" s="60"/>
      <c r="H572" s="61"/>
      <c r="I572" s="61"/>
      <c r="J572" s="61"/>
      <c r="K572" s="61"/>
      <c r="M572" s="10">
        <v>11</v>
      </c>
      <c r="N572" s="30"/>
      <c r="O572" s="31"/>
      <c r="P572" s="32"/>
      <c r="Q572" s="32"/>
      <c r="R572" s="32"/>
      <c r="S572" s="32">
        <f t="shared" si="174"/>
        <v>0</v>
      </c>
      <c r="T572" s="12"/>
      <c r="U572" s="12"/>
      <c r="V572" s="12"/>
      <c r="W572" s="12">
        <f t="shared" si="175"/>
        <v>0</v>
      </c>
      <c r="Y572" s="10">
        <v>11</v>
      </c>
      <c r="Z572" s="30"/>
      <c r="AA572" s="31"/>
      <c r="AB572" s="32"/>
      <c r="AC572" s="32"/>
      <c r="AD572" s="32"/>
      <c r="AE572" s="32">
        <f t="shared" si="180"/>
        <v>0</v>
      </c>
      <c r="AF572" s="12"/>
      <c r="AG572" s="12"/>
      <c r="AH572" s="12"/>
      <c r="AI572" s="12">
        <f t="shared" si="179"/>
        <v>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6"/>
      <c r="C573" s="84"/>
      <c r="D573" s="60"/>
      <c r="E573" s="60"/>
      <c r="F573" s="60"/>
      <c r="G573" s="60"/>
      <c r="H573" s="61"/>
      <c r="I573" s="61"/>
      <c r="J573" s="62"/>
      <c r="K573" s="61"/>
      <c r="M573" s="10">
        <v>12</v>
      </c>
      <c r="N573" s="30"/>
      <c r="P573" s="32"/>
      <c r="Q573" s="32"/>
      <c r="R573" s="32"/>
      <c r="S573" s="32">
        <f t="shared" si="174"/>
        <v>0</v>
      </c>
      <c r="T573" s="12"/>
      <c r="U573" s="12"/>
      <c r="V573" s="12"/>
      <c r="W573" s="12">
        <f t="shared" si="175"/>
        <v>0</v>
      </c>
      <c r="Y573" s="10">
        <v>12</v>
      </c>
      <c r="Z573" s="30"/>
      <c r="AA573" s="31"/>
      <c r="AB573" s="32"/>
      <c r="AC573" s="32"/>
      <c r="AD573" s="32"/>
      <c r="AE573" s="32">
        <f t="shared" si="180"/>
        <v>0</v>
      </c>
      <c r="AF573" s="12"/>
      <c r="AG573" s="12"/>
      <c r="AH573" s="12"/>
      <c r="AI573" s="12">
        <f t="shared" si="179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6"/>
      <c r="C574" s="84"/>
      <c r="D574" s="60"/>
      <c r="E574" s="60"/>
      <c r="F574" s="60"/>
      <c r="G574" s="60"/>
      <c r="H574" s="61"/>
      <c r="I574" s="61"/>
      <c r="J574" s="61"/>
      <c r="K574" s="61"/>
      <c r="M574" s="10">
        <v>13</v>
      </c>
      <c r="N574" s="30"/>
      <c r="O574" s="31"/>
      <c r="P574" s="32"/>
      <c r="Q574" s="32"/>
      <c r="R574" s="32"/>
      <c r="S574" s="32">
        <f t="shared" si="174"/>
        <v>0</v>
      </c>
      <c r="T574" s="12"/>
      <c r="U574" s="12"/>
      <c r="V574" s="12"/>
      <c r="W574" s="12">
        <f t="shared" si="175"/>
        <v>0</v>
      </c>
      <c r="Y574" s="10">
        <v>13</v>
      </c>
      <c r="Z574" s="30"/>
      <c r="AA574" s="31"/>
      <c r="AB574" s="32"/>
      <c r="AC574" s="32"/>
      <c r="AD574" s="32"/>
      <c r="AE574" s="32">
        <f t="shared" si="180"/>
        <v>0</v>
      </c>
      <c r="AF574" s="12"/>
      <c r="AG574" s="12"/>
      <c r="AH574" s="12"/>
      <c r="AI574" s="12">
        <f t="shared" si="179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6"/>
      <c r="C575" s="84"/>
      <c r="D575" s="60"/>
      <c r="E575" s="60"/>
      <c r="F575" s="60"/>
      <c r="G575" s="60"/>
      <c r="H575" s="61"/>
      <c r="I575" s="61"/>
      <c r="J575" s="61"/>
      <c r="K575" s="61"/>
      <c r="M575" s="10">
        <v>14</v>
      </c>
      <c r="N575" s="30"/>
      <c r="O575" s="31"/>
      <c r="P575" s="32"/>
      <c r="Q575" s="32"/>
      <c r="R575" s="32"/>
      <c r="S575" s="32">
        <f t="shared" si="174"/>
        <v>0</v>
      </c>
      <c r="T575" s="12"/>
      <c r="U575" s="12"/>
      <c r="V575" s="12"/>
      <c r="W575" s="12">
        <f t="shared" si="175"/>
        <v>0</v>
      </c>
      <c r="Y575" s="10">
        <v>14</v>
      </c>
      <c r="Z575" s="30"/>
      <c r="AA575" s="31"/>
      <c r="AB575" s="32"/>
      <c r="AC575" s="32"/>
      <c r="AD575" s="32"/>
      <c r="AE575" s="32">
        <f t="shared" si="180"/>
        <v>0</v>
      </c>
      <c r="AF575" s="12"/>
      <c r="AG575" s="12"/>
      <c r="AH575" s="12"/>
      <c r="AI575" s="12">
        <f t="shared" si="179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6"/>
      <c r="C576" s="84"/>
      <c r="D576" s="60"/>
      <c r="E576" s="60"/>
      <c r="F576" s="60"/>
      <c r="G576" s="60"/>
      <c r="H576" s="61"/>
      <c r="I576" s="61"/>
      <c r="J576" s="61"/>
      <c r="K576" s="61"/>
      <c r="M576" s="10">
        <v>15</v>
      </c>
      <c r="N576" s="30"/>
      <c r="O576" s="31"/>
      <c r="P576" s="32"/>
      <c r="Q576" s="32"/>
      <c r="R576" s="32"/>
      <c r="S576" s="32">
        <f t="shared" si="174"/>
        <v>0</v>
      </c>
      <c r="T576" s="12"/>
      <c r="U576" s="12"/>
      <c r="V576" s="12"/>
      <c r="W576" s="12">
        <f t="shared" si="175"/>
        <v>0</v>
      </c>
      <c r="Y576" s="10">
        <v>15</v>
      </c>
      <c r="Z576" s="30"/>
      <c r="AA576" s="31"/>
      <c r="AB576" s="32"/>
      <c r="AC576" s="32"/>
      <c r="AD576" s="32"/>
      <c r="AE576" s="32">
        <f t="shared" si="180"/>
        <v>0</v>
      </c>
      <c r="AF576" s="12"/>
      <c r="AG576" s="12"/>
      <c r="AH576" s="12"/>
      <c r="AI576" s="12">
        <f t="shared" si="179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6"/>
      <c r="C577" s="86"/>
      <c r="D577" s="60"/>
      <c r="E577" s="60"/>
      <c r="F577" s="60"/>
      <c r="G577" s="60"/>
      <c r="H577" s="61"/>
      <c r="I577" s="61"/>
      <c r="J577" s="61"/>
      <c r="K577" s="61"/>
      <c r="M577" s="10">
        <v>16</v>
      </c>
      <c r="N577" s="30"/>
      <c r="P577" s="32"/>
      <c r="Q577" s="32"/>
      <c r="R577" s="32"/>
      <c r="S577" s="32">
        <f t="shared" si="174"/>
        <v>0</v>
      </c>
      <c r="T577" s="12"/>
      <c r="U577" s="12"/>
      <c r="V577" s="12"/>
      <c r="W577" s="12">
        <f t="shared" si="175"/>
        <v>0</v>
      </c>
      <c r="Y577" s="10">
        <v>16</v>
      </c>
      <c r="Z577" s="30"/>
      <c r="AB577" s="32"/>
      <c r="AC577" s="32"/>
      <c r="AD577" s="32"/>
      <c r="AE577" s="32">
        <f t="shared" si="180"/>
        <v>0</v>
      </c>
      <c r="AF577" s="12"/>
      <c r="AG577" s="12"/>
      <c r="AH577" s="12"/>
      <c r="AI577" s="12">
        <f t="shared" si="179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6"/>
      <c r="C578" s="84"/>
      <c r="D578" s="60"/>
      <c r="E578" s="60"/>
      <c r="F578" s="60"/>
      <c r="G578" s="60"/>
      <c r="H578" s="61"/>
      <c r="I578" s="61"/>
      <c r="J578" s="61"/>
      <c r="K578" s="61"/>
      <c r="M578" s="10">
        <v>17</v>
      </c>
      <c r="N578" s="30"/>
      <c r="O578" s="31"/>
      <c r="P578" s="35"/>
      <c r="Q578" s="32"/>
      <c r="R578" s="32"/>
      <c r="S578" s="32">
        <f t="shared" si="174"/>
        <v>0</v>
      </c>
      <c r="T578" s="12"/>
      <c r="U578" s="12"/>
      <c r="V578" s="12"/>
      <c r="W578" s="12">
        <f t="shared" si="175"/>
        <v>0</v>
      </c>
      <c r="Y578" s="10">
        <v>17</v>
      </c>
      <c r="Z578" s="30"/>
      <c r="AA578" s="31"/>
      <c r="AB578" s="35"/>
      <c r="AC578" s="32"/>
      <c r="AD578" s="32"/>
      <c r="AE578" s="32">
        <f t="shared" si="180"/>
        <v>0</v>
      </c>
      <c r="AF578" s="12"/>
      <c r="AG578" s="12"/>
      <c r="AH578" s="12"/>
      <c r="AI578" s="12">
        <f t="shared" si="179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6"/>
      <c r="C579" s="86"/>
      <c r="D579" s="60"/>
      <c r="E579" s="60"/>
      <c r="F579" s="60"/>
      <c r="G579" s="60"/>
      <c r="H579" s="61"/>
      <c r="I579" s="61"/>
      <c r="J579" s="61"/>
      <c r="K579" s="61"/>
      <c r="M579" s="10">
        <v>18</v>
      </c>
      <c r="N579" s="30"/>
      <c r="P579" s="32"/>
      <c r="Q579" s="32"/>
      <c r="R579" s="32"/>
      <c r="S579" s="32">
        <f t="shared" si="174"/>
        <v>0</v>
      </c>
      <c r="T579" s="12"/>
      <c r="U579" s="12"/>
      <c r="V579" s="12"/>
      <c r="W579" s="12">
        <f t="shared" si="175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80"/>
        <v>0</v>
      </c>
      <c r="AF579" s="12"/>
      <c r="AG579" s="12"/>
      <c r="AH579" s="12"/>
      <c r="AI579" s="12">
        <f t="shared" si="179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6"/>
      <c r="C580" s="86"/>
      <c r="D580" s="60"/>
      <c r="E580" s="60"/>
      <c r="F580" s="60"/>
      <c r="G580" s="60"/>
      <c r="H580" s="61"/>
      <c r="I580" s="61"/>
      <c r="J580" s="61"/>
      <c r="K580" s="61"/>
      <c r="M580" s="10">
        <v>19</v>
      </c>
      <c r="N580" s="30"/>
      <c r="O580" s="31"/>
      <c r="P580" s="32"/>
      <c r="Q580" s="32"/>
      <c r="R580" s="32"/>
      <c r="S580" s="32">
        <f t="shared" si="174"/>
        <v>0</v>
      </c>
      <c r="T580" s="12"/>
      <c r="U580" s="12"/>
      <c r="V580" s="12"/>
      <c r="W580" s="12">
        <f t="shared" si="175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80"/>
        <v>0</v>
      </c>
      <c r="AF580" s="12"/>
      <c r="AG580" s="12"/>
      <c r="AH580" s="12"/>
      <c r="AI580" s="12">
        <f t="shared" si="179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6"/>
      <c r="C581" s="84"/>
      <c r="D581" s="60"/>
      <c r="E581" s="60"/>
      <c r="F581" s="60"/>
      <c r="G581" s="60"/>
      <c r="H581" s="61"/>
      <c r="I581" s="61"/>
      <c r="J581" s="61"/>
      <c r="K581" s="61"/>
      <c r="M581" s="10">
        <v>20</v>
      </c>
      <c r="N581" s="30"/>
      <c r="O581" s="31"/>
      <c r="P581" s="32"/>
      <c r="Q581" s="32"/>
      <c r="R581" s="32"/>
      <c r="S581" s="32">
        <f t="shared" si="174"/>
        <v>0</v>
      </c>
      <c r="T581" s="12"/>
      <c r="U581" s="12"/>
      <c r="V581" s="12"/>
      <c r="W581" s="12">
        <f t="shared" si="175"/>
        <v>0</v>
      </c>
      <c r="Y581" s="10">
        <v>20</v>
      </c>
      <c r="Z581" s="30"/>
      <c r="AB581" s="32"/>
      <c r="AC581" s="32"/>
      <c r="AD581" s="32"/>
      <c r="AE581" s="32">
        <f t="shared" si="180"/>
        <v>0</v>
      </c>
      <c r="AF581" s="12"/>
      <c r="AG581" s="12"/>
      <c r="AH581" s="12"/>
      <c r="AI581" s="12">
        <f t="shared" si="179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6"/>
      <c r="C582" s="84"/>
      <c r="D582" s="60"/>
      <c r="E582" s="60"/>
      <c r="F582" s="60"/>
      <c r="G582" s="60"/>
      <c r="H582" s="62"/>
      <c r="I582" s="62"/>
      <c r="J582" s="62"/>
      <c r="K582" s="61"/>
      <c r="M582" s="10">
        <v>21</v>
      </c>
      <c r="N582" s="30"/>
      <c r="O582" s="31"/>
      <c r="P582" s="92"/>
      <c r="Q582" s="31"/>
      <c r="R582" s="31"/>
      <c r="S582" s="32">
        <f t="shared" si="174"/>
        <v>0</v>
      </c>
      <c r="T582" s="10"/>
      <c r="U582" s="10"/>
      <c r="V582" s="10"/>
      <c r="W582" s="12">
        <f t="shared" si="175"/>
        <v>0</v>
      </c>
      <c r="Y582" s="10">
        <v>21</v>
      </c>
      <c r="Z582" s="30"/>
      <c r="AA582" s="31"/>
      <c r="AB582" s="46"/>
      <c r="AC582" s="31"/>
      <c r="AD582" s="31"/>
      <c r="AE582" s="32">
        <f t="shared" si="180"/>
        <v>0</v>
      </c>
      <c r="AF582" s="10"/>
      <c r="AG582" s="10"/>
      <c r="AH582" s="10"/>
      <c r="AI582" s="12">
        <f t="shared" si="179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6"/>
      <c r="C583" s="84"/>
      <c r="D583" s="60"/>
      <c r="E583" s="60"/>
      <c r="F583" s="60"/>
      <c r="G583" s="60"/>
      <c r="H583" s="62"/>
      <c r="I583" s="62"/>
      <c r="J583" s="62"/>
      <c r="K583" s="61"/>
      <c r="M583" s="10">
        <v>22</v>
      </c>
      <c r="N583" s="30"/>
      <c r="O583" s="31"/>
      <c r="P583" s="92"/>
      <c r="Q583" s="31"/>
      <c r="R583" s="31"/>
      <c r="S583" s="32">
        <f t="shared" si="174"/>
        <v>0</v>
      </c>
      <c r="T583" s="10"/>
      <c r="U583" s="10"/>
      <c r="V583" s="10"/>
      <c r="W583" s="12">
        <f t="shared" si="175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80"/>
        <v>0</v>
      </c>
      <c r="AF583" s="10"/>
      <c r="AG583" s="10"/>
      <c r="AH583" s="10"/>
      <c r="AI583" s="12">
        <f t="shared" si="179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6"/>
      <c r="C584" s="86"/>
      <c r="D584" s="60"/>
      <c r="E584" s="60"/>
      <c r="F584" s="60"/>
      <c r="G584" s="60"/>
      <c r="H584" s="62"/>
      <c r="I584" s="62"/>
      <c r="J584" s="61"/>
      <c r="K584" s="61"/>
      <c r="M584" s="10">
        <v>23</v>
      </c>
      <c r="N584" s="30"/>
      <c r="O584" s="31"/>
      <c r="P584" s="47"/>
      <c r="Q584" s="31"/>
      <c r="S584" s="32">
        <f t="shared" si="174"/>
        <v>0</v>
      </c>
      <c r="T584" s="10"/>
      <c r="U584" s="10"/>
      <c r="V584" s="10"/>
      <c r="W584" s="12">
        <f t="shared" si="175"/>
        <v>0</v>
      </c>
      <c r="Y584" s="10">
        <v>23</v>
      </c>
      <c r="Z584" s="30"/>
      <c r="AA584" s="31"/>
      <c r="AB584" s="47"/>
      <c r="AC584" s="31"/>
      <c r="AE584" s="32">
        <f t="shared" si="180"/>
        <v>0</v>
      </c>
      <c r="AF584" s="10"/>
      <c r="AG584" s="10"/>
      <c r="AH584" s="10"/>
      <c r="AI584" s="12">
        <f t="shared" si="179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6"/>
      <c r="C585" s="86"/>
      <c r="D585" s="60"/>
      <c r="E585" s="60"/>
      <c r="F585" s="60"/>
      <c r="G585" s="60"/>
      <c r="H585" s="62"/>
      <c r="I585" s="62"/>
      <c r="J585" s="62"/>
      <c r="K585" s="61"/>
      <c r="M585" s="10">
        <v>24</v>
      </c>
      <c r="N585" s="30"/>
      <c r="P585" s="47"/>
      <c r="Q585" s="31"/>
      <c r="R585" s="31"/>
      <c r="S585" s="32">
        <f t="shared" si="174"/>
        <v>0</v>
      </c>
      <c r="T585" s="10"/>
      <c r="U585" s="10"/>
      <c r="V585" s="10"/>
      <c r="W585" s="12">
        <f t="shared" si="175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80"/>
        <v>0</v>
      </c>
      <c r="AF585" s="10"/>
      <c r="AG585" s="10"/>
      <c r="AH585" s="10"/>
      <c r="AI585" s="12">
        <f t="shared" si="179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6"/>
      <c r="C586" s="86"/>
      <c r="D586" s="60"/>
      <c r="E586" s="60"/>
      <c r="F586" s="60"/>
      <c r="G586" s="60"/>
      <c r="H586" s="62"/>
      <c r="I586" s="62"/>
      <c r="J586" s="62"/>
      <c r="K586" s="61"/>
      <c r="M586" s="10">
        <v>25</v>
      </c>
      <c r="N586" s="30"/>
      <c r="O586" s="31"/>
      <c r="P586" s="47"/>
      <c r="Q586" s="31"/>
      <c r="R586" s="31"/>
      <c r="S586" s="32">
        <f t="shared" si="174"/>
        <v>0</v>
      </c>
      <c r="T586" s="10"/>
      <c r="U586" s="10"/>
      <c r="V586" s="10"/>
      <c r="W586" s="12">
        <f t="shared" si="175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80"/>
        <v>0</v>
      </c>
      <c r="AF586" s="10"/>
      <c r="AG586" s="10"/>
      <c r="AH586" s="10"/>
      <c r="AI586" s="12">
        <f t="shared" si="179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6"/>
      <c r="C587" s="65"/>
      <c r="D587" s="60"/>
      <c r="E587" s="60"/>
      <c r="F587" s="60"/>
      <c r="G587" s="60"/>
      <c r="H587" s="62"/>
      <c r="I587" s="62"/>
      <c r="J587" s="62"/>
      <c r="K587" s="61"/>
      <c r="M587" s="10">
        <v>26</v>
      </c>
      <c r="N587" s="30"/>
      <c r="P587" s="47"/>
      <c r="Q587" s="31"/>
      <c r="R587" s="31"/>
      <c r="S587" s="32">
        <f t="shared" si="174"/>
        <v>0</v>
      </c>
      <c r="T587" s="10"/>
      <c r="U587" s="10"/>
      <c r="V587" s="10"/>
      <c r="W587" s="12">
        <f t="shared" si="175"/>
        <v>0</v>
      </c>
      <c r="Y587" s="10">
        <v>26</v>
      </c>
      <c r="Z587" s="30"/>
      <c r="AA587" s="31"/>
      <c r="AB587" s="47"/>
      <c r="AC587" s="31"/>
      <c r="AD587" s="31"/>
      <c r="AE587" s="32">
        <f t="shared" si="180"/>
        <v>0</v>
      </c>
      <c r="AF587" s="10"/>
      <c r="AG587" s="10"/>
      <c r="AH587" s="10"/>
      <c r="AI587" s="12">
        <f t="shared" si="179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6"/>
      <c r="C588" s="86"/>
      <c r="D588" s="60"/>
      <c r="E588" s="60"/>
      <c r="F588" s="60"/>
      <c r="G588" s="60"/>
      <c r="H588" s="62"/>
      <c r="I588" s="62"/>
      <c r="J588" s="62"/>
      <c r="K588" s="61"/>
      <c r="M588" s="10">
        <v>27</v>
      </c>
      <c r="N588" s="30"/>
      <c r="O588" s="31"/>
      <c r="P588" s="47"/>
      <c r="Q588" s="31"/>
      <c r="R588" s="31"/>
      <c r="S588" s="32">
        <f t="shared" si="174"/>
        <v>0</v>
      </c>
      <c r="T588" s="10"/>
      <c r="U588" s="10"/>
      <c r="V588" s="10"/>
      <c r="W588" s="12">
        <f t="shared" si="175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80"/>
        <v>0</v>
      </c>
      <c r="AF588" s="10"/>
      <c r="AG588" s="10"/>
      <c r="AH588" s="10"/>
      <c r="AI588" s="12">
        <f t="shared" si="179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6"/>
      <c r="C589" s="86"/>
      <c r="D589" s="60"/>
      <c r="E589" s="60"/>
      <c r="F589" s="60"/>
      <c r="G589" s="60"/>
      <c r="H589" s="62"/>
      <c r="I589" s="62"/>
      <c r="J589" s="62"/>
      <c r="K589" s="61"/>
      <c r="M589" s="10">
        <v>28</v>
      </c>
      <c r="N589" s="30"/>
      <c r="O589" s="31"/>
      <c r="P589" s="47"/>
      <c r="Q589" s="31"/>
      <c r="R589" s="31"/>
      <c r="S589" s="32">
        <f t="shared" si="174"/>
        <v>0</v>
      </c>
      <c r="T589" s="10"/>
      <c r="U589" s="10"/>
      <c r="V589" s="10"/>
      <c r="W589" s="12">
        <f t="shared" si="175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80"/>
        <v>0</v>
      </c>
      <c r="AF589" s="10"/>
      <c r="AG589" s="10"/>
      <c r="AH589" s="10"/>
      <c r="AI589" s="12">
        <f t="shared" si="179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6"/>
      <c r="C590" s="86"/>
      <c r="D590" s="60"/>
      <c r="E590" s="60"/>
      <c r="F590" s="60"/>
      <c r="G590" s="60"/>
      <c r="H590" s="62"/>
      <c r="I590" s="62"/>
      <c r="J590" s="62"/>
      <c r="K590" s="61"/>
      <c r="M590" s="10">
        <v>29</v>
      </c>
      <c r="N590" s="30"/>
      <c r="O590" s="31"/>
      <c r="P590" s="47"/>
      <c r="Q590" s="31"/>
      <c r="R590" s="31"/>
      <c r="S590" s="32">
        <f t="shared" si="174"/>
        <v>0</v>
      </c>
      <c r="T590" s="10"/>
      <c r="U590" s="10"/>
      <c r="V590" s="10"/>
      <c r="W590" s="12">
        <f t="shared" si="175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80"/>
        <v>0</v>
      </c>
      <c r="AF590" s="10"/>
      <c r="AG590" s="10"/>
      <c r="AH590" s="10"/>
      <c r="AI590" s="12">
        <f t="shared" si="179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6"/>
      <c r="C591" s="86"/>
      <c r="D591" s="60"/>
      <c r="E591" s="60"/>
      <c r="F591" s="60"/>
      <c r="G591" s="60"/>
      <c r="H591" s="62"/>
      <c r="I591" s="62"/>
      <c r="J591" s="62"/>
      <c r="K591" s="61"/>
      <c r="M591" s="10">
        <v>30</v>
      </c>
      <c r="N591" s="30"/>
      <c r="P591" s="47"/>
      <c r="Q591" s="31"/>
      <c r="R591" s="31"/>
      <c r="S591" s="32">
        <f t="shared" si="174"/>
        <v>0</v>
      </c>
      <c r="T591" s="10"/>
      <c r="U591" s="10"/>
      <c r="V591" s="10"/>
      <c r="W591" s="12">
        <f t="shared" si="175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80"/>
        <v>0</v>
      </c>
      <c r="AF591" s="10"/>
      <c r="AG591" s="10"/>
      <c r="AH591" s="10"/>
      <c r="AI591" s="12">
        <f t="shared" si="179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6"/>
      <c r="C592" s="86"/>
      <c r="D592" s="60"/>
      <c r="E592" s="60"/>
      <c r="F592" s="60"/>
      <c r="G592" s="60"/>
      <c r="H592" s="62"/>
      <c r="I592" s="62"/>
      <c r="J592" s="62"/>
      <c r="K592" s="61"/>
      <c r="M592" s="10">
        <v>31</v>
      </c>
      <c r="N592" s="30"/>
      <c r="O592" s="31"/>
      <c r="P592" s="47"/>
      <c r="Q592" s="31"/>
      <c r="R592" s="31"/>
      <c r="S592" s="32">
        <f t="shared" si="174"/>
        <v>0</v>
      </c>
      <c r="T592" s="10"/>
      <c r="U592" s="10"/>
      <c r="V592" s="10"/>
      <c r="W592" s="12">
        <f t="shared" si="175"/>
        <v>0</v>
      </c>
      <c r="Y592" s="10">
        <v>31</v>
      </c>
      <c r="Z592" s="30"/>
      <c r="AA592" s="31"/>
      <c r="AB592" s="47"/>
      <c r="AC592" s="31"/>
      <c r="AD592" s="31"/>
      <c r="AE592" s="32">
        <f t="shared" si="180"/>
        <v>0</v>
      </c>
      <c r="AF592" s="10"/>
      <c r="AG592" s="10"/>
      <c r="AH592" s="10"/>
      <c r="AI592" s="12">
        <f t="shared" si="179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6"/>
      <c r="C593" s="86"/>
      <c r="D593" s="60"/>
      <c r="E593" s="60"/>
      <c r="F593" s="60"/>
      <c r="G593" s="60"/>
      <c r="H593" s="62"/>
      <c r="I593" s="62"/>
      <c r="J593" s="62"/>
      <c r="K593" s="61"/>
      <c r="M593" s="10">
        <v>32</v>
      </c>
      <c r="N593" s="30"/>
      <c r="O593" s="31"/>
      <c r="P593" s="47"/>
      <c r="Q593" s="31"/>
      <c r="R593" s="31"/>
      <c r="S593" s="32">
        <f t="shared" si="174"/>
        <v>0</v>
      </c>
      <c r="T593" s="10"/>
      <c r="U593" s="10"/>
      <c r="V593" s="10"/>
      <c r="W593" s="12">
        <f t="shared" si="175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80"/>
        <v>0</v>
      </c>
      <c r="AF593" s="10"/>
      <c r="AG593" s="10"/>
      <c r="AH593" s="10"/>
      <c r="AI593" s="12">
        <f t="shared" si="179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6"/>
      <c r="C594" s="86"/>
      <c r="D594" s="60"/>
      <c r="E594" s="60"/>
      <c r="F594" s="60"/>
      <c r="G594" s="60"/>
      <c r="H594" s="62"/>
      <c r="I594" s="62"/>
      <c r="J594" s="62"/>
      <c r="K594" s="61"/>
      <c r="M594" s="10">
        <v>33</v>
      </c>
      <c r="N594" s="30"/>
      <c r="O594" s="31"/>
      <c r="P594" s="47"/>
      <c r="Q594" s="31"/>
      <c r="R594" s="31"/>
      <c r="S594" s="32">
        <f t="shared" si="174"/>
        <v>0</v>
      </c>
      <c r="T594" s="10"/>
      <c r="U594" s="10"/>
      <c r="V594" s="10"/>
      <c r="W594" s="12">
        <f t="shared" si="175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80"/>
        <v>0</v>
      </c>
      <c r="AF594" s="10"/>
      <c r="AG594" s="10"/>
      <c r="AH594" s="10"/>
      <c r="AI594" s="12">
        <f t="shared" si="179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6"/>
      <c r="C595" s="86"/>
      <c r="D595" s="60"/>
      <c r="E595" s="60"/>
      <c r="F595" s="60"/>
      <c r="G595" s="60"/>
      <c r="H595" s="62"/>
      <c r="I595" s="62"/>
      <c r="J595" s="62"/>
      <c r="K595" s="61"/>
      <c r="M595" s="10">
        <v>34</v>
      </c>
      <c r="N595" s="30"/>
      <c r="O595" s="31"/>
      <c r="P595" s="47"/>
      <c r="Q595" s="31"/>
      <c r="R595" s="31"/>
      <c r="S595" s="32">
        <f t="shared" si="174"/>
        <v>0</v>
      </c>
      <c r="T595" s="10"/>
      <c r="U595" s="10"/>
      <c r="V595" s="10"/>
      <c r="W595" s="12">
        <f t="shared" si="175"/>
        <v>0</v>
      </c>
      <c r="Y595" s="10">
        <v>34</v>
      </c>
      <c r="Z595" s="30"/>
      <c r="AA595" s="31"/>
      <c r="AB595" s="47"/>
      <c r="AC595" s="31"/>
      <c r="AD595" s="31"/>
      <c r="AE595" s="32">
        <f t="shared" si="180"/>
        <v>0</v>
      </c>
      <c r="AF595" s="10"/>
      <c r="AG595" s="10"/>
      <c r="AH595" s="10"/>
      <c r="AI595" s="12">
        <f t="shared" si="179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6"/>
      <c r="C596" s="86"/>
      <c r="D596" s="60"/>
      <c r="E596" s="60"/>
      <c r="F596" s="60"/>
      <c r="G596" s="60"/>
      <c r="H596" s="62"/>
      <c r="I596" s="62"/>
      <c r="J596" s="62"/>
      <c r="K596" s="61"/>
      <c r="M596" s="10">
        <v>35</v>
      </c>
      <c r="N596" s="30"/>
      <c r="O596" s="31"/>
      <c r="P596" s="47"/>
      <c r="Q596" s="31"/>
      <c r="R596" s="31"/>
      <c r="S596" s="32">
        <f t="shared" si="174"/>
        <v>0</v>
      </c>
      <c r="T596" s="10"/>
      <c r="U596" s="10"/>
      <c r="V596" s="10"/>
      <c r="W596" s="12">
        <f t="shared" si="175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80"/>
        <v>0</v>
      </c>
      <c r="AF596" s="10"/>
      <c r="AG596" s="10"/>
      <c r="AH596" s="10"/>
      <c r="AI596" s="12">
        <f t="shared" si="179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6"/>
      <c r="C597" s="86"/>
      <c r="D597" s="60"/>
      <c r="E597" s="60"/>
      <c r="F597" s="60"/>
      <c r="G597" s="60"/>
      <c r="H597" s="62"/>
      <c r="I597" s="62"/>
      <c r="J597" s="62"/>
      <c r="K597" s="61"/>
      <c r="M597" s="10">
        <v>36</v>
      </c>
      <c r="N597" s="30"/>
      <c r="O597" s="31"/>
      <c r="P597" s="47"/>
      <c r="Q597" s="31"/>
      <c r="R597" s="31"/>
      <c r="S597" s="32">
        <f t="shared" si="174"/>
        <v>0</v>
      </c>
      <c r="T597" s="10"/>
      <c r="U597" s="10"/>
      <c r="V597" s="10"/>
      <c r="W597" s="12">
        <f t="shared" si="175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80"/>
        <v>0</v>
      </c>
      <c r="AF597" s="10"/>
      <c r="AG597" s="10"/>
      <c r="AH597" s="10"/>
      <c r="AI597" s="12">
        <f t="shared" si="179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6"/>
      <c r="C598" s="86"/>
      <c r="D598" s="60"/>
      <c r="E598" s="60"/>
      <c r="F598" s="60"/>
      <c r="G598" s="60"/>
      <c r="H598" s="62"/>
      <c r="I598" s="62"/>
      <c r="J598" s="62"/>
      <c r="K598" s="61"/>
      <c r="M598" s="10">
        <v>37</v>
      </c>
      <c r="N598" s="30"/>
      <c r="P598" s="47"/>
      <c r="Q598" s="31"/>
      <c r="R598" s="31"/>
      <c r="S598" s="32">
        <f t="shared" si="174"/>
        <v>0</v>
      </c>
      <c r="T598" s="10"/>
      <c r="U598" s="10"/>
      <c r="V598" s="10"/>
      <c r="W598" s="12">
        <f t="shared" si="175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80"/>
        <v>0</v>
      </c>
      <c r="AF598" s="10"/>
      <c r="AG598" s="10"/>
      <c r="AH598" s="10"/>
      <c r="AI598" s="12">
        <f t="shared" si="179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6"/>
      <c r="C599" s="86"/>
      <c r="D599" s="60"/>
      <c r="E599" s="60"/>
      <c r="F599" s="60"/>
      <c r="G599" s="60"/>
      <c r="H599" s="62"/>
      <c r="I599" s="62"/>
      <c r="J599" s="62"/>
      <c r="K599" s="61"/>
      <c r="M599" s="10">
        <v>38</v>
      </c>
      <c r="N599" s="30"/>
      <c r="O599" s="31"/>
      <c r="P599" s="47"/>
      <c r="Q599" s="31"/>
      <c r="R599" s="31"/>
      <c r="S599" s="32">
        <f t="shared" si="174"/>
        <v>0</v>
      </c>
      <c r="T599" s="10"/>
      <c r="U599" s="10"/>
      <c r="V599" s="10"/>
      <c r="W599" s="12">
        <f t="shared" si="175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80"/>
        <v>0</v>
      </c>
      <c r="AF599" s="10"/>
      <c r="AG599" s="10"/>
      <c r="AH599" s="10"/>
      <c r="AI599" s="12">
        <f t="shared" si="179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6"/>
      <c r="C600" s="86"/>
      <c r="D600" s="60"/>
      <c r="E600" s="60"/>
      <c r="F600" s="60"/>
      <c r="G600" s="60"/>
      <c r="H600" s="62"/>
      <c r="I600" s="62"/>
      <c r="J600" s="62"/>
      <c r="K600" s="61"/>
      <c r="M600" s="10">
        <v>39</v>
      </c>
      <c r="N600" s="30"/>
      <c r="O600" s="31"/>
      <c r="P600" s="47"/>
      <c r="Q600" s="31"/>
      <c r="R600" s="31"/>
      <c r="S600" s="32">
        <f t="shared" si="174"/>
        <v>0</v>
      </c>
      <c r="T600" s="10"/>
      <c r="U600" s="10"/>
      <c r="V600" s="10"/>
      <c r="W600" s="12">
        <f t="shared" si="175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80"/>
        <v>0</v>
      </c>
      <c r="AF600" s="10"/>
      <c r="AG600" s="10"/>
      <c r="AH600" s="10"/>
      <c r="AI600" s="12">
        <f t="shared" si="179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6"/>
      <c r="C601" s="86"/>
      <c r="D601" s="60"/>
      <c r="E601" s="60"/>
      <c r="F601" s="60"/>
      <c r="G601" s="60"/>
      <c r="H601" s="62"/>
      <c r="I601" s="62"/>
      <c r="J601" s="62"/>
      <c r="K601" s="61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75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79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6"/>
      <c r="C602" s="86"/>
      <c r="D602" s="60"/>
      <c r="E602" s="60"/>
      <c r="F602" s="60"/>
      <c r="G602" s="60"/>
      <c r="H602" s="62"/>
      <c r="I602" s="62"/>
      <c r="J602" s="62"/>
      <c r="K602" s="61"/>
      <c r="M602" s="10"/>
      <c r="N602" s="30"/>
      <c r="O602" s="31"/>
      <c r="P602" s="47"/>
      <c r="Q602" s="31"/>
      <c r="R602" s="31"/>
      <c r="S602" s="32">
        <f t="shared" ref="S602" si="181">SUM(P602:Q602)</f>
        <v>0</v>
      </c>
      <c r="T602" s="10"/>
      <c r="U602" s="10"/>
      <c r="V602" s="10"/>
      <c r="W602" s="12">
        <f t="shared" si="175"/>
        <v>0</v>
      </c>
      <c r="Y602" s="10"/>
      <c r="Z602" s="30"/>
      <c r="AA602" s="31"/>
      <c r="AB602" s="47"/>
      <c r="AC602" s="31"/>
      <c r="AD602" s="31"/>
      <c r="AE602" s="32">
        <f t="shared" ref="AE602" si="182">SUM(AB602:AC602)</f>
        <v>0</v>
      </c>
      <c r="AF602" s="10"/>
      <c r="AG602" s="10"/>
      <c r="AH602" s="10"/>
      <c r="AI602" s="12">
        <f t="shared" si="179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6"/>
      <c r="C603" s="66"/>
      <c r="D603" s="60"/>
      <c r="E603" s="60"/>
      <c r="F603" s="60"/>
      <c r="G603" s="60"/>
      <c r="H603" s="62"/>
      <c r="I603" s="62"/>
      <c r="J603" s="62"/>
      <c r="K603" s="61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75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79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86"/>
      <c r="C604" s="86"/>
      <c r="D604" s="86"/>
      <c r="E604" s="86"/>
      <c r="F604" s="86"/>
      <c r="G604" s="86"/>
      <c r="H604" s="62"/>
      <c r="I604" s="62"/>
      <c r="J604" s="62"/>
      <c r="K604" s="62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86"/>
      <c r="C605" s="86"/>
      <c r="D605" s="70"/>
      <c r="E605" s="70"/>
      <c r="F605" s="70"/>
      <c r="G605" s="70"/>
      <c r="H605" s="63"/>
      <c r="I605" s="70"/>
      <c r="J605" s="70"/>
      <c r="K605" s="70"/>
      <c r="N605" s="57"/>
      <c r="O605" s="57"/>
      <c r="P605" s="38">
        <f>SUM(P562:P604)</f>
        <v>139857</v>
      </c>
      <c r="Q605" s="38">
        <f>SUM(Q562:Q586)</f>
        <v>-1260</v>
      </c>
      <c r="R605" s="38">
        <f>SUM(R562:R586)</f>
        <v>0</v>
      </c>
      <c r="S605" s="38">
        <f>SUM(S562:S604)</f>
        <v>138597</v>
      </c>
      <c r="T605" s="4"/>
      <c r="U605" s="41">
        <f>SUM(U562:U604)</f>
        <v>78</v>
      </c>
      <c r="V605" s="41">
        <f>SUM(V562:V586)</f>
        <v>-7563</v>
      </c>
      <c r="W605" s="42">
        <f>SUM(W562:W604)</f>
        <v>131112</v>
      </c>
      <c r="Z605" s="57"/>
      <c r="AA605" s="57"/>
      <c r="AB605" s="38">
        <f>SUM(AB562:AB604)</f>
        <v>165566</v>
      </c>
      <c r="AC605" s="38">
        <f>SUM(AC562:AC586)</f>
        <v>-1296</v>
      </c>
      <c r="AD605" s="38">
        <f>SUM(AD562:AD586)</f>
        <v>0</v>
      </c>
      <c r="AE605" s="38">
        <f>SUM(AE562:AE604)</f>
        <v>164270</v>
      </c>
      <c r="AF605" s="4"/>
      <c r="AG605" s="41">
        <f>SUM(AG562:AG604)</f>
        <v>6748.5</v>
      </c>
      <c r="AH605" s="41">
        <f>SUM(AH562:AH586)</f>
        <v>-2883</v>
      </c>
      <c r="AI605" s="42">
        <f>SUM(AI562:AI604)</f>
        <v>168135.5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28</v>
      </c>
      <c r="B608" s="57"/>
      <c r="C608" s="57"/>
      <c r="D608" s="57"/>
      <c r="E608" s="57"/>
      <c r="G608" s="57"/>
      <c r="M608" t="s">
        <v>28</v>
      </c>
      <c r="N608" s="57"/>
      <c r="O608" s="57"/>
      <c r="P608" s="57"/>
      <c r="Q608" s="57"/>
      <c r="R608" s="57"/>
      <c r="S608" s="57"/>
      <c r="Y608" t="s">
        <v>28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14</v>
      </c>
      <c r="B610" s="57"/>
      <c r="C610" s="57"/>
      <c r="D610" s="57"/>
      <c r="E610" s="57"/>
      <c r="G610" s="57"/>
      <c r="M610" s="4" t="s">
        <v>14</v>
      </c>
      <c r="N610" s="57"/>
      <c r="O610" s="57"/>
      <c r="P610" s="57"/>
      <c r="Q610" s="57"/>
      <c r="R610" s="57"/>
      <c r="S610" s="57"/>
      <c r="Y610" s="4" t="s">
        <v>14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53</v>
      </c>
      <c r="B612" s="57"/>
      <c r="C612" s="57"/>
      <c r="D612" s="57"/>
      <c r="E612" s="57"/>
      <c r="G612" s="57"/>
      <c r="I612" s="57" t="s">
        <v>15</v>
      </c>
      <c r="J612" s="19">
        <v>1</v>
      </c>
      <c r="M612" t="s">
        <v>53</v>
      </c>
      <c r="N612" s="57"/>
      <c r="O612" s="57"/>
      <c r="P612" s="57"/>
      <c r="Q612" s="57"/>
      <c r="R612" s="57"/>
      <c r="S612" s="57"/>
      <c r="U612" s="57" t="s">
        <v>15</v>
      </c>
      <c r="V612" s="19">
        <v>2</v>
      </c>
      <c r="Y612" t="s">
        <v>53</v>
      </c>
      <c r="Z612" s="57"/>
      <c r="AA612" s="57"/>
      <c r="AB612" s="57"/>
      <c r="AC612" s="57"/>
      <c r="AD612" s="57"/>
      <c r="AE612" s="57"/>
      <c r="AG612" s="57" t="s">
        <v>15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68</v>
      </c>
      <c r="B613" s="20"/>
      <c r="C613" s="57"/>
      <c r="D613" s="57"/>
      <c r="E613" s="57"/>
      <c r="G613" s="57"/>
      <c r="I613" s="22" t="s">
        <v>16</v>
      </c>
      <c r="J613" s="23" t="s">
        <v>31</v>
      </c>
      <c r="K613" s="24"/>
      <c r="M613" s="21" t="s">
        <v>68</v>
      </c>
      <c r="N613" s="20"/>
      <c r="O613" s="57"/>
      <c r="P613" s="57"/>
      <c r="Q613" s="57"/>
      <c r="R613" s="57"/>
      <c r="S613" s="57"/>
      <c r="U613" s="22" t="s">
        <v>16</v>
      </c>
      <c r="V613" s="23" t="s">
        <v>33</v>
      </c>
      <c r="W613" s="24"/>
      <c r="Y613" s="21" t="s">
        <v>68</v>
      </c>
      <c r="Z613" s="20"/>
      <c r="AA613" s="57"/>
      <c r="AB613" s="57"/>
      <c r="AC613" s="57"/>
      <c r="AD613" s="57"/>
      <c r="AE613" s="57"/>
      <c r="AG613" s="22" t="s">
        <v>16</v>
      </c>
      <c r="AH613" s="23" t="s">
        <v>35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B615" s="25"/>
      <c r="C615" s="26"/>
      <c r="D615" s="115" t="s">
        <v>17</v>
      </c>
      <c r="E615" s="115"/>
      <c r="F615" s="98"/>
      <c r="G615" s="27"/>
      <c r="I615" s="113" t="s">
        <v>18</v>
      </c>
      <c r="J615" s="114"/>
      <c r="K615" s="111" t="s">
        <v>19</v>
      </c>
      <c r="N615" s="25"/>
      <c r="O615" s="26"/>
      <c r="P615" s="115" t="s">
        <v>17</v>
      </c>
      <c r="Q615" s="115"/>
      <c r="R615" s="98"/>
      <c r="S615" s="27"/>
      <c r="U615" s="113" t="s">
        <v>18</v>
      </c>
      <c r="V615" s="114"/>
      <c r="W615" s="111" t="s">
        <v>19</v>
      </c>
      <c r="Z615" s="25"/>
      <c r="AA615" s="26"/>
      <c r="AB615" s="115" t="s">
        <v>17</v>
      </c>
      <c r="AC615" s="115"/>
      <c r="AD615" s="98"/>
      <c r="AE615" s="27"/>
      <c r="AG615" s="113" t="s">
        <v>18</v>
      </c>
      <c r="AH615" s="114"/>
      <c r="AI615" s="111" t="s">
        <v>19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20</v>
      </c>
      <c r="C616" s="28" t="s">
        <v>21</v>
      </c>
      <c r="D616" s="77" t="s">
        <v>22</v>
      </c>
      <c r="E616" s="76" t="s">
        <v>23</v>
      </c>
      <c r="F616" s="78" t="s">
        <v>32</v>
      </c>
      <c r="G616" s="78" t="s">
        <v>24</v>
      </c>
      <c r="I616" s="29" t="s">
        <v>25</v>
      </c>
      <c r="J616" s="29" t="s">
        <v>26</v>
      </c>
      <c r="K616" s="112"/>
      <c r="N616" s="28" t="s">
        <v>20</v>
      </c>
      <c r="O616" s="28" t="s">
        <v>21</v>
      </c>
      <c r="P616" s="77" t="s">
        <v>22</v>
      </c>
      <c r="Q616" s="78" t="s">
        <v>23</v>
      </c>
      <c r="R616" s="78" t="s">
        <v>32</v>
      </c>
      <c r="S616" s="78" t="s">
        <v>24</v>
      </c>
      <c r="U616" s="29" t="s">
        <v>25</v>
      </c>
      <c r="V616" s="29" t="s">
        <v>26</v>
      </c>
      <c r="W616" s="112"/>
      <c r="Z616" s="28" t="s">
        <v>20</v>
      </c>
      <c r="AA616" s="28" t="s">
        <v>21</v>
      </c>
      <c r="AB616" s="77" t="s">
        <v>22</v>
      </c>
      <c r="AC616" s="78" t="s">
        <v>23</v>
      </c>
      <c r="AD616" s="78" t="s">
        <v>32</v>
      </c>
      <c r="AE616" s="78" t="s">
        <v>24</v>
      </c>
      <c r="AG616" s="29" t="s">
        <v>25</v>
      </c>
      <c r="AH616" s="29" t="s">
        <v>26</v>
      </c>
      <c r="AI616" s="11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69</v>
      </c>
      <c r="C617" s="83">
        <v>9079</v>
      </c>
      <c r="D617" s="32">
        <f>622*10</f>
        <v>6220</v>
      </c>
      <c r="E617" s="32"/>
      <c r="F617" s="32"/>
      <c r="G617" s="32">
        <f t="shared" ref="G617:G650" si="183">SUM(D617:E617)</f>
        <v>6220</v>
      </c>
      <c r="H617" s="12"/>
      <c r="I617" s="12"/>
      <c r="J617" s="12"/>
      <c r="K617" s="12">
        <f t="shared" ref="K617:K650" si="184">SUM(G617:J617)</f>
        <v>6220</v>
      </c>
      <c r="M617" s="10">
        <v>1</v>
      </c>
      <c r="N617" s="30" t="s">
        <v>69</v>
      </c>
      <c r="O617" s="31">
        <v>9000</v>
      </c>
      <c r="P617" s="32">
        <f>650*4+670+9.5*4</f>
        <v>3308</v>
      </c>
      <c r="Q617" s="32"/>
      <c r="R617" s="32"/>
      <c r="S617" s="32">
        <f>SUM(P617:Q617)</f>
        <v>3308</v>
      </c>
      <c r="T617" s="12"/>
      <c r="U617" s="12"/>
      <c r="V617" s="12"/>
      <c r="W617" s="12">
        <f>SUM(S617:V617)</f>
        <v>3308</v>
      </c>
      <c r="Y617" s="10">
        <v>1</v>
      </c>
      <c r="Z617" s="30" t="s">
        <v>69</v>
      </c>
      <c r="AA617" s="31">
        <v>9151</v>
      </c>
      <c r="AB617" s="32">
        <f>650*100+670*8+622*30+229*4</f>
        <v>89936</v>
      </c>
      <c r="AC617" s="32">
        <f>-138*6</f>
        <v>-828</v>
      </c>
      <c r="AD617" s="32"/>
      <c r="AE617" s="32">
        <f>SUM(AB617:AC617)</f>
        <v>89108</v>
      </c>
      <c r="AF617" s="12"/>
      <c r="AG617" s="12">
        <v>85.5</v>
      </c>
      <c r="AH617" s="12"/>
      <c r="AI617" s="12">
        <f>SUM(AE617:AH617)</f>
        <v>89193.5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69</v>
      </c>
      <c r="C618" s="83">
        <f>C617+1</f>
        <v>9080</v>
      </c>
      <c r="D618" s="32">
        <f>650*19</f>
        <v>12350</v>
      </c>
      <c r="E618" s="32"/>
      <c r="F618" s="32"/>
      <c r="G618" s="32">
        <f t="shared" si="183"/>
        <v>12350</v>
      </c>
      <c r="H618" s="12"/>
      <c r="I618" s="12"/>
      <c r="J618" s="12"/>
      <c r="K618" s="12">
        <f t="shared" si="184"/>
        <v>12350</v>
      </c>
      <c r="M618" s="10">
        <v>2</v>
      </c>
      <c r="N618" s="30" t="s">
        <v>69</v>
      </c>
      <c r="O618" s="31">
        <v>9014</v>
      </c>
      <c r="P618" s="32">
        <f>650*4+670+38</f>
        <v>3308</v>
      </c>
      <c r="Q618" s="32"/>
      <c r="R618" s="32"/>
      <c r="S618" s="32">
        <f t="shared" ref="S618:S655" si="185">SUM(P618:Q618)</f>
        <v>3308</v>
      </c>
      <c r="T618" s="12"/>
      <c r="U618" s="12"/>
      <c r="V618" s="12">
        <v>-111</v>
      </c>
      <c r="W618" s="12">
        <f t="shared" ref="W618:W658" si="186">SUM(S618:V618)</f>
        <v>3197</v>
      </c>
      <c r="Y618" s="10">
        <v>2</v>
      </c>
      <c r="Z618" s="30" t="s">
        <v>69</v>
      </c>
      <c r="AA618" s="31">
        <f>AA617+1</f>
        <v>9152</v>
      </c>
      <c r="AB618" s="32">
        <f>650*70+872*3</f>
        <v>48116</v>
      </c>
      <c r="AD618" s="32"/>
      <c r="AE618" s="32">
        <f t="shared" ref="AE618:AE619" si="187">SUM(AB618:AC618)</f>
        <v>48116</v>
      </c>
      <c r="AF618" s="12"/>
      <c r="AG618" s="12">
        <f>4.5*58+17*1.5</f>
        <v>286.5</v>
      </c>
      <c r="AH618">
        <v>-1998</v>
      </c>
      <c r="AI618" s="12">
        <f t="shared" ref="AI618:AI619" si="188">SUM(AE618:AH618)</f>
        <v>46404.5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69</v>
      </c>
      <c r="C619" s="83">
        <f t="shared" ref="C619:C631" si="189">C618+1</f>
        <v>9081</v>
      </c>
      <c r="D619" s="33">
        <f>650*40+622*10+229*2</f>
        <v>32678</v>
      </c>
      <c r="E619" s="33"/>
      <c r="F619" s="33"/>
      <c r="G619" s="33">
        <f t="shared" si="183"/>
        <v>32678</v>
      </c>
      <c r="H619" s="34"/>
      <c r="I619" s="34"/>
      <c r="J619" s="34"/>
      <c r="K619" s="34">
        <f t="shared" si="184"/>
        <v>32678</v>
      </c>
      <c r="M619" s="10">
        <v>3</v>
      </c>
      <c r="N619" s="30" t="s">
        <v>69</v>
      </c>
      <c r="O619" s="31">
        <f t="shared" ref="O619:O622" si="190">O618+1</f>
        <v>9015</v>
      </c>
      <c r="P619" s="32">
        <f>650*75+973+229*2+500</f>
        <v>50681</v>
      </c>
      <c r="Q619" s="32"/>
      <c r="R619" s="32"/>
      <c r="S619" s="32">
        <f t="shared" si="185"/>
        <v>50681</v>
      </c>
      <c r="T619" s="12"/>
      <c r="U619" s="12"/>
      <c r="V619" s="12"/>
      <c r="W619" s="12">
        <f t="shared" si="186"/>
        <v>50681</v>
      </c>
      <c r="Y619" s="10">
        <v>3</v>
      </c>
      <c r="Z619" s="30" t="s">
        <v>69</v>
      </c>
      <c r="AA619" s="31">
        <f t="shared" ref="AA619:AA620" si="191">AA618+1</f>
        <v>9153</v>
      </c>
      <c r="AB619" s="32">
        <f>650*50+229</f>
        <v>32729</v>
      </c>
      <c r="AC619" s="33">
        <f>-50*6</f>
        <v>-300</v>
      </c>
      <c r="AD619" s="32"/>
      <c r="AE619" s="32">
        <f t="shared" si="187"/>
        <v>32429</v>
      </c>
      <c r="AF619" s="12"/>
      <c r="AG619" s="12"/>
      <c r="AH619" s="12">
        <f>-30*111</f>
        <v>-3330</v>
      </c>
      <c r="AI619" s="12">
        <f t="shared" si="188"/>
        <v>29099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69</v>
      </c>
      <c r="C620" s="83">
        <f>C619+1</f>
        <v>9082</v>
      </c>
      <c r="D620" s="32">
        <f>650*6+9.5*6</f>
        <v>3957</v>
      </c>
      <c r="E620" s="32"/>
      <c r="F620" s="32"/>
      <c r="G620" s="32">
        <f t="shared" si="183"/>
        <v>3957</v>
      </c>
      <c r="H620" s="12"/>
      <c r="I620" s="12"/>
      <c r="J620" s="12"/>
      <c r="K620" s="12">
        <f t="shared" si="184"/>
        <v>3957</v>
      </c>
      <c r="M620" s="10">
        <v>4</v>
      </c>
      <c r="N620" s="30" t="s">
        <v>69</v>
      </c>
      <c r="O620" s="31">
        <f t="shared" si="190"/>
        <v>9016</v>
      </c>
      <c r="P620" s="32">
        <f>650*7+9.5*4</f>
        <v>4588</v>
      </c>
      <c r="Q620" s="32"/>
      <c r="R620" s="32"/>
      <c r="S620" s="32">
        <f t="shared" si="185"/>
        <v>4588</v>
      </c>
      <c r="T620" s="12"/>
      <c r="U620" s="12"/>
      <c r="V620" s="12">
        <v>-111</v>
      </c>
      <c r="W620" s="12">
        <f t="shared" si="186"/>
        <v>4477</v>
      </c>
      <c r="Y620" s="10">
        <v>4</v>
      </c>
      <c r="Z620" s="30" t="s">
        <v>69</v>
      </c>
      <c r="AA620" s="31">
        <f t="shared" si="191"/>
        <v>9154</v>
      </c>
      <c r="AB620" s="32">
        <f>108*650+229*4</f>
        <v>71116</v>
      </c>
      <c r="AC620" s="32">
        <f>-108*6</f>
        <v>-648</v>
      </c>
      <c r="AD620" s="32"/>
      <c r="AE620" s="32">
        <f>SUM(AB620:AC620)</f>
        <v>70468</v>
      </c>
      <c r="AF620" s="12"/>
      <c r="AH620" s="12"/>
      <c r="AI620" s="12">
        <f>SUM(AE620:AH620)</f>
        <v>70468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69</v>
      </c>
      <c r="C621" s="83">
        <f t="shared" si="189"/>
        <v>9083</v>
      </c>
      <c r="D621" s="32">
        <f>650*3+622*2+9.5*5</f>
        <v>3241.5</v>
      </c>
      <c r="E621" s="32"/>
      <c r="F621" s="32"/>
      <c r="G621" s="32">
        <f t="shared" si="183"/>
        <v>3241.5</v>
      </c>
      <c r="H621" s="12"/>
      <c r="I621" s="12"/>
      <c r="J621" s="12"/>
      <c r="K621" s="12">
        <f t="shared" si="184"/>
        <v>3241.5</v>
      </c>
      <c r="M621" s="10">
        <v>5</v>
      </c>
      <c r="N621" s="30" t="s">
        <v>69</v>
      </c>
      <c r="O621" s="31">
        <f t="shared" si="190"/>
        <v>9017</v>
      </c>
      <c r="P621" s="32">
        <f>650*3+670*3+9.5*3</f>
        <v>3988.5</v>
      </c>
      <c r="Q621" s="32"/>
      <c r="R621" s="32"/>
      <c r="S621" s="32">
        <f t="shared" si="185"/>
        <v>3988.5</v>
      </c>
      <c r="T621" s="12"/>
      <c r="U621" s="12"/>
      <c r="V621" s="12"/>
      <c r="W621" s="12">
        <f t="shared" si="186"/>
        <v>3988.5</v>
      </c>
      <c r="Y621" s="10">
        <v>5</v>
      </c>
      <c r="Z621" s="30"/>
      <c r="AA621" s="11" t="s">
        <v>27</v>
      </c>
      <c r="AB621" s="33"/>
      <c r="AC621" s="32"/>
      <c r="AD621" s="32"/>
      <c r="AE621" s="32">
        <f>SUM(AB621:AC621)</f>
        <v>0</v>
      </c>
      <c r="AF621" s="12"/>
      <c r="AG621" s="12"/>
      <c r="AH621" s="12"/>
      <c r="AI621" s="12">
        <f t="shared" ref="AI621:AI658" si="192">SUM(AE621:AH621)</f>
        <v>0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69</v>
      </c>
      <c r="C622" s="83">
        <f t="shared" si="189"/>
        <v>9084</v>
      </c>
      <c r="D622" s="32">
        <f>650*6+622*3+9.5*9</f>
        <v>5851.5</v>
      </c>
      <c r="E622" s="32"/>
      <c r="F622" s="32"/>
      <c r="G622" s="32">
        <f t="shared" si="183"/>
        <v>5851.5</v>
      </c>
      <c r="H622" s="12"/>
      <c r="I622" s="12">
        <v>18</v>
      </c>
      <c r="J622" s="12">
        <f>-111*8</f>
        <v>-888</v>
      </c>
      <c r="K622" s="12">
        <f t="shared" si="184"/>
        <v>4981.5</v>
      </c>
      <c r="M622" s="10">
        <v>6</v>
      </c>
      <c r="N622" s="30" t="s">
        <v>69</v>
      </c>
      <c r="O622" s="31">
        <f t="shared" si="190"/>
        <v>9018</v>
      </c>
      <c r="P622" s="32">
        <f>650*216+229*4</f>
        <v>141316</v>
      </c>
      <c r="Q622" s="32">
        <f>-216*6</f>
        <v>-1296</v>
      </c>
      <c r="R622" s="32"/>
      <c r="S622" s="32">
        <f t="shared" si="185"/>
        <v>140020</v>
      </c>
      <c r="T622" s="12"/>
      <c r="U622" s="12">
        <f>23*111+78*3</f>
        <v>2787</v>
      </c>
      <c r="V622" s="10"/>
      <c r="W622" s="12">
        <f t="shared" si="186"/>
        <v>142807</v>
      </c>
      <c r="Y622" s="10">
        <v>6</v>
      </c>
      <c r="Z622" s="30"/>
      <c r="AA622" s="31"/>
      <c r="AB622" s="32"/>
      <c r="AC622" s="32"/>
      <c r="AD622" s="32"/>
      <c r="AE622" s="32">
        <f t="shared" ref="AE622:AE655" si="193">SUM(AB622:AC622)</f>
        <v>0</v>
      </c>
      <c r="AF622" s="12"/>
      <c r="AG622" s="12"/>
      <c r="AH622" s="10"/>
      <c r="AI622" s="12">
        <f t="shared" si="192"/>
        <v>0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 t="s">
        <v>69</v>
      </c>
      <c r="C623" s="83">
        <f t="shared" si="189"/>
        <v>9085</v>
      </c>
      <c r="D623" s="32">
        <f>650</f>
        <v>650</v>
      </c>
      <c r="E623" s="32"/>
      <c r="F623" s="32"/>
      <c r="G623" s="32">
        <f t="shared" si="183"/>
        <v>650</v>
      </c>
      <c r="H623" s="12"/>
      <c r="I623" s="12"/>
      <c r="J623" s="12"/>
      <c r="K623" s="12">
        <f t="shared" si="184"/>
        <v>650</v>
      </c>
      <c r="M623" s="10">
        <v>7</v>
      </c>
      <c r="N623" s="30"/>
      <c r="O623" s="11" t="s">
        <v>27</v>
      </c>
      <c r="P623" s="32"/>
      <c r="Q623" s="32"/>
      <c r="R623" s="32"/>
      <c r="S623" s="32">
        <f t="shared" si="185"/>
        <v>0</v>
      </c>
      <c r="T623" s="12"/>
      <c r="U623" s="12"/>
      <c r="V623" s="12"/>
      <c r="W623" s="12">
        <f t="shared" si="186"/>
        <v>0</v>
      </c>
      <c r="Y623" s="10">
        <v>7</v>
      </c>
      <c r="Z623" s="30"/>
      <c r="AA623" s="31"/>
      <c r="AB623" s="32"/>
      <c r="AC623" s="32"/>
      <c r="AD623" s="32"/>
      <c r="AE623" s="32">
        <f t="shared" si="193"/>
        <v>0</v>
      </c>
      <c r="AF623" s="12"/>
      <c r="AG623" s="58"/>
      <c r="AH623" s="12"/>
      <c r="AI623" s="12">
        <f t="shared" si="192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 t="s">
        <v>69</v>
      </c>
      <c r="C624" s="83">
        <f t="shared" si="189"/>
        <v>9086</v>
      </c>
      <c r="D624" s="32">
        <f>650*102+622*15+872</f>
        <v>76502</v>
      </c>
      <c r="E624" s="32"/>
      <c r="F624" s="32"/>
      <c r="G624" s="32">
        <f t="shared" si="183"/>
        <v>76502</v>
      </c>
      <c r="H624" s="12"/>
      <c r="I624" s="12"/>
      <c r="J624" s="12"/>
      <c r="K624" s="12">
        <f t="shared" si="184"/>
        <v>76502</v>
      </c>
      <c r="M624" s="10">
        <v>8</v>
      </c>
      <c r="N624" s="30"/>
      <c r="O624" s="31"/>
      <c r="P624" s="32"/>
      <c r="Q624" s="32"/>
      <c r="R624" s="32"/>
      <c r="S624" s="32">
        <f t="shared" si="185"/>
        <v>0</v>
      </c>
      <c r="T624" s="12"/>
      <c r="U624" s="12"/>
      <c r="V624" s="12"/>
      <c r="W624" s="12">
        <f t="shared" si="186"/>
        <v>0</v>
      </c>
      <c r="Y624" s="10">
        <v>8</v>
      </c>
      <c r="Z624" s="30"/>
      <c r="AA624" s="31"/>
      <c r="AB624" s="32"/>
      <c r="AC624" s="32"/>
      <c r="AE624" s="32">
        <f t="shared" si="193"/>
        <v>0</v>
      </c>
      <c r="AF624" s="12"/>
      <c r="AG624" s="12"/>
      <c r="AH624" s="12"/>
      <c r="AI624" s="12">
        <f t="shared" si="192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 t="s">
        <v>69</v>
      </c>
      <c r="C625" s="83">
        <f t="shared" si="189"/>
        <v>9087</v>
      </c>
      <c r="D625" s="32">
        <f>650*108+1050+500</f>
        <v>71750</v>
      </c>
      <c r="E625" s="32"/>
      <c r="F625" s="32"/>
      <c r="G625" s="32">
        <f t="shared" si="183"/>
        <v>71750</v>
      </c>
      <c r="H625" s="12"/>
      <c r="I625" s="12"/>
      <c r="J625" s="12"/>
      <c r="K625" s="12">
        <f t="shared" si="184"/>
        <v>71750</v>
      </c>
      <c r="M625" s="10">
        <v>9</v>
      </c>
      <c r="N625" s="30"/>
      <c r="O625" s="31"/>
      <c r="P625" s="32"/>
      <c r="Q625" s="32"/>
      <c r="R625" s="32"/>
      <c r="S625" s="32">
        <f t="shared" si="185"/>
        <v>0</v>
      </c>
      <c r="T625" s="12"/>
      <c r="U625" s="12"/>
      <c r="V625" s="12"/>
      <c r="W625" s="12">
        <f t="shared" si="186"/>
        <v>0</v>
      </c>
      <c r="Y625" s="10">
        <v>9</v>
      </c>
      <c r="Z625" s="30"/>
      <c r="AA625" s="31"/>
      <c r="AC625" s="32"/>
      <c r="AD625" s="32"/>
      <c r="AE625" s="32">
        <f t="shared" si="193"/>
        <v>0</v>
      </c>
      <c r="AF625" s="12"/>
      <c r="AH625" s="12"/>
      <c r="AI625" s="12">
        <f t="shared" si="192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 t="s">
        <v>69</v>
      </c>
      <c r="C626" s="83">
        <f t="shared" si="189"/>
        <v>9088</v>
      </c>
      <c r="D626" s="32">
        <f>650*6+650+500*2</f>
        <v>5550</v>
      </c>
      <c r="E626" s="32"/>
      <c r="F626" s="32"/>
      <c r="G626" s="32">
        <f t="shared" si="183"/>
        <v>5550</v>
      </c>
      <c r="H626" s="12"/>
      <c r="I626" s="12">
        <v>54</v>
      </c>
      <c r="J626" s="12"/>
      <c r="K626" s="12">
        <f t="shared" si="184"/>
        <v>5604</v>
      </c>
      <c r="M626" s="10">
        <v>10</v>
      </c>
      <c r="N626" s="30"/>
      <c r="O626" s="31"/>
      <c r="P626" s="32"/>
      <c r="Q626" s="32"/>
      <c r="R626" s="32"/>
      <c r="S626" s="32">
        <f t="shared" si="185"/>
        <v>0</v>
      </c>
      <c r="T626" s="12"/>
      <c r="U626" s="12"/>
      <c r="V626" s="12"/>
      <c r="W626" s="12">
        <f t="shared" si="186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93"/>
        <v>0</v>
      </c>
      <c r="AF626" s="12"/>
      <c r="AG626" s="12"/>
      <c r="AH626" s="12"/>
      <c r="AI626" s="12">
        <f t="shared" si="192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 t="s">
        <v>69</v>
      </c>
      <c r="C627" s="83">
        <f t="shared" si="189"/>
        <v>9089</v>
      </c>
      <c r="D627" s="32">
        <f>650*11</f>
        <v>7150</v>
      </c>
      <c r="E627" s="32"/>
      <c r="F627" s="32"/>
      <c r="G627" s="32">
        <f t="shared" si="183"/>
        <v>7150</v>
      </c>
      <c r="H627" s="12"/>
      <c r="I627" s="12"/>
      <c r="J627" s="12">
        <v>-960</v>
      </c>
      <c r="K627" s="12">
        <f t="shared" si="184"/>
        <v>6190</v>
      </c>
      <c r="M627" s="10">
        <v>11</v>
      </c>
      <c r="N627" s="30"/>
      <c r="O627" s="31"/>
      <c r="P627" s="32"/>
      <c r="Q627" s="32"/>
      <c r="R627" s="32"/>
      <c r="S627" s="32">
        <f t="shared" si="185"/>
        <v>0</v>
      </c>
      <c r="T627" s="12"/>
      <c r="U627" s="12"/>
      <c r="V627" s="12"/>
      <c r="W627" s="12">
        <f t="shared" si="186"/>
        <v>0</v>
      </c>
      <c r="Y627" s="10">
        <v>11</v>
      </c>
      <c r="Z627" s="30"/>
      <c r="AA627" s="31"/>
      <c r="AB627" s="32"/>
      <c r="AC627" s="32"/>
      <c r="AD627" s="32"/>
      <c r="AE627" s="32">
        <f t="shared" si="193"/>
        <v>0</v>
      </c>
      <c r="AF627" s="12"/>
      <c r="AG627" s="12"/>
      <c r="AH627" s="12"/>
      <c r="AI627" s="12">
        <f t="shared" si="192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 t="s">
        <v>69</v>
      </c>
      <c r="C628" s="83">
        <f t="shared" si="189"/>
        <v>9090</v>
      </c>
      <c r="D628" s="32">
        <f>650*21</f>
        <v>13650</v>
      </c>
      <c r="E628" s="32"/>
      <c r="F628" s="32"/>
      <c r="G628" s="32">
        <f t="shared" si="183"/>
        <v>13650</v>
      </c>
      <c r="H628" s="12"/>
      <c r="I628" s="12"/>
      <c r="J628" s="10"/>
      <c r="K628" s="12">
        <f t="shared" si="184"/>
        <v>13650</v>
      </c>
      <c r="M628" s="10">
        <v>12</v>
      </c>
      <c r="N628" s="30"/>
      <c r="O628" s="31"/>
      <c r="P628" s="32"/>
      <c r="Q628" s="32"/>
      <c r="R628" s="32"/>
      <c r="S628" s="32">
        <f t="shared" si="185"/>
        <v>0</v>
      </c>
      <c r="T628" s="12"/>
      <c r="U628" s="12"/>
      <c r="V628" s="12"/>
      <c r="W628" s="12">
        <f t="shared" si="186"/>
        <v>0</v>
      </c>
      <c r="Y628" s="10">
        <v>12</v>
      </c>
      <c r="Z628" s="30"/>
      <c r="AA628" s="31"/>
      <c r="AB628" s="32"/>
      <c r="AC628" s="32"/>
      <c r="AD628" s="32"/>
      <c r="AE628" s="32">
        <f t="shared" si="193"/>
        <v>0</v>
      </c>
      <c r="AF628" s="12"/>
      <c r="AG628" s="12"/>
      <c r="AH628" s="12"/>
      <c r="AI628" s="12">
        <f t="shared" si="192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 t="s">
        <v>69</v>
      </c>
      <c r="C629" s="83">
        <f t="shared" si="189"/>
        <v>9091</v>
      </c>
      <c r="D629" s="32">
        <f>872+650</f>
        <v>1522</v>
      </c>
      <c r="E629" s="32"/>
      <c r="F629" s="32"/>
      <c r="G629" s="32">
        <f t="shared" si="183"/>
        <v>1522</v>
      </c>
      <c r="H629" s="12"/>
      <c r="I629" s="12"/>
      <c r="J629" s="12"/>
      <c r="K629" s="12">
        <f t="shared" si="184"/>
        <v>1522</v>
      </c>
      <c r="M629" s="10">
        <v>13</v>
      </c>
      <c r="N629" s="30"/>
      <c r="O629" s="31"/>
      <c r="P629" s="32"/>
      <c r="Q629" s="32"/>
      <c r="R629" s="32"/>
      <c r="S629" s="32">
        <f t="shared" si="185"/>
        <v>0</v>
      </c>
      <c r="T629" s="12"/>
      <c r="U629" s="12"/>
      <c r="V629" s="12"/>
      <c r="W629" s="12">
        <f t="shared" si="186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93"/>
        <v>0</v>
      </c>
      <c r="AF629" s="12"/>
      <c r="AG629" s="12"/>
      <c r="AH629" s="12"/>
      <c r="AI629" s="12">
        <f t="shared" si="192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 t="s">
        <v>69</v>
      </c>
      <c r="C630" s="83">
        <f t="shared" si="189"/>
        <v>9092</v>
      </c>
      <c r="D630" s="32">
        <f>973</f>
        <v>973</v>
      </c>
      <c r="E630" s="32"/>
      <c r="F630" s="32"/>
      <c r="G630" s="32">
        <f t="shared" si="183"/>
        <v>973</v>
      </c>
      <c r="H630" s="12"/>
      <c r="I630" s="12"/>
      <c r="J630" s="12"/>
      <c r="K630" s="12">
        <f t="shared" si="184"/>
        <v>973</v>
      </c>
      <c r="M630" s="10">
        <v>14</v>
      </c>
      <c r="N630" s="30"/>
      <c r="O630" s="31"/>
      <c r="P630" s="32"/>
      <c r="Q630" s="32"/>
      <c r="R630" s="32"/>
      <c r="S630" s="32">
        <f t="shared" si="185"/>
        <v>0</v>
      </c>
      <c r="T630" s="12"/>
      <c r="U630" s="12"/>
      <c r="V630" s="12"/>
      <c r="W630" s="12">
        <f t="shared" si="186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93"/>
        <v>0</v>
      </c>
      <c r="AF630" s="12"/>
      <c r="AG630" s="12"/>
      <c r="AH630" s="12"/>
      <c r="AI630" s="12">
        <f t="shared" si="192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 t="s">
        <v>69</v>
      </c>
      <c r="C631" s="83">
        <f t="shared" si="189"/>
        <v>9093</v>
      </c>
      <c r="D631" s="32">
        <f>973*60+1050*2+872*2</f>
        <v>62224</v>
      </c>
      <c r="E631" s="32"/>
      <c r="F631" s="32"/>
      <c r="G631" s="32">
        <f t="shared" si="183"/>
        <v>62224</v>
      </c>
      <c r="H631" s="12"/>
      <c r="I631" s="12">
        <v>360</v>
      </c>
      <c r="J631" s="12"/>
      <c r="K631" s="12">
        <f t="shared" si="184"/>
        <v>62584</v>
      </c>
      <c r="M631" s="10">
        <v>15</v>
      </c>
      <c r="N631" s="30"/>
      <c r="O631" s="31"/>
      <c r="P631" s="32"/>
      <c r="Q631" s="32"/>
      <c r="R631" s="32"/>
      <c r="S631" s="32">
        <f t="shared" si="185"/>
        <v>0</v>
      </c>
      <c r="T631" s="12"/>
      <c r="U631" s="12"/>
      <c r="V631" s="12"/>
      <c r="W631" s="12">
        <f t="shared" si="186"/>
        <v>0</v>
      </c>
      <c r="Y631" s="10">
        <v>15</v>
      </c>
      <c r="Z631" s="30"/>
      <c r="AB631" s="32"/>
      <c r="AC631" s="32"/>
      <c r="AD631" s="32"/>
      <c r="AE631" s="32">
        <f t="shared" si="193"/>
        <v>0</v>
      </c>
      <c r="AF631" s="12"/>
      <c r="AG631" s="12"/>
      <c r="AH631" s="12"/>
      <c r="AI631" s="12">
        <f t="shared" si="192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/>
      <c r="C632" s="11" t="s">
        <v>27</v>
      </c>
      <c r="D632" s="32"/>
      <c r="E632" s="32"/>
      <c r="F632" s="32"/>
      <c r="G632" s="32">
        <f t="shared" si="183"/>
        <v>0</v>
      </c>
      <c r="H632" s="12"/>
      <c r="I632" s="12"/>
      <c r="J632" s="12"/>
      <c r="K632" s="12">
        <f t="shared" si="184"/>
        <v>0</v>
      </c>
      <c r="M632" s="10">
        <v>16</v>
      </c>
      <c r="N632" s="30"/>
      <c r="O632" s="31"/>
      <c r="P632" s="32"/>
      <c r="Q632" s="32"/>
      <c r="R632" s="32"/>
      <c r="S632" s="32">
        <f t="shared" si="185"/>
        <v>0</v>
      </c>
      <c r="T632" s="12"/>
      <c r="U632" s="12"/>
      <c r="V632" s="12"/>
      <c r="W632" s="12">
        <f t="shared" si="186"/>
        <v>0</v>
      </c>
      <c r="Y632" s="10">
        <v>16</v>
      </c>
      <c r="Z632" s="30"/>
      <c r="AB632" s="32"/>
      <c r="AC632" s="32"/>
      <c r="AD632" s="32"/>
      <c r="AE632" s="32">
        <f t="shared" si="193"/>
        <v>0</v>
      </c>
      <c r="AF632" s="12"/>
      <c r="AG632" s="12"/>
      <c r="AH632" s="12"/>
      <c r="AI632" s="12">
        <f t="shared" si="192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83"/>
      <c r="D633" s="32"/>
      <c r="E633" s="32"/>
      <c r="F633" s="32"/>
      <c r="G633" s="32">
        <f t="shared" si="183"/>
        <v>0</v>
      </c>
      <c r="H633" s="12"/>
      <c r="I633" s="12"/>
      <c r="J633" s="12"/>
      <c r="K633" s="12">
        <f t="shared" si="184"/>
        <v>0</v>
      </c>
      <c r="M633" s="10">
        <v>17</v>
      </c>
      <c r="N633" s="30"/>
      <c r="O633" s="31"/>
      <c r="P633" s="35"/>
      <c r="Q633" s="32"/>
      <c r="R633" s="32"/>
      <c r="S633" s="32">
        <f t="shared" si="185"/>
        <v>0</v>
      </c>
      <c r="T633" s="12"/>
      <c r="U633" s="12"/>
      <c r="V633" s="12"/>
      <c r="W633" s="12">
        <f t="shared" si="186"/>
        <v>0</v>
      </c>
      <c r="Y633" s="10">
        <v>17</v>
      </c>
      <c r="Z633" s="30"/>
      <c r="AA633" s="31"/>
      <c r="AB633" s="35"/>
      <c r="AC633" s="32"/>
      <c r="AD633" s="32"/>
      <c r="AE633" s="32">
        <f t="shared" si="193"/>
        <v>0</v>
      </c>
      <c r="AF633" s="12"/>
      <c r="AG633" s="12"/>
      <c r="AH633" s="12"/>
      <c r="AI633" s="12">
        <f t="shared" si="192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83"/>
      <c r="D634" s="32"/>
      <c r="E634" s="32"/>
      <c r="F634" s="32"/>
      <c r="G634" s="32">
        <f t="shared" si="183"/>
        <v>0</v>
      </c>
      <c r="H634" s="12"/>
      <c r="I634" s="12"/>
      <c r="J634" s="12"/>
      <c r="K634" s="12">
        <f t="shared" si="184"/>
        <v>0</v>
      </c>
      <c r="M634" s="10">
        <v>18</v>
      </c>
      <c r="N634" s="30"/>
      <c r="O634" s="31"/>
      <c r="P634" s="32"/>
      <c r="Q634" s="32"/>
      <c r="R634" s="32"/>
      <c r="S634" s="32">
        <f t="shared" si="185"/>
        <v>0</v>
      </c>
      <c r="T634" s="12"/>
      <c r="U634" s="12"/>
      <c r="V634" s="12"/>
      <c r="W634" s="12">
        <f t="shared" si="186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93"/>
        <v>0</v>
      </c>
      <c r="AF634" s="12"/>
      <c r="AG634" s="12"/>
      <c r="AH634" s="12"/>
      <c r="AI634" s="12">
        <f t="shared" si="192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83"/>
      <c r="D635" s="32"/>
      <c r="E635" s="32"/>
      <c r="F635" s="32"/>
      <c r="G635" s="32">
        <f t="shared" si="183"/>
        <v>0</v>
      </c>
      <c r="H635" s="12"/>
      <c r="I635" s="12"/>
      <c r="J635" s="12"/>
      <c r="K635" s="12">
        <f t="shared" si="184"/>
        <v>0</v>
      </c>
      <c r="M635" s="10">
        <v>19</v>
      </c>
      <c r="N635" s="30"/>
      <c r="O635" s="31"/>
      <c r="P635" s="32"/>
      <c r="Q635" s="32"/>
      <c r="R635" s="32"/>
      <c r="S635" s="32">
        <f t="shared" si="185"/>
        <v>0</v>
      </c>
      <c r="T635" s="12"/>
      <c r="U635" s="12"/>
      <c r="V635" s="12"/>
      <c r="W635" s="12">
        <f t="shared" si="186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93"/>
        <v>0</v>
      </c>
      <c r="AF635" s="12"/>
      <c r="AG635" s="12"/>
      <c r="AH635" s="12"/>
      <c r="AI635" s="12">
        <f t="shared" si="192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83"/>
      <c r="D636" s="32"/>
      <c r="E636" s="32"/>
      <c r="F636" s="32"/>
      <c r="G636" s="32">
        <f t="shared" si="183"/>
        <v>0</v>
      </c>
      <c r="H636" s="12"/>
      <c r="I636" s="12"/>
      <c r="J636" s="12"/>
      <c r="K636" s="12">
        <f t="shared" si="184"/>
        <v>0</v>
      </c>
      <c r="M636" s="10">
        <v>20</v>
      </c>
      <c r="N636" s="30"/>
      <c r="O636" s="31"/>
      <c r="P636" s="32"/>
      <c r="Q636" s="32"/>
      <c r="R636" s="32"/>
      <c r="S636" s="32">
        <f t="shared" si="185"/>
        <v>0</v>
      </c>
      <c r="T636" s="12"/>
      <c r="U636" s="12"/>
      <c r="V636" s="12"/>
      <c r="W636" s="12">
        <f t="shared" si="186"/>
        <v>0</v>
      </c>
      <c r="Y636" s="10">
        <v>20</v>
      </c>
      <c r="Z636" s="30"/>
      <c r="AB636" s="32"/>
      <c r="AC636" s="32"/>
      <c r="AD636" s="32"/>
      <c r="AE636" s="32">
        <f t="shared" si="193"/>
        <v>0</v>
      </c>
      <c r="AF636" s="12"/>
      <c r="AG636" s="12"/>
      <c r="AH636" s="12"/>
      <c r="AI636" s="12">
        <f t="shared" si="192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83"/>
      <c r="D637" s="32"/>
      <c r="E637" s="32"/>
      <c r="F637" s="32"/>
      <c r="G637" s="32">
        <f t="shared" si="183"/>
        <v>0</v>
      </c>
      <c r="H637" s="10"/>
      <c r="I637" s="10"/>
      <c r="J637" s="10"/>
      <c r="K637" s="12">
        <f t="shared" si="184"/>
        <v>0</v>
      </c>
      <c r="M637" s="10">
        <v>21</v>
      </c>
      <c r="N637" s="30"/>
      <c r="P637" s="92"/>
      <c r="Q637" s="31"/>
      <c r="R637" s="31"/>
      <c r="S637" s="32">
        <f t="shared" si="185"/>
        <v>0</v>
      </c>
      <c r="T637" s="10"/>
      <c r="U637" s="10"/>
      <c r="V637" s="10"/>
      <c r="W637" s="12">
        <f t="shared" si="186"/>
        <v>0</v>
      </c>
      <c r="Y637" s="10">
        <v>21</v>
      </c>
      <c r="Z637" s="30"/>
      <c r="AA637" s="31"/>
      <c r="AB637" s="46"/>
      <c r="AC637" s="31"/>
      <c r="AD637" s="31"/>
      <c r="AE637" s="32">
        <f t="shared" si="193"/>
        <v>0</v>
      </c>
      <c r="AF637" s="10"/>
      <c r="AG637" s="10"/>
      <c r="AH637" s="10"/>
      <c r="AI637" s="12">
        <f t="shared" si="192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83"/>
      <c r="D638" s="32"/>
      <c r="E638" s="32"/>
      <c r="F638" s="32"/>
      <c r="G638" s="32">
        <f t="shared" si="183"/>
        <v>0</v>
      </c>
      <c r="H638" s="10"/>
      <c r="I638" s="10"/>
      <c r="J638" s="10"/>
      <c r="K638" s="12">
        <f t="shared" si="184"/>
        <v>0</v>
      </c>
      <c r="M638" s="10">
        <v>22</v>
      </c>
      <c r="N638" s="30"/>
      <c r="O638" s="31"/>
      <c r="P638" s="92"/>
      <c r="Q638" s="31"/>
      <c r="R638" s="31"/>
      <c r="S638" s="32">
        <f t="shared" si="185"/>
        <v>0</v>
      </c>
      <c r="T638" s="10"/>
      <c r="U638" s="10"/>
      <c r="V638" s="10"/>
      <c r="W638" s="12">
        <f t="shared" si="186"/>
        <v>0</v>
      </c>
      <c r="Y638" s="10">
        <v>22</v>
      </c>
      <c r="Z638" s="30"/>
      <c r="AA638" s="31"/>
      <c r="AB638" s="45"/>
      <c r="AC638" s="31"/>
      <c r="AD638" s="31"/>
      <c r="AE638" s="32">
        <f t="shared" si="193"/>
        <v>0</v>
      </c>
      <c r="AF638" s="10"/>
      <c r="AG638" s="10"/>
      <c r="AH638" s="10"/>
      <c r="AI638" s="12">
        <f t="shared" si="192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83"/>
      <c r="D639" s="32"/>
      <c r="E639" s="32"/>
      <c r="F639" s="32"/>
      <c r="G639" s="32">
        <f t="shared" si="183"/>
        <v>0</v>
      </c>
      <c r="H639" s="10"/>
      <c r="I639" s="10"/>
      <c r="J639" s="12"/>
      <c r="K639" s="12">
        <f t="shared" si="184"/>
        <v>0</v>
      </c>
      <c r="M639" s="10">
        <v>23</v>
      </c>
      <c r="N639" s="30"/>
      <c r="O639" s="31"/>
      <c r="P639" s="47"/>
      <c r="Q639" s="31"/>
      <c r="S639" s="32">
        <f t="shared" si="185"/>
        <v>0</v>
      </c>
      <c r="T639" s="10"/>
      <c r="U639" s="10"/>
      <c r="V639" s="10"/>
      <c r="W639" s="12">
        <f t="shared" si="186"/>
        <v>0</v>
      </c>
      <c r="Y639" s="10">
        <v>23</v>
      </c>
      <c r="Z639" s="30"/>
      <c r="AA639" s="31"/>
      <c r="AB639" s="47"/>
      <c r="AC639" s="31"/>
      <c r="AE639" s="32">
        <f t="shared" si="193"/>
        <v>0</v>
      </c>
      <c r="AF639" s="10"/>
      <c r="AG639" s="10"/>
      <c r="AH639" s="10"/>
      <c r="AI639" s="12">
        <f t="shared" si="192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83"/>
      <c r="D640" s="32"/>
      <c r="E640" s="32"/>
      <c r="F640" s="32"/>
      <c r="G640" s="32">
        <f t="shared" si="183"/>
        <v>0</v>
      </c>
      <c r="H640" s="10"/>
      <c r="I640" s="10"/>
      <c r="J640" s="10"/>
      <c r="K640" s="12">
        <f t="shared" si="184"/>
        <v>0</v>
      </c>
      <c r="M640" s="10">
        <v>24</v>
      </c>
      <c r="N640" s="30"/>
      <c r="P640" s="47"/>
      <c r="Q640" s="31"/>
      <c r="R640" s="31"/>
      <c r="S640" s="32">
        <f t="shared" si="185"/>
        <v>0</v>
      </c>
      <c r="T640" s="10"/>
      <c r="U640" s="10"/>
      <c r="V640" s="10"/>
      <c r="W640" s="12">
        <f t="shared" si="186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93"/>
        <v>0</v>
      </c>
      <c r="AF640" s="10"/>
      <c r="AG640" s="10"/>
      <c r="AH640" s="10"/>
      <c r="AI640" s="12">
        <f t="shared" si="192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83"/>
      <c r="D641" s="32"/>
      <c r="E641" s="32"/>
      <c r="F641" s="32"/>
      <c r="G641" s="32">
        <f t="shared" si="183"/>
        <v>0</v>
      </c>
      <c r="H641" s="10"/>
      <c r="I641" s="10"/>
      <c r="J641" s="10"/>
      <c r="K641" s="12">
        <f t="shared" si="184"/>
        <v>0</v>
      </c>
      <c r="M641" s="10">
        <v>25</v>
      </c>
      <c r="N641" s="30"/>
      <c r="O641" s="31"/>
      <c r="P641" s="47"/>
      <c r="Q641" s="31"/>
      <c r="R641" s="31"/>
      <c r="S641" s="32">
        <f t="shared" si="185"/>
        <v>0</v>
      </c>
      <c r="T641" s="10"/>
      <c r="U641" s="10"/>
      <c r="V641" s="10"/>
      <c r="W641" s="12">
        <f t="shared" si="186"/>
        <v>0</v>
      </c>
      <c r="Y641" s="10">
        <v>25</v>
      </c>
      <c r="Z641" s="30"/>
      <c r="AA641" s="31"/>
      <c r="AB641" s="47"/>
      <c r="AC641" s="31"/>
      <c r="AD641" s="31"/>
      <c r="AE641" s="32">
        <f t="shared" si="193"/>
        <v>0</v>
      </c>
      <c r="AF641" s="10"/>
      <c r="AG641" s="10"/>
      <c r="AH641" s="10"/>
      <c r="AI641" s="12">
        <f t="shared" si="192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83"/>
      <c r="D642" s="32"/>
      <c r="E642" s="32"/>
      <c r="F642" s="32"/>
      <c r="G642" s="32">
        <f t="shared" si="183"/>
        <v>0</v>
      </c>
      <c r="H642" s="10"/>
      <c r="I642" s="10"/>
      <c r="J642" s="10"/>
      <c r="K642" s="12">
        <f t="shared" si="184"/>
        <v>0</v>
      </c>
      <c r="M642" s="10">
        <v>26</v>
      </c>
      <c r="N642" s="30"/>
      <c r="P642" s="47"/>
      <c r="Q642" s="31"/>
      <c r="R642" s="31"/>
      <c r="S642" s="32">
        <f t="shared" si="185"/>
        <v>0</v>
      </c>
      <c r="T642" s="10"/>
      <c r="U642" s="10"/>
      <c r="V642" s="10"/>
      <c r="W642" s="12">
        <f t="shared" si="186"/>
        <v>0</v>
      </c>
      <c r="Y642" s="10">
        <v>26</v>
      </c>
      <c r="Z642" s="30"/>
      <c r="AA642" s="31"/>
      <c r="AB642" s="47"/>
      <c r="AC642" s="31"/>
      <c r="AD642" s="31"/>
      <c r="AE642" s="32">
        <f t="shared" si="193"/>
        <v>0</v>
      </c>
      <c r="AF642" s="10"/>
      <c r="AG642" s="10"/>
      <c r="AH642" s="10"/>
      <c r="AI642" s="12">
        <f t="shared" si="192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83"/>
      <c r="D643" s="32"/>
      <c r="E643" s="32"/>
      <c r="F643" s="32"/>
      <c r="G643" s="32">
        <f t="shared" si="183"/>
        <v>0</v>
      </c>
      <c r="H643" s="10"/>
      <c r="I643" s="10"/>
      <c r="J643" s="10"/>
      <c r="K643" s="12">
        <f t="shared" si="184"/>
        <v>0</v>
      </c>
      <c r="M643" s="10">
        <v>27</v>
      </c>
      <c r="N643" s="30"/>
      <c r="O643" s="31"/>
      <c r="P643" s="47"/>
      <c r="Q643" s="31"/>
      <c r="R643" s="31"/>
      <c r="S643" s="32">
        <f t="shared" si="185"/>
        <v>0</v>
      </c>
      <c r="T643" s="10"/>
      <c r="U643" s="10"/>
      <c r="V643" s="10"/>
      <c r="W643" s="12">
        <f t="shared" si="186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93"/>
        <v>0</v>
      </c>
      <c r="AF643" s="10"/>
      <c r="AG643" s="10"/>
      <c r="AH643" s="10"/>
      <c r="AI643" s="12">
        <f t="shared" si="192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83"/>
      <c r="D644" s="32"/>
      <c r="E644" s="32"/>
      <c r="F644" s="32"/>
      <c r="G644" s="32">
        <f t="shared" si="183"/>
        <v>0</v>
      </c>
      <c r="H644" s="10"/>
      <c r="I644" s="10"/>
      <c r="J644" s="10"/>
      <c r="K644" s="12">
        <f t="shared" si="184"/>
        <v>0</v>
      </c>
      <c r="M644" s="10">
        <v>28</v>
      </c>
      <c r="N644" s="30"/>
      <c r="O644" s="31"/>
      <c r="P644" s="47"/>
      <c r="Q644" s="31"/>
      <c r="R644" s="31"/>
      <c r="S644" s="32">
        <f t="shared" si="185"/>
        <v>0</v>
      </c>
      <c r="T644" s="10"/>
      <c r="U644" s="10"/>
      <c r="V644" s="10"/>
      <c r="W644" s="12">
        <f t="shared" si="186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93"/>
        <v>0</v>
      </c>
      <c r="AF644" s="10"/>
      <c r="AG644" s="10"/>
      <c r="AH644" s="10"/>
      <c r="AI644" s="12">
        <f t="shared" si="192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83"/>
      <c r="D645" s="32"/>
      <c r="E645" s="32"/>
      <c r="F645" s="32"/>
      <c r="G645" s="32">
        <f t="shared" si="183"/>
        <v>0</v>
      </c>
      <c r="H645" s="10"/>
      <c r="I645" s="10"/>
      <c r="J645" s="10"/>
      <c r="K645" s="12">
        <f t="shared" si="184"/>
        <v>0</v>
      </c>
      <c r="M645" s="10">
        <v>29</v>
      </c>
      <c r="N645" s="30"/>
      <c r="O645" s="31"/>
      <c r="P645" s="47"/>
      <c r="Q645" s="31"/>
      <c r="R645" s="31"/>
      <c r="S645" s="32">
        <f t="shared" si="185"/>
        <v>0</v>
      </c>
      <c r="T645" s="10"/>
      <c r="U645" s="10"/>
      <c r="V645" s="10"/>
      <c r="W645" s="12">
        <f t="shared" si="186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93"/>
        <v>0</v>
      </c>
      <c r="AF645" s="10"/>
      <c r="AG645" s="10"/>
      <c r="AH645" s="10"/>
      <c r="AI645" s="12">
        <f t="shared" si="192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83"/>
      <c r="D646" s="32"/>
      <c r="E646" s="32"/>
      <c r="F646" s="32"/>
      <c r="G646" s="32">
        <f t="shared" si="183"/>
        <v>0</v>
      </c>
      <c r="H646" s="10"/>
      <c r="I646" s="10"/>
      <c r="J646" s="10"/>
      <c r="K646" s="12">
        <f t="shared" si="184"/>
        <v>0</v>
      </c>
      <c r="M646" s="10">
        <v>30</v>
      </c>
      <c r="N646" s="30"/>
      <c r="P646" s="47"/>
      <c r="Q646" s="31"/>
      <c r="R646" s="31"/>
      <c r="S646" s="32">
        <f t="shared" si="185"/>
        <v>0</v>
      </c>
      <c r="T646" s="10"/>
      <c r="U646" s="10"/>
      <c r="V646" s="10"/>
      <c r="W646" s="12">
        <f t="shared" si="186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93"/>
        <v>0</v>
      </c>
      <c r="AF646" s="10"/>
      <c r="AG646" s="10"/>
      <c r="AH646" s="10"/>
      <c r="AI646" s="12">
        <f t="shared" si="192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11"/>
      <c r="D647" s="32"/>
      <c r="E647" s="32"/>
      <c r="F647" s="32"/>
      <c r="G647" s="32">
        <f t="shared" si="183"/>
        <v>0</v>
      </c>
      <c r="H647" s="10"/>
      <c r="I647" s="10"/>
      <c r="J647" s="10"/>
      <c r="K647" s="12">
        <f t="shared" si="184"/>
        <v>0</v>
      </c>
      <c r="M647" s="10">
        <v>31</v>
      </c>
      <c r="N647" s="30"/>
      <c r="O647" s="31"/>
      <c r="P647" s="47"/>
      <c r="Q647" s="31"/>
      <c r="R647" s="31"/>
      <c r="S647" s="32">
        <f t="shared" si="185"/>
        <v>0</v>
      </c>
      <c r="T647" s="10"/>
      <c r="U647" s="10"/>
      <c r="V647" s="10"/>
      <c r="W647" s="12">
        <f t="shared" si="186"/>
        <v>0</v>
      </c>
      <c r="Y647" s="10">
        <v>31</v>
      </c>
      <c r="Z647" s="30"/>
      <c r="AA647" s="31"/>
      <c r="AB647" s="47"/>
      <c r="AC647" s="31"/>
      <c r="AD647" s="31"/>
      <c r="AE647" s="32">
        <f t="shared" si="193"/>
        <v>0</v>
      </c>
      <c r="AF647" s="10"/>
      <c r="AG647" s="10"/>
      <c r="AH647" s="10"/>
      <c r="AI647" s="12">
        <f t="shared" si="192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83"/>
      <c r="D648" s="32"/>
      <c r="E648" s="32"/>
      <c r="F648" s="32"/>
      <c r="G648" s="32">
        <f t="shared" si="183"/>
        <v>0</v>
      </c>
      <c r="H648" s="10"/>
      <c r="I648" s="10"/>
      <c r="J648" s="10"/>
      <c r="K648" s="12">
        <f t="shared" si="184"/>
        <v>0</v>
      </c>
      <c r="M648" s="10">
        <v>32</v>
      </c>
      <c r="N648" s="30"/>
      <c r="O648" s="31"/>
      <c r="P648" s="47"/>
      <c r="Q648" s="31"/>
      <c r="R648" s="31"/>
      <c r="S648" s="32">
        <f t="shared" si="185"/>
        <v>0</v>
      </c>
      <c r="T648" s="10"/>
      <c r="U648" s="10"/>
      <c r="V648" s="10"/>
      <c r="W648" s="12">
        <f t="shared" si="186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93"/>
        <v>0</v>
      </c>
      <c r="AF648" s="10"/>
      <c r="AG648" s="10"/>
      <c r="AH648" s="10"/>
      <c r="AI648" s="12">
        <f t="shared" si="192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83"/>
      <c r="D649" s="32"/>
      <c r="E649" s="32"/>
      <c r="F649" s="32"/>
      <c r="G649" s="32">
        <f t="shared" si="183"/>
        <v>0</v>
      </c>
      <c r="H649" s="10"/>
      <c r="I649" s="10"/>
      <c r="J649" s="10"/>
      <c r="K649" s="12">
        <f t="shared" si="184"/>
        <v>0</v>
      </c>
      <c r="M649" s="10">
        <v>33</v>
      </c>
      <c r="N649" s="30"/>
      <c r="O649" s="31"/>
      <c r="P649" s="47"/>
      <c r="Q649" s="31"/>
      <c r="R649" s="31"/>
      <c r="S649" s="32">
        <f t="shared" si="185"/>
        <v>0</v>
      </c>
      <c r="T649" s="10"/>
      <c r="U649" s="10"/>
      <c r="V649" s="10"/>
      <c r="W649" s="12">
        <f t="shared" si="186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93"/>
        <v>0</v>
      </c>
      <c r="AF649" s="10"/>
      <c r="AG649" s="10"/>
      <c r="AH649" s="10"/>
      <c r="AI649" s="12">
        <f t="shared" si="192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83"/>
      <c r="D650" s="32"/>
      <c r="E650" s="32"/>
      <c r="F650" s="32"/>
      <c r="G650" s="32">
        <f t="shared" si="183"/>
        <v>0</v>
      </c>
      <c r="H650" s="10"/>
      <c r="I650" s="10"/>
      <c r="J650" s="10"/>
      <c r="K650" s="12">
        <f t="shared" si="184"/>
        <v>0</v>
      </c>
      <c r="M650" s="10">
        <v>34</v>
      </c>
      <c r="N650" s="30"/>
      <c r="O650" s="31"/>
      <c r="P650" s="47"/>
      <c r="Q650" s="31"/>
      <c r="R650" s="31"/>
      <c r="S650" s="32">
        <f t="shared" si="185"/>
        <v>0</v>
      </c>
      <c r="T650" s="10"/>
      <c r="U650" s="10"/>
      <c r="V650" s="10"/>
      <c r="W650" s="12">
        <f t="shared" si="186"/>
        <v>0</v>
      </c>
      <c r="Y650" s="10">
        <v>34</v>
      </c>
      <c r="Z650" s="30"/>
      <c r="AA650" s="31"/>
      <c r="AB650" s="47"/>
      <c r="AC650" s="31"/>
      <c r="AD650" s="31"/>
      <c r="AE650" s="32">
        <f t="shared" si="193"/>
        <v>0</v>
      </c>
      <c r="AF650" s="10"/>
      <c r="AG650" s="10"/>
      <c r="AH650" s="10"/>
      <c r="AI650" s="12">
        <f t="shared" si="192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83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85"/>
        <v>0</v>
      </c>
      <c r="T651" s="10"/>
      <c r="U651" s="10"/>
      <c r="V651" s="10"/>
      <c r="W651" s="12">
        <f t="shared" si="186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93"/>
        <v>0</v>
      </c>
      <c r="AF651" s="10"/>
      <c r="AG651" s="10"/>
      <c r="AH651" s="10"/>
      <c r="AI651" s="12">
        <f t="shared" si="192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83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85"/>
        <v>0</v>
      </c>
      <c r="T652" s="10"/>
      <c r="U652" s="10"/>
      <c r="V652" s="10"/>
      <c r="W652" s="12">
        <f t="shared" si="186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93"/>
        <v>0</v>
      </c>
      <c r="AF652" s="10"/>
      <c r="AG652" s="10"/>
      <c r="AH652" s="10"/>
      <c r="AI652" s="12">
        <f t="shared" si="192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85"/>
        <v>0</v>
      </c>
      <c r="T653" s="10"/>
      <c r="U653" s="10"/>
      <c r="V653" s="10"/>
      <c r="W653" s="12">
        <f t="shared" si="186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93"/>
        <v>0</v>
      </c>
      <c r="AF653" s="10"/>
      <c r="AG653" s="10"/>
      <c r="AH653" s="10"/>
      <c r="AI653" s="12">
        <f t="shared" si="192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85"/>
        <v>0</v>
      </c>
      <c r="T654" s="10"/>
      <c r="U654" s="10"/>
      <c r="V654" s="10"/>
      <c r="W654" s="12">
        <f t="shared" si="186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93"/>
        <v>0</v>
      </c>
      <c r="AF654" s="10"/>
      <c r="AG654" s="10"/>
      <c r="AH654" s="10"/>
      <c r="AI654" s="12">
        <f t="shared" si="192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85"/>
        <v>0</v>
      </c>
      <c r="T655" s="10"/>
      <c r="U655" s="10"/>
      <c r="V655" s="10"/>
      <c r="W655" s="12">
        <f t="shared" si="186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93"/>
        <v>0</v>
      </c>
      <c r="AF655" s="10"/>
      <c r="AG655" s="10"/>
      <c r="AH655" s="10"/>
      <c r="AI655" s="12">
        <f t="shared" si="192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86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92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94">SUM(D657:E657)</f>
        <v>0</v>
      </c>
      <c r="H657" s="10"/>
      <c r="I657" s="10"/>
      <c r="J657" s="10"/>
      <c r="K657" s="12">
        <f t="shared" ref="K657" si="195">SUM(G657:J657)</f>
        <v>0</v>
      </c>
      <c r="M657" s="10"/>
      <c r="N657" s="30"/>
      <c r="O657" s="31"/>
      <c r="P657" s="47"/>
      <c r="Q657" s="31"/>
      <c r="R657" s="31"/>
      <c r="S657" s="32">
        <f t="shared" ref="S657" si="196">SUM(P657:Q657)</f>
        <v>0</v>
      </c>
      <c r="T657" s="10"/>
      <c r="U657" s="10"/>
      <c r="V657" s="10"/>
      <c r="W657" s="12">
        <f t="shared" si="186"/>
        <v>0</v>
      </c>
      <c r="Y657" s="10"/>
      <c r="Z657" s="30"/>
      <c r="AA657" s="31"/>
      <c r="AB657" s="47"/>
      <c r="AC657" s="31"/>
      <c r="AD657" s="31"/>
      <c r="AE657" s="32">
        <f t="shared" ref="AE657" si="197">SUM(AB657:AC657)</f>
        <v>0</v>
      </c>
      <c r="AF657" s="10"/>
      <c r="AG657" s="10"/>
      <c r="AH657" s="10"/>
      <c r="AI657" s="12">
        <f t="shared" si="192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86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92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304269</v>
      </c>
      <c r="E660" s="38">
        <f t="shared" ref="E660:F660" si="198">SUM(E617:E657)</f>
        <v>0</v>
      </c>
      <c r="F660" s="38">
        <f t="shared" si="198"/>
        <v>0</v>
      </c>
      <c r="G660" s="38">
        <f>SUM(G617:G659)</f>
        <v>304269</v>
      </c>
      <c r="H660" s="4"/>
      <c r="I660" s="39">
        <f>SUM(I617:I659)</f>
        <v>432</v>
      </c>
      <c r="J660" s="39">
        <f>SUM(J617:J659)</f>
        <v>-1848</v>
      </c>
      <c r="K660" s="40">
        <f>SUM(K617:K659)</f>
        <v>302853</v>
      </c>
      <c r="N660" s="57"/>
      <c r="O660" s="57"/>
      <c r="P660" s="38">
        <f>SUM(P617:P659)</f>
        <v>207189.5</v>
      </c>
      <c r="Q660" s="38">
        <f>SUM(Q617:Q641)</f>
        <v>-1296</v>
      </c>
      <c r="R660" s="38">
        <f>SUM(R617:R641)</f>
        <v>0</v>
      </c>
      <c r="S660" s="38">
        <f>SUM(S617:S659)</f>
        <v>205893.5</v>
      </c>
      <c r="T660" s="4"/>
      <c r="U660" s="41">
        <f>SUM(U617:U659)</f>
        <v>2787</v>
      </c>
      <c r="V660" s="41">
        <f>SUM(V617:V641)</f>
        <v>-222</v>
      </c>
      <c r="W660" s="42">
        <f>SUM(W617:W659)</f>
        <v>208458.5</v>
      </c>
      <c r="Z660" s="57"/>
      <c r="AA660" s="57"/>
      <c r="AB660" s="38">
        <f>SUM(AB617:AB659)</f>
        <v>241897</v>
      </c>
      <c r="AC660" s="38">
        <f>SUM(AC617:AC641)</f>
        <v>-1776</v>
      </c>
      <c r="AD660" s="38">
        <f>SUM(AD617:AD641)</f>
        <v>0</v>
      </c>
      <c r="AE660" s="38">
        <f>SUM(AE617:AE659)</f>
        <v>240121</v>
      </c>
      <c r="AF660" s="4"/>
      <c r="AG660" s="41">
        <f>SUM(AG617:AG659)</f>
        <v>372</v>
      </c>
      <c r="AH660" s="41">
        <f>SUM(AH617:AH641)</f>
        <v>-5328</v>
      </c>
      <c r="AI660" s="42">
        <f>SUM(AI617:AI659)</f>
        <v>235165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28</v>
      </c>
      <c r="B663" s="57"/>
      <c r="C663" s="57"/>
      <c r="D663" s="57"/>
      <c r="E663" s="57"/>
      <c r="G663" s="57"/>
      <c r="M663" t="s">
        <v>28</v>
      </c>
      <c r="N663" s="57"/>
      <c r="O663" s="57"/>
      <c r="P663" s="57"/>
      <c r="Q663" s="57"/>
      <c r="R663" s="57"/>
      <c r="S663" s="57"/>
      <c r="Y663" t="s">
        <v>28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14</v>
      </c>
      <c r="B665" s="57"/>
      <c r="C665" s="57"/>
      <c r="D665" s="57"/>
      <c r="E665" s="57"/>
      <c r="G665" s="57"/>
      <c r="M665" s="4" t="s">
        <v>14</v>
      </c>
      <c r="N665" s="57"/>
      <c r="O665" s="57"/>
      <c r="P665" s="57"/>
      <c r="Q665" s="57"/>
      <c r="R665" s="57"/>
      <c r="S665" s="57"/>
      <c r="Y665" s="4" t="s">
        <v>14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34</v>
      </c>
      <c r="B667" s="57"/>
      <c r="C667" s="57"/>
      <c r="D667" s="57"/>
      <c r="E667" s="57"/>
      <c r="G667" s="57"/>
      <c r="I667" s="57" t="s">
        <v>15</v>
      </c>
      <c r="J667" s="19">
        <v>1</v>
      </c>
      <c r="M667" t="s">
        <v>34</v>
      </c>
      <c r="N667" s="57"/>
      <c r="O667" s="57"/>
      <c r="P667" s="57"/>
      <c r="Q667" s="57"/>
      <c r="R667" s="57"/>
      <c r="S667" s="57"/>
      <c r="U667" s="57" t="s">
        <v>15</v>
      </c>
      <c r="V667" s="19">
        <v>2</v>
      </c>
      <c r="Y667" t="s">
        <v>34</v>
      </c>
      <c r="Z667" s="57"/>
      <c r="AA667" s="57"/>
      <c r="AB667" s="57"/>
      <c r="AC667" s="57"/>
      <c r="AD667" s="57"/>
      <c r="AE667" s="57"/>
      <c r="AG667" s="57" t="s">
        <v>15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71</v>
      </c>
      <c r="B668" s="20"/>
      <c r="C668" s="57"/>
      <c r="D668" s="57"/>
      <c r="E668" s="57"/>
      <c r="G668" s="57"/>
      <c r="I668" s="22" t="s">
        <v>16</v>
      </c>
      <c r="J668" s="23" t="s">
        <v>31</v>
      </c>
      <c r="K668" s="24"/>
      <c r="M668" s="21" t="s">
        <v>71</v>
      </c>
      <c r="N668" s="20"/>
      <c r="O668" s="57"/>
      <c r="P668" s="57"/>
      <c r="Q668" s="57"/>
      <c r="R668" s="57"/>
      <c r="S668" s="57"/>
      <c r="U668" s="22" t="s">
        <v>16</v>
      </c>
      <c r="V668" s="23" t="s">
        <v>33</v>
      </c>
      <c r="W668" s="24"/>
      <c r="Y668" s="21" t="s">
        <v>71</v>
      </c>
      <c r="Z668" s="20"/>
      <c r="AA668" s="57"/>
      <c r="AB668" s="57"/>
      <c r="AC668" s="57"/>
      <c r="AD668" s="57"/>
      <c r="AE668" s="57"/>
      <c r="AG668" s="22" t="s">
        <v>16</v>
      </c>
      <c r="AH668" s="23" t="s">
        <v>35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15" t="s">
        <v>17</v>
      </c>
      <c r="E670" s="115"/>
      <c r="F670" s="99"/>
      <c r="G670" s="27"/>
      <c r="I670" s="113" t="s">
        <v>18</v>
      </c>
      <c r="J670" s="114"/>
      <c r="K670" s="111" t="s">
        <v>19</v>
      </c>
      <c r="N670" s="25"/>
      <c r="O670" s="26"/>
      <c r="P670" s="115" t="s">
        <v>17</v>
      </c>
      <c r="Q670" s="115"/>
      <c r="R670" s="99"/>
      <c r="S670" s="27"/>
      <c r="U670" s="113" t="s">
        <v>18</v>
      </c>
      <c r="V670" s="114"/>
      <c r="W670" s="111" t="s">
        <v>19</v>
      </c>
      <c r="Z670" s="25"/>
      <c r="AA670" s="26"/>
      <c r="AB670" s="115" t="s">
        <v>17</v>
      </c>
      <c r="AC670" s="115"/>
      <c r="AD670" s="99"/>
      <c r="AE670" s="27"/>
      <c r="AG670" s="113" t="s">
        <v>18</v>
      </c>
      <c r="AH670" s="114"/>
      <c r="AI670" s="111" t="s">
        <v>19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20</v>
      </c>
      <c r="C671" s="28" t="s">
        <v>21</v>
      </c>
      <c r="D671" s="77" t="s">
        <v>22</v>
      </c>
      <c r="E671" s="76" t="s">
        <v>23</v>
      </c>
      <c r="F671" s="78" t="s">
        <v>32</v>
      </c>
      <c r="G671" s="78" t="s">
        <v>24</v>
      </c>
      <c r="I671" s="29" t="s">
        <v>25</v>
      </c>
      <c r="J671" s="29" t="s">
        <v>26</v>
      </c>
      <c r="K671" s="112"/>
      <c r="N671" s="28" t="s">
        <v>20</v>
      </c>
      <c r="O671" s="28" t="s">
        <v>21</v>
      </c>
      <c r="P671" s="77" t="s">
        <v>22</v>
      </c>
      <c r="Q671" s="78" t="s">
        <v>23</v>
      </c>
      <c r="R671" s="78" t="s">
        <v>32</v>
      </c>
      <c r="S671" s="78" t="s">
        <v>24</v>
      </c>
      <c r="U671" s="29" t="s">
        <v>25</v>
      </c>
      <c r="V671" s="29" t="s">
        <v>26</v>
      </c>
      <c r="W671" s="112"/>
      <c r="Z671" s="28" t="s">
        <v>20</v>
      </c>
      <c r="AA671" s="28" t="s">
        <v>21</v>
      </c>
      <c r="AB671" s="77" t="s">
        <v>22</v>
      </c>
      <c r="AC671" s="78" t="s">
        <v>23</v>
      </c>
      <c r="AD671" s="78" t="s">
        <v>32</v>
      </c>
      <c r="AE671" s="78" t="s">
        <v>24</v>
      </c>
      <c r="AG671" s="29" t="s">
        <v>25</v>
      </c>
      <c r="AH671" s="29" t="s">
        <v>26</v>
      </c>
      <c r="AI671" s="11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72</v>
      </c>
      <c r="C672" s="83">
        <v>9094</v>
      </c>
      <c r="D672" s="32">
        <f>650*4</f>
        <v>2600</v>
      </c>
      <c r="E672" s="32"/>
      <c r="F672" s="32"/>
      <c r="G672" s="32">
        <f t="shared" ref="G672:G705" si="199">SUM(D672:E672)</f>
        <v>2600</v>
      </c>
      <c r="H672" s="12"/>
      <c r="I672" s="12"/>
      <c r="J672" s="12"/>
      <c r="K672" s="12">
        <f t="shared" ref="K672:K705" si="200">SUM(G672:J672)</f>
        <v>2600</v>
      </c>
      <c r="M672" s="10">
        <v>1</v>
      </c>
      <c r="N672" s="30" t="s">
        <v>72</v>
      </c>
      <c r="O672" s="31">
        <v>9019</v>
      </c>
      <c r="P672" s="32">
        <f>650*6+9.5*6</f>
        <v>3957</v>
      </c>
      <c r="Q672" s="32"/>
      <c r="R672" s="32"/>
      <c r="S672" s="32">
        <f>SUM(P672:Q672)</f>
        <v>3957</v>
      </c>
      <c r="T672" s="12"/>
      <c r="U672" s="12"/>
      <c r="V672" s="12"/>
      <c r="W672" s="12">
        <f>SUM(S672:V672)</f>
        <v>3957</v>
      </c>
      <c r="Y672" s="10">
        <v>1</v>
      </c>
      <c r="Z672" s="30" t="s">
        <v>72</v>
      </c>
      <c r="AA672" s="31">
        <v>9155</v>
      </c>
      <c r="AB672" s="32">
        <f>650*108+229*4+650*2</f>
        <v>72416</v>
      </c>
      <c r="AC672" s="32"/>
      <c r="AD672" s="32"/>
      <c r="AE672" s="32">
        <f>SUM(AB672:AC672)</f>
        <v>72416</v>
      </c>
      <c r="AF672" s="12"/>
      <c r="AG672" s="12">
        <v>144</v>
      </c>
      <c r="AH672" s="12">
        <v>-240</v>
      </c>
      <c r="AI672" s="12">
        <f>SUM(AE672:AH672)</f>
        <v>72320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72</v>
      </c>
      <c r="C673" s="83">
        <f>C672+1</f>
        <v>9095</v>
      </c>
      <c r="D673" s="32">
        <f>650*7</f>
        <v>4550</v>
      </c>
      <c r="E673" s="32">
        <f>-7*6</f>
        <v>-42</v>
      </c>
      <c r="F673" s="32"/>
      <c r="G673" s="32">
        <f t="shared" si="199"/>
        <v>4508</v>
      </c>
      <c r="H673" s="12"/>
      <c r="I673" s="12"/>
      <c r="J673" s="12"/>
      <c r="K673" s="12">
        <f t="shared" si="200"/>
        <v>4508</v>
      </c>
      <c r="M673" s="10">
        <v>2</v>
      </c>
      <c r="N673" s="30" t="s">
        <v>72</v>
      </c>
      <c r="O673" s="31">
        <f>O672+1</f>
        <v>9020</v>
      </c>
      <c r="P673" s="32">
        <f>650*432+872*3+229*15</f>
        <v>286851</v>
      </c>
      <c r="Q673" s="32">
        <f>-435*6</f>
        <v>-2610</v>
      </c>
      <c r="R673" s="32"/>
      <c r="S673" s="32">
        <f t="shared" ref="S673:S710" si="201">SUM(P673:Q673)</f>
        <v>284241</v>
      </c>
      <c r="T673" s="12"/>
      <c r="U673" s="12">
        <f>120+1014</f>
        <v>1134</v>
      </c>
      <c r="V673" s="12">
        <v>-504</v>
      </c>
      <c r="W673" s="12">
        <f t="shared" ref="W673:W713" si="202">SUM(S673:V673)</f>
        <v>284871</v>
      </c>
      <c r="Y673" s="10">
        <v>2</v>
      </c>
      <c r="Z673" s="30" t="s">
        <v>72</v>
      </c>
      <c r="AA673" s="31">
        <f>AA672+1</f>
        <v>9156</v>
      </c>
      <c r="AB673" s="32">
        <f>650*55+622*10</f>
        <v>41970</v>
      </c>
      <c r="AD673" s="32"/>
      <c r="AE673" s="32">
        <f t="shared" ref="AE673:AE674" si="203">SUM(AB673:AC673)</f>
        <v>41970</v>
      </c>
      <c r="AF673" s="12"/>
      <c r="AG673" s="12"/>
      <c r="AI673" s="12">
        <f t="shared" ref="AI673:AI674" si="204">SUM(AE673:AH673)</f>
        <v>41970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72</v>
      </c>
      <c r="C674" s="83">
        <f t="shared" ref="C674" si="205">C673+1</f>
        <v>9096</v>
      </c>
      <c r="D674" s="33">
        <f>650*216+622*108+912*5+873*10+229*13</f>
        <v>223843</v>
      </c>
      <c r="E674" s="33">
        <f>-339*6</f>
        <v>-2034</v>
      </c>
      <c r="F674" s="33"/>
      <c r="G674" s="33">
        <f t="shared" si="199"/>
        <v>221809</v>
      </c>
      <c r="H674" s="34"/>
      <c r="I674" s="34">
        <f>1200+78*10</f>
        <v>1980</v>
      </c>
      <c r="J674" s="34">
        <f>-444+-84+-336+-336+-16.5+-13.5+-22.5</f>
        <v>-1252.5</v>
      </c>
      <c r="K674" s="34">
        <f t="shared" si="200"/>
        <v>222536.5</v>
      </c>
      <c r="M674" s="10">
        <v>3</v>
      </c>
      <c r="N674" s="30" t="s">
        <v>72</v>
      </c>
      <c r="O674" s="31">
        <f t="shared" ref="O674" si="206">O673+1</f>
        <v>9021</v>
      </c>
      <c r="P674" s="32">
        <f>650+9.5</f>
        <v>659.5</v>
      </c>
      <c r="Q674" s="32"/>
      <c r="R674" s="32"/>
      <c r="S674" s="32">
        <f t="shared" si="201"/>
        <v>659.5</v>
      </c>
      <c r="T674" s="12"/>
      <c r="U674" s="12"/>
      <c r="V674" s="12"/>
      <c r="W674" s="12">
        <f t="shared" si="202"/>
        <v>659.5</v>
      </c>
      <c r="Y674" s="10">
        <v>3</v>
      </c>
      <c r="Z674" s="30" t="s">
        <v>72</v>
      </c>
      <c r="AA674" s="31">
        <f t="shared" ref="AA674:AA675" si="207">AA673+1</f>
        <v>9157</v>
      </c>
      <c r="AB674" s="32">
        <f>650*130+622*30+872+229*6+650</f>
        <v>106056</v>
      </c>
      <c r="AC674" s="33">
        <f>-160*6</f>
        <v>-960</v>
      </c>
      <c r="AD674" s="32"/>
      <c r="AE674" s="32">
        <f t="shared" si="203"/>
        <v>105096</v>
      </c>
      <c r="AF674" s="12"/>
      <c r="AG674" s="12"/>
      <c r="AH674" s="12"/>
      <c r="AI674" s="12">
        <f t="shared" si="204"/>
        <v>105096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72</v>
      </c>
      <c r="C675" s="83">
        <f>C674+1</f>
        <v>9097</v>
      </c>
      <c r="D675" s="32">
        <f>650*60+670*2+622*10</f>
        <v>46560</v>
      </c>
      <c r="E675" s="32"/>
      <c r="F675" s="32"/>
      <c r="G675" s="32">
        <f t="shared" si="199"/>
        <v>46560</v>
      </c>
      <c r="H675" s="12"/>
      <c r="I675" s="12">
        <v>243</v>
      </c>
      <c r="J675" s="12"/>
      <c r="K675" s="12">
        <f t="shared" si="200"/>
        <v>46803</v>
      </c>
      <c r="M675" s="10">
        <v>4</v>
      </c>
      <c r="N675" s="30"/>
      <c r="O675" s="11" t="s">
        <v>27</v>
      </c>
      <c r="P675" s="32"/>
      <c r="Q675" s="32"/>
      <c r="R675" s="32"/>
      <c r="S675" s="32">
        <f t="shared" si="201"/>
        <v>0</v>
      </c>
      <c r="T675" s="12"/>
      <c r="U675" s="12"/>
      <c r="V675" s="12"/>
      <c r="W675" s="12">
        <f t="shared" si="202"/>
        <v>0</v>
      </c>
      <c r="Y675" s="10">
        <v>4</v>
      </c>
      <c r="Z675" s="30" t="s">
        <v>72</v>
      </c>
      <c r="AA675" s="31">
        <f t="shared" si="207"/>
        <v>9158</v>
      </c>
      <c r="AB675" s="32">
        <f>650*10+622*5</f>
        <v>9610</v>
      </c>
      <c r="AC675" s="32"/>
      <c r="AD675" s="32"/>
      <c r="AE675" s="32">
        <f>SUM(AB675:AC675)</f>
        <v>9610</v>
      </c>
      <c r="AF675" s="12"/>
      <c r="AH675" s="12"/>
      <c r="AI675" s="12">
        <f>SUM(AE675:AH675)</f>
        <v>9610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/>
      <c r="C676" s="11" t="s">
        <v>27</v>
      </c>
      <c r="D676" s="32"/>
      <c r="E676" s="32"/>
      <c r="F676" s="32"/>
      <c r="G676" s="32">
        <f t="shared" si="199"/>
        <v>0</v>
      </c>
      <c r="H676" s="12"/>
      <c r="I676" s="12"/>
      <c r="J676" s="12"/>
      <c r="K676" s="12">
        <f t="shared" si="200"/>
        <v>0</v>
      </c>
      <c r="M676" s="10">
        <v>5</v>
      </c>
      <c r="N676" s="30"/>
      <c r="O676" s="31"/>
      <c r="P676" s="32"/>
      <c r="Q676" s="32"/>
      <c r="R676" s="32"/>
      <c r="S676" s="32">
        <f t="shared" si="201"/>
        <v>0</v>
      </c>
      <c r="T676" s="12"/>
      <c r="U676" s="12"/>
      <c r="V676" s="12"/>
      <c r="W676" s="12">
        <f t="shared" si="202"/>
        <v>0</v>
      </c>
      <c r="Y676" s="10">
        <v>5</v>
      </c>
      <c r="Z676" s="30"/>
      <c r="AA676" s="11" t="s">
        <v>27</v>
      </c>
      <c r="AB676" s="33"/>
      <c r="AC676" s="32"/>
      <c r="AD676" s="32"/>
      <c r="AE676" s="32">
        <f>SUM(AB676:AC676)</f>
        <v>0</v>
      </c>
      <c r="AF676" s="12"/>
      <c r="AG676" s="12"/>
      <c r="AH676" s="12"/>
      <c r="AI676" s="12">
        <f t="shared" ref="AI676:AI713" si="208">SUM(AE676:AH676)</f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/>
      <c r="C677" s="83"/>
      <c r="D677" s="32"/>
      <c r="E677" s="32"/>
      <c r="F677" s="32"/>
      <c r="G677" s="32">
        <f t="shared" si="199"/>
        <v>0</v>
      </c>
      <c r="H677" s="12"/>
      <c r="I677" s="12"/>
      <c r="J677" s="12"/>
      <c r="K677" s="12">
        <f t="shared" si="200"/>
        <v>0</v>
      </c>
      <c r="M677" s="10">
        <v>6</v>
      </c>
      <c r="N677" s="30"/>
      <c r="O677" s="31"/>
      <c r="P677" s="32"/>
      <c r="Q677" s="32"/>
      <c r="R677" s="32"/>
      <c r="S677" s="32">
        <f t="shared" si="201"/>
        <v>0</v>
      </c>
      <c r="T677" s="12"/>
      <c r="U677" s="12"/>
      <c r="V677" s="10"/>
      <c r="W677" s="12">
        <f t="shared" si="202"/>
        <v>0</v>
      </c>
      <c r="Y677" s="10">
        <v>6</v>
      </c>
      <c r="Z677" s="30"/>
      <c r="AA677" s="31"/>
      <c r="AB677" s="32"/>
      <c r="AC677" s="32"/>
      <c r="AD677" s="32"/>
      <c r="AE677" s="32">
        <f t="shared" ref="AE677:AE710" si="209">SUM(AB677:AC677)</f>
        <v>0</v>
      </c>
      <c r="AF677" s="12"/>
      <c r="AG677" s="12"/>
      <c r="AH677" s="10"/>
      <c r="AI677" s="12">
        <f t="shared" si="208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/>
      <c r="C678" s="83"/>
      <c r="D678" s="32"/>
      <c r="E678" s="32"/>
      <c r="F678" s="32"/>
      <c r="G678" s="32">
        <f t="shared" si="199"/>
        <v>0</v>
      </c>
      <c r="H678" s="12"/>
      <c r="I678" s="12"/>
      <c r="J678" s="12"/>
      <c r="K678" s="12">
        <f t="shared" si="200"/>
        <v>0</v>
      </c>
      <c r="M678" s="10">
        <v>7</v>
      </c>
      <c r="N678" s="30"/>
      <c r="O678" s="31"/>
      <c r="P678" s="32"/>
      <c r="Q678" s="32"/>
      <c r="R678" s="32"/>
      <c r="S678" s="32">
        <f t="shared" si="201"/>
        <v>0</v>
      </c>
      <c r="T678" s="12"/>
      <c r="U678" s="12"/>
      <c r="V678" s="12"/>
      <c r="W678" s="12">
        <f t="shared" si="202"/>
        <v>0</v>
      </c>
      <c r="Y678" s="10">
        <v>7</v>
      </c>
      <c r="Z678" s="30"/>
      <c r="AA678" s="31"/>
      <c r="AB678" s="32"/>
      <c r="AC678" s="32"/>
      <c r="AD678" s="32"/>
      <c r="AE678" s="32">
        <f t="shared" si="209"/>
        <v>0</v>
      </c>
      <c r="AF678" s="12"/>
      <c r="AG678" s="58"/>
      <c r="AH678" s="12"/>
      <c r="AI678" s="12">
        <f t="shared" si="208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/>
      <c r="C679" s="83"/>
      <c r="D679" s="32"/>
      <c r="E679" s="32"/>
      <c r="F679" s="32"/>
      <c r="G679" s="32">
        <f t="shared" si="199"/>
        <v>0</v>
      </c>
      <c r="H679" s="12"/>
      <c r="I679" s="12"/>
      <c r="J679" s="12"/>
      <c r="K679" s="12">
        <f t="shared" si="200"/>
        <v>0</v>
      </c>
      <c r="M679" s="10">
        <v>8</v>
      </c>
      <c r="N679" s="30"/>
      <c r="O679" s="31"/>
      <c r="P679" s="32"/>
      <c r="Q679" s="32"/>
      <c r="R679" s="32"/>
      <c r="S679" s="32">
        <f t="shared" si="201"/>
        <v>0</v>
      </c>
      <c r="T679" s="12"/>
      <c r="U679" s="12"/>
      <c r="V679" s="12"/>
      <c r="W679" s="12">
        <f t="shared" si="202"/>
        <v>0</v>
      </c>
      <c r="Y679" s="10">
        <v>8</v>
      </c>
      <c r="Z679" s="30"/>
      <c r="AA679" s="31"/>
      <c r="AB679" s="32"/>
      <c r="AC679" s="32"/>
      <c r="AE679" s="32">
        <f t="shared" si="209"/>
        <v>0</v>
      </c>
      <c r="AF679" s="12"/>
      <c r="AG679" s="12"/>
      <c r="AH679" s="12"/>
      <c r="AI679" s="12">
        <f t="shared" si="208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/>
      <c r="C680" s="83"/>
      <c r="D680" s="32"/>
      <c r="E680" s="32"/>
      <c r="F680" s="32"/>
      <c r="G680" s="32">
        <f t="shared" si="199"/>
        <v>0</v>
      </c>
      <c r="H680" s="12"/>
      <c r="I680" s="12"/>
      <c r="J680" s="12"/>
      <c r="K680" s="12">
        <f t="shared" si="200"/>
        <v>0</v>
      </c>
      <c r="M680" s="10">
        <v>9</v>
      </c>
      <c r="N680" s="30"/>
      <c r="O680" s="31"/>
      <c r="P680" s="32"/>
      <c r="Q680" s="32"/>
      <c r="R680" s="32"/>
      <c r="S680" s="32">
        <f t="shared" si="201"/>
        <v>0</v>
      </c>
      <c r="T680" s="12"/>
      <c r="U680" s="12"/>
      <c r="V680" s="12"/>
      <c r="W680" s="12">
        <f t="shared" si="202"/>
        <v>0</v>
      </c>
      <c r="Y680" s="10">
        <v>9</v>
      </c>
      <c r="Z680" s="30"/>
      <c r="AA680" s="31"/>
      <c r="AC680" s="32"/>
      <c r="AD680" s="32"/>
      <c r="AE680" s="32">
        <f t="shared" si="209"/>
        <v>0</v>
      </c>
      <c r="AF680" s="12"/>
      <c r="AH680" s="12"/>
      <c r="AI680" s="12">
        <f t="shared" si="208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/>
      <c r="C681" s="83"/>
      <c r="D681" s="32"/>
      <c r="E681" s="32"/>
      <c r="F681" s="32"/>
      <c r="G681" s="32">
        <f t="shared" si="199"/>
        <v>0</v>
      </c>
      <c r="H681" s="12"/>
      <c r="I681" s="12"/>
      <c r="J681" s="12"/>
      <c r="K681" s="12">
        <f t="shared" si="200"/>
        <v>0</v>
      </c>
      <c r="M681" s="10">
        <v>10</v>
      </c>
      <c r="N681" s="30"/>
      <c r="O681" s="31"/>
      <c r="P681" s="32"/>
      <c r="Q681" s="32"/>
      <c r="R681" s="32"/>
      <c r="S681" s="32">
        <f t="shared" si="201"/>
        <v>0</v>
      </c>
      <c r="T681" s="12"/>
      <c r="U681" s="12"/>
      <c r="V681" s="12"/>
      <c r="W681" s="12">
        <f t="shared" si="202"/>
        <v>0</v>
      </c>
      <c r="Y681" s="10">
        <v>10</v>
      </c>
      <c r="Z681" s="30"/>
      <c r="AA681" s="31"/>
      <c r="AB681" s="32"/>
      <c r="AC681" s="32"/>
      <c r="AD681" s="32"/>
      <c r="AE681" s="32">
        <f t="shared" si="209"/>
        <v>0</v>
      </c>
      <c r="AF681" s="12"/>
      <c r="AG681" s="12"/>
      <c r="AH681" s="12"/>
      <c r="AI681" s="12">
        <f t="shared" si="208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/>
      <c r="C682" s="83"/>
      <c r="D682" s="32"/>
      <c r="E682" s="32"/>
      <c r="F682" s="32"/>
      <c r="G682" s="32">
        <f t="shared" si="199"/>
        <v>0</v>
      </c>
      <c r="H682" s="12"/>
      <c r="I682" s="12"/>
      <c r="J682" s="12"/>
      <c r="K682" s="12">
        <f t="shared" si="200"/>
        <v>0</v>
      </c>
      <c r="M682" s="10">
        <v>11</v>
      </c>
      <c r="N682" s="30"/>
      <c r="P682" s="32"/>
      <c r="Q682" s="32"/>
      <c r="R682" s="32"/>
      <c r="S682" s="32">
        <f t="shared" si="201"/>
        <v>0</v>
      </c>
      <c r="T682" s="12"/>
      <c r="U682" s="12"/>
      <c r="V682" s="12"/>
      <c r="W682" s="12">
        <f t="shared" si="202"/>
        <v>0</v>
      </c>
      <c r="Y682" s="10">
        <v>11</v>
      </c>
      <c r="Z682" s="30"/>
      <c r="AB682" s="32"/>
      <c r="AC682" s="32"/>
      <c r="AD682" s="32"/>
      <c r="AE682" s="32">
        <f t="shared" si="209"/>
        <v>0</v>
      </c>
      <c r="AF682" s="12"/>
      <c r="AG682" s="12"/>
      <c r="AH682" s="12"/>
      <c r="AI682" s="12">
        <f t="shared" si="208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/>
      <c r="C683" s="83"/>
      <c r="D683" s="32"/>
      <c r="E683" s="32"/>
      <c r="F683" s="32"/>
      <c r="G683" s="32">
        <f t="shared" si="199"/>
        <v>0</v>
      </c>
      <c r="H683" s="12"/>
      <c r="I683" s="12"/>
      <c r="J683" s="10"/>
      <c r="K683" s="12">
        <f t="shared" si="200"/>
        <v>0</v>
      </c>
      <c r="M683" s="10">
        <v>12</v>
      </c>
      <c r="N683" s="30"/>
      <c r="O683" s="31"/>
      <c r="P683" s="32"/>
      <c r="Q683" s="32"/>
      <c r="R683" s="32"/>
      <c r="S683" s="32">
        <f t="shared" si="201"/>
        <v>0</v>
      </c>
      <c r="T683" s="12"/>
      <c r="U683" s="12"/>
      <c r="V683" s="12"/>
      <c r="W683" s="12">
        <f t="shared" si="202"/>
        <v>0</v>
      </c>
      <c r="Y683" s="10">
        <v>12</v>
      </c>
      <c r="Z683" s="30"/>
      <c r="AA683" s="31"/>
      <c r="AB683" s="32"/>
      <c r="AC683" s="32"/>
      <c r="AD683" s="32"/>
      <c r="AE683" s="32">
        <f t="shared" si="209"/>
        <v>0</v>
      </c>
      <c r="AF683" s="12"/>
      <c r="AG683" s="12"/>
      <c r="AH683" s="12"/>
      <c r="AI683" s="12">
        <f t="shared" si="208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/>
      <c r="C684" s="83"/>
      <c r="D684" s="32"/>
      <c r="E684" s="32"/>
      <c r="F684" s="32"/>
      <c r="G684" s="32">
        <f t="shared" si="199"/>
        <v>0</v>
      </c>
      <c r="H684" s="12"/>
      <c r="I684" s="12"/>
      <c r="J684" s="12"/>
      <c r="K684" s="12">
        <f t="shared" si="200"/>
        <v>0</v>
      </c>
      <c r="M684" s="10">
        <v>13</v>
      </c>
      <c r="N684" s="30"/>
      <c r="O684" s="31"/>
      <c r="P684" s="32"/>
      <c r="Q684" s="32"/>
      <c r="R684" s="32"/>
      <c r="S684" s="32">
        <f t="shared" si="201"/>
        <v>0</v>
      </c>
      <c r="T684" s="12"/>
      <c r="U684" s="12"/>
      <c r="V684" s="12"/>
      <c r="W684" s="12">
        <f t="shared" si="202"/>
        <v>0</v>
      </c>
      <c r="Y684" s="10">
        <v>13</v>
      </c>
      <c r="Z684" s="30"/>
      <c r="AA684" s="31"/>
      <c r="AB684" s="32"/>
      <c r="AC684" s="32"/>
      <c r="AD684" s="32"/>
      <c r="AE684" s="32">
        <f t="shared" si="209"/>
        <v>0</v>
      </c>
      <c r="AF684" s="12"/>
      <c r="AG684" s="12"/>
      <c r="AH684" s="12"/>
      <c r="AI684" s="12">
        <f t="shared" si="208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/>
      <c r="C685" s="83"/>
      <c r="D685" s="32"/>
      <c r="E685" s="32"/>
      <c r="F685" s="32"/>
      <c r="G685" s="32">
        <f t="shared" si="199"/>
        <v>0</v>
      </c>
      <c r="H685" s="12"/>
      <c r="I685" s="12"/>
      <c r="J685" s="12"/>
      <c r="K685" s="12">
        <f t="shared" si="200"/>
        <v>0</v>
      </c>
      <c r="M685" s="10">
        <v>14</v>
      </c>
      <c r="N685" s="30"/>
      <c r="O685" s="31"/>
      <c r="P685" s="32"/>
      <c r="Q685" s="32"/>
      <c r="R685" s="32"/>
      <c r="S685" s="32">
        <f t="shared" si="201"/>
        <v>0</v>
      </c>
      <c r="T685" s="12"/>
      <c r="U685" s="12"/>
      <c r="V685" s="12"/>
      <c r="W685" s="12">
        <f t="shared" si="202"/>
        <v>0</v>
      </c>
      <c r="Y685" s="10">
        <v>14</v>
      </c>
      <c r="Z685" s="30"/>
      <c r="AA685" s="31"/>
      <c r="AB685" s="32"/>
      <c r="AC685" s="32"/>
      <c r="AD685" s="32"/>
      <c r="AE685" s="32">
        <f t="shared" si="209"/>
        <v>0</v>
      </c>
      <c r="AF685" s="12"/>
      <c r="AG685" s="12"/>
      <c r="AH685" s="12"/>
      <c r="AI685" s="12">
        <f t="shared" si="208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/>
      <c r="C686" s="83"/>
      <c r="D686" s="32"/>
      <c r="E686" s="32"/>
      <c r="F686" s="32"/>
      <c r="G686" s="32">
        <f t="shared" si="199"/>
        <v>0</v>
      </c>
      <c r="H686" s="12"/>
      <c r="I686" s="12"/>
      <c r="J686" s="12"/>
      <c r="K686" s="12">
        <f t="shared" si="200"/>
        <v>0</v>
      </c>
      <c r="M686" s="10">
        <v>15</v>
      </c>
      <c r="N686" s="30"/>
      <c r="O686" s="31"/>
      <c r="P686" s="32"/>
      <c r="Q686" s="32"/>
      <c r="R686" s="32"/>
      <c r="S686" s="32">
        <f t="shared" si="201"/>
        <v>0</v>
      </c>
      <c r="T686" s="12"/>
      <c r="U686" s="12"/>
      <c r="V686" s="12"/>
      <c r="W686" s="12">
        <f t="shared" si="202"/>
        <v>0</v>
      </c>
      <c r="Y686" s="10">
        <v>15</v>
      </c>
      <c r="Z686" s="30"/>
      <c r="AB686" s="32"/>
      <c r="AC686" s="32"/>
      <c r="AD686" s="32"/>
      <c r="AE686" s="32">
        <f t="shared" si="209"/>
        <v>0</v>
      </c>
      <c r="AF686" s="12"/>
      <c r="AG686" s="12"/>
      <c r="AH686" s="12"/>
      <c r="AI686" s="12">
        <f t="shared" si="208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/>
      <c r="D687" s="32"/>
      <c r="E687" s="32"/>
      <c r="F687" s="32"/>
      <c r="G687" s="32">
        <f t="shared" si="199"/>
        <v>0</v>
      </c>
      <c r="H687" s="12"/>
      <c r="I687" s="12"/>
      <c r="J687" s="12"/>
      <c r="K687" s="12">
        <f t="shared" si="200"/>
        <v>0</v>
      </c>
      <c r="M687" s="10">
        <v>16</v>
      </c>
      <c r="N687" s="30"/>
      <c r="O687" s="31"/>
      <c r="P687" s="32"/>
      <c r="Q687" s="32"/>
      <c r="R687" s="32"/>
      <c r="S687" s="32">
        <f t="shared" si="201"/>
        <v>0</v>
      </c>
      <c r="T687" s="12"/>
      <c r="U687" s="12"/>
      <c r="V687" s="12"/>
      <c r="W687" s="12">
        <f t="shared" si="202"/>
        <v>0</v>
      </c>
      <c r="Y687" s="10">
        <v>16</v>
      </c>
      <c r="Z687" s="30"/>
      <c r="AB687" s="32"/>
      <c r="AC687" s="32"/>
      <c r="AD687" s="32"/>
      <c r="AE687" s="32">
        <f t="shared" si="209"/>
        <v>0</v>
      </c>
      <c r="AF687" s="12"/>
      <c r="AG687" s="12"/>
      <c r="AH687" s="12"/>
      <c r="AI687" s="12">
        <f t="shared" si="208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/>
      <c r="C688" s="83"/>
      <c r="D688" s="32"/>
      <c r="E688" s="32"/>
      <c r="F688" s="32"/>
      <c r="G688" s="32">
        <f t="shared" si="199"/>
        <v>0</v>
      </c>
      <c r="H688" s="12"/>
      <c r="I688" s="12"/>
      <c r="J688" s="12"/>
      <c r="K688" s="12">
        <f t="shared" si="200"/>
        <v>0</v>
      </c>
      <c r="M688" s="10">
        <v>17</v>
      </c>
      <c r="N688" s="30"/>
      <c r="O688" s="31"/>
      <c r="P688" s="35"/>
      <c r="Q688" s="32"/>
      <c r="R688" s="32"/>
      <c r="S688" s="32">
        <f t="shared" si="201"/>
        <v>0</v>
      </c>
      <c r="T688" s="12"/>
      <c r="U688" s="12"/>
      <c r="V688" s="12"/>
      <c r="W688" s="12">
        <f t="shared" si="202"/>
        <v>0</v>
      </c>
      <c r="Y688" s="10">
        <v>17</v>
      </c>
      <c r="Z688" s="30"/>
      <c r="AA688" s="31"/>
      <c r="AB688" s="35"/>
      <c r="AC688" s="32"/>
      <c r="AD688" s="32"/>
      <c r="AE688" s="32">
        <f t="shared" si="209"/>
        <v>0</v>
      </c>
      <c r="AF688" s="12"/>
      <c r="AG688" s="12"/>
      <c r="AH688" s="12"/>
      <c r="AI688" s="12">
        <f t="shared" si="208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83"/>
      <c r="D689" s="32"/>
      <c r="E689" s="32"/>
      <c r="F689" s="32"/>
      <c r="G689" s="32">
        <f t="shared" si="199"/>
        <v>0</v>
      </c>
      <c r="H689" s="12"/>
      <c r="I689" s="12"/>
      <c r="J689" s="12"/>
      <c r="K689" s="12">
        <f t="shared" si="200"/>
        <v>0</v>
      </c>
      <c r="M689" s="10">
        <v>18</v>
      </c>
      <c r="N689" s="30"/>
      <c r="O689" s="31"/>
      <c r="P689" s="32"/>
      <c r="Q689" s="32"/>
      <c r="R689" s="32"/>
      <c r="S689" s="32">
        <f t="shared" si="201"/>
        <v>0</v>
      </c>
      <c r="T689" s="12"/>
      <c r="U689" s="12"/>
      <c r="V689" s="12"/>
      <c r="W689" s="12">
        <f t="shared" si="202"/>
        <v>0</v>
      </c>
      <c r="Y689" s="10">
        <v>18</v>
      </c>
      <c r="Z689" s="30"/>
      <c r="AA689" s="31"/>
      <c r="AB689" s="32"/>
      <c r="AC689" s="32"/>
      <c r="AD689" s="32"/>
      <c r="AE689" s="32">
        <f t="shared" si="209"/>
        <v>0</v>
      </c>
      <c r="AF689" s="12"/>
      <c r="AG689" s="12"/>
      <c r="AH689" s="12"/>
      <c r="AI689" s="12">
        <f t="shared" si="208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C690" s="83"/>
      <c r="D690" s="32"/>
      <c r="E690" s="32"/>
      <c r="F690" s="32"/>
      <c r="G690" s="32">
        <f t="shared" si="199"/>
        <v>0</v>
      </c>
      <c r="H690" s="12"/>
      <c r="I690" s="12"/>
      <c r="J690" s="12"/>
      <c r="K690" s="12">
        <f t="shared" si="200"/>
        <v>0</v>
      </c>
      <c r="M690" s="10">
        <v>19</v>
      </c>
      <c r="N690" s="30"/>
      <c r="O690" s="31"/>
      <c r="P690" s="32"/>
      <c r="Q690" s="32"/>
      <c r="R690" s="32"/>
      <c r="S690" s="32">
        <f t="shared" si="201"/>
        <v>0</v>
      </c>
      <c r="T690" s="12"/>
      <c r="U690" s="12"/>
      <c r="V690" s="12"/>
      <c r="W690" s="12">
        <f t="shared" si="202"/>
        <v>0</v>
      </c>
      <c r="Y690" s="10">
        <v>19</v>
      </c>
      <c r="Z690" s="30"/>
      <c r="AA690" s="31"/>
      <c r="AB690" s="32"/>
      <c r="AC690" s="32"/>
      <c r="AD690" s="32"/>
      <c r="AE690" s="32">
        <f t="shared" si="209"/>
        <v>0</v>
      </c>
      <c r="AF690" s="12"/>
      <c r="AG690" s="12"/>
      <c r="AH690" s="12"/>
      <c r="AI690" s="12">
        <f t="shared" si="208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83"/>
      <c r="D691" s="32"/>
      <c r="E691" s="32"/>
      <c r="F691" s="32"/>
      <c r="G691" s="32">
        <f t="shared" si="199"/>
        <v>0</v>
      </c>
      <c r="H691" s="12"/>
      <c r="I691" s="12"/>
      <c r="J691" s="12"/>
      <c r="K691" s="12">
        <f t="shared" si="200"/>
        <v>0</v>
      </c>
      <c r="M691" s="10">
        <v>20</v>
      </c>
      <c r="N691" s="30"/>
      <c r="O691" s="31"/>
      <c r="P691" s="32"/>
      <c r="Q691" s="32"/>
      <c r="R691" s="32"/>
      <c r="S691" s="32">
        <f t="shared" si="201"/>
        <v>0</v>
      </c>
      <c r="T691" s="12"/>
      <c r="U691" s="12"/>
      <c r="V691" s="12"/>
      <c r="W691" s="12">
        <f t="shared" si="202"/>
        <v>0</v>
      </c>
      <c r="Y691" s="10">
        <v>20</v>
      </c>
      <c r="Z691" s="30"/>
      <c r="AB691" s="32"/>
      <c r="AC691" s="32"/>
      <c r="AD691" s="32"/>
      <c r="AE691" s="32">
        <f t="shared" si="209"/>
        <v>0</v>
      </c>
      <c r="AF691" s="12"/>
      <c r="AG691" s="12"/>
      <c r="AH691" s="12"/>
      <c r="AI691" s="12">
        <f t="shared" si="208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83"/>
      <c r="D692" s="32"/>
      <c r="E692" s="32"/>
      <c r="F692" s="32"/>
      <c r="G692" s="32">
        <f t="shared" si="199"/>
        <v>0</v>
      </c>
      <c r="H692" s="10"/>
      <c r="I692" s="10"/>
      <c r="J692" s="10"/>
      <c r="K692" s="12">
        <f t="shared" si="200"/>
        <v>0</v>
      </c>
      <c r="M692" s="10">
        <v>21</v>
      </c>
      <c r="N692" s="30"/>
      <c r="P692" s="92"/>
      <c r="Q692" s="31"/>
      <c r="R692" s="31"/>
      <c r="S692" s="32">
        <f t="shared" si="201"/>
        <v>0</v>
      </c>
      <c r="T692" s="10"/>
      <c r="U692" s="10"/>
      <c r="V692" s="10"/>
      <c r="W692" s="12">
        <f t="shared" si="202"/>
        <v>0</v>
      </c>
      <c r="Y692" s="10">
        <v>21</v>
      </c>
      <c r="Z692" s="30"/>
      <c r="AA692" s="31"/>
      <c r="AB692" s="46"/>
      <c r="AC692" s="31"/>
      <c r="AD692" s="31"/>
      <c r="AE692" s="32">
        <f t="shared" si="209"/>
        <v>0</v>
      </c>
      <c r="AF692" s="10"/>
      <c r="AG692" s="10"/>
      <c r="AH692" s="10"/>
      <c r="AI692" s="12">
        <f t="shared" si="208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83"/>
      <c r="D693" s="32"/>
      <c r="E693" s="32"/>
      <c r="F693" s="32"/>
      <c r="G693" s="32">
        <f t="shared" si="199"/>
        <v>0</v>
      </c>
      <c r="H693" s="10"/>
      <c r="I693" s="10"/>
      <c r="J693" s="10"/>
      <c r="K693" s="12">
        <f t="shared" si="200"/>
        <v>0</v>
      </c>
      <c r="M693" s="10">
        <v>22</v>
      </c>
      <c r="N693" s="30"/>
      <c r="O693" s="31"/>
      <c r="P693" s="92"/>
      <c r="Q693" s="31"/>
      <c r="R693" s="31"/>
      <c r="S693" s="32">
        <f t="shared" si="201"/>
        <v>0</v>
      </c>
      <c r="T693" s="10"/>
      <c r="U693" s="10"/>
      <c r="V693" s="10"/>
      <c r="W693" s="12">
        <f t="shared" si="202"/>
        <v>0</v>
      </c>
      <c r="Y693" s="10">
        <v>22</v>
      </c>
      <c r="Z693" s="30"/>
      <c r="AA693" s="31"/>
      <c r="AB693" s="45"/>
      <c r="AC693" s="31"/>
      <c r="AD693" s="31"/>
      <c r="AE693" s="32">
        <f t="shared" si="209"/>
        <v>0</v>
      </c>
      <c r="AF693" s="10"/>
      <c r="AG693" s="10"/>
      <c r="AH693" s="10"/>
      <c r="AI693" s="12">
        <f t="shared" si="208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83"/>
      <c r="D694" s="32"/>
      <c r="E694" s="32"/>
      <c r="F694" s="32"/>
      <c r="G694" s="32">
        <f t="shared" si="199"/>
        <v>0</v>
      </c>
      <c r="H694" s="10"/>
      <c r="I694" s="10"/>
      <c r="J694" s="12"/>
      <c r="K694" s="12">
        <f t="shared" si="200"/>
        <v>0</v>
      </c>
      <c r="M694" s="10">
        <v>23</v>
      </c>
      <c r="N694" s="30"/>
      <c r="O694" s="31"/>
      <c r="P694" s="47"/>
      <c r="Q694" s="31"/>
      <c r="S694" s="32">
        <f t="shared" si="201"/>
        <v>0</v>
      </c>
      <c r="T694" s="10"/>
      <c r="U694" s="10"/>
      <c r="V694" s="10"/>
      <c r="W694" s="12">
        <f t="shared" si="202"/>
        <v>0</v>
      </c>
      <c r="Y694" s="10">
        <v>23</v>
      </c>
      <c r="Z694" s="30"/>
      <c r="AA694" s="31"/>
      <c r="AB694" s="47"/>
      <c r="AC694" s="31"/>
      <c r="AE694" s="32">
        <f t="shared" si="209"/>
        <v>0</v>
      </c>
      <c r="AF694" s="10"/>
      <c r="AG694" s="10"/>
      <c r="AH694" s="10"/>
      <c r="AI694" s="12">
        <f t="shared" si="208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83"/>
      <c r="D695" s="32"/>
      <c r="E695" s="32"/>
      <c r="F695" s="32"/>
      <c r="G695" s="32">
        <f t="shared" si="199"/>
        <v>0</v>
      </c>
      <c r="H695" s="10"/>
      <c r="I695" s="10"/>
      <c r="J695" s="10"/>
      <c r="K695" s="12">
        <f t="shared" si="200"/>
        <v>0</v>
      </c>
      <c r="M695" s="10">
        <v>24</v>
      </c>
      <c r="N695" s="30"/>
      <c r="P695" s="47"/>
      <c r="Q695" s="31"/>
      <c r="R695" s="31"/>
      <c r="S695" s="32">
        <f t="shared" si="201"/>
        <v>0</v>
      </c>
      <c r="T695" s="10"/>
      <c r="U695" s="10"/>
      <c r="V695" s="10"/>
      <c r="W695" s="12">
        <f t="shared" si="202"/>
        <v>0</v>
      </c>
      <c r="Y695" s="10">
        <v>24</v>
      </c>
      <c r="Z695" s="30"/>
      <c r="AA695" s="31"/>
      <c r="AB695" s="47"/>
      <c r="AC695" s="31"/>
      <c r="AD695" s="31"/>
      <c r="AE695" s="32">
        <f t="shared" si="209"/>
        <v>0</v>
      </c>
      <c r="AF695" s="10"/>
      <c r="AG695" s="10"/>
      <c r="AH695" s="10"/>
      <c r="AI695" s="12">
        <f t="shared" si="208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83"/>
      <c r="D696" s="32"/>
      <c r="E696" s="32"/>
      <c r="F696" s="32"/>
      <c r="G696" s="32">
        <f t="shared" si="199"/>
        <v>0</v>
      </c>
      <c r="H696" s="10"/>
      <c r="I696" s="10"/>
      <c r="J696" s="10"/>
      <c r="K696" s="12">
        <f t="shared" si="200"/>
        <v>0</v>
      </c>
      <c r="M696" s="10">
        <v>25</v>
      </c>
      <c r="N696" s="30"/>
      <c r="O696" s="31"/>
      <c r="P696" s="47"/>
      <c r="Q696" s="31"/>
      <c r="R696" s="31"/>
      <c r="S696" s="32">
        <f t="shared" si="201"/>
        <v>0</v>
      </c>
      <c r="T696" s="10"/>
      <c r="U696" s="10"/>
      <c r="V696" s="10"/>
      <c r="W696" s="12">
        <f t="shared" si="202"/>
        <v>0</v>
      </c>
      <c r="Y696" s="10">
        <v>25</v>
      </c>
      <c r="Z696" s="30"/>
      <c r="AA696" s="31"/>
      <c r="AB696" s="47"/>
      <c r="AC696" s="31"/>
      <c r="AD696" s="31"/>
      <c r="AE696" s="32">
        <f t="shared" si="209"/>
        <v>0</v>
      </c>
      <c r="AF696" s="10"/>
      <c r="AG696" s="10"/>
      <c r="AH696" s="10"/>
      <c r="AI696" s="12">
        <f t="shared" si="208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83"/>
      <c r="D697" s="32"/>
      <c r="E697" s="32"/>
      <c r="F697" s="32"/>
      <c r="G697" s="32">
        <f t="shared" si="199"/>
        <v>0</v>
      </c>
      <c r="H697" s="10"/>
      <c r="I697" s="10"/>
      <c r="J697" s="10"/>
      <c r="K697" s="12">
        <f t="shared" si="200"/>
        <v>0</v>
      </c>
      <c r="M697" s="10">
        <v>26</v>
      </c>
      <c r="N697" s="30"/>
      <c r="P697" s="47"/>
      <c r="Q697" s="31"/>
      <c r="R697" s="31"/>
      <c r="S697" s="32">
        <f t="shared" si="201"/>
        <v>0</v>
      </c>
      <c r="T697" s="10"/>
      <c r="U697" s="10"/>
      <c r="V697" s="10"/>
      <c r="W697" s="12">
        <f t="shared" si="202"/>
        <v>0</v>
      </c>
      <c r="Y697" s="10">
        <v>26</v>
      </c>
      <c r="Z697" s="30"/>
      <c r="AA697" s="31"/>
      <c r="AB697" s="47"/>
      <c r="AC697" s="31"/>
      <c r="AD697" s="31"/>
      <c r="AE697" s="32">
        <f t="shared" si="209"/>
        <v>0</v>
      </c>
      <c r="AF697" s="10"/>
      <c r="AG697" s="10"/>
      <c r="AH697" s="10"/>
      <c r="AI697" s="12">
        <f t="shared" si="208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83"/>
      <c r="D698" s="32"/>
      <c r="E698" s="32"/>
      <c r="F698" s="32"/>
      <c r="G698" s="32">
        <f t="shared" si="199"/>
        <v>0</v>
      </c>
      <c r="H698" s="10"/>
      <c r="I698" s="10"/>
      <c r="J698" s="10"/>
      <c r="K698" s="12">
        <f t="shared" si="200"/>
        <v>0</v>
      </c>
      <c r="M698" s="10">
        <v>27</v>
      </c>
      <c r="N698" s="30"/>
      <c r="O698" s="31"/>
      <c r="P698" s="47"/>
      <c r="Q698" s="31"/>
      <c r="R698" s="31"/>
      <c r="S698" s="32">
        <f t="shared" si="201"/>
        <v>0</v>
      </c>
      <c r="T698" s="10"/>
      <c r="U698" s="10"/>
      <c r="V698" s="10"/>
      <c r="W698" s="12">
        <f t="shared" si="202"/>
        <v>0</v>
      </c>
      <c r="Y698" s="10">
        <v>27</v>
      </c>
      <c r="Z698" s="30"/>
      <c r="AA698" s="31"/>
      <c r="AB698" s="47"/>
      <c r="AC698" s="31"/>
      <c r="AD698" s="31"/>
      <c r="AE698" s="32">
        <f t="shared" si="209"/>
        <v>0</v>
      </c>
      <c r="AF698" s="10"/>
      <c r="AG698" s="10"/>
      <c r="AH698" s="10"/>
      <c r="AI698" s="12">
        <f t="shared" si="208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83"/>
      <c r="D699" s="32"/>
      <c r="E699" s="32"/>
      <c r="F699" s="32"/>
      <c r="G699" s="32">
        <f t="shared" si="199"/>
        <v>0</v>
      </c>
      <c r="H699" s="10"/>
      <c r="I699" s="10"/>
      <c r="J699" s="10"/>
      <c r="K699" s="12">
        <f t="shared" si="200"/>
        <v>0</v>
      </c>
      <c r="M699" s="10">
        <v>28</v>
      </c>
      <c r="N699" s="30"/>
      <c r="O699" s="31"/>
      <c r="P699" s="47"/>
      <c r="Q699" s="31"/>
      <c r="R699" s="31"/>
      <c r="S699" s="32">
        <f t="shared" si="201"/>
        <v>0</v>
      </c>
      <c r="T699" s="10"/>
      <c r="U699" s="10"/>
      <c r="V699" s="10"/>
      <c r="W699" s="12">
        <f t="shared" si="202"/>
        <v>0</v>
      </c>
      <c r="Y699" s="10">
        <v>28</v>
      </c>
      <c r="Z699" s="30"/>
      <c r="AA699" s="31"/>
      <c r="AB699" s="47"/>
      <c r="AC699" s="31"/>
      <c r="AD699" s="31"/>
      <c r="AE699" s="32">
        <f t="shared" si="209"/>
        <v>0</v>
      </c>
      <c r="AF699" s="10"/>
      <c r="AG699" s="10"/>
      <c r="AH699" s="10"/>
      <c r="AI699" s="12">
        <f t="shared" si="208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83"/>
      <c r="D700" s="32"/>
      <c r="E700" s="32"/>
      <c r="F700" s="32"/>
      <c r="G700" s="32">
        <f t="shared" si="199"/>
        <v>0</v>
      </c>
      <c r="H700" s="10"/>
      <c r="I700" s="10"/>
      <c r="J700" s="10"/>
      <c r="K700" s="12">
        <f t="shared" si="200"/>
        <v>0</v>
      </c>
      <c r="M700" s="10">
        <v>29</v>
      </c>
      <c r="N700" s="30"/>
      <c r="O700" s="31"/>
      <c r="P700" s="47"/>
      <c r="Q700" s="31"/>
      <c r="R700" s="31"/>
      <c r="S700" s="32">
        <f t="shared" si="201"/>
        <v>0</v>
      </c>
      <c r="T700" s="10"/>
      <c r="U700" s="10"/>
      <c r="V700" s="10"/>
      <c r="W700" s="12">
        <f t="shared" si="202"/>
        <v>0</v>
      </c>
      <c r="Y700" s="10">
        <v>29</v>
      </c>
      <c r="Z700" s="30"/>
      <c r="AA700" s="31"/>
      <c r="AB700" s="47"/>
      <c r="AC700" s="31"/>
      <c r="AD700" s="31"/>
      <c r="AE700" s="32">
        <f t="shared" si="209"/>
        <v>0</v>
      </c>
      <c r="AF700" s="10"/>
      <c r="AG700" s="10"/>
      <c r="AH700" s="10"/>
      <c r="AI700" s="12">
        <f t="shared" si="208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83"/>
      <c r="D701" s="32"/>
      <c r="E701" s="32"/>
      <c r="F701" s="32"/>
      <c r="G701" s="32">
        <f t="shared" si="199"/>
        <v>0</v>
      </c>
      <c r="H701" s="10"/>
      <c r="I701" s="10"/>
      <c r="J701" s="10"/>
      <c r="K701" s="12">
        <f t="shared" si="200"/>
        <v>0</v>
      </c>
      <c r="M701" s="10">
        <v>30</v>
      </c>
      <c r="N701" s="30"/>
      <c r="P701" s="47"/>
      <c r="Q701" s="31"/>
      <c r="R701" s="31"/>
      <c r="S701" s="32">
        <f t="shared" si="201"/>
        <v>0</v>
      </c>
      <c r="T701" s="10"/>
      <c r="U701" s="10"/>
      <c r="V701" s="10"/>
      <c r="W701" s="12">
        <f t="shared" si="202"/>
        <v>0</v>
      </c>
      <c r="Y701" s="10">
        <v>30</v>
      </c>
      <c r="Z701" s="30"/>
      <c r="AA701" s="31"/>
      <c r="AB701" s="47"/>
      <c r="AC701" s="31"/>
      <c r="AD701" s="31"/>
      <c r="AE701" s="32">
        <f t="shared" si="209"/>
        <v>0</v>
      </c>
      <c r="AF701" s="10"/>
      <c r="AG701" s="10"/>
      <c r="AH701" s="10"/>
      <c r="AI701" s="12">
        <f t="shared" si="208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11"/>
      <c r="D702" s="32"/>
      <c r="E702" s="32"/>
      <c r="F702" s="32"/>
      <c r="G702" s="32">
        <f t="shared" si="199"/>
        <v>0</v>
      </c>
      <c r="H702" s="10"/>
      <c r="I702" s="10"/>
      <c r="J702" s="10"/>
      <c r="K702" s="12">
        <f t="shared" si="200"/>
        <v>0</v>
      </c>
      <c r="M702" s="10">
        <v>31</v>
      </c>
      <c r="N702" s="30"/>
      <c r="O702" s="31"/>
      <c r="P702" s="47"/>
      <c r="Q702" s="31"/>
      <c r="R702" s="31"/>
      <c r="S702" s="32">
        <f t="shared" si="201"/>
        <v>0</v>
      </c>
      <c r="T702" s="10"/>
      <c r="U702" s="10"/>
      <c r="V702" s="10"/>
      <c r="W702" s="12">
        <f t="shared" si="202"/>
        <v>0</v>
      </c>
      <c r="Y702" s="10">
        <v>31</v>
      </c>
      <c r="Z702" s="30"/>
      <c r="AA702" s="31"/>
      <c r="AB702" s="47"/>
      <c r="AC702" s="31"/>
      <c r="AD702" s="31"/>
      <c r="AE702" s="32">
        <f t="shared" si="209"/>
        <v>0</v>
      </c>
      <c r="AF702" s="10"/>
      <c r="AG702" s="10"/>
      <c r="AH702" s="10"/>
      <c r="AI702" s="12">
        <f t="shared" si="208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83"/>
      <c r="D703" s="32"/>
      <c r="E703" s="32"/>
      <c r="F703" s="32"/>
      <c r="G703" s="32">
        <f t="shared" si="199"/>
        <v>0</v>
      </c>
      <c r="H703" s="10"/>
      <c r="I703" s="10"/>
      <c r="J703" s="10"/>
      <c r="K703" s="12">
        <f t="shared" si="200"/>
        <v>0</v>
      </c>
      <c r="M703" s="10">
        <v>32</v>
      </c>
      <c r="N703" s="30"/>
      <c r="O703" s="31"/>
      <c r="P703" s="47"/>
      <c r="Q703" s="31"/>
      <c r="R703" s="31"/>
      <c r="S703" s="32">
        <f t="shared" si="201"/>
        <v>0</v>
      </c>
      <c r="T703" s="10"/>
      <c r="U703" s="10"/>
      <c r="V703" s="10"/>
      <c r="W703" s="12">
        <f t="shared" si="202"/>
        <v>0</v>
      </c>
      <c r="Y703" s="10">
        <v>32</v>
      </c>
      <c r="Z703" s="30"/>
      <c r="AA703" s="31"/>
      <c r="AB703" s="47"/>
      <c r="AC703" s="31"/>
      <c r="AD703" s="31"/>
      <c r="AE703" s="32">
        <f t="shared" si="209"/>
        <v>0</v>
      </c>
      <c r="AF703" s="10"/>
      <c r="AG703" s="10"/>
      <c r="AH703" s="10"/>
      <c r="AI703" s="12">
        <f t="shared" si="208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83"/>
      <c r="D704" s="32"/>
      <c r="E704" s="32"/>
      <c r="F704" s="32"/>
      <c r="G704" s="32">
        <f t="shared" si="199"/>
        <v>0</v>
      </c>
      <c r="H704" s="10"/>
      <c r="I704" s="10"/>
      <c r="J704" s="10"/>
      <c r="K704" s="12">
        <f t="shared" si="200"/>
        <v>0</v>
      </c>
      <c r="M704" s="10">
        <v>33</v>
      </c>
      <c r="N704" s="30"/>
      <c r="O704" s="31"/>
      <c r="P704" s="47"/>
      <c r="Q704" s="31"/>
      <c r="R704" s="31"/>
      <c r="S704" s="32">
        <f t="shared" si="201"/>
        <v>0</v>
      </c>
      <c r="T704" s="10"/>
      <c r="U704" s="10"/>
      <c r="V704" s="10"/>
      <c r="W704" s="12">
        <f t="shared" si="202"/>
        <v>0</v>
      </c>
      <c r="Y704" s="10">
        <v>33</v>
      </c>
      <c r="Z704" s="30"/>
      <c r="AA704" s="31"/>
      <c r="AB704" s="47"/>
      <c r="AC704" s="31"/>
      <c r="AD704" s="31"/>
      <c r="AE704" s="32">
        <f t="shared" si="209"/>
        <v>0</v>
      </c>
      <c r="AF704" s="10"/>
      <c r="AG704" s="10"/>
      <c r="AH704" s="10"/>
      <c r="AI704" s="12">
        <f t="shared" si="208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83"/>
      <c r="D705" s="32"/>
      <c r="E705" s="32"/>
      <c r="F705" s="32"/>
      <c r="G705" s="32">
        <f t="shared" si="199"/>
        <v>0</v>
      </c>
      <c r="H705" s="10"/>
      <c r="I705" s="10"/>
      <c r="J705" s="10"/>
      <c r="K705" s="12">
        <f t="shared" si="200"/>
        <v>0</v>
      </c>
      <c r="M705" s="10">
        <v>34</v>
      </c>
      <c r="N705" s="30"/>
      <c r="O705" s="31"/>
      <c r="P705" s="47"/>
      <c r="Q705" s="31"/>
      <c r="R705" s="31"/>
      <c r="S705" s="32">
        <f t="shared" si="201"/>
        <v>0</v>
      </c>
      <c r="T705" s="10"/>
      <c r="U705" s="10"/>
      <c r="V705" s="10"/>
      <c r="W705" s="12">
        <f t="shared" si="202"/>
        <v>0</v>
      </c>
      <c r="Y705" s="10">
        <v>34</v>
      </c>
      <c r="Z705" s="30"/>
      <c r="AA705" s="31"/>
      <c r="AB705" s="47"/>
      <c r="AC705" s="31"/>
      <c r="AD705" s="31"/>
      <c r="AE705" s="32">
        <f t="shared" si="209"/>
        <v>0</v>
      </c>
      <c r="AF705" s="10"/>
      <c r="AG705" s="10"/>
      <c r="AH705" s="10"/>
      <c r="AI705" s="12">
        <f t="shared" si="208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83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201"/>
        <v>0</v>
      </c>
      <c r="T706" s="10"/>
      <c r="U706" s="10"/>
      <c r="V706" s="10"/>
      <c r="W706" s="12">
        <f t="shared" si="202"/>
        <v>0</v>
      </c>
      <c r="Y706" s="10">
        <v>35</v>
      </c>
      <c r="Z706" s="30"/>
      <c r="AA706" s="31"/>
      <c r="AB706" s="47"/>
      <c r="AC706" s="31"/>
      <c r="AD706" s="31"/>
      <c r="AE706" s="32">
        <f t="shared" si="209"/>
        <v>0</v>
      </c>
      <c r="AF706" s="10"/>
      <c r="AG706" s="10"/>
      <c r="AH706" s="10"/>
      <c r="AI706" s="12">
        <f t="shared" si="208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83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201"/>
        <v>0</v>
      </c>
      <c r="T707" s="10"/>
      <c r="U707" s="10"/>
      <c r="V707" s="10"/>
      <c r="W707" s="12">
        <f t="shared" si="202"/>
        <v>0</v>
      </c>
      <c r="Y707" s="10">
        <v>36</v>
      </c>
      <c r="Z707" s="30"/>
      <c r="AA707" s="31"/>
      <c r="AB707" s="47"/>
      <c r="AC707" s="31"/>
      <c r="AD707" s="31"/>
      <c r="AE707" s="32">
        <f t="shared" si="209"/>
        <v>0</v>
      </c>
      <c r="AF707" s="10"/>
      <c r="AG707" s="10"/>
      <c r="AH707" s="10"/>
      <c r="AI707" s="12">
        <f t="shared" si="208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201"/>
        <v>0</v>
      </c>
      <c r="T708" s="10"/>
      <c r="U708" s="10"/>
      <c r="V708" s="10"/>
      <c r="W708" s="12">
        <f t="shared" si="202"/>
        <v>0</v>
      </c>
      <c r="Y708" s="10">
        <v>37</v>
      </c>
      <c r="Z708" s="30"/>
      <c r="AA708" s="31"/>
      <c r="AB708" s="47"/>
      <c r="AC708" s="31"/>
      <c r="AD708" s="31"/>
      <c r="AE708" s="32">
        <f t="shared" si="209"/>
        <v>0</v>
      </c>
      <c r="AF708" s="10"/>
      <c r="AG708" s="10"/>
      <c r="AH708" s="10"/>
      <c r="AI708" s="12">
        <f t="shared" si="208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201"/>
        <v>0</v>
      </c>
      <c r="T709" s="10"/>
      <c r="U709" s="10"/>
      <c r="V709" s="10"/>
      <c r="W709" s="12">
        <f t="shared" si="202"/>
        <v>0</v>
      </c>
      <c r="Y709" s="10">
        <v>38</v>
      </c>
      <c r="Z709" s="30"/>
      <c r="AA709" s="31"/>
      <c r="AB709" s="47"/>
      <c r="AC709" s="31"/>
      <c r="AD709" s="31"/>
      <c r="AE709" s="32">
        <f t="shared" si="209"/>
        <v>0</v>
      </c>
      <c r="AF709" s="10"/>
      <c r="AG709" s="10"/>
      <c r="AH709" s="10"/>
      <c r="AI709" s="12">
        <f t="shared" si="208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201"/>
        <v>0</v>
      </c>
      <c r="T710" s="10"/>
      <c r="U710" s="10"/>
      <c r="V710" s="10"/>
      <c r="W710" s="12">
        <f t="shared" si="202"/>
        <v>0</v>
      </c>
      <c r="Y710" s="10">
        <v>39</v>
      </c>
      <c r="Z710" s="30"/>
      <c r="AA710" s="31"/>
      <c r="AB710" s="47"/>
      <c r="AC710" s="31"/>
      <c r="AD710" s="31"/>
      <c r="AE710" s="32">
        <f t="shared" si="209"/>
        <v>0</v>
      </c>
      <c r="AF710" s="10"/>
      <c r="AG710" s="10"/>
      <c r="AH710" s="10"/>
      <c r="AI710" s="12">
        <f t="shared" si="208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202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208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210">SUM(D712:E712)</f>
        <v>0</v>
      </c>
      <c r="H712" s="10"/>
      <c r="I712" s="10"/>
      <c r="J712" s="10"/>
      <c r="K712" s="12">
        <f t="shared" ref="K712" si="211">SUM(G712:J712)</f>
        <v>0</v>
      </c>
      <c r="M712" s="10"/>
      <c r="N712" s="30"/>
      <c r="O712" s="31"/>
      <c r="P712" s="47"/>
      <c r="Q712" s="31"/>
      <c r="R712" s="31"/>
      <c r="S712" s="32">
        <f t="shared" ref="S712" si="212">SUM(P712:Q712)</f>
        <v>0</v>
      </c>
      <c r="T712" s="10"/>
      <c r="U712" s="10"/>
      <c r="V712" s="10"/>
      <c r="W712" s="12">
        <f t="shared" si="202"/>
        <v>0</v>
      </c>
      <c r="Y712" s="10"/>
      <c r="Z712" s="30"/>
      <c r="AA712" s="31"/>
      <c r="AB712" s="47"/>
      <c r="AC712" s="31"/>
      <c r="AD712" s="31"/>
      <c r="AE712" s="32">
        <f t="shared" ref="AE712" si="213">SUM(AB712:AC712)</f>
        <v>0</v>
      </c>
      <c r="AF712" s="10"/>
      <c r="AG712" s="10"/>
      <c r="AH712" s="10"/>
      <c r="AI712" s="12">
        <f t="shared" si="208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202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208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277553</v>
      </c>
      <c r="E715" s="38">
        <f t="shared" ref="E715:F715" si="214">SUM(E672:E712)</f>
        <v>-2076</v>
      </c>
      <c r="F715" s="38">
        <f t="shared" si="214"/>
        <v>0</v>
      </c>
      <c r="G715" s="38">
        <f>SUM(G672:G714)</f>
        <v>275477</v>
      </c>
      <c r="H715" s="4"/>
      <c r="I715" s="39">
        <f>SUM(I672:I714)</f>
        <v>2223</v>
      </c>
      <c r="J715" s="39">
        <f>SUM(J672:J714)</f>
        <v>-1252.5</v>
      </c>
      <c r="K715" s="40">
        <f>SUM(K672:K714)</f>
        <v>276447.5</v>
      </c>
      <c r="N715" s="57"/>
      <c r="O715" s="57"/>
      <c r="P715" s="38">
        <f>SUM(P672:P714)</f>
        <v>291467.5</v>
      </c>
      <c r="Q715" s="38">
        <f>SUM(Q672:Q696)</f>
        <v>-2610</v>
      </c>
      <c r="R715" s="38">
        <f>SUM(R672:R696)</f>
        <v>0</v>
      </c>
      <c r="S715" s="38">
        <f>SUM(S672:S714)</f>
        <v>288857.5</v>
      </c>
      <c r="T715" s="4"/>
      <c r="U715" s="41">
        <f>SUM(U672:U714)</f>
        <v>1134</v>
      </c>
      <c r="V715" s="41">
        <f>SUM(V672:V696)</f>
        <v>-504</v>
      </c>
      <c r="W715" s="42">
        <f>SUM(W672:W714)</f>
        <v>289487.5</v>
      </c>
      <c r="Z715" s="57"/>
      <c r="AA715" s="57"/>
      <c r="AB715" s="38">
        <f>SUM(AB672:AB714)</f>
        <v>230052</v>
      </c>
      <c r="AC715" s="38">
        <f>SUM(AC672:AC696)</f>
        <v>-960</v>
      </c>
      <c r="AD715" s="38">
        <f>SUM(AD672:AD696)</f>
        <v>0</v>
      </c>
      <c r="AE715" s="38">
        <f>SUM(AE672:AE714)</f>
        <v>229092</v>
      </c>
      <c r="AF715" s="4"/>
      <c r="AG715" s="41">
        <f>SUM(AG672:AG714)</f>
        <v>144</v>
      </c>
      <c r="AH715" s="41">
        <f>SUM(AH672:AH696)</f>
        <v>-240</v>
      </c>
      <c r="AI715" s="42">
        <f>SUM(AI672:AI714)</f>
        <v>228996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28</v>
      </c>
      <c r="B718" s="57"/>
      <c r="C718" s="57"/>
      <c r="D718" s="57"/>
      <c r="E718" s="57"/>
      <c r="G718" s="57"/>
      <c r="M718" t="s">
        <v>28</v>
      </c>
      <c r="N718" s="57"/>
      <c r="O718" s="57"/>
      <c r="P718" s="57"/>
      <c r="Q718" s="57"/>
      <c r="R718" s="57"/>
      <c r="S718" s="57"/>
      <c r="Y718" t="s">
        <v>28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14</v>
      </c>
      <c r="B720" s="57"/>
      <c r="C720" s="57"/>
      <c r="D720" s="57"/>
      <c r="E720" s="57"/>
      <c r="G720" s="57"/>
      <c r="M720" s="4" t="s">
        <v>14</v>
      </c>
      <c r="N720" s="57"/>
      <c r="O720" s="57"/>
      <c r="P720" s="57"/>
      <c r="Q720" s="57"/>
      <c r="R720" s="57"/>
      <c r="S720" s="57"/>
      <c r="Y720" s="4" t="s">
        <v>14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39</v>
      </c>
      <c r="B722" s="57"/>
      <c r="C722" s="57"/>
      <c r="D722" s="57"/>
      <c r="E722" s="57"/>
      <c r="G722" s="57"/>
      <c r="I722" s="57" t="s">
        <v>15</v>
      </c>
      <c r="J722" s="19">
        <v>1</v>
      </c>
      <c r="M722" t="s">
        <v>39</v>
      </c>
      <c r="N722" s="57"/>
      <c r="O722" s="57"/>
      <c r="P722" s="57"/>
      <c r="Q722" s="57"/>
      <c r="R722" s="57"/>
      <c r="S722" s="57"/>
      <c r="U722" s="57" t="s">
        <v>15</v>
      </c>
      <c r="V722" s="19">
        <v>2</v>
      </c>
      <c r="Y722" t="s">
        <v>39</v>
      </c>
      <c r="Z722" s="57"/>
      <c r="AA722" s="57"/>
      <c r="AB722" s="57"/>
      <c r="AC722" s="57"/>
      <c r="AD722" s="57"/>
      <c r="AE722" s="57"/>
      <c r="AG722" s="57" t="s">
        <v>15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74</v>
      </c>
      <c r="B723" s="20"/>
      <c r="C723" s="57"/>
      <c r="D723" s="57"/>
      <c r="E723" s="57"/>
      <c r="G723" s="57"/>
      <c r="I723" s="22" t="s">
        <v>16</v>
      </c>
      <c r="J723" s="23" t="s">
        <v>31</v>
      </c>
      <c r="K723" s="24"/>
      <c r="M723" s="21" t="s">
        <v>74</v>
      </c>
      <c r="N723" s="20"/>
      <c r="O723" s="57"/>
      <c r="P723" s="57"/>
      <c r="Q723" s="57"/>
      <c r="R723" s="57"/>
      <c r="S723" s="57"/>
      <c r="U723" s="22" t="s">
        <v>16</v>
      </c>
      <c r="V723" s="23" t="s">
        <v>33</v>
      </c>
      <c r="W723" s="24"/>
      <c r="Y723" s="21" t="s">
        <v>74</v>
      </c>
      <c r="Z723" s="20"/>
      <c r="AA723" s="57"/>
      <c r="AB723" s="57"/>
      <c r="AC723" s="57"/>
      <c r="AD723" s="57"/>
      <c r="AE723" s="57"/>
      <c r="AG723" s="22" t="s">
        <v>16</v>
      </c>
      <c r="AH723" s="23" t="s">
        <v>35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15" t="s">
        <v>17</v>
      </c>
      <c r="E725" s="115"/>
      <c r="F725" s="100"/>
      <c r="G725" s="27"/>
      <c r="I725" s="113" t="s">
        <v>18</v>
      </c>
      <c r="J725" s="114"/>
      <c r="K725" s="111" t="s">
        <v>19</v>
      </c>
      <c r="N725" s="25"/>
      <c r="O725" s="26"/>
      <c r="P725" s="115" t="s">
        <v>17</v>
      </c>
      <c r="Q725" s="115"/>
      <c r="R725" s="100"/>
      <c r="S725" s="27"/>
      <c r="U725" s="113" t="s">
        <v>18</v>
      </c>
      <c r="V725" s="114"/>
      <c r="W725" s="111" t="s">
        <v>19</v>
      </c>
      <c r="Z725" s="25"/>
      <c r="AA725" s="26"/>
      <c r="AB725" s="115" t="s">
        <v>17</v>
      </c>
      <c r="AC725" s="115"/>
      <c r="AD725" s="100"/>
      <c r="AE725" s="27"/>
      <c r="AG725" s="113" t="s">
        <v>18</v>
      </c>
      <c r="AH725" s="114"/>
      <c r="AI725" s="111" t="s">
        <v>19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20</v>
      </c>
      <c r="C726" s="28" t="s">
        <v>21</v>
      </c>
      <c r="D726" s="77" t="s">
        <v>22</v>
      </c>
      <c r="E726" s="76" t="s">
        <v>23</v>
      </c>
      <c r="F726" s="78" t="s">
        <v>32</v>
      </c>
      <c r="G726" s="78" t="s">
        <v>24</v>
      </c>
      <c r="I726" s="29" t="s">
        <v>25</v>
      </c>
      <c r="J726" s="29" t="s">
        <v>26</v>
      </c>
      <c r="K726" s="112"/>
      <c r="N726" s="28" t="s">
        <v>20</v>
      </c>
      <c r="O726" s="28" t="s">
        <v>21</v>
      </c>
      <c r="P726" s="77" t="s">
        <v>22</v>
      </c>
      <c r="Q726" s="78" t="s">
        <v>23</v>
      </c>
      <c r="R726" s="78" t="s">
        <v>32</v>
      </c>
      <c r="S726" s="78" t="s">
        <v>24</v>
      </c>
      <c r="U726" s="29" t="s">
        <v>25</v>
      </c>
      <c r="V726" s="29" t="s">
        <v>26</v>
      </c>
      <c r="W726" s="112"/>
      <c r="Z726" s="28" t="s">
        <v>20</v>
      </c>
      <c r="AA726" s="28" t="s">
        <v>21</v>
      </c>
      <c r="AB726" s="77" t="s">
        <v>22</v>
      </c>
      <c r="AC726" s="78" t="s">
        <v>23</v>
      </c>
      <c r="AD726" s="78" t="s">
        <v>32</v>
      </c>
      <c r="AE726" s="78" t="s">
        <v>24</v>
      </c>
      <c r="AG726" s="29" t="s">
        <v>25</v>
      </c>
      <c r="AH726" s="29" t="s">
        <v>26</v>
      </c>
      <c r="AI726" s="11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75</v>
      </c>
      <c r="C727" s="83">
        <v>9098</v>
      </c>
      <c r="D727" s="32">
        <f>650*21</f>
        <v>13650</v>
      </c>
      <c r="E727" s="32"/>
      <c r="F727" s="32"/>
      <c r="G727" s="32">
        <f t="shared" ref="G727:G760" si="215">SUM(D727:E727)</f>
        <v>13650</v>
      </c>
      <c r="H727" s="12"/>
      <c r="I727" s="12"/>
      <c r="J727" s="12"/>
      <c r="K727" s="12">
        <f t="shared" ref="K727:K760" si="216">SUM(G727:J727)</f>
        <v>13650</v>
      </c>
      <c r="M727" s="10">
        <v>1</v>
      </c>
      <c r="N727" s="30" t="s">
        <v>75</v>
      </c>
      <c r="O727" s="31">
        <v>9022</v>
      </c>
      <c r="P727" s="32">
        <f>650*6+622+9.5*7</f>
        <v>4588.5</v>
      </c>
      <c r="Q727" s="32"/>
      <c r="R727" s="32"/>
      <c r="S727" s="32">
        <f>SUM(P727:Q727)</f>
        <v>4588.5</v>
      </c>
      <c r="T727" s="12"/>
      <c r="U727" s="12"/>
      <c r="V727" s="12"/>
      <c r="W727" s="12">
        <f>SUM(S727:V727)</f>
        <v>4588.5</v>
      </c>
      <c r="Y727" s="10">
        <v>1</v>
      </c>
      <c r="Z727" s="30" t="s">
        <v>75</v>
      </c>
      <c r="AA727" s="31">
        <v>9159</v>
      </c>
      <c r="AB727" s="32">
        <f>650*216+670*20+622*50+229*6</f>
        <v>186274</v>
      </c>
      <c r="AC727" s="32">
        <f>-286*6</f>
        <v>-1716</v>
      </c>
      <c r="AD727" s="32"/>
      <c r="AE727" s="32">
        <f>SUM(AB727:AC727)</f>
        <v>184558</v>
      </c>
      <c r="AF727" s="12"/>
      <c r="AG727" s="12"/>
      <c r="AH727" s="12"/>
      <c r="AI727" s="12">
        <f>SUM(AE727:AH727)</f>
        <v>184558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75</v>
      </c>
      <c r="C728" s="83">
        <f>C727+1</f>
        <v>9099</v>
      </c>
      <c r="D728" s="32">
        <f>650*10+622*2+9.5*10</f>
        <v>7839</v>
      </c>
      <c r="E728" s="32"/>
      <c r="F728" s="32"/>
      <c r="G728" s="32">
        <f t="shared" si="215"/>
        <v>7839</v>
      </c>
      <c r="H728" s="12"/>
      <c r="I728" s="12"/>
      <c r="J728" s="12"/>
      <c r="K728" s="12">
        <f t="shared" si="216"/>
        <v>7839</v>
      </c>
      <c r="M728" s="10">
        <v>2</v>
      </c>
      <c r="N728" s="30" t="s">
        <v>75</v>
      </c>
      <c r="O728" s="31">
        <f>O727+1</f>
        <v>9023</v>
      </c>
      <c r="P728" s="32">
        <f>650+622+9.5*2</f>
        <v>1291</v>
      </c>
      <c r="Q728" s="32"/>
      <c r="R728" s="32"/>
      <c r="S728" s="32">
        <f t="shared" ref="S728:S765" si="217">SUM(P728:Q728)</f>
        <v>1291</v>
      </c>
      <c r="T728" s="12"/>
      <c r="U728" s="12"/>
      <c r="V728" s="12"/>
      <c r="W728" s="12">
        <f t="shared" ref="W728:W768" si="218">SUM(S728:V728)</f>
        <v>1291</v>
      </c>
      <c r="Y728" s="10">
        <v>2</v>
      </c>
      <c r="Z728" s="30" t="s">
        <v>75</v>
      </c>
      <c r="AA728" s="31">
        <f>AA727+1</f>
        <v>9160</v>
      </c>
      <c r="AB728" s="32">
        <f>650*108+229*4</f>
        <v>71116</v>
      </c>
      <c r="AC728">
        <f>-108*6</f>
        <v>-648</v>
      </c>
      <c r="AD728" s="32"/>
      <c r="AE728" s="32">
        <f t="shared" ref="AE728:AE729" si="219">SUM(AB728:AC728)</f>
        <v>70468</v>
      </c>
      <c r="AF728" s="12"/>
      <c r="AG728" s="12"/>
      <c r="AH728">
        <f>-111*108</f>
        <v>-11988</v>
      </c>
      <c r="AI728" s="12">
        <f t="shared" ref="AI728:AI729" si="220">SUM(AE728:AH728)</f>
        <v>58480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75</v>
      </c>
      <c r="C729" s="83">
        <f t="shared" ref="C729" si="221">C728+1</f>
        <v>9100</v>
      </c>
      <c r="D729" s="33">
        <f>650*14+670</f>
        <v>9770</v>
      </c>
      <c r="E729" s="33"/>
      <c r="F729" s="33"/>
      <c r="G729" s="33">
        <f t="shared" si="215"/>
        <v>9770</v>
      </c>
      <c r="H729" s="34"/>
      <c r="I729" s="34"/>
      <c r="J729" s="34"/>
      <c r="K729" s="34">
        <f t="shared" si="216"/>
        <v>9770</v>
      </c>
      <c r="M729" s="10">
        <v>3</v>
      </c>
      <c r="N729" s="30" t="s">
        <v>75</v>
      </c>
      <c r="O729" s="31">
        <f t="shared" ref="O729:O738" si="222">O728+1</f>
        <v>9024</v>
      </c>
      <c r="P729" s="32">
        <f>650+622+9.5*2</f>
        <v>1291</v>
      </c>
      <c r="Q729" s="32"/>
      <c r="R729" s="32"/>
      <c r="S729" s="32">
        <f t="shared" si="217"/>
        <v>1291</v>
      </c>
      <c r="T729" s="12"/>
      <c r="U729" s="12"/>
      <c r="V729" s="12"/>
      <c r="W729" s="12">
        <f t="shared" si="218"/>
        <v>1291</v>
      </c>
      <c r="Y729" s="10">
        <v>3</v>
      </c>
      <c r="Z729" s="30" t="s">
        <v>75</v>
      </c>
      <c r="AA729" s="31">
        <f t="shared" ref="AA729" si="223">AA728+1</f>
        <v>9161</v>
      </c>
      <c r="AB729" s="32">
        <f>650*48+622*2</f>
        <v>32444</v>
      </c>
      <c r="AC729" s="33">
        <f>-50*6</f>
        <v>-300</v>
      </c>
      <c r="AD729" s="32"/>
      <c r="AE729" s="32">
        <f t="shared" si="219"/>
        <v>32144</v>
      </c>
      <c r="AF729" s="12"/>
      <c r="AG729" s="12"/>
      <c r="AH729" s="12">
        <f>-111*9</f>
        <v>-999</v>
      </c>
      <c r="AI729" s="12">
        <f t="shared" si="220"/>
        <v>31145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75</v>
      </c>
      <c r="C730" s="83">
        <v>9201</v>
      </c>
      <c r="D730" s="32">
        <f>650*18+622*2+9.5*20</f>
        <v>13134</v>
      </c>
      <c r="E730" s="32"/>
      <c r="F730" s="32"/>
      <c r="G730" s="32">
        <f t="shared" si="215"/>
        <v>13134</v>
      </c>
      <c r="H730" s="12"/>
      <c r="I730" s="12"/>
      <c r="J730" s="12"/>
      <c r="K730" s="12">
        <f t="shared" si="216"/>
        <v>13134</v>
      </c>
      <c r="M730" s="10">
        <v>4</v>
      </c>
      <c r="N730" s="30" t="s">
        <v>75</v>
      </c>
      <c r="O730" s="31">
        <f t="shared" si="222"/>
        <v>9025</v>
      </c>
      <c r="P730" s="32">
        <f>650*55+229</f>
        <v>35979</v>
      </c>
      <c r="Q730" s="32"/>
      <c r="R730" s="32"/>
      <c r="S730" s="32">
        <f t="shared" si="217"/>
        <v>35979</v>
      </c>
      <c r="T730" s="12"/>
      <c r="U730" s="12">
        <v>36</v>
      </c>
      <c r="V730" s="12"/>
      <c r="W730" s="12">
        <f t="shared" si="218"/>
        <v>36015</v>
      </c>
      <c r="Y730" s="10">
        <v>4</v>
      </c>
      <c r="Z730" s="30"/>
      <c r="AA730" s="11" t="s">
        <v>27</v>
      </c>
      <c r="AB730" s="32"/>
      <c r="AC730" s="32"/>
      <c r="AD730" s="32"/>
      <c r="AE730" s="32">
        <f>SUM(AB730:AC730)</f>
        <v>0</v>
      </c>
      <c r="AF730" s="12"/>
      <c r="AH730" s="12"/>
      <c r="AI730" s="12">
        <f>SUM(AE730:AH730)</f>
        <v>0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 t="s">
        <v>75</v>
      </c>
      <c r="C731" s="83">
        <f t="shared" ref="C731:C737" si="224">C730+1</f>
        <v>9202</v>
      </c>
      <c r="D731" s="32">
        <f>650*11</f>
        <v>7150</v>
      </c>
      <c r="E731" s="32"/>
      <c r="F731" s="32"/>
      <c r="G731" s="32">
        <f t="shared" si="215"/>
        <v>7150</v>
      </c>
      <c r="H731" s="12"/>
      <c r="I731" s="12"/>
      <c r="J731" s="12"/>
      <c r="K731" s="12">
        <f t="shared" si="216"/>
        <v>7150</v>
      </c>
      <c r="M731" s="10">
        <v>5</v>
      </c>
      <c r="N731" s="30" t="s">
        <v>75</v>
      </c>
      <c r="O731" s="31">
        <f t="shared" si="222"/>
        <v>9026</v>
      </c>
      <c r="P731" s="32">
        <f>650*100+229</f>
        <v>65229</v>
      </c>
      <c r="Q731" s="32">
        <f>-100*6</f>
        <v>-600</v>
      </c>
      <c r="R731" s="32"/>
      <c r="S731" s="32">
        <f t="shared" si="217"/>
        <v>64629</v>
      </c>
      <c r="T731" s="12"/>
      <c r="U731" s="12"/>
      <c r="V731" s="12"/>
      <c r="W731" s="12">
        <f t="shared" si="218"/>
        <v>64629</v>
      </c>
      <c r="Y731" s="10">
        <v>5</v>
      </c>
      <c r="Z731" s="30"/>
      <c r="AA731" s="31"/>
      <c r="AB731" s="33"/>
      <c r="AC731" s="32"/>
      <c r="AD731" s="32"/>
      <c r="AE731" s="32">
        <f>SUM(AB731:AC731)</f>
        <v>0</v>
      </c>
      <c r="AF731" s="12"/>
      <c r="AG731" s="12"/>
      <c r="AH731" s="12"/>
      <c r="AI731" s="12">
        <f t="shared" ref="AI731:AI768" si="225">SUM(AE731:AH731)</f>
        <v>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 t="s">
        <v>75</v>
      </c>
      <c r="C732" s="83">
        <f t="shared" si="224"/>
        <v>9203</v>
      </c>
      <c r="D732" s="32">
        <f>650*84</f>
        <v>54600</v>
      </c>
      <c r="E732" s="32"/>
      <c r="F732" s="32"/>
      <c r="G732" s="32">
        <f t="shared" si="215"/>
        <v>54600</v>
      </c>
      <c r="H732" s="12"/>
      <c r="I732" s="12"/>
      <c r="J732" s="12"/>
      <c r="K732" s="12">
        <f t="shared" si="216"/>
        <v>54600</v>
      </c>
      <c r="M732" s="10">
        <v>6</v>
      </c>
      <c r="N732" s="30" t="s">
        <v>75</v>
      </c>
      <c r="O732" s="31">
        <f t="shared" si="222"/>
        <v>9027</v>
      </c>
      <c r="P732" s="32">
        <f>650*47+622*5+229</f>
        <v>33889</v>
      </c>
      <c r="Q732" s="32"/>
      <c r="R732" s="32"/>
      <c r="S732" s="32">
        <f t="shared" si="217"/>
        <v>33889</v>
      </c>
      <c r="T732" s="12"/>
      <c r="U732" s="12">
        <f>13.5+36</f>
        <v>49.5</v>
      </c>
      <c r="V732" s="10"/>
      <c r="W732" s="12">
        <f t="shared" si="218"/>
        <v>33938.5</v>
      </c>
      <c r="Y732" s="10">
        <v>6</v>
      </c>
      <c r="Z732" s="30"/>
      <c r="AA732" s="31"/>
      <c r="AB732" s="32"/>
      <c r="AC732" s="32"/>
      <c r="AD732" s="32"/>
      <c r="AE732" s="32">
        <f t="shared" ref="AE732:AE765" si="226">SUM(AB732:AC732)</f>
        <v>0</v>
      </c>
      <c r="AF732" s="12"/>
      <c r="AG732" s="12"/>
      <c r="AH732" s="10"/>
      <c r="AI732" s="12">
        <f t="shared" si="225"/>
        <v>0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 t="s">
        <v>75</v>
      </c>
      <c r="C733" s="83">
        <f t="shared" si="224"/>
        <v>9204</v>
      </c>
      <c r="D733" s="32">
        <f>650*80+622*20</f>
        <v>64440</v>
      </c>
      <c r="E733" s="32"/>
      <c r="F733" s="32"/>
      <c r="G733" s="32">
        <f t="shared" si="215"/>
        <v>64440</v>
      </c>
      <c r="H733" s="12"/>
      <c r="I733" s="12"/>
      <c r="J733" s="12"/>
      <c r="K733" s="12">
        <f t="shared" si="216"/>
        <v>64440</v>
      </c>
      <c r="M733" s="10">
        <v>7</v>
      </c>
      <c r="N733" s="30" t="s">
        <v>75</v>
      </c>
      <c r="O733" s="31">
        <f t="shared" si="222"/>
        <v>9028</v>
      </c>
      <c r="P733" s="32">
        <f>650*27+622*2+872+9.5*15</f>
        <v>19808.5</v>
      </c>
      <c r="Q733" s="32"/>
      <c r="R733" s="32"/>
      <c r="S733" s="32">
        <f t="shared" si="217"/>
        <v>19808.5</v>
      </c>
      <c r="T733" s="12"/>
      <c r="U733" s="12"/>
      <c r="V733" s="12"/>
      <c r="W733" s="12">
        <f t="shared" si="218"/>
        <v>19808.5</v>
      </c>
      <c r="Y733" s="10">
        <v>7</v>
      </c>
      <c r="Z733" s="30"/>
      <c r="AA733" s="31"/>
      <c r="AB733" s="32"/>
      <c r="AC733" s="32"/>
      <c r="AD733" s="32"/>
      <c r="AE733" s="32">
        <f t="shared" si="226"/>
        <v>0</v>
      </c>
      <c r="AF733" s="12"/>
      <c r="AG733" s="58"/>
      <c r="AH733" s="12"/>
      <c r="AI733" s="12">
        <f t="shared" si="225"/>
        <v>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 t="s">
        <v>75</v>
      </c>
      <c r="C734" s="83">
        <f t="shared" si="224"/>
        <v>9205</v>
      </c>
      <c r="D734" s="32">
        <f>650*20+622*2</f>
        <v>14244</v>
      </c>
      <c r="E734" s="32"/>
      <c r="F734" s="32"/>
      <c r="G734" s="32">
        <f t="shared" si="215"/>
        <v>14244</v>
      </c>
      <c r="H734" s="12"/>
      <c r="I734" s="12"/>
      <c r="J734" s="12"/>
      <c r="K734" s="12">
        <f t="shared" si="216"/>
        <v>14244</v>
      </c>
      <c r="M734" s="10">
        <v>8</v>
      </c>
      <c r="N734" s="30" t="s">
        <v>75</v>
      </c>
      <c r="O734" s="31">
        <f t="shared" si="222"/>
        <v>9029</v>
      </c>
      <c r="P734" s="32">
        <f>650*27+670+229</f>
        <v>18449</v>
      </c>
      <c r="Q734" s="32"/>
      <c r="R734" s="32"/>
      <c r="S734" s="32">
        <f t="shared" si="217"/>
        <v>18449</v>
      </c>
      <c r="T734" s="12"/>
      <c r="U734" s="12">
        <v>63</v>
      </c>
      <c r="V734" s="12"/>
      <c r="W734" s="12">
        <f t="shared" si="218"/>
        <v>18512</v>
      </c>
      <c r="Y734" s="10">
        <v>8</v>
      </c>
      <c r="Z734" s="30"/>
      <c r="AA734" s="31"/>
      <c r="AB734" s="32"/>
      <c r="AC734" s="32"/>
      <c r="AE734" s="32">
        <f t="shared" si="226"/>
        <v>0</v>
      </c>
      <c r="AF734" s="12"/>
      <c r="AG734" s="12"/>
      <c r="AH734" s="12"/>
      <c r="AI734" s="12">
        <f t="shared" si="225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 t="s">
        <v>75</v>
      </c>
      <c r="C735" s="83">
        <f t="shared" si="224"/>
        <v>9206</v>
      </c>
      <c r="D735" s="32">
        <f>650*35+622*2+229</f>
        <v>24223</v>
      </c>
      <c r="E735" s="32"/>
      <c r="F735" s="32"/>
      <c r="G735" s="32">
        <f t="shared" si="215"/>
        <v>24223</v>
      </c>
      <c r="H735" s="12"/>
      <c r="I735" s="12"/>
      <c r="J735" s="12"/>
      <c r="K735" s="12">
        <f t="shared" si="216"/>
        <v>24223</v>
      </c>
      <c r="M735" s="10">
        <v>9</v>
      </c>
      <c r="N735" s="30" t="s">
        <v>75</v>
      </c>
      <c r="O735" s="31">
        <f t="shared" si="222"/>
        <v>9030</v>
      </c>
      <c r="P735" s="32">
        <f>650*17+622*11+650</f>
        <v>18542</v>
      </c>
      <c r="Q735" s="32"/>
      <c r="R735" s="32"/>
      <c r="S735" s="32">
        <f t="shared" si="217"/>
        <v>18542</v>
      </c>
      <c r="T735" s="12"/>
      <c r="U735" s="12"/>
      <c r="V735" s="12">
        <v>-333</v>
      </c>
      <c r="W735" s="12">
        <f t="shared" si="218"/>
        <v>18209</v>
      </c>
      <c r="Y735" s="10">
        <v>9</v>
      </c>
      <c r="Z735" s="30"/>
      <c r="AA735" s="31"/>
      <c r="AC735" s="32"/>
      <c r="AD735" s="32"/>
      <c r="AE735" s="32">
        <f t="shared" si="226"/>
        <v>0</v>
      </c>
      <c r="AF735" s="12"/>
      <c r="AH735" s="12"/>
      <c r="AI735" s="12">
        <f t="shared" si="225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 t="s">
        <v>75</v>
      </c>
      <c r="C736" s="83">
        <f t="shared" si="224"/>
        <v>9207</v>
      </c>
      <c r="D736" s="32">
        <f>670*5</f>
        <v>3350</v>
      </c>
      <c r="E736" s="32"/>
      <c r="F736" s="32"/>
      <c r="G736" s="32">
        <f t="shared" si="215"/>
        <v>3350</v>
      </c>
      <c r="H736" s="12"/>
      <c r="I736" s="12"/>
      <c r="J736" s="12"/>
      <c r="K736" s="12">
        <f t="shared" si="216"/>
        <v>3350</v>
      </c>
      <c r="M736" s="10">
        <v>10</v>
      </c>
      <c r="N736" s="30" t="s">
        <v>75</v>
      </c>
      <c r="O736" s="31">
        <f t="shared" si="222"/>
        <v>9031</v>
      </c>
      <c r="P736" s="32">
        <f>650*2+9.5*2</f>
        <v>1319</v>
      </c>
      <c r="Q736" s="32"/>
      <c r="R736" s="32"/>
      <c r="S736" s="32">
        <f t="shared" si="217"/>
        <v>1319</v>
      </c>
      <c r="T736" s="12"/>
      <c r="U736" s="12"/>
      <c r="V736" s="12"/>
      <c r="W736" s="12">
        <f t="shared" si="218"/>
        <v>1319</v>
      </c>
      <c r="Y736" s="10">
        <v>10</v>
      </c>
      <c r="Z736" s="30"/>
      <c r="AA736" s="31"/>
      <c r="AB736" s="32"/>
      <c r="AC736" s="32"/>
      <c r="AD736" s="32"/>
      <c r="AE736" s="32">
        <f t="shared" si="226"/>
        <v>0</v>
      </c>
      <c r="AF736" s="12"/>
      <c r="AG736" s="12"/>
      <c r="AH736" s="12"/>
      <c r="AI736" s="12">
        <f t="shared" si="225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 t="s">
        <v>75</v>
      </c>
      <c r="C737" s="83">
        <f t="shared" si="224"/>
        <v>9208</v>
      </c>
      <c r="D737" s="32">
        <f>650*10</f>
        <v>6500</v>
      </c>
      <c r="E737" s="32"/>
      <c r="F737" s="32"/>
      <c r="G737" s="32">
        <f t="shared" si="215"/>
        <v>6500</v>
      </c>
      <c r="H737" s="12"/>
      <c r="I737" s="12"/>
      <c r="J737" s="12"/>
      <c r="K737" s="12">
        <f t="shared" si="216"/>
        <v>6500</v>
      </c>
      <c r="M737" s="10">
        <v>11</v>
      </c>
      <c r="N737" s="30" t="s">
        <v>75</v>
      </c>
      <c r="O737" s="31">
        <f t="shared" si="222"/>
        <v>9032</v>
      </c>
      <c r="P737" s="32">
        <f>650*8+622*2+9.5*10</f>
        <v>6539</v>
      </c>
      <c r="Q737" s="32"/>
      <c r="R737" s="32"/>
      <c r="S737" s="32">
        <f t="shared" si="217"/>
        <v>6539</v>
      </c>
      <c r="T737" s="12"/>
      <c r="U737" s="12"/>
      <c r="V737" s="12"/>
      <c r="W737" s="12">
        <f t="shared" si="218"/>
        <v>6539</v>
      </c>
      <c r="Y737" s="10">
        <v>11</v>
      </c>
      <c r="Z737" s="30"/>
      <c r="AB737" s="32"/>
      <c r="AC737" s="32"/>
      <c r="AD737" s="32"/>
      <c r="AE737" s="32">
        <f t="shared" si="226"/>
        <v>0</v>
      </c>
      <c r="AF737" s="12"/>
      <c r="AG737" s="12"/>
      <c r="AH737" s="12"/>
      <c r="AI737" s="12">
        <f t="shared" si="225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/>
      <c r="C738" s="11" t="s">
        <v>27</v>
      </c>
      <c r="D738" s="32"/>
      <c r="E738" s="32"/>
      <c r="F738" s="32"/>
      <c r="G738" s="32">
        <f t="shared" si="215"/>
        <v>0</v>
      </c>
      <c r="H738" s="12"/>
      <c r="I738" s="12"/>
      <c r="J738" s="10"/>
      <c r="K738" s="12">
        <f t="shared" si="216"/>
        <v>0</v>
      </c>
      <c r="M738" s="10">
        <v>12</v>
      </c>
      <c r="N738" s="30" t="s">
        <v>75</v>
      </c>
      <c r="O738" s="31">
        <f t="shared" si="222"/>
        <v>9033</v>
      </c>
      <c r="P738" s="32">
        <f>650+670+872+650</f>
        <v>2842</v>
      </c>
      <c r="Q738" s="32"/>
      <c r="R738" s="32"/>
      <c r="S738" s="32">
        <f t="shared" si="217"/>
        <v>2842</v>
      </c>
      <c r="T738" s="12"/>
      <c r="U738" s="12"/>
      <c r="V738" s="12"/>
      <c r="W738" s="12">
        <f t="shared" si="218"/>
        <v>2842</v>
      </c>
      <c r="Y738" s="10">
        <v>12</v>
      </c>
      <c r="Z738" s="30"/>
      <c r="AA738" s="31"/>
      <c r="AB738" s="32"/>
      <c r="AC738" s="32"/>
      <c r="AD738" s="32"/>
      <c r="AE738" s="32">
        <f t="shared" si="226"/>
        <v>0</v>
      </c>
      <c r="AF738" s="12"/>
      <c r="AG738" s="12"/>
      <c r="AH738" s="12"/>
      <c r="AI738" s="12">
        <f t="shared" si="225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/>
      <c r="C739" s="83"/>
      <c r="D739" s="32"/>
      <c r="E739" s="32"/>
      <c r="F739" s="32"/>
      <c r="G739" s="32">
        <f t="shared" si="215"/>
        <v>0</v>
      </c>
      <c r="H739" s="12"/>
      <c r="I739" s="12"/>
      <c r="J739" s="12"/>
      <c r="K739" s="12">
        <f t="shared" si="216"/>
        <v>0</v>
      </c>
      <c r="M739" s="10">
        <v>13</v>
      </c>
      <c r="N739" s="30"/>
      <c r="O739" s="11" t="s">
        <v>27</v>
      </c>
      <c r="P739" s="32"/>
      <c r="Q739" s="32"/>
      <c r="R739" s="32"/>
      <c r="S739" s="32">
        <f t="shared" si="217"/>
        <v>0</v>
      </c>
      <c r="T739" s="12"/>
      <c r="U739" s="12"/>
      <c r="V739" s="12"/>
      <c r="W739" s="12">
        <f t="shared" si="218"/>
        <v>0</v>
      </c>
      <c r="Y739" s="10">
        <v>13</v>
      </c>
      <c r="Z739" s="30"/>
      <c r="AA739" s="31"/>
      <c r="AB739" s="32"/>
      <c r="AC739" s="32"/>
      <c r="AD739" s="32"/>
      <c r="AE739" s="32">
        <f t="shared" si="226"/>
        <v>0</v>
      </c>
      <c r="AF739" s="12"/>
      <c r="AG739" s="12"/>
      <c r="AH739" s="12"/>
      <c r="AI739" s="12">
        <f t="shared" si="225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/>
      <c r="C740" s="83"/>
      <c r="D740" s="32"/>
      <c r="E740" s="32"/>
      <c r="F740" s="32"/>
      <c r="G740" s="32">
        <f t="shared" si="215"/>
        <v>0</v>
      </c>
      <c r="H740" s="12"/>
      <c r="I740" s="12"/>
      <c r="J740" s="12"/>
      <c r="K740" s="12">
        <f t="shared" si="216"/>
        <v>0</v>
      </c>
      <c r="M740" s="10">
        <v>14</v>
      </c>
      <c r="N740" s="30"/>
      <c r="O740" s="31"/>
      <c r="P740" s="32"/>
      <c r="Q740" s="32"/>
      <c r="R740" s="32"/>
      <c r="S740" s="32">
        <f t="shared" si="217"/>
        <v>0</v>
      </c>
      <c r="T740" s="12"/>
      <c r="U740" s="12"/>
      <c r="V740" s="12"/>
      <c r="W740" s="12">
        <f t="shared" si="218"/>
        <v>0</v>
      </c>
      <c r="Y740" s="10">
        <v>14</v>
      </c>
      <c r="Z740" s="30"/>
      <c r="AA740" s="31"/>
      <c r="AB740" s="32"/>
      <c r="AC740" s="32"/>
      <c r="AD740" s="32"/>
      <c r="AE740" s="32">
        <f t="shared" si="226"/>
        <v>0</v>
      </c>
      <c r="AF740" s="12"/>
      <c r="AG740" s="12"/>
      <c r="AH740" s="12"/>
      <c r="AI740" s="12">
        <f t="shared" si="225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/>
      <c r="C741" s="83"/>
      <c r="D741" s="32"/>
      <c r="E741" s="32"/>
      <c r="F741" s="32"/>
      <c r="G741" s="32">
        <f t="shared" si="215"/>
        <v>0</v>
      </c>
      <c r="H741" s="12"/>
      <c r="I741" s="12"/>
      <c r="J741" s="12"/>
      <c r="K741" s="12">
        <f t="shared" si="216"/>
        <v>0</v>
      </c>
      <c r="M741" s="10">
        <v>15</v>
      </c>
      <c r="N741" s="30"/>
      <c r="O741" s="31"/>
      <c r="P741" s="32"/>
      <c r="Q741" s="32"/>
      <c r="R741" s="32"/>
      <c r="S741" s="32">
        <f t="shared" si="217"/>
        <v>0</v>
      </c>
      <c r="T741" s="12"/>
      <c r="U741" s="12"/>
      <c r="V741" s="12"/>
      <c r="W741" s="12">
        <f t="shared" si="218"/>
        <v>0</v>
      </c>
      <c r="Y741" s="10">
        <v>15</v>
      </c>
      <c r="Z741" s="30"/>
      <c r="AA741" s="31"/>
      <c r="AB741" s="32"/>
      <c r="AC741" s="32"/>
      <c r="AD741" s="32"/>
      <c r="AE741" s="32">
        <f t="shared" si="226"/>
        <v>0</v>
      </c>
      <c r="AF741" s="12"/>
      <c r="AG741" s="12"/>
      <c r="AH741" s="12"/>
      <c r="AI741" s="12">
        <f t="shared" si="225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/>
      <c r="C742" s="83"/>
      <c r="D742" s="32"/>
      <c r="E742" s="32"/>
      <c r="F742" s="32"/>
      <c r="G742" s="32">
        <f t="shared" si="215"/>
        <v>0</v>
      </c>
      <c r="H742" s="12"/>
      <c r="I742" s="12"/>
      <c r="J742" s="12"/>
      <c r="K742" s="12">
        <f t="shared" si="216"/>
        <v>0</v>
      </c>
      <c r="M742" s="10">
        <v>16</v>
      </c>
      <c r="N742" s="30"/>
      <c r="O742" s="31"/>
      <c r="P742" s="32"/>
      <c r="Q742" s="32"/>
      <c r="R742" s="32"/>
      <c r="S742" s="32">
        <f t="shared" si="217"/>
        <v>0</v>
      </c>
      <c r="T742" s="12"/>
      <c r="U742" s="12"/>
      <c r="V742" s="12"/>
      <c r="W742" s="12">
        <f t="shared" si="218"/>
        <v>0</v>
      </c>
      <c r="Y742" s="10">
        <v>16</v>
      </c>
      <c r="Z742" s="30"/>
      <c r="AA742" s="31"/>
      <c r="AB742" s="32"/>
      <c r="AC742" s="32"/>
      <c r="AD742" s="32"/>
      <c r="AE742" s="32">
        <f t="shared" si="226"/>
        <v>0</v>
      </c>
      <c r="AF742" s="12"/>
      <c r="AG742" s="12"/>
      <c r="AH742" s="12"/>
      <c r="AI742" s="12">
        <f t="shared" si="225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/>
      <c r="C743" s="83"/>
      <c r="D743" s="32"/>
      <c r="E743" s="32"/>
      <c r="F743" s="32"/>
      <c r="G743" s="32">
        <f t="shared" si="215"/>
        <v>0</v>
      </c>
      <c r="H743" s="12"/>
      <c r="I743" s="12"/>
      <c r="J743" s="12"/>
      <c r="K743" s="12">
        <f t="shared" si="216"/>
        <v>0</v>
      </c>
      <c r="M743" s="10">
        <v>17</v>
      </c>
      <c r="N743" s="30"/>
      <c r="O743" s="31"/>
      <c r="P743" s="35"/>
      <c r="Q743" s="32"/>
      <c r="R743" s="32"/>
      <c r="S743" s="32">
        <f t="shared" si="217"/>
        <v>0</v>
      </c>
      <c r="T743" s="12"/>
      <c r="U743" s="12"/>
      <c r="V743" s="12"/>
      <c r="W743" s="12">
        <f t="shared" si="218"/>
        <v>0</v>
      </c>
      <c r="Y743" s="10">
        <v>17</v>
      </c>
      <c r="Z743" s="30"/>
      <c r="AA743" s="31"/>
      <c r="AB743" s="35"/>
      <c r="AC743" s="32"/>
      <c r="AD743" s="32"/>
      <c r="AE743" s="32">
        <f t="shared" si="226"/>
        <v>0</v>
      </c>
      <c r="AF743" s="12"/>
      <c r="AG743" s="12"/>
      <c r="AH743" s="12"/>
      <c r="AI743" s="12">
        <f t="shared" si="225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83"/>
      <c r="D744" s="32"/>
      <c r="E744" s="32"/>
      <c r="F744" s="32"/>
      <c r="G744" s="32">
        <f t="shared" si="215"/>
        <v>0</v>
      </c>
      <c r="H744" s="12"/>
      <c r="I744" s="12"/>
      <c r="J744" s="12"/>
      <c r="K744" s="12">
        <f t="shared" si="216"/>
        <v>0</v>
      </c>
      <c r="M744" s="10">
        <v>18</v>
      </c>
      <c r="N744" s="30"/>
      <c r="O744" s="31"/>
      <c r="P744" s="32"/>
      <c r="Q744" s="32"/>
      <c r="R744" s="32"/>
      <c r="S744" s="32">
        <f t="shared" si="217"/>
        <v>0</v>
      </c>
      <c r="T744" s="12"/>
      <c r="U744" s="12"/>
      <c r="V744" s="12"/>
      <c r="W744" s="12">
        <f t="shared" si="218"/>
        <v>0</v>
      </c>
      <c r="Y744" s="10">
        <v>18</v>
      </c>
      <c r="Z744" s="30"/>
      <c r="AA744" s="31"/>
      <c r="AB744" s="32"/>
      <c r="AC744" s="32"/>
      <c r="AD744" s="32"/>
      <c r="AE744" s="32">
        <f t="shared" si="226"/>
        <v>0</v>
      </c>
      <c r="AF744" s="12"/>
      <c r="AG744" s="12"/>
      <c r="AH744" s="12"/>
      <c r="AI744" s="12">
        <f t="shared" si="225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83"/>
      <c r="D745" s="32"/>
      <c r="E745" s="32"/>
      <c r="F745" s="32"/>
      <c r="G745" s="32">
        <f t="shared" si="215"/>
        <v>0</v>
      </c>
      <c r="H745" s="12"/>
      <c r="I745" s="12"/>
      <c r="J745" s="12"/>
      <c r="K745" s="12">
        <f t="shared" si="216"/>
        <v>0</v>
      </c>
      <c r="M745" s="10">
        <v>19</v>
      </c>
      <c r="N745" s="30"/>
      <c r="O745" s="31"/>
      <c r="P745" s="32"/>
      <c r="Q745" s="32"/>
      <c r="R745" s="32"/>
      <c r="S745" s="32">
        <f t="shared" si="217"/>
        <v>0</v>
      </c>
      <c r="T745" s="12"/>
      <c r="U745" s="12"/>
      <c r="V745" s="12"/>
      <c r="W745" s="12">
        <f t="shared" si="218"/>
        <v>0</v>
      </c>
      <c r="Y745" s="10">
        <v>19</v>
      </c>
      <c r="Z745" s="30"/>
      <c r="AA745" s="31"/>
      <c r="AB745" s="32"/>
      <c r="AC745" s="32"/>
      <c r="AD745" s="32"/>
      <c r="AE745" s="32">
        <f t="shared" si="226"/>
        <v>0</v>
      </c>
      <c r="AF745" s="12"/>
      <c r="AG745" s="12"/>
      <c r="AH745" s="12"/>
      <c r="AI745" s="12">
        <f t="shared" si="225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83"/>
      <c r="D746" s="32"/>
      <c r="E746" s="32"/>
      <c r="F746" s="32"/>
      <c r="G746" s="32">
        <f t="shared" si="215"/>
        <v>0</v>
      </c>
      <c r="H746" s="12"/>
      <c r="I746" s="12"/>
      <c r="J746" s="12"/>
      <c r="K746" s="12">
        <f t="shared" si="216"/>
        <v>0</v>
      </c>
      <c r="M746" s="10">
        <v>20</v>
      </c>
      <c r="N746" s="30"/>
      <c r="O746" s="31"/>
      <c r="P746" s="32"/>
      <c r="Q746" s="32"/>
      <c r="R746" s="32"/>
      <c r="S746" s="32">
        <f t="shared" si="217"/>
        <v>0</v>
      </c>
      <c r="T746" s="12"/>
      <c r="U746" s="12"/>
      <c r="V746" s="12"/>
      <c r="W746" s="12">
        <f t="shared" si="218"/>
        <v>0</v>
      </c>
      <c r="Y746" s="10">
        <v>20</v>
      </c>
      <c r="Z746" s="30"/>
      <c r="AB746" s="32"/>
      <c r="AC746" s="32"/>
      <c r="AD746" s="32"/>
      <c r="AE746" s="32">
        <f t="shared" si="226"/>
        <v>0</v>
      </c>
      <c r="AF746" s="12"/>
      <c r="AG746" s="12"/>
      <c r="AH746" s="12"/>
      <c r="AI746" s="12">
        <f t="shared" si="225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D747" s="32"/>
      <c r="E747" s="32"/>
      <c r="F747" s="32"/>
      <c r="G747" s="32">
        <f t="shared" si="215"/>
        <v>0</v>
      </c>
      <c r="H747" s="10"/>
      <c r="I747" s="10"/>
      <c r="J747" s="10"/>
      <c r="K747" s="12">
        <f t="shared" si="216"/>
        <v>0</v>
      </c>
      <c r="M747" s="10">
        <v>21</v>
      </c>
      <c r="N747" s="30"/>
      <c r="P747" s="92"/>
      <c r="Q747" s="31"/>
      <c r="R747" s="31"/>
      <c r="S747" s="32">
        <f t="shared" si="217"/>
        <v>0</v>
      </c>
      <c r="T747" s="10"/>
      <c r="U747" s="10"/>
      <c r="V747" s="10"/>
      <c r="W747" s="12">
        <f t="shared" si="218"/>
        <v>0</v>
      </c>
      <c r="Y747" s="10">
        <v>21</v>
      </c>
      <c r="Z747" s="30"/>
      <c r="AA747" s="31"/>
      <c r="AB747" s="46"/>
      <c r="AC747" s="31"/>
      <c r="AD747" s="31"/>
      <c r="AE747" s="32">
        <f t="shared" si="226"/>
        <v>0</v>
      </c>
      <c r="AF747" s="10"/>
      <c r="AG747" s="10"/>
      <c r="AH747" s="10"/>
      <c r="AI747" s="12">
        <f t="shared" si="225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83"/>
      <c r="D748" s="32"/>
      <c r="E748" s="32"/>
      <c r="F748" s="32"/>
      <c r="G748" s="32">
        <f t="shared" si="215"/>
        <v>0</v>
      </c>
      <c r="H748" s="10"/>
      <c r="I748" s="10"/>
      <c r="J748" s="10"/>
      <c r="K748" s="12">
        <f t="shared" si="216"/>
        <v>0</v>
      </c>
      <c r="M748" s="10">
        <v>22</v>
      </c>
      <c r="N748" s="30"/>
      <c r="O748" s="31"/>
      <c r="P748" s="92"/>
      <c r="Q748" s="31"/>
      <c r="R748" s="31"/>
      <c r="S748" s="32">
        <f t="shared" si="217"/>
        <v>0</v>
      </c>
      <c r="T748" s="10"/>
      <c r="U748" s="10"/>
      <c r="V748" s="10"/>
      <c r="W748" s="12">
        <f t="shared" si="218"/>
        <v>0</v>
      </c>
      <c r="Y748" s="10">
        <v>22</v>
      </c>
      <c r="Z748" s="30"/>
      <c r="AA748" s="31"/>
      <c r="AB748" s="45"/>
      <c r="AC748" s="31"/>
      <c r="AD748" s="31"/>
      <c r="AE748" s="32">
        <f t="shared" si="226"/>
        <v>0</v>
      </c>
      <c r="AF748" s="10"/>
      <c r="AG748" s="10"/>
      <c r="AH748" s="10"/>
      <c r="AI748" s="12">
        <f t="shared" si="225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83"/>
      <c r="D749" s="32"/>
      <c r="E749" s="32"/>
      <c r="F749" s="32"/>
      <c r="G749" s="32">
        <f t="shared" si="215"/>
        <v>0</v>
      </c>
      <c r="H749" s="10"/>
      <c r="I749" s="10"/>
      <c r="J749" s="12"/>
      <c r="K749" s="12">
        <f t="shared" si="216"/>
        <v>0</v>
      </c>
      <c r="M749" s="10">
        <v>23</v>
      </c>
      <c r="N749" s="30"/>
      <c r="O749" s="31"/>
      <c r="P749" s="47"/>
      <c r="Q749" s="31"/>
      <c r="S749" s="32">
        <f t="shared" si="217"/>
        <v>0</v>
      </c>
      <c r="T749" s="10"/>
      <c r="U749" s="10"/>
      <c r="V749" s="10"/>
      <c r="W749" s="12">
        <f t="shared" si="218"/>
        <v>0</v>
      </c>
      <c r="Y749" s="10">
        <v>23</v>
      </c>
      <c r="Z749" s="30"/>
      <c r="AA749" s="31"/>
      <c r="AB749" s="47"/>
      <c r="AC749" s="31"/>
      <c r="AE749" s="32">
        <f t="shared" si="226"/>
        <v>0</v>
      </c>
      <c r="AF749" s="10"/>
      <c r="AG749" s="10"/>
      <c r="AH749" s="10"/>
      <c r="AI749" s="12">
        <f t="shared" si="225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83"/>
      <c r="D750" s="32"/>
      <c r="E750" s="32"/>
      <c r="F750" s="32"/>
      <c r="G750" s="32">
        <f t="shared" si="215"/>
        <v>0</v>
      </c>
      <c r="H750" s="10"/>
      <c r="I750" s="10"/>
      <c r="J750" s="10"/>
      <c r="K750" s="12">
        <f t="shared" si="216"/>
        <v>0</v>
      </c>
      <c r="M750" s="10">
        <v>24</v>
      </c>
      <c r="N750" s="30"/>
      <c r="P750" s="47"/>
      <c r="Q750" s="31"/>
      <c r="R750" s="31"/>
      <c r="S750" s="32">
        <f t="shared" si="217"/>
        <v>0</v>
      </c>
      <c r="T750" s="10"/>
      <c r="U750" s="10"/>
      <c r="V750" s="10"/>
      <c r="W750" s="12">
        <f t="shared" si="218"/>
        <v>0</v>
      </c>
      <c r="Y750" s="10">
        <v>24</v>
      </c>
      <c r="Z750" s="30"/>
      <c r="AA750" s="31"/>
      <c r="AB750" s="47"/>
      <c r="AC750" s="31"/>
      <c r="AD750" s="31"/>
      <c r="AE750" s="32">
        <f t="shared" si="226"/>
        <v>0</v>
      </c>
      <c r="AF750" s="10"/>
      <c r="AG750" s="10"/>
      <c r="AH750" s="10"/>
      <c r="AI750" s="12">
        <f t="shared" si="225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83"/>
      <c r="D751" s="32"/>
      <c r="E751" s="32"/>
      <c r="F751" s="32"/>
      <c r="G751" s="32">
        <f t="shared" si="215"/>
        <v>0</v>
      </c>
      <c r="H751" s="10"/>
      <c r="I751" s="10"/>
      <c r="J751" s="10"/>
      <c r="K751" s="12">
        <f t="shared" si="216"/>
        <v>0</v>
      </c>
      <c r="M751" s="10">
        <v>25</v>
      </c>
      <c r="N751" s="30"/>
      <c r="O751" s="31"/>
      <c r="P751" s="47"/>
      <c r="Q751" s="31"/>
      <c r="R751" s="31"/>
      <c r="S751" s="32">
        <f t="shared" si="217"/>
        <v>0</v>
      </c>
      <c r="T751" s="10"/>
      <c r="U751" s="10"/>
      <c r="V751" s="10"/>
      <c r="W751" s="12">
        <f t="shared" si="218"/>
        <v>0</v>
      </c>
      <c r="Y751" s="10">
        <v>25</v>
      </c>
      <c r="Z751" s="30"/>
      <c r="AA751" s="31"/>
      <c r="AB751" s="47"/>
      <c r="AC751" s="31"/>
      <c r="AD751" s="31"/>
      <c r="AE751" s="32">
        <f t="shared" si="226"/>
        <v>0</v>
      </c>
      <c r="AF751" s="10"/>
      <c r="AG751" s="10"/>
      <c r="AH751" s="10"/>
      <c r="AI751" s="12">
        <f t="shared" si="225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83"/>
      <c r="D752" s="32"/>
      <c r="E752" s="32"/>
      <c r="F752" s="32"/>
      <c r="G752" s="32">
        <f t="shared" si="215"/>
        <v>0</v>
      </c>
      <c r="H752" s="10"/>
      <c r="I752" s="10"/>
      <c r="J752" s="10"/>
      <c r="K752" s="12">
        <f t="shared" si="216"/>
        <v>0</v>
      </c>
      <c r="M752" s="10">
        <v>26</v>
      </c>
      <c r="N752" s="30"/>
      <c r="P752" s="47"/>
      <c r="Q752" s="31"/>
      <c r="R752" s="31"/>
      <c r="S752" s="32">
        <f t="shared" si="217"/>
        <v>0</v>
      </c>
      <c r="T752" s="10"/>
      <c r="U752" s="10"/>
      <c r="V752" s="10"/>
      <c r="W752" s="12">
        <f t="shared" si="218"/>
        <v>0</v>
      </c>
      <c r="Y752" s="10">
        <v>26</v>
      </c>
      <c r="Z752" s="30"/>
      <c r="AA752" s="31"/>
      <c r="AB752" s="47"/>
      <c r="AC752" s="31"/>
      <c r="AD752" s="31"/>
      <c r="AE752" s="32">
        <f t="shared" si="226"/>
        <v>0</v>
      </c>
      <c r="AF752" s="10"/>
      <c r="AG752" s="10"/>
      <c r="AH752" s="10"/>
      <c r="AI752" s="12">
        <f t="shared" si="225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83"/>
      <c r="D753" s="32"/>
      <c r="E753" s="32"/>
      <c r="F753" s="32"/>
      <c r="G753" s="32">
        <f t="shared" si="215"/>
        <v>0</v>
      </c>
      <c r="H753" s="10"/>
      <c r="I753" s="10"/>
      <c r="J753" s="10"/>
      <c r="K753" s="12">
        <f t="shared" si="216"/>
        <v>0</v>
      </c>
      <c r="M753" s="10">
        <v>27</v>
      </c>
      <c r="N753" s="30"/>
      <c r="O753" s="31"/>
      <c r="P753" s="47"/>
      <c r="Q753" s="31"/>
      <c r="R753" s="31"/>
      <c r="S753" s="32">
        <f t="shared" si="217"/>
        <v>0</v>
      </c>
      <c r="T753" s="10"/>
      <c r="U753" s="10"/>
      <c r="V753" s="10"/>
      <c r="W753" s="12">
        <f t="shared" si="218"/>
        <v>0</v>
      </c>
      <c r="Y753" s="10">
        <v>27</v>
      </c>
      <c r="Z753" s="30"/>
      <c r="AA753" s="31"/>
      <c r="AB753" s="47"/>
      <c r="AC753" s="31"/>
      <c r="AD753" s="31"/>
      <c r="AE753" s="32">
        <f t="shared" si="226"/>
        <v>0</v>
      </c>
      <c r="AF753" s="10"/>
      <c r="AG753" s="10"/>
      <c r="AH753" s="10"/>
      <c r="AI753" s="12">
        <f t="shared" si="225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83"/>
      <c r="D754" s="32"/>
      <c r="E754" s="32"/>
      <c r="F754" s="32"/>
      <c r="G754" s="32">
        <f t="shared" si="215"/>
        <v>0</v>
      </c>
      <c r="H754" s="10"/>
      <c r="I754" s="10"/>
      <c r="J754" s="10"/>
      <c r="K754" s="12">
        <f t="shared" si="216"/>
        <v>0</v>
      </c>
      <c r="M754" s="10">
        <v>28</v>
      </c>
      <c r="N754" s="30"/>
      <c r="O754" s="31"/>
      <c r="P754" s="47"/>
      <c r="Q754" s="31"/>
      <c r="R754" s="31"/>
      <c r="S754" s="32">
        <f t="shared" si="217"/>
        <v>0</v>
      </c>
      <c r="T754" s="10"/>
      <c r="U754" s="10"/>
      <c r="V754" s="10"/>
      <c r="W754" s="12">
        <f t="shared" si="218"/>
        <v>0</v>
      </c>
      <c r="Y754" s="10">
        <v>28</v>
      </c>
      <c r="Z754" s="30"/>
      <c r="AA754" s="31"/>
      <c r="AB754" s="47"/>
      <c r="AC754" s="31"/>
      <c r="AD754" s="31"/>
      <c r="AE754" s="32">
        <f t="shared" si="226"/>
        <v>0</v>
      </c>
      <c r="AF754" s="10"/>
      <c r="AG754" s="10"/>
      <c r="AH754" s="10"/>
      <c r="AI754" s="12">
        <f t="shared" si="225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83"/>
      <c r="D755" s="32"/>
      <c r="E755" s="32"/>
      <c r="F755" s="32"/>
      <c r="G755" s="32">
        <f t="shared" si="215"/>
        <v>0</v>
      </c>
      <c r="H755" s="10"/>
      <c r="I755" s="10"/>
      <c r="J755" s="10"/>
      <c r="K755" s="12">
        <f t="shared" si="216"/>
        <v>0</v>
      </c>
      <c r="M755" s="10">
        <v>29</v>
      </c>
      <c r="N755" s="30"/>
      <c r="O755" s="31"/>
      <c r="P755" s="47"/>
      <c r="Q755" s="31"/>
      <c r="R755" s="31"/>
      <c r="S755" s="32">
        <f t="shared" si="217"/>
        <v>0</v>
      </c>
      <c r="T755" s="10"/>
      <c r="U755" s="10"/>
      <c r="V755" s="10"/>
      <c r="W755" s="12">
        <f t="shared" si="218"/>
        <v>0</v>
      </c>
      <c r="Y755" s="10">
        <v>29</v>
      </c>
      <c r="Z755" s="30"/>
      <c r="AA755" s="31"/>
      <c r="AB755" s="47"/>
      <c r="AC755" s="31"/>
      <c r="AD755" s="31"/>
      <c r="AE755" s="32">
        <f t="shared" si="226"/>
        <v>0</v>
      </c>
      <c r="AF755" s="10"/>
      <c r="AG755" s="10"/>
      <c r="AH755" s="10"/>
      <c r="AI755" s="12">
        <f t="shared" si="225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83"/>
      <c r="D756" s="32"/>
      <c r="E756" s="32"/>
      <c r="F756" s="32"/>
      <c r="G756" s="32">
        <f t="shared" si="215"/>
        <v>0</v>
      </c>
      <c r="H756" s="10"/>
      <c r="I756" s="10"/>
      <c r="J756" s="10"/>
      <c r="K756" s="12">
        <f t="shared" si="216"/>
        <v>0</v>
      </c>
      <c r="M756" s="10">
        <v>30</v>
      </c>
      <c r="N756" s="30"/>
      <c r="P756" s="47"/>
      <c r="Q756" s="31"/>
      <c r="R756" s="31"/>
      <c r="S756" s="32">
        <f t="shared" si="217"/>
        <v>0</v>
      </c>
      <c r="T756" s="10"/>
      <c r="U756" s="10"/>
      <c r="V756" s="10"/>
      <c r="W756" s="12">
        <f t="shared" si="218"/>
        <v>0</v>
      </c>
      <c r="Y756" s="10">
        <v>30</v>
      </c>
      <c r="Z756" s="30"/>
      <c r="AA756" s="31"/>
      <c r="AB756" s="47"/>
      <c r="AC756" s="31"/>
      <c r="AD756" s="31"/>
      <c r="AE756" s="32">
        <f t="shared" si="226"/>
        <v>0</v>
      </c>
      <c r="AF756" s="10"/>
      <c r="AG756" s="10"/>
      <c r="AH756" s="10"/>
      <c r="AI756" s="12">
        <f t="shared" si="225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11"/>
      <c r="D757" s="32"/>
      <c r="E757" s="32"/>
      <c r="F757" s="32"/>
      <c r="G757" s="32">
        <f t="shared" si="215"/>
        <v>0</v>
      </c>
      <c r="H757" s="10"/>
      <c r="I757" s="10"/>
      <c r="J757" s="10"/>
      <c r="K757" s="12">
        <f t="shared" si="216"/>
        <v>0</v>
      </c>
      <c r="M757" s="10">
        <v>31</v>
      </c>
      <c r="N757" s="30"/>
      <c r="O757" s="31"/>
      <c r="P757" s="47"/>
      <c r="Q757" s="31"/>
      <c r="R757" s="31"/>
      <c r="S757" s="32">
        <f t="shared" si="217"/>
        <v>0</v>
      </c>
      <c r="T757" s="10"/>
      <c r="U757" s="10"/>
      <c r="V757" s="10"/>
      <c r="W757" s="12">
        <f t="shared" si="218"/>
        <v>0</v>
      </c>
      <c r="Y757" s="10">
        <v>31</v>
      </c>
      <c r="Z757" s="30"/>
      <c r="AA757" s="31"/>
      <c r="AB757" s="47"/>
      <c r="AC757" s="31"/>
      <c r="AD757" s="31"/>
      <c r="AE757" s="32">
        <f t="shared" si="226"/>
        <v>0</v>
      </c>
      <c r="AF757" s="10"/>
      <c r="AG757" s="10"/>
      <c r="AH757" s="10"/>
      <c r="AI757" s="12">
        <f t="shared" si="225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83"/>
      <c r="D758" s="32"/>
      <c r="E758" s="32"/>
      <c r="F758" s="32"/>
      <c r="G758" s="32">
        <f t="shared" si="215"/>
        <v>0</v>
      </c>
      <c r="H758" s="10"/>
      <c r="I758" s="10"/>
      <c r="J758" s="10"/>
      <c r="K758" s="12">
        <f t="shared" si="216"/>
        <v>0</v>
      </c>
      <c r="M758" s="10">
        <v>32</v>
      </c>
      <c r="N758" s="30"/>
      <c r="O758" s="31"/>
      <c r="P758" s="47"/>
      <c r="Q758" s="31"/>
      <c r="R758" s="31"/>
      <c r="S758" s="32">
        <f t="shared" si="217"/>
        <v>0</v>
      </c>
      <c r="T758" s="10"/>
      <c r="U758" s="10"/>
      <c r="V758" s="10"/>
      <c r="W758" s="12">
        <f t="shared" si="218"/>
        <v>0</v>
      </c>
      <c r="Y758" s="10">
        <v>32</v>
      </c>
      <c r="Z758" s="30"/>
      <c r="AA758" s="31"/>
      <c r="AB758" s="47"/>
      <c r="AC758" s="31"/>
      <c r="AD758" s="31"/>
      <c r="AE758" s="32">
        <f t="shared" si="226"/>
        <v>0</v>
      </c>
      <c r="AF758" s="10"/>
      <c r="AG758" s="10"/>
      <c r="AH758" s="10"/>
      <c r="AI758" s="12">
        <f t="shared" si="225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83"/>
      <c r="D759" s="32"/>
      <c r="E759" s="32"/>
      <c r="F759" s="32"/>
      <c r="G759" s="32">
        <f t="shared" si="215"/>
        <v>0</v>
      </c>
      <c r="H759" s="10"/>
      <c r="I759" s="10"/>
      <c r="J759" s="10"/>
      <c r="K759" s="12">
        <f t="shared" si="216"/>
        <v>0</v>
      </c>
      <c r="M759" s="10">
        <v>33</v>
      </c>
      <c r="N759" s="30"/>
      <c r="O759" s="31"/>
      <c r="P759" s="47"/>
      <c r="Q759" s="31"/>
      <c r="R759" s="31"/>
      <c r="S759" s="32">
        <f t="shared" si="217"/>
        <v>0</v>
      </c>
      <c r="T759" s="10"/>
      <c r="U759" s="10"/>
      <c r="V759" s="10"/>
      <c r="W759" s="12">
        <f t="shared" si="218"/>
        <v>0</v>
      </c>
      <c r="Y759" s="10">
        <v>33</v>
      </c>
      <c r="Z759" s="30"/>
      <c r="AA759" s="31"/>
      <c r="AB759" s="47"/>
      <c r="AC759" s="31"/>
      <c r="AD759" s="31"/>
      <c r="AE759" s="32">
        <f t="shared" si="226"/>
        <v>0</v>
      </c>
      <c r="AF759" s="10"/>
      <c r="AG759" s="10"/>
      <c r="AH759" s="10"/>
      <c r="AI759" s="12">
        <f t="shared" si="225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83"/>
      <c r="D760" s="32"/>
      <c r="E760" s="32"/>
      <c r="F760" s="32"/>
      <c r="G760" s="32">
        <f t="shared" si="215"/>
        <v>0</v>
      </c>
      <c r="H760" s="10"/>
      <c r="I760" s="10"/>
      <c r="J760" s="10"/>
      <c r="K760" s="12">
        <f t="shared" si="216"/>
        <v>0</v>
      </c>
      <c r="M760" s="10">
        <v>34</v>
      </c>
      <c r="N760" s="30"/>
      <c r="O760" s="31"/>
      <c r="P760" s="47"/>
      <c r="Q760" s="31"/>
      <c r="R760" s="31"/>
      <c r="S760" s="32">
        <f t="shared" si="217"/>
        <v>0</v>
      </c>
      <c r="T760" s="10"/>
      <c r="U760" s="10"/>
      <c r="V760" s="10"/>
      <c r="W760" s="12">
        <f t="shared" si="218"/>
        <v>0</v>
      </c>
      <c r="Y760" s="10">
        <v>34</v>
      </c>
      <c r="Z760" s="30"/>
      <c r="AA760" s="31"/>
      <c r="AB760" s="47"/>
      <c r="AC760" s="31"/>
      <c r="AD760" s="31"/>
      <c r="AE760" s="32">
        <f t="shared" si="226"/>
        <v>0</v>
      </c>
      <c r="AF760" s="10"/>
      <c r="AG760" s="10"/>
      <c r="AH760" s="10"/>
      <c r="AI760" s="12">
        <f t="shared" si="225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83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217"/>
        <v>0</v>
      </c>
      <c r="T761" s="10"/>
      <c r="U761" s="10"/>
      <c r="V761" s="10"/>
      <c r="W761" s="12">
        <f t="shared" si="218"/>
        <v>0</v>
      </c>
      <c r="Y761" s="10">
        <v>35</v>
      </c>
      <c r="Z761" s="30"/>
      <c r="AA761" s="31"/>
      <c r="AB761" s="47"/>
      <c r="AC761" s="31"/>
      <c r="AD761" s="31"/>
      <c r="AE761" s="32">
        <f t="shared" si="226"/>
        <v>0</v>
      </c>
      <c r="AF761" s="10"/>
      <c r="AG761" s="10"/>
      <c r="AH761" s="10"/>
      <c r="AI761" s="12">
        <f t="shared" si="225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83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17"/>
        <v>0</v>
      </c>
      <c r="T762" s="10"/>
      <c r="U762" s="10"/>
      <c r="V762" s="10"/>
      <c r="W762" s="12">
        <f t="shared" si="218"/>
        <v>0</v>
      </c>
      <c r="Y762" s="10">
        <v>36</v>
      </c>
      <c r="Z762" s="30"/>
      <c r="AA762" s="31"/>
      <c r="AB762" s="47"/>
      <c r="AC762" s="31"/>
      <c r="AD762" s="31"/>
      <c r="AE762" s="32">
        <f t="shared" si="226"/>
        <v>0</v>
      </c>
      <c r="AF762" s="10"/>
      <c r="AG762" s="10"/>
      <c r="AH762" s="10"/>
      <c r="AI762" s="12">
        <f t="shared" si="225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217"/>
        <v>0</v>
      </c>
      <c r="T763" s="10"/>
      <c r="U763" s="10"/>
      <c r="V763" s="10"/>
      <c r="W763" s="12">
        <f t="shared" si="218"/>
        <v>0</v>
      </c>
      <c r="Y763" s="10">
        <v>37</v>
      </c>
      <c r="Z763" s="30"/>
      <c r="AA763" s="31"/>
      <c r="AB763" s="47"/>
      <c r="AC763" s="31"/>
      <c r="AD763" s="31"/>
      <c r="AE763" s="32">
        <f t="shared" si="226"/>
        <v>0</v>
      </c>
      <c r="AF763" s="10"/>
      <c r="AG763" s="10"/>
      <c r="AH763" s="10"/>
      <c r="AI763" s="12">
        <f t="shared" si="225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17"/>
        <v>0</v>
      </c>
      <c r="T764" s="10"/>
      <c r="U764" s="10"/>
      <c r="V764" s="10"/>
      <c r="W764" s="12">
        <f t="shared" si="218"/>
        <v>0</v>
      </c>
      <c r="Y764" s="10">
        <v>38</v>
      </c>
      <c r="Z764" s="30"/>
      <c r="AA764" s="31"/>
      <c r="AB764" s="47"/>
      <c r="AC764" s="31"/>
      <c r="AD764" s="31"/>
      <c r="AE764" s="32">
        <f t="shared" si="226"/>
        <v>0</v>
      </c>
      <c r="AF764" s="10"/>
      <c r="AG764" s="10"/>
      <c r="AH764" s="10"/>
      <c r="AI764" s="12">
        <f t="shared" si="225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17"/>
        <v>0</v>
      </c>
      <c r="T765" s="10"/>
      <c r="U765" s="10"/>
      <c r="V765" s="10"/>
      <c r="W765" s="12">
        <f t="shared" si="218"/>
        <v>0</v>
      </c>
      <c r="Y765" s="10">
        <v>39</v>
      </c>
      <c r="Z765" s="30"/>
      <c r="AA765" s="31"/>
      <c r="AB765" s="47"/>
      <c r="AC765" s="31"/>
      <c r="AD765" s="31"/>
      <c r="AE765" s="32">
        <f t="shared" si="226"/>
        <v>0</v>
      </c>
      <c r="AF765" s="10"/>
      <c r="AG765" s="10"/>
      <c r="AH765" s="10"/>
      <c r="AI765" s="12">
        <f t="shared" si="225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18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225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27">SUM(D767:E767)</f>
        <v>0</v>
      </c>
      <c r="H767" s="10"/>
      <c r="I767" s="10"/>
      <c r="J767" s="10"/>
      <c r="K767" s="12">
        <f t="shared" ref="K767" si="228">SUM(G767:J767)</f>
        <v>0</v>
      </c>
      <c r="M767" s="10"/>
      <c r="N767" s="30"/>
      <c r="O767" s="31"/>
      <c r="P767" s="47"/>
      <c r="Q767" s="31"/>
      <c r="R767" s="31"/>
      <c r="S767" s="32">
        <f t="shared" ref="S767" si="229">SUM(P767:Q767)</f>
        <v>0</v>
      </c>
      <c r="T767" s="10"/>
      <c r="U767" s="10"/>
      <c r="V767" s="10"/>
      <c r="W767" s="12">
        <f t="shared" si="218"/>
        <v>0</v>
      </c>
      <c r="Y767" s="10"/>
      <c r="Z767" s="30"/>
      <c r="AA767" s="31"/>
      <c r="AB767" s="47"/>
      <c r="AC767" s="31"/>
      <c r="AD767" s="31"/>
      <c r="AE767" s="32">
        <f t="shared" ref="AE767" si="230">SUM(AB767:AC767)</f>
        <v>0</v>
      </c>
      <c r="AF767" s="10"/>
      <c r="AG767" s="10"/>
      <c r="AH767" s="10"/>
      <c r="AI767" s="12">
        <f t="shared" si="225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18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225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218900</v>
      </c>
      <c r="E770" s="38">
        <f t="shared" ref="E770:F770" si="231">SUM(E727:E767)</f>
        <v>0</v>
      </c>
      <c r="F770" s="38">
        <f t="shared" si="231"/>
        <v>0</v>
      </c>
      <c r="G770" s="38">
        <f>SUM(G727:G769)</f>
        <v>218900</v>
      </c>
      <c r="H770" s="4"/>
      <c r="I770" s="39">
        <f>SUM(I727:I769)</f>
        <v>0</v>
      </c>
      <c r="J770" s="39">
        <f>SUM(J727:J769)</f>
        <v>0</v>
      </c>
      <c r="K770" s="40">
        <f>SUM(K727:K769)</f>
        <v>218900</v>
      </c>
      <c r="N770" s="57"/>
      <c r="O770" s="57"/>
      <c r="P770" s="38">
        <f>SUM(P727:P769)</f>
        <v>209767</v>
      </c>
      <c r="Q770" s="38">
        <f>SUM(Q727:Q751)</f>
        <v>-600</v>
      </c>
      <c r="R770" s="38">
        <f>SUM(R727:R751)</f>
        <v>0</v>
      </c>
      <c r="S770" s="38">
        <f>SUM(S727:S769)</f>
        <v>209167</v>
      </c>
      <c r="T770" s="4"/>
      <c r="U770" s="41">
        <f>SUM(U727:U769)</f>
        <v>148.5</v>
      </c>
      <c r="V770" s="41">
        <f>SUM(V727:V751)</f>
        <v>-333</v>
      </c>
      <c r="W770" s="42">
        <f>SUM(W727:W769)</f>
        <v>208982.5</v>
      </c>
      <c r="Z770" s="57"/>
      <c r="AA770" s="57"/>
      <c r="AB770" s="38">
        <f>SUM(AB727:AB769)</f>
        <v>289834</v>
      </c>
      <c r="AC770" s="38">
        <f>SUM(AC727:AC751)</f>
        <v>-2664</v>
      </c>
      <c r="AD770" s="38">
        <f>SUM(AD727:AD751)</f>
        <v>0</v>
      </c>
      <c r="AE770" s="38">
        <f>SUM(AE727:AE769)</f>
        <v>287170</v>
      </c>
      <c r="AF770" s="4"/>
      <c r="AG770" s="41">
        <f>SUM(AG727:AG769)</f>
        <v>0</v>
      </c>
      <c r="AH770" s="41">
        <f>SUM(AH727:AH751)</f>
        <v>-12987</v>
      </c>
      <c r="AI770" s="42">
        <f>SUM(AI727:AI769)</f>
        <v>274183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102"/>
      <c r="C772" s="102"/>
      <c r="D772" s="102"/>
      <c r="E772" s="102"/>
      <c r="F772" s="102"/>
      <c r="G772" s="102"/>
      <c r="H772" s="62"/>
      <c r="I772" s="62"/>
      <c r="J772" s="62"/>
      <c r="K772" s="62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102"/>
      <c r="C773" s="102"/>
      <c r="D773" s="102"/>
      <c r="E773" s="102"/>
      <c r="F773" s="102"/>
      <c r="G773" s="102"/>
      <c r="H773" s="62"/>
      <c r="I773" s="62"/>
      <c r="J773" s="62"/>
      <c r="K773" s="62"/>
      <c r="M773" t="s">
        <v>28</v>
      </c>
      <c r="N773" s="57"/>
      <c r="O773" s="57"/>
      <c r="P773" s="57"/>
      <c r="Q773" s="57"/>
      <c r="R773" s="57"/>
      <c r="S773" s="57"/>
      <c r="Y773" t="s">
        <v>28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102"/>
      <c r="C774" s="102"/>
      <c r="D774" s="102"/>
      <c r="E774" s="102"/>
      <c r="F774" s="102"/>
      <c r="G774" s="102"/>
      <c r="H774" s="62"/>
      <c r="I774" s="62"/>
      <c r="J774" s="62"/>
      <c r="K774" s="62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3"/>
      <c r="B775" s="102"/>
      <c r="C775" s="102"/>
      <c r="D775" s="102"/>
      <c r="E775" s="102"/>
      <c r="F775" s="102"/>
      <c r="G775" s="102"/>
      <c r="H775" s="62"/>
      <c r="I775" s="62"/>
      <c r="J775" s="62"/>
      <c r="K775" s="62"/>
      <c r="M775" s="4" t="s">
        <v>14</v>
      </c>
      <c r="N775" s="57"/>
      <c r="O775" s="57"/>
      <c r="P775" s="57"/>
      <c r="Q775" s="57"/>
      <c r="R775" s="57"/>
      <c r="S775" s="57"/>
      <c r="Y775" s="4" t="s">
        <v>14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102"/>
      <c r="C776" s="102"/>
      <c r="D776" s="102"/>
      <c r="E776" s="102"/>
      <c r="F776" s="102"/>
      <c r="G776" s="102"/>
      <c r="H776" s="62"/>
      <c r="I776" s="62"/>
      <c r="J776" s="62"/>
      <c r="K776" s="62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102"/>
      <c r="C777" s="102"/>
      <c r="D777" s="102"/>
      <c r="E777" s="102"/>
      <c r="F777" s="102"/>
      <c r="G777" s="102"/>
      <c r="H777" s="62"/>
      <c r="I777" s="102"/>
      <c r="J777" s="73"/>
      <c r="K777" s="62"/>
      <c r="M777" t="s">
        <v>44</v>
      </c>
      <c r="N777" s="57"/>
      <c r="O777" s="57"/>
      <c r="P777" s="57"/>
      <c r="Q777" s="57"/>
      <c r="R777" s="57"/>
      <c r="S777" s="57"/>
      <c r="U777" s="57" t="s">
        <v>15</v>
      </c>
      <c r="V777" s="19">
        <v>2</v>
      </c>
      <c r="Y777" t="s">
        <v>44</v>
      </c>
      <c r="Z777" s="57"/>
      <c r="AA777" s="57"/>
      <c r="AB777" s="57"/>
      <c r="AC777" s="57"/>
      <c r="AD777" s="57"/>
      <c r="AE777" s="57"/>
      <c r="AG777" s="57" t="s">
        <v>15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4"/>
      <c r="B778" s="102"/>
      <c r="C778" s="102"/>
      <c r="D778" s="102"/>
      <c r="E778" s="102"/>
      <c r="F778" s="102"/>
      <c r="G778" s="102"/>
      <c r="H778" s="62"/>
      <c r="I778" s="65"/>
      <c r="J778" s="65"/>
      <c r="K778" s="62"/>
      <c r="M778" s="21" t="s">
        <v>77</v>
      </c>
      <c r="N778" s="20"/>
      <c r="O778" s="57"/>
      <c r="P778" s="57"/>
      <c r="Q778" s="57"/>
      <c r="R778" s="57"/>
      <c r="S778" s="57"/>
      <c r="U778" s="22" t="s">
        <v>16</v>
      </c>
      <c r="V778" s="23" t="s">
        <v>33</v>
      </c>
      <c r="W778" s="24"/>
      <c r="Y778" s="21" t="s">
        <v>77</v>
      </c>
      <c r="Z778" s="20"/>
      <c r="AA778" s="57"/>
      <c r="AB778" s="57"/>
      <c r="AC778" s="57"/>
      <c r="AD778" s="57"/>
      <c r="AE778" s="57"/>
      <c r="AG778" s="22" t="s">
        <v>16</v>
      </c>
      <c r="AH778" s="23" t="s">
        <v>35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102"/>
      <c r="C779" s="102"/>
      <c r="D779" s="102"/>
      <c r="E779" s="102"/>
      <c r="F779" s="102"/>
      <c r="G779" s="102"/>
      <c r="H779" s="62"/>
      <c r="I779" s="62"/>
      <c r="J779" s="62"/>
      <c r="K779" s="62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5"/>
      <c r="C780" s="102"/>
      <c r="D780" s="117"/>
      <c r="E780" s="117"/>
      <c r="F780" s="102"/>
      <c r="G780" s="102"/>
      <c r="H780" s="62"/>
      <c r="I780" s="117"/>
      <c r="J780" s="117"/>
      <c r="K780" s="116"/>
      <c r="N780" s="25"/>
      <c r="O780" s="26"/>
      <c r="P780" s="115" t="s">
        <v>17</v>
      </c>
      <c r="Q780" s="115"/>
      <c r="R780" s="103"/>
      <c r="S780" s="27"/>
      <c r="U780" s="113" t="s">
        <v>18</v>
      </c>
      <c r="V780" s="114"/>
      <c r="W780" s="111" t="s">
        <v>19</v>
      </c>
      <c r="Z780" s="25"/>
      <c r="AA780" s="26"/>
      <c r="AB780" s="115" t="s">
        <v>17</v>
      </c>
      <c r="AC780" s="115"/>
      <c r="AD780" s="103"/>
      <c r="AE780" s="27"/>
      <c r="AG780" s="113" t="s">
        <v>18</v>
      </c>
      <c r="AH780" s="114"/>
      <c r="AI780" s="111" t="s">
        <v>19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A781" s="62"/>
      <c r="B781" s="102"/>
      <c r="C781" s="102"/>
      <c r="D781" s="79"/>
      <c r="E781" s="80"/>
      <c r="F781" s="81"/>
      <c r="G781" s="81"/>
      <c r="H781" s="62"/>
      <c r="I781" s="101"/>
      <c r="J781" s="101"/>
      <c r="K781" s="116"/>
      <c r="N781" s="28" t="s">
        <v>20</v>
      </c>
      <c r="O781" s="28" t="s">
        <v>21</v>
      </c>
      <c r="P781" s="77" t="s">
        <v>22</v>
      </c>
      <c r="Q781" s="78" t="s">
        <v>23</v>
      </c>
      <c r="R781" s="78" t="s">
        <v>32</v>
      </c>
      <c r="S781" s="78" t="s">
        <v>24</v>
      </c>
      <c r="U781" s="29" t="s">
        <v>25</v>
      </c>
      <c r="V781" s="29" t="s">
        <v>26</v>
      </c>
      <c r="W781" s="112"/>
      <c r="Z781" s="28" t="s">
        <v>20</v>
      </c>
      <c r="AA781" s="28" t="s">
        <v>21</v>
      </c>
      <c r="AB781" s="77" t="s">
        <v>22</v>
      </c>
      <c r="AC781" s="78" t="s">
        <v>23</v>
      </c>
      <c r="AD781" s="78" t="s">
        <v>32</v>
      </c>
      <c r="AE781" s="78" t="s">
        <v>24</v>
      </c>
      <c r="AG781" s="29" t="s">
        <v>25</v>
      </c>
      <c r="AH781" s="29" t="s">
        <v>26</v>
      </c>
      <c r="AI781" s="11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6"/>
      <c r="C782" s="84"/>
      <c r="D782" s="60"/>
      <c r="E782" s="60"/>
      <c r="F782" s="60"/>
      <c r="G782" s="60"/>
      <c r="H782" s="61"/>
      <c r="I782" s="61"/>
      <c r="J782" s="61"/>
      <c r="K782" s="61"/>
      <c r="M782" s="10">
        <v>1</v>
      </c>
      <c r="N782" s="30" t="s">
        <v>78</v>
      </c>
      <c r="O782" s="31">
        <v>9034</v>
      </c>
      <c r="P782" s="32">
        <f>650*3+9.5*3</f>
        <v>1978.5</v>
      </c>
      <c r="Q782" s="32"/>
      <c r="R782" s="32"/>
      <c r="S782" s="32">
        <f>SUM(P782:Q782)</f>
        <v>1978.5</v>
      </c>
      <c r="T782" s="12"/>
      <c r="U782" s="12"/>
      <c r="V782" s="12"/>
      <c r="W782" s="12">
        <f>SUM(S782:V782)</f>
        <v>1978.5</v>
      </c>
      <c r="Y782" s="10">
        <v>1</v>
      </c>
      <c r="Z782" s="30" t="s">
        <v>78</v>
      </c>
      <c r="AA782" s="31">
        <v>9162</v>
      </c>
      <c r="AB782" s="32">
        <f>650*216+622*50+229*5</f>
        <v>172645</v>
      </c>
      <c r="AC782" s="32">
        <f>-266*6</f>
        <v>-1596</v>
      </c>
      <c r="AD782" s="32"/>
      <c r="AE782" s="32">
        <f>SUM(AB782:AC782)</f>
        <v>171049</v>
      </c>
      <c r="AF782" s="12"/>
      <c r="AG782" s="12">
        <f>3108+81</f>
        <v>3189</v>
      </c>
      <c r="AH782" s="12"/>
      <c r="AI782" s="12">
        <f>SUM(AE782:AH782)</f>
        <v>174238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6"/>
      <c r="C783" s="102"/>
      <c r="D783" s="60"/>
      <c r="E783" s="60"/>
      <c r="F783" s="60"/>
      <c r="G783" s="60"/>
      <c r="H783" s="61"/>
      <c r="I783" s="61"/>
      <c r="J783" s="61"/>
      <c r="K783" s="61"/>
      <c r="M783" s="10">
        <v>2</v>
      </c>
      <c r="N783" s="30" t="s">
        <v>78</v>
      </c>
      <c r="O783" s="31">
        <f>O782+1</f>
        <v>9035</v>
      </c>
      <c r="P783" s="32">
        <f>650*12+1050+872+9.5*12</f>
        <v>9836</v>
      </c>
      <c r="Q783" s="32"/>
      <c r="R783" s="32"/>
      <c r="S783" s="32">
        <f t="shared" ref="S783:S820" si="232">SUM(P783:Q783)</f>
        <v>9836</v>
      </c>
      <c r="T783" s="12"/>
      <c r="U783" s="12"/>
      <c r="V783" s="12"/>
      <c r="W783" s="12">
        <f t="shared" ref="W783:W823" si="233">SUM(S783:V783)</f>
        <v>9836</v>
      </c>
      <c r="Y783" s="10">
        <v>2</v>
      </c>
      <c r="Z783" s="30" t="s">
        <v>78</v>
      </c>
      <c r="AA783" s="31">
        <f>AA782+1</f>
        <v>9163</v>
      </c>
      <c r="AB783" s="32">
        <f>650*7+973*2</f>
        <v>6496</v>
      </c>
      <c r="AD783" s="32"/>
      <c r="AE783" s="32">
        <f t="shared" ref="AE783:AE784" si="234">SUM(AB783:AC783)</f>
        <v>6496</v>
      </c>
      <c r="AF783" s="12"/>
      <c r="AG783" s="12"/>
      <c r="AH783">
        <v>-1776</v>
      </c>
      <c r="AI783" s="12">
        <f t="shared" ref="AI783:AI784" si="235">SUM(AE783:AH783)</f>
        <v>4720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6"/>
      <c r="C784" s="102"/>
      <c r="D784" s="60"/>
      <c r="E784" s="60"/>
      <c r="F784" s="60"/>
      <c r="G784" s="60"/>
      <c r="H784" s="61"/>
      <c r="I784" s="61"/>
      <c r="J784" s="61"/>
      <c r="K784" s="61"/>
      <c r="M784" s="10">
        <v>3</v>
      </c>
      <c r="N784" s="30" t="s">
        <v>78</v>
      </c>
      <c r="O784" s="31">
        <f t="shared" ref="O784:O798" si="236">O783+1</f>
        <v>9036</v>
      </c>
      <c r="P784" s="32">
        <f>650*5</f>
        <v>3250</v>
      </c>
      <c r="Q784" s="32"/>
      <c r="R784" s="32"/>
      <c r="S784" s="32">
        <f t="shared" si="232"/>
        <v>3250</v>
      </c>
      <c r="T784" s="12"/>
      <c r="U784" s="12"/>
      <c r="V784" s="12"/>
      <c r="W784" s="12">
        <f t="shared" si="233"/>
        <v>3250</v>
      </c>
      <c r="Y784" s="10">
        <v>3</v>
      </c>
      <c r="Z784" s="30" t="s">
        <v>78</v>
      </c>
      <c r="AA784" s="31">
        <f t="shared" ref="AA784:AA785" si="237">AA783+1</f>
        <v>9164</v>
      </c>
      <c r="AB784" s="32">
        <f>650*7+622*4+9.5*11</f>
        <v>7142.5</v>
      </c>
      <c r="AC784" s="33"/>
      <c r="AD784" s="32"/>
      <c r="AE784" s="32">
        <f t="shared" si="234"/>
        <v>7142.5</v>
      </c>
      <c r="AF784" s="12"/>
      <c r="AG784" s="12"/>
      <c r="AH784" s="12"/>
      <c r="AI784" s="12">
        <f t="shared" si="235"/>
        <v>7142.5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6"/>
      <c r="C785" s="102"/>
      <c r="D785" s="60"/>
      <c r="E785" s="60"/>
      <c r="F785" s="60"/>
      <c r="G785" s="60"/>
      <c r="H785" s="61"/>
      <c r="I785" s="61"/>
      <c r="J785" s="61"/>
      <c r="K785" s="61"/>
      <c r="M785" s="10">
        <v>4</v>
      </c>
      <c r="N785" s="30" t="s">
        <v>78</v>
      </c>
      <c r="O785" s="31">
        <f t="shared" si="236"/>
        <v>9037</v>
      </c>
      <c r="P785" s="32">
        <f>650*3+9.5*3</f>
        <v>1978.5</v>
      </c>
      <c r="Q785" s="32"/>
      <c r="R785" s="32"/>
      <c r="S785" s="32">
        <f t="shared" si="232"/>
        <v>1978.5</v>
      </c>
      <c r="T785" s="12"/>
      <c r="U785" s="12">
        <v>9</v>
      </c>
      <c r="V785" s="12"/>
      <c r="W785" s="12">
        <f t="shared" si="233"/>
        <v>1987.5</v>
      </c>
      <c r="Y785" s="10">
        <v>4</v>
      </c>
      <c r="Z785" s="30" t="s">
        <v>78</v>
      </c>
      <c r="AA785" s="31">
        <f t="shared" si="237"/>
        <v>9165</v>
      </c>
      <c r="AB785" s="32">
        <f>650*20+622*40+229*2</f>
        <v>38338</v>
      </c>
      <c r="AC785" s="32">
        <f>-60*6</f>
        <v>-360</v>
      </c>
      <c r="AD785" s="32"/>
      <c r="AE785" s="32">
        <f>SUM(AB785:AC785)</f>
        <v>37978</v>
      </c>
      <c r="AF785" s="12"/>
      <c r="AG785">
        <v>78</v>
      </c>
      <c r="AH785" s="12"/>
      <c r="AI785" s="12">
        <f>SUM(AE785:AH785)</f>
        <v>38056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6"/>
      <c r="C786" s="102"/>
      <c r="D786" s="60"/>
      <c r="E786" s="60"/>
      <c r="F786" s="60"/>
      <c r="G786" s="60"/>
      <c r="H786" s="61"/>
      <c r="I786" s="61"/>
      <c r="J786" s="61"/>
      <c r="K786" s="61"/>
      <c r="M786" s="10">
        <v>5</v>
      </c>
      <c r="N786" s="30" t="s">
        <v>78</v>
      </c>
      <c r="O786" s="31">
        <f t="shared" si="236"/>
        <v>9038</v>
      </c>
      <c r="P786" s="32">
        <f>650+622*2+9.5*3</f>
        <v>1922.5</v>
      </c>
      <c r="Q786" s="32"/>
      <c r="R786" s="32"/>
      <c r="S786" s="32">
        <f t="shared" si="232"/>
        <v>1922.5</v>
      </c>
      <c r="T786" s="12"/>
      <c r="U786" s="12"/>
      <c r="V786" s="12"/>
      <c r="W786" s="12">
        <f t="shared" si="233"/>
        <v>1922.5</v>
      </c>
      <c r="Y786" s="10">
        <v>5</v>
      </c>
      <c r="Z786" s="30"/>
      <c r="AA786" s="11" t="s">
        <v>27</v>
      </c>
      <c r="AB786" s="33"/>
      <c r="AC786" s="32"/>
      <c r="AD786" s="32"/>
      <c r="AE786" s="32">
        <f>SUM(AB786:AC786)</f>
        <v>0</v>
      </c>
      <c r="AF786" s="12"/>
      <c r="AG786" s="12"/>
      <c r="AH786" s="12"/>
      <c r="AI786" s="12">
        <f t="shared" ref="AI786:AI823" si="238">SUM(AE786:AH786)</f>
        <v>0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6"/>
      <c r="C787" s="102"/>
      <c r="D787" s="60"/>
      <c r="E787" s="60"/>
      <c r="F787" s="60"/>
      <c r="G787" s="60"/>
      <c r="H787" s="61"/>
      <c r="I787" s="61"/>
      <c r="J787" s="61"/>
      <c r="K787" s="61"/>
      <c r="M787" s="10">
        <v>6</v>
      </c>
      <c r="N787" s="30" t="s">
        <v>78</v>
      </c>
      <c r="O787" s="31">
        <f t="shared" si="236"/>
        <v>9039</v>
      </c>
      <c r="P787" s="32">
        <f>650*13+670*2+622+9.5*14</f>
        <v>10545</v>
      </c>
      <c r="Q787" s="32"/>
      <c r="R787" s="32"/>
      <c r="S787" s="32">
        <f t="shared" si="232"/>
        <v>10545</v>
      </c>
      <c r="T787" s="12"/>
      <c r="U787" s="12">
        <f>4.5*19+1.5*5</f>
        <v>93</v>
      </c>
      <c r="V787" s="10"/>
      <c r="W787" s="12">
        <f t="shared" si="233"/>
        <v>10638</v>
      </c>
      <c r="Y787" s="10">
        <v>6</v>
      </c>
      <c r="Z787" s="30"/>
      <c r="AA787" s="31"/>
      <c r="AB787" s="32"/>
      <c r="AC787" s="32"/>
      <c r="AD787" s="32"/>
      <c r="AE787" s="32">
        <f t="shared" ref="AE787:AE820" si="239">SUM(AB787:AC787)</f>
        <v>0</v>
      </c>
      <c r="AF787" s="12"/>
      <c r="AG787" s="12"/>
      <c r="AH787" s="10"/>
      <c r="AI787" s="12">
        <f t="shared" si="238"/>
        <v>0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6"/>
      <c r="C788" s="102"/>
      <c r="D788" s="60"/>
      <c r="E788" s="60"/>
      <c r="F788" s="60"/>
      <c r="G788" s="60"/>
      <c r="H788" s="61"/>
      <c r="I788" s="61"/>
      <c r="J788" s="61"/>
      <c r="K788" s="61"/>
      <c r="M788" s="10">
        <v>7</v>
      </c>
      <c r="N788" s="30" t="s">
        <v>78</v>
      </c>
      <c r="O788" s="31">
        <f t="shared" si="236"/>
        <v>9040</v>
      </c>
      <c r="P788" s="32">
        <f>650*26+622+9.5*22</f>
        <v>17731</v>
      </c>
      <c r="Q788" s="32"/>
      <c r="R788" s="32"/>
      <c r="S788" s="32">
        <f t="shared" si="232"/>
        <v>17731</v>
      </c>
      <c r="T788" s="12"/>
      <c r="U788" s="12"/>
      <c r="V788" s="12"/>
      <c r="W788" s="12">
        <f t="shared" si="233"/>
        <v>17731</v>
      </c>
      <c r="Y788" s="10">
        <v>7</v>
      </c>
      <c r="Z788" s="30"/>
      <c r="AA788" s="31"/>
      <c r="AB788" s="32"/>
      <c r="AC788" s="32"/>
      <c r="AD788" s="32"/>
      <c r="AE788" s="32">
        <f t="shared" si="239"/>
        <v>0</v>
      </c>
      <c r="AF788" s="12"/>
      <c r="AG788" s="58"/>
      <c r="AH788" s="12"/>
      <c r="AI788" s="12">
        <f t="shared" si="238"/>
        <v>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6"/>
      <c r="C789" s="102"/>
      <c r="D789" s="60"/>
      <c r="E789" s="60"/>
      <c r="F789" s="60"/>
      <c r="G789" s="60"/>
      <c r="H789" s="61"/>
      <c r="I789" s="61"/>
      <c r="J789" s="61"/>
      <c r="K789" s="61"/>
      <c r="M789" s="10">
        <v>8</v>
      </c>
      <c r="N789" s="30" t="s">
        <v>78</v>
      </c>
      <c r="O789" s="31">
        <f t="shared" si="236"/>
        <v>9041</v>
      </c>
      <c r="P789" s="32">
        <f>650*3+9.5*3</f>
        <v>1978.5</v>
      </c>
      <c r="Q789" s="32"/>
      <c r="R789" s="32"/>
      <c r="S789" s="32">
        <f t="shared" si="232"/>
        <v>1978.5</v>
      </c>
      <c r="T789" s="12"/>
      <c r="U789" s="12">
        <v>3</v>
      </c>
      <c r="V789" s="12"/>
      <c r="W789" s="12">
        <f t="shared" si="233"/>
        <v>1981.5</v>
      </c>
      <c r="Y789" s="10">
        <v>8</v>
      </c>
      <c r="Z789" s="30"/>
      <c r="AA789" s="31"/>
      <c r="AB789" s="32"/>
      <c r="AC789" s="32"/>
      <c r="AE789" s="32">
        <f t="shared" si="239"/>
        <v>0</v>
      </c>
      <c r="AF789" s="12"/>
      <c r="AG789" s="12"/>
      <c r="AH789" s="12"/>
      <c r="AI789" s="12">
        <f t="shared" si="238"/>
        <v>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6"/>
      <c r="C790" s="102"/>
      <c r="D790" s="60"/>
      <c r="E790" s="60"/>
      <c r="F790" s="60"/>
      <c r="G790" s="60"/>
      <c r="H790" s="61"/>
      <c r="I790" s="61"/>
      <c r="J790" s="61"/>
      <c r="K790" s="61"/>
      <c r="M790" s="10">
        <v>9</v>
      </c>
      <c r="N790" s="30" t="s">
        <v>78</v>
      </c>
      <c r="O790" s="31">
        <f t="shared" si="236"/>
        <v>9042</v>
      </c>
      <c r="P790" s="32">
        <f>650*4+670+700+622</f>
        <v>4592</v>
      </c>
      <c r="Q790" s="32"/>
      <c r="R790" s="32"/>
      <c r="S790" s="32">
        <f t="shared" si="232"/>
        <v>4592</v>
      </c>
      <c r="T790" s="12"/>
      <c r="U790" s="12"/>
      <c r="V790" s="12"/>
      <c r="W790" s="12">
        <f t="shared" si="233"/>
        <v>4592</v>
      </c>
      <c r="Y790" s="10">
        <v>9</v>
      </c>
      <c r="Z790" s="30"/>
      <c r="AA790" s="31"/>
      <c r="AC790" s="32"/>
      <c r="AD790" s="32"/>
      <c r="AE790" s="32">
        <f t="shared" si="239"/>
        <v>0</v>
      </c>
      <c r="AF790" s="12"/>
      <c r="AH790" s="12"/>
      <c r="AI790" s="12">
        <f t="shared" si="238"/>
        <v>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6"/>
      <c r="C791" s="102"/>
      <c r="D791" s="60"/>
      <c r="E791" s="60"/>
      <c r="F791" s="60"/>
      <c r="G791" s="60"/>
      <c r="H791" s="61"/>
      <c r="I791" s="61"/>
      <c r="J791" s="61"/>
      <c r="K791" s="61"/>
      <c r="M791" s="10">
        <v>10</v>
      </c>
      <c r="N791" s="30" t="s">
        <v>78</v>
      </c>
      <c r="O791" s="31">
        <f t="shared" si="236"/>
        <v>9043</v>
      </c>
      <c r="P791" s="32">
        <f>650*2+670+9.5*2</f>
        <v>1989</v>
      </c>
      <c r="Q791" s="32"/>
      <c r="R791" s="32"/>
      <c r="S791" s="32">
        <f t="shared" si="232"/>
        <v>1989</v>
      </c>
      <c r="T791" s="12"/>
      <c r="U791" s="12"/>
      <c r="V791" s="12"/>
      <c r="W791" s="12">
        <f t="shared" si="233"/>
        <v>1989</v>
      </c>
      <c r="Y791" s="10">
        <v>10</v>
      </c>
      <c r="Z791" s="30"/>
      <c r="AA791" s="31"/>
      <c r="AB791" s="32"/>
      <c r="AC791" s="32"/>
      <c r="AD791" s="32"/>
      <c r="AE791" s="32">
        <f t="shared" si="239"/>
        <v>0</v>
      </c>
      <c r="AF791" s="12"/>
      <c r="AG791" s="12"/>
      <c r="AH791" s="12"/>
      <c r="AI791" s="12">
        <f t="shared" si="238"/>
        <v>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6"/>
      <c r="C792" s="102"/>
      <c r="D792" s="60"/>
      <c r="E792" s="60"/>
      <c r="F792" s="60"/>
      <c r="G792" s="60"/>
      <c r="H792" s="61"/>
      <c r="I792" s="61"/>
      <c r="J792" s="61"/>
      <c r="K792" s="61"/>
      <c r="M792" s="10">
        <v>11</v>
      </c>
      <c r="N792" s="30" t="s">
        <v>78</v>
      </c>
      <c r="O792" s="31">
        <f t="shared" si="236"/>
        <v>9044</v>
      </c>
      <c r="P792" s="32">
        <f>650*8+670+622*2+9.5*10</f>
        <v>7209</v>
      </c>
      <c r="Q792" s="32"/>
      <c r="R792" s="32"/>
      <c r="S792" s="32">
        <f t="shared" si="232"/>
        <v>7209</v>
      </c>
      <c r="T792" s="12"/>
      <c r="U792" s="12"/>
      <c r="V792" s="12"/>
      <c r="W792" s="12">
        <f t="shared" si="233"/>
        <v>7209</v>
      </c>
      <c r="Y792" s="10">
        <v>11</v>
      </c>
      <c r="Z792" s="30"/>
      <c r="AB792" s="32"/>
      <c r="AC792" s="32"/>
      <c r="AD792" s="32"/>
      <c r="AE792" s="32">
        <f t="shared" si="239"/>
        <v>0</v>
      </c>
      <c r="AF792" s="12"/>
      <c r="AG792" s="12"/>
      <c r="AH792" s="12"/>
      <c r="AI792" s="12">
        <f t="shared" si="238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6"/>
      <c r="C793" s="65"/>
      <c r="D793" s="60"/>
      <c r="E793" s="60"/>
      <c r="F793" s="60"/>
      <c r="G793" s="60"/>
      <c r="H793" s="61"/>
      <c r="I793" s="61"/>
      <c r="J793" s="62"/>
      <c r="K793" s="61"/>
      <c r="M793" s="10">
        <v>12</v>
      </c>
      <c r="N793" s="30" t="s">
        <v>78</v>
      </c>
      <c r="O793" s="31">
        <f t="shared" si="236"/>
        <v>9045</v>
      </c>
      <c r="P793" s="32">
        <f>650*4+9.5*13</f>
        <v>2723.5</v>
      </c>
      <c r="Q793" s="32"/>
      <c r="R793" s="32"/>
      <c r="S793" s="32">
        <f t="shared" si="232"/>
        <v>2723.5</v>
      </c>
      <c r="T793" s="12"/>
      <c r="U793" s="12"/>
      <c r="V793" s="12"/>
      <c r="W793" s="12">
        <f t="shared" si="233"/>
        <v>2723.5</v>
      </c>
      <c r="Y793" s="10">
        <v>12</v>
      </c>
      <c r="Z793" s="30"/>
      <c r="AA793" s="31"/>
      <c r="AB793" s="32"/>
      <c r="AC793" s="32"/>
      <c r="AD793" s="32"/>
      <c r="AE793" s="32">
        <f t="shared" si="239"/>
        <v>0</v>
      </c>
      <c r="AF793" s="12"/>
      <c r="AG793" s="12"/>
      <c r="AH793" s="12"/>
      <c r="AI793" s="12">
        <f t="shared" si="238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6"/>
      <c r="C794" s="102"/>
      <c r="D794" s="60"/>
      <c r="E794" s="60"/>
      <c r="F794" s="60"/>
      <c r="G794" s="60"/>
      <c r="H794" s="61"/>
      <c r="I794" s="61"/>
      <c r="J794" s="61"/>
      <c r="K794" s="61"/>
      <c r="M794" s="10">
        <v>13</v>
      </c>
      <c r="N794" s="30" t="s">
        <v>78</v>
      </c>
      <c r="O794" s="31">
        <f t="shared" si="236"/>
        <v>9046</v>
      </c>
      <c r="P794" s="32">
        <f>650*3+670+622+9.5*4</f>
        <v>3280</v>
      </c>
      <c r="Q794" s="32"/>
      <c r="R794" s="32"/>
      <c r="S794" s="32">
        <f t="shared" si="232"/>
        <v>3280</v>
      </c>
      <c r="T794" s="12"/>
      <c r="U794" s="12"/>
      <c r="V794" s="12">
        <v>-555</v>
      </c>
      <c r="W794" s="12">
        <f t="shared" si="233"/>
        <v>2725</v>
      </c>
      <c r="Y794" s="10">
        <v>13</v>
      </c>
      <c r="Z794" s="30"/>
      <c r="AA794" s="31"/>
      <c r="AB794" s="32"/>
      <c r="AC794" s="32"/>
      <c r="AD794" s="32"/>
      <c r="AE794" s="32">
        <f t="shared" si="239"/>
        <v>0</v>
      </c>
      <c r="AF794" s="12"/>
      <c r="AG794" s="12"/>
      <c r="AH794" s="12"/>
      <c r="AI794" s="12">
        <f t="shared" si="238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6"/>
      <c r="C795" s="102"/>
      <c r="D795" s="60"/>
      <c r="E795" s="60"/>
      <c r="F795" s="60"/>
      <c r="G795" s="60"/>
      <c r="H795" s="61"/>
      <c r="I795" s="61"/>
      <c r="J795" s="61"/>
      <c r="K795" s="61"/>
      <c r="M795" s="10">
        <v>14</v>
      </c>
      <c r="N795" s="30" t="s">
        <v>78</v>
      </c>
      <c r="O795" s="31">
        <f t="shared" si="236"/>
        <v>9047</v>
      </c>
      <c r="P795" s="32">
        <f>650*3+622*2+9.5*5</f>
        <v>3241.5</v>
      </c>
      <c r="Q795" s="32"/>
      <c r="R795" s="32"/>
      <c r="S795" s="32">
        <f t="shared" si="232"/>
        <v>3241.5</v>
      </c>
      <c r="T795" s="12"/>
      <c r="U795" s="12"/>
      <c r="V795" s="12">
        <v>-240</v>
      </c>
      <c r="W795" s="12">
        <f t="shared" si="233"/>
        <v>3001.5</v>
      </c>
      <c r="Y795" s="10">
        <v>14</v>
      </c>
      <c r="Z795" s="30"/>
      <c r="AA795" s="31"/>
      <c r="AB795" s="32"/>
      <c r="AC795" s="32"/>
      <c r="AD795" s="32"/>
      <c r="AE795" s="32">
        <f t="shared" si="239"/>
        <v>0</v>
      </c>
      <c r="AF795" s="12"/>
      <c r="AG795" s="12"/>
      <c r="AH795" s="12"/>
      <c r="AI795" s="12">
        <f t="shared" si="238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6"/>
      <c r="C796" s="102"/>
      <c r="D796" s="60"/>
      <c r="E796" s="60"/>
      <c r="F796" s="60"/>
      <c r="G796" s="60"/>
      <c r="H796" s="61"/>
      <c r="I796" s="61"/>
      <c r="J796" s="61"/>
      <c r="K796" s="61"/>
      <c r="M796" s="10">
        <v>15</v>
      </c>
      <c r="N796" s="30" t="s">
        <v>78</v>
      </c>
      <c r="O796" s="31">
        <f t="shared" si="236"/>
        <v>9048</v>
      </c>
      <c r="P796" s="32">
        <f>650*11+9.5*11</f>
        <v>7254.5</v>
      </c>
      <c r="Q796" s="32"/>
      <c r="R796" s="32"/>
      <c r="S796" s="32">
        <f t="shared" si="232"/>
        <v>7254.5</v>
      </c>
      <c r="T796" s="12"/>
      <c r="U796" s="12"/>
      <c r="V796" s="12"/>
      <c r="W796" s="12">
        <f t="shared" si="233"/>
        <v>7254.5</v>
      </c>
      <c r="Y796" s="10">
        <v>15</v>
      </c>
      <c r="Z796" s="30"/>
      <c r="AA796" s="31"/>
      <c r="AB796" s="32"/>
      <c r="AC796" s="32"/>
      <c r="AD796" s="32"/>
      <c r="AE796" s="32">
        <f t="shared" si="239"/>
        <v>0</v>
      </c>
      <c r="AF796" s="12"/>
      <c r="AG796" s="12"/>
      <c r="AH796" s="12"/>
      <c r="AI796" s="12">
        <f t="shared" si="238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6"/>
      <c r="C797" s="102"/>
      <c r="D797" s="60"/>
      <c r="E797" s="60"/>
      <c r="F797" s="60"/>
      <c r="G797" s="60"/>
      <c r="H797" s="61"/>
      <c r="I797" s="61"/>
      <c r="J797" s="61"/>
      <c r="K797" s="61"/>
      <c r="M797" s="10">
        <v>16</v>
      </c>
      <c r="N797" s="30" t="s">
        <v>78</v>
      </c>
      <c r="O797" s="31">
        <f t="shared" si="236"/>
        <v>9049</v>
      </c>
      <c r="P797" s="32">
        <f>650*134+670*3+700*2+622*3+1050+872*2+229*6+500+650</f>
        <v>97694</v>
      </c>
      <c r="Q797" s="32"/>
      <c r="R797" s="32"/>
      <c r="S797" s="32">
        <f t="shared" si="232"/>
        <v>97694</v>
      </c>
      <c r="T797" s="12"/>
      <c r="U797" s="12">
        <v>189</v>
      </c>
      <c r="V797" s="12">
        <f>-480+-1560+-40</f>
        <v>-2080</v>
      </c>
      <c r="W797" s="12">
        <f t="shared" si="233"/>
        <v>95803</v>
      </c>
      <c r="Y797" s="10">
        <v>16</v>
      </c>
      <c r="Z797" s="30"/>
      <c r="AA797" s="31"/>
      <c r="AB797" s="32"/>
      <c r="AC797" s="32"/>
      <c r="AD797" s="32"/>
      <c r="AE797" s="32">
        <f t="shared" si="239"/>
        <v>0</v>
      </c>
      <c r="AF797" s="12"/>
      <c r="AG797" s="12"/>
      <c r="AH797" s="12"/>
      <c r="AI797" s="12">
        <f t="shared" si="238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6"/>
      <c r="C798" s="102"/>
      <c r="D798" s="60"/>
      <c r="E798" s="60"/>
      <c r="F798" s="60"/>
      <c r="G798" s="60"/>
      <c r="H798" s="61"/>
      <c r="I798" s="61"/>
      <c r="J798" s="61"/>
      <c r="K798" s="61"/>
      <c r="M798" s="10">
        <v>17</v>
      </c>
      <c r="N798" s="30" t="s">
        <v>78</v>
      </c>
      <c r="O798" s="31">
        <f t="shared" si="236"/>
        <v>9050</v>
      </c>
      <c r="P798" s="35">
        <f>650*45+622*5+229</f>
        <v>32589</v>
      </c>
      <c r="Q798" s="32"/>
      <c r="R798" s="32"/>
      <c r="S798" s="32">
        <f t="shared" si="232"/>
        <v>32589</v>
      </c>
      <c r="T798" s="12"/>
      <c r="U798" s="12">
        <v>513</v>
      </c>
      <c r="V798" s="12"/>
      <c r="W798" s="12">
        <f t="shared" si="233"/>
        <v>33102</v>
      </c>
      <c r="Y798" s="10">
        <v>17</v>
      </c>
      <c r="Z798" s="30"/>
      <c r="AA798" s="31"/>
      <c r="AB798" s="35"/>
      <c r="AC798" s="32"/>
      <c r="AD798" s="32"/>
      <c r="AE798" s="32">
        <f t="shared" si="239"/>
        <v>0</v>
      </c>
      <c r="AF798" s="12"/>
      <c r="AG798" s="12"/>
      <c r="AH798" s="12"/>
      <c r="AI798" s="12">
        <f t="shared" si="238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6"/>
      <c r="C799" s="102"/>
      <c r="D799" s="60"/>
      <c r="E799" s="60"/>
      <c r="F799" s="60"/>
      <c r="G799" s="60"/>
      <c r="H799" s="61"/>
      <c r="I799" s="61"/>
      <c r="J799" s="61"/>
      <c r="K799" s="61"/>
      <c r="M799" s="10">
        <v>18</v>
      </c>
      <c r="N799" s="30"/>
      <c r="O799" s="11" t="s">
        <v>27</v>
      </c>
      <c r="P799" s="32"/>
      <c r="Q799" s="32"/>
      <c r="R799" s="32"/>
      <c r="S799" s="32">
        <f t="shared" si="232"/>
        <v>0</v>
      </c>
      <c r="T799" s="12"/>
      <c r="U799" s="12"/>
      <c r="V799" s="12"/>
      <c r="W799" s="12">
        <f t="shared" si="233"/>
        <v>0</v>
      </c>
      <c r="Y799" s="10">
        <v>18</v>
      </c>
      <c r="Z799" s="30"/>
      <c r="AA799" s="31"/>
      <c r="AB799" s="32"/>
      <c r="AC799" s="32"/>
      <c r="AD799" s="32"/>
      <c r="AE799" s="32">
        <f t="shared" si="239"/>
        <v>0</v>
      </c>
      <c r="AF799" s="12"/>
      <c r="AG799" s="12"/>
      <c r="AH799" s="12"/>
      <c r="AI799" s="12">
        <f t="shared" si="238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6"/>
      <c r="C800" s="102"/>
      <c r="D800" s="60"/>
      <c r="E800" s="60"/>
      <c r="F800" s="60"/>
      <c r="G800" s="60"/>
      <c r="H800" s="61"/>
      <c r="I800" s="61"/>
      <c r="J800" s="61"/>
      <c r="K800" s="61"/>
      <c r="M800" s="10">
        <v>19</v>
      </c>
      <c r="N800" s="30"/>
      <c r="O800" s="31"/>
      <c r="P800" s="32"/>
      <c r="Q800" s="32"/>
      <c r="R800" s="32"/>
      <c r="S800" s="32">
        <f t="shared" si="232"/>
        <v>0</v>
      </c>
      <c r="T800" s="12"/>
      <c r="U800" s="12"/>
      <c r="V800" s="12"/>
      <c r="W800" s="12">
        <f t="shared" si="233"/>
        <v>0</v>
      </c>
      <c r="Y800" s="10">
        <v>19</v>
      </c>
      <c r="Z800" s="30"/>
      <c r="AA800" s="31"/>
      <c r="AB800" s="32"/>
      <c r="AC800" s="32"/>
      <c r="AD800" s="32"/>
      <c r="AE800" s="32">
        <f t="shared" si="239"/>
        <v>0</v>
      </c>
      <c r="AF800" s="12"/>
      <c r="AG800" s="12"/>
      <c r="AH800" s="12"/>
      <c r="AI800" s="12">
        <f t="shared" si="238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6"/>
      <c r="C801" s="102"/>
      <c r="D801" s="60"/>
      <c r="E801" s="60"/>
      <c r="F801" s="60"/>
      <c r="G801" s="60"/>
      <c r="H801" s="61"/>
      <c r="I801" s="61"/>
      <c r="J801" s="61"/>
      <c r="K801" s="61"/>
      <c r="M801" s="10">
        <v>20</v>
      </c>
      <c r="N801" s="30"/>
      <c r="O801" s="31"/>
      <c r="P801" s="32"/>
      <c r="Q801" s="32"/>
      <c r="R801" s="32"/>
      <c r="S801" s="32">
        <f t="shared" si="232"/>
        <v>0</v>
      </c>
      <c r="T801" s="12"/>
      <c r="U801" s="12"/>
      <c r="V801" s="12"/>
      <c r="W801" s="12">
        <f t="shared" si="233"/>
        <v>0</v>
      </c>
      <c r="Y801" s="10">
        <v>20</v>
      </c>
      <c r="Z801" s="30"/>
      <c r="AB801" s="32"/>
      <c r="AC801" s="32"/>
      <c r="AD801" s="32"/>
      <c r="AE801" s="32">
        <f t="shared" si="239"/>
        <v>0</v>
      </c>
      <c r="AF801" s="12"/>
      <c r="AG801" s="12"/>
      <c r="AH801" s="12"/>
      <c r="AI801" s="12">
        <f t="shared" si="238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6"/>
      <c r="C802" s="102"/>
      <c r="D802" s="60"/>
      <c r="E802" s="60"/>
      <c r="F802" s="60"/>
      <c r="G802" s="60"/>
      <c r="H802" s="62"/>
      <c r="I802" s="62"/>
      <c r="J802" s="62"/>
      <c r="K802" s="61"/>
      <c r="M802" s="10">
        <v>21</v>
      </c>
      <c r="N802" s="30"/>
      <c r="P802" s="92"/>
      <c r="Q802" s="31"/>
      <c r="R802" s="31"/>
      <c r="S802" s="32">
        <f t="shared" si="232"/>
        <v>0</v>
      </c>
      <c r="T802" s="10"/>
      <c r="U802" s="10"/>
      <c r="V802" s="10"/>
      <c r="W802" s="12">
        <f t="shared" si="233"/>
        <v>0</v>
      </c>
      <c r="Y802" s="10">
        <v>21</v>
      </c>
      <c r="Z802" s="30"/>
      <c r="AA802" s="31"/>
      <c r="AB802" s="46"/>
      <c r="AC802" s="31"/>
      <c r="AD802" s="31"/>
      <c r="AE802" s="32">
        <f t="shared" si="239"/>
        <v>0</v>
      </c>
      <c r="AF802" s="10"/>
      <c r="AG802" s="10"/>
      <c r="AH802" s="10"/>
      <c r="AI802" s="12">
        <f t="shared" si="238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6"/>
      <c r="C803" s="102"/>
      <c r="D803" s="60"/>
      <c r="E803" s="60"/>
      <c r="F803" s="60"/>
      <c r="G803" s="60"/>
      <c r="H803" s="62"/>
      <c r="I803" s="62"/>
      <c r="J803" s="62"/>
      <c r="K803" s="61"/>
      <c r="M803" s="10">
        <v>22</v>
      </c>
      <c r="N803" s="30"/>
      <c r="O803" s="31"/>
      <c r="P803" s="92"/>
      <c r="Q803" s="31"/>
      <c r="R803" s="31"/>
      <c r="S803" s="32">
        <f t="shared" si="232"/>
        <v>0</v>
      </c>
      <c r="T803" s="10"/>
      <c r="U803" s="10"/>
      <c r="V803" s="10"/>
      <c r="W803" s="12">
        <f t="shared" si="233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39"/>
        <v>0</v>
      </c>
      <c r="AF803" s="10"/>
      <c r="AG803" s="10"/>
      <c r="AH803" s="10"/>
      <c r="AI803" s="12">
        <f t="shared" si="238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6"/>
      <c r="C804" s="102"/>
      <c r="D804" s="60"/>
      <c r="E804" s="60"/>
      <c r="F804" s="60"/>
      <c r="G804" s="60"/>
      <c r="H804" s="62"/>
      <c r="I804" s="62"/>
      <c r="J804" s="61"/>
      <c r="K804" s="61"/>
      <c r="M804" s="10">
        <v>23</v>
      </c>
      <c r="N804" s="30"/>
      <c r="O804" s="31"/>
      <c r="P804" s="47"/>
      <c r="Q804" s="31"/>
      <c r="S804" s="32">
        <f t="shared" si="232"/>
        <v>0</v>
      </c>
      <c r="T804" s="10"/>
      <c r="U804" s="10"/>
      <c r="V804" s="10"/>
      <c r="W804" s="12">
        <f t="shared" si="233"/>
        <v>0</v>
      </c>
      <c r="Y804" s="10">
        <v>23</v>
      </c>
      <c r="Z804" s="30"/>
      <c r="AA804" s="31"/>
      <c r="AB804" s="47"/>
      <c r="AC804" s="31"/>
      <c r="AE804" s="32">
        <f t="shared" si="239"/>
        <v>0</v>
      </c>
      <c r="AF804" s="10"/>
      <c r="AG804" s="10"/>
      <c r="AH804" s="10"/>
      <c r="AI804" s="12">
        <f t="shared" si="238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6"/>
      <c r="C805" s="102"/>
      <c r="D805" s="60"/>
      <c r="E805" s="60"/>
      <c r="F805" s="60"/>
      <c r="G805" s="60"/>
      <c r="H805" s="62"/>
      <c r="I805" s="62"/>
      <c r="J805" s="62"/>
      <c r="K805" s="61"/>
      <c r="M805" s="10">
        <v>24</v>
      </c>
      <c r="N805" s="30"/>
      <c r="P805" s="47"/>
      <c r="Q805" s="31"/>
      <c r="R805" s="31"/>
      <c r="S805" s="32">
        <f t="shared" si="232"/>
        <v>0</v>
      </c>
      <c r="T805" s="10"/>
      <c r="U805" s="10"/>
      <c r="V805" s="10"/>
      <c r="W805" s="12">
        <f t="shared" si="233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39"/>
        <v>0</v>
      </c>
      <c r="AF805" s="10"/>
      <c r="AG805" s="10"/>
      <c r="AH805" s="10"/>
      <c r="AI805" s="12">
        <f t="shared" si="238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6"/>
      <c r="C806" s="102"/>
      <c r="D806" s="60"/>
      <c r="E806" s="60"/>
      <c r="F806" s="60"/>
      <c r="G806" s="60"/>
      <c r="H806" s="62"/>
      <c r="I806" s="62"/>
      <c r="J806" s="62"/>
      <c r="K806" s="61"/>
      <c r="M806" s="10">
        <v>25</v>
      </c>
      <c r="N806" s="30"/>
      <c r="O806" s="31"/>
      <c r="P806" s="47"/>
      <c r="Q806" s="31"/>
      <c r="R806" s="31"/>
      <c r="S806" s="32">
        <f t="shared" si="232"/>
        <v>0</v>
      </c>
      <c r="T806" s="10"/>
      <c r="U806" s="10"/>
      <c r="V806" s="10"/>
      <c r="W806" s="12">
        <f t="shared" si="233"/>
        <v>0</v>
      </c>
      <c r="Y806" s="10">
        <v>25</v>
      </c>
      <c r="Z806" s="30"/>
      <c r="AA806" s="31"/>
      <c r="AB806" s="47"/>
      <c r="AC806" s="31"/>
      <c r="AD806" s="31"/>
      <c r="AE806" s="32">
        <f t="shared" si="239"/>
        <v>0</v>
      </c>
      <c r="AF806" s="10"/>
      <c r="AG806" s="10"/>
      <c r="AH806" s="10"/>
      <c r="AI806" s="12">
        <f t="shared" si="238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6"/>
      <c r="C807" s="102"/>
      <c r="D807" s="60"/>
      <c r="E807" s="60"/>
      <c r="F807" s="60"/>
      <c r="G807" s="60"/>
      <c r="H807" s="62"/>
      <c r="I807" s="62"/>
      <c r="J807" s="62"/>
      <c r="K807" s="61"/>
      <c r="M807" s="10">
        <v>26</v>
      </c>
      <c r="N807" s="30"/>
      <c r="P807" s="47"/>
      <c r="Q807" s="31"/>
      <c r="R807" s="31"/>
      <c r="S807" s="32">
        <f t="shared" si="232"/>
        <v>0</v>
      </c>
      <c r="T807" s="10"/>
      <c r="U807" s="10"/>
      <c r="V807" s="10"/>
      <c r="W807" s="12">
        <f t="shared" si="233"/>
        <v>0</v>
      </c>
      <c r="Y807" s="10">
        <v>26</v>
      </c>
      <c r="Z807" s="30"/>
      <c r="AA807" s="31"/>
      <c r="AB807" s="47"/>
      <c r="AC807" s="31"/>
      <c r="AD807" s="31"/>
      <c r="AE807" s="32">
        <f t="shared" si="239"/>
        <v>0</v>
      </c>
      <c r="AF807" s="10"/>
      <c r="AG807" s="10"/>
      <c r="AH807" s="10"/>
      <c r="AI807" s="12">
        <f t="shared" si="238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6"/>
      <c r="C808" s="102"/>
      <c r="D808" s="60"/>
      <c r="E808" s="60"/>
      <c r="F808" s="60"/>
      <c r="G808" s="60"/>
      <c r="H808" s="62"/>
      <c r="I808" s="62"/>
      <c r="J808" s="62"/>
      <c r="K808" s="61"/>
      <c r="M808" s="10">
        <v>27</v>
      </c>
      <c r="N808" s="30"/>
      <c r="O808" s="31"/>
      <c r="P808" s="47"/>
      <c r="Q808" s="31"/>
      <c r="R808" s="31"/>
      <c r="S808" s="32">
        <f t="shared" si="232"/>
        <v>0</v>
      </c>
      <c r="T808" s="10"/>
      <c r="U808" s="10"/>
      <c r="V808" s="10"/>
      <c r="W808" s="12">
        <f t="shared" si="233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39"/>
        <v>0</v>
      </c>
      <c r="AF808" s="10"/>
      <c r="AG808" s="10"/>
      <c r="AH808" s="10"/>
      <c r="AI808" s="12">
        <f t="shared" si="238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6"/>
      <c r="C809" s="102"/>
      <c r="D809" s="60"/>
      <c r="E809" s="60"/>
      <c r="F809" s="60"/>
      <c r="G809" s="60"/>
      <c r="H809" s="62"/>
      <c r="I809" s="62"/>
      <c r="J809" s="62"/>
      <c r="K809" s="61"/>
      <c r="M809" s="10">
        <v>28</v>
      </c>
      <c r="N809" s="30"/>
      <c r="O809" s="31"/>
      <c r="P809" s="47"/>
      <c r="Q809" s="31"/>
      <c r="R809" s="31"/>
      <c r="S809" s="32">
        <f t="shared" si="232"/>
        <v>0</v>
      </c>
      <c r="T809" s="10"/>
      <c r="U809" s="10"/>
      <c r="V809" s="10"/>
      <c r="W809" s="12">
        <f t="shared" si="233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39"/>
        <v>0</v>
      </c>
      <c r="AF809" s="10"/>
      <c r="AG809" s="10"/>
      <c r="AH809" s="10"/>
      <c r="AI809" s="12">
        <f t="shared" si="238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6"/>
      <c r="C810" s="102"/>
      <c r="D810" s="60"/>
      <c r="E810" s="60"/>
      <c r="F810" s="60"/>
      <c r="G810" s="60"/>
      <c r="H810" s="62"/>
      <c r="I810" s="62"/>
      <c r="J810" s="62"/>
      <c r="K810" s="61"/>
      <c r="M810" s="10">
        <v>29</v>
      </c>
      <c r="N810" s="30"/>
      <c r="O810" s="31"/>
      <c r="P810" s="47"/>
      <c r="Q810" s="31"/>
      <c r="R810" s="31"/>
      <c r="S810" s="32">
        <f t="shared" si="232"/>
        <v>0</v>
      </c>
      <c r="T810" s="10"/>
      <c r="U810" s="10"/>
      <c r="V810" s="10"/>
      <c r="W810" s="12">
        <f t="shared" si="233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39"/>
        <v>0</v>
      </c>
      <c r="AF810" s="10"/>
      <c r="AG810" s="10"/>
      <c r="AH810" s="10"/>
      <c r="AI810" s="12">
        <f t="shared" si="238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6"/>
      <c r="C811" s="102"/>
      <c r="D811" s="60"/>
      <c r="E811" s="60"/>
      <c r="F811" s="60"/>
      <c r="G811" s="60"/>
      <c r="H811" s="62"/>
      <c r="I811" s="62"/>
      <c r="J811" s="62"/>
      <c r="K811" s="61"/>
      <c r="M811" s="10">
        <v>30</v>
      </c>
      <c r="N811" s="30"/>
      <c r="P811" s="47"/>
      <c r="Q811" s="31"/>
      <c r="R811" s="31"/>
      <c r="S811" s="32">
        <f t="shared" si="232"/>
        <v>0</v>
      </c>
      <c r="T811" s="10"/>
      <c r="U811" s="10"/>
      <c r="V811" s="10"/>
      <c r="W811" s="12">
        <f t="shared" si="233"/>
        <v>0</v>
      </c>
      <c r="Y811" s="10">
        <v>30</v>
      </c>
      <c r="Z811" s="30"/>
      <c r="AA811" s="31"/>
      <c r="AB811" s="47"/>
      <c r="AC811" s="31"/>
      <c r="AD811" s="31"/>
      <c r="AE811" s="32">
        <f t="shared" si="239"/>
        <v>0</v>
      </c>
      <c r="AF811" s="10"/>
      <c r="AG811" s="10"/>
      <c r="AH811" s="10"/>
      <c r="AI811" s="12">
        <f t="shared" si="238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6"/>
      <c r="C812" s="84"/>
      <c r="D812" s="60"/>
      <c r="E812" s="60"/>
      <c r="F812" s="60"/>
      <c r="G812" s="60"/>
      <c r="H812" s="62"/>
      <c r="I812" s="62"/>
      <c r="J812" s="62"/>
      <c r="K812" s="61"/>
      <c r="M812" s="10">
        <v>31</v>
      </c>
      <c r="N812" s="30"/>
      <c r="O812" s="31"/>
      <c r="P812" s="47"/>
      <c r="Q812" s="31"/>
      <c r="R812" s="31"/>
      <c r="S812" s="32">
        <f t="shared" si="232"/>
        <v>0</v>
      </c>
      <c r="T812" s="10"/>
      <c r="U812" s="10"/>
      <c r="V812" s="10"/>
      <c r="W812" s="12">
        <f t="shared" si="233"/>
        <v>0</v>
      </c>
      <c r="Y812" s="10">
        <v>31</v>
      </c>
      <c r="Z812" s="30"/>
      <c r="AA812" s="31"/>
      <c r="AB812" s="47"/>
      <c r="AC812" s="31"/>
      <c r="AD812" s="31"/>
      <c r="AE812" s="32">
        <f t="shared" si="239"/>
        <v>0</v>
      </c>
      <c r="AF812" s="10"/>
      <c r="AG812" s="10"/>
      <c r="AH812" s="10"/>
      <c r="AI812" s="12">
        <f t="shared" si="238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6"/>
      <c r="C813" s="102"/>
      <c r="D813" s="60"/>
      <c r="E813" s="60"/>
      <c r="F813" s="60"/>
      <c r="G813" s="60"/>
      <c r="H813" s="62"/>
      <c r="I813" s="62"/>
      <c r="J813" s="62"/>
      <c r="K813" s="61"/>
      <c r="M813" s="10">
        <v>32</v>
      </c>
      <c r="N813" s="30"/>
      <c r="O813" s="31"/>
      <c r="P813" s="47"/>
      <c r="Q813" s="31"/>
      <c r="R813" s="31"/>
      <c r="S813" s="32">
        <f t="shared" si="232"/>
        <v>0</v>
      </c>
      <c r="T813" s="10"/>
      <c r="U813" s="10"/>
      <c r="V813" s="10"/>
      <c r="W813" s="12">
        <f t="shared" si="233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39"/>
        <v>0</v>
      </c>
      <c r="AF813" s="10"/>
      <c r="AG813" s="10"/>
      <c r="AH813" s="10"/>
      <c r="AI813" s="12">
        <f t="shared" si="238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6"/>
      <c r="C814" s="84"/>
      <c r="D814" s="60"/>
      <c r="E814" s="60"/>
      <c r="F814" s="60"/>
      <c r="G814" s="60"/>
      <c r="H814" s="62"/>
      <c r="I814" s="62"/>
      <c r="J814" s="62"/>
      <c r="K814" s="61"/>
      <c r="M814" s="10">
        <v>33</v>
      </c>
      <c r="N814" s="30"/>
      <c r="O814" s="31"/>
      <c r="P814" s="47"/>
      <c r="Q814" s="31"/>
      <c r="R814" s="31"/>
      <c r="S814" s="32">
        <f t="shared" si="232"/>
        <v>0</v>
      </c>
      <c r="T814" s="10"/>
      <c r="U814" s="10"/>
      <c r="V814" s="10"/>
      <c r="W814" s="12">
        <f t="shared" si="233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39"/>
        <v>0</v>
      </c>
      <c r="AF814" s="10"/>
      <c r="AG814" s="10"/>
      <c r="AH814" s="10"/>
      <c r="AI814" s="12">
        <f t="shared" si="238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6"/>
      <c r="C815" s="84"/>
      <c r="D815" s="60"/>
      <c r="E815" s="60"/>
      <c r="F815" s="60"/>
      <c r="G815" s="60"/>
      <c r="H815" s="62"/>
      <c r="I815" s="62"/>
      <c r="J815" s="62"/>
      <c r="K815" s="61"/>
      <c r="M815" s="10">
        <v>34</v>
      </c>
      <c r="N815" s="30"/>
      <c r="O815" s="31"/>
      <c r="P815" s="47"/>
      <c r="Q815" s="31"/>
      <c r="R815" s="31"/>
      <c r="S815" s="32">
        <f t="shared" si="232"/>
        <v>0</v>
      </c>
      <c r="T815" s="10"/>
      <c r="U815" s="10"/>
      <c r="V815" s="10"/>
      <c r="W815" s="12">
        <f t="shared" si="233"/>
        <v>0</v>
      </c>
      <c r="Y815" s="10">
        <v>34</v>
      </c>
      <c r="Z815" s="30"/>
      <c r="AA815" s="31"/>
      <c r="AB815" s="47"/>
      <c r="AC815" s="31"/>
      <c r="AD815" s="31"/>
      <c r="AE815" s="32">
        <f t="shared" si="239"/>
        <v>0</v>
      </c>
      <c r="AF815" s="10"/>
      <c r="AG815" s="10"/>
      <c r="AH815" s="10"/>
      <c r="AI815" s="12">
        <f t="shared" si="238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6"/>
      <c r="C816" s="84"/>
      <c r="D816" s="60"/>
      <c r="E816" s="60"/>
      <c r="F816" s="60"/>
      <c r="G816" s="60"/>
      <c r="H816" s="62"/>
      <c r="I816" s="62"/>
      <c r="J816" s="62"/>
      <c r="K816" s="61"/>
      <c r="M816" s="10">
        <v>35</v>
      </c>
      <c r="N816" s="30"/>
      <c r="O816" s="31"/>
      <c r="P816" s="47"/>
      <c r="Q816" s="31"/>
      <c r="R816" s="31"/>
      <c r="S816" s="32">
        <f t="shared" si="232"/>
        <v>0</v>
      </c>
      <c r="T816" s="10"/>
      <c r="U816" s="10"/>
      <c r="V816" s="10"/>
      <c r="W816" s="12">
        <f t="shared" si="233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39"/>
        <v>0</v>
      </c>
      <c r="AF816" s="10"/>
      <c r="AG816" s="10"/>
      <c r="AH816" s="10"/>
      <c r="AI816" s="12">
        <f t="shared" si="238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6"/>
      <c r="C817" s="84"/>
      <c r="D817" s="60"/>
      <c r="E817" s="60"/>
      <c r="F817" s="60"/>
      <c r="G817" s="60"/>
      <c r="H817" s="62"/>
      <c r="I817" s="62"/>
      <c r="J817" s="62"/>
      <c r="K817" s="61"/>
      <c r="M817" s="10">
        <v>36</v>
      </c>
      <c r="N817" s="30"/>
      <c r="O817" s="31"/>
      <c r="P817" s="47"/>
      <c r="Q817" s="31"/>
      <c r="R817" s="31"/>
      <c r="S817" s="32">
        <f t="shared" si="232"/>
        <v>0</v>
      </c>
      <c r="T817" s="10"/>
      <c r="U817" s="10"/>
      <c r="V817" s="10"/>
      <c r="W817" s="12">
        <f t="shared" si="233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39"/>
        <v>0</v>
      </c>
      <c r="AF817" s="10"/>
      <c r="AG817" s="10"/>
      <c r="AH817" s="10"/>
      <c r="AI817" s="12">
        <f t="shared" si="238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6"/>
      <c r="C818" s="102"/>
      <c r="D818" s="60"/>
      <c r="E818" s="60"/>
      <c r="F818" s="60"/>
      <c r="G818" s="60"/>
      <c r="H818" s="62"/>
      <c r="I818" s="62"/>
      <c r="J818" s="62"/>
      <c r="K818" s="61"/>
      <c r="M818" s="10">
        <v>37</v>
      </c>
      <c r="N818" s="30"/>
      <c r="P818" s="47"/>
      <c r="Q818" s="31"/>
      <c r="R818" s="31"/>
      <c r="S818" s="32">
        <f t="shared" si="232"/>
        <v>0</v>
      </c>
      <c r="T818" s="10"/>
      <c r="U818" s="10"/>
      <c r="V818" s="10"/>
      <c r="W818" s="12">
        <f t="shared" si="233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39"/>
        <v>0</v>
      </c>
      <c r="AF818" s="10"/>
      <c r="AG818" s="10"/>
      <c r="AH818" s="10"/>
      <c r="AI818" s="12">
        <f t="shared" si="238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6"/>
      <c r="C819" s="102"/>
      <c r="D819" s="60"/>
      <c r="E819" s="60"/>
      <c r="F819" s="60"/>
      <c r="G819" s="60"/>
      <c r="H819" s="62"/>
      <c r="I819" s="62"/>
      <c r="J819" s="62"/>
      <c r="K819" s="61"/>
      <c r="M819" s="10">
        <v>38</v>
      </c>
      <c r="N819" s="30"/>
      <c r="O819" s="31"/>
      <c r="P819" s="47"/>
      <c r="Q819" s="31"/>
      <c r="R819" s="31"/>
      <c r="S819" s="32">
        <f t="shared" si="232"/>
        <v>0</v>
      </c>
      <c r="T819" s="10"/>
      <c r="U819" s="10"/>
      <c r="V819" s="10"/>
      <c r="W819" s="12">
        <f t="shared" si="233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39"/>
        <v>0</v>
      </c>
      <c r="AF819" s="10"/>
      <c r="AG819" s="10"/>
      <c r="AH819" s="10"/>
      <c r="AI819" s="12">
        <f t="shared" si="238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6"/>
      <c r="C820" s="102"/>
      <c r="D820" s="60"/>
      <c r="E820" s="60"/>
      <c r="F820" s="60"/>
      <c r="G820" s="60"/>
      <c r="H820" s="62"/>
      <c r="I820" s="62"/>
      <c r="J820" s="62"/>
      <c r="K820" s="61"/>
      <c r="M820" s="10">
        <v>39</v>
      </c>
      <c r="N820" s="30"/>
      <c r="O820" s="31"/>
      <c r="P820" s="47"/>
      <c r="Q820" s="31"/>
      <c r="R820" s="31"/>
      <c r="S820" s="32">
        <f t="shared" si="232"/>
        <v>0</v>
      </c>
      <c r="T820" s="10"/>
      <c r="U820" s="10"/>
      <c r="V820" s="10"/>
      <c r="W820" s="12">
        <f t="shared" si="233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39"/>
        <v>0</v>
      </c>
      <c r="AF820" s="10"/>
      <c r="AG820" s="10"/>
      <c r="AH820" s="10"/>
      <c r="AI820" s="12">
        <f t="shared" si="238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6"/>
      <c r="C821" s="102"/>
      <c r="D821" s="60"/>
      <c r="E821" s="60"/>
      <c r="F821" s="60"/>
      <c r="G821" s="60"/>
      <c r="H821" s="62"/>
      <c r="I821" s="62"/>
      <c r="J821" s="62"/>
      <c r="K821" s="61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33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38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6"/>
      <c r="C822" s="102"/>
      <c r="D822" s="60"/>
      <c r="E822" s="60"/>
      <c r="F822" s="60"/>
      <c r="G822" s="60"/>
      <c r="H822" s="62"/>
      <c r="I822" s="62"/>
      <c r="J822" s="62"/>
      <c r="K822" s="61"/>
      <c r="M822" s="10"/>
      <c r="N822" s="30"/>
      <c r="O822" s="31"/>
      <c r="P822" s="47"/>
      <c r="Q822" s="31"/>
      <c r="R822" s="31"/>
      <c r="S822" s="32">
        <f t="shared" ref="S822" si="240">SUM(P822:Q822)</f>
        <v>0</v>
      </c>
      <c r="T822" s="10"/>
      <c r="U822" s="10"/>
      <c r="V822" s="10"/>
      <c r="W822" s="12">
        <f t="shared" si="233"/>
        <v>0</v>
      </c>
      <c r="Y822" s="10"/>
      <c r="Z822" s="30"/>
      <c r="AA822" s="31"/>
      <c r="AB822" s="47"/>
      <c r="AC822" s="31"/>
      <c r="AD822" s="31"/>
      <c r="AE822" s="32">
        <f t="shared" ref="AE822" si="241">SUM(AB822:AC822)</f>
        <v>0</v>
      </c>
      <c r="AF822" s="10"/>
      <c r="AG822" s="10"/>
      <c r="AH822" s="10"/>
      <c r="AI822" s="12">
        <f t="shared" si="238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6"/>
      <c r="C823" s="66"/>
      <c r="D823" s="60"/>
      <c r="E823" s="60"/>
      <c r="F823" s="60"/>
      <c r="G823" s="60"/>
      <c r="H823" s="62"/>
      <c r="I823" s="62"/>
      <c r="J823" s="62"/>
      <c r="K823" s="61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33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38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102"/>
      <c r="C824" s="102"/>
      <c r="D824" s="102"/>
      <c r="E824" s="102"/>
      <c r="F824" s="102"/>
      <c r="G824" s="102"/>
      <c r="H824" s="62"/>
      <c r="I824" s="62"/>
      <c r="J824" s="62"/>
      <c r="K824" s="62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102"/>
      <c r="C825" s="102"/>
      <c r="D825" s="70"/>
      <c r="E825" s="70"/>
      <c r="F825" s="70"/>
      <c r="G825" s="70"/>
      <c r="H825" s="63"/>
      <c r="I825" s="70"/>
      <c r="J825" s="70"/>
      <c r="K825" s="70"/>
      <c r="N825" s="57"/>
      <c r="O825" s="57"/>
      <c r="P825" s="38">
        <f>SUM(P782:P824)</f>
        <v>209792.5</v>
      </c>
      <c r="Q825" s="38">
        <f>SUM(Q782:Q806)</f>
        <v>0</v>
      </c>
      <c r="R825" s="38">
        <f>SUM(R782:R806)</f>
        <v>0</v>
      </c>
      <c r="S825" s="38">
        <f>SUM(S782:S824)</f>
        <v>209792.5</v>
      </c>
      <c r="T825" s="4"/>
      <c r="U825" s="41">
        <f>SUM(U782:U824)</f>
        <v>807</v>
      </c>
      <c r="V825" s="41">
        <f>SUM(V782:V806)</f>
        <v>-2875</v>
      </c>
      <c r="W825" s="42">
        <f>SUM(W782:W824)</f>
        <v>207724.5</v>
      </c>
      <c r="Z825" s="57"/>
      <c r="AA825" s="57"/>
      <c r="AB825" s="38">
        <f>SUM(AB782:AB824)</f>
        <v>224621.5</v>
      </c>
      <c r="AC825" s="38">
        <f>SUM(AC782:AC806)</f>
        <v>-1956</v>
      </c>
      <c r="AD825" s="38">
        <f>SUM(AD782:AD806)</f>
        <v>0</v>
      </c>
      <c r="AE825" s="38">
        <f>SUM(AE782:AE824)</f>
        <v>222665.5</v>
      </c>
      <c r="AF825" s="4"/>
      <c r="AG825" s="41">
        <f>SUM(AG782:AG824)</f>
        <v>3267</v>
      </c>
      <c r="AH825" s="41">
        <f>SUM(AH782:AH806)</f>
        <v>-1776</v>
      </c>
      <c r="AI825" s="42">
        <f>SUM(AI782:AI824)</f>
        <v>224156.5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28</v>
      </c>
      <c r="B828" s="57"/>
      <c r="C828" s="57"/>
      <c r="D828" s="57"/>
      <c r="E828" s="57"/>
      <c r="G828" s="57"/>
      <c r="M828" t="s">
        <v>28</v>
      </c>
      <c r="N828" s="57"/>
      <c r="O828" s="57"/>
      <c r="P828" s="57"/>
      <c r="Q828" s="57"/>
      <c r="R828" s="57"/>
      <c r="S828" s="57"/>
      <c r="Y828" t="s">
        <v>28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14</v>
      </c>
      <c r="B830" s="57"/>
      <c r="C830" s="57"/>
      <c r="D830" s="57"/>
      <c r="E830" s="57"/>
      <c r="G830" s="57"/>
      <c r="M830" s="4" t="s">
        <v>14</v>
      </c>
      <c r="N830" s="57"/>
      <c r="O830" s="57"/>
      <c r="P830" s="57"/>
      <c r="Q830" s="57"/>
      <c r="R830" s="57"/>
      <c r="S830" s="57"/>
      <c r="Y830" s="4" t="s">
        <v>14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47</v>
      </c>
      <c r="B832" s="57"/>
      <c r="C832" s="57"/>
      <c r="D832" s="57"/>
      <c r="E832" s="57"/>
      <c r="G832" s="57"/>
      <c r="I832" s="57" t="s">
        <v>15</v>
      </c>
      <c r="J832" s="19">
        <v>1</v>
      </c>
      <c r="M832" t="s">
        <v>47</v>
      </c>
      <c r="N832" s="57"/>
      <c r="O832" s="57"/>
      <c r="P832" s="57"/>
      <c r="Q832" s="57"/>
      <c r="R832" s="57"/>
      <c r="S832" s="57"/>
      <c r="U832" s="57" t="s">
        <v>15</v>
      </c>
      <c r="V832" s="19">
        <v>2</v>
      </c>
      <c r="Y832" t="s">
        <v>47</v>
      </c>
      <c r="Z832" s="57"/>
      <c r="AA832" s="57"/>
      <c r="AB832" s="57"/>
      <c r="AC832" s="57"/>
      <c r="AD832" s="57"/>
      <c r="AE832" s="57"/>
      <c r="AG832" s="57" t="s">
        <v>15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80</v>
      </c>
      <c r="B833" s="20"/>
      <c r="C833" s="57"/>
      <c r="D833" s="57"/>
      <c r="E833" s="57"/>
      <c r="G833" s="57"/>
      <c r="I833" s="22" t="s">
        <v>16</v>
      </c>
      <c r="J833" s="23" t="s">
        <v>31</v>
      </c>
      <c r="K833" s="24"/>
      <c r="M833" s="21" t="s">
        <v>80</v>
      </c>
      <c r="N833" s="20"/>
      <c r="O833" s="57"/>
      <c r="P833" s="57"/>
      <c r="Q833" s="57"/>
      <c r="R833" s="57"/>
      <c r="S833" s="57"/>
      <c r="U833" s="22" t="s">
        <v>16</v>
      </c>
      <c r="V833" s="23" t="s">
        <v>33</v>
      </c>
      <c r="W833" s="24"/>
      <c r="Y833" s="21" t="s">
        <v>80</v>
      </c>
      <c r="Z833" s="20"/>
      <c r="AA833" s="57"/>
      <c r="AB833" s="57"/>
      <c r="AC833" s="57"/>
      <c r="AD833" s="57"/>
      <c r="AE833" s="57"/>
      <c r="AG833" s="22" t="s">
        <v>16</v>
      </c>
      <c r="AH833" s="23" t="s">
        <v>35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15" t="s">
        <v>17</v>
      </c>
      <c r="E835" s="115"/>
      <c r="F835" s="104"/>
      <c r="G835" s="27"/>
      <c r="I835" s="113" t="s">
        <v>18</v>
      </c>
      <c r="J835" s="114"/>
      <c r="K835" s="111" t="s">
        <v>19</v>
      </c>
      <c r="N835" s="25"/>
      <c r="O835" s="26"/>
      <c r="P835" s="115" t="s">
        <v>17</v>
      </c>
      <c r="Q835" s="115"/>
      <c r="R835" s="104"/>
      <c r="S835" s="27"/>
      <c r="U835" s="113" t="s">
        <v>18</v>
      </c>
      <c r="V835" s="114"/>
      <c r="W835" s="111" t="s">
        <v>19</v>
      </c>
      <c r="Z835" s="25"/>
      <c r="AA835" s="26"/>
      <c r="AB835" s="115" t="s">
        <v>17</v>
      </c>
      <c r="AC835" s="115"/>
      <c r="AD835" s="104"/>
      <c r="AE835" s="27"/>
      <c r="AG835" s="113" t="s">
        <v>18</v>
      </c>
      <c r="AH835" s="114"/>
      <c r="AI835" s="111" t="s">
        <v>19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20</v>
      </c>
      <c r="C836" s="28" t="s">
        <v>21</v>
      </c>
      <c r="D836" s="77" t="s">
        <v>22</v>
      </c>
      <c r="E836" s="76" t="s">
        <v>23</v>
      </c>
      <c r="F836" s="78" t="s">
        <v>32</v>
      </c>
      <c r="G836" s="78" t="s">
        <v>24</v>
      </c>
      <c r="I836" s="29" t="s">
        <v>25</v>
      </c>
      <c r="J836" s="29" t="s">
        <v>26</v>
      </c>
      <c r="K836" s="112"/>
      <c r="N836" s="28" t="s">
        <v>20</v>
      </c>
      <c r="O836" s="28" t="s">
        <v>21</v>
      </c>
      <c r="P836" s="77" t="s">
        <v>22</v>
      </c>
      <c r="Q836" s="78" t="s">
        <v>23</v>
      </c>
      <c r="R836" s="78" t="s">
        <v>32</v>
      </c>
      <c r="S836" s="78" t="s">
        <v>24</v>
      </c>
      <c r="U836" s="29" t="s">
        <v>25</v>
      </c>
      <c r="V836" s="29" t="s">
        <v>26</v>
      </c>
      <c r="W836" s="112"/>
      <c r="Z836" s="28" t="s">
        <v>20</v>
      </c>
      <c r="AA836" s="28" t="s">
        <v>21</v>
      </c>
      <c r="AB836" s="77" t="s">
        <v>22</v>
      </c>
      <c r="AC836" s="78" t="s">
        <v>23</v>
      </c>
      <c r="AD836" s="78" t="s">
        <v>32</v>
      </c>
      <c r="AE836" s="78" t="s">
        <v>24</v>
      </c>
      <c r="AG836" s="29" t="s">
        <v>25</v>
      </c>
      <c r="AH836" s="29" t="s">
        <v>26</v>
      </c>
      <c r="AI836" s="11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81</v>
      </c>
      <c r="C837" s="83">
        <v>9209</v>
      </c>
      <c r="D837" s="32">
        <f>650*5+9.5*5</f>
        <v>3297.5</v>
      </c>
      <c r="E837" s="32"/>
      <c r="F837" s="32"/>
      <c r="G837" s="32">
        <f t="shared" ref="G837:G870" si="242">SUM(D837:E837)</f>
        <v>3297.5</v>
      </c>
      <c r="H837" s="12"/>
      <c r="I837" s="12">
        <f>4.5*5+1.5*5</f>
        <v>30</v>
      </c>
      <c r="J837" s="12"/>
      <c r="K837" s="12">
        <f t="shared" ref="K837:K870" si="243">SUM(G837:J837)</f>
        <v>3327.5</v>
      </c>
      <c r="M837" s="10">
        <v>1</v>
      </c>
      <c r="N837" s="30" t="s">
        <v>81</v>
      </c>
      <c r="O837" s="31">
        <v>9251</v>
      </c>
      <c r="P837" s="32">
        <f>650+670+9.5</f>
        <v>1329.5</v>
      </c>
      <c r="Q837" s="32"/>
      <c r="R837" s="32"/>
      <c r="S837" s="32">
        <f>SUM(P837:Q837)</f>
        <v>1329.5</v>
      </c>
      <c r="T837" s="12"/>
      <c r="U837" s="12"/>
      <c r="V837" s="12"/>
      <c r="W837" s="12">
        <f>SUM(S837:V837)</f>
        <v>1329.5</v>
      </c>
      <c r="Y837" s="10">
        <v>1</v>
      </c>
      <c r="Z837" s="30" t="s">
        <v>81</v>
      </c>
      <c r="AA837" s="31">
        <v>9166</v>
      </c>
      <c r="AB837" s="32">
        <f>650*9+622+9.5*10</f>
        <v>6567</v>
      </c>
      <c r="AC837" s="32"/>
      <c r="AD837" s="32"/>
      <c r="AE837" s="32">
        <f>SUM(AB837:AC837)</f>
        <v>6567</v>
      </c>
      <c r="AF837" s="12"/>
      <c r="AG837" s="12"/>
      <c r="AH837" s="12"/>
      <c r="AI837" s="12">
        <f>SUM(AE837:AH837)</f>
        <v>6567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81</v>
      </c>
      <c r="C838" s="83">
        <f>C837+1</f>
        <v>9210</v>
      </c>
      <c r="D838" s="32">
        <f>650*8+622*2+9.5*10</f>
        <v>6539</v>
      </c>
      <c r="E838" s="32"/>
      <c r="F838" s="32"/>
      <c r="G838" s="32">
        <f t="shared" si="242"/>
        <v>6539</v>
      </c>
      <c r="H838" s="12"/>
      <c r="I838" s="12"/>
      <c r="J838" s="12"/>
      <c r="K838" s="12">
        <f t="shared" si="243"/>
        <v>6539</v>
      </c>
      <c r="M838" s="10">
        <v>2</v>
      </c>
      <c r="N838" s="30" t="s">
        <v>81</v>
      </c>
      <c r="O838" s="31">
        <f>O837+1</f>
        <v>9252</v>
      </c>
      <c r="P838" s="32">
        <f>650*6</f>
        <v>3900</v>
      </c>
      <c r="Q838" s="32"/>
      <c r="R838" s="32"/>
      <c r="S838" s="32">
        <f t="shared" ref="S838:S875" si="244">SUM(P838:Q838)</f>
        <v>3900</v>
      </c>
      <c r="T838" s="12"/>
      <c r="U838" s="12"/>
      <c r="V838" s="12"/>
      <c r="W838" s="12">
        <f t="shared" ref="W838:W878" si="245">SUM(S838:V838)</f>
        <v>3900</v>
      </c>
      <c r="Y838" s="10">
        <v>2</v>
      </c>
      <c r="Z838" s="30" t="s">
        <v>81</v>
      </c>
      <c r="AA838" s="31">
        <f>AA837+1</f>
        <v>9167</v>
      </c>
      <c r="AB838" s="32">
        <f>650*15+670+622*4+229</f>
        <v>13137</v>
      </c>
      <c r="AD838" s="32"/>
      <c r="AE838" s="32">
        <f t="shared" ref="AE838:AE839" si="246">SUM(AB838:AC838)</f>
        <v>13137</v>
      </c>
      <c r="AF838" s="12"/>
      <c r="AG838" s="12"/>
      <c r="AI838" s="12">
        <f t="shared" ref="AI838:AI839" si="247">SUM(AE838:AH838)</f>
        <v>13137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81</v>
      </c>
      <c r="C839" s="83">
        <f t="shared" ref="C839:C845" si="248">C838+1</f>
        <v>9211</v>
      </c>
      <c r="D839" s="33">
        <f>650*26+872+650</f>
        <v>18422</v>
      </c>
      <c r="E839" s="33"/>
      <c r="F839" s="33"/>
      <c r="G839" s="33">
        <f t="shared" si="242"/>
        <v>18422</v>
      </c>
      <c r="H839" s="34"/>
      <c r="I839" s="34"/>
      <c r="J839" s="34">
        <v>-555</v>
      </c>
      <c r="K839" s="34">
        <f t="shared" si="243"/>
        <v>17867</v>
      </c>
      <c r="M839" s="10">
        <v>3</v>
      </c>
      <c r="N839" s="30" t="s">
        <v>81</v>
      </c>
      <c r="O839" s="31">
        <f t="shared" ref="O839:O854" si="249">O838+1</f>
        <v>9253</v>
      </c>
      <c r="P839" s="32">
        <f>650*9+9.5*9</f>
        <v>5935.5</v>
      </c>
      <c r="Q839" s="32"/>
      <c r="R839" s="32"/>
      <c r="S839" s="32">
        <f t="shared" si="244"/>
        <v>5935.5</v>
      </c>
      <c r="T839" s="12"/>
      <c r="U839" s="12"/>
      <c r="V839" s="12"/>
      <c r="W839" s="12">
        <f t="shared" si="245"/>
        <v>5935.5</v>
      </c>
      <c r="Y839" s="10">
        <v>3</v>
      </c>
      <c r="Z839" s="30" t="s">
        <v>81</v>
      </c>
      <c r="AA839" s="31">
        <f t="shared" ref="AA839:AA850" si="250">AA838+1</f>
        <v>9168</v>
      </c>
      <c r="AB839" s="32">
        <f>650*24+670*6+622*5+912*2+229*4</f>
        <v>25470</v>
      </c>
      <c r="AC839" s="33"/>
      <c r="AD839" s="32"/>
      <c r="AE839" s="32">
        <f t="shared" si="246"/>
        <v>25470</v>
      </c>
      <c r="AF839" s="12"/>
      <c r="AG839" s="12"/>
      <c r="AH839" s="12">
        <f>-1665+-78+-105</f>
        <v>-1848</v>
      </c>
      <c r="AI839" s="12">
        <f t="shared" si="247"/>
        <v>23622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81</v>
      </c>
      <c r="C840" s="83">
        <f t="shared" si="248"/>
        <v>9212</v>
      </c>
      <c r="D840" s="32">
        <f>650*160+229*6</f>
        <v>105374</v>
      </c>
      <c r="E840" s="32">
        <f>-160*6</f>
        <v>-960</v>
      </c>
      <c r="F840" s="32"/>
      <c r="G840" s="32">
        <f t="shared" si="242"/>
        <v>104414</v>
      </c>
      <c r="H840" s="12"/>
      <c r="I840" s="12"/>
      <c r="J840" s="12">
        <f>-111*56+-42*7</f>
        <v>-6510</v>
      </c>
      <c r="K840" s="12">
        <f t="shared" si="243"/>
        <v>97904</v>
      </c>
      <c r="M840" s="10">
        <v>4</v>
      </c>
      <c r="N840" s="30" t="s">
        <v>81</v>
      </c>
      <c r="O840" s="31">
        <f t="shared" si="249"/>
        <v>9254</v>
      </c>
      <c r="P840" s="32">
        <f>650*20+670*2+486.5+622*15+456+872+229*2</f>
        <v>25942.5</v>
      </c>
      <c r="Q840" s="32"/>
      <c r="R840" s="32"/>
      <c r="S840" s="32">
        <f t="shared" si="244"/>
        <v>25942.5</v>
      </c>
      <c r="T840" s="12"/>
      <c r="U840" s="12">
        <f>240+3885+156+222</f>
        <v>4503</v>
      </c>
      <c r="V840" s="12"/>
      <c r="W840" s="12">
        <f t="shared" si="245"/>
        <v>30445.5</v>
      </c>
      <c r="Y840" s="10">
        <v>4</v>
      </c>
      <c r="Z840" s="30" t="s">
        <v>81</v>
      </c>
      <c r="AA840" s="31">
        <f t="shared" si="250"/>
        <v>9169</v>
      </c>
      <c r="AB840" s="32">
        <f>650*17+622*5+229</f>
        <v>14389</v>
      </c>
      <c r="AC840" s="32"/>
      <c r="AD840" s="32"/>
      <c r="AE840" s="32">
        <f>SUM(AB840:AC840)</f>
        <v>14389</v>
      </c>
      <c r="AF840" s="12"/>
      <c r="AH840" s="12"/>
      <c r="AI840" s="12">
        <f>SUM(AE840:AH840)</f>
        <v>14389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 t="s">
        <v>81</v>
      </c>
      <c r="C841" s="83">
        <f t="shared" si="248"/>
        <v>9213</v>
      </c>
      <c r="D841" s="32">
        <f>650*20+622*2</f>
        <v>14244</v>
      </c>
      <c r="E841" s="32"/>
      <c r="F841" s="32"/>
      <c r="G841" s="32">
        <f t="shared" si="242"/>
        <v>14244</v>
      </c>
      <c r="H841" s="12"/>
      <c r="I841" s="12"/>
      <c r="J841" s="12"/>
      <c r="K841" s="12">
        <f t="shared" si="243"/>
        <v>14244</v>
      </c>
      <c r="M841" s="10">
        <v>5</v>
      </c>
      <c r="N841" s="30" t="s">
        <v>81</v>
      </c>
      <c r="O841" s="31">
        <f t="shared" si="249"/>
        <v>9255</v>
      </c>
      <c r="P841" s="32">
        <f>650*2+622*4</f>
        <v>3788</v>
      </c>
      <c r="Q841" s="32"/>
      <c r="R841" s="32"/>
      <c r="S841" s="32">
        <f t="shared" si="244"/>
        <v>3788</v>
      </c>
      <c r="T841" s="12"/>
      <c r="U841" s="12"/>
      <c r="V841" s="12"/>
      <c r="W841" s="12">
        <f t="shared" si="245"/>
        <v>3788</v>
      </c>
      <c r="Y841" s="10">
        <v>5</v>
      </c>
      <c r="Z841" s="30" t="s">
        <v>81</v>
      </c>
      <c r="AA841" s="31">
        <f t="shared" si="250"/>
        <v>9170</v>
      </c>
      <c r="AB841" s="33">
        <f>650*6+9.5*6</f>
        <v>3957</v>
      </c>
      <c r="AC841" s="32"/>
      <c r="AD841" s="32"/>
      <c r="AE841" s="32">
        <f>SUM(AB841:AC841)</f>
        <v>3957</v>
      </c>
      <c r="AF841" s="12"/>
      <c r="AG841" s="12"/>
      <c r="AH841" s="12"/>
      <c r="AI841" s="12">
        <f t="shared" ref="AI841:AI878" si="251">SUM(AE841:AH841)</f>
        <v>3957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 t="s">
        <v>81</v>
      </c>
      <c r="C842" s="83">
        <f t="shared" si="248"/>
        <v>9214</v>
      </c>
      <c r="D842" s="32">
        <f>650*95+622*10+229*5</f>
        <v>69115</v>
      </c>
      <c r="E842" s="32"/>
      <c r="F842" s="32"/>
      <c r="G842" s="32">
        <f t="shared" si="242"/>
        <v>69115</v>
      </c>
      <c r="H842" s="12"/>
      <c r="I842" s="12"/>
      <c r="J842" s="12"/>
      <c r="K842" s="12">
        <f t="shared" si="243"/>
        <v>69115</v>
      </c>
      <c r="M842" s="10">
        <v>6</v>
      </c>
      <c r="N842" s="30" t="s">
        <v>81</v>
      </c>
      <c r="O842" s="31">
        <f t="shared" si="249"/>
        <v>9256</v>
      </c>
      <c r="P842" s="32">
        <f>650+622+9.5*2</f>
        <v>1291</v>
      </c>
      <c r="Q842" s="32"/>
      <c r="R842" s="32"/>
      <c r="S842" s="32">
        <f t="shared" si="244"/>
        <v>1291</v>
      </c>
      <c r="T842" s="12"/>
      <c r="U842" s="12"/>
      <c r="V842" s="10"/>
      <c r="W842" s="12">
        <f t="shared" si="245"/>
        <v>1291</v>
      </c>
      <c r="Y842" s="10">
        <v>6</v>
      </c>
      <c r="Z842" s="30" t="s">
        <v>81</v>
      </c>
      <c r="AA842" s="31">
        <f t="shared" si="250"/>
        <v>9171</v>
      </c>
      <c r="AB842" s="32">
        <f>650+622+9.5*2</f>
        <v>1291</v>
      </c>
      <c r="AC842" s="32"/>
      <c r="AD842" s="32"/>
      <c r="AE842" s="32">
        <f t="shared" ref="AE842:AE875" si="252">SUM(AB842:AC842)</f>
        <v>1291</v>
      </c>
      <c r="AF842" s="12"/>
      <c r="AG842" s="12"/>
      <c r="AH842" s="10"/>
      <c r="AI842" s="12">
        <f t="shared" si="251"/>
        <v>1291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 t="s">
        <v>81</v>
      </c>
      <c r="C843" s="83">
        <f t="shared" si="248"/>
        <v>9215</v>
      </c>
      <c r="D843" s="32">
        <f>700</f>
        <v>700</v>
      </c>
      <c r="E843" s="32"/>
      <c r="F843" s="32"/>
      <c r="G843" s="32">
        <f t="shared" si="242"/>
        <v>700</v>
      </c>
      <c r="H843" s="12"/>
      <c r="I843" s="12"/>
      <c r="J843" s="12"/>
      <c r="K843" s="12">
        <f t="shared" si="243"/>
        <v>700</v>
      </c>
      <c r="M843" s="10">
        <v>7</v>
      </c>
      <c r="N843" s="30" t="s">
        <v>81</v>
      </c>
      <c r="O843" s="31">
        <f t="shared" si="249"/>
        <v>9257</v>
      </c>
      <c r="P843" s="32">
        <f>622*2+9.5*2</f>
        <v>1263</v>
      </c>
      <c r="Q843" s="32"/>
      <c r="R843" s="32"/>
      <c r="S843" s="32">
        <f t="shared" si="244"/>
        <v>1263</v>
      </c>
      <c r="T843" s="12"/>
      <c r="U843" s="12"/>
      <c r="V843" s="12"/>
      <c r="W843" s="12">
        <f t="shared" si="245"/>
        <v>1263</v>
      </c>
      <c r="Y843" s="10">
        <v>7</v>
      </c>
      <c r="Z843" s="30" t="s">
        <v>81</v>
      </c>
      <c r="AA843" s="31">
        <f t="shared" si="250"/>
        <v>9172</v>
      </c>
      <c r="AB843" s="32">
        <f>650*3+670</f>
        <v>2620</v>
      </c>
      <c r="AC843" s="32"/>
      <c r="AD843" s="32"/>
      <c r="AE843" s="32">
        <f t="shared" si="252"/>
        <v>2620</v>
      </c>
      <c r="AF843" s="12"/>
      <c r="AG843" s="58"/>
      <c r="AH843" s="12"/>
      <c r="AI843" s="12">
        <f t="shared" si="251"/>
        <v>2620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 t="s">
        <v>81</v>
      </c>
      <c r="C844" s="83">
        <f t="shared" si="248"/>
        <v>9216</v>
      </c>
      <c r="D844" s="32">
        <f>650*10</f>
        <v>6500</v>
      </c>
      <c r="E844" s="32"/>
      <c r="F844" s="32"/>
      <c r="G844" s="32">
        <f t="shared" si="242"/>
        <v>6500</v>
      </c>
      <c r="H844" s="12"/>
      <c r="I844" s="12">
        <v>162</v>
      </c>
      <c r="J844" s="12"/>
      <c r="K844" s="12">
        <f t="shared" si="243"/>
        <v>6662</v>
      </c>
      <c r="M844" s="10">
        <v>8</v>
      </c>
      <c r="N844" s="30" t="s">
        <v>81</v>
      </c>
      <c r="O844" s="31">
        <f t="shared" si="249"/>
        <v>9258</v>
      </c>
      <c r="P844" s="32">
        <f>622*3+9.5*3</f>
        <v>1894.5</v>
      </c>
      <c r="Q844" s="32"/>
      <c r="R844" s="32"/>
      <c r="S844" s="32">
        <f t="shared" si="244"/>
        <v>1894.5</v>
      </c>
      <c r="T844" s="12"/>
      <c r="U844" s="12"/>
      <c r="V844" s="12"/>
      <c r="W844" s="12">
        <f t="shared" si="245"/>
        <v>1894.5</v>
      </c>
      <c r="Y844" s="10">
        <v>8</v>
      </c>
      <c r="Z844" s="30" t="s">
        <v>81</v>
      </c>
      <c r="AA844" s="31">
        <f t="shared" si="250"/>
        <v>9173</v>
      </c>
      <c r="AB844" s="32">
        <f>650*2+622+9.5*3</f>
        <v>1950.5</v>
      </c>
      <c r="AC844" s="32"/>
      <c r="AE844" s="32">
        <f t="shared" si="252"/>
        <v>1950.5</v>
      </c>
      <c r="AF844" s="12"/>
      <c r="AG844" s="12"/>
      <c r="AH844" s="12"/>
      <c r="AI844" s="12">
        <f t="shared" si="251"/>
        <v>1950.5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 t="s">
        <v>81</v>
      </c>
      <c r="C845" s="83">
        <f t="shared" si="248"/>
        <v>9217</v>
      </c>
      <c r="D845" s="32">
        <f>650*50</f>
        <v>32500</v>
      </c>
      <c r="E845" s="32">
        <v>-300</v>
      </c>
      <c r="F845" s="32"/>
      <c r="G845" s="32">
        <f t="shared" si="242"/>
        <v>32200</v>
      </c>
      <c r="H845" s="12"/>
      <c r="I845" s="12">
        <f>50*111</f>
        <v>5550</v>
      </c>
      <c r="J845" s="12"/>
      <c r="K845" s="12">
        <f t="shared" si="243"/>
        <v>37750</v>
      </c>
      <c r="M845" s="10">
        <v>9</v>
      </c>
      <c r="N845" s="30" t="s">
        <v>81</v>
      </c>
      <c r="O845" s="31">
        <f t="shared" si="249"/>
        <v>9259</v>
      </c>
      <c r="P845" s="32">
        <f>622*8+9.5*8</f>
        <v>5052</v>
      </c>
      <c r="Q845" s="32"/>
      <c r="R845" s="32"/>
      <c r="S845" s="32">
        <f t="shared" si="244"/>
        <v>5052</v>
      </c>
      <c r="T845" s="12"/>
      <c r="U845" s="12"/>
      <c r="V845" s="12">
        <v>-555</v>
      </c>
      <c r="W845" s="12">
        <f t="shared" si="245"/>
        <v>4497</v>
      </c>
      <c r="Y845" s="10">
        <v>9</v>
      </c>
      <c r="Z845" s="30" t="s">
        <v>81</v>
      </c>
      <c r="AA845" s="31">
        <f t="shared" si="250"/>
        <v>9174</v>
      </c>
      <c r="AB845">
        <f>650*50+1050*2+229*2</f>
        <v>35058</v>
      </c>
      <c r="AC845" s="32">
        <f>-52*6</f>
        <v>-312</v>
      </c>
      <c r="AD845" s="32"/>
      <c r="AE845" s="32">
        <f t="shared" si="252"/>
        <v>34746</v>
      </c>
      <c r="AF845" s="12"/>
      <c r="AH845" s="12">
        <f>-5550+-468</f>
        <v>-6018</v>
      </c>
      <c r="AI845" s="12">
        <f t="shared" si="251"/>
        <v>28728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/>
      <c r="C846" s="11" t="s">
        <v>27</v>
      </c>
      <c r="D846" s="32"/>
      <c r="E846" s="32"/>
      <c r="F846" s="32"/>
      <c r="G846" s="32">
        <f t="shared" si="242"/>
        <v>0</v>
      </c>
      <c r="H846" s="12"/>
      <c r="I846" s="12"/>
      <c r="J846" s="12"/>
      <c r="K846" s="12">
        <f t="shared" si="243"/>
        <v>0</v>
      </c>
      <c r="M846" s="10">
        <v>10</v>
      </c>
      <c r="N846" s="30" t="s">
        <v>81</v>
      </c>
      <c r="O846" s="31">
        <f t="shared" si="249"/>
        <v>9260</v>
      </c>
      <c r="P846" s="32">
        <f>650*4+622*2</f>
        <v>3844</v>
      </c>
      <c r="Q846" s="32"/>
      <c r="R846" s="32"/>
      <c r="S846" s="32">
        <f t="shared" si="244"/>
        <v>3844</v>
      </c>
      <c r="T846" s="12"/>
      <c r="U846" s="12"/>
      <c r="V846" s="12"/>
      <c r="W846" s="12">
        <f t="shared" si="245"/>
        <v>3844</v>
      </c>
      <c r="Y846" s="10">
        <v>10</v>
      </c>
      <c r="Z846" s="30" t="s">
        <v>81</v>
      </c>
      <c r="AA846" s="31">
        <f t="shared" si="250"/>
        <v>9175</v>
      </c>
      <c r="AB846" s="32">
        <f>650*45+670*3+622*2</f>
        <v>32504</v>
      </c>
      <c r="AC846" s="32">
        <f>-50*6</f>
        <v>-300</v>
      </c>
      <c r="AD846" s="32"/>
      <c r="AE846" s="32">
        <f t="shared" si="252"/>
        <v>32204</v>
      </c>
      <c r="AF846" s="12"/>
      <c r="AG846" s="12"/>
      <c r="AH846" s="12"/>
      <c r="AI846" s="12">
        <f t="shared" si="251"/>
        <v>32204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/>
      <c r="C847" s="83"/>
      <c r="D847" s="32"/>
      <c r="E847" s="32"/>
      <c r="F847" s="32"/>
      <c r="G847" s="32">
        <f t="shared" si="242"/>
        <v>0</v>
      </c>
      <c r="H847" s="12"/>
      <c r="I847" s="12"/>
      <c r="J847" s="12"/>
      <c r="K847" s="12">
        <f t="shared" si="243"/>
        <v>0</v>
      </c>
      <c r="M847" s="10">
        <v>11</v>
      </c>
      <c r="N847" s="30" t="s">
        <v>81</v>
      </c>
      <c r="O847" s="31">
        <f t="shared" si="249"/>
        <v>9261</v>
      </c>
      <c r="P847" s="32">
        <f>650*3+9.5*3</f>
        <v>1978.5</v>
      </c>
      <c r="Q847" s="32"/>
      <c r="R847" s="32"/>
      <c r="S847" s="32">
        <f t="shared" si="244"/>
        <v>1978.5</v>
      </c>
      <c r="T847" s="12"/>
      <c r="U847" s="12"/>
      <c r="V847" s="12"/>
      <c r="W847" s="12">
        <f t="shared" si="245"/>
        <v>1978.5</v>
      </c>
      <c r="Y847" s="10">
        <v>11</v>
      </c>
      <c r="Z847" s="30" t="s">
        <v>81</v>
      </c>
      <c r="AA847" s="31">
        <f t="shared" si="250"/>
        <v>9176</v>
      </c>
      <c r="AB847" s="32">
        <f>650*65+229</f>
        <v>42479</v>
      </c>
      <c r="AC847" s="32"/>
      <c r="AD847" s="32"/>
      <c r="AE847" s="32">
        <f t="shared" si="252"/>
        <v>42479</v>
      </c>
      <c r="AF847" s="12"/>
      <c r="AG847" s="12"/>
      <c r="AH847" s="12"/>
      <c r="AI847" s="12">
        <f t="shared" si="251"/>
        <v>42479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/>
      <c r="C848" s="83"/>
      <c r="D848" s="32"/>
      <c r="E848" s="32"/>
      <c r="F848" s="32"/>
      <c r="G848" s="32">
        <f t="shared" si="242"/>
        <v>0</v>
      </c>
      <c r="H848" s="12"/>
      <c r="I848" s="12"/>
      <c r="J848" s="10"/>
      <c r="K848" s="12">
        <f t="shared" si="243"/>
        <v>0</v>
      </c>
      <c r="M848" s="10">
        <v>12</v>
      </c>
      <c r="N848" s="30" t="s">
        <v>81</v>
      </c>
      <c r="O848" s="31">
        <f t="shared" si="249"/>
        <v>9262</v>
      </c>
      <c r="P848" s="32">
        <f>650*4+9.5*4</f>
        <v>2638</v>
      </c>
      <c r="Q848" s="32"/>
      <c r="R848" s="32"/>
      <c r="S848" s="32">
        <f t="shared" si="244"/>
        <v>2638</v>
      </c>
      <c r="T848" s="12"/>
      <c r="U848" s="12"/>
      <c r="V848" s="12"/>
      <c r="W848" s="12">
        <f t="shared" si="245"/>
        <v>2638</v>
      </c>
      <c r="Y848" s="10">
        <v>12</v>
      </c>
      <c r="Z848" s="30" t="s">
        <v>81</v>
      </c>
      <c r="AA848" s="31">
        <f t="shared" si="250"/>
        <v>9177</v>
      </c>
      <c r="AB848" s="32">
        <f>50*650+622*4+912+872*2+229*2+500*2</f>
        <v>39102</v>
      </c>
      <c r="AC848" s="32"/>
      <c r="AD848" s="32"/>
      <c r="AE848" s="32">
        <f t="shared" si="252"/>
        <v>39102</v>
      </c>
      <c r="AF848" s="12"/>
      <c r="AG848" s="12"/>
      <c r="AH848" s="12"/>
      <c r="AI848" s="12">
        <f t="shared" si="251"/>
        <v>39102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/>
      <c r="C849" s="83"/>
      <c r="D849" s="32"/>
      <c r="E849" s="32"/>
      <c r="F849" s="32"/>
      <c r="G849" s="32">
        <f t="shared" si="242"/>
        <v>0</v>
      </c>
      <c r="H849" s="12"/>
      <c r="I849" s="12"/>
      <c r="J849" s="12"/>
      <c r="K849" s="12">
        <f t="shared" si="243"/>
        <v>0</v>
      </c>
      <c r="M849" s="10">
        <v>13</v>
      </c>
      <c r="N849" s="30" t="s">
        <v>81</v>
      </c>
      <c r="O849" s="31">
        <f t="shared" si="249"/>
        <v>9263</v>
      </c>
      <c r="P849" s="32">
        <f>650*4+9.5*4</f>
        <v>2638</v>
      </c>
      <c r="Q849" s="32"/>
      <c r="R849" s="32"/>
      <c r="S849" s="32">
        <f t="shared" si="244"/>
        <v>2638</v>
      </c>
      <c r="T849" s="12"/>
      <c r="U849" s="12"/>
      <c r="V849" s="12">
        <v>-222</v>
      </c>
      <c r="W849" s="12">
        <f t="shared" si="245"/>
        <v>2416</v>
      </c>
      <c r="Y849" s="10">
        <v>13</v>
      </c>
      <c r="Z849" s="30" t="s">
        <v>81</v>
      </c>
      <c r="AA849" s="31">
        <f t="shared" si="250"/>
        <v>9178</v>
      </c>
      <c r="AB849" s="32">
        <f>650*6+622*2</f>
        <v>5144</v>
      </c>
      <c r="AC849" s="32"/>
      <c r="AD849" s="32"/>
      <c r="AE849" s="32">
        <f t="shared" si="252"/>
        <v>5144</v>
      </c>
      <c r="AF849" s="12"/>
      <c r="AG849" s="12"/>
      <c r="AH849" s="12"/>
      <c r="AI849" s="12">
        <f t="shared" si="251"/>
        <v>5144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/>
      <c r="C850" s="83"/>
      <c r="D850" s="32"/>
      <c r="E850" s="32"/>
      <c r="F850" s="32"/>
      <c r="G850" s="32">
        <f t="shared" si="242"/>
        <v>0</v>
      </c>
      <c r="H850" s="12"/>
      <c r="I850" s="12"/>
      <c r="J850" s="12"/>
      <c r="K850" s="12">
        <f t="shared" si="243"/>
        <v>0</v>
      </c>
      <c r="M850" s="10">
        <v>14</v>
      </c>
      <c r="N850" s="30" t="s">
        <v>81</v>
      </c>
      <c r="O850" s="31">
        <f t="shared" si="249"/>
        <v>9264</v>
      </c>
      <c r="P850" s="32">
        <f>700/6+650*4</f>
        <v>2716.6666666666665</v>
      </c>
      <c r="Q850" s="32"/>
      <c r="R850" s="32"/>
      <c r="S850" s="32">
        <f t="shared" si="244"/>
        <v>2716.6666666666665</v>
      </c>
      <c r="T850" s="12"/>
      <c r="U850" s="12"/>
      <c r="V850" s="12"/>
      <c r="W850" s="12">
        <f t="shared" si="245"/>
        <v>2716.6666666666665</v>
      </c>
      <c r="Y850" s="10">
        <v>14</v>
      </c>
      <c r="Z850" s="30" t="s">
        <v>81</v>
      </c>
      <c r="AA850" s="31">
        <f t="shared" si="250"/>
        <v>9179</v>
      </c>
      <c r="AB850" s="32">
        <f>650*5+622*5</f>
        <v>6360</v>
      </c>
      <c r="AC850" s="32"/>
      <c r="AD850" s="32"/>
      <c r="AE850" s="32">
        <f t="shared" si="252"/>
        <v>6360</v>
      </c>
      <c r="AF850" s="12"/>
      <c r="AG850" s="12"/>
      <c r="AH850" s="12"/>
      <c r="AI850" s="12">
        <f t="shared" si="251"/>
        <v>6360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83"/>
      <c r="D851" s="32"/>
      <c r="E851" s="32"/>
      <c r="F851" s="32"/>
      <c r="G851" s="32">
        <f t="shared" si="242"/>
        <v>0</v>
      </c>
      <c r="H851" s="12"/>
      <c r="I851" s="12"/>
      <c r="J851" s="12"/>
      <c r="K851" s="12">
        <f t="shared" si="243"/>
        <v>0</v>
      </c>
      <c r="M851" s="10">
        <v>15</v>
      </c>
      <c r="N851" s="30" t="s">
        <v>81</v>
      </c>
      <c r="O851" s="31">
        <f t="shared" si="249"/>
        <v>9265</v>
      </c>
      <c r="P851" s="32">
        <f>650*180+670*10+622*10+229*8</f>
        <v>131752</v>
      </c>
      <c r="Q851" s="32">
        <v>-1200</v>
      </c>
      <c r="R851" s="32"/>
      <c r="S851" s="32">
        <f t="shared" si="244"/>
        <v>130552</v>
      </c>
      <c r="T851" s="12"/>
      <c r="U851" s="12">
        <v>234</v>
      </c>
      <c r="V851" s="12">
        <f>-1200+-8658+-420+-336</f>
        <v>-10614</v>
      </c>
      <c r="W851" s="12">
        <f t="shared" si="245"/>
        <v>120172</v>
      </c>
      <c r="Y851" s="10">
        <v>15</v>
      </c>
      <c r="Z851" s="30"/>
      <c r="AA851" s="11" t="s">
        <v>27</v>
      </c>
      <c r="AB851" s="32"/>
      <c r="AC851" s="32"/>
      <c r="AD851" s="32"/>
      <c r="AE851" s="32">
        <f t="shared" si="252"/>
        <v>0</v>
      </c>
      <c r="AF851" s="12"/>
      <c r="AG851" s="12"/>
      <c r="AH851" s="12"/>
      <c r="AI851" s="12">
        <f t="shared" si="251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83"/>
      <c r="D852" s="32"/>
      <c r="E852" s="32"/>
      <c r="F852" s="32"/>
      <c r="G852" s="32">
        <f t="shared" si="242"/>
        <v>0</v>
      </c>
      <c r="H852" s="12"/>
      <c r="I852" s="12"/>
      <c r="J852" s="12"/>
      <c r="K852" s="12">
        <f t="shared" si="243"/>
        <v>0</v>
      </c>
      <c r="M852" s="10">
        <v>16</v>
      </c>
      <c r="N852" s="30" t="s">
        <v>81</v>
      </c>
      <c r="O852" s="31">
        <f t="shared" si="249"/>
        <v>9266</v>
      </c>
      <c r="P852" s="32">
        <f>650*7+670+622*2</f>
        <v>6464</v>
      </c>
      <c r="Q852" s="32"/>
      <c r="R852" s="32"/>
      <c r="S852" s="32">
        <f t="shared" si="244"/>
        <v>6464</v>
      </c>
      <c r="T852" s="12"/>
      <c r="U852" s="12">
        <v>27</v>
      </c>
      <c r="V852" s="12"/>
      <c r="W852" s="12">
        <f t="shared" si="245"/>
        <v>6491</v>
      </c>
      <c r="Y852" s="10">
        <v>16</v>
      </c>
      <c r="Z852" s="30"/>
      <c r="AA852" s="31"/>
      <c r="AB852" s="32"/>
      <c r="AC852" s="32"/>
      <c r="AD852" s="32"/>
      <c r="AE852" s="32">
        <f t="shared" si="252"/>
        <v>0</v>
      </c>
      <c r="AF852" s="12"/>
      <c r="AG852" s="12"/>
      <c r="AH852" s="12"/>
      <c r="AI852" s="12">
        <f t="shared" si="251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83"/>
      <c r="D853" s="32"/>
      <c r="E853" s="32"/>
      <c r="F853" s="32"/>
      <c r="G853" s="32">
        <f t="shared" si="242"/>
        <v>0</v>
      </c>
      <c r="H853" s="12"/>
      <c r="I853" s="12"/>
      <c r="J853" s="12"/>
      <c r="K853" s="12">
        <f t="shared" si="243"/>
        <v>0</v>
      </c>
      <c r="M853" s="10">
        <v>17</v>
      </c>
      <c r="N853" s="30" t="s">
        <v>81</v>
      </c>
      <c r="O853" s="31">
        <f t="shared" si="249"/>
        <v>9267</v>
      </c>
      <c r="P853" s="35">
        <f>650*7</f>
        <v>4550</v>
      </c>
      <c r="Q853" s="32"/>
      <c r="R853" s="32"/>
      <c r="S853" s="32">
        <f t="shared" si="244"/>
        <v>4550</v>
      </c>
      <c r="T853" s="12"/>
      <c r="U853" s="12"/>
      <c r="V853" s="12">
        <v>-333</v>
      </c>
      <c r="W853" s="12">
        <f t="shared" si="245"/>
        <v>4217</v>
      </c>
      <c r="Y853" s="10">
        <v>17</v>
      </c>
      <c r="Z853" s="30"/>
      <c r="AA853" s="31"/>
      <c r="AB853" s="35"/>
      <c r="AC853" s="32"/>
      <c r="AD853" s="32"/>
      <c r="AE853" s="32">
        <f t="shared" si="252"/>
        <v>0</v>
      </c>
      <c r="AF853" s="12"/>
      <c r="AG853" s="12"/>
      <c r="AH853" s="12"/>
      <c r="AI853" s="12">
        <f t="shared" si="251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83"/>
      <c r="D854" s="32"/>
      <c r="E854" s="32"/>
      <c r="F854" s="32"/>
      <c r="G854" s="32">
        <f t="shared" si="242"/>
        <v>0</v>
      </c>
      <c r="H854" s="12"/>
      <c r="I854" s="12"/>
      <c r="J854" s="12"/>
      <c r="K854" s="12">
        <f t="shared" si="243"/>
        <v>0</v>
      </c>
      <c r="M854" s="10">
        <v>18</v>
      </c>
      <c r="N854" s="30" t="s">
        <v>81</v>
      </c>
      <c r="O854" s="31">
        <f t="shared" si="249"/>
        <v>9268</v>
      </c>
      <c r="P854" s="32">
        <f>650*2+9.5*2</f>
        <v>1319</v>
      </c>
      <c r="Q854" s="32"/>
      <c r="R854" s="32"/>
      <c r="S854" s="32">
        <f t="shared" si="244"/>
        <v>1319</v>
      </c>
      <c r="T854" s="12"/>
      <c r="U854" s="12"/>
      <c r="V854" s="12"/>
      <c r="W854" s="12">
        <f t="shared" si="245"/>
        <v>1319</v>
      </c>
      <c r="Y854" s="10">
        <v>18</v>
      </c>
      <c r="Z854" s="30"/>
      <c r="AA854" s="31"/>
      <c r="AB854" s="32"/>
      <c r="AC854" s="32"/>
      <c r="AD854" s="32"/>
      <c r="AE854" s="32">
        <f t="shared" si="252"/>
        <v>0</v>
      </c>
      <c r="AF854" s="12"/>
      <c r="AG854" s="12"/>
      <c r="AH854" s="12"/>
      <c r="AI854" s="12">
        <f t="shared" si="251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83"/>
      <c r="D855" s="32"/>
      <c r="E855" s="32"/>
      <c r="F855" s="32"/>
      <c r="G855" s="32">
        <f t="shared" si="242"/>
        <v>0</v>
      </c>
      <c r="H855" s="12"/>
      <c r="I855" s="12"/>
      <c r="J855" s="12"/>
      <c r="K855" s="12">
        <f t="shared" si="243"/>
        <v>0</v>
      </c>
      <c r="M855" s="10">
        <v>19</v>
      </c>
      <c r="N855" s="30"/>
      <c r="O855" s="11" t="s">
        <v>27</v>
      </c>
      <c r="P855" s="32"/>
      <c r="Q855" s="32"/>
      <c r="R855" s="32"/>
      <c r="S855" s="32">
        <f t="shared" si="244"/>
        <v>0</v>
      </c>
      <c r="T855" s="12"/>
      <c r="U855" s="12"/>
      <c r="V855" s="12"/>
      <c r="W855" s="12">
        <f t="shared" si="245"/>
        <v>0</v>
      </c>
      <c r="Y855" s="10">
        <v>19</v>
      </c>
      <c r="Z855" s="30"/>
      <c r="AA855" s="31"/>
      <c r="AB855" s="32"/>
      <c r="AC855" s="32"/>
      <c r="AD855" s="32"/>
      <c r="AE855" s="32">
        <f t="shared" si="252"/>
        <v>0</v>
      </c>
      <c r="AF855" s="12"/>
      <c r="AG855" s="12"/>
      <c r="AH855" s="12"/>
      <c r="AI855" s="12">
        <f t="shared" si="251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83"/>
      <c r="D856" s="32"/>
      <c r="E856" s="32"/>
      <c r="F856" s="32"/>
      <c r="G856" s="32">
        <f t="shared" si="242"/>
        <v>0</v>
      </c>
      <c r="H856" s="12"/>
      <c r="I856" s="12"/>
      <c r="J856" s="12"/>
      <c r="K856" s="12">
        <f t="shared" si="243"/>
        <v>0</v>
      </c>
      <c r="M856" s="10">
        <v>20</v>
      </c>
      <c r="N856" s="30"/>
      <c r="O856" s="31"/>
      <c r="P856" s="32"/>
      <c r="Q856" s="32"/>
      <c r="R856" s="32"/>
      <c r="S856" s="32">
        <f t="shared" si="244"/>
        <v>0</v>
      </c>
      <c r="T856" s="12"/>
      <c r="U856" s="12"/>
      <c r="V856" s="12"/>
      <c r="W856" s="12">
        <f t="shared" si="245"/>
        <v>0</v>
      </c>
      <c r="Y856" s="10">
        <v>20</v>
      </c>
      <c r="Z856" s="30"/>
      <c r="AA856" s="31"/>
      <c r="AB856" s="32"/>
      <c r="AC856" s="32"/>
      <c r="AD856" s="32"/>
      <c r="AE856" s="32">
        <f t="shared" si="252"/>
        <v>0</v>
      </c>
      <c r="AF856" s="12"/>
      <c r="AG856" s="12"/>
      <c r="AH856" s="12"/>
      <c r="AI856" s="12">
        <f t="shared" si="251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83"/>
      <c r="D857" s="32"/>
      <c r="E857" s="32"/>
      <c r="F857" s="32"/>
      <c r="G857" s="32">
        <f t="shared" si="242"/>
        <v>0</v>
      </c>
      <c r="H857" s="10"/>
      <c r="I857" s="10"/>
      <c r="J857" s="10"/>
      <c r="K857" s="12">
        <f t="shared" si="243"/>
        <v>0</v>
      </c>
      <c r="M857" s="10">
        <v>21</v>
      </c>
      <c r="N857" s="30"/>
      <c r="O857" s="31"/>
      <c r="P857" s="92"/>
      <c r="Q857" s="31"/>
      <c r="R857" s="31"/>
      <c r="S857" s="32">
        <f t="shared" si="244"/>
        <v>0</v>
      </c>
      <c r="T857" s="10"/>
      <c r="U857" s="10"/>
      <c r="V857" s="10"/>
      <c r="W857" s="12">
        <f t="shared" si="245"/>
        <v>0</v>
      </c>
      <c r="Y857" s="10">
        <v>21</v>
      </c>
      <c r="Z857" s="30"/>
      <c r="AB857" s="46"/>
      <c r="AC857" s="31"/>
      <c r="AD857" s="31"/>
      <c r="AE857" s="32">
        <f t="shared" si="252"/>
        <v>0</v>
      </c>
      <c r="AF857" s="10"/>
      <c r="AG857" s="10"/>
      <c r="AH857" s="10"/>
      <c r="AI857" s="12">
        <f t="shared" si="251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83"/>
      <c r="D858" s="32"/>
      <c r="E858" s="32"/>
      <c r="F858" s="32"/>
      <c r="G858" s="32">
        <f t="shared" si="242"/>
        <v>0</v>
      </c>
      <c r="H858" s="10"/>
      <c r="I858" s="10"/>
      <c r="J858" s="10"/>
      <c r="K858" s="12">
        <f t="shared" si="243"/>
        <v>0</v>
      </c>
      <c r="M858" s="10">
        <v>22</v>
      </c>
      <c r="N858" s="30"/>
      <c r="O858" s="31"/>
      <c r="P858" s="92"/>
      <c r="Q858" s="31"/>
      <c r="R858" s="31"/>
      <c r="S858" s="32">
        <f t="shared" si="244"/>
        <v>0</v>
      </c>
      <c r="T858" s="10"/>
      <c r="U858" s="10"/>
      <c r="V858" s="10"/>
      <c r="W858" s="12">
        <f t="shared" si="245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52"/>
        <v>0</v>
      </c>
      <c r="AF858" s="10"/>
      <c r="AG858" s="10"/>
      <c r="AH858" s="10"/>
      <c r="AI858" s="12">
        <f t="shared" si="251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83"/>
      <c r="D859" s="32"/>
      <c r="E859" s="32"/>
      <c r="F859" s="32"/>
      <c r="G859" s="32">
        <f t="shared" si="242"/>
        <v>0</v>
      </c>
      <c r="H859" s="10"/>
      <c r="I859" s="10"/>
      <c r="J859" s="12"/>
      <c r="K859" s="12">
        <f t="shared" si="243"/>
        <v>0</v>
      </c>
      <c r="M859" s="10">
        <v>23</v>
      </c>
      <c r="N859" s="30"/>
      <c r="O859" s="31"/>
      <c r="P859" s="47"/>
      <c r="Q859" s="31"/>
      <c r="S859" s="32">
        <f t="shared" si="244"/>
        <v>0</v>
      </c>
      <c r="T859" s="10"/>
      <c r="U859" s="10"/>
      <c r="V859" s="10"/>
      <c r="W859" s="12">
        <f t="shared" si="245"/>
        <v>0</v>
      </c>
      <c r="Y859" s="10">
        <v>23</v>
      </c>
      <c r="Z859" s="30"/>
      <c r="AA859" s="31"/>
      <c r="AB859" s="47"/>
      <c r="AC859" s="31"/>
      <c r="AE859" s="32">
        <f t="shared" si="252"/>
        <v>0</v>
      </c>
      <c r="AF859" s="10"/>
      <c r="AG859" s="10"/>
      <c r="AH859" s="10"/>
      <c r="AI859" s="12">
        <f t="shared" si="251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83"/>
      <c r="D860" s="32"/>
      <c r="E860" s="32"/>
      <c r="F860" s="32"/>
      <c r="G860" s="32">
        <f t="shared" si="242"/>
        <v>0</v>
      </c>
      <c r="H860" s="10"/>
      <c r="I860" s="10"/>
      <c r="J860" s="10"/>
      <c r="K860" s="12">
        <f t="shared" si="243"/>
        <v>0</v>
      </c>
      <c r="M860" s="10">
        <v>24</v>
      </c>
      <c r="N860" s="30"/>
      <c r="O860" s="31"/>
      <c r="P860" s="47"/>
      <c r="Q860" s="31"/>
      <c r="R860" s="31"/>
      <c r="S860" s="32">
        <f t="shared" si="244"/>
        <v>0</v>
      </c>
      <c r="T860" s="10"/>
      <c r="U860" s="10"/>
      <c r="V860" s="10"/>
      <c r="W860" s="12">
        <f t="shared" si="245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52"/>
        <v>0</v>
      </c>
      <c r="AF860" s="10"/>
      <c r="AG860" s="10"/>
      <c r="AH860" s="10"/>
      <c r="AI860" s="12">
        <f t="shared" si="251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83"/>
      <c r="D861" s="32"/>
      <c r="E861" s="32"/>
      <c r="F861" s="32"/>
      <c r="G861" s="32">
        <f t="shared" si="242"/>
        <v>0</v>
      </c>
      <c r="H861" s="10"/>
      <c r="I861" s="10"/>
      <c r="J861" s="10"/>
      <c r="K861" s="12">
        <f t="shared" si="243"/>
        <v>0</v>
      </c>
      <c r="M861" s="10">
        <v>25</v>
      </c>
      <c r="N861" s="30"/>
      <c r="O861" s="31"/>
      <c r="P861" s="47"/>
      <c r="Q861" s="31"/>
      <c r="R861" s="31"/>
      <c r="S861" s="32">
        <f t="shared" si="244"/>
        <v>0</v>
      </c>
      <c r="T861" s="10"/>
      <c r="U861" s="10"/>
      <c r="V861" s="10"/>
      <c r="W861" s="12">
        <f t="shared" si="245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52"/>
        <v>0</v>
      </c>
      <c r="AF861" s="10"/>
      <c r="AG861" s="10"/>
      <c r="AH861" s="10"/>
      <c r="AI861" s="12">
        <f t="shared" si="251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83"/>
      <c r="D862" s="32"/>
      <c r="E862" s="32"/>
      <c r="F862" s="32"/>
      <c r="G862" s="32">
        <f t="shared" si="242"/>
        <v>0</v>
      </c>
      <c r="H862" s="10"/>
      <c r="I862" s="10"/>
      <c r="J862" s="10"/>
      <c r="K862" s="12">
        <f t="shared" si="243"/>
        <v>0</v>
      </c>
      <c r="M862" s="10">
        <v>26</v>
      </c>
      <c r="N862" s="30"/>
      <c r="O862" s="31"/>
      <c r="P862" s="47"/>
      <c r="Q862" s="31"/>
      <c r="R862" s="31"/>
      <c r="S862" s="32">
        <f t="shared" si="244"/>
        <v>0</v>
      </c>
      <c r="T862" s="10"/>
      <c r="U862" s="10"/>
      <c r="V862" s="10"/>
      <c r="W862" s="12">
        <f t="shared" si="245"/>
        <v>0</v>
      </c>
      <c r="Y862" s="10">
        <v>26</v>
      </c>
      <c r="Z862" s="30"/>
      <c r="AA862" s="31"/>
      <c r="AB862" s="47"/>
      <c r="AC862" s="31"/>
      <c r="AD862" s="31"/>
      <c r="AE862" s="32">
        <f t="shared" si="252"/>
        <v>0</v>
      </c>
      <c r="AF862" s="10"/>
      <c r="AG862" s="10"/>
      <c r="AH862" s="10"/>
      <c r="AI862" s="12">
        <f t="shared" si="251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83"/>
      <c r="D863" s="32"/>
      <c r="E863" s="32"/>
      <c r="F863" s="32"/>
      <c r="G863" s="32">
        <f t="shared" si="242"/>
        <v>0</v>
      </c>
      <c r="H863" s="10"/>
      <c r="I863" s="10"/>
      <c r="J863" s="10"/>
      <c r="K863" s="12">
        <f t="shared" si="243"/>
        <v>0</v>
      </c>
      <c r="M863" s="10">
        <v>27</v>
      </c>
      <c r="N863" s="30"/>
      <c r="O863" s="31"/>
      <c r="P863" s="47"/>
      <c r="Q863" s="31"/>
      <c r="R863" s="31"/>
      <c r="S863" s="32">
        <f t="shared" si="244"/>
        <v>0</v>
      </c>
      <c r="T863" s="10"/>
      <c r="U863" s="10"/>
      <c r="V863" s="10"/>
      <c r="W863" s="12">
        <f t="shared" si="245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52"/>
        <v>0</v>
      </c>
      <c r="AF863" s="10"/>
      <c r="AG863" s="10"/>
      <c r="AH863" s="10"/>
      <c r="AI863" s="12">
        <f t="shared" si="251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83"/>
      <c r="D864" s="32"/>
      <c r="E864" s="32"/>
      <c r="F864" s="32"/>
      <c r="G864" s="32">
        <f t="shared" si="242"/>
        <v>0</v>
      </c>
      <c r="H864" s="10"/>
      <c r="I864" s="10"/>
      <c r="J864" s="10"/>
      <c r="K864" s="12">
        <f t="shared" si="243"/>
        <v>0</v>
      </c>
      <c r="M864" s="10">
        <v>28</v>
      </c>
      <c r="N864" s="30"/>
      <c r="O864" s="31"/>
      <c r="P864" s="47"/>
      <c r="Q864" s="31"/>
      <c r="R864" s="31"/>
      <c r="S864" s="32">
        <f t="shared" si="244"/>
        <v>0</v>
      </c>
      <c r="T864" s="10"/>
      <c r="U864" s="10"/>
      <c r="V864" s="10"/>
      <c r="W864" s="12">
        <f t="shared" si="245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52"/>
        <v>0</v>
      </c>
      <c r="AF864" s="10"/>
      <c r="AG864" s="10"/>
      <c r="AH864" s="10"/>
      <c r="AI864" s="12">
        <f t="shared" si="251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83"/>
      <c r="D865" s="32"/>
      <c r="E865" s="32"/>
      <c r="F865" s="32"/>
      <c r="G865" s="32">
        <f t="shared" si="242"/>
        <v>0</v>
      </c>
      <c r="H865" s="10"/>
      <c r="I865" s="10"/>
      <c r="J865" s="10"/>
      <c r="K865" s="12">
        <f t="shared" si="243"/>
        <v>0</v>
      </c>
      <c r="M865" s="10">
        <v>29</v>
      </c>
      <c r="N865" s="30"/>
      <c r="O865" s="31"/>
      <c r="P865" s="47"/>
      <c r="Q865" s="31"/>
      <c r="R865" s="31"/>
      <c r="S865" s="32">
        <f t="shared" si="244"/>
        <v>0</v>
      </c>
      <c r="T865" s="10"/>
      <c r="U865" s="10"/>
      <c r="V865" s="10"/>
      <c r="W865" s="12">
        <f t="shared" si="245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52"/>
        <v>0</v>
      </c>
      <c r="AF865" s="10"/>
      <c r="AG865" s="10"/>
      <c r="AH865" s="10"/>
      <c r="AI865" s="12">
        <f t="shared" si="251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D866" s="32"/>
      <c r="E866" s="32"/>
      <c r="F866" s="32"/>
      <c r="G866" s="32">
        <f t="shared" si="242"/>
        <v>0</v>
      </c>
      <c r="H866" s="10"/>
      <c r="I866" s="10"/>
      <c r="J866" s="10"/>
      <c r="K866" s="12">
        <f t="shared" si="243"/>
        <v>0</v>
      </c>
      <c r="M866" s="10">
        <v>30</v>
      </c>
      <c r="N866" s="30"/>
      <c r="P866" s="47"/>
      <c r="Q866" s="31"/>
      <c r="R866" s="31"/>
      <c r="S866" s="32">
        <f t="shared" si="244"/>
        <v>0</v>
      </c>
      <c r="T866" s="10"/>
      <c r="U866" s="10"/>
      <c r="V866" s="10"/>
      <c r="W866" s="12">
        <f t="shared" si="245"/>
        <v>0</v>
      </c>
      <c r="Y866" s="10">
        <v>30</v>
      </c>
      <c r="Z866" s="30"/>
      <c r="AA866" s="31"/>
      <c r="AB866" s="47"/>
      <c r="AC866" s="31"/>
      <c r="AD866" s="31"/>
      <c r="AE866" s="32">
        <f t="shared" si="252"/>
        <v>0</v>
      </c>
      <c r="AF866" s="10"/>
      <c r="AG866" s="10"/>
      <c r="AH866" s="10"/>
      <c r="AI866" s="12">
        <f t="shared" si="251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11"/>
      <c r="D867" s="32"/>
      <c r="E867" s="32"/>
      <c r="F867" s="32"/>
      <c r="G867" s="32">
        <f t="shared" si="242"/>
        <v>0</v>
      </c>
      <c r="H867" s="10"/>
      <c r="I867" s="10"/>
      <c r="J867" s="10"/>
      <c r="K867" s="12">
        <f t="shared" si="243"/>
        <v>0</v>
      </c>
      <c r="M867" s="10">
        <v>31</v>
      </c>
      <c r="N867" s="30"/>
      <c r="O867" s="31"/>
      <c r="P867" s="47"/>
      <c r="Q867" s="31"/>
      <c r="R867" s="31"/>
      <c r="S867" s="32">
        <f t="shared" si="244"/>
        <v>0</v>
      </c>
      <c r="T867" s="10"/>
      <c r="U867" s="10"/>
      <c r="V867" s="10"/>
      <c r="W867" s="12">
        <f t="shared" si="245"/>
        <v>0</v>
      </c>
      <c r="Y867" s="10">
        <v>31</v>
      </c>
      <c r="Z867" s="30"/>
      <c r="AA867" s="31"/>
      <c r="AB867" s="47"/>
      <c r="AC867" s="31"/>
      <c r="AD867" s="31"/>
      <c r="AE867" s="32">
        <f t="shared" si="252"/>
        <v>0</v>
      </c>
      <c r="AF867" s="10"/>
      <c r="AG867" s="10"/>
      <c r="AH867" s="10"/>
      <c r="AI867" s="12">
        <f t="shared" si="251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83"/>
      <c r="D868" s="32"/>
      <c r="E868" s="32"/>
      <c r="F868" s="32"/>
      <c r="G868" s="32">
        <f t="shared" si="242"/>
        <v>0</v>
      </c>
      <c r="H868" s="10"/>
      <c r="I868" s="10"/>
      <c r="J868" s="10"/>
      <c r="K868" s="12">
        <f t="shared" si="243"/>
        <v>0</v>
      </c>
      <c r="M868" s="10">
        <v>32</v>
      </c>
      <c r="N868" s="30"/>
      <c r="O868" s="31"/>
      <c r="P868" s="47"/>
      <c r="Q868" s="31"/>
      <c r="R868" s="31"/>
      <c r="S868" s="32">
        <f t="shared" si="244"/>
        <v>0</v>
      </c>
      <c r="T868" s="10"/>
      <c r="U868" s="10"/>
      <c r="V868" s="10"/>
      <c r="W868" s="12">
        <f t="shared" si="245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52"/>
        <v>0</v>
      </c>
      <c r="AF868" s="10"/>
      <c r="AG868" s="10"/>
      <c r="AH868" s="10"/>
      <c r="AI868" s="12">
        <f t="shared" si="251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83"/>
      <c r="D869" s="32"/>
      <c r="E869" s="32"/>
      <c r="F869" s="32"/>
      <c r="G869" s="32">
        <f t="shared" si="242"/>
        <v>0</v>
      </c>
      <c r="H869" s="10"/>
      <c r="I869" s="10"/>
      <c r="J869" s="10"/>
      <c r="K869" s="12">
        <f t="shared" si="243"/>
        <v>0</v>
      </c>
      <c r="M869" s="10">
        <v>33</v>
      </c>
      <c r="N869" s="30"/>
      <c r="O869" s="31"/>
      <c r="P869" s="47"/>
      <c r="Q869" s="31"/>
      <c r="R869" s="31"/>
      <c r="S869" s="32">
        <f t="shared" si="244"/>
        <v>0</v>
      </c>
      <c r="T869" s="10"/>
      <c r="U869" s="10"/>
      <c r="V869" s="10"/>
      <c r="W869" s="12">
        <f t="shared" si="245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52"/>
        <v>0</v>
      </c>
      <c r="AF869" s="10"/>
      <c r="AG869" s="10"/>
      <c r="AH869" s="10"/>
      <c r="AI869" s="12">
        <f t="shared" si="251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83"/>
      <c r="D870" s="32"/>
      <c r="E870" s="32"/>
      <c r="F870" s="32"/>
      <c r="G870" s="32">
        <f t="shared" si="242"/>
        <v>0</v>
      </c>
      <c r="H870" s="10"/>
      <c r="I870" s="10"/>
      <c r="J870" s="10"/>
      <c r="K870" s="12">
        <f t="shared" si="243"/>
        <v>0</v>
      </c>
      <c r="M870" s="10">
        <v>34</v>
      </c>
      <c r="N870" s="30"/>
      <c r="O870" s="31"/>
      <c r="P870" s="47"/>
      <c r="Q870" s="31"/>
      <c r="R870" s="31"/>
      <c r="S870" s="32">
        <f t="shared" si="244"/>
        <v>0</v>
      </c>
      <c r="T870" s="10"/>
      <c r="U870" s="10"/>
      <c r="V870" s="10"/>
      <c r="W870" s="12">
        <f t="shared" si="245"/>
        <v>0</v>
      </c>
      <c r="Y870" s="10">
        <v>34</v>
      </c>
      <c r="Z870" s="30"/>
      <c r="AA870" s="31"/>
      <c r="AB870" s="47"/>
      <c r="AC870" s="31"/>
      <c r="AD870" s="31"/>
      <c r="AE870" s="32">
        <f t="shared" si="252"/>
        <v>0</v>
      </c>
      <c r="AF870" s="10"/>
      <c r="AG870" s="10"/>
      <c r="AH870" s="10"/>
      <c r="AI870" s="12">
        <f t="shared" si="251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83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44"/>
        <v>0</v>
      </c>
      <c r="T871" s="10"/>
      <c r="U871" s="10"/>
      <c r="V871" s="10"/>
      <c r="W871" s="12">
        <f t="shared" si="245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52"/>
        <v>0</v>
      </c>
      <c r="AF871" s="10"/>
      <c r="AG871" s="10"/>
      <c r="AH871" s="10"/>
      <c r="AI871" s="12">
        <f t="shared" si="251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83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44"/>
        <v>0</v>
      </c>
      <c r="T872" s="10"/>
      <c r="U872" s="10"/>
      <c r="V872" s="10"/>
      <c r="W872" s="12">
        <f t="shared" si="245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52"/>
        <v>0</v>
      </c>
      <c r="AF872" s="10"/>
      <c r="AG872" s="10"/>
      <c r="AH872" s="10"/>
      <c r="AI872" s="12">
        <f t="shared" si="251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44"/>
        <v>0</v>
      </c>
      <c r="T873" s="10"/>
      <c r="U873" s="10"/>
      <c r="V873" s="10"/>
      <c r="W873" s="12">
        <f t="shared" si="245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52"/>
        <v>0</v>
      </c>
      <c r="AF873" s="10"/>
      <c r="AG873" s="10"/>
      <c r="AH873" s="10"/>
      <c r="AI873" s="12">
        <f t="shared" si="251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44"/>
        <v>0</v>
      </c>
      <c r="T874" s="10"/>
      <c r="U874" s="10"/>
      <c r="V874" s="10"/>
      <c r="W874" s="12">
        <f t="shared" si="245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52"/>
        <v>0</v>
      </c>
      <c r="AF874" s="10"/>
      <c r="AG874" s="10"/>
      <c r="AH874" s="10"/>
      <c r="AI874" s="12">
        <f t="shared" si="251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44"/>
        <v>0</v>
      </c>
      <c r="T875" s="10"/>
      <c r="U875" s="10"/>
      <c r="V875" s="10"/>
      <c r="W875" s="12">
        <f t="shared" si="245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52"/>
        <v>0</v>
      </c>
      <c r="AF875" s="10"/>
      <c r="AG875" s="10"/>
      <c r="AH875" s="10"/>
      <c r="AI875" s="12">
        <f t="shared" si="251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45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51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53">SUM(D877:E877)</f>
        <v>0</v>
      </c>
      <c r="H877" s="10"/>
      <c r="I877" s="10"/>
      <c r="J877" s="10"/>
      <c r="K877" s="12">
        <f t="shared" ref="K877" si="254">SUM(G877:J877)</f>
        <v>0</v>
      </c>
      <c r="M877" s="10"/>
      <c r="N877" s="30"/>
      <c r="O877" s="31"/>
      <c r="P877" s="47"/>
      <c r="Q877" s="31"/>
      <c r="R877" s="31"/>
      <c r="S877" s="32">
        <f t="shared" ref="S877" si="255">SUM(P877:Q877)</f>
        <v>0</v>
      </c>
      <c r="T877" s="10"/>
      <c r="U877" s="10"/>
      <c r="V877" s="10"/>
      <c r="W877" s="12">
        <f t="shared" si="245"/>
        <v>0</v>
      </c>
      <c r="Y877" s="10"/>
      <c r="Z877" s="30"/>
      <c r="AA877" s="31"/>
      <c r="AB877" s="47"/>
      <c r="AC877" s="31"/>
      <c r="AD877" s="31"/>
      <c r="AE877" s="32">
        <f t="shared" ref="AE877" si="256">SUM(AB877:AC877)</f>
        <v>0</v>
      </c>
      <c r="AF877" s="10"/>
      <c r="AG877" s="10"/>
      <c r="AH877" s="10"/>
      <c r="AI877" s="12">
        <f t="shared" si="251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45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51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256691.5</v>
      </c>
      <c r="E880" s="38">
        <f t="shared" ref="E880:F880" si="257">SUM(E837:E877)</f>
        <v>-1260</v>
      </c>
      <c r="F880" s="38">
        <f t="shared" si="257"/>
        <v>0</v>
      </c>
      <c r="G880" s="38">
        <f>SUM(G837:G879)</f>
        <v>255431.5</v>
      </c>
      <c r="H880" s="4"/>
      <c r="I880" s="39">
        <f>SUM(I837:I879)</f>
        <v>5742</v>
      </c>
      <c r="J880" s="39">
        <f>SUM(J837:J879)</f>
        <v>-7065</v>
      </c>
      <c r="K880" s="40">
        <f>SUM(K837:K879)</f>
        <v>254108.5</v>
      </c>
      <c r="N880" s="57"/>
      <c r="O880" s="57"/>
      <c r="P880" s="38">
        <f>SUM(P837:P879)</f>
        <v>208296.16666666666</v>
      </c>
      <c r="Q880" s="38">
        <f>SUM(Q837:Q861)</f>
        <v>-1200</v>
      </c>
      <c r="R880" s="38">
        <f>SUM(R837:R861)</f>
        <v>0</v>
      </c>
      <c r="S880" s="38">
        <f>SUM(S837:S879)</f>
        <v>207096.16666666666</v>
      </c>
      <c r="T880" s="4"/>
      <c r="U880" s="41">
        <f>SUM(U837:U879)</f>
        <v>4764</v>
      </c>
      <c r="V880" s="41">
        <f>SUM(V837:V861)</f>
        <v>-11724</v>
      </c>
      <c r="W880" s="42">
        <f>SUM(W837:W879)</f>
        <v>200136.16666666669</v>
      </c>
      <c r="Z880" s="57"/>
      <c r="AA880" s="57"/>
      <c r="AB880" s="38">
        <f>SUM(AB837:AB879)</f>
        <v>230028.5</v>
      </c>
      <c r="AC880" s="38">
        <f>SUM(AC837:AC861)</f>
        <v>-612</v>
      </c>
      <c r="AD880" s="38">
        <f>SUM(AD837:AD861)</f>
        <v>0</v>
      </c>
      <c r="AE880" s="38">
        <f>SUM(AE837:AE879)</f>
        <v>229416.5</v>
      </c>
      <c r="AF880" s="4"/>
      <c r="AG880" s="41">
        <f>SUM(AG837:AG879)</f>
        <v>0</v>
      </c>
      <c r="AH880" s="41">
        <f>SUM(AH837:AH861)</f>
        <v>-7866</v>
      </c>
      <c r="AI880" s="42">
        <f>SUM(AI837:AI879)</f>
        <v>221550.5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28</v>
      </c>
      <c r="B883" s="57"/>
      <c r="C883" s="57"/>
      <c r="D883" s="57"/>
      <c r="E883" s="57"/>
      <c r="G883" s="57"/>
      <c r="M883" t="s">
        <v>28</v>
      </c>
      <c r="N883" s="57"/>
      <c r="O883" s="57"/>
      <c r="P883" s="57"/>
      <c r="Q883" s="57"/>
      <c r="R883" s="57"/>
      <c r="S883" s="57"/>
      <c r="Y883" t="s">
        <v>28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14</v>
      </c>
      <c r="B885" s="57"/>
      <c r="C885" s="57"/>
      <c r="D885" s="57"/>
      <c r="E885" s="57"/>
      <c r="G885" s="57"/>
      <c r="M885" s="4" t="s">
        <v>14</v>
      </c>
      <c r="N885" s="57"/>
      <c r="O885" s="57"/>
      <c r="P885" s="57"/>
      <c r="Q885" s="57"/>
      <c r="R885" s="57"/>
      <c r="S885" s="57"/>
      <c r="Y885" s="4" t="s">
        <v>14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50</v>
      </c>
      <c r="B887" s="57"/>
      <c r="C887" s="57"/>
      <c r="D887" s="57"/>
      <c r="E887" s="57"/>
      <c r="G887" s="57"/>
      <c r="I887" s="57" t="s">
        <v>15</v>
      </c>
      <c r="J887" s="19">
        <v>1</v>
      </c>
      <c r="M887" t="s">
        <v>50</v>
      </c>
      <c r="N887" s="57"/>
      <c r="O887" s="57"/>
      <c r="P887" s="57"/>
      <c r="Q887" s="57"/>
      <c r="R887" s="57"/>
      <c r="S887" s="57"/>
      <c r="U887" s="57" t="s">
        <v>15</v>
      </c>
      <c r="V887" s="19">
        <v>2</v>
      </c>
      <c r="Y887" t="s">
        <v>50</v>
      </c>
      <c r="Z887" s="57"/>
      <c r="AA887" s="57"/>
      <c r="AB887" s="57"/>
      <c r="AC887" s="57"/>
      <c r="AD887" s="57"/>
      <c r="AE887" s="57"/>
      <c r="AG887" s="57" t="s">
        <v>15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83</v>
      </c>
      <c r="B888" s="20"/>
      <c r="C888" s="57"/>
      <c r="D888" s="57"/>
      <c r="E888" s="57"/>
      <c r="G888" s="57"/>
      <c r="I888" s="22" t="s">
        <v>16</v>
      </c>
      <c r="J888" s="23" t="s">
        <v>31</v>
      </c>
      <c r="K888" s="24"/>
      <c r="M888" s="21" t="s">
        <v>83</v>
      </c>
      <c r="N888" s="20"/>
      <c r="O888" s="57"/>
      <c r="P888" s="57"/>
      <c r="Q888" s="57"/>
      <c r="R888" s="57"/>
      <c r="S888" s="57"/>
      <c r="U888" s="22" t="s">
        <v>16</v>
      </c>
      <c r="V888" s="23" t="s">
        <v>33</v>
      </c>
      <c r="W888" s="24"/>
      <c r="Y888" s="21" t="s">
        <v>83</v>
      </c>
      <c r="Z888" s="20"/>
      <c r="AA888" s="57"/>
      <c r="AB888" s="57"/>
      <c r="AC888" s="57"/>
      <c r="AD888" s="57"/>
      <c r="AE888" s="57"/>
      <c r="AG888" s="22" t="s">
        <v>16</v>
      </c>
      <c r="AH888" s="23" t="s">
        <v>35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15" t="s">
        <v>17</v>
      </c>
      <c r="E890" s="115"/>
      <c r="F890" s="105"/>
      <c r="G890" s="27"/>
      <c r="I890" s="113" t="s">
        <v>18</v>
      </c>
      <c r="J890" s="114"/>
      <c r="K890" s="111" t="s">
        <v>19</v>
      </c>
      <c r="N890" s="25"/>
      <c r="O890" s="26"/>
      <c r="P890" s="115" t="s">
        <v>17</v>
      </c>
      <c r="Q890" s="115"/>
      <c r="R890" s="105"/>
      <c r="S890" s="27"/>
      <c r="U890" s="113" t="s">
        <v>18</v>
      </c>
      <c r="V890" s="114"/>
      <c r="W890" s="111" t="s">
        <v>19</v>
      </c>
      <c r="Z890" s="25"/>
      <c r="AA890" s="26"/>
      <c r="AB890" s="115" t="s">
        <v>17</v>
      </c>
      <c r="AC890" s="115"/>
      <c r="AD890" s="105"/>
      <c r="AE890" s="27"/>
      <c r="AG890" s="113" t="s">
        <v>18</v>
      </c>
      <c r="AH890" s="114"/>
      <c r="AI890" s="111" t="s">
        <v>19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20</v>
      </c>
      <c r="C891" s="28" t="s">
        <v>21</v>
      </c>
      <c r="D891" s="77" t="s">
        <v>22</v>
      </c>
      <c r="E891" s="76" t="s">
        <v>23</v>
      </c>
      <c r="F891" s="78" t="s">
        <v>32</v>
      </c>
      <c r="G891" s="78" t="s">
        <v>24</v>
      </c>
      <c r="I891" s="29" t="s">
        <v>25</v>
      </c>
      <c r="J891" s="29" t="s">
        <v>26</v>
      </c>
      <c r="K891" s="112"/>
      <c r="N891" s="28" t="s">
        <v>20</v>
      </c>
      <c r="O891" s="28" t="s">
        <v>21</v>
      </c>
      <c r="P891" s="77" t="s">
        <v>22</v>
      </c>
      <c r="Q891" s="78" t="s">
        <v>23</v>
      </c>
      <c r="R891" s="78" t="s">
        <v>32</v>
      </c>
      <c r="S891" s="78" t="s">
        <v>24</v>
      </c>
      <c r="U891" s="29" t="s">
        <v>25</v>
      </c>
      <c r="V891" s="29" t="s">
        <v>26</v>
      </c>
      <c r="W891" s="112"/>
      <c r="Z891" s="28" t="s">
        <v>20</v>
      </c>
      <c r="AA891" s="28" t="s">
        <v>21</v>
      </c>
      <c r="AB891" s="77" t="s">
        <v>22</v>
      </c>
      <c r="AC891" s="78" t="s">
        <v>23</v>
      </c>
      <c r="AD891" s="78" t="s">
        <v>32</v>
      </c>
      <c r="AE891" s="78" t="s">
        <v>24</v>
      </c>
      <c r="AG891" s="29" t="s">
        <v>25</v>
      </c>
      <c r="AH891" s="29" t="s">
        <v>26</v>
      </c>
      <c r="AI891" s="11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84</v>
      </c>
      <c r="C892" s="83">
        <v>9218</v>
      </c>
      <c r="D892" s="32">
        <f>650*10+9.5*10</f>
        <v>6595</v>
      </c>
      <c r="E892" s="32"/>
      <c r="F892" s="32"/>
      <c r="G892" s="32">
        <f t="shared" ref="G892:G925" si="258">SUM(D892:E892)</f>
        <v>6595</v>
      </c>
      <c r="H892" s="12"/>
      <c r="I892" s="12"/>
      <c r="J892" s="12"/>
      <c r="K892" s="12">
        <f t="shared" ref="K892:K925" si="259">SUM(G892:J892)</f>
        <v>6595</v>
      </c>
      <c r="M892" s="10">
        <v>1</v>
      </c>
      <c r="N892" s="30" t="s">
        <v>84</v>
      </c>
      <c r="O892" s="31">
        <v>9269</v>
      </c>
      <c r="P892" s="32">
        <f>650*4+38</f>
        <v>2638</v>
      </c>
      <c r="Q892" s="32"/>
      <c r="R892" s="32"/>
      <c r="S892" s="32">
        <f>SUM(P892:Q892)</f>
        <v>2638</v>
      </c>
      <c r="T892" s="12"/>
      <c r="U892" s="12"/>
      <c r="V892" s="12"/>
      <c r="W892" s="12">
        <f>SUM(S892:V892)</f>
        <v>2638</v>
      </c>
      <c r="Y892" s="10">
        <v>1</v>
      </c>
      <c r="Z892" s="30" t="s">
        <v>84</v>
      </c>
      <c r="AA892" s="31">
        <v>9180</v>
      </c>
      <c r="AB892" s="32">
        <f>650*6+670*2+650*5+9.5*6+47.5</f>
        <v>8594.5</v>
      </c>
      <c r="AC892" s="32"/>
      <c r="AD892" s="32"/>
      <c r="AE892" s="32">
        <f>SUM(AB892:AC892)</f>
        <v>8594.5</v>
      </c>
      <c r="AF892" s="12"/>
      <c r="AG892" s="12"/>
      <c r="AH892" s="12"/>
      <c r="AI892" s="12">
        <f>SUM(AE892:AH892)</f>
        <v>8594.5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84</v>
      </c>
      <c r="C893" s="83">
        <f>C892+1</f>
        <v>9219</v>
      </c>
      <c r="D893" s="32">
        <f>650*324+229*13</f>
        <v>213577</v>
      </c>
      <c r="E893" s="32">
        <f>-324*6</f>
        <v>-1944</v>
      </c>
      <c r="F893" s="32"/>
      <c r="G893" s="32">
        <f t="shared" si="258"/>
        <v>211633</v>
      </c>
      <c r="H893" s="12"/>
      <c r="I893" s="12">
        <v>390</v>
      </c>
      <c r="J893" s="12">
        <f>-1200+-14430+-2109+-1512</f>
        <v>-19251</v>
      </c>
      <c r="K893" s="12">
        <f t="shared" si="259"/>
        <v>192772</v>
      </c>
      <c r="M893" s="10">
        <v>2</v>
      </c>
      <c r="N893" s="30" t="s">
        <v>84</v>
      </c>
      <c r="O893" s="31">
        <f>O892+1</f>
        <v>9270</v>
      </c>
      <c r="P893" s="32">
        <f>650*5</f>
        <v>3250</v>
      </c>
      <c r="Q893" s="32"/>
      <c r="R893" s="32"/>
      <c r="S893" s="32">
        <f t="shared" ref="S893:S930" si="260">SUM(P893:Q893)</f>
        <v>3250</v>
      </c>
      <c r="T893" s="12"/>
      <c r="U893" s="12"/>
      <c r="V893" s="12"/>
      <c r="W893" s="12">
        <f t="shared" ref="W893:W933" si="261">SUM(S893:V893)</f>
        <v>3250</v>
      </c>
      <c r="Y893" s="10">
        <v>2</v>
      </c>
      <c r="Z893" s="30" t="s">
        <v>84</v>
      </c>
      <c r="AA893" s="31">
        <f>AA892+1</f>
        <v>9181</v>
      </c>
      <c r="AB893" s="32">
        <f>650*12+670*2+872+114</f>
        <v>10126</v>
      </c>
      <c r="AD893" s="32"/>
      <c r="AE893" s="32">
        <f t="shared" ref="AE893:AE894" si="262">SUM(AB893:AC893)</f>
        <v>10126</v>
      </c>
      <c r="AF893" s="12"/>
      <c r="AG893" s="12">
        <v>9</v>
      </c>
      <c r="AI893" s="12">
        <f t="shared" ref="AI893:AI894" si="263">SUM(AE893:AH893)</f>
        <v>10135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84</v>
      </c>
      <c r="C894" s="83">
        <f t="shared" ref="C894:C902" si="264">C893+1</f>
        <v>9220</v>
      </c>
      <c r="D894" s="33">
        <f>650*10+2010+1866+123.5</f>
        <v>10499.5</v>
      </c>
      <c r="E894" s="33"/>
      <c r="F894" s="33"/>
      <c r="G894" s="33">
        <f t="shared" si="258"/>
        <v>10499.5</v>
      </c>
      <c r="H894" s="34"/>
      <c r="I894" s="34">
        <f>111+27</f>
        <v>138</v>
      </c>
      <c r="J894" s="34"/>
      <c r="K894" s="34">
        <f t="shared" si="259"/>
        <v>10637.5</v>
      </c>
      <c r="M894" s="10">
        <v>3</v>
      </c>
      <c r="N894" s="30" t="s">
        <v>84</v>
      </c>
      <c r="O894" s="31">
        <f t="shared" ref="O894:O912" si="265">O893+1</f>
        <v>9271</v>
      </c>
      <c r="P894" s="32">
        <f>650*25+622*5+229</f>
        <v>19589</v>
      </c>
      <c r="Q894" s="32"/>
      <c r="R894" s="32"/>
      <c r="S894" s="32">
        <f t="shared" si="260"/>
        <v>19589</v>
      </c>
      <c r="T894" s="12"/>
      <c r="U894" s="12">
        <v>78</v>
      </c>
      <c r="V894" s="12"/>
      <c r="W894" s="12">
        <f t="shared" si="261"/>
        <v>19667</v>
      </c>
      <c r="Y894" s="10">
        <v>3</v>
      </c>
      <c r="Z894" s="30" t="s">
        <v>84</v>
      </c>
      <c r="AA894" s="31">
        <f t="shared" ref="AA894:AA903" si="266">AA893+1</f>
        <v>9182</v>
      </c>
      <c r="AB894" s="32">
        <f>650*4+622*2+9.5*6</f>
        <v>3901</v>
      </c>
      <c r="AC894" s="33"/>
      <c r="AD894" s="32"/>
      <c r="AE894" s="32">
        <f t="shared" si="262"/>
        <v>3901</v>
      </c>
      <c r="AF894" s="12"/>
      <c r="AG894" s="12">
        <f>4.5*22</f>
        <v>99</v>
      </c>
      <c r="AH894" s="12"/>
      <c r="AI894" s="12">
        <f t="shared" si="263"/>
        <v>4000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84</v>
      </c>
      <c r="C895" s="83">
        <f t="shared" si="264"/>
        <v>9221</v>
      </c>
      <c r="D895" s="32">
        <f>650*20+622*6+1050*2+872+229+500*2</f>
        <v>20933</v>
      </c>
      <c r="E895" s="32"/>
      <c r="F895" s="32"/>
      <c r="G895" s="32">
        <f t="shared" si="258"/>
        <v>20933</v>
      </c>
      <c r="H895" s="12"/>
      <c r="I895" s="12"/>
      <c r="J895" s="12"/>
      <c r="K895" s="12">
        <f t="shared" si="259"/>
        <v>20933</v>
      </c>
      <c r="M895" s="10">
        <v>4</v>
      </c>
      <c r="N895" s="30" t="s">
        <v>84</v>
      </c>
      <c r="O895" s="31">
        <f t="shared" si="265"/>
        <v>9272</v>
      </c>
      <c r="P895" s="32">
        <f>650*10+670*2+622*3+9.5*13</f>
        <v>9829.5</v>
      </c>
      <c r="Q895" s="32"/>
      <c r="R895" s="32"/>
      <c r="S895" s="32">
        <f t="shared" si="260"/>
        <v>9829.5</v>
      </c>
      <c r="T895" s="12"/>
      <c r="U895" s="12"/>
      <c r="V895" s="12"/>
      <c r="W895" s="12">
        <f t="shared" si="261"/>
        <v>9829.5</v>
      </c>
      <c r="Y895" s="10">
        <v>4</v>
      </c>
      <c r="Z895" s="30" t="s">
        <v>84</v>
      </c>
      <c r="AA895" s="31">
        <f t="shared" si="266"/>
        <v>9183</v>
      </c>
      <c r="AB895" s="32">
        <f>650*2+622*2+912+9.5*4</f>
        <v>3494</v>
      </c>
      <c r="AC895" s="32"/>
      <c r="AD895" s="32"/>
      <c r="AE895" s="32">
        <f>SUM(AB895:AC895)</f>
        <v>3494</v>
      </c>
      <c r="AF895" s="12"/>
      <c r="AH895" s="12"/>
      <c r="AI895" s="12">
        <f>SUM(AE895:AH895)</f>
        <v>3494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84</v>
      </c>
      <c r="C896" s="83">
        <f t="shared" si="264"/>
        <v>9222</v>
      </c>
      <c r="D896" s="32">
        <f>670</f>
        <v>670</v>
      </c>
      <c r="E896" s="32"/>
      <c r="F896" s="32"/>
      <c r="G896" s="32">
        <f t="shared" si="258"/>
        <v>670</v>
      </c>
      <c r="H896" s="12"/>
      <c r="I896" s="12"/>
      <c r="J896" s="12"/>
      <c r="K896" s="12">
        <f t="shared" si="259"/>
        <v>670</v>
      </c>
      <c r="M896" s="10">
        <v>5</v>
      </c>
      <c r="N896" s="30" t="s">
        <v>84</v>
      </c>
      <c r="O896" s="31">
        <f t="shared" si="265"/>
        <v>9273</v>
      </c>
      <c r="P896" s="32">
        <f>650*2+9.5*2</f>
        <v>1319</v>
      </c>
      <c r="Q896" s="32"/>
      <c r="R896" s="32"/>
      <c r="S896" s="32">
        <f t="shared" si="260"/>
        <v>1319</v>
      </c>
      <c r="T896" s="12"/>
      <c r="U896" s="12"/>
      <c r="V896" s="12"/>
      <c r="W896" s="12">
        <f t="shared" si="261"/>
        <v>1319</v>
      </c>
      <c r="Y896" s="10">
        <v>5</v>
      </c>
      <c r="Z896" s="30" t="s">
        <v>84</v>
      </c>
      <c r="AA896" s="31">
        <f t="shared" si="266"/>
        <v>9184</v>
      </c>
      <c r="AB896" s="33">
        <f>650*32+670*2+622*16+458</f>
        <v>32550</v>
      </c>
      <c r="AC896" s="32">
        <v>-300</v>
      </c>
      <c r="AD896" s="32"/>
      <c r="AE896" s="32">
        <f>SUM(AB896:AC896)</f>
        <v>32250</v>
      </c>
      <c r="AF896" s="12"/>
      <c r="AG896" s="12">
        <f>14*111</f>
        <v>1554</v>
      </c>
      <c r="AH896" s="12"/>
      <c r="AI896" s="12">
        <f t="shared" ref="AI896:AI933" si="267">SUM(AE896:AH896)</f>
        <v>33804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84</v>
      </c>
      <c r="C897" s="83">
        <f t="shared" si="264"/>
        <v>9223</v>
      </c>
      <c r="D897" s="32">
        <f>650+9.5</f>
        <v>659.5</v>
      </c>
      <c r="E897" s="32"/>
      <c r="F897" s="32"/>
      <c r="G897" s="32">
        <f t="shared" si="258"/>
        <v>659.5</v>
      </c>
      <c r="H897" s="12"/>
      <c r="I897" s="12"/>
      <c r="J897" s="12"/>
      <c r="K897" s="12">
        <f t="shared" si="259"/>
        <v>659.5</v>
      </c>
      <c r="M897" s="10">
        <v>6</v>
      </c>
      <c r="N897" s="30" t="s">
        <v>84</v>
      </c>
      <c r="O897" s="31">
        <f t="shared" si="265"/>
        <v>9274</v>
      </c>
      <c r="P897" s="32">
        <f>650*6</f>
        <v>3900</v>
      </c>
      <c r="Q897" s="32"/>
      <c r="R897" s="32"/>
      <c r="S897" s="32">
        <f t="shared" si="260"/>
        <v>3900</v>
      </c>
      <c r="T897" s="12"/>
      <c r="U897" s="12"/>
      <c r="V897" s="10"/>
      <c r="W897" s="12">
        <f t="shared" si="261"/>
        <v>3900</v>
      </c>
      <c r="Y897" s="10">
        <v>6</v>
      </c>
      <c r="Z897" s="30" t="s">
        <v>84</v>
      </c>
      <c r="AA897" s="31">
        <f t="shared" si="266"/>
        <v>9185</v>
      </c>
      <c r="AB897" s="32">
        <f>650*25+670+622*5+229</f>
        <v>20259</v>
      </c>
      <c r="AC897" s="32"/>
      <c r="AD897" s="32"/>
      <c r="AE897" s="32">
        <f t="shared" ref="AE897:AE930" si="268">SUM(AB897:AC897)</f>
        <v>20259</v>
      </c>
      <c r="AF897" s="12"/>
      <c r="AG897" s="12">
        <v>108</v>
      </c>
      <c r="AH897" s="10"/>
      <c r="AI897" s="12">
        <f t="shared" si="267"/>
        <v>20367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84</v>
      </c>
      <c r="C898" s="83">
        <f t="shared" si="264"/>
        <v>9224</v>
      </c>
      <c r="D898" s="32">
        <f>650*3+9.5*3</f>
        <v>1978.5</v>
      </c>
      <c r="E898" s="32"/>
      <c r="F898" s="32"/>
      <c r="G898" s="32">
        <f t="shared" si="258"/>
        <v>1978.5</v>
      </c>
      <c r="H898" s="12"/>
      <c r="I898" s="12"/>
      <c r="J898" s="12"/>
      <c r="K898" s="12">
        <f t="shared" si="259"/>
        <v>1978.5</v>
      </c>
      <c r="M898" s="10">
        <v>7</v>
      </c>
      <c r="N898" s="30" t="s">
        <v>84</v>
      </c>
      <c r="O898" s="31">
        <f t="shared" si="265"/>
        <v>9275</v>
      </c>
      <c r="P898" s="32">
        <f>650*5+9.5*17</f>
        <v>3411.5</v>
      </c>
      <c r="Q898" s="32"/>
      <c r="R898" s="32"/>
      <c r="S898" s="32">
        <f t="shared" si="260"/>
        <v>3411.5</v>
      </c>
      <c r="T898" s="12"/>
      <c r="U898" s="12"/>
      <c r="V898" s="12"/>
      <c r="W898" s="12">
        <f t="shared" si="261"/>
        <v>3411.5</v>
      </c>
      <c r="Y898" s="10">
        <v>7</v>
      </c>
      <c r="Z898" s="30" t="s">
        <v>84</v>
      </c>
      <c r="AA898" s="31">
        <f t="shared" si="266"/>
        <v>9186</v>
      </c>
      <c r="AB898" s="32">
        <f>650*10+622*7+229</f>
        <v>11083</v>
      </c>
      <c r="AC898" s="32"/>
      <c r="AD898" s="32"/>
      <c r="AE898" s="32">
        <f t="shared" si="268"/>
        <v>11083</v>
      </c>
      <c r="AF898" s="12"/>
      <c r="AG898" s="58"/>
      <c r="AH898" s="12"/>
      <c r="AI898" s="12">
        <f t="shared" si="267"/>
        <v>11083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 t="s">
        <v>84</v>
      </c>
      <c r="C899" s="83">
        <f t="shared" si="264"/>
        <v>9225</v>
      </c>
      <c r="D899" s="32">
        <f>650*30</f>
        <v>19500</v>
      </c>
      <c r="E899" s="32"/>
      <c r="F899" s="32"/>
      <c r="G899" s="32">
        <f t="shared" si="258"/>
        <v>19500</v>
      </c>
      <c r="H899" s="12"/>
      <c r="I899" s="12">
        <v>54</v>
      </c>
      <c r="J899" s="12"/>
      <c r="K899" s="12">
        <f t="shared" si="259"/>
        <v>19554</v>
      </c>
      <c r="M899" s="10">
        <v>8</v>
      </c>
      <c r="N899" s="30" t="s">
        <v>84</v>
      </c>
      <c r="O899" s="31">
        <f t="shared" si="265"/>
        <v>9276</v>
      </c>
      <c r="P899" s="32">
        <f>650*5+670*2+9.5*5</f>
        <v>4637.5</v>
      </c>
      <c r="Q899" s="32"/>
      <c r="R899" s="32"/>
      <c r="S899" s="32">
        <f t="shared" si="260"/>
        <v>4637.5</v>
      </c>
      <c r="T899" s="12"/>
      <c r="U899" s="12"/>
      <c r="V899" s="12"/>
      <c r="W899" s="12">
        <f t="shared" si="261"/>
        <v>4637.5</v>
      </c>
      <c r="Y899" s="10">
        <v>8</v>
      </c>
      <c r="Z899" s="30" t="s">
        <v>84</v>
      </c>
      <c r="AA899" s="31">
        <f t="shared" si="266"/>
        <v>9187</v>
      </c>
      <c r="AB899" s="32">
        <f>650*50+229*2</f>
        <v>32958</v>
      </c>
      <c r="AC899" s="32">
        <v>-300</v>
      </c>
      <c r="AE899" s="32">
        <f t="shared" si="268"/>
        <v>32658</v>
      </c>
      <c r="AF899" s="12"/>
      <c r="AG899" s="12"/>
      <c r="AH899" s="12"/>
      <c r="AI899" s="12">
        <f t="shared" si="267"/>
        <v>32658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 t="s">
        <v>84</v>
      </c>
      <c r="C900" s="83">
        <f t="shared" si="264"/>
        <v>9226</v>
      </c>
      <c r="D900" s="32">
        <f>650*6+670*2+622*7</f>
        <v>9594</v>
      </c>
      <c r="E900" s="32"/>
      <c r="F900" s="32"/>
      <c r="G900" s="32">
        <f t="shared" si="258"/>
        <v>9594</v>
      </c>
      <c r="H900" s="12"/>
      <c r="I900" s="12"/>
      <c r="J900" s="12"/>
      <c r="K900" s="12">
        <f t="shared" si="259"/>
        <v>9594</v>
      </c>
      <c r="M900" s="10">
        <v>9</v>
      </c>
      <c r="N900" s="30" t="s">
        <v>84</v>
      </c>
      <c r="O900" s="31">
        <f t="shared" si="265"/>
        <v>9277</v>
      </c>
      <c r="P900" s="32">
        <f>650*55+622*2+229*2</f>
        <v>37452</v>
      </c>
      <c r="Q900" s="32"/>
      <c r="R900" s="32"/>
      <c r="S900" s="32">
        <f t="shared" si="260"/>
        <v>37452</v>
      </c>
      <c r="T900" s="12"/>
      <c r="U900" s="12">
        <v>216</v>
      </c>
      <c r="V900" s="12"/>
      <c r="W900" s="12">
        <f t="shared" si="261"/>
        <v>37668</v>
      </c>
      <c r="Y900" s="10">
        <v>9</v>
      </c>
      <c r="Z900" s="30" t="s">
        <v>84</v>
      </c>
      <c r="AA900" s="31">
        <f t="shared" si="266"/>
        <v>9188</v>
      </c>
      <c r="AB900">
        <f>650*70+670*5+622*25+916</f>
        <v>65316</v>
      </c>
      <c r="AC900" s="32">
        <v>-600</v>
      </c>
      <c r="AD900" s="32"/>
      <c r="AE900" s="32">
        <f t="shared" si="268"/>
        <v>64716</v>
      </c>
      <c r="AF900" s="12"/>
      <c r="AG900">
        <v>555</v>
      </c>
      <c r="AH900" s="12"/>
      <c r="AI900" s="12">
        <f t="shared" si="267"/>
        <v>65271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 t="s">
        <v>84</v>
      </c>
      <c r="C901" s="83">
        <f t="shared" si="264"/>
        <v>9227</v>
      </c>
      <c r="D901" s="32">
        <f>650*8</f>
        <v>5200</v>
      </c>
      <c r="E901" s="32"/>
      <c r="F901" s="32"/>
      <c r="G901" s="32">
        <f t="shared" si="258"/>
        <v>5200</v>
      </c>
      <c r="H901" s="12"/>
      <c r="I901" s="12"/>
      <c r="J901" s="12">
        <f>-26*111</f>
        <v>-2886</v>
      </c>
      <c r="K901" s="12">
        <f t="shared" si="259"/>
        <v>2314</v>
      </c>
      <c r="M901" s="10">
        <v>10</v>
      </c>
      <c r="N901" s="30" t="s">
        <v>84</v>
      </c>
      <c r="O901" s="31">
        <f t="shared" si="265"/>
        <v>9278</v>
      </c>
      <c r="P901" s="32">
        <f>650*5+670+47.5</f>
        <v>3967.5</v>
      </c>
      <c r="Q901" s="32"/>
      <c r="R901" s="32"/>
      <c r="S901" s="32">
        <f t="shared" si="260"/>
        <v>3967.5</v>
      </c>
      <c r="T901" s="12"/>
      <c r="U901" s="12"/>
      <c r="V901" s="12"/>
      <c r="W901" s="12">
        <f t="shared" si="261"/>
        <v>3967.5</v>
      </c>
      <c r="Y901" s="10">
        <v>10</v>
      </c>
      <c r="Z901" s="30" t="s">
        <v>84</v>
      </c>
      <c r="AA901" s="31">
        <f t="shared" si="266"/>
        <v>9189</v>
      </c>
      <c r="AB901" s="32">
        <f>650*53+670*2+622*10+229</f>
        <v>42239</v>
      </c>
      <c r="AC901" s="32"/>
      <c r="AD901" s="32"/>
      <c r="AE901" s="32">
        <f t="shared" si="268"/>
        <v>42239</v>
      </c>
      <c r="AF901" s="12"/>
      <c r="AG901" s="12"/>
      <c r="AH901" s="12"/>
      <c r="AI901" s="12">
        <f t="shared" si="267"/>
        <v>42239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 t="s">
        <v>84</v>
      </c>
      <c r="C902" s="83">
        <f t="shared" si="264"/>
        <v>9228</v>
      </c>
      <c r="D902" s="32">
        <f>650*3</f>
        <v>1950</v>
      </c>
      <c r="E902" s="32"/>
      <c r="F902" s="32"/>
      <c r="G902" s="32">
        <f t="shared" si="258"/>
        <v>1950</v>
      </c>
      <c r="H902" s="12"/>
      <c r="I902" s="12"/>
      <c r="J902" s="12"/>
      <c r="K902" s="12">
        <f t="shared" si="259"/>
        <v>1950</v>
      </c>
      <c r="M902" s="10">
        <v>11</v>
      </c>
      <c r="N902" s="30" t="s">
        <v>84</v>
      </c>
      <c r="O902" s="31">
        <f t="shared" si="265"/>
        <v>9279</v>
      </c>
      <c r="P902" s="32">
        <f>650*4+9.5*4</f>
        <v>2638</v>
      </c>
      <c r="Q902" s="32"/>
      <c r="R902" s="32"/>
      <c r="S902" s="32">
        <f t="shared" si="260"/>
        <v>2638</v>
      </c>
      <c r="T902" s="12"/>
      <c r="U902" s="12"/>
      <c r="V902" s="12"/>
      <c r="W902" s="12">
        <f t="shared" si="261"/>
        <v>2638</v>
      </c>
      <c r="Y902" s="10">
        <v>11</v>
      </c>
      <c r="Z902" s="30" t="s">
        <v>84</v>
      </c>
      <c r="AA902" s="31">
        <f t="shared" si="266"/>
        <v>9190</v>
      </c>
      <c r="AB902" s="32">
        <f>55900+14928+1744+916</f>
        <v>73488</v>
      </c>
      <c r="AC902" s="32">
        <v>-672</v>
      </c>
      <c r="AD902" s="32"/>
      <c r="AE902" s="32">
        <f t="shared" si="268"/>
        <v>72816</v>
      </c>
      <c r="AF902" s="12"/>
      <c r="AG902" s="12">
        <f>120+108</f>
        <v>228</v>
      </c>
      <c r="AH902" s="12">
        <f>-111*51</f>
        <v>-5661</v>
      </c>
      <c r="AI902" s="12">
        <f t="shared" si="267"/>
        <v>67383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/>
      <c r="C903" s="11" t="s">
        <v>27</v>
      </c>
      <c r="D903" s="32"/>
      <c r="E903" s="32"/>
      <c r="F903" s="32"/>
      <c r="G903" s="32">
        <f t="shared" si="258"/>
        <v>0</v>
      </c>
      <c r="H903" s="12"/>
      <c r="I903" s="12"/>
      <c r="J903" s="10"/>
      <c r="K903" s="12">
        <f t="shared" si="259"/>
        <v>0</v>
      </c>
      <c r="M903" s="10">
        <v>12</v>
      </c>
      <c r="N903" s="30" t="s">
        <v>84</v>
      </c>
      <c r="O903" s="31">
        <f t="shared" si="265"/>
        <v>9280</v>
      </c>
      <c r="P903" s="32">
        <f>650*7</f>
        <v>4550</v>
      </c>
      <c r="Q903" s="32"/>
      <c r="R903" s="32"/>
      <c r="S903" s="32">
        <f t="shared" si="260"/>
        <v>4550</v>
      </c>
      <c r="T903" s="12"/>
      <c r="U903" s="12"/>
      <c r="V903" s="12"/>
      <c r="W903" s="12">
        <f t="shared" si="261"/>
        <v>4550</v>
      </c>
      <c r="Y903" s="10">
        <v>12</v>
      </c>
      <c r="Z903" s="30" t="s">
        <v>84</v>
      </c>
      <c r="AA903" s="31">
        <f t="shared" si="266"/>
        <v>9191</v>
      </c>
      <c r="AB903" s="32">
        <f>650*20+912+872*2</f>
        <v>15656</v>
      </c>
      <c r="AC903" s="32"/>
      <c r="AD903" s="32"/>
      <c r="AE903" s="32">
        <f t="shared" si="268"/>
        <v>15656</v>
      </c>
      <c r="AF903" s="12"/>
      <c r="AG903" s="12">
        <f>4.5*11</f>
        <v>49.5</v>
      </c>
      <c r="AH903" s="12"/>
      <c r="AI903" s="12">
        <f t="shared" si="267"/>
        <v>15705.5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/>
      <c r="C904" s="83"/>
      <c r="D904" s="32"/>
      <c r="E904" s="32"/>
      <c r="F904" s="32"/>
      <c r="G904" s="32">
        <f t="shared" si="258"/>
        <v>0</v>
      </c>
      <c r="H904" s="12"/>
      <c r="I904" s="12"/>
      <c r="J904" s="12"/>
      <c r="K904" s="12">
        <f t="shared" si="259"/>
        <v>0</v>
      </c>
      <c r="M904" s="10">
        <v>13</v>
      </c>
      <c r="N904" s="30" t="s">
        <v>84</v>
      </c>
      <c r="O904" s="31">
        <f t="shared" si="265"/>
        <v>9281</v>
      </c>
      <c r="P904" s="32">
        <f>650*2+622+9.5*3</f>
        <v>1950.5</v>
      </c>
      <c r="Q904" s="32"/>
      <c r="R904" s="32"/>
      <c r="S904" s="32">
        <f t="shared" si="260"/>
        <v>1950.5</v>
      </c>
      <c r="T904" s="12"/>
      <c r="U904" s="12"/>
      <c r="V904" s="12"/>
      <c r="W904" s="12">
        <f t="shared" si="261"/>
        <v>1950.5</v>
      </c>
      <c r="Y904" s="10">
        <v>13</v>
      </c>
      <c r="Z904" s="30"/>
      <c r="AA904" s="11" t="s">
        <v>27</v>
      </c>
      <c r="AB904" s="32"/>
      <c r="AC904" s="32"/>
      <c r="AD904" s="32"/>
      <c r="AE904" s="32">
        <f t="shared" si="268"/>
        <v>0</v>
      </c>
      <c r="AF904" s="12"/>
      <c r="AG904" s="12"/>
      <c r="AH904" s="12"/>
      <c r="AI904" s="12">
        <f t="shared" si="267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/>
      <c r="C905" s="83"/>
      <c r="D905" s="32"/>
      <c r="E905" s="32"/>
      <c r="F905" s="32"/>
      <c r="G905" s="32">
        <f t="shared" si="258"/>
        <v>0</v>
      </c>
      <c r="H905" s="12"/>
      <c r="I905" s="12"/>
      <c r="J905" s="12"/>
      <c r="K905" s="12">
        <f t="shared" si="259"/>
        <v>0</v>
      </c>
      <c r="M905" s="10">
        <v>14</v>
      </c>
      <c r="N905" s="30" t="s">
        <v>84</v>
      </c>
      <c r="O905" s="31">
        <f t="shared" si="265"/>
        <v>9282</v>
      </c>
      <c r="P905" s="32">
        <f>650*7+622+912+9.5*8</f>
        <v>6160</v>
      </c>
      <c r="Q905" s="32"/>
      <c r="R905" s="32"/>
      <c r="S905" s="32">
        <f t="shared" si="260"/>
        <v>6160</v>
      </c>
      <c r="T905" s="12"/>
      <c r="U905" s="12"/>
      <c r="V905" s="12"/>
      <c r="W905" s="12">
        <f t="shared" si="261"/>
        <v>6160</v>
      </c>
      <c r="Y905" s="10">
        <v>14</v>
      </c>
      <c r="Z905" s="30"/>
      <c r="AA905" s="31"/>
      <c r="AB905" s="32"/>
      <c r="AC905" s="32"/>
      <c r="AD905" s="32"/>
      <c r="AE905" s="32">
        <f t="shared" si="268"/>
        <v>0</v>
      </c>
      <c r="AF905" s="12"/>
      <c r="AG905" s="12"/>
      <c r="AH905" s="12"/>
      <c r="AI905" s="12">
        <f t="shared" si="267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83"/>
      <c r="D906" s="32"/>
      <c r="E906" s="32"/>
      <c r="F906" s="32"/>
      <c r="G906" s="32">
        <f t="shared" si="258"/>
        <v>0</v>
      </c>
      <c r="H906" s="12"/>
      <c r="I906" s="12"/>
      <c r="J906" s="12"/>
      <c r="K906" s="12">
        <f t="shared" si="259"/>
        <v>0</v>
      </c>
      <c r="M906" s="10">
        <v>15</v>
      </c>
      <c r="N906" s="30" t="s">
        <v>84</v>
      </c>
      <c r="O906" s="31">
        <f t="shared" si="265"/>
        <v>9283</v>
      </c>
      <c r="P906" s="32">
        <f>650*4+9.5*4</f>
        <v>2638</v>
      </c>
      <c r="Q906" s="32"/>
      <c r="R906" s="32"/>
      <c r="S906" s="32">
        <f t="shared" si="260"/>
        <v>2638</v>
      </c>
      <c r="T906" s="12"/>
      <c r="U906" s="12"/>
      <c r="V906" s="12"/>
      <c r="W906" s="12">
        <f t="shared" si="261"/>
        <v>2638</v>
      </c>
      <c r="Y906" s="10">
        <v>15</v>
      </c>
      <c r="Z906" s="30"/>
      <c r="AB906" s="32"/>
      <c r="AC906" s="32"/>
      <c r="AD906" s="32"/>
      <c r="AE906" s="32">
        <f t="shared" si="268"/>
        <v>0</v>
      </c>
      <c r="AF906" s="12"/>
      <c r="AG906" s="12"/>
      <c r="AH906" s="12"/>
      <c r="AI906" s="12">
        <f t="shared" si="267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D907" s="32"/>
      <c r="E907" s="32"/>
      <c r="F907" s="32"/>
      <c r="G907" s="32">
        <f t="shared" si="258"/>
        <v>0</v>
      </c>
      <c r="H907" s="12"/>
      <c r="I907" s="12"/>
      <c r="J907" s="12"/>
      <c r="K907" s="12">
        <f t="shared" si="259"/>
        <v>0</v>
      </c>
      <c r="M907" s="10">
        <v>16</v>
      </c>
      <c r="N907" s="30" t="s">
        <v>84</v>
      </c>
      <c r="O907" s="31">
        <f t="shared" si="265"/>
        <v>9284</v>
      </c>
      <c r="P907" s="32">
        <f>650*4+9.5*4</f>
        <v>2638</v>
      </c>
      <c r="Q907" s="32"/>
      <c r="R907" s="32"/>
      <c r="S907" s="32">
        <f t="shared" si="260"/>
        <v>2638</v>
      </c>
      <c r="T907" s="12"/>
      <c r="U907" s="12"/>
      <c r="V907" s="12"/>
      <c r="W907" s="12">
        <f t="shared" si="261"/>
        <v>2638</v>
      </c>
      <c r="Y907" s="10">
        <v>16</v>
      </c>
      <c r="Z907" s="30"/>
      <c r="AA907" s="31"/>
      <c r="AB907" s="32"/>
      <c r="AC907" s="32"/>
      <c r="AD907" s="32"/>
      <c r="AE907" s="32">
        <f t="shared" si="268"/>
        <v>0</v>
      </c>
      <c r="AF907" s="12"/>
      <c r="AG907" s="12"/>
      <c r="AH907" s="12"/>
      <c r="AI907" s="12">
        <f t="shared" si="267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83"/>
      <c r="D908" s="32"/>
      <c r="E908" s="32"/>
      <c r="F908" s="32"/>
      <c r="G908" s="32">
        <f t="shared" si="258"/>
        <v>0</v>
      </c>
      <c r="H908" s="12"/>
      <c r="I908" s="12"/>
      <c r="J908" s="12"/>
      <c r="K908" s="12">
        <f t="shared" si="259"/>
        <v>0</v>
      </c>
      <c r="M908" s="10">
        <v>17</v>
      </c>
      <c r="N908" s="30" t="s">
        <v>84</v>
      </c>
      <c r="O908" s="31">
        <f t="shared" si="265"/>
        <v>9285</v>
      </c>
      <c r="P908" s="35">
        <f>650*5+47</f>
        <v>3297</v>
      </c>
      <c r="Q908" s="32"/>
      <c r="R908" s="32"/>
      <c r="S908" s="32">
        <f t="shared" si="260"/>
        <v>3297</v>
      </c>
      <c r="T908" s="12"/>
      <c r="U908" s="12">
        <v>7</v>
      </c>
      <c r="V908" s="12"/>
      <c r="W908" s="12">
        <f t="shared" si="261"/>
        <v>3304</v>
      </c>
      <c r="Y908" s="10">
        <v>17</v>
      </c>
      <c r="Z908" s="30"/>
      <c r="AA908" s="31"/>
      <c r="AB908" s="35"/>
      <c r="AC908" s="32"/>
      <c r="AD908" s="32"/>
      <c r="AE908" s="32">
        <f t="shared" si="268"/>
        <v>0</v>
      </c>
      <c r="AF908" s="12"/>
      <c r="AG908" s="12"/>
      <c r="AH908" s="12"/>
      <c r="AI908" s="12">
        <f t="shared" si="267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83"/>
      <c r="D909" s="32"/>
      <c r="E909" s="32"/>
      <c r="F909" s="32"/>
      <c r="G909" s="32">
        <f t="shared" si="258"/>
        <v>0</v>
      </c>
      <c r="H909" s="12"/>
      <c r="I909" s="12"/>
      <c r="J909" s="12"/>
      <c r="K909" s="12">
        <f t="shared" si="259"/>
        <v>0</v>
      </c>
      <c r="M909" s="10">
        <v>18</v>
      </c>
      <c r="N909" s="30" t="s">
        <v>84</v>
      </c>
      <c r="O909" s="31">
        <f t="shared" si="265"/>
        <v>9286</v>
      </c>
      <c r="P909" s="32">
        <f>650*3+9.5*3</f>
        <v>1978.5</v>
      </c>
      <c r="Q909" s="32"/>
      <c r="R909" s="32"/>
      <c r="S909" s="32">
        <f t="shared" si="260"/>
        <v>1978.5</v>
      </c>
      <c r="T909" s="12"/>
      <c r="U909" s="12"/>
      <c r="V909" s="12"/>
      <c r="W909" s="12">
        <f t="shared" si="261"/>
        <v>1978.5</v>
      </c>
      <c r="Y909" s="10">
        <v>18</v>
      </c>
      <c r="Z909" s="30"/>
      <c r="AA909" s="31"/>
      <c r="AB909" s="32"/>
      <c r="AC909" s="32"/>
      <c r="AD909" s="32"/>
      <c r="AE909" s="32">
        <f t="shared" si="268"/>
        <v>0</v>
      </c>
      <c r="AF909" s="12"/>
      <c r="AG909" s="12"/>
      <c r="AH909" s="12"/>
      <c r="AI909" s="12">
        <f t="shared" si="267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83"/>
      <c r="D910" s="32"/>
      <c r="E910" s="32"/>
      <c r="F910" s="32"/>
      <c r="G910" s="32">
        <f t="shared" si="258"/>
        <v>0</v>
      </c>
      <c r="H910" s="12"/>
      <c r="I910" s="12"/>
      <c r="J910" s="12"/>
      <c r="K910" s="12">
        <f t="shared" si="259"/>
        <v>0</v>
      </c>
      <c r="M910" s="10">
        <v>19</v>
      </c>
      <c r="N910" s="30" t="s">
        <v>84</v>
      </c>
      <c r="O910" s="31">
        <f t="shared" si="265"/>
        <v>9287</v>
      </c>
      <c r="P910" s="32">
        <f>650*7+700*2+622</f>
        <v>6572</v>
      </c>
      <c r="Q910" s="32"/>
      <c r="R910" s="32"/>
      <c r="S910" s="32">
        <f t="shared" si="260"/>
        <v>6572</v>
      </c>
      <c r="T910" s="12"/>
      <c r="U910" s="12"/>
      <c r="V910" s="12"/>
      <c r="W910" s="12">
        <f t="shared" si="261"/>
        <v>6572</v>
      </c>
      <c r="Y910" s="10">
        <v>19</v>
      </c>
      <c r="Z910" s="30"/>
      <c r="AA910" s="31"/>
      <c r="AB910" s="32"/>
      <c r="AC910" s="32"/>
      <c r="AD910" s="32"/>
      <c r="AE910" s="32">
        <f t="shared" si="268"/>
        <v>0</v>
      </c>
      <c r="AF910" s="12"/>
      <c r="AG910" s="12"/>
      <c r="AH910" s="12"/>
      <c r="AI910" s="12">
        <f t="shared" si="267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83"/>
      <c r="D911" s="32"/>
      <c r="E911" s="32"/>
      <c r="F911" s="32"/>
      <c r="G911" s="32">
        <f t="shared" si="258"/>
        <v>0</v>
      </c>
      <c r="H911" s="12"/>
      <c r="I911" s="12"/>
      <c r="J911" s="12"/>
      <c r="K911" s="12">
        <f t="shared" si="259"/>
        <v>0</v>
      </c>
      <c r="M911" s="10">
        <v>20</v>
      </c>
      <c r="N911" s="30" t="s">
        <v>84</v>
      </c>
      <c r="O911" s="31">
        <f t="shared" si="265"/>
        <v>9288</v>
      </c>
      <c r="P911" s="32">
        <f>650*3+9.5*3</f>
        <v>1978.5</v>
      </c>
      <c r="Q911" s="32"/>
      <c r="R911" s="32"/>
      <c r="S911" s="32">
        <f t="shared" si="260"/>
        <v>1978.5</v>
      </c>
      <c r="T911" s="12"/>
      <c r="U911" s="12"/>
      <c r="V911" s="12"/>
      <c r="W911" s="12">
        <f t="shared" si="261"/>
        <v>1978.5</v>
      </c>
      <c r="Y911" s="10">
        <v>20</v>
      </c>
      <c r="Z911" s="30"/>
      <c r="AA911" s="31"/>
      <c r="AB911" s="32"/>
      <c r="AC911" s="32"/>
      <c r="AD911" s="32"/>
      <c r="AE911" s="32">
        <f t="shared" si="268"/>
        <v>0</v>
      </c>
      <c r="AF911" s="12"/>
      <c r="AG911" s="12"/>
      <c r="AH911" s="12"/>
      <c r="AI911" s="12">
        <f t="shared" si="267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83"/>
      <c r="D912" s="32"/>
      <c r="E912" s="32"/>
      <c r="F912" s="32"/>
      <c r="G912" s="32">
        <f t="shared" si="258"/>
        <v>0</v>
      </c>
      <c r="H912" s="10"/>
      <c r="I912" s="10"/>
      <c r="J912" s="10"/>
      <c r="K912" s="12">
        <f t="shared" si="259"/>
        <v>0</v>
      </c>
      <c r="M912" s="10">
        <v>21</v>
      </c>
      <c r="N912" s="30" t="s">
        <v>84</v>
      </c>
      <c r="O912" s="31">
        <f t="shared" si="265"/>
        <v>9289</v>
      </c>
      <c r="P912" s="92">
        <f>650*3</f>
        <v>1950</v>
      </c>
      <c r="Q912" s="31"/>
      <c r="R912" s="31"/>
      <c r="S912" s="32">
        <f t="shared" si="260"/>
        <v>1950</v>
      </c>
      <c r="T912" s="10"/>
      <c r="U912" s="10"/>
      <c r="V912" s="10"/>
      <c r="W912" s="12">
        <f t="shared" si="261"/>
        <v>1950</v>
      </c>
      <c r="Y912" s="10">
        <v>21</v>
      </c>
      <c r="Z912" s="30"/>
      <c r="AB912" s="46"/>
      <c r="AC912" s="31"/>
      <c r="AD912" s="31"/>
      <c r="AE912" s="32">
        <f t="shared" si="268"/>
        <v>0</v>
      </c>
      <c r="AF912" s="10"/>
      <c r="AG912" s="10"/>
      <c r="AH912" s="10"/>
      <c r="AI912" s="12">
        <f t="shared" si="267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83"/>
      <c r="D913" s="32"/>
      <c r="E913" s="32"/>
      <c r="F913" s="32"/>
      <c r="G913" s="32">
        <f t="shared" si="258"/>
        <v>0</v>
      </c>
      <c r="H913" s="10"/>
      <c r="I913" s="10"/>
      <c r="J913" s="10"/>
      <c r="K913" s="12">
        <f t="shared" si="259"/>
        <v>0</v>
      </c>
      <c r="M913" s="10">
        <v>22</v>
      </c>
      <c r="N913" s="30"/>
      <c r="O913" s="11" t="s">
        <v>27</v>
      </c>
      <c r="P913" s="92"/>
      <c r="Q913" s="31"/>
      <c r="R913" s="31"/>
      <c r="S913" s="32">
        <f t="shared" si="260"/>
        <v>0</v>
      </c>
      <c r="T913" s="10"/>
      <c r="U913" s="10"/>
      <c r="V913" s="10"/>
      <c r="W913" s="12">
        <f t="shared" si="261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68"/>
        <v>0</v>
      </c>
      <c r="AF913" s="10"/>
      <c r="AG913" s="10"/>
      <c r="AH913" s="10"/>
      <c r="AI913" s="12">
        <f t="shared" si="267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83"/>
      <c r="D914" s="32"/>
      <c r="E914" s="32"/>
      <c r="F914" s="32"/>
      <c r="G914" s="32">
        <f t="shared" si="258"/>
        <v>0</v>
      </c>
      <c r="H914" s="10"/>
      <c r="I914" s="10"/>
      <c r="J914" s="12"/>
      <c r="K914" s="12">
        <f t="shared" si="259"/>
        <v>0</v>
      </c>
      <c r="M914" s="10">
        <v>23</v>
      </c>
      <c r="N914" s="30"/>
      <c r="O914" s="31"/>
      <c r="P914" s="47"/>
      <c r="Q914" s="31"/>
      <c r="S914" s="32">
        <f t="shared" si="260"/>
        <v>0</v>
      </c>
      <c r="T914" s="10"/>
      <c r="U914" s="10"/>
      <c r="V914" s="10"/>
      <c r="W914" s="12">
        <f t="shared" si="261"/>
        <v>0</v>
      </c>
      <c r="Y914" s="10">
        <v>23</v>
      </c>
      <c r="Z914" s="30"/>
      <c r="AA914" s="31"/>
      <c r="AB914" s="47"/>
      <c r="AC914" s="31"/>
      <c r="AE914" s="32">
        <f t="shared" si="268"/>
        <v>0</v>
      </c>
      <c r="AF914" s="10"/>
      <c r="AG914" s="10"/>
      <c r="AH914" s="10"/>
      <c r="AI914" s="12">
        <f t="shared" si="267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83"/>
      <c r="D915" s="32"/>
      <c r="E915" s="32"/>
      <c r="F915" s="32"/>
      <c r="G915" s="32">
        <f t="shared" si="258"/>
        <v>0</v>
      </c>
      <c r="H915" s="10"/>
      <c r="I915" s="10"/>
      <c r="J915" s="10"/>
      <c r="K915" s="12">
        <f t="shared" si="259"/>
        <v>0</v>
      </c>
      <c r="M915" s="10">
        <v>24</v>
      </c>
      <c r="N915" s="30"/>
      <c r="P915" s="47"/>
      <c r="Q915" s="31"/>
      <c r="R915" s="31"/>
      <c r="S915" s="32">
        <f t="shared" si="260"/>
        <v>0</v>
      </c>
      <c r="T915" s="10"/>
      <c r="U915" s="10"/>
      <c r="V915" s="10"/>
      <c r="W915" s="12">
        <f t="shared" si="261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68"/>
        <v>0</v>
      </c>
      <c r="AF915" s="10"/>
      <c r="AG915" s="10"/>
      <c r="AH915" s="10"/>
      <c r="AI915" s="12">
        <f t="shared" si="267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83"/>
      <c r="D916" s="32"/>
      <c r="E916" s="32"/>
      <c r="F916" s="32"/>
      <c r="G916" s="32">
        <f t="shared" si="258"/>
        <v>0</v>
      </c>
      <c r="H916" s="10"/>
      <c r="I916" s="10"/>
      <c r="J916" s="10"/>
      <c r="K916" s="12">
        <f t="shared" si="259"/>
        <v>0</v>
      </c>
      <c r="M916" s="10">
        <v>25</v>
      </c>
      <c r="N916" s="30"/>
      <c r="O916" s="31"/>
      <c r="P916" s="47"/>
      <c r="Q916" s="31"/>
      <c r="R916" s="31"/>
      <c r="S916" s="32">
        <f t="shared" si="260"/>
        <v>0</v>
      </c>
      <c r="T916" s="10"/>
      <c r="U916" s="10"/>
      <c r="V916" s="10"/>
      <c r="W916" s="12">
        <f t="shared" si="261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68"/>
        <v>0</v>
      </c>
      <c r="AF916" s="10"/>
      <c r="AG916" s="10"/>
      <c r="AH916" s="10"/>
      <c r="AI916" s="12">
        <f t="shared" si="267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83"/>
      <c r="D917" s="32"/>
      <c r="E917" s="32"/>
      <c r="F917" s="32"/>
      <c r="G917" s="32">
        <f t="shared" si="258"/>
        <v>0</v>
      </c>
      <c r="H917" s="10"/>
      <c r="I917" s="10"/>
      <c r="J917" s="10"/>
      <c r="K917" s="12">
        <f t="shared" si="259"/>
        <v>0</v>
      </c>
      <c r="M917" s="10">
        <v>26</v>
      </c>
      <c r="N917" s="30"/>
      <c r="O917" s="31"/>
      <c r="P917" s="47"/>
      <c r="Q917" s="31"/>
      <c r="R917" s="31"/>
      <c r="S917" s="32">
        <f t="shared" si="260"/>
        <v>0</v>
      </c>
      <c r="T917" s="10"/>
      <c r="U917" s="10"/>
      <c r="V917" s="10"/>
      <c r="W917" s="12">
        <f t="shared" si="261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68"/>
        <v>0</v>
      </c>
      <c r="AF917" s="10"/>
      <c r="AG917" s="10"/>
      <c r="AH917" s="10"/>
      <c r="AI917" s="12">
        <f t="shared" si="267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83"/>
      <c r="D918" s="32"/>
      <c r="E918" s="32"/>
      <c r="F918" s="32"/>
      <c r="G918" s="32">
        <f t="shared" si="258"/>
        <v>0</v>
      </c>
      <c r="H918" s="10"/>
      <c r="I918" s="10"/>
      <c r="J918" s="10"/>
      <c r="K918" s="12">
        <f t="shared" si="259"/>
        <v>0</v>
      </c>
      <c r="M918" s="10">
        <v>27</v>
      </c>
      <c r="N918" s="30"/>
      <c r="O918" s="31"/>
      <c r="P918" s="47"/>
      <c r="Q918" s="31"/>
      <c r="R918" s="31"/>
      <c r="S918" s="32">
        <f t="shared" si="260"/>
        <v>0</v>
      </c>
      <c r="T918" s="10"/>
      <c r="U918" s="10"/>
      <c r="V918" s="10"/>
      <c r="W918" s="12">
        <f t="shared" si="261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68"/>
        <v>0</v>
      </c>
      <c r="AF918" s="10"/>
      <c r="AG918" s="10"/>
      <c r="AH918" s="10"/>
      <c r="AI918" s="12">
        <f t="shared" si="267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83"/>
      <c r="D919" s="32"/>
      <c r="E919" s="32"/>
      <c r="F919" s="32"/>
      <c r="G919" s="32">
        <f t="shared" si="258"/>
        <v>0</v>
      </c>
      <c r="H919" s="10"/>
      <c r="I919" s="10"/>
      <c r="J919" s="10"/>
      <c r="K919" s="12">
        <f t="shared" si="259"/>
        <v>0</v>
      </c>
      <c r="M919" s="10">
        <v>28</v>
      </c>
      <c r="N919" s="30"/>
      <c r="O919" s="31"/>
      <c r="P919" s="47"/>
      <c r="Q919" s="31"/>
      <c r="R919" s="31"/>
      <c r="S919" s="32">
        <f t="shared" si="260"/>
        <v>0</v>
      </c>
      <c r="T919" s="10"/>
      <c r="U919" s="10"/>
      <c r="V919" s="10"/>
      <c r="W919" s="12">
        <f t="shared" si="261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68"/>
        <v>0</v>
      </c>
      <c r="AF919" s="10"/>
      <c r="AG919" s="10"/>
      <c r="AH919" s="10"/>
      <c r="AI919" s="12">
        <f t="shared" si="267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83"/>
      <c r="D920" s="32"/>
      <c r="E920" s="32"/>
      <c r="F920" s="32"/>
      <c r="G920" s="32">
        <f t="shared" si="258"/>
        <v>0</v>
      </c>
      <c r="H920" s="10"/>
      <c r="I920" s="10"/>
      <c r="J920" s="10"/>
      <c r="K920" s="12">
        <f t="shared" si="259"/>
        <v>0</v>
      </c>
      <c r="M920" s="10">
        <v>29</v>
      </c>
      <c r="N920" s="30"/>
      <c r="O920" s="31"/>
      <c r="P920" s="47"/>
      <c r="Q920" s="31"/>
      <c r="R920" s="31"/>
      <c r="S920" s="32">
        <f t="shared" si="260"/>
        <v>0</v>
      </c>
      <c r="T920" s="10"/>
      <c r="U920" s="10"/>
      <c r="V920" s="10"/>
      <c r="W920" s="12">
        <f t="shared" si="261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68"/>
        <v>0</v>
      </c>
      <c r="AF920" s="10"/>
      <c r="AG920" s="10"/>
      <c r="AH920" s="10"/>
      <c r="AI920" s="12">
        <f t="shared" si="267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57"/>
      <c r="D921" s="32"/>
      <c r="E921" s="32"/>
      <c r="F921" s="32"/>
      <c r="G921" s="32">
        <f t="shared" si="258"/>
        <v>0</v>
      </c>
      <c r="H921" s="10"/>
      <c r="I921" s="10"/>
      <c r="J921" s="10"/>
      <c r="K921" s="12">
        <f t="shared" si="259"/>
        <v>0</v>
      </c>
      <c r="M921" s="10">
        <v>30</v>
      </c>
      <c r="N921" s="30"/>
      <c r="P921" s="47"/>
      <c r="Q921" s="31"/>
      <c r="R921" s="31"/>
      <c r="S921" s="32">
        <f t="shared" si="260"/>
        <v>0</v>
      </c>
      <c r="T921" s="10"/>
      <c r="U921" s="10"/>
      <c r="V921" s="10"/>
      <c r="W921" s="12">
        <f t="shared" si="261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68"/>
        <v>0</v>
      </c>
      <c r="AF921" s="10"/>
      <c r="AG921" s="10"/>
      <c r="AH921" s="10"/>
      <c r="AI921" s="12">
        <f t="shared" si="267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11"/>
      <c r="D922" s="32"/>
      <c r="E922" s="32"/>
      <c r="F922" s="32"/>
      <c r="G922" s="32">
        <f t="shared" si="258"/>
        <v>0</v>
      </c>
      <c r="H922" s="10"/>
      <c r="I922" s="10"/>
      <c r="J922" s="10"/>
      <c r="K922" s="12">
        <f t="shared" si="259"/>
        <v>0</v>
      </c>
      <c r="M922" s="10">
        <v>31</v>
      </c>
      <c r="N922" s="30"/>
      <c r="O922" s="31"/>
      <c r="P922" s="47"/>
      <c r="Q922" s="31"/>
      <c r="R922" s="31"/>
      <c r="S922" s="32">
        <f t="shared" si="260"/>
        <v>0</v>
      </c>
      <c r="T922" s="10"/>
      <c r="U922" s="10"/>
      <c r="V922" s="10"/>
      <c r="W922" s="12">
        <f t="shared" si="261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68"/>
        <v>0</v>
      </c>
      <c r="AF922" s="10"/>
      <c r="AG922" s="10"/>
      <c r="AH922" s="10"/>
      <c r="AI922" s="12">
        <f t="shared" si="267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83"/>
      <c r="D923" s="32"/>
      <c r="E923" s="32"/>
      <c r="F923" s="32"/>
      <c r="G923" s="32">
        <f t="shared" si="258"/>
        <v>0</v>
      </c>
      <c r="H923" s="10"/>
      <c r="I923" s="10"/>
      <c r="J923" s="10"/>
      <c r="K923" s="12">
        <f t="shared" si="259"/>
        <v>0</v>
      </c>
      <c r="M923" s="10">
        <v>32</v>
      </c>
      <c r="N923" s="30"/>
      <c r="O923" s="31"/>
      <c r="P923" s="47"/>
      <c r="Q923" s="31"/>
      <c r="R923" s="31"/>
      <c r="S923" s="32">
        <f t="shared" si="260"/>
        <v>0</v>
      </c>
      <c r="T923" s="10"/>
      <c r="U923" s="10"/>
      <c r="V923" s="10"/>
      <c r="W923" s="12">
        <f t="shared" si="261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68"/>
        <v>0</v>
      </c>
      <c r="AF923" s="10"/>
      <c r="AG923" s="10"/>
      <c r="AH923" s="10"/>
      <c r="AI923" s="12">
        <f t="shared" si="267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83"/>
      <c r="D924" s="32"/>
      <c r="E924" s="32"/>
      <c r="F924" s="32"/>
      <c r="G924" s="32">
        <f t="shared" si="258"/>
        <v>0</v>
      </c>
      <c r="H924" s="10"/>
      <c r="I924" s="10"/>
      <c r="J924" s="10"/>
      <c r="K924" s="12">
        <f t="shared" si="259"/>
        <v>0</v>
      </c>
      <c r="M924" s="10">
        <v>33</v>
      </c>
      <c r="N924" s="30"/>
      <c r="O924" s="31"/>
      <c r="P924" s="47"/>
      <c r="Q924" s="31"/>
      <c r="R924" s="31"/>
      <c r="S924" s="32">
        <f t="shared" si="260"/>
        <v>0</v>
      </c>
      <c r="T924" s="10"/>
      <c r="U924" s="10"/>
      <c r="V924" s="10"/>
      <c r="W924" s="12">
        <f t="shared" si="261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68"/>
        <v>0</v>
      </c>
      <c r="AF924" s="10"/>
      <c r="AG924" s="10"/>
      <c r="AH924" s="10"/>
      <c r="AI924" s="12">
        <f t="shared" si="267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83"/>
      <c r="D925" s="32"/>
      <c r="E925" s="32"/>
      <c r="F925" s="32"/>
      <c r="G925" s="32">
        <f t="shared" si="258"/>
        <v>0</v>
      </c>
      <c r="H925" s="10"/>
      <c r="I925" s="10"/>
      <c r="J925" s="10"/>
      <c r="K925" s="12">
        <f t="shared" si="259"/>
        <v>0</v>
      </c>
      <c r="M925" s="10">
        <v>34</v>
      </c>
      <c r="N925" s="30"/>
      <c r="O925" s="31"/>
      <c r="P925" s="47"/>
      <c r="Q925" s="31"/>
      <c r="R925" s="31"/>
      <c r="S925" s="32">
        <f t="shared" si="260"/>
        <v>0</v>
      </c>
      <c r="T925" s="10"/>
      <c r="U925" s="10"/>
      <c r="V925" s="10"/>
      <c r="W925" s="12">
        <f t="shared" si="261"/>
        <v>0</v>
      </c>
      <c r="Y925" s="10">
        <v>34</v>
      </c>
      <c r="Z925" s="30"/>
      <c r="AA925" s="31"/>
      <c r="AB925" s="47"/>
      <c r="AC925" s="31"/>
      <c r="AD925" s="31"/>
      <c r="AE925" s="32">
        <f t="shared" si="268"/>
        <v>0</v>
      </c>
      <c r="AF925" s="10"/>
      <c r="AG925" s="10"/>
      <c r="AH925" s="10"/>
      <c r="AI925" s="12">
        <f t="shared" si="267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83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60"/>
        <v>0</v>
      </c>
      <c r="T926" s="10"/>
      <c r="U926" s="10"/>
      <c r="V926" s="10"/>
      <c r="W926" s="12">
        <f t="shared" si="261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68"/>
        <v>0</v>
      </c>
      <c r="AF926" s="10"/>
      <c r="AG926" s="10"/>
      <c r="AH926" s="10"/>
      <c r="AI926" s="12">
        <f t="shared" si="267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83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60"/>
        <v>0</v>
      </c>
      <c r="T927" s="10"/>
      <c r="U927" s="10"/>
      <c r="V927" s="10"/>
      <c r="W927" s="12">
        <f t="shared" si="261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68"/>
        <v>0</v>
      </c>
      <c r="AF927" s="10"/>
      <c r="AG927" s="10"/>
      <c r="AH927" s="10"/>
      <c r="AI927" s="12">
        <f t="shared" si="267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60"/>
        <v>0</v>
      </c>
      <c r="T928" s="10"/>
      <c r="U928" s="10"/>
      <c r="V928" s="10"/>
      <c r="W928" s="12">
        <f t="shared" si="261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68"/>
        <v>0</v>
      </c>
      <c r="AF928" s="10"/>
      <c r="AG928" s="10"/>
      <c r="AH928" s="10"/>
      <c r="AI928" s="12">
        <f t="shared" si="267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60"/>
        <v>0</v>
      </c>
      <c r="T929" s="10"/>
      <c r="U929" s="10"/>
      <c r="V929" s="10"/>
      <c r="W929" s="12">
        <f t="shared" si="261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68"/>
        <v>0</v>
      </c>
      <c r="AF929" s="10"/>
      <c r="AG929" s="10"/>
      <c r="AH929" s="10"/>
      <c r="AI929" s="12">
        <f t="shared" si="267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60"/>
        <v>0</v>
      </c>
      <c r="T930" s="10"/>
      <c r="U930" s="10"/>
      <c r="V930" s="10"/>
      <c r="W930" s="12">
        <f t="shared" si="261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68"/>
        <v>0</v>
      </c>
      <c r="AF930" s="10"/>
      <c r="AG930" s="10"/>
      <c r="AH930" s="10"/>
      <c r="AI930" s="12">
        <f t="shared" si="267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61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67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69">SUM(D932:E932)</f>
        <v>0</v>
      </c>
      <c r="H932" s="10"/>
      <c r="I932" s="10"/>
      <c r="J932" s="10"/>
      <c r="K932" s="12">
        <f t="shared" ref="K932" si="270">SUM(G932:J932)</f>
        <v>0</v>
      </c>
      <c r="M932" s="10"/>
      <c r="N932" s="30"/>
      <c r="O932" s="31"/>
      <c r="P932" s="47"/>
      <c r="Q932" s="31"/>
      <c r="R932" s="31"/>
      <c r="S932" s="32">
        <f t="shared" ref="S932" si="271">SUM(P932:Q932)</f>
        <v>0</v>
      </c>
      <c r="T932" s="10"/>
      <c r="U932" s="10"/>
      <c r="V932" s="10"/>
      <c r="W932" s="12">
        <f t="shared" si="261"/>
        <v>0</v>
      </c>
      <c r="Y932" s="10"/>
      <c r="Z932" s="30"/>
      <c r="AA932" s="31"/>
      <c r="AB932" s="47"/>
      <c r="AC932" s="31"/>
      <c r="AD932" s="31"/>
      <c r="AE932" s="32">
        <f t="shared" ref="AE932" si="272">SUM(AB932:AC932)</f>
        <v>0</v>
      </c>
      <c r="AF932" s="10"/>
      <c r="AG932" s="10"/>
      <c r="AH932" s="10"/>
      <c r="AI932" s="12">
        <f t="shared" si="267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61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67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291156.5</v>
      </c>
      <c r="E935" s="38">
        <f t="shared" ref="E935:F935" si="273">SUM(E892:E932)</f>
        <v>-1944</v>
      </c>
      <c r="F935" s="38">
        <f t="shared" si="273"/>
        <v>0</v>
      </c>
      <c r="G935" s="38">
        <f>SUM(G892:G934)</f>
        <v>289212.5</v>
      </c>
      <c r="H935" s="4"/>
      <c r="I935" s="39">
        <f>SUM(I892:I934)</f>
        <v>582</v>
      </c>
      <c r="J935" s="39">
        <f>SUM(J892:J934)</f>
        <v>-22137</v>
      </c>
      <c r="K935" s="40">
        <f>SUM(K892:K934)</f>
        <v>267657.5</v>
      </c>
      <c r="N935" s="57"/>
      <c r="O935" s="57"/>
      <c r="P935" s="38">
        <f>SUM(P892:P934)</f>
        <v>126344.5</v>
      </c>
      <c r="Q935" s="38">
        <f>SUM(Q892:Q916)</f>
        <v>0</v>
      </c>
      <c r="R935" s="38">
        <f>SUM(R892:R916)</f>
        <v>0</v>
      </c>
      <c r="S935" s="38">
        <f>SUM(S892:S934)</f>
        <v>126344.5</v>
      </c>
      <c r="T935" s="4"/>
      <c r="U935" s="41">
        <f>SUM(U892:U934)</f>
        <v>301</v>
      </c>
      <c r="V935" s="41">
        <f>SUM(V892:V916)</f>
        <v>0</v>
      </c>
      <c r="W935" s="42">
        <f>SUM(W892:W934)</f>
        <v>126645.5</v>
      </c>
      <c r="Z935" s="57"/>
      <c r="AA935" s="57"/>
      <c r="AB935" s="38">
        <f>SUM(AB892:AB934)</f>
        <v>319664.5</v>
      </c>
      <c r="AC935" s="38">
        <f>SUM(AC892:AC916)</f>
        <v>-1872</v>
      </c>
      <c r="AD935" s="38">
        <f>SUM(AD892:AD916)</f>
        <v>0</v>
      </c>
      <c r="AE935" s="38">
        <f>SUM(AE892:AE934)</f>
        <v>317792.5</v>
      </c>
      <c r="AF935" s="4"/>
      <c r="AG935" s="41">
        <f>SUM(AG892:AG934)</f>
        <v>2602.5</v>
      </c>
      <c r="AH935" s="41">
        <f>SUM(AH892:AH916)</f>
        <v>-5661</v>
      </c>
      <c r="AI935" s="42">
        <f>SUM(AI892:AI934)</f>
        <v>314734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62"/>
      <c r="B937" s="86"/>
      <c r="C937" s="86"/>
      <c r="D937" s="86"/>
      <c r="E937" s="86"/>
      <c r="F937" s="86"/>
      <c r="G937" s="86"/>
      <c r="H937" s="62"/>
      <c r="I937" s="62"/>
      <c r="J937" s="62"/>
      <c r="K937" s="62"/>
      <c r="L937" s="62"/>
      <c r="M937" s="62"/>
      <c r="N937" s="86"/>
      <c r="O937" s="86"/>
      <c r="P937" s="86"/>
      <c r="Q937" s="86"/>
      <c r="R937" s="86"/>
      <c r="S937" s="86"/>
      <c r="T937" s="62"/>
      <c r="U937" s="62"/>
      <c r="V937" s="62"/>
      <c r="W937" s="62"/>
      <c r="Y937" t="s">
        <v>0</v>
      </c>
      <c r="Z937" s="57"/>
      <c r="AA937" s="57"/>
      <c r="AB937" s="57"/>
      <c r="AC937" s="57"/>
      <c r="AD937" s="57"/>
      <c r="AE937" s="57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62"/>
      <c r="B938" s="86"/>
      <c r="C938" s="86"/>
      <c r="D938" s="86"/>
      <c r="E938" s="86"/>
      <c r="F938" s="86"/>
      <c r="G938" s="86"/>
      <c r="H938" s="62"/>
      <c r="I938" s="62"/>
      <c r="J938" s="62"/>
      <c r="K938" s="62"/>
      <c r="L938" s="62"/>
      <c r="M938" s="62"/>
      <c r="N938" s="86"/>
      <c r="O938" s="86"/>
      <c r="P938" s="86"/>
      <c r="Q938" s="86"/>
      <c r="R938" s="86"/>
      <c r="S938" s="86"/>
      <c r="T938" s="62"/>
      <c r="U938" s="62"/>
      <c r="V938" s="62"/>
      <c r="W938" s="62"/>
      <c r="Y938" t="s">
        <v>28</v>
      </c>
      <c r="Z938" s="57"/>
      <c r="AA938" s="57"/>
      <c r="AB938" s="57"/>
      <c r="AC938" s="57"/>
      <c r="AD938" s="57"/>
      <c r="AE938" s="57"/>
      <c r="AK938" s="62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62"/>
      <c r="B939" s="86"/>
      <c r="C939" s="86"/>
      <c r="D939" s="86"/>
      <c r="E939" s="86"/>
      <c r="F939" s="86"/>
      <c r="G939" s="86"/>
      <c r="H939" s="62"/>
      <c r="I939" s="62"/>
      <c r="J939" s="62"/>
      <c r="K939" s="62"/>
      <c r="L939" s="62"/>
      <c r="M939" s="62"/>
      <c r="N939" s="86"/>
      <c r="O939" s="86"/>
      <c r="P939" s="86"/>
      <c r="Q939" s="86"/>
      <c r="R939" s="86"/>
      <c r="S939" s="86"/>
      <c r="T939" s="62"/>
      <c r="U939" s="62"/>
      <c r="V939" s="62"/>
      <c r="W939" s="62"/>
      <c r="Z939" s="57"/>
      <c r="AA939" s="57"/>
      <c r="AB939" s="57"/>
      <c r="AC939" s="57"/>
      <c r="AD939" s="57"/>
      <c r="AE939" s="57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63"/>
      <c r="B940" s="86"/>
      <c r="C940" s="86"/>
      <c r="D940" s="86"/>
      <c r="E940" s="86"/>
      <c r="F940" s="86"/>
      <c r="G940" s="86"/>
      <c r="H940" s="62"/>
      <c r="I940" s="62"/>
      <c r="J940" s="62"/>
      <c r="K940" s="62"/>
      <c r="L940" s="62"/>
      <c r="M940" s="63"/>
      <c r="N940" s="86"/>
      <c r="O940" s="86"/>
      <c r="P940" s="86"/>
      <c r="Q940" s="86"/>
      <c r="R940" s="86"/>
      <c r="S940" s="86"/>
      <c r="T940" s="62"/>
      <c r="U940" s="62"/>
      <c r="V940" s="62"/>
      <c r="W940" s="62"/>
      <c r="Y940" s="4" t="s">
        <v>14</v>
      </c>
      <c r="Z940" s="57"/>
      <c r="AA940" s="57"/>
      <c r="AB940" s="57"/>
      <c r="AC940" s="57"/>
      <c r="AD940" s="57"/>
      <c r="AE940" s="57"/>
      <c r="AK940" s="63"/>
      <c r="AL940" s="86"/>
      <c r="AM940" s="86"/>
      <c r="AN940" s="86"/>
      <c r="AO940" s="86"/>
      <c r="AP940" s="86"/>
      <c r="AQ940" s="86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62"/>
      <c r="B941" s="86"/>
      <c r="C941" s="86"/>
      <c r="D941" s="86"/>
      <c r="E941" s="86"/>
      <c r="F941" s="86"/>
      <c r="G941" s="86"/>
      <c r="H941" s="62"/>
      <c r="I941" s="62"/>
      <c r="J941" s="62"/>
      <c r="K941" s="62"/>
      <c r="L941" s="62"/>
      <c r="M941" s="62"/>
      <c r="N941" s="86"/>
      <c r="O941" s="86"/>
      <c r="P941" s="86"/>
      <c r="Q941" s="86"/>
      <c r="R941" s="86"/>
      <c r="S941" s="86"/>
      <c r="T941" s="62"/>
      <c r="U941" s="62"/>
      <c r="V941" s="62"/>
      <c r="W941" s="62"/>
      <c r="Z941" s="57"/>
      <c r="AA941" s="57"/>
      <c r="AB941" s="57"/>
      <c r="AC941" s="57"/>
      <c r="AD941" s="57"/>
      <c r="AE941" s="57"/>
      <c r="AK941" s="62"/>
      <c r="AL941" s="86"/>
      <c r="AM941" s="86"/>
      <c r="AN941" s="86"/>
      <c r="AO941" s="86"/>
      <c r="AP941" s="86"/>
      <c r="AQ941" s="86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s="62"/>
      <c r="B942" s="86"/>
      <c r="C942" s="86"/>
      <c r="D942" s="86"/>
      <c r="E942" s="86"/>
      <c r="F942" s="86"/>
      <c r="G942" s="86"/>
      <c r="H942" s="62"/>
      <c r="I942" s="86"/>
      <c r="J942" s="73"/>
      <c r="K942" s="62"/>
      <c r="L942" s="62"/>
      <c r="M942" s="62"/>
      <c r="N942" s="86"/>
      <c r="O942" s="86"/>
      <c r="P942" s="86"/>
      <c r="Q942" s="86"/>
      <c r="R942" s="86"/>
      <c r="S942" s="86"/>
      <c r="T942" s="62"/>
      <c r="U942" s="86"/>
      <c r="V942" s="73"/>
      <c r="W942" s="62"/>
      <c r="Y942" t="s">
        <v>53</v>
      </c>
      <c r="Z942" s="57"/>
      <c r="AA942" s="57"/>
      <c r="AB942" s="57"/>
      <c r="AC942" s="57"/>
      <c r="AD942" s="57"/>
      <c r="AE942" s="57"/>
      <c r="AG942" s="57" t="s">
        <v>15</v>
      </c>
      <c r="AH942" s="20">
        <v>3</v>
      </c>
      <c r="AK942" s="62"/>
      <c r="AL942" s="86"/>
      <c r="AM942" s="86"/>
      <c r="AN942" s="86"/>
      <c r="AO942" s="86"/>
      <c r="AP942" s="86"/>
      <c r="AQ942" s="86"/>
      <c r="AR942" s="62"/>
      <c r="AS942" s="86"/>
      <c r="AT942" s="86"/>
      <c r="AU942" s="62"/>
      <c r="AV942" s="62"/>
      <c r="AW942" s="62"/>
      <c r="AX942" s="62"/>
      <c r="AY942" s="62"/>
      <c r="AZ942" s="62"/>
    </row>
    <row r="943" spans="1:52" x14ac:dyDescent="0.25">
      <c r="A943" s="64"/>
      <c r="B943" s="86"/>
      <c r="C943" s="86"/>
      <c r="D943" s="86"/>
      <c r="E943" s="86"/>
      <c r="F943" s="86"/>
      <c r="G943" s="86"/>
      <c r="H943" s="62"/>
      <c r="I943" s="65"/>
      <c r="J943" s="65"/>
      <c r="K943" s="62"/>
      <c r="L943" s="62"/>
      <c r="M943" s="64"/>
      <c r="N943" s="86"/>
      <c r="O943" s="86"/>
      <c r="P943" s="86"/>
      <c r="Q943" s="86"/>
      <c r="R943" s="86"/>
      <c r="S943" s="86"/>
      <c r="T943" s="62"/>
      <c r="U943" s="65"/>
      <c r="V943" s="65"/>
      <c r="W943" s="62"/>
      <c r="Y943" s="21" t="s">
        <v>86</v>
      </c>
      <c r="Z943" s="20"/>
      <c r="AA943" s="57"/>
      <c r="AB943" s="57"/>
      <c r="AC943" s="57"/>
      <c r="AD943" s="57"/>
      <c r="AE943" s="57"/>
      <c r="AG943" s="22" t="s">
        <v>16</v>
      </c>
      <c r="AH943" s="23" t="s">
        <v>35</v>
      </c>
      <c r="AI943" s="24"/>
      <c r="AK943" s="64"/>
      <c r="AL943" s="86"/>
      <c r="AM943" s="86"/>
      <c r="AN943" s="86"/>
      <c r="AO943" s="86"/>
      <c r="AP943" s="86"/>
      <c r="AQ943" s="86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A944" s="62"/>
      <c r="B944" s="86"/>
      <c r="C944" s="86"/>
      <c r="D944" s="86"/>
      <c r="E944" s="86"/>
      <c r="F944" s="86"/>
      <c r="G944" s="86"/>
      <c r="H944" s="62"/>
      <c r="I944" s="62"/>
      <c r="J944" s="62"/>
      <c r="K944" s="62"/>
      <c r="L944" s="62"/>
      <c r="M944" s="62"/>
      <c r="N944" s="86"/>
      <c r="O944" s="86"/>
      <c r="P944" s="86"/>
      <c r="Q944" s="86"/>
      <c r="R944" s="86"/>
      <c r="S944" s="86"/>
      <c r="T944" s="62"/>
      <c r="U944" s="62"/>
      <c r="V944" s="62"/>
      <c r="W944" s="62"/>
      <c r="Z944" s="57"/>
      <c r="AA944" s="57"/>
      <c r="AB944" s="57"/>
      <c r="AC944" s="57"/>
      <c r="AD944" s="57"/>
      <c r="AE944" s="57"/>
      <c r="AK944" s="62"/>
      <c r="AL944" s="86"/>
      <c r="AM944" s="86"/>
      <c r="AN944" s="86"/>
      <c r="AO944" s="86"/>
      <c r="AP944" s="86"/>
      <c r="AQ944" s="86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A945" s="62"/>
      <c r="B945" s="65"/>
      <c r="C945" s="86"/>
      <c r="D945" s="117"/>
      <c r="E945" s="117"/>
      <c r="F945" s="86"/>
      <c r="G945" s="86"/>
      <c r="H945" s="62"/>
      <c r="I945" s="117"/>
      <c r="J945" s="117"/>
      <c r="K945" s="116"/>
      <c r="L945" s="62"/>
      <c r="M945" s="62"/>
      <c r="N945" s="65"/>
      <c r="O945" s="86"/>
      <c r="P945" s="117"/>
      <c r="Q945" s="117"/>
      <c r="R945" s="86"/>
      <c r="S945" s="86"/>
      <c r="T945" s="62"/>
      <c r="U945" s="117"/>
      <c r="V945" s="117"/>
      <c r="W945" s="116"/>
      <c r="Z945" s="25"/>
      <c r="AA945" s="26"/>
      <c r="AB945" s="115" t="s">
        <v>17</v>
      </c>
      <c r="AC945" s="115"/>
      <c r="AD945" s="106"/>
      <c r="AE945" s="27"/>
      <c r="AG945" s="113" t="s">
        <v>18</v>
      </c>
      <c r="AH945" s="114"/>
      <c r="AI945" s="111" t="s">
        <v>19</v>
      </c>
      <c r="AK945" s="62"/>
      <c r="AL945" s="65"/>
      <c r="AM945" s="86"/>
      <c r="AN945" s="117"/>
      <c r="AO945" s="117"/>
      <c r="AP945" s="86"/>
      <c r="AQ945" s="86"/>
      <c r="AR945" s="62"/>
      <c r="AS945" s="117"/>
      <c r="AT945" s="117"/>
      <c r="AU945" s="116"/>
      <c r="AV945" s="62"/>
      <c r="AW945" s="62"/>
      <c r="AX945" s="62"/>
      <c r="AY945" s="62"/>
      <c r="AZ945" s="62"/>
    </row>
    <row r="946" spans="1:52" ht="30" x14ac:dyDescent="0.25">
      <c r="A946" s="62"/>
      <c r="B946" s="86"/>
      <c r="C946" s="86"/>
      <c r="D946" s="79"/>
      <c r="E946" s="80"/>
      <c r="F946" s="81"/>
      <c r="G946" s="81"/>
      <c r="H946" s="62"/>
      <c r="I946" s="85"/>
      <c r="J946" s="85"/>
      <c r="K946" s="116"/>
      <c r="L946" s="62"/>
      <c r="M946" s="62"/>
      <c r="N946" s="86"/>
      <c r="O946" s="86"/>
      <c r="P946" s="79"/>
      <c r="Q946" s="81"/>
      <c r="R946" s="81"/>
      <c r="S946" s="81"/>
      <c r="T946" s="62"/>
      <c r="U946" s="85"/>
      <c r="V946" s="85"/>
      <c r="W946" s="116"/>
      <c r="Z946" s="28" t="s">
        <v>20</v>
      </c>
      <c r="AA946" s="28" t="s">
        <v>21</v>
      </c>
      <c r="AB946" s="77" t="s">
        <v>22</v>
      </c>
      <c r="AC946" s="78" t="s">
        <v>23</v>
      </c>
      <c r="AD946" s="78" t="s">
        <v>32</v>
      </c>
      <c r="AE946" s="78" t="s">
        <v>24</v>
      </c>
      <c r="AG946" s="29" t="s">
        <v>25</v>
      </c>
      <c r="AH946" s="29" t="s">
        <v>26</v>
      </c>
      <c r="AI946" s="112"/>
      <c r="AK946" s="62"/>
      <c r="AL946" s="86"/>
      <c r="AM946" s="86"/>
      <c r="AN946" s="79"/>
      <c r="AO946" s="81"/>
      <c r="AP946" s="81"/>
      <c r="AQ946" s="81"/>
      <c r="AR946" s="62"/>
      <c r="AS946" s="85"/>
      <c r="AT946" s="85"/>
      <c r="AU946" s="116"/>
      <c r="AV946" s="62"/>
      <c r="AW946" s="62"/>
      <c r="AX946" s="62"/>
      <c r="AY946" s="62"/>
      <c r="AZ946" s="62"/>
    </row>
    <row r="947" spans="1:52" x14ac:dyDescent="0.25">
      <c r="A947" s="62"/>
      <c r="B947" s="66"/>
      <c r="C947" s="84"/>
      <c r="D947" s="60"/>
      <c r="E947" s="60"/>
      <c r="F947" s="60"/>
      <c r="G947" s="60"/>
      <c r="H947" s="61"/>
      <c r="I947" s="61"/>
      <c r="J947" s="61"/>
      <c r="K947" s="61"/>
      <c r="L947" s="62"/>
      <c r="M947" s="62"/>
      <c r="N947" s="66"/>
      <c r="O947" s="86"/>
      <c r="P947" s="60"/>
      <c r="Q947" s="60"/>
      <c r="R947" s="60"/>
      <c r="S947" s="60"/>
      <c r="T947" s="61"/>
      <c r="U947" s="61"/>
      <c r="V947" s="61"/>
      <c r="W947" s="61"/>
      <c r="Y947" s="10">
        <v>1</v>
      </c>
      <c r="Z947" s="30" t="s">
        <v>87</v>
      </c>
      <c r="AA947" s="31">
        <v>9351</v>
      </c>
      <c r="AB947" s="32">
        <f>324*650+670*10+622*20+912*3+872*5+229*15+500*2</f>
        <v>241271</v>
      </c>
      <c r="AC947" s="32">
        <f>-2712</f>
        <v>-2712</v>
      </c>
      <c r="AD947" s="32"/>
      <c r="AE947" s="32">
        <f>SUM(AB947:AC947)</f>
        <v>238559</v>
      </c>
      <c r="AF947" s="12"/>
      <c r="AG947" s="12"/>
      <c r="AH947" s="12"/>
      <c r="AI947" s="12">
        <f>SUM(AE947:AH947)</f>
        <v>238559</v>
      </c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62"/>
      <c r="B948" s="66"/>
      <c r="C948" s="86"/>
      <c r="D948" s="60"/>
      <c r="E948" s="60"/>
      <c r="F948" s="60"/>
      <c r="G948" s="60"/>
      <c r="H948" s="61"/>
      <c r="I948" s="61"/>
      <c r="J948" s="61"/>
      <c r="K948" s="61"/>
      <c r="L948" s="62"/>
      <c r="M948" s="62"/>
      <c r="N948" s="66"/>
      <c r="O948" s="86"/>
      <c r="P948" s="60"/>
      <c r="Q948" s="60"/>
      <c r="R948" s="60"/>
      <c r="S948" s="60"/>
      <c r="T948" s="61"/>
      <c r="U948" s="61"/>
      <c r="V948" s="61"/>
      <c r="W948" s="61"/>
      <c r="Y948" s="10">
        <v>2</v>
      </c>
      <c r="Z948" s="30" t="s">
        <v>87</v>
      </c>
      <c r="AA948" s="31">
        <f>AA947+1</f>
        <v>9352</v>
      </c>
      <c r="AB948" s="32">
        <f>650*35</f>
        <v>22750</v>
      </c>
      <c r="AD948" s="32"/>
      <c r="AE948" s="32">
        <f t="shared" ref="AE948:AE950" si="274">SUM(AB948:AC948)</f>
        <v>22750</v>
      </c>
      <c r="AF948" s="12"/>
      <c r="AG948" s="12"/>
      <c r="AH948">
        <v>-3330</v>
      </c>
      <c r="AI948" s="12">
        <f t="shared" ref="AI948:AI950" si="275">SUM(AE948:AH948)</f>
        <v>19420</v>
      </c>
      <c r="AK948" s="62"/>
      <c r="AL948" s="66"/>
      <c r="AM948" s="86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62"/>
      <c r="B949" s="66"/>
      <c r="C949" s="86"/>
      <c r="D949" s="60"/>
      <c r="E949" s="60"/>
      <c r="F949" s="60"/>
      <c r="G949" s="60"/>
      <c r="H949" s="61"/>
      <c r="I949" s="61"/>
      <c r="J949" s="61"/>
      <c r="K949" s="61"/>
      <c r="L949" s="62"/>
      <c r="M949" s="62"/>
      <c r="N949" s="66"/>
      <c r="O949" s="86"/>
      <c r="P949" s="60"/>
      <c r="Q949" s="60"/>
      <c r="R949" s="60"/>
      <c r="S949" s="60"/>
      <c r="T949" s="61"/>
      <c r="U949" s="61"/>
      <c r="V949" s="61"/>
      <c r="W949" s="61"/>
      <c r="Y949" s="10">
        <v>3</v>
      </c>
      <c r="Z949" s="30" t="s">
        <v>87</v>
      </c>
      <c r="AA949" s="31">
        <f t="shared" ref="AA949:AA958" si="276">AA948+1</f>
        <v>9353</v>
      </c>
      <c r="AB949" s="32">
        <f>650*7+9.5*7</f>
        <v>4616.5</v>
      </c>
      <c r="AC949" s="33"/>
      <c r="AD949" s="32"/>
      <c r="AE949" s="32">
        <f t="shared" si="274"/>
        <v>4616.5</v>
      </c>
      <c r="AF949" s="12"/>
      <c r="AG949" s="12"/>
      <c r="AH949" s="12"/>
      <c r="AI949" s="12">
        <f t="shared" si="275"/>
        <v>4616.5</v>
      </c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62"/>
      <c r="B950" s="66"/>
      <c r="C950" s="65"/>
      <c r="D950" s="60"/>
      <c r="E950" s="60"/>
      <c r="F950" s="60"/>
      <c r="G950" s="60"/>
      <c r="H950" s="61"/>
      <c r="I950" s="61"/>
      <c r="J950" s="61"/>
      <c r="K950" s="61"/>
      <c r="L950" s="62"/>
      <c r="M950" s="62"/>
      <c r="N950" s="66"/>
      <c r="O950" s="86"/>
      <c r="P950" s="60"/>
      <c r="Q950" s="60"/>
      <c r="R950" s="60"/>
      <c r="S950" s="60"/>
      <c r="T950" s="61"/>
      <c r="U950" s="61"/>
      <c r="V950" s="61"/>
      <c r="W950" s="61"/>
      <c r="Y950" s="10">
        <v>4</v>
      </c>
      <c r="Z950" s="30" t="s">
        <v>87</v>
      </c>
      <c r="AA950" s="31">
        <f t="shared" si="276"/>
        <v>9354</v>
      </c>
      <c r="AB950" s="32">
        <f>650*3+9.5*3</f>
        <v>1978.5</v>
      </c>
      <c r="AC950" s="32"/>
      <c r="AD950" s="32"/>
      <c r="AE950" s="32">
        <f>SUM(AB950:AC950)</f>
        <v>1978.5</v>
      </c>
      <c r="AF950" s="12"/>
      <c r="AH950" s="12"/>
      <c r="AI950" s="12">
        <f>SUM(AE950:AH950)</f>
        <v>1978.5</v>
      </c>
      <c r="AK950" s="62"/>
      <c r="AL950" s="66"/>
      <c r="AM950" s="86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62"/>
      <c r="B951" s="66"/>
      <c r="C951" s="86"/>
      <c r="D951" s="60"/>
      <c r="E951" s="60"/>
      <c r="F951" s="60"/>
      <c r="G951" s="60"/>
      <c r="H951" s="61"/>
      <c r="I951" s="61"/>
      <c r="J951" s="61"/>
      <c r="K951" s="61"/>
      <c r="L951" s="62"/>
      <c r="M951" s="62"/>
      <c r="N951" s="66"/>
      <c r="O951" s="86"/>
      <c r="P951" s="60"/>
      <c r="Q951" s="60"/>
      <c r="R951" s="60"/>
      <c r="S951" s="60"/>
      <c r="T951" s="61"/>
      <c r="U951" s="61"/>
      <c r="V951" s="61"/>
      <c r="W951" s="61"/>
      <c r="Y951" s="10">
        <v>5</v>
      </c>
      <c r="Z951" s="30" t="s">
        <v>87</v>
      </c>
      <c r="AA951" s="31">
        <f t="shared" si="276"/>
        <v>9355</v>
      </c>
      <c r="AB951" s="33">
        <f>650*4+622+9.5*5</f>
        <v>3269.5</v>
      </c>
      <c r="AC951" s="32"/>
      <c r="AD951" s="32"/>
      <c r="AE951" s="32">
        <f>SUM(AB951:AC951)</f>
        <v>3269.5</v>
      </c>
      <c r="AF951" s="12"/>
      <c r="AG951" s="12"/>
      <c r="AH951" s="12"/>
      <c r="AI951" s="12">
        <f t="shared" ref="AI951:AI991" si="277">SUM(AE951:AH951)</f>
        <v>3269.5</v>
      </c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62"/>
      <c r="B952" s="66"/>
      <c r="C952" s="86"/>
      <c r="D952" s="60"/>
      <c r="E952" s="60"/>
      <c r="F952" s="60"/>
      <c r="G952" s="60"/>
      <c r="H952" s="61"/>
      <c r="I952" s="61"/>
      <c r="J952" s="61"/>
      <c r="K952" s="61"/>
      <c r="L952" s="62"/>
      <c r="M952" s="62"/>
      <c r="N952" s="66"/>
      <c r="O952" s="65"/>
      <c r="P952" s="60"/>
      <c r="Q952" s="60"/>
      <c r="R952" s="60"/>
      <c r="S952" s="60"/>
      <c r="T952" s="61"/>
      <c r="U952" s="61"/>
      <c r="V952" s="62"/>
      <c r="W952" s="61"/>
      <c r="Y952" s="10">
        <v>6</v>
      </c>
      <c r="Z952" s="30"/>
      <c r="AA952" s="11" t="s">
        <v>27</v>
      </c>
      <c r="AB952" s="32"/>
      <c r="AC952" s="32"/>
      <c r="AD952" s="32"/>
      <c r="AE952" s="32">
        <f t="shared" ref="AE952:AE991" si="278">SUM(AB952:AC952)</f>
        <v>0</v>
      </c>
      <c r="AF952" s="12"/>
      <c r="AG952" s="12"/>
      <c r="AH952" s="10"/>
      <c r="AI952" s="12">
        <f t="shared" si="277"/>
        <v>0</v>
      </c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62"/>
      <c r="B953" s="66"/>
      <c r="C953" s="86"/>
      <c r="D953" s="60"/>
      <c r="E953" s="60"/>
      <c r="F953" s="60"/>
      <c r="G953" s="60"/>
      <c r="H953" s="61"/>
      <c r="I953" s="61"/>
      <c r="J953" s="61"/>
      <c r="K953" s="61"/>
      <c r="L953" s="62"/>
      <c r="M953" s="62"/>
      <c r="N953" s="66"/>
      <c r="O953" s="86"/>
      <c r="P953" s="60"/>
      <c r="Q953" s="60"/>
      <c r="R953" s="60"/>
      <c r="S953" s="60"/>
      <c r="T953" s="61"/>
      <c r="U953" s="61"/>
      <c r="V953" s="61"/>
      <c r="W953" s="61"/>
      <c r="Y953" s="10">
        <v>7</v>
      </c>
      <c r="Z953" s="30"/>
      <c r="AA953" s="31"/>
      <c r="AB953" s="32"/>
      <c r="AC953" s="32"/>
      <c r="AD953" s="32"/>
      <c r="AE953" s="32">
        <f t="shared" si="278"/>
        <v>0</v>
      </c>
      <c r="AF953" s="12"/>
      <c r="AG953" s="58"/>
      <c r="AH953" s="12"/>
      <c r="AI953" s="12">
        <f t="shared" si="277"/>
        <v>0</v>
      </c>
      <c r="AK953" s="62"/>
      <c r="AL953" s="66"/>
      <c r="AM953" s="86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62"/>
      <c r="B954" s="66"/>
      <c r="C954" s="86"/>
      <c r="D954" s="60"/>
      <c r="E954" s="60"/>
      <c r="F954" s="60"/>
      <c r="G954" s="60"/>
      <c r="H954" s="61"/>
      <c r="I954" s="61"/>
      <c r="J954" s="61"/>
      <c r="K954" s="61"/>
      <c r="L954" s="62"/>
      <c r="M954" s="62"/>
      <c r="N954" s="66"/>
      <c r="O954" s="86"/>
      <c r="P954" s="60"/>
      <c r="Q954" s="60"/>
      <c r="R954" s="60"/>
      <c r="S954" s="60"/>
      <c r="T954" s="61"/>
      <c r="U954" s="61"/>
      <c r="V954" s="61"/>
      <c r="W954" s="61"/>
      <c r="Y954" s="10">
        <v>8</v>
      </c>
      <c r="Z954" s="30"/>
      <c r="AA954" s="31"/>
      <c r="AB954" s="32"/>
      <c r="AC954" s="32"/>
      <c r="AE954" s="32">
        <f t="shared" si="278"/>
        <v>0</v>
      </c>
      <c r="AF954" s="12"/>
      <c r="AG954" s="12"/>
      <c r="AH954" s="12"/>
      <c r="AI954" s="12">
        <f t="shared" si="277"/>
        <v>0</v>
      </c>
      <c r="AK954" s="62"/>
      <c r="AL954" s="66"/>
      <c r="AM954" s="86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62"/>
      <c r="B955" s="66"/>
      <c r="C955" s="86"/>
      <c r="D955" s="60"/>
      <c r="E955" s="60"/>
      <c r="F955" s="60"/>
      <c r="G955" s="60"/>
      <c r="H955" s="61"/>
      <c r="I955" s="61"/>
      <c r="J955" s="61"/>
      <c r="K955" s="61"/>
      <c r="L955" s="62"/>
      <c r="M955" s="62"/>
      <c r="N955" s="66"/>
      <c r="O955" s="86"/>
      <c r="P955" s="60"/>
      <c r="Q955" s="60"/>
      <c r="R955" s="60"/>
      <c r="S955" s="60"/>
      <c r="T955" s="61"/>
      <c r="U955" s="61"/>
      <c r="V955" s="61"/>
      <c r="W955" s="61"/>
      <c r="Y955" s="10">
        <v>9</v>
      </c>
      <c r="Z955" s="30"/>
      <c r="AA955" s="31"/>
      <c r="AC955" s="32"/>
      <c r="AD955" s="32"/>
      <c r="AE955" s="32">
        <f t="shared" si="278"/>
        <v>0</v>
      </c>
      <c r="AF955" s="12"/>
      <c r="AH955" s="12"/>
      <c r="AI955" s="12">
        <f t="shared" si="277"/>
        <v>0</v>
      </c>
      <c r="AK955" s="62"/>
      <c r="AL955" s="66"/>
      <c r="AM955" s="86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62"/>
      <c r="B956" s="66"/>
      <c r="C956" s="86"/>
      <c r="D956" s="60"/>
      <c r="E956" s="60"/>
      <c r="F956" s="60"/>
      <c r="G956" s="60"/>
      <c r="H956" s="61"/>
      <c r="I956" s="61"/>
      <c r="J956" s="61"/>
      <c r="K956" s="61"/>
      <c r="L956" s="62"/>
      <c r="M956" s="62"/>
      <c r="N956" s="66"/>
      <c r="O956" s="62"/>
      <c r="P956" s="60"/>
      <c r="Q956" s="60"/>
      <c r="R956" s="60"/>
      <c r="S956" s="60"/>
      <c r="T956" s="61"/>
      <c r="U956" s="61"/>
      <c r="V956" s="61"/>
      <c r="W956" s="61"/>
      <c r="Y956" s="10">
        <v>10</v>
      </c>
      <c r="Z956" s="30"/>
      <c r="AA956" s="31"/>
      <c r="AB956" s="32"/>
      <c r="AC956" s="32"/>
      <c r="AD956" s="32"/>
      <c r="AE956" s="32">
        <f t="shared" si="278"/>
        <v>0</v>
      </c>
      <c r="AF956" s="12"/>
      <c r="AG956" s="12"/>
      <c r="AH956" s="12"/>
      <c r="AI956" s="12">
        <f t="shared" si="277"/>
        <v>0</v>
      </c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62"/>
      <c r="B957" s="66"/>
      <c r="C957" s="86"/>
      <c r="D957" s="60"/>
      <c r="E957" s="60"/>
      <c r="F957" s="60"/>
      <c r="G957" s="60"/>
      <c r="H957" s="61"/>
      <c r="I957" s="61"/>
      <c r="J957" s="61"/>
      <c r="K957" s="61"/>
      <c r="L957" s="62"/>
      <c r="M957" s="62"/>
      <c r="N957" s="66"/>
      <c r="O957" s="86"/>
      <c r="P957" s="60"/>
      <c r="Q957" s="60"/>
      <c r="R957" s="60"/>
      <c r="S957" s="60"/>
      <c r="T957" s="61"/>
      <c r="U957" s="61"/>
      <c r="V957" s="61"/>
      <c r="W957" s="61"/>
      <c r="Y957" s="10">
        <v>11</v>
      </c>
      <c r="Z957" s="30"/>
      <c r="AA957" s="31"/>
      <c r="AB957" s="32"/>
      <c r="AC957" s="32"/>
      <c r="AD957" s="32"/>
      <c r="AE957" s="32">
        <f t="shared" si="278"/>
        <v>0</v>
      </c>
      <c r="AF957" s="12"/>
      <c r="AG957" s="12"/>
      <c r="AH957" s="12"/>
      <c r="AI957" s="12">
        <f t="shared" si="277"/>
        <v>0</v>
      </c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62"/>
      <c r="B958" s="66"/>
      <c r="C958" s="86"/>
      <c r="D958" s="60"/>
      <c r="E958" s="60"/>
      <c r="F958" s="60"/>
      <c r="G958" s="60"/>
      <c r="H958" s="61"/>
      <c r="I958" s="61"/>
      <c r="J958" s="62"/>
      <c r="K958" s="61"/>
      <c r="L958" s="62"/>
      <c r="M958" s="62"/>
      <c r="N958" s="66"/>
      <c r="O958" s="86"/>
      <c r="P958" s="60"/>
      <c r="Q958" s="60"/>
      <c r="R958" s="60"/>
      <c r="S958" s="60"/>
      <c r="T958" s="61"/>
      <c r="U958" s="61"/>
      <c r="V958" s="61"/>
      <c r="W958" s="61"/>
      <c r="Y958" s="10">
        <v>12</v>
      </c>
      <c r="Z958" s="30"/>
      <c r="AA958" s="31"/>
      <c r="AB958" s="32"/>
      <c r="AC958" s="32"/>
      <c r="AD958" s="32"/>
      <c r="AE958" s="32">
        <f t="shared" si="278"/>
        <v>0</v>
      </c>
      <c r="AF958" s="12"/>
      <c r="AG958" s="12"/>
      <c r="AH958" s="12"/>
      <c r="AI958" s="12">
        <f t="shared" si="277"/>
        <v>0</v>
      </c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62"/>
      <c r="B959" s="66"/>
      <c r="C959" s="86"/>
      <c r="D959" s="60"/>
      <c r="E959" s="60"/>
      <c r="F959" s="60"/>
      <c r="G959" s="60"/>
      <c r="H959" s="61"/>
      <c r="I959" s="61"/>
      <c r="J959" s="61"/>
      <c r="K959" s="61"/>
      <c r="L959" s="62"/>
      <c r="M959" s="62"/>
      <c r="N959" s="66"/>
      <c r="O959" s="86"/>
      <c r="P959" s="60"/>
      <c r="Q959" s="60"/>
      <c r="R959" s="60"/>
      <c r="S959" s="60"/>
      <c r="T959" s="61"/>
      <c r="U959" s="61"/>
      <c r="V959" s="61"/>
      <c r="W959" s="61"/>
      <c r="Y959" s="10">
        <v>13</v>
      </c>
      <c r="Z959" s="30"/>
      <c r="AB959" s="32"/>
      <c r="AC959" s="32"/>
      <c r="AD959" s="32"/>
      <c r="AE959" s="32">
        <f t="shared" si="278"/>
        <v>0</v>
      </c>
      <c r="AF959" s="12"/>
      <c r="AG959" s="12"/>
      <c r="AH959" s="12"/>
      <c r="AI959" s="12">
        <f t="shared" si="277"/>
        <v>0</v>
      </c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62"/>
      <c r="B960" s="66"/>
      <c r="C960" s="86"/>
      <c r="D960" s="60"/>
      <c r="E960" s="60"/>
      <c r="F960" s="60"/>
      <c r="G960" s="60"/>
      <c r="H960" s="61"/>
      <c r="I960" s="61"/>
      <c r="J960" s="61"/>
      <c r="K960" s="61"/>
      <c r="L960" s="62"/>
      <c r="M960" s="62"/>
      <c r="N960" s="66"/>
      <c r="O960" s="86"/>
      <c r="P960" s="60"/>
      <c r="Q960" s="60"/>
      <c r="R960" s="60"/>
      <c r="S960" s="60"/>
      <c r="T960" s="61"/>
      <c r="U960" s="61"/>
      <c r="V960" s="61"/>
      <c r="W960" s="61"/>
      <c r="Y960" s="10">
        <v>14</v>
      </c>
      <c r="Z960" s="30"/>
      <c r="AA960" s="31"/>
      <c r="AB960" s="32"/>
      <c r="AC960" s="32"/>
      <c r="AD960" s="32"/>
      <c r="AE960" s="32">
        <f t="shared" si="278"/>
        <v>0</v>
      </c>
      <c r="AF960" s="12"/>
      <c r="AG960" s="12"/>
      <c r="AH960" s="12"/>
      <c r="AI960" s="12">
        <f t="shared" si="277"/>
        <v>0</v>
      </c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62"/>
      <c r="B961" s="66"/>
      <c r="C961" s="86"/>
      <c r="D961" s="60"/>
      <c r="E961" s="60"/>
      <c r="F961" s="60"/>
      <c r="G961" s="60"/>
      <c r="H961" s="61"/>
      <c r="I961" s="61"/>
      <c r="J961" s="61"/>
      <c r="K961" s="61"/>
      <c r="L961" s="62"/>
      <c r="M961" s="62"/>
      <c r="N961" s="66"/>
      <c r="O961" s="86"/>
      <c r="P961" s="60"/>
      <c r="Q961" s="60"/>
      <c r="R961" s="60"/>
      <c r="S961" s="60"/>
      <c r="T961" s="61"/>
      <c r="U961" s="61"/>
      <c r="V961" s="61"/>
      <c r="W961" s="61"/>
      <c r="Y961" s="10">
        <v>15</v>
      </c>
      <c r="Z961" s="30"/>
      <c r="AB961" s="32"/>
      <c r="AC961" s="32"/>
      <c r="AD961" s="32"/>
      <c r="AE961" s="32">
        <f t="shared" si="278"/>
        <v>0</v>
      </c>
      <c r="AF961" s="12"/>
      <c r="AG961" s="12"/>
      <c r="AH961" s="12"/>
      <c r="AI961" s="12">
        <f t="shared" si="277"/>
        <v>0</v>
      </c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62"/>
      <c r="B962" s="66"/>
      <c r="C962" s="86"/>
      <c r="D962" s="60"/>
      <c r="E962" s="60"/>
      <c r="F962" s="60"/>
      <c r="G962" s="60"/>
      <c r="H962" s="61"/>
      <c r="I962" s="61"/>
      <c r="J962" s="61"/>
      <c r="K962" s="61"/>
      <c r="L962" s="62"/>
      <c r="M962" s="62"/>
      <c r="N962" s="66"/>
      <c r="O962" s="86"/>
      <c r="P962" s="60"/>
      <c r="Q962" s="60"/>
      <c r="R962" s="60"/>
      <c r="S962" s="60"/>
      <c r="T962" s="61"/>
      <c r="U962" s="61"/>
      <c r="V962" s="61"/>
      <c r="W962" s="61"/>
      <c r="Y962" s="10">
        <v>16</v>
      </c>
      <c r="Z962" s="30"/>
      <c r="AA962" s="31"/>
      <c r="AB962" s="32"/>
      <c r="AC962" s="32"/>
      <c r="AD962" s="32"/>
      <c r="AE962" s="32">
        <f t="shared" si="278"/>
        <v>0</v>
      </c>
      <c r="AF962" s="12"/>
      <c r="AG962" s="12"/>
      <c r="AH962" s="12"/>
      <c r="AI962" s="12">
        <f t="shared" si="277"/>
        <v>0</v>
      </c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62"/>
      <c r="B963" s="66"/>
      <c r="C963" s="86"/>
      <c r="D963" s="60"/>
      <c r="E963" s="60"/>
      <c r="F963" s="60"/>
      <c r="G963" s="60"/>
      <c r="H963" s="61"/>
      <c r="I963" s="61"/>
      <c r="J963" s="61"/>
      <c r="K963" s="61"/>
      <c r="L963" s="62"/>
      <c r="M963" s="62"/>
      <c r="N963" s="66"/>
      <c r="O963" s="86"/>
      <c r="P963" s="60"/>
      <c r="Q963" s="60"/>
      <c r="R963" s="60"/>
      <c r="S963" s="60"/>
      <c r="T963" s="61"/>
      <c r="U963" s="61"/>
      <c r="V963" s="61"/>
      <c r="W963" s="61"/>
      <c r="Y963" s="10">
        <v>17</v>
      </c>
      <c r="Z963" s="30"/>
      <c r="AA963" s="31"/>
      <c r="AB963" s="35"/>
      <c r="AC963" s="32"/>
      <c r="AD963" s="32"/>
      <c r="AE963" s="32">
        <f t="shared" si="278"/>
        <v>0</v>
      </c>
      <c r="AF963" s="12"/>
      <c r="AG963" s="12"/>
      <c r="AH963" s="12"/>
      <c r="AI963" s="12">
        <f t="shared" si="277"/>
        <v>0</v>
      </c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62"/>
      <c r="B964" s="66"/>
      <c r="C964" s="86"/>
      <c r="D964" s="60"/>
      <c r="E964" s="60"/>
      <c r="F964" s="60"/>
      <c r="G964" s="60"/>
      <c r="H964" s="61"/>
      <c r="I964" s="61"/>
      <c r="J964" s="61"/>
      <c r="K964" s="61"/>
      <c r="L964" s="62"/>
      <c r="M964" s="62"/>
      <c r="N964" s="66"/>
      <c r="O964" s="86"/>
      <c r="P964" s="60"/>
      <c r="Q964" s="60"/>
      <c r="R964" s="60"/>
      <c r="S964" s="60"/>
      <c r="T964" s="61"/>
      <c r="U964" s="61"/>
      <c r="V964" s="61"/>
      <c r="W964" s="61"/>
      <c r="Y964" s="10">
        <v>18</v>
      </c>
      <c r="Z964" s="30"/>
      <c r="AA964" s="31"/>
      <c r="AB964" s="32"/>
      <c r="AC964" s="32"/>
      <c r="AD964" s="32"/>
      <c r="AE964" s="32">
        <f t="shared" si="278"/>
        <v>0</v>
      </c>
      <c r="AF964" s="12"/>
      <c r="AG964" s="12"/>
      <c r="AH964" s="12"/>
      <c r="AI964" s="12">
        <f t="shared" si="277"/>
        <v>0</v>
      </c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62"/>
      <c r="B965" s="66"/>
      <c r="C965" s="86"/>
      <c r="D965" s="60"/>
      <c r="E965" s="60"/>
      <c r="F965" s="60"/>
      <c r="G965" s="60"/>
      <c r="H965" s="61"/>
      <c r="I965" s="61"/>
      <c r="J965" s="61"/>
      <c r="K965" s="61"/>
      <c r="L965" s="62"/>
      <c r="M965" s="62"/>
      <c r="N965" s="66"/>
      <c r="O965" s="86"/>
      <c r="P965" s="60"/>
      <c r="Q965" s="60"/>
      <c r="R965" s="60"/>
      <c r="S965" s="60"/>
      <c r="T965" s="61"/>
      <c r="U965" s="61"/>
      <c r="V965" s="61"/>
      <c r="W965" s="61"/>
      <c r="Y965" s="10">
        <v>19</v>
      </c>
      <c r="Z965" s="30"/>
      <c r="AA965" s="31"/>
      <c r="AB965" s="32"/>
      <c r="AC965" s="32"/>
      <c r="AD965" s="32"/>
      <c r="AE965" s="32">
        <f t="shared" si="278"/>
        <v>0</v>
      </c>
      <c r="AF965" s="12"/>
      <c r="AG965" s="12"/>
      <c r="AH965" s="12"/>
      <c r="AI965" s="12">
        <f t="shared" si="277"/>
        <v>0</v>
      </c>
      <c r="AK965" s="62"/>
      <c r="AL965" s="66"/>
      <c r="AM965" s="86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62"/>
      <c r="B966" s="66"/>
      <c r="C966" s="86"/>
      <c r="D966" s="60"/>
      <c r="E966" s="60"/>
      <c r="F966" s="60"/>
      <c r="G966" s="60"/>
      <c r="H966" s="61"/>
      <c r="I966" s="61"/>
      <c r="J966" s="61"/>
      <c r="K966" s="61"/>
      <c r="L966" s="62"/>
      <c r="M966" s="62"/>
      <c r="N966" s="66"/>
      <c r="O966" s="86"/>
      <c r="P966" s="60"/>
      <c r="Q966" s="60"/>
      <c r="R966" s="60"/>
      <c r="S966" s="60"/>
      <c r="T966" s="61"/>
      <c r="U966" s="61"/>
      <c r="V966" s="61"/>
      <c r="W966" s="61"/>
      <c r="Y966" s="10">
        <v>20</v>
      </c>
      <c r="Z966" s="30"/>
      <c r="AA966" s="31"/>
      <c r="AB966" s="32"/>
      <c r="AC966" s="32"/>
      <c r="AD966" s="32"/>
      <c r="AE966" s="32">
        <f t="shared" si="278"/>
        <v>0</v>
      </c>
      <c r="AF966" s="12"/>
      <c r="AG966" s="12"/>
      <c r="AH966" s="12"/>
      <c r="AI966" s="12">
        <f t="shared" si="277"/>
        <v>0</v>
      </c>
      <c r="AK966" s="62"/>
      <c r="AL966" s="66"/>
      <c r="AM966" s="86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62"/>
      <c r="B967" s="66"/>
      <c r="C967" s="86"/>
      <c r="D967" s="60"/>
      <c r="E967" s="60"/>
      <c r="F967" s="60"/>
      <c r="G967" s="60"/>
      <c r="H967" s="62"/>
      <c r="I967" s="62"/>
      <c r="J967" s="62"/>
      <c r="K967" s="61"/>
      <c r="L967" s="62"/>
      <c r="M967" s="62"/>
      <c r="N967" s="66"/>
      <c r="O967" s="62"/>
      <c r="P967" s="67"/>
      <c r="Q967" s="86"/>
      <c r="R967" s="86"/>
      <c r="S967" s="60"/>
      <c r="T967" s="62"/>
      <c r="U967" s="62"/>
      <c r="V967" s="62"/>
      <c r="W967" s="61"/>
      <c r="Y967" s="10">
        <v>21</v>
      </c>
      <c r="Z967" s="30"/>
      <c r="AB967" s="46"/>
      <c r="AC967" s="31"/>
      <c r="AD967" s="31"/>
      <c r="AE967" s="32">
        <f t="shared" si="278"/>
        <v>0</v>
      </c>
      <c r="AF967" s="10"/>
      <c r="AG967" s="10"/>
      <c r="AH967" s="10"/>
      <c r="AI967" s="12">
        <f t="shared" si="277"/>
        <v>0</v>
      </c>
      <c r="AK967" s="62"/>
      <c r="AL967" s="66"/>
      <c r="AM967" s="86"/>
      <c r="AN967" s="67"/>
      <c r="AO967" s="86"/>
      <c r="AP967" s="86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62"/>
      <c r="B968" s="66"/>
      <c r="C968" s="86"/>
      <c r="D968" s="60"/>
      <c r="E968" s="60"/>
      <c r="F968" s="60"/>
      <c r="G968" s="60"/>
      <c r="H968" s="62"/>
      <c r="I968" s="62"/>
      <c r="J968" s="62"/>
      <c r="K968" s="61"/>
      <c r="L968" s="62"/>
      <c r="M968" s="62"/>
      <c r="N968" s="66"/>
      <c r="O968" s="86"/>
      <c r="P968" s="68"/>
      <c r="Q968" s="86"/>
      <c r="R968" s="86"/>
      <c r="S968" s="60"/>
      <c r="T968" s="62"/>
      <c r="U968" s="62"/>
      <c r="V968" s="62"/>
      <c r="W968" s="61"/>
      <c r="Y968" s="10">
        <v>22</v>
      </c>
      <c r="Z968" s="30"/>
      <c r="AA968" s="31"/>
      <c r="AB968" s="45"/>
      <c r="AC968" s="31"/>
      <c r="AD968" s="31"/>
      <c r="AE968" s="32">
        <f t="shared" si="278"/>
        <v>0</v>
      </c>
      <c r="AF968" s="10"/>
      <c r="AG968" s="10"/>
      <c r="AH968" s="10"/>
      <c r="AI968" s="12">
        <f t="shared" si="277"/>
        <v>0</v>
      </c>
      <c r="AK968" s="62"/>
      <c r="AL968" s="66"/>
      <c r="AM968" s="86"/>
      <c r="AN968" s="68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62"/>
      <c r="B969" s="66"/>
      <c r="C969" s="86"/>
      <c r="D969" s="60"/>
      <c r="E969" s="60"/>
      <c r="F969" s="60"/>
      <c r="G969" s="60"/>
      <c r="H969" s="62"/>
      <c r="I969" s="62"/>
      <c r="J969" s="61"/>
      <c r="K969" s="61"/>
      <c r="L969" s="62"/>
      <c r="M969" s="62"/>
      <c r="N969" s="66"/>
      <c r="O969" s="86"/>
      <c r="P969" s="69"/>
      <c r="Q969" s="86"/>
      <c r="R969" s="62"/>
      <c r="S969" s="60"/>
      <c r="T969" s="62"/>
      <c r="U969" s="62"/>
      <c r="V969" s="62"/>
      <c r="W969" s="61"/>
      <c r="Y969" s="10">
        <v>23</v>
      </c>
      <c r="Z969" s="30"/>
      <c r="AA969" s="31"/>
      <c r="AB969" s="47"/>
      <c r="AC969" s="31"/>
      <c r="AE969" s="32">
        <f t="shared" si="278"/>
        <v>0</v>
      </c>
      <c r="AF969" s="10"/>
      <c r="AG969" s="10"/>
      <c r="AH969" s="10"/>
      <c r="AI969" s="12">
        <f t="shared" si="277"/>
        <v>0</v>
      </c>
      <c r="AK969" s="62"/>
      <c r="AL969" s="66"/>
      <c r="AM969" s="86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62"/>
      <c r="B970" s="66"/>
      <c r="C970" s="86"/>
      <c r="D970" s="60"/>
      <c r="E970" s="60"/>
      <c r="F970" s="60"/>
      <c r="G970" s="60"/>
      <c r="H970" s="62"/>
      <c r="I970" s="62"/>
      <c r="J970" s="62"/>
      <c r="K970" s="61"/>
      <c r="L970" s="62"/>
      <c r="M970" s="62"/>
      <c r="N970" s="66"/>
      <c r="O970" s="86"/>
      <c r="P970" s="69"/>
      <c r="Q970" s="86"/>
      <c r="R970" s="86"/>
      <c r="S970" s="60"/>
      <c r="T970" s="62"/>
      <c r="U970" s="62"/>
      <c r="V970" s="62"/>
      <c r="W970" s="61"/>
      <c r="Y970" s="10">
        <v>24</v>
      </c>
      <c r="Z970" s="30"/>
      <c r="AA970" s="31"/>
      <c r="AB970" s="47"/>
      <c r="AC970" s="31"/>
      <c r="AD970" s="31"/>
      <c r="AE970" s="32">
        <f t="shared" si="278"/>
        <v>0</v>
      </c>
      <c r="AF970" s="10"/>
      <c r="AG970" s="10"/>
      <c r="AH970" s="10"/>
      <c r="AI970" s="12">
        <f t="shared" si="277"/>
        <v>0</v>
      </c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62"/>
      <c r="B971" s="66"/>
      <c r="C971" s="86"/>
      <c r="D971" s="60"/>
      <c r="E971" s="60"/>
      <c r="F971" s="60"/>
      <c r="G971" s="60"/>
      <c r="H971" s="62"/>
      <c r="I971" s="62"/>
      <c r="J971" s="62"/>
      <c r="K971" s="61"/>
      <c r="L971" s="62"/>
      <c r="M971" s="62"/>
      <c r="N971" s="66"/>
      <c r="O971" s="86"/>
      <c r="P971" s="69"/>
      <c r="Q971" s="86"/>
      <c r="R971" s="86"/>
      <c r="S971" s="60"/>
      <c r="T971" s="62"/>
      <c r="U971" s="62"/>
      <c r="V971" s="62"/>
      <c r="W971" s="61"/>
      <c r="Y971" s="10">
        <v>25</v>
      </c>
      <c r="Z971" s="30"/>
      <c r="AA971" s="31"/>
      <c r="AB971" s="47"/>
      <c r="AC971" s="31"/>
      <c r="AD971" s="31"/>
      <c r="AE971" s="32">
        <f t="shared" si="278"/>
        <v>0</v>
      </c>
      <c r="AF971" s="10"/>
      <c r="AG971" s="10"/>
      <c r="AH971" s="10"/>
      <c r="AI971" s="12">
        <f t="shared" si="277"/>
        <v>0</v>
      </c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62"/>
      <c r="B972" s="66"/>
      <c r="C972" s="86"/>
      <c r="D972" s="60"/>
      <c r="E972" s="60"/>
      <c r="F972" s="60"/>
      <c r="G972" s="60"/>
      <c r="H972" s="62"/>
      <c r="I972" s="62"/>
      <c r="J972" s="62"/>
      <c r="K972" s="61"/>
      <c r="L972" s="62"/>
      <c r="M972" s="62"/>
      <c r="N972" s="66"/>
      <c r="O972" s="86"/>
      <c r="P972" s="69"/>
      <c r="Q972" s="86"/>
      <c r="R972" s="86"/>
      <c r="S972" s="60"/>
      <c r="T972" s="62"/>
      <c r="U972" s="62"/>
      <c r="V972" s="62"/>
      <c r="W972" s="61"/>
      <c r="Y972" s="10">
        <v>26</v>
      </c>
      <c r="Z972" s="30"/>
      <c r="AA972" s="31"/>
      <c r="AB972" s="47"/>
      <c r="AC972" s="31"/>
      <c r="AD972" s="31"/>
      <c r="AE972" s="32">
        <f t="shared" si="278"/>
        <v>0</v>
      </c>
      <c r="AF972" s="10"/>
      <c r="AG972" s="10"/>
      <c r="AH972" s="10"/>
      <c r="AI972" s="12">
        <f t="shared" si="277"/>
        <v>0</v>
      </c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62"/>
      <c r="B973" s="66"/>
      <c r="C973" s="86"/>
      <c r="D973" s="60"/>
      <c r="E973" s="60"/>
      <c r="F973" s="60"/>
      <c r="G973" s="60"/>
      <c r="H973" s="62"/>
      <c r="I973" s="62"/>
      <c r="J973" s="62"/>
      <c r="K973" s="61"/>
      <c r="L973" s="62"/>
      <c r="M973" s="62"/>
      <c r="N973" s="66"/>
      <c r="O973" s="86"/>
      <c r="P973" s="69"/>
      <c r="Q973" s="86"/>
      <c r="R973" s="86"/>
      <c r="S973" s="60"/>
      <c r="T973" s="62"/>
      <c r="U973" s="62"/>
      <c r="V973" s="62"/>
      <c r="W973" s="61"/>
      <c r="Y973" s="10">
        <v>27</v>
      </c>
      <c r="Z973" s="30"/>
      <c r="AA973" s="31"/>
      <c r="AB973" s="47"/>
      <c r="AC973" s="31"/>
      <c r="AD973" s="31"/>
      <c r="AE973" s="32">
        <f t="shared" si="278"/>
        <v>0</v>
      </c>
      <c r="AF973" s="10"/>
      <c r="AG973" s="10"/>
      <c r="AH973" s="10"/>
      <c r="AI973" s="12">
        <f t="shared" si="277"/>
        <v>0</v>
      </c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62"/>
      <c r="B974" s="66"/>
      <c r="C974" s="86"/>
      <c r="D974" s="60"/>
      <c r="E974" s="60"/>
      <c r="F974" s="60"/>
      <c r="G974" s="60"/>
      <c r="H974" s="62"/>
      <c r="I974" s="62"/>
      <c r="J974" s="62"/>
      <c r="K974" s="61"/>
      <c r="L974" s="62"/>
      <c r="M974" s="62"/>
      <c r="N974" s="66"/>
      <c r="O974" s="86"/>
      <c r="P974" s="69"/>
      <c r="Q974" s="86"/>
      <c r="R974" s="86"/>
      <c r="S974" s="60"/>
      <c r="T974" s="62"/>
      <c r="U974" s="62"/>
      <c r="V974" s="62"/>
      <c r="W974" s="61"/>
      <c r="Y974" s="10">
        <v>28</v>
      </c>
      <c r="Z974" s="30"/>
      <c r="AA974" s="31"/>
      <c r="AB974" s="47"/>
      <c r="AC974" s="31"/>
      <c r="AD974" s="31"/>
      <c r="AE974" s="32">
        <f t="shared" si="278"/>
        <v>0</v>
      </c>
      <c r="AF974" s="10"/>
      <c r="AG974" s="10"/>
      <c r="AH974" s="10"/>
      <c r="AI974" s="12">
        <f t="shared" si="277"/>
        <v>0</v>
      </c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62"/>
      <c r="B975" s="66"/>
      <c r="C975" s="86"/>
      <c r="D975" s="60"/>
      <c r="E975" s="60"/>
      <c r="F975" s="60"/>
      <c r="G975" s="60"/>
      <c r="H975" s="62"/>
      <c r="I975" s="62"/>
      <c r="J975" s="62"/>
      <c r="K975" s="61"/>
      <c r="L975" s="62"/>
      <c r="M975" s="62"/>
      <c r="N975" s="66"/>
      <c r="O975" s="62"/>
      <c r="P975" s="69"/>
      <c r="Q975" s="86"/>
      <c r="R975" s="86"/>
      <c r="S975" s="60"/>
      <c r="T975" s="62"/>
      <c r="U975" s="62"/>
      <c r="V975" s="62"/>
      <c r="W975" s="61"/>
      <c r="Y975" s="10">
        <v>29</v>
      </c>
      <c r="Z975" s="30"/>
      <c r="AA975" s="31"/>
      <c r="AB975" s="47"/>
      <c r="AC975" s="31"/>
      <c r="AD975" s="31"/>
      <c r="AE975" s="32">
        <f t="shared" si="278"/>
        <v>0</v>
      </c>
      <c r="AF975" s="10"/>
      <c r="AG975" s="10"/>
      <c r="AH975" s="10"/>
      <c r="AI975" s="12">
        <f t="shared" si="277"/>
        <v>0</v>
      </c>
      <c r="AK975" s="62"/>
      <c r="AL975" s="66"/>
      <c r="AM975" s="86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62"/>
      <c r="B976" s="66"/>
      <c r="C976" s="86"/>
      <c r="D976" s="60"/>
      <c r="E976" s="60"/>
      <c r="F976" s="60"/>
      <c r="G976" s="60"/>
      <c r="H976" s="62"/>
      <c r="I976" s="62"/>
      <c r="J976" s="62"/>
      <c r="K976" s="61"/>
      <c r="L976" s="62"/>
      <c r="M976" s="62"/>
      <c r="N976" s="66"/>
      <c r="O976" s="86"/>
      <c r="P976" s="69"/>
      <c r="Q976" s="86"/>
      <c r="R976" s="86"/>
      <c r="S976" s="60"/>
      <c r="T976" s="62"/>
      <c r="U976" s="62"/>
      <c r="V976" s="62"/>
      <c r="W976" s="61"/>
      <c r="Y976" s="10">
        <v>30</v>
      </c>
      <c r="Z976" s="30"/>
      <c r="AA976" s="31"/>
      <c r="AB976" s="47"/>
      <c r="AC976" s="31"/>
      <c r="AD976" s="31"/>
      <c r="AE976" s="32">
        <f t="shared" si="278"/>
        <v>0</v>
      </c>
      <c r="AF976" s="10"/>
      <c r="AG976" s="10"/>
      <c r="AH976" s="10"/>
      <c r="AI976" s="12">
        <f t="shared" si="277"/>
        <v>0</v>
      </c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62"/>
      <c r="B977" s="66"/>
      <c r="C977" s="84"/>
      <c r="D977" s="60"/>
      <c r="E977" s="60"/>
      <c r="F977" s="60"/>
      <c r="G977" s="60"/>
      <c r="H977" s="62"/>
      <c r="I977" s="62"/>
      <c r="J977" s="62"/>
      <c r="K977" s="61"/>
      <c r="L977" s="62"/>
      <c r="M977" s="62"/>
      <c r="N977" s="66"/>
      <c r="O977" s="86"/>
      <c r="P977" s="69"/>
      <c r="Q977" s="86"/>
      <c r="R977" s="86"/>
      <c r="S977" s="60"/>
      <c r="T977" s="62"/>
      <c r="U977" s="62"/>
      <c r="V977" s="62"/>
      <c r="W977" s="61"/>
      <c r="Y977" s="10">
        <v>31</v>
      </c>
      <c r="Z977" s="30"/>
      <c r="AA977" s="31"/>
      <c r="AB977" s="47"/>
      <c r="AC977" s="31"/>
      <c r="AD977" s="31"/>
      <c r="AE977" s="32">
        <f t="shared" si="278"/>
        <v>0</v>
      </c>
      <c r="AF977" s="10"/>
      <c r="AG977" s="10"/>
      <c r="AH977" s="10"/>
      <c r="AI977" s="12">
        <f t="shared" si="277"/>
        <v>0</v>
      </c>
      <c r="AK977" s="62"/>
      <c r="AL977" s="66"/>
      <c r="AM977" s="62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62"/>
      <c r="B978" s="66"/>
      <c r="C978" s="86"/>
      <c r="D978" s="60"/>
      <c r="E978" s="60"/>
      <c r="F978" s="60"/>
      <c r="G978" s="60"/>
      <c r="H978" s="62"/>
      <c r="I978" s="62"/>
      <c r="J978" s="62"/>
      <c r="K978" s="61"/>
      <c r="L978" s="62"/>
      <c r="M978" s="62"/>
      <c r="N978" s="66"/>
      <c r="O978" s="86"/>
      <c r="P978" s="69"/>
      <c r="Q978" s="86"/>
      <c r="R978" s="86"/>
      <c r="S978" s="60"/>
      <c r="T978" s="62"/>
      <c r="U978" s="62"/>
      <c r="V978" s="62"/>
      <c r="W978" s="61"/>
      <c r="Y978" s="10">
        <v>32</v>
      </c>
      <c r="Z978" s="30"/>
      <c r="AA978" s="31"/>
      <c r="AB978" s="47"/>
      <c r="AC978" s="31"/>
      <c r="AD978" s="31"/>
      <c r="AE978" s="32">
        <f t="shared" si="278"/>
        <v>0</v>
      </c>
      <c r="AF978" s="10"/>
      <c r="AG978" s="10"/>
      <c r="AH978" s="10"/>
      <c r="AI978" s="12">
        <f t="shared" si="277"/>
        <v>0</v>
      </c>
      <c r="AK978" s="62"/>
      <c r="AL978" s="66"/>
      <c r="AM978" s="86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62"/>
      <c r="B979" s="66"/>
      <c r="C979" s="84"/>
      <c r="D979" s="60"/>
      <c r="E979" s="60"/>
      <c r="F979" s="60"/>
      <c r="G979" s="60"/>
      <c r="H979" s="62"/>
      <c r="I979" s="62"/>
      <c r="J979" s="62"/>
      <c r="K979" s="61"/>
      <c r="L979" s="62"/>
      <c r="M979" s="62"/>
      <c r="N979" s="66"/>
      <c r="O979" s="86"/>
      <c r="P979" s="69"/>
      <c r="Q979" s="86"/>
      <c r="R979" s="86"/>
      <c r="S979" s="60"/>
      <c r="T979" s="62"/>
      <c r="U979" s="62"/>
      <c r="V979" s="62"/>
      <c r="W979" s="61"/>
      <c r="Y979" s="10">
        <v>33</v>
      </c>
      <c r="Z979" s="30"/>
      <c r="AA979" s="31"/>
      <c r="AB979" s="47"/>
      <c r="AC979" s="31"/>
      <c r="AD979" s="31"/>
      <c r="AE979" s="32">
        <f t="shared" si="278"/>
        <v>0</v>
      </c>
      <c r="AF979" s="10"/>
      <c r="AG979" s="10"/>
      <c r="AH979" s="10"/>
      <c r="AI979" s="12">
        <f t="shared" si="277"/>
        <v>0</v>
      </c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62"/>
      <c r="B980" s="66"/>
      <c r="C980" s="84"/>
      <c r="D980" s="60"/>
      <c r="E980" s="60"/>
      <c r="F980" s="60"/>
      <c r="G980" s="60"/>
      <c r="H980" s="62"/>
      <c r="I980" s="62"/>
      <c r="J980" s="62"/>
      <c r="K980" s="61"/>
      <c r="L980" s="62"/>
      <c r="M980" s="62"/>
      <c r="N980" s="66"/>
      <c r="O980" s="86"/>
      <c r="P980" s="69"/>
      <c r="Q980" s="86"/>
      <c r="R980" s="86"/>
      <c r="S980" s="60"/>
      <c r="T980" s="62"/>
      <c r="U980" s="62"/>
      <c r="V980" s="62"/>
      <c r="W980" s="61"/>
      <c r="Y980" s="10">
        <v>34</v>
      </c>
      <c r="Z980" s="30"/>
      <c r="AA980" s="31"/>
      <c r="AB980" s="47"/>
      <c r="AC980" s="31"/>
      <c r="AD980" s="31"/>
      <c r="AE980" s="32">
        <f t="shared" si="278"/>
        <v>0</v>
      </c>
      <c r="AF980" s="10"/>
      <c r="AG980" s="10"/>
      <c r="AH980" s="10"/>
      <c r="AI980" s="12">
        <f t="shared" si="277"/>
        <v>0</v>
      </c>
      <c r="AK980" s="62"/>
      <c r="AL980" s="66"/>
      <c r="AM980" s="62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62"/>
      <c r="B981" s="66"/>
      <c r="C981" s="84"/>
      <c r="D981" s="60"/>
      <c r="E981" s="60"/>
      <c r="F981" s="60"/>
      <c r="G981" s="60"/>
      <c r="H981" s="62"/>
      <c r="I981" s="62"/>
      <c r="J981" s="62"/>
      <c r="K981" s="61"/>
      <c r="L981" s="62"/>
      <c r="M981" s="62"/>
      <c r="N981" s="66"/>
      <c r="O981" s="86"/>
      <c r="P981" s="69"/>
      <c r="Q981" s="86"/>
      <c r="R981" s="86"/>
      <c r="S981" s="60"/>
      <c r="T981" s="62"/>
      <c r="U981" s="62"/>
      <c r="V981" s="62"/>
      <c r="W981" s="61"/>
      <c r="Y981" s="10">
        <v>35</v>
      </c>
      <c r="Z981" s="30"/>
      <c r="AA981" s="31"/>
      <c r="AB981" s="47"/>
      <c r="AC981" s="31"/>
      <c r="AD981" s="31"/>
      <c r="AE981" s="32">
        <f t="shared" si="278"/>
        <v>0</v>
      </c>
      <c r="AF981" s="10"/>
      <c r="AG981" s="10"/>
      <c r="AH981" s="10"/>
      <c r="AI981" s="12">
        <f t="shared" si="277"/>
        <v>0</v>
      </c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62"/>
      <c r="B982" s="66"/>
      <c r="C982" s="84"/>
      <c r="D982" s="60"/>
      <c r="E982" s="60"/>
      <c r="F982" s="60"/>
      <c r="G982" s="60"/>
      <c r="H982" s="62"/>
      <c r="I982" s="62"/>
      <c r="J982" s="62"/>
      <c r="K982" s="61"/>
      <c r="L982" s="62"/>
      <c r="M982" s="62"/>
      <c r="N982" s="66"/>
      <c r="O982" s="86"/>
      <c r="P982" s="69"/>
      <c r="Q982" s="86"/>
      <c r="R982" s="86"/>
      <c r="S982" s="60"/>
      <c r="T982" s="62"/>
      <c r="U982" s="62"/>
      <c r="V982" s="62"/>
      <c r="W982" s="61"/>
      <c r="Y982" s="10">
        <v>36</v>
      </c>
      <c r="Z982" s="30"/>
      <c r="AA982" s="31"/>
      <c r="AB982" s="47"/>
      <c r="AC982" s="31"/>
      <c r="AD982" s="31"/>
      <c r="AE982" s="32">
        <f t="shared" si="278"/>
        <v>0</v>
      </c>
      <c r="AF982" s="10"/>
      <c r="AG982" s="10"/>
      <c r="AH982" s="10"/>
      <c r="AI982" s="12">
        <f t="shared" si="277"/>
        <v>0</v>
      </c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62"/>
      <c r="B983" s="66"/>
      <c r="C983" s="86"/>
      <c r="D983" s="60"/>
      <c r="E983" s="60"/>
      <c r="F983" s="60"/>
      <c r="G983" s="60"/>
      <c r="H983" s="62"/>
      <c r="I983" s="62"/>
      <c r="J983" s="62"/>
      <c r="K983" s="61"/>
      <c r="L983" s="62"/>
      <c r="M983" s="62"/>
      <c r="N983" s="66"/>
      <c r="O983" s="62"/>
      <c r="P983" s="69"/>
      <c r="Q983" s="86"/>
      <c r="R983" s="86"/>
      <c r="S983" s="60"/>
      <c r="T983" s="62"/>
      <c r="U983" s="62"/>
      <c r="V983" s="62"/>
      <c r="W983" s="61"/>
      <c r="Y983" s="10">
        <v>37</v>
      </c>
      <c r="Z983" s="30"/>
      <c r="AA983" s="31"/>
      <c r="AB983" s="47"/>
      <c r="AC983" s="31"/>
      <c r="AD983" s="31"/>
      <c r="AE983" s="32">
        <f t="shared" si="278"/>
        <v>0</v>
      </c>
      <c r="AF983" s="10"/>
      <c r="AG983" s="10"/>
      <c r="AH983" s="10"/>
      <c r="AI983" s="12">
        <f t="shared" si="277"/>
        <v>0</v>
      </c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62"/>
      <c r="B984" s="66"/>
      <c r="C984" s="86"/>
      <c r="D984" s="60"/>
      <c r="E984" s="60"/>
      <c r="F984" s="60"/>
      <c r="G984" s="60"/>
      <c r="H984" s="62"/>
      <c r="I984" s="62"/>
      <c r="J984" s="62"/>
      <c r="K984" s="61"/>
      <c r="L984" s="62"/>
      <c r="M984" s="62"/>
      <c r="N984" s="66"/>
      <c r="O984" s="86"/>
      <c r="P984" s="69"/>
      <c r="Q984" s="86"/>
      <c r="R984" s="86"/>
      <c r="S984" s="60"/>
      <c r="T984" s="62"/>
      <c r="U984" s="62"/>
      <c r="V984" s="62"/>
      <c r="W984" s="61"/>
      <c r="Y984" s="10">
        <v>38</v>
      </c>
      <c r="Z984" s="30"/>
      <c r="AA984" s="31"/>
      <c r="AB984" s="47"/>
      <c r="AC984" s="31"/>
      <c r="AD984" s="31"/>
      <c r="AE984" s="32">
        <f t="shared" si="278"/>
        <v>0</v>
      </c>
      <c r="AF984" s="10"/>
      <c r="AG984" s="10"/>
      <c r="AH984" s="10"/>
      <c r="AI984" s="12">
        <f t="shared" si="277"/>
        <v>0</v>
      </c>
      <c r="AK984" s="62"/>
      <c r="AL984" s="66"/>
      <c r="AM984" s="86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62"/>
      <c r="B985" s="66"/>
      <c r="C985" s="86"/>
      <c r="D985" s="60"/>
      <c r="E985" s="60"/>
      <c r="F985" s="60"/>
      <c r="G985" s="60"/>
      <c r="H985" s="62"/>
      <c r="I985" s="62"/>
      <c r="J985" s="62"/>
      <c r="K985" s="61"/>
      <c r="L985" s="62"/>
      <c r="M985" s="62"/>
      <c r="N985" s="66"/>
      <c r="O985" s="86"/>
      <c r="P985" s="69"/>
      <c r="Q985" s="86"/>
      <c r="R985" s="86"/>
      <c r="S985" s="60"/>
      <c r="T985" s="62"/>
      <c r="U985" s="62"/>
      <c r="V985" s="62"/>
      <c r="W985" s="61"/>
      <c r="Y985" s="10">
        <v>39</v>
      </c>
      <c r="Z985" s="30"/>
      <c r="AA985" s="31"/>
      <c r="AB985" s="47"/>
      <c r="AC985" s="31"/>
      <c r="AD985" s="31"/>
      <c r="AE985" s="32">
        <f t="shared" si="278"/>
        <v>0</v>
      </c>
      <c r="AF985" s="10"/>
      <c r="AG985" s="10"/>
      <c r="AH985" s="10"/>
      <c r="AI985" s="12">
        <f t="shared" si="277"/>
        <v>0</v>
      </c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62"/>
      <c r="B986" s="66"/>
      <c r="C986" s="86"/>
      <c r="D986" s="60"/>
      <c r="E986" s="60"/>
      <c r="F986" s="60"/>
      <c r="G986" s="60"/>
      <c r="H986" s="62"/>
      <c r="I986" s="62"/>
      <c r="J986" s="62"/>
      <c r="K986" s="61"/>
      <c r="L986" s="62"/>
      <c r="M986" s="62"/>
      <c r="N986" s="66"/>
      <c r="O986" s="62"/>
      <c r="P986" s="69"/>
      <c r="Q986" s="86"/>
      <c r="R986" s="86"/>
      <c r="S986" s="60"/>
      <c r="T986" s="62"/>
      <c r="U986" s="62"/>
      <c r="V986" s="62"/>
      <c r="W986" s="61"/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77"/>
        <v>0</v>
      </c>
      <c r="AK986" s="62"/>
      <c r="AL986" s="66"/>
      <c r="AM986" s="62"/>
      <c r="AN986" s="69"/>
      <c r="AO986" s="86"/>
      <c r="AP986" s="86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62"/>
      <c r="B987" s="66"/>
      <c r="C987" s="86"/>
      <c r="D987" s="60"/>
      <c r="E987" s="60"/>
      <c r="F987" s="60"/>
      <c r="G987" s="60"/>
      <c r="H987" s="62"/>
      <c r="I987" s="62"/>
      <c r="J987" s="62"/>
      <c r="K987" s="61"/>
      <c r="L987" s="62"/>
      <c r="M987" s="62"/>
      <c r="N987" s="66"/>
      <c r="O987" s="86"/>
      <c r="P987" s="69"/>
      <c r="Q987" s="86"/>
      <c r="R987" s="86"/>
      <c r="S987" s="60"/>
      <c r="T987" s="62"/>
      <c r="U987" s="62"/>
      <c r="V987" s="62"/>
      <c r="W987" s="61"/>
      <c r="Y987" s="10"/>
      <c r="Z987" s="30"/>
      <c r="AA987" s="31"/>
      <c r="AB987" s="47"/>
      <c r="AC987" s="31"/>
      <c r="AD987" s="31"/>
      <c r="AE987" s="32">
        <f t="shared" ref="AE987" si="279">SUM(AB987:AC987)</f>
        <v>0</v>
      </c>
      <c r="AF987" s="10"/>
      <c r="AG987" s="10"/>
      <c r="AH987" s="10"/>
      <c r="AI987" s="12">
        <f t="shared" si="277"/>
        <v>0</v>
      </c>
      <c r="AK987" s="62"/>
      <c r="AL987" s="66"/>
      <c r="AM987" s="86"/>
      <c r="AN987" s="69"/>
      <c r="AO987" s="86"/>
      <c r="AP987" s="86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62"/>
      <c r="B988" s="66"/>
      <c r="C988" s="66"/>
      <c r="D988" s="60"/>
      <c r="E988" s="60"/>
      <c r="F988" s="60"/>
      <c r="G988" s="60"/>
      <c r="H988" s="62"/>
      <c r="I988" s="62"/>
      <c r="J988" s="62"/>
      <c r="K988" s="61"/>
      <c r="L988" s="62"/>
      <c r="M988" s="62"/>
      <c r="N988" s="86"/>
      <c r="O988" s="86"/>
      <c r="P988" s="86"/>
      <c r="Q988" s="86"/>
      <c r="R988" s="86"/>
      <c r="S988" s="86"/>
      <c r="T988" s="62"/>
      <c r="U988" s="62"/>
      <c r="V988" s="62"/>
      <c r="W988" s="61"/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77"/>
        <v>0</v>
      </c>
      <c r="AK988" s="62"/>
      <c r="AL988" s="86"/>
      <c r="AM988" s="86"/>
      <c r="AN988" s="86"/>
      <c r="AO988" s="86"/>
      <c r="AP988" s="86"/>
      <c r="AQ988" s="86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A989" s="62"/>
      <c r="B989" s="86"/>
      <c r="C989" s="86"/>
      <c r="D989" s="86"/>
      <c r="E989" s="86"/>
      <c r="F989" s="86"/>
      <c r="G989" s="86"/>
      <c r="H989" s="62"/>
      <c r="I989" s="62"/>
      <c r="J989" s="62"/>
      <c r="K989" s="62"/>
      <c r="L989" s="62"/>
      <c r="M989" s="62"/>
      <c r="N989" s="86"/>
      <c r="O989" s="86"/>
      <c r="P989" s="86"/>
      <c r="Q989" s="86"/>
      <c r="R989" s="86"/>
      <c r="S989" s="86"/>
      <c r="T989" s="62"/>
      <c r="U989" s="62"/>
      <c r="V989" s="62"/>
      <c r="W989" s="62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86"/>
      <c r="AM989" s="86"/>
      <c r="AN989" s="86"/>
      <c r="AO989" s="86"/>
      <c r="AP989" s="86"/>
      <c r="AQ989" s="86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62"/>
      <c r="B990" s="86"/>
      <c r="C990" s="86"/>
      <c r="D990" s="70"/>
      <c r="E990" s="70"/>
      <c r="F990" s="70"/>
      <c r="G990" s="70"/>
      <c r="H990" s="63"/>
      <c r="I990" s="70"/>
      <c r="J990" s="70"/>
      <c r="K990" s="70"/>
      <c r="L990" s="62"/>
      <c r="M990" s="62"/>
      <c r="N990" s="86"/>
      <c r="O990" s="86"/>
      <c r="P990" s="70"/>
      <c r="Q990" s="70"/>
      <c r="R990" s="70"/>
      <c r="S990" s="70"/>
      <c r="T990" s="63"/>
      <c r="U990" s="71"/>
      <c r="V990" s="71"/>
      <c r="W990" s="71"/>
      <c r="Z990" s="57"/>
      <c r="AA990" s="57"/>
      <c r="AB990" s="38">
        <f>SUM(AB947:AB989)</f>
        <v>273885.5</v>
      </c>
      <c r="AC990" s="38">
        <f>SUM(AC947:AC971)</f>
        <v>-2712</v>
      </c>
      <c r="AD990" s="38">
        <f>SUM(AD947:AD971)</f>
        <v>0</v>
      </c>
      <c r="AE990" s="38">
        <f>SUM(AE947:AE989)</f>
        <v>271173.5</v>
      </c>
      <c r="AF990" s="4"/>
      <c r="AG990" s="41">
        <f>SUM(AG947:AG989)</f>
        <v>0</v>
      </c>
      <c r="AH990" s="41">
        <f>SUM(AH947:AH971)</f>
        <v>-3330</v>
      </c>
      <c r="AI990" s="42">
        <f>SUM(AI947:AI989)</f>
        <v>267843.5</v>
      </c>
      <c r="AK990" s="62"/>
      <c r="AL990" s="86"/>
      <c r="AM990" s="86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6"/>
      <c r="C992" s="86"/>
      <c r="D992" s="86"/>
      <c r="E992" s="86"/>
      <c r="F992" s="86"/>
      <c r="G992" s="86"/>
      <c r="H992" s="62"/>
      <c r="I992" s="62"/>
      <c r="J992" s="62"/>
      <c r="K992" s="62"/>
      <c r="L992" s="62"/>
      <c r="M992" s="62"/>
      <c r="N992" s="86"/>
      <c r="O992" s="86"/>
      <c r="P992" s="86"/>
      <c r="Q992" s="86"/>
      <c r="R992" s="86"/>
      <c r="S992" s="86"/>
      <c r="T992" s="62"/>
      <c r="U992" s="62"/>
      <c r="V992" s="62"/>
      <c r="W992" s="62"/>
      <c r="X992" s="62"/>
      <c r="Y992" s="62"/>
      <c r="Z992" s="86"/>
      <c r="AA992" s="86"/>
      <c r="AB992" s="86"/>
      <c r="AC992" s="86"/>
      <c r="AD992" s="86"/>
      <c r="AE992" s="86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2"/>
      <c r="B993" s="86"/>
      <c r="C993" s="86"/>
      <c r="D993" s="86"/>
      <c r="E993" s="86"/>
      <c r="F993" s="86"/>
      <c r="G993" s="86"/>
      <c r="H993" s="62"/>
      <c r="I993" s="62"/>
      <c r="J993" s="62"/>
      <c r="K993" s="62"/>
      <c r="L993" s="62"/>
      <c r="M993" s="62"/>
      <c r="N993" s="86"/>
      <c r="O993" s="86"/>
      <c r="P993" s="86"/>
      <c r="Q993" s="86"/>
      <c r="R993" s="86"/>
      <c r="S993" s="86"/>
      <c r="T993" s="62"/>
      <c r="U993" s="62"/>
      <c r="V993" s="62"/>
      <c r="W993" s="62"/>
      <c r="X993" s="62"/>
      <c r="Y993" s="62"/>
      <c r="Z993" s="86"/>
      <c r="AA993" s="86"/>
      <c r="AB993" s="86"/>
      <c r="AC993" s="86"/>
      <c r="AD993" s="86"/>
      <c r="AE993" s="86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6"/>
      <c r="C994" s="86"/>
      <c r="D994" s="86"/>
      <c r="E994" s="86"/>
      <c r="F994" s="86"/>
      <c r="G994" s="86"/>
      <c r="H994" s="62"/>
      <c r="I994" s="62"/>
      <c r="J994" s="62"/>
      <c r="K994" s="62"/>
      <c r="L994" s="62"/>
      <c r="M994" s="62"/>
      <c r="N994" s="86"/>
      <c r="O994" s="86"/>
      <c r="P994" s="86"/>
      <c r="Q994" s="86"/>
      <c r="R994" s="86"/>
      <c r="S994" s="86"/>
      <c r="T994" s="62"/>
      <c r="U994" s="62"/>
      <c r="V994" s="62"/>
      <c r="W994" s="62"/>
      <c r="X994" s="62"/>
      <c r="Y994" s="62"/>
      <c r="Z994" s="86"/>
      <c r="AA994" s="86"/>
      <c r="AB994" s="86"/>
      <c r="AC994" s="86"/>
      <c r="AD994" s="86"/>
      <c r="AE994" s="86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63"/>
      <c r="B995" s="86"/>
      <c r="C995" s="86"/>
      <c r="D995" s="86"/>
      <c r="E995" s="86"/>
      <c r="F995" s="86"/>
      <c r="G995" s="86"/>
      <c r="H995" s="62"/>
      <c r="I995" s="62"/>
      <c r="J995" s="62"/>
      <c r="K995" s="62"/>
      <c r="L995" s="62"/>
      <c r="M995" s="63"/>
      <c r="N995" s="86"/>
      <c r="O995" s="86"/>
      <c r="P995" s="86"/>
      <c r="Q995" s="86"/>
      <c r="R995" s="86"/>
      <c r="S995" s="86"/>
      <c r="T995" s="62"/>
      <c r="U995" s="62"/>
      <c r="V995" s="62"/>
      <c r="W995" s="62"/>
      <c r="X995" s="62"/>
      <c r="Y995" s="63"/>
      <c r="Z995" s="86"/>
      <c r="AA995" s="86"/>
      <c r="AB995" s="86"/>
      <c r="AC995" s="86"/>
      <c r="AD995" s="86"/>
      <c r="AE995" s="86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2"/>
      <c r="B996" s="86"/>
      <c r="C996" s="86"/>
      <c r="D996" s="86"/>
      <c r="E996" s="86"/>
      <c r="F996" s="86"/>
      <c r="G996" s="86"/>
      <c r="H996" s="62"/>
      <c r="I996" s="62"/>
      <c r="J996" s="62"/>
      <c r="K996" s="62"/>
      <c r="L996" s="62"/>
      <c r="M996" s="62"/>
      <c r="N996" s="86"/>
      <c r="O996" s="86"/>
      <c r="P996" s="86"/>
      <c r="Q996" s="86"/>
      <c r="R996" s="86"/>
      <c r="S996" s="86"/>
      <c r="T996" s="62"/>
      <c r="U996" s="62"/>
      <c r="V996" s="62"/>
      <c r="W996" s="62"/>
      <c r="X996" s="62"/>
      <c r="Y996" s="62"/>
      <c r="Z996" s="86"/>
      <c r="AA996" s="86"/>
      <c r="AB996" s="86"/>
      <c r="AC996" s="86"/>
      <c r="AD996" s="86"/>
      <c r="AE996" s="86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s="62"/>
      <c r="B997" s="86"/>
      <c r="C997" s="86"/>
      <c r="D997" s="86"/>
      <c r="E997" s="86"/>
      <c r="F997" s="86"/>
      <c r="G997" s="86"/>
      <c r="H997" s="62"/>
      <c r="I997" s="86"/>
      <c r="J997" s="73"/>
      <c r="K997" s="62"/>
      <c r="L997" s="62"/>
      <c r="M997" s="62"/>
      <c r="N997" s="86"/>
      <c r="O997" s="86"/>
      <c r="P997" s="86"/>
      <c r="Q997" s="86"/>
      <c r="R997" s="86"/>
      <c r="S997" s="86"/>
      <c r="T997" s="62"/>
      <c r="U997" s="86"/>
      <c r="V997" s="73"/>
      <c r="W997" s="62"/>
      <c r="X997" s="62"/>
      <c r="Y997" s="62"/>
      <c r="Z997" s="86"/>
      <c r="AA997" s="86"/>
      <c r="AB997" s="86"/>
      <c r="AC997" s="86"/>
      <c r="AD997" s="86"/>
      <c r="AE997" s="86"/>
      <c r="AF997" s="62"/>
      <c r="AG997" s="86"/>
      <c r="AH997" s="86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4"/>
      <c r="B998" s="86"/>
      <c r="C998" s="86"/>
      <c r="D998" s="86"/>
      <c r="E998" s="86"/>
      <c r="F998" s="86"/>
      <c r="G998" s="86"/>
      <c r="H998" s="62"/>
      <c r="I998" s="65"/>
      <c r="J998" s="65"/>
      <c r="K998" s="62"/>
      <c r="L998" s="62"/>
      <c r="M998" s="64"/>
      <c r="N998" s="86"/>
      <c r="O998" s="86"/>
      <c r="P998" s="86"/>
      <c r="Q998" s="86"/>
      <c r="R998" s="86"/>
      <c r="S998" s="86"/>
      <c r="T998" s="62"/>
      <c r="U998" s="65"/>
      <c r="V998" s="65"/>
      <c r="W998" s="62"/>
      <c r="X998" s="62"/>
      <c r="Y998" s="64"/>
      <c r="Z998" s="86"/>
      <c r="AA998" s="86"/>
      <c r="AB998" s="86"/>
      <c r="AC998" s="86"/>
      <c r="AD998" s="86"/>
      <c r="AE998" s="86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6"/>
      <c r="C999" s="86"/>
      <c r="D999" s="86"/>
      <c r="E999" s="86"/>
      <c r="F999" s="86"/>
      <c r="G999" s="86"/>
      <c r="H999" s="62"/>
      <c r="I999" s="62"/>
      <c r="J999" s="62"/>
      <c r="K999" s="62"/>
      <c r="L999" s="62"/>
      <c r="M999" s="62"/>
      <c r="N999" s="86"/>
      <c r="O999" s="86"/>
      <c r="P999" s="86"/>
      <c r="Q999" s="86"/>
      <c r="R999" s="86"/>
      <c r="S999" s="86"/>
      <c r="T999" s="62"/>
      <c r="U999" s="62"/>
      <c r="V999" s="62"/>
      <c r="W999" s="62"/>
      <c r="X999" s="62"/>
      <c r="Y999" s="62"/>
      <c r="Z999" s="86"/>
      <c r="AA999" s="86"/>
      <c r="AB999" s="86"/>
      <c r="AC999" s="86"/>
      <c r="AD999" s="86"/>
      <c r="AE999" s="86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5"/>
      <c r="C1000" s="86"/>
      <c r="D1000" s="117"/>
      <c r="E1000" s="117"/>
      <c r="F1000" s="86"/>
      <c r="G1000" s="86"/>
      <c r="H1000" s="62"/>
      <c r="I1000" s="117"/>
      <c r="J1000" s="117"/>
      <c r="K1000" s="116"/>
      <c r="L1000" s="62"/>
      <c r="M1000" s="62"/>
      <c r="N1000" s="65"/>
      <c r="O1000" s="86"/>
      <c r="P1000" s="117"/>
      <c r="Q1000" s="117"/>
      <c r="R1000" s="86"/>
      <c r="S1000" s="86"/>
      <c r="T1000" s="62"/>
      <c r="U1000" s="117"/>
      <c r="V1000" s="117"/>
      <c r="W1000" s="116"/>
      <c r="X1000" s="62"/>
      <c r="Y1000" s="62"/>
      <c r="Z1000" s="65"/>
      <c r="AA1000" s="86"/>
      <c r="AB1000" s="117"/>
      <c r="AC1000" s="117"/>
      <c r="AD1000" s="86"/>
      <c r="AE1000" s="86"/>
      <c r="AF1000" s="62"/>
      <c r="AG1000" s="117"/>
      <c r="AH1000" s="117"/>
      <c r="AI1000" s="116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x14ac:dyDescent="0.25">
      <c r="A1001" s="62"/>
      <c r="B1001" s="86"/>
      <c r="C1001" s="86"/>
      <c r="D1001" s="79"/>
      <c r="E1001" s="80"/>
      <c r="F1001" s="81"/>
      <c r="G1001" s="81"/>
      <c r="H1001" s="62"/>
      <c r="I1001" s="85"/>
      <c r="J1001" s="85"/>
      <c r="K1001" s="116"/>
      <c r="L1001" s="62"/>
      <c r="M1001" s="62"/>
      <c r="N1001" s="86"/>
      <c r="O1001" s="86"/>
      <c r="P1001" s="79"/>
      <c r="Q1001" s="81"/>
      <c r="R1001" s="81"/>
      <c r="S1001" s="81"/>
      <c r="T1001" s="62"/>
      <c r="U1001" s="85"/>
      <c r="V1001" s="85"/>
      <c r="W1001" s="116"/>
      <c r="X1001" s="62"/>
      <c r="Y1001" s="62"/>
      <c r="Z1001" s="86"/>
      <c r="AA1001" s="86"/>
      <c r="AB1001" s="79"/>
      <c r="AC1001" s="81"/>
      <c r="AD1001" s="81"/>
      <c r="AE1001" s="81"/>
      <c r="AF1001" s="62"/>
      <c r="AG1001" s="85"/>
      <c r="AH1001" s="85"/>
      <c r="AI1001" s="116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4"/>
      <c r="D1002" s="60"/>
      <c r="E1002" s="60"/>
      <c r="F1002" s="60"/>
      <c r="G1002" s="60"/>
      <c r="H1002" s="61"/>
      <c r="I1002" s="61"/>
      <c r="J1002" s="61"/>
      <c r="K1002" s="61"/>
      <c r="L1002" s="62"/>
      <c r="M1002" s="62"/>
      <c r="N1002" s="66"/>
      <c r="O1002" s="86"/>
      <c r="P1002" s="60"/>
      <c r="Q1002" s="60"/>
      <c r="R1002" s="60"/>
      <c r="S1002" s="60"/>
      <c r="T1002" s="61"/>
      <c r="U1002" s="61"/>
      <c r="V1002" s="61"/>
      <c r="W1002" s="61"/>
      <c r="X1002" s="62"/>
      <c r="Y1002" s="62"/>
      <c r="Z1002" s="66"/>
      <c r="AA1002" s="86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6"/>
      <c r="D1003" s="60"/>
      <c r="E1003" s="60"/>
      <c r="F1003" s="60"/>
      <c r="G1003" s="60"/>
      <c r="H1003" s="61"/>
      <c r="I1003" s="61"/>
      <c r="J1003" s="61"/>
      <c r="K1003" s="61"/>
      <c r="L1003" s="62"/>
      <c r="M1003" s="62"/>
      <c r="N1003" s="66"/>
      <c r="O1003" s="86"/>
      <c r="P1003" s="60"/>
      <c r="Q1003" s="60"/>
      <c r="R1003" s="60"/>
      <c r="S1003" s="60"/>
      <c r="T1003" s="61"/>
      <c r="U1003" s="61"/>
      <c r="V1003" s="61"/>
      <c r="W1003" s="61"/>
      <c r="X1003" s="62"/>
      <c r="Y1003" s="62"/>
      <c r="Z1003" s="66"/>
      <c r="AA1003" s="86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6"/>
      <c r="D1004" s="60"/>
      <c r="E1004" s="60"/>
      <c r="F1004" s="60"/>
      <c r="G1004" s="60"/>
      <c r="H1004" s="61"/>
      <c r="I1004" s="61"/>
      <c r="J1004" s="61"/>
      <c r="K1004" s="61"/>
      <c r="L1004" s="62"/>
      <c r="M1004" s="62"/>
      <c r="N1004" s="66"/>
      <c r="O1004" s="86"/>
      <c r="P1004" s="60"/>
      <c r="Q1004" s="60"/>
      <c r="R1004" s="60"/>
      <c r="S1004" s="60"/>
      <c r="T1004" s="61"/>
      <c r="U1004" s="61"/>
      <c r="V1004" s="61"/>
      <c r="W1004" s="61"/>
      <c r="X1004" s="62"/>
      <c r="Y1004" s="62"/>
      <c r="Z1004" s="66"/>
      <c r="AA1004" s="86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6"/>
      <c r="D1005" s="60"/>
      <c r="E1005" s="60"/>
      <c r="F1005" s="60"/>
      <c r="G1005" s="60"/>
      <c r="H1005" s="61"/>
      <c r="I1005" s="61"/>
      <c r="J1005" s="61"/>
      <c r="K1005" s="61"/>
      <c r="L1005" s="62"/>
      <c r="M1005" s="62"/>
      <c r="N1005" s="66"/>
      <c r="O1005" s="86"/>
      <c r="P1005" s="60"/>
      <c r="Q1005" s="60"/>
      <c r="R1005" s="60"/>
      <c r="S1005" s="60"/>
      <c r="T1005" s="61"/>
      <c r="U1005" s="61"/>
      <c r="V1005" s="61"/>
      <c r="W1005" s="61"/>
      <c r="X1005" s="62"/>
      <c r="Y1005" s="62"/>
      <c r="Z1005" s="66"/>
      <c r="AA1005" s="65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6"/>
      <c r="D1006" s="60"/>
      <c r="E1006" s="60"/>
      <c r="F1006" s="60"/>
      <c r="G1006" s="60"/>
      <c r="H1006" s="61"/>
      <c r="I1006" s="61"/>
      <c r="J1006" s="61"/>
      <c r="K1006" s="61"/>
      <c r="L1006" s="62"/>
      <c r="M1006" s="62"/>
      <c r="N1006" s="66"/>
      <c r="O1006" s="86"/>
      <c r="P1006" s="60"/>
      <c r="Q1006" s="60"/>
      <c r="R1006" s="60"/>
      <c r="S1006" s="60"/>
      <c r="T1006" s="61"/>
      <c r="U1006" s="61"/>
      <c r="V1006" s="61"/>
      <c r="W1006" s="61"/>
      <c r="X1006" s="62"/>
      <c r="Y1006" s="62"/>
      <c r="Z1006" s="66"/>
      <c r="AA1006" s="86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6"/>
      <c r="D1007" s="60"/>
      <c r="E1007" s="60"/>
      <c r="F1007" s="60"/>
      <c r="G1007" s="60"/>
      <c r="H1007" s="61"/>
      <c r="I1007" s="61"/>
      <c r="J1007" s="61"/>
      <c r="K1007" s="61"/>
      <c r="L1007" s="62"/>
      <c r="M1007" s="62"/>
      <c r="N1007" s="66"/>
      <c r="O1007" s="86"/>
      <c r="P1007" s="60"/>
      <c r="Q1007" s="60"/>
      <c r="R1007" s="60"/>
      <c r="S1007" s="60"/>
      <c r="T1007" s="61"/>
      <c r="U1007" s="61"/>
      <c r="V1007" s="62"/>
      <c r="W1007" s="61"/>
      <c r="X1007" s="62"/>
      <c r="Y1007" s="62"/>
      <c r="Z1007" s="66"/>
      <c r="AA1007" s="86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6"/>
      <c r="D1008" s="60"/>
      <c r="E1008" s="60"/>
      <c r="F1008" s="60"/>
      <c r="G1008" s="60"/>
      <c r="H1008" s="61"/>
      <c r="I1008" s="61"/>
      <c r="J1008" s="61"/>
      <c r="K1008" s="61"/>
      <c r="L1008" s="62"/>
      <c r="M1008" s="62"/>
      <c r="N1008" s="66"/>
      <c r="O1008" s="86"/>
      <c r="P1008" s="60"/>
      <c r="Q1008" s="60"/>
      <c r="R1008" s="60"/>
      <c r="S1008" s="60"/>
      <c r="T1008" s="61"/>
      <c r="U1008" s="61"/>
      <c r="V1008" s="61"/>
      <c r="W1008" s="61"/>
      <c r="X1008" s="62"/>
      <c r="Y1008" s="62"/>
      <c r="Z1008" s="66"/>
      <c r="AA1008" s="86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86"/>
      <c r="D1009" s="60"/>
      <c r="E1009" s="60"/>
      <c r="F1009" s="60"/>
      <c r="G1009" s="60"/>
      <c r="H1009" s="61"/>
      <c r="I1009" s="61"/>
      <c r="J1009" s="61"/>
      <c r="K1009" s="61"/>
      <c r="L1009" s="62"/>
      <c r="M1009" s="62"/>
      <c r="N1009" s="66"/>
      <c r="O1009" s="86"/>
      <c r="P1009" s="60"/>
      <c r="Q1009" s="60"/>
      <c r="R1009" s="60"/>
      <c r="S1009" s="60"/>
      <c r="T1009" s="61"/>
      <c r="U1009" s="61"/>
      <c r="V1009" s="61"/>
      <c r="W1009" s="61"/>
      <c r="X1009" s="62"/>
      <c r="Y1009" s="62"/>
      <c r="Z1009" s="66"/>
      <c r="AA1009" s="86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6"/>
      <c r="D1010" s="60"/>
      <c r="E1010" s="60"/>
      <c r="F1010" s="60"/>
      <c r="G1010" s="60"/>
      <c r="H1010" s="61"/>
      <c r="I1010" s="61"/>
      <c r="J1010" s="61"/>
      <c r="K1010" s="61"/>
      <c r="L1010" s="62"/>
      <c r="M1010" s="62"/>
      <c r="N1010" s="66"/>
      <c r="O1010" s="86"/>
      <c r="P1010" s="60"/>
      <c r="Q1010" s="60"/>
      <c r="R1010" s="60"/>
      <c r="S1010" s="60"/>
      <c r="T1010" s="61"/>
      <c r="U1010" s="61"/>
      <c r="V1010" s="61"/>
      <c r="W1010" s="61"/>
      <c r="X1010" s="62"/>
      <c r="Y1010" s="62"/>
      <c r="Z1010" s="66"/>
      <c r="AA1010" s="86"/>
      <c r="AB1010" s="62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6"/>
      <c r="D1011" s="60"/>
      <c r="E1011" s="60"/>
      <c r="F1011" s="60"/>
      <c r="G1011" s="60"/>
      <c r="H1011" s="61"/>
      <c r="I1011" s="61"/>
      <c r="J1011" s="61"/>
      <c r="K1011" s="61"/>
      <c r="L1011" s="62"/>
      <c r="M1011" s="62"/>
      <c r="N1011" s="66"/>
      <c r="O1011" s="86"/>
      <c r="P1011" s="60"/>
      <c r="Q1011" s="60"/>
      <c r="R1011" s="60"/>
      <c r="S1011" s="60"/>
      <c r="T1011" s="61"/>
      <c r="U1011" s="61"/>
      <c r="V1011" s="61"/>
      <c r="W1011" s="61"/>
      <c r="X1011" s="62"/>
      <c r="Y1011" s="62"/>
      <c r="Z1011" s="66"/>
      <c r="AA1011" s="86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6"/>
      <c r="D1012" s="60"/>
      <c r="E1012" s="60"/>
      <c r="F1012" s="60"/>
      <c r="G1012" s="60"/>
      <c r="H1012" s="61"/>
      <c r="I1012" s="61"/>
      <c r="J1012" s="61"/>
      <c r="K1012" s="61"/>
      <c r="L1012" s="62"/>
      <c r="M1012" s="62"/>
      <c r="N1012" s="66"/>
      <c r="O1012" s="86"/>
      <c r="P1012" s="60"/>
      <c r="Q1012" s="60"/>
      <c r="R1012" s="60"/>
      <c r="S1012" s="60"/>
      <c r="T1012" s="61"/>
      <c r="U1012" s="61"/>
      <c r="V1012" s="61"/>
      <c r="W1012" s="61"/>
      <c r="X1012" s="62"/>
      <c r="Y1012" s="62"/>
      <c r="Z1012" s="66"/>
      <c r="AA1012" s="62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6"/>
      <c r="D1013" s="60"/>
      <c r="E1013" s="60"/>
      <c r="F1013" s="60"/>
      <c r="G1013" s="60"/>
      <c r="H1013" s="61"/>
      <c r="I1013" s="61"/>
      <c r="J1013" s="62"/>
      <c r="K1013" s="61"/>
      <c r="L1013" s="62"/>
      <c r="M1013" s="62"/>
      <c r="N1013" s="66"/>
      <c r="O1013" s="86"/>
      <c r="P1013" s="60"/>
      <c r="Q1013" s="60"/>
      <c r="R1013" s="60"/>
      <c r="S1013" s="60"/>
      <c r="T1013" s="61"/>
      <c r="U1013" s="61"/>
      <c r="V1013" s="61"/>
      <c r="W1013" s="61"/>
      <c r="X1013" s="62"/>
      <c r="Y1013" s="62"/>
      <c r="Z1013" s="66"/>
      <c r="AA1013" s="86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86"/>
      <c r="D1014" s="60"/>
      <c r="E1014" s="60"/>
      <c r="F1014" s="60"/>
      <c r="G1014" s="60"/>
      <c r="H1014" s="61"/>
      <c r="I1014" s="61"/>
      <c r="J1014" s="61"/>
      <c r="K1014" s="61"/>
      <c r="L1014" s="62"/>
      <c r="M1014" s="62"/>
      <c r="N1014" s="66"/>
      <c r="O1014" s="86"/>
      <c r="P1014" s="60"/>
      <c r="Q1014" s="60"/>
      <c r="R1014" s="60"/>
      <c r="S1014" s="60"/>
      <c r="T1014" s="61"/>
      <c r="U1014" s="61"/>
      <c r="V1014" s="61"/>
      <c r="W1014" s="61"/>
      <c r="X1014" s="62"/>
      <c r="Y1014" s="62"/>
      <c r="Z1014" s="66"/>
      <c r="AA1014" s="86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6"/>
      <c r="D1015" s="60"/>
      <c r="E1015" s="60"/>
      <c r="F1015" s="60"/>
      <c r="G1015" s="60"/>
      <c r="H1015" s="61"/>
      <c r="I1015" s="61"/>
      <c r="J1015" s="61"/>
      <c r="K1015" s="61"/>
      <c r="L1015" s="62"/>
      <c r="M1015" s="62"/>
      <c r="N1015" s="66"/>
      <c r="O1015" s="86"/>
      <c r="P1015" s="60"/>
      <c r="Q1015" s="60"/>
      <c r="R1015" s="60"/>
      <c r="S1015" s="60"/>
      <c r="T1015" s="61"/>
      <c r="U1015" s="61"/>
      <c r="V1015" s="61"/>
      <c r="W1015" s="61"/>
      <c r="X1015" s="62"/>
      <c r="Y1015" s="62"/>
      <c r="Z1015" s="66"/>
      <c r="AA1015" s="86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65"/>
      <c r="D1016" s="60"/>
      <c r="E1016" s="60"/>
      <c r="F1016" s="60"/>
      <c r="G1016" s="60"/>
      <c r="H1016" s="61"/>
      <c r="I1016" s="61"/>
      <c r="J1016" s="61"/>
      <c r="K1016" s="61"/>
      <c r="L1016" s="62"/>
      <c r="M1016" s="62"/>
      <c r="N1016" s="66"/>
      <c r="O1016" s="86"/>
      <c r="P1016" s="60"/>
      <c r="Q1016" s="60"/>
      <c r="R1016" s="60"/>
      <c r="S1016" s="60"/>
      <c r="T1016" s="61"/>
      <c r="U1016" s="61"/>
      <c r="V1016" s="61"/>
      <c r="W1016" s="61"/>
      <c r="X1016" s="62"/>
      <c r="Y1016" s="62"/>
      <c r="Z1016" s="66"/>
      <c r="AA1016" s="86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6"/>
      <c r="D1017" s="60"/>
      <c r="E1017" s="60"/>
      <c r="F1017" s="60"/>
      <c r="G1017" s="60"/>
      <c r="H1017" s="61"/>
      <c r="I1017" s="61"/>
      <c r="J1017" s="61"/>
      <c r="K1017" s="61"/>
      <c r="L1017" s="62"/>
      <c r="M1017" s="62"/>
      <c r="N1017" s="66"/>
      <c r="O1017" s="86"/>
      <c r="P1017" s="60"/>
      <c r="Q1017" s="60"/>
      <c r="R1017" s="60"/>
      <c r="S1017" s="60"/>
      <c r="T1017" s="61"/>
      <c r="U1017" s="61"/>
      <c r="V1017" s="61"/>
      <c r="W1017" s="61"/>
      <c r="X1017" s="62"/>
      <c r="Y1017" s="62"/>
      <c r="Z1017" s="66"/>
      <c r="AA1017" s="62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6"/>
      <c r="D1018" s="60"/>
      <c r="E1018" s="60"/>
      <c r="F1018" s="60"/>
      <c r="G1018" s="60"/>
      <c r="H1018" s="61"/>
      <c r="I1018" s="61"/>
      <c r="J1018" s="61"/>
      <c r="K1018" s="61"/>
      <c r="L1018" s="62"/>
      <c r="M1018" s="62"/>
      <c r="N1018" s="66"/>
      <c r="O1018" s="86"/>
      <c r="P1018" s="60"/>
      <c r="Q1018" s="60"/>
      <c r="R1018" s="60"/>
      <c r="S1018" s="60"/>
      <c r="T1018" s="61"/>
      <c r="U1018" s="61"/>
      <c r="V1018" s="61"/>
      <c r="W1018" s="61"/>
      <c r="X1018" s="62"/>
      <c r="Y1018" s="62"/>
      <c r="Z1018" s="66"/>
      <c r="AA1018" s="86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6"/>
      <c r="D1019" s="60"/>
      <c r="E1019" s="60"/>
      <c r="F1019" s="60"/>
      <c r="G1019" s="60"/>
      <c r="H1019" s="61"/>
      <c r="I1019" s="61"/>
      <c r="J1019" s="61"/>
      <c r="K1019" s="61"/>
      <c r="L1019" s="62"/>
      <c r="M1019" s="62"/>
      <c r="N1019" s="66"/>
      <c r="O1019" s="86"/>
      <c r="P1019" s="60"/>
      <c r="Q1019" s="60"/>
      <c r="R1019" s="60"/>
      <c r="S1019" s="60"/>
      <c r="T1019" s="61"/>
      <c r="U1019" s="61"/>
      <c r="V1019" s="61"/>
      <c r="W1019" s="61"/>
      <c r="X1019" s="62"/>
      <c r="Y1019" s="62"/>
      <c r="Z1019" s="66"/>
      <c r="AA1019" s="86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6"/>
      <c r="D1020" s="60"/>
      <c r="E1020" s="60"/>
      <c r="F1020" s="60"/>
      <c r="G1020" s="60"/>
      <c r="H1020" s="61"/>
      <c r="I1020" s="61"/>
      <c r="J1020" s="61"/>
      <c r="K1020" s="61"/>
      <c r="L1020" s="62"/>
      <c r="M1020" s="62"/>
      <c r="N1020" s="66"/>
      <c r="O1020" s="86"/>
      <c r="P1020" s="60"/>
      <c r="Q1020" s="60"/>
      <c r="R1020" s="60"/>
      <c r="S1020" s="60"/>
      <c r="T1020" s="61"/>
      <c r="U1020" s="61"/>
      <c r="V1020" s="61"/>
      <c r="W1020" s="61"/>
      <c r="X1020" s="62"/>
      <c r="Y1020" s="62"/>
      <c r="Z1020" s="66"/>
      <c r="AA1020" s="86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6"/>
      <c r="D1021" s="60"/>
      <c r="E1021" s="60"/>
      <c r="F1021" s="60"/>
      <c r="G1021" s="60"/>
      <c r="H1021" s="61"/>
      <c r="I1021" s="61"/>
      <c r="J1021" s="61"/>
      <c r="K1021" s="61"/>
      <c r="L1021" s="62"/>
      <c r="M1021" s="62"/>
      <c r="N1021" s="66"/>
      <c r="O1021" s="86"/>
      <c r="P1021" s="60"/>
      <c r="Q1021" s="60"/>
      <c r="R1021" s="60"/>
      <c r="S1021" s="60"/>
      <c r="T1021" s="61"/>
      <c r="U1021" s="61"/>
      <c r="V1021" s="61"/>
      <c r="W1021" s="61"/>
      <c r="X1021" s="62"/>
      <c r="Y1021" s="62"/>
      <c r="Z1021" s="66"/>
      <c r="AA1021" s="86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6"/>
      <c r="D1022" s="60"/>
      <c r="E1022" s="60"/>
      <c r="F1022" s="60"/>
      <c r="G1022" s="60"/>
      <c r="H1022" s="62"/>
      <c r="I1022" s="62"/>
      <c r="J1022" s="62"/>
      <c r="K1022" s="61"/>
      <c r="L1022" s="62"/>
      <c r="M1022" s="62"/>
      <c r="N1022" s="66"/>
      <c r="O1022" s="86"/>
      <c r="P1022" s="67"/>
      <c r="Q1022" s="86"/>
      <c r="R1022" s="86"/>
      <c r="S1022" s="60"/>
      <c r="T1022" s="62"/>
      <c r="U1022" s="62"/>
      <c r="V1022" s="62"/>
      <c r="W1022" s="61"/>
      <c r="X1022" s="62"/>
      <c r="Y1022" s="62"/>
      <c r="Z1022" s="66"/>
      <c r="AA1022" s="86"/>
      <c r="AB1022" s="67"/>
      <c r="AC1022" s="86"/>
      <c r="AD1022" s="86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6"/>
      <c r="D1023" s="60"/>
      <c r="E1023" s="60"/>
      <c r="F1023" s="60"/>
      <c r="G1023" s="60"/>
      <c r="H1023" s="62"/>
      <c r="I1023" s="62"/>
      <c r="J1023" s="62"/>
      <c r="K1023" s="61"/>
      <c r="L1023" s="62"/>
      <c r="M1023" s="62"/>
      <c r="N1023" s="66"/>
      <c r="O1023" s="86"/>
      <c r="P1023" s="68"/>
      <c r="Q1023" s="86"/>
      <c r="R1023" s="86"/>
      <c r="S1023" s="60"/>
      <c r="T1023" s="62"/>
      <c r="U1023" s="62"/>
      <c r="V1023" s="62"/>
      <c r="W1023" s="61"/>
      <c r="X1023" s="62"/>
      <c r="Y1023" s="62"/>
      <c r="Z1023" s="66"/>
      <c r="AA1023" s="86"/>
      <c r="AB1023" s="68"/>
      <c r="AC1023" s="86"/>
      <c r="AD1023" s="86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6"/>
      <c r="D1024" s="60"/>
      <c r="E1024" s="60"/>
      <c r="F1024" s="60"/>
      <c r="G1024" s="60"/>
      <c r="H1024" s="62"/>
      <c r="I1024" s="62"/>
      <c r="J1024" s="61"/>
      <c r="K1024" s="61"/>
      <c r="L1024" s="62"/>
      <c r="M1024" s="62"/>
      <c r="N1024" s="66"/>
      <c r="O1024" s="86"/>
      <c r="P1024" s="69"/>
      <c r="Q1024" s="86"/>
      <c r="R1024" s="62"/>
      <c r="S1024" s="60"/>
      <c r="T1024" s="62"/>
      <c r="U1024" s="62"/>
      <c r="V1024" s="62"/>
      <c r="W1024" s="61"/>
      <c r="X1024" s="62"/>
      <c r="Y1024" s="62"/>
      <c r="Z1024" s="66"/>
      <c r="AA1024" s="86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6"/>
      <c r="D1025" s="60"/>
      <c r="E1025" s="60"/>
      <c r="F1025" s="60"/>
      <c r="G1025" s="60"/>
      <c r="H1025" s="62"/>
      <c r="I1025" s="62"/>
      <c r="J1025" s="62"/>
      <c r="K1025" s="61"/>
      <c r="L1025" s="62"/>
      <c r="M1025" s="62"/>
      <c r="N1025" s="66"/>
      <c r="O1025" s="86"/>
      <c r="P1025" s="69"/>
      <c r="Q1025" s="86"/>
      <c r="R1025" s="86"/>
      <c r="S1025" s="60"/>
      <c r="T1025" s="62"/>
      <c r="U1025" s="62"/>
      <c r="V1025" s="62"/>
      <c r="W1025" s="61"/>
      <c r="X1025" s="62"/>
      <c r="Y1025" s="62"/>
      <c r="Z1025" s="66"/>
      <c r="AA1025" s="86"/>
      <c r="AB1025" s="69"/>
      <c r="AC1025" s="86"/>
      <c r="AD1025" s="86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6"/>
      <c r="D1026" s="60"/>
      <c r="E1026" s="60"/>
      <c r="F1026" s="60"/>
      <c r="G1026" s="60"/>
      <c r="H1026" s="62"/>
      <c r="I1026" s="62"/>
      <c r="J1026" s="62"/>
      <c r="K1026" s="61"/>
      <c r="L1026" s="62"/>
      <c r="M1026" s="62"/>
      <c r="N1026" s="66"/>
      <c r="O1026" s="86"/>
      <c r="P1026" s="69"/>
      <c r="Q1026" s="86"/>
      <c r="R1026" s="86"/>
      <c r="S1026" s="60"/>
      <c r="T1026" s="62"/>
      <c r="U1026" s="62"/>
      <c r="V1026" s="62"/>
      <c r="W1026" s="61"/>
      <c r="X1026" s="62"/>
      <c r="Y1026" s="62"/>
      <c r="Z1026" s="66"/>
      <c r="AA1026" s="62"/>
      <c r="AB1026" s="69"/>
      <c r="AC1026" s="86"/>
      <c r="AD1026" s="86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6"/>
      <c r="D1027" s="60"/>
      <c r="E1027" s="60"/>
      <c r="F1027" s="60"/>
      <c r="G1027" s="60"/>
      <c r="H1027" s="62"/>
      <c r="I1027" s="62"/>
      <c r="J1027" s="62"/>
      <c r="K1027" s="61"/>
      <c r="L1027" s="62"/>
      <c r="M1027" s="62"/>
      <c r="N1027" s="66"/>
      <c r="O1027" s="86"/>
      <c r="P1027" s="69"/>
      <c r="Q1027" s="86"/>
      <c r="R1027" s="86"/>
      <c r="S1027" s="60"/>
      <c r="T1027" s="62"/>
      <c r="U1027" s="62"/>
      <c r="V1027" s="62"/>
      <c r="W1027" s="61"/>
      <c r="X1027" s="62"/>
      <c r="Y1027" s="62"/>
      <c r="Z1027" s="66"/>
      <c r="AA1027" s="62"/>
      <c r="AB1027" s="69"/>
      <c r="AC1027" s="86"/>
      <c r="AD1027" s="86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6"/>
      <c r="D1028" s="60"/>
      <c r="E1028" s="60"/>
      <c r="F1028" s="60"/>
      <c r="G1028" s="60"/>
      <c r="H1028" s="62"/>
      <c r="I1028" s="62"/>
      <c r="J1028" s="62"/>
      <c r="K1028" s="61"/>
      <c r="L1028" s="62"/>
      <c r="M1028" s="62"/>
      <c r="N1028" s="66"/>
      <c r="O1028" s="65"/>
      <c r="P1028" s="69"/>
      <c r="Q1028" s="86"/>
      <c r="R1028" s="86"/>
      <c r="S1028" s="60"/>
      <c r="T1028" s="62"/>
      <c r="U1028" s="62"/>
      <c r="V1028" s="62"/>
      <c r="W1028" s="61"/>
      <c r="X1028" s="62"/>
      <c r="Y1028" s="62"/>
      <c r="Z1028" s="66"/>
      <c r="AA1028" s="86"/>
      <c r="AB1028" s="69"/>
      <c r="AC1028" s="86"/>
      <c r="AD1028" s="86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6"/>
      <c r="D1029" s="60"/>
      <c r="E1029" s="60"/>
      <c r="F1029" s="60"/>
      <c r="G1029" s="60"/>
      <c r="H1029" s="62"/>
      <c r="I1029" s="62"/>
      <c r="J1029" s="62"/>
      <c r="K1029" s="61"/>
      <c r="L1029" s="62"/>
      <c r="M1029" s="62"/>
      <c r="N1029" s="66"/>
      <c r="O1029" s="86"/>
      <c r="P1029" s="69"/>
      <c r="Q1029" s="86"/>
      <c r="R1029" s="86"/>
      <c r="S1029" s="60"/>
      <c r="T1029" s="62"/>
      <c r="U1029" s="62"/>
      <c r="V1029" s="62"/>
      <c r="W1029" s="61"/>
      <c r="X1029" s="62"/>
      <c r="Y1029" s="62"/>
      <c r="Z1029" s="66"/>
      <c r="AA1029" s="86"/>
      <c r="AB1029" s="69"/>
      <c r="AC1029" s="86"/>
      <c r="AD1029" s="86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6"/>
      <c r="D1030" s="60"/>
      <c r="E1030" s="60"/>
      <c r="F1030" s="60"/>
      <c r="G1030" s="60"/>
      <c r="H1030" s="62"/>
      <c r="I1030" s="62"/>
      <c r="J1030" s="62"/>
      <c r="K1030" s="61"/>
      <c r="L1030" s="62"/>
      <c r="M1030" s="62"/>
      <c r="N1030" s="66"/>
      <c r="O1030" s="86"/>
      <c r="P1030" s="69"/>
      <c r="Q1030" s="86"/>
      <c r="R1030" s="86"/>
      <c r="S1030" s="60"/>
      <c r="T1030" s="62"/>
      <c r="U1030" s="62"/>
      <c r="V1030" s="62"/>
      <c r="W1030" s="61"/>
      <c r="X1030" s="62"/>
      <c r="Y1030" s="62"/>
      <c r="Z1030" s="66"/>
      <c r="AA1030" s="86"/>
      <c r="AB1030" s="69"/>
      <c r="AC1030" s="86"/>
      <c r="AD1030" s="86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86"/>
      <c r="D1031" s="60"/>
      <c r="E1031" s="60"/>
      <c r="F1031" s="60"/>
      <c r="G1031" s="60"/>
      <c r="H1031" s="62"/>
      <c r="I1031" s="62"/>
      <c r="J1031" s="62"/>
      <c r="K1031" s="61"/>
      <c r="L1031" s="62"/>
      <c r="M1031" s="62"/>
      <c r="N1031" s="66"/>
      <c r="O1031" s="86"/>
      <c r="P1031" s="69"/>
      <c r="Q1031" s="86"/>
      <c r="R1031" s="86"/>
      <c r="S1031" s="60"/>
      <c r="T1031" s="62"/>
      <c r="U1031" s="62"/>
      <c r="V1031" s="62"/>
      <c r="W1031" s="61"/>
      <c r="X1031" s="62"/>
      <c r="Y1031" s="62"/>
      <c r="Z1031" s="66"/>
      <c r="AA1031" s="62"/>
      <c r="AB1031" s="69"/>
      <c r="AC1031" s="86"/>
      <c r="AD1031" s="86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84"/>
      <c r="D1032" s="60"/>
      <c r="E1032" s="60"/>
      <c r="F1032" s="60"/>
      <c r="G1032" s="60"/>
      <c r="H1032" s="62"/>
      <c r="I1032" s="62"/>
      <c r="J1032" s="62"/>
      <c r="K1032" s="61"/>
      <c r="L1032" s="62"/>
      <c r="M1032" s="62"/>
      <c r="N1032" s="66"/>
      <c r="O1032" s="62"/>
      <c r="P1032" s="69"/>
      <c r="Q1032" s="86"/>
      <c r="R1032" s="86"/>
      <c r="S1032" s="60"/>
      <c r="T1032" s="62"/>
      <c r="U1032" s="62"/>
      <c r="V1032" s="62"/>
      <c r="W1032" s="61"/>
      <c r="X1032" s="62"/>
      <c r="Y1032" s="62"/>
      <c r="Z1032" s="66"/>
      <c r="AA1032" s="62"/>
      <c r="AB1032" s="69"/>
      <c r="AC1032" s="86"/>
      <c r="AD1032" s="86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86"/>
      <c r="D1033" s="60"/>
      <c r="E1033" s="60"/>
      <c r="F1033" s="60"/>
      <c r="G1033" s="60"/>
      <c r="H1033" s="62"/>
      <c r="I1033" s="62"/>
      <c r="J1033" s="62"/>
      <c r="K1033" s="61"/>
      <c r="L1033" s="62"/>
      <c r="M1033" s="62"/>
      <c r="N1033" s="66"/>
      <c r="O1033" s="86"/>
      <c r="P1033" s="69"/>
      <c r="Q1033" s="86"/>
      <c r="R1033" s="86"/>
      <c r="S1033" s="60"/>
      <c r="T1033" s="62"/>
      <c r="U1033" s="62"/>
      <c r="V1033" s="62"/>
      <c r="W1033" s="61"/>
      <c r="X1033" s="62"/>
      <c r="Y1033" s="62"/>
      <c r="Z1033" s="66"/>
      <c r="AA1033" s="86"/>
      <c r="AB1033" s="69"/>
      <c r="AC1033" s="86"/>
      <c r="AD1033" s="86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84"/>
      <c r="D1034" s="60"/>
      <c r="E1034" s="60"/>
      <c r="F1034" s="60"/>
      <c r="G1034" s="60"/>
      <c r="H1034" s="62"/>
      <c r="I1034" s="62"/>
      <c r="J1034" s="62"/>
      <c r="K1034" s="61"/>
      <c r="L1034" s="62"/>
      <c r="M1034" s="62"/>
      <c r="N1034" s="66"/>
      <c r="O1034" s="86"/>
      <c r="P1034" s="69"/>
      <c r="Q1034" s="86"/>
      <c r="R1034" s="86"/>
      <c r="S1034" s="60"/>
      <c r="T1034" s="62"/>
      <c r="U1034" s="62"/>
      <c r="V1034" s="62"/>
      <c r="W1034" s="61"/>
      <c r="X1034" s="62"/>
      <c r="Y1034" s="62"/>
      <c r="Z1034" s="66"/>
      <c r="AA1034" s="86"/>
      <c r="AB1034" s="69"/>
      <c r="AC1034" s="86"/>
      <c r="AD1034" s="86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84"/>
      <c r="D1035" s="60"/>
      <c r="E1035" s="60"/>
      <c r="F1035" s="60"/>
      <c r="G1035" s="60"/>
      <c r="H1035" s="62"/>
      <c r="I1035" s="62"/>
      <c r="J1035" s="62"/>
      <c r="K1035" s="61"/>
      <c r="L1035" s="62"/>
      <c r="M1035" s="62"/>
      <c r="N1035" s="66"/>
      <c r="O1035" s="86"/>
      <c r="P1035" s="69"/>
      <c r="Q1035" s="86"/>
      <c r="R1035" s="86"/>
      <c r="S1035" s="60"/>
      <c r="T1035" s="62"/>
      <c r="U1035" s="62"/>
      <c r="V1035" s="62"/>
      <c r="W1035" s="61"/>
      <c r="X1035" s="62"/>
      <c r="Y1035" s="62"/>
      <c r="Z1035" s="66"/>
      <c r="AA1035" s="62"/>
      <c r="AB1035" s="69"/>
      <c r="AC1035" s="86"/>
      <c r="AD1035" s="86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84"/>
      <c r="D1036" s="60"/>
      <c r="E1036" s="60"/>
      <c r="F1036" s="60"/>
      <c r="G1036" s="60"/>
      <c r="H1036" s="62"/>
      <c r="I1036" s="62"/>
      <c r="J1036" s="62"/>
      <c r="K1036" s="61"/>
      <c r="L1036" s="62"/>
      <c r="M1036" s="62"/>
      <c r="N1036" s="66"/>
      <c r="O1036" s="86"/>
      <c r="P1036" s="69"/>
      <c r="Q1036" s="86"/>
      <c r="R1036" s="86"/>
      <c r="S1036" s="60"/>
      <c r="T1036" s="62"/>
      <c r="U1036" s="62"/>
      <c r="V1036" s="62"/>
      <c r="W1036" s="61"/>
      <c r="X1036" s="62"/>
      <c r="Y1036" s="62"/>
      <c r="Z1036" s="66"/>
      <c r="AA1036" s="86"/>
      <c r="AB1036" s="69"/>
      <c r="AC1036" s="86"/>
      <c r="AD1036" s="86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84"/>
      <c r="D1037" s="60"/>
      <c r="E1037" s="60"/>
      <c r="F1037" s="60"/>
      <c r="G1037" s="60"/>
      <c r="H1037" s="62"/>
      <c r="I1037" s="62"/>
      <c r="J1037" s="62"/>
      <c r="K1037" s="61"/>
      <c r="L1037" s="62"/>
      <c r="M1037" s="62"/>
      <c r="N1037" s="66"/>
      <c r="O1037" s="86"/>
      <c r="P1037" s="69"/>
      <c r="Q1037" s="86"/>
      <c r="R1037" s="86"/>
      <c r="S1037" s="60"/>
      <c r="T1037" s="62"/>
      <c r="U1037" s="62"/>
      <c r="V1037" s="62"/>
      <c r="W1037" s="61"/>
      <c r="X1037" s="62"/>
      <c r="Y1037" s="62"/>
      <c r="Z1037" s="66"/>
      <c r="AA1037" s="86"/>
      <c r="AB1037" s="69"/>
      <c r="AC1037" s="86"/>
      <c r="AD1037" s="86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86"/>
      <c r="D1038" s="60"/>
      <c r="E1038" s="60"/>
      <c r="F1038" s="60"/>
      <c r="G1038" s="60"/>
      <c r="H1038" s="62"/>
      <c r="I1038" s="62"/>
      <c r="J1038" s="62"/>
      <c r="K1038" s="61"/>
      <c r="L1038" s="62"/>
      <c r="M1038" s="62"/>
      <c r="N1038" s="66"/>
      <c r="O1038" s="62"/>
      <c r="P1038" s="69"/>
      <c r="Q1038" s="86"/>
      <c r="R1038" s="86"/>
      <c r="S1038" s="60"/>
      <c r="T1038" s="62"/>
      <c r="U1038" s="62"/>
      <c r="V1038" s="62"/>
      <c r="W1038" s="61"/>
      <c r="X1038" s="62"/>
      <c r="Y1038" s="62"/>
      <c r="Z1038" s="66"/>
      <c r="AA1038" s="86"/>
      <c r="AB1038" s="69"/>
      <c r="AC1038" s="86"/>
      <c r="AD1038" s="86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6"/>
      <c r="D1039" s="60"/>
      <c r="E1039" s="60"/>
      <c r="F1039" s="60"/>
      <c r="G1039" s="60"/>
      <c r="H1039" s="62"/>
      <c r="I1039" s="62"/>
      <c r="J1039" s="62"/>
      <c r="K1039" s="61"/>
      <c r="L1039" s="62"/>
      <c r="M1039" s="62"/>
      <c r="N1039" s="66"/>
      <c r="O1039" s="86"/>
      <c r="P1039" s="69"/>
      <c r="Q1039" s="86"/>
      <c r="R1039" s="86"/>
      <c r="S1039" s="60"/>
      <c r="T1039" s="62"/>
      <c r="U1039" s="62"/>
      <c r="V1039" s="62"/>
      <c r="W1039" s="61"/>
      <c r="X1039" s="62"/>
      <c r="Y1039" s="62"/>
      <c r="Z1039" s="66"/>
      <c r="AA1039" s="86"/>
      <c r="AB1039" s="69"/>
      <c r="AC1039" s="86"/>
      <c r="AD1039" s="86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6"/>
      <c r="D1040" s="60"/>
      <c r="E1040" s="60"/>
      <c r="F1040" s="60"/>
      <c r="G1040" s="60"/>
      <c r="H1040" s="62"/>
      <c r="I1040" s="62"/>
      <c r="J1040" s="62"/>
      <c r="K1040" s="61"/>
      <c r="L1040" s="62"/>
      <c r="M1040" s="62"/>
      <c r="N1040" s="66"/>
      <c r="O1040" s="86"/>
      <c r="P1040" s="69"/>
      <c r="Q1040" s="86"/>
      <c r="R1040" s="86"/>
      <c r="S1040" s="60"/>
      <c r="T1040" s="62"/>
      <c r="U1040" s="62"/>
      <c r="V1040" s="62"/>
      <c r="W1040" s="61"/>
      <c r="X1040" s="62"/>
      <c r="Y1040" s="62"/>
      <c r="Z1040" s="66"/>
      <c r="AA1040" s="86"/>
      <c r="AB1040" s="69"/>
      <c r="AC1040" s="86"/>
      <c r="AD1040" s="86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86"/>
      <c r="D1041" s="60"/>
      <c r="E1041" s="60"/>
      <c r="F1041" s="60"/>
      <c r="G1041" s="60"/>
      <c r="H1041" s="62"/>
      <c r="I1041" s="62"/>
      <c r="J1041" s="62"/>
      <c r="K1041" s="61"/>
      <c r="L1041" s="62"/>
      <c r="M1041" s="62"/>
      <c r="N1041" s="66"/>
      <c r="O1041" s="62"/>
      <c r="P1041" s="69"/>
      <c r="Q1041" s="86"/>
      <c r="R1041" s="86"/>
      <c r="S1041" s="60"/>
      <c r="T1041" s="62"/>
      <c r="U1041" s="62"/>
      <c r="V1041" s="62"/>
      <c r="W1041" s="61"/>
      <c r="X1041" s="62"/>
      <c r="Y1041" s="62"/>
      <c r="Z1041" s="66"/>
      <c r="AA1041" s="62"/>
      <c r="AB1041" s="69"/>
      <c r="AC1041" s="86"/>
      <c r="AD1041" s="86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66"/>
      <c r="C1042" s="86"/>
      <c r="D1042" s="60"/>
      <c r="E1042" s="60"/>
      <c r="F1042" s="60"/>
      <c r="G1042" s="60"/>
      <c r="H1042" s="62"/>
      <c r="I1042" s="62"/>
      <c r="J1042" s="62"/>
      <c r="K1042" s="61"/>
      <c r="L1042" s="62"/>
      <c r="M1042" s="62"/>
      <c r="N1042" s="66"/>
      <c r="O1042" s="86"/>
      <c r="P1042" s="69"/>
      <c r="Q1042" s="86"/>
      <c r="R1042" s="86"/>
      <c r="S1042" s="60"/>
      <c r="T1042" s="62"/>
      <c r="U1042" s="62"/>
      <c r="V1042" s="62"/>
      <c r="W1042" s="61"/>
      <c r="X1042" s="62"/>
      <c r="Y1042" s="62"/>
      <c r="Z1042" s="66"/>
      <c r="AA1042" s="86"/>
      <c r="AB1042" s="69"/>
      <c r="AC1042" s="86"/>
      <c r="AD1042" s="86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66"/>
      <c r="C1043" s="66"/>
      <c r="D1043" s="60"/>
      <c r="E1043" s="60"/>
      <c r="F1043" s="60"/>
      <c r="G1043" s="60"/>
      <c r="H1043" s="62"/>
      <c r="I1043" s="62"/>
      <c r="J1043" s="62"/>
      <c r="K1043" s="61"/>
      <c r="L1043" s="62"/>
      <c r="M1043" s="62"/>
      <c r="N1043" s="86"/>
      <c r="O1043" s="86"/>
      <c r="P1043" s="86"/>
      <c r="Q1043" s="86"/>
      <c r="R1043" s="86"/>
      <c r="S1043" s="86"/>
      <c r="T1043" s="62"/>
      <c r="U1043" s="62"/>
      <c r="V1043" s="62"/>
      <c r="W1043" s="61"/>
      <c r="X1043" s="62"/>
      <c r="Y1043" s="62"/>
      <c r="Z1043" s="86"/>
      <c r="AA1043" s="86"/>
      <c r="AB1043" s="86"/>
      <c r="AC1043" s="86"/>
      <c r="AD1043" s="86"/>
      <c r="AE1043" s="86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86"/>
      <c r="C1044" s="86"/>
      <c r="D1044" s="86"/>
      <c r="E1044" s="86"/>
      <c r="F1044" s="86"/>
      <c r="G1044" s="86"/>
      <c r="H1044" s="62"/>
      <c r="I1044" s="62"/>
      <c r="J1044" s="62"/>
      <c r="K1044" s="62"/>
      <c r="L1044" s="62"/>
      <c r="M1044" s="62"/>
      <c r="N1044" s="86"/>
      <c r="O1044" s="86"/>
      <c r="P1044" s="86"/>
      <c r="Q1044" s="86"/>
      <c r="R1044" s="86"/>
      <c r="S1044" s="86"/>
      <c r="T1044" s="62"/>
      <c r="U1044" s="62"/>
      <c r="V1044" s="62"/>
      <c r="W1044" s="62"/>
      <c r="X1044" s="62"/>
      <c r="Y1044" s="62"/>
      <c r="Z1044" s="86"/>
      <c r="AA1044" s="86"/>
      <c r="AB1044" s="86"/>
      <c r="AC1044" s="86"/>
      <c r="AD1044" s="86"/>
      <c r="AE1044" s="86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6"/>
      <c r="C1045" s="86"/>
      <c r="D1045" s="70"/>
      <c r="E1045" s="70"/>
      <c r="F1045" s="70"/>
      <c r="G1045" s="70"/>
      <c r="H1045" s="63"/>
      <c r="I1045" s="70"/>
      <c r="J1045" s="70"/>
      <c r="K1045" s="70"/>
      <c r="L1045" s="62"/>
      <c r="M1045" s="62"/>
      <c r="N1045" s="86"/>
      <c r="O1045" s="86"/>
      <c r="P1045" s="70"/>
      <c r="Q1045" s="70"/>
      <c r="R1045" s="70"/>
      <c r="S1045" s="70"/>
      <c r="T1045" s="63"/>
      <c r="U1045" s="71"/>
      <c r="V1045" s="71"/>
      <c r="W1045" s="71"/>
      <c r="X1045" s="62"/>
      <c r="Y1045" s="62"/>
      <c r="Z1045" s="86"/>
      <c r="AA1045" s="86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2"/>
      <c r="B1047" s="86"/>
      <c r="C1047" s="86"/>
      <c r="D1047" s="86"/>
      <c r="E1047" s="86"/>
      <c r="F1047" s="86"/>
      <c r="G1047" s="86"/>
      <c r="H1047" s="62"/>
      <c r="I1047" s="62"/>
      <c r="J1047" s="62"/>
      <c r="K1047" s="62"/>
      <c r="L1047" s="62"/>
      <c r="M1047" s="62"/>
      <c r="N1047" s="86"/>
      <c r="O1047" s="86"/>
      <c r="P1047" s="86"/>
      <c r="Q1047" s="86"/>
      <c r="R1047" s="86"/>
      <c r="S1047" s="86"/>
      <c r="T1047" s="62"/>
      <c r="U1047" s="62"/>
      <c r="V1047" s="62"/>
      <c r="W1047" s="62"/>
      <c r="X1047" s="62"/>
      <c r="Y1047" s="62"/>
      <c r="Z1047" s="86"/>
      <c r="AA1047" s="86"/>
      <c r="AB1047" s="86"/>
      <c r="AC1047" s="86"/>
      <c r="AD1047" s="86"/>
      <c r="AE1047" s="86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86"/>
      <c r="C1048" s="86"/>
      <c r="D1048" s="86"/>
      <c r="E1048" s="86"/>
      <c r="F1048" s="86"/>
      <c r="G1048" s="86"/>
      <c r="H1048" s="62"/>
      <c r="I1048" s="62"/>
      <c r="J1048" s="62"/>
      <c r="K1048" s="62"/>
      <c r="L1048" s="62"/>
      <c r="M1048" s="62"/>
      <c r="N1048" s="86"/>
      <c r="O1048" s="86"/>
      <c r="P1048" s="86"/>
      <c r="Q1048" s="86"/>
      <c r="R1048" s="86"/>
      <c r="S1048" s="86"/>
      <c r="T1048" s="62"/>
      <c r="U1048" s="62"/>
      <c r="V1048" s="62"/>
      <c r="W1048" s="62"/>
      <c r="X1048" s="62"/>
      <c r="Y1048" s="62"/>
      <c r="Z1048" s="86"/>
      <c r="AA1048" s="86"/>
      <c r="AB1048" s="86"/>
      <c r="AC1048" s="86"/>
      <c r="AD1048" s="86"/>
      <c r="AE1048" s="86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62"/>
      <c r="B1049" s="86"/>
      <c r="C1049" s="86"/>
      <c r="D1049" s="86"/>
      <c r="E1049" s="86"/>
      <c r="F1049" s="86"/>
      <c r="G1049" s="86"/>
      <c r="H1049" s="62"/>
      <c r="I1049" s="62"/>
      <c r="J1049" s="62"/>
      <c r="K1049" s="62"/>
      <c r="L1049" s="62"/>
      <c r="M1049" s="62"/>
      <c r="N1049" s="86"/>
      <c r="O1049" s="86"/>
      <c r="P1049" s="86"/>
      <c r="Q1049" s="86"/>
      <c r="R1049" s="86"/>
      <c r="S1049" s="86"/>
      <c r="T1049" s="62"/>
      <c r="U1049" s="62"/>
      <c r="V1049" s="62"/>
      <c r="W1049" s="62"/>
      <c r="X1049" s="62"/>
      <c r="Y1049" s="62"/>
      <c r="Z1049" s="86"/>
      <c r="AA1049" s="86"/>
      <c r="AB1049" s="86"/>
      <c r="AC1049" s="86"/>
      <c r="AD1049" s="86"/>
      <c r="AE1049" s="86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3"/>
      <c r="B1050" s="86"/>
      <c r="C1050" s="86"/>
      <c r="D1050" s="86"/>
      <c r="E1050" s="86"/>
      <c r="F1050" s="86"/>
      <c r="G1050" s="86"/>
      <c r="H1050" s="62"/>
      <c r="I1050" s="62"/>
      <c r="J1050" s="62"/>
      <c r="K1050" s="62"/>
      <c r="L1050" s="62"/>
      <c r="M1050" s="63"/>
      <c r="N1050" s="86"/>
      <c r="O1050" s="86"/>
      <c r="P1050" s="86"/>
      <c r="Q1050" s="86"/>
      <c r="R1050" s="86"/>
      <c r="S1050" s="86"/>
      <c r="T1050" s="62"/>
      <c r="U1050" s="62"/>
      <c r="V1050" s="62"/>
      <c r="W1050" s="62"/>
      <c r="X1050" s="62"/>
      <c r="Y1050" s="63"/>
      <c r="Z1050" s="86"/>
      <c r="AA1050" s="86"/>
      <c r="AB1050" s="86"/>
      <c r="AC1050" s="86"/>
      <c r="AD1050" s="86"/>
      <c r="AE1050" s="86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86"/>
      <c r="C1051" s="86"/>
      <c r="D1051" s="86"/>
      <c r="E1051" s="86"/>
      <c r="F1051" s="86"/>
      <c r="G1051" s="86"/>
      <c r="H1051" s="62"/>
      <c r="I1051" s="62"/>
      <c r="J1051" s="62"/>
      <c r="K1051" s="62"/>
      <c r="L1051" s="62"/>
      <c r="M1051" s="62"/>
      <c r="N1051" s="86"/>
      <c r="O1051" s="86"/>
      <c r="P1051" s="86"/>
      <c r="Q1051" s="86"/>
      <c r="R1051" s="86"/>
      <c r="S1051" s="86"/>
      <c r="T1051" s="62"/>
      <c r="U1051" s="62"/>
      <c r="V1051" s="62"/>
      <c r="W1051" s="62"/>
      <c r="X1051" s="62"/>
      <c r="Y1051" s="62"/>
      <c r="Z1051" s="86"/>
      <c r="AA1051" s="86"/>
      <c r="AB1051" s="86"/>
      <c r="AC1051" s="86"/>
      <c r="AD1051" s="86"/>
      <c r="AE1051" s="86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86"/>
      <c r="C1052" s="86"/>
      <c r="D1052" s="86"/>
      <c r="E1052" s="86"/>
      <c r="F1052" s="86"/>
      <c r="G1052" s="86"/>
      <c r="H1052" s="62"/>
      <c r="I1052" s="86"/>
      <c r="J1052" s="73"/>
      <c r="K1052" s="62"/>
      <c r="L1052" s="62"/>
      <c r="M1052" s="62"/>
      <c r="N1052" s="86"/>
      <c r="O1052" s="86"/>
      <c r="P1052" s="86"/>
      <c r="Q1052" s="86"/>
      <c r="R1052" s="86"/>
      <c r="S1052" s="86"/>
      <c r="T1052" s="62"/>
      <c r="U1052" s="86"/>
      <c r="V1052" s="73"/>
      <c r="W1052" s="62"/>
      <c r="X1052" s="62"/>
      <c r="Y1052" s="62"/>
      <c r="Z1052" s="86"/>
      <c r="AA1052" s="86"/>
      <c r="AB1052" s="86"/>
      <c r="AC1052" s="86"/>
      <c r="AD1052" s="86"/>
      <c r="AE1052" s="86"/>
      <c r="AF1052" s="62"/>
      <c r="AG1052" s="86"/>
      <c r="AH1052" s="86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4"/>
      <c r="B1053" s="86"/>
      <c r="C1053" s="86"/>
      <c r="D1053" s="86"/>
      <c r="E1053" s="86"/>
      <c r="F1053" s="86"/>
      <c r="G1053" s="86"/>
      <c r="H1053" s="62"/>
      <c r="I1053" s="65"/>
      <c r="J1053" s="65"/>
      <c r="K1053" s="62"/>
      <c r="L1053" s="62"/>
      <c r="M1053" s="64"/>
      <c r="N1053" s="86"/>
      <c r="O1053" s="86"/>
      <c r="P1053" s="86"/>
      <c r="Q1053" s="86"/>
      <c r="R1053" s="86"/>
      <c r="S1053" s="86"/>
      <c r="T1053" s="62"/>
      <c r="U1053" s="65"/>
      <c r="V1053" s="65"/>
      <c r="W1053" s="62"/>
      <c r="X1053" s="62"/>
      <c r="Y1053" s="64"/>
      <c r="Z1053" s="86"/>
      <c r="AA1053" s="86"/>
      <c r="AB1053" s="86"/>
      <c r="AC1053" s="86"/>
      <c r="AD1053" s="86"/>
      <c r="AE1053" s="86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86"/>
      <c r="C1054" s="86"/>
      <c r="D1054" s="86"/>
      <c r="E1054" s="86"/>
      <c r="F1054" s="86"/>
      <c r="G1054" s="86"/>
      <c r="H1054" s="62"/>
      <c r="I1054" s="62"/>
      <c r="J1054" s="62"/>
      <c r="K1054" s="62"/>
      <c r="L1054" s="62"/>
      <c r="M1054" s="62"/>
      <c r="N1054" s="86"/>
      <c r="O1054" s="86"/>
      <c r="P1054" s="86"/>
      <c r="Q1054" s="86"/>
      <c r="R1054" s="86"/>
      <c r="S1054" s="86"/>
      <c r="T1054" s="62"/>
      <c r="U1054" s="62"/>
      <c r="V1054" s="62"/>
      <c r="W1054" s="62"/>
      <c r="X1054" s="62"/>
      <c r="Y1054" s="62"/>
      <c r="Z1054" s="86"/>
      <c r="AA1054" s="86"/>
      <c r="AB1054" s="86"/>
      <c r="AC1054" s="86"/>
      <c r="AD1054" s="86"/>
      <c r="AE1054" s="86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5"/>
      <c r="C1055" s="86"/>
      <c r="D1055" s="117"/>
      <c r="E1055" s="117"/>
      <c r="F1055" s="86"/>
      <c r="G1055" s="86"/>
      <c r="H1055" s="62"/>
      <c r="I1055" s="117"/>
      <c r="J1055" s="117"/>
      <c r="K1055" s="116"/>
      <c r="L1055" s="62"/>
      <c r="M1055" s="62"/>
      <c r="N1055" s="65"/>
      <c r="O1055" s="86"/>
      <c r="P1055" s="117"/>
      <c r="Q1055" s="117"/>
      <c r="R1055" s="86"/>
      <c r="S1055" s="86"/>
      <c r="T1055" s="62"/>
      <c r="U1055" s="117"/>
      <c r="V1055" s="117"/>
      <c r="W1055" s="116"/>
      <c r="X1055" s="62"/>
      <c r="Y1055" s="62"/>
      <c r="Z1055" s="65"/>
      <c r="AA1055" s="86"/>
      <c r="AB1055" s="117"/>
      <c r="AC1055" s="117"/>
      <c r="AD1055" s="86"/>
      <c r="AE1055" s="86"/>
      <c r="AF1055" s="62"/>
      <c r="AG1055" s="117"/>
      <c r="AH1055" s="117"/>
      <c r="AI1055" s="116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62"/>
      <c r="B1056" s="86"/>
      <c r="C1056" s="86"/>
      <c r="D1056" s="79"/>
      <c r="E1056" s="80"/>
      <c r="F1056" s="81"/>
      <c r="G1056" s="81"/>
      <c r="H1056" s="62"/>
      <c r="I1056" s="85"/>
      <c r="J1056" s="85"/>
      <c r="K1056" s="116"/>
      <c r="L1056" s="62"/>
      <c r="M1056" s="62"/>
      <c r="N1056" s="86"/>
      <c r="O1056" s="86"/>
      <c r="P1056" s="79"/>
      <c r="Q1056" s="81"/>
      <c r="R1056" s="81"/>
      <c r="S1056" s="81"/>
      <c r="T1056" s="62"/>
      <c r="U1056" s="85"/>
      <c r="V1056" s="85"/>
      <c r="W1056" s="116"/>
      <c r="X1056" s="62"/>
      <c r="Y1056" s="62"/>
      <c r="Z1056" s="86"/>
      <c r="AA1056" s="86"/>
      <c r="AB1056" s="79"/>
      <c r="AC1056" s="81"/>
      <c r="AD1056" s="81"/>
      <c r="AE1056" s="81"/>
      <c r="AF1056" s="62"/>
      <c r="AG1056" s="85"/>
      <c r="AH1056" s="85"/>
      <c r="AI1056" s="116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84"/>
      <c r="D1057" s="60"/>
      <c r="E1057" s="60"/>
      <c r="F1057" s="60"/>
      <c r="G1057" s="60"/>
      <c r="H1057" s="61"/>
      <c r="I1057" s="61"/>
      <c r="J1057" s="61"/>
      <c r="K1057" s="61"/>
      <c r="L1057" s="62"/>
      <c r="M1057" s="62"/>
      <c r="N1057" s="66"/>
      <c r="O1057" s="86"/>
      <c r="P1057" s="60"/>
      <c r="Q1057" s="60"/>
      <c r="R1057" s="60"/>
      <c r="S1057" s="60"/>
      <c r="T1057" s="61"/>
      <c r="U1057" s="61"/>
      <c r="V1057" s="61"/>
      <c r="W1057" s="61"/>
      <c r="X1057" s="62"/>
      <c r="Y1057" s="62"/>
      <c r="Z1057" s="66"/>
      <c r="AA1057" s="86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86"/>
      <c r="D1058" s="60"/>
      <c r="E1058" s="60"/>
      <c r="F1058" s="60"/>
      <c r="G1058" s="60"/>
      <c r="H1058" s="61"/>
      <c r="I1058" s="61"/>
      <c r="J1058" s="61"/>
      <c r="K1058" s="61"/>
      <c r="L1058" s="62"/>
      <c r="M1058" s="62"/>
      <c r="N1058" s="66"/>
      <c r="O1058" s="86"/>
      <c r="P1058" s="60"/>
      <c r="Q1058" s="60"/>
      <c r="R1058" s="60"/>
      <c r="S1058" s="60"/>
      <c r="T1058" s="61"/>
      <c r="U1058" s="61"/>
      <c r="V1058" s="61"/>
      <c r="W1058" s="61"/>
      <c r="X1058" s="62"/>
      <c r="Y1058" s="62"/>
      <c r="Z1058" s="66"/>
      <c r="AA1058" s="86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86"/>
      <c r="D1059" s="60"/>
      <c r="E1059" s="60"/>
      <c r="F1059" s="60"/>
      <c r="G1059" s="60"/>
      <c r="H1059" s="61"/>
      <c r="I1059" s="61"/>
      <c r="J1059" s="61"/>
      <c r="K1059" s="61"/>
      <c r="L1059" s="62"/>
      <c r="M1059" s="62"/>
      <c r="N1059" s="66"/>
      <c r="O1059" s="86"/>
      <c r="P1059" s="60"/>
      <c r="Q1059" s="60"/>
      <c r="R1059" s="60"/>
      <c r="S1059" s="60"/>
      <c r="T1059" s="61"/>
      <c r="U1059" s="61"/>
      <c r="V1059" s="61"/>
      <c r="W1059" s="61"/>
      <c r="X1059" s="62"/>
      <c r="Y1059" s="62"/>
      <c r="Z1059" s="66"/>
      <c r="AA1059" s="86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86"/>
      <c r="D1060" s="60"/>
      <c r="E1060" s="60"/>
      <c r="F1060" s="60"/>
      <c r="G1060" s="60"/>
      <c r="H1060" s="61"/>
      <c r="I1060" s="61"/>
      <c r="J1060" s="61"/>
      <c r="K1060" s="61"/>
      <c r="L1060" s="62"/>
      <c r="M1060" s="62"/>
      <c r="N1060" s="66"/>
      <c r="O1060" s="86"/>
      <c r="P1060" s="60"/>
      <c r="Q1060" s="60"/>
      <c r="R1060" s="60"/>
      <c r="S1060" s="60"/>
      <c r="T1060" s="61"/>
      <c r="U1060" s="61"/>
      <c r="V1060" s="61"/>
      <c r="W1060" s="61"/>
      <c r="X1060" s="62"/>
      <c r="Y1060" s="62"/>
      <c r="Z1060" s="66"/>
      <c r="AA1060" s="86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86"/>
      <c r="D1061" s="60"/>
      <c r="E1061" s="60"/>
      <c r="F1061" s="60"/>
      <c r="G1061" s="60"/>
      <c r="H1061" s="61"/>
      <c r="I1061" s="61"/>
      <c r="J1061" s="61"/>
      <c r="K1061" s="61"/>
      <c r="L1061" s="62"/>
      <c r="M1061" s="62"/>
      <c r="N1061" s="66"/>
      <c r="O1061" s="86"/>
      <c r="P1061" s="60"/>
      <c r="Q1061" s="60"/>
      <c r="R1061" s="60"/>
      <c r="S1061" s="60"/>
      <c r="T1061" s="61"/>
      <c r="U1061" s="61"/>
      <c r="V1061" s="61"/>
      <c r="W1061" s="61"/>
      <c r="X1061" s="62"/>
      <c r="Y1061" s="62"/>
      <c r="Z1061" s="66"/>
      <c r="AA1061" s="86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86"/>
      <c r="D1062" s="60"/>
      <c r="E1062" s="60"/>
      <c r="F1062" s="60"/>
      <c r="G1062" s="60"/>
      <c r="H1062" s="61"/>
      <c r="I1062" s="61"/>
      <c r="J1062" s="61"/>
      <c r="K1062" s="61"/>
      <c r="L1062" s="62"/>
      <c r="M1062" s="62"/>
      <c r="N1062" s="66"/>
      <c r="O1062" s="86"/>
      <c r="P1062" s="60"/>
      <c r="Q1062" s="60"/>
      <c r="R1062" s="60"/>
      <c r="S1062" s="60"/>
      <c r="T1062" s="61"/>
      <c r="U1062" s="61"/>
      <c r="V1062" s="62"/>
      <c r="W1062" s="61"/>
      <c r="X1062" s="62"/>
      <c r="Y1062" s="62"/>
      <c r="Z1062" s="66"/>
      <c r="AA1062" s="86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86"/>
      <c r="D1063" s="60"/>
      <c r="E1063" s="60"/>
      <c r="F1063" s="60"/>
      <c r="G1063" s="60"/>
      <c r="H1063" s="61"/>
      <c r="I1063" s="61"/>
      <c r="J1063" s="61"/>
      <c r="K1063" s="61"/>
      <c r="L1063" s="62"/>
      <c r="M1063" s="62"/>
      <c r="N1063" s="66"/>
      <c r="O1063" s="86"/>
      <c r="P1063" s="60"/>
      <c r="Q1063" s="60"/>
      <c r="R1063" s="60"/>
      <c r="S1063" s="60"/>
      <c r="T1063" s="61"/>
      <c r="U1063" s="61"/>
      <c r="V1063" s="61"/>
      <c r="W1063" s="61"/>
      <c r="X1063" s="62"/>
      <c r="Y1063" s="62"/>
      <c r="Z1063" s="66"/>
      <c r="AA1063" s="86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86"/>
      <c r="D1064" s="60"/>
      <c r="E1064" s="60"/>
      <c r="F1064" s="60"/>
      <c r="G1064" s="60"/>
      <c r="H1064" s="61"/>
      <c r="I1064" s="61"/>
      <c r="J1064" s="61"/>
      <c r="K1064" s="61"/>
      <c r="L1064" s="62"/>
      <c r="M1064" s="62"/>
      <c r="N1064" s="66"/>
      <c r="O1064" s="65"/>
      <c r="P1064" s="60"/>
      <c r="Q1064" s="60"/>
      <c r="R1064" s="60"/>
      <c r="S1064" s="60"/>
      <c r="T1064" s="61"/>
      <c r="U1064" s="61"/>
      <c r="V1064" s="61"/>
      <c r="W1064" s="61"/>
      <c r="X1064" s="62"/>
      <c r="Y1064" s="62"/>
      <c r="Z1064" s="66"/>
      <c r="AA1064" s="86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86"/>
      <c r="D1065" s="60"/>
      <c r="E1065" s="60"/>
      <c r="F1065" s="60"/>
      <c r="G1065" s="60"/>
      <c r="H1065" s="61"/>
      <c r="I1065" s="61"/>
      <c r="J1065" s="61"/>
      <c r="K1065" s="61"/>
      <c r="L1065" s="62"/>
      <c r="M1065" s="62"/>
      <c r="N1065" s="66"/>
      <c r="O1065" s="86"/>
      <c r="P1065" s="60"/>
      <c r="Q1065" s="60"/>
      <c r="R1065" s="60"/>
      <c r="S1065" s="60"/>
      <c r="T1065" s="61"/>
      <c r="U1065" s="61"/>
      <c r="V1065" s="61"/>
      <c r="W1065" s="61"/>
      <c r="X1065" s="62"/>
      <c r="Y1065" s="62"/>
      <c r="Z1065" s="66"/>
      <c r="AA1065" s="86"/>
      <c r="AB1065" s="60"/>
      <c r="AC1065" s="60"/>
      <c r="AD1065" s="60"/>
      <c r="AE1065" s="60"/>
      <c r="AF1065" s="61"/>
      <c r="AG1065" s="62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86"/>
      <c r="D1066" s="60"/>
      <c r="E1066" s="60"/>
      <c r="F1066" s="60"/>
      <c r="G1066" s="60"/>
      <c r="H1066" s="61"/>
      <c r="I1066" s="61"/>
      <c r="J1066" s="61"/>
      <c r="K1066" s="61"/>
      <c r="L1066" s="62"/>
      <c r="M1066" s="62"/>
      <c r="N1066" s="66"/>
      <c r="O1066" s="86"/>
      <c r="P1066" s="60"/>
      <c r="Q1066" s="60"/>
      <c r="R1066" s="60"/>
      <c r="S1066" s="60"/>
      <c r="T1066" s="61"/>
      <c r="U1066" s="61"/>
      <c r="V1066" s="61"/>
      <c r="W1066" s="61"/>
      <c r="X1066" s="62"/>
      <c r="Y1066" s="62"/>
      <c r="Z1066" s="66"/>
      <c r="AA1066" s="86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86"/>
      <c r="D1067" s="60"/>
      <c r="E1067" s="60"/>
      <c r="F1067" s="60"/>
      <c r="G1067" s="60"/>
      <c r="H1067" s="61"/>
      <c r="I1067" s="61"/>
      <c r="J1067" s="61"/>
      <c r="K1067" s="61"/>
      <c r="L1067" s="62"/>
      <c r="M1067" s="62"/>
      <c r="N1067" s="66"/>
      <c r="O1067" s="86"/>
      <c r="P1067" s="60"/>
      <c r="Q1067" s="60"/>
      <c r="R1067" s="60"/>
      <c r="S1067" s="60"/>
      <c r="T1067" s="61"/>
      <c r="U1067" s="61"/>
      <c r="V1067" s="61"/>
      <c r="W1067" s="61"/>
      <c r="X1067" s="62"/>
      <c r="Y1067" s="62"/>
      <c r="Z1067" s="66"/>
      <c r="AA1067" s="86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86"/>
      <c r="D1068" s="60"/>
      <c r="E1068" s="60"/>
      <c r="F1068" s="60"/>
      <c r="G1068" s="60"/>
      <c r="H1068" s="61"/>
      <c r="I1068" s="61"/>
      <c r="J1068" s="62"/>
      <c r="K1068" s="61"/>
      <c r="L1068" s="62"/>
      <c r="M1068" s="62"/>
      <c r="N1068" s="66"/>
      <c r="O1068" s="86"/>
      <c r="P1068" s="60"/>
      <c r="Q1068" s="60"/>
      <c r="R1068" s="60"/>
      <c r="S1068" s="60"/>
      <c r="T1068" s="61"/>
      <c r="U1068" s="61"/>
      <c r="V1068" s="61"/>
      <c r="W1068" s="61"/>
      <c r="X1068" s="62"/>
      <c r="Y1068" s="62"/>
      <c r="Z1068" s="66"/>
      <c r="AA1068" s="65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86"/>
      <c r="D1069" s="60"/>
      <c r="E1069" s="60"/>
      <c r="F1069" s="60"/>
      <c r="G1069" s="60"/>
      <c r="H1069" s="61"/>
      <c r="I1069" s="61"/>
      <c r="J1069" s="61"/>
      <c r="K1069" s="61"/>
      <c r="L1069" s="62"/>
      <c r="M1069" s="62"/>
      <c r="N1069" s="66"/>
      <c r="O1069" s="86"/>
      <c r="P1069" s="60"/>
      <c r="Q1069" s="60"/>
      <c r="R1069" s="60"/>
      <c r="S1069" s="60"/>
      <c r="T1069" s="61"/>
      <c r="U1069" s="61"/>
      <c r="V1069" s="61"/>
      <c r="W1069" s="61"/>
      <c r="X1069" s="62"/>
      <c r="Y1069" s="62"/>
      <c r="Z1069" s="66"/>
      <c r="AA1069" s="86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65"/>
      <c r="D1070" s="60"/>
      <c r="E1070" s="60"/>
      <c r="F1070" s="60"/>
      <c r="G1070" s="60"/>
      <c r="H1070" s="61"/>
      <c r="I1070" s="61"/>
      <c r="J1070" s="61"/>
      <c r="K1070" s="61"/>
      <c r="L1070" s="62"/>
      <c r="M1070" s="62"/>
      <c r="N1070" s="66"/>
      <c r="O1070" s="86"/>
      <c r="P1070" s="60"/>
      <c r="Q1070" s="60"/>
      <c r="R1070" s="60"/>
      <c r="S1070" s="60"/>
      <c r="T1070" s="61"/>
      <c r="U1070" s="61"/>
      <c r="V1070" s="61"/>
      <c r="W1070" s="61"/>
      <c r="X1070" s="62"/>
      <c r="Y1070" s="62"/>
      <c r="Z1070" s="66"/>
      <c r="AA1070" s="86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86"/>
      <c r="D1071" s="60"/>
      <c r="E1071" s="60"/>
      <c r="F1071" s="60"/>
      <c r="G1071" s="60"/>
      <c r="H1071" s="61"/>
      <c r="I1071" s="61"/>
      <c r="J1071" s="61"/>
      <c r="K1071" s="61"/>
      <c r="L1071" s="62"/>
      <c r="M1071" s="62"/>
      <c r="N1071" s="66"/>
      <c r="O1071" s="86"/>
      <c r="P1071" s="60"/>
      <c r="Q1071" s="60"/>
      <c r="R1071" s="60"/>
      <c r="S1071" s="60"/>
      <c r="T1071" s="61"/>
      <c r="U1071" s="61"/>
      <c r="V1071" s="61"/>
      <c r="W1071" s="61"/>
      <c r="X1071" s="62"/>
      <c r="Y1071" s="62"/>
      <c r="Z1071" s="66"/>
      <c r="AA1071" s="86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86"/>
      <c r="D1072" s="60"/>
      <c r="E1072" s="60"/>
      <c r="F1072" s="60"/>
      <c r="G1072" s="60"/>
      <c r="H1072" s="61"/>
      <c r="I1072" s="61"/>
      <c r="J1072" s="61"/>
      <c r="K1072" s="61"/>
      <c r="L1072" s="62"/>
      <c r="M1072" s="62"/>
      <c r="N1072" s="66"/>
      <c r="O1072" s="86"/>
      <c r="P1072" s="60"/>
      <c r="Q1072" s="60"/>
      <c r="R1072" s="60"/>
      <c r="S1072" s="60"/>
      <c r="T1072" s="61"/>
      <c r="U1072" s="61"/>
      <c r="V1072" s="61"/>
      <c r="W1072" s="61"/>
      <c r="X1072" s="62"/>
      <c r="Y1072" s="62"/>
      <c r="Z1072" s="66"/>
      <c r="AA1072" s="86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86"/>
      <c r="D1073" s="60"/>
      <c r="E1073" s="60"/>
      <c r="F1073" s="60"/>
      <c r="G1073" s="60"/>
      <c r="H1073" s="61"/>
      <c r="I1073" s="61"/>
      <c r="J1073" s="61"/>
      <c r="K1073" s="61"/>
      <c r="L1073" s="62"/>
      <c r="M1073" s="62"/>
      <c r="N1073" s="66"/>
      <c r="O1073" s="86"/>
      <c r="P1073" s="60"/>
      <c r="Q1073" s="60"/>
      <c r="R1073" s="60"/>
      <c r="S1073" s="60"/>
      <c r="T1073" s="61"/>
      <c r="U1073" s="61"/>
      <c r="V1073" s="61"/>
      <c r="W1073" s="61"/>
      <c r="X1073" s="62"/>
      <c r="Y1073" s="62"/>
      <c r="Z1073" s="66"/>
      <c r="AA1073" s="86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86"/>
      <c r="D1074" s="60"/>
      <c r="E1074" s="60"/>
      <c r="F1074" s="60"/>
      <c r="G1074" s="60"/>
      <c r="H1074" s="61"/>
      <c r="I1074" s="61"/>
      <c r="J1074" s="61"/>
      <c r="K1074" s="61"/>
      <c r="L1074" s="62"/>
      <c r="M1074" s="62"/>
      <c r="N1074" s="66"/>
      <c r="O1074" s="86"/>
      <c r="P1074" s="60"/>
      <c r="Q1074" s="60"/>
      <c r="R1074" s="60"/>
      <c r="S1074" s="60"/>
      <c r="T1074" s="61"/>
      <c r="U1074" s="61"/>
      <c r="V1074" s="61"/>
      <c r="W1074" s="61"/>
      <c r="X1074" s="62"/>
      <c r="Y1074" s="62"/>
      <c r="Z1074" s="66"/>
      <c r="AA1074" s="86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86"/>
      <c r="D1075" s="60"/>
      <c r="E1075" s="60"/>
      <c r="F1075" s="60"/>
      <c r="G1075" s="60"/>
      <c r="H1075" s="61"/>
      <c r="I1075" s="61"/>
      <c r="J1075" s="61"/>
      <c r="K1075" s="61"/>
      <c r="L1075" s="62"/>
      <c r="M1075" s="62"/>
      <c r="N1075" s="66"/>
      <c r="O1075" s="86"/>
      <c r="P1075" s="60"/>
      <c r="Q1075" s="60"/>
      <c r="R1075" s="60"/>
      <c r="S1075" s="60"/>
      <c r="T1075" s="61"/>
      <c r="U1075" s="61"/>
      <c r="V1075" s="61"/>
      <c r="W1075" s="61"/>
      <c r="X1075" s="62"/>
      <c r="Y1075" s="62"/>
      <c r="Z1075" s="66"/>
      <c r="AA1075" s="86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86"/>
      <c r="D1076" s="60"/>
      <c r="E1076" s="60"/>
      <c r="F1076" s="60"/>
      <c r="G1076" s="60"/>
      <c r="H1076" s="61"/>
      <c r="I1076" s="61"/>
      <c r="J1076" s="61"/>
      <c r="K1076" s="61"/>
      <c r="L1076" s="62"/>
      <c r="M1076" s="62"/>
      <c r="N1076" s="66"/>
      <c r="O1076" s="86"/>
      <c r="P1076" s="60"/>
      <c r="Q1076" s="60"/>
      <c r="R1076" s="60"/>
      <c r="S1076" s="60"/>
      <c r="T1076" s="61"/>
      <c r="U1076" s="61"/>
      <c r="V1076" s="61"/>
      <c r="W1076" s="61"/>
      <c r="X1076" s="62"/>
      <c r="Y1076" s="62"/>
      <c r="Z1076" s="66"/>
      <c r="AA1076" s="86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86"/>
      <c r="D1077" s="60"/>
      <c r="E1077" s="60"/>
      <c r="F1077" s="60"/>
      <c r="G1077" s="60"/>
      <c r="H1077" s="62"/>
      <c r="I1077" s="62"/>
      <c r="J1077" s="62"/>
      <c r="K1077" s="61"/>
      <c r="L1077" s="62"/>
      <c r="M1077" s="62"/>
      <c r="N1077" s="66"/>
      <c r="O1077" s="86"/>
      <c r="P1077" s="67"/>
      <c r="Q1077" s="86"/>
      <c r="R1077" s="86"/>
      <c r="S1077" s="60"/>
      <c r="T1077" s="62"/>
      <c r="U1077" s="62"/>
      <c r="V1077" s="62"/>
      <c r="W1077" s="61"/>
      <c r="X1077" s="62"/>
      <c r="Y1077" s="62"/>
      <c r="Z1077" s="66"/>
      <c r="AA1077" s="62"/>
      <c r="AB1077" s="67"/>
      <c r="AC1077" s="86"/>
      <c r="AD1077" s="86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86"/>
      <c r="D1078" s="60"/>
      <c r="E1078" s="60"/>
      <c r="F1078" s="60"/>
      <c r="G1078" s="60"/>
      <c r="H1078" s="62"/>
      <c r="I1078" s="62"/>
      <c r="J1078" s="62"/>
      <c r="K1078" s="61"/>
      <c r="L1078" s="62"/>
      <c r="M1078" s="62"/>
      <c r="N1078" s="66"/>
      <c r="O1078" s="86"/>
      <c r="P1078" s="68"/>
      <c r="Q1078" s="86"/>
      <c r="R1078" s="86"/>
      <c r="S1078" s="60"/>
      <c r="T1078" s="62"/>
      <c r="U1078" s="62"/>
      <c r="V1078" s="62"/>
      <c r="W1078" s="61"/>
      <c r="X1078" s="62"/>
      <c r="Y1078" s="62"/>
      <c r="Z1078" s="66"/>
      <c r="AA1078" s="86"/>
      <c r="AB1078" s="68"/>
      <c r="AC1078" s="86"/>
      <c r="AD1078" s="86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86"/>
      <c r="D1079" s="60"/>
      <c r="E1079" s="60"/>
      <c r="F1079" s="60"/>
      <c r="G1079" s="60"/>
      <c r="H1079" s="62"/>
      <c r="I1079" s="62"/>
      <c r="J1079" s="61"/>
      <c r="K1079" s="61"/>
      <c r="L1079" s="62"/>
      <c r="M1079" s="62"/>
      <c r="N1079" s="66"/>
      <c r="O1079" s="86"/>
      <c r="P1079" s="69"/>
      <c r="Q1079" s="86"/>
      <c r="R1079" s="62"/>
      <c r="S1079" s="60"/>
      <c r="T1079" s="62"/>
      <c r="U1079" s="62"/>
      <c r="V1079" s="62"/>
      <c r="W1079" s="61"/>
      <c r="X1079" s="62"/>
      <c r="Y1079" s="62"/>
      <c r="Z1079" s="66"/>
      <c r="AA1079" s="62"/>
      <c r="AB1079" s="69"/>
      <c r="AC1079" s="86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86"/>
      <c r="D1080" s="60"/>
      <c r="E1080" s="60"/>
      <c r="F1080" s="60"/>
      <c r="G1080" s="60"/>
      <c r="H1080" s="62"/>
      <c r="I1080" s="62"/>
      <c r="J1080" s="62"/>
      <c r="K1080" s="61"/>
      <c r="L1080" s="62"/>
      <c r="M1080" s="62"/>
      <c r="N1080" s="66"/>
      <c r="O1080" s="86"/>
      <c r="P1080" s="69"/>
      <c r="Q1080" s="86"/>
      <c r="R1080" s="86"/>
      <c r="S1080" s="60"/>
      <c r="T1080" s="62"/>
      <c r="U1080" s="62"/>
      <c r="V1080" s="62"/>
      <c r="W1080" s="61"/>
      <c r="X1080" s="62"/>
      <c r="Y1080" s="62"/>
      <c r="Z1080" s="66"/>
      <c r="AA1080" s="86"/>
      <c r="AB1080" s="69"/>
      <c r="AC1080" s="86"/>
      <c r="AD1080" s="86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86"/>
      <c r="D1081" s="60"/>
      <c r="E1081" s="60"/>
      <c r="F1081" s="60"/>
      <c r="G1081" s="60"/>
      <c r="H1081" s="62"/>
      <c r="I1081" s="62"/>
      <c r="J1081" s="62"/>
      <c r="K1081" s="61"/>
      <c r="L1081" s="62"/>
      <c r="M1081" s="62"/>
      <c r="N1081" s="66"/>
      <c r="O1081" s="86"/>
      <c r="P1081" s="69"/>
      <c r="Q1081" s="86"/>
      <c r="R1081" s="86"/>
      <c r="S1081" s="60"/>
      <c r="T1081" s="62"/>
      <c r="U1081" s="62"/>
      <c r="V1081" s="62"/>
      <c r="W1081" s="61"/>
      <c r="X1081" s="62"/>
      <c r="Y1081" s="62"/>
      <c r="Z1081" s="66"/>
      <c r="AA1081" s="86"/>
      <c r="AB1081" s="69"/>
      <c r="AC1081" s="86"/>
      <c r="AD1081" s="86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86"/>
      <c r="D1082" s="60"/>
      <c r="E1082" s="60"/>
      <c r="F1082" s="60"/>
      <c r="G1082" s="60"/>
      <c r="H1082" s="62"/>
      <c r="I1082" s="62"/>
      <c r="J1082" s="62"/>
      <c r="K1082" s="61"/>
      <c r="L1082" s="62"/>
      <c r="M1082" s="62"/>
      <c r="N1082" s="66"/>
      <c r="O1082" s="86"/>
      <c r="P1082" s="69"/>
      <c r="Q1082" s="86"/>
      <c r="R1082" s="86"/>
      <c r="S1082" s="60"/>
      <c r="T1082" s="62"/>
      <c r="U1082" s="62"/>
      <c r="V1082" s="62"/>
      <c r="W1082" s="61"/>
      <c r="X1082" s="62"/>
      <c r="Y1082" s="62"/>
      <c r="Z1082" s="66"/>
      <c r="AA1082" s="86"/>
      <c r="AB1082" s="69"/>
      <c r="AC1082" s="86"/>
      <c r="AD1082" s="86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86"/>
      <c r="D1083" s="60"/>
      <c r="E1083" s="60"/>
      <c r="F1083" s="60"/>
      <c r="G1083" s="60"/>
      <c r="H1083" s="62"/>
      <c r="I1083" s="62"/>
      <c r="J1083" s="62"/>
      <c r="K1083" s="61"/>
      <c r="L1083" s="62"/>
      <c r="M1083" s="62"/>
      <c r="N1083" s="66"/>
      <c r="O1083" s="62"/>
      <c r="P1083" s="69"/>
      <c r="Q1083" s="86"/>
      <c r="R1083" s="86"/>
      <c r="S1083" s="60"/>
      <c r="T1083" s="62"/>
      <c r="U1083" s="62"/>
      <c r="V1083" s="62"/>
      <c r="W1083" s="61"/>
      <c r="X1083" s="62"/>
      <c r="Y1083" s="62"/>
      <c r="Z1083" s="66"/>
      <c r="AA1083" s="86"/>
      <c r="AB1083" s="69"/>
      <c r="AC1083" s="86"/>
      <c r="AD1083" s="86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86"/>
      <c r="D1084" s="60"/>
      <c r="E1084" s="60"/>
      <c r="F1084" s="60"/>
      <c r="G1084" s="60"/>
      <c r="H1084" s="62"/>
      <c r="I1084" s="62"/>
      <c r="J1084" s="62"/>
      <c r="K1084" s="61"/>
      <c r="L1084" s="62"/>
      <c r="M1084" s="62"/>
      <c r="N1084" s="66"/>
      <c r="O1084" s="86"/>
      <c r="P1084" s="69"/>
      <c r="Q1084" s="86"/>
      <c r="R1084" s="86"/>
      <c r="S1084" s="60"/>
      <c r="T1084" s="62"/>
      <c r="U1084" s="62"/>
      <c r="V1084" s="62"/>
      <c r="W1084" s="61"/>
      <c r="X1084" s="62"/>
      <c r="Y1084" s="62"/>
      <c r="Z1084" s="66"/>
      <c r="AA1084" s="86"/>
      <c r="AB1084" s="69"/>
      <c r="AC1084" s="86"/>
      <c r="AD1084" s="86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86"/>
      <c r="D1085" s="60"/>
      <c r="E1085" s="60"/>
      <c r="F1085" s="60"/>
      <c r="G1085" s="60"/>
      <c r="H1085" s="62"/>
      <c r="I1085" s="62"/>
      <c r="J1085" s="62"/>
      <c r="K1085" s="61"/>
      <c r="L1085" s="62"/>
      <c r="M1085" s="62"/>
      <c r="N1085" s="66"/>
      <c r="O1085" s="86"/>
      <c r="P1085" s="69"/>
      <c r="Q1085" s="86"/>
      <c r="R1085" s="86"/>
      <c r="S1085" s="60"/>
      <c r="T1085" s="62"/>
      <c r="U1085" s="62"/>
      <c r="V1085" s="62"/>
      <c r="W1085" s="61"/>
      <c r="X1085" s="62"/>
      <c r="Y1085" s="62"/>
      <c r="Z1085" s="66"/>
      <c r="AA1085" s="86"/>
      <c r="AB1085" s="69"/>
      <c r="AC1085" s="86"/>
      <c r="AD1085" s="86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86"/>
      <c r="D1086" s="60"/>
      <c r="E1086" s="60"/>
      <c r="F1086" s="60"/>
      <c r="G1086" s="60"/>
      <c r="H1086" s="62"/>
      <c r="I1086" s="62"/>
      <c r="J1086" s="62"/>
      <c r="K1086" s="61"/>
      <c r="L1086" s="62"/>
      <c r="M1086" s="62"/>
      <c r="N1086" s="66"/>
      <c r="O1086" s="86"/>
      <c r="P1086" s="69"/>
      <c r="Q1086" s="86"/>
      <c r="R1086" s="86"/>
      <c r="S1086" s="60"/>
      <c r="T1086" s="62"/>
      <c r="U1086" s="62"/>
      <c r="V1086" s="62"/>
      <c r="W1086" s="61"/>
      <c r="X1086" s="62"/>
      <c r="Y1086" s="62"/>
      <c r="Z1086" s="66"/>
      <c r="AA1086" s="86"/>
      <c r="AB1086" s="69"/>
      <c r="AC1086" s="86"/>
      <c r="AD1086" s="86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84"/>
      <c r="D1087" s="60"/>
      <c r="E1087" s="60"/>
      <c r="F1087" s="60"/>
      <c r="G1087" s="60"/>
      <c r="H1087" s="62"/>
      <c r="I1087" s="62"/>
      <c r="J1087" s="62"/>
      <c r="K1087" s="61"/>
      <c r="L1087" s="62"/>
      <c r="M1087" s="62"/>
      <c r="N1087" s="66"/>
      <c r="O1087" s="62"/>
      <c r="P1087" s="69"/>
      <c r="Q1087" s="86"/>
      <c r="R1087" s="86"/>
      <c r="S1087" s="60"/>
      <c r="T1087" s="62"/>
      <c r="U1087" s="62"/>
      <c r="V1087" s="62"/>
      <c r="W1087" s="61"/>
      <c r="X1087" s="62"/>
      <c r="Y1087" s="62"/>
      <c r="Z1087" s="66"/>
      <c r="AA1087" s="86"/>
      <c r="AB1087" s="69"/>
      <c r="AC1087" s="86"/>
      <c r="AD1087" s="86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86"/>
      <c r="D1088" s="60"/>
      <c r="E1088" s="60"/>
      <c r="F1088" s="60"/>
      <c r="G1088" s="60"/>
      <c r="H1088" s="62"/>
      <c r="I1088" s="62"/>
      <c r="J1088" s="62"/>
      <c r="K1088" s="61"/>
      <c r="L1088" s="62"/>
      <c r="M1088" s="62"/>
      <c r="N1088" s="66"/>
      <c r="O1088" s="86"/>
      <c r="P1088" s="69"/>
      <c r="Q1088" s="86"/>
      <c r="R1088" s="86"/>
      <c r="S1088" s="60"/>
      <c r="T1088" s="62"/>
      <c r="U1088" s="62"/>
      <c r="V1088" s="62"/>
      <c r="W1088" s="61"/>
      <c r="X1088" s="62"/>
      <c r="Y1088" s="62"/>
      <c r="Z1088" s="66"/>
      <c r="AA1088" s="86"/>
      <c r="AB1088" s="69"/>
      <c r="AC1088" s="86"/>
      <c r="AD1088" s="86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84"/>
      <c r="D1089" s="60"/>
      <c r="E1089" s="60"/>
      <c r="F1089" s="60"/>
      <c r="G1089" s="60"/>
      <c r="H1089" s="62"/>
      <c r="I1089" s="62"/>
      <c r="J1089" s="62"/>
      <c r="K1089" s="61"/>
      <c r="L1089" s="62"/>
      <c r="M1089" s="62"/>
      <c r="N1089" s="66"/>
      <c r="O1089" s="86"/>
      <c r="P1089" s="69"/>
      <c r="Q1089" s="86"/>
      <c r="R1089" s="86"/>
      <c r="S1089" s="60"/>
      <c r="T1089" s="62"/>
      <c r="U1089" s="62"/>
      <c r="V1089" s="62"/>
      <c r="W1089" s="61"/>
      <c r="X1089" s="62"/>
      <c r="Y1089" s="62"/>
      <c r="Z1089" s="66"/>
      <c r="AA1089" s="86"/>
      <c r="AB1089" s="69"/>
      <c r="AC1089" s="86"/>
      <c r="AD1089" s="86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84"/>
      <c r="D1090" s="60"/>
      <c r="E1090" s="60"/>
      <c r="F1090" s="60"/>
      <c r="G1090" s="60"/>
      <c r="H1090" s="62"/>
      <c r="I1090" s="62"/>
      <c r="J1090" s="62"/>
      <c r="K1090" s="61"/>
      <c r="L1090" s="62"/>
      <c r="M1090" s="62"/>
      <c r="N1090" s="66"/>
      <c r="O1090" s="86"/>
      <c r="P1090" s="69"/>
      <c r="Q1090" s="86"/>
      <c r="R1090" s="86"/>
      <c r="S1090" s="60"/>
      <c r="T1090" s="62"/>
      <c r="U1090" s="62"/>
      <c r="V1090" s="62"/>
      <c r="W1090" s="61"/>
      <c r="X1090" s="62"/>
      <c r="Y1090" s="62"/>
      <c r="Z1090" s="66"/>
      <c r="AA1090" s="86"/>
      <c r="AB1090" s="69"/>
      <c r="AC1090" s="86"/>
      <c r="AD1090" s="86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84"/>
      <c r="D1091" s="60"/>
      <c r="E1091" s="60"/>
      <c r="F1091" s="60"/>
      <c r="G1091" s="60"/>
      <c r="H1091" s="62"/>
      <c r="I1091" s="62"/>
      <c r="J1091" s="62"/>
      <c r="K1091" s="61"/>
      <c r="L1091" s="62"/>
      <c r="M1091" s="62"/>
      <c r="N1091" s="66"/>
      <c r="O1091" s="86"/>
      <c r="P1091" s="69"/>
      <c r="Q1091" s="86"/>
      <c r="R1091" s="86"/>
      <c r="S1091" s="60"/>
      <c r="T1091" s="62"/>
      <c r="U1091" s="62"/>
      <c r="V1091" s="62"/>
      <c r="W1091" s="61"/>
      <c r="X1091" s="62"/>
      <c r="Y1091" s="62"/>
      <c r="Z1091" s="66"/>
      <c r="AA1091" s="86"/>
      <c r="AB1091" s="69"/>
      <c r="AC1091" s="86"/>
      <c r="AD1091" s="86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84"/>
      <c r="D1092" s="60"/>
      <c r="E1092" s="60"/>
      <c r="F1092" s="60"/>
      <c r="G1092" s="60"/>
      <c r="H1092" s="62"/>
      <c r="I1092" s="62"/>
      <c r="J1092" s="62"/>
      <c r="K1092" s="61"/>
      <c r="L1092" s="62"/>
      <c r="M1092" s="62"/>
      <c r="N1092" s="66"/>
      <c r="O1092" s="86"/>
      <c r="P1092" s="69"/>
      <c r="Q1092" s="86"/>
      <c r="R1092" s="86"/>
      <c r="S1092" s="60"/>
      <c r="T1092" s="62"/>
      <c r="U1092" s="62"/>
      <c r="V1092" s="62"/>
      <c r="W1092" s="61"/>
      <c r="X1092" s="62"/>
      <c r="Y1092" s="62"/>
      <c r="Z1092" s="66"/>
      <c r="AA1092" s="86"/>
      <c r="AB1092" s="69"/>
      <c r="AC1092" s="86"/>
      <c r="AD1092" s="86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86"/>
      <c r="D1093" s="60"/>
      <c r="E1093" s="60"/>
      <c r="F1093" s="60"/>
      <c r="G1093" s="60"/>
      <c r="H1093" s="62"/>
      <c r="I1093" s="62"/>
      <c r="J1093" s="62"/>
      <c r="K1093" s="61"/>
      <c r="L1093" s="62"/>
      <c r="M1093" s="62"/>
      <c r="N1093" s="66"/>
      <c r="O1093" s="62"/>
      <c r="P1093" s="69"/>
      <c r="Q1093" s="86"/>
      <c r="R1093" s="86"/>
      <c r="S1093" s="60"/>
      <c r="T1093" s="62"/>
      <c r="U1093" s="62"/>
      <c r="V1093" s="62"/>
      <c r="W1093" s="61"/>
      <c r="X1093" s="62"/>
      <c r="Y1093" s="62"/>
      <c r="Z1093" s="66"/>
      <c r="AA1093" s="86"/>
      <c r="AB1093" s="69"/>
      <c r="AC1093" s="86"/>
      <c r="AD1093" s="86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86"/>
      <c r="D1094" s="60"/>
      <c r="E1094" s="60"/>
      <c r="F1094" s="60"/>
      <c r="G1094" s="60"/>
      <c r="H1094" s="62"/>
      <c r="I1094" s="62"/>
      <c r="J1094" s="62"/>
      <c r="K1094" s="61"/>
      <c r="L1094" s="62"/>
      <c r="M1094" s="62"/>
      <c r="N1094" s="66"/>
      <c r="O1094" s="86"/>
      <c r="P1094" s="69"/>
      <c r="Q1094" s="86"/>
      <c r="R1094" s="86"/>
      <c r="S1094" s="60"/>
      <c r="T1094" s="62"/>
      <c r="U1094" s="62"/>
      <c r="V1094" s="62"/>
      <c r="W1094" s="61"/>
      <c r="X1094" s="62"/>
      <c r="Y1094" s="62"/>
      <c r="Z1094" s="66"/>
      <c r="AA1094" s="86"/>
      <c r="AB1094" s="69"/>
      <c r="AC1094" s="86"/>
      <c r="AD1094" s="86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86"/>
      <c r="D1095" s="60"/>
      <c r="E1095" s="60"/>
      <c r="F1095" s="60"/>
      <c r="G1095" s="60"/>
      <c r="H1095" s="62"/>
      <c r="I1095" s="62"/>
      <c r="J1095" s="62"/>
      <c r="K1095" s="61"/>
      <c r="L1095" s="62"/>
      <c r="M1095" s="62"/>
      <c r="N1095" s="66"/>
      <c r="O1095" s="86"/>
      <c r="P1095" s="69"/>
      <c r="Q1095" s="86"/>
      <c r="R1095" s="86"/>
      <c r="S1095" s="60"/>
      <c r="T1095" s="62"/>
      <c r="U1095" s="62"/>
      <c r="V1095" s="62"/>
      <c r="W1095" s="61"/>
      <c r="X1095" s="62"/>
      <c r="Y1095" s="62"/>
      <c r="Z1095" s="66"/>
      <c r="AA1095" s="86"/>
      <c r="AB1095" s="69"/>
      <c r="AC1095" s="86"/>
      <c r="AD1095" s="86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66"/>
      <c r="C1096" s="86"/>
      <c r="D1096" s="60"/>
      <c r="E1096" s="60"/>
      <c r="F1096" s="60"/>
      <c r="G1096" s="60"/>
      <c r="H1096" s="62"/>
      <c r="I1096" s="62"/>
      <c r="J1096" s="62"/>
      <c r="K1096" s="61"/>
      <c r="L1096" s="62"/>
      <c r="M1096" s="62"/>
      <c r="N1096" s="66"/>
      <c r="O1096" s="62"/>
      <c r="P1096" s="69"/>
      <c r="Q1096" s="86"/>
      <c r="R1096" s="86"/>
      <c r="S1096" s="60"/>
      <c r="T1096" s="62"/>
      <c r="U1096" s="62"/>
      <c r="V1096" s="62"/>
      <c r="W1096" s="61"/>
      <c r="X1096" s="62"/>
      <c r="Y1096" s="62"/>
      <c r="Z1096" s="66"/>
      <c r="AA1096" s="62"/>
      <c r="AB1096" s="69"/>
      <c r="AC1096" s="86"/>
      <c r="AD1096" s="86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66"/>
      <c r="C1097" s="86"/>
      <c r="D1097" s="60"/>
      <c r="E1097" s="60"/>
      <c r="F1097" s="60"/>
      <c r="G1097" s="60"/>
      <c r="H1097" s="62"/>
      <c r="I1097" s="62"/>
      <c r="J1097" s="62"/>
      <c r="K1097" s="61"/>
      <c r="L1097" s="62"/>
      <c r="M1097" s="62"/>
      <c r="N1097" s="66"/>
      <c r="O1097" s="86"/>
      <c r="P1097" s="69"/>
      <c r="Q1097" s="86"/>
      <c r="R1097" s="86"/>
      <c r="S1097" s="60"/>
      <c r="T1097" s="62"/>
      <c r="U1097" s="62"/>
      <c r="V1097" s="62"/>
      <c r="W1097" s="61"/>
      <c r="X1097" s="62"/>
      <c r="Y1097" s="62"/>
      <c r="Z1097" s="66"/>
      <c r="AA1097" s="86"/>
      <c r="AB1097" s="69"/>
      <c r="AC1097" s="86"/>
      <c r="AD1097" s="86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6"/>
      <c r="C1098" s="66"/>
      <c r="D1098" s="60"/>
      <c r="E1098" s="60"/>
      <c r="F1098" s="60"/>
      <c r="G1098" s="60"/>
      <c r="H1098" s="62"/>
      <c r="I1098" s="62"/>
      <c r="J1098" s="62"/>
      <c r="K1098" s="61"/>
      <c r="L1098" s="62"/>
      <c r="M1098" s="62"/>
      <c r="N1098" s="86"/>
      <c r="O1098" s="86"/>
      <c r="P1098" s="86"/>
      <c r="Q1098" s="86"/>
      <c r="R1098" s="86"/>
      <c r="S1098" s="86"/>
      <c r="T1098" s="62"/>
      <c r="U1098" s="62"/>
      <c r="V1098" s="62"/>
      <c r="W1098" s="61"/>
      <c r="X1098" s="62"/>
      <c r="Y1098" s="62"/>
      <c r="Z1098" s="86"/>
      <c r="AA1098" s="86"/>
      <c r="AB1098" s="86"/>
      <c r="AC1098" s="86"/>
      <c r="AD1098" s="86"/>
      <c r="AE1098" s="86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86"/>
      <c r="C1099" s="86"/>
      <c r="D1099" s="86"/>
      <c r="E1099" s="86"/>
      <c r="F1099" s="86"/>
      <c r="G1099" s="86"/>
      <c r="H1099" s="62"/>
      <c r="I1099" s="62"/>
      <c r="J1099" s="62"/>
      <c r="K1099" s="62"/>
      <c r="L1099" s="62"/>
      <c r="M1099" s="62"/>
      <c r="N1099" s="86"/>
      <c r="O1099" s="86"/>
      <c r="P1099" s="86"/>
      <c r="Q1099" s="86"/>
      <c r="R1099" s="86"/>
      <c r="S1099" s="86"/>
      <c r="T1099" s="62"/>
      <c r="U1099" s="62"/>
      <c r="V1099" s="62"/>
      <c r="W1099" s="62"/>
      <c r="X1099" s="62"/>
      <c r="Y1099" s="62"/>
      <c r="Z1099" s="86"/>
      <c r="AA1099" s="86"/>
      <c r="AB1099" s="86"/>
      <c r="AC1099" s="86"/>
      <c r="AD1099" s="86"/>
      <c r="AE1099" s="86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86"/>
      <c r="C1100" s="86"/>
      <c r="D1100" s="70"/>
      <c r="E1100" s="70"/>
      <c r="F1100" s="70"/>
      <c r="G1100" s="70"/>
      <c r="H1100" s="63"/>
      <c r="I1100" s="70"/>
      <c r="J1100" s="70"/>
      <c r="K1100" s="70"/>
      <c r="L1100" s="62"/>
      <c r="M1100" s="62"/>
      <c r="N1100" s="86"/>
      <c r="O1100" s="86"/>
      <c r="P1100" s="70"/>
      <c r="Q1100" s="70"/>
      <c r="R1100" s="70"/>
      <c r="S1100" s="70"/>
      <c r="T1100" s="63"/>
      <c r="U1100" s="71"/>
      <c r="V1100" s="71"/>
      <c r="W1100" s="71"/>
      <c r="X1100" s="62"/>
      <c r="Y1100" s="62"/>
      <c r="Z1100" s="86"/>
      <c r="AA1100" s="86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6"/>
      <c r="C1102" s="86"/>
      <c r="D1102" s="86"/>
      <c r="E1102" s="86"/>
      <c r="F1102" s="86"/>
      <c r="G1102" s="86"/>
      <c r="H1102" s="62"/>
      <c r="I1102" s="62"/>
      <c r="J1102" s="62"/>
      <c r="K1102" s="62"/>
      <c r="L1102" s="62"/>
      <c r="M1102" s="62"/>
      <c r="N1102" s="86"/>
      <c r="O1102" s="86"/>
      <c r="P1102" s="86"/>
      <c r="Q1102" s="86"/>
      <c r="R1102" s="86"/>
      <c r="S1102" s="86"/>
      <c r="T1102" s="62"/>
      <c r="U1102" s="62"/>
      <c r="V1102" s="62"/>
      <c r="W1102" s="62"/>
      <c r="X1102" s="62"/>
      <c r="Y1102" s="62"/>
      <c r="Z1102" s="86"/>
      <c r="AA1102" s="86"/>
      <c r="AB1102" s="86"/>
      <c r="AC1102" s="86"/>
      <c r="AD1102" s="86"/>
      <c r="AE1102" s="86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6"/>
      <c r="C1103" s="86"/>
      <c r="D1103" s="86"/>
      <c r="E1103" s="86"/>
      <c r="F1103" s="86"/>
      <c r="G1103" s="86"/>
      <c r="H1103" s="62"/>
      <c r="I1103" s="62"/>
      <c r="J1103" s="62"/>
      <c r="K1103" s="62"/>
      <c r="L1103" s="62"/>
      <c r="M1103" s="62"/>
      <c r="N1103" s="86"/>
      <c r="O1103" s="86"/>
      <c r="P1103" s="86"/>
      <c r="Q1103" s="86"/>
      <c r="R1103" s="86"/>
      <c r="S1103" s="86"/>
      <c r="T1103" s="62"/>
      <c r="U1103" s="62"/>
      <c r="V1103" s="62"/>
      <c r="W1103" s="62"/>
      <c r="X1103" s="62"/>
      <c r="Y1103" s="62"/>
      <c r="Z1103" s="86"/>
      <c r="AA1103" s="86"/>
      <c r="AB1103" s="86"/>
      <c r="AC1103" s="86"/>
      <c r="AD1103" s="86"/>
      <c r="AE1103" s="86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6"/>
      <c r="C1104" s="86"/>
      <c r="D1104" s="86"/>
      <c r="E1104" s="86"/>
      <c r="F1104" s="86"/>
      <c r="G1104" s="86"/>
      <c r="H1104" s="62"/>
      <c r="I1104" s="62"/>
      <c r="J1104" s="62"/>
      <c r="K1104" s="62"/>
      <c r="L1104" s="62"/>
      <c r="M1104" s="62"/>
      <c r="N1104" s="86"/>
      <c r="O1104" s="86"/>
      <c r="P1104" s="86"/>
      <c r="Q1104" s="86"/>
      <c r="R1104" s="86"/>
      <c r="S1104" s="86"/>
      <c r="T1104" s="62"/>
      <c r="U1104" s="62"/>
      <c r="V1104" s="62"/>
      <c r="W1104" s="62"/>
      <c r="X1104" s="62"/>
      <c r="Y1104" s="62"/>
      <c r="Z1104" s="86"/>
      <c r="AA1104" s="86"/>
      <c r="AB1104" s="86"/>
      <c r="AC1104" s="86"/>
      <c r="AD1104" s="86"/>
      <c r="AE1104" s="86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6"/>
      <c r="C1105" s="86"/>
      <c r="D1105" s="86"/>
      <c r="E1105" s="86"/>
      <c r="F1105" s="86"/>
      <c r="G1105" s="86"/>
      <c r="H1105" s="62"/>
      <c r="I1105" s="62"/>
      <c r="J1105" s="62"/>
      <c r="K1105" s="62"/>
      <c r="L1105" s="62"/>
      <c r="M1105" s="63"/>
      <c r="N1105" s="86"/>
      <c r="O1105" s="86"/>
      <c r="P1105" s="86"/>
      <c r="Q1105" s="86"/>
      <c r="R1105" s="86"/>
      <c r="S1105" s="86"/>
      <c r="T1105" s="62"/>
      <c r="U1105" s="62"/>
      <c r="V1105" s="62"/>
      <c r="W1105" s="62"/>
      <c r="X1105" s="62"/>
      <c r="Y1105" s="63"/>
      <c r="Z1105" s="86"/>
      <c r="AA1105" s="86"/>
      <c r="AB1105" s="86"/>
      <c r="AC1105" s="86"/>
      <c r="AD1105" s="86"/>
      <c r="AE1105" s="86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6"/>
      <c r="C1106" s="86"/>
      <c r="D1106" s="86"/>
      <c r="E1106" s="86"/>
      <c r="F1106" s="86"/>
      <c r="G1106" s="86"/>
      <c r="H1106" s="62"/>
      <c r="I1106" s="62"/>
      <c r="J1106" s="62"/>
      <c r="K1106" s="62"/>
      <c r="L1106" s="62"/>
      <c r="M1106" s="62"/>
      <c r="N1106" s="86"/>
      <c r="O1106" s="86"/>
      <c r="P1106" s="86"/>
      <c r="Q1106" s="86"/>
      <c r="R1106" s="86"/>
      <c r="S1106" s="86"/>
      <c r="T1106" s="62"/>
      <c r="U1106" s="62"/>
      <c r="V1106" s="62"/>
      <c r="W1106" s="62"/>
      <c r="X1106" s="62"/>
      <c r="Y1106" s="62"/>
      <c r="Z1106" s="86"/>
      <c r="AA1106" s="86"/>
      <c r="AB1106" s="86"/>
      <c r="AC1106" s="86"/>
      <c r="AD1106" s="86"/>
      <c r="AE1106" s="86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6"/>
      <c r="C1107" s="86"/>
      <c r="D1107" s="86"/>
      <c r="E1107" s="86"/>
      <c r="F1107" s="86"/>
      <c r="G1107" s="86"/>
      <c r="H1107" s="62"/>
      <c r="I1107" s="86"/>
      <c r="J1107" s="73"/>
      <c r="K1107" s="62"/>
      <c r="L1107" s="62"/>
      <c r="M1107" s="62"/>
      <c r="N1107" s="86"/>
      <c r="O1107" s="86"/>
      <c r="P1107" s="86"/>
      <c r="Q1107" s="86"/>
      <c r="R1107" s="86"/>
      <c r="S1107" s="86"/>
      <c r="T1107" s="62"/>
      <c r="U1107" s="86"/>
      <c r="V1107" s="73"/>
      <c r="W1107" s="62"/>
      <c r="X1107" s="62"/>
      <c r="Y1107" s="62"/>
      <c r="Z1107" s="86"/>
      <c r="AA1107" s="86"/>
      <c r="AB1107" s="86"/>
      <c r="AC1107" s="86"/>
      <c r="AD1107" s="86"/>
      <c r="AE1107" s="86"/>
      <c r="AF1107" s="62"/>
      <c r="AG1107" s="86"/>
      <c r="AH1107" s="86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6"/>
      <c r="C1108" s="86"/>
      <c r="D1108" s="86"/>
      <c r="E1108" s="86"/>
      <c r="F1108" s="86"/>
      <c r="G1108" s="86"/>
      <c r="H1108" s="62"/>
      <c r="I1108" s="65"/>
      <c r="J1108" s="65"/>
      <c r="K1108" s="62"/>
      <c r="L1108" s="62"/>
      <c r="M1108" s="64"/>
      <c r="N1108" s="86"/>
      <c r="O1108" s="86"/>
      <c r="P1108" s="86"/>
      <c r="Q1108" s="86"/>
      <c r="R1108" s="86"/>
      <c r="S1108" s="86"/>
      <c r="T1108" s="62"/>
      <c r="U1108" s="65"/>
      <c r="V1108" s="65"/>
      <c r="W1108" s="62"/>
      <c r="X1108" s="62"/>
      <c r="Y1108" s="64"/>
      <c r="Z1108" s="86"/>
      <c r="AA1108" s="86"/>
      <c r="AB1108" s="86"/>
      <c r="AC1108" s="86"/>
      <c r="AD1108" s="86"/>
      <c r="AE1108" s="86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6"/>
      <c r="C1109" s="86"/>
      <c r="D1109" s="86"/>
      <c r="E1109" s="86"/>
      <c r="F1109" s="86"/>
      <c r="G1109" s="86"/>
      <c r="H1109" s="62"/>
      <c r="I1109" s="62"/>
      <c r="J1109" s="62"/>
      <c r="K1109" s="62"/>
      <c r="L1109" s="62"/>
      <c r="M1109" s="62"/>
      <c r="N1109" s="86"/>
      <c r="O1109" s="86"/>
      <c r="P1109" s="86"/>
      <c r="Q1109" s="86"/>
      <c r="R1109" s="86"/>
      <c r="S1109" s="86"/>
      <c r="T1109" s="62"/>
      <c r="U1109" s="62"/>
      <c r="V1109" s="62"/>
      <c r="W1109" s="62"/>
      <c r="X1109" s="62"/>
      <c r="Y1109" s="62"/>
      <c r="Z1109" s="86"/>
      <c r="AA1109" s="86"/>
      <c r="AB1109" s="86"/>
      <c r="AC1109" s="86"/>
      <c r="AD1109" s="86"/>
      <c r="AE1109" s="86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6"/>
      <c r="D1110" s="117"/>
      <c r="E1110" s="117"/>
      <c r="F1110" s="86"/>
      <c r="G1110" s="86"/>
      <c r="H1110" s="62"/>
      <c r="I1110" s="117"/>
      <c r="J1110" s="117"/>
      <c r="K1110" s="116"/>
      <c r="L1110" s="62"/>
      <c r="M1110" s="62"/>
      <c r="N1110" s="65"/>
      <c r="O1110" s="86"/>
      <c r="P1110" s="117"/>
      <c r="Q1110" s="117"/>
      <c r="R1110" s="86"/>
      <c r="S1110" s="86"/>
      <c r="T1110" s="62"/>
      <c r="U1110" s="117"/>
      <c r="V1110" s="117"/>
      <c r="W1110" s="116"/>
      <c r="X1110" s="62"/>
      <c r="Y1110" s="62"/>
      <c r="Z1110" s="65"/>
      <c r="AA1110" s="86"/>
      <c r="AB1110" s="117"/>
      <c r="AC1110" s="117"/>
      <c r="AD1110" s="86"/>
      <c r="AE1110" s="86"/>
      <c r="AF1110" s="62"/>
      <c r="AG1110" s="117"/>
      <c r="AH1110" s="117"/>
      <c r="AI1110" s="116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6"/>
      <c r="C1111" s="86"/>
      <c r="D1111" s="79"/>
      <c r="E1111" s="80"/>
      <c r="F1111" s="81"/>
      <c r="G1111" s="81"/>
      <c r="H1111" s="62"/>
      <c r="I1111" s="85"/>
      <c r="J1111" s="85"/>
      <c r="K1111" s="116"/>
      <c r="L1111" s="62"/>
      <c r="M1111" s="62"/>
      <c r="N1111" s="86"/>
      <c r="O1111" s="86"/>
      <c r="P1111" s="79"/>
      <c r="Q1111" s="81"/>
      <c r="R1111" s="81"/>
      <c r="S1111" s="81"/>
      <c r="T1111" s="62"/>
      <c r="U1111" s="85"/>
      <c r="V1111" s="85"/>
      <c r="W1111" s="116"/>
      <c r="X1111" s="62"/>
      <c r="Y1111" s="62"/>
      <c r="Z1111" s="86"/>
      <c r="AA1111" s="86"/>
      <c r="AB1111" s="79"/>
      <c r="AC1111" s="81"/>
      <c r="AD1111" s="81"/>
      <c r="AE1111" s="81"/>
      <c r="AF1111" s="62"/>
      <c r="AG1111" s="85"/>
      <c r="AH1111" s="85"/>
      <c r="AI1111" s="116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4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6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6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6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6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6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6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6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6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6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65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6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6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6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86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6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86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65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6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6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6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6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62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86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6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6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6"/>
      <c r="AB1120" s="6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65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6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6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6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86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86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6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6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86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6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6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6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6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6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6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6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6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6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6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6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6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6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6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6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6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6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6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6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6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6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6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6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6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86"/>
      <c r="P1132" s="67"/>
      <c r="Q1132" s="86"/>
      <c r="R1132" s="86"/>
      <c r="S1132" s="60"/>
      <c r="T1132" s="62"/>
      <c r="U1132" s="62"/>
      <c r="V1132" s="62"/>
      <c r="W1132" s="61"/>
      <c r="X1132" s="62"/>
      <c r="Y1132" s="62"/>
      <c r="Z1132" s="66"/>
      <c r="AA1132" s="62"/>
      <c r="AB1132" s="67"/>
      <c r="AC1132" s="86"/>
      <c r="AD1132" s="86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6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6"/>
      <c r="P1133" s="68"/>
      <c r="Q1133" s="86"/>
      <c r="R1133" s="86"/>
      <c r="S1133" s="60"/>
      <c r="T1133" s="62"/>
      <c r="U1133" s="62"/>
      <c r="V1133" s="62"/>
      <c r="W1133" s="61"/>
      <c r="X1133" s="62"/>
      <c r="Y1133" s="62"/>
      <c r="Z1133" s="66"/>
      <c r="AA1133" s="86"/>
      <c r="AB1133" s="68"/>
      <c r="AC1133" s="86"/>
      <c r="AD1133" s="86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6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6"/>
      <c r="P1134" s="69"/>
      <c r="Q1134" s="86"/>
      <c r="R1134" s="62"/>
      <c r="S1134" s="60"/>
      <c r="T1134" s="62"/>
      <c r="U1134" s="62"/>
      <c r="V1134" s="62"/>
      <c r="W1134" s="61"/>
      <c r="X1134" s="62"/>
      <c r="Y1134" s="62"/>
      <c r="Z1134" s="66"/>
      <c r="AA1134" s="62"/>
      <c r="AB1134" s="69"/>
      <c r="AC1134" s="86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6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6"/>
      <c r="P1135" s="69"/>
      <c r="Q1135" s="86"/>
      <c r="R1135" s="86"/>
      <c r="S1135" s="60"/>
      <c r="T1135" s="62"/>
      <c r="U1135" s="62"/>
      <c r="V1135" s="62"/>
      <c r="W1135" s="61"/>
      <c r="X1135" s="62"/>
      <c r="Y1135" s="62"/>
      <c r="Z1135" s="66"/>
      <c r="AA1135" s="86"/>
      <c r="AB1135" s="69"/>
      <c r="AC1135" s="86"/>
      <c r="AD1135" s="86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6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6"/>
      <c r="P1136" s="69"/>
      <c r="Q1136" s="86"/>
      <c r="R1136" s="86"/>
      <c r="S1136" s="60"/>
      <c r="T1136" s="62"/>
      <c r="U1136" s="62"/>
      <c r="V1136" s="62"/>
      <c r="W1136" s="61"/>
      <c r="X1136" s="62"/>
      <c r="Y1136" s="62"/>
      <c r="Z1136" s="66"/>
      <c r="AA1136" s="86"/>
      <c r="AB1136" s="69"/>
      <c r="AC1136" s="86"/>
      <c r="AD1136" s="86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6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86"/>
      <c r="P1137" s="69"/>
      <c r="Q1137" s="86"/>
      <c r="R1137" s="86"/>
      <c r="S1137" s="60"/>
      <c r="T1137" s="62"/>
      <c r="U1137" s="62"/>
      <c r="V1137" s="62"/>
      <c r="W1137" s="61"/>
      <c r="X1137" s="62"/>
      <c r="Y1137" s="62"/>
      <c r="Z1137" s="66"/>
      <c r="AA1137" s="86"/>
      <c r="AB1137" s="69"/>
      <c r="AC1137" s="86"/>
      <c r="AD1137" s="86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6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62"/>
      <c r="P1138" s="69"/>
      <c r="Q1138" s="86"/>
      <c r="R1138" s="86"/>
      <c r="S1138" s="60"/>
      <c r="T1138" s="62"/>
      <c r="U1138" s="62"/>
      <c r="V1138" s="62"/>
      <c r="W1138" s="61"/>
      <c r="X1138" s="62"/>
      <c r="Y1138" s="62"/>
      <c r="Z1138" s="66"/>
      <c r="AA1138" s="86"/>
      <c r="AB1138" s="69"/>
      <c r="AC1138" s="86"/>
      <c r="AD1138" s="86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6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6"/>
      <c r="P1139" s="69"/>
      <c r="Q1139" s="86"/>
      <c r="R1139" s="86"/>
      <c r="S1139" s="60"/>
      <c r="T1139" s="62"/>
      <c r="U1139" s="62"/>
      <c r="V1139" s="62"/>
      <c r="W1139" s="61"/>
      <c r="X1139" s="62"/>
      <c r="Y1139" s="62"/>
      <c r="Z1139" s="66"/>
      <c r="AA1139" s="86"/>
      <c r="AB1139" s="69"/>
      <c r="AC1139" s="86"/>
      <c r="AD1139" s="86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6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6"/>
      <c r="P1140" s="69"/>
      <c r="Q1140" s="86"/>
      <c r="R1140" s="86"/>
      <c r="S1140" s="60"/>
      <c r="T1140" s="62"/>
      <c r="U1140" s="62"/>
      <c r="V1140" s="62"/>
      <c r="W1140" s="61"/>
      <c r="X1140" s="62"/>
      <c r="Y1140" s="62"/>
      <c r="Z1140" s="66"/>
      <c r="AA1140" s="86"/>
      <c r="AB1140" s="69"/>
      <c r="AC1140" s="86"/>
      <c r="AD1140" s="86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86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86"/>
      <c r="P1141" s="69"/>
      <c r="Q1141" s="86"/>
      <c r="R1141" s="86"/>
      <c r="S1141" s="60"/>
      <c r="T1141" s="62"/>
      <c r="U1141" s="62"/>
      <c r="V1141" s="62"/>
      <c r="W1141" s="61"/>
      <c r="X1141" s="62"/>
      <c r="Y1141" s="62"/>
      <c r="Z1141" s="66"/>
      <c r="AA1141" s="86"/>
      <c r="AB1141" s="69"/>
      <c r="AC1141" s="86"/>
      <c r="AD1141" s="86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84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62"/>
      <c r="P1142" s="69"/>
      <c r="Q1142" s="86"/>
      <c r="R1142" s="86"/>
      <c r="S1142" s="60"/>
      <c r="T1142" s="62"/>
      <c r="U1142" s="62"/>
      <c r="V1142" s="62"/>
      <c r="W1142" s="61"/>
      <c r="X1142" s="62"/>
      <c r="Y1142" s="62"/>
      <c r="Z1142" s="66"/>
      <c r="AA1142" s="86"/>
      <c r="AB1142" s="69"/>
      <c r="AC1142" s="86"/>
      <c r="AD1142" s="86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86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6"/>
      <c r="P1143" s="69"/>
      <c r="Q1143" s="86"/>
      <c r="R1143" s="86"/>
      <c r="S1143" s="60"/>
      <c r="T1143" s="62"/>
      <c r="U1143" s="62"/>
      <c r="V1143" s="62"/>
      <c r="W1143" s="61"/>
      <c r="X1143" s="62"/>
      <c r="Y1143" s="62"/>
      <c r="Z1143" s="66"/>
      <c r="AA1143" s="86"/>
      <c r="AB1143" s="69"/>
      <c r="AC1143" s="86"/>
      <c r="AD1143" s="86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84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6"/>
      <c r="P1144" s="69"/>
      <c r="Q1144" s="86"/>
      <c r="R1144" s="86"/>
      <c r="S1144" s="60"/>
      <c r="T1144" s="62"/>
      <c r="U1144" s="62"/>
      <c r="V1144" s="62"/>
      <c r="W1144" s="61"/>
      <c r="X1144" s="62"/>
      <c r="Y1144" s="62"/>
      <c r="Z1144" s="66"/>
      <c r="AA1144" s="86"/>
      <c r="AB1144" s="69"/>
      <c r="AC1144" s="86"/>
      <c r="AD1144" s="86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84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6"/>
      <c r="P1145" s="69"/>
      <c r="Q1145" s="86"/>
      <c r="R1145" s="86"/>
      <c r="S1145" s="60"/>
      <c r="T1145" s="62"/>
      <c r="U1145" s="62"/>
      <c r="V1145" s="62"/>
      <c r="W1145" s="61"/>
      <c r="X1145" s="62"/>
      <c r="Y1145" s="62"/>
      <c r="Z1145" s="66"/>
      <c r="AA1145" s="86"/>
      <c r="AB1145" s="69"/>
      <c r="AC1145" s="86"/>
      <c r="AD1145" s="86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84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6"/>
      <c r="P1146" s="69"/>
      <c r="Q1146" s="86"/>
      <c r="R1146" s="86"/>
      <c r="S1146" s="60"/>
      <c r="T1146" s="62"/>
      <c r="U1146" s="62"/>
      <c r="V1146" s="62"/>
      <c r="W1146" s="61"/>
      <c r="X1146" s="62"/>
      <c r="Y1146" s="62"/>
      <c r="Z1146" s="66"/>
      <c r="AA1146" s="86"/>
      <c r="AB1146" s="69"/>
      <c r="AC1146" s="86"/>
      <c r="AD1146" s="86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84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6"/>
      <c r="P1147" s="69"/>
      <c r="Q1147" s="86"/>
      <c r="R1147" s="86"/>
      <c r="S1147" s="60"/>
      <c r="T1147" s="62"/>
      <c r="U1147" s="62"/>
      <c r="V1147" s="62"/>
      <c r="W1147" s="61"/>
      <c r="X1147" s="62"/>
      <c r="Y1147" s="62"/>
      <c r="Z1147" s="66"/>
      <c r="AA1147" s="86"/>
      <c r="AB1147" s="69"/>
      <c r="AC1147" s="86"/>
      <c r="AD1147" s="86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86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6"/>
      <c r="R1148" s="86"/>
      <c r="S1148" s="60"/>
      <c r="T1148" s="62"/>
      <c r="U1148" s="62"/>
      <c r="V1148" s="62"/>
      <c r="W1148" s="61"/>
      <c r="X1148" s="62"/>
      <c r="Y1148" s="62"/>
      <c r="Z1148" s="66"/>
      <c r="AA1148" s="86"/>
      <c r="AB1148" s="69"/>
      <c r="AC1148" s="86"/>
      <c r="AD1148" s="86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6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6"/>
      <c r="P1149" s="69"/>
      <c r="Q1149" s="86"/>
      <c r="R1149" s="86"/>
      <c r="S1149" s="60"/>
      <c r="T1149" s="62"/>
      <c r="U1149" s="62"/>
      <c r="V1149" s="62"/>
      <c r="W1149" s="61"/>
      <c r="X1149" s="62"/>
      <c r="Y1149" s="62"/>
      <c r="Z1149" s="66"/>
      <c r="AA1149" s="86"/>
      <c r="AB1149" s="69"/>
      <c r="AC1149" s="86"/>
      <c r="AD1149" s="86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6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6"/>
      <c r="P1150" s="69"/>
      <c r="Q1150" s="86"/>
      <c r="R1150" s="86"/>
      <c r="S1150" s="60"/>
      <c r="T1150" s="62"/>
      <c r="U1150" s="62"/>
      <c r="V1150" s="62"/>
      <c r="W1150" s="61"/>
      <c r="X1150" s="62"/>
      <c r="Y1150" s="62"/>
      <c r="Z1150" s="66"/>
      <c r="AA1150" s="86"/>
      <c r="AB1150" s="69"/>
      <c r="AC1150" s="86"/>
      <c r="AD1150" s="86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6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6"/>
      <c r="R1151" s="86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6"/>
      <c r="AD1151" s="86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6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6"/>
      <c r="P1152" s="69"/>
      <c r="Q1152" s="86"/>
      <c r="R1152" s="86"/>
      <c r="S1152" s="60"/>
      <c r="T1152" s="62"/>
      <c r="U1152" s="62"/>
      <c r="V1152" s="62"/>
      <c r="W1152" s="61"/>
      <c r="X1152" s="62"/>
      <c r="Y1152" s="62"/>
      <c r="Z1152" s="66"/>
      <c r="AA1152" s="86"/>
      <c r="AB1152" s="69"/>
      <c r="AC1152" s="86"/>
      <c r="AD1152" s="86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6"/>
      <c r="O1153" s="86"/>
      <c r="P1153" s="86"/>
      <c r="Q1153" s="86"/>
      <c r="R1153" s="86"/>
      <c r="S1153" s="86"/>
      <c r="T1153" s="62"/>
      <c r="U1153" s="62"/>
      <c r="V1153" s="62"/>
      <c r="W1153" s="61"/>
      <c r="X1153" s="62"/>
      <c r="Y1153" s="62"/>
      <c r="Z1153" s="86"/>
      <c r="AA1153" s="86"/>
      <c r="AB1153" s="86"/>
      <c r="AC1153" s="86"/>
      <c r="AD1153" s="86"/>
      <c r="AE1153" s="86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6"/>
      <c r="C1154" s="86"/>
      <c r="D1154" s="86"/>
      <c r="E1154" s="86"/>
      <c r="F1154" s="86"/>
      <c r="G1154" s="86"/>
      <c r="H1154" s="62"/>
      <c r="I1154" s="62"/>
      <c r="J1154" s="62"/>
      <c r="K1154" s="62"/>
      <c r="L1154" s="62"/>
      <c r="M1154" s="62"/>
      <c r="N1154" s="86"/>
      <c r="O1154" s="86"/>
      <c r="P1154" s="86"/>
      <c r="Q1154" s="86"/>
      <c r="R1154" s="86"/>
      <c r="S1154" s="86"/>
      <c r="T1154" s="62"/>
      <c r="U1154" s="62"/>
      <c r="V1154" s="62"/>
      <c r="W1154" s="62"/>
      <c r="X1154" s="62"/>
      <c r="Y1154" s="62"/>
      <c r="Z1154" s="86"/>
      <c r="AA1154" s="86"/>
      <c r="AB1154" s="86"/>
      <c r="AC1154" s="86"/>
      <c r="AD1154" s="86"/>
      <c r="AE1154" s="86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6"/>
      <c r="C1155" s="86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6"/>
      <c r="O1155" s="86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6"/>
      <c r="AA1155" s="86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2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2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2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2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6"/>
      <c r="C1159" s="86"/>
      <c r="D1159" s="86"/>
      <c r="E1159" s="86"/>
      <c r="F1159" s="86"/>
      <c r="G1159" s="86"/>
      <c r="H1159" s="62"/>
      <c r="I1159" s="62"/>
      <c r="J1159" s="62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62"/>
      <c r="V1159" s="62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6"/>
      <c r="C1160" s="86"/>
      <c r="D1160" s="86"/>
      <c r="E1160" s="86"/>
      <c r="F1160" s="86"/>
      <c r="G1160" s="86"/>
      <c r="H1160" s="62"/>
      <c r="I1160" s="62"/>
      <c r="J1160" s="62"/>
      <c r="K1160" s="62"/>
      <c r="L1160" s="62"/>
      <c r="M1160" s="63"/>
      <c r="N1160" s="86"/>
      <c r="O1160" s="86"/>
      <c r="P1160" s="86"/>
      <c r="Q1160" s="86"/>
      <c r="R1160" s="86"/>
      <c r="S1160" s="86"/>
      <c r="T1160" s="62"/>
      <c r="U1160" s="62"/>
      <c r="V1160" s="62"/>
      <c r="W1160" s="62"/>
      <c r="X1160" s="62"/>
      <c r="Y1160" s="63"/>
      <c r="Z1160" s="86"/>
      <c r="AA1160" s="86"/>
      <c r="AB1160" s="86"/>
      <c r="AC1160" s="86"/>
      <c r="AD1160" s="86"/>
      <c r="AE1160" s="86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6"/>
      <c r="C1161" s="86"/>
      <c r="D1161" s="86"/>
      <c r="E1161" s="86"/>
      <c r="F1161" s="86"/>
      <c r="G1161" s="86"/>
      <c r="H1161" s="62"/>
      <c r="I1161" s="62"/>
      <c r="J1161" s="62"/>
      <c r="K1161" s="62"/>
      <c r="L1161" s="62"/>
      <c r="M1161" s="62"/>
      <c r="N1161" s="86"/>
      <c r="O1161" s="86"/>
      <c r="P1161" s="86"/>
      <c r="Q1161" s="86"/>
      <c r="R1161" s="86"/>
      <c r="S1161" s="86"/>
      <c r="T1161" s="62"/>
      <c r="U1161" s="62"/>
      <c r="V1161" s="62"/>
      <c r="W1161" s="62"/>
      <c r="X1161" s="62"/>
      <c r="Y1161" s="62"/>
      <c r="Z1161" s="86"/>
      <c r="AA1161" s="86"/>
      <c r="AB1161" s="86"/>
      <c r="AC1161" s="86"/>
      <c r="AD1161" s="86"/>
      <c r="AE1161" s="86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6"/>
      <c r="C1162" s="86"/>
      <c r="D1162" s="86"/>
      <c r="E1162" s="86"/>
      <c r="F1162" s="86"/>
      <c r="G1162" s="86"/>
      <c r="H1162" s="62"/>
      <c r="I1162" s="86"/>
      <c r="J1162" s="73"/>
      <c r="K1162" s="62"/>
      <c r="L1162" s="62"/>
      <c r="M1162" s="62"/>
      <c r="N1162" s="86"/>
      <c r="O1162" s="86"/>
      <c r="P1162" s="86"/>
      <c r="Q1162" s="86"/>
      <c r="R1162" s="86"/>
      <c r="S1162" s="86"/>
      <c r="T1162" s="62"/>
      <c r="U1162" s="86"/>
      <c r="V1162" s="73"/>
      <c r="W1162" s="62"/>
      <c r="X1162" s="62"/>
      <c r="Y1162" s="62"/>
      <c r="Z1162" s="86"/>
      <c r="AA1162" s="86"/>
      <c r="AB1162" s="86"/>
      <c r="AC1162" s="86"/>
      <c r="AD1162" s="86"/>
      <c r="AE1162" s="86"/>
      <c r="AF1162" s="62"/>
      <c r="AG1162" s="86"/>
      <c r="AH1162" s="86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6"/>
      <c r="C1163" s="86"/>
      <c r="D1163" s="86"/>
      <c r="E1163" s="86"/>
      <c r="F1163" s="86"/>
      <c r="G1163" s="86"/>
      <c r="H1163" s="62"/>
      <c r="I1163" s="65"/>
      <c r="J1163" s="65"/>
      <c r="K1163" s="62"/>
      <c r="L1163" s="62"/>
      <c r="M1163" s="64"/>
      <c r="N1163" s="86"/>
      <c r="O1163" s="86"/>
      <c r="P1163" s="86"/>
      <c r="Q1163" s="86"/>
      <c r="R1163" s="86"/>
      <c r="S1163" s="86"/>
      <c r="T1163" s="62"/>
      <c r="U1163" s="65"/>
      <c r="V1163" s="65"/>
      <c r="W1163" s="62"/>
      <c r="X1163" s="62"/>
      <c r="Y1163" s="64"/>
      <c r="Z1163" s="86"/>
      <c r="AA1163" s="86"/>
      <c r="AB1163" s="86"/>
      <c r="AC1163" s="86"/>
      <c r="AD1163" s="86"/>
      <c r="AE1163" s="86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6"/>
      <c r="C1164" s="86"/>
      <c r="D1164" s="86"/>
      <c r="E1164" s="86"/>
      <c r="F1164" s="86"/>
      <c r="G1164" s="86"/>
      <c r="H1164" s="62"/>
      <c r="I1164" s="62"/>
      <c r="J1164" s="62"/>
      <c r="K1164" s="62"/>
      <c r="L1164" s="62"/>
      <c r="M1164" s="62"/>
      <c r="N1164" s="86"/>
      <c r="O1164" s="86"/>
      <c r="P1164" s="86"/>
      <c r="Q1164" s="86"/>
      <c r="R1164" s="86"/>
      <c r="S1164" s="86"/>
      <c r="T1164" s="62"/>
      <c r="U1164" s="62"/>
      <c r="V1164" s="62"/>
      <c r="W1164" s="62"/>
      <c r="X1164" s="62"/>
      <c r="Y1164" s="62"/>
      <c r="Z1164" s="86"/>
      <c r="AA1164" s="86"/>
      <c r="AB1164" s="86"/>
      <c r="AC1164" s="86"/>
      <c r="AD1164" s="86"/>
      <c r="AE1164" s="86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6"/>
      <c r="D1165" s="117"/>
      <c r="E1165" s="117"/>
      <c r="F1165" s="86"/>
      <c r="G1165" s="86"/>
      <c r="H1165" s="62"/>
      <c r="I1165" s="117"/>
      <c r="J1165" s="117"/>
      <c r="K1165" s="116"/>
      <c r="L1165" s="62"/>
      <c r="M1165" s="62"/>
      <c r="N1165" s="65"/>
      <c r="O1165" s="86"/>
      <c r="P1165" s="117"/>
      <c r="Q1165" s="117"/>
      <c r="R1165" s="86"/>
      <c r="S1165" s="86"/>
      <c r="T1165" s="62"/>
      <c r="U1165" s="117"/>
      <c r="V1165" s="117"/>
      <c r="W1165" s="116"/>
      <c r="X1165" s="62"/>
      <c r="Y1165" s="62"/>
      <c r="Z1165" s="65"/>
      <c r="AA1165" s="86"/>
      <c r="AB1165" s="117"/>
      <c r="AC1165" s="117"/>
      <c r="AD1165" s="86"/>
      <c r="AE1165" s="86"/>
      <c r="AF1165" s="62"/>
      <c r="AG1165" s="117"/>
      <c r="AH1165" s="117"/>
      <c r="AI1165" s="116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6"/>
      <c r="C1166" s="86"/>
      <c r="D1166" s="79"/>
      <c r="E1166" s="80"/>
      <c r="F1166" s="81"/>
      <c r="G1166" s="81"/>
      <c r="H1166" s="62"/>
      <c r="I1166" s="85"/>
      <c r="J1166" s="85"/>
      <c r="K1166" s="116"/>
      <c r="L1166" s="62"/>
      <c r="M1166" s="62"/>
      <c r="N1166" s="86"/>
      <c r="O1166" s="86"/>
      <c r="P1166" s="79"/>
      <c r="Q1166" s="81"/>
      <c r="R1166" s="81"/>
      <c r="S1166" s="81"/>
      <c r="T1166" s="62"/>
      <c r="U1166" s="85"/>
      <c r="V1166" s="85"/>
      <c r="W1166" s="116"/>
      <c r="X1166" s="62"/>
      <c r="Y1166" s="62"/>
      <c r="Z1166" s="86"/>
      <c r="AA1166" s="86"/>
      <c r="AB1166" s="79"/>
      <c r="AC1166" s="81"/>
      <c r="AD1166" s="81"/>
      <c r="AE1166" s="81"/>
      <c r="AF1166" s="62"/>
      <c r="AG1166" s="85"/>
      <c r="AH1166" s="85"/>
      <c r="AI1166" s="116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6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6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6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6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6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6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6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6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6"/>
      <c r="AB1175" s="82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6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6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6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6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6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6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6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6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6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6"/>
      <c r="R1187" s="86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7"/>
      <c r="AC1187" s="86"/>
      <c r="AD1187" s="86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8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8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6"/>
      <c r="P1189" s="69"/>
      <c r="Q1189" s="86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6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6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6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6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6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6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6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6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86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6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86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6"/>
      <c r="P1205" s="69"/>
      <c r="Q1205" s="86"/>
      <c r="R1205" s="86"/>
      <c r="S1205" s="60"/>
      <c r="T1205" s="62"/>
      <c r="U1205" s="62"/>
      <c r="V1205" s="62"/>
      <c r="W1205" s="61"/>
      <c r="X1205" s="62"/>
      <c r="Y1205" s="62"/>
      <c r="Z1205" s="66"/>
      <c r="AA1205" s="86"/>
      <c r="AB1205" s="69"/>
      <c r="AC1205" s="86"/>
      <c r="AD1205" s="86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6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6"/>
      <c r="R1206" s="86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6"/>
      <c r="AD1206" s="86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6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6"/>
      <c r="P1207" s="69"/>
      <c r="Q1207" s="86"/>
      <c r="R1207" s="86"/>
      <c r="S1207" s="60"/>
      <c r="T1207" s="62"/>
      <c r="U1207" s="62"/>
      <c r="V1207" s="62"/>
      <c r="W1207" s="61"/>
      <c r="X1207" s="62"/>
      <c r="Y1207" s="62"/>
      <c r="Z1207" s="66"/>
      <c r="AA1207" s="86"/>
      <c r="AB1207" s="69"/>
      <c r="AC1207" s="86"/>
      <c r="AD1207" s="86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6"/>
      <c r="O1208" s="86"/>
      <c r="P1208" s="86"/>
      <c r="Q1208" s="86"/>
      <c r="R1208" s="86"/>
      <c r="S1208" s="86"/>
      <c r="T1208" s="62"/>
      <c r="U1208" s="62"/>
      <c r="V1208" s="62"/>
      <c r="W1208" s="61"/>
      <c r="X1208" s="62"/>
      <c r="Y1208" s="62"/>
      <c r="Z1208" s="86"/>
      <c r="AA1208" s="86"/>
      <c r="AB1208" s="86"/>
      <c r="AC1208" s="86"/>
      <c r="AD1208" s="86"/>
      <c r="AE1208" s="86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6"/>
      <c r="C1209" s="86"/>
      <c r="D1209" s="86"/>
      <c r="E1209" s="86"/>
      <c r="F1209" s="86"/>
      <c r="G1209" s="86"/>
      <c r="H1209" s="62"/>
      <c r="I1209" s="62"/>
      <c r="J1209" s="62"/>
      <c r="K1209" s="62"/>
      <c r="L1209" s="62"/>
      <c r="M1209" s="62"/>
      <c r="N1209" s="86"/>
      <c r="O1209" s="86"/>
      <c r="P1209" s="86"/>
      <c r="Q1209" s="86"/>
      <c r="R1209" s="86"/>
      <c r="S1209" s="86"/>
      <c r="T1209" s="62"/>
      <c r="U1209" s="62"/>
      <c r="V1209" s="62"/>
      <c r="W1209" s="62"/>
      <c r="X1209" s="62"/>
      <c r="Y1209" s="62"/>
      <c r="Z1209" s="86"/>
      <c r="AA1209" s="86"/>
      <c r="AB1209" s="86"/>
      <c r="AC1209" s="86"/>
      <c r="AD1209" s="86"/>
      <c r="AE1209" s="86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6"/>
      <c r="C1210" s="86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6"/>
      <c r="O1210" s="86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6"/>
      <c r="AA1210" s="86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2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2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2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2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6"/>
      <c r="C1215" s="86"/>
      <c r="D1215" s="86"/>
      <c r="E1215" s="86"/>
      <c r="F1215" s="86"/>
      <c r="G1215" s="86"/>
      <c r="H1215" s="62"/>
      <c r="I1215" s="62"/>
      <c r="J1215" s="62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62"/>
      <c r="V1215" s="62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6"/>
      <c r="C1216" s="86"/>
      <c r="D1216" s="86"/>
      <c r="E1216" s="86"/>
      <c r="F1216" s="86"/>
      <c r="G1216" s="86"/>
      <c r="H1216" s="62"/>
      <c r="I1216" s="62"/>
      <c r="J1216" s="62"/>
      <c r="K1216" s="62"/>
      <c r="L1216" s="62"/>
      <c r="M1216" s="63"/>
      <c r="N1216" s="86"/>
      <c r="O1216" s="86"/>
      <c r="P1216" s="86"/>
      <c r="Q1216" s="86"/>
      <c r="R1216" s="86"/>
      <c r="S1216" s="86"/>
      <c r="T1216" s="62"/>
      <c r="U1216" s="62"/>
      <c r="V1216" s="62"/>
      <c r="W1216" s="62"/>
      <c r="X1216" s="62"/>
      <c r="Y1216" s="63"/>
      <c r="Z1216" s="86"/>
      <c r="AA1216" s="86"/>
      <c r="AB1216" s="86"/>
      <c r="AC1216" s="86"/>
      <c r="AD1216" s="86"/>
      <c r="AE1216" s="86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6"/>
      <c r="C1217" s="86"/>
      <c r="D1217" s="86"/>
      <c r="E1217" s="86"/>
      <c r="F1217" s="86"/>
      <c r="G1217" s="86"/>
      <c r="H1217" s="62"/>
      <c r="I1217" s="62"/>
      <c r="J1217" s="62"/>
      <c r="K1217" s="62"/>
      <c r="L1217" s="62"/>
      <c r="M1217" s="62"/>
      <c r="N1217" s="86"/>
      <c r="O1217" s="86"/>
      <c r="P1217" s="86"/>
      <c r="Q1217" s="86"/>
      <c r="R1217" s="86"/>
      <c r="S1217" s="86"/>
      <c r="T1217" s="62"/>
      <c r="U1217" s="62"/>
      <c r="V1217" s="62"/>
      <c r="W1217" s="62"/>
      <c r="X1217" s="62"/>
      <c r="Y1217" s="62"/>
      <c r="Z1217" s="86"/>
      <c r="AA1217" s="86"/>
      <c r="AB1217" s="86"/>
      <c r="AC1217" s="86"/>
      <c r="AD1217" s="86"/>
      <c r="AE1217" s="86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6"/>
      <c r="C1218" s="86"/>
      <c r="D1218" s="86"/>
      <c r="E1218" s="86"/>
      <c r="F1218" s="86"/>
      <c r="G1218" s="86"/>
      <c r="H1218" s="62"/>
      <c r="I1218" s="86"/>
      <c r="J1218" s="73"/>
      <c r="K1218" s="62"/>
      <c r="L1218" s="62"/>
      <c r="M1218" s="62"/>
      <c r="N1218" s="86"/>
      <c r="O1218" s="86"/>
      <c r="P1218" s="86"/>
      <c r="Q1218" s="86"/>
      <c r="R1218" s="86"/>
      <c r="S1218" s="86"/>
      <c r="T1218" s="62"/>
      <c r="U1218" s="86"/>
      <c r="V1218" s="73"/>
      <c r="W1218" s="62"/>
      <c r="X1218" s="62"/>
      <c r="Y1218" s="62"/>
      <c r="Z1218" s="86"/>
      <c r="AA1218" s="86"/>
      <c r="AB1218" s="86"/>
      <c r="AC1218" s="86"/>
      <c r="AD1218" s="86"/>
      <c r="AE1218" s="86"/>
      <c r="AF1218" s="62"/>
      <c r="AG1218" s="86"/>
      <c r="AH1218" s="86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6"/>
      <c r="C1219" s="86"/>
      <c r="D1219" s="86"/>
      <c r="E1219" s="86"/>
      <c r="F1219" s="86"/>
      <c r="G1219" s="86"/>
      <c r="H1219" s="62"/>
      <c r="I1219" s="65"/>
      <c r="J1219" s="65"/>
      <c r="K1219" s="62"/>
      <c r="L1219" s="62"/>
      <c r="M1219" s="64"/>
      <c r="N1219" s="86"/>
      <c r="O1219" s="86"/>
      <c r="P1219" s="86"/>
      <c r="Q1219" s="86"/>
      <c r="R1219" s="86"/>
      <c r="S1219" s="86"/>
      <c r="T1219" s="62"/>
      <c r="U1219" s="65"/>
      <c r="V1219" s="65"/>
      <c r="W1219" s="62"/>
      <c r="X1219" s="62"/>
      <c r="Y1219" s="64"/>
      <c r="Z1219" s="86"/>
      <c r="AA1219" s="86"/>
      <c r="AB1219" s="86"/>
      <c r="AC1219" s="86"/>
      <c r="AD1219" s="86"/>
      <c r="AE1219" s="86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6"/>
      <c r="C1220" s="86"/>
      <c r="D1220" s="86"/>
      <c r="E1220" s="86"/>
      <c r="F1220" s="86"/>
      <c r="G1220" s="86"/>
      <c r="H1220" s="62"/>
      <c r="I1220" s="62"/>
      <c r="J1220" s="62"/>
      <c r="K1220" s="62"/>
      <c r="L1220" s="62"/>
      <c r="M1220" s="62"/>
      <c r="N1220" s="86"/>
      <c r="O1220" s="86"/>
      <c r="P1220" s="86"/>
      <c r="Q1220" s="86"/>
      <c r="R1220" s="86"/>
      <c r="S1220" s="86"/>
      <c r="T1220" s="62"/>
      <c r="U1220" s="62"/>
      <c r="V1220" s="62"/>
      <c r="W1220" s="62"/>
      <c r="X1220" s="62"/>
      <c r="Y1220" s="62"/>
      <c r="Z1220" s="86"/>
      <c r="AA1220" s="86"/>
      <c r="AB1220" s="86"/>
      <c r="AC1220" s="86"/>
      <c r="AD1220" s="86"/>
      <c r="AE1220" s="86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6"/>
      <c r="D1221" s="117"/>
      <c r="E1221" s="117"/>
      <c r="F1221" s="86"/>
      <c r="G1221" s="86"/>
      <c r="H1221" s="62"/>
      <c r="I1221" s="117"/>
      <c r="J1221" s="117"/>
      <c r="K1221" s="116"/>
      <c r="L1221" s="62"/>
      <c r="M1221" s="62"/>
      <c r="N1221" s="65"/>
      <c r="O1221" s="86"/>
      <c r="P1221" s="117"/>
      <c r="Q1221" s="117"/>
      <c r="R1221" s="86"/>
      <c r="S1221" s="86"/>
      <c r="T1221" s="62"/>
      <c r="U1221" s="117"/>
      <c r="V1221" s="117"/>
      <c r="W1221" s="116"/>
      <c r="X1221" s="62"/>
      <c r="Y1221" s="62"/>
      <c r="Z1221" s="65"/>
      <c r="AA1221" s="86"/>
      <c r="AB1221" s="117"/>
      <c r="AC1221" s="117"/>
      <c r="AD1221" s="86"/>
      <c r="AE1221" s="86"/>
      <c r="AF1221" s="62"/>
      <c r="AG1221" s="117"/>
      <c r="AH1221" s="117"/>
      <c r="AI1221" s="116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6"/>
      <c r="C1222" s="86"/>
      <c r="D1222" s="79"/>
      <c r="E1222" s="80"/>
      <c r="F1222" s="81"/>
      <c r="G1222" s="81"/>
      <c r="H1222" s="62"/>
      <c r="I1222" s="85"/>
      <c r="J1222" s="85"/>
      <c r="K1222" s="116"/>
      <c r="L1222" s="62"/>
      <c r="M1222" s="62"/>
      <c r="N1222" s="86"/>
      <c r="O1222" s="86"/>
      <c r="P1222" s="79"/>
      <c r="Q1222" s="81"/>
      <c r="R1222" s="81"/>
      <c r="S1222" s="81"/>
      <c r="T1222" s="62"/>
      <c r="U1222" s="85"/>
      <c r="V1222" s="85"/>
      <c r="W1222" s="116"/>
      <c r="X1222" s="62"/>
      <c r="Y1222" s="62"/>
      <c r="Z1222" s="86"/>
      <c r="AA1222" s="86"/>
      <c r="AB1222" s="79"/>
      <c r="AC1222" s="80"/>
      <c r="AD1222" s="81"/>
      <c r="AE1222" s="81"/>
      <c r="AF1222" s="62"/>
      <c r="AG1222" s="85"/>
      <c r="AH1222" s="85"/>
      <c r="AI1222" s="116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6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6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6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6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6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6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6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6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6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6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6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6"/>
      <c r="P1243" s="67"/>
      <c r="Q1243" s="86"/>
      <c r="R1243" s="86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8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6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86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6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86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6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6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6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6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6"/>
      <c r="P1269" s="69"/>
      <c r="Q1269" s="86"/>
      <c r="R1269" s="86"/>
      <c r="S1269" s="60"/>
      <c r="T1269" s="62"/>
      <c r="U1269" s="62"/>
      <c r="V1269" s="62"/>
      <c r="W1269" s="61"/>
      <c r="X1269" s="62"/>
      <c r="Y1269" s="62"/>
      <c r="Z1269" s="66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6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6"/>
      <c r="R1270" s="86"/>
      <c r="S1270" s="60"/>
      <c r="T1270" s="62"/>
      <c r="U1270" s="62"/>
      <c r="V1270" s="62"/>
      <c r="W1270" s="61"/>
      <c r="X1270" s="62"/>
      <c r="Y1270" s="62"/>
      <c r="Z1270" s="66"/>
      <c r="AA1270" s="8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6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6"/>
      <c r="P1271" s="69"/>
      <c r="Q1271" s="86"/>
      <c r="R1271" s="86"/>
      <c r="S1271" s="60"/>
      <c r="T1271" s="62"/>
      <c r="U1271" s="62"/>
      <c r="V1271" s="62"/>
      <c r="W1271" s="61"/>
      <c r="X1271" s="62"/>
      <c r="Y1271" s="62"/>
      <c r="Z1271" s="66"/>
      <c r="AA1271" s="86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6"/>
      <c r="O1272" s="86"/>
      <c r="P1272" s="86"/>
      <c r="Q1272" s="86"/>
      <c r="R1272" s="86"/>
      <c r="S1272" s="86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6"/>
      <c r="C1273" s="86"/>
      <c r="D1273" s="86"/>
      <c r="E1273" s="86"/>
      <c r="F1273" s="86"/>
      <c r="G1273" s="86"/>
      <c r="H1273" s="62"/>
      <c r="I1273" s="62"/>
      <c r="J1273" s="62"/>
      <c r="K1273" s="62"/>
      <c r="L1273" s="62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6"/>
      <c r="O1274" s="86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6"/>
      <c r="AA1274" s="86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2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2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6"/>
      <c r="C1277" s="86"/>
      <c r="D1277" s="86"/>
      <c r="E1277" s="86"/>
      <c r="F1277" s="86"/>
      <c r="G1277" s="86"/>
      <c r="H1277" s="62"/>
      <c r="I1277" s="62"/>
      <c r="J1277" s="62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62"/>
      <c r="V1277" s="62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6"/>
      <c r="C1278" s="86"/>
      <c r="D1278" s="86"/>
      <c r="E1278" s="86"/>
      <c r="F1278" s="86"/>
      <c r="G1278" s="86"/>
      <c r="H1278" s="62"/>
      <c r="I1278" s="62"/>
      <c r="J1278" s="62"/>
      <c r="K1278" s="62"/>
      <c r="L1278" s="62"/>
      <c r="M1278" s="63"/>
      <c r="N1278" s="86"/>
      <c r="O1278" s="86"/>
      <c r="P1278" s="86"/>
      <c r="Q1278" s="86"/>
      <c r="R1278" s="86"/>
      <c r="S1278" s="86"/>
      <c r="T1278" s="62"/>
      <c r="U1278" s="62"/>
      <c r="V1278" s="62"/>
      <c r="W1278" s="62"/>
      <c r="X1278" s="62"/>
      <c r="Y1278" s="63"/>
      <c r="Z1278" s="86"/>
      <c r="AA1278" s="86"/>
      <c r="AB1278" s="86"/>
      <c r="AC1278" s="86"/>
      <c r="AD1278" s="86"/>
      <c r="AE1278" s="86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6"/>
      <c r="C1279" s="86"/>
      <c r="D1279" s="86"/>
      <c r="E1279" s="86"/>
      <c r="F1279" s="86"/>
      <c r="G1279" s="86"/>
      <c r="H1279" s="62"/>
      <c r="I1279" s="62"/>
      <c r="J1279" s="62"/>
      <c r="K1279" s="62"/>
      <c r="L1279" s="62"/>
      <c r="M1279" s="62"/>
      <c r="N1279" s="86"/>
      <c r="O1279" s="86"/>
      <c r="P1279" s="86"/>
      <c r="Q1279" s="86"/>
      <c r="R1279" s="86"/>
      <c r="S1279" s="86"/>
      <c r="T1279" s="62"/>
      <c r="U1279" s="62"/>
      <c r="V1279" s="62"/>
      <c r="W1279" s="62"/>
      <c r="X1279" s="62"/>
      <c r="Y1279" s="62"/>
      <c r="Z1279" s="86"/>
      <c r="AA1279" s="86"/>
      <c r="AB1279" s="86"/>
      <c r="AC1279" s="86"/>
      <c r="AD1279" s="86"/>
      <c r="AE1279" s="8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6"/>
      <c r="C1280" s="86"/>
      <c r="D1280" s="86"/>
      <c r="E1280" s="86"/>
      <c r="F1280" s="86"/>
      <c r="G1280" s="86"/>
      <c r="H1280" s="62"/>
      <c r="I1280" s="86"/>
      <c r="J1280" s="73"/>
      <c r="K1280" s="62"/>
      <c r="L1280" s="62"/>
      <c r="M1280" s="62"/>
      <c r="N1280" s="86"/>
      <c r="O1280" s="86"/>
      <c r="P1280" s="86"/>
      <c r="Q1280" s="86"/>
      <c r="R1280" s="86"/>
      <c r="S1280" s="86"/>
      <c r="T1280" s="62"/>
      <c r="U1280" s="86"/>
      <c r="V1280" s="73"/>
      <c r="W1280" s="62"/>
      <c r="X1280" s="62"/>
      <c r="Y1280" s="62"/>
      <c r="Z1280" s="86"/>
      <c r="AA1280" s="86"/>
      <c r="AB1280" s="86"/>
      <c r="AC1280" s="86"/>
      <c r="AD1280" s="86"/>
      <c r="AE1280" s="86"/>
      <c r="AF1280" s="62"/>
      <c r="AG1280" s="86"/>
      <c r="AH1280" s="86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6"/>
      <c r="C1281" s="86"/>
      <c r="D1281" s="86"/>
      <c r="E1281" s="86"/>
      <c r="F1281" s="86"/>
      <c r="G1281" s="86"/>
      <c r="H1281" s="62"/>
      <c r="I1281" s="65"/>
      <c r="J1281" s="65"/>
      <c r="K1281" s="62"/>
      <c r="L1281" s="62"/>
      <c r="M1281" s="64"/>
      <c r="N1281" s="86"/>
      <c r="O1281" s="86"/>
      <c r="P1281" s="86"/>
      <c r="Q1281" s="86"/>
      <c r="R1281" s="86"/>
      <c r="S1281" s="86"/>
      <c r="T1281" s="62"/>
      <c r="U1281" s="65"/>
      <c r="V1281" s="65"/>
      <c r="W1281" s="62"/>
      <c r="X1281" s="62"/>
      <c r="Y1281" s="64"/>
      <c r="Z1281" s="86"/>
      <c r="AA1281" s="86"/>
      <c r="AB1281" s="86"/>
      <c r="AC1281" s="86"/>
      <c r="AD1281" s="86"/>
      <c r="AE1281" s="86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6"/>
      <c r="C1282" s="86"/>
      <c r="D1282" s="86"/>
      <c r="E1282" s="86"/>
      <c r="F1282" s="86"/>
      <c r="G1282" s="86"/>
      <c r="H1282" s="62"/>
      <c r="I1282" s="62"/>
      <c r="J1282" s="62"/>
      <c r="K1282" s="62"/>
      <c r="L1282" s="62"/>
      <c r="M1282" s="62"/>
      <c r="N1282" s="86"/>
      <c r="O1282" s="86"/>
      <c r="P1282" s="86"/>
      <c r="Q1282" s="86"/>
      <c r="R1282" s="86"/>
      <c r="S1282" s="86"/>
      <c r="T1282" s="62"/>
      <c r="U1282" s="62"/>
      <c r="V1282" s="62"/>
      <c r="W1282" s="62"/>
      <c r="X1282" s="62"/>
      <c r="Y1282" s="62"/>
      <c r="Z1282" s="86"/>
      <c r="AA1282" s="86"/>
      <c r="AB1282" s="86"/>
      <c r="AC1282" s="86"/>
      <c r="AD1282" s="86"/>
      <c r="AE1282" s="86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6"/>
      <c r="D1283" s="117"/>
      <c r="E1283" s="117"/>
      <c r="F1283" s="86"/>
      <c r="G1283" s="86"/>
      <c r="H1283" s="62"/>
      <c r="I1283" s="117"/>
      <c r="J1283" s="117"/>
      <c r="K1283" s="116"/>
      <c r="L1283" s="62"/>
      <c r="M1283" s="62"/>
      <c r="N1283" s="65"/>
      <c r="O1283" s="86"/>
      <c r="P1283" s="117"/>
      <c r="Q1283" s="117"/>
      <c r="R1283" s="86"/>
      <c r="S1283" s="86"/>
      <c r="T1283" s="62"/>
      <c r="U1283" s="117"/>
      <c r="V1283" s="117"/>
      <c r="W1283" s="116"/>
      <c r="X1283" s="62"/>
      <c r="Y1283" s="62"/>
      <c r="Z1283" s="65"/>
      <c r="AA1283" s="86"/>
      <c r="AB1283" s="117"/>
      <c r="AC1283" s="117"/>
      <c r="AD1283" s="86"/>
      <c r="AE1283" s="86"/>
      <c r="AF1283" s="62"/>
      <c r="AG1283" s="117"/>
      <c r="AH1283" s="117"/>
      <c r="AI1283" s="116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6"/>
      <c r="C1284" s="86"/>
      <c r="D1284" s="86"/>
      <c r="E1284" s="85"/>
      <c r="F1284" s="85"/>
      <c r="G1284" s="85"/>
      <c r="H1284" s="62"/>
      <c r="I1284" s="85"/>
      <c r="J1284" s="85"/>
      <c r="K1284" s="116"/>
      <c r="L1284" s="62"/>
      <c r="M1284" s="62"/>
      <c r="N1284" s="86"/>
      <c r="O1284" s="86"/>
      <c r="P1284" s="86"/>
      <c r="Q1284" s="85"/>
      <c r="R1284" s="85"/>
      <c r="S1284" s="85"/>
      <c r="T1284" s="62"/>
      <c r="U1284" s="85"/>
      <c r="V1284" s="85"/>
      <c r="W1284" s="116"/>
      <c r="X1284" s="62"/>
      <c r="Y1284" s="62"/>
      <c r="Z1284" s="86"/>
      <c r="AA1284" s="86"/>
      <c r="AB1284" s="86"/>
      <c r="AC1284" s="85"/>
      <c r="AD1284" s="85"/>
      <c r="AE1284" s="85"/>
      <c r="AF1284" s="62"/>
      <c r="AG1284" s="85"/>
      <c r="AH1284" s="85"/>
      <c r="AI1284" s="116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6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6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86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6"/>
      <c r="D1298" s="60"/>
      <c r="E1298" s="86"/>
      <c r="F1298" s="86"/>
      <c r="G1298" s="60"/>
      <c r="H1298" s="61"/>
      <c r="I1298" s="61"/>
      <c r="J1298" s="62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6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6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6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86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6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6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6"/>
      <c r="P1305" s="67"/>
      <c r="Q1305" s="86"/>
      <c r="R1305" s="86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6"/>
      <c r="AD1305" s="86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8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8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86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86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6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6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86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86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86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8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86"/>
      <c r="P1323" s="69"/>
      <c r="Q1323" s="86"/>
      <c r="R1323" s="86"/>
      <c r="S1323" s="60"/>
      <c r="T1323" s="62"/>
      <c r="U1323" s="62"/>
      <c r="V1323" s="62"/>
      <c r="W1323" s="61"/>
      <c r="X1323" s="62"/>
      <c r="Y1323" s="62"/>
      <c r="Z1323" s="66"/>
      <c r="AA1323" s="86"/>
      <c r="AB1323" s="69"/>
      <c r="AC1323" s="86"/>
      <c r="AD1323" s="86"/>
      <c r="AE1323" s="60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66"/>
      <c r="C1324" s="8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86"/>
      <c r="R1324" s="8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86"/>
      <c r="AD1324" s="86"/>
      <c r="AE1324" s="60"/>
      <c r="AF1324" s="62"/>
      <c r="AG1324" s="62"/>
      <c r="AH1324" s="62"/>
      <c r="AI1324" s="61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66"/>
      <c r="C1325" s="86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86"/>
      <c r="P1325" s="69"/>
      <c r="Q1325" s="86"/>
      <c r="R1325" s="86"/>
      <c r="S1325" s="60"/>
      <c r="T1325" s="62"/>
      <c r="U1325" s="62"/>
      <c r="V1325" s="62"/>
      <c r="W1325" s="61"/>
      <c r="X1325" s="62"/>
      <c r="Y1325" s="62"/>
      <c r="Z1325" s="66"/>
      <c r="AA1325" s="86"/>
      <c r="AB1325" s="69"/>
      <c r="AC1325" s="86"/>
      <c r="AD1325" s="86"/>
      <c r="AE1325" s="60"/>
      <c r="AF1325" s="62"/>
      <c r="AG1325" s="62"/>
      <c r="AH1325" s="62"/>
      <c r="AI1325" s="61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86"/>
      <c r="O1326" s="86"/>
      <c r="P1326" s="86"/>
      <c r="Q1326" s="86"/>
      <c r="R1326" s="86"/>
      <c r="S1326" s="86"/>
      <c r="T1326" s="62"/>
      <c r="U1326" s="62"/>
      <c r="V1326" s="62"/>
      <c r="W1326" s="61"/>
      <c r="X1326" s="62"/>
      <c r="Y1326" s="62"/>
      <c r="Z1326" s="86"/>
      <c r="AA1326" s="86"/>
      <c r="AB1326" s="86"/>
      <c r="AC1326" s="86"/>
      <c r="AD1326" s="86"/>
      <c r="AE1326" s="86"/>
      <c r="AF1326" s="62"/>
      <c r="AG1326" s="62"/>
      <c r="AH1326" s="62"/>
      <c r="AI1326" s="61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86"/>
      <c r="C1327" s="86"/>
      <c r="D1327" s="86"/>
      <c r="E1327" s="86"/>
      <c r="F1327" s="86"/>
      <c r="G1327" s="86"/>
      <c r="H1327" s="62"/>
      <c r="I1327" s="62"/>
      <c r="J1327" s="62"/>
      <c r="K1327" s="62"/>
      <c r="L1327" s="62"/>
      <c r="M1327" s="62"/>
      <c r="N1327" s="86"/>
      <c r="O1327" s="86"/>
      <c r="P1327" s="86"/>
      <c r="Q1327" s="86"/>
      <c r="R1327" s="86"/>
      <c r="S1327" s="86"/>
      <c r="T1327" s="62"/>
      <c r="U1327" s="62"/>
      <c r="V1327" s="62"/>
      <c r="W1327" s="62"/>
      <c r="X1327" s="62"/>
      <c r="Y1327" s="62"/>
      <c r="Z1327" s="86"/>
      <c r="AA1327" s="86"/>
      <c r="AB1327" s="86"/>
      <c r="AC1327" s="86"/>
      <c r="AD1327" s="86"/>
      <c r="AE1327" s="86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86"/>
      <c r="O1328" s="86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86"/>
      <c r="AA1328" s="86"/>
      <c r="AB1328" s="70"/>
      <c r="AC1328" s="70"/>
      <c r="AD1328" s="70"/>
      <c r="AE1328" s="74"/>
      <c r="AF1328" s="63"/>
      <c r="AG1328" s="71"/>
      <c r="AH1328" s="71"/>
      <c r="AI1328" s="71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  <row r="1556" spans="1:51" x14ac:dyDescent="0.25">
      <c r="A1556" s="62"/>
      <c r="B1556" s="86"/>
      <c r="C1556" s="86"/>
      <c r="D1556" s="86"/>
      <c r="E1556" s="86"/>
      <c r="F1556" s="86"/>
      <c r="G1556" s="86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  <c r="AD1556" s="62"/>
      <c r="AE1556" s="62"/>
      <c r="AF1556" s="62"/>
      <c r="AG1556" s="62"/>
      <c r="AH1556" s="62"/>
      <c r="AI1556" s="62"/>
      <c r="AJ1556" s="62"/>
      <c r="AK1556" s="62"/>
      <c r="AL1556" s="62"/>
      <c r="AM1556" s="62"/>
      <c r="AN1556" s="62"/>
      <c r="AO1556" s="62"/>
      <c r="AP1556" s="62"/>
      <c r="AQ1556" s="62"/>
      <c r="AR1556" s="62"/>
      <c r="AS1556" s="62"/>
      <c r="AT1556" s="62"/>
      <c r="AU1556" s="62"/>
      <c r="AV1556" s="62"/>
      <c r="AW1556" s="62"/>
      <c r="AX1556" s="62"/>
      <c r="AY1556" s="62"/>
    </row>
    <row r="1557" spans="1:51" x14ac:dyDescent="0.25">
      <c r="A1557" s="62"/>
      <c r="B1557" s="86"/>
      <c r="C1557" s="86"/>
      <c r="D1557" s="86"/>
      <c r="E1557" s="86"/>
      <c r="F1557" s="86"/>
      <c r="G1557" s="86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2"/>
      <c r="Y1557" s="62"/>
      <c r="Z1557" s="62"/>
      <c r="AA1557" s="62"/>
      <c r="AB1557" s="62"/>
      <c r="AC1557" s="62"/>
      <c r="AD1557" s="62"/>
      <c r="AE1557" s="62"/>
      <c r="AF1557" s="62"/>
      <c r="AG1557" s="62"/>
      <c r="AH1557" s="62"/>
      <c r="AI1557" s="62"/>
      <c r="AJ1557" s="62"/>
      <c r="AK1557" s="62"/>
      <c r="AL1557" s="62"/>
      <c r="AM1557" s="62"/>
      <c r="AN1557" s="62"/>
      <c r="AO1557" s="62"/>
      <c r="AP1557" s="62"/>
      <c r="AQ1557" s="62"/>
      <c r="AR1557" s="62"/>
      <c r="AS1557" s="62"/>
      <c r="AT1557" s="62"/>
      <c r="AU1557" s="62"/>
      <c r="AV1557" s="62"/>
      <c r="AW1557" s="62"/>
      <c r="AX1557" s="62"/>
      <c r="AY1557" s="62"/>
    </row>
    <row r="1558" spans="1:51" x14ac:dyDescent="0.25">
      <c r="A1558" s="62"/>
      <c r="B1558" s="86"/>
      <c r="C1558" s="86"/>
      <c r="D1558" s="86"/>
      <c r="E1558" s="86"/>
      <c r="F1558" s="86"/>
      <c r="G1558" s="86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2"/>
      <c r="X1558" s="62"/>
      <c r="Y1558" s="62"/>
      <c r="Z1558" s="62"/>
      <c r="AA1558" s="62"/>
      <c r="AB1558" s="62"/>
      <c r="AC1558" s="62"/>
      <c r="AD1558" s="62"/>
      <c r="AE1558" s="62"/>
      <c r="AF1558" s="62"/>
      <c r="AG1558" s="62"/>
      <c r="AH1558" s="62"/>
      <c r="AI1558" s="62"/>
      <c r="AJ1558" s="62"/>
      <c r="AK1558" s="62"/>
      <c r="AL1558" s="62"/>
      <c r="AM1558" s="62"/>
      <c r="AN1558" s="62"/>
      <c r="AO1558" s="62"/>
      <c r="AP1558" s="62"/>
      <c r="AQ1558" s="62"/>
      <c r="AR1558" s="62"/>
      <c r="AS1558" s="62"/>
      <c r="AT1558" s="62"/>
      <c r="AU1558" s="62"/>
      <c r="AV1558" s="62"/>
      <c r="AW1558" s="62"/>
      <c r="AX1558" s="62"/>
      <c r="AY1558" s="62"/>
    </row>
  </sheetData>
  <mergeCells count="225"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W65:W66"/>
    <mergeCell ref="U65:V65"/>
    <mergeCell ref="I65:J65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P10:Q10"/>
    <mergeCell ref="K10:K11"/>
    <mergeCell ref="K65:K66"/>
    <mergeCell ref="K1221:K1222"/>
    <mergeCell ref="I1221:J1221"/>
    <mergeCell ref="D1221:E1221"/>
    <mergeCell ref="K1165:K1166"/>
    <mergeCell ref="I1165:J1165"/>
    <mergeCell ref="D1165:E1165"/>
    <mergeCell ref="D395:E395"/>
    <mergeCell ref="I10:J10"/>
    <mergeCell ref="D10:E10"/>
    <mergeCell ref="I505:J505"/>
    <mergeCell ref="I450:J450"/>
    <mergeCell ref="D945:E945"/>
    <mergeCell ref="P945:Q945"/>
    <mergeCell ref="D1055:E1055"/>
    <mergeCell ref="K1055:K1056"/>
    <mergeCell ref="I1055:J1055"/>
    <mergeCell ref="K1000:K1001"/>
    <mergeCell ref="I1000:J1000"/>
    <mergeCell ref="D1000:E1000"/>
    <mergeCell ref="K1110:K1111"/>
    <mergeCell ref="I1110:J1110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W340:W341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FEBRUARY</vt:lpstr>
      <vt:lpstr>DSIS | 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2026-02-21T09:19:16Z</dcterms:modified>
</cp:coreProperties>
</file>