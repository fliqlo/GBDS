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70C7923-C8E0-4459-BEA6-BDBE4E9CFBCF}" xr6:coauthVersionLast="45" xr6:coauthVersionMax="45" xr10:uidLastSave="{00000000-0000-0000-0000-000000000000}"/>
  <bookViews>
    <workbookView xWindow="-120" yWindow="-120" windowWidth="29040" windowHeight="15840" activeTab="7" xr2:uid="{6798A834-5563-4DDE-A130-9E97ACB19E2A}"/>
  </bookViews>
  <sheets>
    <sheet name="21" sheetId="4" r:id="rId1"/>
    <sheet name="IE R1 01-21-2026" sheetId="1" r:id="rId2"/>
    <sheet name="IE R2 01-21-2026" sheetId="2" r:id="rId3"/>
    <sheet name="IE R3 01-21-2026" sheetId="3" r:id="rId4"/>
    <sheet name="22" sheetId="5" r:id="rId5"/>
    <sheet name="IE R1 01-22-2026" sheetId="6" r:id="rId6"/>
    <sheet name="IE R2 01-22-2026" sheetId="7" r:id="rId7"/>
    <sheet name="IE R3 01-22-2026" sheetId="8" r:id="rId8"/>
    <sheet name="23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" i="6" l="1"/>
  <c r="L32" i="6"/>
  <c r="F67" i="8" l="1"/>
  <c r="F66" i="8"/>
  <c r="L65" i="8"/>
  <c r="F65" i="8"/>
  <c r="L64" i="8"/>
  <c r="F64" i="8"/>
  <c r="L63" i="8"/>
  <c r="F63" i="8"/>
  <c r="L62" i="8"/>
  <c r="F62" i="8"/>
  <c r="L61" i="8"/>
  <c r="F61" i="8"/>
  <c r="L60" i="8"/>
  <c r="F60" i="8"/>
  <c r="L59" i="8"/>
  <c r="F59" i="8"/>
  <c r="L58" i="8"/>
  <c r="F58" i="8"/>
  <c r="L57" i="8"/>
  <c r="F57" i="8"/>
  <c r="L56" i="8"/>
  <c r="F56" i="8"/>
  <c r="L55" i="8"/>
  <c r="F55" i="8"/>
  <c r="L54" i="8"/>
  <c r="F54" i="8"/>
  <c r="L53" i="8"/>
  <c r="F53" i="8"/>
  <c r="L52" i="8"/>
  <c r="F52" i="8"/>
  <c r="L51" i="8"/>
  <c r="F51" i="8"/>
  <c r="L50" i="8"/>
  <c r="F50" i="8"/>
  <c r="L49" i="8"/>
  <c r="F49" i="8"/>
  <c r="L48" i="8"/>
  <c r="F48" i="8"/>
  <c r="L47" i="8"/>
  <c r="F47" i="8"/>
  <c r="L46" i="8"/>
  <c r="F46" i="8"/>
  <c r="L45" i="8"/>
  <c r="L66" i="8" s="1"/>
  <c r="F45" i="8"/>
  <c r="L44" i="8"/>
  <c r="F44" i="8"/>
  <c r="R33" i="8"/>
  <c r="F33" i="8"/>
  <c r="R32" i="8"/>
  <c r="L32" i="8"/>
  <c r="F32" i="8"/>
  <c r="X31" i="8"/>
  <c r="R31" i="8"/>
  <c r="L31" i="8"/>
  <c r="F31" i="8"/>
  <c r="X30" i="8"/>
  <c r="R30" i="8"/>
  <c r="L30" i="8"/>
  <c r="F30" i="8"/>
  <c r="X29" i="8"/>
  <c r="R29" i="8"/>
  <c r="L29" i="8"/>
  <c r="F29" i="8"/>
  <c r="X28" i="8"/>
  <c r="R28" i="8"/>
  <c r="L28" i="8"/>
  <c r="F28" i="8"/>
  <c r="X27" i="8"/>
  <c r="R27" i="8"/>
  <c r="L27" i="8"/>
  <c r="F27" i="8"/>
  <c r="X26" i="8"/>
  <c r="R26" i="8"/>
  <c r="L26" i="8"/>
  <c r="F26" i="8"/>
  <c r="X25" i="8"/>
  <c r="R25" i="8"/>
  <c r="L25" i="8"/>
  <c r="F25" i="8"/>
  <c r="X24" i="8"/>
  <c r="R24" i="8"/>
  <c r="L24" i="8"/>
  <c r="F24" i="8"/>
  <c r="X23" i="8"/>
  <c r="R23" i="8"/>
  <c r="L23" i="8"/>
  <c r="F23" i="8"/>
  <c r="X22" i="8"/>
  <c r="R22" i="8"/>
  <c r="L22" i="8"/>
  <c r="F22" i="8"/>
  <c r="X21" i="8"/>
  <c r="R21" i="8"/>
  <c r="L21" i="8"/>
  <c r="F21" i="8"/>
  <c r="X20" i="8"/>
  <c r="R20" i="8"/>
  <c r="L20" i="8"/>
  <c r="F20" i="8"/>
  <c r="X19" i="8"/>
  <c r="R19" i="8"/>
  <c r="L19" i="8"/>
  <c r="F19" i="8"/>
  <c r="X18" i="8"/>
  <c r="R18" i="8"/>
  <c r="L18" i="8"/>
  <c r="F18" i="8"/>
  <c r="X17" i="8"/>
  <c r="R17" i="8"/>
  <c r="L17" i="8"/>
  <c r="F17" i="8"/>
  <c r="X16" i="8"/>
  <c r="R16" i="8"/>
  <c r="L16" i="8"/>
  <c r="F16" i="8"/>
  <c r="X15" i="8"/>
  <c r="R15" i="8"/>
  <c r="L15" i="8"/>
  <c r="F15" i="8"/>
  <c r="X14" i="8"/>
  <c r="R14" i="8"/>
  <c r="L14" i="8"/>
  <c r="F14" i="8"/>
  <c r="X13" i="8"/>
  <c r="R13" i="8"/>
  <c r="L13" i="8"/>
  <c r="F13" i="8"/>
  <c r="X12" i="8"/>
  <c r="R12" i="8"/>
  <c r="L12" i="8"/>
  <c r="F12" i="8"/>
  <c r="X11" i="8"/>
  <c r="R11" i="8"/>
  <c r="L11" i="8"/>
  <c r="F11" i="8"/>
  <c r="X10" i="8"/>
  <c r="R10" i="8"/>
  <c r="L10" i="8"/>
  <c r="F10" i="8"/>
  <c r="F169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F170" i="7" s="1"/>
  <c r="L169" i="7" s="1"/>
  <c r="R135" i="7"/>
  <c r="F135" i="7"/>
  <c r="R134" i="7"/>
  <c r="F134" i="7"/>
  <c r="X133" i="7"/>
  <c r="R133" i="7"/>
  <c r="L133" i="7"/>
  <c r="F133" i="7"/>
  <c r="X132" i="7"/>
  <c r="R132" i="7"/>
  <c r="L132" i="7"/>
  <c r="F132" i="7"/>
  <c r="X131" i="7"/>
  <c r="R131" i="7"/>
  <c r="L131" i="7"/>
  <c r="F131" i="7"/>
  <c r="X130" i="7"/>
  <c r="R130" i="7"/>
  <c r="L130" i="7"/>
  <c r="F130" i="7"/>
  <c r="X129" i="7"/>
  <c r="R129" i="7"/>
  <c r="L129" i="7"/>
  <c r="F129" i="7"/>
  <c r="X128" i="7"/>
  <c r="R128" i="7"/>
  <c r="L128" i="7"/>
  <c r="F128" i="7"/>
  <c r="X127" i="7"/>
  <c r="R127" i="7"/>
  <c r="L127" i="7"/>
  <c r="F127" i="7"/>
  <c r="X126" i="7"/>
  <c r="R126" i="7"/>
  <c r="L126" i="7"/>
  <c r="F126" i="7"/>
  <c r="X134" i="7"/>
  <c r="R136" i="7"/>
  <c r="X135" i="7" s="1"/>
  <c r="F101" i="7"/>
  <c r="AB3" i="7" s="1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L89" i="7"/>
  <c r="F89" i="7"/>
  <c r="L88" i="7"/>
  <c r="F88" i="7"/>
  <c r="L87" i="7"/>
  <c r="F87" i="7"/>
  <c r="L86" i="7"/>
  <c r="F86" i="7"/>
  <c r="L85" i="7"/>
  <c r="F85" i="7"/>
  <c r="L84" i="7"/>
  <c r="F84" i="7"/>
  <c r="L83" i="7"/>
  <c r="F83" i="7"/>
  <c r="L82" i="7"/>
  <c r="F82" i="7"/>
  <c r="L81" i="7"/>
  <c r="F81" i="7"/>
  <c r="L80" i="7"/>
  <c r="F80" i="7"/>
  <c r="L79" i="7"/>
  <c r="F79" i="7"/>
  <c r="L78" i="7"/>
  <c r="F78" i="7"/>
  <c r="R67" i="7"/>
  <c r="F67" i="7"/>
  <c r="R66" i="7"/>
  <c r="F66" i="7"/>
  <c r="X65" i="7"/>
  <c r="R65" i="7"/>
  <c r="L65" i="7"/>
  <c r="F65" i="7"/>
  <c r="X64" i="7"/>
  <c r="R64" i="7"/>
  <c r="L64" i="7"/>
  <c r="F64" i="7"/>
  <c r="X63" i="7"/>
  <c r="R63" i="7"/>
  <c r="L63" i="7"/>
  <c r="F63" i="7"/>
  <c r="X62" i="7"/>
  <c r="R62" i="7"/>
  <c r="L62" i="7"/>
  <c r="F62" i="7"/>
  <c r="X61" i="7"/>
  <c r="R61" i="7"/>
  <c r="L61" i="7"/>
  <c r="F61" i="7"/>
  <c r="X60" i="7"/>
  <c r="R60" i="7"/>
  <c r="L60" i="7"/>
  <c r="F60" i="7"/>
  <c r="X59" i="7"/>
  <c r="R59" i="7"/>
  <c r="L59" i="7"/>
  <c r="F59" i="7"/>
  <c r="X58" i="7"/>
  <c r="R58" i="7"/>
  <c r="L58" i="7"/>
  <c r="F58" i="7"/>
  <c r="X57" i="7"/>
  <c r="R57" i="7"/>
  <c r="L57" i="7"/>
  <c r="F57" i="7"/>
  <c r="X56" i="7"/>
  <c r="R56" i="7"/>
  <c r="L56" i="7"/>
  <c r="F56" i="7"/>
  <c r="X55" i="7"/>
  <c r="R55" i="7"/>
  <c r="L55" i="7"/>
  <c r="F55" i="7"/>
  <c r="X54" i="7"/>
  <c r="R54" i="7"/>
  <c r="L54" i="7"/>
  <c r="F54" i="7"/>
  <c r="X53" i="7"/>
  <c r="R53" i="7"/>
  <c r="L53" i="7"/>
  <c r="F53" i="7"/>
  <c r="X52" i="7"/>
  <c r="R52" i="7"/>
  <c r="L52" i="7"/>
  <c r="F52" i="7"/>
  <c r="X51" i="7"/>
  <c r="R51" i="7"/>
  <c r="L51" i="7"/>
  <c r="F51" i="7"/>
  <c r="X50" i="7"/>
  <c r="R50" i="7"/>
  <c r="L50" i="7"/>
  <c r="F50" i="7"/>
  <c r="X49" i="7"/>
  <c r="R49" i="7"/>
  <c r="L49" i="7"/>
  <c r="F49" i="7"/>
  <c r="X48" i="7"/>
  <c r="R48" i="7"/>
  <c r="L48" i="7"/>
  <c r="F48" i="7"/>
  <c r="X47" i="7"/>
  <c r="R47" i="7"/>
  <c r="L47" i="7"/>
  <c r="F47" i="7"/>
  <c r="X46" i="7"/>
  <c r="R46" i="7"/>
  <c r="L46" i="7"/>
  <c r="F46" i="7"/>
  <c r="X45" i="7"/>
  <c r="R45" i="7"/>
  <c r="L45" i="7"/>
  <c r="F45" i="7"/>
  <c r="X44" i="7"/>
  <c r="R44" i="7"/>
  <c r="L44" i="7"/>
  <c r="F44" i="7"/>
  <c r="R33" i="7"/>
  <c r="F33" i="7"/>
  <c r="R32" i="7"/>
  <c r="L32" i="7"/>
  <c r="F32" i="7"/>
  <c r="X31" i="7"/>
  <c r="R31" i="7"/>
  <c r="L31" i="7"/>
  <c r="F31" i="7"/>
  <c r="X30" i="7"/>
  <c r="R30" i="7"/>
  <c r="L30" i="7"/>
  <c r="F30" i="7"/>
  <c r="X29" i="7"/>
  <c r="R29" i="7"/>
  <c r="L29" i="7"/>
  <c r="F29" i="7"/>
  <c r="X28" i="7"/>
  <c r="R28" i="7"/>
  <c r="L28" i="7"/>
  <c r="F28" i="7"/>
  <c r="X27" i="7"/>
  <c r="R27" i="7"/>
  <c r="L27" i="7"/>
  <c r="F27" i="7"/>
  <c r="X26" i="7"/>
  <c r="R26" i="7"/>
  <c r="L26" i="7"/>
  <c r="F26" i="7"/>
  <c r="X25" i="7"/>
  <c r="R25" i="7"/>
  <c r="L25" i="7"/>
  <c r="F25" i="7"/>
  <c r="X24" i="7"/>
  <c r="R24" i="7"/>
  <c r="L24" i="7"/>
  <c r="F24" i="7"/>
  <c r="X23" i="7"/>
  <c r="R23" i="7"/>
  <c r="L23" i="7"/>
  <c r="F23" i="7"/>
  <c r="X22" i="7"/>
  <c r="R22" i="7"/>
  <c r="L22" i="7"/>
  <c r="F22" i="7"/>
  <c r="X21" i="7"/>
  <c r="R21" i="7"/>
  <c r="L21" i="7"/>
  <c r="F21" i="7"/>
  <c r="X20" i="7"/>
  <c r="R20" i="7"/>
  <c r="L20" i="7"/>
  <c r="F20" i="7"/>
  <c r="X19" i="7"/>
  <c r="R19" i="7"/>
  <c r="L19" i="7"/>
  <c r="F19" i="7"/>
  <c r="X18" i="7"/>
  <c r="R18" i="7"/>
  <c r="L18" i="7"/>
  <c r="F18" i="7"/>
  <c r="X17" i="7"/>
  <c r="R17" i="7"/>
  <c r="L17" i="7"/>
  <c r="F17" i="7"/>
  <c r="X16" i="7"/>
  <c r="R16" i="7"/>
  <c r="L16" i="7"/>
  <c r="F16" i="7"/>
  <c r="X15" i="7"/>
  <c r="R15" i="7"/>
  <c r="L15" i="7"/>
  <c r="F15" i="7"/>
  <c r="X14" i="7"/>
  <c r="R14" i="7"/>
  <c r="L14" i="7"/>
  <c r="F14" i="7"/>
  <c r="X13" i="7"/>
  <c r="R13" i="7"/>
  <c r="L13" i="7"/>
  <c r="F13" i="7"/>
  <c r="X12" i="7"/>
  <c r="R12" i="7"/>
  <c r="L12" i="7"/>
  <c r="F12" i="7"/>
  <c r="X11" i="7"/>
  <c r="R11" i="7"/>
  <c r="L11" i="7"/>
  <c r="F11" i="7"/>
  <c r="X10" i="7"/>
  <c r="X32" i="7" s="1"/>
  <c r="R10" i="7"/>
  <c r="L10" i="7"/>
  <c r="F10" i="7"/>
  <c r="F67" i="6"/>
  <c r="F66" i="6"/>
  <c r="L65" i="6"/>
  <c r="F65" i="6"/>
  <c r="L64" i="6"/>
  <c r="F64" i="6"/>
  <c r="L63" i="6"/>
  <c r="F63" i="6"/>
  <c r="L62" i="6"/>
  <c r="F62" i="6"/>
  <c r="L61" i="6"/>
  <c r="F61" i="6"/>
  <c r="L60" i="6"/>
  <c r="F60" i="6"/>
  <c r="L59" i="6"/>
  <c r="F59" i="6"/>
  <c r="L58" i="6"/>
  <c r="F58" i="6"/>
  <c r="L57" i="6"/>
  <c r="F57" i="6"/>
  <c r="L56" i="6"/>
  <c r="F56" i="6"/>
  <c r="L55" i="6"/>
  <c r="F55" i="6"/>
  <c r="L54" i="6"/>
  <c r="F54" i="6"/>
  <c r="L53" i="6"/>
  <c r="F53" i="6"/>
  <c r="L52" i="6"/>
  <c r="F52" i="6"/>
  <c r="L51" i="6"/>
  <c r="F51" i="6"/>
  <c r="L50" i="6"/>
  <c r="F50" i="6"/>
  <c r="L49" i="6"/>
  <c r="F49" i="6"/>
  <c r="L48" i="6"/>
  <c r="F48" i="6"/>
  <c r="L47" i="6"/>
  <c r="F47" i="6"/>
  <c r="L46" i="6"/>
  <c r="F46" i="6"/>
  <c r="L45" i="6"/>
  <c r="F45" i="6"/>
  <c r="L44" i="6"/>
  <c r="F44" i="6"/>
  <c r="R33" i="6"/>
  <c r="F33" i="6"/>
  <c r="R32" i="6"/>
  <c r="F32" i="6"/>
  <c r="X31" i="6"/>
  <c r="R31" i="6"/>
  <c r="L31" i="6"/>
  <c r="F31" i="6"/>
  <c r="X30" i="6"/>
  <c r="R30" i="6"/>
  <c r="L30" i="6"/>
  <c r="F30" i="6"/>
  <c r="X29" i="6"/>
  <c r="R29" i="6"/>
  <c r="L29" i="6"/>
  <c r="F29" i="6"/>
  <c r="X28" i="6"/>
  <c r="R28" i="6"/>
  <c r="L28" i="6"/>
  <c r="F28" i="6"/>
  <c r="X27" i="6"/>
  <c r="R27" i="6"/>
  <c r="L27" i="6"/>
  <c r="F27" i="6"/>
  <c r="X26" i="6"/>
  <c r="R26" i="6"/>
  <c r="L26" i="6"/>
  <c r="F26" i="6"/>
  <c r="X25" i="6"/>
  <c r="R25" i="6"/>
  <c r="L25" i="6"/>
  <c r="F25" i="6"/>
  <c r="X24" i="6"/>
  <c r="R24" i="6"/>
  <c r="L24" i="6"/>
  <c r="F24" i="6"/>
  <c r="X23" i="6"/>
  <c r="R23" i="6"/>
  <c r="L23" i="6"/>
  <c r="F23" i="6"/>
  <c r="X22" i="6"/>
  <c r="R22" i="6"/>
  <c r="L22" i="6"/>
  <c r="F22" i="6"/>
  <c r="X21" i="6"/>
  <c r="R21" i="6"/>
  <c r="L21" i="6"/>
  <c r="F21" i="6"/>
  <c r="X20" i="6"/>
  <c r="R20" i="6"/>
  <c r="L20" i="6"/>
  <c r="F20" i="6"/>
  <c r="X19" i="6"/>
  <c r="R19" i="6"/>
  <c r="L19" i="6"/>
  <c r="F19" i="6"/>
  <c r="X18" i="6"/>
  <c r="R18" i="6"/>
  <c r="L18" i="6"/>
  <c r="F18" i="6"/>
  <c r="X17" i="6"/>
  <c r="R17" i="6"/>
  <c r="L17" i="6"/>
  <c r="F17" i="6"/>
  <c r="X16" i="6"/>
  <c r="X32" i="6" s="1"/>
  <c r="R16" i="6"/>
  <c r="L16" i="6"/>
  <c r="F16" i="6"/>
  <c r="X15" i="6"/>
  <c r="R15" i="6"/>
  <c r="L15" i="6"/>
  <c r="F15" i="6"/>
  <c r="X14" i="6"/>
  <c r="R14" i="6"/>
  <c r="L14" i="6"/>
  <c r="F14" i="6"/>
  <c r="X13" i="6"/>
  <c r="R13" i="6"/>
  <c r="L13" i="6"/>
  <c r="F13" i="6"/>
  <c r="X12" i="6"/>
  <c r="R12" i="6"/>
  <c r="L12" i="6"/>
  <c r="F12" i="6"/>
  <c r="X11" i="6"/>
  <c r="R11" i="6"/>
  <c r="L11" i="6"/>
  <c r="F11" i="6"/>
  <c r="X10" i="6"/>
  <c r="R10" i="6"/>
  <c r="L10" i="6"/>
  <c r="F10" i="6"/>
  <c r="AF3" i="3"/>
  <c r="AB3" i="3"/>
  <c r="Z3" i="3"/>
  <c r="R169" i="3"/>
  <c r="R168" i="3"/>
  <c r="X167" i="3"/>
  <c r="R167" i="3"/>
  <c r="X166" i="3"/>
  <c r="R166" i="3"/>
  <c r="X165" i="3"/>
  <c r="R165" i="3"/>
  <c r="X164" i="3"/>
  <c r="R164" i="3"/>
  <c r="X163" i="3"/>
  <c r="R163" i="3"/>
  <c r="X162" i="3"/>
  <c r="R162" i="3"/>
  <c r="X161" i="3"/>
  <c r="R161" i="3"/>
  <c r="X160" i="3"/>
  <c r="R160" i="3"/>
  <c r="X159" i="3"/>
  <c r="R159" i="3"/>
  <c r="X158" i="3"/>
  <c r="R158" i="3"/>
  <c r="X157" i="3"/>
  <c r="R157" i="3"/>
  <c r="X156" i="3"/>
  <c r="R156" i="3"/>
  <c r="X155" i="3"/>
  <c r="R155" i="3"/>
  <c r="X154" i="3"/>
  <c r="R154" i="3"/>
  <c r="X153" i="3"/>
  <c r="R153" i="3"/>
  <c r="X152" i="3"/>
  <c r="R152" i="3"/>
  <c r="X151" i="3"/>
  <c r="R151" i="3"/>
  <c r="X150" i="3"/>
  <c r="R150" i="3"/>
  <c r="X149" i="3"/>
  <c r="R149" i="3"/>
  <c r="X148" i="3"/>
  <c r="R148" i="3"/>
  <c r="X147" i="3"/>
  <c r="R147" i="3"/>
  <c r="X146" i="3"/>
  <c r="X168" i="3" s="1"/>
  <c r="R146" i="3"/>
  <c r="F169" i="3"/>
  <c r="F168" i="3"/>
  <c r="L167" i="3"/>
  <c r="F167" i="3"/>
  <c r="L166" i="3"/>
  <c r="F166" i="3"/>
  <c r="L165" i="3"/>
  <c r="F165" i="3"/>
  <c r="L164" i="3"/>
  <c r="F164" i="3"/>
  <c r="L163" i="3"/>
  <c r="F163" i="3"/>
  <c r="L162" i="3"/>
  <c r="F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L150" i="3"/>
  <c r="F150" i="3"/>
  <c r="L149" i="3"/>
  <c r="F149" i="3"/>
  <c r="L148" i="3"/>
  <c r="F148" i="3"/>
  <c r="L147" i="3"/>
  <c r="F147" i="3"/>
  <c r="L146" i="3"/>
  <c r="F146" i="3"/>
  <c r="R135" i="3"/>
  <c r="F135" i="3"/>
  <c r="R134" i="3"/>
  <c r="F134" i="3"/>
  <c r="X133" i="3"/>
  <c r="R133" i="3"/>
  <c r="L133" i="3"/>
  <c r="F133" i="3"/>
  <c r="X132" i="3"/>
  <c r="R132" i="3"/>
  <c r="L132" i="3"/>
  <c r="F132" i="3"/>
  <c r="X131" i="3"/>
  <c r="R131" i="3"/>
  <c r="L131" i="3"/>
  <c r="F131" i="3"/>
  <c r="X130" i="3"/>
  <c r="R130" i="3"/>
  <c r="L130" i="3"/>
  <c r="F130" i="3"/>
  <c r="X129" i="3"/>
  <c r="R129" i="3"/>
  <c r="L129" i="3"/>
  <c r="F129" i="3"/>
  <c r="X128" i="3"/>
  <c r="R128" i="3"/>
  <c r="L128" i="3"/>
  <c r="F128" i="3"/>
  <c r="X127" i="3"/>
  <c r="R127" i="3"/>
  <c r="L127" i="3"/>
  <c r="F127" i="3"/>
  <c r="X126" i="3"/>
  <c r="R126" i="3"/>
  <c r="L126" i="3"/>
  <c r="F126" i="3"/>
  <c r="X125" i="3"/>
  <c r="R125" i="3"/>
  <c r="L125" i="3"/>
  <c r="F125" i="3"/>
  <c r="X124" i="3"/>
  <c r="R124" i="3"/>
  <c r="L124" i="3"/>
  <c r="F124" i="3"/>
  <c r="X123" i="3"/>
  <c r="R123" i="3"/>
  <c r="L123" i="3"/>
  <c r="F123" i="3"/>
  <c r="X122" i="3"/>
  <c r="R122" i="3"/>
  <c r="L122" i="3"/>
  <c r="F122" i="3"/>
  <c r="X121" i="3"/>
  <c r="R121" i="3"/>
  <c r="L121" i="3"/>
  <c r="F121" i="3"/>
  <c r="X120" i="3"/>
  <c r="R120" i="3"/>
  <c r="L120" i="3"/>
  <c r="F120" i="3"/>
  <c r="X119" i="3"/>
  <c r="R119" i="3"/>
  <c r="L119" i="3"/>
  <c r="F119" i="3"/>
  <c r="X118" i="3"/>
  <c r="R118" i="3"/>
  <c r="L118" i="3"/>
  <c r="F118" i="3"/>
  <c r="X117" i="3"/>
  <c r="R117" i="3"/>
  <c r="L117" i="3"/>
  <c r="F117" i="3"/>
  <c r="X116" i="3"/>
  <c r="R116" i="3"/>
  <c r="L116" i="3"/>
  <c r="F116" i="3"/>
  <c r="X115" i="3"/>
  <c r="R115" i="3"/>
  <c r="L115" i="3"/>
  <c r="F115" i="3"/>
  <c r="X114" i="3"/>
  <c r="R114" i="3"/>
  <c r="L114" i="3"/>
  <c r="F114" i="3"/>
  <c r="X113" i="3"/>
  <c r="R113" i="3"/>
  <c r="L113" i="3"/>
  <c r="F113" i="3"/>
  <c r="X112" i="3"/>
  <c r="X134" i="3" s="1"/>
  <c r="R112" i="3"/>
  <c r="L112" i="3"/>
  <c r="F112" i="3"/>
  <c r="R101" i="3"/>
  <c r="F101" i="3"/>
  <c r="R100" i="3"/>
  <c r="F100" i="3"/>
  <c r="X99" i="3"/>
  <c r="R99" i="3"/>
  <c r="L99" i="3"/>
  <c r="F99" i="3"/>
  <c r="X98" i="3"/>
  <c r="R98" i="3"/>
  <c r="L98" i="3"/>
  <c r="F98" i="3"/>
  <c r="X97" i="3"/>
  <c r="R97" i="3"/>
  <c r="L97" i="3"/>
  <c r="F97" i="3"/>
  <c r="X96" i="3"/>
  <c r="R96" i="3"/>
  <c r="L96" i="3"/>
  <c r="F96" i="3"/>
  <c r="X95" i="3"/>
  <c r="R95" i="3"/>
  <c r="L95" i="3"/>
  <c r="F95" i="3"/>
  <c r="X94" i="3"/>
  <c r="R94" i="3"/>
  <c r="L94" i="3"/>
  <c r="F94" i="3"/>
  <c r="X93" i="3"/>
  <c r="R93" i="3"/>
  <c r="L93" i="3"/>
  <c r="F93" i="3"/>
  <c r="X92" i="3"/>
  <c r="R92" i="3"/>
  <c r="L92" i="3"/>
  <c r="F92" i="3"/>
  <c r="X91" i="3"/>
  <c r="R91" i="3"/>
  <c r="L91" i="3"/>
  <c r="F91" i="3"/>
  <c r="X90" i="3"/>
  <c r="R90" i="3"/>
  <c r="L90" i="3"/>
  <c r="F90" i="3"/>
  <c r="X89" i="3"/>
  <c r="R89" i="3"/>
  <c r="L89" i="3"/>
  <c r="F89" i="3"/>
  <c r="X88" i="3"/>
  <c r="R88" i="3"/>
  <c r="L88" i="3"/>
  <c r="F88" i="3"/>
  <c r="X87" i="3"/>
  <c r="R87" i="3"/>
  <c r="L87" i="3"/>
  <c r="F87" i="3"/>
  <c r="X86" i="3"/>
  <c r="R86" i="3"/>
  <c r="L86" i="3"/>
  <c r="F86" i="3"/>
  <c r="X85" i="3"/>
  <c r="R85" i="3"/>
  <c r="L85" i="3"/>
  <c r="F85" i="3"/>
  <c r="X84" i="3"/>
  <c r="R84" i="3"/>
  <c r="L84" i="3"/>
  <c r="F84" i="3"/>
  <c r="X83" i="3"/>
  <c r="R83" i="3"/>
  <c r="L83" i="3"/>
  <c r="F83" i="3"/>
  <c r="X82" i="3"/>
  <c r="R82" i="3"/>
  <c r="L82" i="3"/>
  <c r="F82" i="3"/>
  <c r="X81" i="3"/>
  <c r="R81" i="3"/>
  <c r="L81" i="3"/>
  <c r="F81" i="3"/>
  <c r="X80" i="3"/>
  <c r="R80" i="3"/>
  <c r="L80" i="3"/>
  <c r="F80" i="3"/>
  <c r="X79" i="3"/>
  <c r="R79" i="3"/>
  <c r="L79" i="3"/>
  <c r="F79" i="3"/>
  <c r="X78" i="3"/>
  <c r="R78" i="3"/>
  <c r="L78" i="3"/>
  <c r="F78" i="3"/>
  <c r="R67" i="3"/>
  <c r="F67" i="3"/>
  <c r="R66" i="3"/>
  <c r="F66" i="3"/>
  <c r="X65" i="3"/>
  <c r="R65" i="3"/>
  <c r="L65" i="3"/>
  <c r="F65" i="3"/>
  <c r="X64" i="3"/>
  <c r="R64" i="3"/>
  <c r="L64" i="3"/>
  <c r="F64" i="3"/>
  <c r="X63" i="3"/>
  <c r="R63" i="3"/>
  <c r="L63" i="3"/>
  <c r="F63" i="3"/>
  <c r="X62" i="3"/>
  <c r="R62" i="3"/>
  <c r="L62" i="3"/>
  <c r="F62" i="3"/>
  <c r="X61" i="3"/>
  <c r="R61" i="3"/>
  <c r="L61" i="3"/>
  <c r="F61" i="3"/>
  <c r="X60" i="3"/>
  <c r="R60" i="3"/>
  <c r="L60" i="3"/>
  <c r="F60" i="3"/>
  <c r="X59" i="3"/>
  <c r="R59" i="3"/>
  <c r="L59" i="3"/>
  <c r="F59" i="3"/>
  <c r="X58" i="3"/>
  <c r="R58" i="3"/>
  <c r="L58" i="3"/>
  <c r="F58" i="3"/>
  <c r="X57" i="3"/>
  <c r="R57" i="3"/>
  <c r="L57" i="3"/>
  <c r="F57" i="3"/>
  <c r="X56" i="3"/>
  <c r="R56" i="3"/>
  <c r="L56" i="3"/>
  <c r="F56" i="3"/>
  <c r="X55" i="3"/>
  <c r="R55" i="3"/>
  <c r="L55" i="3"/>
  <c r="F55" i="3"/>
  <c r="X54" i="3"/>
  <c r="R54" i="3"/>
  <c r="L54" i="3"/>
  <c r="F54" i="3"/>
  <c r="X53" i="3"/>
  <c r="R53" i="3"/>
  <c r="L53" i="3"/>
  <c r="F53" i="3"/>
  <c r="X52" i="3"/>
  <c r="R52" i="3"/>
  <c r="L52" i="3"/>
  <c r="F52" i="3"/>
  <c r="X51" i="3"/>
  <c r="R51" i="3"/>
  <c r="L51" i="3"/>
  <c r="F51" i="3"/>
  <c r="X50" i="3"/>
  <c r="R50" i="3"/>
  <c r="L50" i="3"/>
  <c r="F50" i="3"/>
  <c r="X49" i="3"/>
  <c r="R49" i="3"/>
  <c r="L49" i="3"/>
  <c r="F49" i="3"/>
  <c r="X48" i="3"/>
  <c r="R48" i="3"/>
  <c r="L48" i="3"/>
  <c r="F48" i="3"/>
  <c r="X47" i="3"/>
  <c r="R47" i="3"/>
  <c r="L47" i="3"/>
  <c r="F47" i="3"/>
  <c r="X46" i="3"/>
  <c r="R46" i="3"/>
  <c r="L46" i="3"/>
  <c r="F46" i="3"/>
  <c r="X45" i="3"/>
  <c r="R45" i="3"/>
  <c r="L45" i="3"/>
  <c r="F45" i="3"/>
  <c r="X44" i="3"/>
  <c r="X66" i="3" s="1"/>
  <c r="R44" i="3"/>
  <c r="R68" i="3" s="1"/>
  <c r="X67" i="3" s="1"/>
  <c r="X68" i="3" s="1"/>
  <c r="L44" i="3"/>
  <c r="F44" i="3"/>
  <c r="R33" i="3"/>
  <c r="F33" i="3"/>
  <c r="R32" i="3"/>
  <c r="L32" i="3"/>
  <c r="F32" i="3"/>
  <c r="X31" i="3"/>
  <c r="R31" i="3"/>
  <c r="L31" i="3"/>
  <c r="F31" i="3"/>
  <c r="X30" i="3"/>
  <c r="R30" i="3"/>
  <c r="L30" i="3"/>
  <c r="F30" i="3"/>
  <c r="X29" i="3"/>
  <c r="R29" i="3"/>
  <c r="L29" i="3"/>
  <c r="F29" i="3"/>
  <c r="X28" i="3"/>
  <c r="R28" i="3"/>
  <c r="L28" i="3"/>
  <c r="F28" i="3"/>
  <c r="X27" i="3"/>
  <c r="R27" i="3"/>
  <c r="L27" i="3"/>
  <c r="F27" i="3"/>
  <c r="X26" i="3"/>
  <c r="R26" i="3"/>
  <c r="L26" i="3"/>
  <c r="F26" i="3"/>
  <c r="X25" i="3"/>
  <c r="R25" i="3"/>
  <c r="L25" i="3"/>
  <c r="F25" i="3"/>
  <c r="X24" i="3"/>
  <c r="R24" i="3"/>
  <c r="L24" i="3"/>
  <c r="F24" i="3"/>
  <c r="X23" i="3"/>
  <c r="R23" i="3"/>
  <c r="L23" i="3"/>
  <c r="F23" i="3"/>
  <c r="X22" i="3"/>
  <c r="R22" i="3"/>
  <c r="L22" i="3"/>
  <c r="F22" i="3"/>
  <c r="X21" i="3"/>
  <c r="R21" i="3"/>
  <c r="L21" i="3"/>
  <c r="F21" i="3"/>
  <c r="X20" i="3"/>
  <c r="R20" i="3"/>
  <c r="L20" i="3"/>
  <c r="F20" i="3"/>
  <c r="X19" i="3"/>
  <c r="R19" i="3"/>
  <c r="L19" i="3"/>
  <c r="F19" i="3"/>
  <c r="X18" i="3"/>
  <c r="R18" i="3"/>
  <c r="L18" i="3"/>
  <c r="F18" i="3"/>
  <c r="X17" i="3"/>
  <c r="R17" i="3"/>
  <c r="L17" i="3"/>
  <c r="F17" i="3"/>
  <c r="X16" i="3"/>
  <c r="R16" i="3"/>
  <c r="L16" i="3"/>
  <c r="F16" i="3"/>
  <c r="X15" i="3"/>
  <c r="R15" i="3"/>
  <c r="L15" i="3"/>
  <c r="F15" i="3"/>
  <c r="X14" i="3"/>
  <c r="R14" i="3"/>
  <c r="L14" i="3"/>
  <c r="F14" i="3"/>
  <c r="X13" i="3"/>
  <c r="R13" i="3"/>
  <c r="L13" i="3"/>
  <c r="F13" i="3"/>
  <c r="X12" i="3"/>
  <c r="X32" i="3" s="1"/>
  <c r="R12" i="3"/>
  <c r="L12" i="3"/>
  <c r="F12" i="3"/>
  <c r="X11" i="3"/>
  <c r="R11" i="3"/>
  <c r="L11" i="3"/>
  <c r="F11" i="3"/>
  <c r="X10" i="3"/>
  <c r="R10" i="3"/>
  <c r="L10" i="3"/>
  <c r="F10" i="3"/>
  <c r="AF3" i="1"/>
  <c r="AB3" i="1"/>
  <c r="Z3" i="1"/>
  <c r="X66" i="7" l="1"/>
  <c r="F68" i="7"/>
  <c r="L67" i="7" s="1"/>
  <c r="R34" i="6"/>
  <c r="X33" i="6" s="1"/>
  <c r="X34" i="6" s="1"/>
  <c r="AB3" i="8"/>
  <c r="F68" i="8"/>
  <c r="L67" i="8" s="1"/>
  <c r="L68" i="8" s="1"/>
  <c r="X32" i="8"/>
  <c r="R34" i="8"/>
  <c r="X33" i="8" s="1"/>
  <c r="F34" i="8"/>
  <c r="L168" i="7"/>
  <c r="L170" i="7" s="1"/>
  <c r="L134" i="7"/>
  <c r="F136" i="7"/>
  <c r="L135" i="7" s="1"/>
  <c r="F102" i="7"/>
  <c r="L101" i="7" s="1"/>
  <c r="L100" i="7"/>
  <c r="R68" i="7"/>
  <c r="X67" i="7" s="1"/>
  <c r="X68" i="7" s="1"/>
  <c r="L66" i="7"/>
  <c r="L68" i="7" s="1"/>
  <c r="R34" i="7"/>
  <c r="X33" i="7" s="1"/>
  <c r="X34" i="7" s="1"/>
  <c r="F34" i="7"/>
  <c r="L33" i="7" s="1"/>
  <c r="L34" i="7" s="1"/>
  <c r="L66" i="6"/>
  <c r="F68" i="6"/>
  <c r="L67" i="6" s="1"/>
  <c r="L68" i="6" s="1"/>
  <c r="F34" i="6"/>
  <c r="L33" i="6" s="1"/>
  <c r="L34" i="6" s="1"/>
  <c r="X136" i="7"/>
  <c r="R170" i="3"/>
  <c r="X169" i="3" s="1"/>
  <c r="X170" i="3" s="1"/>
  <c r="X100" i="3"/>
  <c r="R102" i="3"/>
  <c r="X101" i="3" s="1"/>
  <c r="X102" i="3" s="1"/>
  <c r="L66" i="3"/>
  <c r="F68" i="3"/>
  <c r="L67" i="3" s="1"/>
  <c r="R34" i="3"/>
  <c r="X33" i="3" s="1"/>
  <c r="X34" i="3" s="1"/>
  <c r="L168" i="3"/>
  <c r="F170" i="3"/>
  <c r="L169" i="3" s="1"/>
  <c r="R136" i="3"/>
  <c r="X135" i="3" s="1"/>
  <c r="X136" i="3" s="1"/>
  <c r="L134" i="3"/>
  <c r="F136" i="3"/>
  <c r="L135" i="3" s="1"/>
  <c r="F102" i="3"/>
  <c r="L101" i="3" s="1"/>
  <c r="L100" i="3"/>
  <c r="F34" i="3"/>
  <c r="L33" i="3" s="1"/>
  <c r="L34" i="3" s="1"/>
  <c r="L102" i="7" l="1"/>
  <c r="X34" i="8"/>
  <c r="Z3" i="8"/>
  <c r="L33" i="8"/>
  <c r="L34" i="8" s="1"/>
  <c r="L136" i="7"/>
  <c r="Z3" i="7"/>
  <c r="Z3" i="6"/>
  <c r="AF3" i="6"/>
  <c r="L68" i="3"/>
  <c r="L170" i="3"/>
  <c r="L136" i="3"/>
  <c r="L102" i="3"/>
  <c r="AF3" i="8" l="1"/>
  <c r="AF3" i="7"/>
  <c r="AF3" i="2"/>
  <c r="AB3" i="2"/>
  <c r="Z3" i="2"/>
  <c r="F169" i="2"/>
  <c r="F168" i="2"/>
  <c r="L167" i="2"/>
  <c r="F167" i="2"/>
  <c r="L166" i="2"/>
  <c r="F166" i="2"/>
  <c r="L165" i="2"/>
  <c r="F165" i="2"/>
  <c r="L164" i="2"/>
  <c r="F164" i="2"/>
  <c r="L163" i="2"/>
  <c r="F163" i="2"/>
  <c r="L162" i="2"/>
  <c r="F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L150" i="2"/>
  <c r="F150" i="2"/>
  <c r="L149" i="2"/>
  <c r="F149" i="2"/>
  <c r="L148" i="2"/>
  <c r="F148" i="2"/>
  <c r="L147" i="2"/>
  <c r="F147" i="2"/>
  <c r="L146" i="2"/>
  <c r="F146" i="2"/>
  <c r="R135" i="2"/>
  <c r="F135" i="2"/>
  <c r="R134" i="2"/>
  <c r="F134" i="2"/>
  <c r="X133" i="2"/>
  <c r="R133" i="2"/>
  <c r="L133" i="2"/>
  <c r="F133" i="2"/>
  <c r="X132" i="2"/>
  <c r="R132" i="2"/>
  <c r="L132" i="2"/>
  <c r="F132" i="2"/>
  <c r="X131" i="2"/>
  <c r="R131" i="2"/>
  <c r="L131" i="2"/>
  <c r="F131" i="2"/>
  <c r="X130" i="2"/>
  <c r="R130" i="2"/>
  <c r="L130" i="2"/>
  <c r="F130" i="2"/>
  <c r="X129" i="2"/>
  <c r="R129" i="2"/>
  <c r="L129" i="2"/>
  <c r="F129" i="2"/>
  <c r="X128" i="2"/>
  <c r="R128" i="2"/>
  <c r="L128" i="2"/>
  <c r="F128" i="2"/>
  <c r="X127" i="2"/>
  <c r="R127" i="2"/>
  <c r="L127" i="2"/>
  <c r="F127" i="2"/>
  <c r="X126" i="2"/>
  <c r="R126" i="2"/>
  <c r="L126" i="2"/>
  <c r="F126" i="2"/>
  <c r="X125" i="2"/>
  <c r="R125" i="2"/>
  <c r="L125" i="2"/>
  <c r="F125" i="2"/>
  <c r="X124" i="2"/>
  <c r="R124" i="2"/>
  <c r="L124" i="2"/>
  <c r="F124" i="2"/>
  <c r="X123" i="2"/>
  <c r="R123" i="2"/>
  <c r="L123" i="2"/>
  <c r="F123" i="2"/>
  <c r="X122" i="2"/>
  <c r="R122" i="2"/>
  <c r="L122" i="2"/>
  <c r="F122" i="2"/>
  <c r="X121" i="2"/>
  <c r="R121" i="2"/>
  <c r="L121" i="2"/>
  <c r="F121" i="2"/>
  <c r="X120" i="2"/>
  <c r="R120" i="2"/>
  <c r="L120" i="2"/>
  <c r="F120" i="2"/>
  <c r="X119" i="2"/>
  <c r="R119" i="2"/>
  <c r="L119" i="2"/>
  <c r="F119" i="2"/>
  <c r="X118" i="2"/>
  <c r="R118" i="2"/>
  <c r="L118" i="2"/>
  <c r="F118" i="2"/>
  <c r="X117" i="2"/>
  <c r="R117" i="2"/>
  <c r="L117" i="2"/>
  <c r="F117" i="2"/>
  <c r="X116" i="2"/>
  <c r="R116" i="2"/>
  <c r="L116" i="2"/>
  <c r="F116" i="2"/>
  <c r="X115" i="2"/>
  <c r="R115" i="2"/>
  <c r="L115" i="2"/>
  <c r="F115" i="2"/>
  <c r="X114" i="2"/>
  <c r="R114" i="2"/>
  <c r="L114" i="2"/>
  <c r="F114" i="2"/>
  <c r="X113" i="2"/>
  <c r="R113" i="2"/>
  <c r="L113" i="2"/>
  <c r="F113" i="2"/>
  <c r="X112" i="2"/>
  <c r="X134" i="2" s="1"/>
  <c r="R112" i="2"/>
  <c r="L112" i="2"/>
  <c r="F112" i="2"/>
  <c r="R101" i="2"/>
  <c r="F101" i="2"/>
  <c r="R100" i="2"/>
  <c r="F100" i="2"/>
  <c r="X99" i="2"/>
  <c r="R99" i="2"/>
  <c r="L99" i="2"/>
  <c r="F99" i="2"/>
  <c r="X98" i="2"/>
  <c r="R98" i="2"/>
  <c r="L98" i="2"/>
  <c r="F98" i="2"/>
  <c r="X97" i="2"/>
  <c r="R97" i="2"/>
  <c r="L97" i="2"/>
  <c r="F97" i="2"/>
  <c r="X96" i="2"/>
  <c r="R96" i="2"/>
  <c r="L96" i="2"/>
  <c r="F96" i="2"/>
  <c r="X95" i="2"/>
  <c r="R95" i="2"/>
  <c r="L95" i="2"/>
  <c r="F95" i="2"/>
  <c r="X94" i="2"/>
  <c r="R94" i="2"/>
  <c r="L94" i="2"/>
  <c r="F94" i="2"/>
  <c r="X93" i="2"/>
  <c r="R93" i="2"/>
  <c r="L93" i="2"/>
  <c r="F93" i="2"/>
  <c r="X92" i="2"/>
  <c r="R92" i="2"/>
  <c r="L92" i="2"/>
  <c r="F92" i="2"/>
  <c r="X91" i="2"/>
  <c r="R91" i="2"/>
  <c r="L91" i="2"/>
  <c r="F91" i="2"/>
  <c r="X90" i="2"/>
  <c r="R90" i="2"/>
  <c r="L90" i="2"/>
  <c r="F90" i="2"/>
  <c r="X89" i="2"/>
  <c r="R89" i="2"/>
  <c r="L89" i="2"/>
  <c r="F89" i="2"/>
  <c r="X88" i="2"/>
  <c r="R88" i="2"/>
  <c r="L88" i="2"/>
  <c r="F88" i="2"/>
  <c r="X87" i="2"/>
  <c r="R87" i="2"/>
  <c r="L87" i="2"/>
  <c r="F87" i="2"/>
  <c r="X86" i="2"/>
  <c r="R86" i="2"/>
  <c r="L86" i="2"/>
  <c r="F86" i="2"/>
  <c r="X85" i="2"/>
  <c r="R85" i="2"/>
  <c r="L85" i="2"/>
  <c r="F85" i="2"/>
  <c r="X84" i="2"/>
  <c r="R84" i="2"/>
  <c r="L84" i="2"/>
  <c r="F84" i="2"/>
  <c r="X83" i="2"/>
  <c r="R83" i="2"/>
  <c r="L83" i="2"/>
  <c r="F83" i="2"/>
  <c r="X82" i="2"/>
  <c r="R82" i="2"/>
  <c r="L82" i="2"/>
  <c r="F82" i="2"/>
  <c r="X81" i="2"/>
  <c r="R81" i="2"/>
  <c r="L81" i="2"/>
  <c r="F81" i="2"/>
  <c r="X80" i="2"/>
  <c r="R80" i="2"/>
  <c r="L80" i="2"/>
  <c r="F80" i="2"/>
  <c r="X79" i="2"/>
  <c r="R79" i="2"/>
  <c r="L79" i="2"/>
  <c r="F79" i="2"/>
  <c r="X78" i="2"/>
  <c r="R78" i="2"/>
  <c r="R102" i="2" s="1"/>
  <c r="X101" i="2" s="1"/>
  <c r="L78" i="2"/>
  <c r="F78" i="2"/>
  <c r="R67" i="2"/>
  <c r="F67" i="2"/>
  <c r="R66" i="2"/>
  <c r="F66" i="2"/>
  <c r="X65" i="2"/>
  <c r="R65" i="2"/>
  <c r="L65" i="2"/>
  <c r="F65" i="2"/>
  <c r="X64" i="2"/>
  <c r="R64" i="2"/>
  <c r="L64" i="2"/>
  <c r="F64" i="2"/>
  <c r="X63" i="2"/>
  <c r="R63" i="2"/>
  <c r="L63" i="2"/>
  <c r="F63" i="2"/>
  <c r="X62" i="2"/>
  <c r="R62" i="2"/>
  <c r="L62" i="2"/>
  <c r="F62" i="2"/>
  <c r="X61" i="2"/>
  <c r="R61" i="2"/>
  <c r="L61" i="2"/>
  <c r="F61" i="2"/>
  <c r="X60" i="2"/>
  <c r="R60" i="2"/>
  <c r="L60" i="2"/>
  <c r="F60" i="2"/>
  <c r="X59" i="2"/>
  <c r="R59" i="2"/>
  <c r="L59" i="2"/>
  <c r="F59" i="2"/>
  <c r="X58" i="2"/>
  <c r="R58" i="2"/>
  <c r="L58" i="2"/>
  <c r="F58" i="2"/>
  <c r="X57" i="2"/>
  <c r="R57" i="2"/>
  <c r="L57" i="2"/>
  <c r="F57" i="2"/>
  <c r="X56" i="2"/>
  <c r="R56" i="2"/>
  <c r="L56" i="2"/>
  <c r="F56" i="2"/>
  <c r="X55" i="2"/>
  <c r="R55" i="2"/>
  <c r="L55" i="2"/>
  <c r="F55" i="2"/>
  <c r="X54" i="2"/>
  <c r="R54" i="2"/>
  <c r="L54" i="2"/>
  <c r="F54" i="2"/>
  <c r="X53" i="2"/>
  <c r="R53" i="2"/>
  <c r="L53" i="2"/>
  <c r="F53" i="2"/>
  <c r="X52" i="2"/>
  <c r="R52" i="2"/>
  <c r="L52" i="2"/>
  <c r="F52" i="2"/>
  <c r="X51" i="2"/>
  <c r="R51" i="2"/>
  <c r="L51" i="2"/>
  <c r="F51" i="2"/>
  <c r="X50" i="2"/>
  <c r="R50" i="2"/>
  <c r="L50" i="2"/>
  <c r="F50" i="2"/>
  <c r="X49" i="2"/>
  <c r="R49" i="2"/>
  <c r="L49" i="2"/>
  <c r="F49" i="2"/>
  <c r="X48" i="2"/>
  <c r="R48" i="2"/>
  <c r="L48" i="2"/>
  <c r="F48" i="2"/>
  <c r="X47" i="2"/>
  <c r="R47" i="2"/>
  <c r="L47" i="2"/>
  <c r="F47" i="2"/>
  <c r="X46" i="2"/>
  <c r="R46" i="2"/>
  <c r="L46" i="2"/>
  <c r="F46" i="2"/>
  <c r="X45" i="2"/>
  <c r="R45" i="2"/>
  <c r="L45" i="2"/>
  <c r="F45" i="2"/>
  <c r="X44" i="2"/>
  <c r="X66" i="2" s="1"/>
  <c r="R44" i="2"/>
  <c r="L44" i="2"/>
  <c r="F44" i="2"/>
  <c r="R33" i="2"/>
  <c r="F33" i="2"/>
  <c r="R32" i="2"/>
  <c r="L32" i="2"/>
  <c r="F32" i="2"/>
  <c r="X31" i="2"/>
  <c r="R31" i="2"/>
  <c r="L31" i="2"/>
  <c r="F31" i="2"/>
  <c r="X30" i="2"/>
  <c r="R30" i="2"/>
  <c r="L30" i="2"/>
  <c r="F30" i="2"/>
  <c r="X29" i="2"/>
  <c r="R29" i="2"/>
  <c r="L29" i="2"/>
  <c r="F29" i="2"/>
  <c r="X28" i="2"/>
  <c r="R28" i="2"/>
  <c r="L28" i="2"/>
  <c r="F28" i="2"/>
  <c r="X27" i="2"/>
  <c r="R27" i="2"/>
  <c r="L27" i="2"/>
  <c r="F27" i="2"/>
  <c r="X26" i="2"/>
  <c r="R26" i="2"/>
  <c r="L26" i="2"/>
  <c r="F26" i="2"/>
  <c r="X25" i="2"/>
  <c r="R25" i="2"/>
  <c r="L25" i="2"/>
  <c r="F25" i="2"/>
  <c r="X24" i="2"/>
  <c r="R24" i="2"/>
  <c r="L24" i="2"/>
  <c r="F24" i="2"/>
  <c r="X23" i="2"/>
  <c r="R23" i="2"/>
  <c r="L23" i="2"/>
  <c r="F23" i="2"/>
  <c r="X22" i="2"/>
  <c r="R22" i="2"/>
  <c r="L22" i="2"/>
  <c r="F22" i="2"/>
  <c r="X21" i="2"/>
  <c r="R21" i="2"/>
  <c r="L21" i="2"/>
  <c r="F21" i="2"/>
  <c r="X20" i="2"/>
  <c r="R20" i="2"/>
  <c r="L20" i="2"/>
  <c r="F20" i="2"/>
  <c r="X19" i="2"/>
  <c r="R19" i="2"/>
  <c r="L19" i="2"/>
  <c r="F19" i="2"/>
  <c r="X18" i="2"/>
  <c r="R18" i="2"/>
  <c r="L18" i="2"/>
  <c r="F18" i="2"/>
  <c r="X17" i="2"/>
  <c r="R17" i="2"/>
  <c r="L17" i="2"/>
  <c r="F17" i="2"/>
  <c r="X16" i="2"/>
  <c r="R16" i="2"/>
  <c r="L16" i="2"/>
  <c r="F16" i="2"/>
  <c r="X15" i="2"/>
  <c r="R15" i="2"/>
  <c r="L15" i="2"/>
  <c r="F15" i="2"/>
  <c r="X14" i="2"/>
  <c r="R14" i="2"/>
  <c r="L14" i="2"/>
  <c r="F14" i="2"/>
  <c r="X13" i="2"/>
  <c r="R13" i="2"/>
  <c r="L13" i="2"/>
  <c r="F13" i="2"/>
  <c r="X12" i="2"/>
  <c r="R12" i="2"/>
  <c r="L12" i="2"/>
  <c r="F12" i="2"/>
  <c r="X11" i="2"/>
  <c r="R11" i="2"/>
  <c r="L11" i="2"/>
  <c r="F11" i="2"/>
  <c r="X10" i="2"/>
  <c r="R10" i="2"/>
  <c r="L10" i="2"/>
  <c r="F10" i="2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44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10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44" i="1"/>
  <c r="L45" i="1"/>
  <c r="L46" i="1"/>
  <c r="L47" i="1"/>
  <c r="C54" i="1"/>
  <c r="F54" i="1" s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34" i="1" s="1"/>
  <c r="X33" i="1" s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170" i="2" l="1"/>
  <c r="L169" i="2" s="1"/>
  <c r="L168" i="2"/>
  <c r="L134" i="2"/>
  <c r="R136" i="2"/>
  <c r="X135" i="2" s="1"/>
  <c r="X136" i="2" s="1"/>
  <c r="F136" i="2"/>
  <c r="L135" i="2" s="1"/>
  <c r="X100" i="2"/>
  <c r="X102" i="2" s="1"/>
  <c r="L100" i="2"/>
  <c r="F102" i="2"/>
  <c r="L101" i="2" s="1"/>
  <c r="L102" i="2" s="1"/>
  <c r="R68" i="2"/>
  <c r="X67" i="2" s="1"/>
  <c r="X68" i="2" s="1"/>
  <c r="L66" i="2"/>
  <c r="F68" i="2"/>
  <c r="L67" i="2" s="1"/>
  <c r="L68" i="2" s="1"/>
  <c r="X32" i="2"/>
  <c r="R34" i="2"/>
  <c r="X33" i="2" s="1"/>
  <c r="F34" i="2"/>
  <c r="L33" i="2" s="1"/>
  <c r="L34" i="2" s="1"/>
  <c r="X32" i="1"/>
  <c r="X34" i="1" s="1"/>
  <c r="X66" i="1"/>
  <c r="R68" i="1"/>
  <c r="X67" i="1" s="1"/>
  <c r="L66" i="1"/>
  <c r="F68" i="1"/>
  <c r="L67" i="1" s="1"/>
  <c r="L170" i="2" l="1"/>
  <c r="L136" i="2"/>
  <c r="X34" i="2"/>
  <c r="X68" i="1"/>
  <c r="L68" i="1"/>
  <c r="F33" i="1" l="1"/>
  <c r="F19" i="1"/>
  <c r="F11" i="1"/>
  <c r="F12" i="1"/>
  <c r="F13" i="1"/>
  <c r="F14" i="1"/>
  <c r="F15" i="1"/>
  <c r="F16" i="1"/>
  <c r="F17" i="1"/>
  <c r="F18" i="1"/>
  <c r="F10" i="1"/>
  <c r="F34" i="1" l="1"/>
  <c r="L33" i="1" s="1"/>
  <c r="L34" i="1" s="1"/>
</calcChain>
</file>

<file path=xl/sharedStrings.xml><?xml version="1.0" encoding="utf-8"?>
<sst xmlns="http://schemas.openxmlformats.org/spreadsheetml/2006/main" count="1625" uniqueCount="135">
  <si>
    <t xml:space="preserve">SALES INVOICE: </t>
  </si>
  <si>
    <t>CUSTOMER'S NAME:</t>
  </si>
  <si>
    <t>ADDRESS:</t>
  </si>
  <si>
    <t>DATE:</t>
  </si>
  <si>
    <t>CONTENTS DELIVERED</t>
  </si>
  <si>
    <t>SKU</t>
  </si>
  <si>
    <t>QTY.</t>
  </si>
  <si>
    <t>UNIT</t>
  </si>
  <si>
    <t>UNIT PRICE</t>
  </si>
  <si>
    <t>AMOUNT</t>
  </si>
  <si>
    <t>RH1000</t>
  </si>
  <si>
    <t>RH500</t>
  </si>
  <si>
    <t>RH330</t>
  </si>
  <si>
    <t>PP1000</t>
  </si>
  <si>
    <t>PP320</t>
  </si>
  <si>
    <t>SML330</t>
  </si>
  <si>
    <t>FB330</t>
  </si>
  <si>
    <t>MHT</t>
  </si>
  <si>
    <t>CALI</t>
  </si>
  <si>
    <t>TOTAL AMOUNT DUE:</t>
  </si>
  <si>
    <t>EXTRA CONTAINERS</t>
  </si>
  <si>
    <t>RETURNED</t>
  </si>
  <si>
    <t>DELIVERED</t>
  </si>
  <si>
    <t>AMOUNT OF EXTRA CONTAINERS</t>
  </si>
  <si>
    <t>AMOUNT OF CONTENTS DELIVERED</t>
  </si>
  <si>
    <t>TOTAL INVOICE AMOUNT</t>
  </si>
  <si>
    <t>CALI CAN</t>
  </si>
  <si>
    <t>DISCOUNT</t>
  </si>
  <si>
    <t>LESS DISCOUNT</t>
  </si>
  <si>
    <t>GUILLERMO BEVERAGE DISTRIBUTION SERVICES</t>
  </si>
  <si>
    <t>0008637</t>
  </si>
  <si>
    <t>JEZELLE STORE</t>
  </si>
  <si>
    <t>01-21-2026</t>
  </si>
  <si>
    <t>POB, SIAYAN</t>
  </si>
  <si>
    <t>0008638</t>
  </si>
  <si>
    <t>BALAMBAN STORE</t>
  </si>
  <si>
    <t>GUNYAN, SIAYAN</t>
  </si>
  <si>
    <t>0008639</t>
  </si>
  <si>
    <t>BALWARTE</t>
  </si>
  <si>
    <t>DISUD, SINDANGAN</t>
  </si>
  <si>
    <t>RHSL1000</t>
  </si>
  <si>
    <t>SMLC/PPC/</t>
  </si>
  <si>
    <t>RHL/PL</t>
  </si>
  <si>
    <t>ROUTE #</t>
  </si>
  <si>
    <t>DSP</t>
  </si>
  <si>
    <t>DRIVER</t>
  </si>
  <si>
    <t>TRUCKMAN</t>
  </si>
  <si>
    <t>PORMENTO, ESTEMARK</t>
  </si>
  <si>
    <t>SALIG, JULIVEN</t>
  </si>
  <si>
    <t>BAOC, PRECILLANO</t>
  </si>
  <si>
    <t>LOPEZ, GINA GRACE</t>
  </si>
  <si>
    <t>ENCLONAR, JEROME</t>
  </si>
  <si>
    <t>SALIG, JOVANI</t>
  </si>
  <si>
    <t>0008581</t>
  </si>
  <si>
    <t>CRYSTAL STORE</t>
  </si>
  <si>
    <t>MARAS, SINDANGAN</t>
  </si>
  <si>
    <t>0008582</t>
  </si>
  <si>
    <t>MITCHEL STORE</t>
  </si>
  <si>
    <t>01-21-206</t>
  </si>
  <si>
    <t>0008583</t>
  </si>
  <si>
    <t>DON STORE</t>
  </si>
  <si>
    <t>LEIZEL</t>
  </si>
  <si>
    <t>0008584</t>
  </si>
  <si>
    <t>0008585</t>
  </si>
  <si>
    <t>BBS</t>
  </si>
  <si>
    <t>POB, BACUNGAN</t>
  </si>
  <si>
    <t>MHT BOTT</t>
  </si>
  <si>
    <t>0008586</t>
  </si>
  <si>
    <t>AGAN STORE</t>
  </si>
  <si>
    <t>PP BOTT.</t>
  </si>
  <si>
    <t>0008587</t>
  </si>
  <si>
    <t>MAMAC STORE</t>
  </si>
  <si>
    <t>TALINGA, SINDANGAN</t>
  </si>
  <si>
    <t>0008589</t>
  </si>
  <si>
    <t>BAYBAYAN STORE</t>
  </si>
  <si>
    <t>DATU TANGKILAN, SINDANGAN</t>
  </si>
  <si>
    <t>PROMO</t>
  </si>
  <si>
    <t>AMOUNT DUE</t>
  </si>
  <si>
    <t>DANDAYO, RONNEL</t>
  </si>
  <si>
    <t>ARANCES, MARIO</t>
  </si>
  <si>
    <t>GOMORA, JURLAN</t>
  </si>
  <si>
    <t>0008517</t>
  </si>
  <si>
    <t>PABUAYA, VIRGINIA</t>
  </si>
  <si>
    <t>POB, SALUG</t>
  </si>
  <si>
    <t>0008518</t>
  </si>
  <si>
    <t>0008519</t>
  </si>
  <si>
    <t>DOD'S MIRACLE</t>
  </si>
  <si>
    <t>PL</t>
  </si>
  <si>
    <t>HT</t>
  </si>
  <si>
    <t>0008520</t>
  </si>
  <si>
    <t>RAYMOND ABRIOL</t>
  </si>
  <si>
    <t>0008521</t>
  </si>
  <si>
    <t>MIRACLE BEB'S</t>
  </si>
  <si>
    <t>0008522</t>
  </si>
  <si>
    <t>VILMA TAGULOB</t>
  </si>
  <si>
    <t>0008523</t>
  </si>
  <si>
    <t>ELMY COMENDADOR</t>
  </si>
  <si>
    <t>0008524</t>
  </si>
  <si>
    <t>INDAY STORE</t>
  </si>
  <si>
    <t>CANAWAN, SALUG</t>
  </si>
  <si>
    <t>0008525</t>
  </si>
  <si>
    <t>JERIEL LAGARE</t>
  </si>
  <si>
    <t>0008526</t>
  </si>
  <si>
    <t>ROEL DIVINO</t>
  </si>
  <si>
    <t>LIPAKAN, SALUG</t>
  </si>
  <si>
    <t>0008640</t>
  </si>
  <si>
    <t>CATIG'S VARIETY STORE</t>
  </si>
  <si>
    <t>01-22-2026</t>
  </si>
  <si>
    <t>0008641</t>
  </si>
  <si>
    <t>KRYSTEL DAWN</t>
  </si>
  <si>
    <t>POB, SINDANGAN</t>
  </si>
  <si>
    <t>0008642</t>
  </si>
  <si>
    <t>CHONA STORE</t>
  </si>
  <si>
    <t>0008590</t>
  </si>
  <si>
    <t>ALBERT STORE</t>
  </si>
  <si>
    <t>GOLEO, SINDANGAN</t>
  </si>
  <si>
    <t>0008591</t>
  </si>
  <si>
    <t>SARAH STORE</t>
  </si>
  <si>
    <t>01-22-206</t>
  </si>
  <si>
    <t>0008592</t>
  </si>
  <si>
    <t>KAN-ANAN SA HIGHWAY</t>
  </si>
  <si>
    <t>TALINGA, BACUNGAN</t>
  </si>
  <si>
    <t>0008593</t>
  </si>
  <si>
    <t>ELUMBA STORE</t>
  </si>
  <si>
    <t>0008594</t>
  </si>
  <si>
    <t>PATRICIO STORE</t>
  </si>
  <si>
    <t>PP</t>
  </si>
  <si>
    <t>0008527</t>
  </si>
  <si>
    <t>BILLY PLAZA</t>
  </si>
  <si>
    <t>BAYBAY, LILOY</t>
  </si>
  <si>
    <t>0008528</t>
  </si>
  <si>
    <t>OWENA INSONG</t>
  </si>
  <si>
    <t>0008529</t>
  </si>
  <si>
    <t>YAKENS TORE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</si>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</sst>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3" fillId="2" borderId="0" xfId="0" applyFont="1" applyFill="1"/>
    <xf numFmtId="43" fontId="0" fillId="0" borderId="0" xfId="1" applyFont="1"/>
    <xf numFmtId="43" fontId="0" fillId="0" borderId="0" xfId="0" applyNumberFormat="1"/>
    <xf numFmtId="43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/>
    <xf numFmtId="43" fontId="2" fillId="0" borderId="0" xfId="1" applyFont="1"/>
    <xf numFmtId="0" fontId="0" fillId="3" borderId="0" xfId="0" applyFill="1"/>
    <xf numFmtId="0" fontId="5" fillId="3" borderId="0" xfId="0" applyFont="1" applyFill="1"/>
    <xf numFmtId="0" fontId="6" fillId="0" borderId="0" xfId="0" applyFont="1"/>
    <xf numFmtId="43" fontId="2" fillId="4" borderId="0" xfId="0" applyNumberFormat="1" applyFont="1" applyFill="1"/>
    <xf numFmtId="43" fontId="2" fillId="5" borderId="0" xfId="0" applyNumberFormat="1" applyFont="1" applyFill="1"/>
    <xf numFmtId="0" fontId="0" fillId="4" borderId="0" xfId="0" applyFill="1"/>
    <xf numFmtId="0" fontId="0" fillId="6" borderId="0" xfId="0" applyFill="1"/>
    <xf numFmtId="0" fontId="0" fillId="7" borderId="0" xfId="0" applyFill="1"/>
    <xf numFmtId="0" fontId="0" fillId="5" borderId="0" xfId="0" applyFill="1"/>
    <xf numFmtId="0" fontId="0" fillId="0" borderId="0" xfId="0" applyFill="1"/>
    <xf numFmtId="43" fontId="0" fillId="0" borderId="0" xfId="0" applyNumberFormat="1" applyFill="1"/>
    <xf numFmtId="0" fontId="0" fillId="0" borderId="0" xfId="0" applyAlignment="1">
      <alignment horizontal="righ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5" fillId="0" borderId="0" xfId="0" applyFont="1" applyFill="1"/>
    <xf numFmtId="0" fontId="0" fillId="0" borderId="0" xfId="0" applyFill="1" applyAlignment="1">
      <alignment horizontal="right" vertical="center"/>
    </xf>
    <xf numFmtId="49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3" fontId="0" fillId="0" borderId="0" xfId="1" applyFont="1" applyFill="1"/>
    <xf numFmtId="0" fontId="2" fillId="0" borderId="0" xfId="0" applyFont="1" applyFill="1" applyAlignment="1">
      <alignment horizontal="left" vertical="center"/>
    </xf>
    <xf numFmtId="43" fontId="2" fillId="0" borderId="0" xfId="1" applyFont="1" applyFill="1"/>
    <xf numFmtId="0" fontId="2" fillId="0" borderId="0" xfId="0" applyFont="1" applyFill="1" applyAlignment="1">
      <alignment horizontal="center"/>
    </xf>
    <xf numFmtId="0" fontId="2" fillId="0" borderId="0" xfId="0" applyFont="1" applyFill="1" applyAlignment="1"/>
    <xf numFmtId="0" fontId="2" fillId="0" borderId="0" xfId="0" applyFont="1" applyFill="1"/>
    <xf numFmtId="43" fontId="2" fillId="0" borderId="0" xfId="0" applyNumberFormat="1" applyFont="1" applyFill="1"/>
    <xf numFmtId="0" fontId="2" fillId="0" borderId="0" xfId="0" applyFont="1" applyFill="1" applyAlignment="1">
      <alignment horizontal="right"/>
    </xf>
    <xf numFmtId="0" fontId="6" fillId="0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5B81-D0B9-4EC8-B8BF-DE1FD3C0EDE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65EA2-9CD3-4CDD-A9ED-11B501E5E2B1}">
  <dimension ref="B1:AF68"/>
  <sheetViews>
    <sheetView workbookViewId="0">
      <selection activeCell="AF4" sqref="AF4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30</v>
      </c>
      <c r="E3" s="22"/>
      <c r="F3" s="22"/>
      <c r="H3" s="21" t="s">
        <v>43</v>
      </c>
      <c r="I3" s="21"/>
      <c r="J3">
        <v>1</v>
      </c>
      <c r="N3" s="21" t="s">
        <v>0</v>
      </c>
      <c r="O3" s="21"/>
      <c r="P3" s="22" t="s">
        <v>34</v>
      </c>
      <c r="Q3" s="22"/>
      <c r="R3" s="22"/>
      <c r="T3" s="21" t="s">
        <v>43</v>
      </c>
      <c r="U3" s="21"/>
      <c r="V3">
        <v>1</v>
      </c>
      <c r="Z3" s="3">
        <f>F34+R34+F68</f>
        <v>422426</v>
      </c>
      <c r="AB3">
        <f>R33</f>
        <v>-2802</v>
      </c>
      <c r="AF3" s="3">
        <f>L34+X34+L68</f>
        <v>377849</v>
      </c>
    </row>
    <row r="4" spans="2:32" x14ac:dyDescent="0.25">
      <c r="B4" s="21" t="s">
        <v>1</v>
      </c>
      <c r="C4" s="21"/>
      <c r="D4" s="23" t="s">
        <v>31</v>
      </c>
      <c r="E4" s="23"/>
      <c r="F4" s="23"/>
      <c r="H4" s="21" t="s">
        <v>44</v>
      </c>
      <c r="I4" s="21"/>
      <c r="J4" t="s">
        <v>47</v>
      </c>
      <c r="N4" s="21" t="s">
        <v>1</v>
      </c>
      <c r="O4" s="21"/>
      <c r="P4" s="23" t="s">
        <v>35</v>
      </c>
      <c r="Q4" s="23"/>
      <c r="R4" s="23"/>
      <c r="T4" s="21" t="s">
        <v>44</v>
      </c>
      <c r="U4" s="21"/>
      <c r="V4" t="s">
        <v>47</v>
      </c>
    </row>
    <row r="5" spans="2:32" x14ac:dyDescent="0.25">
      <c r="B5" s="21" t="s">
        <v>3</v>
      </c>
      <c r="C5" s="21"/>
      <c r="D5" s="24" t="s">
        <v>32</v>
      </c>
      <c r="E5" s="24"/>
      <c r="F5" s="24"/>
      <c r="H5" s="21" t="s">
        <v>45</v>
      </c>
      <c r="I5" s="21"/>
      <c r="J5" t="s">
        <v>48</v>
      </c>
      <c r="N5" s="21" t="s">
        <v>3</v>
      </c>
      <c r="O5" s="21"/>
      <c r="P5" s="23" t="s">
        <v>32</v>
      </c>
      <c r="Q5" s="23"/>
      <c r="R5" s="23"/>
      <c r="T5" s="21" t="s">
        <v>45</v>
      </c>
      <c r="U5" s="21"/>
      <c r="V5" t="s">
        <v>48</v>
      </c>
    </row>
    <row r="6" spans="2:32" x14ac:dyDescent="0.25">
      <c r="B6" s="21" t="s">
        <v>2</v>
      </c>
      <c r="C6" s="21"/>
      <c r="D6" s="23" t="s">
        <v>33</v>
      </c>
      <c r="E6" s="23"/>
      <c r="F6" s="23"/>
      <c r="H6" s="21" t="s">
        <v>46</v>
      </c>
      <c r="I6" s="21"/>
      <c r="J6" t="s">
        <v>49</v>
      </c>
      <c r="N6" s="21" t="s">
        <v>2</v>
      </c>
      <c r="O6" s="21"/>
      <c r="P6" s="23" t="s">
        <v>36</v>
      </c>
      <c r="Q6" s="23"/>
      <c r="R6" s="23"/>
      <c r="T6" s="21" t="s">
        <v>46</v>
      </c>
      <c r="U6" s="21"/>
      <c r="V6" t="s">
        <v>49</v>
      </c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45</v>
      </c>
      <c r="E10">
        <v>650</v>
      </c>
      <c r="F10" s="2">
        <f>C10*E10</f>
        <v>29250</v>
      </c>
      <c r="K10">
        <v>111</v>
      </c>
      <c r="L10" s="2">
        <f t="shared" ref="L10:L32" si="0">-I10*K10+J10*K10</f>
        <v>0</v>
      </c>
      <c r="N10" t="s">
        <v>10</v>
      </c>
      <c r="O10">
        <v>431</v>
      </c>
      <c r="Q10">
        <v>650</v>
      </c>
      <c r="R10" s="2">
        <f>O10*Q10</f>
        <v>280150</v>
      </c>
      <c r="T10" t="s">
        <v>42</v>
      </c>
      <c r="U10">
        <v>397</v>
      </c>
      <c r="W10">
        <v>111</v>
      </c>
      <c r="X10" s="2">
        <f t="shared" ref="X10:X31" si="1">-U10*W10+V10*W10</f>
        <v>-44067</v>
      </c>
    </row>
    <row r="11" spans="2:32" x14ac:dyDescent="0.25">
      <c r="B11" t="s">
        <v>11</v>
      </c>
      <c r="F11" s="2">
        <f t="shared" ref="F11:F32" si="2">C11*E11</f>
        <v>0</v>
      </c>
      <c r="L11" s="2">
        <f t="shared" si="0"/>
        <v>0</v>
      </c>
      <c r="N11" t="s">
        <v>11</v>
      </c>
      <c r="R11" s="2">
        <f t="shared" ref="R11:R32" si="3">O11*Q11</f>
        <v>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C13">
        <v>5</v>
      </c>
      <c r="E13">
        <v>622</v>
      </c>
      <c r="F13" s="2">
        <f t="shared" si="2"/>
        <v>3110</v>
      </c>
      <c r="L13" s="2">
        <f t="shared" si="0"/>
        <v>0</v>
      </c>
      <c r="N13" t="s">
        <v>13</v>
      </c>
      <c r="O13">
        <v>36</v>
      </c>
      <c r="Q13">
        <v>622</v>
      </c>
      <c r="R13" s="2">
        <f t="shared" si="3"/>
        <v>22392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L14" s="2">
        <f t="shared" si="0"/>
        <v>0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E17">
        <v>229</v>
      </c>
      <c r="F17" s="2">
        <f t="shared" si="2"/>
        <v>0</v>
      </c>
      <c r="K17">
        <v>42</v>
      </c>
      <c r="L17" s="2">
        <f t="shared" si="0"/>
        <v>0</v>
      </c>
      <c r="N17" t="s">
        <v>17</v>
      </c>
      <c r="O17">
        <v>16</v>
      </c>
      <c r="Q17">
        <v>229</v>
      </c>
      <c r="R17" s="2">
        <f t="shared" si="3"/>
        <v>3664</v>
      </c>
      <c r="T17" t="s">
        <v>17</v>
      </c>
      <c r="U17">
        <v>16</v>
      </c>
      <c r="W17">
        <v>42</v>
      </c>
      <c r="X17" s="2">
        <f t="shared" si="1"/>
        <v>-672</v>
      </c>
    </row>
    <row r="18" spans="2:24" x14ac:dyDescent="0.25">
      <c r="B18" t="s">
        <v>18</v>
      </c>
      <c r="C18">
        <v>1</v>
      </c>
      <c r="E18">
        <v>500</v>
      </c>
      <c r="F18" s="2">
        <f t="shared" si="2"/>
        <v>500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F20" s="2">
        <f t="shared" si="2"/>
        <v>0</v>
      </c>
      <c r="L20" s="2">
        <f t="shared" si="0"/>
        <v>0</v>
      </c>
      <c r="R20" s="2">
        <f t="shared" si="3"/>
        <v>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 t="shared" si="0"/>
        <v>0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-44739</v>
      </c>
    </row>
    <row r="33" spans="2:24" x14ac:dyDescent="0.25">
      <c r="B33" s="27" t="s">
        <v>28</v>
      </c>
      <c r="C33" s="27"/>
      <c r="D33" s="8"/>
      <c r="E33" s="8"/>
      <c r="F33" s="5">
        <f>-D33*E33</f>
        <v>0</v>
      </c>
      <c r="H33" s="26" t="s">
        <v>24</v>
      </c>
      <c r="I33" s="26"/>
      <c r="J33" s="26"/>
      <c r="K33" s="26"/>
      <c r="L33" s="4">
        <f>SUM(F34)</f>
        <v>32860</v>
      </c>
      <c r="N33" s="27" t="s">
        <v>28</v>
      </c>
      <c r="O33" s="27"/>
      <c r="P33" s="8">
        <v>467</v>
      </c>
      <c r="Q33" s="8">
        <v>6</v>
      </c>
      <c r="R33" s="5">
        <f>-P33*Q33</f>
        <v>-2802</v>
      </c>
      <c r="T33" s="26" t="s">
        <v>24</v>
      </c>
      <c r="U33" s="26"/>
      <c r="V33" s="26"/>
      <c r="W33" s="26"/>
      <c r="X33" s="4">
        <f>SUM(R34)</f>
        <v>303404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32860</v>
      </c>
      <c r="H34" s="26" t="s">
        <v>25</v>
      </c>
      <c r="I34" s="26"/>
      <c r="J34" s="26"/>
      <c r="K34" s="26"/>
      <c r="L34" s="14">
        <f>SUM(L33+L32)</f>
        <v>32860</v>
      </c>
      <c r="N34" s="28" t="s">
        <v>19</v>
      </c>
      <c r="O34" s="28"/>
      <c r="P34" s="28"/>
      <c r="Q34" s="28"/>
      <c r="R34" s="13">
        <f>SUM(R10:R33)</f>
        <v>303404</v>
      </c>
      <c r="T34" s="26" t="s">
        <v>25</v>
      </c>
      <c r="U34" s="26"/>
      <c r="V34" s="26"/>
      <c r="W34" s="26"/>
      <c r="X34" s="14">
        <f>SUM(X33+X32)</f>
        <v>258665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11" t="s">
        <v>29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7" spans="2:24" x14ac:dyDescent="0.25">
      <c r="B37" s="21" t="s">
        <v>0</v>
      </c>
      <c r="C37" s="21"/>
      <c r="D37" s="22" t="s">
        <v>37</v>
      </c>
      <c r="E37" s="22"/>
      <c r="F37" s="22"/>
      <c r="H37" s="21" t="s">
        <v>43</v>
      </c>
      <c r="I37" s="21"/>
      <c r="J37">
        <v>1</v>
      </c>
      <c r="N37" s="21" t="s">
        <v>0</v>
      </c>
      <c r="O37" s="21"/>
      <c r="P37" s="22"/>
      <c r="Q37" s="22"/>
      <c r="R37" s="22"/>
      <c r="T37" s="21" t="s">
        <v>43</v>
      </c>
      <c r="U37" s="21"/>
      <c r="V37">
        <v>1</v>
      </c>
    </row>
    <row r="38" spans="2:24" x14ac:dyDescent="0.25">
      <c r="B38" s="21" t="s">
        <v>1</v>
      </c>
      <c r="C38" s="21"/>
      <c r="D38" s="23" t="s">
        <v>38</v>
      </c>
      <c r="E38" s="23"/>
      <c r="F38" s="23"/>
      <c r="H38" s="21" t="s">
        <v>44</v>
      </c>
      <c r="I38" s="21"/>
      <c r="J38" t="s">
        <v>47</v>
      </c>
      <c r="N38" s="21" t="s">
        <v>1</v>
      </c>
      <c r="O38" s="21"/>
      <c r="P38" s="23"/>
      <c r="Q38" s="23"/>
      <c r="R38" s="23"/>
      <c r="T38" s="21" t="s">
        <v>44</v>
      </c>
      <c r="U38" s="21"/>
      <c r="V38" t="s">
        <v>47</v>
      </c>
    </row>
    <row r="39" spans="2:24" x14ac:dyDescent="0.25">
      <c r="B39" s="21" t="s">
        <v>3</v>
      </c>
      <c r="C39" s="21"/>
      <c r="D39" s="23" t="s">
        <v>32</v>
      </c>
      <c r="E39" s="23"/>
      <c r="F39" s="23"/>
      <c r="H39" s="21" t="s">
        <v>45</v>
      </c>
      <c r="I39" s="21"/>
      <c r="J39" t="s">
        <v>48</v>
      </c>
      <c r="N39" s="21" t="s">
        <v>3</v>
      </c>
      <c r="O39" s="21"/>
      <c r="P39" s="23"/>
      <c r="Q39" s="23"/>
      <c r="R39" s="23"/>
      <c r="T39" s="21" t="s">
        <v>45</v>
      </c>
      <c r="U39" s="21"/>
      <c r="V39" t="s">
        <v>48</v>
      </c>
    </row>
    <row r="40" spans="2:24" x14ac:dyDescent="0.25">
      <c r="B40" s="21" t="s">
        <v>2</v>
      </c>
      <c r="C40" s="21"/>
      <c r="D40" s="23" t="s">
        <v>39</v>
      </c>
      <c r="E40" s="23"/>
      <c r="F40" s="23"/>
      <c r="H40" s="21" t="s">
        <v>46</v>
      </c>
      <c r="I40" s="21"/>
      <c r="J40" t="s">
        <v>49</v>
      </c>
      <c r="N40" s="21" t="s">
        <v>2</v>
      </c>
      <c r="O40" s="21"/>
      <c r="P40" s="23"/>
      <c r="Q40" s="23"/>
      <c r="R40" s="23"/>
      <c r="T40" s="21" t="s">
        <v>46</v>
      </c>
      <c r="U40" s="21"/>
      <c r="V40" t="s">
        <v>49</v>
      </c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1"/>
      <c r="O42" s="1" t="s">
        <v>4</v>
      </c>
      <c r="P42" s="1"/>
      <c r="Q42" s="1"/>
      <c r="R42" s="1"/>
      <c r="T42" s="25" t="s">
        <v>20</v>
      </c>
      <c r="U42" s="25"/>
      <c r="V42" s="25"/>
      <c r="W42" s="25"/>
      <c r="X42" s="25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6" t="s">
        <v>5</v>
      </c>
      <c r="O43" s="6" t="s">
        <v>6</v>
      </c>
      <c r="P43" s="6" t="s">
        <v>7</v>
      </c>
      <c r="Q43" s="7" t="s">
        <v>8</v>
      </c>
      <c r="R43" s="6" t="s">
        <v>9</v>
      </c>
      <c r="T43" s="6" t="s">
        <v>5</v>
      </c>
      <c r="U43" s="7" t="s">
        <v>21</v>
      </c>
      <c r="V43" s="7" t="s">
        <v>22</v>
      </c>
      <c r="W43" s="7" t="s">
        <v>8</v>
      </c>
      <c r="X43" s="7" t="s">
        <v>9</v>
      </c>
    </row>
    <row r="44" spans="2:24" x14ac:dyDescent="0.25">
      <c r="B44" t="s">
        <v>10</v>
      </c>
      <c r="C44">
        <v>108</v>
      </c>
      <c r="E44">
        <v>650</v>
      </c>
      <c r="F44" s="2">
        <f>C44*E44</f>
        <v>70200</v>
      </c>
      <c r="K44">
        <v>111</v>
      </c>
      <c r="L44" s="2">
        <f t="shared" ref="L44:L46" si="4">-I44*K44+J44*K44</f>
        <v>0</v>
      </c>
      <c r="N44" t="s">
        <v>10</v>
      </c>
      <c r="R44" s="2">
        <f>O44*Q44</f>
        <v>0</v>
      </c>
      <c r="X44" s="2">
        <f t="shared" ref="X44:X65" si="5">-U44*W44+V44*W44</f>
        <v>0</v>
      </c>
    </row>
    <row r="45" spans="2:24" x14ac:dyDescent="0.25">
      <c r="B45" t="s">
        <v>11</v>
      </c>
      <c r="C45">
        <v>5</v>
      </c>
      <c r="E45">
        <v>670</v>
      </c>
      <c r="F45" s="2">
        <f t="shared" ref="F45:F66" si="6">C45*E45</f>
        <v>3350</v>
      </c>
      <c r="L45" s="2">
        <f t="shared" si="4"/>
        <v>0</v>
      </c>
      <c r="N45" t="s">
        <v>11</v>
      </c>
      <c r="R45" s="2">
        <f t="shared" ref="R45:R66" si="7">O45*Q45</f>
        <v>0</v>
      </c>
      <c r="X45" s="2">
        <f t="shared" si="5"/>
        <v>0</v>
      </c>
    </row>
    <row r="46" spans="2:24" x14ac:dyDescent="0.25">
      <c r="B46" t="s">
        <v>12</v>
      </c>
      <c r="C46">
        <v>1</v>
      </c>
      <c r="E46">
        <v>973</v>
      </c>
      <c r="F46" s="2">
        <f t="shared" si="6"/>
        <v>973</v>
      </c>
      <c r="L46" s="2">
        <f t="shared" si="4"/>
        <v>0</v>
      </c>
      <c r="N46" t="s">
        <v>12</v>
      </c>
      <c r="R46" s="2">
        <f t="shared" si="7"/>
        <v>0</v>
      </c>
      <c r="X46" s="2">
        <f t="shared" si="5"/>
        <v>0</v>
      </c>
    </row>
    <row r="47" spans="2:24" x14ac:dyDescent="0.25">
      <c r="B47" t="s">
        <v>13</v>
      </c>
      <c r="C47">
        <v>5</v>
      </c>
      <c r="E47">
        <v>622</v>
      </c>
      <c r="F47" s="2">
        <f t="shared" si="6"/>
        <v>3110</v>
      </c>
      <c r="J47">
        <v>36</v>
      </c>
      <c r="K47">
        <v>4.5</v>
      </c>
      <c r="L47" s="2">
        <f>-I47*K47+J47*K47</f>
        <v>162</v>
      </c>
      <c r="N47" t="s">
        <v>13</v>
      </c>
      <c r="R47" s="2">
        <f t="shared" si="7"/>
        <v>0</v>
      </c>
      <c r="X47" s="2">
        <f t="shared" si="5"/>
        <v>0</v>
      </c>
    </row>
    <row r="48" spans="2:24" x14ac:dyDescent="0.25">
      <c r="B48" t="s">
        <v>14</v>
      </c>
      <c r="C48">
        <v>1</v>
      </c>
      <c r="E48">
        <v>912</v>
      </c>
      <c r="F48" s="2">
        <f t="shared" si="6"/>
        <v>912</v>
      </c>
      <c r="L48" s="2">
        <f t="shared" ref="L48:L65" si="8">-I48*K48+J48*K48</f>
        <v>0</v>
      </c>
      <c r="N48" t="s">
        <v>14</v>
      </c>
      <c r="R48" s="2">
        <f t="shared" si="7"/>
        <v>0</v>
      </c>
      <c r="X48" s="2">
        <f t="shared" si="5"/>
        <v>0</v>
      </c>
    </row>
    <row r="49" spans="2:24" x14ac:dyDescent="0.25">
      <c r="B49" t="s">
        <v>15</v>
      </c>
      <c r="F49" s="2">
        <f t="shared" si="6"/>
        <v>0</v>
      </c>
      <c r="L49" s="2">
        <f t="shared" si="8"/>
        <v>0</v>
      </c>
      <c r="N49" t="s">
        <v>15</v>
      </c>
      <c r="R49" s="2">
        <f t="shared" si="7"/>
        <v>0</v>
      </c>
      <c r="X49" s="2">
        <f t="shared" si="5"/>
        <v>0</v>
      </c>
    </row>
    <row r="50" spans="2:24" x14ac:dyDescent="0.25">
      <c r="B50" t="s">
        <v>16</v>
      </c>
      <c r="C50">
        <v>1</v>
      </c>
      <c r="E50">
        <v>872</v>
      </c>
      <c r="F50" s="2">
        <f t="shared" si="6"/>
        <v>872</v>
      </c>
      <c r="L50" s="2">
        <f t="shared" si="8"/>
        <v>0</v>
      </c>
      <c r="N50" t="s">
        <v>16</v>
      </c>
      <c r="R50" s="2">
        <f t="shared" si="7"/>
        <v>0</v>
      </c>
      <c r="X50" s="2">
        <f t="shared" si="5"/>
        <v>0</v>
      </c>
    </row>
    <row r="51" spans="2:24" x14ac:dyDescent="0.25">
      <c r="B51" t="s">
        <v>17</v>
      </c>
      <c r="C51">
        <v>5</v>
      </c>
      <c r="E51">
        <v>229</v>
      </c>
      <c r="F51" s="2">
        <f t="shared" si="6"/>
        <v>1145</v>
      </c>
      <c r="K51">
        <v>42</v>
      </c>
      <c r="L51" s="2">
        <f t="shared" si="8"/>
        <v>0</v>
      </c>
      <c r="N51" t="s">
        <v>17</v>
      </c>
      <c r="R51" s="2">
        <f t="shared" si="7"/>
        <v>0</v>
      </c>
      <c r="X51" s="2">
        <f t="shared" si="5"/>
        <v>0</v>
      </c>
    </row>
    <row r="52" spans="2:24" x14ac:dyDescent="0.25">
      <c r="B52" t="s">
        <v>18</v>
      </c>
      <c r="C52">
        <v>1</v>
      </c>
      <c r="E52">
        <v>500</v>
      </c>
      <c r="F52" s="2">
        <f t="shared" si="6"/>
        <v>500</v>
      </c>
      <c r="L52" s="2">
        <f t="shared" si="8"/>
        <v>0</v>
      </c>
      <c r="N52" t="s">
        <v>18</v>
      </c>
      <c r="R52" s="2">
        <f t="shared" si="7"/>
        <v>0</v>
      </c>
      <c r="X52" s="2">
        <f t="shared" si="5"/>
        <v>0</v>
      </c>
    </row>
    <row r="53" spans="2:24" x14ac:dyDescent="0.25">
      <c r="B53" t="s">
        <v>26</v>
      </c>
      <c r="C53">
        <v>1</v>
      </c>
      <c r="E53">
        <v>650</v>
      </c>
      <c r="F53" s="2">
        <f t="shared" si="6"/>
        <v>650</v>
      </c>
      <c r="L53" s="2">
        <f t="shared" si="8"/>
        <v>0</v>
      </c>
      <c r="N53" t="s">
        <v>26</v>
      </c>
      <c r="R53" s="2">
        <f t="shared" si="7"/>
        <v>0</v>
      </c>
      <c r="X53" s="2">
        <f t="shared" si="5"/>
        <v>0</v>
      </c>
    </row>
    <row r="54" spans="2:24" x14ac:dyDescent="0.25">
      <c r="B54" s="12" t="s">
        <v>41</v>
      </c>
      <c r="C54">
        <f>1+1</f>
        <v>2</v>
      </c>
      <c r="E54">
        <v>1175</v>
      </c>
      <c r="F54" s="2">
        <f t="shared" si="6"/>
        <v>2350</v>
      </c>
      <c r="L54" s="2">
        <f t="shared" si="8"/>
        <v>0</v>
      </c>
      <c r="R54" s="2">
        <f t="shared" si="7"/>
        <v>0</v>
      </c>
      <c r="X54" s="2">
        <f t="shared" si="5"/>
        <v>0</v>
      </c>
    </row>
    <row r="55" spans="2:24" x14ac:dyDescent="0.25">
      <c r="B55" t="s">
        <v>40</v>
      </c>
      <c r="C55">
        <v>3</v>
      </c>
      <c r="E55">
        <v>700</v>
      </c>
      <c r="F55" s="2">
        <f t="shared" si="6"/>
        <v>2100</v>
      </c>
      <c r="L55" s="2">
        <f t="shared" si="8"/>
        <v>0</v>
      </c>
      <c r="R55" s="2">
        <f t="shared" si="7"/>
        <v>0</v>
      </c>
      <c r="X55" s="2">
        <f t="shared" si="5"/>
        <v>0</v>
      </c>
    </row>
    <row r="56" spans="2:24" x14ac:dyDescent="0.25">
      <c r="F56" s="2">
        <f t="shared" si="6"/>
        <v>0</v>
      </c>
      <c r="L56" s="2">
        <f t="shared" si="8"/>
        <v>0</v>
      </c>
      <c r="R56" s="2">
        <f t="shared" si="7"/>
        <v>0</v>
      </c>
      <c r="X56" s="2">
        <f t="shared" si="5"/>
        <v>0</v>
      </c>
    </row>
    <row r="57" spans="2:24" x14ac:dyDescent="0.25">
      <c r="F57" s="2">
        <f t="shared" si="6"/>
        <v>0</v>
      </c>
      <c r="L57" s="2">
        <f t="shared" si="8"/>
        <v>0</v>
      </c>
      <c r="R57" s="2">
        <f t="shared" si="7"/>
        <v>0</v>
      </c>
      <c r="X57" s="2">
        <f t="shared" si="5"/>
        <v>0</v>
      </c>
    </row>
    <row r="58" spans="2:24" x14ac:dyDescent="0.25">
      <c r="F58" s="2">
        <f t="shared" si="6"/>
        <v>0</v>
      </c>
      <c r="L58" s="2">
        <f t="shared" si="8"/>
        <v>0</v>
      </c>
      <c r="R58" s="2">
        <f t="shared" si="7"/>
        <v>0</v>
      </c>
      <c r="X58" s="2">
        <f t="shared" si="5"/>
        <v>0</v>
      </c>
    </row>
    <row r="59" spans="2:24" x14ac:dyDescent="0.25">
      <c r="F59" s="2">
        <f t="shared" si="6"/>
        <v>0</v>
      </c>
      <c r="L59" s="2">
        <f t="shared" si="8"/>
        <v>0</v>
      </c>
      <c r="R59" s="2">
        <f t="shared" si="7"/>
        <v>0</v>
      </c>
      <c r="X59" s="2">
        <f t="shared" si="5"/>
        <v>0</v>
      </c>
    </row>
    <row r="60" spans="2:24" x14ac:dyDescent="0.25">
      <c r="F60" s="2">
        <f t="shared" si="6"/>
        <v>0</v>
      </c>
      <c r="L60" s="2">
        <f t="shared" si="8"/>
        <v>0</v>
      </c>
      <c r="R60" s="2">
        <f t="shared" si="7"/>
        <v>0</v>
      </c>
      <c r="X60" s="2">
        <f t="shared" si="5"/>
        <v>0</v>
      </c>
    </row>
    <row r="61" spans="2:24" x14ac:dyDescent="0.25">
      <c r="F61" s="2">
        <f t="shared" si="6"/>
        <v>0</v>
      </c>
      <c r="L61" s="2">
        <f t="shared" si="8"/>
        <v>0</v>
      </c>
      <c r="R61" s="2">
        <f t="shared" si="7"/>
        <v>0</v>
      </c>
      <c r="X61" s="2">
        <f t="shared" si="5"/>
        <v>0</v>
      </c>
    </row>
    <row r="62" spans="2:24" x14ac:dyDescent="0.25">
      <c r="F62" s="2">
        <f t="shared" si="6"/>
        <v>0</v>
      </c>
      <c r="L62" s="2">
        <f t="shared" si="8"/>
        <v>0</v>
      </c>
      <c r="R62" s="2">
        <f t="shared" si="7"/>
        <v>0</v>
      </c>
      <c r="X62" s="2">
        <f t="shared" si="5"/>
        <v>0</v>
      </c>
    </row>
    <row r="63" spans="2:24" x14ac:dyDescent="0.25">
      <c r="F63" s="2">
        <f t="shared" si="6"/>
        <v>0</v>
      </c>
      <c r="L63" s="2">
        <f t="shared" si="8"/>
        <v>0</v>
      </c>
      <c r="R63" s="2">
        <f t="shared" si="7"/>
        <v>0</v>
      </c>
      <c r="X63" s="2">
        <f t="shared" si="5"/>
        <v>0</v>
      </c>
    </row>
    <row r="64" spans="2:24" x14ac:dyDescent="0.25">
      <c r="F64" s="2">
        <f t="shared" si="6"/>
        <v>0</v>
      </c>
      <c r="L64" s="2">
        <f t="shared" si="8"/>
        <v>0</v>
      </c>
      <c r="R64" s="2">
        <f t="shared" si="7"/>
        <v>0</v>
      </c>
      <c r="X64" s="2">
        <f t="shared" si="5"/>
        <v>0</v>
      </c>
    </row>
    <row r="65" spans="2:24" x14ac:dyDescent="0.25">
      <c r="F65" s="2">
        <f t="shared" si="6"/>
        <v>0</v>
      </c>
      <c r="L65" s="2">
        <f t="shared" si="8"/>
        <v>0</v>
      </c>
      <c r="R65" s="2">
        <f t="shared" si="7"/>
        <v>0</v>
      </c>
      <c r="X65" s="2">
        <f t="shared" si="5"/>
        <v>0</v>
      </c>
    </row>
    <row r="66" spans="2:24" x14ac:dyDescent="0.25">
      <c r="F66" s="2">
        <f t="shared" si="6"/>
        <v>0</v>
      </c>
      <c r="H66" s="26" t="s">
        <v>23</v>
      </c>
      <c r="I66" s="26"/>
      <c r="J66" s="26"/>
      <c r="K66" s="26"/>
      <c r="L66" s="9">
        <f>SUM(L44:L65)</f>
        <v>162</v>
      </c>
      <c r="R66" s="2">
        <f t="shared" si="7"/>
        <v>0</v>
      </c>
      <c r="T66" s="26" t="s">
        <v>23</v>
      </c>
      <c r="U66" s="26"/>
      <c r="V66" s="26"/>
      <c r="W66" s="26"/>
      <c r="X66" s="9">
        <f>SUM(X44:X65)</f>
        <v>0</v>
      </c>
    </row>
    <row r="67" spans="2:24" x14ac:dyDescent="0.25">
      <c r="B67" s="27" t="s">
        <v>28</v>
      </c>
      <c r="C67" s="27"/>
      <c r="D67" s="8"/>
      <c r="E67" s="8"/>
      <c r="F67" s="5">
        <f>-D67*E67</f>
        <v>0</v>
      </c>
      <c r="H67" s="26" t="s">
        <v>24</v>
      </c>
      <c r="I67" s="26"/>
      <c r="J67" s="26"/>
      <c r="K67" s="26"/>
      <c r="L67" s="4">
        <f>SUM(F68)</f>
        <v>86162</v>
      </c>
      <c r="N67" s="27" t="s">
        <v>28</v>
      </c>
      <c r="O67" s="27"/>
      <c r="P67" s="8"/>
      <c r="Q67" s="8"/>
      <c r="R67" s="5">
        <f>-P67*Q67</f>
        <v>0</v>
      </c>
      <c r="T67" s="26" t="s">
        <v>24</v>
      </c>
      <c r="U67" s="26"/>
      <c r="V67" s="26"/>
      <c r="W67" s="26"/>
      <c r="X67" s="4">
        <f>SUM(R68)</f>
        <v>0</v>
      </c>
    </row>
    <row r="68" spans="2:24" x14ac:dyDescent="0.25">
      <c r="B68" s="28" t="s">
        <v>19</v>
      </c>
      <c r="C68" s="28"/>
      <c r="D68" s="28"/>
      <c r="E68" s="28"/>
      <c r="F68" s="13">
        <f>SUM(F44:F67)</f>
        <v>86162</v>
      </c>
      <c r="H68" s="26" t="s">
        <v>25</v>
      </c>
      <c r="I68" s="26"/>
      <c r="J68" s="26"/>
      <c r="K68" s="26"/>
      <c r="L68" s="14">
        <f>SUM(L67+L66)</f>
        <v>86324</v>
      </c>
      <c r="N68" s="28" t="s">
        <v>19</v>
      </c>
      <c r="O68" s="28"/>
      <c r="P68" s="28"/>
      <c r="Q68" s="28"/>
      <c r="R68" s="13">
        <f>SUM(R44:R67)</f>
        <v>0</v>
      </c>
      <c r="T68" s="26" t="s">
        <v>25</v>
      </c>
      <c r="U68" s="26"/>
      <c r="V68" s="26"/>
      <c r="W68" s="26"/>
      <c r="X68" s="14">
        <f>SUM(X67+X66)</f>
        <v>0</v>
      </c>
    </row>
  </sheetData>
  <mergeCells count="72">
    <mergeCell ref="B33:C33"/>
    <mergeCell ref="N3:O3"/>
    <mergeCell ref="N4:O4"/>
    <mergeCell ref="N5:O5"/>
    <mergeCell ref="N6:O6"/>
    <mergeCell ref="N33:O33"/>
    <mergeCell ref="D4:F4"/>
    <mergeCell ref="B3:C3"/>
    <mergeCell ref="B4:C4"/>
    <mergeCell ref="B5:C5"/>
    <mergeCell ref="B6:C6"/>
    <mergeCell ref="H8:L8"/>
    <mergeCell ref="H33:K33"/>
    <mergeCell ref="H32:K32"/>
    <mergeCell ref="D40:F40"/>
    <mergeCell ref="N34:Q34"/>
    <mergeCell ref="T34:W34"/>
    <mergeCell ref="H68:K68"/>
    <mergeCell ref="B68:E68"/>
    <mergeCell ref="H67:K67"/>
    <mergeCell ref="B67:C67"/>
    <mergeCell ref="H66:K66"/>
    <mergeCell ref="H42:L42"/>
    <mergeCell ref="B40:C40"/>
    <mergeCell ref="B39:C39"/>
    <mergeCell ref="B34:E34"/>
    <mergeCell ref="H34:K34"/>
    <mergeCell ref="B38:C38"/>
    <mergeCell ref="B37:C37"/>
    <mergeCell ref="N37:O37"/>
    <mergeCell ref="N38:O38"/>
    <mergeCell ref="N39:O39"/>
    <mergeCell ref="D37:F37"/>
    <mergeCell ref="D38:F38"/>
    <mergeCell ref="D39:F39"/>
    <mergeCell ref="T42:X42"/>
    <mergeCell ref="T66:W66"/>
    <mergeCell ref="N67:O67"/>
    <mergeCell ref="T67:W67"/>
    <mergeCell ref="N68:Q68"/>
    <mergeCell ref="T68:W68"/>
    <mergeCell ref="D3:F3"/>
    <mergeCell ref="D5:F5"/>
    <mergeCell ref="D6:F6"/>
    <mergeCell ref="P3:R3"/>
    <mergeCell ref="P4:R4"/>
    <mergeCell ref="P5:R5"/>
    <mergeCell ref="P6:R6"/>
    <mergeCell ref="P39:R39"/>
    <mergeCell ref="P40:R40"/>
    <mergeCell ref="H3:I3"/>
    <mergeCell ref="H4:I4"/>
    <mergeCell ref="H5:I5"/>
    <mergeCell ref="H6:I6"/>
    <mergeCell ref="H39:I39"/>
    <mergeCell ref="H40:I40"/>
    <mergeCell ref="N40:O40"/>
    <mergeCell ref="H37:I37"/>
    <mergeCell ref="H38:I38"/>
    <mergeCell ref="T37:U37"/>
    <mergeCell ref="T38:U38"/>
    <mergeCell ref="P37:R37"/>
    <mergeCell ref="P38:R38"/>
    <mergeCell ref="T39:U39"/>
    <mergeCell ref="T40:U40"/>
    <mergeCell ref="T3:U3"/>
    <mergeCell ref="T4:U4"/>
    <mergeCell ref="T5:U5"/>
    <mergeCell ref="T6:U6"/>
    <mergeCell ref="T8:X8"/>
    <mergeCell ref="T32:W32"/>
    <mergeCell ref="T33:W3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070A4-641B-4DA7-BCAC-505175305434}">
  <dimension ref="B1:AF170"/>
  <sheetViews>
    <sheetView zoomScaleNormal="100" workbookViewId="0">
      <selection activeCell="AF4" sqref="AF4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  <col min="33" max="33" width="2.28515625" customWidth="1"/>
    <col min="35" max="35" width="2.28515625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53</v>
      </c>
      <c r="E3" s="22"/>
      <c r="F3" s="22"/>
      <c r="H3" s="21" t="s">
        <v>43</v>
      </c>
      <c r="I3" s="21"/>
      <c r="J3">
        <v>2</v>
      </c>
      <c r="N3" s="21" t="s">
        <v>0</v>
      </c>
      <c r="O3" s="21"/>
      <c r="P3" s="22" t="s">
        <v>56</v>
      </c>
      <c r="Q3" s="22"/>
      <c r="R3" s="22"/>
      <c r="T3" s="21" t="s">
        <v>43</v>
      </c>
      <c r="U3" s="21"/>
      <c r="V3">
        <v>2</v>
      </c>
      <c r="Z3" s="20">
        <f>F34+R34+F68+R68+F102+R102+F136+R136+F170</f>
        <v>239421.5</v>
      </c>
      <c r="AA3" s="19"/>
      <c r="AB3" s="19">
        <f>F101</f>
        <v>-1248</v>
      </c>
      <c r="AC3" s="19"/>
      <c r="AD3" s="19"/>
      <c r="AF3" s="3">
        <f>L34+X34+L68+X68+L102+X102+L136+X136+L170</f>
        <v>244140.5</v>
      </c>
    </row>
    <row r="4" spans="2:32" x14ac:dyDescent="0.25">
      <c r="B4" s="21" t="s">
        <v>1</v>
      </c>
      <c r="C4" s="21"/>
      <c r="D4" s="23" t="s">
        <v>54</v>
      </c>
      <c r="E4" s="23"/>
      <c r="F4" s="23"/>
      <c r="H4" s="21" t="s">
        <v>44</v>
      </c>
      <c r="I4" s="21"/>
      <c r="J4" t="s">
        <v>50</v>
      </c>
      <c r="N4" s="21" t="s">
        <v>1</v>
      </c>
      <c r="O4" s="21"/>
      <c r="P4" s="23" t="s">
        <v>57</v>
      </c>
      <c r="Q4" s="23"/>
      <c r="R4" s="23"/>
      <c r="T4" s="21" t="s">
        <v>44</v>
      </c>
      <c r="U4" s="21"/>
      <c r="V4" t="s">
        <v>50</v>
      </c>
      <c r="Z4" s="19"/>
      <c r="AA4" s="19"/>
      <c r="AB4" s="19"/>
      <c r="AC4" s="19"/>
      <c r="AD4" s="19"/>
    </row>
    <row r="5" spans="2:32" x14ac:dyDescent="0.25">
      <c r="B5" s="21" t="s">
        <v>3</v>
      </c>
      <c r="C5" s="21"/>
      <c r="D5" s="24" t="s">
        <v>32</v>
      </c>
      <c r="E5" s="24"/>
      <c r="F5" s="24"/>
      <c r="H5" s="21" t="s">
        <v>45</v>
      </c>
      <c r="I5" s="21"/>
      <c r="J5" t="s">
        <v>51</v>
      </c>
      <c r="N5" s="21" t="s">
        <v>3</v>
      </c>
      <c r="O5" s="21"/>
      <c r="P5" s="23" t="s">
        <v>58</v>
      </c>
      <c r="Q5" s="23"/>
      <c r="R5" s="23"/>
      <c r="T5" s="21" t="s">
        <v>45</v>
      </c>
      <c r="U5" s="21"/>
      <c r="V5" t="s">
        <v>51</v>
      </c>
      <c r="Z5" s="19"/>
      <c r="AA5" s="19"/>
      <c r="AB5" s="19"/>
      <c r="AC5" s="19"/>
      <c r="AD5" s="19"/>
    </row>
    <row r="6" spans="2:32" x14ac:dyDescent="0.25">
      <c r="B6" s="21" t="s">
        <v>2</v>
      </c>
      <c r="C6" s="21"/>
      <c r="D6" s="23" t="s">
        <v>55</v>
      </c>
      <c r="E6" s="23"/>
      <c r="F6" s="23"/>
      <c r="H6" s="21" t="s">
        <v>46</v>
      </c>
      <c r="I6" s="21"/>
      <c r="J6" t="s">
        <v>52</v>
      </c>
      <c r="N6" s="21" t="s">
        <v>2</v>
      </c>
      <c r="O6" s="21"/>
      <c r="P6" s="23" t="s">
        <v>55</v>
      </c>
      <c r="Q6" s="23"/>
      <c r="R6" s="23"/>
      <c r="T6" s="21" t="s">
        <v>46</v>
      </c>
      <c r="U6" s="21"/>
      <c r="V6" t="s">
        <v>52</v>
      </c>
      <c r="Z6" s="19"/>
      <c r="AA6" s="19"/>
      <c r="AB6" s="19"/>
      <c r="AC6" s="19"/>
      <c r="AD6" s="19"/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6</v>
      </c>
      <c r="E10">
        <v>650</v>
      </c>
      <c r="F10" s="2">
        <f>C10*E10</f>
        <v>3900</v>
      </c>
      <c r="K10">
        <v>111</v>
      </c>
      <c r="L10" s="2">
        <f t="shared" ref="L10:L32" si="0">-I10*K10+J10*K10</f>
        <v>0</v>
      </c>
      <c r="N10" t="s">
        <v>10</v>
      </c>
      <c r="O10">
        <v>1</v>
      </c>
      <c r="Q10">
        <v>650</v>
      </c>
      <c r="R10" s="2">
        <f>O10*Q10</f>
        <v>650</v>
      </c>
      <c r="T10" t="s">
        <v>42</v>
      </c>
      <c r="W10">
        <v>111</v>
      </c>
      <c r="X10" s="2">
        <f t="shared" ref="X10:X31" si="1">-U10*W10+V10*W10</f>
        <v>0</v>
      </c>
    </row>
    <row r="11" spans="2:32" x14ac:dyDescent="0.25">
      <c r="B11" t="s">
        <v>11</v>
      </c>
      <c r="C11">
        <v>1</v>
      </c>
      <c r="E11">
        <v>670</v>
      </c>
      <c r="F11" s="2">
        <f t="shared" ref="F11:F32" si="2">C11*E11</f>
        <v>670</v>
      </c>
      <c r="L11" s="2">
        <f t="shared" si="0"/>
        <v>0</v>
      </c>
      <c r="N11" t="s">
        <v>11</v>
      </c>
      <c r="R11" s="2">
        <f t="shared" ref="R11:R32" si="3">O11*Q11</f>
        <v>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E13">
        <v>622</v>
      </c>
      <c r="F13" s="2">
        <f t="shared" si="2"/>
        <v>0</v>
      </c>
      <c r="L13" s="2">
        <f t="shared" si="0"/>
        <v>0</v>
      </c>
      <c r="N13" t="s">
        <v>13</v>
      </c>
      <c r="Q13">
        <v>622</v>
      </c>
      <c r="R13" s="2">
        <f t="shared" si="3"/>
        <v>0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L14" s="2">
        <f t="shared" si="0"/>
        <v>0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C17">
        <v>7</v>
      </c>
      <c r="E17">
        <v>9.5</v>
      </c>
      <c r="F17" s="2">
        <f t="shared" si="2"/>
        <v>66.5</v>
      </c>
      <c r="K17">
        <v>42</v>
      </c>
      <c r="L17" s="2">
        <f t="shared" si="0"/>
        <v>0</v>
      </c>
      <c r="N17" t="s">
        <v>17</v>
      </c>
      <c r="O17">
        <v>1</v>
      </c>
      <c r="Q17">
        <v>9.5</v>
      </c>
      <c r="R17" s="2">
        <f t="shared" si="3"/>
        <v>9.5</v>
      </c>
      <c r="T17" t="s">
        <v>17</v>
      </c>
      <c r="W17">
        <v>42</v>
      </c>
      <c r="X17" s="2">
        <f t="shared" si="1"/>
        <v>0</v>
      </c>
    </row>
    <row r="18" spans="2:24" x14ac:dyDescent="0.25">
      <c r="B18" t="s">
        <v>18</v>
      </c>
      <c r="E18">
        <v>500</v>
      </c>
      <c r="F18" s="2">
        <f t="shared" si="2"/>
        <v>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F20" s="2">
        <f t="shared" si="2"/>
        <v>0</v>
      </c>
      <c r="L20" s="2">
        <f t="shared" si="0"/>
        <v>0</v>
      </c>
      <c r="R20" s="2">
        <f t="shared" si="3"/>
        <v>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 t="shared" si="0"/>
        <v>0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0</v>
      </c>
    </row>
    <row r="33" spans="2:24" x14ac:dyDescent="0.25">
      <c r="B33" s="27" t="s">
        <v>28</v>
      </c>
      <c r="C33" s="27"/>
      <c r="D33" s="8"/>
      <c r="E33" s="8"/>
      <c r="F33" s="5">
        <f>-D33*E33</f>
        <v>0</v>
      </c>
      <c r="H33" s="26" t="s">
        <v>24</v>
      </c>
      <c r="I33" s="26"/>
      <c r="J33" s="26"/>
      <c r="K33" s="26"/>
      <c r="L33" s="4">
        <f>SUM(F34)</f>
        <v>4636.5</v>
      </c>
      <c r="N33" s="27" t="s">
        <v>28</v>
      </c>
      <c r="O33" s="27"/>
      <c r="P33" s="8"/>
      <c r="Q33" s="8"/>
      <c r="R33" s="5">
        <f>-P33*Q33</f>
        <v>0</v>
      </c>
      <c r="T33" s="26" t="s">
        <v>24</v>
      </c>
      <c r="U33" s="26"/>
      <c r="V33" s="26"/>
      <c r="W33" s="26"/>
      <c r="X33" s="4">
        <f>SUM(R34)</f>
        <v>659.5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4636.5</v>
      </c>
      <c r="H34" s="26" t="s">
        <v>25</v>
      </c>
      <c r="I34" s="26"/>
      <c r="J34" s="26"/>
      <c r="K34" s="26"/>
      <c r="L34" s="14">
        <f>SUM(L33+L32)</f>
        <v>4636.5</v>
      </c>
      <c r="N34" s="28" t="s">
        <v>19</v>
      </c>
      <c r="O34" s="28"/>
      <c r="P34" s="28"/>
      <c r="Q34" s="28"/>
      <c r="R34" s="13">
        <f>SUM(R10:R33)</f>
        <v>659.5</v>
      </c>
      <c r="T34" s="26" t="s">
        <v>25</v>
      </c>
      <c r="U34" s="26"/>
      <c r="V34" s="26"/>
      <c r="W34" s="26"/>
      <c r="X34" s="14">
        <f>SUM(X33+X32)</f>
        <v>659.5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11" t="s">
        <v>29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7" spans="2:24" x14ac:dyDescent="0.25">
      <c r="B37" s="21" t="s">
        <v>0</v>
      </c>
      <c r="C37" s="21"/>
      <c r="D37" s="22" t="s">
        <v>59</v>
      </c>
      <c r="E37" s="22"/>
      <c r="F37" s="22"/>
      <c r="H37" s="21" t="s">
        <v>43</v>
      </c>
      <c r="I37" s="21"/>
      <c r="J37">
        <v>2</v>
      </c>
      <c r="N37" s="21" t="s">
        <v>0</v>
      </c>
      <c r="O37" s="21"/>
      <c r="P37" s="22" t="s">
        <v>62</v>
      </c>
      <c r="Q37" s="22"/>
      <c r="R37" s="22"/>
      <c r="T37" s="21" t="s">
        <v>43</v>
      </c>
      <c r="U37" s="21"/>
      <c r="V37">
        <v>2</v>
      </c>
    </row>
    <row r="38" spans="2:24" x14ac:dyDescent="0.25">
      <c r="B38" s="21" t="s">
        <v>1</v>
      </c>
      <c r="C38" s="21"/>
      <c r="D38" s="23" t="s">
        <v>60</v>
      </c>
      <c r="E38" s="23"/>
      <c r="F38" s="23"/>
      <c r="H38" s="21" t="s">
        <v>44</v>
      </c>
      <c r="I38" s="21"/>
      <c r="J38" t="s">
        <v>50</v>
      </c>
      <c r="N38" s="21" t="s">
        <v>1</v>
      </c>
      <c r="O38" s="21"/>
      <c r="P38" s="23" t="s">
        <v>61</v>
      </c>
      <c r="Q38" s="23"/>
      <c r="R38" s="23"/>
      <c r="T38" s="21" t="s">
        <v>44</v>
      </c>
      <c r="U38" s="21"/>
      <c r="V38" t="s">
        <v>50</v>
      </c>
    </row>
    <row r="39" spans="2:24" x14ac:dyDescent="0.25">
      <c r="B39" s="21" t="s">
        <v>3</v>
      </c>
      <c r="C39" s="21"/>
      <c r="D39" s="23" t="s">
        <v>32</v>
      </c>
      <c r="E39" s="23"/>
      <c r="F39" s="23"/>
      <c r="H39" s="21" t="s">
        <v>45</v>
      </c>
      <c r="I39" s="21"/>
      <c r="J39" t="s">
        <v>51</v>
      </c>
      <c r="N39" s="21" t="s">
        <v>3</v>
      </c>
      <c r="O39" s="21"/>
      <c r="P39" s="23" t="s">
        <v>32</v>
      </c>
      <c r="Q39" s="23"/>
      <c r="R39" s="23"/>
      <c r="T39" s="21" t="s">
        <v>45</v>
      </c>
      <c r="U39" s="21"/>
      <c r="V39" t="s">
        <v>51</v>
      </c>
    </row>
    <row r="40" spans="2:24" x14ac:dyDescent="0.25">
      <c r="B40" s="21" t="s">
        <v>2</v>
      </c>
      <c r="C40" s="21"/>
      <c r="D40" s="23" t="s">
        <v>55</v>
      </c>
      <c r="E40" s="23"/>
      <c r="F40" s="23"/>
      <c r="H40" s="21" t="s">
        <v>46</v>
      </c>
      <c r="I40" s="21"/>
      <c r="J40" t="s">
        <v>52</v>
      </c>
      <c r="N40" s="21" t="s">
        <v>2</v>
      </c>
      <c r="O40" s="21"/>
      <c r="P40" s="23" t="s">
        <v>55</v>
      </c>
      <c r="Q40" s="23"/>
      <c r="R40" s="23"/>
      <c r="T40" s="21" t="s">
        <v>46</v>
      </c>
      <c r="U40" s="21"/>
      <c r="V40" t="s">
        <v>52</v>
      </c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1"/>
      <c r="O42" s="1" t="s">
        <v>4</v>
      </c>
      <c r="P42" s="1"/>
      <c r="Q42" s="1"/>
      <c r="R42" s="1"/>
      <c r="T42" s="25" t="s">
        <v>20</v>
      </c>
      <c r="U42" s="25"/>
      <c r="V42" s="25"/>
      <c r="W42" s="25"/>
      <c r="X42" s="25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6" t="s">
        <v>5</v>
      </c>
      <c r="O43" s="6" t="s">
        <v>6</v>
      </c>
      <c r="P43" s="6" t="s">
        <v>7</v>
      </c>
      <c r="Q43" s="7" t="s">
        <v>8</v>
      </c>
      <c r="R43" s="6" t="s">
        <v>9</v>
      </c>
      <c r="T43" s="6" t="s">
        <v>5</v>
      </c>
      <c r="U43" s="7" t="s">
        <v>21</v>
      </c>
      <c r="V43" s="7" t="s">
        <v>22</v>
      </c>
      <c r="W43" s="7" t="s">
        <v>8</v>
      </c>
      <c r="X43" s="7" t="s">
        <v>9</v>
      </c>
    </row>
    <row r="44" spans="2:24" x14ac:dyDescent="0.25">
      <c r="B44" t="s">
        <v>10</v>
      </c>
      <c r="C44">
        <v>1</v>
      </c>
      <c r="E44">
        <v>650</v>
      </c>
      <c r="F44" s="2">
        <f>C44*E44</f>
        <v>650</v>
      </c>
      <c r="K44">
        <v>111</v>
      </c>
      <c r="L44" s="2">
        <f t="shared" ref="L44:L46" si="4">-I44*K44+J44*K44</f>
        <v>0</v>
      </c>
      <c r="N44" t="s">
        <v>10</v>
      </c>
      <c r="O44">
        <v>1</v>
      </c>
      <c r="Q44">
        <v>650</v>
      </c>
      <c r="R44" s="2">
        <f>O44*Q44</f>
        <v>650</v>
      </c>
      <c r="X44" s="2">
        <f t="shared" ref="X44:X65" si="5">-U44*W44+V44*W44</f>
        <v>0</v>
      </c>
    </row>
    <row r="45" spans="2:24" x14ac:dyDescent="0.25">
      <c r="B45" t="s">
        <v>11</v>
      </c>
      <c r="E45">
        <v>670</v>
      </c>
      <c r="F45" s="2">
        <f t="shared" ref="F45:F66" si="6">C45*E45</f>
        <v>0</v>
      </c>
      <c r="L45" s="2">
        <f t="shared" si="4"/>
        <v>0</v>
      </c>
      <c r="N45" t="s">
        <v>11</v>
      </c>
      <c r="R45" s="2">
        <f t="shared" ref="R45:R66" si="7">O45*Q45</f>
        <v>0</v>
      </c>
      <c r="X45" s="2">
        <f t="shared" si="5"/>
        <v>0</v>
      </c>
    </row>
    <row r="46" spans="2:24" x14ac:dyDescent="0.25">
      <c r="B46" t="s">
        <v>12</v>
      </c>
      <c r="E46">
        <v>973</v>
      </c>
      <c r="F46" s="2">
        <f t="shared" si="6"/>
        <v>0</v>
      </c>
      <c r="L46" s="2">
        <f t="shared" si="4"/>
        <v>0</v>
      </c>
      <c r="N46" t="s">
        <v>12</v>
      </c>
      <c r="R46" s="2">
        <f t="shared" si="7"/>
        <v>0</v>
      </c>
      <c r="X46" s="2">
        <f t="shared" si="5"/>
        <v>0</v>
      </c>
    </row>
    <row r="47" spans="2:24" x14ac:dyDescent="0.25">
      <c r="B47" t="s">
        <v>13</v>
      </c>
      <c r="E47">
        <v>622</v>
      </c>
      <c r="F47" s="2">
        <f t="shared" si="6"/>
        <v>0</v>
      </c>
      <c r="K47">
        <v>4.5</v>
      </c>
      <c r="L47" s="2">
        <f>-I47*K47+J47*K47</f>
        <v>0</v>
      </c>
      <c r="N47" t="s">
        <v>13</v>
      </c>
      <c r="R47" s="2">
        <f t="shared" si="7"/>
        <v>0</v>
      </c>
      <c r="X47" s="2">
        <f t="shared" si="5"/>
        <v>0</v>
      </c>
    </row>
    <row r="48" spans="2:24" x14ac:dyDescent="0.25">
      <c r="B48" t="s">
        <v>14</v>
      </c>
      <c r="E48">
        <v>912</v>
      </c>
      <c r="F48" s="2">
        <f t="shared" si="6"/>
        <v>0</v>
      </c>
      <c r="L48" s="2">
        <f t="shared" ref="L48:L65" si="8">-I48*K48+J48*K48</f>
        <v>0</v>
      </c>
      <c r="N48" t="s">
        <v>14</v>
      </c>
      <c r="R48" s="2">
        <f t="shared" si="7"/>
        <v>0</v>
      </c>
      <c r="X48" s="2">
        <f t="shared" si="5"/>
        <v>0</v>
      </c>
    </row>
    <row r="49" spans="2:24" x14ac:dyDescent="0.25">
      <c r="B49" t="s">
        <v>15</v>
      </c>
      <c r="F49" s="2">
        <f t="shared" si="6"/>
        <v>0</v>
      </c>
      <c r="L49" s="2">
        <f t="shared" si="8"/>
        <v>0</v>
      </c>
      <c r="N49" t="s">
        <v>15</v>
      </c>
      <c r="R49" s="2">
        <f t="shared" si="7"/>
        <v>0</v>
      </c>
      <c r="X49" s="2">
        <f t="shared" si="5"/>
        <v>0</v>
      </c>
    </row>
    <row r="50" spans="2:24" x14ac:dyDescent="0.25">
      <c r="B50" t="s">
        <v>16</v>
      </c>
      <c r="E50">
        <v>872</v>
      </c>
      <c r="F50" s="2">
        <f t="shared" si="6"/>
        <v>0</v>
      </c>
      <c r="L50" s="2">
        <f t="shared" si="8"/>
        <v>0</v>
      </c>
      <c r="N50" t="s">
        <v>16</v>
      </c>
      <c r="R50" s="2">
        <f t="shared" si="7"/>
        <v>0</v>
      </c>
      <c r="X50" s="2">
        <f t="shared" si="5"/>
        <v>0</v>
      </c>
    </row>
    <row r="51" spans="2:24" x14ac:dyDescent="0.25">
      <c r="B51" t="s">
        <v>17</v>
      </c>
      <c r="C51">
        <v>1</v>
      </c>
      <c r="E51">
        <v>9.5</v>
      </c>
      <c r="F51" s="2">
        <f t="shared" si="6"/>
        <v>9.5</v>
      </c>
      <c r="K51">
        <v>42</v>
      </c>
      <c r="L51" s="2">
        <f t="shared" si="8"/>
        <v>0</v>
      </c>
      <c r="N51" t="s">
        <v>17</v>
      </c>
      <c r="O51">
        <v>1</v>
      </c>
      <c r="Q51">
        <v>9.5</v>
      </c>
      <c r="R51" s="2">
        <f t="shared" si="7"/>
        <v>9.5</v>
      </c>
      <c r="X51" s="2">
        <f t="shared" si="5"/>
        <v>0</v>
      </c>
    </row>
    <row r="52" spans="2:24" x14ac:dyDescent="0.25">
      <c r="B52" t="s">
        <v>18</v>
      </c>
      <c r="E52">
        <v>500</v>
      </c>
      <c r="F52" s="2">
        <f t="shared" si="6"/>
        <v>0</v>
      </c>
      <c r="L52" s="2">
        <f t="shared" si="8"/>
        <v>0</v>
      </c>
      <c r="N52" t="s">
        <v>18</v>
      </c>
      <c r="R52" s="2">
        <f t="shared" si="7"/>
        <v>0</v>
      </c>
      <c r="X52" s="2">
        <f t="shared" si="5"/>
        <v>0</v>
      </c>
    </row>
    <row r="53" spans="2:24" x14ac:dyDescent="0.25">
      <c r="B53" t="s">
        <v>26</v>
      </c>
      <c r="E53">
        <v>650</v>
      </c>
      <c r="F53" s="2">
        <f t="shared" si="6"/>
        <v>0</v>
      </c>
      <c r="L53" s="2">
        <f t="shared" si="8"/>
        <v>0</v>
      </c>
      <c r="N53" t="s">
        <v>26</v>
      </c>
      <c r="R53" s="2">
        <f t="shared" si="7"/>
        <v>0</v>
      </c>
      <c r="X53" s="2">
        <f t="shared" si="5"/>
        <v>0</v>
      </c>
    </row>
    <row r="54" spans="2:24" x14ac:dyDescent="0.25">
      <c r="B54" s="12" t="s">
        <v>41</v>
      </c>
      <c r="E54">
        <v>1175</v>
      </c>
      <c r="F54" s="2">
        <f t="shared" si="6"/>
        <v>0</v>
      </c>
      <c r="L54" s="2">
        <f t="shared" si="8"/>
        <v>0</v>
      </c>
      <c r="R54" s="2">
        <f t="shared" si="7"/>
        <v>0</v>
      </c>
      <c r="X54" s="2">
        <f t="shared" si="5"/>
        <v>0</v>
      </c>
    </row>
    <row r="55" spans="2:24" x14ac:dyDescent="0.25">
      <c r="B55" t="s">
        <v>40</v>
      </c>
      <c r="E55">
        <v>700</v>
      </c>
      <c r="F55" s="2">
        <f t="shared" si="6"/>
        <v>0</v>
      </c>
      <c r="L55" s="2">
        <f t="shared" si="8"/>
        <v>0</v>
      </c>
      <c r="R55" s="2">
        <f t="shared" si="7"/>
        <v>0</v>
      </c>
      <c r="X55" s="2">
        <f t="shared" si="5"/>
        <v>0</v>
      </c>
    </row>
    <row r="56" spans="2:24" x14ac:dyDescent="0.25">
      <c r="F56" s="2">
        <f t="shared" si="6"/>
        <v>0</v>
      </c>
      <c r="L56" s="2">
        <f t="shared" si="8"/>
        <v>0</v>
      </c>
      <c r="R56" s="2">
        <f t="shared" si="7"/>
        <v>0</v>
      </c>
      <c r="X56" s="2">
        <f t="shared" si="5"/>
        <v>0</v>
      </c>
    </row>
    <row r="57" spans="2:24" x14ac:dyDescent="0.25">
      <c r="F57" s="2">
        <f t="shared" si="6"/>
        <v>0</v>
      </c>
      <c r="L57" s="2">
        <f t="shared" si="8"/>
        <v>0</v>
      </c>
      <c r="R57" s="2">
        <f t="shared" si="7"/>
        <v>0</v>
      </c>
      <c r="X57" s="2">
        <f t="shared" si="5"/>
        <v>0</v>
      </c>
    </row>
    <row r="58" spans="2:24" x14ac:dyDescent="0.25">
      <c r="F58" s="2">
        <f t="shared" si="6"/>
        <v>0</v>
      </c>
      <c r="L58" s="2">
        <f t="shared" si="8"/>
        <v>0</v>
      </c>
      <c r="R58" s="2">
        <f t="shared" si="7"/>
        <v>0</v>
      </c>
      <c r="X58" s="2">
        <f t="shared" si="5"/>
        <v>0</v>
      </c>
    </row>
    <row r="59" spans="2:24" x14ac:dyDescent="0.25">
      <c r="F59" s="2">
        <f t="shared" si="6"/>
        <v>0</v>
      </c>
      <c r="L59" s="2">
        <f t="shared" si="8"/>
        <v>0</v>
      </c>
      <c r="R59" s="2">
        <f t="shared" si="7"/>
        <v>0</v>
      </c>
      <c r="X59" s="2">
        <f t="shared" si="5"/>
        <v>0</v>
      </c>
    </row>
    <row r="60" spans="2:24" x14ac:dyDescent="0.25">
      <c r="F60" s="2">
        <f t="shared" si="6"/>
        <v>0</v>
      </c>
      <c r="L60" s="2">
        <f t="shared" si="8"/>
        <v>0</v>
      </c>
      <c r="R60" s="2">
        <f t="shared" si="7"/>
        <v>0</v>
      </c>
      <c r="X60" s="2">
        <f t="shared" si="5"/>
        <v>0</v>
      </c>
    </row>
    <row r="61" spans="2:24" x14ac:dyDescent="0.25">
      <c r="F61" s="2">
        <f t="shared" si="6"/>
        <v>0</v>
      </c>
      <c r="L61" s="2">
        <f t="shared" si="8"/>
        <v>0</v>
      </c>
      <c r="R61" s="2">
        <f t="shared" si="7"/>
        <v>0</v>
      </c>
      <c r="X61" s="2">
        <f t="shared" si="5"/>
        <v>0</v>
      </c>
    </row>
    <row r="62" spans="2:24" x14ac:dyDescent="0.25">
      <c r="F62" s="2">
        <f t="shared" si="6"/>
        <v>0</v>
      </c>
      <c r="L62" s="2">
        <f t="shared" si="8"/>
        <v>0</v>
      </c>
      <c r="R62" s="2">
        <f t="shared" si="7"/>
        <v>0</v>
      </c>
      <c r="X62" s="2">
        <f t="shared" si="5"/>
        <v>0</v>
      </c>
    </row>
    <row r="63" spans="2:24" x14ac:dyDescent="0.25">
      <c r="F63" s="2">
        <f t="shared" si="6"/>
        <v>0</v>
      </c>
      <c r="L63" s="2">
        <f t="shared" si="8"/>
        <v>0</v>
      </c>
      <c r="R63" s="2">
        <f t="shared" si="7"/>
        <v>0</v>
      </c>
      <c r="X63" s="2">
        <f t="shared" si="5"/>
        <v>0</v>
      </c>
    </row>
    <row r="64" spans="2:24" x14ac:dyDescent="0.25">
      <c r="F64" s="2">
        <f t="shared" si="6"/>
        <v>0</v>
      </c>
      <c r="L64" s="2">
        <f t="shared" si="8"/>
        <v>0</v>
      </c>
      <c r="R64" s="2">
        <f t="shared" si="7"/>
        <v>0</v>
      </c>
      <c r="X64" s="2">
        <f t="shared" si="5"/>
        <v>0</v>
      </c>
    </row>
    <row r="65" spans="2:24" x14ac:dyDescent="0.25">
      <c r="F65" s="2">
        <f t="shared" si="6"/>
        <v>0</v>
      </c>
      <c r="L65" s="2">
        <f t="shared" si="8"/>
        <v>0</v>
      </c>
      <c r="R65" s="2">
        <f t="shared" si="7"/>
        <v>0</v>
      </c>
      <c r="X65" s="2">
        <f t="shared" si="5"/>
        <v>0</v>
      </c>
    </row>
    <row r="66" spans="2:24" x14ac:dyDescent="0.25">
      <c r="F66" s="2">
        <f t="shared" si="6"/>
        <v>0</v>
      </c>
      <c r="H66" s="26" t="s">
        <v>23</v>
      </c>
      <c r="I66" s="26"/>
      <c r="J66" s="26"/>
      <c r="K66" s="26"/>
      <c r="L66" s="9">
        <f>SUM(L44:L65)</f>
        <v>0</v>
      </c>
      <c r="R66" s="2">
        <f t="shared" si="7"/>
        <v>0</v>
      </c>
      <c r="T66" s="26" t="s">
        <v>23</v>
      </c>
      <c r="U66" s="26"/>
      <c r="V66" s="26"/>
      <c r="W66" s="26"/>
      <c r="X66" s="9">
        <f>SUM(X44:X65)</f>
        <v>0</v>
      </c>
    </row>
    <row r="67" spans="2:24" x14ac:dyDescent="0.25">
      <c r="B67" s="27" t="s">
        <v>28</v>
      </c>
      <c r="C67" s="27"/>
      <c r="D67" s="8"/>
      <c r="E67" s="8"/>
      <c r="F67" s="5">
        <f>-D67*E67</f>
        <v>0</v>
      </c>
      <c r="H67" s="26" t="s">
        <v>24</v>
      </c>
      <c r="I67" s="26"/>
      <c r="J67" s="26"/>
      <c r="K67" s="26"/>
      <c r="L67" s="4">
        <f>SUM(F68)</f>
        <v>659.5</v>
      </c>
      <c r="N67" s="27" t="s">
        <v>28</v>
      </c>
      <c r="O67" s="27"/>
      <c r="P67" s="8"/>
      <c r="Q67" s="8"/>
      <c r="R67" s="5">
        <f>-P67*Q67</f>
        <v>0</v>
      </c>
      <c r="T67" s="26" t="s">
        <v>24</v>
      </c>
      <c r="U67" s="26"/>
      <c r="V67" s="26"/>
      <c r="W67" s="26"/>
      <c r="X67" s="4">
        <f>SUM(R68)</f>
        <v>659.5</v>
      </c>
    </row>
    <row r="68" spans="2:24" x14ac:dyDescent="0.25">
      <c r="B68" s="28" t="s">
        <v>19</v>
      </c>
      <c r="C68" s="28"/>
      <c r="D68" s="28"/>
      <c r="E68" s="28"/>
      <c r="F68" s="13">
        <f>SUM(F44:F67)</f>
        <v>659.5</v>
      </c>
      <c r="H68" s="26" t="s">
        <v>25</v>
      </c>
      <c r="I68" s="26"/>
      <c r="J68" s="26"/>
      <c r="K68" s="26"/>
      <c r="L68" s="14">
        <f>SUM(L67+L66)</f>
        <v>659.5</v>
      </c>
      <c r="N68" s="28" t="s">
        <v>19</v>
      </c>
      <c r="O68" s="28"/>
      <c r="P68" s="28"/>
      <c r="Q68" s="28"/>
      <c r="R68" s="13">
        <f>SUM(R44:R67)</f>
        <v>659.5</v>
      </c>
      <c r="T68" s="26" t="s">
        <v>25</v>
      </c>
      <c r="U68" s="26"/>
      <c r="V68" s="26"/>
      <c r="W68" s="26"/>
      <c r="X68" s="14">
        <f>SUM(X67+X66)</f>
        <v>659.5</v>
      </c>
    </row>
    <row r="69" spans="2:24" ht="18.75" x14ac:dyDescent="0.3">
      <c r="B69" s="11" t="s">
        <v>29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N69" s="11" t="s">
        <v>29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1" spans="2:24" x14ac:dyDescent="0.25">
      <c r="B71" s="21" t="s">
        <v>0</v>
      </c>
      <c r="C71" s="21"/>
      <c r="D71" s="22" t="s">
        <v>63</v>
      </c>
      <c r="E71" s="22"/>
      <c r="F71" s="22"/>
      <c r="H71" s="21" t="s">
        <v>43</v>
      </c>
      <c r="I71" s="21"/>
      <c r="J71">
        <v>2</v>
      </c>
      <c r="N71" s="21" t="s">
        <v>0</v>
      </c>
      <c r="O71" s="21"/>
      <c r="P71" s="22" t="s">
        <v>67</v>
      </c>
      <c r="Q71" s="22"/>
      <c r="R71" s="22"/>
      <c r="T71" s="21" t="s">
        <v>43</v>
      </c>
      <c r="U71" s="21"/>
      <c r="V71">
        <v>2</v>
      </c>
    </row>
    <row r="72" spans="2:24" x14ac:dyDescent="0.25">
      <c r="B72" s="21" t="s">
        <v>1</v>
      </c>
      <c r="C72" s="21"/>
      <c r="D72" s="23" t="s">
        <v>64</v>
      </c>
      <c r="E72" s="23"/>
      <c r="F72" s="23"/>
      <c r="H72" s="21" t="s">
        <v>44</v>
      </c>
      <c r="I72" s="21"/>
      <c r="J72" t="s">
        <v>50</v>
      </c>
      <c r="N72" s="21" t="s">
        <v>1</v>
      </c>
      <c r="O72" s="21"/>
      <c r="P72" s="23" t="s">
        <v>68</v>
      </c>
      <c r="Q72" s="23"/>
      <c r="R72" s="23"/>
      <c r="T72" s="21" t="s">
        <v>44</v>
      </c>
      <c r="U72" s="21"/>
      <c r="V72" t="s">
        <v>50</v>
      </c>
    </row>
    <row r="73" spans="2:24" x14ac:dyDescent="0.25">
      <c r="B73" s="21" t="s">
        <v>3</v>
      </c>
      <c r="C73" s="21"/>
      <c r="D73" s="23" t="s">
        <v>32</v>
      </c>
      <c r="E73" s="23"/>
      <c r="F73" s="23"/>
      <c r="H73" s="21" t="s">
        <v>45</v>
      </c>
      <c r="I73" s="21"/>
      <c r="J73" t="s">
        <v>51</v>
      </c>
      <c r="N73" s="21" t="s">
        <v>3</v>
      </c>
      <c r="O73" s="21"/>
      <c r="P73" s="23" t="s">
        <v>32</v>
      </c>
      <c r="Q73" s="23"/>
      <c r="R73" s="23"/>
      <c r="T73" s="21" t="s">
        <v>45</v>
      </c>
      <c r="U73" s="21"/>
      <c r="V73" t="s">
        <v>51</v>
      </c>
    </row>
    <row r="74" spans="2:24" x14ac:dyDescent="0.25">
      <c r="B74" s="21" t="s">
        <v>2</v>
      </c>
      <c r="C74" s="21"/>
      <c r="D74" s="23" t="s">
        <v>65</v>
      </c>
      <c r="E74" s="23"/>
      <c r="F74" s="23"/>
      <c r="H74" s="21" t="s">
        <v>46</v>
      </c>
      <c r="I74" s="21"/>
      <c r="J74" t="s">
        <v>52</v>
      </c>
      <c r="N74" s="21" t="s">
        <v>2</v>
      </c>
      <c r="O74" s="21"/>
      <c r="P74" s="23" t="s">
        <v>65</v>
      </c>
      <c r="Q74" s="23"/>
      <c r="R74" s="23"/>
      <c r="T74" s="21" t="s">
        <v>46</v>
      </c>
      <c r="U74" s="21"/>
      <c r="V74" t="s">
        <v>52</v>
      </c>
    </row>
    <row r="76" spans="2:24" x14ac:dyDescent="0.25">
      <c r="B76" s="1"/>
      <c r="C76" s="1" t="s">
        <v>4</v>
      </c>
      <c r="D76" s="1"/>
      <c r="E76" s="1"/>
      <c r="F76" s="1"/>
      <c r="H76" s="25" t="s">
        <v>20</v>
      </c>
      <c r="I76" s="25"/>
      <c r="J76" s="25"/>
      <c r="K76" s="25"/>
      <c r="L76" s="25"/>
      <c r="N76" s="1"/>
      <c r="O76" s="1" t="s">
        <v>4</v>
      </c>
      <c r="P76" s="1"/>
      <c r="Q76" s="1"/>
      <c r="R76" s="1"/>
      <c r="T76" s="25" t="s">
        <v>20</v>
      </c>
      <c r="U76" s="25"/>
      <c r="V76" s="25"/>
      <c r="W76" s="25"/>
      <c r="X76" s="25"/>
    </row>
    <row r="77" spans="2:24" x14ac:dyDescent="0.25">
      <c r="B77" s="6" t="s">
        <v>5</v>
      </c>
      <c r="C77" s="6" t="s">
        <v>6</v>
      </c>
      <c r="D77" s="6" t="s">
        <v>7</v>
      </c>
      <c r="E77" s="7" t="s">
        <v>8</v>
      </c>
      <c r="F77" s="6" t="s">
        <v>9</v>
      </c>
      <c r="H77" s="6" t="s">
        <v>5</v>
      </c>
      <c r="I77" s="7" t="s">
        <v>21</v>
      </c>
      <c r="J77" s="7" t="s">
        <v>22</v>
      </c>
      <c r="K77" s="7" t="s">
        <v>8</v>
      </c>
      <c r="L77" s="7" t="s">
        <v>9</v>
      </c>
      <c r="N77" s="6" t="s">
        <v>5</v>
      </c>
      <c r="O77" s="6" t="s">
        <v>6</v>
      </c>
      <c r="P77" s="6" t="s">
        <v>7</v>
      </c>
      <c r="Q77" s="7" t="s">
        <v>8</v>
      </c>
      <c r="R77" s="6" t="s">
        <v>9</v>
      </c>
      <c r="T77" s="6" t="s">
        <v>5</v>
      </c>
      <c r="U77" s="7" t="s">
        <v>21</v>
      </c>
      <c r="V77" s="7" t="s">
        <v>22</v>
      </c>
      <c r="W77" s="7" t="s">
        <v>8</v>
      </c>
      <c r="X77" s="7" t="s">
        <v>9</v>
      </c>
    </row>
    <row r="78" spans="2:24" x14ac:dyDescent="0.25">
      <c r="B78" t="s">
        <v>10</v>
      </c>
      <c r="C78">
        <v>181</v>
      </c>
      <c r="E78">
        <v>650</v>
      </c>
      <c r="F78" s="2">
        <f>C78*E78</f>
        <v>117650</v>
      </c>
      <c r="K78">
        <v>111</v>
      </c>
      <c r="L78" s="2">
        <f t="shared" ref="L78:L80" si="9">-I78*K78+J78*K78</f>
        <v>0</v>
      </c>
      <c r="N78" t="s">
        <v>10</v>
      </c>
      <c r="O78">
        <v>68</v>
      </c>
      <c r="Q78">
        <v>650</v>
      </c>
      <c r="R78" s="2">
        <f>O78*Q78</f>
        <v>44200</v>
      </c>
      <c r="T78" t="s">
        <v>69</v>
      </c>
      <c r="V78">
        <v>1</v>
      </c>
      <c r="W78">
        <v>4.5</v>
      </c>
      <c r="X78" s="2">
        <f t="shared" ref="X78:X99" si="10">-U78*W78+V78*W78</f>
        <v>4.5</v>
      </c>
    </row>
    <row r="79" spans="2:24" x14ac:dyDescent="0.25">
      <c r="B79" t="s">
        <v>11</v>
      </c>
      <c r="E79">
        <v>670</v>
      </c>
      <c r="F79" s="2">
        <f t="shared" ref="F79:F100" si="11">C79*E79</f>
        <v>0</v>
      </c>
      <c r="L79" s="2">
        <f t="shared" si="9"/>
        <v>0</v>
      </c>
      <c r="N79" t="s">
        <v>11</v>
      </c>
      <c r="R79" s="2">
        <f t="shared" ref="R79:R100" si="12">O79*Q79</f>
        <v>0</v>
      </c>
      <c r="T79" t="s">
        <v>17</v>
      </c>
      <c r="V79">
        <v>2</v>
      </c>
      <c r="W79">
        <v>111</v>
      </c>
      <c r="X79" s="2">
        <f t="shared" si="10"/>
        <v>222</v>
      </c>
    </row>
    <row r="80" spans="2:24" x14ac:dyDescent="0.25">
      <c r="B80" t="s">
        <v>12</v>
      </c>
      <c r="E80">
        <v>973</v>
      </c>
      <c r="F80" s="2">
        <f t="shared" si="11"/>
        <v>0</v>
      </c>
      <c r="L80" s="2">
        <f t="shared" si="9"/>
        <v>0</v>
      </c>
      <c r="N80" t="s">
        <v>12</v>
      </c>
      <c r="R80" s="2">
        <f t="shared" si="12"/>
        <v>0</v>
      </c>
      <c r="X80" s="2">
        <f t="shared" si="10"/>
        <v>0</v>
      </c>
    </row>
    <row r="81" spans="2:24" x14ac:dyDescent="0.25">
      <c r="B81" t="s">
        <v>13</v>
      </c>
      <c r="C81">
        <v>27</v>
      </c>
      <c r="E81">
        <v>622</v>
      </c>
      <c r="F81" s="2">
        <f t="shared" si="11"/>
        <v>16794</v>
      </c>
      <c r="K81">
        <v>4.5</v>
      </c>
      <c r="L81" s="2">
        <f>-I81*K81+J81*K81</f>
        <v>0</v>
      </c>
      <c r="N81" t="s">
        <v>13</v>
      </c>
      <c r="R81" s="2">
        <f t="shared" si="12"/>
        <v>0</v>
      </c>
      <c r="X81" s="2">
        <f t="shared" si="10"/>
        <v>0</v>
      </c>
    </row>
    <row r="82" spans="2:24" x14ac:dyDescent="0.25">
      <c r="B82" t="s">
        <v>14</v>
      </c>
      <c r="E82">
        <v>912</v>
      </c>
      <c r="F82" s="2">
        <f t="shared" si="11"/>
        <v>0</v>
      </c>
      <c r="L82" s="2">
        <f t="shared" ref="L82:L99" si="13">-I82*K82+J82*K82</f>
        <v>0</v>
      </c>
      <c r="N82" t="s">
        <v>14</v>
      </c>
      <c r="R82" s="2">
        <f t="shared" si="12"/>
        <v>0</v>
      </c>
      <c r="X82" s="2">
        <f t="shared" si="10"/>
        <v>0</v>
      </c>
    </row>
    <row r="83" spans="2:24" x14ac:dyDescent="0.25">
      <c r="B83" t="s">
        <v>15</v>
      </c>
      <c r="F83" s="2">
        <f t="shared" si="11"/>
        <v>0</v>
      </c>
      <c r="L83" s="2">
        <f t="shared" si="13"/>
        <v>0</v>
      </c>
      <c r="N83" t="s">
        <v>15</v>
      </c>
      <c r="R83" s="2">
        <f t="shared" si="12"/>
        <v>0</v>
      </c>
      <c r="X83" s="2">
        <f t="shared" si="10"/>
        <v>0</v>
      </c>
    </row>
    <row r="84" spans="2:24" x14ac:dyDescent="0.25">
      <c r="B84" t="s">
        <v>16</v>
      </c>
      <c r="E84">
        <v>872</v>
      </c>
      <c r="F84" s="2">
        <f t="shared" si="11"/>
        <v>0</v>
      </c>
      <c r="L84" s="2">
        <f t="shared" si="13"/>
        <v>0</v>
      </c>
      <c r="N84" t="s">
        <v>16</v>
      </c>
      <c r="R84" s="2">
        <f t="shared" si="12"/>
        <v>0</v>
      </c>
      <c r="X84" s="2">
        <f t="shared" si="10"/>
        <v>0</v>
      </c>
    </row>
    <row r="85" spans="2:24" x14ac:dyDescent="0.25">
      <c r="B85" t="s">
        <v>17</v>
      </c>
      <c r="C85">
        <v>8</v>
      </c>
      <c r="E85">
        <v>229</v>
      </c>
      <c r="F85" s="2">
        <f t="shared" si="11"/>
        <v>1832</v>
      </c>
      <c r="H85" t="s">
        <v>66</v>
      </c>
      <c r="J85">
        <v>168</v>
      </c>
      <c r="K85">
        <v>1.5</v>
      </c>
      <c r="L85" s="2">
        <f t="shared" si="13"/>
        <v>252</v>
      </c>
      <c r="N85" t="s">
        <v>17</v>
      </c>
      <c r="Q85">
        <v>9.5</v>
      </c>
      <c r="R85" s="2">
        <f t="shared" si="12"/>
        <v>0</v>
      </c>
      <c r="X85" s="2">
        <f t="shared" si="10"/>
        <v>0</v>
      </c>
    </row>
    <row r="86" spans="2:24" x14ac:dyDescent="0.25">
      <c r="B86" t="s">
        <v>18</v>
      </c>
      <c r="E86">
        <v>500</v>
      </c>
      <c r="F86" s="2">
        <f t="shared" si="11"/>
        <v>0</v>
      </c>
      <c r="L86" s="2">
        <f t="shared" si="13"/>
        <v>0</v>
      </c>
      <c r="N86" t="s">
        <v>18</v>
      </c>
      <c r="R86" s="2">
        <f t="shared" si="12"/>
        <v>0</v>
      </c>
      <c r="X86" s="2">
        <f t="shared" si="10"/>
        <v>0</v>
      </c>
    </row>
    <row r="87" spans="2:24" x14ac:dyDescent="0.25">
      <c r="B87" t="s">
        <v>26</v>
      </c>
      <c r="E87">
        <v>650</v>
      </c>
      <c r="F87" s="2">
        <f t="shared" si="11"/>
        <v>0</v>
      </c>
      <c r="L87" s="2">
        <f t="shared" si="13"/>
        <v>0</v>
      </c>
      <c r="N87" t="s">
        <v>26</v>
      </c>
      <c r="R87" s="2">
        <f t="shared" si="12"/>
        <v>0</v>
      </c>
      <c r="X87" s="2">
        <f t="shared" si="10"/>
        <v>0</v>
      </c>
    </row>
    <row r="88" spans="2:24" x14ac:dyDescent="0.25">
      <c r="B88" s="12" t="s">
        <v>41</v>
      </c>
      <c r="E88">
        <v>1175</v>
      </c>
      <c r="F88" s="2">
        <f t="shared" si="11"/>
        <v>0</v>
      </c>
      <c r="L88" s="2">
        <f t="shared" si="13"/>
        <v>0</v>
      </c>
      <c r="N88" t="s">
        <v>40</v>
      </c>
      <c r="O88">
        <v>2</v>
      </c>
      <c r="Q88">
        <v>700</v>
      </c>
      <c r="R88" s="2">
        <f t="shared" si="12"/>
        <v>1400</v>
      </c>
      <c r="X88" s="2">
        <f t="shared" si="10"/>
        <v>0</v>
      </c>
    </row>
    <row r="89" spans="2:24" x14ac:dyDescent="0.25">
      <c r="B89" t="s">
        <v>40</v>
      </c>
      <c r="E89">
        <v>700</v>
      </c>
      <c r="F89" s="2">
        <f t="shared" si="11"/>
        <v>0</v>
      </c>
      <c r="L89" s="2">
        <f t="shared" si="13"/>
        <v>0</v>
      </c>
      <c r="R89" s="2">
        <f t="shared" si="12"/>
        <v>0</v>
      </c>
      <c r="X89" s="2">
        <f t="shared" si="10"/>
        <v>0</v>
      </c>
    </row>
    <row r="90" spans="2:24" x14ac:dyDescent="0.25">
      <c r="F90" s="2">
        <f t="shared" si="11"/>
        <v>0</v>
      </c>
      <c r="L90" s="2">
        <f t="shared" si="13"/>
        <v>0</v>
      </c>
      <c r="R90" s="2">
        <f t="shared" si="12"/>
        <v>0</v>
      </c>
      <c r="X90" s="2">
        <f t="shared" si="10"/>
        <v>0</v>
      </c>
    </row>
    <row r="91" spans="2:24" x14ac:dyDescent="0.25">
      <c r="F91" s="2">
        <f t="shared" si="11"/>
        <v>0</v>
      </c>
      <c r="L91" s="2">
        <f t="shared" si="13"/>
        <v>0</v>
      </c>
      <c r="R91" s="2">
        <f t="shared" si="12"/>
        <v>0</v>
      </c>
      <c r="X91" s="2">
        <f t="shared" si="10"/>
        <v>0</v>
      </c>
    </row>
    <row r="92" spans="2:24" x14ac:dyDescent="0.25">
      <c r="F92" s="2">
        <f t="shared" si="11"/>
        <v>0</v>
      </c>
      <c r="L92" s="2">
        <f t="shared" si="13"/>
        <v>0</v>
      </c>
      <c r="R92" s="2">
        <f t="shared" si="12"/>
        <v>0</v>
      </c>
      <c r="X92" s="2">
        <f t="shared" si="10"/>
        <v>0</v>
      </c>
    </row>
    <row r="93" spans="2:24" x14ac:dyDescent="0.25">
      <c r="F93" s="2">
        <f t="shared" si="11"/>
        <v>0</v>
      </c>
      <c r="L93" s="2">
        <f t="shared" si="13"/>
        <v>0</v>
      </c>
      <c r="R93" s="2">
        <f t="shared" si="12"/>
        <v>0</v>
      </c>
      <c r="X93" s="2">
        <f t="shared" si="10"/>
        <v>0</v>
      </c>
    </row>
    <row r="94" spans="2:24" x14ac:dyDescent="0.25">
      <c r="F94" s="2">
        <f t="shared" si="11"/>
        <v>0</v>
      </c>
      <c r="L94" s="2">
        <f t="shared" si="13"/>
        <v>0</v>
      </c>
      <c r="R94" s="2">
        <f t="shared" si="12"/>
        <v>0</v>
      </c>
      <c r="X94" s="2">
        <f t="shared" si="10"/>
        <v>0</v>
      </c>
    </row>
    <row r="95" spans="2:24" x14ac:dyDescent="0.25">
      <c r="F95" s="2">
        <f t="shared" si="11"/>
        <v>0</v>
      </c>
      <c r="L95" s="2">
        <f t="shared" si="13"/>
        <v>0</v>
      </c>
      <c r="R95" s="2">
        <f t="shared" si="12"/>
        <v>0</v>
      </c>
      <c r="X95" s="2">
        <f t="shared" si="10"/>
        <v>0</v>
      </c>
    </row>
    <row r="96" spans="2:24" x14ac:dyDescent="0.25">
      <c r="F96" s="2">
        <f t="shared" si="11"/>
        <v>0</v>
      </c>
      <c r="L96" s="2">
        <f t="shared" si="13"/>
        <v>0</v>
      </c>
      <c r="R96" s="2">
        <f t="shared" si="12"/>
        <v>0</v>
      </c>
      <c r="X96" s="2">
        <f t="shared" si="10"/>
        <v>0</v>
      </c>
    </row>
    <row r="97" spans="2:24" x14ac:dyDescent="0.25">
      <c r="F97" s="2">
        <f t="shared" si="11"/>
        <v>0</v>
      </c>
      <c r="L97" s="2">
        <f t="shared" si="13"/>
        <v>0</v>
      </c>
      <c r="R97" s="2">
        <f t="shared" si="12"/>
        <v>0</v>
      </c>
      <c r="X97" s="2">
        <f t="shared" si="10"/>
        <v>0</v>
      </c>
    </row>
    <row r="98" spans="2:24" x14ac:dyDescent="0.25">
      <c r="F98" s="2">
        <f t="shared" si="11"/>
        <v>0</v>
      </c>
      <c r="L98" s="2">
        <f t="shared" si="13"/>
        <v>0</v>
      </c>
      <c r="R98" s="2">
        <f t="shared" si="12"/>
        <v>0</v>
      </c>
      <c r="X98" s="2">
        <f t="shared" si="10"/>
        <v>0</v>
      </c>
    </row>
    <row r="99" spans="2:24" x14ac:dyDescent="0.25">
      <c r="F99" s="2">
        <f t="shared" si="11"/>
        <v>0</v>
      </c>
      <c r="L99" s="2">
        <f t="shared" si="13"/>
        <v>0</v>
      </c>
      <c r="R99" s="2">
        <f t="shared" si="12"/>
        <v>0</v>
      </c>
      <c r="X99" s="2">
        <f t="shared" si="10"/>
        <v>0</v>
      </c>
    </row>
    <row r="100" spans="2:24" x14ac:dyDescent="0.25">
      <c r="F100" s="2">
        <f t="shared" si="11"/>
        <v>0</v>
      </c>
      <c r="H100" s="26" t="s">
        <v>23</v>
      </c>
      <c r="I100" s="26"/>
      <c r="J100" s="26"/>
      <c r="K100" s="26"/>
      <c r="L100" s="9">
        <f>SUM(L78:L99)</f>
        <v>252</v>
      </c>
      <c r="R100" s="2">
        <f t="shared" si="12"/>
        <v>0</v>
      </c>
      <c r="T100" s="26" t="s">
        <v>23</v>
      </c>
      <c r="U100" s="26"/>
      <c r="V100" s="26"/>
      <c r="W100" s="26"/>
      <c r="X100" s="9">
        <f>SUM(X78:X99)</f>
        <v>226.5</v>
      </c>
    </row>
    <row r="101" spans="2:24" x14ac:dyDescent="0.25">
      <c r="B101" s="27" t="s">
        <v>28</v>
      </c>
      <c r="C101" s="27"/>
      <c r="D101" s="8">
        <v>208</v>
      </c>
      <c r="E101" s="8">
        <v>6</v>
      </c>
      <c r="F101" s="5">
        <f>-D101*E101</f>
        <v>-1248</v>
      </c>
      <c r="H101" s="26" t="s">
        <v>24</v>
      </c>
      <c r="I101" s="26"/>
      <c r="J101" s="26"/>
      <c r="K101" s="26"/>
      <c r="L101" s="4">
        <f>SUM(F102)</f>
        <v>135028</v>
      </c>
      <c r="N101" s="27" t="s">
        <v>28</v>
      </c>
      <c r="O101" s="27"/>
      <c r="P101" s="8"/>
      <c r="Q101" s="8"/>
      <c r="R101" s="5">
        <f>-P101*Q101</f>
        <v>0</v>
      </c>
      <c r="T101" s="26" t="s">
        <v>24</v>
      </c>
      <c r="U101" s="26"/>
      <c r="V101" s="26"/>
      <c r="W101" s="26"/>
      <c r="X101" s="4">
        <f>SUM(R102)</f>
        <v>45600</v>
      </c>
    </row>
    <row r="102" spans="2:24" x14ac:dyDescent="0.25">
      <c r="B102" s="28" t="s">
        <v>19</v>
      </c>
      <c r="C102" s="28"/>
      <c r="D102" s="28"/>
      <c r="E102" s="28"/>
      <c r="F102" s="13">
        <f>SUM(F78:F101)</f>
        <v>135028</v>
      </c>
      <c r="H102" s="26" t="s">
        <v>25</v>
      </c>
      <c r="I102" s="26"/>
      <c r="J102" s="26"/>
      <c r="K102" s="26"/>
      <c r="L102" s="14">
        <f>SUM(L101+L100)</f>
        <v>135280</v>
      </c>
      <c r="N102" s="28" t="s">
        <v>19</v>
      </c>
      <c r="O102" s="28"/>
      <c r="P102" s="28"/>
      <c r="Q102" s="28"/>
      <c r="R102" s="13">
        <f>SUM(R78:R101)</f>
        <v>45600</v>
      </c>
      <c r="T102" s="26" t="s">
        <v>25</v>
      </c>
      <c r="U102" s="26"/>
      <c r="V102" s="26"/>
      <c r="W102" s="26"/>
      <c r="X102" s="14">
        <f>SUM(X101+X100)</f>
        <v>45826.5</v>
      </c>
    </row>
    <row r="103" spans="2:24" ht="18.75" x14ac:dyDescent="0.3">
      <c r="B103" s="11" t="s">
        <v>29</v>
      </c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N103" s="11" t="s">
        <v>29</v>
      </c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5" spans="2:24" x14ac:dyDescent="0.25">
      <c r="B105" s="21" t="s">
        <v>0</v>
      </c>
      <c r="C105" s="21"/>
      <c r="D105" s="22" t="s">
        <v>70</v>
      </c>
      <c r="E105" s="22"/>
      <c r="F105" s="22"/>
      <c r="H105" s="21" t="s">
        <v>43</v>
      </c>
      <c r="I105" s="21"/>
      <c r="J105">
        <v>2</v>
      </c>
      <c r="N105" s="21" t="s">
        <v>0</v>
      </c>
      <c r="O105" s="21"/>
      <c r="P105" s="22" t="s">
        <v>62</v>
      </c>
      <c r="Q105" s="22"/>
      <c r="R105" s="22"/>
      <c r="T105" s="21" t="s">
        <v>43</v>
      </c>
      <c r="U105" s="21"/>
      <c r="V105">
        <v>2</v>
      </c>
    </row>
    <row r="106" spans="2:24" x14ac:dyDescent="0.25">
      <c r="B106" s="21" t="s">
        <v>1</v>
      </c>
      <c r="C106" s="21"/>
      <c r="D106" s="23" t="s">
        <v>71</v>
      </c>
      <c r="E106" s="23"/>
      <c r="F106" s="23"/>
      <c r="H106" s="21" t="s">
        <v>44</v>
      </c>
      <c r="I106" s="21"/>
      <c r="J106" t="s">
        <v>50</v>
      </c>
      <c r="N106" s="21" t="s">
        <v>1</v>
      </c>
      <c r="O106" s="21"/>
      <c r="P106" s="23" t="s">
        <v>61</v>
      </c>
      <c r="Q106" s="23"/>
      <c r="R106" s="23"/>
      <c r="T106" s="21" t="s">
        <v>44</v>
      </c>
      <c r="U106" s="21"/>
      <c r="V106" t="s">
        <v>50</v>
      </c>
    </row>
    <row r="107" spans="2:24" x14ac:dyDescent="0.25">
      <c r="B107" s="21" t="s">
        <v>3</v>
      </c>
      <c r="C107" s="21"/>
      <c r="D107" s="23" t="s">
        <v>32</v>
      </c>
      <c r="E107" s="23"/>
      <c r="F107" s="23"/>
      <c r="H107" s="21" t="s">
        <v>45</v>
      </c>
      <c r="I107" s="21"/>
      <c r="J107" t="s">
        <v>51</v>
      </c>
      <c r="N107" s="21" t="s">
        <v>3</v>
      </c>
      <c r="O107" s="21"/>
      <c r="P107" s="23" t="s">
        <v>32</v>
      </c>
      <c r="Q107" s="23"/>
      <c r="R107" s="23"/>
      <c r="T107" s="21" t="s">
        <v>45</v>
      </c>
      <c r="U107" s="21"/>
      <c r="V107" t="s">
        <v>51</v>
      </c>
    </row>
    <row r="108" spans="2:24" x14ac:dyDescent="0.25">
      <c r="B108" s="21" t="s">
        <v>2</v>
      </c>
      <c r="C108" s="21"/>
      <c r="D108" s="23" t="s">
        <v>72</v>
      </c>
      <c r="E108" s="23"/>
      <c r="F108" s="23"/>
      <c r="H108" s="21" t="s">
        <v>46</v>
      </c>
      <c r="I108" s="21"/>
      <c r="J108" t="s">
        <v>52</v>
      </c>
      <c r="N108" s="21" t="s">
        <v>2</v>
      </c>
      <c r="O108" s="21"/>
      <c r="P108" s="23" t="s">
        <v>55</v>
      </c>
      <c r="Q108" s="23"/>
      <c r="R108" s="23"/>
      <c r="T108" s="21" t="s">
        <v>46</v>
      </c>
      <c r="U108" s="21"/>
      <c r="V108" t="s">
        <v>52</v>
      </c>
    </row>
    <row r="110" spans="2:24" x14ac:dyDescent="0.25">
      <c r="B110" s="1"/>
      <c r="C110" s="1" t="s">
        <v>4</v>
      </c>
      <c r="D110" s="1"/>
      <c r="E110" s="1"/>
      <c r="F110" s="1"/>
      <c r="H110" s="25" t="s">
        <v>20</v>
      </c>
      <c r="I110" s="25"/>
      <c r="J110" s="25"/>
      <c r="K110" s="25"/>
      <c r="L110" s="25"/>
      <c r="N110" s="1"/>
      <c r="O110" s="1" t="s">
        <v>4</v>
      </c>
      <c r="P110" s="1"/>
      <c r="Q110" s="1"/>
      <c r="R110" s="1"/>
      <c r="T110" s="25" t="s">
        <v>20</v>
      </c>
      <c r="U110" s="25"/>
      <c r="V110" s="25"/>
      <c r="W110" s="25"/>
      <c r="X110" s="25"/>
    </row>
    <row r="111" spans="2:24" x14ac:dyDescent="0.25">
      <c r="B111" s="6" t="s">
        <v>5</v>
      </c>
      <c r="C111" s="6" t="s">
        <v>6</v>
      </c>
      <c r="D111" s="6" t="s">
        <v>7</v>
      </c>
      <c r="E111" s="7" t="s">
        <v>8</v>
      </c>
      <c r="F111" s="6" t="s">
        <v>9</v>
      </c>
      <c r="H111" s="6" t="s">
        <v>5</v>
      </c>
      <c r="I111" s="7" t="s">
        <v>21</v>
      </c>
      <c r="J111" s="7" t="s">
        <v>22</v>
      </c>
      <c r="K111" s="7" t="s">
        <v>8</v>
      </c>
      <c r="L111" s="7" t="s">
        <v>9</v>
      </c>
      <c r="N111" s="6" t="s">
        <v>5</v>
      </c>
      <c r="O111" s="6" t="s">
        <v>6</v>
      </c>
      <c r="P111" s="6" t="s">
        <v>7</v>
      </c>
      <c r="Q111" s="7" t="s">
        <v>8</v>
      </c>
      <c r="R111" s="6" t="s">
        <v>9</v>
      </c>
      <c r="T111" s="6" t="s">
        <v>5</v>
      </c>
      <c r="U111" s="7" t="s">
        <v>21</v>
      </c>
      <c r="V111" s="7" t="s">
        <v>22</v>
      </c>
      <c r="W111" s="7" t="s">
        <v>8</v>
      </c>
      <c r="X111" s="7" t="s">
        <v>9</v>
      </c>
    </row>
    <row r="112" spans="2:24" x14ac:dyDescent="0.25">
      <c r="B112" t="s">
        <v>10</v>
      </c>
      <c r="C112">
        <v>50</v>
      </c>
      <c r="E112">
        <v>650</v>
      </c>
      <c r="F112" s="2">
        <f>C112*E112</f>
        <v>32500</v>
      </c>
      <c r="J112">
        <v>50</v>
      </c>
      <c r="K112">
        <v>111</v>
      </c>
      <c r="L112" s="2">
        <f t="shared" ref="L112:L114" si="14">-I112*K112+J112*K112</f>
        <v>5550</v>
      </c>
      <c r="N112" t="s">
        <v>10</v>
      </c>
      <c r="O112">
        <v>5</v>
      </c>
      <c r="Q112">
        <v>650</v>
      </c>
      <c r="R112" s="2">
        <f>O112*Q112</f>
        <v>3250</v>
      </c>
      <c r="X112" s="2">
        <f t="shared" ref="X112:X133" si="15">-U112*W112+V112*W112</f>
        <v>0</v>
      </c>
    </row>
    <row r="113" spans="2:24" x14ac:dyDescent="0.25">
      <c r="B113" t="s">
        <v>11</v>
      </c>
      <c r="E113">
        <v>670</v>
      </c>
      <c r="F113" s="2">
        <f t="shared" ref="F113:F134" si="16">C113*E113</f>
        <v>0</v>
      </c>
      <c r="I113">
        <v>13</v>
      </c>
      <c r="K113">
        <v>111</v>
      </c>
      <c r="L113" s="2">
        <f t="shared" si="14"/>
        <v>-1443</v>
      </c>
      <c r="N113" t="s">
        <v>11</v>
      </c>
      <c r="R113" s="2">
        <f t="shared" ref="R113:R134" si="17">O113*Q113</f>
        <v>0</v>
      </c>
      <c r="X113" s="2">
        <f t="shared" si="15"/>
        <v>0</v>
      </c>
    </row>
    <row r="114" spans="2:24" x14ac:dyDescent="0.25">
      <c r="B114" t="s">
        <v>12</v>
      </c>
      <c r="C114">
        <v>1</v>
      </c>
      <c r="E114">
        <v>973</v>
      </c>
      <c r="F114" s="2">
        <f t="shared" si="16"/>
        <v>973</v>
      </c>
      <c r="L114" s="2">
        <f t="shared" si="14"/>
        <v>0</v>
      </c>
      <c r="N114" t="s">
        <v>12</v>
      </c>
      <c r="R114" s="2">
        <f t="shared" si="17"/>
        <v>0</v>
      </c>
      <c r="X114" s="2">
        <f t="shared" si="15"/>
        <v>0</v>
      </c>
    </row>
    <row r="115" spans="2:24" x14ac:dyDescent="0.25">
      <c r="B115" t="s">
        <v>13</v>
      </c>
      <c r="E115">
        <v>622</v>
      </c>
      <c r="F115" s="2">
        <f t="shared" si="16"/>
        <v>0</v>
      </c>
      <c r="J115">
        <v>9</v>
      </c>
      <c r="K115">
        <v>4.5</v>
      </c>
      <c r="L115" s="2">
        <f>-I115*K115+J115*K115</f>
        <v>40.5</v>
      </c>
      <c r="N115" t="s">
        <v>13</v>
      </c>
      <c r="R115" s="2">
        <f t="shared" si="17"/>
        <v>0</v>
      </c>
      <c r="X115" s="2">
        <f t="shared" si="15"/>
        <v>0</v>
      </c>
    </row>
    <row r="116" spans="2:24" x14ac:dyDescent="0.25">
      <c r="B116" t="s">
        <v>14</v>
      </c>
      <c r="E116">
        <v>912</v>
      </c>
      <c r="F116" s="2">
        <f t="shared" si="16"/>
        <v>0</v>
      </c>
      <c r="J116">
        <v>10</v>
      </c>
      <c r="K116">
        <v>1.5</v>
      </c>
      <c r="L116" s="2">
        <f t="shared" ref="L116:L133" si="18">-I116*K116+J116*K116</f>
        <v>15</v>
      </c>
      <c r="N116" t="s">
        <v>14</v>
      </c>
      <c r="R116" s="2">
        <f t="shared" si="17"/>
        <v>0</v>
      </c>
      <c r="X116" s="2">
        <f t="shared" si="15"/>
        <v>0</v>
      </c>
    </row>
    <row r="117" spans="2:24" x14ac:dyDescent="0.25">
      <c r="B117" t="s">
        <v>15</v>
      </c>
      <c r="F117" s="2">
        <f t="shared" si="16"/>
        <v>0</v>
      </c>
      <c r="L117" s="2">
        <f t="shared" si="18"/>
        <v>0</v>
      </c>
      <c r="N117" t="s">
        <v>15</v>
      </c>
      <c r="R117" s="2">
        <f t="shared" si="17"/>
        <v>0</v>
      </c>
      <c r="X117" s="2">
        <f t="shared" si="15"/>
        <v>0</v>
      </c>
    </row>
    <row r="118" spans="2:24" x14ac:dyDescent="0.25">
      <c r="B118" t="s">
        <v>16</v>
      </c>
      <c r="E118">
        <v>872</v>
      </c>
      <c r="F118" s="2">
        <f t="shared" si="16"/>
        <v>0</v>
      </c>
      <c r="L118" s="2">
        <f t="shared" si="18"/>
        <v>0</v>
      </c>
      <c r="N118" t="s">
        <v>16</v>
      </c>
      <c r="R118" s="2">
        <f t="shared" si="17"/>
        <v>0</v>
      </c>
      <c r="X118" s="2">
        <f t="shared" si="15"/>
        <v>0</v>
      </c>
    </row>
    <row r="119" spans="2:24" x14ac:dyDescent="0.25">
      <c r="B119" t="s">
        <v>17</v>
      </c>
      <c r="C119">
        <v>1</v>
      </c>
      <c r="E119">
        <v>229</v>
      </c>
      <c r="F119" s="2">
        <f t="shared" si="16"/>
        <v>229</v>
      </c>
      <c r="K119">
        <v>42</v>
      </c>
      <c r="L119" s="2">
        <f t="shared" si="18"/>
        <v>0</v>
      </c>
      <c r="N119" t="s">
        <v>17</v>
      </c>
      <c r="O119">
        <v>5</v>
      </c>
      <c r="Q119">
        <v>9.5</v>
      </c>
      <c r="R119" s="2">
        <f t="shared" si="17"/>
        <v>47.5</v>
      </c>
      <c r="X119" s="2">
        <f t="shared" si="15"/>
        <v>0</v>
      </c>
    </row>
    <row r="120" spans="2:24" x14ac:dyDescent="0.25">
      <c r="B120" t="s">
        <v>18</v>
      </c>
      <c r="E120">
        <v>500</v>
      </c>
      <c r="F120" s="2">
        <f t="shared" si="16"/>
        <v>0</v>
      </c>
      <c r="L120" s="2">
        <f t="shared" si="18"/>
        <v>0</v>
      </c>
      <c r="N120" t="s">
        <v>18</v>
      </c>
      <c r="R120" s="2">
        <f t="shared" si="17"/>
        <v>0</v>
      </c>
      <c r="X120" s="2">
        <f t="shared" si="15"/>
        <v>0</v>
      </c>
    </row>
    <row r="121" spans="2:24" x14ac:dyDescent="0.25">
      <c r="B121" t="s">
        <v>26</v>
      </c>
      <c r="E121">
        <v>650</v>
      </c>
      <c r="F121" s="2">
        <f t="shared" si="16"/>
        <v>0</v>
      </c>
      <c r="L121" s="2">
        <f t="shared" si="18"/>
        <v>0</v>
      </c>
      <c r="N121" t="s">
        <v>26</v>
      </c>
      <c r="R121" s="2">
        <f t="shared" si="17"/>
        <v>0</v>
      </c>
      <c r="X121" s="2">
        <f t="shared" si="15"/>
        <v>0</v>
      </c>
    </row>
    <row r="122" spans="2:24" x14ac:dyDescent="0.25">
      <c r="B122" s="12" t="s">
        <v>41</v>
      </c>
      <c r="E122">
        <v>1175</v>
      </c>
      <c r="F122" s="2">
        <f t="shared" si="16"/>
        <v>0</v>
      </c>
      <c r="L122" s="2">
        <f t="shared" si="18"/>
        <v>0</v>
      </c>
      <c r="R122" s="2">
        <f t="shared" si="17"/>
        <v>0</v>
      </c>
      <c r="X122" s="2">
        <f t="shared" si="15"/>
        <v>0</v>
      </c>
    </row>
    <row r="123" spans="2:24" x14ac:dyDescent="0.25">
      <c r="B123" t="s">
        <v>40</v>
      </c>
      <c r="E123">
        <v>700</v>
      </c>
      <c r="F123" s="2">
        <f t="shared" si="16"/>
        <v>0</v>
      </c>
      <c r="L123" s="2">
        <f t="shared" si="18"/>
        <v>0</v>
      </c>
      <c r="R123" s="2">
        <f t="shared" si="17"/>
        <v>0</v>
      </c>
      <c r="X123" s="2">
        <f t="shared" si="15"/>
        <v>0</v>
      </c>
    </row>
    <row r="124" spans="2:24" x14ac:dyDescent="0.25">
      <c r="F124" s="2">
        <f t="shared" si="16"/>
        <v>0</v>
      </c>
      <c r="L124" s="2">
        <f t="shared" si="18"/>
        <v>0</v>
      </c>
      <c r="R124" s="2">
        <f t="shared" si="17"/>
        <v>0</v>
      </c>
      <c r="X124" s="2">
        <f t="shared" si="15"/>
        <v>0</v>
      </c>
    </row>
    <row r="125" spans="2:24" x14ac:dyDescent="0.25">
      <c r="F125" s="2">
        <f t="shared" si="16"/>
        <v>0</v>
      </c>
      <c r="L125" s="2">
        <f t="shared" si="18"/>
        <v>0</v>
      </c>
      <c r="R125" s="2">
        <f t="shared" si="17"/>
        <v>0</v>
      </c>
      <c r="X125" s="2">
        <f t="shared" si="15"/>
        <v>0</v>
      </c>
    </row>
    <row r="126" spans="2:24" x14ac:dyDescent="0.25">
      <c r="F126" s="2">
        <f t="shared" si="16"/>
        <v>0</v>
      </c>
      <c r="L126" s="2">
        <f t="shared" si="18"/>
        <v>0</v>
      </c>
      <c r="R126" s="2">
        <f t="shared" si="17"/>
        <v>0</v>
      </c>
      <c r="X126" s="2">
        <f t="shared" si="15"/>
        <v>0</v>
      </c>
    </row>
    <row r="127" spans="2:24" x14ac:dyDescent="0.25">
      <c r="F127" s="2">
        <f t="shared" si="16"/>
        <v>0</v>
      </c>
      <c r="L127" s="2">
        <f t="shared" si="18"/>
        <v>0</v>
      </c>
      <c r="R127" s="2">
        <f t="shared" si="17"/>
        <v>0</v>
      </c>
      <c r="X127" s="2">
        <f t="shared" si="15"/>
        <v>0</v>
      </c>
    </row>
    <row r="128" spans="2:24" x14ac:dyDescent="0.25">
      <c r="F128" s="2">
        <f t="shared" si="16"/>
        <v>0</v>
      </c>
      <c r="L128" s="2">
        <f t="shared" si="18"/>
        <v>0</v>
      </c>
      <c r="R128" s="2">
        <f t="shared" si="17"/>
        <v>0</v>
      </c>
      <c r="X128" s="2">
        <f t="shared" si="15"/>
        <v>0</v>
      </c>
    </row>
    <row r="129" spans="2:24" x14ac:dyDescent="0.25">
      <c r="F129" s="2">
        <f t="shared" si="16"/>
        <v>0</v>
      </c>
      <c r="L129" s="2">
        <f t="shared" si="18"/>
        <v>0</v>
      </c>
      <c r="R129" s="2">
        <f t="shared" si="17"/>
        <v>0</v>
      </c>
      <c r="X129" s="2">
        <f t="shared" si="15"/>
        <v>0</v>
      </c>
    </row>
    <row r="130" spans="2:24" x14ac:dyDescent="0.25">
      <c r="F130" s="2">
        <f t="shared" si="16"/>
        <v>0</v>
      </c>
      <c r="L130" s="2">
        <f t="shared" si="18"/>
        <v>0</v>
      </c>
      <c r="R130" s="2">
        <f t="shared" si="17"/>
        <v>0</v>
      </c>
      <c r="X130" s="2">
        <f t="shared" si="15"/>
        <v>0</v>
      </c>
    </row>
    <row r="131" spans="2:24" x14ac:dyDescent="0.25">
      <c r="F131" s="2">
        <f t="shared" si="16"/>
        <v>0</v>
      </c>
      <c r="L131" s="2">
        <f t="shared" si="18"/>
        <v>0</v>
      </c>
      <c r="R131" s="2">
        <f t="shared" si="17"/>
        <v>0</v>
      </c>
      <c r="X131" s="2">
        <f t="shared" si="15"/>
        <v>0</v>
      </c>
    </row>
    <row r="132" spans="2:24" x14ac:dyDescent="0.25">
      <c r="F132" s="2">
        <f t="shared" si="16"/>
        <v>0</v>
      </c>
      <c r="L132" s="2">
        <f t="shared" si="18"/>
        <v>0</v>
      </c>
      <c r="R132" s="2">
        <f t="shared" si="17"/>
        <v>0</v>
      </c>
      <c r="X132" s="2">
        <f t="shared" si="15"/>
        <v>0</v>
      </c>
    </row>
    <row r="133" spans="2:24" x14ac:dyDescent="0.25">
      <c r="F133" s="2">
        <f t="shared" si="16"/>
        <v>0</v>
      </c>
      <c r="L133" s="2">
        <f t="shared" si="18"/>
        <v>0</v>
      </c>
      <c r="R133" s="2">
        <f t="shared" si="17"/>
        <v>0</v>
      </c>
      <c r="X133" s="2">
        <f t="shared" si="15"/>
        <v>0</v>
      </c>
    </row>
    <row r="134" spans="2:24" x14ac:dyDescent="0.25">
      <c r="F134" s="2">
        <f t="shared" si="16"/>
        <v>0</v>
      </c>
      <c r="H134" s="26" t="s">
        <v>23</v>
      </c>
      <c r="I134" s="26"/>
      <c r="J134" s="26"/>
      <c r="K134" s="26"/>
      <c r="L134" s="9">
        <f>SUM(L112:L133)</f>
        <v>4162.5</v>
      </c>
      <c r="R134" s="2">
        <f t="shared" si="17"/>
        <v>0</v>
      </c>
      <c r="T134" s="26" t="s">
        <v>23</v>
      </c>
      <c r="U134" s="26"/>
      <c r="V134" s="26"/>
      <c r="W134" s="26"/>
      <c r="X134" s="9">
        <f>SUM(X112:X133)</f>
        <v>0</v>
      </c>
    </row>
    <row r="135" spans="2:24" x14ac:dyDescent="0.25">
      <c r="B135" s="27" t="s">
        <v>28</v>
      </c>
      <c r="C135" s="27"/>
      <c r="D135" s="8"/>
      <c r="E135" s="8"/>
      <c r="F135" s="5">
        <f>-D135*E135</f>
        <v>0</v>
      </c>
      <c r="H135" s="26" t="s">
        <v>24</v>
      </c>
      <c r="I135" s="26"/>
      <c r="J135" s="26"/>
      <c r="K135" s="26"/>
      <c r="L135" s="4">
        <f>SUM(F136)</f>
        <v>33702</v>
      </c>
      <c r="N135" s="27" t="s">
        <v>28</v>
      </c>
      <c r="O135" s="27"/>
      <c r="P135" s="8"/>
      <c r="Q135" s="8"/>
      <c r="R135" s="5">
        <f>-P135*Q135</f>
        <v>0</v>
      </c>
      <c r="T135" s="26" t="s">
        <v>24</v>
      </c>
      <c r="U135" s="26"/>
      <c r="V135" s="26"/>
      <c r="W135" s="26"/>
      <c r="X135" s="4">
        <f>SUM(R136)</f>
        <v>3297.5</v>
      </c>
    </row>
    <row r="136" spans="2:24" x14ac:dyDescent="0.25">
      <c r="B136" s="28" t="s">
        <v>19</v>
      </c>
      <c r="C136" s="28"/>
      <c r="D136" s="28"/>
      <c r="E136" s="28"/>
      <c r="F136" s="13">
        <f>SUM(F112:F135)</f>
        <v>33702</v>
      </c>
      <c r="H136" s="26" t="s">
        <v>25</v>
      </c>
      <c r="I136" s="26"/>
      <c r="J136" s="26"/>
      <c r="K136" s="26"/>
      <c r="L136" s="14">
        <f>SUM(L135+L134)</f>
        <v>37864.5</v>
      </c>
      <c r="N136" s="28" t="s">
        <v>19</v>
      </c>
      <c r="O136" s="28"/>
      <c r="P136" s="28"/>
      <c r="Q136" s="28"/>
      <c r="R136" s="13">
        <f>SUM(R112:R135)</f>
        <v>3297.5</v>
      </c>
      <c r="T136" s="26" t="s">
        <v>25</v>
      </c>
      <c r="U136" s="26"/>
      <c r="V136" s="26"/>
      <c r="W136" s="26"/>
      <c r="X136" s="14">
        <f>SUM(X135+X134)</f>
        <v>3297.5</v>
      </c>
    </row>
    <row r="137" spans="2:24" ht="18.75" x14ac:dyDescent="0.3">
      <c r="B137" s="11" t="s">
        <v>29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9" spans="2:24" x14ac:dyDescent="0.25">
      <c r="B139" s="21" t="s">
        <v>0</v>
      </c>
      <c r="C139" s="21"/>
      <c r="D139" s="22" t="s">
        <v>73</v>
      </c>
      <c r="E139" s="22"/>
      <c r="F139" s="22"/>
      <c r="H139" s="21" t="s">
        <v>43</v>
      </c>
      <c r="I139" s="21"/>
      <c r="J139">
        <v>2</v>
      </c>
    </row>
    <row r="140" spans="2:24" x14ac:dyDescent="0.25">
      <c r="B140" s="21" t="s">
        <v>1</v>
      </c>
      <c r="C140" s="21"/>
      <c r="D140" s="23" t="s">
        <v>74</v>
      </c>
      <c r="E140" s="23"/>
      <c r="F140" s="23"/>
      <c r="H140" s="21" t="s">
        <v>44</v>
      </c>
      <c r="I140" s="21"/>
      <c r="J140" t="s">
        <v>50</v>
      </c>
    </row>
    <row r="141" spans="2:24" x14ac:dyDescent="0.25">
      <c r="B141" s="21" t="s">
        <v>3</v>
      </c>
      <c r="C141" s="21"/>
      <c r="D141" s="23" t="s">
        <v>32</v>
      </c>
      <c r="E141" s="23"/>
      <c r="F141" s="23"/>
      <c r="H141" s="21" t="s">
        <v>45</v>
      </c>
      <c r="I141" s="21"/>
      <c r="J141" t="s">
        <v>51</v>
      </c>
    </row>
    <row r="142" spans="2:24" x14ac:dyDescent="0.25">
      <c r="B142" s="21" t="s">
        <v>2</v>
      </c>
      <c r="C142" s="21"/>
      <c r="D142" s="23" t="s">
        <v>75</v>
      </c>
      <c r="E142" s="23"/>
      <c r="F142" s="23"/>
      <c r="H142" s="21" t="s">
        <v>46</v>
      </c>
      <c r="I142" s="21"/>
      <c r="J142" t="s">
        <v>52</v>
      </c>
    </row>
    <row r="144" spans="2:24" x14ac:dyDescent="0.25">
      <c r="B144" s="1"/>
      <c r="C144" s="1" t="s">
        <v>4</v>
      </c>
      <c r="D144" s="1"/>
      <c r="E144" s="1"/>
      <c r="F144" s="1"/>
      <c r="H144" s="25" t="s">
        <v>20</v>
      </c>
      <c r="I144" s="25"/>
      <c r="J144" s="25"/>
      <c r="K144" s="25"/>
      <c r="L144" s="25"/>
    </row>
    <row r="145" spans="2:12" x14ac:dyDescent="0.25">
      <c r="B145" s="6" t="s">
        <v>5</v>
      </c>
      <c r="C145" s="6" t="s">
        <v>6</v>
      </c>
      <c r="D145" s="6" t="s">
        <v>7</v>
      </c>
      <c r="E145" s="7" t="s">
        <v>8</v>
      </c>
      <c r="F145" s="6" t="s">
        <v>9</v>
      </c>
      <c r="H145" s="6" t="s">
        <v>5</v>
      </c>
      <c r="I145" s="7" t="s">
        <v>21</v>
      </c>
      <c r="J145" s="7" t="s">
        <v>22</v>
      </c>
      <c r="K145" s="7" t="s">
        <v>8</v>
      </c>
      <c r="L145" s="7" t="s">
        <v>9</v>
      </c>
    </row>
    <row r="146" spans="2:12" x14ac:dyDescent="0.25">
      <c r="B146" t="s">
        <v>10</v>
      </c>
      <c r="C146">
        <v>23</v>
      </c>
      <c r="E146">
        <v>650</v>
      </c>
      <c r="F146" s="2">
        <f>C146*E146</f>
        <v>14950</v>
      </c>
      <c r="K146">
        <v>111</v>
      </c>
      <c r="L146" s="2">
        <f t="shared" ref="L146:L148" si="19">-I146*K146+J146*K146</f>
        <v>0</v>
      </c>
    </row>
    <row r="147" spans="2:12" x14ac:dyDescent="0.25">
      <c r="B147" t="s">
        <v>11</v>
      </c>
      <c r="E147">
        <v>670</v>
      </c>
      <c r="F147" s="2">
        <f t="shared" ref="F147:F168" si="20">C147*E147</f>
        <v>0</v>
      </c>
      <c r="K147">
        <v>111</v>
      </c>
      <c r="L147" s="2">
        <f t="shared" si="19"/>
        <v>0</v>
      </c>
    </row>
    <row r="148" spans="2:12" x14ac:dyDescent="0.25">
      <c r="B148" t="s">
        <v>12</v>
      </c>
      <c r="E148">
        <v>973</v>
      </c>
      <c r="F148" s="2">
        <f t="shared" si="20"/>
        <v>0</v>
      </c>
      <c r="L148" s="2">
        <f t="shared" si="19"/>
        <v>0</v>
      </c>
    </row>
    <row r="149" spans="2:12" x14ac:dyDescent="0.25">
      <c r="B149" t="s">
        <v>13</v>
      </c>
      <c r="E149">
        <v>622</v>
      </c>
      <c r="F149" s="2">
        <f t="shared" si="20"/>
        <v>0</v>
      </c>
      <c r="K149">
        <v>4.5</v>
      </c>
      <c r="L149" s="2">
        <f>-I149*K149+J149*K149</f>
        <v>0</v>
      </c>
    </row>
    <row r="150" spans="2:12" x14ac:dyDescent="0.25">
      <c r="B150" t="s">
        <v>14</v>
      </c>
      <c r="E150">
        <v>912</v>
      </c>
      <c r="F150" s="2">
        <f t="shared" si="20"/>
        <v>0</v>
      </c>
      <c r="J150">
        <v>52</v>
      </c>
      <c r="K150">
        <v>1.5</v>
      </c>
      <c r="L150" s="2">
        <f t="shared" ref="L150:L167" si="21">-I150*K150+J150*K150</f>
        <v>78</v>
      </c>
    </row>
    <row r="151" spans="2:12" x14ac:dyDescent="0.25">
      <c r="B151" t="s">
        <v>15</v>
      </c>
      <c r="F151" s="2">
        <f t="shared" si="20"/>
        <v>0</v>
      </c>
      <c r="L151" s="2">
        <f t="shared" si="21"/>
        <v>0</v>
      </c>
    </row>
    <row r="152" spans="2:12" x14ac:dyDescent="0.25">
      <c r="B152" t="s">
        <v>16</v>
      </c>
      <c r="E152">
        <v>872</v>
      </c>
      <c r="F152" s="2">
        <f t="shared" si="20"/>
        <v>0</v>
      </c>
      <c r="L152" s="2">
        <f t="shared" si="21"/>
        <v>0</v>
      </c>
    </row>
    <row r="153" spans="2:12" x14ac:dyDescent="0.25">
      <c r="B153" t="s">
        <v>17</v>
      </c>
      <c r="C153">
        <v>1</v>
      </c>
      <c r="E153">
        <v>229</v>
      </c>
      <c r="F153" s="2">
        <f t="shared" si="20"/>
        <v>229</v>
      </c>
      <c r="K153">
        <v>42</v>
      </c>
      <c r="L153" s="2">
        <f t="shared" si="21"/>
        <v>0</v>
      </c>
    </row>
    <row r="154" spans="2:12" x14ac:dyDescent="0.25">
      <c r="B154" t="s">
        <v>18</v>
      </c>
      <c r="E154">
        <v>500</v>
      </c>
      <c r="F154" s="2">
        <f t="shared" si="20"/>
        <v>0</v>
      </c>
      <c r="L154" s="2">
        <f t="shared" si="21"/>
        <v>0</v>
      </c>
    </row>
    <row r="155" spans="2:12" x14ac:dyDescent="0.25">
      <c r="B155" t="s">
        <v>26</v>
      </c>
      <c r="E155">
        <v>650</v>
      </c>
      <c r="F155" s="2">
        <f t="shared" si="20"/>
        <v>0</v>
      </c>
      <c r="L155" s="2">
        <f t="shared" si="21"/>
        <v>0</v>
      </c>
    </row>
    <row r="156" spans="2:12" x14ac:dyDescent="0.25">
      <c r="B156" s="12" t="s">
        <v>41</v>
      </c>
      <c r="E156">
        <v>1175</v>
      </c>
      <c r="F156" s="2">
        <f t="shared" si="20"/>
        <v>0</v>
      </c>
      <c r="L156" s="2">
        <f t="shared" si="21"/>
        <v>0</v>
      </c>
    </row>
    <row r="157" spans="2:12" x14ac:dyDescent="0.25">
      <c r="B157" t="s">
        <v>40</v>
      </c>
      <c r="E157">
        <v>700</v>
      </c>
      <c r="F157" s="2">
        <f t="shared" si="20"/>
        <v>0</v>
      </c>
      <c r="L157" s="2">
        <f t="shared" si="21"/>
        <v>0</v>
      </c>
    </row>
    <row r="158" spans="2:12" x14ac:dyDescent="0.25">
      <c r="F158" s="2">
        <f t="shared" si="20"/>
        <v>0</v>
      </c>
      <c r="L158" s="2">
        <f t="shared" si="21"/>
        <v>0</v>
      </c>
    </row>
    <row r="159" spans="2:12" x14ac:dyDescent="0.25">
      <c r="F159" s="2">
        <f t="shared" si="20"/>
        <v>0</v>
      </c>
      <c r="L159" s="2">
        <f t="shared" si="21"/>
        <v>0</v>
      </c>
    </row>
    <row r="160" spans="2:12" x14ac:dyDescent="0.25">
      <c r="F160" s="2">
        <f t="shared" si="20"/>
        <v>0</v>
      </c>
      <c r="L160" s="2">
        <f t="shared" si="21"/>
        <v>0</v>
      </c>
    </row>
    <row r="161" spans="2:12" x14ac:dyDescent="0.25">
      <c r="F161" s="2">
        <f t="shared" si="20"/>
        <v>0</v>
      </c>
      <c r="L161" s="2">
        <f t="shared" si="21"/>
        <v>0</v>
      </c>
    </row>
    <row r="162" spans="2:12" x14ac:dyDescent="0.25">
      <c r="F162" s="2">
        <f t="shared" si="20"/>
        <v>0</v>
      </c>
      <c r="L162" s="2">
        <f t="shared" si="21"/>
        <v>0</v>
      </c>
    </row>
    <row r="163" spans="2:12" x14ac:dyDescent="0.25">
      <c r="F163" s="2">
        <f t="shared" si="20"/>
        <v>0</v>
      </c>
      <c r="L163" s="2">
        <f t="shared" si="21"/>
        <v>0</v>
      </c>
    </row>
    <row r="164" spans="2:12" x14ac:dyDescent="0.25">
      <c r="F164" s="2">
        <f t="shared" si="20"/>
        <v>0</v>
      </c>
      <c r="L164" s="2">
        <f t="shared" si="21"/>
        <v>0</v>
      </c>
    </row>
    <row r="165" spans="2:12" x14ac:dyDescent="0.25">
      <c r="F165" s="2">
        <f t="shared" si="20"/>
        <v>0</v>
      </c>
      <c r="L165" s="2">
        <f t="shared" si="21"/>
        <v>0</v>
      </c>
    </row>
    <row r="166" spans="2:12" x14ac:dyDescent="0.25">
      <c r="F166" s="2">
        <f t="shared" si="20"/>
        <v>0</v>
      </c>
      <c r="L166" s="2">
        <f t="shared" si="21"/>
        <v>0</v>
      </c>
    </row>
    <row r="167" spans="2:12" x14ac:dyDescent="0.25">
      <c r="F167" s="2">
        <f t="shared" si="20"/>
        <v>0</v>
      </c>
      <c r="L167" s="2">
        <f t="shared" si="21"/>
        <v>0</v>
      </c>
    </row>
    <row r="168" spans="2:12" x14ac:dyDescent="0.25">
      <c r="F168" s="2">
        <f t="shared" si="20"/>
        <v>0</v>
      </c>
      <c r="H168" s="26" t="s">
        <v>23</v>
      </c>
      <c r="I168" s="26"/>
      <c r="J168" s="26"/>
      <c r="K168" s="26"/>
      <c r="L168" s="9">
        <f>SUM(L146:L167)</f>
        <v>78</v>
      </c>
    </row>
    <row r="169" spans="2:12" x14ac:dyDescent="0.25">
      <c r="B169" s="27" t="s">
        <v>28</v>
      </c>
      <c r="C169" s="27"/>
      <c r="D169" s="8"/>
      <c r="E169" s="8"/>
      <c r="F169" s="5">
        <f>-D169*E169</f>
        <v>0</v>
      </c>
      <c r="H169" s="26" t="s">
        <v>24</v>
      </c>
      <c r="I169" s="26"/>
      <c r="J169" s="26"/>
      <c r="K169" s="26"/>
      <c r="L169" s="4">
        <f>SUM(F170)</f>
        <v>15179</v>
      </c>
    </row>
    <row r="170" spans="2:12" x14ac:dyDescent="0.25">
      <c r="B170" s="28" t="s">
        <v>19</v>
      </c>
      <c r="C170" s="28"/>
      <c r="D170" s="28"/>
      <c r="E170" s="28"/>
      <c r="F170" s="13">
        <f>SUM(F146:F169)</f>
        <v>15179</v>
      </c>
      <c r="H170" s="26" t="s">
        <v>25</v>
      </c>
      <c r="I170" s="26"/>
      <c r="J170" s="26"/>
      <c r="K170" s="26"/>
      <c r="L170" s="14">
        <f>SUM(L169+L168)</f>
        <v>15257</v>
      </c>
    </row>
  </sheetData>
  <mergeCells count="162">
    <mergeCell ref="B5:C5"/>
    <mergeCell ref="D5:F5"/>
    <mergeCell ref="N5:O5"/>
    <mergeCell ref="P5:R5"/>
    <mergeCell ref="B6:C6"/>
    <mergeCell ref="D6:F6"/>
    <mergeCell ref="N6:O6"/>
    <mergeCell ref="P6:R6"/>
    <mergeCell ref="B3:C3"/>
    <mergeCell ref="D3:F3"/>
    <mergeCell ref="N3:O3"/>
    <mergeCell ref="P3:R3"/>
    <mergeCell ref="B4:C4"/>
    <mergeCell ref="D4:F4"/>
    <mergeCell ref="N4:O4"/>
    <mergeCell ref="P4:R4"/>
    <mergeCell ref="N34:Q34"/>
    <mergeCell ref="T34:W34"/>
    <mergeCell ref="B37:C37"/>
    <mergeCell ref="D37:F37"/>
    <mergeCell ref="N37:O37"/>
    <mergeCell ref="P37:R37"/>
    <mergeCell ref="H8:L8"/>
    <mergeCell ref="T8:X8"/>
    <mergeCell ref="H32:K32"/>
    <mergeCell ref="T32:W32"/>
    <mergeCell ref="B33:C33"/>
    <mergeCell ref="H33:K33"/>
    <mergeCell ref="N33:O33"/>
    <mergeCell ref="T33:W33"/>
    <mergeCell ref="H3:I3"/>
    <mergeCell ref="H4:I4"/>
    <mergeCell ref="H5:I5"/>
    <mergeCell ref="H6:I6"/>
    <mergeCell ref="T3:U3"/>
    <mergeCell ref="T4:U4"/>
    <mergeCell ref="H66:K66"/>
    <mergeCell ref="T66:W66"/>
    <mergeCell ref="B67:C67"/>
    <mergeCell ref="H67:K67"/>
    <mergeCell ref="N67:O67"/>
    <mergeCell ref="T67:W67"/>
    <mergeCell ref="B40:C40"/>
    <mergeCell ref="D40:F40"/>
    <mergeCell ref="N40:O40"/>
    <mergeCell ref="P40:R40"/>
    <mergeCell ref="H42:L42"/>
    <mergeCell ref="T42:X42"/>
    <mergeCell ref="B38:C38"/>
    <mergeCell ref="D38:F38"/>
    <mergeCell ref="N38:O38"/>
    <mergeCell ref="P38:R38"/>
    <mergeCell ref="B39:C39"/>
    <mergeCell ref="D39:F39"/>
    <mergeCell ref="B71:C71"/>
    <mergeCell ref="D71:F71"/>
    <mergeCell ref="H71:I71"/>
    <mergeCell ref="N71:O71"/>
    <mergeCell ref="P71:R71"/>
    <mergeCell ref="T71:U71"/>
    <mergeCell ref="T5:U5"/>
    <mergeCell ref="T6:U6"/>
    <mergeCell ref="H37:I37"/>
    <mergeCell ref="H38:I38"/>
    <mergeCell ref="H39:I39"/>
    <mergeCell ref="H40:I40"/>
    <mergeCell ref="T37:U37"/>
    <mergeCell ref="T38:U38"/>
    <mergeCell ref="T39:U39"/>
    <mergeCell ref="T40:U40"/>
    <mergeCell ref="B68:E68"/>
    <mergeCell ref="H68:K68"/>
    <mergeCell ref="N68:Q68"/>
    <mergeCell ref="T68:W68"/>
    <mergeCell ref="N39:O39"/>
    <mergeCell ref="P39:R39"/>
    <mergeCell ref="B34:E34"/>
    <mergeCell ref="H34:K34"/>
    <mergeCell ref="B73:C73"/>
    <mergeCell ref="D73:F73"/>
    <mergeCell ref="H73:I73"/>
    <mergeCell ref="N73:O73"/>
    <mergeCell ref="P73:R73"/>
    <mergeCell ref="T73:U73"/>
    <mergeCell ref="B72:C72"/>
    <mergeCell ref="D72:F72"/>
    <mergeCell ref="H72:I72"/>
    <mergeCell ref="N72:O72"/>
    <mergeCell ref="P72:R72"/>
    <mergeCell ref="T72:U72"/>
    <mergeCell ref="H76:L76"/>
    <mergeCell ref="T76:X76"/>
    <mergeCell ref="H100:K100"/>
    <mergeCell ref="T100:W100"/>
    <mergeCell ref="B101:C101"/>
    <mergeCell ref="H101:K101"/>
    <mergeCell ref="N101:O101"/>
    <mergeCell ref="T101:W101"/>
    <mergeCell ref="B74:C74"/>
    <mergeCell ref="D74:F74"/>
    <mergeCell ref="H74:I74"/>
    <mergeCell ref="N74:O74"/>
    <mergeCell ref="P74:R74"/>
    <mergeCell ref="T74:U74"/>
    <mergeCell ref="B106:C106"/>
    <mergeCell ref="D106:F106"/>
    <mergeCell ref="H106:I106"/>
    <mergeCell ref="N106:O106"/>
    <mergeCell ref="P106:R106"/>
    <mergeCell ref="T106:U106"/>
    <mergeCell ref="B102:E102"/>
    <mergeCell ref="H102:K102"/>
    <mergeCell ref="N102:Q102"/>
    <mergeCell ref="T102:W102"/>
    <mergeCell ref="B105:C105"/>
    <mergeCell ref="D105:F105"/>
    <mergeCell ref="H105:I105"/>
    <mergeCell ref="N105:O105"/>
    <mergeCell ref="P105:R105"/>
    <mergeCell ref="T105:U105"/>
    <mergeCell ref="B108:C108"/>
    <mergeCell ref="D108:F108"/>
    <mergeCell ref="H108:I108"/>
    <mergeCell ref="N108:O108"/>
    <mergeCell ref="P108:R108"/>
    <mergeCell ref="T108:U108"/>
    <mergeCell ref="B107:C107"/>
    <mergeCell ref="D107:F107"/>
    <mergeCell ref="H107:I107"/>
    <mergeCell ref="N107:O107"/>
    <mergeCell ref="P107:R107"/>
    <mergeCell ref="T107:U107"/>
    <mergeCell ref="T136:W136"/>
    <mergeCell ref="B139:C139"/>
    <mergeCell ref="D139:F139"/>
    <mergeCell ref="H139:I139"/>
    <mergeCell ref="H110:L110"/>
    <mergeCell ref="T110:X110"/>
    <mergeCell ref="H134:K134"/>
    <mergeCell ref="T134:W134"/>
    <mergeCell ref="B135:C135"/>
    <mergeCell ref="H135:K135"/>
    <mergeCell ref="N135:O135"/>
    <mergeCell ref="T135:W135"/>
    <mergeCell ref="B140:C140"/>
    <mergeCell ref="D140:F140"/>
    <mergeCell ref="H140:I140"/>
    <mergeCell ref="B141:C141"/>
    <mergeCell ref="D141:F141"/>
    <mergeCell ref="H141:I141"/>
    <mergeCell ref="B136:E136"/>
    <mergeCell ref="H136:K136"/>
    <mergeCell ref="N136:Q136"/>
    <mergeCell ref="B170:E170"/>
    <mergeCell ref="H170:K170"/>
    <mergeCell ref="B142:C142"/>
    <mergeCell ref="D142:F142"/>
    <mergeCell ref="H142:I142"/>
    <mergeCell ref="H144:L144"/>
    <mergeCell ref="H168:K168"/>
    <mergeCell ref="B169:C169"/>
    <mergeCell ref="H169:K169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1659-3A96-48D9-9A13-BEBB2BC345CF}">
  <dimension ref="B1:AF170"/>
  <sheetViews>
    <sheetView zoomScaleNormal="100" workbookViewId="0">
      <selection activeCell="AF4" sqref="AF4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  <col min="33" max="33" width="2.28515625" customWidth="1"/>
    <col min="35" max="35" width="2.28515625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81</v>
      </c>
      <c r="E3" s="22"/>
      <c r="F3" s="22"/>
      <c r="H3" s="21" t="s">
        <v>43</v>
      </c>
      <c r="I3" s="21"/>
      <c r="J3">
        <v>3</v>
      </c>
      <c r="N3" s="21" t="s">
        <v>0</v>
      </c>
      <c r="O3" s="21"/>
      <c r="P3" s="22" t="s">
        <v>84</v>
      </c>
      <c r="Q3" s="22"/>
      <c r="R3" s="22"/>
      <c r="T3" s="21" t="s">
        <v>43</v>
      </c>
      <c r="U3" s="21"/>
      <c r="V3">
        <v>3</v>
      </c>
      <c r="Z3" s="20">
        <f>F34+R34+F68+R68+F102+R102+F136+R136+F170+R170</f>
        <v>351164</v>
      </c>
      <c r="AA3" s="19"/>
      <c r="AB3" s="19">
        <f>F67+F101+R101</f>
        <v>-2478</v>
      </c>
      <c r="AC3" s="19"/>
      <c r="AD3" s="19"/>
      <c r="AF3" s="3">
        <f>L34+X34+L68+X68+L102+X102+L136+X136+L170+X170</f>
        <v>345203</v>
      </c>
    </row>
    <row r="4" spans="2:32" x14ac:dyDescent="0.25">
      <c r="B4" s="21" t="s">
        <v>1</v>
      </c>
      <c r="C4" s="21"/>
      <c r="D4" s="23" t="s">
        <v>82</v>
      </c>
      <c r="E4" s="23"/>
      <c r="F4" s="23"/>
      <c r="H4" s="21" t="s">
        <v>44</v>
      </c>
      <c r="I4" s="21"/>
      <c r="J4" t="s">
        <v>78</v>
      </c>
      <c r="N4" s="21" t="s">
        <v>1</v>
      </c>
      <c r="O4" s="21"/>
      <c r="P4" s="23" t="s">
        <v>57</v>
      </c>
      <c r="Q4" s="23"/>
      <c r="R4" s="23"/>
      <c r="T4" s="21" t="s">
        <v>44</v>
      </c>
      <c r="U4" s="21"/>
      <c r="V4" t="s">
        <v>78</v>
      </c>
      <c r="AA4" s="19"/>
      <c r="AB4" s="19"/>
      <c r="AC4" s="19"/>
      <c r="AD4" s="19"/>
    </row>
    <row r="5" spans="2:32" x14ac:dyDescent="0.25">
      <c r="B5" s="21" t="s">
        <v>3</v>
      </c>
      <c r="C5" s="21"/>
      <c r="D5" s="24" t="s">
        <v>32</v>
      </c>
      <c r="E5" s="24"/>
      <c r="F5" s="24"/>
      <c r="H5" s="21" t="s">
        <v>45</v>
      </c>
      <c r="I5" s="21"/>
      <c r="J5" t="s">
        <v>79</v>
      </c>
      <c r="N5" s="21" t="s">
        <v>3</v>
      </c>
      <c r="O5" s="21"/>
      <c r="P5" s="23" t="s">
        <v>58</v>
      </c>
      <c r="Q5" s="23"/>
      <c r="R5" s="23"/>
      <c r="T5" s="21" t="s">
        <v>45</v>
      </c>
      <c r="U5" s="21"/>
      <c r="V5" t="s">
        <v>79</v>
      </c>
      <c r="Z5" s="19"/>
      <c r="AA5" s="19"/>
      <c r="AB5" s="19"/>
      <c r="AC5" s="19"/>
      <c r="AD5" s="19"/>
    </row>
    <row r="6" spans="2:32" x14ac:dyDescent="0.25">
      <c r="B6" s="21" t="s">
        <v>2</v>
      </c>
      <c r="C6" s="21"/>
      <c r="D6" s="23" t="s">
        <v>83</v>
      </c>
      <c r="E6" s="23"/>
      <c r="F6" s="23"/>
      <c r="H6" s="21" t="s">
        <v>46</v>
      </c>
      <c r="I6" s="21"/>
      <c r="J6" t="s">
        <v>80</v>
      </c>
      <c r="N6" s="21" t="s">
        <v>2</v>
      </c>
      <c r="O6" s="21"/>
      <c r="P6" s="23" t="s">
        <v>55</v>
      </c>
      <c r="Q6" s="23"/>
      <c r="R6" s="23"/>
      <c r="T6" s="21" t="s">
        <v>46</v>
      </c>
      <c r="U6" s="21"/>
      <c r="V6" t="s">
        <v>80</v>
      </c>
      <c r="Z6" s="19"/>
      <c r="AA6" s="19"/>
      <c r="AB6" s="19"/>
      <c r="AC6" s="19"/>
      <c r="AD6" s="19"/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19</v>
      </c>
      <c r="E10">
        <v>650</v>
      </c>
      <c r="F10" s="2">
        <f>C10*E10</f>
        <v>12350</v>
      </c>
      <c r="K10">
        <v>111</v>
      </c>
      <c r="L10" s="2">
        <f t="shared" ref="L10:L32" si="0">-I10*K10+J10*K10</f>
        <v>0</v>
      </c>
      <c r="N10" t="s">
        <v>10</v>
      </c>
      <c r="O10">
        <v>10</v>
      </c>
      <c r="Q10">
        <v>650</v>
      </c>
      <c r="R10" s="2">
        <f>O10*Q10</f>
        <v>6500</v>
      </c>
      <c r="T10" t="s">
        <v>42</v>
      </c>
      <c r="W10">
        <v>111</v>
      </c>
      <c r="X10" s="2">
        <f t="shared" ref="X10:X31" si="1">-U10*W10+V10*W10</f>
        <v>0</v>
      </c>
    </row>
    <row r="11" spans="2:32" x14ac:dyDescent="0.25">
      <c r="B11" t="s">
        <v>11</v>
      </c>
      <c r="E11">
        <v>670</v>
      </c>
      <c r="F11" s="2">
        <f t="shared" ref="F11:F32" si="2">C11*E11</f>
        <v>0</v>
      </c>
      <c r="L11" s="2">
        <f t="shared" si="0"/>
        <v>0</v>
      </c>
      <c r="N11" t="s">
        <v>11</v>
      </c>
      <c r="O11">
        <v>5</v>
      </c>
      <c r="Q11">
        <v>670</v>
      </c>
      <c r="R11" s="2">
        <f t="shared" ref="R11:R32" si="3">O11*Q11</f>
        <v>3350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E13">
        <v>622</v>
      </c>
      <c r="F13" s="2">
        <f t="shared" si="2"/>
        <v>0</v>
      </c>
      <c r="L13" s="2">
        <f t="shared" si="0"/>
        <v>0</v>
      </c>
      <c r="N13" t="s">
        <v>13</v>
      </c>
      <c r="O13">
        <v>5</v>
      </c>
      <c r="Q13">
        <v>622</v>
      </c>
      <c r="R13" s="2">
        <f t="shared" si="3"/>
        <v>3110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L14" s="2">
        <f t="shared" si="0"/>
        <v>0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E17">
        <v>9.5</v>
      </c>
      <c r="F17" s="2">
        <f t="shared" si="2"/>
        <v>0</v>
      </c>
      <c r="K17">
        <v>42</v>
      </c>
      <c r="L17" s="2">
        <f t="shared" si="0"/>
        <v>0</v>
      </c>
      <c r="N17" t="s">
        <v>17</v>
      </c>
      <c r="O17">
        <v>15</v>
      </c>
      <c r="Q17">
        <v>9.5</v>
      </c>
      <c r="R17" s="2">
        <f t="shared" si="3"/>
        <v>142.5</v>
      </c>
      <c r="T17" t="s">
        <v>17</v>
      </c>
      <c r="W17">
        <v>42</v>
      </c>
      <c r="X17" s="2">
        <f t="shared" si="1"/>
        <v>0</v>
      </c>
    </row>
    <row r="18" spans="2:24" x14ac:dyDescent="0.25">
      <c r="B18" t="s">
        <v>18</v>
      </c>
      <c r="E18">
        <v>500</v>
      </c>
      <c r="F18" s="2">
        <f t="shared" si="2"/>
        <v>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B20" t="s">
        <v>40</v>
      </c>
      <c r="C20">
        <v>1</v>
      </c>
      <c r="E20">
        <v>700</v>
      </c>
      <c r="F20" s="2">
        <f t="shared" si="2"/>
        <v>700</v>
      </c>
      <c r="L20" s="2">
        <f t="shared" si="0"/>
        <v>0</v>
      </c>
      <c r="N20" t="s">
        <v>40</v>
      </c>
      <c r="O20">
        <v>2</v>
      </c>
      <c r="Q20">
        <v>700</v>
      </c>
      <c r="R20" s="2">
        <f t="shared" si="3"/>
        <v>1400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 t="shared" si="0"/>
        <v>0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0</v>
      </c>
    </row>
    <row r="33" spans="2:24" x14ac:dyDescent="0.25">
      <c r="B33" s="27" t="s">
        <v>28</v>
      </c>
      <c r="C33" s="27"/>
      <c r="D33" s="8"/>
      <c r="E33" s="8"/>
      <c r="F33" s="5">
        <f>-D33*E33</f>
        <v>0</v>
      </c>
      <c r="H33" s="26" t="s">
        <v>24</v>
      </c>
      <c r="I33" s="26"/>
      <c r="J33" s="26"/>
      <c r="K33" s="26"/>
      <c r="L33" s="4">
        <f>SUM(F34)</f>
        <v>13050</v>
      </c>
      <c r="N33" s="27" t="s">
        <v>28</v>
      </c>
      <c r="O33" s="27"/>
      <c r="P33" s="8"/>
      <c r="Q33" s="8"/>
      <c r="R33" s="5">
        <f>-P33*Q33</f>
        <v>0</v>
      </c>
      <c r="T33" s="26" t="s">
        <v>24</v>
      </c>
      <c r="U33" s="26"/>
      <c r="V33" s="26"/>
      <c r="W33" s="26"/>
      <c r="X33" s="4">
        <f>SUM(R34)</f>
        <v>14502.5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13050</v>
      </c>
      <c r="H34" s="26" t="s">
        <v>25</v>
      </c>
      <c r="I34" s="26"/>
      <c r="J34" s="26"/>
      <c r="K34" s="26"/>
      <c r="L34" s="14">
        <f>SUM(L33+L32)</f>
        <v>13050</v>
      </c>
      <c r="N34" s="28" t="s">
        <v>19</v>
      </c>
      <c r="O34" s="28"/>
      <c r="P34" s="28"/>
      <c r="Q34" s="28"/>
      <c r="R34" s="13">
        <f>SUM(R10:R33)</f>
        <v>14502.5</v>
      </c>
      <c r="T34" s="26" t="s">
        <v>25</v>
      </c>
      <c r="U34" s="26"/>
      <c r="V34" s="26"/>
      <c r="W34" s="26"/>
      <c r="X34" s="14">
        <f>SUM(X33+X32)</f>
        <v>14502.5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11" t="s">
        <v>29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7" spans="2:24" x14ac:dyDescent="0.25">
      <c r="B37" s="21" t="s">
        <v>0</v>
      </c>
      <c r="C37" s="21"/>
      <c r="D37" s="22" t="s">
        <v>85</v>
      </c>
      <c r="E37" s="22"/>
      <c r="F37" s="22"/>
      <c r="H37" s="21" t="s">
        <v>43</v>
      </c>
      <c r="I37" s="21"/>
      <c r="J37">
        <v>3</v>
      </c>
      <c r="N37" s="21" t="s">
        <v>0</v>
      </c>
      <c r="O37" s="21"/>
      <c r="P37" s="22" t="s">
        <v>89</v>
      </c>
      <c r="Q37" s="22"/>
      <c r="R37" s="22"/>
      <c r="T37" s="21" t="s">
        <v>43</v>
      </c>
      <c r="U37" s="21"/>
      <c r="V37">
        <v>3</v>
      </c>
    </row>
    <row r="38" spans="2:24" x14ac:dyDescent="0.25">
      <c r="B38" s="21" t="s">
        <v>1</v>
      </c>
      <c r="C38" s="21"/>
      <c r="D38" s="23" t="s">
        <v>86</v>
      </c>
      <c r="E38" s="23"/>
      <c r="F38" s="23"/>
      <c r="H38" s="21" t="s">
        <v>44</v>
      </c>
      <c r="I38" s="21"/>
      <c r="J38" t="s">
        <v>78</v>
      </c>
      <c r="N38" s="21" t="s">
        <v>1</v>
      </c>
      <c r="O38" s="21"/>
      <c r="P38" s="23" t="s">
        <v>90</v>
      </c>
      <c r="Q38" s="23"/>
      <c r="R38" s="23"/>
      <c r="T38" s="21" t="s">
        <v>44</v>
      </c>
      <c r="U38" s="21"/>
      <c r="V38" t="s">
        <v>78</v>
      </c>
    </row>
    <row r="39" spans="2:24" x14ac:dyDescent="0.25">
      <c r="B39" s="21" t="s">
        <v>3</v>
      </c>
      <c r="C39" s="21"/>
      <c r="D39" s="23" t="s">
        <v>32</v>
      </c>
      <c r="E39" s="23"/>
      <c r="F39" s="23"/>
      <c r="H39" s="21" t="s">
        <v>45</v>
      </c>
      <c r="I39" s="21"/>
      <c r="J39" t="s">
        <v>79</v>
      </c>
      <c r="N39" s="21" t="s">
        <v>3</v>
      </c>
      <c r="O39" s="21"/>
      <c r="P39" s="23" t="s">
        <v>32</v>
      </c>
      <c r="Q39" s="23"/>
      <c r="R39" s="23"/>
      <c r="T39" s="21" t="s">
        <v>45</v>
      </c>
      <c r="U39" s="21"/>
      <c r="V39" t="s">
        <v>79</v>
      </c>
    </row>
    <row r="40" spans="2:24" x14ac:dyDescent="0.25">
      <c r="B40" s="21" t="s">
        <v>2</v>
      </c>
      <c r="C40" s="21"/>
      <c r="D40" s="23" t="s">
        <v>83</v>
      </c>
      <c r="E40" s="23"/>
      <c r="F40" s="23"/>
      <c r="H40" s="21" t="s">
        <v>46</v>
      </c>
      <c r="I40" s="21"/>
      <c r="J40" t="s">
        <v>80</v>
      </c>
      <c r="N40" s="21" t="s">
        <v>2</v>
      </c>
      <c r="O40" s="21"/>
      <c r="P40" s="23" t="s">
        <v>83</v>
      </c>
      <c r="Q40" s="23"/>
      <c r="R40" s="23"/>
      <c r="T40" s="21" t="s">
        <v>46</v>
      </c>
      <c r="U40" s="21"/>
      <c r="V40" t="s">
        <v>80</v>
      </c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1"/>
      <c r="O42" s="1" t="s">
        <v>4</v>
      </c>
      <c r="P42" s="1"/>
      <c r="Q42" s="1"/>
      <c r="R42" s="1"/>
      <c r="T42" s="25" t="s">
        <v>20</v>
      </c>
      <c r="U42" s="25"/>
      <c r="V42" s="25"/>
      <c r="W42" s="25"/>
      <c r="X42" s="25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6" t="s">
        <v>5</v>
      </c>
      <c r="O43" s="6" t="s">
        <v>6</v>
      </c>
      <c r="P43" s="6" t="s">
        <v>7</v>
      </c>
      <c r="Q43" s="7" t="s">
        <v>8</v>
      </c>
      <c r="R43" s="6" t="s">
        <v>9</v>
      </c>
      <c r="T43" s="6" t="s">
        <v>5</v>
      </c>
      <c r="U43" s="7" t="s">
        <v>21</v>
      </c>
      <c r="V43" s="7" t="s">
        <v>22</v>
      </c>
      <c r="W43" s="7" t="s">
        <v>8</v>
      </c>
      <c r="X43" s="7" t="s">
        <v>9</v>
      </c>
    </row>
    <row r="44" spans="2:24" x14ac:dyDescent="0.25">
      <c r="B44" t="s">
        <v>10</v>
      </c>
      <c r="C44">
        <v>70</v>
      </c>
      <c r="E44">
        <v>650</v>
      </c>
      <c r="F44" s="2">
        <f>C44*E44</f>
        <v>45500</v>
      </c>
      <c r="H44" t="s">
        <v>87</v>
      </c>
      <c r="J44">
        <v>17</v>
      </c>
      <c r="K44">
        <v>111</v>
      </c>
      <c r="L44" s="2">
        <f t="shared" ref="L44:L46" si="4">-I44*K44+J44*K44</f>
        <v>1887</v>
      </c>
      <c r="N44" t="s">
        <v>10</v>
      </c>
      <c r="O44">
        <v>5</v>
      </c>
      <c r="Q44">
        <v>650</v>
      </c>
      <c r="R44" s="2">
        <f>O44*Q44</f>
        <v>3250</v>
      </c>
      <c r="X44" s="2">
        <f t="shared" ref="X44:X65" si="5">-U44*W44+V44*W44</f>
        <v>0</v>
      </c>
    </row>
    <row r="45" spans="2:24" x14ac:dyDescent="0.25">
      <c r="B45" t="s">
        <v>11</v>
      </c>
      <c r="C45">
        <v>10</v>
      </c>
      <c r="E45">
        <v>670</v>
      </c>
      <c r="F45" s="2">
        <f t="shared" ref="F45:F66" si="6">C45*E45</f>
        <v>6700</v>
      </c>
      <c r="L45" s="2">
        <f t="shared" si="4"/>
        <v>0</v>
      </c>
      <c r="N45" t="s">
        <v>11</v>
      </c>
      <c r="R45" s="2">
        <f t="shared" ref="R45:R66" si="7">O45*Q45</f>
        <v>0</v>
      </c>
      <c r="X45" s="2">
        <f t="shared" si="5"/>
        <v>0</v>
      </c>
    </row>
    <row r="46" spans="2:24" x14ac:dyDescent="0.25">
      <c r="B46" t="s">
        <v>12</v>
      </c>
      <c r="E46">
        <v>973</v>
      </c>
      <c r="F46" s="2">
        <f t="shared" si="6"/>
        <v>0</v>
      </c>
      <c r="L46" s="2">
        <f t="shared" si="4"/>
        <v>0</v>
      </c>
      <c r="N46" t="s">
        <v>12</v>
      </c>
      <c r="R46" s="2">
        <f t="shared" si="7"/>
        <v>0</v>
      </c>
      <c r="X46" s="2">
        <f t="shared" si="5"/>
        <v>0</v>
      </c>
    </row>
    <row r="47" spans="2:24" x14ac:dyDescent="0.25">
      <c r="B47" t="s">
        <v>13</v>
      </c>
      <c r="C47">
        <v>20</v>
      </c>
      <c r="E47">
        <v>622</v>
      </c>
      <c r="F47" s="2">
        <f t="shared" si="6"/>
        <v>12440</v>
      </c>
      <c r="H47" t="s">
        <v>88</v>
      </c>
      <c r="J47">
        <v>96</v>
      </c>
      <c r="K47">
        <v>1.5</v>
      </c>
      <c r="L47" s="2">
        <f>-I47*K47+J47*K47</f>
        <v>144</v>
      </c>
      <c r="N47" t="s">
        <v>13</v>
      </c>
      <c r="R47" s="2">
        <f t="shared" si="7"/>
        <v>0</v>
      </c>
      <c r="X47" s="2">
        <f t="shared" si="5"/>
        <v>0</v>
      </c>
    </row>
    <row r="48" spans="2:24" x14ac:dyDescent="0.25">
      <c r="B48" t="s">
        <v>14</v>
      </c>
      <c r="E48">
        <v>912</v>
      </c>
      <c r="F48" s="2">
        <f t="shared" si="6"/>
        <v>0</v>
      </c>
      <c r="L48" s="2">
        <f t="shared" ref="L48:L65" si="8">-I48*K48+J48*K48</f>
        <v>0</v>
      </c>
      <c r="N48" t="s">
        <v>14</v>
      </c>
      <c r="R48" s="2">
        <f t="shared" si="7"/>
        <v>0</v>
      </c>
      <c r="X48" s="2">
        <f t="shared" si="5"/>
        <v>0</v>
      </c>
    </row>
    <row r="49" spans="2:24" x14ac:dyDescent="0.25">
      <c r="B49" t="s">
        <v>15</v>
      </c>
      <c r="F49" s="2">
        <f t="shared" si="6"/>
        <v>0</v>
      </c>
      <c r="L49" s="2">
        <f t="shared" si="8"/>
        <v>0</v>
      </c>
      <c r="N49" t="s">
        <v>15</v>
      </c>
      <c r="R49" s="2">
        <f t="shared" si="7"/>
        <v>0</v>
      </c>
      <c r="X49" s="2">
        <f t="shared" si="5"/>
        <v>0</v>
      </c>
    </row>
    <row r="50" spans="2:24" x14ac:dyDescent="0.25">
      <c r="B50" t="s">
        <v>16</v>
      </c>
      <c r="E50">
        <v>872</v>
      </c>
      <c r="F50" s="2">
        <f t="shared" si="6"/>
        <v>0</v>
      </c>
      <c r="L50" s="2">
        <f t="shared" si="8"/>
        <v>0</v>
      </c>
      <c r="N50" t="s">
        <v>16</v>
      </c>
      <c r="R50" s="2">
        <f t="shared" si="7"/>
        <v>0</v>
      </c>
      <c r="X50" s="2">
        <f t="shared" si="5"/>
        <v>0</v>
      </c>
    </row>
    <row r="51" spans="2:24" x14ac:dyDescent="0.25">
      <c r="B51" t="s">
        <v>17</v>
      </c>
      <c r="C51">
        <v>4</v>
      </c>
      <c r="E51">
        <v>229</v>
      </c>
      <c r="F51" s="2">
        <f t="shared" si="6"/>
        <v>916</v>
      </c>
      <c r="L51" s="2">
        <f t="shared" si="8"/>
        <v>0</v>
      </c>
      <c r="N51" t="s">
        <v>17</v>
      </c>
      <c r="O51">
        <v>5</v>
      </c>
      <c r="Q51">
        <v>9.5</v>
      </c>
      <c r="R51" s="2">
        <f t="shared" si="7"/>
        <v>47.5</v>
      </c>
      <c r="X51" s="2">
        <f t="shared" si="5"/>
        <v>0</v>
      </c>
    </row>
    <row r="52" spans="2:24" x14ac:dyDescent="0.25">
      <c r="B52" t="s">
        <v>18</v>
      </c>
      <c r="E52">
        <v>500</v>
      </c>
      <c r="F52" s="2">
        <f t="shared" si="6"/>
        <v>0</v>
      </c>
      <c r="L52" s="2">
        <f t="shared" si="8"/>
        <v>0</v>
      </c>
      <c r="N52" t="s">
        <v>18</v>
      </c>
      <c r="R52" s="2">
        <f t="shared" si="7"/>
        <v>0</v>
      </c>
      <c r="X52" s="2">
        <f t="shared" si="5"/>
        <v>0</v>
      </c>
    </row>
    <row r="53" spans="2:24" x14ac:dyDescent="0.25">
      <c r="B53" t="s">
        <v>26</v>
      </c>
      <c r="E53">
        <v>650</v>
      </c>
      <c r="F53" s="2">
        <f t="shared" si="6"/>
        <v>0</v>
      </c>
      <c r="L53" s="2">
        <f t="shared" si="8"/>
        <v>0</v>
      </c>
      <c r="N53" t="s">
        <v>26</v>
      </c>
      <c r="R53" s="2">
        <f t="shared" si="7"/>
        <v>0</v>
      </c>
      <c r="X53" s="2">
        <f t="shared" si="5"/>
        <v>0</v>
      </c>
    </row>
    <row r="54" spans="2:24" x14ac:dyDescent="0.25">
      <c r="B54" s="12" t="s">
        <v>41</v>
      </c>
      <c r="E54">
        <v>1175</v>
      </c>
      <c r="F54" s="2">
        <f t="shared" si="6"/>
        <v>0</v>
      </c>
      <c r="L54" s="2">
        <f t="shared" si="8"/>
        <v>0</v>
      </c>
      <c r="R54" s="2">
        <f t="shared" si="7"/>
        <v>0</v>
      </c>
      <c r="X54" s="2">
        <f t="shared" si="5"/>
        <v>0</v>
      </c>
    </row>
    <row r="55" spans="2:24" x14ac:dyDescent="0.25">
      <c r="B55" t="s">
        <v>40</v>
      </c>
      <c r="E55">
        <v>700</v>
      </c>
      <c r="F55" s="2">
        <f t="shared" si="6"/>
        <v>0</v>
      </c>
      <c r="L55" s="2">
        <f t="shared" si="8"/>
        <v>0</v>
      </c>
      <c r="R55" s="2">
        <f t="shared" si="7"/>
        <v>0</v>
      </c>
      <c r="X55" s="2">
        <f t="shared" si="5"/>
        <v>0</v>
      </c>
    </row>
    <row r="56" spans="2:24" x14ac:dyDescent="0.25">
      <c r="F56" s="2">
        <f t="shared" si="6"/>
        <v>0</v>
      </c>
      <c r="L56" s="2">
        <f t="shared" si="8"/>
        <v>0</v>
      </c>
      <c r="R56" s="2">
        <f t="shared" si="7"/>
        <v>0</v>
      </c>
      <c r="X56" s="2">
        <f t="shared" si="5"/>
        <v>0</v>
      </c>
    </row>
    <row r="57" spans="2:24" x14ac:dyDescent="0.25">
      <c r="F57" s="2">
        <f t="shared" si="6"/>
        <v>0</v>
      </c>
      <c r="L57" s="2">
        <f t="shared" si="8"/>
        <v>0</v>
      </c>
      <c r="R57" s="2">
        <f t="shared" si="7"/>
        <v>0</v>
      </c>
      <c r="X57" s="2">
        <f t="shared" si="5"/>
        <v>0</v>
      </c>
    </row>
    <row r="58" spans="2:24" x14ac:dyDescent="0.25">
      <c r="F58" s="2">
        <f t="shared" si="6"/>
        <v>0</v>
      </c>
      <c r="L58" s="2">
        <f t="shared" si="8"/>
        <v>0</v>
      </c>
      <c r="R58" s="2">
        <f t="shared" si="7"/>
        <v>0</v>
      </c>
      <c r="X58" s="2">
        <f t="shared" si="5"/>
        <v>0</v>
      </c>
    </row>
    <row r="59" spans="2:24" x14ac:dyDescent="0.25">
      <c r="F59" s="2">
        <f t="shared" si="6"/>
        <v>0</v>
      </c>
      <c r="L59" s="2">
        <f t="shared" si="8"/>
        <v>0</v>
      </c>
      <c r="R59" s="2">
        <f t="shared" si="7"/>
        <v>0</v>
      </c>
      <c r="X59" s="2">
        <f t="shared" si="5"/>
        <v>0</v>
      </c>
    </row>
    <row r="60" spans="2:24" x14ac:dyDescent="0.25">
      <c r="F60" s="2">
        <f t="shared" si="6"/>
        <v>0</v>
      </c>
      <c r="L60" s="2">
        <f t="shared" si="8"/>
        <v>0</v>
      </c>
      <c r="R60" s="2">
        <f t="shared" si="7"/>
        <v>0</v>
      </c>
      <c r="X60" s="2">
        <f t="shared" si="5"/>
        <v>0</v>
      </c>
    </row>
    <row r="61" spans="2:24" x14ac:dyDescent="0.25">
      <c r="F61" s="2">
        <f t="shared" si="6"/>
        <v>0</v>
      </c>
      <c r="L61" s="2">
        <f t="shared" si="8"/>
        <v>0</v>
      </c>
      <c r="R61" s="2">
        <f t="shared" si="7"/>
        <v>0</v>
      </c>
      <c r="X61" s="2">
        <f t="shared" si="5"/>
        <v>0</v>
      </c>
    </row>
    <row r="62" spans="2:24" x14ac:dyDescent="0.25">
      <c r="F62" s="2">
        <f t="shared" si="6"/>
        <v>0</v>
      </c>
      <c r="L62" s="2">
        <f t="shared" si="8"/>
        <v>0</v>
      </c>
      <c r="R62" s="2">
        <f t="shared" si="7"/>
        <v>0</v>
      </c>
      <c r="X62" s="2">
        <f t="shared" si="5"/>
        <v>0</v>
      </c>
    </row>
    <row r="63" spans="2:24" x14ac:dyDescent="0.25">
      <c r="F63" s="2">
        <f t="shared" si="6"/>
        <v>0</v>
      </c>
      <c r="L63" s="2">
        <f t="shared" si="8"/>
        <v>0</v>
      </c>
      <c r="R63" s="2">
        <f t="shared" si="7"/>
        <v>0</v>
      </c>
      <c r="X63" s="2">
        <f t="shared" si="5"/>
        <v>0</v>
      </c>
    </row>
    <row r="64" spans="2:24" x14ac:dyDescent="0.25">
      <c r="F64" s="2">
        <f t="shared" si="6"/>
        <v>0</v>
      </c>
      <c r="L64" s="2">
        <f t="shared" si="8"/>
        <v>0</v>
      </c>
      <c r="R64" s="2">
        <f t="shared" si="7"/>
        <v>0</v>
      </c>
      <c r="X64" s="2">
        <f t="shared" si="5"/>
        <v>0</v>
      </c>
    </row>
    <row r="65" spans="2:24" x14ac:dyDescent="0.25">
      <c r="F65" s="2">
        <f t="shared" si="6"/>
        <v>0</v>
      </c>
      <c r="L65" s="2">
        <f t="shared" si="8"/>
        <v>0</v>
      </c>
      <c r="R65" s="2">
        <f t="shared" si="7"/>
        <v>0</v>
      </c>
      <c r="X65" s="2">
        <f t="shared" si="5"/>
        <v>0</v>
      </c>
    </row>
    <row r="66" spans="2:24" x14ac:dyDescent="0.25">
      <c r="F66" s="2">
        <f t="shared" si="6"/>
        <v>0</v>
      </c>
      <c r="H66" s="26" t="s">
        <v>23</v>
      </c>
      <c r="I66" s="26"/>
      <c r="J66" s="26"/>
      <c r="K66" s="26"/>
      <c r="L66" s="9">
        <f>SUM(L44:L65)</f>
        <v>2031</v>
      </c>
      <c r="R66" s="2">
        <f t="shared" si="7"/>
        <v>0</v>
      </c>
      <c r="T66" s="26" t="s">
        <v>23</v>
      </c>
      <c r="U66" s="26"/>
      <c r="V66" s="26"/>
      <c r="W66" s="26"/>
      <c r="X66" s="9">
        <f>SUM(X44:X65)</f>
        <v>0</v>
      </c>
    </row>
    <row r="67" spans="2:24" x14ac:dyDescent="0.25">
      <c r="B67" s="27" t="s">
        <v>28</v>
      </c>
      <c r="C67" s="27"/>
      <c r="D67" s="8">
        <v>100</v>
      </c>
      <c r="E67" s="8">
        <v>6</v>
      </c>
      <c r="F67" s="5">
        <f>-D67*E67</f>
        <v>-600</v>
      </c>
      <c r="H67" s="26" t="s">
        <v>24</v>
      </c>
      <c r="I67" s="26"/>
      <c r="J67" s="26"/>
      <c r="K67" s="26"/>
      <c r="L67" s="4">
        <f>SUM(F68)</f>
        <v>64956</v>
      </c>
      <c r="N67" s="27" t="s">
        <v>28</v>
      </c>
      <c r="O67" s="27"/>
      <c r="P67" s="8"/>
      <c r="Q67" s="8"/>
      <c r="R67" s="5">
        <f>-P67*Q67</f>
        <v>0</v>
      </c>
      <c r="T67" s="26" t="s">
        <v>24</v>
      </c>
      <c r="U67" s="26"/>
      <c r="V67" s="26"/>
      <c r="W67" s="26"/>
      <c r="X67" s="4">
        <f>SUM(R68)</f>
        <v>3297.5</v>
      </c>
    </row>
    <row r="68" spans="2:24" x14ac:dyDescent="0.25">
      <c r="B68" s="28" t="s">
        <v>19</v>
      </c>
      <c r="C68" s="28"/>
      <c r="D68" s="28"/>
      <c r="E68" s="28"/>
      <c r="F68" s="13">
        <f>SUM(F44:F67)</f>
        <v>64956</v>
      </c>
      <c r="H68" s="26" t="s">
        <v>25</v>
      </c>
      <c r="I68" s="26"/>
      <c r="J68" s="26"/>
      <c r="K68" s="26"/>
      <c r="L68" s="14">
        <f>SUM(L67+L66)</f>
        <v>66987</v>
      </c>
      <c r="N68" s="28" t="s">
        <v>19</v>
      </c>
      <c r="O68" s="28"/>
      <c r="P68" s="28"/>
      <c r="Q68" s="28"/>
      <c r="R68" s="13">
        <f>SUM(R44:R67)</f>
        <v>3297.5</v>
      </c>
      <c r="T68" s="26" t="s">
        <v>25</v>
      </c>
      <c r="U68" s="26"/>
      <c r="V68" s="26"/>
      <c r="W68" s="26"/>
      <c r="X68" s="14">
        <f>SUM(X67+X66)</f>
        <v>3297.5</v>
      </c>
    </row>
    <row r="69" spans="2:24" ht="18.75" x14ac:dyDescent="0.3">
      <c r="B69" s="11" t="s">
        <v>29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N69" s="11" t="s">
        <v>29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1" spans="2:24" x14ac:dyDescent="0.25">
      <c r="B71" s="21" t="s">
        <v>0</v>
      </c>
      <c r="C71" s="21"/>
      <c r="D71" s="22" t="s">
        <v>91</v>
      </c>
      <c r="E71" s="22"/>
      <c r="F71" s="22"/>
      <c r="H71" s="21" t="s">
        <v>43</v>
      </c>
      <c r="I71" s="21"/>
      <c r="J71">
        <v>3</v>
      </c>
      <c r="N71" s="21" t="s">
        <v>0</v>
      </c>
      <c r="O71" s="21"/>
      <c r="P71" s="22" t="s">
        <v>93</v>
      </c>
      <c r="Q71" s="22"/>
      <c r="R71" s="22"/>
      <c r="T71" s="21" t="s">
        <v>43</v>
      </c>
      <c r="U71" s="21"/>
      <c r="V71">
        <v>3</v>
      </c>
    </row>
    <row r="72" spans="2:24" x14ac:dyDescent="0.25">
      <c r="B72" s="21" t="s">
        <v>1</v>
      </c>
      <c r="C72" s="21"/>
      <c r="D72" s="23" t="s">
        <v>92</v>
      </c>
      <c r="E72" s="23"/>
      <c r="F72" s="23"/>
      <c r="H72" s="21" t="s">
        <v>44</v>
      </c>
      <c r="I72" s="21"/>
      <c r="J72" t="s">
        <v>78</v>
      </c>
      <c r="N72" s="21" t="s">
        <v>1</v>
      </c>
      <c r="O72" s="21"/>
      <c r="P72" s="23" t="s">
        <v>94</v>
      </c>
      <c r="Q72" s="23"/>
      <c r="R72" s="23"/>
      <c r="T72" s="21" t="s">
        <v>44</v>
      </c>
      <c r="U72" s="21"/>
      <c r="V72" t="s">
        <v>78</v>
      </c>
    </row>
    <row r="73" spans="2:24" x14ac:dyDescent="0.25">
      <c r="B73" s="21" t="s">
        <v>3</v>
      </c>
      <c r="C73" s="21"/>
      <c r="D73" s="23" t="s">
        <v>32</v>
      </c>
      <c r="E73" s="23"/>
      <c r="F73" s="23"/>
      <c r="H73" s="21" t="s">
        <v>45</v>
      </c>
      <c r="I73" s="21"/>
      <c r="J73" t="s">
        <v>79</v>
      </c>
      <c r="N73" s="21" t="s">
        <v>3</v>
      </c>
      <c r="O73" s="21"/>
      <c r="P73" s="23" t="s">
        <v>32</v>
      </c>
      <c r="Q73" s="23"/>
      <c r="R73" s="23"/>
      <c r="T73" s="21" t="s">
        <v>45</v>
      </c>
      <c r="U73" s="21"/>
      <c r="V73" t="s">
        <v>79</v>
      </c>
    </row>
    <row r="74" spans="2:24" x14ac:dyDescent="0.25">
      <c r="B74" s="21" t="s">
        <v>2</v>
      </c>
      <c r="C74" s="21"/>
      <c r="D74" s="23" t="s">
        <v>83</v>
      </c>
      <c r="E74" s="23"/>
      <c r="F74" s="23"/>
      <c r="H74" s="21" t="s">
        <v>46</v>
      </c>
      <c r="I74" s="21"/>
      <c r="J74" t="s">
        <v>80</v>
      </c>
      <c r="N74" s="21" t="s">
        <v>2</v>
      </c>
      <c r="O74" s="21"/>
      <c r="P74" s="23" t="s">
        <v>83</v>
      </c>
      <c r="Q74" s="23"/>
      <c r="R74" s="23"/>
      <c r="T74" s="21" t="s">
        <v>46</v>
      </c>
      <c r="U74" s="21"/>
      <c r="V74" t="s">
        <v>80</v>
      </c>
    </row>
    <row r="76" spans="2:24" x14ac:dyDescent="0.25">
      <c r="B76" s="1"/>
      <c r="C76" s="1" t="s">
        <v>4</v>
      </c>
      <c r="D76" s="1"/>
      <c r="E76" s="1"/>
      <c r="F76" s="1"/>
      <c r="H76" s="25" t="s">
        <v>20</v>
      </c>
      <c r="I76" s="25"/>
      <c r="J76" s="25"/>
      <c r="K76" s="25"/>
      <c r="L76" s="25"/>
      <c r="N76" s="1"/>
      <c r="O76" s="1" t="s">
        <v>4</v>
      </c>
      <c r="P76" s="1"/>
      <c r="Q76" s="1"/>
      <c r="R76" s="1"/>
      <c r="T76" s="25" t="s">
        <v>20</v>
      </c>
      <c r="U76" s="25"/>
      <c r="V76" s="25"/>
      <c r="W76" s="25"/>
      <c r="X76" s="25"/>
    </row>
    <row r="77" spans="2:24" x14ac:dyDescent="0.25">
      <c r="B77" s="6" t="s">
        <v>5</v>
      </c>
      <c r="C77" s="6" t="s">
        <v>6</v>
      </c>
      <c r="D77" s="6" t="s">
        <v>7</v>
      </c>
      <c r="E77" s="7" t="s">
        <v>8</v>
      </c>
      <c r="F77" s="6" t="s">
        <v>9</v>
      </c>
      <c r="H77" s="6" t="s">
        <v>5</v>
      </c>
      <c r="I77" s="7" t="s">
        <v>21</v>
      </c>
      <c r="J77" s="7" t="s">
        <v>22</v>
      </c>
      <c r="K77" s="7" t="s">
        <v>8</v>
      </c>
      <c r="L77" s="7" t="s">
        <v>9</v>
      </c>
      <c r="N77" s="6" t="s">
        <v>5</v>
      </c>
      <c r="O77" s="6" t="s">
        <v>6</v>
      </c>
      <c r="P77" s="6" t="s">
        <v>7</v>
      </c>
      <c r="Q77" s="7" t="s">
        <v>8</v>
      </c>
      <c r="R77" s="6" t="s">
        <v>9</v>
      </c>
      <c r="T77" s="6" t="s">
        <v>5</v>
      </c>
      <c r="U77" s="7" t="s">
        <v>21</v>
      </c>
      <c r="V77" s="7" t="s">
        <v>22</v>
      </c>
      <c r="W77" s="7" t="s">
        <v>8</v>
      </c>
      <c r="X77" s="7" t="s">
        <v>9</v>
      </c>
    </row>
    <row r="78" spans="2:24" x14ac:dyDescent="0.25">
      <c r="B78" t="s">
        <v>10</v>
      </c>
      <c r="C78">
        <v>100</v>
      </c>
      <c r="E78">
        <v>650</v>
      </c>
      <c r="F78" s="2">
        <f>C78*E78</f>
        <v>65000</v>
      </c>
      <c r="L78" s="2">
        <f t="shared" ref="L78:L80" si="9">-I78*K78+J78*K78</f>
        <v>0</v>
      </c>
      <c r="N78" t="s">
        <v>10</v>
      </c>
      <c r="O78">
        <v>158</v>
      </c>
      <c r="Q78">
        <v>650</v>
      </c>
      <c r="R78" s="2">
        <f>O78*Q78</f>
        <v>102700</v>
      </c>
      <c r="X78" s="2">
        <f t="shared" ref="X78:X99" si="10">-U78*W78+V78*W78</f>
        <v>0</v>
      </c>
    </row>
    <row r="79" spans="2:24" x14ac:dyDescent="0.25">
      <c r="B79" t="s">
        <v>11</v>
      </c>
      <c r="C79">
        <v>5</v>
      </c>
      <c r="E79">
        <v>670</v>
      </c>
      <c r="F79" s="2">
        <f t="shared" ref="F79:F100" si="11">C79*E79</f>
        <v>3350</v>
      </c>
      <c r="L79" s="2">
        <f t="shared" si="9"/>
        <v>0</v>
      </c>
      <c r="N79" t="s">
        <v>11</v>
      </c>
      <c r="R79" s="2">
        <f t="shared" ref="R79:R100" si="12">O79*Q79</f>
        <v>0</v>
      </c>
      <c r="X79" s="2">
        <f t="shared" si="10"/>
        <v>0</v>
      </c>
    </row>
    <row r="80" spans="2:24" x14ac:dyDescent="0.25">
      <c r="B80" t="s">
        <v>12</v>
      </c>
      <c r="E80">
        <v>973</v>
      </c>
      <c r="F80" s="2">
        <f t="shared" si="11"/>
        <v>0</v>
      </c>
      <c r="L80" s="2">
        <f t="shared" si="9"/>
        <v>0</v>
      </c>
      <c r="N80" t="s">
        <v>12</v>
      </c>
      <c r="R80" s="2">
        <f t="shared" si="12"/>
        <v>0</v>
      </c>
      <c r="X80" s="2">
        <f t="shared" si="10"/>
        <v>0</v>
      </c>
    </row>
    <row r="81" spans="2:24" x14ac:dyDescent="0.25">
      <c r="B81" t="s">
        <v>13</v>
      </c>
      <c r="E81">
        <v>622</v>
      </c>
      <c r="F81" s="2">
        <f t="shared" si="11"/>
        <v>0</v>
      </c>
      <c r="L81" s="2">
        <f>-I81*K81+J81*K81</f>
        <v>0</v>
      </c>
      <c r="N81" t="s">
        <v>13</v>
      </c>
      <c r="O81">
        <v>50</v>
      </c>
      <c r="Q81">
        <v>622</v>
      </c>
      <c r="R81" s="2">
        <f t="shared" si="12"/>
        <v>31100</v>
      </c>
      <c r="X81" s="2">
        <f t="shared" si="10"/>
        <v>0</v>
      </c>
    </row>
    <row r="82" spans="2:24" x14ac:dyDescent="0.25">
      <c r="B82" t="s">
        <v>14</v>
      </c>
      <c r="E82">
        <v>912</v>
      </c>
      <c r="F82" s="2">
        <f t="shared" si="11"/>
        <v>0</v>
      </c>
      <c r="L82" s="2">
        <f t="shared" ref="L82:L99" si="13">-I82*K82+J82*K82</f>
        <v>0</v>
      </c>
      <c r="N82" t="s">
        <v>14</v>
      </c>
      <c r="R82" s="2">
        <f t="shared" si="12"/>
        <v>0</v>
      </c>
      <c r="X82" s="2">
        <f t="shared" si="10"/>
        <v>0</v>
      </c>
    </row>
    <row r="83" spans="2:24" x14ac:dyDescent="0.25">
      <c r="B83" t="s">
        <v>15</v>
      </c>
      <c r="F83" s="2">
        <f t="shared" si="11"/>
        <v>0</v>
      </c>
      <c r="L83" s="2">
        <f t="shared" si="13"/>
        <v>0</v>
      </c>
      <c r="N83" t="s">
        <v>15</v>
      </c>
      <c r="R83" s="2">
        <f t="shared" si="12"/>
        <v>0</v>
      </c>
      <c r="X83" s="2">
        <f t="shared" si="10"/>
        <v>0</v>
      </c>
    </row>
    <row r="84" spans="2:24" x14ac:dyDescent="0.25">
      <c r="B84" t="s">
        <v>16</v>
      </c>
      <c r="E84">
        <v>872</v>
      </c>
      <c r="F84" s="2">
        <f t="shared" si="11"/>
        <v>0</v>
      </c>
      <c r="L84" s="2">
        <f t="shared" si="13"/>
        <v>0</v>
      </c>
      <c r="N84" t="s">
        <v>16</v>
      </c>
      <c r="R84" s="2">
        <f t="shared" si="12"/>
        <v>0</v>
      </c>
      <c r="X84" s="2">
        <f t="shared" si="10"/>
        <v>0</v>
      </c>
    </row>
    <row r="85" spans="2:24" x14ac:dyDescent="0.25">
      <c r="B85" t="s">
        <v>17</v>
      </c>
      <c r="C85">
        <v>4</v>
      </c>
      <c r="E85">
        <v>229</v>
      </c>
      <c r="F85" s="2">
        <f t="shared" si="11"/>
        <v>916</v>
      </c>
      <c r="L85" s="2">
        <f t="shared" si="13"/>
        <v>0</v>
      </c>
      <c r="N85" t="s">
        <v>17</v>
      </c>
      <c r="Q85">
        <v>9.5</v>
      </c>
      <c r="R85" s="2">
        <f t="shared" si="12"/>
        <v>0</v>
      </c>
      <c r="X85" s="2">
        <f t="shared" si="10"/>
        <v>0</v>
      </c>
    </row>
    <row r="86" spans="2:24" x14ac:dyDescent="0.25">
      <c r="B86" t="s">
        <v>18</v>
      </c>
      <c r="E86">
        <v>500</v>
      </c>
      <c r="F86" s="2">
        <f t="shared" si="11"/>
        <v>0</v>
      </c>
      <c r="L86" s="2">
        <f t="shared" si="13"/>
        <v>0</v>
      </c>
      <c r="N86" t="s">
        <v>18</v>
      </c>
      <c r="R86" s="2">
        <f t="shared" si="12"/>
        <v>0</v>
      </c>
      <c r="X86" s="2">
        <f t="shared" si="10"/>
        <v>0</v>
      </c>
    </row>
    <row r="87" spans="2:24" x14ac:dyDescent="0.25">
      <c r="B87" t="s">
        <v>26</v>
      </c>
      <c r="E87">
        <v>650</v>
      </c>
      <c r="F87" s="2">
        <f t="shared" si="11"/>
        <v>0</v>
      </c>
      <c r="L87" s="2">
        <f t="shared" si="13"/>
        <v>0</v>
      </c>
      <c r="N87" t="s">
        <v>26</v>
      </c>
      <c r="R87" s="2">
        <f t="shared" si="12"/>
        <v>0</v>
      </c>
      <c r="X87" s="2">
        <f t="shared" si="10"/>
        <v>0</v>
      </c>
    </row>
    <row r="88" spans="2:24" x14ac:dyDescent="0.25">
      <c r="B88" s="12" t="s">
        <v>41</v>
      </c>
      <c r="E88">
        <v>1175</v>
      </c>
      <c r="F88" s="2">
        <f t="shared" si="11"/>
        <v>0</v>
      </c>
      <c r="L88" s="2">
        <f t="shared" si="13"/>
        <v>0</v>
      </c>
      <c r="N88" t="s">
        <v>40</v>
      </c>
      <c r="Q88">
        <v>700</v>
      </c>
      <c r="R88" s="2">
        <f t="shared" si="12"/>
        <v>0</v>
      </c>
      <c r="X88" s="2">
        <f t="shared" si="10"/>
        <v>0</v>
      </c>
    </row>
    <row r="89" spans="2:24" x14ac:dyDescent="0.25">
      <c r="B89" t="s">
        <v>40</v>
      </c>
      <c r="E89">
        <v>700</v>
      </c>
      <c r="F89" s="2">
        <f t="shared" si="11"/>
        <v>0</v>
      </c>
      <c r="L89" s="2">
        <f t="shared" si="13"/>
        <v>0</v>
      </c>
      <c r="R89" s="2">
        <f t="shared" si="12"/>
        <v>0</v>
      </c>
      <c r="X89" s="2">
        <f t="shared" si="10"/>
        <v>0</v>
      </c>
    </row>
    <row r="90" spans="2:24" x14ac:dyDescent="0.25">
      <c r="F90" s="2">
        <f t="shared" si="11"/>
        <v>0</v>
      </c>
      <c r="L90" s="2">
        <f t="shared" si="13"/>
        <v>0</v>
      </c>
      <c r="R90" s="2">
        <f t="shared" si="12"/>
        <v>0</v>
      </c>
      <c r="X90" s="2">
        <f t="shared" si="10"/>
        <v>0</v>
      </c>
    </row>
    <row r="91" spans="2:24" x14ac:dyDescent="0.25">
      <c r="F91" s="2">
        <f t="shared" si="11"/>
        <v>0</v>
      </c>
      <c r="L91" s="2">
        <f t="shared" si="13"/>
        <v>0</v>
      </c>
      <c r="R91" s="2">
        <f t="shared" si="12"/>
        <v>0</v>
      </c>
      <c r="X91" s="2">
        <f t="shared" si="10"/>
        <v>0</v>
      </c>
    </row>
    <row r="92" spans="2:24" x14ac:dyDescent="0.25">
      <c r="F92" s="2">
        <f t="shared" si="11"/>
        <v>0</v>
      </c>
      <c r="L92" s="2">
        <f t="shared" si="13"/>
        <v>0</v>
      </c>
      <c r="R92" s="2">
        <f t="shared" si="12"/>
        <v>0</v>
      </c>
      <c r="X92" s="2">
        <f t="shared" si="10"/>
        <v>0</v>
      </c>
    </row>
    <row r="93" spans="2:24" x14ac:dyDescent="0.25">
      <c r="F93" s="2">
        <f t="shared" si="11"/>
        <v>0</v>
      </c>
      <c r="L93" s="2">
        <f t="shared" si="13"/>
        <v>0</v>
      </c>
      <c r="R93" s="2">
        <f t="shared" si="12"/>
        <v>0</v>
      </c>
      <c r="X93" s="2">
        <f t="shared" si="10"/>
        <v>0</v>
      </c>
    </row>
    <row r="94" spans="2:24" x14ac:dyDescent="0.25">
      <c r="F94" s="2">
        <f t="shared" si="11"/>
        <v>0</v>
      </c>
      <c r="L94" s="2">
        <f t="shared" si="13"/>
        <v>0</v>
      </c>
      <c r="R94" s="2">
        <f t="shared" si="12"/>
        <v>0</v>
      </c>
      <c r="X94" s="2">
        <f t="shared" si="10"/>
        <v>0</v>
      </c>
    </row>
    <row r="95" spans="2:24" x14ac:dyDescent="0.25">
      <c r="F95" s="2">
        <f t="shared" si="11"/>
        <v>0</v>
      </c>
      <c r="L95" s="2">
        <f t="shared" si="13"/>
        <v>0</v>
      </c>
      <c r="R95" s="2">
        <f t="shared" si="12"/>
        <v>0</v>
      </c>
      <c r="X95" s="2">
        <f t="shared" si="10"/>
        <v>0</v>
      </c>
    </row>
    <row r="96" spans="2:24" x14ac:dyDescent="0.25">
      <c r="F96" s="2">
        <f t="shared" si="11"/>
        <v>0</v>
      </c>
      <c r="L96" s="2">
        <f t="shared" si="13"/>
        <v>0</v>
      </c>
      <c r="R96" s="2">
        <f t="shared" si="12"/>
        <v>0</v>
      </c>
      <c r="X96" s="2">
        <f t="shared" si="10"/>
        <v>0</v>
      </c>
    </row>
    <row r="97" spans="2:24" x14ac:dyDescent="0.25">
      <c r="F97" s="2">
        <f t="shared" si="11"/>
        <v>0</v>
      </c>
      <c r="L97" s="2">
        <f t="shared" si="13"/>
        <v>0</v>
      </c>
      <c r="R97" s="2">
        <f t="shared" si="12"/>
        <v>0</v>
      </c>
      <c r="X97" s="2">
        <f t="shared" si="10"/>
        <v>0</v>
      </c>
    </row>
    <row r="98" spans="2:24" x14ac:dyDescent="0.25">
      <c r="F98" s="2">
        <f t="shared" si="11"/>
        <v>0</v>
      </c>
      <c r="L98" s="2">
        <f t="shared" si="13"/>
        <v>0</v>
      </c>
      <c r="R98" s="2">
        <f t="shared" si="12"/>
        <v>0</v>
      </c>
      <c r="X98" s="2">
        <f t="shared" si="10"/>
        <v>0</v>
      </c>
    </row>
    <row r="99" spans="2:24" x14ac:dyDescent="0.25">
      <c r="F99" s="2">
        <f t="shared" si="11"/>
        <v>0</v>
      </c>
      <c r="L99" s="2">
        <f t="shared" si="13"/>
        <v>0</v>
      </c>
      <c r="R99" s="2">
        <f t="shared" si="12"/>
        <v>0</v>
      </c>
      <c r="X99" s="2">
        <f t="shared" si="10"/>
        <v>0</v>
      </c>
    </row>
    <row r="100" spans="2:24" x14ac:dyDescent="0.25">
      <c r="F100" s="2">
        <f t="shared" si="11"/>
        <v>0</v>
      </c>
      <c r="H100" s="26" t="s">
        <v>23</v>
      </c>
      <c r="I100" s="26"/>
      <c r="J100" s="26"/>
      <c r="K100" s="26"/>
      <c r="L100" s="9">
        <f>SUM(L78:L99)</f>
        <v>0</v>
      </c>
      <c r="R100" s="2">
        <f t="shared" si="12"/>
        <v>0</v>
      </c>
      <c r="T100" s="26" t="s">
        <v>23</v>
      </c>
      <c r="U100" s="26"/>
      <c r="V100" s="26"/>
      <c r="W100" s="26"/>
      <c r="X100" s="9">
        <f>SUM(X78:X99)</f>
        <v>0</v>
      </c>
    </row>
    <row r="101" spans="2:24" x14ac:dyDescent="0.25">
      <c r="B101" s="27" t="s">
        <v>28</v>
      </c>
      <c r="C101" s="27"/>
      <c r="D101" s="8">
        <v>105</v>
      </c>
      <c r="E101" s="8">
        <v>6</v>
      </c>
      <c r="F101" s="5">
        <f>-D101*E101</f>
        <v>-630</v>
      </c>
      <c r="H101" s="26" t="s">
        <v>24</v>
      </c>
      <c r="I101" s="26"/>
      <c r="J101" s="26"/>
      <c r="K101" s="26"/>
      <c r="L101" s="4">
        <f>SUM(F102)</f>
        <v>68636</v>
      </c>
      <c r="N101" s="27" t="s">
        <v>28</v>
      </c>
      <c r="O101" s="27"/>
      <c r="P101" s="8">
        <v>208</v>
      </c>
      <c r="Q101" s="8">
        <v>6</v>
      </c>
      <c r="R101" s="5">
        <f>-P101*Q101</f>
        <v>-1248</v>
      </c>
      <c r="T101" s="26" t="s">
        <v>24</v>
      </c>
      <c r="U101" s="26"/>
      <c r="V101" s="26"/>
      <c r="W101" s="26"/>
      <c r="X101" s="4">
        <f>SUM(R102)</f>
        <v>132552</v>
      </c>
    </row>
    <row r="102" spans="2:24" x14ac:dyDescent="0.25">
      <c r="B102" s="28" t="s">
        <v>19</v>
      </c>
      <c r="C102" s="28"/>
      <c r="D102" s="28"/>
      <c r="E102" s="28"/>
      <c r="F102" s="13">
        <f>SUM(F78:F101)</f>
        <v>68636</v>
      </c>
      <c r="H102" s="26" t="s">
        <v>25</v>
      </c>
      <c r="I102" s="26"/>
      <c r="J102" s="26"/>
      <c r="K102" s="26"/>
      <c r="L102" s="14">
        <f>SUM(L101+L100)</f>
        <v>68636</v>
      </c>
      <c r="N102" s="28" t="s">
        <v>19</v>
      </c>
      <c r="O102" s="28"/>
      <c r="P102" s="28"/>
      <c r="Q102" s="28"/>
      <c r="R102" s="13">
        <f>SUM(R78:R101)</f>
        <v>132552</v>
      </c>
      <c r="T102" s="26" t="s">
        <v>25</v>
      </c>
      <c r="U102" s="26"/>
      <c r="V102" s="26"/>
      <c r="W102" s="26"/>
      <c r="X102" s="14">
        <f>SUM(X101+X100)</f>
        <v>132552</v>
      </c>
    </row>
    <row r="103" spans="2:24" ht="18.75" x14ac:dyDescent="0.3">
      <c r="B103" s="11" t="s">
        <v>29</v>
      </c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N103" s="11" t="s">
        <v>29</v>
      </c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5" spans="2:24" x14ac:dyDescent="0.25">
      <c r="B105" s="21" t="s">
        <v>0</v>
      </c>
      <c r="C105" s="21"/>
      <c r="D105" s="22" t="s">
        <v>95</v>
      </c>
      <c r="E105" s="22"/>
      <c r="F105" s="22"/>
      <c r="H105" s="21" t="s">
        <v>43</v>
      </c>
      <c r="I105" s="21"/>
      <c r="J105">
        <v>3</v>
      </c>
      <c r="N105" s="21" t="s">
        <v>0</v>
      </c>
      <c r="O105" s="21"/>
      <c r="P105" s="22" t="s">
        <v>97</v>
      </c>
      <c r="Q105" s="22"/>
      <c r="R105" s="22"/>
      <c r="T105" s="21" t="s">
        <v>43</v>
      </c>
      <c r="U105" s="21"/>
      <c r="V105">
        <v>3</v>
      </c>
    </row>
    <row r="106" spans="2:24" x14ac:dyDescent="0.25">
      <c r="B106" s="21" t="s">
        <v>1</v>
      </c>
      <c r="C106" s="21"/>
      <c r="D106" s="23" t="s">
        <v>96</v>
      </c>
      <c r="E106" s="23"/>
      <c r="F106" s="23"/>
      <c r="H106" s="21" t="s">
        <v>44</v>
      </c>
      <c r="I106" s="21"/>
      <c r="J106" t="s">
        <v>78</v>
      </c>
      <c r="N106" s="21" t="s">
        <v>1</v>
      </c>
      <c r="O106" s="21"/>
      <c r="P106" s="23" t="s">
        <v>98</v>
      </c>
      <c r="Q106" s="23"/>
      <c r="R106" s="23"/>
      <c r="T106" s="21" t="s">
        <v>44</v>
      </c>
      <c r="U106" s="21"/>
      <c r="V106" t="s">
        <v>78</v>
      </c>
    </row>
    <row r="107" spans="2:24" x14ac:dyDescent="0.25">
      <c r="B107" s="21" t="s">
        <v>3</v>
      </c>
      <c r="C107" s="21"/>
      <c r="D107" s="23" t="s">
        <v>32</v>
      </c>
      <c r="E107" s="23"/>
      <c r="F107" s="23"/>
      <c r="H107" s="21" t="s">
        <v>45</v>
      </c>
      <c r="I107" s="21"/>
      <c r="J107" t="s">
        <v>79</v>
      </c>
      <c r="N107" s="21" t="s">
        <v>3</v>
      </c>
      <c r="O107" s="21"/>
      <c r="P107" s="23" t="s">
        <v>32</v>
      </c>
      <c r="Q107" s="23"/>
      <c r="R107" s="23"/>
      <c r="T107" s="21" t="s">
        <v>45</v>
      </c>
      <c r="U107" s="21"/>
      <c r="V107" t="s">
        <v>79</v>
      </c>
    </row>
    <row r="108" spans="2:24" x14ac:dyDescent="0.25">
      <c r="B108" s="21" t="s">
        <v>2</v>
      </c>
      <c r="C108" s="21"/>
      <c r="D108" s="23" t="s">
        <v>83</v>
      </c>
      <c r="E108" s="23"/>
      <c r="F108" s="23"/>
      <c r="H108" s="21" t="s">
        <v>46</v>
      </c>
      <c r="I108" s="21"/>
      <c r="J108" t="s">
        <v>80</v>
      </c>
      <c r="N108" s="21" t="s">
        <v>2</v>
      </c>
      <c r="O108" s="21"/>
      <c r="P108" s="23" t="s">
        <v>99</v>
      </c>
      <c r="Q108" s="23"/>
      <c r="R108" s="23"/>
      <c r="T108" s="21" t="s">
        <v>46</v>
      </c>
      <c r="U108" s="21"/>
      <c r="V108" t="s">
        <v>80</v>
      </c>
    </row>
    <row r="110" spans="2:24" x14ac:dyDescent="0.25">
      <c r="B110" s="1"/>
      <c r="C110" s="1" t="s">
        <v>4</v>
      </c>
      <c r="D110" s="1"/>
      <c r="E110" s="1"/>
      <c r="F110" s="1"/>
      <c r="H110" s="25" t="s">
        <v>20</v>
      </c>
      <c r="I110" s="25"/>
      <c r="J110" s="25"/>
      <c r="K110" s="25"/>
      <c r="L110" s="25"/>
      <c r="N110" s="1"/>
      <c r="O110" s="1" t="s">
        <v>4</v>
      </c>
      <c r="P110" s="1"/>
      <c r="Q110" s="1"/>
      <c r="R110" s="1"/>
      <c r="T110" s="25" t="s">
        <v>20</v>
      </c>
      <c r="U110" s="25"/>
      <c r="V110" s="25"/>
      <c r="W110" s="25"/>
      <c r="X110" s="25"/>
    </row>
    <row r="111" spans="2:24" x14ac:dyDescent="0.25">
      <c r="B111" s="6" t="s">
        <v>5</v>
      </c>
      <c r="C111" s="6" t="s">
        <v>6</v>
      </c>
      <c r="D111" s="6" t="s">
        <v>7</v>
      </c>
      <c r="E111" s="7" t="s">
        <v>8</v>
      </c>
      <c r="F111" s="6" t="s">
        <v>9</v>
      </c>
      <c r="H111" s="6" t="s">
        <v>5</v>
      </c>
      <c r="I111" s="7" t="s">
        <v>21</v>
      </c>
      <c r="J111" s="7" t="s">
        <v>22</v>
      </c>
      <c r="K111" s="7" t="s">
        <v>8</v>
      </c>
      <c r="L111" s="7" t="s">
        <v>9</v>
      </c>
      <c r="N111" s="6" t="s">
        <v>5</v>
      </c>
      <c r="O111" s="6" t="s">
        <v>6</v>
      </c>
      <c r="P111" s="6" t="s">
        <v>7</v>
      </c>
      <c r="Q111" s="7" t="s">
        <v>8</v>
      </c>
      <c r="R111" s="6" t="s">
        <v>9</v>
      </c>
      <c r="T111" s="6" t="s">
        <v>5</v>
      </c>
      <c r="U111" s="7" t="s">
        <v>21</v>
      </c>
      <c r="V111" s="7" t="s">
        <v>22</v>
      </c>
      <c r="W111" s="7" t="s">
        <v>8</v>
      </c>
      <c r="X111" s="7" t="s">
        <v>9</v>
      </c>
    </row>
    <row r="112" spans="2:24" x14ac:dyDescent="0.25">
      <c r="B112" t="s">
        <v>10</v>
      </c>
      <c r="C112">
        <v>50</v>
      </c>
      <c r="E112">
        <v>650</v>
      </c>
      <c r="F112" s="2">
        <f>C112*E112</f>
        <v>32500</v>
      </c>
      <c r="I112">
        <v>72</v>
      </c>
      <c r="K112">
        <v>111</v>
      </c>
      <c r="L112" s="2">
        <f t="shared" ref="L112:L114" si="14">-I112*K112+J112*K112</f>
        <v>-7992</v>
      </c>
      <c r="N112" t="s">
        <v>10</v>
      </c>
      <c r="O112">
        <v>20</v>
      </c>
      <c r="Q112">
        <v>650</v>
      </c>
      <c r="R112" s="2">
        <f>O112*Q112</f>
        <v>13000</v>
      </c>
      <c r="X112" s="2">
        <f t="shared" ref="X112:X133" si="15">-U112*W112+V112*W112</f>
        <v>0</v>
      </c>
    </row>
    <row r="113" spans="2:24" x14ac:dyDescent="0.25">
      <c r="B113" t="s">
        <v>11</v>
      </c>
      <c r="E113">
        <v>670</v>
      </c>
      <c r="F113" s="2">
        <f t="shared" ref="F113:F134" si="16">C113*E113</f>
        <v>0</v>
      </c>
      <c r="L113" s="2">
        <f t="shared" si="14"/>
        <v>0</v>
      </c>
      <c r="N113" t="s">
        <v>11</v>
      </c>
      <c r="R113" s="2">
        <f t="shared" ref="R113:R134" si="17">O113*Q113</f>
        <v>0</v>
      </c>
      <c r="X113" s="2">
        <f t="shared" si="15"/>
        <v>0</v>
      </c>
    </row>
    <row r="114" spans="2:24" x14ac:dyDescent="0.25">
      <c r="B114" t="s">
        <v>12</v>
      </c>
      <c r="E114">
        <v>973</v>
      </c>
      <c r="F114" s="2">
        <f t="shared" si="16"/>
        <v>0</v>
      </c>
      <c r="L114" s="2">
        <f t="shared" si="14"/>
        <v>0</v>
      </c>
      <c r="N114" t="s">
        <v>12</v>
      </c>
      <c r="R114" s="2">
        <f t="shared" si="17"/>
        <v>0</v>
      </c>
      <c r="X114" s="2">
        <f t="shared" si="15"/>
        <v>0</v>
      </c>
    </row>
    <row r="115" spans="2:24" x14ac:dyDescent="0.25">
      <c r="B115" t="s">
        <v>13</v>
      </c>
      <c r="E115">
        <v>622</v>
      </c>
      <c r="F115" s="2">
        <f t="shared" si="16"/>
        <v>0</v>
      </c>
      <c r="L115" s="2">
        <f>-I115*K115+J115*K115</f>
        <v>0</v>
      </c>
      <c r="N115" t="s">
        <v>13</v>
      </c>
      <c r="O115">
        <v>5</v>
      </c>
      <c r="Q115">
        <v>622</v>
      </c>
      <c r="R115" s="2">
        <f t="shared" si="17"/>
        <v>3110</v>
      </c>
      <c r="X115" s="2">
        <f t="shared" si="15"/>
        <v>0</v>
      </c>
    </row>
    <row r="116" spans="2:24" x14ac:dyDescent="0.25">
      <c r="B116" t="s">
        <v>14</v>
      </c>
      <c r="E116">
        <v>912</v>
      </c>
      <c r="F116" s="2">
        <f t="shared" si="16"/>
        <v>0</v>
      </c>
      <c r="L116" s="2">
        <f t="shared" ref="L116:L133" si="18">-I116*K116+J116*K116</f>
        <v>0</v>
      </c>
      <c r="N116" t="s">
        <v>14</v>
      </c>
      <c r="R116" s="2">
        <f t="shared" si="17"/>
        <v>0</v>
      </c>
      <c r="X116" s="2">
        <f t="shared" si="15"/>
        <v>0</v>
      </c>
    </row>
    <row r="117" spans="2:24" x14ac:dyDescent="0.25">
      <c r="B117" t="s">
        <v>15</v>
      </c>
      <c r="F117" s="2">
        <f t="shared" si="16"/>
        <v>0</v>
      </c>
      <c r="L117" s="2">
        <f t="shared" si="18"/>
        <v>0</v>
      </c>
      <c r="N117" t="s">
        <v>15</v>
      </c>
      <c r="R117" s="2">
        <f t="shared" si="17"/>
        <v>0</v>
      </c>
      <c r="X117" s="2">
        <f t="shared" si="15"/>
        <v>0</v>
      </c>
    </row>
    <row r="118" spans="2:24" x14ac:dyDescent="0.25">
      <c r="B118" t="s">
        <v>16</v>
      </c>
      <c r="E118">
        <v>872</v>
      </c>
      <c r="F118" s="2">
        <f t="shared" si="16"/>
        <v>0</v>
      </c>
      <c r="L118" s="2">
        <f t="shared" si="18"/>
        <v>0</v>
      </c>
      <c r="N118" t="s">
        <v>16</v>
      </c>
      <c r="R118" s="2">
        <f t="shared" si="17"/>
        <v>0</v>
      </c>
      <c r="X118" s="2">
        <f t="shared" si="15"/>
        <v>0</v>
      </c>
    </row>
    <row r="119" spans="2:24" x14ac:dyDescent="0.25">
      <c r="B119" t="s">
        <v>17</v>
      </c>
      <c r="E119">
        <v>229</v>
      </c>
      <c r="F119" s="2">
        <f t="shared" si="16"/>
        <v>0</v>
      </c>
      <c r="L119" s="2">
        <f t="shared" si="18"/>
        <v>0</v>
      </c>
      <c r="N119" t="s">
        <v>17</v>
      </c>
      <c r="Q119">
        <v>9.5</v>
      </c>
      <c r="R119" s="2">
        <f t="shared" si="17"/>
        <v>0</v>
      </c>
      <c r="X119" s="2">
        <f t="shared" si="15"/>
        <v>0</v>
      </c>
    </row>
    <row r="120" spans="2:24" x14ac:dyDescent="0.25">
      <c r="B120" t="s">
        <v>18</v>
      </c>
      <c r="E120">
        <v>500</v>
      </c>
      <c r="F120" s="2">
        <f t="shared" si="16"/>
        <v>0</v>
      </c>
      <c r="L120" s="2">
        <f t="shared" si="18"/>
        <v>0</v>
      </c>
      <c r="N120" t="s">
        <v>18</v>
      </c>
      <c r="R120" s="2">
        <f t="shared" si="17"/>
        <v>0</v>
      </c>
      <c r="X120" s="2">
        <f t="shared" si="15"/>
        <v>0</v>
      </c>
    </row>
    <row r="121" spans="2:24" x14ac:dyDescent="0.25">
      <c r="B121" t="s">
        <v>26</v>
      </c>
      <c r="E121">
        <v>650</v>
      </c>
      <c r="F121" s="2">
        <f t="shared" si="16"/>
        <v>0</v>
      </c>
      <c r="L121" s="2">
        <f t="shared" si="18"/>
        <v>0</v>
      </c>
      <c r="N121" t="s">
        <v>26</v>
      </c>
      <c r="R121" s="2">
        <f t="shared" si="17"/>
        <v>0</v>
      </c>
      <c r="X121" s="2">
        <f t="shared" si="15"/>
        <v>0</v>
      </c>
    </row>
    <row r="122" spans="2:24" x14ac:dyDescent="0.25">
      <c r="B122" s="12" t="s">
        <v>41</v>
      </c>
      <c r="E122">
        <v>1175</v>
      </c>
      <c r="F122" s="2">
        <f t="shared" si="16"/>
        <v>0</v>
      </c>
      <c r="L122" s="2">
        <f t="shared" si="18"/>
        <v>0</v>
      </c>
      <c r="R122" s="2">
        <f t="shared" si="17"/>
        <v>0</v>
      </c>
      <c r="X122" s="2">
        <f t="shared" si="15"/>
        <v>0</v>
      </c>
    </row>
    <row r="123" spans="2:24" x14ac:dyDescent="0.25">
      <c r="B123" t="s">
        <v>40</v>
      </c>
      <c r="E123">
        <v>700</v>
      </c>
      <c r="F123" s="2">
        <f t="shared" si="16"/>
        <v>0</v>
      </c>
      <c r="L123" s="2">
        <f t="shared" si="18"/>
        <v>0</v>
      </c>
      <c r="R123" s="2">
        <f t="shared" si="17"/>
        <v>0</v>
      </c>
      <c r="X123" s="2">
        <f t="shared" si="15"/>
        <v>0</v>
      </c>
    </row>
    <row r="124" spans="2:24" x14ac:dyDescent="0.25">
      <c r="F124" s="2">
        <f t="shared" si="16"/>
        <v>0</v>
      </c>
      <c r="L124" s="2">
        <f t="shared" si="18"/>
        <v>0</v>
      </c>
      <c r="R124" s="2">
        <f t="shared" si="17"/>
        <v>0</v>
      </c>
      <c r="X124" s="2">
        <f t="shared" si="15"/>
        <v>0</v>
      </c>
    </row>
    <row r="125" spans="2:24" x14ac:dyDescent="0.25">
      <c r="F125" s="2">
        <f t="shared" si="16"/>
        <v>0</v>
      </c>
      <c r="L125" s="2">
        <f t="shared" si="18"/>
        <v>0</v>
      </c>
      <c r="R125" s="2">
        <f t="shared" si="17"/>
        <v>0</v>
      </c>
      <c r="X125" s="2">
        <f t="shared" si="15"/>
        <v>0</v>
      </c>
    </row>
    <row r="126" spans="2:24" x14ac:dyDescent="0.25">
      <c r="F126" s="2">
        <f t="shared" si="16"/>
        <v>0</v>
      </c>
      <c r="L126" s="2">
        <f t="shared" si="18"/>
        <v>0</v>
      </c>
      <c r="R126" s="2">
        <f t="shared" si="17"/>
        <v>0</v>
      </c>
      <c r="X126" s="2">
        <f t="shared" si="15"/>
        <v>0</v>
      </c>
    </row>
    <row r="127" spans="2:24" x14ac:dyDescent="0.25">
      <c r="F127" s="2">
        <f t="shared" si="16"/>
        <v>0</v>
      </c>
      <c r="L127" s="2">
        <f t="shared" si="18"/>
        <v>0</v>
      </c>
      <c r="R127" s="2">
        <f t="shared" si="17"/>
        <v>0</v>
      </c>
      <c r="X127" s="2">
        <f t="shared" si="15"/>
        <v>0</v>
      </c>
    </row>
    <row r="128" spans="2:24" x14ac:dyDescent="0.25">
      <c r="F128" s="2">
        <f t="shared" si="16"/>
        <v>0</v>
      </c>
      <c r="L128" s="2">
        <f t="shared" si="18"/>
        <v>0</v>
      </c>
      <c r="R128" s="2">
        <f t="shared" si="17"/>
        <v>0</v>
      </c>
      <c r="X128" s="2">
        <f t="shared" si="15"/>
        <v>0</v>
      </c>
    </row>
    <row r="129" spans="2:24" x14ac:dyDescent="0.25">
      <c r="F129" s="2">
        <f t="shared" si="16"/>
        <v>0</v>
      </c>
      <c r="L129" s="2">
        <f t="shared" si="18"/>
        <v>0</v>
      </c>
      <c r="R129" s="2">
        <f t="shared" si="17"/>
        <v>0</v>
      </c>
      <c r="X129" s="2">
        <f t="shared" si="15"/>
        <v>0</v>
      </c>
    </row>
    <row r="130" spans="2:24" x14ac:dyDescent="0.25">
      <c r="F130" s="2">
        <f t="shared" si="16"/>
        <v>0</v>
      </c>
      <c r="L130" s="2">
        <f t="shared" si="18"/>
        <v>0</v>
      </c>
      <c r="R130" s="2">
        <f t="shared" si="17"/>
        <v>0</v>
      </c>
      <c r="X130" s="2">
        <f t="shared" si="15"/>
        <v>0</v>
      </c>
    </row>
    <row r="131" spans="2:24" x14ac:dyDescent="0.25">
      <c r="F131" s="2">
        <f t="shared" si="16"/>
        <v>0</v>
      </c>
      <c r="L131" s="2">
        <f t="shared" si="18"/>
        <v>0</v>
      </c>
      <c r="R131" s="2">
        <f t="shared" si="17"/>
        <v>0</v>
      </c>
      <c r="X131" s="2">
        <f t="shared" si="15"/>
        <v>0</v>
      </c>
    </row>
    <row r="132" spans="2:24" x14ac:dyDescent="0.25">
      <c r="F132" s="2">
        <f t="shared" si="16"/>
        <v>0</v>
      </c>
      <c r="L132" s="2">
        <f t="shared" si="18"/>
        <v>0</v>
      </c>
      <c r="R132" s="2">
        <f t="shared" si="17"/>
        <v>0</v>
      </c>
      <c r="X132" s="2">
        <f t="shared" si="15"/>
        <v>0</v>
      </c>
    </row>
    <row r="133" spans="2:24" x14ac:dyDescent="0.25">
      <c r="F133" s="2">
        <f t="shared" si="16"/>
        <v>0</v>
      </c>
      <c r="L133" s="2">
        <f t="shared" si="18"/>
        <v>0</v>
      </c>
      <c r="R133" s="2">
        <f t="shared" si="17"/>
        <v>0</v>
      </c>
      <c r="X133" s="2">
        <f t="shared" si="15"/>
        <v>0</v>
      </c>
    </row>
    <row r="134" spans="2:24" x14ac:dyDescent="0.25">
      <c r="F134" s="2">
        <f t="shared" si="16"/>
        <v>0</v>
      </c>
      <c r="H134" s="26" t="s">
        <v>23</v>
      </c>
      <c r="I134" s="26"/>
      <c r="J134" s="26"/>
      <c r="K134" s="26"/>
      <c r="L134" s="9">
        <f>SUM(L112:L133)</f>
        <v>-7992</v>
      </c>
      <c r="R134" s="2">
        <f t="shared" si="17"/>
        <v>0</v>
      </c>
      <c r="T134" s="26" t="s">
        <v>23</v>
      </c>
      <c r="U134" s="26"/>
      <c r="V134" s="26"/>
      <c r="W134" s="26"/>
      <c r="X134" s="9">
        <f>SUM(X112:X133)</f>
        <v>0</v>
      </c>
    </row>
    <row r="135" spans="2:24" x14ac:dyDescent="0.25">
      <c r="B135" s="27" t="s">
        <v>28</v>
      </c>
      <c r="C135" s="27"/>
      <c r="D135" s="8"/>
      <c r="E135" s="8"/>
      <c r="F135" s="5">
        <f>-D135*E135</f>
        <v>0</v>
      </c>
      <c r="H135" s="26" t="s">
        <v>24</v>
      </c>
      <c r="I135" s="26"/>
      <c r="J135" s="26"/>
      <c r="K135" s="26"/>
      <c r="L135" s="4">
        <f>SUM(F136)</f>
        <v>32500</v>
      </c>
      <c r="N135" s="27" t="s">
        <v>28</v>
      </c>
      <c r="O135" s="27"/>
      <c r="P135" s="8"/>
      <c r="Q135" s="8"/>
      <c r="R135" s="5">
        <f>-P135*Q135</f>
        <v>0</v>
      </c>
      <c r="T135" s="26" t="s">
        <v>24</v>
      </c>
      <c r="U135" s="26"/>
      <c r="V135" s="26"/>
      <c r="W135" s="26"/>
      <c r="X135" s="4">
        <f>SUM(R136)</f>
        <v>16110</v>
      </c>
    </row>
    <row r="136" spans="2:24" x14ac:dyDescent="0.25">
      <c r="B136" s="28" t="s">
        <v>19</v>
      </c>
      <c r="C136" s="28"/>
      <c r="D136" s="28"/>
      <c r="E136" s="28"/>
      <c r="F136" s="13">
        <f>SUM(F112:F135)</f>
        <v>32500</v>
      </c>
      <c r="H136" s="26" t="s">
        <v>25</v>
      </c>
      <c r="I136" s="26"/>
      <c r="J136" s="26"/>
      <c r="K136" s="26"/>
      <c r="L136" s="14">
        <f>SUM(L135+L134)</f>
        <v>24508</v>
      </c>
      <c r="N136" s="28" t="s">
        <v>19</v>
      </c>
      <c r="O136" s="28"/>
      <c r="P136" s="28"/>
      <c r="Q136" s="28"/>
      <c r="R136" s="13">
        <f>SUM(R112:R135)</f>
        <v>16110</v>
      </c>
      <c r="T136" s="26" t="s">
        <v>25</v>
      </c>
      <c r="U136" s="26"/>
      <c r="V136" s="26"/>
      <c r="W136" s="26"/>
      <c r="X136" s="14">
        <f>SUM(X135+X134)</f>
        <v>16110</v>
      </c>
    </row>
    <row r="137" spans="2:24" ht="18.75" x14ac:dyDescent="0.3">
      <c r="B137" s="11" t="s">
        <v>29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N137" s="11" t="s">
        <v>29</v>
      </c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9" spans="2:24" x14ac:dyDescent="0.25">
      <c r="B139" s="21" t="s">
        <v>0</v>
      </c>
      <c r="C139" s="21"/>
      <c r="D139" s="22" t="s">
        <v>100</v>
      </c>
      <c r="E139" s="22"/>
      <c r="F139" s="22"/>
      <c r="H139" s="21" t="s">
        <v>43</v>
      </c>
      <c r="I139" s="21"/>
      <c r="J139">
        <v>3</v>
      </c>
      <c r="N139" s="21" t="s">
        <v>0</v>
      </c>
      <c r="O139" s="21"/>
      <c r="P139" s="22" t="s">
        <v>102</v>
      </c>
      <c r="Q139" s="22"/>
      <c r="R139" s="22"/>
      <c r="T139" s="21" t="s">
        <v>43</v>
      </c>
      <c r="U139" s="21"/>
      <c r="V139">
        <v>3</v>
      </c>
    </row>
    <row r="140" spans="2:24" x14ac:dyDescent="0.25">
      <c r="B140" s="21" t="s">
        <v>1</v>
      </c>
      <c r="C140" s="21"/>
      <c r="D140" s="23" t="s">
        <v>101</v>
      </c>
      <c r="E140" s="23"/>
      <c r="F140" s="23"/>
      <c r="H140" s="21" t="s">
        <v>44</v>
      </c>
      <c r="I140" s="21"/>
      <c r="J140" t="s">
        <v>78</v>
      </c>
      <c r="N140" s="21" t="s">
        <v>1</v>
      </c>
      <c r="O140" s="21"/>
      <c r="P140" s="23" t="s">
        <v>103</v>
      </c>
      <c r="Q140" s="23"/>
      <c r="R140" s="23"/>
      <c r="T140" s="21" t="s">
        <v>44</v>
      </c>
      <c r="U140" s="21"/>
      <c r="V140" t="s">
        <v>78</v>
      </c>
    </row>
    <row r="141" spans="2:24" x14ac:dyDescent="0.25">
      <c r="B141" s="21" t="s">
        <v>3</v>
      </c>
      <c r="C141" s="21"/>
      <c r="D141" s="23" t="s">
        <v>32</v>
      </c>
      <c r="E141" s="23"/>
      <c r="F141" s="23"/>
      <c r="H141" s="21" t="s">
        <v>45</v>
      </c>
      <c r="I141" s="21"/>
      <c r="J141" t="s">
        <v>79</v>
      </c>
      <c r="N141" s="21" t="s">
        <v>3</v>
      </c>
      <c r="O141" s="21"/>
      <c r="P141" s="23" t="s">
        <v>32</v>
      </c>
      <c r="Q141" s="23"/>
      <c r="R141" s="23"/>
      <c r="T141" s="21" t="s">
        <v>45</v>
      </c>
      <c r="U141" s="21"/>
      <c r="V141" t="s">
        <v>79</v>
      </c>
    </row>
    <row r="142" spans="2:24" x14ac:dyDescent="0.25">
      <c r="B142" s="21" t="s">
        <v>2</v>
      </c>
      <c r="C142" s="21"/>
      <c r="D142" s="23" t="s">
        <v>83</v>
      </c>
      <c r="E142" s="23"/>
      <c r="F142" s="23"/>
      <c r="H142" s="21" t="s">
        <v>46</v>
      </c>
      <c r="I142" s="21"/>
      <c r="J142" t="s">
        <v>80</v>
      </c>
      <c r="N142" s="21" t="s">
        <v>2</v>
      </c>
      <c r="O142" s="21"/>
      <c r="P142" s="23" t="s">
        <v>104</v>
      </c>
      <c r="Q142" s="23"/>
      <c r="R142" s="23"/>
      <c r="T142" s="21" t="s">
        <v>46</v>
      </c>
      <c r="U142" s="21"/>
      <c r="V142" t="s">
        <v>80</v>
      </c>
    </row>
    <row r="144" spans="2:24" x14ac:dyDescent="0.25">
      <c r="B144" s="1"/>
      <c r="C144" s="1" t="s">
        <v>4</v>
      </c>
      <c r="D144" s="1"/>
      <c r="E144" s="1"/>
      <c r="F144" s="1"/>
      <c r="H144" s="25" t="s">
        <v>20</v>
      </c>
      <c r="I144" s="25"/>
      <c r="J144" s="25"/>
      <c r="K144" s="25"/>
      <c r="L144" s="25"/>
      <c r="N144" s="1"/>
      <c r="O144" s="1" t="s">
        <v>4</v>
      </c>
      <c r="P144" s="1"/>
      <c r="Q144" s="1"/>
      <c r="R144" s="1"/>
      <c r="T144" s="25" t="s">
        <v>20</v>
      </c>
      <c r="U144" s="25"/>
      <c r="V144" s="25"/>
      <c r="W144" s="25"/>
      <c r="X144" s="25"/>
    </row>
    <row r="145" spans="2:24" x14ac:dyDescent="0.25">
      <c r="B145" s="6" t="s">
        <v>5</v>
      </c>
      <c r="C145" s="6" t="s">
        <v>6</v>
      </c>
      <c r="D145" s="6" t="s">
        <v>7</v>
      </c>
      <c r="E145" s="7" t="s">
        <v>8</v>
      </c>
      <c r="F145" s="6" t="s">
        <v>9</v>
      </c>
      <c r="H145" s="6" t="s">
        <v>5</v>
      </c>
      <c r="I145" s="7" t="s">
        <v>21</v>
      </c>
      <c r="J145" s="7" t="s">
        <v>22</v>
      </c>
      <c r="K145" s="7" t="s">
        <v>8</v>
      </c>
      <c r="L145" s="7" t="s">
        <v>9</v>
      </c>
      <c r="N145" s="6" t="s">
        <v>5</v>
      </c>
      <c r="O145" s="6" t="s">
        <v>6</v>
      </c>
      <c r="P145" s="6" t="s">
        <v>7</v>
      </c>
      <c r="Q145" s="7" t="s">
        <v>8</v>
      </c>
      <c r="R145" s="6" t="s">
        <v>9</v>
      </c>
      <c r="T145" s="6" t="s">
        <v>5</v>
      </c>
      <c r="U145" s="7" t="s">
        <v>21</v>
      </c>
      <c r="V145" s="7" t="s">
        <v>22</v>
      </c>
      <c r="W145" s="7" t="s">
        <v>8</v>
      </c>
      <c r="X145" s="7" t="s">
        <v>9</v>
      </c>
    </row>
    <row r="146" spans="2:24" x14ac:dyDescent="0.25">
      <c r="B146" t="s">
        <v>10</v>
      </c>
      <c r="C146">
        <v>3</v>
      </c>
      <c r="E146">
        <v>650</v>
      </c>
      <c r="F146" s="2">
        <f>C146*E146</f>
        <v>1950</v>
      </c>
      <c r="L146" s="2">
        <f t="shared" ref="L146:L148" si="19">-I146*K146+J146*K146</f>
        <v>0</v>
      </c>
      <c r="N146" t="s">
        <v>10</v>
      </c>
      <c r="Q146">
        <v>650</v>
      </c>
      <c r="R146" s="2">
        <f>O146*Q146</f>
        <v>0</v>
      </c>
      <c r="X146" s="2">
        <f t="shared" ref="X146:X148" si="20">-U146*W146+V146*W146</f>
        <v>0</v>
      </c>
    </row>
    <row r="147" spans="2:24" x14ac:dyDescent="0.25">
      <c r="B147" t="s">
        <v>11</v>
      </c>
      <c r="E147">
        <v>670</v>
      </c>
      <c r="F147" s="2">
        <f t="shared" ref="F147:F168" si="21">C147*E147</f>
        <v>0</v>
      </c>
      <c r="L147" s="2">
        <f t="shared" si="19"/>
        <v>0</v>
      </c>
      <c r="N147" t="s">
        <v>11</v>
      </c>
      <c r="Q147">
        <v>670</v>
      </c>
      <c r="R147" s="2">
        <f t="shared" ref="R147:R168" si="22">O147*Q147</f>
        <v>0</v>
      </c>
      <c r="X147" s="2">
        <f t="shared" si="20"/>
        <v>0</v>
      </c>
    </row>
    <row r="148" spans="2:24" x14ac:dyDescent="0.25">
      <c r="B148" t="s">
        <v>12</v>
      </c>
      <c r="E148">
        <v>973</v>
      </c>
      <c r="F148" s="2">
        <f t="shared" si="21"/>
        <v>0</v>
      </c>
      <c r="L148" s="2">
        <f t="shared" si="19"/>
        <v>0</v>
      </c>
      <c r="N148" t="s">
        <v>12</v>
      </c>
      <c r="Q148">
        <v>973</v>
      </c>
      <c r="R148" s="2">
        <f t="shared" si="22"/>
        <v>0</v>
      </c>
      <c r="X148" s="2">
        <f t="shared" si="20"/>
        <v>0</v>
      </c>
    </row>
    <row r="149" spans="2:24" x14ac:dyDescent="0.25">
      <c r="B149" t="s">
        <v>13</v>
      </c>
      <c r="E149">
        <v>622</v>
      </c>
      <c r="F149" s="2">
        <f t="shared" si="21"/>
        <v>0</v>
      </c>
      <c r="L149" s="2">
        <f>-I149*K149+J149*K149</f>
        <v>0</v>
      </c>
      <c r="N149" t="s">
        <v>13</v>
      </c>
      <c r="O149">
        <v>5</v>
      </c>
      <c r="Q149">
        <v>622</v>
      </c>
      <c r="R149" s="2">
        <f t="shared" si="22"/>
        <v>3110</v>
      </c>
      <c r="X149" s="2">
        <f>-U149*W149+V149*W149</f>
        <v>0</v>
      </c>
    </row>
    <row r="150" spans="2:24" x14ac:dyDescent="0.25">
      <c r="B150" t="s">
        <v>14</v>
      </c>
      <c r="E150">
        <v>912</v>
      </c>
      <c r="F150" s="2">
        <f t="shared" si="21"/>
        <v>0</v>
      </c>
      <c r="L150" s="2">
        <f t="shared" ref="L150:L167" si="23">-I150*K150+J150*K150</f>
        <v>0</v>
      </c>
      <c r="N150" t="s">
        <v>14</v>
      </c>
      <c r="Q150">
        <v>912</v>
      </c>
      <c r="R150" s="2">
        <f t="shared" si="22"/>
        <v>0</v>
      </c>
      <c r="X150" s="2">
        <f t="shared" ref="X150:X167" si="24">-U150*W150+V150*W150</f>
        <v>0</v>
      </c>
    </row>
    <row r="151" spans="2:24" x14ac:dyDescent="0.25">
      <c r="B151" t="s">
        <v>15</v>
      </c>
      <c r="F151" s="2">
        <f t="shared" si="21"/>
        <v>0</v>
      </c>
      <c r="L151" s="2">
        <f t="shared" si="23"/>
        <v>0</v>
      </c>
      <c r="N151" t="s">
        <v>15</v>
      </c>
      <c r="R151" s="2">
        <f t="shared" si="22"/>
        <v>0</v>
      </c>
      <c r="X151" s="2">
        <f t="shared" si="24"/>
        <v>0</v>
      </c>
    </row>
    <row r="152" spans="2:24" x14ac:dyDescent="0.25">
      <c r="B152" t="s">
        <v>16</v>
      </c>
      <c r="E152">
        <v>872</v>
      </c>
      <c r="F152" s="2">
        <f t="shared" si="21"/>
        <v>0</v>
      </c>
      <c r="L152" s="2">
        <f t="shared" si="23"/>
        <v>0</v>
      </c>
      <c r="N152" t="s">
        <v>16</v>
      </c>
      <c r="Q152">
        <v>872</v>
      </c>
      <c r="R152" s="2">
        <f t="shared" si="22"/>
        <v>0</v>
      </c>
      <c r="X152" s="2">
        <f t="shared" si="24"/>
        <v>0</v>
      </c>
    </row>
    <row r="153" spans="2:24" x14ac:dyDescent="0.25">
      <c r="B153" t="s">
        <v>17</v>
      </c>
      <c r="E153">
        <v>229</v>
      </c>
      <c r="F153" s="2">
        <f t="shared" si="21"/>
        <v>0</v>
      </c>
      <c r="L153" s="2">
        <f t="shared" si="23"/>
        <v>0</v>
      </c>
      <c r="N153" t="s">
        <v>17</v>
      </c>
      <c r="Q153">
        <v>229</v>
      </c>
      <c r="R153" s="2">
        <f t="shared" si="22"/>
        <v>0</v>
      </c>
      <c r="X153" s="2">
        <f t="shared" si="24"/>
        <v>0</v>
      </c>
    </row>
    <row r="154" spans="2:24" x14ac:dyDescent="0.25">
      <c r="B154" t="s">
        <v>18</v>
      </c>
      <c r="C154">
        <v>1</v>
      </c>
      <c r="E154">
        <v>500</v>
      </c>
      <c r="F154" s="2">
        <f t="shared" si="21"/>
        <v>500</v>
      </c>
      <c r="L154" s="2">
        <f t="shared" si="23"/>
        <v>0</v>
      </c>
      <c r="N154" t="s">
        <v>18</v>
      </c>
      <c r="Q154">
        <v>500</v>
      </c>
      <c r="R154" s="2">
        <f t="shared" si="22"/>
        <v>0</v>
      </c>
      <c r="X154" s="2">
        <f t="shared" si="24"/>
        <v>0</v>
      </c>
    </row>
    <row r="155" spans="2:24" x14ac:dyDescent="0.25">
      <c r="B155" t="s">
        <v>26</v>
      </c>
      <c r="E155">
        <v>650</v>
      </c>
      <c r="F155" s="2">
        <f t="shared" si="21"/>
        <v>0</v>
      </c>
      <c r="L155" s="2">
        <f t="shared" si="23"/>
        <v>0</v>
      </c>
      <c r="N155" t="s">
        <v>26</v>
      </c>
      <c r="Q155">
        <v>650</v>
      </c>
      <c r="R155" s="2">
        <f t="shared" si="22"/>
        <v>0</v>
      </c>
      <c r="X155" s="2">
        <f t="shared" si="24"/>
        <v>0</v>
      </c>
    </row>
    <row r="156" spans="2:24" x14ac:dyDescent="0.25">
      <c r="B156" s="12" t="s">
        <v>41</v>
      </c>
      <c r="E156">
        <v>1175</v>
      </c>
      <c r="F156" s="2">
        <f t="shared" si="21"/>
        <v>0</v>
      </c>
      <c r="L156" s="2">
        <f t="shared" si="23"/>
        <v>0</v>
      </c>
      <c r="N156" s="12" t="s">
        <v>41</v>
      </c>
      <c r="Q156">
        <v>1175</v>
      </c>
      <c r="R156" s="2">
        <f t="shared" si="22"/>
        <v>0</v>
      </c>
      <c r="X156" s="2">
        <f t="shared" si="24"/>
        <v>0</v>
      </c>
    </row>
    <row r="157" spans="2:24" x14ac:dyDescent="0.25">
      <c r="B157" t="s">
        <v>40</v>
      </c>
      <c r="E157">
        <v>700</v>
      </c>
      <c r="F157" s="2">
        <f t="shared" si="21"/>
        <v>0</v>
      </c>
      <c r="L157" s="2">
        <f t="shared" si="23"/>
        <v>0</v>
      </c>
      <c r="N157" t="s">
        <v>40</v>
      </c>
      <c r="Q157">
        <v>700</v>
      </c>
      <c r="R157" s="2">
        <f t="shared" si="22"/>
        <v>0</v>
      </c>
      <c r="X157" s="2">
        <f t="shared" si="24"/>
        <v>0</v>
      </c>
    </row>
    <row r="158" spans="2:24" x14ac:dyDescent="0.25">
      <c r="F158" s="2">
        <f t="shared" si="21"/>
        <v>0</v>
      </c>
      <c r="L158" s="2">
        <f t="shared" si="23"/>
        <v>0</v>
      </c>
      <c r="R158" s="2">
        <f t="shared" si="22"/>
        <v>0</v>
      </c>
      <c r="X158" s="2">
        <f t="shared" si="24"/>
        <v>0</v>
      </c>
    </row>
    <row r="159" spans="2:24" x14ac:dyDescent="0.25">
      <c r="F159" s="2">
        <f t="shared" si="21"/>
        <v>0</v>
      </c>
      <c r="L159" s="2">
        <f t="shared" si="23"/>
        <v>0</v>
      </c>
      <c r="R159" s="2">
        <f t="shared" si="22"/>
        <v>0</v>
      </c>
      <c r="X159" s="2">
        <f t="shared" si="24"/>
        <v>0</v>
      </c>
    </row>
    <row r="160" spans="2:24" x14ac:dyDescent="0.25">
      <c r="F160" s="2">
        <f t="shared" si="21"/>
        <v>0</v>
      </c>
      <c r="L160" s="2">
        <f t="shared" si="23"/>
        <v>0</v>
      </c>
      <c r="R160" s="2">
        <f t="shared" si="22"/>
        <v>0</v>
      </c>
      <c r="X160" s="2">
        <f t="shared" si="24"/>
        <v>0</v>
      </c>
    </row>
    <row r="161" spans="2:24" x14ac:dyDescent="0.25">
      <c r="F161" s="2">
        <f t="shared" si="21"/>
        <v>0</v>
      </c>
      <c r="L161" s="2">
        <f t="shared" si="23"/>
        <v>0</v>
      </c>
      <c r="R161" s="2">
        <f t="shared" si="22"/>
        <v>0</v>
      </c>
      <c r="X161" s="2">
        <f t="shared" si="24"/>
        <v>0</v>
      </c>
    </row>
    <row r="162" spans="2:24" x14ac:dyDescent="0.25">
      <c r="F162" s="2">
        <f t="shared" si="21"/>
        <v>0</v>
      </c>
      <c r="L162" s="2">
        <f t="shared" si="23"/>
        <v>0</v>
      </c>
      <c r="R162" s="2">
        <f t="shared" si="22"/>
        <v>0</v>
      </c>
      <c r="X162" s="2">
        <f t="shared" si="24"/>
        <v>0</v>
      </c>
    </row>
    <row r="163" spans="2:24" x14ac:dyDescent="0.25">
      <c r="F163" s="2">
        <f t="shared" si="21"/>
        <v>0</v>
      </c>
      <c r="L163" s="2">
        <f t="shared" si="23"/>
        <v>0</v>
      </c>
      <c r="R163" s="2">
        <f t="shared" si="22"/>
        <v>0</v>
      </c>
      <c r="X163" s="2">
        <f t="shared" si="24"/>
        <v>0</v>
      </c>
    </row>
    <row r="164" spans="2:24" x14ac:dyDescent="0.25">
      <c r="F164" s="2">
        <f t="shared" si="21"/>
        <v>0</v>
      </c>
      <c r="L164" s="2">
        <f t="shared" si="23"/>
        <v>0</v>
      </c>
      <c r="R164" s="2">
        <f t="shared" si="22"/>
        <v>0</v>
      </c>
      <c r="X164" s="2">
        <f t="shared" si="24"/>
        <v>0</v>
      </c>
    </row>
    <row r="165" spans="2:24" x14ac:dyDescent="0.25">
      <c r="F165" s="2">
        <f t="shared" si="21"/>
        <v>0</v>
      </c>
      <c r="L165" s="2">
        <f t="shared" si="23"/>
        <v>0</v>
      </c>
      <c r="R165" s="2">
        <f t="shared" si="22"/>
        <v>0</v>
      </c>
      <c r="X165" s="2">
        <f t="shared" si="24"/>
        <v>0</v>
      </c>
    </row>
    <row r="166" spans="2:24" x14ac:dyDescent="0.25">
      <c r="F166" s="2">
        <f t="shared" si="21"/>
        <v>0</v>
      </c>
      <c r="L166" s="2">
        <f t="shared" si="23"/>
        <v>0</v>
      </c>
      <c r="R166" s="2">
        <f t="shared" si="22"/>
        <v>0</v>
      </c>
      <c r="X166" s="2">
        <f t="shared" si="24"/>
        <v>0</v>
      </c>
    </row>
    <row r="167" spans="2:24" x14ac:dyDescent="0.25">
      <c r="F167" s="2">
        <f t="shared" si="21"/>
        <v>0</v>
      </c>
      <c r="L167" s="2">
        <f t="shared" si="23"/>
        <v>0</v>
      </c>
      <c r="R167" s="2">
        <f t="shared" si="22"/>
        <v>0</v>
      </c>
      <c r="X167" s="2">
        <f t="shared" si="24"/>
        <v>0</v>
      </c>
    </row>
    <row r="168" spans="2:24" x14ac:dyDescent="0.25">
      <c r="F168" s="2">
        <f t="shared" si="21"/>
        <v>0</v>
      </c>
      <c r="H168" s="26" t="s">
        <v>23</v>
      </c>
      <c r="I168" s="26"/>
      <c r="J168" s="26"/>
      <c r="K168" s="26"/>
      <c r="L168" s="9">
        <f>SUM(L146:L167)</f>
        <v>0</v>
      </c>
      <c r="R168" s="2">
        <f t="shared" si="22"/>
        <v>0</v>
      </c>
      <c r="T168" s="26" t="s">
        <v>23</v>
      </c>
      <c r="U168" s="26"/>
      <c r="V168" s="26"/>
      <c r="W168" s="26"/>
      <c r="X168" s="9">
        <f>SUM(X146:X167)</f>
        <v>0</v>
      </c>
    </row>
    <row r="169" spans="2:24" x14ac:dyDescent="0.25">
      <c r="B169" s="27" t="s">
        <v>28</v>
      </c>
      <c r="C169" s="27"/>
      <c r="D169" s="8"/>
      <c r="E169" s="8"/>
      <c r="F169" s="5">
        <f>-D169*E169</f>
        <v>0</v>
      </c>
      <c r="H169" s="26" t="s">
        <v>24</v>
      </c>
      <c r="I169" s="26"/>
      <c r="J169" s="26"/>
      <c r="K169" s="26"/>
      <c r="L169" s="4">
        <f>SUM(F170)</f>
        <v>2450</v>
      </c>
      <c r="N169" s="27" t="s">
        <v>28</v>
      </c>
      <c r="O169" s="27"/>
      <c r="P169" s="8"/>
      <c r="Q169" s="8"/>
      <c r="R169" s="5">
        <f>-P169*Q169</f>
        <v>0</v>
      </c>
      <c r="T169" s="26" t="s">
        <v>24</v>
      </c>
      <c r="U169" s="26"/>
      <c r="V169" s="26"/>
      <c r="W169" s="26"/>
      <c r="X169" s="4">
        <f>SUM(R170)</f>
        <v>3110</v>
      </c>
    </row>
    <row r="170" spans="2:24" x14ac:dyDescent="0.25">
      <c r="B170" s="28" t="s">
        <v>19</v>
      </c>
      <c r="C170" s="28"/>
      <c r="D170" s="28"/>
      <c r="E170" s="28"/>
      <c r="F170" s="13">
        <f>SUM(F146:F169)</f>
        <v>2450</v>
      </c>
      <c r="H170" s="26" t="s">
        <v>25</v>
      </c>
      <c r="I170" s="26"/>
      <c r="J170" s="26"/>
      <c r="K170" s="26"/>
      <c r="L170" s="14">
        <f>SUM(L169+L168)</f>
        <v>2450</v>
      </c>
      <c r="N170" s="28" t="s">
        <v>19</v>
      </c>
      <c r="O170" s="28"/>
      <c r="P170" s="28"/>
      <c r="Q170" s="28"/>
      <c r="R170" s="13">
        <f>SUM(R146:R169)</f>
        <v>3110</v>
      </c>
      <c r="T170" s="26" t="s">
        <v>25</v>
      </c>
      <c r="U170" s="26"/>
      <c r="V170" s="26"/>
      <c r="W170" s="26"/>
      <c r="X170" s="14">
        <f>SUM(X169+X168)</f>
        <v>3110</v>
      </c>
    </row>
  </sheetData>
  <mergeCells count="180">
    <mergeCell ref="B3:C3"/>
    <mergeCell ref="D3:F3"/>
    <mergeCell ref="H3:I3"/>
    <mergeCell ref="N3:O3"/>
    <mergeCell ref="P3:R3"/>
    <mergeCell ref="T3:U3"/>
    <mergeCell ref="B5:C5"/>
    <mergeCell ref="D5:F5"/>
    <mergeCell ref="H5:I5"/>
    <mergeCell ref="N5:O5"/>
    <mergeCell ref="P5:R5"/>
    <mergeCell ref="T5:U5"/>
    <mergeCell ref="B4:C4"/>
    <mergeCell ref="D4:F4"/>
    <mergeCell ref="H4:I4"/>
    <mergeCell ref="N4:O4"/>
    <mergeCell ref="P4:R4"/>
    <mergeCell ref="T4:U4"/>
    <mergeCell ref="H8:L8"/>
    <mergeCell ref="T8:X8"/>
    <mergeCell ref="H32:K32"/>
    <mergeCell ref="T32:W32"/>
    <mergeCell ref="B33:C33"/>
    <mergeCell ref="H33:K33"/>
    <mergeCell ref="N33:O33"/>
    <mergeCell ref="T33:W33"/>
    <mergeCell ref="B6:C6"/>
    <mergeCell ref="D6:F6"/>
    <mergeCell ref="H6:I6"/>
    <mergeCell ref="N6:O6"/>
    <mergeCell ref="P6:R6"/>
    <mergeCell ref="T6:U6"/>
    <mergeCell ref="B34:E34"/>
    <mergeCell ref="H34:K34"/>
    <mergeCell ref="N34:Q34"/>
    <mergeCell ref="T34:W34"/>
    <mergeCell ref="B37:C37"/>
    <mergeCell ref="D37:F37"/>
    <mergeCell ref="H37:I37"/>
    <mergeCell ref="N37:O37"/>
    <mergeCell ref="P37:R37"/>
    <mergeCell ref="T37:U37"/>
    <mergeCell ref="B39:C39"/>
    <mergeCell ref="D39:F39"/>
    <mergeCell ref="H39:I39"/>
    <mergeCell ref="N39:O39"/>
    <mergeCell ref="P39:R39"/>
    <mergeCell ref="T39:U39"/>
    <mergeCell ref="B38:C38"/>
    <mergeCell ref="D38:F38"/>
    <mergeCell ref="H38:I38"/>
    <mergeCell ref="N38:O38"/>
    <mergeCell ref="P38:R38"/>
    <mergeCell ref="T38:U38"/>
    <mergeCell ref="H42:L42"/>
    <mergeCell ref="T42:X42"/>
    <mergeCell ref="H66:K66"/>
    <mergeCell ref="T66:W66"/>
    <mergeCell ref="B67:C67"/>
    <mergeCell ref="H67:K67"/>
    <mergeCell ref="N67:O67"/>
    <mergeCell ref="T67:W67"/>
    <mergeCell ref="B40:C40"/>
    <mergeCell ref="D40:F40"/>
    <mergeCell ref="H40:I40"/>
    <mergeCell ref="N40:O40"/>
    <mergeCell ref="P40:R40"/>
    <mergeCell ref="T40:U40"/>
    <mergeCell ref="B68:E68"/>
    <mergeCell ref="H68:K68"/>
    <mergeCell ref="N68:Q68"/>
    <mergeCell ref="T68:W68"/>
    <mergeCell ref="B71:C71"/>
    <mergeCell ref="D71:F71"/>
    <mergeCell ref="H71:I71"/>
    <mergeCell ref="N71:O71"/>
    <mergeCell ref="P71:R71"/>
    <mergeCell ref="T71:U71"/>
    <mergeCell ref="B73:C73"/>
    <mergeCell ref="D73:F73"/>
    <mergeCell ref="H73:I73"/>
    <mergeCell ref="N73:O73"/>
    <mergeCell ref="P73:R73"/>
    <mergeCell ref="T73:U73"/>
    <mergeCell ref="B72:C72"/>
    <mergeCell ref="D72:F72"/>
    <mergeCell ref="H72:I72"/>
    <mergeCell ref="N72:O72"/>
    <mergeCell ref="P72:R72"/>
    <mergeCell ref="T72:U72"/>
    <mergeCell ref="H76:L76"/>
    <mergeCell ref="T76:X76"/>
    <mergeCell ref="H100:K100"/>
    <mergeCell ref="T100:W100"/>
    <mergeCell ref="B101:C101"/>
    <mergeCell ref="H101:K101"/>
    <mergeCell ref="N101:O101"/>
    <mergeCell ref="T101:W101"/>
    <mergeCell ref="B74:C74"/>
    <mergeCell ref="D74:F74"/>
    <mergeCell ref="H74:I74"/>
    <mergeCell ref="N74:O74"/>
    <mergeCell ref="P74:R74"/>
    <mergeCell ref="T74:U74"/>
    <mergeCell ref="B106:C106"/>
    <mergeCell ref="D106:F106"/>
    <mergeCell ref="H106:I106"/>
    <mergeCell ref="N106:O106"/>
    <mergeCell ref="P106:R106"/>
    <mergeCell ref="T106:U106"/>
    <mergeCell ref="B102:E102"/>
    <mergeCell ref="H102:K102"/>
    <mergeCell ref="N102:Q102"/>
    <mergeCell ref="T102:W102"/>
    <mergeCell ref="B105:C105"/>
    <mergeCell ref="D105:F105"/>
    <mergeCell ref="H105:I105"/>
    <mergeCell ref="N105:O105"/>
    <mergeCell ref="P105:R105"/>
    <mergeCell ref="T105:U105"/>
    <mergeCell ref="B108:C108"/>
    <mergeCell ref="D108:F108"/>
    <mergeCell ref="H108:I108"/>
    <mergeCell ref="N108:O108"/>
    <mergeCell ref="P108:R108"/>
    <mergeCell ref="T108:U108"/>
    <mergeCell ref="B107:C107"/>
    <mergeCell ref="D107:F107"/>
    <mergeCell ref="H107:I107"/>
    <mergeCell ref="N107:O107"/>
    <mergeCell ref="P107:R107"/>
    <mergeCell ref="T107:U107"/>
    <mergeCell ref="B136:E136"/>
    <mergeCell ref="H136:K136"/>
    <mergeCell ref="N136:Q136"/>
    <mergeCell ref="T136:W136"/>
    <mergeCell ref="B139:C139"/>
    <mergeCell ref="D139:F139"/>
    <mergeCell ref="H139:I139"/>
    <mergeCell ref="H110:L110"/>
    <mergeCell ref="T110:X110"/>
    <mergeCell ref="H134:K134"/>
    <mergeCell ref="T134:W134"/>
    <mergeCell ref="B135:C135"/>
    <mergeCell ref="H135:K135"/>
    <mergeCell ref="N135:O135"/>
    <mergeCell ref="T135:W135"/>
    <mergeCell ref="B170:E170"/>
    <mergeCell ref="H170:K170"/>
    <mergeCell ref="N139:O139"/>
    <mergeCell ref="P139:R139"/>
    <mergeCell ref="T139:U139"/>
    <mergeCell ref="N140:O140"/>
    <mergeCell ref="P140:R140"/>
    <mergeCell ref="T140:U140"/>
    <mergeCell ref="N141:O141"/>
    <mergeCell ref="P141:R141"/>
    <mergeCell ref="B142:C142"/>
    <mergeCell ref="D142:F142"/>
    <mergeCell ref="H142:I142"/>
    <mergeCell ref="H144:L144"/>
    <mergeCell ref="H168:K168"/>
    <mergeCell ref="B169:C169"/>
    <mergeCell ref="H169:K169"/>
    <mergeCell ref="B140:C140"/>
    <mergeCell ref="D140:F140"/>
    <mergeCell ref="H140:I140"/>
    <mergeCell ref="B141:C141"/>
    <mergeCell ref="D141:F141"/>
    <mergeCell ref="H141:I141"/>
    <mergeCell ref="N169:O169"/>
    <mergeCell ref="T169:W169"/>
    <mergeCell ref="N170:Q170"/>
    <mergeCell ref="T170:W170"/>
    <mergeCell ref="T141:U141"/>
    <mergeCell ref="N142:O142"/>
    <mergeCell ref="P142:R142"/>
    <mergeCell ref="T142:U142"/>
    <mergeCell ref="T144:X144"/>
    <mergeCell ref="T168:W168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76A65-76A9-4390-97BD-3423E4F6DA2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2867-F6B0-4E7F-84DF-892B7BE1EEA7}">
  <dimension ref="B1:AF68"/>
  <sheetViews>
    <sheetView workbookViewId="0">
      <selection activeCell="AB4" sqref="AB4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105</v>
      </c>
      <c r="E3" s="22"/>
      <c r="F3" s="22"/>
      <c r="H3" s="21" t="s">
        <v>43</v>
      </c>
      <c r="I3" s="21"/>
      <c r="J3">
        <v>1</v>
      </c>
      <c r="N3" s="21" t="s">
        <v>0</v>
      </c>
      <c r="O3" s="21"/>
      <c r="P3" s="22" t="s">
        <v>108</v>
      </c>
      <c r="Q3" s="22"/>
      <c r="R3" s="22"/>
      <c r="T3" s="21" t="s">
        <v>43</v>
      </c>
      <c r="U3" s="21"/>
      <c r="V3">
        <v>1</v>
      </c>
      <c r="Z3" s="3">
        <f>F34+R34+F68</f>
        <v>465043.5</v>
      </c>
      <c r="AB3">
        <f>F33</f>
        <v>-4182</v>
      </c>
      <c r="AF3" s="3">
        <f>L34+X34+L68</f>
        <v>456580.5</v>
      </c>
    </row>
    <row r="4" spans="2:32" x14ac:dyDescent="0.25">
      <c r="B4" s="21" t="s">
        <v>1</v>
      </c>
      <c r="C4" s="21"/>
      <c r="D4" s="23" t="s">
        <v>106</v>
      </c>
      <c r="E4" s="23"/>
      <c r="F4" s="23"/>
      <c r="H4" s="21" t="s">
        <v>44</v>
      </c>
      <c r="I4" s="21"/>
      <c r="J4" t="s">
        <v>47</v>
      </c>
      <c r="N4" s="21" t="s">
        <v>1</v>
      </c>
      <c r="O4" s="21"/>
      <c r="P4" s="23" t="s">
        <v>109</v>
      </c>
      <c r="Q4" s="23"/>
      <c r="R4" s="23"/>
      <c r="T4" s="21" t="s">
        <v>44</v>
      </c>
      <c r="U4" s="21"/>
      <c r="V4" t="s">
        <v>47</v>
      </c>
    </row>
    <row r="5" spans="2:32" x14ac:dyDescent="0.25">
      <c r="B5" s="21" t="s">
        <v>3</v>
      </c>
      <c r="C5" s="21"/>
      <c r="D5" s="24" t="s">
        <v>107</v>
      </c>
      <c r="E5" s="24"/>
      <c r="F5" s="24"/>
      <c r="H5" s="21" t="s">
        <v>45</v>
      </c>
      <c r="I5" s="21"/>
      <c r="J5" t="s">
        <v>48</v>
      </c>
      <c r="N5" s="21" t="s">
        <v>3</v>
      </c>
      <c r="O5" s="21"/>
      <c r="P5" s="23" t="s">
        <v>107</v>
      </c>
      <c r="Q5" s="23"/>
      <c r="R5" s="23"/>
      <c r="T5" s="21" t="s">
        <v>45</v>
      </c>
      <c r="U5" s="21"/>
      <c r="V5" t="s">
        <v>48</v>
      </c>
    </row>
    <row r="6" spans="2:32" x14ac:dyDescent="0.25">
      <c r="B6" s="21" t="s">
        <v>2</v>
      </c>
      <c r="C6" s="21"/>
      <c r="D6" s="23" t="s">
        <v>36</v>
      </c>
      <c r="E6" s="23"/>
      <c r="F6" s="23"/>
      <c r="H6" s="21" t="s">
        <v>46</v>
      </c>
      <c r="I6" s="21"/>
      <c r="J6" t="s">
        <v>49</v>
      </c>
      <c r="N6" s="21" t="s">
        <v>2</v>
      </c>
      <c r="O6" s="21"/>
      <c r="P6" s="23" t="s">
        <v>110</v>
      </c>
      <c r="Q6" s="23"/>
      <c r="R6" s="23"/>
      <c r="T6" s="21" t="s">
        <v>46</v>
      </c>
      <c r="U6" s="21"/>
      <c r="V6" t="s">
        <v>49</v>
      </c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647</v>
      </c>
      <c r="E10">
        <v>650</v>
      </c>
      <c r="F10" s="2">
        <f>C10*E10</f>
        <v>420550</v>
      </c>
      <c r="H10" t="s">
        <v>87</v>
      </c>
      <c r="I10">
        <v>61</v>
      </c>
      <c r="K10">
        <v>111</v>
      </c>
      <c r="L10" s="2">
        <f t="shared" ref="L10:L32" si="0">-I10*K10+J10*K10</f>
        <v>-6771</v>
      </c>
      <c r="N10" t="s">
        <v>10</v>
      </c>
      <c r="O10">
        <v>15</v>
      </c>
      <c r="Q10">
        <v>650</v>
      </c>
      <c r="R10" s="2">
        <f>O10*Q10</f>
        <v>9750</v>
      </c>
      <c r="T10" t="s">
        <v>87</v>
      </c>
      <c r="U10">
        <v>12</v>
      </c>
      <c r="W10">
        <v>111</v>
      </c>
      <c r="X10" s="2">
        <f t="shared" ref="X10:X31" si="1">-U10*W10+V10*W10</f>
        <v>-1332</v>
      </c>
    </row>
    <row r="11" spans="2:32" x14ac:dyDescent="0.25">
      <c r="B11" t="s">
        <v>11</v>
      </c>
      <c r="F11" s="2">
        <f t="shared" ref="F11:F32" si="2">C11*E11</f>
        <v>0</v>
      </c>
      <c r="H11" t="s">
        <v>17</v>
      </c>
      <c r="J11">
        <v>18</v>
      </c>
      <c r="K11">
        <v>78</v>
      </c>
      <c r="L11" s="2">
        <f t="shared" si="0"/>
        <v>1404</v>
      </c>
      <c r="N11" t="s">
        <v>11</v>
      </c>
      <c r="O11">
        <v>2</v>
      </c>
      <c r="Q11">
        <v>670</v>
      </c>
      <c r="R11" s="2">
        <f t="shared" ref="R11:R32" si="3">O11*Q11</f>
        <v>1340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C13">
        <v>50</v>
      </c>
      <c r="E13">
        <v>622</v>
      </c>
      <c r="F13" s="2">
        <f t="shared" si="2"/>
        <v>31100</v>
      </c>
      <c r="H13" t="s">
        <v>87</v>
      </c>
      <c r="I13">
        <v>12</v>
      </c>
      <c r="K13">
        <v>84</v>
      </c>
      <c r="L13" s="2">
        <f t="shared" si="0"/>
        <v>-1008</v>
      </c>
      <c r="N13" t="s">
        <v>13</v>
      </c>
      <c r="O13">
        <v>2</v>
      </c>
      <c r="Q13">
        <v>622</v>
      </c>
      <c r="R13" s="2">
        <f t="shared" si="3"/>
        <v>1244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H14" t="s">
        <v>17</v>
      </c>
      <c r="I14">
        <v>18</v>
      </c>
      <c r="K14">
        <v>42</v>
      </c>
      <c r="L14" s="2">
        <f t="shared" si="0"/>
        <v>-756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C17">
        <v>20</v>
      </c>
      <c r="E17">
        <v>229</v>
      </c>
      <c r="F17" s="2">
        <f t="shared" si="2"/>
        <v>4580</v>
      </c>
      <c r="L17" s="2">
        <f t="shared" si="0"/>
        <v>0</v>
      </c>
      <c r="N17" t="s">
        <v>17</v>
      </c>
      <c r="O17">
        <v>17</v>
      </c>
      <c r="Q17">
        <v>9.5</v>
      </c>
      <c r="R17" s="2">
        <f t="shared" si="3"/>
        <v>161.5</v>
      </c>
      <c r="X17" s="2">
        <f t="shared" si="1"/>
        <v>0</v>
      </c>
    </row>
    <row r="18" spans="2:24" x14ac:dyDescent="0.25">
      <c r="B18" t="s">
        <v>18</v>
      </c>
      <c r="E18">
        <v>500</v>
      </c>
      <c r="F18" s="2">
        <f t="shared" si="2"/>
        <v>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F20" s="2">
        <f t="shared" si="2"/>
        <v>0</v>
      </c>
      <c r="L20" s="2">
        <f t="shared" si="0"/>
        <v>0</v>
      </c>
      <c r="R20" s="2">
        <f t="shared" si="3"/>
        <v>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>SUM(L10:L31)</f>
        <v>-7131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-1332</v>
      </c>
    </row>
    <row r="33" spans="2:24" x14ac:dyDescent="0.25">
      <c r="B33" s="27" t="s">
        <v>28</v>
      </c>
      <c r="C33" s="27"/>
      <c r="D33" s="8">
        <v>697</v>
      </c>
      <c r="E33" s="8">
        <v>6</v>
      </c>
      <c r="F33" s="5">
        <f>-D33*E33</f>
        <v>-4182</v>
      </c>
      <c r="H33" s="26" t="s">
        <v>24</v>
      </c>
      <c r="I33" s="26"/>
      <c r="J33" s="26"/>
      <c r="K33" s="26"/>
      <c r="L33" s="4">
        <f>SUM(F34)</f>
        <v>452048</v>
      </c>
      <c r="N33" s="27" t="s">
        <v>28</v>
      </c>
      <c r="O33" s="27"/>
      <c r="P33" s="8"/>
      <c r="Q33" s="8"/>
      <c r="R33" s="5">
        <f>-P33*Q33</f>
        <v>0</v>
      </c>
      <c r="T33" s="26" t="s">
        <v>24</v>
      </c>
      <c r="U33" s="26"/>
      <c r="V33" s="26"/>
      <c r="W33" s="26"/>
      <c r="X33" s="4">
        <f>SUM(R34)</f>
        <v>12495.5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452048</v>
      </c>
      <c r="H34" s="26" t="s">
        <v>25</v>
      </c>
      <c r="I34" s="26"/>
      <c r="J34" s="26"/>
      <c r="K34" s="26"/>
      <c r="L34" s="14">
        <f>SUM(L33+L32)</f>
        <v>444917</v>
      </c>
      <c r="N34" s="28" t="s">
        <v>19</v>
      </c>
      <c r="O34" s="28"/>
      <c r="P34" s="28"/>
      <c r="Q34" s="28"/>
      <c r="R34" s="13">
        <f>SUM(R10:R33)</f>
        <v>12495.5</v>
      </c>
      <c r="T34" s="26" t="s">
        <v>25</v>
      </c>
      <c r="U34" s="26"/>
      <c r="V34" s="26"/>
      <c r="W34" s="26"/>
      <c r="X34" s="14">
        <f>SUM(X33+X32)</f>
        <v>11163.5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29"/>
      <c r="O35" s="19"/>
      <c r="P35" s="19"/>
      <c r="Q35" s="19"/>
      <c r="R35" s="19"/>
      <c r="S35" s="19"/>
      <c r="T35" s="19"/>
      <c r="U35" s="19"/>
      <c r="V35" s="19"/>
      <c r="W35" s="19"/>
      <c r="X35" s="19"/>
    </row>
    <row r="36" spans="2:24" x14ac:dyDescent="0.25"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</row>
    <row r="37" spans="2:24" x14ac:dyDescent="0.25">
      <c r="B37" s="21" t="s">
        <v>0</v>
      </c>
      <c r="C37" s="21"/>
      <c r="D37" s="22" t="s">
        <v>111</v>
      </c>
      <c r="E37" s="22"/>
      <c r="F37" s="22"/>
      <c r="H37" s="21" t="s">
        <v>43</v>
      </c>
      <c r="I37" s="21"/>
      <c r="J37">
        <v>1</v>
      </c>
      <c r="N37" s="30"/>
      <c r="O37" s="30"/>
      <c r="P37" s="31"/>
      <c r="Q37" s="31"/>
      <c r="R37" s="31"/>
      <c r="S37" s="19"/>
      <c r="T37" s="30"/>
      <c r="U37" s="30"/>
      <c r="V37" s="19"/>
      <c r="W37" s="19"/>
      <c r="X37" s="19"/>
    </row>
    <row r="38" spans="2:24" x14ac:dyDescent="0.25">
      <c r="B38" s="21" t="s">
        <v>1</v>
      </c>
      <c r="C38" s="21"/>
      <c r="D38" s="23" t="s">
        <v>112</v>
      </c>
      <c r="E38" s="23"/>
      <c r="F38" s="23"/>
      <c r="H38" s="21" t="s">
        <v>44</v>
      </c>
      <c r="I38" s="21"/>
      <c r="J38" t="s">
        <v>47</v>
      </c>
      <c r="N38" s="30"/>
      <c r="O38" s="30"/>
      <c r="P38" s="32"/>
      <c r="Q38" s="32"/>
      <c r="R38" s="32"/>
      <c r="S38" s="19"/>
      <c r="T38" s="30"/>
      <c r="U38" s="30"/>
      <c r="V38" s="19"/>
      <c r="W38" s="19"/>
      <c r="X38" s="19"/>
    </row>
    <row r="39" spans="2:24" x14ac:dyDescent="0.25">
      <c r="B39" s="21" t="s">
        <v>3</v>
      </c>
      <c r="C39" s="21"/>
      <c r="D39" s="23" t="s">
        <v>107</v>
      </c>
      <c r="E39" s="23"/>
      <c r="F39" s="23"/>
      <c r="H39" s="21" t="s">
        <v>45</v>
      </c>
      <c r="I39" s="21"/>
      <c r="J39" t="s">
        <v>48</v>
      </c>
      <c r="N39" s="30"/>
      <c r="O39" s="30"/>
      <c r="P39" s="32"/>
      <c r="Q39" s="32"/>
      <c r="R39" s="32"/>
      <c r="S39" s="19"/>
      <c r="T39" s="30"/>
      <c r="U39" s="30"/>
      <c r="V39" s="19"/>
      <c r="W39" s="19"/>
      <c r="X39" s="19"/>
    </row>
    <row r="40" spans="2:24" x14ac:dyDescent="0.25">
      <c r="B40" s="21" t="s">
        <v>2</v>
      </c>
      <c r="C40" s="21"/>
      <c r="D40" s="23" t="s">
        <v>110</v>
      </c>
      <c r="E40" s="23"/>
      <c r="F40" s="23"/>
      <c r="H40" s="21" t="s">
        <v>46</v>
      </c>
      <c r="I40" s="21"/>
      <c r="J40" t="s">
        <v>49</v>
      </c>
      <c r="N40" s="30"/>
      <c r="O40" s="30"/>
      <c r="P40" s="32"/>
      <c r="Q40" s="32"/>
      <c r="R40" s="32"/>
      <c r="S40" s="19"/>
      <c r="T40" s="30"/>
      <c r="U40" s="30"/>
      <c r="V40" s="19"/>
      <c r="W40" s="19"/>
      <c r="X40" s="19"/>
    </row>
    <row r="41" spans="2:24" x14ac:dyDescent="0.25"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33"/>
      <c r="O42" s="33"/>
      <c r="P42" s="33"/>
      <c r="Q42" s="33"/>
      <c r="R42" s="33"/>
      <c r="S42" s="19"/>
      <c r="T42" s="34"/>
      <c r="U42" s="34"/>
      <c r="V42" s="34"/>
      <c r="W42" s="34"/>
      <c r="X42" s="34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35"/>
      <c r="O43" s="35"/>
      <c r="P43" s="35"/>
      <c r="Q43" s="36"/>
      <c r="R43" s="35"/>
      <c r="S43" s="19"/>
      <c r="T43" s="35"/>
      <c r="U43" s="36"/>
      <c r="V43" s="36"/>
      <c r="W43" s="36"/>
      <c r="X43" s="36"/>
    </row>
    <row r="44" spans="2:24" x14ac:dyDescent="0.25">
      <c r="B44" t="s">
        <v>10</v>
      </c>
      <c r="E44">
        <v>650</v>
      </c>
      <c r="F44" s="2">
        <f>C44*E44</f>
        <v>0</v>
      </c>
      <c r="K44">
        <v>111</v>
      </c>
      <c r="L44" s="2">
        <f t="shared" ref="L44:L46" si="4">-I44*K44+J44*K44</f>
        <v>0</v>
      </c>
      <c r="N44" s="19"/>
      <c r="O44" s="19"/>
      <c r="P44" s="19"/>
      <c r="Q44" s="19"/>
      <c r="R44" s="37"/>
      <c r="S44" s="19"/>
      <c r="T44" s="19"/>
      <c r="U44" s="19"/>
      <c r="V44" s="19"/>
      <c r="W44" s="19"/>
      <c r="X44" s="37"/>
    </row>
    <row r="45" spans="2:24" x14ac:dyDescent="0.25">
      <c r="B45" t="s">
        <v>11</v>
      </c>
      <c r="E45">
        <v>670</v>
      </c>
      <c r="F45" s="2">
        <f t="shared" ref="F45:F66" si="5">C45*E45</f>
        <v>0</v>
      </c>
      <c r="L45" s="2">
        <f t="shared" si="4"/>
        <v>0</v>
      </c>
      <c r="N45" s="19"/>
      <c r="O45" s="19"/>
      <c r="P45" s="19"/>
      <c r="Q45" s="19"/>
      <c r="R45" s="37"/>
      <c r="S45" s="19"/>
      <c r="T45" s="19"/>
      <c r="U45" s="19"/>
      <c r="V45" s="19"/>
      <c r="W45" s="19"/>
      <c r="X45" s="37"/>
    </row>
    <row r="46" spans="2:24" x14ac:dyDescent="0.25">
      <c r="B46" t="s">
        <v>12</v>
      </c>
      <c r="E46">
        <v>973</v>
      </c>
      <c r="F46" s="2">
        <f t="shared" si="5"/>
        <v>0</v>
      </c>
      <c r="L46" s="2">
        <f t="shared" si="4"/>
        <v>0</v>
      </c>
      <c r="N46" s="19"/>
      <c r="O46" s="19"/>
      <c r="P46" s="19"/>
      <c r="Q46" s="19"/>
      <c r="R46" s="37"/>
      <c r="S46" s="19"/>
      <c r="T46" s="19"/>
      <c r="U46" s="19"/>
      <c r="V46" s="19"/>
      <c r="W46" s="19"/>
      <c r="X46" s="37"/>
    </row>
    <row r="47" spans="2:24" x14ac:dyDescent="0.25">
      <c r="B47" t="s">
        <v>13</v>
      </c>
      <c r="E47">
        <v>622</v>
      </c>
      <c r="F47" s="2">
        <f t="shared" si="5"/>
        <v>0</v>
      </c>
      <c r="K47">
        <v>4.5</v>
      </c>
      <c r="L47" s="2">
        <f>-I47*K47+J47*K47</f>
        <v>0</v>
      </c>
      <c r="N47" s="19"/>
      <c r="O47" s="19"/>
      <c r="P47" s="19"/>
      <c r="Q47" s="19"/>
      <c r="R47" s="37"/>
      <c r="S47" s="19"/>
      <c r="T47" s="19"/>
      <c r="U47" s="19"/>
      <c r="V47" s="19"/>
      <c r="W47" s="19"/>
      <c r="X47" s="37"/>
    </row>
    <row r="48" spans="2:24" x14ac:dyDescent="0.25">
      <c r="B48" t="s">
        <v>14</v>
      </c>
      <c r="E48">
        <v>912</v>
      </c>
      <c r="F48" s="2">
        <f t="shared" si="5"/>
        <v>0</v>
      </c>
      <c r="L48" s="2">
        <f t="shared" ref="L48:L65" si="6">-I48*K48+J48*K48</f>
        <v>0</v>
      </c>
      <c r="N48" s="19"/>
      <c r="O48" s="19"/>
      <c r="P48" s="19"/>
      <c r="Q48" s="19"/>
      <c r="R48" s="37"/>
      <c r="S48" s="19"/>
      <c r="T48" s="19"/>
      <c r="U48" s="19"/>
      <c r="V48" s="19"/>
      <c r="W48" s="19"/>
      <c r="X48" s="37"/>
    </row>
    <row r="49" spans="2:24" x14ac:dyDescent="0.25">
      <c r="B49" t="s">
        <v>15</v>
      </c>
      <c r="F49" s="2">
        <f t="shared" si="5"/>
        <v>0</v>
      </c>
      <c r="L49" s="2">
        <f t="shared" si="6"/>
        <v>0</v>
      </c>
      <c r="N49" s="19"/>
      <c r="O49" s="19"/>
      <c r="P49" s="19"/>
      <c r="Q49" s="19"/>
      <c r="R49" s="37"/>
      <c r="S49" s="19"/>
      <c r="T49" s="19"/>
      <c r="U49" s="19"/>
      <c r="V49" s="19"/>
      <c r="W49" s="19"/>
      <c r="X49" s="37"/>
    </row>
    <row r="50" spans="2:24" x14ac:dyDescent="0.25">
      <c r="B50" t="s">
        <v>16</v>
      </c>
      <c r="E50">
        <v>872</v>
      </c>
      <c r="F50" s="2">
        <f t="shared" si="5"/>
        <v>0</v>
      </c>
      <c r="L50" s="2">
        <f t="shared" si="6"/>
        <v>0</v>
      </c>
      <c r="N50" s="19"/>
      <c r="O50" s="19"/>
      <c r="P50" s="19"/>
      <c r="Q50" s="19"/>
      <c r="R50" s="37"/>
      <c r="S50" s="19"/>
      <c r="T50" s="19"/>
      <c r="U50" s="19"/>
      <c r="V50" s="19"/>
      <c r="W50" s="19"/>
      <c r="X50" s="37"/>
    </row>
    <row r="51" spans="2:24" x14ac:dyDescent="0.25">
      <c r="B51" t="s">
        <v>17</v>
      </c>
      <c r="E51">
        <v>229</v>
      </c>
      <c r="F51" s="2">
        <f t="shared" si="5"/>
        <v>0</v>
      </c>
      <c r="K51">
        <v>42</v>
      </c>
      <c r="L51" s="2">
        <f t="shared" si="6"/>
        <v>0</v>
      </c>
      <c r="N51" s="19"/>
      <c r="O51" s="19"/>
      <c r="P51" s="19"/>
      <c r="Q51" s="19"/>
      <c r="R51" s="37"/>
      <c r="S51" s="19"/>
      <c r="T51" s="19"/>
      <c r="U51" s="19"/>
      <c r="V51" s="19"/>
      <c r="W51" s="19"/>
      <c r="X51" s="37"/>
    </row>
    <row r="52" spans="2:24" x14ac:dyDescent="0.25">
      <c r="B52" t="s">
        <v>18</v>
      </c>
      <c r="C52">
        <v>1</v>
      </c>
      <c r="E52">
        <v>500</v>
      </c>
      <c r="F52" s="2">
        <f t="shared" si="5"/>
        <v>500</v>
      </c>
      <c r="L52" s="2">
        <f t="shared" si="6"/>
        <v>0</v>
      </c>
      <c r="N52" s="19"/>
      <c r="O52" s="19"/>
      <c r="P52" s="19"/>
      <c r="Q52" s="19"/>
      <c r="R52" s="37"/>
      <c r="S52" s="19"/>
      <c r="T52" s="19"/>
      <c r="U52" s="19"/>
      <c r="V52" s="19"/>
      <c r="W52" s="19"/>
      <c r="X52" s="37"/>
    </row>
    <row r="53" spans="2:24" x14ac:dyDescent="0.25">
      <c r="B53" t="s">
        <v>26</v>
      </c>
      <c r="E53">
        <v>650</v>
      </c>
      <c r="F53" s="2">
        <f t="shared" si="5"/>
        <v>0</v>
      </c>
      <c r="L53" s="2">
        <f t="shared" si="6"/>
        <v>0</v>
      </c>
      <c r="N53" s="19"/>
      <c r="O53" s="19"/>
      <c r="P53" s="19"/>
      <c r="Q53" s="19"/>
      <c r="R53" s="37"/>
      <c r="S53" s="19"/>
      <c r="T53" s="19"/>
      <c r="U53" s="19"/>
      <c r="V53" s="19"/>
      <c r="W53" s="19"/>
      <c r="X53" s="37"/>
    </row>
    <row r="54" spans="2:24" x14ac:dyDescent="0.25">
      <c r="B54" s="12" t="s">
        <v>41</v>
      </c>
      <c r="E54">
        <v>1175</v>
      </c>
      <c r="F54" s="2">
        <f t="shared" si="5"/>
        <v>0</v>
      </c>
      <c r="L54" s="2">
        <f t="shared" si="6"/>
        <v>0</v>
      </c>
      <c r="N54" s="19"/>
      <c r="O54" s="19"/>
      <c r="P54" s="19"/>
      <c r="Q54" s="19"/>
      <c r="R54" s="37"/>
      <c r="S54" s="19"/>
      <c r="T54" s="19"/>
      <c r="U54" s="19"/>
      <c r="V54" s="19"/>
      <c r="W54" s="19"/>
      <c r="X54" s="37"/>
    </row>
    <row r="55" spans="2:24" x14ac:dyDescent="0.25">
      <c r="B55" t="s">
        <v>40</v>
      </c>
      <c r="E55">
        <v>700</v>
      </c>
      <c r="F55" s="2">
        <f t="shared" si="5"/>
        <v>0</v>
      </c>
      <c r="L55" s="2">
        <f t="shared" si="6"/>
        <v>0</v>
      </c>
      <c r="N55" s="19"/>
      <c r="O55" s="19"/>
      <c r="P55" s="19"/>
      <c r="Q55" s="19"/>
      <c r="R55" s="37"/>
      <c r="S55" s="19"/>
      <c r="T55" s="19"/>
      <c r="U55" s="19"/>
      <c r="V55" s="19"/>
      <c r="W55" s="19"/>
      <c r="X55" s="37"/>
    </row>
    <row r="56" spans="2:24" x14ac:dyDescent="0.25">
      <c r="F56" s="2">
        <f t="shared" si="5"/>
        <v>0</v>
      </c>
      <c r="L56" s="2">
        <f t="shared" si="6"/>
        <v>0</v>
      </c>
      <c r="N56" s="19"/>
      <c r="O56" s="19"/>
      <c r="P56" s="19"/>
      <c r="Q56" s="19"/>
      <c r="R56" s="37"/>
      <c r="S56" s="19"/>
      <c r="T56" s="19"/>
      <c r="U56" s="19"/>
      <c r="V56" s="19"/>
      <c r="W56" s="19"/>
      <c r="X56" s="37"/>
    </row>
    <row r="57" spans="2:24" x14ac:dyDescent="0.25">
      <c r="F57" s="2">
        <f t="shared" si="5"/>
        <v>0</v>
      </c>
      <c r="L57" s="2">
        <f t="shared" si="6"/>
        <v>0</v>
      </c>
      <c r="N57" s="19"/>
      <c r="O57" s="19"/>
      <c r="P57" s="19"/>
      <c r="Q57" s="19"/>
      <c r="R57" s="37"/>
      <c r="S57" s="19"/>
      <c r="T57" s="19"/>
      <c r="U57" s="19"/>
      <c r="V57" s="19"/>
      <c r="W57" s="19"/>
      <c r="X57" s="37"/>
    </row>
    <row r="58" spans="2:24" x14ac:dyDescent="0.25">
      <c r="F58" s="2">
        <f t="shared" si="5"/>
        <v>0</v>
      </c>
      <c r="L58" s="2">
        <f t="shared" si="6"/>
        <v>0</v>
      </c>
      <c r="N58" s="19"/>
      <c r="O58" s="19"/>
      <c r="P58" s="19"/>
      <c r="Q58" s="19"/>
      <c r="R58" s="37"/>
      <c r="S58" s="19"/>
      <c r="T58" s="19"/>
      <c r="U58" s="19"/>
      <c r="V58" s="19"/>
      <c r="W58" s="19"/>
      <c r="X58" s="37"/>
    </row>
    <row r="59" spans="2:24" x14ac:dyDescent="0.25">
      <c r="F59" s="2">
        <f t="shared" si="5"/>
        <v>0</v>
      </c>
      <c r="L59" s="2">
        <f t="shared" si="6"/>
        <v>0</v>
      </c>
      <c r="N59" s="19"/>
      <c r="O59" s="19"/>
      <c r="P59" s="19"/>
      <c r="Q59" s="19"/>
      <c r="R59" s="37"/>
      <c r="S59" s="19"/>
      <c r="T59" s="19"/>
      <c r="U59" s="19"/>
      <c r="V59" s="19"/>
      <c r="W59" s="19"/>
      <c r="X59" s="37"/>
    </row>
    <row r="60" spans="2:24" x14ac:dyDescent="0.25">
      <c r="F60" s="2">
        <f t="shared" si="5"/>
        <v>0</v>
      </c>
      <c r="L60" s="2">
        <f t="shared" si="6"/>
        <v>0</v>
      </c>
      <c r="N60" s="19"/>
      <c r="O60" s="19"/>
      <c r="P60" s="19"/>
      <c r="Q60" s="19"/>
      <c r="R60" s="37"/>
      <c r="S60" s="19"/>
      <c r="T60" s="19"/>
      <c r="U60" s="19"/>
      <c r="V60" s="19"/>
      <c r="W60" s="19"/>
      <c r="X60" s="37"/>
    </row>
    <row r="61" spans="2:24" x14ac:dyDescent="0.25">
      <c r="F61" s="2">
        <f t="shared" si="5"/>
        <v>0</v>
      </c>
      <c r="L61" s="2">
        <f t="shared" si="6"/>
        <v>0</v>
      </c>
      <c r="N61" s="19"/>
      <c r="O61" s="19"/>
      <c r="P61" s="19"/>
      <c r="Q61" s="19"/>
      <c r="R61" s="37"/>
      <c r="S61" s="19"/>
      <c r="T61" s="19"/>
      <c r="U61" s="19"/>
      <c r="V61" s="19"/>
      <c r="W61" s="19"/>
      <c r="X61" s="37"/>
    </row>
    <row r="62" spans="2:24" x14ac:dyDescent="0.25">
      <c r="F62" s="2">
        <f t="shared" si="5"/>
        <v>0</v>
      </c>
      <c r="L62" s="2">
        <f t="shared" si="6"/>
        <v>0</v>
      </c>
      <c r="N62" s="19"/>
      <c r="O62" s="19"/>
      <c r="P62" s="19"/>
      <c r="Q62" s="19"/>
      <c r="R62" s="37"/>
      <c r="S62" s="19"/>
      <c r="T62" s="19"/>
      <c r="U62" s="19"/>
      <c r="V62" s="19"/>
      <c r="W62" s="19"/>
      <c r="X62" s="37"/>
    </row>
    <row r="63" spans="2:24" x14ac:dyDescent="0.25">
      <c r="F63" s="2">
        <f t="shared" si="5"/>
        <v>0</v>
      </c>
      <c r="L63" s="2">
        <f t="shared" si="6"/>
        <v>0</v>
      </c>
      <c r="N63" s="19"/>
      <c r="O63" s="19"/>
      <c r="P63" s="19"/>
      <c r="Q63" s="19"/>
      <c r="R63" s="37"/>
      <c r="S63" s="19"/>
      <c r="T63" s="19"/>
      <c r="U63" s="19"/>
      <c r="V63" s="19"/>
      <c r="W63" s="19"/>
      <c r="X63" s="37"/>
    </row>
    <row r="64" spans="2:24" x14ac:dyDescent="0.25">
      <c r="F64" s="2">
        <f t="shared" si="5"/>
        <v>0</v>
      </c>
      <c r="L64" s="2">
        <f t="shared" si="6"/>
        <v>0</v>
      </c>
      <c r="N64" s="19"/>
      <c r="O64" s="19"/>
      <c r="P64" s="19"/>
      <c r="Q64" s="19"/>
      <c r="R64" s="37"/>
      <c r="S64" s="19"/>
      <c r="T64" s="19"/>
      <c r="U64" s="19"/>
      <c r="V64" s="19"/>
      <c r="W64" s="19"/>
      <c r="X64" s="37"/>
    </row>
    <row r="65" spans="2:24" x14ac:dyDescent="0.25">
      <c r="F65" s="2">
        <f t="shared" si="5"/>
        <v>0</v>
      </c>
      <c r="L65" s="2">
        <f t="shared" si="6"/>
        <v>0</v>
      </c>
      <c r="N65" s="19"/>
      <c r="O65" s="19"/>
      <c r="P65" s="19"/>
      <c r="Q65" s="19"/>
      <c r="R65" s="37"/>
      <c r="S65" s="19"/>
      <c r="T65" s="19"/>
      <c r="U65" s="19"/>
      <c r="V65" s="19"/>
      <c r="W65" s="19"/>
      <c r="X65" s="37"/>
    </row>
    <row r="66" spans="2:24" x14ac:dyDescent="0.25">
      <c r="F66" s="2">
        <f t="shared" si="5"/>
        <v>0</v>
      </c>
      <c r="H66" s="26" t="s">
        <v>23</v>
      </c>
      <c r="I66" s="26"/>
      <c r="J66" s="26"/>
      <c r="K66" s="26"/>
      <c r="L66" s="9">
        <f>SUM(L44:L65)</f>
        <v>0</v>
      </c>
      <c r="N66" s="19"/>
      <c r="O66" s="19"/>
      <c r="P66" s="19"/>
      <c r="Q66" s="19"/>
      <c r="R66" s="37"/>
      <c r="S66" s="19"/>
      <c r="T66" s="38"/>
      <c r="U66" s="38"/>
      <c r="V66" s="38"/>
      <c r="W66" s="38"/>
      <c r="X66" s="39"/>
    </row>
    <row r="67" spans="2:24" x14ac:dyDescent="0.25">
      <c r="B67" s="27" t="s">
        <v>28</v>
      </c>
      <c r="C67" s="27"/>
      <c r="D67" s="8"/>
      <c r="E67" s="8"/>
      <c r="F67" s="5">
        <f>-D67*E67</f>
        <v>0</v>
      </c>
      <c r="H67" s="26" t="s">
        <v>24</v>
      </c>
      <c r="I67" s="26"/>
      <c r="J67" s="26"/>
      <c r="K67" s="26"/>
      <c r="L67" s="4">
        <f>SUM(F68)</f>
        <v>500</v>
      </c>
      <c r="N67" s="40"/>
      <c r="O67" s="40"/>
      <c r="P67" s="41"/>
      <c r="Q67" s="41"/>
      <c r="R67" s="42"/>
      <c r="S67" s="19"/>
      <c r="T67" s="38"/>
      <c r="U67" s="38"/>
      <c r="V67" s="38"/>
      <c r="W67" s="38"/>
      <c r="X67" s="43"/>
    </row>
    <row r="68" spans="2:24" x14ac:dyDescent="0.25">
      <c r="B68" s="28" t="s">
        <v>19</v>
      </c>
      <c r="C68" s="28"/>
      <c r="D68" s="28"/>
      <c r="E68" s="28"/>
      <c r="F68" s="13">
        <f>SUM(F44:F67)</f>
        <v>500</v>
      </c>
      <c r="H68" s="26" t="s">
        <v>25</v>
      </c>
      <c r="I68" s="26"/>
      <c r="J68" s="26"/>
      <c r="K68" s="26"/>
      <c r="L68" s="14">
        <f>SUM(L67+L66)</f>
        <v>500</v>
      </c>
      <c r="N68" s="44"/>
      <c r="O68" s="44"/>
      <c r="P68" s="44"/>
      <c r="Q68" s="44"/>
      <c r="R68" s="43"/>
      <c r="S68" s="19"/>
      <c r="T68" s="38"/>
      <c r="U68" s="38"/>
      <c r="V68" s="38"/>
      <c r="W68" s="38"/>
      <c r="X68" s="43"/>
    </row>
  </sheetData>
  <mergeCells count="72">
    <mergeCell ref="T4:U4"/>
    <mergeCell ref="B3:C3"/>
    <mergeCell ref="D3:F3"/>
    <mergeCell ref="H3:I3"/>
    <mergeCell ref="N3:O3"/>
    <mergeCell ref="P3:R3"/>
    <mergeCell ref="T3:U3"/>
    <mergeCell ref="B4:C4"/>
    <mergeCell ref="D4:F4"/>
    <mergeCell ref="H4:I4"/>
    <mergeCell ref="N4:O4"/>
    <mergeCell ref="P4:R4"/>
    <mergeCell ref="T6:U6"/>
    <mergeCell ref="B5:C5"/>
    <mergeCell ref="D5:F5"/>
    <mergeCell ref="H5:I5"/>
    <mergeCell ref="N5:O5"/>
    <mergeCell ref="P5:R5"/>
    <mergeCell ref="T5:U5"/>
    <mergeCell ref="B6:C6"/>
    <mergeCell ref="D6:F6"/>
    <mergeCell ref="H6:I6"/>
    <mergeCell ref="N6:O6"/>
    <mergeCell ref="P6:R6"/>
    <mergeCell ref="H8:L8"/>
    <mergeCell ref="T8:X8"/>
    <mergeCell ref="H32:K32"/>
    <mergeCell ref="T32:W32"/>
    <mergeCell ref="B33:C33"/>
    <mergeCell ref="H33:K33"/>
    <mergeCell ref="N33:O33"/>
    <mergeCell ref="T33:W33"/>
    <mergeCell ref="T38:U38"/>
    <mergeCell ref="B34:E34"/>
    <mergeCell ref="H34:K34"/>
    <mergeCell ref="N34:Q34"/>
    <mergeCell ref="T34:W34"/>
    <mergeCell ref="B37:C37"/>
    <mergeCell ref="D37:F37"/>
    <mergeCell ref="H37:I37"/>
    <mergeCell ref="N37:O37"/>
    <mergeCell ref="P37:R37"/>
    <mergeCell ref="T37:U37"/>
    <mergeCell ref="B38:C38"/>
    <mergeCell ref="D38:F38"/>
    <mergeCell ref="H38:I38"/>
    <mergeCell ref="N38:O38"/>
    <mergeCell ref="P38:R38"/>
    <mergeCell ref="T40:U40"/>
    <mergeCell ref="B39:C39"/>
    <mergeCell ref="D39:F39"/>
    <mergeCell ref="H39:I39"/>
    <mergeCell ref="N39:O39"/>
    <mergeCell ref="P39:R39"/>
    <mergeCell ref="T39:U39"/>
    <mergeCell ref="B40:C40"/>
    <mergeCell ref="D40:F40"/>
    <mergeCell ref="H40:I40"/>
    <mergeCell ref="N40:O40"/>
    <mergeCell ref="P40:R40"/>
    <mergeCell ref="B68:E68"/>
    <mergeCell ref="H68:K68"/>
    <mergeCell ref="N68:Q68"/>
    <mergeCell ref="T68:W68"/>
    <mergeCell ref="H42:L42"/>
    <mergeCell ref="T42:X42"/>
    <mergeCell ref="H66:K66"/>
    <mergeCell ref="T66:W66"/>
    <mergeCell ref="B67:C67"/>
    <mergeCell ref="H67:K67"/>
    <mergeCell ref="N67:O67"/>
    <mergeCell ref="T67:W6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173E9-87D5-4F33-912C-1B13D496EDFB}">
  <dimension ref="B1:AF170"/>
  <sheetViews>
    <sheetView zoomScaleNormal="100" workbookViewId="0">
      <selection activeCell="N102" sqref="N102:Q102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  <col min="33" max="33" width="2.28515625" customWidth="1"/>
    <col min="35" max="35" width="2.28515625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113</v>
      </c>
      <c r="E3" s="22"/>
      <c r="F3" s="22"/>
      <c r="H3" s="21" t="s">
        <v>43</v>
      </c>
      <c r="I3" s="21"/>
      <c r="J3">
        <v>2</v>
      </c>
      <c r="N3" s="21" t="s">
        <v>0</v>
      </c>
      <c r="O3" s="21"/>
      <c r="P3" s="22" t="s">
        <v>116</v>
      </c>
      <c r="Q3" s="22"/>
      <c r="R3" s="22"/>
      <c r="T3" s="21" t="s">
        <v>43</v>
      </c>
      <c r="U3" s="21"/>
      <c r="V3">
        <v>2</v>
      </c>
      <c r="Z3" s="20">
        <f>F34+R34+F68+R68+F102+R102+F136+R136+F170</f>
        <v>247375.5</v>
      </c>
      <c r="AA3" s="19"/>
      <c r="AB3" s="19">
        <f>F101</f>
        <v>0</v>
      </c>
      <c r="AC3" s="19"/>
      <c r="AD3" s="19"/>
      <c r="AF3" s="3">
        <f>L34+X34+L68+X68+L102+X102+L136+X136+L170</f>
        <v>246546</v>
      </c>
    </row>
    <row r="4" spans="2:32" x14ac:dyDescent="0.25">
      <c r="B4" s="21" t="s">
        <v>1</v>
      </c>
      <c r="C4" s="21"/>
      <c r="D4" s="23" t="s">
        <v>114</v>
      </c>
      <c r="E4" s="23"/>
      <c r="F4" s="23"/>
      <c r="H4" s="21" t="s">
        <v>44</v>
      </c>
      <c r="I4" s="21"/>
      <c r="J4" t="s">
        <v>50</v>
      </c>
      <c r="N4" s="21" t="s">
        <v>1</v>
      </c>
      <c r="O4" s="21"/>
      <c r="P4" s="23" t="s">
        <v>117</v>
      </c>
      <c r="Q4" s="23"/>
      <c r="R4" s="23"/>
      <c r="T4" s="21" t="s">
        <v>44</v>
      </c>
      <c r="U4" s="21"/>
      <c r="V4" t="s">
        <v>50</v>
      </c>
      <c r="Z4" s="19"/>
      <c r="AA4" s="19"/>
      <c r="AB4" s="19"/>
      <c r="AC4" s="19"/>
      <c r="AD4" s="19"/>
    </row>
    <row r="5" spans="2:32" x14ac:dyDescent="0.25">
      <c r="B5" s="21" t="s">
        <v>3</v>
      </c>
      <c r="C5" s="21"/>
      <c r="D5" s="24" t="s">
        <v>107</v>
      </c>
      <c r="E5" s="24"/>
      <c r="F5" s="24"/>
      <c r="H5" s="21" t="s">
        <v>45</v>
      </c>
      <c r="I5" s="21"/>
      <c r="J5" t="s">
        <v>51</v>
      </c>
      <c r="N5" s="21" t="s">
        <v>3</v>
      </c>
      <c r="O5" s="21"/>
      <c r="P5" s="23" t="s">
        <v>118</v>
      </c>
      <c r="Q5" s="23"/>
      <c r="R5" s="23"/>
      <c r="T5" s="21" t="s">
        <v>45</v>
      </c>
      <c r="U5" s="21"/>
      <c r="V5" t="s">
        <v>51</v>
      </c>
      <c r="Z5" s="19"/>
      <c r="AA5" s="19"/>
      <c r="AB5" s="19"/>
      <c r="AC5" s="19"/>
      <c r="AD5" s="19"/>
    </row>
    <row r="6" spans="2:32" x14ac:dyDescent="0.25">
      <c r="B6" s="21" t="s">
        <v>2</v>
      </c>
      <c r="C6" s="21"/>
      <c r="D6" s="23" t="s">
        <v>115</v>
      </c>
      <c r="E6" s="23"/>
      <c r="F6" s="23"/>
      <c r="H6" s="21" t="s">
        <v>46</v>
      </c>
      <c r="I6" s="21"/>
      <c r="J6" t="s">
        <v>52</v>
      </c>
      <c r="N6" s="21" t="s">
        <v>2</v>
      </c>
      <c r="O6" s="21"/>
      <c r="P6" s="23" t="s">
        <v>115</v>
      </c>
      <c r="Q6" s="23"/>
      <c r="R6" s="23"/>
      <c r="T6" s="21" t="s">
        <v>46</v>
      </c>
      <c r="U6" s="21"/>
      <c r="V6" t="s">
        <v>52</v>
      </c>
      <c r="Z6" s="19"/>
      <c r="AA6" s="19"/>
      <c r="AB6" s="19"/>
      <c r="AC6" s="19"/>
      <c r="AD6" s="19"/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4</v>
      </c>
      <c r="E10">
        <v>650</v>
      </c>
      <c r="F10" s="2">
        <f>C10*E10</f>
        <v>2600</v>
      </c>
      <c r="L10" s="2">
        <f t="shared" ref="L10:L32" si="0">-I10*K10+J10*K10</f>
        <v>0</v>
      </c>
      <c r="N10" t="s">
        <v>10</v>
      </c>
      <c r="O10">
        <v>2</v>
      </c>
      <c r="Q10">
        <v>650</v>
      </c>
      <c r="R10" s="2">
        <f>O10*Q10</f>
        <v>1300</v>
      </c>
      <c r="X10" s="2">
        <f t="shared" ref="X10:X31" si="1">-U10*W10+V10*W10</f>
        <v>0</v>
      </c>
    </row>
    <row r="11" spans="2:32" x14ac:dyDescent="0.25">
      <c r="B11" t="s">
        <v>11</v>
      </c>
      <c r="C11">
        <v>1</v>
      </c>
      <c r="E11">
        <v>670</v>
      </c>
      <c r="F11" s="2">
        <f t="shared" ref="F11:F32" si="2">C11*E11</f>
        <v>670</v>
      </c>
      <c r="L11" s="2">
        <f t="shared" si="0"/>
        <v>0</v>
      </c>
      <c r="N11" t="s">
        <v>11</v>
      </c>
      <c r="O11">
        <v>1</v>
      </c>
      <c r="Q11">
        <v>670</v>
      </c>
      <c r="R11" s="2">
        <f t="shared" ref="R11:R32" si="3">O11*Q11</f>
        <v>670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E13">
        <v>622</v>
      </c>
      <c r="F13" s="2">
        <f t="shared" si="2"/>
        <v>0</v>
      </c>
      <c r="L13" s="2">
        <f t="shared" si="0"/>
        <v>0</v>
      </c>
      <c r="N13" t="s">
        <v>13</v>
      </c>
      <c r="Q13">
        <v>622</v>
      </c>
      <c r="R13" s="2">
        <f t="shared" si="3"/>
        <v>0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L14" s="2">
        <f t="shared" si="0"/>
        <v>0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C17">
        <v>4</v>
      </c>
      <c r="E17">
        <v>9.5</v>
      </c>
      <c r="F17" s="2">
        <f t="shared" si="2"/>
        <v>38</v>
      </c>
      <c r="L17" s="2">
        <f t="shared" si="0"/>
        <v>0</v>
      </c>
      <c r="N17" t="s">
        <v>17</v>
      </c>
      <c r="O17">
        <v>2</v>
      </c>
      <c r="Q17">
        <v>9.5</v>
      </c>
      <c r="R17" s="2">
        <f t="shared" si="3"/>
        <v>19</v>
      </c>
      <c r="X17" s="2">
        <f t="shared" si="1"/>
        <v>0</v>
      </c>
    </row>
    <row r="18" spans="2:24" x14ac:dyDescent="0.25">
      <c r="B18" t="s">
        <v>18</v>
      </c>
      <c r="E18">
        <v>500</v>
      </c>
      <c r="F18" s="2">
        <f t="shared" si="2"/>
        <v>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F20" s="2">
        <f t="shared" si="2"/>
        <v>0</v>
      </c>
      <c r="L20" s="2">
        <f t="shared" si="0"/>
        <v>0</v>
      </c>
      <c r="R20" s="2">
        <f t="shared" si="3"/>
        <v>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 t="shared" si="0"/>
        <v>0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0</v>
      </c>
    </row>
    <row r="33" spans="2:24" x14ac:dyDescent="0.25">
      <c r="B33" s="27" t="s">
        <v>28</v>
      </c>
      <c r="C33" s="27"/>
      <c r="D33" s="8"/>
      <c r="E33" s="8"/>
      <c r="F33" s="5">
        <f>-D33*E33</f>
        <v>0</v>
      </c>
      <c r="H33" s="26" t="s">
        <v>24</v>
      </c>
      <c r="I33" s="26"/>
      <c r="J33" s="26"/>
      <c r="K33" s="26"/>
      <c r="L33" s="4">
        <f>SUM(F34)</f>
        <v>3308</v>
      </c>
      <c r="N33" s="27" t="s">
        <v>28</v>
      </c>
      <c r="O33" s="27"/>
      <c r="P33" s="8"/>
      <c r="Q33" s="8"/>
      <c r="R33" s="5">
        <f>-P33*Q33</f>
        <v>0</v>
      </c>
      <c r="T33" s="26" t="s">
        <v>24</v>
      </c>
      <c r="U33" s="26"/>
      <c r="V33" s="26"/>
      <c r="W33" s="26"/>
      <c r="X33" s="4">
        <f>SUM(R34)</f>
        <v>1989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3308</v>
      </c>
      <c r="H34" s="26" t="s">
        <v>25</v>
      </c>
      <c r="I34" s="26"/>
      <c r="J34" s="26"/>
      <c r="K34" s="26"/>
      <c r="L34" s="14">
        <f>SUM(L33+L32)</f>
        <v>3308</v>
      </c>
      <c r="N34" s="28" t="s">
        <v>19</v>
      </c>
      <c r="O34" s="28"/>
      <c r="P34" s="28"/>
      <c r="Q34" s="28"/>
      <c r="R34" s="13">
        <f>SUM(R10:R33)</f>
        <v>1989</v>
      </c>
      <c r="T34" s="26" t="s">
        <v>25</v>
      </c>
      <c r="U34" s="26"/>
      <c r="V34" s="26"/>
      <c r="W34" s="26"/>
      <c r="X34" s="14">
        <f>SUM(X33+X32)</f>
        <v>1989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11" t="s">
        <v>29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7" spans="2:24" x14ac:dyDescent="0.25">
      <c r="B37" s="21" t="s">
        <v>0</v>
      </c>
      <c r="C37" s="21"/>
      <c r="D37" s="22" t="s">
        <v>119</v>
      </c>
      <c r="E37" s="22"/>
      <c r="F37" s="22"/>
      <c r="H37" s="21" t="s">
        <v>43</v>
      </c>
      <c r="I37" s="21"/>
      <c r="J37">
        <v>2</v>
      </c>
      <c r="N37" s="21" t="s">
        <v>0</v>
      </c>
      <c r="O37" s="21"/>
      <c r="P37" s="22" t="s">
        <v>122</v>
      </c>
      <c r="Q37" s="22"/>
      <c r="R37" s="22"/>
      <c r="T37" s="21" t="s">
        <v>43</v>
      </c>
      <c r="U37" s="21"/>
      <c r="V37">
        <v>2</v>
      </c>
    </row>
    <row r="38" spans="2:24" x14ac:dyDescent="0.25">
      <c r="B38" s="21" t="s">
        <v>1</v>
      </c>
      <c r="C38" s="21"/>
      <c r="D38" s="23" t="s">
        <v>120</v>
      </c>
      <c r="E38" s="23"/>
      <c r="F38" s="23"/>
      <c r="H38" s="21" t="s">
        <v>44</v>
      </c>
      <c r="I38" s="21"/>
      <c r="J38" t="s">
        <v>50</v>
      </c>
      <c r="N38" s="21" t="s">
        <v>1</v>
      </c>
      <c r="O38" s="21"/>
      <c r="P38" s="23" t="s">
        <v>123</v>
      </c>
      <c r="Q38" s="23"/>
      <c r="R38" s="23"/>
      <c r="T38" s="21" t="s">
        <v>44</v>
      </c>
      <c r="U38" s="21"/>
      <c r="V38" t="s">
        <v>50</v>
      </c>
    </row>
    <row r="39" spans="2:24" x14ac:dyDescent="0.25">
      <c r="B39" s="21" t="s">
        <v>3</v>
      </c>
      <c r="C39" s="21"/>
      <c r="D39" s="23" t="s">
        <v>107</v>
      </c>
      <c r="E39" s="23"/>
      <c r="F39" s="23"/>
      <c r="H39" s="21" t="s">
        <v>45</v>
      </c>
      <c r="I39" s="21"/>
      <c r="J39" t="s">
        <v>51</v>
      </c>
      <c r="N39" s="21" t="s">
        <v>3</v>
      </c>
      <c r="O39" s="21"/>
      <c r="P39" s="23" t="s">
        <v>107</v>
      </c>
      <c r="Q39" s="23"/>
      <c r="R39" s="23"/>
      <c r="T39" s="21" t="s">
        <v>45</v>
      </c>
      <c r="U39" s="21"/>
      <c r="V39" t="s">
        <v>51</v>
      </c>
    </row>
    <row r="40" spans="2:24" x14ac:dyDescent="0.25">
      <c r="B40" s="21" t="s">
        <v>2</v>
      </c>
      <c r="C40" s="21"/>
      <c r="D40" s="23" t="s">
        <v>121</v>
      </c>
      <c r="E40" s="23"/>
      <c r="F40" s="23"/>
      <c r="H40" s="21" t="s">
        <v>46</v>
      </c>
      <c r="I40" s="21"/>
      <c r="J40" t="s">
        <v>52</v>
      </c>
      <c r="N40" s="21" t="s">
        <v>2</v>
      </c>
      <c r="O40" s="21"/>
      <c r="P40" s="23" t="s">
        <v>65</v>
      </c>
      <c r="Q40" s="23"/>
      <c r="R40" s="23"/>
      <c r="T40" s="21" t="s">
        <v>46</v>
      </c>
      <c r="U40" s="21"/>
      <c r="V40" t="s">
        <v>52</v>
      </c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1"/>
      <c r="O42" s="1" t="s">
        <v>4</v>
      </c>
      <c r="P42" s="1"/>
      <c r="Q42" s="1"/>
      <c r="R42" s="1"/>
      <c r="T42" s="25" t="s">
        <v>20</v>
      </c>
      <c r="U42" s="25"/>
      <c r="V42" s="25"/>
      <c r="W42" s="25"/>
      <c r="X42" s="25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6" t="s">
        <v>5</v>
      </c>
      <c r="O43" s="6" t="s">
        <v>6</v>
      </c>
      <c r="P43" s="6" t="s">
        <v>7</v>
      </c>
      <c r="Q43" s="7" t="s">
        <v>8</v>
      </c>
      <c r="R43" s="6" t="s">
        <v>9</v>
      </c>
      <c r="T43" s="6" t="s">
        <v>5</v>
      </c>
      <c r="U43" s="7" t="s">
        <v>21</v>
      </c>
      <c r="V43" s="7" t="s">
        <v>22</v>
      </c>
      <c r="W43" s="7" t="s">
        <v>8</v>
      </c>
      <c r="X43" s="7" t="s">
        <v>9</v>
      </c>
    </row>
    <row r="44" spans="2:24" x14ac:dyDescent="0.25">
      <c r="B44" t="s">
        <v>10</v>
      </c>
      <c r="C44">
        <v>1</v>
      </c>
      <c r="E44">
        <v>650</v>
      </c>
      <c r="F44" s="2">
        <f>C44*E44</f>
        <v>650</v>
      </c>
      <c r="L44" s="2">
        <f t="shared" ref="L44:L46" si="4">-I44*K44+J44*K44</f>
        <v>0</v>
      </c>
      <c r="N44" t="s">
        <v>10</v>
      </c>
      <c r="O44">
        <v>324</v>
      </c>
      <c r="Q44">
        <v>650</v>
      </c>
      <c r="R44" s="2">
        <f>O44*Q44</f>
        <v>210600</v>
      </c>
      <c r="T44" t="s">
        <v>17</v>
      </c>
      <c r="V44">
        <v>264</v>
      </c>
      <c r="W44">
        <v>1.5</v>
      </c>
      <c r="X44" s="2">
        <f t="shared" ref="X44:X65" si="5">-U44*W44+V44*W44</f>
        <v>396</v>
      </c>
    </row>
    <row r="45" spans="2:24" x14ac:dyDescent="0.25">
      <c r="B45" t="s">
        <v>11</v>
      </c>
      <c r="E45">
        <v>670</v>
      </c>
      <c r="F45" s="2">
        <f t="shared" ref="F45:F66" si="6">C45*E45</f>
        <v>0</v>
      </c>
      <c r="L45" s="2">
        <f t="shared" si="4"/>
        <v>0</v>
      </c>
      <c r="N45" t="s">
        <v>11</v>
      </c>
      <c r="R45" s="2">
        <f t="shared" ref="R45:R66" si="7">O45*Q45</f>
        <v>0</v>
      </c>
      <c r="X45" s="2">
        <f t="shared" si="5"/>
        <v>0</v>
      </c>
    </row>
    <row r="46" spans="2:24" x14ac:dyDescent="0.25">
      <c r="B46" t="s">
        <v>12</v>
      </c>
      <c r="E46">
        <v>973</v>
      </c>
      <c r="F46" s="2">
        <f t="shared" si="6"/>
        <v>0</v>
      </c>
      <c r="L46" s="2">
        <f t="shared" si="4"/>
        <v>0</v>
      </c>
      <c r="N46" t="s">
        <v>12</v>
      </c>
      <c r="R46" s="2">
        <f t="shared" si="7"/>
        <v>0</v>
      </c>
      <c r="X46" s="2">
        <f t="shared" si="5"/>
        <v>0</v>
      </c>
    </row>
    <row r="47" spans="2:24" x14ac:dyDescent="0.25">
      <c r="B47" t="s">
        <v>13</v>
      </c>
      <c r="E47">
        <v>622</v>
      </c>
      <c r="F47" s="2">
        <f t="shared" si="6"/>
        <v>0</v>
      </c>
      <c r="L47" s="2">
        <f>-I47*K47+J47*K47</f>
        <v>0</v>
      </c>
      <c r="N47" t="s">
        <v>13</v>
      </c>
      <c r="R47" s="2">
        <f t="shared" si="7"/>
        <v>0</v>
      </c>
      <c r="X47" s="2">
        <f t="shared" si="5"/>
        <v>0</v>
      </c>
    </row>
    <row r="48" spans="2:24" x14ac:dyDescent="0.25">
      <c r="B48" t="s">
        <v>14</v>
      </c>
      <c r="E48">
        <v>912</v>
      </c>
      <c r="F48" s="2">
        <f t="shared" si="6"/>
        <v>0</v>
      </c>
      <c r="L48" s="2">
        <f t="shared" ref="L48:L65" si="8">-I48*K48+J48*K48</f>
        <v>0</v>
      </c>
      <c r="N48" t="s">
        <v>14</v>
      </c>
      <c r="R48" s="2">
        <f t="shared" si="7"/>
        <v>0</v>
      </c>
      <c r="X48" s="2">
        <f t="shared" si="5"/>
        <v>0</v>
      </c>
    </row>
    <row r="49" spans="2:24" x14ac:dyDescent="0.25">
      <c r="B49" t="s">
        <v>15</v>
      </c>
      <c r="F49" s="2">
        <f t="shared" si="6"/>
        <v>0</v>
      </c>
      <c r="L49" s="2">
        <f t="shared" si="8"/>
        <v>0</v>
      </c>
      <c r="N49" t="s">
        <v>15</v>
      </c>
      <c r="R49" s="2">
        <f t="shared" si="7"/>
        <v>0</v>
      </c>
      <c r="X49" s="2">
        <f t="shared" si="5"/>
        <v>0</v>
      </c>
    </row>
    <row r="50" spans="2:24" x14ac:dyDescent="0.25">
      <c r="B50" t="s">
        <v>16</v>
      </c>
      <c r="E50">
        <v>872</v>
      </c>
      <c r="F50" s="2">
        <f t="shared" si="6"/>
        <v>0</v>
      </c>
      <c r="L50" s="2">
        <f t="shared" si="8"/>
        <v>0</v>
      </c>
      <c r="N50" t="s">
        <v>16</v>
      </c>
      <c r="R50" s="2">
        <f t="shared" si="7"/>
        <v>0</v>
      </c>
      <c r="X50" s="2">
        <f t="shared" si="5"/>
        <v>0</v>
      </c>
    </row>
    <row r="51" spans="2:24" x14ac:dyDescent="0.25">
      <c r="B51" t="s">
        <v>17</v>
      </c>
      <c r="C51">
        <v>1</v>
      </c>
      <c r="E51">
        <v>9.5</v>
      </c>
      <c r="F51" s="2">
        <f t="shared" si="6"/>
        <v>9.5</v>
      </c>
      <c r="L51" s="2">
        <f t="shared" si="8"/>
        <v>0</v>
      </c>
      <c r="N51" t="s">
        <v>17</v>
      </c>
      <c r="O51">
        <v>11</v>
      </c>
      <c r="Q51">
        <v>229</v>
      </c>
      <c r="R51" s="2">
        <f t="shared" si="7"/>
        <v>2519</v>
      </c>
      <c r="X51" s="2">
        <f t="shared" si="5"/>
        <v>0</v>
      </c>
    </row>
    <row r="52" spans="2:24" x14ac:dyDescent="0.25">
      <c r="B52" t="s">
        <v>18</v>
      </c>
      <c r="E52">
        <v>500</v>
      </c>
      <c r="F52" s="2">
        <f t="shared" si="6"/>
        <v>0</v>
      </c>
      <c r="L52" s="2">
        <f t="shared" si="8"/>
        <v>0</v>
      </c>
      <c r="N52" t="s">
        <v>18</v>
      </c>
      <c r="R52" s="2">
        <f t="shared" si="7"/>
        <v>0</v>
      </c>
      <c r="X52" s="2">
        <f t="shared" si="5"/>
        <v>0</v>
      </c>
    </row>
    <row r="53" spans="2:24" x14ac:dyDescent="0.25">
      <c r="B53" t="s">
        <v>26</v>
      </c>
      <c r="E53">
        <v>650</v>
      </c>
      <c r="F53" s="2">
        <f t="shared" si="6"/>
        <v>0</v>
      </c>
      <c r="L53" s="2">
        <f t="shared" si="8"/>
        <v>0</v>
      </c>
      <c r="N53" t="s">
        <v>26</v>
      </c>
      <c r="R53" s="2">
        <f t="shared" si="7"/>
        <v>0</v>
      </c>
      <c r="X53" s="2">
        <f t="shared" si="5"/>
        <v>0</v>
      </c>
    </row>
    <row r="54" spans="2:24" x14ac:dyDescent="0.25">
      <c r="B54" s="12" t="s">
        <v>41</v>
      </c>
      <c r="E54">
        <v>1175</v>
      </c>
      <c r="F54" s="2">
        <f t="shared" si="6"/>
        <v>0</v>
      </c>
      <c r="L54" s="2">
        <f t="shared" si="8"/>
        <v>0</v>
      </c>
      <c r="R54" s="2">
        <f t="shared" si="7"/>
        <v>0</v>
      </c>
      <c r="X54" s="2">
        <f t="shared" si="5"/>
        <v>0</v>
      </c>
    </row>
    <row r="55" spans="2:24" x14ac:dyDescent="0.25">
      <c r="B55" t="s">
        <v>40</v>
      </c>
      <c r="E55">
        <v>700</v>
      </c>
      <c r="F55" s="2">
        <f t="shared" si="6"/>
        <v>0</v>
      </c>
      <c r="L55" s="2">
        <f t="shared" si="8"/>
        <v>0</v>
      </c>
      <c r="R55" s="2">
        <f t="shared" si="7"/>
        <v>0</v>
      </c>
      <c r="X55" s="2">
        <f t="shared" si="5"/>
        <v>0</v>
      </c>
    </row>
    <row r="56" spans="2:24" x14ac:dyDescent="0.25">
      <c r="F56" s="2">
        <f t="shared" si="6"/>
        <v>0</v>
      </c>
      <c r="L56" s="2">
        <f t="shared" si="8"/>
        <v>0</v>
      </c>
      <c r="R56" s="2">
        <f t="shared" si="7"/>
        <v>0</v>
      </c>
      <c r="X56" s="2">
        <f t="shared" si="5"/>
        <v>0</v>
      </c>
    </row>
    <row r="57" spans="2:24" x14ac:dyDescent="0.25">
      <c r="F57" s="2">
        <f t="shared" si="6"/>
        <v>0</v>
      </c>
      <c r="L57" s="2">
        <f t="shared" si="8"/>
        <v>0</v>
      </c>
      <c r="R57" s="2">
        <f t="shared" si="7"/>
        <v>0</v>
      </c>
      <c r="X57" s="2">
        <f t="shared" si="5"/>
        <v>0</v>
      </c>
    </row>
    <row r="58" spans="2:24" x14ac:dyDescent="0.25">
      <c r="F58" s="2">
        <f t="shared" si="6"/>
        <v>0</v>
      </c>
      <c r="L58" s="2">
        <f t="shared" si="8"/>
        <v>0</v>
      </c>
      <c r="R58" s="2">
        <f t="shared" si="7"/>
        <v>0</v>
      </c>
      <c r="X58" s="2">
        <f t="shared" si="5"/>
        <v>0</v>
      </c>
    </row>
    <row r="59" spans="2:24" x14ac:dyDescent="0.25">
      <c r="F59" s="2">
        <f t="shared" si="6"/>
        <v>0</v>
      </c>
      <c r="L59" s="2">
        <f t="shared" si="8"/>
        <v>0</v>
      </c>
      <c r="R59" s="2">
        <f t="shared" si="7"/>
        <v>0</v>
      </c>
      <c r="X59" s="2">
        <f t="shared" si="5"/>
        <v>0</v>
      </c>
    </row>
    <row r="60" spans="2:24" x14ac:dyDescent="0.25">
      <c r="F60" s="2">
        <f t="shared" si="6"/>
        <v>0</v>
      </c>
      <c r="L60" s="2">
        <f t="shared" si="8"/>
        <v>0</v>
      </c>
      <c r="R60" s="2">
        <f t="shared" si="7"/>
        <v>0</v>
      </c>
      <c r="X60" s="2">
        <f t="shared" si="5"/>
        <v>0</v>
      </c>
    </row>
    <row r="61" spans="2:24" x14ac:dyDescent="0.25">
      <c r="F61" s="2">
        <f t="shared" si="6"/>
        <v>0</v>
      </c>
      <c r="L61" s="2">
        <f t="shared" si="8"/>
        <v>0</v>
      </c>
      <c r="R61" s="2">
        <f t="shared" si="7"/>
        <v>0</v>
      </c>
      <c r="X61" s="2">
        <f t="shared" si="5"/>
        <v>0</v>
      </c>
    </row>
    <row r="62" spans="2:24" x14ac:dyDescent="0.25">
      <c r="F62" s="2">
        <f t="shared" si="6"/>
        <v>0</v>
      </c>
      <c r="L62" s="2">
        <f t="shared" si="8"/>
        <v>0</v>
      </c>
      <c r="R62" s="2">
        <f t="shared" si="7"/>
        <v>0</v>
      </c>
      <c r="X62" s="2">
        <f t="shared" si="5"/>
        <v>0</v>
      </c>
    </row>
    <row r="63" spans="2:24" x14ac:dyDescent="0.25">
      <c r="F63" s="2">
        <f t="shared" si="6"/>
        <v>0</v>
      </c>
      <c r="L63" s="2">
        <f t="shared" si="8"/>
        <v>0</v>
      </c>
      <c r="R63" s="2">
        <f t="shared" si="7"/>
        <v>0</v>
      </c>
      <c r="X63" s="2">
        <f t="shared" si="5"/>
        <v>0</v>
      </c>
    </row>
    <row r="64" spans="2:24" x14ac:dyDescent="0.25">
      <c r="F64" s="2">
        <f t="shared" si="6"/>
        <v>0</v>
      </c>
      <c r="L64" s="2">
        <f t="shared" si="8"/>
        <v>0</v>
      </c>
      <c r="R64" s="2">
        <f t="shared" si="7"/>
        <v>0</v>
      </c>
      <c r="X64" s="2">
        <f t="shared" si="5"/>
        <v>0</v>
      </c>
    </row>
    <row r="65" spans="2:24" x14ac:dyDescent="0.25">
      <c r="F65" s="2">
        <f t="shared" si="6"/>
        <v>0</v>
      </c>
      <c r="L65" s="2">
        <f t="shared" si="8"/>
        <v>0</v>
      </c>
      <c r="R65" s="2">
        <f t="shared" si="7"/>
        <v>0</v>
      </c>
      <c r="X65" s="2">
        <f t="shared" si="5"/>
        <v>0</v>
      </c>
    </row>
    <row r="66" spans="2:24" x14ac:dyDescent="0.25">
      <c r="F66" s="2">
        <f t="shared" si="6"/>
        <v>0</v>
      </c>
      <c r="H66" s="26" t="s">
        <v>23</v>
      </c>
      <c r="I66" s="26"/>
      <c r="J66" s="26"/>
      <c r="K66" s="26"/>
      <c r="L66" s="9">
        <f>SUM(L44:L65)</f>
        <v>0</v>
      </c>
      <c r="R66" s="2">
        <f t="shared" si="7"/>
        <v>0</v>
      </c>
      <c r="T66" s="26" t="s">
        <v>23</v>
      </c>
      <c r="U66" s="26"/>
      <c r="V66" s="26"/>
      <c r="W66" s="26"/>
      <c r="X66" s="9">
        <f>SUM(X44:X65)</f>
        <v>396</v>
      </c>
    </row>
    <row r="67" spans="2:24" x14ac:dyDescent="0.25">
      <c r="B67" s="27" t="s">
        <v>28</v>
      </c>
      <c r="C67" s="27"/>
      <c r="D67" s="8"/>
      <c r="E67" s="8"/>
      <c r="F67" s="5">
        <f>-D67*E67</f>
        <v>0</v>
      </c>
      <c r="H67" s="26" t="s">
        <v>24</v>
      </c>
      <c r="I67" s="26"/>
      <c r="J67" s="26"/>
      <c r="K67" s="26"/>
      <c r="L67" s="4">
        <f>SUM(F68)</f>
        <v>659.5</v>
      </c>
      <c r="N67" s="27" t="s">
        <v>28</v>
      </c>
      <c r="O67" s="27"/>
      <c r="P67" s="8">
        <v>324</v>
      </c>
      <c r="Q67" s="8">
        <v>6</v>
      </c>
      <c r="R67" s="5">
        <f>-P67*Q67</f>
        <v>-1944</v>
      </c>
      <c r="T67" s="26" t="s">
        <v>24</v>
      </c>
      <c r="U67" s="26"/>
      <c r="V67" s="26"/>
      <c r="W67" s="26"/>
      <c r="X67" s="4">
        <f>SUM(R68)</f>
        <v>211175</v>
      </c>
    </row>
    <row r="68" spans="2:24" x14ac:dyDescent="0.25">
      <c r="B68" s="28" t="s">
        <v>19</v>
      </c>
      <c r="C68" s="28"/>
      <c r="D68" s="28"/>
      <c r="E68" s="28"/>
      <c r="F68" s="13">
        <f>SUM(F44:F67)</f>
        <v>659.5</v>
      </c>
      <c r="H68" s="26" t="s">
        <v>25</v>
      </c>
      <c r="I68" s="26"/>
      <c r="J68" s="26"/>
      <c r="K68" s="26"/>
      <c r="L68" s="14">
        <f>SUM(L67+L66)</f>
        <v>659.5</v>
      </c>
      <c r="N68" s="28" t="s">
        <v>19</v>
      </c>
      <c r="O68" s="28"/>
      <c r="P68" s="28"/>
      <c r="Q68" s="28"/>
      <c r="R68" s="13">
        <f>SUM(R44:R67)</f>
        <v>211175</v>
      </c>
      <c r="T68" s="26" t="s">
        <v>25</v>
      </c>
      <c r="U68" s="26"/>
      <c r="V68" s="26"/>
      <c r="W68" s="26"/>
      <c r="X68" s="14">
        <f>SUM(X67+X66)</f>
        <v>211571</v>
      </c>
    </row>
    <row r="69" spans="2:24" ht="18.75" x14ac:dyDescent="0.3">
      <c r="B69" s="11" t="s">
        <v>29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N69" s="11" t="s">
        <v>29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1" spans="2:24" x14ac:dyDescent="0.25">
      <c r="B71" s="21" t="s">
        <v>0</v>
      </c>
      <c r="C71" s="21"/>
      <c r="D71" s="22" t="s">
        <v>124</v>
      </c>
      <c r="E71" s="22"/>
      <c r="F71" s="22"/>
      <c r="H71" s="21" t="s">
        <v>43</v>
      </c>
      <c r="I71" s="21"/>
      <c r="J71">
        <v>2</v>
      </c>
      <c r="N71" s="21" t="s">
        <v>0</v>
      </c>
      <c r="O71" s="21"/>
      <c r="P71" s="22" t="s">
        <v>67</v>
      </c>
      <c r="Q71" s="22"/>
      <c r="R71" s="22"/>
      <c r="T71" s="21" t="s">
        <v>43</v>
      </c>
      <c r="U71" s="21"/>
      <c r="V71">
        <v>2</v>
      </c>
    </row>
    <row r="72" spans="2:24" x14ac:dyDescent="0.25">
      <c r="B72" s="21" t="s">
        <v>1</v>
      </c>
      <c r="C72" s="21"/>
      <c r="D72" s="23" t="s">
        <v>125</v>
      </c>
      <c r="E72" s="23"/>
      <c r="F72" s="23"/>
      <c r="H72" s="21" t="s">
        <v>44</v>
      </c>
      <c r="I72" s="21"/>
      <c r="J72" t="s">
        <v>50</v>
      </c>
      <c r="N72" s="21" t="s">
        <v>1</v>
      </c>
      <c r="O72" s="21"/>
      <c r="P72" s="23" t="s">
        <v>68</v>
      </c>
      <c r="Q72" s="23"/>
      <c r="R72" s="23"/>
      <c r="T72" s="21" t="s">
        <v>44</v>
      </c>
      <c r="U72" s="21"/>
      <c r="V72" t="s">
        <v>50</v>
      </c>
    </row>
    <row r="73" spans="2:24" x14ac:dyDescent="0.25">
      <c r="B73" s="21" t="s">
        <v>3</v>
      </c>
      <c r="C73" s="21"/>
      <c r="D73" s="23" t="s">
        <v>107</v>
      </c>
      <c r="E73" s="23"/>
      <c r="F73" s="23"/>
      <c r="H73" s="21" t="s">
        <v>45</v>
      </c>
      <c r="I73" s="21"/>
      <c r="J73" t="s">
        <v>51</v>
      </c>
      <c r="N73" s="21" t="s">
        <v>3</v>
      </c>
      <c r="O73" s="21"/>
      <c r="P73" s="23" t="s">
        <v>32</v>
      </c>
      <c r="Q73" s="23"/>
      <c r="R73" s="23"/>
      <c r="T73" s="21" t="s">
        <v>45</v>
      </c>
      <c r="U73" s="21"/>
      <c r="V73" t="s">
        <v>51</v>
      </c>
    </row>
    <row r="74" spans="2:24" x14ac:dyDescent="0.25">
      <c r="B74" s="21" t="s">
        <v>2</v>
      </c>
      <c r="C74" s="21"/>
      <c r="D74" s="23" t="s">
        <v>65</v>
      </c>
      <c r="E74" s="23"/>
      <c r="F74" s="23"/>
      <c r="H74" s="21" t="s">
        <v>46</v>
      </c>
      <c r="I74" s="21"/>
      <c r="J74" t="s">
        <v>52</v>
      </c>
      <c r="N74" s="21" t="s">
        <v>2</v>
      </c>
      <c r="O74" s="21"/>
      <c r="P74" s="23" t="s">
        <v>65</v>
      </c>
      <c r="Q74" s="23"/>
      <c r="R74" s="23"/>
      <c r="T74" s="21" t="s">
        <v>46</v>
      </c>
      <c r="U74" s="21"/>
      <c r="V74" t="s">
        <v>52</v>
      </c>
    </row>
    <row r="76" spans="2:24" x14ac:dyDescent="0.25">
      <c r="B76" s="1"/>
      <c r="C76" s="1" t="s">
        <v>4</v>
      </c>
      <c r="D76" s="1"/>
      <c r="E76" s="1"/>
      <c r="F76" s="1"/>
      <c r="H76" s="25" t="s">
        <v>20</v>
      </c>
      <c r="I76" s="25"/>
      <c r="J76" s="25"/>
      <c r="K76" s="25"/>
      <c r="L76" s="25"/>
      <c r="N76" s="33"/>
      <c r="O76" s="33"/>
      <c r="P76" s="33"/>
      <c r="Q76" s="33"/>
      <c r="R76" s="33"/>
      <c r="S76" s="19"/>
      <c r="T76" s="34"/>
      <c r="U76" s="34"/>
      <c r="V76" s="34"/>
      <c r="W76" s="34"/>
      <c r="X76" s="34"/>
    </row>
    <row r="77" spans="2:24" x14ac:dyDescent="0.25">
      <c r="B77" s="6" t="s">
        <v>5</v>
      </c>
      <c r="C77" s="6" t="s">
        <v>6</v>
      </c>
      <c r="D77" s="6" t="s">
        <v>7</v>
      </c>
      <c r="E77" s="7" t="s">
        <v>8</v>
      </c>
      <c r="F77" s="6" t="s">
        <v>9</v>
      </c>
      <c r="H77" s="6" t="s">
        <v>5</v>
      </c>
      <c r="I77" s="7" t="s">
        <v>21</v>
      </c>
      <c r="J77" s="7" t="s">
        <v>22</v>
      </c>
      <c r="K77" s="7" t="s">
        <v>8</v>
      </c>
      <c r="L77" s="7" t="s">
        <v>9</v>
      </c>
      <c r="N77" s="35"/>
      <c r="O77" s="35"/>
      <c r="P77" s="35"/>
      <c r="Q77" s="36"/>
      <c r="R77" s="35"/>
      <c r="S77" s="19"/>
      <c r="T77" s="35"/>
      <c r="U77" s="36"/>
      <c r="V77" s="36"/>
      <c r="W77" s="36"/>
      <c r="X77" s="36"/>
    </row>
    <row r="78" spans="2:24" x14ac:dyDescent="0.25">
      <c r="B78" t="s">
        <v>10</v>
      </c>
      <c r="C78">
        <v>32</v>
      </c>
      <c r="E78">
        <v>650</v>
      </c>
      <c r="F78" s="2">
        <f>C78*E78</f>
        <v>20800</v>
      </c>
      <c r="H78" t="s">
        <v>126</v>
      </c>
      <c r="I78">
        <v>3</v>
      </c>
      <c r="K78">
        <v>1.5</v>
      </c>
      <c r="L78" s="2">
        <f t="shared" ref="L78:L80" si="9">-I78*K78+J78*K78</f>
        <v>-4.5</v>
      </c>
      <c r="N78" s="19"/>
      <c r="O78" s="19"/>
      <c r="P78" s="19"/>
      <c r="Q78" s="19"/>
      <c r="R78" s="37"/>
      <c r="S78" s="19"/>
      <c r="T78" s="19"/>
      <c r="U78" s="19"/>
      <c r="V78" s="19"/>
      <c r="W78" s="19"/>
      <c r="X78" s="37"/>
    </row>
    <row r="79" spans="2:24" x14ac:dyDescent="0.25">
      <c r="B79" t="s">
        <v>11</v>
      </c>
      <c r="E79">
        <v>670</v>
      </c>
      <c r="F79" s="2">
        <f t="shared" ref="F79:F100" si="10">C79*E79</f>
        <v>0</v>
      </c>
      <c r="H79" t="s">
        <v>87</v>
      </c>
      <c r="I79">
        <v>11</v>
      </c>
      <c r="K79">
        <v>111</v>
      </c>
      <c r="L79" s="2">
        <f t="shared" si="9"/>
        <v>-1221</v>
      </c>
      <c r="N79" s="19"/>
      <c r="O79" s="19"/>
      <c r="P79" s="19"/>
      <c r="Q79" s="19"/>
      <c r="R79" s="37"/>
      <c r="S79" s="19"/>
      <c r="T79" s="19"/>
      <c r="U79" s="19"/>
      <c r="V79" s="19"/>
      <c r="W79" s="19"/>
      <c r="X79" s="37"/>
    </row>
    <row r="80" spans="2:24" x14ac:dyDescent="0.25">
      <c r="B80" t="s">
        <v>12</v>
      </c>
      <c r="E80">
        <v>973</v>
      </c>
      <c r="F80" s="2">
        <f t="shared" si="10"/>
        <v>0</v>
      </c>
      <c r="L80" s="2">
        <f t="shared" si="9"/>
        <v>0</v>
      </c>
      <c r="N80" s="19"/>
      <c r="O80" s="19"/>
      <c r="P80" s="19"/>
      <c r="Q80" s="19"/>
      <c r="R80" s="37"/>
      <c r="S80" s="19"/>
      <c r="T80" s="19"/>
      <c r="U80" s="19"/>
      <c r="V80" s="19"/>
      <c r="W80" s="19"/>
      <c r="X80" s="37"/>
    </row>
    <row r="81" spans="2:24" x14ac:dyDescent="0.25">
      <c r="B81" t="s">
        <v>13</v>
      </c>
      <c r="C81">
        <v>15</v>
      </c>
      <c r="E81">
        <v>622</v>
      </c>
      <c r="F81" s="2">
        <f t="shared" si="10"/>
        <v>9330</v>
      </c>
      <c r="L81" s="2">
        <f>-I81*K81+J81*K81</f>
        <v>0</v>
      </c>
      <c r="N81" s="19"/>
      <c r="O81" s="19"/>
      <c r="P81" s="19"/>
      <c r="Q81" s="19"/>
      <c r="R81" s="37"/>
      <c r="S81" s="19"/>
      <c r="T81" s="19"/>
      <c r="U81" s="19"/>
      <c r="V81" s="19"/>
      <c r="W81" s="19"/>
      <c r="X81" s="37"/>
    </row>
    <row r="82" spans="2:24" x14ac:dyDescent="0.25">
      <c r="B82" t="s">
        <v>14</v>
      </c>
      <c r="E82">
        <v>912</v>
      </c>
      <c r="F82" s="2">
        <f t="shared" si="10"/>
        <v>0</v>
      </c>
      <c r="L82" s="2">
        <f t="shared" ref="L82:L99" si="11">-I82*K82+J82*K82</f>
        <v>0</v>
      </c>
      <c r="N82" s="19"/>
      <c r="O82" s="19"/>
      <c r="P82" s="19"/>
      <c r="Q82" s="19"/>
      <c r="R82" s="37"/>
      <c r="S82" s="19"/>
      <c r="T82" s="19"/>
      <c r="U82" s="19"/>
      <c r="V82" s="19"/>
      <c r="W82" s="19"/>
      <c r="X82" s="37"/>
    </row>
    <row r="83" spans="2:24" x14ac:dyDescent="0.25">
      <c r="B83" t="s">
        <v>15</v>
      </c>
      <c r="F83" s="2">
        <f t="shared" si="10"/>
        <v>0</v>
      </c>
      <c r="L83" s="2">
        <f t="shared" si="11"/>
        <v>0</v>
      </c>
      <c r="N83" s="19"/>
      <c r="O83" s="19"/>
      <c r="P83" s="19"/>
      <c r="Q83" s="19"/>
      <c r="R83" s="37"/>
      <c r="S83" s="19"/>
      <c r="T83" s="19"/>
      <c r="U83" s="19"/>
      <c r="V83" s="19"/>
      <c r="W83" s="19"/>
      <c r="X83" s="37"/>
    </row>
    <row r="84" spans="2:24" x14ac:dyDescent="0.25">
      <c r="B84" t="s">
        <v>16</v>
      </c>
      <c r="E84">
        <v>872</v>
      </c>
      <c r="F84" s="2">
        <f t="shared" si="10"/>
        <v>0</v>
      </c>
      <c r="L84" s="2">
        <f t="shared" si="11"/>
        <v>0</v>
      </c>
      <c r="N84" s="19"/>
      <c r="O84" s="19"/>
      <c r="P84" s="19"/>
      <c r="Q84" s="19"/>
      <c r="R84" s="37"/>
      <c r="S84" s="19"/>
      <c r="T84" s="19"/>
      <c r="U84" s="19"/>
      <c r="V84" s="19"/>
      <c r="W84" s="19"/>
      <c r="X84" s="37"/>
    </row>
    <row r="85" spans="2:24" x14ac:dyDescent="0.25">
      <c r="B85" t="s">
        <v>17</v>
      </c>
      <c r="C85">
        <v>12</v>
      </c>
      <c r="E85">
        <v>9.5</v>
      </c>
      <c r="F85" s="2">
        <f t="shared" si="10"/>
        <v>114</v>
      </c>
      <c r="L85" s="2">
        <f t="shared" si="11"/>
        <v>0</v>
      </c>
      <c r="N85" s="19"/>
      <c r="O85" s="19"/>
      <c r="P85" s="19"/>
      <c r="Q85" s="19"/>
      <c r="R85" s="37"/>
      <c r="S85" s="19"/>
      <c r="T85" s="19"/>
      <c r="U85" s="19"/>
      <c r="V85" s="19"/>
      <c r="W85" s="19"/>
      <c r="X85" s="37"/>
    </row>
    <row r="86" spans="2:24" x14ac:dyDescent="0.25">
      <c r="B86" t="s">
        <v>18</v>
      </c>
      <c r="E86">
        <v>500</v>
      </c>
      <c r="F86" s="2">
        <f t="shared" si="10"/>
        <v>0</v>
      </c>
      <c r="L86" s="2">
        <f t="shared" si="11"/>
        <v>0</v>
      </c>
      <c r="N86" s="19"/>
      <c r="O86" s="19"/>
      <c r="P86" s="19"/>
      <c r="Q86" s="19"/>
      <c r="R86" s="37"/>
      <c r="S86" s="19"/>
      <c r="T86" s="19"/>
      <c r="U86" s="19"/>
      <c r="V86" s="19"/>
      <c r="W86" s="19"/>
      <c r="X86" s="37"/>
    </row>
    <row r="87" spans="2:24" x14ac:dyDescent="0.25">
      <c r="B87" t="s">
        <v>26</v>
      </c>
      <c r="E87">
        <v>650</v>
      </c>
      <c r="F87" s="2">
        <f t="shared" si="10"/>
        <v>0</v>
      </c>
      <c r="L87" s="2">
        <f t="shared" si="11"/>
        <v>0</v>
      </c>
      <c r="N87" s="19"/>
      <c r="O87" s="19"/>
      <c r="P87" s="19"/>
      <c r="Q87" s="19"/>
      <c r="R87" s="37"/>
      <c r="S87" s="19"/>
      <c r="T87" s="19"/>
      <c r="U87" s="19"/>
      <c r="V87" s="19"/>
      <c r="W87" s="19"/>
      <c r="X87" s="37"/>
    </row>
    <row r="88" spans="2:24" x14ac:dyDescent="0.25">
      <c r="B88" s="12" t="s">
        <v>41</v>
      </c>
      <c r="E88">
        <v>1175</v>
      </c>
      <c r="F88" s="2">
        <f t="shared" si="10"/>
        <v>0</v>
      </c>
      <c r="L88" s="2">
        <f t="shared" si="11"/>
        <v>0</v>
      </c>
      <c r="N88" s="19"/>
      <c r="O88" s="19"/>
      <c r="P88" s="19"/>
      <c r="Q88" s="19"/>
      <c r="R88" s="37"/>
      <c r="S88" s="19"/>
      <c r="T88" s="19"/>
      <c r="U88" s="19"/>
      <c r="V88" s="19"/>
      <c r="W88" s="19"/>
      <c r="X88" s="37"/>
    </row>
    <row r="89" spans="2:24" x14ac:dyDescent="0.25">
      <c r="B89" t="s">
        <v>40</v>
      </c>
      <c r="E89">
        <v>700</v>
      </c>
      <c r="F89" s="2">
        <f t="shared" si="10"/>
        <v>0</v>
      </c>
      <c r="L89" s="2">
        <f t="shared" si="11"/>
        <v>0</v>
      </c>
      <c r="N89" s="19"/>
      <c r="O89" s="19"/>
      <c r="P89" s="19"/>
      <c r="Q89" s="19"/>
      <c r="R89" s="37"/>
      <c r="S89" s="19"/>
      <c r="T89" s="19"/>
      <c r="U89" s="19"/>
      <c r="V89" s="19"/>
      <c r="W89" s="19"/>
      <c r="X89" s="37"/>
    </row>
    <row r="90" spans="2:24" x14ac:dyDescent="0.25">
      <c r="F90" s="2">
        <f t="shared" si="10"/>
        <v>0</v>
      </c>
      <c r="L90" s="2">
        <f t="shared" si="11"/>
        <v>0</v>
      </c>
      <c r="N90" s="19"/>
      <c r="O90" s="19"/>
      <c r="P90" s="19"/>
      <c r="Q90" s="19"/>
      <c r="R90" s="37"/>
      <c r="S90" s="19"/>
      <c r="T90" s="19"/>
      <c r="U90" s="19"/>
      <c r="V90" s="19"/>
      <c r="W90" s="19"/>
      <c r="X90" s="37"/>
    </row>
    <row r="91" spans="2:24" x14ac:dyDescent="0.25">
      <c r="F91" s="2">
        <f t="shared" si="10"/>
        <v>0</v>
      </c>
      <c r="L91" s="2">
        <f t="shared" si="11"/>
        <v>0</v>
      </c>
      <c r="N91" s="19"/>
      <c r="O91" s="19"/>
      <c r="P91" s="19"/>
      <c r="Q91" s="19"/>
      <c r="R91" s="37"/>
      <c r="S91" s="19"/>
      <c r="T91" s="19"/>
      <c r="U91" s="19"/>
      <c r="V91" s="19"/>
      <c r="W91" s="19"/>
      <c r="X91" s="37"/>
    </row>
    <row r="92" spans="2:24" x14ac:dyDescent="0.25">
      <c r="F92" s="2">
        <f t="shared" si="10"/>
        <v>0</v>
      </c>
      <c r="L92" s="2">
        <f t="shared" si="11"/>
        <v>0</v>
      </c>
      <c r="N92" s="19"/>
      <c r="O92" s="19"/>
      <c r="P92" s="19"/>
      <c r="Q92" s="19"/>
      <c r="R92" s="37"/>
      <c r="S92" s="19"/>
      <c r="T92" s="19"/>
      <c r="U92" s="19"/>
      <c r="V92" s="19"/>
      <c r="W92" s="19"/>
      <c r="X92" s="37"/>
    </row>
    <row r="93" spans="2:24" x14ac:dyDescent="0.25">
      <c r="F93" s="2">
        <f t="shared" si="10"/>
        <v>0</v>
      </c>
      <c r="L93" s="2">
        <f t="shared" si="11"/>
        <v>0</v>
      </c>
      <c r="N93" s="19"/>
      <c r="O93" s="19"/>
      <c r="P93" s="19"/>
      <c r="Q93" s="19"/>
      <c r="R93" s="37"/>
      <c r="S93" s="19"/>
      <c r="T93" s="19"/>
      <c r="U93" s="19"/>
      <c r="V93" s="19"/>
      <c r="W93" s="19"/>
      <c r="X93" s="37"/>
    </row>
    <row r="94" spans="2:24" x14ac:dyDescent="0.25">
      <c r="F94" s="2">
        <f t="shared" si="10"/>
        <v>0</v>
      </c>
      <c r="L94" s="2">
        <f t="shared" si="11"/>
        <v>0</v>
      </c>
      <c r="N94" s="19"/>
      <c r="O94" s="19"/>
      <c r="P94" s="19"/>
      <c r="Q94" s="19"/>
      <c r="R94" s="37"/>
      <c r="S94" s="19"/>
      <c r="T94" s="19"/>
      <c r="U94" s="19"/>
      <c r="V94" s="19"/>
      <c r="W94" s="19"/>
      <c r="X94" s="37"/>
    </row>
    <row r="95" spans="2:24" x14ac:dyDescent="0.25">
      <c r="F95" s="2">
        <f t="shared" si="10"/>
        <v>0</v>
      </c>
      <c r="L95" s="2">
        <f t="shared" si="11"/>
        <v>0</v>
      </c>
      <c r="N95" s="19"/>
      <c r="O95" s="19"/>
      <c r="P95" s="19"/>
      <c r="Q95" s="19"/>
      <c r="R95" s="37"/>
      <c r="S95" s="19"/>
      <c r="T95" s="19"/>
      <c r="U95" s="19"/>
      <c r="V95" s="19"/>
      <c r="W95" s="19"/>
      <c r="X95" s="37"/>
    </row>
    <row r="96" spans="2:24" x14ac:dyDescent="0.25">
      <c r="F96" s="2">
        <f t="shared" si="10"/>
        <v>0</v>
      </c>
      <c r="L96" s="2">
        <f t="shared" si="11"/>
        <v>0</v>
      </c>
      <c r="N96" s="19"/>
      <c r="O96" s="19"/>
      <c r="P96" s="19"/>
      <c r="Q96" s="19"/>
      <c r="R96" s="37"/>
      <c r="S96" s="19"/>
      <c r="T96" s="19"/>
      <c r="U96" s="19"/>
      <c r="V96" s="19"/>
      <c r="W96" s="19"/>
      <c r="X96" s="37"/>
    </row>
    <row r="97" spans="2:24" x14ac:dyDescent="0.25">
      <c r="F97" s="2">
        <f t="shared" si="10"/>
        <v>0</v>
      </c>
      <c r="L97" s="2">
        <f t="shared" si="11"/>
        <v>0</v>
      </c>
      <c r="N97" s="19"/>
      <c r="O97" s="19"/>
      <c r="P97" s="19"/>
      <c r="Q97" s="19"/>
      <c r="R97" s="37"/>
      <c r="S97" s="19"/>
      <c r="T97" s="19"/>
      <c r="U97" s="19"/>
      <c r="V97" s="19"/>
      <c r="W97" s="19"/>
      <c r="X97" s="37"/>
    </row>
    <row r="98" spans="2:24" x14ac:dyDescent="0.25">
      <c r="F98" s="2">
        <f t="shared" si="10"/>
        <v>0</v>
      </c>
      <c r="L98" s="2">
        <f t="shared" si="11"/>
        <v>0</v>
      </c>
      <c r="N98" s="19"/>
      <c r="O98" s="19"/>
      <c r="P98" s="19"/>
      <c r="Q98" s="19"/>
      <c r="R98" s="37"/>
      <c r="S98" s="19"/>
      <c r="T98" s="19"/>
      <c r="U98" s="19"/>
      <c r="V98" s="19"/>
      <c r="W98" s="19"/>
      <c r="X98" s="37"/>
    </row>
    <row r="99" spans="2:24" x14ac:dyDescent="0.25">
      <c r="F99" s="2">
        <f t="shared" si="10"/>
        <v>0</v>
      </c>
      <c r="L99" s="2">
        <f t="shared" si="11"/>
        <v>0</v>
      </c>
      <c r="N99" s="19"/>
      <c r="O99" s="19"/>
      <c r="P99" s="19"/>
      <c r="Q99" s="19"/>
      <c r="R99" s="37"/>
      <c r="S99" s="19"/>
      <c r="T99" s="19"/>
      <c r="U99" s="19"/>
      <c r="V99" s="19"/>
      <c r="W99" s="19"/>
      <c r="X99" s="37"/>
    </row>
    <row r="100" spans="2:24" x14ac:dyDescent="0.25">
      <c r="F100" s="2">
        <f t="shared" si="10"/>
        <v>0</v>
      </c>
      <c r="H100" s="26" t="s">
        <v>23</v>
      </c>
      <c r="I100" s="26"/>
      <c r="J100" s="26"/>
      <c r="K100" s="26"/>
      <c r="L100" s="9">
        <f>SUM(L78:L99)</f>
        <v>-1225.5</v>
      </c>
      <c r="N100" s="19"/>
      <c r="O100" s="19"/>
      <c r="P100" s="19"/>
      <c r="Q100" s="19"/>
      <c r="R100" s="37"/>
      <c r="S100" s="19"/>
      <c r="T100" s="38"/>
      <c r="U100" s="38"/>
      <c r="V100" s="38"/>
      <c r="W100" s="38"/>
      <c r="X100" s="39"/>
    </row>
    <row r="101" spans="2:24" x14ac:dyDescent="0.25">
      <c r="B101" s="27" t="s">
        <v>28</v>
      </c>
      <c r="C101" s="27"/>
      <c r="D101" s="8"/>
      <c r="E101" s="8"/>
      <c r="F101" s="5">
        <f>-D101*E101</f>
        <v>0</v>
      </c>
      <c r="H101" s="26" t="s">
        <v>24</v>
      </c>
      <c r="I101" s="26"/>
      <c r="J101" s="26"/>
      <c r="K101" s="26"/>
      <c r="L101" s="4">
        <f>SUM(F102)</f>
        <v>30244</v>
      </c>
      <c r="N101" s="40"/>
      <c r="O101" s="40"/>
      <c r="P101" s="41"/>
      <c r="Q101" s="41"/>
      <c r="R101" s="42"/>
      <c r="S101" s="19"/>
      <c r="T101" s="38"/>
      <c r="U101" s="38"/>
      <c r="V101" s="38"/>
      <c r="W101" s="38"/>
      <c r="X101" s="43"/>
    </row>
    <row r="102" spans="2:24" x14ac:dyDescent="0.25">
      <c r="B102" s="28" t="s">
        <v>19</v>
      </c>
      <c r="C102" s="28"/>
      <c r="D102" s="28"/>
      <c r="E102" s="28"/>
      <c r="F102" s="13">
        <f>SUM(F78:F101)</f>
        <v>30244</v>
      </c>
      <c r="H102" s="26" t="s">
        <v>25</v>
      </c>
      <c r="I102" s="26"/>
      <c r="J102" s="26"/>
      <c r="K102" s="26"/>
      <c r="L102" s="14">
        <f>SUM(L101+L100)</f>
        <v>29018.5</v>
      </c>
      <c r="N102" s="44"/>
      <c r="O102" s="44"/>
      <c r="P102" s="44"/>
      <c r="Q102" s="44"/>
      <c r="R102" s="43"/>
      <c r="S102" s="19"/>
      <c r="T102" s="38"/>
      <c r="U102" s="38"/>
      <c r="V102" s="38"/>
      <c r="W102" s="38"/>
      <c r="X102" s="43"/>
    </row>
    <row r="103" spans="2:24" ht="18.75" x14ac:dyDescent="0.3">
      <c r="B103" s="2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2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2:24" x14ac:dyDescent="0.25"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2:24" x14ac:dyDescent="0.25">
      <c r="B105" s="30"/>
      <c r="C105" s="30"/>
      <c r="D105" s="31"/>
      <c r="E105" s="31"/>
      <c r="F105" s="31"/>
      <c r="G105" s="19"/>
      <c r="H105" s="30"/>
      <c r="I105" s="30"/>
      <c r="J105" s="19"/>
      <c r="K105" s="19"/>
      <c r="L105" s="19"/>
      <c r="M105" s="19"/>
      <c r="N105" s="30"/>
      <c r="O105" s="30"/>
      <c r="P105" s="31"/>
      <c r="Q105" s="31"/>
      <c r="R105" s="31"/>
      <c r="S105" s="19"/>
      <c r="T105" s="30"/>
      <c r="U105" s="30"/>
      <c r="V105" s="19"/>
      <c r="W105" s="19"/>
      <c r="X105" s="19"/>
    </row>
    <row r="106" spans="2:24" x14ac:dyDescent="0.25">
      <c r="B106" s="30"/>
      <c r="C106" s="30"/>
      <c r="D106" s="32"/>
      <c r="E106" s="32"/>
      <c r="F106" s="32"/>
      <c r="G106" s="19"/>
      <c r="H106" s="30"/>
      <c r="I106" s="30"/>
      <c r="J106" s="19"/>
      <c r="K106" s="19"/>
      <c r="L106" s="19"/>
      <c r="M106" s="19"/>
      <c r="N106" s="30"/>
      <c r="O106" s="30"/>
      <c r="P106" s="32"/>
      <c r="Q106" s="32"/>
      <c r="R106" s="32"/>
      <c r="S106" s="19"/>
      <c r="T106" s="30"/>
      <c r="U106" s="30"/>
      <c r="V106" s="19"/>
      <c r="W106" s="19"/>
      <c r="X106" s="19"/>
    </row>
    <row r="107" spans="2:24" x14ac:dyDescent="0.25">
      <c r="B107" s="30"/>
      <c r="C107" s="30"/>
      <c r="D107" s="32"/>
      <c r="E107" s="32"/>
      <c r="F107" s="32"/>
      <c r="G107" s="19"/>
      <c r="H107" s="30"/>
      <c r="I107" s="30"/>
      <c r="J107" s="19"/>
      <c r="K107" s="19"/>
      <c r="L107" s="19"/>
      <c r="M107" s="19"/>
      <c r="N107" s="30"/>
      <c r="O107" s="30"/>
      <c r="P107" s="32"/>
      <c r="Q107" s="32"/>
      <c r="R107" s="32"/>
      <c r="S107" s="19"/>
      <c r="T107" s="30"/>
      <c r="U107" s="30"/>
      <c r="V107" s="19"/>
      <c r="W107" s="19"/>
      <c r="X107" s="19"/>
    </row>
    <row r="108" spans="2:24" x14ac:dyDescent="0.25">
      <c r="B108" s="30"/>
      <c r="C108" s="30"/>
      <c r="D108" s="32"/>
      <c r="E108" s="32"/>
      <c r="F108" s="32"/>
      <c r="G108" s="19"/>
      <c r="H108" s="30"/>
      <c r="I108" s="30"/>
      <c r="J108" s="19"/>
      <c r="K108" s="19"/>
      <c r="L108" s="19"/>
      <c r="M108" s="19"/>
      <c r="N108" s="30"/>
      <c r="O108" s="30"/>
      <c r="P108" s="32"/>
      <c r="Q108" s="32"/>
      <c r="R108" s="32"/>
      <c r="S108" s="19"/>
      <c r="T108" s="30"/>
      <c r="U108" s="30"/>
      <c r="V108" s="19"/>
      <c r="W108" s="19"/>
      <c r="X108" s="19"/>
    </row>
    <row r="109" spans="2:24" x14ac:dyDescent="0.25"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2:24" x14ac:dyDescent="0.25">
      <c r="B110" s="33"/>
      <c r="C110" s="33"/>
      <c r="D110" s="33"/>
      <c r="E110" s="33"/>
      <c r="F110" s="33"/>
      <c r="G110" s="19"/>
      <c r="H110" s="34"/>
      <c r="I110" s="34"/>
      <c r="J110" s="34"/>
      <c r="K110" s="34"/>
      <c r="L110" s="34"/>
      <c r="M110" s="19"/>
      <c r="N110" s="33"/>
      <c r="O110" s="33"/>
      <c r="P110" s="33"/>
      <c r="Q110" s="33"/>
      <c r="R110" s="33"/>
      <c r="S110" s="19"/>
      <c r="T110" s="34"/>
      <c r="U110" s="34"/>
      <c r="V110" s="34"/>
      <c r="W110" s="34"/>
      <c r="X110" s="34"/>
    </row>
    <row r="111" spans="2:24" x14ac:dyDescent="0.25">
      <c r="B111" s="35"/>
      <c r="C111" s="35"/>
      <c r="D111" s="35"/>
      <c r="E111" s="36"/>
      <c r="F111" s="35"/>
      <c r="G111" s="19"/>
      <c r="H111" s="35"/>
      <c r="I111" s="36"/>
      <c r="J111" s="36"/>
      <c r="K111" s="36"/>
      <c r="L111" s="36"/>
      <c r="M111" s="19"/>
      <c r="N111" s="35"/>
      <c r="O111" s="35"/>
      <c r="P111" s="35"/>
      <c r="Q111" s="36"/>
      <c r="R111" s="35"/>
      <c r="S111" s="19"/>
      <c r="T111" s="35"/>
      <c r="U111" s="36"/>
      <c r="V111" s="36"/>
      <c r="W111" s="36"/>
      <c r="X111" s="36"/>
    </row>
    <row r="112" spans="2:24" x14ac:dyDescent="0.25">
      <c r="B112" s="19"/>
      <c r="C112" s="19"/>
      <c r="D112" s="19"/>
      <c r="E112" s="19"/>
      <c r="F112" s="37"/>
      <c r="G112" s="19"/>
      <c r="H112" s="19"/>
      <c r="I112" s="19"/>
      <c r="J112" s="19"/>
      <c r="K112" s="19"/>
      <c r="L112" s="37"/>
      <c r="M112" s="19"/>
      <c r="N112" s="19"/>
      <c r="O112" s="19"/>
      <c r="P112" s="19"/>
      <c r="Q112" s="19"/>
      <c r="R112" s="37"/>
      <c r="S112" s="19"/>
      <c r="T112" s="19"/>
      <c r="U112" s="19"/>
      <c r="V112" s="19"/>
      <c r="W112" s="19"/>
      <c r="X112" s="37"/>
    </row>
    <row r="113" spans="2:24" x14ac:dyDescent="0.25">
      <c r="B113" s="19"/>
      <c r="C113" s="19"/>
      <c r="D113" s="19"/>
      <c r="E113" s="19"/>
      <c r="F113" s="37"/>
      <c r="G113" s="19"/>
      <c r="H113" s="19"/>
      <c r="I113" s="19"/>
      <c r="J113" s="19"/>
      <c r="K113" s="19"/>
      <c r="L113" s="37"/>
      <c r="M113" s="19"/>
      <c r="N113" s="19"/>
      <c r="O113" s="19"/>
      <c r="P113" s="19"/>
      <c r="Q113" s="19"/>
      <c r="R113" s="37"/>
      <c r="S113" s="19"/>
      <c r="T113" s="19"/>
      <c r="U113" s="19"/>
      <c r="V113" s="19"/>
      <c r="W113" s="19"/>
      <c r="X113" s="37"/>
    </row>
    <row r="114" spans="2:24" x14ac:dyDescent="0.25">
      <c r="B114" s="19"/>
      <c r="C114" s="19"/>
      <c r="D114" s="19"/>
      <c r="E114" s="19"/>
      <c r="F114" s="37"/>
      <c r="G114" s="19"/>
      <c r="H114" s="19"/>
      <c r="I114" s="19"/>
      <c r="J114" s="19"/>
      <c r="K114" s="19"/>
      <c r="L114" s="37"/>
      <c r="M114" s="19"/>
      <c r="N114" s="19"/>
      <c r="O114" s="19"/>
      <c r="P114" s="19"/>
      <c r="Q114" s="19"/>
      <c r="R114" s="37"/>
      <c r="S114" s="19"/>
      <c r="T114" s="19"/>
      <c r="U114" s="19"/>
      <c r="V114" s="19"/>
      <c r="W114" s="19"/>
      <c r="X114" s="37"/>
    </row>
    <row r="115" spans="2:24" x14ac:dyDescent="0.25">
      <c r="B115" s="19"/>
      <c r="C115" s="19"/>
      <c r="D115" s="19"/>
      <c r="E115" s="19"/>
      <c r="F115" s="37"/>
      <c r="G115" s="19"/>
      <c r="H115" s="19"/>
      <c r="I115" s="19"/>
      <c r="J115" s="19"/>
      <c r="K115" s="19"/>
      <c r="L115" s="37"/>
      <c r="M115" s="19"/>
      <c r="N115" s="19"/>
      <c r="O115" s="19"/>
      <c r="P115" s="19"/>
      <c r="Q115" s="19"/>
      <c r="R115" s="37"/>
      <c r="S115" s="19"/>
      <c r="T115" s="19"/>
      <c r="U115" s="19"/>
      <c r="V115" s="19"/>
      <c r="W115" s="19"/>
      <c r="X115" s="37"/>
    </row>
    <row r="116" spans="2:24" x14ac:dyDescent="0.25">
      <c r="B116" s="19"/>
      <c r="C116" s="19"/>
      <c r="D116" s="19"/>
      <c r="E116" s="19"/>
      <c r="F116" s="37"/>
      <c r="G116" s="19"/>
      <c r="H116" s="19"/>
      <c r="I116" s="19"/>
      <c r="J116" s="19"/>
      <c r="K116" s="19"/>
      <c r="L116" s="37"/>
      <c r="M116" s="19"/>
      <c r="N116" s="19"/>
      <c r="O116" s="19"/>
      <c r="P116" s="19"/>
      <c r="Q116" s="19"/>
      <c r="R116" s="37"/>
      <c r="S116" s="19"/>
      <c r="T116" s="19"/>
      <c r="U116" s="19"/>
      <c r="V116" s="19"/>
      <c r="W116" s="19"/>
      <c r="X116" s="37"/>
    </row>
    <row r="117" spans="2:24" x14ac:dyDescent="0.25">
      <c r="B117" s="19"/>
      <c r="C117" s="19"/>
      <c r="D117" s="19"/>
      <c r="E117" s="19"/>
      <c r="F117" s="37"/>
      <c r="G117" s="19"/>
      <c r="H117" s="19"/>
      <c r="I117" s="19"/>
      <c r="J117" s="19"/>
      <c r="K117" s="19"/>
      <c r="L117" s="37"/>
      <c r="M117" s="19"/>
      <c r="N117" s="19"/>
      <c r="O117" s="19"/>
      <c r="P117" s="19"/>
      <c r="Q117" s="19"/>
      <c r="R117" s="37"/>
      <c r="S117" s="19"/>
      <c r="T117" s="19"/>
      <c r="U117" s="19"/>
      <c r="V117" s="19"/>
      <c r="W117" s="19"/>
      <c r="X117" s="37"/>
    </row>
    <row r="118" spans="2:24" x14ac:dyDescent="0.25">
      <c r="B118" s="19"/>
      <c r="C118" s="19"/>
      <c r="D118" s="19"/>
      <c r="E118" s="19"/>
      <c r="F118" s="37"/>
      <c r="G118" s="19"/>
      <c r="H118" s="19"/>
      <c r="I118" s="19"/>
      <c r="J118" s="19"/>
      <c r="K118" s="19"/>
      <c r="L118" s="37"/>
      <c r="M118" s="19"/>
      <c r="N118" s="19"/>
      <c r="O118" s="19"/>
      <c r="P118" s="19"/>
      <c r="Q118" s="19"/>
      <c r="R118" s="37"/>
      <c r="S118" s="19"/>
      <c r="T118" s="19"/>
      <c r="U118" s="19"/>
      <c r="V118" s="19"/>
      <c r="W118" s="19"/>
      <c r="X118" s="37"/>
    </row>
    <row r="119" spans="2:24" x14ac:dyDescent="0.25">
      <c r="B119" s="19"/>
      <c r="C119" s="19"/>
      <c r="D119" s="19"/>
      <c r="E119" s="19"/>
      <c r="F119" s="37"/>
      <c r="G119" s="19"/>
      <c r="H119" s="19"/>
      <c r="I119" s="19"/>
      <c r="J119" s="19"/>
      <c r="K119" s="19"/>
      <c r="L119" s="37"/>
      <c r="M119" s="19"/>
      <c r="N119" s="19"/>
      <c r="O119" s="19"/>
      <c r="P119" s="19"/>
      <c r="Q119" s="19"/>
      <c r="R119" s="37"/>
      <c r="S119" s="19"/>
      <c r="T119" s="19"/>
      <c r="U119" s="19"/>
      <c r="V119" s="19"/>
      <c r="W119" s="19"/>
      <c r="X119" s="37"/>
    </row>
    <row r="120" spans="2:24" x14ac:dyDescent="0.25">
      <c r="B120" s="19"/>
      <c r="C120" s="19"/>
      <c r="D120" s="19"/>
      <c r="E120" s="19"/>
      <c r="F120" s="37"/>
      <c r="G120" s="19"/>
      <c r="H120" s="19"/>
      <c r="I120" s="19"/>
      <c r="J120" s="19"/>
      <c r="K120" s="19"/>
      <c r="L120" s="37"/>
      <c r="M120" s="19"/>
      <c r="N120" s="19"/>
      <c r="O120" s="19"/>
      <c r="P120" s="19"/>
      <c r="Q120" s="19"/>
      <c r="R120" s="37"/>
      <c r="S120" s="19"/>
      <c r="T120" s="19"/>
      <c r="U120" s="19"/>
      <c r="V120" s="19"/>
      <c r="W120" s="19"/>
      <c r="X120" s="37"/>
    </row>
    <row r="121" spans="2:24" x14ac:dyDescent="0.25">
      <c r="B121" s="19"/>
      <c r="C121" s="19"/>
      <c r="D121" s="19"/>
      <c r="E121" s="19"/>
      <c r="F121" s="37"/>
      <c r="G121" s="19"/>
      <c r="H121" s="19"/>
      <c r="I121" s="19"/>
      <c r="J121" s="19"/>
      <c r="K121" s="19"/>
      <c r="L121" s="37"/>
      <c r="M121" s="19"/>
      <c r="N121" s="19"/>
      <c r="O121" s="19"/>
      <c r="P121" s="19"/>
      <c r="Q121" s="19"/>
      <c r="R121" s="37"/>
      <c r="S121" s="19"/>
      <c r="T121" s="19"/>
      <c r="U121" s="19"/>
      <c r="V121" s="19"/>
      <c r="W121" s="19"/>
      <c r="X121" s="37"/>
    </row>
    <row r="122" spans="2:24" x14ac:dyDescent="0.25">
      <c r="B122" s="45"/>
      <c r="C122" s="19"/>
      <c r="D122" s="19"/>
      <c r="E122" s="19"/>
      <c r="F122" s="37"/>
      <c r="G122" s="19"/>
      <c r="H122" s="19"/>
      <c r="I122" s="19"/>
      <c r="J122" s="19"/>
      <c r="K122" s="19"/>
      <c r="L122" s="37"/>
      <c r="M122" s="19"/>
      <c r="N122" s="19"/>
      <c r="O122" s="19"/>
      <c r="P122" s="19"/>
      <c r="Q122" s="19"/>
      <c r="R122" s="37"/>
      <c r="S122" s="19"/>
      <c r="T122" s="19"/>
      <c r="U122" s="19"/>
      <c r="V122" s="19"/>
      <c r="W122" s="19"/>
      <c r="X122" s="37"/>
    </row>
    <row r="123" spans="2:24" x14ac:dyDescent="0.25">
      <c r="B123" s="19"/>
      <c r="C123" s="19"/>
      <c r="D123" s="19"/>
      <c r="E123" s="19"/>
      <c r="F123" s="37"/>
      <c r="G123" s="19"/>
      <c r="H123" s="19"/>
      <c r="I123" s="19"/>
      <c r="J123" s="19"/>
      <c r="K123" s="19"/>
      <c r="L123" s="37"/>
      <c r="M123" s="19"/>
      <c r="N123" s="19"/>
      <c r="O123" s="19"/>
      <c r="P123" s="19"/>
      <c r="Q123" s="19"/>
      <c r="R123" s="37"/>
      <c r="S123" s="19"/>
      <c r="T123" s="19"/>
      <c r="U123" s="19"/>
      <c r="V123" s="19"/>
      <c r="W123" s="19"/>
      <c r="X123" s="37"/>
    </row>
    <row r="124" spans="2:24" x14ac:dyDescent="0.25">
      <c r="B124" s="19"/>
      <c r="C124" s="19"/>
      <c r="D124" s="19"/>
      <c r="E124" s="19"/>
      <c r="F124" s="37"/>
      <c r="G124" s="19"/>
      <c r="H124" s="19"/>
      <c r="I124" s="19"/>
      <c r="J124" s="19"/>
      <c r="K124" s="19"/>
      <c r="L124" s="37"/>
      <c r="M124" s="19"/>
      <c r="N124" s="19"/>
      <c r="O124" s="19"/>
      <c r="P124" s="19"/>
      <c r="Q124" s="19"/>
      <c r="R124" s="37"/>
      <c r="S124" s="19"/>
      <c r="T124" s="19"/>
      <c r="U124" s="19"/>
      <c r="V124" s="19"/>
      <c r="W124" s="19"/>
      <c r="X124" s="37"/>
    </row>
    <row r="125" spans="2:24" x14ac:dyDescent="0.25">
      <c r="B125" s="19"/>
      <c r="C125" s="19"/>
      <c r="D125" s="19"/>
      <c r="E125" s="19"/>
      <c r="F125" s="37"/>
      <c r="G125" s="19"/>
      <c r="H125" s="19"/>
      <c r="I125" s="19"/>
      <c r="J125" s="19"/>
      <c r="K125" s="19"/>
      <c r="L125" s="37"/>
      <c r="M125" s="19"/>
      <c r="N125" s="19"/>
      <c r="O125" s="19"/>
      <c r="P125" s="19"/>
      <c r="Q125" s="19"/>
      <c r="R125" s="37"/>
      <c r="S125" s="19"/>
      <c r="T125" s="19"/>
      <c r="U125" s="19"/>
      <c r="V125" s="19"/>
      <c r="W125" s="19"/>
      <c r="X125" s="37"/>
    </row>
    <row r="126" spans="2:24" x14ac:dyDescent="0.25">
      <c r="F126" s="2">
        <f t="shared" ref="F113:F134" si="12">C126*E126</f>
        <v>0</v>
      </c>
      <c r="L126" s="2">
        <f t="shared" ref="L116:L133" si="13">-I126*K126+J126*K126</f>
        <v>0</v>
      </c>
      <c r="R126" s="2">
        <f t="shared" ref="R113:R134" si="14">O126*Q126</f>
        <v>0</v>
      </c>
      <c r="X126" s="2">
        <f t="shared" ref="X112:X133" si="15">-U126*W126+V126*W126</f>
        <v>0</v>
      </c>
    </row>
    <row r="127" spans="2:24" x14ac:dyDescent="0.25">
      <c r="F127" s="2">
        <f t="shared" si="12"/>
        <v>0</v>
      </c>
      <c r="L127" s="2">
        <f t="shared" si="13"/>
        <v>0</v>
      </c>
      <c r="R127" s="2">
        <f t="shared" si="14"/>
        <v>0</v>
      </c>
      <c r="X127" s="2">
        <f t="shared" si="15"/>
        <v>0</v>
      </c>
    </row>
    <row r="128" spans="2:24" x14ac:dyDescent="0.25">
      <c r="F128" s="2">
        <f t="shared" si="12"/>
        <v>0</v>
      </c>
      <c r="L128" s="2">
        <f t="shared" si="13"/>
        <v>0</v>
      </c>
      <c r="R128" s="2">
        <f t="shared" si="14"/>
        <v>0</v>
      </c>
      <c r="X128" s="2">
        <f t="shared" si="15"/>
        <v>0</v>
      </c>
    </row>
    <row r="129" spans="2:24" x14ac:dyDescent="0.25">
      <c r="F129" s="2">
        <f t="shared" si="12"/>
        <v>0</v>
      </c>
      <c r="L129" s="2">
        <f t="shared" si="13"/>
        <v>0</v>
      </c>
      <c r="R129" s="2">
        <f t="shared" si="14"/>
        <v>0</v>
      </c>
      <c r="X129" s="2">
        <f t="shared" si="15"/>
        <v>0</v>
      </c>
    </row>
    <row r="130" spans="2:24" x14ac:dyDescent="0.25">
      <c r="F130" s="2">
        <f t="shared" si="12"/>
        <v>0</v>
      </c>
      <c r="L130" s="2">
        <f t="shared" si="13"/>
        <v>0</v>
      </c>
      <c r="R130" s="2">
        <f t="shared" si="14"/>
        <v>0</v>
      </c>
      <c r="X130" s="2">
        <f t="shared" si="15"/>
        <v>0</v>
      </c>
    </row>
    <row r="131" spans="2:24" x14ac:dyDescent="0.25">
      <c r="F131" s="2">
        <f t="shared" si="12"/>
        <v>0</v>
      </c>
      <c r="L131" s="2">
        <f t="shared" si="13"/>
        <v>0</v>
      </c>
      <c r="R131" s="2">
        <f t="shared" si="14"/>
        <v>0</v>
      </c>
      <c r="X131" s="2">
        <f t="shared" si="15"/>
        <v>0</v>
      </c>
    </row>
    <row r="132" spans="2:24" x14ac:dyDescent="0.25">
      <c r="F132" s="2">
        <f t="shared" si="12"/>
        <v>0</v>
      </c>
      <c r="L132" s="2">
        <f t="shared" si="13"/>
        <v>0</v>
      </c>
      <c r="R132" s="2">
        <f t="shared" si="14"/>
        <v>0</v>
      </c>
      <c r="X132" s="2">
        <f t="shared" si="15"/>
        <v>0</v>
      </c>
    </row>
    <row r="133" spans="2:24" x14ac:dyDescent="0.25">
      <c r="F133" s="2">
        <f t="shared" si="12"/>
        <v>0</v>
      </c>
      <c r="L133" s="2">
        <f t="shared" si="13"/>
        <v>0</v>
      </c>
      <c r="R133" s="2">
        <f t="shared" si="14"/>
        <v>0</v>
      </c>
      <c r="X133" s="2">
        <f t="shared" si="15"/>
        <v>0</v>
      </c>
    </row>
    <row r="134" spans="2:24" x14ac:dyDescent="0.25">
      <c r="F134" s="2">
        <f t="shared" si="12"/>
        <v>0</v>
      </c>
      <c r="H134" s="26" t="s">
        <v>23</v>
      </c>
      <c r="I134" s="26"/>
      <c r="J134" s="26"/>
      <c r="K134" s="26"/>
      <c r="L134" s="9">
        <f>SUM(L112:L133)</f>
        <v>0</v>
      </c>
      <c r="R134" s="2">
        <f t="shared" si="14"/>
        <v>0</v>
      </c>
      <c r="T134" s="26" t="s">
        <v>23</v>
      </c>
      <c r="U134" s="26"/>
      <c r="V134" s="26"/>
      <c r="W134" s="26"/>
      <c r="X134" s="9">
        <f>SUM(X112:X133)</f>
        <v>0</v>
      </c>
    </row>
    <row r="135" spans="2:24" x14ac:dyDescent="0.25">
      <c r="B135" s="27" t="s">
        <v>28</v>
      </c>
      <c r="C135" s="27"/>
      <c r="D135" s="8"/>
      <c r="E135" s="8"/>
      <c r="F135" s="5">
        <f>-D135*E135</f>
        <v>0</v>
      </c>
      <c r="H135" s="26" t="s">
        <v>24</v>
      </c>
      <c r="I135" s="26"/>
      <c r="J135" s="26"/>
      <c r="K135" s="26"/>
      <c r="L135" s="4">
        <f>SUM(F136)</f>
        <v>0</v>
      </c>
      <c r="N135" s="27" t="s">
        <v>28</v>
      </c>
      <c r="O135" s="27"/>
      <c r="P135" s="8"/>
      <c r="Q135" s="8"/>
      <c r="R135" s="5">
        <f>-P135*Q135</f>
        <v>0</v>
      </c>
      <c r="T135" s="26" t="s">
        <v>24</v>
      </c>
      <c r="U135" s="26"/>
      <c r="V135" s="26"/>
      <c r="W135" s="26"/>
      <c r="X135" s="4">
        <f>SUM(R136)</f>
        <v>0</v>
      </c>
    </row>
    <row r="136" spans="2:24" x14ac:dyDescent="0.25">
      <c r="B136" s="28" t="s">
        <v>19</v>
      </c>
      <c r="C136" s="28"/>
      <c r="D136" s="28"/>
      <c r="E136" s="28"/>
      <c r="F136" s="13">
        <f>SUM(F112:F135)</f>
        <v>0</v>
      </c>
      <c r="H136" s="26" t="s">
        <v>25</v>
      </c>
      <c r="I136" s="26"/>
      <c r="J136" s="26"/>
      <c r="K136" s="26"/>
      <c r="L136" s="14">
        <f>SUM(L135+L134)</f>
        <v>0</v>
      </c>
      <c r="N136" s="28" t="s">
        <v>19</v>
      </c>
      <c r="O136" s="28"/>
      <c r="P136" s="28"/>
      <c r="Q136" s="28"/>
      <c r="R136" s="13">
        <f>SUM(R112:R135)</f>
        <v>0</v>
      </c>
      <c r="T136" s="26" t="s">
        <v>25</v>
      </c>
      <c r="U136" s="26"/>
      <c r="V136" s="26"/>
      <c r="W136" s="26"/>
      <c r="X136" s="14">
        <f>SUM(X135+X134)</f>
        <v>0</v>
      </c>
    </row>
    <row r="137" spans="2:24" ht="18.75" x14ac:dyDescent="0.3">
      <c r="B137" s="11" t="s">
        <v>29</v>
      </c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9" spans="2:24" x14ac:dyDescent="0.25">
      <c r="B139" s="21" t="s">
        <v>0</v>
      </c>
      <c r="C139" s="21"/>
      <c r="D139" s="22" t="s">
        <v>73</v>
      </c>
      <c r="E139" s="22"/>
      <c r="F139" s="22"/>
      <c r="H139" s="21" t="s">
        <v>43</v>
      </c>
      <c r="I139" s="21"/>
      <c r="J139">
        <v>2</v>
      </c>
    </row>
    <row r="140" spans="2:24" x14ac:dyDescent="0.25">
      <c r="B140" s="21" t="s">
        <v>1</v>
      </c>
      <c r="C140" s="21"/>
      <c r="D140" s="23" t="s">
        <v>74</v>
      </c>
      <c r="E140" s="23"/>
      <c r="F140" s="23"/>
      <c r="H140" s="21" t="s">
        <v>44</v>
      </c>
      <c r="I140" s="21"/>
      <c r="J140" t="s">
        <v>50</v>
      </c>
    </row>
    <row r="141" spans="2:24" x14ac:dyDescent="0.25">
      <c r="B141" s="21" t="s">
        <v>3</v>
      </c>
      <c r="C141" s="21"/>
      <c r="D141" s="23" t="s">
        <v>32</v>
      </c>
      <c r="E141" s="23"/>
      <c r="F141" s="23"/>
      <c r="H141" s="21" t="s">
        <v>45</v>
      </c>
      <c r="I141" s="21"/>
      <c r="J141" t="s">
        <v>51</v>
      </c>
    </row>
    <row r="142" spans="2:24" x14ac:dyDescent="0.25">
      <c r="B142" s="21" t="s">
        <v>2</v>
      </c>
      <c r="C142" s="21"/>
      <c r="D142" s="23" t="s">
        <v>75</v>
      </c>
      <c r="E142" s="23"/>
      <c r="F142" s="23"/>
      <c r="H142" s="21" t="s">
        <v>46</v>
      </c>
      <c r="I142" s="21"/>
      <c r="J142" t="s">
        <v>52</v>
      </c>
    </row>
    <row r="144" spans="2:24" x14ac:dyDescent="0.25">
      <c r="B144" s="1"/>
      <c r="C144" s="1" t="s">
        <v>4</v>
      </c>
      <c r="D144" s="1"/>
      <c r="E144" s="1"/>
      <c r="F144" s="1"/>
      <c r="H144" s="25" t="s">
        <v>20</v>
      </c>
      <c r="I144" s="25"/>
      <c r="J144" s="25"/>
      <c r="K144" s="25"/>
      <c r="L144" s="25"/>
    </row>
    <row r="145" spans="2:12" x14ac:dyDescent="0.25">
      <c r="B145" s="6" t="s">
        <v>5</v>
      </c>
      <c r="C145" s="6" t="s">
        <v>6</v>
      </c>
      <c r="D145" s="6" t="s">
        <v>7</v>
      </c>
      <c r="E145" s="7" t="s">
        <v>8</v>
      </c>
      <c r="F145" s="6" t="s">
        <v>9</v>
      </c>
      <c r="H145" s="6" t="s">
        <v>5</v>
      </c>
      <c r="I145" s="7" t="s">
        <v>21</v>
      </c>
      <c r="J145" s="7" t="s">
        <v>22</v>
      </c>
      <c r="K145" s="7" t="s">
        <v>8</v>
      </c>
      <c r="L145" s="7" t="s">
        <v>9</v>
      </c>
    </row>
    <row r="146" spans="2:12" x14ac:dyDescent="0.25">
      <c r="B146" t="s">
        <v>10</v>
      </c>
      <c r="E146">
        <v>650</v>
      </c>
      <c r="F146" s="2">
        <f>C146*E146</f>
        <v>0</v>
      </c>
      <c r="K146">
        <v>111</v>
      </c>
      <c r="L146" s="2">
        <f t="shared" ref="L146:L148" si="16">-I146*K146+J146*K146</f>
        <v>0</v>
      </c>
    </row>
    <row r="147" spans="2:12" x14ac:dyDescent="0.25">
      <c r="B147" t="s">
        <v>11</v>
      </c>
      <c r="E147">
        <v>670</v>
      </c>
      <c r="F147" s="2">
        <f t="shared" ref="F147:F168" si="17">C147*E147</f>
        <v>0</v>
      </c>
      <c r="K147">
        <v>111</v>
      </c>
      <c r="L147" s="2">
        <f t="shared" si="16"/>
        <v>0</v>
      </c>
    </row>
    <row r="148" spans="2:12" x14ac:dyDescent="0.25">
      <c r="B148" t="s">
        <v>12</v>
      </c>
      <c r="E148">
        <v>973</v>
      </c>
      <c r="F148" s="2">
        <f t="shared" si="17"/>
        <v>0</v>
      </c>
      <c r="L148" s="2">
        <f t="shared" si="16"/>
        <v>0</v>
      </c>
    </row>
    <row r="149" spans="2:12" x14ac:dyDescent="0.25">
      <c r="B149" t="s">
        <v>13</v>
      </c>
      <c r="E149">
        <v>622</v>
      </c>
      <c r="F149" s="2">
        <f t="shared" si="17"/>
        <v>0</v>
      </c>
      <c r="K149">
        <v>4.5</v>
      </c>
      <c r="L149" s="2">
        <f>-I149*K149+J149*K149</f>
        <v>0</v>
      </c>
    </row>
    <row r="150" spans="2:12" x14ac:dyDescent="0.25">
      <c r="B150" t="s">
        <v>14</v>
      </c>
      <c r="E150">
        <v>912</v>
      </c>
      <c r="F150" s="2">
        <f t="shared" si="17"/>
        <v>0</v>
      </c>
      <c r="K150">
        <v>1.5</v>
      </c>
      <c r="L150" s="2">
        <f t="shared" ref="L150:L167" si="18">-I150*K150+J150*K150</f>
        <v>0</v>
      </c>
    </row>
    <row r="151" spans="2:12" x14ac:dyDescent="0.25">
      <c r="B151" t="s">
        <v>15</v>
      </c>
      <c r="F151" s="2">
        <f t="shared" si="17"/>
        <v>0</v>
      </c>
      <c r="L151" s="2">
        <f t="shared" si="18"/>
        <v>0</v>
      </c>
    </row>
    <row r="152" spans="2:12" x14ac:dyDescent="0.25">
      <c r="B152" t="s">
        <v>16</v>
      </c>
      <c r="E152">
        <v>872</v>
      </c>
      <c r="F152" s="2">
        <f t="shared" si="17"/>
        <v>0</v>
      </c>
      <c r="L152" s="2">
        <f t="shared" si="18"/>
        <v>0</v>
      </c>
    </row>
    <row r="153" spans="2:12" x14ac:dyDescent="0.25">
      <c r="B153" t="s">
        <v>17</v>
      </c>
      <c r="E153">
        <v>229</v>
      </c>
      <c r="F153" s="2">
        <f t="shared" si="17"/>
        <v>0</v>
      </c>
      <c r="K153">
        <v>42</v>
      </c>
      <c r="L153" s="2">
        <f t="shared" si="18"/>
        <v>0</v>
      </c>
    </row>
    <row r="154" spans="2:12" x14ac:dyDescent="0.25">
      <c r="B154" t="s">
        <v>18</v>
      </c>
      <c r="E154">
        <v>500</v>
      </c>
      <c r="F154" s="2">
        <f t="shared" si="17"/>
        <v>0</v>
      </c>
      <c r="L154" s="2">
        <f t="shared" si="18"/>
        <v>0</v>
      </c>
    </row>
    <row r="155" spans="2:12" x14ac:dyDescent="0.25">
      <c r="B155" t="s">
        <v>26</v>
      </c>
      <c r="E155">
        <v>650</v>
      </c>
      <c r="F155" s="2">
        <f t="shared" si="17"/>
        <v>0</v>
      </c>
      <c r="L155" s="2">
        <f t="shared" si="18"/>
        <v>0</v>
      </c>
    </row>
    <row r="156" spans="2:12" x14ac:dyDescent="0.25">
      <c r="B156" s="12" t="s">
        <v>41</v>
      </c>
      <c r="E156">
        <v>1175</v>
      </c>
      <c r="F156" s="2">
        <f t="shared" si="17"/>
        <v>0</v>
      </c>
      <c r="L156" s="2">
        <f t="shared" si="18"/>
        <v>0</v>
      </c>
    </row>
    <row r="157" spans="2:12" x14ac:dyDescent="0.25">
      <c r="B157" t="s">
        <v>40</v>
      </c>
      <c r="E157">
        <v>700</v>
      </c>
      <c r="F157" s="2">
        <f t="shared" si="17"/>
        <v>0</v>
      </c>
      <c r="L157" s="2">
        <f t="shared" si="18"/>
        <v>0</v>
      </c>
    </row>
    <row r="158" spans="2:12" x14ac:dyDescent="0.25">
      <c r="F158" s="2">
        <f t="shared" si="17"/>
        <v>0</v>
      </c>
      <c r="L158" s="2">
        <f t="shared" si="18"/>
        <v>0</v>
      </c>
    </row>
    <row r="159" spans="2:12" x14ac:dyDescent="0.25">
      <c r="F159" s="2">
        <f t="shared" si="17"/>
        <v>0</v>
      </c>
      <c r="L159" s="2">
        <f t="shared" si="18"/>
        <v>0</v>
      </c>
    </row>
    <row r="160" spans="2:12" x14ac:dyDescent="0.25">
      <c r="F160" s="2">
        <f t="shared" si="17"/>
        <v>0</v>
      </c>
      <c r="L160" s="2">
        <f t="shared" si="18"/>
        <v>0</v>
      </c>
    </row>
    <row r="161" spans="2:12" x14ac:dyDescent="0.25">
      <c r="F161" s="2">
        <f t="shared" si="17"/>
        <v>0</v>
      </c>
      <c r="L161" s="2">
        <f t="shared" si="18"/>
        <v>0</v>
      </c>
    </row>
    <row r="162" spans="2:12" x14ac:dyDescent="0.25">
      <c r="F162" s="2">
        <f t="shared" si="17"/>
        <v>0</v>
      </c>
      <c r="L162" s="2">
        <f t="shared" si="18"/>
        <v>0</v>
      </c>
    </row>
    <row r="163" spans="2:12" x14ac:dyDescent="0.25">
      <c r="F163" s="2">
        <f t="shared" si="17"/>
        <v>0</v>
      </c>
      <c r="L163" s="2">
        <f t="shared" si="18"/>
        <v>0</v>
      </c>
    </row>
    <row r="164" spans="2:12" x14ac:dyDescent="0.25">
      <c r="F164" s="2">
        <f t="shared" si="17"/>
        <v>0</v>
      </c>
      <c r="L164" s="2">
        <f t="shared" si="18"/>
        <v>0</v>
      </c>
    </row>
    <row r="165" spans="2:12" x14ac:dyDescent="0.25">
      <c r="F165" s="2">
        <f t="shared" si="17"/>
        <v>0</v>
      </c>
      <c r="L165" s="2">
        <f t="shared" si="18"/>
        <v>0</v>
      </c>
    </row>
    <row r="166" spans="2:12" x14ac:dyDescent="0.25">
      <c r="F166" s="2">
        <f t="shared" si="17"/>
        <v>0</v>
      </c>
      <c r="L166" s="2">
        <f t="shared" si="18"/>
        <v>0</v>
      </c>
    </row>
    <row r="167" spans="2:12" x14ac:dyDescent="0.25">
      <c r="F167" s="2">
        <f t="shared" si="17"/>
        <v>0</v>
      </c>
      <c r="L167" s="2">
        <f t="shared" si="18"/>
        <v>0</v>
      </c>
    </row>
    <row r="168" spans="2:12" x14ac:dyDescent="0.25">
      <c r="F168" s="2">
        <f t="shared" si="17"/>
        <v>0</v>
      </c>
      <c r="H168" s="26" t="s">
        <v>23</v>
      </c>
      <c r="I168" s="26"/>
      <c r="J168" s="26"/>
      <c r="K168" s="26"/>
      <c r="L168" s="9">
        <f>SUM(L146:L167)</f>
        <v>0</v>
      </c>
    </row>
    <row r="169" spans="2:12" x14ac:dyDescent="0.25">
      <c r="B169" s="27" t="s">
        <v>28</v>
      </c>
      <c r="C169" s="27"/>
      <c r="D169" s="8"/>
      <c r="E169" s="8"/>
      <c r="F169" s="5">
        <f>-D169*E169</f>
        <v>0</v>
      </c>
      <c r="H169" s="26" t="s">
        <v>24</v>
      </c>
      <c r="I169" s="26"/>
      <c r="J169" s="26"/>
      <c r="K169" s="26"/>
      <c r="L169" s="4">
        <f>SUM(F170)</f>
        <v>0</v>
      </c>
    </row>
    <row r="170" spans="2:12" x14ac:dyDescent="0.25">
      <c r="B170" s="28" t="s">
        <v>19</v>
      </c>
      <c r="C170" s="28"/>
      <c r="D170" s="28"/>
      <c r="E170" s="28"/>
      <c r="F170" s="13">
        <f>SUM(F146:F169)</f>
        <v>0</v>
      </c>
      <c r="H170" s="26" t="s">
        <v>25</v>
      </c>
      <c r="I170" s="26"/>
      <c r="J170" s="26"/>
      <c r="K170" s="26"/>
      <c r="L170" s="14">
        <f>SUM(L169+L168)</f>
        <v>0</v>
      </c>
    </row>
  </sheetData>
  <mergeCells count="162">
    <mergeCell ref="B3:C3"/>
    <mergeCell ref="D3:F3"/>
    <mergeCell ref="H3:I3"/>
    <mergeCell ref="N3:O3"/>
    <mergeCell ref="P3:R3"/>
    <mergeCell ref="T3:U3"/>
    <mergeCell ref="B5:C5"/>
    <mergeCell ref="D5:F5"/>
    <mergeCell ref="H5:I5"/>
    <mergeCell ref="N5:O5"/>
    <mergeCell ref="P5:R5"/>
    <mergeCell ref="T5:U5"/>
    <mergeCell ref="B4:C4"/>
    <mergeCell ref="D4:F4"/>
    <mergeCell ref="H4:I4"/>
    <mergeCell ref="N4:O4"/>
    <mergeCell ref="P4:R4"/>
    <mergeCell ref="T4:U4"/>
    <mergeCell ref="H8:L8"/>
    <mergeCell ref="T8:X8"/>
    <mergeCell ref="H32:K32"/>
    <mergeCell ref="T32:W32"/>
    <mergeCell ref="B33:C33"/>
    <mergeCell ref="H33:K33"/>
    <mergeCell ref="N33:O33"/>
    <mergeCell ref="T33:W33"/>
    <mergeCell ref="B6:C6"/>
    <mergeCell ref="D6:F6"/>
    <mergeCell ref="H6:I6"/>
    <mergeCell ref="N6:O6"/>
    <mergeCell ref="P6:R6"/>
    <mergeCell ref="T6:U6"/>
    <mergeCell ref="B34:E34"/>
    <mergeCell ref="H34:K34"/>
    <mergeCell ref="N34:Q34"/>
    <mergeCell ref="T34:W34"/>
    <mergeCell ref="B37:C37"/>
    <mergeCell ref="D37:F37"/>
    <mergeCell ref="H37:I37"/>
    <mergeCell ref="N37:O37"/>
    <mergeCell ref="P37:R37"/>
    <mergeCell ref="T37:U37"/>
    <mergeCell ref="B39:C39"/>
    <mergeCell ref="D39:F39"/>
    <mergeCell ref="H39:I39"/>
    <mergeCell ref="N39:O39"/>
    <mergeCell ref="P39:R39"/>
    <mergeCell ref="T39:U39"/>
    <mergeCell ref="B38:C38"/>
    <mergeCell ref="D38:F38"/>
    <mergeCell ref="H38:I38"/>
    <mergeCell ref="N38:O38"/>
    <mergeCell ref="P38:R38"/>
    <mergeCell ref="T38:U38"/>
    <mergeCell ref="H42:L42"/>
    <mergeCell ref="T42:X42"/>
    <mergeCell ref="H66:K66"/>
    <mergeCell ref="T66:W66"/>
    <mergeCell ref="B67:C67"/>
    <mergeCell ref="H67:K67"/>
    <mergeCell ref="N67:O67"/>
    <mergeCell ref="T67:W67"/>
    <mergeCell ref="B40:C40"/>
    <mergeCell ref="D40:F40"/>
    <mergeCell ref="H40:I40"/>
    <mergeCell ref="N40:O40"/>
    <mergeCell ref="P40:R40"/>
    <mergeCell ref="T40:U40"/>
    <mergeCell ref="B68:E68"/>
    <mergeCell ref="H68:K68"/>
    <mergeCell ref="N68:Q68"/>
    <mergeCell ref="T68:W68"/>
    <mergeCell ref="B71:C71"/>
    <mergeCell ref="D71:F71"/>
    <mergeCell ref="H71:I71"/>
    <mergeCell ref="N71:O71"/>
    <mergeCell ref="P71:R71"/>
    <mergeCell ref="T71:U71"/>
    <mergeCell ref="B73:C73"/>
    <mergeCell ref="D73:F73"/>
    <mergeCell ref="H73:I73"/>
    <mergeCell ref="N73:O73"/>
    <mergeCell ref="P73:R73"/>
    <mergeCell ref="T73:U73"/>
    <mergeCell ref="B72:C72"/>
    <mergeCell ref="D72:F72"/>
    <mergeCell ref="H72:I72"/>
    <mergeCell ref="N72:O72"/>
    <mergeCell ref="P72:R72"/>
    <mergeCell ref="T72:U72"/>
    <mergeCell ref="H76:L76"/>
    <mergeCell ref="T76:X76"/>
    <mergeCell ref="H100:K100"/>
    <mergeCell ref="T100:W100"/>
    <mergeCell ref="B101:C101"/>
    <mergeCell ref="H101:K101"/>
    <mergeCell ref="N101:O101"/>
    <mergeCell ref="T101:W101"/>
    <mergeCell ref="B74:C74"/>
    <mergeCell ref="D74:F74"/>
    <mergeCell ref="H74:I74"/>
    <mergeCell ref="N74:O74"/>
    <mergeCell ref="P74:R74"/>
    <mergeCell ref="T74:U74"/>
    <mergeCell ref="B106:C106"/>
    <mergeCell ref="D106:F106"/>
    <mergeCell ref="H106:I106"/>
    <mergeCell ref="N106:O106"/>
    <mergeCell ref="P106:R106"/>
    <mergeCell ref="T106:U106"/>
    <mergeCell ref="B102:E102"/>
    <mergeCell ref="H102:K102"/>
    <mergeCell ref="N102:Q102"/>
    <mergeCell ref="T102:W102"/>
    <mergeCell ref="B105:C105"/>
    <mergeCell ref="D105:F105"/>
    <mergeCell ref="H105:I105"/>
    <mergeCell ref="N105:O105"/>
    <mergeCell ref="P105:R105"/>
    <mergeCell ref="T105:U105"/>
    <mergeCell ref="B108:C108"/>
    <mergeCell ref="D108:F108"/>
    <mergeCell ref="H108:I108"/>
    <mergeCell ref="N108:O108"/>
    <mergeCell ref="P108:R108"/>
    <mergeCell ref="T108:U108"/>
    <mergeCell ref="B107:C107"/>
    <mergeCell ref="D107:F107"/>
    <mergeCell ref="H107:I107"/>
    <mergeCell ref="N107:O107"/>
    <mergeCell ref="P107:R107"/>
    <mergeCell ref="T107:U107"/>
    <mergeCell ref="T136:W136"/>
    <mergeCell ref="B139:C139"/>
    <mergeCell ref="D139:F139"/>
    <mergeCell ref="H139:I139"/>
    <mergeCell ref="H110:L110"/>
    <mergeCell ref="T110:X110"/>
    <mergeCell ref="H134:K134"/>
    <mergeCell ref="T134:W134"/>
    <mergeCell ref="B135:C135"/>
    <mergeCell ref="H135:K135"/>
    <mergeCell ref="N135:O135"/>
    <mergeCell ref="T135:W135"/>
    <mergeCell ref="B140:C140"/>
    <mergeCell ref="D140:F140"/>
    <mergeCell ref="H140:I140"/>
    <mergeCell ref="B141:C141"/>
    <mergeCell ref="D141:F141"/>
    <mergeCell ref="H141:I141"/>
    <mergeCell ref="B136:E136"/>
    <mergeCell ref="H136:K136"/>
    <mergeCell ref="N136:Q136"/>
    <mergeCell ref="B170:E170"/>
    <mergeCell ref="H170:K170"/>
    <mergeCell ref="B142:C142"/>
    <mergeCell ref="D142:F142"/>
    <mergeCell ref="H142:I142"/>
    <mergeCell ref="H144:L144"/>
    <mergeCell ref="H168:K168"/>
    <mergeCell ref="B169:C169"/>
    <mergeCell ref="H169:K169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799D-6277-429E-9C39-AC5AA7A3929C}">
  <dimension ref="B1:AF174"/>
  <sheetViews>
    <sheetView tabSelected="1" zoomScaleNormal="100" workbookViewId="0">
      <selection activeCell="B1" sqref="B1"/>
    </sheetView>
  </sheetViews>
  <sheetFormatPr defaultRowHeight="15" x14ac:dyDescent="0.25"/>
  <cols>
    <col min="1" max="1" width="2.28515625" customWidth="1"/>
    <col min="6" max="6" width="11.5703125" bestFit="1" customWidth="1"/>
    <col min="7" max="7" width="2.28515625" customWidth="1"/>
    <col min="12" max="12" width="12.140625" customWidth="1"/>
    <col min="13" max="13" width="2.28515625" customWidth="1"/>
    <col min="18" max="18" width="11.5703125" bestFit="1" customWidth="1"/>
    <col min="19" max="19" width="2.28515625" customWidth="1"/>
    <col min="24" max="24" width="12.140625" customWidth="1"/>
    <col min="25" max="25" width="2.28515625" customWidth="1"/>
    <col min="26" max="26" width="11.5703125" bestFit="1" customWidth="1"/>
    <col min="27" max="27" width="2.28515625" customWidth="1"/>
    <col min="28" max="28" width="10.140625" bestFit="1" customWidth="1"/>
    <col min="29" max="29" width="2.28515625" customWidth="1"/>
    <col min="30" max="30" width="15.28515625" bestFit="1" customWidth="1"/>
    <col min="31" max="31" width="2.28515625" customWidth="1"/>
    <col min="32" max="32" width="13.28515625" bestFit="1" customWidth="1"/>
    <col min="33" max="33" width="2.28515625" customWidth="1"/>
    <col min="35" max="35" width="2.28515625" customWidth="1"/>
  </cols>
  <sheetData>
    <row r="1" spans="2:32" ht="18.75" x14ac:dyDescent="0.3">
      <c r="B1" s="11" t="s">
        <v>29</v>
      </c>
      <c r="C1" s="10"/>
      <c r="D1" s="10"/>
      <c r="E1" s="10"/>
      <c r="F1" s="10"/>
      <c r="G1" s="10"/>
      <c r="H1" s="10"/>
      <c r="I1" s="10"/>
      <c r="J1" s="10"/>
      <c r="K1" s="10"/>
      <c r="L1" s="10"/>
      <c r="N1" s="11" t="s">
        <v>29</v>
      </c>
      <c r="O1" s="10"/>
      <c r="P1" s="10"/>
      <c r="Q1" s="10"/>
      <c r="R1" s="10"/>
      <c r="S1" s="10"/>
      <c r="T1" s="10"/>
      <c r="U1" s="10"/>
      <c r="V1" s="10"/>
      <c r="W1" s="10"/>
      <c r="X1" s="10"/>
      <c r="Z1" s="15" t="s">
        <v>9</v>
      </c>
      <c r="AB1" s="16" t="s">
        <v>27</v>
      </c>
      <c r="AD1" s="17" t="s">
        <v>76</v>
      </c>
      <c r="AF1" s="18" t="s">
        <v>77</v>
      </c>
    </row>
    <row r="3" spans="2:32" x14ac:dyDescent="0.25">
      <c r="B3" s="21" t="s">
        <v>0</v>
      </c>
      <c r="C3" s="21"/>
      <c r="D3" s="22" t="s">
        <v>127</v>
      </c>
      <c r="E3" s="22"/>
      <c r="F3" s="22"/>
      <c r="H3" s="21" t="s">
        <v>43</v>
      </c>
      <c r="I3" s="21"/>
      <c r="J3">
        <v>3</v>
      </c>
      <c r="N3" s="21" t="s">
        <v>0</v>
      </c>
      <c r="O3" s="21"/>
      <c r="P3" s="22" t="s">
        <v>130</v>
      </c>
      <c r="Q3" s="22"/>
      <c r="R3" s="22"/>
      <c r="T3" s="21" t="s">
        <v>43</v>
      </c>
      <c r="U3" s="21"/>
      <c r="V3">
        <v>3</v>
      </c>
      <c r="Z3" s="20">
        <f>F34+R34+F68+R68+F102+R102+F136+R136+F170+R170</f>
        <v>437124</v>
      </c>
      <c r="AA3" s="19"/>
      <c r="AB3" s="19">
        <f>F67+F101+R101</f>
        <v>-300</v>
      </c>
      <c r="AC3" s="19"/>
      <c r="AD3" s="19"/>
      <c r="AF3" s="3">
        <f>L34+X34+L68+X68+L102+X102+L136+X136+L170+X170</f>
        <v>434904</v>
      </c>
    </row>
    <row r="4" spans="2:32" x14ac:dyDescent="0.25">
      <c r="B4" s="21" t="s">
        <v>1</v>
      </c>
      <c r="C4" s="21"/>
      <c r="D4" s="23" t="s">
        <v>128</v>
      </c>
      <c r="E4" s="23"/>
      <c r="F4" s="23"/>
      <c r="H4" s="21" t="s">
        <v>44</v>
      </c>
      <c r="I4" s="21"/>
      <c r="J4" t="s">
        <v>78</v>
      </c>
      <c r="N4" s="21" t="s">
        <v>1</v>
      </c>
      <c r="O4" s="21"/>
      <c r="P4" s="23" t="s">
        <v>131</v>
      </c>
      <c r="Q4" s="23"/>
      <c r="R4" s="23"/>
      <c r="T4" s="21" t="s">
        <v>44</v>
      </c>
      <c r="U4" s="21"/>
      <c r="V4" t="s">
        <v>78</v>
      </c>
      <c r="AA4" s="19"/>
      <c r="AB4" s="19"/>
      <c r="AC4" s="19"/>
      <c r="AD4" s="19"/>
    </row>
    <row r="5" spans="2:32" x14ac:dyDescent="0.25">
      <c r="B5" s="21" t="s">
        <v>3</v>
      </c>
      <c r="C5" s="21"/>
      <c r="D5" s="24" t="s">
        <v>107</v>
      </c>
      <c r="E5" s="24"/>
      <c r="F5" s="24"/>
      <c r="H5" s="21" t="s">
        <v>45</v>
      </c>
      <c r="I5" s="21"/>
      <c r="J5" t="s">
        <v>79</v>
      </c>
      <c r="N5" s="21" t="s">
        <v>3</v>
      </c>
      <c r="O5" s="21"/>
      <c r="P5" s="23" t="s">
        <v>118</v>
      </c>
      <c r="Q5" s="23"/>
      <c r="R5" s="23"/>
      <c r="T5" s="21" t="s">
        <v>45</v>
      </c>
      <c r="U5" s="21"/>
      <c r="V5" t="s">
        <v>79</v>
      </c>
      <c r="Z5" s="19"/>
      <c r="AA5" s="19"/>
      <c r="AB5" s="19"/>
      <c r="AC5" s="19"/>
      <c r="AD5" s="19"/>
    </row>
    <row r="6" spans="2:32" x14ac:dyDescent="0.25">
      <c r="B6" s="21" t="s">
        <v>2</v>
      </c>
      <c r="C6" s="21"/>
      <c r="D6" s="23" t="s">
        <v>129</v>
      </c>
      <c r="E6" s="23"/>
      <c r="F6" s="23"/>
      <c r="H6" s="21" t="s">
        <v>46</v>
      </c>
      <c r="I6" s="21"/>
      <c r="J6" t="s">
        <v>80</v>
      </c>
      <c r="N6" s="21" t="s">
        <v>2</v>
      </c>
      <c r="O6" s="21"/>
      <c r="P6" s="23" t="s">
        <v>129</v>
      </c>
      <c r="Q6" s="23"/>
      <c r="R6" s="23"/>
      <c r="T6" s="21" t="s">
        <v>46</v>
      </c>
      <c r="U6" s="21"/>
      <c r="V6" t="s">
        <v>80</v>
      </c>
      <c r="Z6" s="19"/>
      <c r="AA6" s="19"/>
      <c r="AB6" s="19"/>
      <c r="AC6" s="19"/>
      <c r="AD6" s="19"/>
    </row>
    <row r="8" spans="2:32" x14ac:dyDescent="0.25">
      <c r="B8" s="1"/>
      <c r="C8" s="1" t="s">
        <v>4</v>
      </c>
      <c r="D8" s="1"/>
      <c r="E8" s="1"/>
      <c r="F8" s="1"/>
      <c r="H8" s="25" t="s">
        <v>20</v>
      </c>
      <c r="I8" s="25"/>
      <c r="J8" s="25"/>
      <c r="K8" s="25"/>
      <c r="L8" s="25"/>
      <c r="N8" s="1"/>
      <c r="O8" s="1" t="s">
        <v>4</v>
      </c>
      <c r="P8" s="1"/>
      <c r="Q8" s="1"/>
      <c r="R8" s="1"/>
      <c r="T8" s="25" t="s">
        <v>20</v>
      </c>
      <c r="U8" s="25"/>
      <c r="V8" s="25"/>
      <c r="W8" s="25"/>
      <c r="X8" s="25"/>
    </row>
    <row r="9" spans="2:32" x14ac:dyDescent="0.25">
      <c r="B9" s="6" t="s">
        <v>5</v>
      </c>
      <c r="C9" s="6" t="s">
        <v>6</v>
      </c>
      <c r="D9" s="6" t="s">
        <v>7</v>
      </c>
      <c r="E9" s="7" t="s">
        <v>8</v>
      </c>
      <c r="F9" s="6" t="s">
        <v>9</v>
      </c>
      <c r="H9" s="6" t="s">
        <v>5</v>
      </c>
      <c r="I9" s="7" t="s">
        <v>21</v>
      </c>
      <c r="J9" s="7" t="s">
        <v>22</v>
      </c>
      <c r="K9" s="7" t="s">
        <v>8</v>
      </c>
      <c r="L9" s="7" t="s">
        <v>9</v>
      </c>
      <c r="N9" s="6" t="s">
        <v>5</v>
      </c>
      <c r="O9" s="6" t="s">
        <v>6</v>
      </c>
      <c r="P9" s="6" t="s">
        <v>7</v>
      </c>
      <c r="Q9" s="7" t="s">
        <v>8</v>
      </c>
      <c r="R9" s="6" t="s">
        <v>9</v>
      </c>
      <c r="T9" s="6" t="s">
        <v>5</v>
      </c>
      <c r="U9" s="7" t="s">
        <v>21</v>
      </c>
      <c r="V9" s="7" t="s">
        <v>22</v>
      </c>
      <c r="W9" s="7" t="s">
        <v>8</v>
      </c>
      <c r="X9" s="7" t="s">
        <v>9</v>
      </c>
    </row>
    <row r="10" spans="2:32" x14ac:dyDescent="0.25">
      <c r="B10" t="s">
        <v>10</v>
      </c>
      <c r="C10">
        <v>324</v>
      </c>
      <c r="E10">
        <v>650</v>
      </c>
      <c r="F10" s="2">
        <f>C10*E10</f>
        <v>210600</v>
      </c>
      <c r="L10" s="2">
        <f t="shared" ref="L10:L32" si="0">-I10*K10+J10*K10</f>
        <v>0</v>
      </c>
      <c r="N10" t="s">
        <v>10</v>
      </c>
      <c r="O10">
        <v>216</v>
      </c>
      <c r="Q10">
        <v>650</v>
      </c>
      <c r="R10" s="2">
        <f>O10*Q10</f>
        <v>140400</v>
      </c>
      <c r="X10" s="2">
        <f t="shared" ref="X10:X31" si="1">-U10*W10+V10*W10</f>
        <v>0</v>
      </c>
    </row>
    <row r="11" spans="2:32" x14ac:dyDescent="0.25">
      <c r="B11" t="s">
        <v>11</v>
      </c>
      <c r="E11">
        <v>670</v>
      </c>
      <c r="F11" s="2">
        <f t="shared" ref="F11:F32" si="2">C11*E11</f>
        <v>0</v>
      </c>
      <c r="L11" s="2">
        <f t="shared" si="0"/>
        <v>0</v>
      </c>
      <c r="N11" t="s">
        <v>11</v>
      </c>
      <c r="Q11">
        <v>670</v>
      </c>
      <c r="R11" s="2">
        <f t="shared" ref="R11:R32" si="3">O11*Q11</f>
        <v>0</v>
      </c>
      <c r="X11" s="2">
        <f t="shared" si="1"/>
        <v>0</v>
      </c>
    </row>
    <row r="12" spans="2:32" x14ac:dyDescent="0.25">
      <c r="B12" t="s">
        <v>12</v>
      </c>
      <c r="F12" s="2">
        <f t="shared" si="2"/>
        <v>0</v>
      </c>
      <c r="L12" s="2">
        <f t="shared" si="0"/>
        <v>0</v>
      </c>
      <c r="N12" t="s">
        <v>12</v>
      </c>
      <c r="R12" s="2">
        <f t="shared" si="3"/>
        <v>0</v>
      </c>
      <c r="X12" s="2">
        <f t="shared" si="1"/>
        <v>0</v>
      </c>
    </row>
    <row r="13" spans="2:32" x14ac:dyDescent="0.25">
      <c r="B13" t="s">
        <v>13</v>
      </c>
      <c r="C13">
        <v>80</v>
      </c>
      <c r="E13">
        <v>622</v>
      </c>
      <c r="F13" s="2">
        <f t="shared" si="2"/>
        <v>49760</v>
      </c>
      <c r="L13" s="2">
        <f t="shared" si="0"/>
        <v>0</v>
      </c>
      <c r="N13" t="s">
        <v>13</v>
      </c>
      <c r="Q13">
        <v>622</v>
      </c>
      <c r="R13" s="2">
        <f t="shared" si="3"/>
        <v>0</v>
      </c>
      <c r="X13" s="2">
        <f t="shared" si="1"/>
        <v>0</v>
      </c>
    </row>
    <row r="14" spans="2:32" x14ac:dyDescent="0.25">
      <c r="B14" t="s">
        <v>14</v>
      </c>
      <c r="F14" s="2">
        <f t="shared" si="2"/>
        <v>0</v>
      </c>
      <c r="L14" s="2">
        <f t="shared" si="0"/>
        <v>0</v>
      </c>
      <c r="N14" t="s">
        <v>14</v>
      </c>
      <c r="R14" s="2">
        <f t="shared" si="3"/>
        <v>0</v>
      </c>
      <c r="X14" s="2">
        <f t="shared" si="1"/>
        <v>0</v>
      </c>
    </row>
    <row r="15" spans="2:32" x14ac:dyDescent="0.25">
      <c r="B15" t="s">
        <v>15</v>
      </c>
      <c r="F15" s="2">
        <f t="shared" si="2"/>
        <v>0</v>
      </c>
      <c r="L15" s="2">
        <f t="shared" si="0"/>
        <v>0</v>
      </c>
      <c r="N15" t="s">
        <v>15</v>
      </c>
      <c r="R15" s="2">
        <f t="shared" si="3"/>
        <v>0</v>
      </c>
      <c r="X15" s="2">
        <f t="shared" si="1"/>
        <v>0</v>
      </c>
    </row>
    <row r="16" spans="2:32" x14ac:dyDescent="0.25">
      <c r="B16" t="s">
        <v>16</v>
      </c>
      <c r="F16" s="2">
        <f t="shared" si="2"/>
        <v>0</v>
      </c>
      <c r="L16" s="2">
        <f t="shared" si="0"/>
        <v>0</v>
      </c>
      <c r="N16" t="s">
        <v>16</v>
      </c>
      <c r="R16" s="2">
        <f t="shared" si="3"/>
        <v>0</v>
      </c>
      <c r="X16" s="2">
        <f t="shared" si="1"/>
        <v>0</v>
      </c>
    </row>
    <row r="17" spans="2:24" x14ac:dyDescent="0.25">
      <c r="B17" t="s">
        <v>17</v>
      </c>
      <c r="C17">
        <v>17</v>
      </c>
      <c r="E17">
        <v>229</v>
      </c>
      <c r="F17" s="2">
        <f t="shared" si="2"/>
        <v>3893</v>
      </c>
      <c r="L17" s="2">
        <f t="shared" si="0"/>
        <v>0</v>
      </c>
      <c r="N17" t="s">
        <v>17</v>
      </c>
      <c r="O17">
        <v>9</v>
      </c>
      <c r="Q17">
        <v>229</v>
      </c>
      <c r="R17" s="2">
        <f t="shared" si="3"/>
        <v>2061</v>
      </c>
      <c r="X17" s="2">
        <f t="shared" si="1"/>
        <v>0</v>
      </c>
    </row>
    <row r="18" spans="2:24" x14ac:dyDescent="0.25">
      <c r="B18" t="s">
        <v>18</v>
      </c>
      <c r="C18">
        <v>3</v>
      </c>
      <c r="E18">
        <v>500</v>
      </c>
      <c r="F18" s="2">
        <f t="shared" si="2"/>
        <v>1500</v>
      </c>
      <c r="L18" s="2">
        <f t="shared" si="0"/>
        <v>0</v>
      </c>
      <c r="N18" t="s">
        <v>18</v>
      </c>
      <c r="Q18">
        <v>500</v>
      </c>
      <c r="R18" s="2">
        <f t="shared" si="3"/>
        <v>0</v>
      </c>
      <c r="X18" s="2">
        <f t="shared" si="1"/>
        <v>0</v>
      </c>
    </row>
    <row r="19" spans="2:24" x14ac:dyDescent="0.25">
      <c r="B19" t="s">
        <v>26</v>
      </c>
      <c r="E19">
        <v>650</v>
      </c>
      <c r="F19" s="2">
        <f t="shared" si="2"/>
        <v>0</v>
      </c>
      <c r="L19" s="2">
        <f t="shared" si="0"/>
        <v>0</v>
      </c>
      <c r="N19" t="s">
        <v>26</v>
      </c>
      <c r="Q19">
        <v>650</v>
      </c>
      <c r="R19" s="2">
        <f t="shared" si="3"/>
        <v>0</v>
      </c>
      <c r="X19" s="2">
        <f t="shared" si="1"/>
        <v>0</v>
      </c>
    </row>
    <row r="20" spans="2:24" x14ac:dyDescent="0.25">
      <c r="B20" t="s">
        <v>40</v>
      </c>
      <c r="E20">
        <v>700</v>
      </c>
      <c r="F20" s="2">
        <f t="shared" si="2"/>
        <v>0</v>
      </c>
      <c r="L20" s="2">
        <f t="shared" si="0"/>
        <v>0</v>
      </c>
      <c r="N20" t="s">
        <v>40</v>
      </c>
      <c r="Q20">
        <v>700</v>
      </c>
      <c r="R20" s="2">
        <f t="shared" si="3"/>
        <v>0</v>
      </c>
      <c r="X20" s="2">
        <f t="shared" si="1"/>
        <v>0</v>
      </c>
    </row>
    <row r="21" spans="2:24" x14ac:dyDescent="0.25">
      <c r="F21" s="2">
        <f t="shared" si="2"/>
        <v>0</v>
      </c>
      <c r="L21" s="2">
        <f t="shared" si="0"/>
        <v>0</v>
      </c>
      <c r="R21" s="2">
        <f t="shared" si="3"/>
        <v>0</v>
      </c>
      <c r="X21" s="2">
        <f t="shared" si="1"/>
        <v>0</v>
      </c>
    </row>
    <row r="22" spans="2:24" x14ac:dyDescent="0.25">
      <c r="F22" s="2">
        <f t="shared" si="2"/>
        <v>0</v>
      </c>
      <c r="L22" s="2">
        <f t="shared" si="0"/>
        <v>0</v>
      </c>
      <c r="R22" s="2">
        <f t="shared" si="3"/>
        <v>0</v>
      </c>
      <c r="X22" s="2">
        <f t="shared" si="1"/>
        <v>0</v>
      </c>
    </row>
    <row r="23" spans="2:24" x14ac:dyDescent="0.25">
      <c r="F23" s="2">
        <f t="shared" si="2"/>
        <v>0</v>
      </c>
      <c r="L23" s="2">
        <f t="shared" si="0"/>
        <v>0</v>
      </c>
      <c r="R23" s="2">
        <f t="shared" si="3"/>
        <v>0</v>
      </c>
      <c r="X23" s="2">
        <f t="shared" si="1"/>
        <v>0</v>
      </c>
    </row>
    <row r="24" spans="2:24" x14ac:dyDescent="0.25">
      <c r="F24" s="2">
        <f t="shared" si="2"/>
        <v>0</v>
      </c>
      <c r="L24" s="2">
        <f t="shared" si="0"/>
        <v>0</v>
      </c>
      <c r="R24" s="2">
        <f t="shared" si="3"/>
        <v>0</v>
      </c>
      <c r="X24" s="2">
        <f t="shared" si="1"/>
        <v>0</v>
      </c>
    </row>
    <row r="25" spans="2:24" x14ac:dyDescent="0.25">
      <c r="F25" s="2">
        <f t="shared" si="2"/>
        <v>0</v>
      </c>
      <c r="L25" s="2">
        <f t="shared" si="0"/>
        <v>0</v>
      </c>
      <c r="R25" s="2">
        <f t="shared" si="3"/>
        <v>0</v>
      </c>
      <c r="X25" s="2">
        <f t="shared" si="1"/>
        <v>0</v>
      </c>
    </row>
    <row r="26" spans="2:24" x14ac:dyDescent="0.25">
      <c r="F26" s="2">
        <f t="shared" si="2"/>
        <v>0</v>
      </c>
      <c r="L26" s="2">
        <f t="shared" si="0"/>
        <v>0</v>
      </c>
      <c r="R26" s="2">
        <f t="shared" si="3"/>
        <v>0</v>
      </c>
      <c r="X26" s="2">
        <f t="shared" si="1"/>
        <v>0</v>
      </c>
    </row>
    <row r="27" spans="2:24" x14ac:dyDescent="0.25">
      <c r="F27" s="2">
        <f t="shared" si="2"/>
        <v>0</v>
      </c>
      <c r="L27" s="2">
        <f t="shared" si="0"/>
        <v>0</v>
      </c>
      <c r="R27" s="2">
        <f t="shared" si="3"/>
        <v>0</v>
      </c>
      <c r="X27" s="2">
        <f t="shared" si="1"/>
        <v>0</v>
      </c>
    </row>
    <row r="28" spans="2:24" x14ac:dyDescent="0.25">
      <c r="F28" s="2">
        <f t="shared" si="2"/>
        <v>0</v>
      </c>
      <c r="L28" s="2">
        <f t="shared" si="0"/>
        <v>0</v>
      </c>
      <c r="R28" s="2">
        <f t="shared" si="3"/>
        <v>0</v>
      </c>
      <c r="X28" s="2">
        <f t="shared" si="1"/>
        <v>0</v>
      </c>
    </row>
    <row r="29" spans="2:24" x14ac:dyDescent="0.25">
      <c r="F29" s="2">
        <f t="shared" si="2"/>
        <v>0</v>
      </c>
      <c r="L29" s="2">
        <f t="shared" si="0"/>
        <v>0</v>
      </c>
      <c r="R29" s="2">
        <f t="shared" si="3"/>
        <v>0</v>
      </c>
      <c r="X29" s="2">
        <f t="shared" si="1"/>
        <v>0</v>
      </c>
    </row>
    <row r="30" spans="2:24" x14ac:dyDescent="0.25">
      <c r="F30" s="2">
        <f t="shared" si="2"/>
        <v>0</v>
      </c>
      <c r="L30" s="2">
        <f t="shared" si="0"/>
        <v>0</v>
      </c>
      <c r="R30" s="2">
        <f t="shared" si="3"/>
        <v>0</v>
      </c>
      <c r="X30" s="2">
        <f t="shared" si="1"/>
        <v>0</v>
      </c>
    </row>
    <row r="31" spans="2:24" x14ac:dyDescent="0.25">
      <c r="F31" s="2">
        <f t="shared" si="2"/>
        <v>0</v>
      </c>
      <c r="L31" s="2">
        <f t="shared" si="0"/>
        <v>0</v>
      </c>
      <c r="R31" s="2">
        <f t="shared" si="3"/>
        <v>0</v>
      </c>
      <c r="X31" s="2">
        <f t="shared" si="1"/>
        <v>0</v>
      </c>
    </row>
    <row r="32" spans="2:24" x14ac:dyDescent="0.25">
      <c r="F32" s="2">
        <f t="shared" si="2"/>
        <v>0</v>
      </c>
      <c r="H32" s="26" t="s">
        <v>23</v>
      </c>
      <c r="I32" s="26"/>
      <c r="J32" s="26"/>
      <c r="K32" s="26"/>
      <c r="L32" s="2">
        <f t="shared" si="0"/>
        <v>0</v>
      </c>
      <c r="R32" s="2">
        <f t="shared" si="3"/>
        <v>0</v>
      </c>
      <c r="T32" s="26" t="s">
        <v>23</v>
      </c>
      <c r="U32" s="26"/>
      <c r="V32" s="26"/>
      <c r="W32" s="26"/>
      <c r="X32" s="9">
        <f>SUM(X10:X31)</f>
        <v>0</v>
      </c>
    </row>
    <row r="33" spans="2:24" x14ac:dyDescent="0.25">
      <c r="B33" s="27" t="s">
        <v>28</v>
      </c>
      <c r="C33" s="27"/>
      <c r="D33" s="8">
        <v>404</v>
      </c>
      <c r="E33" s="8">
        <v>6</v>
      </c>
      <c r="F33" s="5">
        <f>-D33*E33</f>
        <v>-2424</v>
      </c>
      <c r="H33" s="26" t="s">
        <v>24</v>
      </c>
      <c r="I33" s="26"/>
      <c r="J33" s="26"/>
      <c r="K33" s="26"/>
      <c r="L33" s="4">
        <f>SUM(F34)</f>
        <v>263329</v>
      </c>
      <c r="N33" s="27" t="s">
        <v>28</v>
      </c>
      <c r="O33" s="27"/>
      <c r="P33" s="8">
        <v>216</v>
      </c>
      <c r="Q33" s="8">
        <v>6</v>
      </c>
      <c r="R33" s="5">
        <f>-P33*Q33</f>
        <v>-1296</v>
      </c>
      <c r="T33" s="26" t="s">
        <v>24</v>
      </c>
      <c r="U33" s="26"/>
      <c r="V33" s="26"/>
      <c r="W33" s="26"/>
      <c r="X33" s="4">
        <f>SUM(R34)</f>
        <v>141165</v>
      </c>
    </row>
    <row r="34" spans="2:24" x14ac:dyDescent="0.25">
      <c r="B34" s="28" t="s">
        <v>19</v>
      </c>
      <c r="C34" s="28"/>
      <c r="D34" s="28"/>
      <c r="E34" s="28"/>
      <c r="F34" s="13">
        <f>SUM(F10:F33)</f>
        <v>263329</v>
      </c>
      <c r="H34" s="26" t="s">
        <v>25</v>
      </c>
      <c r="I34" s="26"/>
      <c r="J34" s="26"/>
      <c r="K34" s="26"/>
      <c r="L34" s="14">
        <f>SUM(L33+L32)</f>
        <v>263329</v>
      </c>
      <c r="N34" s="28" t="s">
        <v>19</v>
      </c>
      <c r="O34" s="28"/>
      <c r="P34" s="28"/>
      <c r="Q34" s="28"/>
      <c r="R34" s="13">
        <f>SUM(R10:R33)</f>
        <v>141165</v>
      </c>
      <c r="T34" s="26" t="s">
        <v>25</v>
      </c>
      <c r="U34" s="26"/>
      <c r="V34" s="26"/>
      <c r="W34" s="26"/>
      <c r="X34" s="14">
        <f>SUM(X33+X32)</f>
        <v>141165</v>
      </c>
    </row>
    <row r="35" spans="2:24" ht="18.75" x14ac:dyDescent="0.3">
      <c r="B35" s="11" t="s">
        <v>29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N35" s="11" t="s">
        <v>29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7" spans="2:24" x14ac:dyDescent="0.25">
      <c r="B37" s="21" t="s">
        <v>0</v>
      </c>
      <c r="C37" s="21"/>
      <c r="D37" s="22" t="s">
        <v>132</v>
      </c>
      <c r="E37" s="22"/>
      <c r="F37" s="22"/>
      <c r="H37" s="21" t="s">
        <v>43</v>
      </c>
      <c r="I37" s="21"/>
      <c r="J37">
        <v>3</v>
      </c>
      <c r="N37" s="21" t="s">
        <v>0</v>
      </c>
      <c r="O37" s="21"/>
      <c r="P37" s="22" t="s">
        <v>89</v>
      </c>
      <c r="Q37" s="22"/>
      <c r="R37" s="22"/>
      <c r="T37" s="21" t="s">
        <v>43</v>
      </c>
      <c r="U37" s="21"/>
      <c r="V37">
        <v>3</v>
      </c>
    </row>
    <row r="38" spans="2:24" x14ac:dyDescent="0.25">
      <c r="B38" s="21" t="s">
        <v>1</v>
      </c>
      <c r="C38" s="21"/>
      <c r="D38" s="23" t="s">
        <v>133</v>
      </c>
      <c r="E38" s="23"/>
      <c r="F38" s="23"/>
      <c r="H38" s="21" t="s">
        <v>44</v>
      </c>
      <c r="I38" s="21"/>
      <c r="J38" t="s">
        <v>78</v>
      </c>
      <c r="N38" s="21" t="s">
        <v>1</v>
      </c>
      <c r="O38" s="21"/>
      <c r="P38" s="23" t="s">
        <v>90</v>
      </c>
      <c r="Q38" s="23"/>
      <c r="R38" s="23"/>
      <c r="T38" s="21" t="s">
        <v>44</v>
      </c>
      <c r="U38" s="21"/>
      <c r="V38" t="s">
        <v>78</v>
      </c>
    </row>
    <row r="39" spans="2:24" x14ac:dyDescent="0.25">
      <c r="B39" s="21" t="s">
        <v>3</v>
      </c>
      <c r="C39" s="21"/>
      <c r="D39" s="23" t="s">
        <v>107</v>
      </c>
      <c r="E39" s="23"/>
      <c r="F39" s="23"/>
      <c r="H39" s="21" t="s">
        <v>45</v>
      </c>
      <c r="I39" s="21"/>
      <c r="J39" t="s">
        <v>79</v>
      </c>
      <c r="N39" s="21" t="s">
        <v>3</v>
      </c>
      <c r="O39" s="21"/>
      <c r="P39" s="23" t="s">
        <v>32</v>
      </c>
      <c r="Q39" s="23"/>
      <c r="R39" s="23"/>
      <c r="T39" s="21" t="s">
        <v>45</v>
      </c>
      <c r="U39" s="21"/>
      <c r="V39" t="s">
        <v>79</v>
      </c>
    </row>
    <row r="40" spans="2:24" x14ac:dyDescent="0.25">
      <c r="B40" s="21" t="s">
        <v>2</v>
      </c>
      <c r="C40" s="21"/>
      <c r="D40" s="23" t="s">
        <v>129</v>
      </c>
      <c r="E40" s="23"/>
      <c r="F40" s="23"/>
      <c r="H40" s="21" t="s">
        <v>46</v>
      </c>
      <c r="I40" s="21"/>
      <c r="J40" t="s">
        <v>80</v>
      </c>
      <c r="N40" s="21" t="s">
        <v>2</v>
      </c>
      <c r="O40" s="21"/>
      <c r="P40" s="23" t="s">
        <v>83</v>
      </c>
      <c r="Q40" s="23"/>
      <c r="R40" s="23"/>
      <c r="T40" s="21" t="s">
        <v>46</v>
      </c>
      <c r="U40" s="21"/>
      <c r="V40" t="s">
        <v>80</v>
      </c>
    </row>
    <row r="42" spans="2:24" x14ac:dyDescent="0.25">
      <c r="B42" s="1"/>
      <c r="C42" s="1" t="s">
        <v>4</v>
      </c>
      <c r="D42" s="1"/>
      <c r="E42" s="1"/>
      <c r="F42" s="1"/>
      <c r="H42" s="25" t="s">
        <v>20</v>
      </c>
      <c r="I42" s="25"/>
      <c r="J42" s="25"/>
      <c r="K42" s="25"/>
      <c r="L42" s="25"/>
      <c r="N42" s="33"/>
      <c r="O42" s="33"/>
      <c r="P42" s="33"/>
      <c r="Q42" s="33"/>
      <c r="R42" s="33"/>
      <c r="S42" s="19"/>
      <c r="T42" s="34"/>
      <c r="U42" s="34"/>
      <c r="V42" s="34"/>
      <c r="W42" s="34"/>
      <c r="X42" s="34"/>
    </row>
    <row r="43" spans="2:24" x14ac:dyDescent="0.25">
      <c r="B43" s="6" t="s">
        <v>5</v>
      </c>
      <c r="C43" s="6" t="s">
        <v>6</v>
      </c>
      <c r="D43" s="6" t="s">
        <v>7</v>
      </c>
      <c r="E43" s="7" t="s">
        <v>8</v>
      </c>
      <c r="F43" s="6" t="s">
        <v>9</v>
      </c>
      <c r="H43" s="6" t="s">
        <v>5</v>
      </c>
      <c r="I43" s="7" t="s">
        <v>21</v>
      </c>
      <c r="J43" s="7" t="s">
        <v>22</v>
      </c>
      <c r="K43" s="7" t="s">
        <v>8</v>
      </c>
      <c r="L43" s="7" t="s">
        <v>9</v>
      </c>
      <c r="N43" s="35"/>
      <c r="O43" s="35"/>
      <c r="P43" s="35"/>
      <c r="Q43" s="36"/>
      <c r="R43" s="35"/>
      <c r="S43" s="19"/>
      <c r="T43" s="35"/>
      <c r="U43" s="36"/>
      <c r="V43" s="36"/>
      <c r="W43" s="36"/>
      <c r="X43" s="36"/>
    </row>
    <row r="44" spans="2:24" x14ac:dyDescent="0.25">
      <c r="B44" t="s">
        <v>10</v>
      </c>
      <c r="C44">
        <v>47</v>
      </c>
      <c r="E44">
        <v>650</v>
      </c>
      <c r="F44" s="2">
        <f>C44*E44</f>
        <v>30550</v>
      </c>
      <c r="H44" t="s">
        <v>87</v>
      </c>
      <c r="I44">
        <v>20</v>
      </c>
      <c r="K44">
        <v>111</v>
      </c>
      <c r="L44" s="2">
        <f t="shared" ref="L44:L46" si="4">-I44*K44+J44*K44</f>
        <v>-2220</v>
      </c>
      <c r="N44" s="19"/>
      <c r="O44" s="19"/>
      <c r="P44" s="19"/>
      <c r="Q44" s="19"/>
      <c r="R44" s="37"/>
      <c r="S44" s="19"/>
      <c r="T44" s="19"/>
      <c r="U44" s="19"/>
      <c r="V44" s="19"/>
      <c r="W44" s="19"/>
      <c r="X44" s="37"/>
    </row>
    <row r="45" spans="2:24" x14ac:dyDescent="0.25">
      <c r="B45" t="s">
        <v>11</v>
      </c>
      <c r="C45">
        <v>2</v>
      </c>
      <c r="E45">
        <v>670</v>
      </c>
      <c r="F45" s="2">
        <f t="shared" ref="F45:F66" si="5">C45*E45</f>
        <v>1340</v>
      </c>
      <c r="L45" s="2">
        <f t="shared" si="4"/>
        <v>0</v>
      </c>
      <c r="N45" s="19"/>
      <c r="O45" s="19"/>
      <c r="P45" s="19"/>
      <c r="Q45" s="19"/>
      <c r="R45" s="37"/>
      <c r="S45" s="19"/>
      <c r="T45" s="19"/>
      <c r="U45" s="19"/>
      <c r="V45" s="19"/>
      <c r="W45" s="19"/>
      <c r="X45" s="37"/>
    </row>
    <row r="46" spans="2:24" x14ac:dyDescent="0.25">
      <c r="B46" t="s">
        <v>12</v>
      </c>
      <c r="E46">
        <v>973</v>
      </c>
      <c r="F46" s="2">
        <f t="shared" si="5"/>
        <v>0</v>
      </c>
      <c r="L46" s="2">
        <f t="shared" si="4"/>
        <v>0</v>
      </c>
      <c r="N46" s="19"/>
      <c r="O46" s="19"/>
      <c r="P46" s="19"/>
      <c r="Q46" s="19"/>
      <c r="R46" s="37"/>
      <c r="S46" s="19"/>
      <c r="T46" s="19"/>
      <c r="U46" s="19"/>
      <c r="V46" s="19"/>
      <c r="W46" s="19"/>
      <c r="X46" s="37"/>
    </row>
    <row r="47" spans="2:24" x14ac:dyDescent="0.25">
      <c r="B47" t="s">
        <v>13</v>
      </c>
      <c r="C47">
        <v>1</v>
      </c>
      <c r="E47">
        <v>622</v>
      </c>
      <c r="F47" s="2">
        <f t="shared" si="5"/>
        <v>622</v>
      </c>
      <c r="K47">
        <v>1.5</v>
      </c>
      <c r="L47" s="2">
        <f>-I47*K47+J47*K47</f>
        <v>0</v>
      </c>
      <c r="N47" s="19"/>
      <c r="O47" s="19"/>
      <c r="P47" s="19"/>
      <c r="Q47" s="19"/>
      <c r="R47" s="37"/>
      <c r="S47" s="19"/>
      <c r="T47" s="19"/>
      <c r="U47" s="19"/>
      <c r="V47" s="19"/>
      <c r="W47" s="19"/>
      <c r="X47" s="37"/>
    </row>
    <row r="48" spans="2:24" x14ac:dyDescent="0.25">
      <c r="B48" t="s">
        <v>14</v>
      </c>
      <c r="E48">
        <v>912</v>
      </c>
      <c r="F48" s="2">
        <f t="shared" si="5"/>
        <v>0</v>
      </c>
      <c r="L48" s="2">
        <f t="shared" ref="L48:L65" si="6">-I48*K48+J48*K48</f>
        <v>0</v>
      </c>
      <c r="N48" s="19"/>
      <c r="O48" s="19"/>
      <c r="P48" s="19"/>
      <c r="Q48" s="19"/>
      <c r="R48" s="37"/>
      <c r="S48" s="19"/>
      <c r="T48" s="19"/>
      <c r="U48" s="19"/>
      <c r="V48" s="19"/>
      <c r="W48" s="19"/>
      <c r="X48" s="37"/>
    </row>
    <row r="49" spans="2:24" x14ac:dyDescent="0.25">
      <c r="B49" t="s">
        <v>15</v>
      </c>
      <c r="F49" s="2">
        <f t="shared" si="5"/>
        <v>0</v>
      </c>
      <c r="L49" s="2">
        <f t="shared" si="6"/>
        <v>0</v>
      </c>
      <c r="N49" s="19"/>
      <c r="O49" s="19"/>
      <c r="P49" s="19"/>
      <c r="Q49" s="19"/>
      <c r="R49" s="37"/>
      <c r="S49" s="19"/>
      <c r="T49" s="19"/>
      <c r="U49" s="19"/>
      <c r="V49" s="19"/>
      <c r="W49" s="19"/>
      <c r="X49" s="37"/>
    </row>
    <row r="50" spans="2:24" x14ac:dyDescent="0.25">
      <c r="B50" t="s">
        <v>16</v>
      </c>
      <c r="E50">
        <v>872</v>
      </c>
      <c r="F50" s="2">
        <f t="shared" si="5"/>
        <v>0</v>
      </c>
      <c r="L50" s="2">
        <f t="shared" si="6"/>
        <v>0</v>
      </c>
      <c r="N50" s="19"/>
      <c r="O50" s="19"/>
      <c r="P50" s="19"/>
      <c r="Q50" s="19"/>
      <c r="R50" s="37"/>
      <c r="S50" s="19"/>
      <c r="T50" s="19"/>
      <c r="U50" s="19"/>
      <c r="V50" s="19"/>
      <c r="W50" s="19"/>
      <c r="X50" s="37"/>
    </row>
    <row r="51" spans="2:24" x14ac:dyDescent="0.25">
      <c r="B51" t="s">
        <v>17</v>
      </c>
      <c r="C51">
        <v>44</v>
      </c>
      <c r="E51">
        <v>9.5</v>
      </c>
      <c r="F51" s="2">
        <f t="shared" si="5"/>
        <v>418</v>
      </c>
      <c r="L51" s="2">
        <f t="shared" si="6"/>
        <v>0</v>
      </c>
      <c r="N51" s="19"/>
      <c r="O51" s="19"/>
      <c r="P51" s="19"/>
      <c r="Q51" s="19"/>
      <c r="R51" s="37"/>
      <c r="S51" s="19"/>
      <c r="T51" s="19"/>
      <c r="U51" s="19"/>
      <c r="V51" s="19"/>
      <c r="W51" s="19"/>
      <c r="X51" s="37"/>
    </row>
    <row r="52" spans="2:24" x14ac:dyDescent="0.25">
      <c r="B52" t="s">
        <v>18</v>
      </c>
      <c r="E52">
        <v>500</v>
      </c>
      <c r="F52" s="2">
        <f t="shared" si="5"/>
        <v>0</v>
      </c>
      <c r="L52" s="2">
        <f t="shared" si="6"/>
        <v>0</v>
      </c>
      <c r="N52" s="19"/>
      <c r="O52" s="19"/>
      <c r="P52" s="19"/>
      <c r="Q52" s="19"/>
      <c r="R52" s="37"/>
      <c r="S52" s="19"/>
      <c r="T52" s="19"/>
      <c r="U52" s="19"/>
      <c r="V52" s="19"/>
      <c r="W52" s="19"/>
      <c r="X52" s="37"/>
    </row>
    <row r="53" spans="2:24" x14ac:dyDescent="0.25">
      <c r="B53" t="s">
        <v>26</v>
      </c>
      <c r="E53">
        <v>650</v>
      </c>
      <c r="F53" s="2">
        <f t="shared" si="5"/>
        <v>0</v>
      </c>
      <c r="L53" s="2">
        <f t="shared" si="6"/>
        <v>0</v>
      </c>
      <c r="N53" s="19"/>
      <c r="O53" s="19"/>
      <c r="P53" s="19"/>
      <c r="Q53" s="19"/>
      <c r="R53" s="37"/>
      <c r="S53" s="19"/>
      <c r="T53" s="19"/>
      <c r="U53" s="19"/>
      <c r="V53" s="19"/>
      <c r="W53" s="19"/>
      <c r="X53" s="37"/>
    </row>
    <row r="54" spans="2:24" x14ac:dyDescent="0.25">
      <c r="B54" s="12" t="s">
        <v>41</v>
      </c>
      <c r="E54">
        <v>1175</v>
      </c>
      <c r="F54" s="2">
        <f t="shared" si="5"/>
        <v>0</v>
      </c>
      <c r="L54" s="2">
        <f t="shared" si="6"/>
        <v>0</v>
      </c>
      <c r="N54" s="19"/>
      <c r="O54" s="19"/>
      <c r="P54" s="19"/>
      <c r="Q54" s="19"/>
      <c r="R54" s="37"/>
      <c r="S54" s="19"/>
      <c r="T54" s="19"/>
      <c r="U54" s="19"/>
      <c r="V54" s="19"/>
      <c r="W54" s="19"/>
      <c r="X54" s="37"/>
    </row>
    <row r="55" spans="2:24" x14ac:dyDescent="0.25">
      <c r="B55" t="s">
        <v>40</v>
      </c>
      <c r="E55">
        <v>700</v>
      </c>
      <c r="F55" s="2">
        <f t="shared" si="5"/>
        <v>0</v>
      </c>
      <c r="L55" s="2">
        <f t="shared" si="6"/>
        <v>0</v>
      </c>
      <c r="N55" s="19"/>
      <c r="O55" s="19"/>
      <c r="P55" s="19"/>
      <c r="Q55" s="19"/>
      <c r="R55" s="37"/>
      <c r="S55" s="19"/>
      <c r="T55" s="19"/>
      <c r="U55" s="19"/>
      <c r="V55" s="19"/>
      <c r="W55" s="19"/>
      <c r="X55" s="37"/>
    </row>
    <row r="56" spans="2:24" x14ac:dyDescent="0.25">
      <c r="F56" s="2">
        <f t="shared" si="5"/>
        <v>0</v>
      </c>
      <c r="L56" s="2">
        <f t="shared" si="6"/>
        <v>0</v>
      </c>
      <c r="N56" s="19"/>
      <c r="O56" s="19"/>
      <c r="P56" s="19"/>
      <c r="Q56" s="19"/>
      <c r="R56" s="37"/>
      <c r="S56" s="19"/>
      <c r="T56" s="19"/>
      <c r="U56" s="19"/>
      <c r="V56" s="19"/>
      <c r="W56" s="19"/>
      <c r="X56" s="37"/>
    </row>
    <row r="57" spans="2:24" x14ac:dyDescent="0.25">
      <c r="F57" s="2">
        <f t="shared" si="5"/>
        <v>0</v>
      </c>
      <c r="L57" s="2">
        <f t="shared" si="6"/>
        <v>0</v>
      </c>
      <c r="N57" s="19"/>
      <c r="O57" s="19"/>
      <c r="P57" s="19"/>
      <c r="Q57" s="19"/>
      <c r="R57" s="37"/>
      <c r="S57" s="19"/>
      <c r="T57" s="19"/>
      <c r="U57" s="19"/>
      <c r="V57" s="19"/>
      <c r="W57" s="19"/>
      <c r="X57" s="37"/>
    </row>
    <row r="58" spans="2:24" x14ac:dyDescent="0.25">
      <c r="F58" s="2">
        <f t="shared" si="5"/>
        <v>0</v>
      </c>
      <c r="L58" s="2">
        <f t="shared" si="6"/>
        <v>0</v>
      </c>
      <c r="N58" s="19"/>
      <c r="O58" s="19"/>
      <c r="P58" s="19"/>
      <c r="Q58" s="19"/>
      <c r="R58" s="37"/>
      <c r="S58" s="19"/>
      <c r="T58" s="19"/>
      <c r="U58" s="19"/>
      <c r="V58" s="19"/>
      <c r="W58" s="19"/>
      <c r="X58" s="37"/>
    </row>
    <row r="59" spans="2:24" x14ac:dyDescent="0.25">
      <c r="F59" s="2">
        <f t="shared" si="5"/>
        <v>0</v>
      </c>
      <c r="L59" s="2">
        <f t="shared" si="6"/>
        <v>0</v>
      </c>
      <c r="N59" s="19"/>
      <c r="O59" s="19"/>
      <c r="P59" s="19"/>
      <c r="Q59" s="19"/>
      <c r="R59" s="37"/>
      <c r="S59" s="19"/>
      <c r="T59" s="19"/>
      <c r="U59" s="19"/>
      <c r="V59" s="19"/>
      <c r="W59" s="19"/>
      <c r="X59" s="37"/>
    </row>
    <row r="60" spans="2:24" x14ac:dyDescent="0.25">
      <c r="F60" s="2">
        <f t="shared" si="5"/>
        <v>0</v>
      </c>
      <c r="L60" s="2">
        <f t="shared" si="6"/>
        <v>0</v>
      </c>
      <c r="N60" s="19"/>
      <c r="O60" s="19"/>
      <c r="P60" s="19"/>
      <c r="Q60" s="19"/>
      <c r="R60" s="37"/>
      <c r="S60" s="19"/>
      <c r="T60" s="19"/>
      <c r="U60" s="19"/>
      <c r="V60" s="19"/>
      <c r="W60" s="19"/>
      <c r="X60" s="37"/>
    </row>
    <row r="61" spans="2:24" x14ac:dyDescent="0.25">
      <c r="F61" s="2">
        <f t="shared" si="5"/>
        <v>0</v>
      </c>
      <c r="L61" s="2">
        <f t="shared" si="6"/>
        <v>0</v>
      </c>
      <c r="N61" s="19"/>
      <c r="O61" s="19"/>
      <c r="P61" s="19"/>
      <c r="Q61" s="19"/>
      <c r="R61" s="37"/>
      <c r="S61" s="19"/>
      <c r="T61" s="19"/>
      <c r="U61" s="19"/>
      <c r="V61" s="19"/>
      <c r="W61" s="19"/>
      <c r="X61" s="37"/>
    </row>
    <row r="62" spans="2:24" x14ac:dyDescent="0.25">
      <c r="F62" s="2">
        <f t="shared" si="5"/>
        <v>0</v>
      </c>
      <c r="L62" s="2">
        <f t="shared" si="6"/>
        <v>0</v>
      </c>
      <c r="N62" s="19"/>
      <c r="O62" s="19"/>
      <c r="P62" s="19"/>
      <c r="Q62" s="19"/>
      <c r="R62" s="37"/>
      <c r="S62" s="19"/>
      <c r="T62" s="19"/>
      <c r="U62" s="19"/>
      <c r="V62" s="19"/>
      <c r="W62" s="19"/>
      <c r="X62" s="37"/>
    </row>
    <row r="63" spans="2:24" x14ac:dyDescent="0.25">
      <c r="F63" s="2">
        <f t="shared" si="5"/>
        <v>0</v>
      </c>
      <c r="L63" s="2">
        <f t="shared" si="6"/>
        <v>0</v>
      </c>
      <c r="N63" s="19"/>
      <c r="O63" s="19"/>
      <c r="P63" s="19"/>
      <c r="Q63" s="19"/>
      <c r="R63" s="37"/>
      <c r="S63" s="19"/>
      <c r="T63" s="19"/>
      <c r="U63" s="19"/>
      <c r="V63" s="19"/>
      <c r="W63" s="19"/>
      <c r="X63" s="37"/>
    </row>
    <row r="64" spans="2:24" x14ac:dyDescent="0.25">
      <c r="F64" s="2">
        <f t="shared" si="5"/>
        <v>0</v>
      </c>
      <c r="L64" s="2">
        <f t="shared" si="6"/>
        <v>0</v>
      </c>
      <c r="N64" s="19"/>
      <c r="O64" s="19"/>
      <c r="P64" s="19"/>
      <c r="Q64" s="19"/>
      <c r="R64" s="37"/>
      <c r="S64" s="19"/>
      <c r="T64" s="19"/>
      <c r="U64" s="19"/>
      <c r="V64" s="19"/>
      <c r="W64" s="19"/>
      <c r="X64" s="37"/>
    </row>
    <row r="65" spans="2:24" x14ac:dyDescent="0.25">
      <c r="F65" s="2">
        <f t="shared" si="5"/>
        <v>0</v>
      </c>
      <c r="L65" s="2">
        <f t="shared" si="6"/>
        <v>0</v>
      </c>
      <c r="N65" s="19"/>
      <c r="O65" s="19"/>
      <c r="P65" s="19"/>
      <c r="Q65" s="19"/>
      <c r="R65" s="37"/>
      <c r="S65" s="19"/>
      <c r="T65" s="19"/>
      <c r="U65" s="19"/>
      <c r="V65" s="19"/>
      <c r="W65" s="19"/>
      <c r="X65" s="37"/>
    </row>
    <row r="66" spans="2:24" x14ac:dyDescent="0.25">
      <c r="F66" s="2">
        <f t="shared" si="5"/>
        <v>0</v>
      </c>
      <c r="H66" s="26" t="s">
        <v>23</v>
      </c>
      <c r="I66" s="26"/>
      <c r="J66" s="26"/>
      <c r="K66" s="26"/>
      <c r="L66" s="9">
        <f>SUM(L44:L65)</f>
        <v>-2220</v>
      </c>
      <c r="N66" s="19"/>
      <c r="O66" s="19"/>
      <c r="P66" s="19"/>
      <c r="Q66" s="19"/>
      <c r="R66" s="37"/>
      <c r="S66" s="19"/>
      <c r="T66" s="38"/>
      <c r="U66" s="38"/>
      <c r="V66" s="38"/>
      <c r="W66" s="38"/>
      <c r="X66" s="39"/>
    </row>
    <row r="67" spans="2:24" x14ac:dyDescent="0.25">
      <c r="B67" s="27" t="s">
        <v>28</v>
      </c>
      <c r="C67" s="27"/>
      <c r="D67" s="8">
        <v>50</v>
      </c>
      <c r="E67" s="8">
        <v>6</v>
      </c>
      <c r="F67" s="5">
        <f>-D67*E67</f>
        <v>-300</v>
      </c>
      <c r="H67" s="26" t="s">
        <v>24</v>
      </c>
      <c r="I67" s="26"/>
      <c r="J67" s="26"/>
      <c r="K67" s="26"/>
      <c r="L67" s="4">
        <f>SUM(F68)</f>
        <v>32630</v>
      </c>
      <c r="N67" s="40"/>
      <c r="O67" s="40"/>
      <c r="P67" s="41"/>
      <c r="Q67" s="41"/>
      <c r="R67" s="42"/>
      <c r="S67" s="19"/>
      <c r="T67" s="38"/>
      <c r="U67" s="38"/>
      <c r="V67" s="38"/>
      <c r="W67" s="38"/>
      <c r="X67" s="43"/>
    </row>
    <row r="68" spans="2:24" x14ac:dyDescent="0.25">
      <c r="B68" s="28" t="s">
        <v>19</v>
      </c>
      <c r="C68" s="28"/>
      <c r="D68" s="28"/>
      <c r="E68" s="28"/>
      <c r="F68" s="13">
        <f>SUM(F44:F67)</f>
        <v>32630</v>
      </c>
      <c r="H68" s="26" t="s">
        <v>25</v>
      </c>
      <c r="I68" s="26"/>
      <c r="J68" s="26"/>
      <c r="K68" s="26"/>
      <c r="L68" s="14">
        <f>SUM(L67+L66)</f>
        <v>30410</v>
      </c>
      <c r="N68" s="44"/>
      <c r="O68" s="44"/>
      <c r="P68" s="44"/>
      <c r="Q68" s="44"/>
      <c r="R68" s="43"/>
      <c r="S68" s="19"/>
      <c r="T68" s="38"/>
      <c r="U68" s="38"/>
      <c r="V68" s="38"/>
      <c r="W68" s="38"/>
      <c r="X68" s="43"/>
    </row>
    <row r="69" spans="2:24" ht="18.75" x14ac:dyDescent="0.3">
      <c r="B69" s="11" t="s">
        <v>29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  <c r="N69" s="29"/>
      <c r="O69" s="19"/>
      <c r="P69" s="19"/>
      <c r="Q69" s="19"/>
      <c r="R69" s="19"/>
      <c r="S69" s="19"/>
      <c r="T69" s="19"/>
      <c r="U69" s="19"/>
      <c r="V69" s="19"/>
      <c r="W69" s="19"/>
      <c r="X69" s="19"/>
    </row>
    <row r="70" spans="2:24" x14ac:dyDescent="0.25">
      <c r="B70" s="19" t="s">
        <v>134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</row>
    <row r="71" spans="2:24" x14ac:dyDescent="0.25">
      <c r="B71" s="30"/>
      <c r="C71" s="30"/>
      <c r="D71" s="31"/>
      <c r="E71" s="31"/>
      <c r="F71" s="31"/>
      <c r="G71" s="19"/>
      <c r="H71" s="30"/>
      <c r="I71" s="30"/>
      <c r="J71" s="19"/>
      <c r="K71" s="19"/>
      <c r="L71" s="19"/>
      <c r="M71" s="19"/>
      <c r="N71" s="30"/>
      <c r="O71" s="30"/>
      <c r="P71" s="31"/>
      <c r="Q71" s="31"/>
      <c r="R71" s="31"/>
      <c r="S71" s="19"/>
      <c r="T71" s="30"/>
      <c r="U71" s="30"/>
      <c r="V71" s="19"/>
      <c r="W71" s="19"/>
      <c r="X71" s="19"/>
    </row>
    <row r="72" spans="2:24" x14ac:dyDescent="0.25">
      <c r="B72" s="30"/>
      <c r="C72" s="30"/>
      <c r="D72" s="32"/>
      <c r="E72" s="32"/>
      <c r="F72" s="32"/>
      <c r="G72" s="19"/>
      <c r="H72" s="30"/>
      <c r="I72" s="30"/>
      <c r="J72" s="19"/>
      <c r="K72" s="19"/>
      <c r="L72" s="19"/>
      <c r="M72" s="19"/>
      <c r="N72" s="30"/>
      <c r="O72" s="30"/>
      <c r="P72" s="32"/>
      <c r="Q72" s="32"/>
      <c r="R72" s="32"/>
      <c r="S72" s="19"/>
      <c r="T72" s="30"/>
      <c r="U72" s="30"/>
      <c r="V72" s="19"/>
      <c r="W72" s="19"/>
      <c r="X72" s="19"/>
    </row>
    <row r="73" spans="2:24" x14ac:dyDescent="0.25">
      <c r="B73" s="30"/>
      <c r="C73" s="30"/>
      <c r="D73" s="32"/>
      <c r="E73" s="32"/>
      <c r="F73" s="32"/>
      <c r="G73" s="19"/>
      <c r="H73" s="30"/>
      <c r="I73" s="30"/>
      <c r="J73" s="19"/>
      <c r="K73" s="19"/>
      <c r="L73" s="19"/>
      <c r="M73" s="19"/>
      <c r="N73" s="30"/>
      <c r="O73" s="30"/>
      <c r="P73" s="32"/>
      <c r="Q73" s="32"/>
      <c r="R73" s="32"/>
      <c r="S73" s="19"/>
      <c r="T73" s="30"/>
      <c r="U73" s="30"/>
      <c r="V73" s="19"/>
      <c r="W73" s="19"/>
      <c r="X73" s="19"/>
    </row>
    <row r="74" spans="2:24" x14ac:dyDescent="0.25">
      <c r="B74" s="30"/>
      <c r="C74" s="30"/>
      <c r="D74" s="32"/>
      <c r="E74" s="32"/>
      <c r="F74" s="32"/>
      <c r="G74" s="19"/>
      <c r="H74" s="30"/>
      <c r="I74" s="30"/>
      <c r="J74" s="19"/>
      <c r="K74" s="19"/>
      <c r="L74" s="19"/>
      <c r="M74" s="19"/>
      <c r="N74" s="30"/>
      <c r="O74" s="30"/>
      <c r="P74" s="32"/>
      <c r="Q74" s="32"/>
      <c r="R74" s="32"/>
      <c r="S74" s="19"/>
      <c r="T74" s="30"/>
      <c r="U74" s="30"/>
      <c r="V74" s="19"/>
      <c r="W74" s="19"/>
      <c r="X74" s="19"/>
    </row>
    <row r="75" spans="2:24" x14ac:dyDescent="0.25"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</row>
    <row r="76" spans="2:24" x14ac:dyDescent="0.25">
      <c r="B76" s="33"/>
      <c r="C76" s="33"/>
      <c r="D76" s="33"/>
      <c r="E76" s="33"/>
      <c r="F76" s="33"/>
      <c r="G76" s="19"/>
      <c r="H76" s="34"/>
      <c r="I76" s="34"/>
      <c r="J76" s="34"/>
      <c r="K76" s="34"/>
      <c r="L76" s="34"/>
      <c r="M76" s="19"/>
      <c r="N76" s="33"/>
      <c r="O76" s="33"/>
      <c r="P76" s="33"/>
      <c r="Q76" s="33"/>
      <c r="R76" s="33"/>
      <c r="S76" s="19"/>
      <c r="T76" s="34"/>
      <c r="U76" s="34"/>
      <c r="V76" s="34"/>
      <c r="W76" s="34"/>
      <c r="X76" s="34"/>
    </row>
    <row r="77" spans="2:24" x14ac:dyDescent="0.25">
      <c r="B77" s="35"/>
      <c r="C77" s="35"/>
      <c r="D77" s="35"/>
      <c r="E77" s="36"/>
      <c r="F77" s="35"/>
      <c r="G77" s="19"/>
      <c r="H77" s="35"/>
      <c r="I77" s="36"/>
      <c r="J77" s="36"/>
      <c r="K77" s="36"/>
      <c r="L77" s="36"/>
      <c r="M77" s="19"/>
      <c r="N77" s="35"/>
      <c r="O77" s="35"/>
      <c r="P77" s="35"/>
      <c r="Q77" s="36"/>
      <c r="R77" s="35"/>
      <c r="S77" s="19"/>
      <c r="T77" s="35"/>
      <c r="U77" s="36"/>
      <c r="V77" s="36"/>
      <c r="W77" s="36"/>
      <c r="X77" s="36"/>
    </row>
    <row r="78" spans="2:24" x14ac:dyDescent="0.25">
      <c r="B78" s="19"/>
      <c r="C78" s="19"/>
      <c r="D78" s="19"/>
      <c r="E78" s="19"/>
      <c r="F78" s="37"/>
      <c r="G78" s="19"/>
      <c r="H78" s="19"/>
      <c r="I78" s="19"/>
      <c r="J78" s="19"/>
      <c r="K78" s="19"/>
      <c r="L78" s="37"/>
      <c r="M78" s="19"/>
      <c r="N78" s="19"/>
      <c r="O78" s="19"/>
      <c r="P78" s="19"/>
      <c r="Q78" s="19"/>
      <c r="R78" s="37"/>
      <c r="S78" s="19"/>
      <c r="T78" s="19"/>
      <c r="U78" s="19"/>
      <c r="V78" s="19"/>
      <c r="W78" s="19"/>
      <c r="X78" s="37"/>
    </row>
    <row r="79" spans="2:24" x14ac:dyDescent="0.25">
      <c r="B79" s="19"/>
      <c r="C79" s="19"/>
      <c r="D79" s="19"/>
      <c r="E79" s="19"/>
      <c r="F79" s="37"/>
      <c r="G79" s="19"/>
      <c r="H79" s="19"/>
      <c r="I79" s="19"/>
      <c r="J79" s="19"/>
      <c r="K79" s="19"/>
      <c r="L79" s="37"/>
      <c r="M79" s="19"/>
      <c r="N79" s="19"/>
      <c r="O79" s="19"/>
      <c r="P79" s="19"/>
      <c r="Q79" s="19"/>
      <c r="R79" s="37"/>
      <c r="S79" s="19"/>
      <c r="T79" s="19"/>
      <c r="U79" s="19"/>
      <c r="V79" s="19"/>
      <c r="W79" s="19"/>
      <c r="X79" s="37"/>
    </row>
    <row r="80" spans="2:24" x14ac:dyDescent="0.25">
      <c r="B80" s="19"/>
      <c r="C80" s="19"/>
      <c r="D80" s="19"/>
      <c r="E80" s="19"/>
      <c r="F80" s="37"/>
      <c r="G80" s="19"/>
      <c r="H80" s="19"/>
      <c r="I80" s="19"/>
      <c r="J80" s="19"/>
      <c r="K80" s="19"/>
      <c r="L80" s="37"/>
      <c r="M80" s="19"/>
      <c r="N80" s="19"/>
      <c r="O80" s="19"/>
      <c r="P80" s="19"/>
      <c r="Q80" s="19"/>
      <c r="R80" s="37"/>
      <c r="S80" s="19"/>
      <c r="T80" s="19"/>
      <c r="U80" s="19"/>
      <c r="V80" s="19"/>
      <c r="W80" s="19"/>
      <c r="X80" s="37"/>
    </row>
    <row r="81" spans="2:24" x14ac:dyDescent="0.25">
      <c r="B81" s="19"/>
      <c r="C81" s="19"/>
      <c r="D81" s="19"/>
      <c r="E81" s="19"/>
      <c r="F81" s="37"/>
      <c r="G81" s="19"/>
      <c r="H81" s="19"/>
      <c r="I81" s="19"/>
      <c r="J81" s="19"/>
      <c r="K81" s="19"/>
      <c r="L81" s="37"/>
      <c r="M81" s="19"/>
      <c r="N81" s="19"/>
      <c r="O81" s="19"/>
      <c r="P81" s="19"/>
      <c r="Q81" s="19"/>
      <c r="R81" s="37"/>
      <c r="S81" s="19"/>
      <c r="T81" s="19"/>
      <c r="U81" s="19"/>
      <c r="V81" s="19"/>
      <c r="W81" s="19"/>
      <c r="X81" s="37"/>
    </row>
    <row r="82" spans="2:24" x14ac:dyDescent="0.25">
      <c r="B82" s="19"/>
      <c r="C82" s="19"/>
      <c r="D82" s="19"/>
      <c r="E82" s="19"/>
      <c r="F82" s="37"/>
      <c r="G82" s="19"/>
      <c r="H82" s="19"/>
      <c r="I82" s="19"/>
      <c r="J82" s="19"/>
      <c r="K82" s="19"/>
      <c r="L82" s="37"/>
      <c r="M82" s="19"/>
      <c r="N82" s="19"/>
      <c r="O82" s="19"/>
      <c r="P82" s="19"/>
      <c r="Q82" s="19"/>
      <c r="R82" s="37"/>
      <c r="S82" s="19"/>
      <c r="T82" s="19"/>
      <c r="U82" s="19"/>
      <c r="V82" s="19"/>
      <c r="W82" s="19"/>
      <c r="X82" s="37"/>
    </row>
    <row r="83" spans="2:24" x14ac:dyDescent="0.25">
      <c r="B83" s="19"/>
      <c r="C83" s="19"/>
      <c r="D83" s="19"/>
      <c r="E83" s="19"/>
      <c r="F83" s="37"/>
      <c r="G83" s="19"/>
      <c r="H83" s="19"/>
      <c r="I83" s="19"/>
      <c r="J83" s="19"/>
      <c r="K83" s="19"/>
      <c r="L83" s="37"/>
      <c r="M83" s="19"/>
      <c r="N83" s="19"/>
      <c r="O83" s="19"/>
      <c r="P83" s="19"/>
      <c r="Q83" s="19"/>
      <c r="R83" s="37"/>
      <c r="S83" s="19"/>
      <c r="T83" s="19"/>
      <c r="U83" s="19"/>
      <c r="V83" s="19"/>
      <c r="W83" s="19"/>
      <c r="X83" s="37"/>
    </row>
    <row r="84" spans="2:24" x14ac:dyDescent="0.25">
      <c r="B84" s="19"/>
      <c r="C84" s="19"/>
      <c r="D84" s="19"/>
      <c r="E84" s="19"/>
      <c r="F84" s="37"/>
      <c r="G84" s="19"/>
      <c r="H84" s="19"/>
      <c r="I84" s="19"/>
      <c r="J84" s="19"/>
      <c r="K84" s="19"/>
      <c r="L84" s="37"/>
      <c r="M84" s="19"/>
      <c r="N84" s="19"/>
      <c r="O84" s="19"/>
      <c r="P84" s="19"/>
      <c r="Q84" s="19"/>
      <c r="R84" s="37"/>
      <c r="S84" s="19"/>
      <c r="T84" s="19"/>
      <c r="U84" s="19"/>
      <c r="V84" s="19"/>
      <c r="W84" s="19"/>
      <c r="X84" s="37"/>
    </row>
    <row r="85" spans="2:24" x14ac:dyDescent="0.25">
      <c r="B85" s="19"/>
      <c r="C85" s="19"/>
      <c r="D85" s="19"/>
      <c r="E85" s="19"/>
      <c r="F85" s="37"/>
      <c r="G85" s="19"/>
      <c r="H85" s="19"/>
      <c r="I85" s="19"/>
      <c r="J85" s="19"/>
      <c r="K85" s="19"/>
      <c r="L85" s="37"/>
      <c r="M85" s="19"/>
      <c r="N85" s="19"/>
      <c r="O85" s="19"/>
      <c r="P85" s="19"/>
      <c r="Q85" s="19"/>
      <c r="R85" s="37"/>
      <c r="S85" s="19"/>
      <c r="T85" s="19"/>
      <c r="U85" s="19"/>
      <c r="V85" s="19"/>
      <c r="W85" s="19"/>
      <c r="X85" s="37"/>
    </row>
    <row r="86" spans="2:24" x14ac:dyDescent="0.25">
      <c r="B86" s="19"/>
      <c r="C86" s="19"/>
      <c r="D86" s="19"/>
      <c r="E86" s="19"/>
      <c r="F86" s="37"/>
      <c r="G86" s="19"/>
      <c r="H86" s="19"/>
      <c r="I86" s="19"/>
      <c r="J86" s="19"/>
      <c r="K86" s="19"/>
      <c r="L86" s="37"/>
      <c r="M86" s="19"/>
      <c r="N86" s="19"/>
      <c r="O86" s="19"/>
      <c r="P86" s="19"/>
      <c r="Q86" s="19"/>
      <c r="R86" s="37"/>
      <c r="S86" s="19"/>
      <c r="T86" s="19"/>
      <c r="U86" s="19"/>
      <c r="V86" s="19"/>
      <c r="W86" s="19"/>
      <c r="X86" s="37"/>
    </row>
    <row r="87" spans="2:24" x14ac:dyDescent="0.25">
      <c r="B87" s="19"/>
      <c r="C87" s="19"/>
      <c r="D87" s="19"/>
      <c r="E87" s="19"/>
      <c r="F87" s="37"/>
      <c r="G87" s="19"/>
      <c r="H87" s="19"/>
      <c r="I87" s="19"/>
      <c r="J87" s="19"/>
      <c r="K87" s="19"/>
      <c r="L87" s="37"/>
      <c r="M87" s="19"/>
      <c r="N87" s="19"/>
      <c r="O87" s="19"/>
      <c r="P87" s="19"/>
      <c r="Q87" s="19"/>
      <c r="R87" s="37"/>
      <c r="S87" s="19"/>
      <c r="T87" s="19"/>
      <c r="U87" s="19"/>
      <c r="V87" s="19"/>
      <c r="W87" s="19"/>
      <c r="X87" s="37"/>
    </row>
    <row r="88" spans="2:24" x14ac:dyDescent="0.25">
      <c r="B88" s="45"/>
      <c r="C88" s="19"/>
      <c r="D88" s="19"/>
      <c r="E88" s="19"/>
      <c r="F88" s="37"/>
      <c r="G88" s="19"/>
      <c r="H88" s="19"/>
      <c r="I88" s="19"/>
      <c r="J88" s="19"/>
      <c r="K88" s="19"/>
      <c r="L88" s="37"/>
      <c r="M88" s="19"/>
      <c r="N88" s="19"/>
      <c r="O88" s="19"/>
      <c r="P88" s="19"/>
      <c r="Q88" s="19"/>
      <c r="R88" s="37"/>
      <c r="S88" s="19"/>
      <c r="T88" s="19"/>
      <c r="U88" s="19"/>
      <c r="V88" s="19"/>
      <c r="W88" s="19"/>
      <c r="X88" s="37"/>
    </row>
    <row r="89" spans="2:24" x14ac:dyDescent="0.25">
      <c r="B89" s="19"/>
      <c r="C89" s="19"/>
      <c r="D89" s="19"/>
      <c r="E89" s="19"/>
      <c r="F89" s="37"/>
      <c r="G89" s="19"/>
      <c r="H89" s="19"/>
      <c r="I89" s="19"/>
      <c r="J89" s="19"/>
      <c r="K89" s="19"/>
      <c r="L89" s="37"/>
      <c r="M89" s="19"/>
      <c r="N89" s="19"/>
      <c r="O89" s="19"/>
      <c r="P89" s="19"/>
      <c r="Q89" s="19"/>
      <c r="R89" s="37"/>
      <c r="S89" s="19"/>
      <c r="T89" s="19"/>
      <c r="U89" s="19"/>
      <c r="V89" s="19"/>
      <c r="W89" s="19"/>
      <c r="X89" s="37"/>
    </row>
    <row r="90" spans="2:24" x14ac:dyDescent="0.25">
      <c r="B90" s="19"/>
      <c r="C90" s="19"/>
      <c r="D90" s="19"/>
      <c r="E90" s="19"/>
      <c r="F90" s="37"/>
      <c r="G90" s="19"/>
      <c r="H90" s="19"/>
      <c r="I90" s="19"/>
      <c r="J90" s="19"/>
      <c r="K90" s="19"/>
      <c r="L90" s="37"/>
      <c r="M90" s="19"/>
      <c r="N90" s="19"/>
      <c r="O90" s="19"/>
      <c r="P90" s="19"/>
      <c r="Q90" s="19"/>
      <c r="R90" s="37"/>
      <c r="S90" s="19"/>
      <c r="T90" s="19"/>
      <c r="U90" s="19"/>
      <c r="V90" s="19"/>
      <c r="W90" s="19"/>
      <c r="X90" s="37"/>
    </row>
    <row r="91" spans="2:24" x14ac:dyDescent="0.25">
      <c r="B91" s="19"/>
      <c r="C91" s="19"/>
      <c r="D91" s="19"/>
      <c r="E91" s="19"/>
      <c r="F91" s="37"/>
      <c r="G91" s="19"/>
      <c r="H91" s="19"/>
      <c r="I91" s="19"/>
      <c r="J91" s="19"/>
      <c r="K91" s="19"/>
      <c r="L91" s="37"/>
      <c r="M91" s="19"/>
      <c r="N91" s="19"/>
      <c r="O91" s="19"/>
      <c r="P91" s="19"/>
      <c r="Q91" s="19"/>
      <c r="R91" s="37"/>
      <c r="S91" s="19"/>
      <c r="T91" s="19"/>
      <c r="U91" s="19"/>
      <c r="V91" s="19"/>
      <c r="W91" s="19"/>
      <c r="X91" s="37"/>
    </row>
    <row r="92" spans="2:24" x14ac:dyDescent="0.25">
      <c r="B92" s="19"/>
      <c r="C92" s="19"/>
      <c r="D92" s="19"/>
      <c r="E92" s="19"/>
      <c r="F92" s="37"/>
      <c r="G92" s="19"/>
      <c r="H92" s="19"/>
      <c r="I92" s="19"/>
      <c r="J92" s="19"/>
      <c r="K92" s="19"/>
      <c r="L92" s="37"/>
      <c r="M92" s="19"/>
      <c r="N92" s="19"/>
      <c r="O92" s="19"/>
      <c r="P92" s="19"/>
      <c r="Q92" s="19"/>
      <c r="R92" s="37"/>
      <c r="S92" s="19"/>
      <c r="T92" s="19"/>
      <c r="U92" s="19"/>
      <c r="V92" s="19"/>
      <c r="W92" s="19"/>
      <c r="X92" s="37"/>
    </row>
    <row r="93" spans="2:24" x14ac:dyDescent="0.25">
      <c r="B93" s="19"/>
      <c r="C93" s="19"/>
      <c r="D93" s="19"/>
      <c r="E93" s="19"/>
      <c r="F93" s="37"/>
      <c r="G93" s="19"/>
      <c r="H93" s="19"/>
      <c r="I93" s="19"/>
      <c r="J93" s="19"/>
      <c r="K93" s="19"/>
      <c r="L93" s="37"/>
      <c r="M93" s="19"/>
      <c r="N93" s="19"/>
      <c r="O93" s="19"/>
      <c r="P93" s="19"/>
      <c r="Q93" s="19"/>
      <c r="R93" s="37"/>
      <c r="S93" s="19"/>
      <c r="T93" s="19"/>
      <c r="U93" s="19"/>
      <c r="V93" s="19"/>
      <c r="W93" s="19"/>
      <c r="X93" s="37"/>
    </row>
    <row r="94" spans="2:24" x14ac:dyDescent="0.25">
      <c r="B94" s="19"/>
      <c r="C94" s="19"/>
      <c r="D94" s="19"/>
      <c r="E94" s="19"/>
      <c r="F94" s="37"/>
      <c r="G94" s="19"/>
      <c r="H94" s="19"/>
      <c r="I94" s="19"/>
      <c r="J94" s="19"/>
      <c r="K94" s="19"/>
      <c r="L94" s="37"/>
      <c r="M94" s="19"/>
      <c r="N94" s="19"/>
      <c r="O94" s="19"/>
      <c r="P94" s="19"/>
      <c r="Q94" s="19"/>
      <c r="R94" s="37"/>
      <c r="S94" s="19"/>
      <c r="T94" s="19"/>
      <c r="U94" s="19"/>
      <c r="V94" s="19"/>
      <c r="W94" s="19"/>
      <c r="X94" s="37"/>
    </row>
    <row r="95" spans="2:24" x14ac:dyDescent="0.25">
      <c r="B95" s="19"/>
      <c r="C95" s="19"/>
      <c r="D95" s="19"/>
      <c r="E95" s="19"/>
      <c r="F95" s="37"/>
      <c r="G95" s="19"/>
      <c r="H95" s="19"/>
      <c r="I95" s="19"/>
      <c r="J95" s="19"/>
      <c r="K95" s="19"/>
      <c r="L95" s="37"/>
      <c r="M95" s="19"/>
      <c r="N95" s="19"/>
      <c r="O95" s="19"/>
      <c r="P95" s="19"/>
      <c r="Q95" s="19"/>
      <c r="R95" s="37"/>
      <c r="S95" s="19"/>
      <c r="T95" s="19"/>
      <c r="U95" s="19"/>
      <c r="V95" s="19"/>
      <c r="W95" s="19"/>
      <c r="X95" s="37"/>
    </row>
    <row r="96" spans="2:24" x14ac:dyDescent="0.25">
      <c r="B96" s="19"/>
      <c r="C96" s="19"/>
      <c r="D96" s="19"/>
      <c r="E96" s="19"/>
      <c r="F96" s="37"/>
      <c r="G96" s="19"/>
      <c r="H96" s="19"/>
      <c r="I96" s="19"/>
      <c r="J96" s="19"/>
      <c r="K96" s="19"/>
      <c r="L96" s="37"/>
      <c r="M96" s="19"/>
      <c r="N96" s="19"/>
      <c r="O96" s="19"/>
      <c r="P96" s="19"/>
      <c r="Q96" s="19"/>
      <c r="R96" s="37"/>
      <c r="S96" s="19"/>
      <c r="T96" s="19"/>
      <c r="U96" s="19"/>
      <c r="V96" s="19"/>
      <c r="W96" s="19"/>
      <c r="X96" s="37"/>
    </row>
    <row r="97" spans="2:24" x14ac:dyDescent="0.25">
      <c r="B97" s="19"/>
      <c r="C97" s="19"/>
      <c r="D97" s="19"/>
      <c r="E97" s="19"/>
      <c r="F97" s="37"/>
      <c r="G97" s="19"/>
      <c r="H97" s="19"/>
      <c r="I97" s="19"/>
      <c r="J97" s="19"/>
      <c r="K97" s="19"/>
      <c r="L97" s="37"/>
      <c r="M97" s="19"/>
      <c r="N97" s="19"/>
      <c r="O97" s="19"/>
      <c r="P97" s="19"/>
      <c r="Q97" s="19"/>
      <c r="R97" s="37"/>
      <c r="S97" s="19"/>
      <c r="T97" s="19"/>
      <c r="U97" s="19"/>
      <c r="V97" s="19"/>
      <c r="W97" s="19"/>
      <c r="X97" s="37"/>
    </row>
    <row r="98" spans="2:24" x14ac:dyDescent="0.25">
      <c r="B98" s="19"/>
      <c r="C98" s="19"/>
      <c r="D98" s="19"/>
      <c r="E98" s="19"/>
      <c r="F98" s="37"/>
      <c r="G98" s="19"/>
      <c r="H98" s="19"/>
      <c r="I98" s="19"/>
      <c r="J98" s="19"/>
      <c r="K98" s="19"/>
      <c r="L98" s="37"/>
      <c r="M98" s="19"/>
      <c r="N98" s="19"/>
      <c r="O98" s="19"/>
      <c r="P98" s="19"/>
      <c r="Q98" s="19"/>
      <c r="R98" s="37"/>
      <c r="S98" s="19"/>
      <c r="T98" s="19"/>
      <c r="U98" s="19"/>
      <c r="V98" s="19"/>
      <c r="W98" s="19"/>
      <c r="X98" s="37"/>
    </row>
    <row r="99" spans="2:24" x14ac:dyDescent="0.25">
      <c r="B99" s="19"/>
      <c r="C99" s="19"/>
      <c r="D99" s="19"/>
      <c r="E99" s="19"/>
      <c r="F99" s="37"/>
      <c r="G99" s="19"/>
      <c r="H99" s="19"/>
      <c r="I99" s="19"/>
      <c r="J99" s="19"/>
      <c r="K99" s="19"/>
      <c r="L99" s="37"/>
      <c r="M99" s="19"/>
      <c r="N99" s="19"/>
      <c r="O99" s="19"/>
      <c r="P99" s="19"/>
      <c r="Q99" s="19"/>
      <c r="R99" s="37"/>
      <c r="S99" s="19"/>
      <c r="T99" s="19"/>
      <c r="U99" s="19"/>
      <c r="V99" s="19"/>
      <c r="W99" s="19"/>
      <c r="X99" s="37"/>
    </row>
    <row r="100" spans="2:24" x14ac:dyDescent="0.25">
      <c r="B100" s="19"/>
      <c r="C100" s="19"/>
      <c r="D100" s="19"/>
      <c r="E100" s="19"/>
      <c r="F100" s="37"/>
      <c r="G100" s="19"/>
      <c r="H100" s="38"/>
      <c r="I100" s="38"/>
      <c r="J100" s="38"/>
      <c r="K100" s="38"/>
      <c r="L100" s="39"/>
      <c r="M100" s="19"/>
      <c r="N100" s="19"/>
      <c r="O100" s="19"/>
      <c r="P100" s="19"/>
      <c r="Q100" s="19"/>
      <c r="R100" s="37"/>
      <c r="S100" s="19"/>
      <c r="T100" s="38"/>
      <c r="U100" s="38"/>
      <c r="V100" s="38"/>
      <c r="W100" s="38"/>
      <c r="X100" s="39"/>
    </row>
    <row r="101" spans="2:24" x14ac:dyDescent="0.25">
      <c r="B101" s="40"/>
      <c r="C101" s="40"/>
      <c r="D101" s="41"/>
      <c r="E101" s="41"/>
      <c r="F101" s="42"/>
      <c r="G101" s="19"/>
      <c r="H101" s="38"/>
      <c r="I101" s="38"/>
      <c r="J101" s="38"/>
      <c r="K101" s="38"/>
      <c r="L101" s="43"/>
      <c r="M101" s="19"/>
      <c r="N101" s="40"/>
      <c r="O101" s="40"/>
      <c r="P101" s="41"/>
      <c r="Q101" s="41"/>
      <c r="R101" s="42"/>
      <c r="S101" s="19"/>
      <c r="T101" s="38"/>
      <c r="U101" s="38"/>
      <c r="V101" s="38"/>
      <c r="W101" s="38"/>
      <c r="X101" s="43"/>
    </row>
    <row r="102" spans="2:24" x14ac:dyDescent="0.25">
      <c r="B102" s="44"/>
      <c r="C102" s="44"/>
      <c r="D102" s="44"/>
      <c r="E102" s="44"/>
      <c r="F102" s="43"/>
      <c r="G102" s="19"/>
      <c r="H102" s="38"/>
      <c r="I102" s="38"/>
      <c r="J102" s="38"/>
      <c r="K102" s="38"/>
      <c r="L102" s="43"/>
      <c r="M102" s="19"/>
      <c r="N102" s="44"/>
      <c r="O102" s="44"/>
      <c r="P102" s="44"/>
      <c r="Q102" s="44"/>
      <c r="R102" s="43"/>
      <c r="S102" s="19"/>
      <c r="T102" s="38"/>
      <c r="U102" s="38"/>
      <c r="V102" s="38"/>
      <c r="W102" s="38"/>
      <c r="X102" s="43"/>
    </row>
    <row r="103" spans="2:24" ht="18.75" x14ac:dyDescent="0.3">
      <c r="B103" s="2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2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2:24" x14ac:dyDescent="0.25"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2:24" x14ac:dyDescent="0.25">
      <c r="B105" s="30"/>
      <c r="C105" s="30"/>
      <c r="D105" s="31"/>
      <c r="E105" s="31"/>
      <c r="F105" s="31"/>
      <c r="G105" s="19"/>
      <c r="H105" s="30"/>
      <c r="I105" s="30"/>
      <c r="J105" s="19"/>
      <c r="K105" s="19"/>
      <c r="L105" s="19"/>
      <c r="M105" s="19"/>
      <c r="N105" s="30"/>
      <c r="O105" s="30"/>
      <c r="P105" s="31"/>
      <c r="Q105" s="31"/>
      <c r="R105" s="31"/>
      <c r="S105" s="19"/>
      <c r="T105" s="30"/>
      <c r="U105" s="30"/>
      <c r="V105" s="19"/>
      <c r="W105" s="19"/>
      <c r="X105" s="19"/>
    </row>
    <row r="106" spans="2:24" x14ac:dyDescent="0.25">
      <c r="B106" s="30"/>
      <c r="C106" s="30"/>
      <c r="D106" s="32"/>
      <c r="E106" s="32"/>
      <c r="F106" s="32"/>
      <c r="G106" s="19"/>
      <c r="H106" s="30"/>
      <c r="I106" s="30"/>
      <c r="J106" s="19"/>
      <c r="K106" s="19"/>
      <c r="L106" s="19"/>
      <c r="M106" s="19"/>
      <c r="N106" s="30"/>
      <c r="O106" s="30"/>
      <c r="P106" s="32"/>
      <c r="Q106" s="32"/>
      <c r="R106" s="32"/>
      <c r="S106" s="19"/>
      <c r="T106" s="30"/>
      <c r="U106" s="30"/>
      <c r="V106" s="19"/>
      <c r="W106" s="19"/>
      <c r="X106" s="19"/>
    </row>
    <row r="107" spans="2:24" x14ac:dyDescent="0.25">
      <c r="B107" s="30"/>
      <c r="C107" s="30"/>
      <c r="D107" s="32"/>
      <c r="E107" s="32"/>
      <c r="F107" s="32"/>
      <c r="G107" s="19"/>
      <c r="H107" s="30"/>
      <c r="I107" s="30"/>
      <c r="J107" s="19"/>
      <c r="K107" s="19"/>
      <c r="L107" s="19"/>
      <c r="M107" s="19"/>
      <c r="N107" s="30"/>
      <c r="O107" s="30"/>
      <c r="P107" s="32"/>
      <c r="Q107" s="32"/>
      <c r="R107" s="32"/>
      <c r="S107" s="19"/>
      <c r="T107" s="30"/>
      <c r="U107" s="30"/>
      <c r="V107" s="19"/>
      <c r="W107" s="19"/>
      <c r="X107" s="19"/>
    </row>
    <row r="108" spans="2:24" x14ac:dyDescent="0.25">
      <c r="B108" s="30"/>
      <c r="C108" s="30"/>
      <c r="D108" s="32"/>
      <c r="E108" s="32"/>
      <c r="F108" s="32"/>
      <c r="G108" s="19"/>
      <c r="H108" s="30"/>
      <c r="I108" s="30"/>
      <c r="J108" s="19"/>
      <c r="K108" s="19"/>
      <c r="L108" s="19"/>
      <c r="M108" s="19"/>
      <c r="N108" s="30"/>
      <c r="O108" s="30"/>
      <c r="P108" s="32"/>
      <c r="Q108" s="32"/>
      <c r="R108" s="32"/>
      <c r="S108" s="19"/>
      <c r="T108" s="30"/>
      <c r="U108" s="30"/>
      <c r="V108" s="19"/>
      <c r="W108" s="19"/>
      <c r="X108" s="19"/>
    </row>
    <row r="109" spans="2:24" x14ac:dyDescent="0.25"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2:24" x14ac:dyDescent="0.25">
      <c r="B110" s="33"/>
      <c r="C110" s="33"/>
      <c r="D110" s="33"/>
      <c r="E110" s="33"/>
      <c r="F110" s="33"/>
      <c r="G110" s="19"/>
      <c r="H110" s="34"/>
      <c r="I110" s="34"/>
      <c r="J110" s="34"/>
      <c r="K110" s="34"/>
      <c r="L110" s="34"/>
      <c r="M110" s="19"/>
      <c r="N110" s="33"/>
      <c r="O110" s="33"/>
      <c r="P110" s="33"/>
      <c r="Q110" s="33"/>
      <c r="R110" s="33"/>
      <c r="S110" s="19"/>
      <c r="T110" s="34"/>
      <c r="U110" s="34"/>
      <c r="V110" s="34"/>
      <c r="W110" s="34"/>
      <c r="X110" s="34"/>
    </row>
    <row r="111" spans="2:24" x14ac:dyDescent="0.25">
      <c r="B111" s="35"/>
      <c r="C111" s="35"/>
      <c r="D111" s="35"/>
      <c r="E111" s="36"/>
      <c r="F111" s="35"/>
      <c r="G111" s="19"/>
      <c r="H111" s="35"/>
      <c r="I111" s="36"/>
      <c r="J111" s="36"/>
      <c r="K111" s="36"/>
      <c r="L111" s="36"/>
      <c r="M111" s="19"/>
      <c r="N111" s="35"/>
      <c r="O111" s="35"/>
      <c r="P111" s="35"/>
      <c r="Q111" s="36"/>
      <c r="R111" s="35"/>
      <c r="S111" s="19"/>
      <c r="T111" s="35"/>
      <c r="U111" s="36"/>
      <c r="V111" s="36"/>
      <c r="W111" s="36"/>
      <c r="X111" s="36"/>
    </row>
    <row r="112" spans="2:24" x14ac:dyDescent="0.25">
      <c r="B112" s="19"/>
      <c r="C112" s="19"/>
      <c r="D112" s="19"/>
      <c r="E112" s="19"/>
      <c r="F112" s="37"/>
      <c r="G112" s="19"/>
      <c r="H112" s="19"/>
      <c r="I112" s="19"/>
      <c r="J112" s="19"/>
      <c r="K112" s="19"/>
      <c r="L112" s="37"/>
      <c r="M112" s="19"/>
      <c r="N112" s="19"/>
      <c r="O112" s="19"/>
      <c r="P112" s="19"/>
      <c r="Q112" s="19"/>
      <c r="R112" s="37"/>
      <c r="S112" s="19"/>
      <c r="T112" s="19"/>
      <c r="U112" s="19"/>
      <c r="V112" s="19"/>
      <c r="W112" s="19"/>
      <c r="X112" s="37"/>
    </row>
    <row r="113" spans="2:24" x14ac:dyDescent="0.25">
      <c r="B113" s="19"/>
      <c r="C113" s="19"/>
      <c r="D113" s="19"/>
      <c r="E113" s="19"/>
      <c r="F113" s="37"/>
      <c r="G113" s="19"/>
      <c r="H113" s="19"/>
      <c r="I113" s="19"/>
      <c r="J113" s="19"/>
      <c r="K113" s="19"/>
      <c r="L113" s="37"/>
      <c r="M113" s="19"/>
      <c r="N113" s="19"/>
      <c r="O113" s="19"/>
      <c r="P113" s="19"/>
      <c r="Q113" s="19"/>
      <c r="R113" s="37"/>
      <c r="S113" s="19"/>
      <c r="T113" s="19"/>
      <c r="U113" s="19"/>
      <c r="V113" s="19"/>
      <c r="W113" s="19"/>
      <c r="X113" s="37"/>
    </row>
    <row r="114" spans="2:24" x14ac:dyDescent="0.25">
      <c r="B114" s="19"/>
      <c r="C114" s="19"/>
      <c r="D114" s="19"/>
      <c r="E114" s="19"/>
      <c r="F114" s="37"/>
      <c r="G114" s="19"/>
      <c r="H114" s="19"/>
      <c r="I114" s="19"/>
      <c r="J114" s="19"/>
      <c r="K114" s="19"/>
      <c r="L114" s="37"/>
      <c r="M114" s="19"/>
      <c r="N114" s="19"/>
      <c r="O114" s="19"/>
      <c r="P114" s="19"/>
      <c r="Q114" s="19"/>
      <c r="R114" s="37"/>
      <c r="S114" s="19"/>
      <c r="T114" s="19"/>
      <c r="U114" s="19"/>
      <c r="V114" s="19"/>
      <c r="W114" s="19"/>
      <c r="X114" s="37"/>
    </row>
    <row r="115" spans="2:24" x14ac:dyDescent="0.25">
      <c r="B115" s="19"/>
      <c r="C115" s="19"/>
      <c r="D115" s="19"/>
      <c r="E115" s="19"/>
      <c r="F115" s="37"/>
      <c r="G115" s="19"/>
      <c r="H115" s="19"/>
      <c r="I115" s="19"/>
      <c r="J115" s="19"/>
      <c r="K115" s="19"/>
      <c r="L115" s="37"/>
      <c r="M115" s="19"/>
      <c r="N115" s="19"/>
      <c r="O115" s="19"/>
      <c r="P115" s="19"/>
      <c r="Q115" s="19"/>
      <c r="R115" s="37"/>
      <c r="S115" s="19"/>
      <c r="T115" s="19"/>
      <c r="U115" s="19"/>
      <c r="V115" s="19"/>
      <c r="W115" s="19"/>
      <c r="X115" s="37"/>
    </row>
    <row r="116" spans="2:24" x14ac:dyDescent="0.25">
      <c r="B116" s="19"/>
      <c r="C116" s="19"/>
      <c r="D116" s="19"/>
      <c r="E116" s="19"/>
      <c r="F116" s="37"/>
      <c r="G116" s="19"/>
      <c r="H116" s="19"/>
      <c r="I116" s="19"/>
      <c r="J116" s="19"/>
      <c r="K116" s="19"/>
      <c r="L116" s="37"/>
      <c r="M116" s="19"/>
      <c r="N116" s="19"/>
      <c r="O116" s="19"/>
      <c r="P116" s="19"/>
      <c r="Q116" s="19"/>
      <c r="R116" s="37"/>
      <c r="S116" s="19"/>
      <c r="T116" s="19"/>
      <c r="U116" s="19"/>
      <c r="V116" s="19"/>
      <c r="W116" s="19"/>
      <c r="X116" s="37"/>
    </row>
    <row r="117" spans="2:24" x14ac:dyDescent="0.25">
      <c r="B117" s="19"/>
      <c r="C117" s="19"/>
      <c r="D117" s="19"/>
      <c r="E117" s="19"/>
      <c r="F117" s="37"/>
      <c r="G117" s="19"/>
      <c r="H117" s="19"/>
      <c r="I117" s="19"/>
      <c r="J117" s="19"/>
      <c r="K117" s="19"/>
      <c r="L117" s="37"/>
      <c r="M117" s="19"/>
      <c r="N117" s="19"/>
      <c r="O117" s="19"/>
      <c r="P117" s="19"/>
      <c r="Q117" s="19"/>
      <c r="R117" s="37"/>
      <c r="S117" s="19"/>
      <c r="T117" s="19"/>
      <c r="U117" s="19"/>
      <c r="V117" s="19"/>
      <c r="W117" s="19"/>
      <c r="X117" s="37"/>
    </row>
    <row r="118" spans="2:24" x14ac:dyDescent="0.25">
      <c r="B118" s="19"/>
      <c r="C118" s="19"/>
      <c r="D118" s="19"/>
      <c r="E118" s="19"/>
      <c r="F118" s="37"/>
      <c r="G118" s="19"/>
      <c r="H118" s="19"/>
      <c r="I118" s="19"/>
      <c r="J118" s="19"/>
      <c r="K118" s="19"/>
      <c r="L118" s="37"/>
      <c r="M118" s="19"/>
      <c r="N118" s="19"/>
      <c r="O118" s="19"/>
      <c r="P118" s="19"/>
      <c r="Q118" s="19"/>
      <c r="R118" s="37"/>
      <c r="S118" s="19"/>
      <c r="T118" s="19"/>
      <c r="U118" s="19"/>
      <c r="V118" s="19"/>
      <c r="W118" s="19"/>
      <c r="X118" s="37"/>
    </row>
    <row r="119" spans="2:24" x14ac:dyDescent="0.25">
      <c r="B119" s="19"/>
      <c r="C119" s="19"/>
      <c r="D119" s="19"/>
      <c r="E119" s="19"/>
      <c r="F119" s="37"/>
      <c r="G119" s="19"/>
      <c r="H119" s="19"/>
      <c r="I119" s="19"/>
      <c r="J119" s="19"/>
      <c r="K119" s="19"/>
      <c r="L119" s="37"/>
      <c r="M119" s="19"/>
      <c r="N119" s="19"/>
      <c r="O119" s="19"/>
      <c r="P119" s="19"/>
      <c r="Q119" s="19"/>
      <c r="R119" s="37"/>
      <c r="S119" s="19"/>
      <c r="T119" s="19"/>
      <c r="U119" s="19"/>
      <c r="V119" s="19"/>
      <c r="W119" s="19"/>
      <c r="X119" s="37"/>
    </row>
    <row r="120" spans="2:24" x14ac:dyDescent="0.25">
      <c r="B120" s="19"/>
      <c r="C120" s="19"/>
      <c r="D120" s="19"/>
      <c r="E120" s="19"/>
      <c r="F120" s="37"/>
      <c r="G120" s="19"/>
      <c r="H120" s="19"/>
      <c r="I120" s="19"/>
      <c r="J120" s="19"/>
      <c r="K120" s="19"/>
      <c r="L120" s="37"/>
      <c r="M120" s="19"/>
      <c r="N120" s="19"/>
      <c r="O120" s="19"/>
      <c r="P120" s="19"/>
      <c r="Q120" s="19"/>
      <c r="R120" s="37"/>
      <c r="S120" s="19"/>
      <c r="T120" s="19"/>
      <c r="U120" s="19"/>
      <c r="V120" s="19"/>
      <c r="W120" s="19"/>
      <c r="X120" s="37"/>
    </row>
    <row r="121" spans="2:24" x14ac:dyDescent="0.25">
      <c r="B121" s="19"/>
      <c r="C121" s="19"/>
      <c r="D121" s="19"/>
      <c r="E121" s="19"/>
      <c r="F121" s="37"/>
      <c r="G121" s="19"/>
      <c r="H121" s="19"/>
      <c r="I121" s="19"/>
      <c r="J121" s="19"/>
      <c r="K121" s="19"/>
      <c r="L121" s="37"/>
      <c r="M121" s="19"/>
      <c r="N121" s="19"/>
      <c r="O121" s="19"/>
      <c r="P121" s="19"/>
      <c r="Q121" s="19"/>
      <c r="R121" s="37"/>
      <c r="S121" s="19"/>
      <c r="T121" s="19"/>
      <c r="U121" s="19"/>
      <c r="V121" s="19"/>
      <c r="W121" s="19"/>
      <c r="X121" s="37"/>
    </row>
    <row r="122" spans="2:24" x14ac:dyDescent="0.25">
      <c r="B122" s="45"/>
      <c r="C122" s="19"/>
      <c r="D122" s="19"/>
      <c r="E122" s="19"/>
      <c r="F122" s="37"/>
      <c r="G122" s="19"/>
      <c r="H122" s="19"/>
      <c r="I122" s="19"/>
      <c r="J122" s="19"/>
      <c r="K122" s="19"/>
      <c r="L122" s="37"/>
      <c r="M122" s="19"/>
      <c r="N122" s="19"/>
      <c r="O122" s="19"/>
      <c r="P122" s="19"/>
      <c r="Q122" s="19"/>
      <c r="R122" s="37"/>
      <c r="S122" s="19"/>
      <c r="T122" s="19"/>
      <c r="U122" s="19"/>
      <c r="V122" s="19"/>
      <c r="W122" s="19"/>
      <c r="X122" s="37"/>
    </row>
    <row r="123" spans="2:24" x14ac:dyDescent="0.25">
      <c r="B123" s="19"/>
      <c r="C123" s="19"/>
      <c r="D123" s="19"/>
      <c r="E123" s="19"/>
      <c r="F123" s="37"/>
      <c r="G123" s="19"/>
      <c r="H123" s="19"/>
      <c r="I123" s="19"/>
      <c r="J123" s="19"/>
      <c r="K123" s="19"/>
      <c r="L123" s="37"/>
      <c r="M123" s="19"/>
      <c r="N123" s="19"/>
      <c r="O123" s="19"/>
      <c r="P123" s="19"/>
      <c r="Q123" s="19"/>
      <c r="R123" s="37"/>
      <c r="S123" s="19"/>
      <c r="T123" s="19"/>
      <c r="U123" s="19"/>
      <c r="V123" s="19"/>
      <c r="W123" s="19"/>
      <c r="X123" s="37"/>
    </row>
    <row r="124" spans="2:24" x14ac:dyDescent="0.25">
      <c r="B124" s="19"/>
      <c r="C124" s="19"/>
      <c r="D124" s="19"/>
      <c r="E124" s="19"/>
      <c r="F124" s="37"/>
      <c r="G124" s="19"/>
      <c r="H124" s="19"/>
      <c r="I124" s="19"/>
      <c r="J124" s="19"/>
      <c r="K124" s="19"/>
      <c r="L124" s="37"/>
      <c r="M124" s="19"/>
      <c r="N124" s="19"/>
      <c r="O124" s="19"/>
      <c r="P124" s="19"/>
      <c r="Q124" s="19"/>
      <c r="R124" s="37"/>
      <c r="S124" s="19"/>
      <c r="T124" s="19"/>
      <c r="U124" s="19"/>
      <c r="V124" s="19"/>
      <c r="W124" s="19"/>
      <c r="X124" s="37"/>
    </row>
    <row r="125" spans="2:24" x14ac:dyDescent="0.25">
      <c r="B125" s="19"/>
      <c r="C125" s="19"/>
      <c r="D125" s="19"/>
      <c r="E125" s="19"/>
      <c r="F125" s="37"/>
      <c r="G125" s="19"/>
      <c r="H125" s="19"/>
      <c r="I125" s="19"/>
      <c r="J125" s="19"/>
      <c r="K125" s="19"/>
      <c r="L125" s="37"/>
      <c r="M125" s="19"/>
      <c r="N125" s="19"/>
      <c r="O125" s="19"/>
      <c r="P125" s="19"/>
      <c r="Q125" s="19"/>
      <c r="R125" s="37"/>
      <c r="S125" s="19"/>
      <c r="T125" s="19"/>
      <c r="U125" s="19"/>
      <c r="V125" s="19"/>
      <c r="W125" s="19"/>
      <c r="X125" s="37"/>
    </row>
    <row r="126" spans="2:24" x14ac:dyDescent="0.25">
      <c r="B126" s="19"/>
      <c r="C126" s="19"/>
      <c r="D126" s="19"/>
      <c r="E126" s="19"/>
      <c r="F126" s="37"/>
      <c r="G126" s="19"/>
      <c r="H126" s="19"/>
      <c r="I126" s="19"/>
      <c r="J126" s="19"/>
      <c r="K126" s="19"/>
      <c r="L126" s="37"/>
      <c r="M126" s="19"/>
      <c r="N126" s="19"/>
      <c r="O126" s="19"/>
      <c r="P126" s="19"/>
      <c r="Q126" s="19"/>
      <c r="R126" s="37"/>
      <c r="S126" s="19"/>
      <c r="T126" s="19"/>
      <c r="U126" s="19"/>
      <c r="V126" s="19"/>
      <c r="W126" s="19"/>
      <c r="X126" s="37"/>
    </row>
    <row r="127" spans="2:24" x14ac:dyDescent="0.25">
      <c r="B127" s="19"/>
      <c r="C127" s="19"/>
      <c r="D127" s="19"/>
      <c r="E127" s="19"/>
      <c r="F127" s="37"/>
      <c r="G127" s="19"/>
      <c r="H127" s="19"/>
      <c r="I127" s="19"/>
      <c r="J127" s="19"/>
      <c r="K127" s="19"/>
      <c r="L127" s="37"/>
      <c r="M127" s="19"/>
      <c r="N127" s="19"/>
      <c r="O127" s="19"/>
      <c r="P127" s="19"/>
      <c r="Q127" s="19"/>
      <c r="R127" s="37"/>
      <c r="S127" s="19"/>
      <c r="T127" s="19"/>
      <c r="U127" s="19"/>
      <c r="V127" s="19"/>
      <c r="W127" s="19"/>
      <c r="X127" s="37"/>
    </row>
    <row r="128" spans="2:24" x14ac:dyDescent="0.25">
      <c r="B128" s="19"/>
      <c r="C128" s="19"/>
      <c r="D128" s="19"/>
      <c r="E128" s="19"/>
      <c r="F128" s="37"/>
      <c r="G128" s="19"/>
      <c r="H128" s="19"/>
      <c r="I128" s="19"/>
      <c r="J128" s="19"/>
      <c r="K128" s="19"/>
      <c r="L128" s="37"/>
      <c r="M128" s="19"/>
      <c r="N128" s="19"/>
      <c r="O128" s="19"/>
      <c r="P128" s="19"/>
      <c r="Q128" s="19"/>
      <c r="R128" s="37"/>
      <c r="S128" s="19"/>
      <c r="T128" s="19"/>
      <c r="U128" s="19"/>
      <c r="V128" s="19"/>
      <c r="W128" s="19"/>
      <c r="X128" s="37"/>
    </row>
    <row r="129" spans="2:24" x14ac:dyDescent="0.25">
      <c r="B129" s="19"/>
      <c r="C129" s="19"/>
      <c r="D129" s="19"/>
      <c r="E129" s="19"/>
      <c r="F129" s="37"/>
      <c r="G129" s="19"/>
      <c r="H129" s="19"/>
      <c r="I129" s="19"/>
      <c r="J129" s="19"/>
      <c r="K129" s="19"/>
      <c r="L129" s="37"/>
      <c r="M129" s="19"/>
      <c r="N129" s="19"/>
      <c r="O129" s="19"/>
      <c r="P129" s="19"/>
      <c r="Q129" s="19"/>
      <c r="R129" s="37"/>
      <c r="S129" s="19"/>
      <c r="T129" s="19"/>
      <c r="U129" s="19"/>
      <c r="V129" s="19"/>
      <c r="W129" s="19"/>
      <c r="X129" s="37"/>
    </row>
    <row r="130" spans="2:24" x14ac:dyDescent="0.25">
      <c r="B130" s="19"/>
      <c r="C130" s="19"/>
      <c r="D130" s="19"/>
      <c r="E130" s="19"/>
      <c r="F130" s="37"/>
      <c r="G130" s="19"/>
      <c r="H130" s="19"/>
      <c r="I130" s="19"/>
      <c r="J130" s="19"/>
      <c r="K130" s="19"/>
      <c r="L130" s="37"/>
      <c r="M130" s="19"/>
      <c r="N130" s="19"/>
      <c r="O130" s="19"/>
      <c r="P130" s="19"/>
      <c r="Q130" s="19"/>
      <c r="R130" s="37"/>
      <c r="S130" s="19"/>
      <c r="T130" s="19"/>
      <c r="U130" s="19"/>
      <c r="V130" s="19"/>
      <c r="W130" s="19"/>
      <c r="X130" s="37"/>
    </row>
    <row r="131" spans="2:24" x14ac:dyDescent="0.25">
      <c r="B131" s="19"/>
      <c r="C131" s="19"/>
      <c r="D131" s="19"/>
      <c r="E131" s="19"/>
      <c r="F131" s="37"/>
      <c r="G131" s="19"/>
      <c r="H131" s="19"/>
      <c r="I131" s="19"/>
      <c r="J131" s="19"/>
      <c r="K131" s="19"/>
      <c r="L131" s="37"/>
      <c r="M131" s="19"/>
      <c r="N131" s="19"/>
      <c r="O131" s="19"/>
      <c r="P131" s="19"/>
      <c r="Q131" s="19"/>
      <c r="R131" s="37"/>
      <c r="S131" s="19"/>
      <c r="T131" s="19"/>
      <c r="U131" s="19"/>
      <c r="V131" s="19"/>
      <c r="W131" s="19"/>
      <c r="X131" s="37"/>
    </row>
    <row r="132" spans="2:24" x14ac:dyDescent="0.25">
      <c r="B132" s="19"/>
      <c r="C132" s="19"/>
      <c r="D132" s="19"/>
      <c r="E132" s="19"/>
      <c r="F132" s="37"/>
      <c r="G132" s="19"/>
      <c r="H132" s="19"/>
      <c r="I132" s="19"/>
      <c r="J132" s="19"/>
      <c r="K132" s="19"/>
      <c r="L132" s="37"/>
      <c r="M132" s="19"/>
      <c r="N132" s="19"/>
      <c r="O132" s="19"/>
      <c r="P132" s="19"/>
      <c r="Q132" s="19"/>
      <c r="R132" s="37"/>
      <c r="S132" s="19"/>
      <c r="T132" s="19"/>
      <c r="U132" s="19"/>
      <c r="V132" s="19"/>
      <c r="W132" s="19"/>
      <c r="X132" s="37"/>
    </row>
    <row r="133" spans="2:24" x14ac:dyDescent="0.25">
      <c r="B133" s="19"/>
      <c r="C133" s="19"/>
      <c r="D133" s="19"/>
      <c r="E133" s="19"/>
      <c r="F133" s="37"/>
      <c r="G133" s="19"/>
      <c r="H133" s="19"/>
      <c r="I133" s="19"/>
      <c r="J133" s="19"/>
      <c r="K133" s="19"/>
      <c r="L133" s="37"/>
      <c r="M133" s="19"/>
      <c r="N133" s="19"/>
      <c r="O133" s="19"/>
      <c r="P133" s="19"/>
      <c r="Q133" s="19"/>
      <c r="R133" s="37"/>
      <c r="S133" s="19"/>
      <c r="T133" s="19"/>
      <c r="U133" s="19"/>
      <c r="V133" s="19"/>
      <c r="W133" s="19"/>
      <c r="X133" s="37"/>
    </row>
    <row r="134" spans="2:24" x14ac:dyDescent="0.25">
      <c r="B134" s="19"/>
      <c r="C134" s="19"/>
      <c r="D134" s="19"/>
      <c r="E134" s="19"/>
      <c r="F134" s="37"/>
      <c r="G134" s="19"/>
      <c r="H134" s="38"/>
      <c r="I134" s="38"/>
      <c r="J134" s="38"/>
      <c r="K134" s="38"/>
      <c r="L134" s="39"/>
      <c r="M134" s="19"/>
      <c r="N134" s="19"/>
      <c r="O134" s="19"/>
      <c r="P134" s="19"/>
      <c r="Q134" s="19"/>
      <c r="R134" s="37"/>
      <c r="S134" s="19"/>
      <c r="T134" s="38"/>
      <c r="U134" s="38"/>
      <c r="V134" s="38"/>
      <c r="W134" s="38"/>
      <c r="X134" s="39"/>
    </row>
    <row r="135" spans="2:24" x14ac:dyDescent="0.25">
      <c r="B135" s="40"/>
      <c r="C135" s="40"/>
      <c r="D135" s="41"/>
      <c r="E135" s="41"/>
      <c r="F135" s="42"/>
      <c r="G135" s="19"/>
      <c r="H135" s="38"/>
      <c r="I135" s="38"/>
      <c r="J135" s="38"/>
      <c r="K135" s="38"/>
      <c r="L135" s="43"/>
      <c r="M135" s="19"/>
      <c r="N135" s="40"/>
      <c r="O135" s="40"/>
      <c r="P135" s="41"/>
      <c r="Q135" s="41"/>
      <c r="R135" s="42"/>
      <c r="S135" s="19"/>
      <c r="T135" s="38"/>
      <c r="U135" s="38"/>
      <c r="V135" s="38"/>
      <c r="W135" s="38"/>
      <c r="X135" s="43"/>
    </row>
    <row r="136" spans="2:24" x14ac:dyDescent="0.25">
      <c r="B136" s="44"/>
      <c r="C136" s="44"/>
      <c r="D136" s="44"/>
      <c r="E136" s="44"/>
      <c r="F136" s="43"/>
      <c r="G136" s="19"/>
      <c r="H136" s="38"/>
      <c r="I136" s="38"/>
      <c r="J136" s="38"/>
      <c r="K136" s="38"/>
      <c r="L136" s="43"/>
      <c r="M136" s="19"/>
      <c r="N136" s="44"/>
      <c r="O136" s="44"/>
      <c r="P136" s="44"/>
      <c r="Q136" s="44"/>
      <c r="R136" s="43"/>
      <c r="S136" s="19"/>
      <c r="T136" s="38"/>
      <c r="U136" s="38"/>
      <c r="V136" s="38"/>
      <c r="W136" s="38"/>
      <c r="X136" s="43"/>
    </row>
    <row r="137" spans="2:24" ht="18.75" x14ac:dyDescent="0.3">
      <c r="B137" s="2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2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2:24" x14ac:dyDescent="0.25"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2:24" x14ac:dyDescent="0.25">
      <c r="B139" s="30"/>
      <c r="C139" s="30"/>
      <c r="D139" s="31"/>
      <c r="E139" s="31"/>
      <c r="F139" s="31"/>
      <c r="G139" s="19"/>
      <c r="H139" s="30"/>
      <c r="I139" s="30"/>
      <c r="J139" s="19"/>
      <c r="K139" s="19"/>
      <c r="L139" s="19"/>
      <c r="M139" s="19"/>
      <c r="N139" s="30"/>
      <c r="O139" s="30"/>
      <c r="P139" s="31"/>
      <c r="Q139" s="31"/>
      <c r="R139" s="31"/>
      <c r="S139" s="19"/>
      <c r="T139" s="30"/>
      <c r="U139" s="30"/>
      <c r="V139" s="19"/>
      <c r="W139" s="19"/>
      <c r="X139" s="19"/>
    </row>
    <row r="140" spans="2:24" x14ac:dyDescent="0.25">
      <c r="B140" s="30"/>
      <c r="C140" s="30"/>
      <c r="D140" s="32"/>
      <c r="E140" s="32"/>
      <c r="F140" s="32"/>
      <c r="G140" s="19"/>
      <c r="H140" s="30"/>
      <c r="I140" s="30"/>
      <c r="J140" s="19"/>
      <c r="K140" s="19"/>
      <c r="L140" s="19"/>
      <c r="M140" s="19"/>
      <c r="N140" s="30"/>
      <c r="O140" s="30"/>
      <c r="P140" s="32"/>
      <c r="Q140" s="32"/>
      <c r="R140" s="32"/>
      <c r="S140" s="19"/>
      <c r="T140" s="30"/>
      <c r="U140" s="30"/>
      <c r="V140" s="19"/>
      <c r="W140" s="19"/>
      <c r="X140" s="19"/>
    </row>
    <row r="141" spans="2:24" x14ac:dyDescent="0.25">
      <c r="B141" s="30"/>
      <c r="C141" s="30"/>
      <c r="D141" s="32"/>
      <c r="E141" s="32"/>
      <c r="F141" s="32"/>
      <c r="G141" s="19"/>
      <c r="H141" s="30"/>
      <c r="I141" s="30"/>
      <c r="J141" s="19"/>
      <c r="K141" s="19"/>
      <c r="L141" s="19"/>
      <c r="M141" s="19"/>
      <c r="N141" s="30"/>
      <c r="O141" s="30"/>
      <c r="P141" s="32"/>
      <c r="Q141" s="32"/>
      <c r="R141" s="32"/>
      <c r="S141" s="19"/>
      <c r="T141" s="30"/>
      <c r="U141" s="30"/>
      <c r="V141" s="19"/>
      <c r="W141" s="19"/>
      <c r="X141" s="19"/>
    </row>
    <row r="142" spans="2:24" x14ac:dyDescent="0.25">
      <c r="B142" s="30"/>
      <c r="C142" s="30"/>
      <c r="D142" s="32"/>
      <c r="E142" s="32"/>
      <c r="F142" s="32"/>
      <c r="G142" s="19"/>
      <c r="H142" s="30"/>
      <c r="I142" s="30"/>
      <c r="J142" s="19"/>
      <c r="K142" s="19"/>
      <c r="L142" s="19"/>
      <c r="M142" s="19"/>
      <c r="N142" s="30"/>
      <c r="O142" s="30"/>
      <c r="P142" s="32"/>
      <c r="Q142" s="32"/>
      <c r="R142" s="32"/>
      <c r="S142" s="19"/>
      <c r="T142" s="30"/>
      <c r="U142" s="30"/>
      <c r="V142" s="19"/>
      <c r="W142" s="19"/>
      <c r="X142" s="19"/>
    </row>
    <row r="143" spans="2:24" x14ac:dyDescent="0.25"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2:24" x14ac:dyDescent="0.25">
      <c r="B144" s="33"/>
      <c r="C144" s="33"/>
      <c r="D144" s="33"/>
      <c r="E144" s="33"/>
      <c r="F144" s="33"/>
      <c r="G144" s="19"/>
      <c r="H144" s="34"/>
      <c r="I144" s="34"/>
      <c r="J144" s="34"/>
      <c r="K144" s="34"/>
      <c r="L144" s="34"/>
      <c r="M144" s="19"/>
      <c r="N144" s="33"/>
      <c r="O144" s="33"/>
      <c r="P144" s="33"/>
      <c r="Q144" s="33"/>
      <c r="R144" s="33"/>
      <c r="S144" s="19"/>
      <c r="T144" s="34"/>
      <c r="U144" s="34"/>
      <c r="V144" s="34"/>
      <c r="W144" s="34"/>
      <c r="X144" s="34"/>
    </row>
    <row r="145" spans="2:24" x14ac:dyDescent="0.25">
      <c r="B145" s="35"/>
      <c r="C145" s="35"/>
      <c r="D145" s="35"/>
      <c r="E145" s="36"/>
      <c r="F145" s="35"/>
      <c r="G145" s="19"/>
      <c r="H145" s="35"/>
      <c r="I145" s="36"/>
      <c r="J145" s="36"/>
      <c r="K145" s="36"/>
      <c r="L145" s="36"/>
      <c r="M145" s="19"/>
      <c r="N145" s="35"/>
      <c r="O145" s="35"/>
      <c r="P145" s="35"/>
      <c r="Q145" s="36"/>
      <c r="R145" s="35"/>
      <c r="S145" s="19"/>
      <c r="T145" s="35"/>
      <c r="U145" s="36"/>
      <c r="V145" s="36"/>
      <c r="W145" s="36"/>
      <c r="X145" s="36"/>
    </row>
    <row r="146" spans="2:24" x14ac:dyDescent="0.25">
      <c r="B146" s="19"/>
      <c r="C146" s="19"/>
      <c r="D146" s="19"/>
      <c r="E146" s="19"/>
      <c r="F146" s="37"/>
      <c r="G146" s="19"/>
      <c r="H146" s="19"/>
      <c r="I146" s="19"/>
      <c r="J146" s="19"/>
      <c r="K146" s="19"/>
      <c r="L146" s="37"/>
      <c r="M146" s="19"/>
      <c r="N146" s="19"/>
      <c r="O146" s="19"/>
      <c r="P146" s="19"/>
      <c r="Q146" s="19"/>
      <c r="R146" s="37"/>
      <c r="S146" s="19"/>
      <c r="T146" s="19"/>
      <c r="U146" s="19"/>
      <c r="V146" s="19"/>
      <c r="W146" s="19"/>
      <c r="X146" s="37"/>
    </row>
    <row r="147" spans="2:24" x14ac:dyDescent="0.25">
      <c r="B147" s="19"/>
      <c r="C147" s="19"/>
      <c r="D147" s="19"/>
      <c r="E147" s="19"/>
      <c r="F147" s="37"/>
      <c r="G147" s="19"/>
      <c r="H147" s="19"/>
      <c r="I147" s="19"/>
      <c r="J147" s="19"/>
      <c r="K147" s="19"/>
      <c r="L147" s="37"/>
      <c r="M147" s="19"/>
      <c r="N147" s="19"/>
      <c r="O147" s="19"/>
      <c r="P147" s="19"/>
      <c r="Q147" s="19"/>
      <c r="R147" s="37"/>
      <c r="S147" s="19"/>
      <c r="T147" s="19"/>
      <c r="U147" s="19"/>
      <c r="V147" s="19"/>
      <c r="W147" s="19"/>
      <c r="X147" s="37"/>
    </row>
    <row r="148" spans="2:24" x14ac:dyDescent="0.25">
      <c r="B148" s="19"/>
      <c r="C148" s="19"/>
      <c r="D148" s="19"/>
      <c r="E148" s="19"/>
      <c r="F148" s="37"/>
      <c r="G148" s="19"/>
      <c r="H148" s="19"/>
      <c r="I148" s="19"/>
      <c r="J148" s="19"/>
      <c r="K148" s="19"/>
      <c r="L148" s="37"/>
      <c r="M148" s="19"/>
      <c r="N148" s="19"/>
      <c r="O148" s="19"/>
      <c r="P148" s="19"/>
      <c r="Q148" s="19"/>
      <c r="R148" s="37"/>
      <c r="S148" s="19"/>
      <c r="T148" s="19"/>
      <c r="U148" s="19"/>
      <c r="V148" s="19"/>
      <c r="W148" s="19"/>
      <c r="X148" s="37"/>
    </row>
    <row r="149" spans="2:24" x14ac:dyDescent="0.25">
      <c r="B149" s="19"/>
      <c r="C149" s="19"/>
      <c r="D149" s="19"/>
      <c r="E149" s="19"/>
      <c r="F149" s="37"/>
      <c r="G149" s="19"/>
      <c r="H149" s="19"/>
      <c r="I149" s="19"/>
      <c r="J149" s="19"/>
      <c r="K149" s="19"/>
      <c r="L149" s="37"/>
      <c r="M149" s="19"/>
      <c r="N149" s="19"/>
      <c r="O149" s="19"/>
      <c r="P149" s="19"/>
      <c r="Q149" s="19"/>
      <c r="R149" s="37"/>
      <c r="S149" s="19"/>
      <c r="T149" s="19"/>
      <c r="U149" s="19"/>
      <c r="V149" s="19"/>
      <c r="W149" s="19"/>
      <c r="X149" s="37"/>
    </row>
    <row r="150" spans="2:24" x14ac:dyDescent="0.25">
      <c r="B150" s="19"/>
      <c r="C150" s="19"/>
      <c r="D150" s="19"/>
      <c r="E150" s="19"/>
      <c r="F150" s="37"/>
      <c r="G150" s="19"/>
      <c r="H150" s="19"/>
      <c r="I150" s="19"/>
      <c r="J150" s="19"/>
      <c r="K150" s="19"/>
      <c r="L150" s="37"/>
      <c r="M150" s="19"/>
      <c r="N150" s="19"/>
      <c r="O150" s="19"/>
      <c r="P150" s="19"/>
      <c r="Q150" s="19"/>
      <c r="R150" s="37"/>
      <c r="S150" s="19"/>
      <c r="T150" s="19"/>
      <c r="U150" s="19"/>
      <c r="V150" s="19"/>
      <c r="W150" s="19"/>
      <c r="X150" s="37"/>
    </row>
    <row r="151" spans="2:24" x14ac:dyDescent="0.25">
      <c r="B151" s="19"/>
      <c r="C151" s="19"/>
      <c r="D151" s="19"/>
      <c r="E151" s="19"/>
      <c r="F151" s="37"/>
      <c r="G151" s="19"/>
      <c r="H151" s="19"/>
      <c r="I151" s="19"/>
      <c r="J151" s="19"/>
      <c r="K151" s="19"/>
      <c r="L151" s="37"/>
      <c r="M151" s="19"/>
      <c r="N151" s="19"/>
      <c r="O151" s="19"/>
      <c r="P151" s="19"/>
      <c r="Q151" s="19"/>
      <c r="R151" s="37"/>
      <c r="S151" s="19"/>
      <c r="T151" s="19"/>
      <c r="U151" s="19"/>
      <c r="V151" s="19"/>
      <c r="W151" s="19"/>
      <c r="X151" s="37"/>
    </row>
    <row r="152" spans="2:24" x14ac:dyDescent="0.25">
      <c r="B152" s="19"/>
      <c r="C152" s="19"/>
      <c r="D152" s="19"/>
      <c r="E152" s="19"/>
      <c r="F152" s="37"/>
      <c r="G152" s="19"/>
      <c r="H152" s="19"/>
      <c r="I152" s="19"/>
      <c r="J152" s="19"/>
      <c r="K152" s="19"/>
      <c r="L152" s="37"/>
      <c r="M152" s="19"/>
      <c r="N152" s="19"/>
      <c r="O152" s="19"/>
      <c r="P152" s="19"/>
      <c r="Q152" s="19"/>
      <c r="R152" s="37"/>
      <c r="S152" s="19"/>
      <c r="T152" s="19"/>
      <c r="U152" s="19"/>
      <c r="V152" s="19"/>
      <c r="W152" s="19"/>
      <c r="X152" s="37"/>
    </row>
    <row r="153" spans="2:24" x14ac:dyDescent="0.25">
      <c r="B153" s="19"/>
      <c r="C153" s="19"/>
      <c r="D153" s="19"/>
      <c r="E153" s="19"/>
      <c r="F153" s="37"/>
      <c r="G153" s="19"/>
      <c r="H153" s="19"/>
      <c r="I153" s="19"/>
      <c r="J153" s="19"/>
      <c r="K153" s="19"/>
      <c r="L153" s="37"/>
      <c r="M153" s="19"/>
      <c r="N153" s="19"/>
      <c r="O153" s="19"/>
      <c r="P153" s="19"/>
      <c r="Q153" s="19"/>
      <c r="R153" s="37"/>
      <c r="S153" s="19"/>
      <c r="T153" s="19"/>
      <c r="U153" s="19"/>
      <c r="V153" s="19"/>
      <c r="W153" s="19"/>
      <c r="X153" s="37"/>
    </row>
    <row r="154" spans="2:24" x14ac:dyDescent="0.25">
      <c r="B154" s="19"/>
      <c r="C154" s="19"/>
      <c r="D154" s="19"/>
      <c r="E154" s="19"/>
      <c r="F154" s="37"/>
      <c r="G154" s="19"/>
      <c r="H154" s="19"/>
      <c r="I154" s="19"/>
      <c r="J154" s="19"/>
      <c r="K154" s="19"/>
      <c r="L154" s="37"/>
      <c r="M154" s="19"/>
      <c r="N154" s="19"/>
      <c r="O154" s="19"/>
      <c r="P154" s="19"/>
      <c r="Q154" s="19"/>
      <c r="R154" s="37"/>
      <c r="S154" s="19"/>
      <c r="T154" s="19"/>
      <c r="U154" s="19"/>
      <c r="V154" s="19"/>
      <c r="W154" s="19"/>
      <c r="X154" s="37"/>
    </row>
    <row r="155" spans="2:24" x14ac:dyDescent="0.25">
      <c r="B155" s="19"/>
      <c r="C155" s="19"/>
      <c r="D155" s="19"/>
      <c r="E155" s="19"/>
      <c r="F155" s="37"/>
      <c r="G155" s="19"/>
      <c r="H155" s="19"/>
      <c r="I155" s="19"/>
      <c r="J155" s="19"/>
      <c r="K155" s="19"/>
      <c r="L155" s="37"/>
      <c r="M155" s="19"/>
      <c r="N155" s="19"/>
      <c r="O155" s="19"/>
      <c r="P155" s="19"/>
      <c r="Q155" s="19"/>
      <c r="R155" s="37"/>
      <c r="S155" s="19"/>
      <c r="T155" s="19"/>
      <c r="U155" s="19"/>
      <c r="V155" s="19"/>
      <c r="W155" s="19"/>
      <c r="X155" s="37"/>
    </row>
    <row r="156" spans="2:24" x14ac:dyDescent="0.25">
      <c r="B156" s="45"/>
      <c r="C156" s="19"/>
      <c r="D156" s="19"/>
      <c r="E156" s="19"/>
      <c r="F156" s="37"/>
      <c r="G156" s="19"/>
      <c r="H156" s="19"/>
      <c r="I156" s="19"/>
      <c r="J156" s="19"/>
      <c r="K156" s="19"/>
      <c r="L156" s="37"/>
      <c r="M156" s="19"/>
      <c r="N156" s="45"/>
      <c r="O156" s="19"/>
      <c r="P156" s="19"/>
      <c r="Q156" s="19"/>
      <c r="R156" s="37"/>
      <c r="S156" s="19"/>
      <c r="T156" s="19"/>
      <c r="U156" s="19"/>
      <c r="V156" s="19"/>
      <c r="W156" s="19"/>
      <c r="X156" s="37"/>
    </row>
    <row r="157" spans="2:24" x14ac:dyDescent="0.25">
      <c r="B157" s="19"/>
      <c r="C157" s="19"/>
      <c r="D157" s="19"/>
      <c r="E157" s="19"/>
      <c r="F157" s="37"/>
      <c r="G157" s="19"/>
      <c r="H157" s="19"/>
      <c r="I157" s="19"/>
      <c r="J157" s="19"/>
      <c r="K157" s="19"/>
      <c r="L157" s="37"/>
      <c r="M157" s="19"/>
      <c r="N157" s="19"/>
      <c r="O157" s="19"/>
      <c r="P157" s="19"/>
      <c r="Q157" s="19"/>
      <c r="R157" s="37"/>
      <c r="S157" s="19"/>
      <c r="T157" s="19"/>
      <c r="U157" s="19"/>
      <c r="V157" s="19"/>
      <c r="W157" s="19"/>
      <c r="X157" s="37"/>
    </row>
    <row r="158" spans="2:24" x14ac:dyDescent="0.25">
      <c r="B158" s="19"/>
      <c r="C158" s="19"/>
      <c r="D158" s="19"/>
      <c r="E158" s="19"/>
      <c r="F158" s="37"/>
      <c r="G158" s="19"/>
      <c r="H158" s="19"/>
      <c r="I158" s="19"/>
      <c r="J158" s="19"/>
      <c r="K158" s="19"/>
      <c r="L158" s="37"/>
      <c r="M158" s="19"/>
      <c r="N158" s="19"/>
      <c r="O158" s="19"/>
      <c r="P158" s="19"/>
      <c r="Q158" s="19"/>
      <c r="R158" s="37"/>
      <c r="S158" s="19"/>
      <c r="T158" s="19"/>
      <c r="U158" s="19"/>
      <c r="V158" s="19"/>
      <c r="W158" s="19"/>
      <c r="X158" s="37"/>
    </row>
    <row r="159" spans="2:24" x14ac:dyDescent="0.25">
      <c r="B159" s="19"/>
      <c r="C159" s="19"/>
      <c r="D159" s="19"/>
      <c r="E159" s="19"/>
      <c r="F159" s="37"/>
      <c r="G159" s="19"/>
      <c r="H159" s="19"/>
      <c r="I159" s="19"/>
      <c r="J159" s="19"/>
      <c r="K159" s="19"/>
      <c r="L159" s="37"/>
      <c r="M159" s="19"/>
      <c r="N159" s="19"/>
      <c r="O159" s="19"/>
      <c r="P159" s="19"/>
      <c r="Q159" s="19"/>
      <c r="R159" s="37"/>
      <c r="S159" s="19"/>
      <c r="T159" s="19"/>
      <c r="U159" s="19"/>
      <c r="V159" s="19"/>
      <c r="W159" s="19"/>
      <c r="X159" s="37"/>
    </row>
    <row r="160" spans="2:24" x14ac:dyDescent="0.25">
      <c r="B160" s="19"/>
      <c r="C160" s="19"/>
      <c r="D160" s="19"/>
      <c r="E160" s="19"/>
      <c r="F160" s="37"/>
      <c r="G160" s="19"/>
      <c r="H160" s="19"/>
      <c r="I160" s="19"/>
      <c r="J160" s="19"/>
      <c r="K160" s="19"/>
      <c r="L160" s="37"/>
      <c r="M160" s="19"/>
      <c r="N160" s="19"/>
      <c r="O160" s="19"/>
      <c r="P160" s="19"/>
      <c r="Q160" s="19"/>
      <c r="R160" s="37"/>
      <c r="S160" s="19"/>
      <c r="T160" s="19"/>
      <c r="U160" s="19"/>
      <c r="V160" s="19"/>
      <c r="W160" s="19"/>
      <c r="X160" s="37"/>
    </row>
    <row r="161" spans="2:24" x14ac:dyDescent="0.25">
      <c r="B161" s="19"/>
      <c r="C161" s="19"/>
      <c r="D161" s="19"/>
      <c r="E161" s="19"/>
      <c r="F161" s="37"/>
      <c r="G161" s="19"/>
      <c r="H161" s="19"/>
      <c r="I161" s="19"/>
      <c r="J161" s="19"/>
      <c r="K161" s="19"/>
      <c r="L161" s="37"/>
      <c r="M161" s="19"/>
      <c r="N161" s="19"/>
      <c r="O161" s="19"/>
      <c r="P161" s="19"/>
      <c r="Q161" s="19"/>
      <c r="R161" s="37"/>
      <c r="S161" s="19"/>
      <c r="T161" s="19"/>
      <c r="U161" s="19"/>
      <c r="V161" s="19"/>
      <c r="W161" s="19"/>
      <c r="X161" s="37"/>
    </row>
    <row r="162" spans="2:24" x14ac:dyDescent="0.25">
      <c r="B162" s="19"/>
      <c r="C162" s="19"/>
      <c r="D162" s="19"/>
      <c r="E162" s="19"/>
      <c r="F162" s="37"/>
      <c r="G162" s="19"/>
      <c r="H162" s="19"/>
      <c r="I162" s="19"/>
      <c r="J162" s="19"/>
      <c r="K162" s="19"/>
      <c r="L162" s="37"/>
      <c r="M162" s="19"/>
      <c r="N162" s="19"/>
      <c r="O162" s="19"/>
      <c r="P162" s="19"/>
      <c r="Q162" s="19"/>
      <c r="R162" s="37"/>
      <c r="S162" s="19"/>
      <c r="T162" s="19"/>
      <c r="U162" s="19"/>
      <c r="V162" s="19"/>
      <c r="W162" s="19"/>
      <c r="X162" s="37"/>
    </row>
    <row r="163" spans="2:24" x14ac:dyDescent="0.25">
      <c r="B163" s="19"/>
      <c r="C163" s="19"/>
      <c r="D163" s="19"/>
      <c r="E163" s="19"/>
      <c r="F163" s="37"/>
      <c r="G163" s="19"/>
      <c r="H163" s="19"/>
      <c r="I163" s="19"/>
      <c r="J163" s="19"/>
      <c r="K163" s="19"/>
      <c r="L163" s="37"/>
      <c r="M163" s="19"/>
      <c r="N163" s="19"/>
      <c r="O163" s="19"/>
      <c r="P163" s="19"/>
      <c r="Q163" s="19"/>
      <c r="R163" s="37"/>
      <c r="S163" s="19"/>
      <c r="T163" s="19"/>
      <c r="U163" s="19"/>
      <c r="V163" s="19"/>
      <c r="W163" s="19"/>
      <c r="X163" s="37"/>
    </row>
    <row r="164" spans="2:24" x14ac:dyDescent="0.25">
      <c r="B164" s="19"/>
      <c r="C164" s="19"/>
      <c r="D164" s="19"/>
      <c r="E164" s="19"/>
      <c r="F164" s="37"/>
      <c r="G164" s="19"/>
      <c r="H164" s="19"/>
      <c r="I164" s="19"/>
      <c r="J164" s="19"/>
      <c r="K164" s="19"/>
      <c r="L164" s="37"/>
      <c r="M164" s="19"/>
      <c r="N164" s="19"/>
      <c r="O164" s="19"/>
      <c r="P164" s="19"/>
      <c r="Q164" s="19"/>
      <c r="R164" s="37"/>
      <c r="S164" s="19"/>
      <c r="T164" s="19"/>
      <c r="U164" s="19"/>
      <c r="V164" s="19"/>
      <c r="W164" s="19"/>
      <c r="X164" s="37"/>
    </row>
    <row r="165" spans="2:24" x14ac:dyDescent="0.25">
      <c r="B165" s="19"/>
      <c r="C165" s="19"/>
      <c r="D165" s="19"/>
      <c r="E165" s="19"/>
      <c r="F165" s="37"/>
      <c r="G165" s="19"/>
      <c r="H165" s="19"/>
      <c r="I165" s="19"/>
      <c r="J165" s="19"/>
      <c r="K165" s="19"/>
      <c r="L165" s="37"/>
      <c r="M165" s="19"/>
      <c r="N165" s="19"/>
      <c r="O165" s="19"/>
      <c r="P165" s="19"/>
      <c r="Q165" s="19"/>
      <c r="R165" s="37"/>
      <c r="S165" s="19"/>
      <c r="T165" s="19"/>
      <c r="U165" s="19"/>
      <c r="V165" s="19"/>
      <c r="W165" s="19"/>
      <c r="X165" s="37"/>
    </row>
    <row r="166" spans="2:24" x14ac:dyDescent="0.25">
      <c r="B166" s="19"/>
      <c r="C166" s="19"/>
      <c r="D166" s="19"/>
      <c r="E166" s="19"/>
      <c r="F166" s="37"/>
      <c r="G166" s="19"/>
      <c r="H166" s="19"/>
      <c r="I166" s="19"/>
      <c r="J166" s="19"/>
      <c r="K166" s="19"/>
      <c r="L166" s="37"/>
      <c r="M166" s="19"/>
      <c r="N166" s="19"/>
      <c r="O166" s="19"/>
      <c r="P166" s="19"/>
      <c r="Q166" s="19"/>
      <c r="R166" s="37"/>
      <c r="S166" s="19"/>
      <c r="T166" s="19"/>
      <c r="U166" s="19"/>
      <c r="V166" s="19"/>
      <c r="W166" s="19"/>
      <c r="X166" s="37"/>
    </row>
    <row r="167" spans="2:24" x14ac:dyDescent="0.25">
      <c r="B167" s="19"/>
      <c r="C167" s="19"/>
      <c r="D167" s="19"/>
      <c r="E167" s="19"/>
      <c r="F167" s="37"/>
      <c r="G167" s="19"/>
      <c r="H167" s="19"/>
      <c r="I167" s="19"/>
      <c r="J167" s="19"/>
      <c r="K167" s="19"/>
      <c r="L167" s="37"/>
      <c r="M167" s="19"/>
      <c r="N167" s="19"/>
      <c r="O167" s="19"/>
      <c r="P167" s="19"/>
      <c r="Q167" s="19"/>
      <c r="R167" s="37"/>
      <c r="S167" s="19"/>
      <c r="T167" s="19"/>
      <c r="U167" s="19"/>
      <c r="V167" s="19"/>
      <c r="W167" s="19"/>
      <c r="X167" s="37"/>
    </row>
    <row r="168" spans="2:24" x14ac:dyDescent="0.25">
      <c r="B168" s="19"/>
      <c r="C168" s="19"/>
      <c r="D168" s="19"/>
      <c r="E168" s="19"/>
      <c r="F168" s="37"/>
      <c r="G168" s="19"/>
      <c r="H168" s="38"/>
      <c r="I168" s="38"/>
      <c r="J168" s="38"/>
      <c r="K168" s="38"/>
      <c r="L168" s="39"/>
      <c r="M168" s="19"/>
      <c r="N168" s="19"/>
      <c r="O168" s="19"/>
      <c r="P168" s="19"/>
      <c r="Q168" s="19"/>
      <c r="R168" s="37"/>
      <c r="S168" s="19"/>
      <c r="T168" s="38"/>
      <c r="U168" s="38"/>
      <c r="V168" s="38"/>
      <c r="W168" s="38"/>
      <c r="X168" s="39"/>
    </row>
    <row r="169" spans="2:24" x14ac:dyDescent="0.25">
      <c r="B169" s="40"/>
      <c r="C169" s="40"/>
      <c r="D169" s="41"/>
      <c r="E169" s="41"/>
      <c r="F169" s="42"/>
      <c r="G169" s="19"/>
      <c r="H169" s="38"/>
      <c r="I169" s="38"/>
      <c r="J169" s="38"/>
      <c r="K169" s="38"/>
      <c r="L169" s="43"/>
      <c r="M169" s="19"/>
      <c r="N169" s="40"/>
      <c r="O169" s="40"/>
      <c r="P169" s="41"/>
      <c r="Q169" s="41"/>
      <c r="R169" s="42"/>
      <c r="S169" s="19"/>
      <c r="T169" s="38"/>
      <c r="U169" s="38"/>
      <c r="V169" s="38"/>
      <c r="W169" s="38"/>
      <c r="X169" s="43"/>
    </row>
    <row r="170" spans="2:24" x14ac:dyDescent="0.25">
      <c r="B170" s="44"/>
      <c r="C170" s="44"/>
      <c r="D170" s="44"/>
      <c r="E170" s="44"/>
      <c r="F170" s="43"/>
      <c r="G170" s="19"/>
      <c r="H170" s="38"/>
      <c r="I170" s="38"/>
      <c r="J170" s="38"/>
      <c r="K170" s="38"/>
      <c r="L170" s="43"/>
      <c r="M170" s="19"/>
      <c r="N170" s="44"/>
      <c r="O170" s="44"/>
      <c r="P170" s="44"/>
      <c r="Q170" s="44"/>
      <c r="R170" s="43"/>
      <c r="S170" s="19"/>
      <c r="T170" s="38"/>
      <c r="U170" s="38"/>
      <c r="V170" s="38"/>
      <c r="W170" s="38"/>
      <c r="X170" s="43"/>
    </row>
    <row r="171" spans="2:24" x14ac:dyDescent="0.25"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2:24" x14ac:dyDescent="0.25"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2:24" x14ac:dyDescent="0.25"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2:24" x14ac:dyDescent="0.25"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</sheetData>
  <mergeCells count="180">
    <mergeCell ref="B3:C3"/>
    <mergeCell ref="D3:F3"/>
    <mergeCell ref="H3:I3"/>
    <mergeCell ref="N3:O3"/>
    <mergeCell ref="P3:R3"/>
    <mergeCell ref="T3:U3"/>
    <mergeCell ref="B5:C5"/>
    <mergeCell ref="D5:F5"/>
    <mergeCell ref="H5:I5"/>
    <mergeCell ref="N5:O5"/>
    <mergeCell ref="P5:R5"/>
    <mergeCell ref="T5:U5"/>
    <mergeCell ref="B4:C4"/>
    <mergeCell ref="D4:F4"/>
    <mergeCell ref="H4:I4"/>
    <mergeCell ref="N4:O4"/>
    <mergeCell ref="P4:R4"/>
    <mergeCell ref="T4:U4"/>
    <mergeCell ref="H8:L8"/>
    <mergeCell ref="T8:X8"/>
    <mergeCell ref="H32:K32"/>
    <mergeCell ref="T32:W32"/>
    <mergeCell ref="B33:C33"/>
    <mergeCell ref="H33:K33"/>
    <mergeCell ref="N33:O33"/>
    <mergeCell ref="T33:W33"/>
    <mergeCell ref="B6:C6"/>
    <mergeCell ref="D6:F6"/>
    <mergeCell ref="H6:I6"/>
    <mergeCell ref="N6:O6"/>
    <mergeCell ref="P6:R6"/>
    <mergeCell ref="T6:U6"/>
    <mergeCell ref="B34:E34"/>
    <mergeCell ref="H34:K34"/>
    <mergeCell ref="N34:Q34"/>
    <mergeCell ref="T34:W34"/>
    <mergeCell ref="B37:C37"/>
    <mergeCell ref="D37:F37"/>
    <mergeCell ref="H37:I37"/>
    <mergeCell ref="N37:O37"/>
    <mergeCell ref="P37:R37"/>
    <mergeCell ref="T37:U37"/>
    <mergeCell ref="B39:C39"/>
    <mergeCell ref="D39:F39"/>
    <mergeCell ref="H39:I39"/>
    <mergeCell ref="N39:O39"/>
    <mergeCell ref="P39:R39"/>
    <mergeCell ref="T39:U39"/>
    <mergeCell ref="B38:C38"/>
    <mergeCell ref="D38:F38"/>
    <mergeCell ref="H38:I38"/>
    <mergeCell ref="N38:O38"/>
    <mergeCell ref="P38:R38"/>
    <mergeCell ref="T38:U38"/>
    <mergeCell ref="H42:L42"/>
    <mergeCell ref="T42:X42"/>
    <mergeCell ref="H66:K66"/>
    <mergeCell ref="T66:W66"/>
    <mergeCell ref="B67:C67"/>
    <mergeCell ref="H67:K67"/>
    <mergeCell ref="N67:O67"/>
    <mergeCell ref="T67:W67"/>
    <mergeCell ref="B40:C40"/>
    <mergeCell ref="D40:F40"/>
    <mergeCell ref="H40:I40"/>
    <mergeCell ref="N40:O40"/>
    <mergeCell ref="P40:R40"/>
    <mergeCell ref="T40:U40"/>
    <mergeCell ref="B68:E68"/>
    <mergeCell ref="H68:K68"/>
    <mergeCell ref="N68:Q68"/>
    <mergeCell ref="T68:W68"/>
    <mergeCell ref="B71:C71"/>
    <mergeCell ref="D71:F71"/>
    <mergeCell ref="H71:I71"/>
    <mergeCell ref="N71:O71"/>
    <mergeCell ref="P71:R71"/>
    <mergeCell ref="T71:U71"/>
    <mergeCell ref="B73:C73"/>
    <mergeCell ref="D73:F73"/>
    <mergeCell ref="H73:I73"/>
    <mergeCell ref="N73:O73"/>
    <mergeCell ref="P73:R73"/>
    <mergeCell ref="T73:U73"/>
    <mergeCell ref="B72:C72"/>
    <mergeCell ref="D72:F72"/>
    <mergeCell ref="H72:I72"/>
    <mergeCell ref="N72:O72"/>
    <mergeCell ref="P72:R72"/>
    <mergeCell ref="T72:U72"/>
    <mergeCell ref="H76:L76"/>
    <mergeCell ref="T76:X76"/>
    <mergeCell ref="H100:K100"/>
    <mergeCell ref="T100:W100"/>
    <mergeCell ref="B101:C101"/>
    <mergeCell ref="H101:K101"/>
    <mergeCell ref="N101:O101"/>
    <mergeCell ref="T101:W101"/>
    <mergeCell ref="B74:C74"/>
    <mergeCell ref="D74:F74"/>
    <mergeCell ref="H74:I74"/>
    <mergeCell ref="N74:O74"/>
    <mergeCell ref="P74:R74"/>
    <mergeCell ref="T74:U74"/>
    <mergeCell ref="B102:E102"/>
    <mergeCell ref="H102:K102"/>
    <mergeCell ref="N102:Q102"/>
    <mergeCell ref="T102:W102"/>
    <mergeCell ref="B105:C105"/>
    <mergeCell ref="D105:F105"/>
    <mergeCell ref="H105:I105"/>
    <mergeCell ref="N105:O105"/>
    <mergeCell ref="P105:R105"/>
    <mergeCell ref="T105:U105"/>
    <mergeCell ref="B107:C107"/>
    <mergeCell ref="D107:F107"/>
    <mergeCell ref="H107:I107"/>
    <mergeCell ref="N107:O107"/>
    <mergeCell ref="P107:R107"/>
    <mergeCell ref="T107:U107"/>
    <mergeCell ref="B106:C106"/>
    <mergeCell ref="D106:F106"/>
    <mergeCell ref="H106:I106"/>
    <mergeCell ref="N106:O106"/>
    <mergeCell ref="P106:R106"/>
    <mergeCell ref="T106:U106"/>
    <mergeCell ref="H110:L110"/>
    <mergeCell ref="T110:X110"/>
    <mergeCell ref="H134:K134"/>
    <mergeCell ref="T134:W134"/>
    <mergeCell ref="B135:C135"/>
    <mergeCell ref="H135:K135"/>
    <mergeCell ref="N135:O135"/>
    <mergeCell ref="T135:W135"/>
    <mergeCell ref="B108:C108"/>
    <mergeCell ref="D108:F108"/>
    <mergeCell ref="H108:I108"/>
    <mergeCell ref="N108:O108"/>
    <mergeCell ref="P108:R108"/>
    <mergeCell ref="T108:U108"/>
    <mergeCell ref="B140:C140"/>
    <mergeCell ref="D140:F140"/>
    <mergeCell ref="H140:I140"/>
    <mergeCell ref="N140:O140"/>
    <mergeCell ref="P140:R140"/>
    <mergeCell ref="T140:U140"/>
    <mergeCell ref="B136:E136"/>
    <mergeCell ref="H136:K136"/>
    <mergeCell ref="N136:Q136"/>
    <mergeCell ref="T136:W136"/>
    <mergeCell ref="B139:C139"/>
    <mergeCell ref="D139:F139"/>
    <mergeCell ref="H139:I139"/>
    <mergeCell ref="N139:O139"/>
    <mergeCell ref="P139:R139"/>
    <mergeCell ref="T139:U139"/>
    <mergeCell ref="B142:C142"/>
    <mergeCell ref="D142:F142"/>
    <mergeCell ref="H142:I142"/>
    <mergeCell ref="N142:O142"/>
    <mergeCell ref="P142:R142"/>
    <mergeCell ref="T142:U142"/>
    <mergeCell ref="B141:C141"/>
    <mergeCell ref="D141:F141"/>
    <mergeCell ref="H141:I141"/>
    <mergeCell ref="N141:O141"/>
    <mergeCell ref="P141:R141"/>
    <mergeCell ref="T141:U141"/>
    <mergeCell ref="B170:E170"/>
    <mergeCell ref="H170:K170"/>
    <mergeCell ref="N170:Q170"/>
    <mergeCell ref="T170:W170"/>
    <mergeCell ref="H144:L144"/>
    <mergeCell ref="T144:X144"/>
    <mergeCell ref="H168:K168"/>
    <mergeCell ref="T168:W168"/>
    <mergeCell ref="B169:C169"/>
    <mergeCell ref="H169:K169"/>
    <mergeCell ref="N169:O169"/>
    <mergeCell ref="T169:W169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117B0-212E-4E74-98F0-E65884F140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21</vt:lpstr>
      <vt:lpstr>IE R1 01-21-2026</vt:lpstr>
      <vt:lpstr>IE R2 01-21-2026</vt:lpstr>
      <vt:lpstr>IE R3 01-21-2026</vt:lpstr>
      <vt:lpstr>22</vt:lpstr>
      <vt:lpstr>IE R1 01-22-2026</vt:lpstr>
      <vt:lpstr>IE R2 01-22-2026</vt:lpstr>
      <vt:lpstr>IE R3 01-22-2026</vt:lpstr>
      <vt:lpstr>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2026-01-22T05:10:18Z</dcterms:created>
  <dcterms:modified xsi:type="dcterms:W3CDTF">2026-01-23T01:20:34Z</dcterms:modified>
</cp:coreProperties>
</file>