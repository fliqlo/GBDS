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D494825-3803-46F0-8FCC-674F18E6E91C}" xr6:coauthVersionLast="45" xr6:coauthVersionMax="47" xr10:uidLastSave="{00000000-0000-0000-0000-000000000000}"/>
  <bookViews>
    <workbookView xWindow="-120" yWindow="-120" windowWidth="29040" windowHeight="15840" firstSheet="9" activeTab="14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61" l="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61" l="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<sst xmlns="http://schemas.openxmlformats.org/spreadsheetml/2006/main" count="3770" uniqueCount="168">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</sst>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87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0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46055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>
        <v>283</v>
      </c>
      <c r="D6" s="13">
        <f t="shared" ref="D6:D28" si="1">C6*L6</f>
        <v>215363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>
        <v>10</v>
      </c>
      <c r="D7" s="13">
        <f t="shared" si="1"/>
        <v>7810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144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>
        <v>118</v>
      </c>
      <c r="D9" s="13">
        <f t="shared" si="1"/>
        <v>86494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>
        <v>14</v>
      </c>
      <c r="D13" s="48">
        <f t="shared" si="1"/>
        <v>4298</v>
      </c>
      <c r="F13" s="140" t="s">
        <v>36</v>
      </c>
      <c r="G13" s="141"/>
      <c r="H13" s="142">
        <f>D29</f>
        <v>314042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>
        <v>7</v>
      </c>
      <c r="D14" s="31">
        <f t="shared" si="1"/>
        <v>77</v>
      </c>
      <c r="F14" s="145" t="s">
        <v>39</v>
      </c>
      <c r="G14" s="146"/>
      <c r="H14" s="147">
        <f>D54</f>
        <v>21381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292661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324*6</f>
        <v>1944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87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314042</v>
      </c>
      <c r="F29" s="163" t="s">
        <v>55</v>
      </c>
      <c r="G29" s="164"/>
      <c r="H29" s="167">
        <f>H15-H16-H17-H18-H19-H20-H22-H23-H24+H26+H27+H28</f>
        <v>290717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95">
        <f t="shared" ref="H34:H39" si="2">F34*G34</f>
        <v>35000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95">
        <f t="shared" si="2"/>
        <v>9500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95">
        <f t="shared" si="2"/>
        <v>5800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95">
        <f t="shared" si="2"/>
        <v>700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>
        <v>101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0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9">
        <v>233510.5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 t="s">
        <v>146</v>
      </c>
      <c r="G45" s="62"/>
      <c r="H45" s="179">
        <v>5935.5</v>
      </c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3</v>
      </c>
      <c r="D49" s="12">
        <f>C49*42</f>
        <v>126</v>
      </c>
      <c r="F49" s="220" t="s">
        <v>86</v>
      </c>
      <c r="G49" s="167">
        <f>H34+H35+H36+H37+H38+H39+H40+H41+G42+H44+H45+H46</f>
        <v>290547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34</v>
      </c>
      <c r="D50" s="12">
        <f>C50*1.5</f>
        <v>51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-170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46055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458</v>
      </c>
      <c r="D6" s="13">
        <f t="shared" ref="D6:D28" si="1">C6*L6</f>
        <v>348538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11</v>
      </c>
      <c r="D7" s="13">
        <f t="shared" si="1"/>
        <v>8591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53</v>
      </c>
      <c r="D9" s="13">
        <f t="shared" si="1"/>
        <v>38849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20</v>
      </c>
      <c r="D13" s="48">
        <f t="shared" si="1"/>
        <v>6140</v>
      </c>
      <c r="F13" s="140" t="s">
        <v>36</v>
      </c>
      <c r="G13" s="141"/>
      <c r="H13" s="142">
        <f>D29</f>
        <v>403660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22</v>
      </c>
      <c r="D14" s="31">
        <f t="shared" si="1"/>
        <v>242</v>
      </c>
      <c r="F14" s="145" t="s">
        <v>39</v>
      </c>
      <c r="G14" s="146"/>
      <c r="H14" s="147">
        <f>D54</f>
        <v>63054.75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340605.25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492*6</f>
        <v>2952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87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403660</v>
      </c>
      <c r="F29" s="163" t="s">
        <v>55</v>
      </c>
      <c r="G29" s="164"/>
      <c r="H29" s="167">
        <f>H15-H16-H17-H18-H19-H20-H22-H23-H24+H26+H27</f>
        <v>337653.25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5">
        <f>F34*G34</f>
        <v>154000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95">
        <f t="shared" ref="H35:H39" si="2">F35*G35</f>
        <v>154500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5">
        <f>F36*G36</f>
        <v>400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95">
        <f t="shared" si="2"/>
        <v>18700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95">
        <f t="shared" si="2"/>
        <v>10100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5">
        <v>66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0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1</v>
      </c>
      <c r="D46" s="12">
        <f>C46*1.5</f>
        <v>1.5</v>
      </c>
      <c r="F46" s="37"/>
      <c r="G46" s="89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21</v>
      </c>
      <c r="D49" s="12">
        <f>C49*42</f>
        <v>882</v>
      </c>
      <c r="F49" s="220" t="s">
        <v>86</v>
      </c>
      <c r="G49" s="167">
        <f>H34+H35+H36+H37+H38+H39+H40+H41+G42+H44+H45+H46</f>
        <v>337766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18</v>
      </c>
      <c r="D50" s="12">
        <f>C50*1.5</f>
        <v>27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112.75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46055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330</v>
      </c>
      <c r="D6" s="13">
        <f t="shared" ref="D6:D28" si="1">C6*L6</f>
        <v>251130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7</v>
      </c>
      <c r="D7" s="13">
        <f t="shared" si="1"/>
        <v>5467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40</v>
      </c>
      <c r="D9" s="13">
        <f t="shared" si="1"/>
        <v>29320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5</v>
      </c>
      <c r="D12" s="48">
        <f t="shared" si="1"/>
        <v>4960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7</v>
      </c>
      <c r="D13" s="48">
        <f t="shared" si="1"/>
        <v>2149</v>
      </c>
      <c r="F13" s="140" t="s">
        <v>36</v>
      </c>
      <c r="G13" s="141"/>
      <c r="H13" s="142">
        <f>D29</f>
        <v>293070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4</v>
      </c>
      <c r="D14" s="31">
        <f t="shared" si="1"/>
        <v>44</v>
      </c>
      <c r="F14" s="145" t="s">
        <v>39</v>
      </c>
      <c r="G14" s="146"/>
      <c r="H14" s="147">
        <f>D54</f>
        <v>43414.5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249655.5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108*6</f>
        <v>648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87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293070</v>
      </c>
      <c r="F29" s="163" t="s">
        <v>55</v>
      </c>
      <c r="G29" s="164"/>
      <c r="H29" s="167">
        <f>H15-H16-H17-H18-H19-H20-H22-H23-H24+H26+H27</f>
        <v>249007.5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95">
        <f>F34*G34</f>
        <v>144000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95">
        <f>F35*G35</f>
        <v>28500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95">
        <f t="shared" si="2"/>
        <v>9200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95">
        <f t="shared" si="2"/>
        <v>350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95">
        <f t="shared" si="2"/>
        <v>40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4</v>
      </c>
      <c r="D42" s="12">
        <f>C42*2.25</f>
        <v>9</v>
      </c>
      <c r="F42" s="39" t="s">
        <v>79</v>
      </c>
      <c r="G42" s="195">
        <v>119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0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9">
        <v>67807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2</v>
      </c>
      <c r="D49" s="12">
        <f>C49*42</f>
        <v>84</v>
      </c>
      <c r="F49" s="220" t="s">
        <v>86</v>
      </c>
      <c r="G49" s="167">
        <f>H34+H35+H36+H37+H38+H39+H40+H41+G42+H44+H45+H46</f>
        <v>250016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7</v>
      </c>
      <c r="D50" s="12">
        <f>C50*1.5</f>
        <v>10.5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138</v>
      </c>
      <c r="G51" s="224">
        <f>G49-H29</f>
        <v>1008.5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46056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>
        <v>307</v>
      </c>
      <c r="D6" s="13">
        <f t="shared" ref="D6:D28" si="1">C6*L6</f>
        <v>233627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>
        <v>8</v>
      </c>
      <c r="D7" s="13">
        <f t="shared" si="1"/>
        <v>6248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144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>
        <v>20</v>
      </c>
      <c r="D9" s="13">
        <f t="shared" si="1"/>
        <v>14660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>
        <v>1</v>
      </c>
      <c r="D12" s="48">
        <f t="shared" si="1"/>
        <v>992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>
        <v>2</v>
      </c>
      <c r="D13" s="48">
        <f t="shared" si="1"/>
        <v>614</v>
      </c>
      <c r="F13" s="140" t="s">
        <v>36</v>
      </c>
      <c r="G13" s="141"/>
      <c r="H13" s="142">
        <f>D29</f>
        <v>263815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>
        <v>2</v>
      </c>
      <c r="D14" s="31">
        <f t="shared" si="1"/>
        <v>22</v>
      </c>
      <c r="F14" s="145" t="s">
        <v>39</v>
      </c>
      <c r="G14" s="146"/>
      <c r="H14" s="147">
        <f>D54</f>
        <v>36288.75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227526.25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>
        <f>6*6</f>
        <v>36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4">
        <v>50</v>
      </c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151</v>
      </c>
      <c r="C26" s="84">
        <v>12</v>
      </c>
      <c r="D26" s="48">
        <f t="shared" si="1"/>
        <v>454</v>
      </c>
      <c r="F26" s="75"/>
      <c r="G26" s="65"/>
      <c r="H26" s="179"/>
      <c r="I26" s="179"/>
      <c r="J26" s="17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>
        <v>5</v>
      </c>
      <c r="D28" s="48">
        <f t="shared" si="1"/>
        <v>4055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263815</v>
      </c>
      <c r="F29" s="163" t="s">
        <v>55</v>
      </c>
      <c r="G29" s="164"/>
      <c r="H29" s="167">
        <f>H15-H16-H17-H18-H19-H20-H22-H23-H24+H26+H27+H28</f>
        <v>227440.25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5">
        <f t="shared" ref="H34:H39" si="2">F34*G34</f>
        <v>191000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95">
        <f t="shared" si="2"/>
        <v>33500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95">
        <f t="shared" si="2"/>
        <v>2600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5">
        <f t="shared" si="2"/>
        <v>100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5">
        <v>19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1</v>
      </c>
      <c r="D44" s="12">
        <f>C44*120</f>
        <v>120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>
        <v>2</v>
      </c>
      <c r="D45" s="12">
        <f>C45*84</f>
        <v>168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20</v>
      </c>
      <c r="D46" s="12">
        <f>C46*1.5</f>
        <v>30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227219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10</v>
      </c>
      <c r="D50" s="12">
        <f>C50*1.5</f>
        <v>15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-221.25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46056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242</v>
      </c>
      <c r="D6" s="13">
        <f t="shared" ref="D6:D28" si="1">C6*L6</f>
        <v>184162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7</v>
      </c>
      <c r="D7" s="13">
        <f t="shared" si="1"/>
        <v>5467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33</v>
      </c>
      <c r="D9" s="13">
        <f t="shared" si="1"/>
        <v>24189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4</v>
      </c>
      <c r="D13" s="48">
        <f t="shared" si="1"/>
        <v>1228</v>
      </c>
      <c r="F13" s="140" t="s">
        <v>36</v>
      </c>
      <c r="G13" s="141"/>
      <c r="H13" s="142">
        <f>D29</f>
        <v>216897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9</v>
      </c>
      <c r="D14" s="31">
        <f t="shared" si="1"/>
        <v>99</v>
      </c>
      <c r="F14" s="145" t="s">
        <v>39</v>
      </c>
      <c r="G14" s="146"/>
      <c r="H14" s="147">
        <f>D54</f>
        <v>35701.5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181195.5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140*6</f>
        <v>840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216897</v>
      </c>
      <c r="F29" s="163" t="s">
        <v>55</v>
      </c>
      <c r="G29" s="164"/>
      <c r="H29" s="167">
        <f>H15-H16-H17-H18-H19-H20-H22-H23-H24+H26+H27</f>
        <v>180355.5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5">
        <f>F34*G34</f>
        <v>154000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5">
        <f t="shared" ref="H35:H39" si="2">F35*G35</f>
        <v>25500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95">
        <f t="shared" si="2"/>
        <v>700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95">
        <f t="shared" si="2"/>
        <v>50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12</v>
      </c>
      <c r="D42" s="12">
        <f>C42*2.25</f>
        <v>27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2</v>
      </c>
      <c r="D49" s="12">
        <f>C49*42</f>
        <v>84</v>
      </c>
      <c r="F49" s="220" t="s">
        <v>86</v>
      </c>
      <c r="G49" s="167">
        <f>H34+H35+H36+H37+H38+H39+H40+H41+G42+H44+H45+H46</f>
        <v>180250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4</v>
      </c>
      <c r="D50" s="12">
        <f>C50*1.5</f>
        <v>6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155</v>
      </c>
      <c r="G51" s="234">
        <f>G49-H29</f>
        <v>-105.5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46056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414</v>
      </c>
      <c r="D6" s="13">
        <f t="shared" ref="D6:D28" si="1">C6*L6</f>
        <v>315054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4</v>
      </c>
      <c r="D7" s="13">
        <f t="shared" si="1"/>
        <v>3124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35</v>
      </c>
      <c r="D9" s="13">
        <f t="shared" si="1"/>
        <v>25655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154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3</v>
      </c>
      <c r="D12" s="48">
        <f t="shared" si="1"/>
        <v>2976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12</v>
      </c>
      <c r="D13" s="48">
        <f t="shared" si="1"/>
        <v>3684</v>
      </c>
      <c r="F13" s="140" t="s">
        <v>36</v>
      </c>
      <c r="G13" s="141"/>
      <c r="H13" s="142">
        <f>D29</f>
        <v>355427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4</v>
      </c>
      <c r="D14" s="31">
        <f t="shared" si="1"/>
        <v>44</v>
      </c>
      <c r="F14" s="145" t="s">
        <v>39</v>
      </c>
      <c r="G14" s="146"/>
      <c r="H14" s="147">
        <f>D54</f>
        <v>51192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304235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329*6+50*6</f>
        <v>2274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355427</v>
      </c>
      <c r="F29" s="163" t="s">
        <v>55</v>
      </c>
      <c r="G29" s="164"/>
      <c r="H29" s="167">
        <f>H15-H16-H17-H18-H19-H20-H22-H23-H24+H26+H27</f>
        <v>301961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95">
        <f>F34*G34</f>
        <v>54000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5">
        <f>F35*G35</f>
        <v>21000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5">
        <f t="shared" ref="H36:H39" si="2">F36*G36</f>
        <v>600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95">
        <f t="shared" si="2"/>
        <v>8300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95">
        <f t="shared" si="2"/>
        <v>550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6</v>
      </c>
      <c r="D42" s="12">
        <f>C42*2.25</f>
        <v>13.5</v>
      </c>
      <c r="F42" s="39" t="s">
        <v>79</v>
      </c>
      <c r="G42" s="195">
        <v>480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9">
        <v>216552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7</v>
      </c>
      <c r="D49" s="12">
        <f>C49*42</f>
        <v>294</v>
      </c>
      <c r="F49" s="220" t="s">
        <v>86</v>
      </c>
      <c r="G49" s="167">
        <f>H34+H35+H36+H37+H38+H39+H40+H41+G42+H44+H45+H46</f>
        <v>301482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20</v>
      </c>
      <c r="D50" s="12">
        <f>C50*1.5</f>
        <v>30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-479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46057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>
        <v>235</v>
      </c>
      <c r="D6" s="13">
        <f t="shared" ref="D6:D28" si="1">C6*L6</f>
        <v>178835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>
        <v>2</v>
      </c>
      <c r="D7" s="13">
        <f t="shared" si="1"/>
        <v>1562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144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>
        <v>22</v>
      </c>
      <c r="D9" s="13">
        <f t="shared" si="1"/>
        <v>16126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>
        <v>5</v>
      </c>
      <c r="D13" s="48">
        <f t="shared" si="1"/>
        <v>1535</v>
      </c>
      <c r="F13" s="140" t="s">
        <v>36</v>
      </c>
      <c r="G13" s="141"/>
      <c r="H13" s="142">
        <f>D29</f>
        <v>198091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>
        <v>3</v>
      </c>
      <c r="D14" s="31">
        <f t="shared" si="1"/>
        <v>33</v>
      </c>
      <c r="F14" s="145" t="s">
        <v>39</v>
      </c>
      <c r="G14" s="146"/>
      <c r="H14" s="147">
        <f>D54</f>
        <v>31146.75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166944.25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198091</v>
      </c>
      <c r="F29" s="163" t="s">
        <v>55</v>
      </c>
      <c r="G29" s="164"/>
      <c r="H29" s="167">
        <f>H15-H16-H17-H18-H19-H20-H22-H23-H24+H26+H27+H28</f>
        <v>166944.25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5">
        <f t="shared" ref="H34:H39" si="2">F34*G34</f>
        <v>120000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5">
        <f t="shared" si="2"/>
        <v>16000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5">
        <f t="shared" si="2"/>
        <v>200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95">
        <f t="shared" si="2"/>
        <v>500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5">
        <f t="shared" si="2"/>
        <v>200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5">
        <v>25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 t="s">
        <v>157</v>
      </c>
      <c r="G44" s="85"/>
      <c r="H44" s="179">
        <v>30000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166925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43</v>
      </c>
      <c r="D50" s="12">
        <f>C50*1.5</f>
        <v>64.5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-19.25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46057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203</v>
      </c>
      <c r="D6" s="13">
        <f t="shared" ref="D6:D28" si="1">C6*L6</f>
        <v>154483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5</v>
      </c>
      <c r="D7" s="13">
        <f t="shared" si="1"/>
        <v>3905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18</v>
      </c>
      <c r="D9" s="13">
        <f t="shared" si="1"/>
        <v>13194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8</v>
      </c>
      <c r="D13" s="48">
        <f t="shared" si="1"/>
        <v>2456</v>
      </c>
      <c r="F13" s="140" t="s">
        <v>36</v>
      </c>
      <c r="G13" s="141"/>
      <c r="H13" s="142">
        <f>D29</f>
        <v>176482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1</v>
      </c>
      <c r="D14" s="31">
        <f t="shared" si="1"/>
        <v>11</v>
      </c>
      <c r="F14" s="145" t="s">
        <v>39</v>
      </c>
      <c r="G14" s="146"/>
      <c r="H14" s="147">
        <f>D54</f>
        <v>26237.25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150244.75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>
        <v>3</v>
      </c>
      <c r="D28" s="48">
        <f t="shared" si="1"/>
        <v>2433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176482</v>
      </c>
      <c r="F29" s="163" t="s">
        <v>55</v>
      </c>
      <c r="G29" s="164"/>
      <c r="H29" s="167">
        <f>H15-H16-H17-H18-H19-H20-H22-H23-H24+H26+H27</f>
        <v>150244.75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95">
        <f>F34*G34</f>
        <v>129000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95">
        <f t="shared" ref="H35:H39" si="2">F35*G35</f>
        <v>12000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5">
        <f>F36*G36</f>
        <v>400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95">
        <f t="shared" si="2"/>
        <v>7100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95">
        <f t="shared" si="2"/>
        <v>1850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5">
        <v>110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2</v>
      </c>
      <c r="D46" s="12">
        <f>C46*1.5</f>
        <v>3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1</v>
      </c>
      <c r="D49" s="12">
        <f>C49*42</f>
        <v>42</v>
      </c>
      <c r="F49" s="220" t="s">
        <v>86</v>
      </c>
      <c r="G49" s="167">
        <f>H34+H35+H36+H37+H38+H39+H40+H41+G42+H44+H45+H46</f>
        <v>150460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3</v>
      </c>
      <c r="D50" s="12">
        <f>C50*1.5</f>
        <v>4.5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215.25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46057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474</v>
      </c>
      <c r="D6" s="13">
        <f t="shared" ref="D6:D28" si="1">C6*L6</f>
        <v>360714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20</v>
      </c>
      <c r="D7" s="13">
        <f t="shared" si="1"/>
        <v>15620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>
        <v>2</v>
      </c>
      <c r="D8" s="13">
        <f t="shared" si="1"/>
        <v>2186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143</v>
      </c>
      <c r="D9" s="13">
        <f t="shared" si="1"/>
        <v>104819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>
        <v>3</v>
      </c>
      <c r="D10" s="13">
        <f t="shared" si="1"/>
        <v>3096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>
        <v>2</v>
      </c>
      <c r="D11" s="13">
        <f t="shared" si="1"/>
        <v>2340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5</v>
      </c>
      <c r="D12" s="48">
        <f t="shared" si="1"/>
        <v>4960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13</v>
      </c>
      <c r="D13" s="48">
        <f t="shared" si="1"/>
        <v>3991</v>
      </c>
      <c r="F13" s="140" t="s">
        <v>36</v>
      </c>
      <c r="G13" s="141"/>
      <c r="H13" s="142">
        <f>D29</f>
        <v>505520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73287.75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432232.25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144*6+329*6+121*6</f>
        <v>3564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>
        <v>50</v>
      </c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>
        <v>4</v>
      </c>
      <c r="D28" s="48">
        <f t="shared" si="1"/>
        <v>3244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505520</v>
      </c>
      <c r="F29" s="163" t="s">
        <v>55</v>
      </c>
      <c r="G29" s="164"/>
      <c r="H29" s="167">
        <f>H15-H16-H17-H18-H19-H20-H22-H23-H24+H26+H27</f>
        <v>428618.25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95">
        <f>F34*G34</f>
        <v>184000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95">
        <f>F35*G35</f>
        <v>30000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95">
        <f t="shared" ref="H36:H39" si="2">F36*G36</f>
        <v>200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95">
        <f t="shared" si="2"/>
        <v>3600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95">
        <f t="shared" si="2"/>
        <v>1050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3</v>
      </c>
      <c r="D42" s="12">
        <f>C42*2.25</f>
        <v>6.75</v>
      </c>
      <c r="F42" s="39" t="s">
        <v>79</v>
      </c>
      <c r="G42" s="195">
        <v>106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9">
        <v>209026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>
        <v>6</v>
      </c>
      <c r="D45" s="12">
        <f>C45*84</f>
        <v>504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22</v>
      </c>
      <c r="D46" s="12">
        <f>C46*1.5</f>
        <v>33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5</v>
      </c>
      <c r="D49" s="12">
        <f>C49*42</f>
        <v>210</v>
      </c>
      <c r="F49" s="220" t="s">
        <v>86</v>
      </c>
      <c r="G49" s="167">
        <f>H34+H35+H36+H37+H38+H39+H40+H41+G42+H44+H45+H46</f>
        <v>427982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23</v>
      </c>
      <c r="D50" s="12">
        <f>C50*1.5</f>
        <v>34.5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159</v>
      </c>
      <c r="G51" s="234">
        <f>G49-H29</f>
        <v>-636.25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tabSelected="1" topLeftCell="A22"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46058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>
        <v>207</v>
      </c>
      <c r="D6" s="13">
        <f t="shared" ref="D6:D28" si="1">C6*L6</f>
        <v>157527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>
        <v>1</v>
      </c>
      <c r="D7" s="13">
        <f t="shared" si="1"/>
        <v>781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144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>
        <v>33</v>
      </c>
      <c r="D9" s="13">
        <f t="shared" si="1"/>
        <v>24189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>
        <v>2</v>
      </c>
      <c r="D12" s="48">
        <f t="shared" si="1"/>
        <v>1984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>
        <v>4</v>
      </c>
      <c r="D13" s="48">
        <f t="shared" si="1"/>
        <v>1228</v>
      </c>
      <c r="F13" s="140" t="s">
        <v>36</v>
      </c>
      <c r="G13" s="141"/>
      <c r="H13" s="142">
        <f>D29</f>
        <v>194843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>
        <v>6</v>
      </c>
      <c r="D14" s="31">
        <f t="shared" si="1"/>
        <v>66</v>
      </c>
      <c r="F14" s="145" t="s">
        <v>39</v>
      </c>
      <c r="G14" s="146"/>
      <c r="H14" s="147">
        <f>D54</f>
        <v>28632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>
        <v>1</v>
      </c>
      <c r="D15" s="31">
        <f t="shared" si="1"/>
        <v>620</v>
      </c>
      <c r="F15" s="150" t="s">
        <v>40</v>
      </c>
      <c r="G15" s="141"/>
      <c r="H15" s="151">
        <f>H13-H14</f>
        <v>166211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83" t="s">
        <v>165</v>
      </c>
      <c r="C22" s="84">
        <v>3</v>
      </c>
      <c r="D22" s="48">
        <f t="shared" si="1"/>
        <v>4746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194843</v>
      </c>
      <c r="F29" s="163" t="s">
        <v>55</v>
      </c>
      <c r="G29" s="164"/>
      <c r="H29" s="167">
        <f>H15-H16-H17-H18-H19-H20-H22-H23-H24+H26+H27+H28</f>
        <v>166211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95">
        <f t="shared" ref="H34:H39" si="2">F34*G34</f>
        <v>66000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95">
        <f t="shared" si="2"/>
        <v>9500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95">
        <f t="shared" si="2"/>
        <v>3100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95">
        <f t="shared" si="2"/>
        <v>1500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5">
        <f t="shared" si="2"/>
        <v>40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>
        <v>49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79">
        <v>85702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7</v>
      </c>
      <c r="D46" s="12">
        <f>C46*1.5</f>
        <v>10.5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165891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5</v>
      </c>
      <c r="D50" s="12">
        <f>C50*1.5</f>
        <v>7.5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-320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46058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205</v>
      </c>
      <c r="D6" s="13">
        <f t="shared" ref="D6:D28" si="1">C6*L6</f>
        <v>156005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29</v>
      </c>
      <c r="D9" s="13">
        <f t="shared" si="1"/>
        <v>21257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>
        <v>2</v>
      </c>
      <c r="D10" s="13">
        <f t="shared" si="1"/>
        <v>2064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1</v>
      </c>
      <c r="D12" s="48">
        <f t="shared" si="1"/>
        <v>992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8</v>
      </c>
      <c r="D13" s="48">
        <f t="shared" si="1"/>
        <v>2456</v>
      </c>
      <c r="F13" s="140" t="s">
        <v>36</v>
      </c>
      <c r="G13" s="141"/>
      <c r="H13" s="142">
        <f>D29</f>
        <v>187600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2</v>
      </c>
      <c r="D14" s="31">
        <f t="shared" si="1"/>
        <v>22</v>
      </c>
      <c r="F14" s="145" t="s">
        <v>39</v>
      </c>
      <c r="G14" s="146"/>
      <c r="H14" s="147">
        <f>D54</f>
        <v>23733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163867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192*6</f>
        <v>1152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187600</v>
      </c>
      <c r="F29" s="163" t="s">
        <v>55</v>
      </c>
      <c r="G29" s="164"/>
      <c r="H29" s="167">
        <f>H15-H16-H17-H18-H19-H20-H22-H23-H24+H26+H27</f>
        <v>162715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95">
        <f>F34*G34</f>
        <v>28000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5">
        <f t="shared" ref="H35:H39" si="2">F35*G35</f>
        <v>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95">
        <f t="shared" si="2"/>
        <v>200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4</v>
      </c>
      <c r="D42" s="12">
        <f>C42*2.25</f>
        <v>9</v>
      </c>
      <c r="F42" s="39" t="s">
        <v>79</v>
      </c>
      <c r="G42" s="195">
        <v>150</v>
      </c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79">
        <v>134176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>
        <v>9</v>
      </c>
      <c r="D49" s="12">
        <f>C49*42</f>
        <v>378</v>
      </c>
      <c r="F49" s="220" t="s">
        <v>86</v>
      </c>
      <c r="G49" s="167">
        <f>H34+H35+H36+H37+H38+H39+H40+H41+G42+H44+H45+H46</f>
        <v>163026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>
        <v>4</v>
      </c>
      <c r="D50" s="12">
        <f>C50*1.5</f>
        <v>6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311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46058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248</v>
      </c>
      <c r="D6" s="13">
        <f t="shared" ref="D6:D28" si="1">C6*L6</f>
        <v>188728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6</v>
      </c>
      <c r="D9" s="13">
        <f t="shared" si="1"/>
        <v>4398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>
        <v>4</v>
      </c>
      <c r="D11" s="13">
        <f t="shared" si="1"/>
        <v>4680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3</v>
      </c>
      <c r="D12" s="48">
        <f t="shared" si="1"/>
        <v>2976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10</v>
      </c>
      <c r="D13" s="48">
        <f t="shared" si="1"/>
        <v>3070</v>
      </c>
      <c r="F13" s="140" t="s">
        <v>36</v>
      </c>
      <c r="G13" s="141"/>
      <c r="H13" s="142">
        <f>D29</f>
        <v>206767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9</v>
      </c>
      <c r="D14" s="31">
        <f t="shared" si="1"/>
        <v>99</v>
      </c>
      <c r="F14" s="145" t="s">
        <v>39</v>
      </c>
      <c r="G14" s="146"/>
      <c r="H14" s="147">
        <f>D54</f>
        <v>50062.5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>
        <v>1</v>
      </c>
      <c r="D15" s="31">
        <f t="shared" si="1"/>
        <v>620</v>
      </c>
      <c r="F15" s="150" t="s">
        <v>40</v>
      </c>
      <c r="G15" s="141"/>
      <c r="H15" s="151">
        <f>H13-H14</f>
        <v>156704.5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>
        <f>103*6+108*6</f>
        <v>1266</v>
      </c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206767</v>
      </c>
      <c r="F29" s="163" t="s">
        <v>55</v>
      </c>
      <c r="G29" s="164"/>
      <c r="H29" s="167">
        <f>H15-H16-H17-H18-H19-H20-H22-H23-H24+H26+H27</f>
        <v>155438.5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95">
        <f>F34*G34</f>
        <v>36000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5">
        <f>F35*G35</f>
        <v>500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>
        <v>4</v>
      </c>
      <c r="D42" s="12">
        <f>C42*2.25</f>
        <v>9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79">
        <f>56380</f>
        <v>56380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79">
        <v>62596</v>
      </c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155476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138</v>
      </c>
      <c r="G51" s="224">
        <f>G49-H29</f>
        <v>37.5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46059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/>
      <c r="D6" s="13">
        <f t="shared" ref="D6:D28" si="1">C6*L6</f>
        <v>0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111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H15-H16-H17-H18-H19-H20-H22-H23-H24+H26+H27+H28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46059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46059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46060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/>
      <c r="D6" s="13">
        <f t="shared" ref="D6:D28" si="1">C6*L6</f>
        <v>0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111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H15-H16-H17-H18-H19-H20-H22-H23-H24+H26+H27+H28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46060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46060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46062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84"/>
      <c r="D6" s="13">
        <f t="shared" ref="D6:D28" si="1">C6*L6</f>
        <v>0</v>
      </c>
      <c r="F6" s="118" t="s">
        <v>16</v>
      </c>
      <c r="G6" s="120" t="s">
        <v>111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84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84"/>
      <c r="D8" s="13">
        <f t="shared" si="1"/>
        <v>0</v>
      </c>
      <c r="F8" s="126" t="s">
        <v>21</v>
      </c>
      <c r="G8" s="128" t="s">
        <v>111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84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84"/>
      <c r="D10" s="13">
        <f t="shared" si="1"/>
        <v>0</v>
      </c>
      <c r="F10" s="118" t="s">
        <v>26</v>
      </c>
      <c r="G10" s="134" t="s">
        <v>114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84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84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84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84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84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133</v>
      </c>
      <c r="C17" s="84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7"/>
      <c r="I19" s="127"/>
      <c r="J19" s="127"/>
      <c r="L19" s="6">
        <v>1102</v>
      </c>
      <c r="Q19" s="4"/>
      <c r="R19" s="5">
        <f t="shared" si="0"/>
        <v>0</v>
      </c>
    </row>
    <row r="20" spans="1:18" ht="15.75" x14ac:dyDescent="0.25">
      <c r="A20" s="11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124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118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110</v>
      </c>
      <c r="C27" s="84"/>
      <c r="D27" s="44">
        <f t="shared" si="1"/>
        <v>0</v>
      </c>
      <c r="F27" s="71"/>
      <c r="G27" s="9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84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H15-H16-H17-H18-H19-H20-H22-H23-H24+H26+H27+H28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128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46062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126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113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139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93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7"/>
      <c r="I20" s="127"/>
      <c r="J20" s="12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120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135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46062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141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130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127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39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38</v>
      </c>
      <c r="C15" s="10"/>
      <c r="D15" s="31">
        <f t="shared" si="1"/>
        <v>0</v>
      </c>
      <c r="F15" s="150" t="s">
        <v>40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4"/>
      <c r="I16" s="154"/>
      <c r="J16" s="15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t="s">
        <v>112</v>
      </c>
      <c r="C17" s="10"/>
      <c r="D17" s="48">
        <f t="shared" si="1"/>
        <v>0</v>
      </c>
      <c r="F17" s="56"/>
      <c r="G17" s="66" t="s">
        <v>45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107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101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0" t="s">
        <v>13</v>
      </c>
      <c r="I25" s="181"/>
      <c r="J25" s="18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105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109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97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55</v>
      </c>
      <c r="G29" s="164"/>
      <c r="H29" s="167">
        <f>H15-H16-H17-H18-H19-H20-H22-H23-H24+H26+H27</f>
        <v>0</v>
      </c>
      <c r="I29" s="168"/>
      <c r="J29" s="16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58</v>
      </c>
      <c r="B32" s="103"/>
      <c r="C32" s="103"/>
      <c r="D32" s="104"/>
      <c r="F32" s="192" t="s">
        <v>59</v>
      </c>
      <c r="G32" s="193"/>
      <c r="H32" s="193"/>
      <c r="I32" s="193"/>
      <c r="J32" s="19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2" t="s">
        <v>13</v>
      </c>
      <c r="I33" s="193"/>
      <c r="J33" s="19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68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70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68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70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68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70</v>
      </c>
      <c r="C42" s="11"/>
      <c r="D42" s="12">
        <f>C42*2.25</f>
        <v>0</v>
      </c>
      <c r="F42" s="39" t="s">
        <v>79</v>
      </c>
      <c r="G42" s="195"/>
      <c r="H42" s="196"/>
      <c r="I42" s="196"/>
      <c r="J42" s="19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81</v>
      </c>
      <c r="C43" s="11"/>
      <c r="D43" s="12"/>
      <c r="F43" s="59" t="s">
        <v>82</v>
      </c>
      <c r="G43" s="95" t="s">
        <v>83</v>
      </c>
      <c r="H43" s="201" t="s">
        <v>13</v>
      </c>
      <c r="I43" s="202"/>
      <c r="J43" s="20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9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70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66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68</v>
      </c>
      <c r="C49" s="33"/>
      <c r="D49" s="12">
        <f>C49*42</f>
        <v>0</v>
      </c>
      <c r="F49" s="220" t="s">
        <v>86</v>
      </c>
      <c r="G49" s="167">
        <f>H34+H35+H36+H37+H38+H39+H40+H41+G42+H44+H45+H46</f>
        <v>0</v>
      </c>
      <c r="H49" s="168"/>
      <c r="I49" s="168"/>
      <c r="J49" s="16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70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137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138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3" t="s">
        <v>90</v>
      </c>
      <c r="B54" s="208"/>
      <c r="C54" s="209"/>
      <c r="D54" s="2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91</v>
      </c>
      <c r="B58" s="215"/>
      <c r="C58" s="215"/>
      <c r="D58" s="216"/>
      <c r="F58" s="214" t="s">
        <v>92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2026-02-06T02:42:20Z</cp:lastPrinted>
  <dcterms:created xsi:type="dcterms:W3CDTF">2024-09-01T23:36:50Z</dcterms:created>
  <dcterms:modified xsi:type="dcterms:W3CDTF">2026-02-06T02:51:43Z</dcterms:modified>
</cp:coreProperties>
</file>