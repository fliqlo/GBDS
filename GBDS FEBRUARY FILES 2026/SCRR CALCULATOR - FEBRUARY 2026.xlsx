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215F8B6-A1D4-4C82-A125-87BCEF8332B6}" xr6:coauthVersionLast="45" xr6:coauthVersionMax="47" xr10:uidLastSave="{00000000-0000-0000-0000-000000000000}"/>
  <bookViews>
    <workbookView xWindow="-120" yWindow="-120" windowWidth="29040" windowHeight="15840" firstSheet="23" activeTab="2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</sheets>
  <definedNames>
    <definedName name="_xlnm.Print_Area" localSheetId="29">'(10)'!$A$1:$J$60</definedName>
    <definedName name="_xlnm.Print_Area" localSheetId="33">'(11)'!$A$1:$J$60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1773" l="1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D54" i="1781" s="1"/>
  <c r="H14" i="1781" s="1"/>
  <c r="R34" i="1781"/>
  <c r="L12" i="1781" s="1"/>
  <c r="D12" i="1781" s="1"/>
  <c r="H34" i="1781"/>
  <c r="G49" i="1781" s="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D54" i="1780" s="1"/>
  <c r="H14" i="1780" s="1"/>
  <c r="R34" i="1780"/>
  <c r="L12" i="1780" s="1"/>
  <c r="D12" i="1780" s="1"/>
  <c r="H34" i="1780"/>
  <c r="G49" i="1780" s="1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G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D54" i="1779" s="1"/>
  <c r="H14" i="1779" s="1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D54" i="1777"/>
  <c r="H14" i="1777" s="1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G49" i="1777" s="1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29" i="1776" s="1"/>
  <c r="H13" i="1776" s="1"/>
  <c r="H15" i="1776" s="1"/>
  <c r="H29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G49" i="1776" s="1"/>
  <c r="D34" i="1776"/>
  <c r="D54" i="1776" s="1"/>
  <c r="H14" i="1776" s="1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L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G49" i="1775" s="1"/>
  <c r="D34" i="1775"/>
  <c r="D54" i="1775" s="1"/>
  <c r="H14" i="1775" s="1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D29" i="1781" l="1"/>
  <c r="H13" i="1781" s="1"/>
  <c r="H15" i="1781" s="1"/>
  <c r="H29" i="1781" s="1"/>
  <c r="G51" i="1781"/>
  <c r="D29" i="1780"/>
  <c r="H13" i="1780" s="1"/>
  <c r="H15" i="1780" s="1"/>
  <c r="H29" i="1780" s="1"/>
  <c r="G51" i="1780" s="1"/>
  <c r="D29" i="1779"/>
  <c r="H13" i="1779" s="1"/>
  <c r="H15" i="1779" s="1"/>
  <c r="H29" i="1779" s="1"/>
  <c r="G51" i="1779" s="1"/>
  <c r="D29" i="1778"/>
  <c r="H13" i="1778" s="1"/>
  <c r="H15" i="1778" s="1"/>
  <c r="H29" i="1778" s="1"/>
  <c r="G51" i="1778" s="1"/>
  <c r="D29" i="1777"/>
  <c r="H13" i="1777" s="1"/>
  <c r="H15" i="1777" s="1"/>
  <c r="H29" i="1777" s="1"/>
  <c r="G51" i="1777" s="1"/>
  <c r="G51" i="1776"/>
  <c r="D29" i="1775"/>
  <c r="H13" i="1775" s="1"/>
  <c r="H15" i="1775" s="1"/>
  <c r="H29" i="1775" s="1"/>
  <c r="G51" i="1775" s="1"/>
  <c r="D29" i="1774"/>
  <c r="H13" i="1774" s="1"/>
  <c r="H15" i="1774" s="1"/>
  <c r="H29" i="1774" s="1"/>
  <c r="G51" i="1774"/>
  <c r="H16" i="1769"/>
  <c r="H16" i="1768"/>
  <c r="C12" i="1767" l="1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<sst xmlns="http://schemas.openxmlformats.org/spreadsheetml/2006/main" count="4852" uniqueCount="177">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</sst>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7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283</v>
      </c>
      <c r="D6" s="13">
        <f t="shared" ref="D6:D28" si="1">C6*L6</f>
        <v>215363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118</v>
      </c>
      <c r="D9" s="13">
        <f t="shared" si="1"/>
        <v>86494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14</v>
      </c>
      <c r="D13" s="48">
        <f t="shared" si="1"/>
        <v>4298</v>
      </c>
      <c r="F13" s="235" t="s">
        <v>36</v>
      </c>
      <c r="G13" s="199"/>
      <c r="H13" s="190">
        <f>D29</f>
        <v>314042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93" t="s">
        <v>39</v>
      </c>
      <c r="G14" s="194"/>
      <c r="H14" s="195">
        <f>D54</f>
        <v>21381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292661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324*6</f>
        <v>1944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314042</v>
      </c>
      <c r="F29" s="107" t="s">
        <v>55</v>
      </c>
      <c r="G29" s="169"/>
      <c r="H29" s="129">
        <f>H15-H16-H17-H18-H19-H20-H22-H23-H24+H26+H27+H28</f>
        <v>290717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51">
        <f t="shared" ref="H34:H39" si="2">F34*G34</f>
        <v>35000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1">
        <f t="shared" si="2"/>
        <v>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51">
        <f t="shared" si="2"/>
        <v>5800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51">
        <f t="shared" si="2"/>
        <v>700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101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46">
        <v>233510.5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62"/>
      <c r="H45" s="146">
        <v>5935.5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3</v>
      </c>
      <c r="D49" s="12">
        <f>C49*42</f>
        <v>126</v>
      </c>
      <c r="F49" s="127" t="s">
        <v>86</v>
      </c>
      <c r="G49" s="129">
        <f>H34+H35+H36+H37+H38+H39+H40+H41+G42+H44+H45+H46</f>
        <v>290547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34</v>
      </c>
      <c r="D50" s="12">
        <f>C50*1.5</f>
        <v>51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-170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458</v>
      </c>
      <c r="D6" s="13">
        <f t="shared" ref="D6:D28" si="1">C6*L6</f>
        <v>348538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53</v>
      </c>
      <c r="D9" s="13">
        <f t="shared" si="1"/>
        <v>38849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403660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93" t="s">
        <v>39</v>
      </c>
      <c r="G14" s="194"/>
      <c r="H14" s="195">
        <f>D54</f>
        <v>63054.75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340605.25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492*6</f>
        <v>2952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403660</v>
      </c>
      <c r="F29" s="107" t="s">
        <v>55</v>
      </c>
      <c r="G29" s="169"/>
      <c r="H29" s="129">
        <f>H15-H16-H17-H18-H19-H20-H22-H23-H24+H26+H27</f>
        <v>337653.25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1">
        <f>F34*G34</f>
        <v>154000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51">
        <f t="shared" ref="H35:H39" si="2">F35*G35</f>
        <v>154500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>F36*G36</f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51">
        <f t="shared" si="2"/>
        <v>18700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51">
        <f t="shared" si="2"/>
        <v>10100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1">
        <v>66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89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21</v>
      </c>
      <c r="D49" s="12">
        <f>C49*42</f>
        <v>882</v>
      </c>
      <c r="F49" s="127" t="s">
        <v>86</v>
      </c>
      <c r="G49" s="129">
        <f>H34+H35+H36+H37+H38+H39+H40+H41+G42+H44+H45+H46</f>
        <v>337766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18</v>
      </c>
      <c r="D50" s="12">
        <f>C50*1.5</f>
        <v>27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112.75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330</v>
      </c>
      <c r="D6" s="13">
        <f t="shared" ref="D6:D28" si="1">C6*L6</f>
        <v>251130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40</v>
      </c>
      <c r="D9" s="13">
        <f t="shared" si="1"/>
        <v>29320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293070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43414.5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249655.5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293070</v>
      </c>
      <c r="F29" s="107" t="s">
        <v>55</v>
      </c>
      <c r="G29" s="169"/>
      <c r="H29" s="129">
        <f>H15-H16-H17-H18-H19-H20-H22-H23-H24+H26+H27</f>
        <v>249655.5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51">
        <f>F34*G34</f>
        <v>144000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51">
        <f>F35*G35</f>
        <v>28500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51">
        <f t="shared" si="2"/>
        <v>9200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51">
        <f t="shared" si="2"/>
        <v>350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119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46">
        <v>67807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</v>
      </c>
      <c r="D49" s="12">
        <f>C49*42</f>
        <v>84</v>
      </c>
      <c r="F49" s="127" t="s">
        <v>86</v>
      </c>
      <c r="G49" s="129">
        <f>H34+H35+H36+H37+H38+H39+H40+H41+G42+H44+H45+H46</f>
        <v>250016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7</v>
      </c>
      <c r="D50" s="12">
        <f>C50*1.5</f>
        <v>10.5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360.5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307</v>
      </c>
      <c r="D6" s="13">
        <f t="shared" ref="D6:D28" si="1">C6*L6</f>
        <v>233627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235" t="s">
        <v>36</v>
      </c>
      <c r="G13" s="199"/>
      <c r="H13" s="190">
        <f>D29</f>
        <v>263815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93" t="s">
        <v>39</v>
      </c>
      <c r="G14" s="194"/>
      <c r="H14" s="195">
        <f>D54</f>
        <v>36288.75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227526.25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6*6</f>
        <v>36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151</v>
      </c>
      <c r="C26" s="84">
        <v>12</v>
      </c>
      <c r="D26" s="48">
        <f t="shared" si="1"/>
        <v>454</v>
      </c>
      <c r="F26" s="75"/>
      <c r="G26" s="65"/>
      <c r="H26" s="146"/>
      <c r="I26" s="146"/>
      <c r="J26" s="146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263815</v>
      </c>
      <c r="F29" s="107" t="s">
        <v>55</v>
      </c>
      <c r="G29" s="169"/>
      <c r="H29" s="129">
        <f>H15-H16-H17-H18-H19-H20-H22-H23-H24+H26+H27+H28</f>
        <v>227440.25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1">
        <f t="shared" ref="H34:H39" si="2">F34*G34</f>
        <v>191000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51">
        <f t="shared" si="2"/>
        <v>33500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51">
        <f t="shared" si="2"/>
        <v>2600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19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85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2</v>
      </c>
      <c r="D45" s="12">
        <f>C45*84</f>
        <v>168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20</v>
      </c>
      <c r="D46" s="12">
        <f>C46*1.5</f>
        <v>30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227219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10</v>
      </c>
      <c r="D50" s="12">
        <f>C50*1.5</f>
        <v>15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-221.25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242</v>
      </c>
      <c r="D6" s="13">
        <f t="shared" ref="D6:D28" si="1">C6*L6</f>
        <v>184162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235" t="s">
        <v>36</v>
      </c>
      <c r="G13" s="199"/>
      <c r="H13" s="190">
        <f>D29</f>
        <v>216897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93" t="s">
        <v>39</v>
      </c>
      <c r="G14" s="194"/>
      <c r="H14" s="195">
        <f>D54</f>
        <v>35701.5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181195.5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140*6</f>
        <v>840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216897</v>
      </c>
      <c r="F29" s="107" t="s">
        <v>55</v>
      </c>
      <c r="G29" s="169"/>
      <c r="H29" s="129">
        <f>H15-H16-H17-H18-H19-H20-H22-H23-H24+H26+H27</f>
        <v>180355.5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1">
        <f>F34*G34</f>
        <v>154000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1">
        <f t="shared" ref="H35:H39" si="2">F35*G35</f>
        <v>25500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51">
        <f t="shared" si="2"/>
        <v>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</v>
      </c>
      <c r="D49" s="12">
        <f>C49*42</f>
        <v>84</v>
      </c>
      <c r="F49" s="127" t="s">
        <v>86</v>
      </c>
      <c r="G49" s="129">
        <f>H34+H35+H36+H37+H38+H39+H40+H41+G42+H44+H45+H46</f>
        <v>180250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155</v>
      </c>
      <c r="G51" s="236">
        <f>G49-H29</f>
        <v>-105.5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414</v>
      </c>
      <c r="D6" s="13">
        <f t="shared" ref="D6:D28" si="1">C6*L6</f>
        <v>315054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35</v>
      </c>
      <c r="D9" s="13">
        <f t="shared" si="1"/>
        <v>25655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154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355427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51192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304235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329*6+50*6</f>
        <v>2274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355427</v>
      </c>
      <c r="F29" s="107" t="s">
        <v>55</v>
      </c>
      <c r="G29" s="169"/>
      <c r="H29" s="129">
        <f>H15-H16-H17-H18-H19-H20-H22-H23-H24+H26+H27</f>
        <v>301961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51">
        <f>F34*G34</f>
        <v>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1">
        <f>F35*G35</f>
        <v>21000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 t="shared" ref="H36:H39" si="2"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51">
        <f t="shared" si="2"/>
        <v>8300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51">
        <f t="shared" si="2"/>
        <v>550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151">
        <v>480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46">
        <v>216552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23</v>
      </c>
      <c r="D46" s="12">
        <f>C46*1.5</f>
        <v>34.5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301482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20</v>
      </c>
      <c r="D50" s="12">
        <f>C50*1.5</f>
        <v>30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-479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235</v>
      </c>
      <c r="D6" s="13">
        <f t="shared" ref="D6:D28" si="1">C6*L6</f>
        <v>178835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22</v>
      </c>
      <c r="D9" s="13">
        <f t="shared" si="1"/>
        <v>16126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235" t="s">
        <v>36</v>
      </c>
      <c r="G13" s="199"/>
      <c r="H13" s="190">
        <f>D29</f>
        <v>198091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93" t="s">
        <v>39</v>
      </c>
      <c r="G14" s="194"/>
      <c r="H14" s="195">
        <f>D54</f>
        <v>31146.75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166944.25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198091</v>
      </c>
      <c r="F29" s="107" t="s">
        <v>55</v>
      </c>
      <c r="G29" s="169"/>
      <c r="H29" s="129">
        <f>H15-H16-H17-H18-H19-H20-H22-H23-H24+H26+H27+H28</f>
        <v>166944.25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1">
        <f t="shared" ref="H34:H39" si="2">F34*G34</f>
        <v>120000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1">
        <f t="shared" si="2"/>
        <v>16000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1">
        <f t="shared" si="2"/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51">
        <f t="shared" si="2"/>
        <v>500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25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157</v>
      </c>
      <c r="G44" s="85"/>
      <c r="H44" s="146">
        <v>30000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166925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43</v>
      </c>
      <c r="D50" s="12">
        <f>C50*1.5</f>
        <v>64.5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203</v>
      </c>
      <c r="D6" s="13">
        <f t="shared" ref="D6:D28" si="1">C6*L6</f>
        <v>154483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176482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93" t="s">
        <v>39</v>
      </c>
      <c r="G14" s="194"/>
      <c r="H14" s="195">
        <f>D54</f>
        <v>26237.25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150244.75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176482</v>
      </c>
      <c r="F29" s="107" t="s">
        <v>55</v>
      </c>
      <c r="G29" s="169"/>
      <c r="H29" s="129">
        <f>H15-H16-H17-H18-H19-H20-H22-H23-H24+H26+H27</f>
        <v>150244.75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51">
        <f>F34*G34</f>
        <v>129000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51">
        <f t="shared" ref="H35:H39" si="2">F35*G35</f>
        <v>12000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>F36*G36</f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51">
        <f t="shared" si="2"/>
        <v>7100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51">
        <f t="shared" si="2"/>
        <v>1850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110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150460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</v>
      </c>
      <c r="D50" s="12">
        <f>C50*1.5</f>
        <v>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215.25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474</v>
      </c>
      <c r="D6" s="13">
        <f t="shared" ref="D6:D28" si="1">C6*L6</f>
        <v>360714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143</v>
      </c>
      <c r="D9" s="13">
        <f t="shared" si="1"/>
        <v>104819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505520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73287.75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432232.25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144*6+329*6+121*6</f>
        <v>3564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>
        <v>50</v>
      </c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505520</v>
      </c>
      <c r="F29" s="107" t="s">
        <v>55</v>
      </c>
      <c r="G29" s="169"/>
      <c r="H29" s="129">
        <f>H15-H16-H17-H18-H19-H20-H22-H23-H24+H26+H27</f>
        <v>428618.25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51">
        <f>F34*G34</f>
        <v>184000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51">
        <f>F35*G35</f>
        <v>30000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51">
        <f t="shared" ref="H36:H39" si="2">F36*G36</f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51">
        <f t="shared" si="2"/>
        <v>3600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51">
        <f t="shared" si="2"/>
        <v>1050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151">
        <v>106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46">
        <v>209026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6</v>
      </c>
      <c r="D45" s="12">
        <f>C45*84</f>
        <v>504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22</v>
      </c>
      <c r="D46" s="12">
        <f>C46*1.5</f>
        <v>33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5</v>
      </c>
      <c r="D49" s="12">
        <f>C49*42</f>
        <v>210</v>
      </c>
      <c r="F49" s="127" t="s">
        <v>86</v>
      </c>
      <c r="G49" s="129">
        <f>H34+H35+H36+H37+H38+H39+H40+H41+G42+H44+H45+H46</f>
        <v>427982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23</v>
      </c>
      <c r="D50" s="12">
        <f>C50*1.5</f>
        <v>34.5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159</v>
      </c>
      <c r="G51" s="236">
        <f>G49-H29</f>
        <v>-636.25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207</v>
      </c>
      <c r="D6" s="13">
        <f t="shared" ref="D6:D28" si="1">C6*L6</f>
        <v>157527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33</v>
      </c>
      <c r="D9" s="13">
        <f t="shared" si="1"/>
        <v>24189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4</v>
      </c>
      <c r="D13" s="48">
        <f t="shared" si="1"/>
        <v>1228</v>
      </c>
      <c r="F13" s="235" t="s">
        <v>36</v>
      </c>
      <c r="G13" s="199"/>
      <c r="H13" s="190">
        <f>D29</f>
        <v>194843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93" t="s">
        <v>39</v>
      </c>
      <c r="G14" s="194"/>
      <c r="H14" s="195">
        <f>D54</f>
        <v>28632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98" t="s">
        <v>40</v>
      </c>
      <c r="G15" s="199"/>
      <c r="H15" s="200">
        <f>H13-H14</f>
        <v>166211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83" t="s">
        <v>165</v>
      </c>
      <c r="C22" s="84">
        <v>3</v>
      </c>
      <c r="D22" s="48">
        <f t="shared" si="1"/>
        <v>4746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194843</v>
      </c>
      <c r="F29" s="107" t="s">
        <v>55</v>
      </c>
      <c r="G29" s="169"/>
      <c r="H29" s="129">
        <f>H15-H16-H17-H18-H19-H20-H22-H23-H24+H26+H27+H28</f>
        <v>166211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51">
        <f t="shared" ref="H34:H39" si="2">F34*G34</f>
        <v>66000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1">
        <f t="shared" si="2"/>
        <v>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51">
        <f t="shared" si="2"/>
        <v>3100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51">
        <f t="shared" si="2"/>
        <v>1500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46">
        <v>85702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7</v>
      </c>
      <c r="D46" s="12">
        <f>C46*1.5</f>
        <v>10.5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165891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-320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187600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93" t="s">
        <v>39</v>
      </c>
      <c r="G14" s="194"/>
      <c r="H14" s="195">
        <f>D54</f>
        <v>23733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163867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192*6</f>
        <v>1152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187600</v>
      </c>
      <c r="F29" s="107" t="s">
        <v>55</v>
      </c>
      <c r="G29" s="169"/>
      <c r="H29" s="129">
        <f>H15-H16-H17-H18-H19-H20-H22-H23-H24+H26+H27</f>
        <v>162715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51">
        <f>F34*G34</f>
        <v>28000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 t="shared" ref="H35:H39" si="2"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51">
        <f t="shared" si="2"/>
        <v>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150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46">
        <v>134176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9</v>
      </c>
      <c r="D49" s="12">
        <f>C49*42</f>
        <v>378</v>
      </c>
      <c r="F49" s="127" t="s">
        <v>86</v>
      </c>
      <c r="G49" s="129">
        <f>H34+H35+H36+H37+H38+H39+H40+H41+G42+H44+H45+H46</f>
        <v>163026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311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248</v>
      </c>
      <c r="D6" s="13">
        <f t="shared" ref="D6:D28" si="1">C6*L6</f>
        <v>188728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</v>
      </c>
      <c r="D9" s="13">
        <f t="shared" si="1"/>
        <v>4398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4</v>
      </c>
      <c r="D11" s="13">
        <f t="shared" si="1"/>
        <v>4680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206767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93" t="s">
        <v>39</v>
      </c>
      <c r="G14" s="194"/>
      <c r="H14" s="195">
        <f>D54</f>
        <v>50062.5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156704.5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103*6+108*6</f>
        <v>1266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206767</v>
      </c>
      <c r="F29" s="107" t="s">
        <v>55</v>
      </c>
      <c r="G29" s="169"/>
      <c r="H29" s="129">
        <f>H15-H16-H17-H18-H19-H20-H22-H23-H24+H26+H27</f>
        <v>155438.5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51">
        <f>F34*G34</f>
        <v>36000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46">
        <f>56380</f>
        <v>56380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46">
        <v>62596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23</v>
      </c>
      <c r="D46" s="12">
        <f>C46*1.5</f>
        <v>34.5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155476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37.5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57</v>
      </c>
      <c r="D6" s="13">
        <f t="shared" ref="D6:D28" si="1">C6*L6</f>
        <v>43377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10</v>
      </c>
      <c r="D8" s="13">
        <f t="shared" si="1"/>
        <v>10930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</v>
      </c>
      <c r="D9" s="13">
        <f t="shared" si="1"/>
        <v>5131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50+5</f>
        <v>55</v>
      </c>
      <c r="D12" s="48">
        <f t="shared" si="1"/>
        <v>54560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235" t="s">
        <v>36</v>
      </c>
      <c r="G13" s="199"/>
      <c r="H13" s="190">
        <f>D29</f>
        <v>175949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93" t="s">
        <v>39</v>
      </c>
      <c r="G14" s="194"/>
      <c r="H14" s="195">
        <f>D54</f>
        <v>27286.5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5</v>
      </c>
      <c r="D15" s="31">
        <f t="shared" si="1"/>
        <v>3100</v>
      </c>
      <c r="F15" s="198" t="s">
        <v>40</v>
      </c>
      <c r="G15" s="199"/>
      <c r="H15" s="200">
        <f>H13-H14</f>
        <v>148662.5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175949</v>
      </c>
      <c r="F29" s="107" t="s">
        <v>55</v>
      </c>
      <c r="G29" s="169"/>
      <c r="H29" s="129">
        <f>H15-H16-H17-H18-H19-H20-H22-H23-H24+H26+H27+H28</f>
        <v>148662.5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51">
        <f t="shared" ref="H34:H39" si="2">F34*G34</f>
        <v>40000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51">
        <f t="shared" si="2"/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51">
        <f t="shared" si="2"/>
        <v>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128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6">
        <v>107519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46</v>
      </c>
      <c r="D45" s="12">
        <f>C45*84</f>
        <v>3864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148547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-115.5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180</v>
      </c>
      <c r="D6" s="13">
        <f t="shared" ref="D6:D28" si="1">C6*L6</f>
        <v>136980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54</v>
      </c>
      <c r="D9" s="13">
        <f t="shared" si="1"/>
        <v>39582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191902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93" t="s">
        <v>39</v>
      </c>
      <c r="G14" s="194"/>
      <c r="H14" s="195">
        <f>D54</f>
        <v>27573.75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164328.25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0">
        <v>20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191902</v>
      </c>
      <c r="F29" s="107" t="s">
        <v>55</v>
      </c>
      <c r="G29" s="169"/>
      <c r="H29" s="129">
        <f>H15-H16-H17-H18-H19-H20-H22-H23-H24+H26+H27</f>
        <v>164308.25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51">
        <f>F34*G34</f>
        <v>146000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51">
        <f t="shared" ref="H35:H39" si="2">F35*G35</f>
        <v>17000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51">
        <f t="shared" si="2"/>
        <v>1000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109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164309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</v>
      </c>
      <c r="D50" s="12">
        <f>C50*1.5</f>
        <v>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0.75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159</v>
      </c>
      <c r="D6" s="13">
        <f t="shared" ref="D6:D28" si="1">C6*L6</f>
        <v>120999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15</v>
      </c>
      <c r="D8" s="13">
        <f t="shared" si="1"/>
        <v>16395</v>
      </c>
      <c r="F8" s="222" t="s">
        <v>21</v>
      </c>
      <c r="G8" s="223" t="s">
        <v>126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22</v>
      </c>
      <c r="D9" s="13">
        <f t="shared" si="1"/>
        <v>16126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4</v>
      </c>
      <c r="D10" s="13">
        <f t="shared" si="1"/>
        <v>4128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1+2</f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</v>
      </c>
      <c r="D13" s="48">
        <f t="shared" si="1"/>
        <v>307</v>
      </c>
      <c r="F13" s="235" t="s">
        <v>36</v>
      </c>
      <c r="G13" s="199"/>
      <c r="H13" s="190">
        <f>D29</f>
        <v>173376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93" t="s">
        <v>39</v>
      </c>
      <c r="G14" s="194"/>
      <c r="H14" s="195">
        <f>D54</f>
        <v>23477.25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149898.75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173376</v>
      </c>
      <c r="F29" s="107" t="s">
        <v>55</v>
      </c>
      <c r="G29" s="169"/>
      <c r="H29" s="129">
        <f>H15-H16-H17-H18-H19-H20-H22-H23-H24+H26+H27+H28</f>
        <v>149848.75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51">
        <f t="shared" ref="H34:H39" si="2">F34*G34</f>
        <v>120000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1">
        <f t="shared" si="2"/>
        <v>15000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51">
        <f t="shared" si="2"/>
        <v>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51">
        <f t="shared" si="2"/>
        <v>60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51">
        <v>13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46">
        <v>14000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</v>
      </c>
      <c r="D45" s="12">
        <f>C45*84</f>
        <v>336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149823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-25.75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</v>
      </c>
      <c r="D9" s="13">
        <f t="shared" si="1"/>
        <v>2199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235" t="s">
        <v>36</v>
      </c>
      <c r="G13" s="199"/>
      <c r="H13" s="190">
        <f>D29</f>
        <v>267745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93" t="s">
        <v>39</v>
      </c>
      <c r="G14" s="194"/>
      <c r="H14" s="195">
        <f>D54</f>
        <v>57427.5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210317.5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241*6</f>
        <v>1446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267745</v>
      </c>
      <c r="F29" s="107" t="s">
        <v>55</v>
      </c>
      <c r="G29" s="169"/>
      <c r="H29" s="129">
        <f>H15-H16-H17-H18-H19-H20-H22-H23-H24+H26+H27</f>
        <v>208871.5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1">
        <f>F34*G34</f>
        <v>41000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1">
        <f t="shared" ref="H35:H39" si="2">F35*G35</f>
        <v>20500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51">
        <f t="shared" si="2"/>
        <v>7500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51">
        <f t="shared" si="2"/>
        <v>450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30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46">
        <v>138760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208840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155</v>
      </c>
      <c r="G51" s="236">
        <f>G49-H29</f>
        <v>-31.5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358</v>
      </c>
      <c r="D6" s="13">
        <f t="shared" ref="D6:D28" si="1">C6*L6</f>
        <v>272438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16</v>
      </c>
      <c r="D9" s="13">
        <f t="shared" si="1"/>
        <v>11728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3</v>
      </c>
      <c r="D13" s="48">
        <f t="shared" si="1"/>
        <v>921</v>
      </c>
      <c r="F13" s="235" t="s">
        <v>36</v>
      </c>
      <c r="G13" s="199"/>
      <c r="H13" s="190">
        <f>D29</f>
        <v>294192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44824.5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98" t="s">
        <v>40</v>
      </c>
      <c r="G15" s="199"/>
      <c r="H15" s="200">
        <f>H13-H14</f>
        <v>249367.5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50*6+184*6</f>
        <v>1404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294192</v>
      </c>
      <c r="F29" s="107" t="s">
        <v>55</v>
      </c>
      <c r="G29" s="169"/>
      <c r="H29" s="129">
        <f>H15-H16-H17-H18-H19-H20-H22-H23-H24+H26+H27</f>
        <v>247963.5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51">
        <f>F34*G34</f>
        <v>84000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1">
        <f>F35*G35</f>
        <v>39000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51">
        <f t="shared" si="2"/>
        <v>1900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51">
        <f t="shared" si="2"/>
        <v>1050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56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46">
        <v>121864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8</v>
      </c>
      <c r="D46" s="12">
        <f>C46*1.5</f>
        <v>12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247890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</v>
      </c>
      <c r="D50" s="12">
        <f>C50*1.5</f>
        <v>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-73.5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350</v>
      </c>
      <c r="D6" s="13">
        <f t="shared" ref="D6:D28" si="1">C6*L6</f>
        <v>266350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14</v>
      </c>
      <c r="D9" s="13">
        <f t="shared" si="1"/>
        <v>10262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10</v>
      </c>
      <c r="D10" s="13">
        <f t="shared" si="1"/>
        <v>10320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10</v>
      </c>
      <c r="D13" s="48">
        <f t="shared" si="1"/>
        <v>3070</v>
      </c>
      <c r="F13" s="235" t="s">
        <v>36</v>
      </c>
      <c r="G13" s="199"/>
      <c r="H13" s="190">
        <f>D29</f>
        <v>305952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93" t="s">
        <v>39</v>
      </c>
      <c r="G14" s="194"/>
      <c r="H14" s="195">
        <f>D54</f>
        <v>50665.5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255286.5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231*6</f>
        <v>1386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305952</v>
      </c>
      <c r="F29" s="107" t="s">
        <v>55</v>
      </c>
      <c r="G29" s="169"/>
      <c r="H29" s="129">
        <f>H15-H16-H17-H18-H19-H20-H22-H23-H24+H26+H27+H28</f>
        <v>253900.5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51">
        <f t="shared" ref="H34:H39" si="2">F34*G34</f>
        <v>74000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1">
        <f t="shared" si="2"/>
        <v>25000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51">
        <f t="shared" si="2"/>
        <v>1200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51">
        <f t="shared" si="2"/>
        <v>2900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7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46">
        <v>150599.5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9</v>
      </c>
      <c r="D49" s="12">
        <f>C49*42</f>
        <v>378</v>
      </c>
      <c r="F49" s="127" t="s">
        <v>86</v>
      </c>
      <c r="G49" s="129">
        <f>H34+H35+H36+H37+H38+H39+H40+H41+G42+H44+H45+H46</f>
        <v>253906.5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6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328</v>
      </c>
      <c r="D6" s="13">
        <f t="shared" ref="D6:D28" si="1">C6*L6</f>
        <v>249608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106</v>
      </c>
      <c r="D9" s="13">
        <f t="shared" si="1"/>
        <v>77698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176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21</v>
      </c>
      <c r="D13" s="48">
        <f t="shared" si="1"/>
        <v>6447</v>
      </c>
      <c r="F13" s="235" t="s">
        <v>36</v>
      </c>
      <c r="G13" s="199"/>
      <c r="H13" s="190">
        <f>D29</f>
        <v>336387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52480.5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283906.5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434*6</f>
        <v>2604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336387</v>
      </c>
      <c r="F29" s="107" t="s">
        <v>55</v>
      </c>
      <c r="G29" s="169"/>
      <c r="H29" s="129">
        <f>H15-H16-H17-H18-H19-H20-H22-H23-H24+H26+H27</f>
        <v>281302.5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1">
        <f>F34*G34</f>
        <v>31000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51">
        <f t="shared" ref="H35:H39" si="2">F35*G35</f>
        <v>251000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16</v>
      </c>
      <c r="D49" s="12">
        <f>C49*42</f>
        <v>672</v>
      </c>
      <c r="F49" s="127" t="s">
        <v>86</v>
      </c>
      <c r="G49" s="129">
        <f>H34+H35+H36+H37+H38+H39+H40+H41+G42+H44+H45+H46</f>
        <v>282141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</v>
      </c>
      <c r="D50" s="12">
        <f>C50*1.5</f>
        <v>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838.5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305</v>
      </c>
      <c r="D6" s="13">
        <f t="shared" ref="D6:D28" si="1">C6*L6</f>
        <v>232105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309916.5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42118.5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267798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76">
        <v>141180</v>
      </c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77"/>
      <c r="I24" s="146"/>
      <c r="J24" s="146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309916.5</v>
      </c>
      <c r="F29" s="107" t="s">
        <v>55</v>
      </c>
      <c r="G29" s="169"/>
      <c r="H29" s="129">
        <f>H15-H16-H17-H18-H19-H20-H22-H23-H24+H26+H27</f>
        <v>126618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51">
        <f>F34*G34</f>
        <v>69000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51">
        <f>F35*G35</f>
        <v>45000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51">
        <f t="shared" si="2"/>
        <v>12400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51">
        <f t="shared" si="2"/>
        <v>250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18</v>
      </c>
      <c r="D42" s="12">
        <f>C42*2.25</f>
        <v>40.5</v>
      </c>
      <c r="F42" s="39" t="s">
        <v>79</v>
      </c>
      <c r="G42" s="151">
        <v>69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5</v>
      </c>
      <c r="D44" s="12">
        <f>C44*120</f>
        <v>600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17</v>
      </c>
      <c r="D46" s="12">
        <f>C46*1.5</f>
        <v>25.5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11</v>
      </c>
      <c r="D49" s="12">
        <f>C49*42</f>
        <v>462</v>
      </c>
      <c r="F49" s="127" t="s">
        <v>86</v>
      </c>
      <c r="G49" s="129">
        <f>H34+H35+H36+H37+H38+H39+H40+H41+G42+H44+H45+H46</f>
        <v>126719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101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111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5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10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111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5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10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'(10)'!Print_Area</vt:lpstr>
      <vt:lpstr>'(11)'!Print_Area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2026-02-10T02:20:15Z</cp:lastPrinted>
  <dcterms:created xsi:type="dcterms:W3CDTF">2024-09-01T23:36:50Z</dcterms:created>
  <dcterms:modified xsi:type="dcterms:W3CDTF">2026-02-10T02:24:59Z</dcterms:modified>
</cp:coreProperties>
</file>