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CEAF29C-7ED3-4151-BC83-5A46543CC353}" xr6:coauthVersionLast="45" xr6:coauthVersionMax="47" xr10:uidLastSave="{00000000-0000-0000-0000-000000000000}"/>
  <bookViews>
    <workbookView xWindow="-120" yWindow="-120" windowWidth="29040" windowHeight="15840" firstSheet="23" activeTab="30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</sheets>
  <definedNames>
    <definedName name="_xlnm.Print_Area" localSheetId="29">'(10)'!$A$1:$J$60</definedName>
    <definedName name="_xlnm.Print_Area" localSheetId="33">'(11)'!$A$1:$J$60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76" l="1"/>
  <c r="H44" i="1775"/>
  <c r="L24" i="1773" l="1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D54" i="1781" s="1"/>
  <c r="H14" i="1781" s="1"/>
  <c r="R34" i="1781"/>
  <c r="L12" i="1781" s="1"/>
  <c r="D12" i="1781" s="1"/>
  <c r="H34" i="1781"/>
  <c r="G49" i="1781" s="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D54" i="1780" s="1"/>
  <c r="H14" i="1780" s="1"/>
  <c r="R34" i="1780"/>
  <c r="L12" i="1780" s="1"/>
  <c r="D12" i="1780" s="1"/>
  <c r="H34" i="1780"/>
  <c r="G49" i="1780" s="1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G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D54" i="1779" s="1"/>
  <c r="H14" i="1779" s="1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77" l="1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H15" i="1781" s="1"/>
  <c r="H29" i="1781" s="1"/>
  <c r="G51" i="1781"/>
  <c r="D29" i="1780"/>
  <c r="H13" i="1780" s="1"/>
  <c r="H15" i="1780" s="1"/>
  <c r="H29" i="1780" s="1"/>
  <c r="G51" i="1780" s="1"/>
  <c r="D29" i="1779"/>
  <c r="H13" i="1779" s="1"/>
  <c r="H15" i="1779" s="1"/>
  <c r="H29" i="1779" s="1"/>
  <c r="G51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77" l="1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<sst xmlns="http://schemas.openxmlformats.org/spreadsheetml/2006/main" count="4861" uniqueCount="182">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</sst>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23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7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0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283</v>
      </c>
      <c r="D6" s="13">
        <f t="shared" ref="D6:D28" si="1">C6*L6</f>
        <v>215363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10</v>
      </c>
      <c r="D7" s="13">
        <f t="shared" si="1"/>
        <v>7810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118</v>
      </c>
      <c r="D9" s="13">
        <f t="shared" si="1"/>
        <v>86494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14</v>
      </c>
      <c r="D13" s="48">
        <f t="shared" si="1"/>
        <v>4298</v>
      </c>
      <c r="F13" s="235" t="s">
        <v>36</v>
      </c>
      <c r="G13" s="199"/>
      <c r="H13" s="190">
        <f>D29</f>
        <v>314042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7</v>
      </c>
      <c r="D14" s="31">
        <f t="shared" si="1"/>
        <v>77</v>
      </c>
      <c r="F14" s="193" t="s">
        <v>39</v>
      </c>
      <c r="G14" s="194"/>
      <c r="H14" s="195">
        <f>D54</f>
        <v>21381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292661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>
        <f>324*6</f>
        <v>1944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0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87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314042</v>
      </c>
      <c r="F29" s="107" t="s">
        <v>55</v>
      </c>
      <c r="G29" s="169"/>
      <c r="H29" s="129">
        <f>H15-H16-H17-H18-H19-H20-H22-H23-H24+H26+H27+H28</f>
        <v>290717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51">
        <f t="shared" ref="H34:H39" si="2">F34*G34</f>
        <v>35000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51">
        <f t="shared" si="2"/>
        <v>9500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51">
        <f t="shared" si="2"/>
        <v>5800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51">
        <f t="shared" si="2"/>
        <v>700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101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0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46">
        <v>233510.5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146</v>
      </c>
      <c r="G45" s="62"/>
      <c r="H45" s="146">
        <v>5935.5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3</v>
      </c>
      <c r="D49" s="12">
        <f>C49*42</f>
        <v>126</v>
      </c>
      <c r="F49" s="127" t="s">
        <v>86</v>
      </c>
      <c r="G49" s="129">
        <f>H34+H35+H36+H37+H38+H39+H40+H41+G42+H44+H45+H46</f>
        <v>290547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34</v>
      </c>
      <c r="D50" s="12">
        <f>C50*1.5</f>
        <v>51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-170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458</v>
      </c>
      <c r="D6" s="13">
        <f t="shared" ref="D6:D28" si="1">C6*L6</f>
        <v>348538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53</v>
      </c>
      <c r="D9" s="13">
        <f t="shared" si="1"/>
        <v>38849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20</v>
      </c>
      <c r="D13" s="48">
        <f t="shared" si="1"/>
        <v>6140</v>
      </c>
      <c r="F13" s="235" t="s">
        <v>36</v>
      </c>
      <c r="G13" s="199"/>
      <c r="H13" s="190">
        <f>D29</f>
        <v>403660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22</v>
      </c>
      <c r="D14" s="31">
        <f t="shared" si="1"/>
        <v>242</v>
      </c>
      <c r="F14" s="193" t="s">
        <v>39</v>
      </c>
      <c r="G14" s="194"/>
      <c r="H14" s="195">
        <f>D54</f>
        <v>63054.75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340605.25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492*6</f>
        <v>2952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7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403660</v>
      </c>
      <c r="F29" s="107" t="s">
        <v>55</v>
      </c>
      <c r="G29" s="169"/>
      <c r="H29" s="129">
        <f>H15-H16-H17-H18-H19-H20-H22-H23-H24+H26+H27</f>
        <v>337653.25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51">
        <f>F34*G34</f>
        <v>154000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51">
        <f t="shared" ref="H35:H39" si="2">F35*G35</f>
        <v>154500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1">
        <f>F36*G36</f>
        <v>400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51">
        <f t="shared" si="2"/>
        <v>18700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51">
        <f t="shared" si="2"/>
        <v>10100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1">
        <v>66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0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89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21</v>
      </c>
      <c r="D49" s="12">
        <f>C49*42</f>
        <v>882</v>
      </c>
      <c r="F49" s="127" t="s">
        <v>86</v>
      </c>
      <c r="G49" s="129">
        <f>H34+H35+H36+H37+H38+H39+H40+H41+G42+H44+H45+H46</f>
        <v>337766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18</v>
      </c>
      <c r="D50" s="12">
        <f>C50*1.5</f>
        <v>27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112.75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330</v>
      </c>
      <c r="D6" s="13">
        <f t="shared" ref="D6:D28" si="1">C6*L6</f>
        <v>251130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40</v>
      </c>
      <c r="D9" s="13">
        <f t="shared" si="1"/>
        <v>29320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5</v>
      </c>
      <c r="D12" s="48">
        <f t="shared" si="1"/>
        <v>4960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235" t="s">
        <v>36</v>
      </c>
      <c r="G13" s="199"/>
      <c r="H13" s="190">
        <f>D29</f>
        <v>293070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93" t="s">
        <v>39</v>
      </c>
      <c r="G14" s="194"/>
      <c r="H14" s="195">
        <f>D54</f>
        <v>43414.5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249655.5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7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293070</v>
      </c>
      <c r="F29" s="107" t="s">
        <v>55</v>
      </c>
      <c r="G29" s="169"/>
      <c r="H29" s="129">
        <f>H15-H16-H17-H18-H19-H20-H22-H23-H24+H26+H27</f>
        <v>249655.5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51">
        <f>F34*G34</f>
        <v>144000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51">
        <f>F35*G35</f>
        <v>28500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51">
        <f t="shared" si="2"/>
        <v>9200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51">
        <f t="shared" si="2"/>
        <v>350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>
        <v>119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0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46">
        <v>67807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2</v>
      </c>
      <c r="D49" s="12">
        <f>C49*42</f>
        <v>84</v>
      </c>
      <c r="F49" s="127" t="s">
        <v>86</v>
      </c>
      <c r="G49" s="129">
        <f>H34+H35+H36+H37+H38+H39+H40+H41+G42+H44+H45+H46</f>
        <v>250016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7</v>
      </c>
      <c r="D50" s="12">
        <f>C50*1.5</f>
        <v>10.5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360.5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307</v>
      </c>
      <c r="D6" s="13">
        <f t="shared" ref="D6:D28" si="1">C6*L6</f>
        <v>233627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8</v>
      </c>
      <c r="D7" s="13">
        <f t="shared" si="1"/>
        <v>6248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20</v>
      </c>
      <c r="D9" s="13">
        <f t="shared" si="1"/>
        <v>14660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235" t="s">
        <v>36</v>
      </c>
      <c r="G13" s="199"/>
      <c r="H13" s="190">
        <f>D29</f>
        <v>263815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2</v>
      </c>
      <c r="D14" s="31">
        <f t="shared" si="1"/>
        <v>22</v>
      </c>
      <c r="F14" s="193" t="s">
        <v>39</v>
      </c>
      <c r="G14" s="194"/>
      <c r="H14" s="195">
        <f>D54</f>
        <v>36288.75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227526.25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>
        <f>6*6</f>
        <v>36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151</v>
      </c>
      <c r="C26" s="84">
        <v>12</v>
      </c>
      <c r="D26" s="48">
        <f t="shared" si="1"/>
        <v>454</v>
      </c>
      <c r="F26" s="75"/>
      <c r="G26" s="65"/>
      <c r="H26" s="146"/>
      <c r="I26" s="146"/>
      <c r="J26" s="146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5</v>
      </c>
      <c r="D28" s="48">
        <f t="shared" si="1"/>
        <v>4055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263815</v>
      </c>
      <c r="F29" s="107" t="s">
        <v>55</v>
      </c>
      <c r="G29" s="169"/>
      <c r="H29" s="129">
        <f>H15-H16-H17-H18-H19-H20-H22-H23-H24+H26+H27+H28</f>
        <v>227440.25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51">
        <f t="shared" ref="H34:H39" si="2">F34*G34</f>
        <v>191000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51">
        <f t="shared" si="2"/>
        <v>33500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51">
        <f t="shared" si="2"/>
        <v>2600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1">
        <v>19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/>
      <c r="G44" s="85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2</v>
      </c>
      <c r="D45" s="12">
        <f>C45*84</f>
        <v>168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20</v>
      </c>
      <c r="D46" s="12">
        <f>C46*1.5</f>
        <v>30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227219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10</v>
      </c>
      <c r="D50" s="12">
        <f>C50*1.5</f>
        <v>15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-221.25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242</v>
      </c>
      <c r="D6" s="13">
        <f t="shared" ref="D6:D28" si="1">C6*L6</f>
        <v>184162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33</v>
      </c>
      <c r="D9" s="13">
        <f t="shared" si="1"/>
        <v>24189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4</v>
      </c>
      <c r="D13" s="48">
        <f t="shared" si="1"/>
        <v>1228</v>
      </c>
      <c r="F13" s="235" t="s">
        <v>36</v>
      </c>
      <c r="G13" s="199"/>
      <c r="H13" s="190">
        <f>D29</f>
        <v>216897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9</v>
      </c>
      <c r="D14" s="31">
        <f t="shared" si="1"/>
        <v>99</v>
      </c>
      <c r="F14" s="193" t="s">
        <v>39</v>
      </c>
      <c r="G14" s="194"/>
      <c r="H14" s="195">
        <f>D54</f>
        <v>35701.5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181195.5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140*6</f>
        <v>840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216897</v>
      </c>
      <c r="F29" s="107" t="s">
        <v>55</v>
      </c>
      <c r="G29" s="169"/>
      <c r="H29" s="129">
        <f>H15-H16-H17-H18-H19-H20-H22-H23-H24+H26+H27</f>
        <v>180355.5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51">
        <f>F34*G34</f>
        <v>154000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51">
        <f t="shared" ref="H35:H39" si="2">F35*G35</f>
        <v>25500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51">
        <f t="shared" si="2"/>
        <v>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12</v>
      </c>
      <c r="D42" s="12">
        <f>C42*2.25</f>
        <v>27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2</v>
      </c>
      <c r="D49" s="12">
        <f>C49*42</f>
        <v>84</v>
      </c>
      <c r="F49" s="127" t="s">
        <v>86</v>
      </c>
      <c r="G49" s="129">
        <f>H34+H35+H36+H37+H38+H39+H40+H41+G42+H44+H45+H46</f>
        <v>180250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4</v>
      </c>
      <c r="D50" s="12">
        <f>C50*1.5</f>
        <v>6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155</v>
      </c>
      <c r="G51" s="236">
        <f>G49-H29</f>
        <v>-105.5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414</v>
      </c>
      <c r="D6" s="13">
        <f t="shared" ref="D6:D28" si="1">C6*L6</f>
        <v>315054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35</v>
      </c>
      <c r="D9" s="13">
        <f t="shared" si="1"/>
        <v>25655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154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235" t="s">
        <v>36</v>
      </c>
      <c r="G13" s="199"/>
      <c r="H13" s="190">
        <f>D29</f>
        <v>355427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93" t="s">
        <v>39</v>
      </c>
      <c r="G14" s="194"/>
      <c r="H14" s="195">
        <f>D54</f>
        <v>51192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304235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329*6+50*6</f>
        <v>2274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355427</v>
      </c>
      <c r="F29" s="107" t="s">
        <v>55</v>
      </c>
      <c r="G29" s="169"/>
      <c r="H29" s="129">
        <f>H15-H16-H17-H18-H19-H20-H22-H23-H24+H26+H27</f>
        <v>301961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51">
        <f>F34*G34</f>
        <v>54000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1">
        <f>F35*G35</f>
        <v>21000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1">
        <f t="shared" ref="H36:H39" si="2">F36*G36</f>
        <v>600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51">
        <f t="shared" si="2"/>
        <v>8300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51">
        <f t="shared" si="2"/>
        <v>550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151">
        <v>480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46">
        <v>216552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23</v>
      </c>
      <c r="D46" s="12">
        <f>C46*1.5</f>
        <v>34.5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7</v>
      </c>
      <c r="D49" s="12">
        <f>C49*42</f>
        <v>294</v>
      </c>
      <c r="F49" s="127" t="s">
        <v>86</v>
      </c>
      <c r="G49" s="129">
        <f>H34+H35+H36+H37+H38+H39+H40+H41+G42+H44+H45+H46</f>
        <v>301482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20</v>
      </c>
      <c r="D50" s="12">
        <f>C50*1.5</f>
        <v>30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-479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235</v>
      </c>
      <c r="D6" s="13">
        <f t="shared" ref="D6:D28" si="1">C6*L6</f>
        <v>178835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</v>
      </c>
      <c r="D7" s="13">
        <f t="shared" si="1"/>
        <v>1562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22</v>
      </c>
      <c r="D9" s="13">
        <f t="shared" si="1"/>
        <v>16126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5</v>
      </c>
      <c r="D13" s="48">
        <f t="shared" si="1"/>
        <v>1535</v>
      </c>
      <c r="F13" s="235" t="s">
        <v>36</v>
      </c>
      <c r="G13" s="199"/>
      <c r="H13" s="190">
        <f>D29</f>
        <v>198091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3</v>
      </c>
      <c r="D14" s="31">
        <f t="shared" si="1"/>
        <v>33</v>
      </c>
      <c r="F14" s="193" t="s">
        <v>39</v>
      </c>
      <c r="G14" s="194"/>
      <c r="H14" s="195">
        <f>D54</f>
        <v>31146.75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166944.25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198091</v>
      </c>
      <c r="F29" s="107" t="s">
        <v>55</v>
      </c>
      <c r="G29" s="169"/>
      <c r="H29" s="129">
        <f>H15-H16-H17-H18-H19-H20-H22-H23-H24+H26+H27+H28</f>
        <v>166944.25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1">
        <f t="shared" ref="H34:H39" si="2">F34*G34</f>
        <v>120000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1">
        <f t="shared" si="2"/>
        <v>16000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1">
        <f t="shared" si="2"/>
        <v>200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51">
        <f t="shared" si="2"/>
        <v>500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51">
        <f t="shared" si="2"/>
        <v>200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1">
        <v>25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157</v>
      </c>
      <c r="G44" s="85"/>
      <c r="H44" s="146">
        <v>30000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166925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43</v>
      </c>
      <c r="D50" s="12">
        <f>C50*1.5</f>
        <v>64.5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-19.25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203</v>
      </c>
      <c r="D6" s="13">
        <f t="shared" ref="D6:D28" si="1">C6*L6</f>
        <v>154483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18</v>
      </c>
      <c r="D9" s="13">
        <f t="shared" si="1"/>
        <v>13194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235" t="s">
        <v>36</v>
      </c>
      <c r="G13" s="199"/>
      <c r="H13" s="190">
        <f>D29</f>
        <v>176482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93" t="s">
        <v>39</v>
      </c>
      <c r="G14" s="194"/>
      <c r="H14" s="195">
        <f>D54</f>
        <v>26237.25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150244.75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176482</v>
      </c>
      <c r="F29" s="107" t="s">
        <v>55</v>
      </c>
      <c r="G29" s="169"/>
      <c r="H29" s="129">
        <f>H15-H16-H17-H18-H19-H20-H22-H23-H24+H26+H27</f>
        <v>150244.75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51">
        <f>F34*G34</f>
        <v>129000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51">
        <f t="shared" ref="H35:H39" si="2">F35*G35</f>
        <v>12000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1">
        <f>F36*G36</f>
        <v>400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51">
        <f t="shared" si="2"/>
        <v>7100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51">
        <f t="shared" si="2"/>
        <v>1850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1">
        <v>110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</v>
      </c>
      <c r="D46" s="12">
        <f>C46*1.5</f>
        <v>3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150460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3</v>
      </c>
      <c r="D50" s="12">
        <f>C50*1.5</f>
        <v>4.5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215.25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474</v>
      </c>
      <c r="D6" s="13">
        <f t="shared" ref="D6:D28" si="1">C6*L6</f>
        <v>360714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143</v>
      </c>
      <c r="D9" s="13">
        <f t="shared" si="1"/>
        <v>104819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5</v>
      </c>
      <c r="D12" s="48">
        <f t="shared" si="1"/>
        <v>4960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235" t="s">
        <v>36</v>
      </c>
      <c r="G13" s="199"/>
      <c r="H13" s="190">
        <f>D29</f>
        <v>505520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73287.75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432232.25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144*6+329*6+121*6</f>
        <v>3564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>
        <v>50</v>
      </c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4</v>
      </c>
      <c r="D28" s="48">
        <f t="shared" si="1"/>
        <v>3244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505520</v>
      </c>
      <c r="F29" s="107" t="s">
        <v>55</v>
      </c>
      <c r="G29" s="169"/>
      <c r="H29" s="129">
        <f>H15-H16-H17-H18-H19-H20-H22-H23-H24+H26+H27</f>
        <v>428618.25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51">
        <f>F34*G34</f>
        <v>184000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51">
        <f>F35*G35</f>
        <v>30000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51">
        <f t="shared" ref="H36:H39" si="2">F36*G36</f>
        <v>200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51">
        <f t="shared" si="2"/>
        <v>3600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51">
        <f t="shared" si="2"/>
        <v>1050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151">
        <v>106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46">
        <v>209026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6</v>
      </c>
      <c r="D45" s="12">
        <f>C45*84</f>
        <v>504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22</v>
      </c>
      <c r="D46" s="12">
        <f>C46*1.5</f>
        <v>33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5</v>
      </c>
      <c r="D49" s="12">
        <f>C49*42</f>
        <v>210</v>
      </c>
      <c r="F49" s="127" t="s">
        <v>86</v>
      </c>
      <c r="G49" s="129">
        <f>H34+H35+H36+H37+H38+H39+H40+H41+G42+H44+H45+H46</f>
        <v>427982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23</v>
      </c>
      <c r="D50" s="12">
        <f>C50*1.5</f>
        <v>34.5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159</v>
      </c>
      <c r="G51" s="236">
        <f>G49-H29</f>
        <v>-636.25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207</v>
      </c>
      <c r="D6" s="13">
        <f t="shared" ref="D6:D28" si="1">C6*L6</f>
        <v>157527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</v>
      </c>
      <c r="D7" s="13">
        <f t="shared" si="1"/>
        <v>781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33</v>
      </c>
      <c r="D9" s="13">
        <f t="shared" si="1"/>
        <v>24189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4</v>
      </c>
      <c r="D13" s="48">
        <f t="shared" si="1"/>
        <v>1228</v>
      </c>
      <c r="F13" s="235" t="s">
        <v>36</v>
      </c>
      <c r="G13" s="199"/>
      <c r="H13" s="190">
        <f>D29</f>
        <v>194843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6</v>
      </c>
      <c r="D14" s="31">
        <f t="shared" si="1"/>
        <v>66</v>
      </c>
      <c r="F14" s="193" t="s">
        <v>39</v>
      </c>
      <c r="G14" s="194"/>
      <c r="H14" s="195">
        <f>D54</f>
        <v>28632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1</v>
      </c>
      <c r="D15" s="31">
        <f t="shared" si="1"/>
        <v>620</v>
      </c>
      <c r="F15" s="198" t="s">
        <v>40</v>
      </c>
      <c r="G15" s="199"/>
      <c r="H15" s="200">
        <f>H13-H14</f>
        <v>166211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83" t="s">
        <v>165</v>
      </c>
      <c r="C22" s="84">
        <v>3</v>
      </c>
      <c r="D22" s="48">
        <f t="shared" si="1"/>
        <v>4746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194843</v>
      </c>
      <c r="F29" s="107" t="s">
        <v>55</v>
      </c>
      <c r="G29" s="169"/>
      <c r="H29" s="129">
        <f>H15-H16-H17-H18-H19-H20-H22-H23-H24+H26+H27+H28</f>
        <v>166211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51">
        <f t="shared" ref="H34:H39" si="2">F34*G34</f>
        <v>66000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51">
        <f t="shared" si="2"/>
        <v>9500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51">
        <f t="shared" si="2"/>
        <v>3100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51">
        <f t="shared" si="2"/>
        <v>1500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49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46">
        <v>85702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7</v>
      </c>
      <c r="D46" s="12">
        <f>C46*1.5</f>
        <v>10.5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165891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</v>
      </c>
      <c r="D50" s="12">
        <f>C50*1.5</f>
        <v>7.5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-320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205</v>
      </c>
      <c r="D6" s="13">
        <f t="shared" ref="D6:D28" si="1">C6*L6</f>
        <v>156005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29</v>
      </c>
      <c r="D9" s="13">
        <f t="shared" si="1"/>
        <v>21257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235" t="s">
        <v>36</v>
      </c>
      <c r="G13" s="199"/>
      <c r="H13" s="190">
        <f>D29</f>
        <v>187600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93" t="s">
        <v>39</v>
      </c>
      <c r="G14" s="194"/>
      <c r="H14" s="195">
        <f>D54</f>
        <v>23733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163867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192*6</f>
        <v>1152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187600</v>
      </c>
      <c r="F29" s="107" t="s">
        <v>55</v>
      </c>
      <c r="G29" s="169"/>
      <c r="H29" s="129">
        <f>H15-H16-H17-H18-H19-H20-H22-H23-H24+H26+H27</f>
        <v>162715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51">
        <f>F34*G34</f>
        <v>28000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1">
        <f t="shared" ref="H35:H39" si="2">F35*G35</f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51">
        <f t="shared" si="2"/>
        <v>200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>
        <v>150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46">
        <v>134176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9</v>
      </c>
      <c r="D49" s="12">
        <f>C49*42</f>
        <v>378</v>
      </c>
      <c r="F49" s="127" t="s">
        <v>86</v>
      </c>
      <c r="G49" s="129">
        <f>H34+H35+H36+H37+H38+H39+H40+H41+G42+H44+H45+H46</f>
        <v>163026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4</v>
      </c>
      <c r="D50" s="12">
        <f>C50*1.5</f>
        <v>6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311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248</v>
      </c>
      <c r="D6" s="13">
        <f t="shared" ref="D6:D28" si="1">C6*L6</f>
        <v>188728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</v>
      </c>
      <c r="D9" s="13">
        <f t="shared" si="1"/>
        <v>4398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4</v>
      </c>
      <c r="D11" s="13">
        <f t="shared" si="1"/>
        <v>4680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235" t="s">
        <v>36</v>
      </c>
      <c r="G13" s="199"/>
      <c r="H13" s="190">
        <f>D29</f>
        <v>206767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9</v>
      </c>
      <c r="D14" s="31">
        <f t="shared" si="1"/>
        <v>99</v>
      </c>
      <c r="F14" s="193" t="s">
        <v>39</v>
      </c>
      <c r="G14" s="194"/>
      <c r="H14" s="195">
        <f>D54</f>
        <v>50062.5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156704.5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103*6+108*6</f>
        <v>1266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206767</v>
      </c>
      <c r="F29" s="107" t="s">
        <v>55</v>
      </c>
      <c r="G29" s="169"/>
      <c r="H29" s="129">
        <f>H15-H16-H17-H18-H19-H20-H22-H23-H24+H26+H27</f>
        <v>155438.5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51">
        <f>F34*G34</f>
        <v>36000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1">
        <f>F35*G35</f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46">
        <f>56380</f>
        <v>56380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46">
        <v>62596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23</v>
      </c>
      <c r="D46" s="12">
        <f>C46*1.5</f>
        <v>34.5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155476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37.5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46059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57</v>
      </c>
      <c r="D6" s="13">
        <f t="shared" ref="D6:D28" si="1">C6*L6</f>
        <v>43377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25</v>
      </c>
      <c r="D7" s="13">
        <f t="shared" si="1"/>
        <v>19525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10</v>
      </c>
      <c r="D8" s="13">
        <f t="shared" si="1"/>
        <v>10930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7</v>
      </c>
      <c r="D9" s="13">
        <f t="shared" si="1"/>
        <v>5131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50+5</f>
        <v>55</v>
      </c>
      <c r="D12" s="48">
        <f t="shared" si="1"/>
        <v>54560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235" t="s">
        <v>36</v>
      </c>
      <c r="G13" s="199"/>
      <c r="H13" s="190">
        <f>D29</f>
        <v>175949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11</v>
      </c>
      <c r="D14" s="31">
        <f t="shared" si="1"/>
        <v>121</v>
      </c>
      <c r="F14" s="193" t="s">
        <v>39</v>
      </c>
      <c r="G14" s="194"/>
      <c r="H14" s="195">
        <f>D54</f>
        <v>27286.5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>
        <v>5</v>
      </c>
      <c r="D15" s="31">
        <f t="shared" si="1"/>
        <v>3100</v>
      </c>
      <c r="F15" s="198" t="s">
        <v>40</v>
      </c>
      <c r="G15" s="199"/>
      <c r="H15" s="200">
        <f>H13-H14</f>
        <v>148662.5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>
        <v>10</v>
      </c>
      <c r="D28" s="48">
        <f t="shared" si="1"/>
        <v>8110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175949</v>
      </c>
      <c r="F29" s="107" t="s">
        <v>55</v>
      </c>
      <c r="G29" s="169"/>
      <c r="H29" s="129">
        <f>H15-H16-H17-H18-H19-H20-H22-H23-H24+H26+H27+H28</f>
        <v>148662.5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51">
        <f t="shared" ref="H34:H39" si="2">F34*G34</f>
        <v>40000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51">
        <f t="shared" si="2"/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51">
        <f t="shared" si="2"/>
        <v>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128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46">
        <v>107519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46</v>
      </c>
      <c r="D45" s="12">
        <f>C45*84</f>
        <v>3864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148547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8</v>
      </c>
      <c r="D50" s="12">
        <f>C50*1.5</f>
        <v>12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-115.5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46059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180</v>
      </c>
      <c r="D6" s="13">
        <f t="shared" ref="D6:D28" si="1">C6*L6</f>
        <v>136980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54</v>
      </c>
      <c r="D9" s="13">
        <f t="shared" si="1"/>
        <v>39582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5</v>
      </c>
      <c r="D12" s="48">
        <f t="shared" si="1"/>
        <v>4960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235" t="s">
        <v>36</v>
      </c>
      <c r="G13" s="199"/>
      <c r="H13" s="190">
        <f>D29</f>
        <v>191902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93" t="s">
        <v>39</v>
      </c>
      <c r="G14" s="194"/>
      <c r="H14" s="195">
        <f>D54</f>
        <v>27573.75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164328.25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0">
        <v>20</v>
      </c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191902</v>
      </c>
      <c r="F29" s="107" t="s">
        <v>55</v>
      </c>
      <c r="G29" s="169"/>
      <c r="H29" s="129">
        <f>H15-H16-H17-H18-H19-H20-H22-H23-H24+H26+H27</f>
        <v>164308.25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51">
        <f>F34*G34</f>
        <v>146000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51">
        <f t="shared" ref="H35:H39" si="2">F35*G35</f>
        <v>17000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51">
        <f t="shared" si="2"/>
        <v>1000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51">
        <f t="shared" si="2"/>
        <v>200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1">
        <v>109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</v>
      </c>
      <c r="D46" s="12">
        <f>C46*1.5</f>
        <v>3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164309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</v>
      </c>
      <c r="D50" s="12">
        <f>C50*1.5</f>
        <v>1.5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0.75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46059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46060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159</v>
      </c>
      <c r="D6" s="13">
        <f t="shared" ref="D6:D28" si="1">C6*L6</f>
        <v>120999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5</v>
      </c>
      <c r="D7" s="13">
        <f t="shared" si="1"/>
        <v>3905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>
        <v>15</v>
      </c>
      <c r="D8" s="13">
        <f t="shared" si="1"/>
        <v>16395</v>
      </c>
      <c r="F8" s="222" t="s">
        <v>21</v>
      </c>
      <c r="G8" s="223" t="s">
        <v>126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22</v>
      </c>
      <c r="D9" s="13">
        <f t="shared" si="1"/>
        <v>16126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4</v>
      </c>
      <c r="D10" s="13">
        <f t="shared" si="1"/>
        <v>4128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2</v>
      </c>
      <c r="D11" s="13">
        <f t="shared" si="1"/>
        <v>2340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>
        <f>1+2</f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</v>
      </c>
      <c r="D13" s="48">
        <f t="shared" si="1"/>
        <v>307</v>
      </c>
      <c r="F13" s="235" t="s">
        <v>36</v>
      </c>
      <c r="G13" s="199"/>
      <c r="H13" s="190">
        <f>D29</f>
        <v>173376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14</v>
      </c>
      <c r="D14" s="31">
        <f t="shared" si="1"/>
        <v>154</v>
      </c>
      <c r="F14" s="193" t="s">
        <v>39</v>
      </c>
      <c r="G14" s="194"/>
      <c r="H14" s="195">
        <f>D54</f>
        <v>23477.25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149898.75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173376</v>
      </c>
      <c r="F29" s="107" t="s">
        <v>55</v>
      </c>
      <c r="G29" s="169"/>
      <c r="H29" s="129">
        <f>H15-H16-H17-H18-H19-H20-H22-H23-H24+H26+H27+H28</f>
        <v>149848.75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51">
        <f t="shared" ref="H34:H39" si="2">F34*G34</f>
        <v>120000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51">
        <f t="shared" si="2"/>
        <v>15000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51">
        <f t="shared" si="2"/>
        <v>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51">
        <f t="shared" si="2"/>
        <v>60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51">
        <v>13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46">
        <v>14000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4</v>
      </c>
      <c r="D45" s="12">
        <f>C45*84</f>
        <v>336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149823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</v>
      </c>
      <c r="D50" s="12">
        <f>C50*1.5</f>
        <v>7.5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-25.75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46060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333</v>
      </c>
      <c r="D6" s="13">
        <f t="shared" ref="D6:D28" si="1">C6*L6</f>
        <v>253413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</v>
      </c>
      <c r="D9" s="13">
        <f t="shared" si="1"/>
        <v>2199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11</v>
      </c>
      <c r="D13" s="48">
        <f t="shared" si="1"/>
        <v>3377</v>
      </c>
      <c r="F13" s="235" t="s">
        <v>36</v>
      </c>
      <c r="G13" s="199"/>
      <c r="H13" s="190">
        <f>D29</f>
        <v>267745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15</v>
      </c>
      <c r="D14" s="31">
        <f t="shared" si="1"/>
        <v>165</v>
      </c>
      <c r="F14" s="193" t="s">
        <v>39</v>
      </c>
      <c r="G14" s="194"/>
      <c r="H14" s="195">
        <f>D54</f>
        <v>57427.5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210317.5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241*6</f>
        <v>1446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267745</v>
      </c>
      <c r="F29" s="107" t="s">
        <v>55</v>
      </c>
      <c r="G29" s="169"/>
      <c r="H29" s="129">
        <f>H15-H16-H17-H18-H19-H20-H22-H23-H24+H26+H27</f>
        <v>208871.5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1">
        <f>F34*G34</f>
        <v>41000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51">
        <f t="shared" ref="H35:H39" si="2">F35*G35</f>
        <v>20500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1">
        <f>F36*G36</f>
        <v>600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51">
        <f t="shared" si="2"/>
        <v>7500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51">
        <f t="shared" si="2"/>
        <v>450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151">
        <v>30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46">
        <v>138760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10</v>
      </c>
      <c r="D49" s="12">
        <f>C49*42</f>
        <v>420</v>
      </c>
      <c r="F49" s="127" t="s">
        <v>86</v>
      </c>
      <c r="G49" s="129">
        <f>H34+H35+H36+H37+H38+H39+H40+H41+G42+H44+H45+H46</f>
        <v>208840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14</v>
      </c>
      <c r="D50" s="12">
        <f>C50*1.5</f>
        <v>21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155</v>
      </c>
      <c r="G51" s="236">
        <f>G49-H29</f>
        <v>-31.5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46060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358</v>
      </c>
      <c r="D6" s="13">
        <f t="shared" ref="D6:D28" si="1">C6*L6</f>
        <v>272438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10</v>
      </c>
      <c r="D7" s="13">
        <f t="shared" si="1"/>
        <v>7810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16</v>
      </c>
      <c r="D9" s="13">
        <f t="shared" si="1"/>
        <v>11728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3</v>
      </c>
      <c r="D13" s="48">
        <f t="shared" si="1"/>
        <v>921</v>
      </c>
      <c r="F13" s="235" t="s">
        <v>36</v>
      </c>
      <c r="G13" s="199"/>
      <c r="H13" s="190">
        <f>D29</f>
        <v>294192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93" t="s">
        <v>39</v>
      </c>
      <c r="G14" s="194"/>
      <c r="H14" s="195">
        <f>D54</f>
        <v>44824.5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2</v>
      </c>
      <c r="D15" s="31">
        <f t="shared" si="1"/>
        <v>1240</v>
      </c>
      <c r="F15" s="198" t="s">
        <v>40</v>
      </c>
      <c r="G15" s="199"/>
      <c r="H15" s="200">
        <f>H13-H14</f>
        <v>249367.5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50*6+184*6</f>
        <v>1404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294192</v>
      </c>
      <c r="F29" s="107" t="s">
        <v>55</v>
      </c>
      <c r="G29" s="169"/>
      <c r="H29" s="129">
        <f>H15-H16-H17-H18-H19-H20-H22-H23-H24+H26+H27</f>
        <v>247963.5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51">
        <f>F34*G34</f>
        <v>84000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1">
        <f>F35*G35</f>
        <v>39000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51">
        <f t="shared" si="2"/>
        <v>1900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51">
        <f t="shared" si="2"/>
        <v>1050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1">
        <f t="shared" si="2"/>
        <v>20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>
        <v>56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46">
        <v>121864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8</v>
      </c>
      <c r="D46" s="12">
        <f>C46*1.5</f>
        <v>12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7</v>
      </c>
      <c r="D49" s="12">
        <f>C49*42</f>
        <v>294</v>
      </c>
      <c r="F49" s="127" t="s">
        <v>86</v>
      </c>
      <c r="G49" s="129">
        <f>H34+H35+H36+H37+H38+H39+H40+H41+G42+H44+H45+H46</f>
        <v>247890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</v>
      </c>
      <c r="D50" s="12">
        <f>C50*1.5</f>
        <v>3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-73.5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46062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350</v>
      </c>
      <c r="D6" s="13">
        <f t="shared" ref="D6:D28" si="1">C6*L6</f>
        <v>266350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11</v>
      </c>
      <c r="D7" s="13">
        <f t="shared" si="1"/>
        <v>8591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14</v>
      </c>
      <c r="D9" s="13">
        <f t="shared" si="1"/>
        <v>10262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>
        <v>10</v>
      </c>
      <c r="D10" s="13">
        <f t="shared" si="1"/>
        <v>10320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>
        <v>5</v>
      </c>
      <c r="D11" s="13">
        <f t="shared" si="1"/>
        <v>5850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10</v>
      </c>
      <c r="D13" s="48">
        <f t="shared" si="1"/>
        <v>3070</v>
      </c>
      <c r="F13" s="235" t="s">
        <v>36</v>
      </c>
      <c r="G13" s="199"/>
      <c r="H13" s="190">
        <f>D29</f>
        <v>305952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19</v>
      </c>
      <c r="D14" s="31">
        <f t="shared" si="1"/>
        <v>209</v>
      </c>
      <c r="F14" s="193" t="s">
        <v>39</v>
      </c>
      <c r="G14" s="194"/>
      <c r="H14" s="195">
        <f>D54</f>
        <v>50665.5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255286.5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>
        <f>231*6</f>
        <v>1386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95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305952</v>
      </c>
      <c r="F29" s="107" t="s">
        <v>55</v>
      </c>
      <c r="G29" s="169"/>
      <c r="H29" s="129">
        <f>H15-H16-H17-H18-H19-H20-H22-H23-H24+H26+H27+H28</f>
        <v>253900.5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51">
        <f t="shared" ref="H34:H39" si="2">F34*G34</f>
        <v>74000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51">
        <f t="shared" si="2"/>
        <v>25000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51">
        <f t="shared" si="2"/>
        <v>1200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51">
        <f t="shared" si="2"/>
        <v>2900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51">
        <f t="shared" si="2"/>
        <v>200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1">
        <v>7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46">
        <v>150599.5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10</v>
      </c>
      <c r="D46" s="12">
        <f>C46*1.5</f>
        <v>15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9</v>
      </c>
      <c r="D49" s="12">
        <f>C49*42</f>
        <v>378</v>
      </c>
      <c r="F49" s="127" t="s">
        <v>86</v>
      </c>
      <c r="G49" s="129">
        <f>H34+H35+H36+H37+H38+H39+H40+H41+G42+H44+H45+H46</f>
        <v>253906.5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14</v>
      </c>
      <c r="D50" s="12">
        <f>C50*1.5</f>
        <v>21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6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46062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328</v>
      </c>
      <c r="D6" s="13">
        <f t="shared" ref="D6:D28" si="1">C6*L6</f>
        <v>249608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106</v>
      </c>
      <c r="D9" s="13">
        <f t="shared" si="1"/>
        <v>77698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176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1+1</f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21</v>
      </c>
      <c r="D13" s="48">
        <f t="shared" si="1"/>
        <v>6447</v>
      </c>
      <c r="F13" s="235" t="s">
        <v>36</v>
      </c>
      <c r="G13" s="199"/>
      <c r="H13" s="190">
        <f>D29</f>
        <v>336387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52480.5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283906.5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434*6</f>
        <v>2604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336387</v>
      </c>
      <c r="F29" s="107" t="s">
        <v>55</v>
      </c>
      <c r="G29" s="169"/>
      <c r="H29" s="129">
        <f>H15-H16-H17-H18-H19-H20-H22-H23-H24+H26+H27</f>
        <v>281302.5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51">
        <f>F34*G34</f>
        <v>31000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51">
        <f t="shared" ref="H35:H39" si="2">F35*G35</f>
        <v>251000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51">
        <f t="shared" si="2"/>
        <v>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41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94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16</v>
      </c>
      <c r="D49" s="12">
        <f>C49*42</f>
        <v>672</v>
      </c>
      <c r="F49" s="127" t="s">
        <v>86</v>
      </c>
      <c r="G49" s="129">
        <f>H34+H35+H36+H37+H38+H39+H40+H41+G42+H44+H45+H46</f>
        <v>282141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</v>
      </c>
      <c r="D50" s="12">
        <f>C50*1.5</f>
        <v>3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838.5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46062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305</v>
      </c>
      <c r="D6" s="13">
        <f t="shared" ref="D6:D28" si="1">C6*L6</f>
        <v>232105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10</v>
      </c>
      <c r="D7" s="13">
        <f t="shared" si="1"/>
        <v>7810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85</v>
      </c>
      <c r="D9" s="13">
        <f t="shared" si="1"/>
        <v>62305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235" t="s">
        <v>36</v>
      </c>
      <c r="G13" s="199"/>
      <c r="H13" s="190">
        <f>D29</f>
        <v>309916.5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93" t="s">
        <v>39</v>
      </c>
      <c r="G14" s="194"/>
      <c r="H14" s="195">
        <f>D54</f>
        <v>42118.5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267798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76">
        <v>141180</v>
      </c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77"/>
      <c r="I24" s="146"/>
      <c r="J24" s="146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309916.5</v>
      </c>
      <c r="F29" s="107" t="s">
        <v>55</v>
      </c>
      <c r="G29" s="169"/>
      <c r="H29" s="129">
        <f>H15-H16-H17-H18-H19-H20-H22-H23-H24+H26+H27</f>
        <v>126618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51">
        <f>F34*G34</f>
        <v>69000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51">
        <f>F35*G35</f>
        <v>45000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51">
        <f t="shared" si="2"/>
        <v>12400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51">
        <f t="shared" si="2"/>
        <v>250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18</v>
      </c>
      <c r="D42" s="12">
        <f>C42*2.25</f>
        <v>40.5</v>
      </c>
      <c r="F42" s="39" t="s">
        <v>79</v>
      </c>
      <c r="G42" s="151">
        <v>69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5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5</v>
      </c>
      <c r="D44" s="12">
        <f>C44*120</f>
        <v>600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17</v>
      </c>
      <c r="D46" s="12">
        <f>C46*1.5</f>
        <v>25.5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11</v>
      </c>
      <c r="D49" s="12">
        <f>C49*42</f>
        <v>462</v>
      </c>
      <c r="F49" s="127" t="s">
        <v>86</v>
      </c>
      <c r="G49" s="129">
        <f>H34+H35+H36+H37+H38+H39+H40+H41+G42+H44+H45+H46</f>
        <v>126719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</v>
      </c>
      <c r="D50" s="12">
        <f>C50*1.5</f>
        <v>7.5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101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46063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>
        <v>229</v>
      </c>
      <c r="D6" s="13">
        <f t="shared" ref="D6:D28" si="1">C6*L6</f>
        <v>174269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>
        <v>4</v>
      </c>
      <c r="D7" s="13">
        <f t="shared" si="1"/>
        <v>3124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>
        <v>25</v>
      </c>
      <c r="D9" s="13">
        <f t="shared" si="1"/>
        <v>18325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>
        <v>2</v>
      </c>
      <c r="D13" s="48">
        <f t="shared" si="1"/>
        <v>614</v>
      </c>
      <c r="F13" s="235" t="s">
        <v>36</v>
      </c>
      <c r="G13" s="199"/>
      <c r="H13" s="190">
        <f>D29</f>
        <v>197103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>
        <v>11</v>
      </c>
      <c r="D14" s="31">
        <f t="shared" si="1"/>
        <v>121</v>
      </c>
      <c r="F14" s="193" t="s">
        <v>39</v>
      </c>
      <c r="G14" s="194"/>
      <c r="H14" s="195">
        <f>D54</f>
        <v>29223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167880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>
        <v>214.28</v>
      </c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197103</v>
      </c>
      <c r="F29" s="107" t="s">
        <v>55</v>
      </c>
      <c r="G29" s="169"/>
      <c r="H29" s="129">
        <f>H15-H16-H17-H18-H19-H20-H22-H23-H24+H26+H27+H28</f>
        <v>167665.72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51">
        <f t="shared" ref="H34:H39" si="2">F34*G34</f>
        <v>83000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51">
        <f t="shared" si="2"/>
        <v>11500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51">
        <f t="shared" si="2"/>
        <v>2700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51">
        <f t="shared" si="2"/>
        <v>300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76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46">
        <f>69966</f>
        <v>69966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35</v>
      </c>
      <c r="D46" s="12">
        <f>C46*1.5</f>
        <v>52.5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167542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13</v>
      </c>
      <c r="D50" s="12">
        <f>C50*1.5</f>
        <v>19.5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-123.72000000000116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46063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231</v>
      </c>
      <c r="D6" s="13">
        <f t="shared" ref="D6:D28" si="1">C6*L6</f>
        <v>175791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22</v>
      </c>
      <c r="D9" s="13">
        <f t="shared" si="1"/>
        <v>16126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176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235" t="s">
        <v>36</v>
      </c>
      <c r="G13" s="199"/>
      <c r="H13" s="190">
        <f>D29</f>
        <v>205618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15</v>
      </c>
      <c r="D14" s="31">
        <f t="shared" si="1"/>
        <v>165</v>
      </c>
      <c r="F14" s="193" t="s">
        <v>39</v>
      </c>
      <c r="G14" s="194"/>
      <c r="H14" s="195">
        <f>D54</f>
        <v>27680.25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177937.75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180*6</f>
        <v>1080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205618</v>
      </c>
      <c r="F29" s="107" t="s">
        <v>55</v>
      </c>
      <c r="G29" s="169"/>
      <c r="H29" s="129">
        <f>H15-H16-H17-H18-H19-H20-H22-H23-H24+H26+H27</f>
        <v>176857.75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51">
        <f>F34*G34</f>
        <v>37000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51">
        <f t="shared" ref="H35:H39" si="2">F35*G35</f>
        <v>4000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1">
        <f>F36*G36</f>
        <v>600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51">
        <f t="shared" si="2"/>
        <v>6300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51">
        <f t="shared" si="2"/>
        <v>800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151">
        <v>720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46">
        <v>126833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10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7</v>
      </c>
      <c r="D49" s="12">
        <f>C49*42</f>
        <v>294</v>
      </c>
      <c r="F49" s="127" t="s">
        <v>86</v>
      </c>
      <c r="G49" s="129">
        <f>H34+H35+H36+H37+H38+H39+H40+H41+G42+H44+H45+H46</f>
        <v>176293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6</v>
      </c>
      <c r="D50" s="12">
        <f>C50*1.5</f>
        <v>9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155</v>
      </c>
      <c r="G51" s="236">
        <f>G49-H29</f>
        <v>-564.75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46063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327</v>
      </c>
      <c r="D6" s="13">
        <f t="shared" ref="D6:D28" si="1">C6*L6</f>
        <v>248847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35</v>
      </c>
      <c r="D7" s="13">
        <f t="shared" si="1"/>
        <v>27335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10</v>
      </c>
      <c r="D8" s="13">
        <f t="shared" si="1"/>
        <v>10930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5</v>
      </c>
      <c r="D12" s="48">
        <f t="shared" si="1"/>
        <v>4960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317068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93" t="s">
        <v>39</v>
      </c>
      <c r="G14" s="194"/>
      <c r="H14" s="195">
        <f>D54</f>
        <v>40029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277039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248" t="s">
        <v>175</v>
      </c>
      <c r="G26" s="59">
        <v>8925</v>
      </c>
      <c r="H26" s="181">
        <v>141180</v>
      </c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10</v>
      </c>
      <c r="D28" s="48">
        <f t="shared" si="1"/>
        <v>8110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317068</v>
      </c>
      <c r="F29" s="107" t="s">
        <v>55</v>
      </c>
      <c r="G29" s="169"/>
      <c r="H29" s="129">
        <f>H15-H16-H17-H18-H19-H20-H22-H23-H24+H26+H27</f>
        <v>418219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51">
        <f>F34*G34</f>
        <v>13000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51">
        <f>F35*G35</f>
        <v>1000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1">
        <v>40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46">
        <v>264377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46">
        <v>139920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16</v>
      </c>
      <c r="D46" s="12">
        <f>C46*1.5</f>
        <v>24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418337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118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46064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84"/>
      <c r="D6" s="13">
        <f t="shared" ref="D6:D28" si="1">C6*L6</f>
        <v>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84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84"/>
      <c r="D8" s="13">
        <f t="shared" si="1"/>
        <v>0</v>
      </c>
      <c r="F8" s="222" t="s">
        <v>21</v>
      </c>
      <c r="G8" s="223" t="s">
        <v>111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84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84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84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84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84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84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84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84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84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84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84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84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84"/>
      <c r="D27" s="44">
        <f t="shared" si="1"/>
        <v>0</v>
      </c>
      <c r="F27" s="71"/>
      <c r="G27" s="10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84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H15-H16-H17-H18-H19-H20-H22-H23-H24+H26+H27+H28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5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46064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ref="H35:H39" si="2"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10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46064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36</vt:i4>
      </vt:variant>
    </vt:vector>
  </HeadingPairs>
  <TitlesOfParts>
    <vt:vector size="7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'(10)'!Print_Area</vt:lpstr>
      <vt:lpstr>'(11)'!Print_Area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2026-02-11T00:53:18Z</cp:lastPrinted>
  <dcterms:created xsi:type="dcterms:W3CDTF">2024-09-01T23:36:50Z</dcterms:created>
  <dcterms:modified xsi:type="dcterms:W3CDTF">2026-02-11T00:55:53Z</dcterms:modified>
</cp:coreProperties>
</file>